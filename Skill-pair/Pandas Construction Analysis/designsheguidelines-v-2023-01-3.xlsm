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workbookPr saveExternalLinkValues="0" codeName="ThisWorkbook"/>
  <mc:AlternateContent xmlns:mc="http://schemas.openxmlformats.org/markup-compatibility/2006">
    <mc:Choice Requires="x15">
      <x15ac:absPath xmlns:x15ac="http://schemas.microsoft.com/office/spreadsheetml/2010/11/ac" url="\\codata\shares\CO\PSO\Project_Management\ScopeAndStaffHours\ScopeOfServices\2023Update\PSOScopeWebpageFiles\Sept2023.v.2023.01\"/>
    </mc:Choice>
  </mc:AlternateContent>
  <xr:revisionPtr revIDLastSave="0" documentId="8_{E9154AF4-25DE-4F56-894B-CA91B03B90D2}" xr6:coauthVersionLast="47" xr6:coauthVersionMax="47" xr10:uidLastSave="{00000000-0000-0000-0000-000000000000}"/>
  <bookViews>
    <workbookView xWindow="-28920" yWindow="30" windowWidth="29040" windowHeight="15840" tabRatio="914" xr2:uid="{00000000-000D-0000-FFFF-FFFF00000000}"/>
  </bookViews>
  <sheets>
    <sheet name="Title Sheet" sheetId="1" r:id="rId1"/>
    <sheet name="TOC" sheetId="2" r:id="rId2"/>
    <sheet name="Introduction" sheetId="3" r:id="rId3"/>
    <sheet name="Disclaimer" sheetId="5" r:id="rId4"/>
    <sheet name="Project Information" sheetId="59" r:id="rId5"/>
    <sheet name="3. Project General Tasks" sheetId="8" r:id="rId6"/>
    <sheet name="Roadway Guidelines" sheetId="66" r:id="rId7"/>
    <sheet name="Roadway 3D Modeling Guidelines" sheetId="71" r:id="rId8"/>
    <sheet name="4. Roadway Analysis" sheetId="10" r:id="rId9"/>
    <sheet name="5. Roadway Plans" sheetId="11" r:id="rId10"/>
    <sheet name="6a. Drainage Analysis" sheetId="12" r:id="rId11"/>
    <sheet name="6b. Drainage Plans" sheetId="58" r:id="rId12"/>
    <sheet name="Selective C&amp;G Guidelines " sheetId="67" r:id="rId13"/>
    <sheet name="6c. Selective C&amp;G" sheetId="68" r:id="rId14"/>
    <sheet name="Utility Guidelines" sheetId="13" r:id="rId15"/>
    <sheet name="7. Utilities" sheetId="14" r:id="rId16"/>
    <sheet name="Environmental Permit Guidelines" sheetId="15" r:id="rId17"/>
    <sheet name="8. Environmental Permits" sheetId="53" r:id="rId18"/>
    <sheet name="Structures-Guidelines" sheetId="17" r:id="rId19"/>
    <sheet name="9. Str. -Summ Misc Tasks &amp; Dwgs" sheetId="18" r:id="rId20"/>
    <sheet name="10. Structures-BDR" sheetId="19" r:id="rId21"/>
    <sheet name="11. Str.-Temporary Bridge" sheetId="20" r:id="rId22"/>
    <sheet name="12. Str.-Short Span Concrete" sheetId="21" r:id="rId23"/>
    <sheet name="13. Str.-Medium Span Concrete " sheetId="22" r:id="rId24"/>
    <sheet name="14. Structures-Structural Steel" sheetId="23" r:id="rId25"/>
    <sheet name="15.Str.-Segmental Concrete" sheetId="24" r:id="rId26"/>
    <sheet name="16. Structures-Movable Span" sheetId="25" r:id="rId27"/>
    <sheet name="17. Structures-Retaining Walls" sheetId="26" r:id="rId28"/>
    <sheet name="18. Structures-Miscellaneous" sheetId="27" r:id="rId29"/>
    <sheet name="Signing &amp; Marking Guidelines" sheetId="28" r:id="rId30"/>
    <sheet name="19. Signing &amp; Marking Analysis" sheetId="29" r:id="rId31"/>
    <sheet name="20. Signing &amp; Marking Plans" sheetId="30" r:id="rId32"/>
    <sheet name="Signalization Guidelines" sheetId="31" r:id="rId33"/>
    <sheet name="21. Signalization Analysis" sheetId="32" r:id="rId34"/>
    <sheet name="22. Signalization Plans" sheetId="33" r:id="rId35"/>
    <sheet name="Lighting Guidelines" sheetId="34" r:id="rId36"/>
    <sheet name="23. Lighting Analysis" sheetId="35" r:id="rId37"/>
    <sheet name="24. Lighting Plans" sheetId="36" r:id="rId38"/>
    <sheet name="Landscape Guidelines" sheetId="69" r:id="rId39"/>
    <sheet name="25. Landscape Analysis " sheetId="37" r:id="rId40"/>
    <sheet name="26. Landscape Plans" sheetId="38" r:id="rId41"/>
    <sheet name="Survey Guidelines" sheetId="39" r:id="rId42"/>
    <sheet name="27. Survey" sheetId="40" r:id="rId43"/>
    <sheet name="28. Photogrammetry" sheetId="42" r:id="rId44"/>
    <sheet name="29. Mapping" sheetId="43" r:id="rId45"/>
    <sheet name="30. Terrestrial Mobile LiDAR" sheetId="57" r:id="rId46"/>
    <sheet name="Architecture Guidelines" sheetId="46" r:id="rId47"/>
    <sheet name="31. Architecture Development" sheetId="56" r:id="rId48"/>
    <sheet name="Noise Guidelines" sheetId="65" r:id="rId49"/>
    <sheet name="32. Noise Barrier Assessment" sheetId="48" r:id="rId50"/>
    <sheet name="ITS Guidelines" sheetId="49" r:id="rId51"/>
    <sheet name="33. ITS Analysis" sheetId="50" r:id="rId52"/>
    <sheet name="34. ITS Plans" sheetId="51" r:id="rId53"/>
    <sheet name="Geotechnical Guidelines" sheetId="44" r:id="rId54"/>
    <sheet name="35. Geotechnical" sheetId="45" r:id="rId55"/>
  </sheets>
  <externalReferences>
    <externalReference r:id="rId56"/>
  </externalReferences>
  <definedNames>
    <definedName name="_Toc528467648" localSheetId="6">'Roadway Guidelines'!$A$1</definedName>
    <definedName name="A_RDWY" localSheetId="38">#REF!</definedName>
    <definedName name="A_RDWY" localSheetId="7">#REF!</definedName>
    <definedName name="A_RDWY" localSheetId="6">#REF!</definedName>
    <definedName name="A_RDWY" localSheetId="12">#REF!</definedName>
    <definedName name="A_RDWY">#REF!</definedName>
    <definedName name="B_INTERCHG" localSheetId="38">#REF!</definedName>
    <definedName name="B_INTERCHG" localSheetId="7">#REF!</definedName>
    <definedName name="B_INTERCHG" localSheetId="6">#REF!</definedName>
    <definedName name="B_INTERCHG" localSheetId="12">#REF!</definedName>
    <definedName name="B_INTERCHG">#REF!</definedName>
    <definedName name="C_TCP" localSheetId="38">#REF!</definedName>
    <definedName name="C_TCP" localSheetId="7">#REF!</definedName>
    <definedName name="C_TCP" localSheetId="6">#REF!</definedName>
    <definedName name="C_TCP" localSheetId="12">#REF!</definedName>
    <definedName name="C_TCP">#REF!</definedName>
    <definedName name="D_DRAIN" localSheetId="38">#REF!</definedName>
    <definedName name="D_DRAIN" localSheetId="7">#REF!</definedName>
    <definedName name="D_DRAIN" localSheetId="6">#REF!</definedName>
    <definedName name="D_DRAIN" localSheetId="12">#REF!</definedName>
    <definedName name="D_DRAIN">#REF!</definedName>
    <definedName name="E_ENVIRON" localSheetId="38">#REF!</definedName>
    <definedName name="E_ENVIRON" localSheetId="7">#REF!</definedName>
    <definedName name="E_ENVIRON" localSheetId="6">#REF!</definedName>
    <definedName name="E_ENVIRON" localSheetId="12">#REF!</definedName>
    <definedName name="E_ENVIRON">#REF!</definedName>
    <definedName name="F_SIGNING" localSheetId="38">#REF!</definedName>
    <definedName name="F_SIGNING" localSheetId="7">#REF!</definedName>
    <definedName name="F_SIGNING" localSheetId="6">#REF!</definedName>
    <definedName name="F_SIGNING" localSheetId="12">#REF!</definedName>
    <definedName name="F_SIGNING">#REF!</definedName>
    <definedName name="G_SIGNAL" localSheetId="38">#REF!</definedName>
    <definedName name="G_SIGNAL" localSheetId="7">#REF!</definedName>
    <definedName name="G_SIGNAL" localSheetId="6">#REF!</definedName>
    <definedName name="G_SIGNAL" localSheetId="12">#REF!</definedName>
    <definedName name="G_SIGNAL">#REF!</definedName>
    <definedName name="H_LIGHT" localSheetId="38">#REF!</definedName>
    <definedName name="H_LIGHT" localSheetId="7">#REF!</definedName>
    <definedName name="H_LIGHT" localSheetId="6">#REF!</definedName>
    <definedName name="H_LIGHT" localSheetId="12">#REF!</definedName>
    <definedName name="H_LIGHT">#REF!</definedName>
    <definedName name="I_ROW" localSheetId="38">#REF!</definedName>
    <definedName name="I_ROW" localSheetId="7">#REF!</definedName>
    <definedName name="I_ROW" localSheetId="6">#REF!</definedName>
    <definedName name="I_ROW" localSheetId="12">#REF!</definedName>
    <definedName name="I_ROW">#REF!</definedName>
    <definedName name="J_UTIL" localSheetId="38">#REF!</definedName>
    <definedName name="J_UTIL" localSheetId="7">#REF!</definedName>
    <definedName name="J_UTIL" localSheetId="6">#REF!</definedName>
    <definedName name="J_UTIL" localSheetId="12">#REF!</definedName>
    <definedName name="J_UTIL">#REF!</definedName>
    <definedName name="K_LANDSCAPE" localSheetId="38">#REF!</definedName>
    <definedName name="K_LANDSCAPE" localSheetId="7">#REF!</definedName>
    <definedName name="K_LANDSCAPE" localSheetId="6">#REF!</definedName>
    <definedName name="K_LANDSCAPE" localSheetId="12">#REF!</definedName>
    <definedName name="K_LANDSCAPE">#REF!</definedName>
    <definedName name="L_PM" localSheetId="38">#REF!</definedName>
    <definedName name="L_PM" localSheetId="7">#REF!</definedName>
    <definedName name="L_PM" localSheetId="6">#REF!</definedName>
    <definedName name="L_PM" localSheetId="12">#REF!</definedName>
    <definedName name="L_PM">#REF!</definedName>
    <definedName name="M_COMMUNITY_AWARENESS" localSheetId="38">#REF!</definedName>
    <definedName name="M_COMMUNITY_AWARENESS" localSheetId="7">#REF!</definedName>
    <definedName name="M_COMMUNITY_AWARENESS" localSheetId="6">#REF!</definedName>
    <definedName name="M_COMMUNITY_AWARENESS" localSheetId="12">#REF!</definedName>
    <definedName name="M_COMMUNITY_AWARENESS">#REF!</definedName>
    <definedName name="N_SURVEY" localSheetId="38">#REF!</definedName>
    <definedName name="N_SURVEY" localSheetId="7">#REF!</definedName>
    <definedName name="N_SURVEY" localSheetId="6">#REF!</definedName>
    <definedName name="N_SURVEY" localSheetId="12">#REF!</definedName>
    <definedName name="N_SURVEY">#REF!</definedName>
    <definedName name="O_FIELD_SURVEY" localSheetId="38">#REF!</definedName>
    <definedName name="O_FIELD_SURVEY" localSheetId="7">#REF!</definedName>
    <definedName name="O_FIELD_SURVEY" localSheetId="6">#REF!</definedName>
    <definedName name="O_FIELD_SURVEY" localSheetId="12">#REF!</definedName>
    <definedName name="O_FIELD_SURVEY">#REF!</definedName>
    <definedName name="P_BDR" localSheetId="38">#REF!</definedName>
    <definedName name="P_BDR" localSheetId="7">#REF!</definedName>
    <definedName name="P_BDR" localSheetId="6">#REF!</definedName>
    <definedName name="P_BDR" localSheetId="12">#REF!</definedName>
    <definedName name="P_BDR">#REF!</definedName>
    <definedName name="_xlnm.Print_Area" localSheetId="20">'10. Structures-BDR'!$A$1:$E$47</definedName>
    <definedName name="_xlnm.Print_Area" localSheetId="21">'11. Str.-Temporary Bridge'!$A$1:$E$16</definedName>
    <definedName name="_xlnm.Print_Area" localSheetId="22">'12. Str.-Short Span Concrete'!$A$1:$E$40</definedName>
    <definedName name="_xlnm.Print_Area" localSheetId="26">'16. Structures-Movable Span'!$A$1:$E$122</definedName>
    <definedName name="_xlnm.Print_Area" localSheetId="27">'17. Structures-Retaining Walls'!$A$1:$E$39</definedName>
    <definedName name="_xlnm.Print_Area" localSheetId="28">'18. Structures-Miscellaneous'!$A$1:$E$47</definedName>
    <definedName name="_xlnm.Print_Area" localSheetId="30">'19. Signing &amp; Marking Analysis'!$A$1:$E$20</definedName>
    <definedName name="_xlnm.Print_Area" localSheetId="31">'20. Signing &amp; Marking Plans'!$A$1:$C$13</definedName>
    <definedName name="_xlnm.Print_Area" localSheetId="33">'21. Signalization Analysis'!$A$1:$E$23</definedName>
    <definedName name="_xlnm.Print_Area" localSheetId="36">'23. Lighting Analysis'!$A$1:$E$21</definedName>
    <definedName name="_xlnm.Print_Area" localSheetId="37">'24. Lighting Plans'!$A$1:$C$14</definedName>
    <definedName name="_xlnm.Print_Area" localSheetId="39">'25. Landscape Analysis '!$A$1:$C$23</definedName>
    <definedName name="_xlnm.Print_Area" localSheetId="43">'28. Photogrammetry'!$A$1:$E$36</definedName>
    <definedName name="_xlnm.Print_Area" localSheetId="5">'3. Project General Tasks'!$A$1:$E$30</definedName>
    <definedName name="_xlnm.Print_Area" localSheetId="49">'32. Noise Barrier Assessment'!$A$1:$E$14</definedName>
    <definedName name="_xlnm.Print_Area" localSheetId="51">'33. ITS Analysis'!$A$1:$E$27</definedName>
    <definedName name="_xlnm.Print_Area" localSheetId="54">'35. Geotechnical'!$A$1:$E$66</definedName>
    <definedName name="_xlnm.Print_Area" localSheetId="9">'5. Roadway Plans'!$A$1:$C$22</definedName>
    <definedName name="_xlnm.Print_Area" localSheetId="10">'6a. Drainage Analysis'!$A$1:$F$41</definedName>
    <definedName name="_xlnm.Print_Area" localSheetId="11">'6b. Drainage Plans'!$A$1:$C$10</definedName>
    <definedName name="_xlnm.Print_Area" localSheetId="13">'6c. Selective C&amp;G'!$A$1:$C$13</definedName>
    <definedName name="_xlnm.Print_Area" localSheetId="15">'7. Utilities'!$A$1:$E$19</definedName>
    <definedName name="_xlnm.Print_Area" localSheetId="17">'8. Environmental Permits'!$A$1:$E$48</definedName>
    <definedName name="_xlnm.Print_Area" localSheetId="19">'9. Str. -Summ Misc Tasks &amp; Dwgs'!$A$1:$E$31</definedName>
    <definedName name="_xlnm.Print_Area" localSheetId="46">'Architecture Guidelines'!$A$1:$A$55</definedName>
    <definedName name="_xlnm.Print_Area" localSheetId="16">'Environmental Permit Guidelines'!$A$1:$A$63</definedName>
    <definedName name="_xlnm.Print_Area" localSheetId="53">'Geotechnical Guidelines'!$A$1:$A$19</definedName>
    <definedName name="_xlnm.Print_Area" localSheetId="2">Introduction!$A$1:$A$12</definedName>
    <definedName name="_xlnm.Print_Area" localSheetId="38">#REF!</definedName>
    <definedName name="_xlnm.Print_Area" localSheetId="35">'Lighting Guidelines'!$A$1:$A$36</definedName>
    <definedName name="_xlnm.Print_Area" localSheetId="48">'Noise Guidelines'!$A$1:$A$59</definedName>
    <definedName name="_xlnm.Print_Area" localSheetId="4">'Project Information'!$A$1:$N$52</definedName>
    <definedName name="_xlnm.Print_Area" localSheetId="7">#REF!</definedName>
    <definedName name="_xlnm.Print_Area" localSheetId="6">'Roadway Guidelines'!$A$1:$A$44</definedName>
    <definedName name="_xlnm.Print_Area" localSheetId="12">#REF!</definedName>
    <definedName name="_xlnm.Print_Area" localSheetId="32">'Signalization Guidelines'!$A$1:$A$39</definedName>
    <definedName name="_xlnm.Print_Area" localSheetId="29">'Signing &amp; Marking Guidelines'!$A$1:$A$38</definedName>
    <definedName name="_xlnm.Print_Area" localSheetId="18">'Structures-Guidelines'!$A$1:$A$60</definedName>
    <definedName name="_xlnm.Print_Area" localSheetId="41">'Survey Guidelines'!$A$1:$A$47</definedName>
    <definedName name="_xlnm.Print_Area" localSheetId="0">'Title Sheet'!$A$1:$A$6</definedName>
    <definedName name="_xlnm.Print_Area" localSheetId="1">TOC!$A$1:$D$40</definedName>
    <definedName name="_xlnm.Print_Area" localSheetId="14">'Utility Guidelines'!$A$1:$A$42</definedName>
    <definedName name="_xlnm.Print_Area">#REF!</definedName>
    <definedName name="Print_Area_1" localSheetId="38">#REF!</definedName>
    <definedName name="Print_Area_1" localSheetId="7">#REF!</definedName>
    <definedName name="Print_Area_1" localSheetId="6">#REF!</definedName>
    <definedName name="Print_Area_1" localSheetId="12">#REF!</definedName>
    <definedName name="Print_Area_1">#REF!</definedName>
    <definedName name="Print_Area_2" localSheetId="38">#REF!</definedName>
    <definedName name="Print_Area_2" localSheetId="7">#REF!</definedName>
    <definedName name="Print_Area_2" localSheetId="12">#REF!</definedName>
    <definedName name="Print_Area_2">#REF!</definedName>
    <definedName name="Print_Area_3" localSheetId="38">#REF!</definedName>
    <definedName name="Print_Area_3" localSheetId="7">#REF!</definedName>
    <definedName name="Print_Area_3" localSheetId="12">#REF!</definedName>
    <definedName name="Print_Area_3">#REF!</definedName>
    <definedName name="_xlnm.Print_Titles" localSheetId="54">'35. Geotechnical'!$2:$2</definedName>
    <definedName name="Q_PRE_BRD" localSheetId="38">#REF!</definedName>
    <definedName name="Q_PRE_BRD" localSheetId="7">#REF!</definedName>
    <definedName name="Q_PRE_BRD" localSheetId="6">#REF!</definedName>
    <definedName name="Q_PRE_BRD" localSheetId="12">#REF!</definedName>
    <definedName name="Q_PRE_BRD">#REF!</definedName>
    <definedName name="R_STRUCTURE" localSheetId="38">#REF!</definedName>
    <definedName name="R_STRUCTURE" localSheetId="7">#REF!</definedName>
    <definedName name="R_STRUCTURE" localSheetId="6">#REF!</definedName>
    <definedName name="R_STRUCTURE" localSheetId="12">#REF!</definedName>
    <definedName name="R_STRUCTURE">#REF!</definedName>
    <definedName name="S_SUM_BRDG" localSheetId="38">#REF!</definedName>
    <definedName name="S_SUM_BRDG" localSheetId="7">#REF!</definedName>
    <definedName name="S_SUM_BRDG" localSheetId="6">#REF!</definedName>
    <definedName name="S_SUM_BRDG" localSheetId="12">#REF!</definedName>
    <definedName name="S_SUM_BRDG">#REF!</definedName>
    <definedName name="T_MISC_STRUCTURE" localSheetId="38">#REF!</definedName>
    <definedName name="T_MISC_STRUCTURE" localSheetId="7">#REF!</definedName>
    <definedName name="T_MISC_STRUCTURE" localSheetId="6">#REF!</definedName>
    <definedName name="T_MISC_STRUCTURE" localSheetId="12">#REF!</definedName>
    <definedName name="T_MISC_STRUCTURE">#REF!</definedName>
    <definedName name="U_UTIL" localSheetId="38">#REF!</definedName>
    <definedName name="U_UTIL" localSheetId="7">#REF!</definedName>
    <definedName name="U_UTIL" localSheetId="6">#REF!</definedName>
    <definedName name="U_UTIL" localSheetId="12">#REF!</definedName>
    <definedName name="U_UTIL">#REF!</definedName>
    <definedName name="U_WALL" localSheetId="38">#REF!</definedName>
    <definedName name="U_WALL" localSheetId="7">#REF!</definedName>
    <definedName name="U_WALL" localSheetId="6">#REF!</definedName>
    <definedName name="U_WALL" localSheetId="12">#REF!</definedName>
    <definedName name="U_WALL">#REF!</definedName>
    <definedName name="V_SUB_SUM" localSheetId="38">#REF!</definedName>
    <definedName name="V_SUB_SUM" localSheetId="7">#REF!</definedName>
    <definedName name="V_SUB_SUM" localSheetId="6">#REF!</definedName>
    <definedName name="V_SUB_SUM" localSheetId="12">#REF!</definedName>
    <definedName name="V_SUB_SUM">#REF!</definedName>
    <definedName name="X_FINAL_HRS" localSheetId="38">#REF!</definedName>
    <definedName name="X_FINAL_HRS" localSheetId="7">#REF!</definedName>
    <definedName name="X_FINAL_HRS" localSheetId="6">#REF!</definedName>
    <definedName name="X_FINAL_HRS" localSheetId="12">#REF!</definedName>
    <definedName name="X_FINAL_HRS">#REF!</definedName>
    <definedName name="yesno" localSheetId="38">#REF!</definedName>
    <definedName name="yesno" localSheetId="7">#REF!</definedName>
    <definedName name="yesno" localSheetId="6">#REF!</definedName>
    <definedName name="yesno" localSheetId="12">#REF!</definedName>
    <definedName name="yesno">'[1]4. Roadway Analysis'!$N$44:$N$45</definedName>
    <definedName name="Z_053BE130_58A3_4F3B_945A_C2EFB15C6264_.wvu.Cols" localSheetId="20" hidden="1">'10. Structures-BDR'!#REF!</definedName>
    <definedName name="Z_053BE130_58A3_4F3B_945A_C2EFB15C6264_.wvu.Cols" localSheetId="21" hidden="1">'11. Str.-Temporary Bridge'!#REF!</definedName>
    <definedName name="Z_053BE130_58A3_4F3B_945A_C2EFB15C6264_.wvu.Cols" localSheetId="22" hidden="1">'12. Str.-Short Span Concrete'!#REF!</definedName>
    <definedName name="Z_053BE130_58A3_4F3B_945A_C2EFB15C6264_.wvu.Cols" localSheetId="23" hidden="1">'13. Str.-Medium Span Concrete '!#REF!</definedName>
    <definedName name="Z_053BE130_58A3_4F3B_945A_C2EFB15C6264_.wvu.Cols" localSheetId="24" hidden="1">'14. Structures-Structural Steel'!#REF!</definedName>
    <definedName name="Z_053BE130_58A3_4F3B_945A_C2EFB15C6264_.wvu.Cols" localSheetId="25" hidden="1">'15.Str.-Segmental Concrete'!#REF!</definedName>
    <definedName name="Z_053BE130_58A3_4F3B_945A_C2EFB15C6264_.wvu.Cols" localSheetId="26" hidden="1">'16. Structures-Movable Span'!#REF!</definedName>
    <definedName name="Z_053BE130_58A3_4F3B_945A_C2EFB15C6264_.wvu.Cols" localSheetId="27" hidden="1">'17. Structures-Retaining Walls'!#REF!</definedName>
    <definedName name="Z_053BE130_58A3_4F3B_945A_C2EFB15C6264_.wvu.Cols" localSheetId="28" hidden="1">'18. Structures-Miscellaneous'!#REF!</definedName>
    <definedName name="Z_053BE130_58A3_4F3B_945A_C2EFB15C6264_.wvu.Cols" localSheetId="30" hidden="1">'19. Signing &amp; Marking Analysis'!#REF!</definedName>
    <definedName name="Z_053BE130_58A3_4F3B_945A_C2EFB15C6264_.wvu.Cols" localSheetId="31" hidden="1">'20. Signing &amp; Marking Plans'!#REF!</definedName>
    <definedName name="Z_053BE130_58A3_4F3B_945A_C2EFB15C6264_.wvu.Cols" localSheetId="33" hidden="1">'21. Signalization Analysis'!#REF!</definedName>
    <definedName name="Z_053BE130_58A3_4F3B_945A_C2EFB15C6264_.wvu.Cols" localSheetId="34" hidden="1">'22. Signalization Plans'!#REF!</definedName>
    <definedName name="Z_053BE130_58A3_4F3B_945A_C2EFB15C6264_.wvu.Cols" localSheetId="36" hidden="1">'23. Lighting Analysis'!#REF!</definedName>
    <definedName name="Z_053BE130_58A3_4F3B_945A_C2EFB15C6264_.wvu.Cols" localSheetId="37" hidden="1">'24. Lighting Plans'!#REF!</definedName>
    <definedName name="Z_053BE130_58A3_4F3B_945A_C2EFB15C6264_.wvu.Cols" localSheetId="39" hidden="1">'25. Landscape Analysis '!#REF!</definedName>
    <definedName name="Z_053BE130_58A3_4F3B_945A_C2EFB15C6264_.wvu.Cols" localSheetId="40" hidden="1">'26. Landscape Plans'!#REF!</definedName>
    <definedName name="Z_053BE130_58A3_4F3B_945A_C2EFB15C6264_.wvu.Cols" localSheetId="42" hidden="1">'27. Survey'!#REF!</definedName>
    <definedName name="Z_053BE130_58A3_4F3B_945A_C2EFB15C6264_.wvu.Cols" localSheetId="43" hidden="1">'28. Photogrammetry'!#REF!</definedName>
    <definedName name="Z_053BE130_58A3_4F3B_945A_C2EFB15C6264_.wvu.Cols" localSheetId="44" hidden="1">'29. Mapping'!#REF!</definedName>
    <definedName name="Z_053BE130_58A3_4F3B_945A_C2EFB15C6264_.wvu.Cols" localSheetId="5" hidden="1">'3. Project General Tasks'!#REF!</definedName>
    <definedName name="Z_053BE130_58A3_4F3B_945A_C2EFB15C6264_.wvu.Cols" localSheetId="47" hidden="1">'31. Architecture Development'!#REF!</definedName>
    <definedName name="Z_053BE130_58A3_4F3B_945A_C2EFB15C6264_.wvu.Cols" localSheetId="54" hidden="1">'35. Geotechnical'!#REF!</definedName>
    <definedName name="Z_053BE130_58A3_4F3B_945A_C2EFB15C6264_.wvu.Cols" localSheetId="8" hidden="1">'4. Roadway Analysis'!#REF!</definedName>
    <definedName name="Z_053BE130_58A3_4F3B_945A_C2EFB15C6264_.wvu.Cols" localSheetId="9" hidden="1">'5. Roadway Plans'!#REF!</definedName>
    <definedName name="Z_053BE130_58A3_4F3B_945A_C2EFB15C6264_.wvu.Cols" localSheetId="10" hidden="1">'6a. Drainage Analysis'!#REF!</definedName>
    <definedName name="Z_053BE130_58A3_4F3B_945A_C2EFB15C6264_.wvu.Cols" localSheetId="11" hidden="1">'6b. Drainage Plans'!#REF!</definedName>
    <definedName name="Z_053BE130_58A3_4F3B_945A_C2EFB15C6264_.wvu.Cols" localSheetId="13" hidden="1">'6c. Selective C&amp;G'!#REF!</definedName>
    <definedName name="Z_053BE130_58A3_4F3B_945A_C2EFB15C6264_.wvu.Cols" localSheetId="15" hidden="1">'7. Utilities'!#REF!</definedName>
    <definedName name="Z_053BE130_58A3_4F3B_945A_C2EFB15C6264_.wvu.Cols" localSheetId="17" hidden="1">'8. Environmental Permits'!#REF!</definedName>
    <definedName name="Z_053BE130_58A3_4F3B_945A_C2EFB15C6264_.wvu.Cols" localSheetId="19" hidden="1">'9. Str. -Summ Misc Tasks &amp; Dwgs'!#REF!</definedName>
    <definedName name="Z_053BE130_58A3_4F3B_945A_C2EFB15C6264_.wvu.PrintArea" localSheetId="21" hidden="1">'11. Str.-Temporary Bridge'!$A$1:$E$16</definedName>
    <definedName name="Z_053BE130_58A3_4F3B_945A_C2EFB15C6264_.wvu.PrintArea" localSheetId="22" hidden="1">'12. Str.-Short Span Concrete'!$A$1:$E$41</definedName>
    <definedName name="Z_053BE130_58A3_4F3B_945A_C2EFB15C6264_.wvu.PrintArea" localSheetId="23" hidden="1">'13. Str.-Medium Span Concrete '!$A$1:$E$71</definedName>
    <definedName name="Z_053BE130_58A3_4F3B_945A_C2EFB15C6264_.wvu.PrintArea" localSheetId="24" hidden="1">'14. Structures-Structural Steel'!$A$1:$E$132</definedName>
    <definedName name="Z_053BE130_58A3_4F3B_945A_C2EFB15C6264_.wvu.PrintArea" localSheetId="30" hidden="1">'19. Signing &amp; Marking Analysis'!$A$2:$E$20</definedName>
    <definedName name="Z_053BE130_58A3_4F3B_945A_C2EFB15C6264_.wvu.PrintArea" localSheetId="31" hidden="1">'20. Signing &amp; Marking Plans'!$A$2:$C$13</definedName>
    <definedName name="Z_053BE130_58A3_4F3B_945A_C2EFB15C6264_.wvu.PrintArea" localSheetId="33" hidden="1">'21. Signalization Analysis'!$A$2:$E$23</definedName>
    <definedName name="Z_053BE130_58A3_4F3B_945A_C2EFB15C6264_.wvu.PrintArea" localSheetId="34" hidden="1">'22. Signalization Plans'!$A$2:$C$17</definedName>
    <definedName name="Z_053BE130_58A3_4F3B_945A_C2EFB15C6264_.wvu.PrintArea" localSheetId="36" hidden="1">'23. Lighting Analysis'!$A$2:$E$21</definedName>
    <definedName name="Z_053BE130_58A3_4F3B_945A_C2EFB15C6264_.wvu.PrintArea" localSheetId="37" hidden="1">'24. Lighting Plans'!$A$2:$C$14</definedName>
    <definedName name="Z_053BE130_58A3_4F3B_945A_C2EFB15C6264_.wvu.PrintArea" localSheetId="39" hidden="1">'25. Landscape Analysis '!$A$2:$C$23</definedName>
    <definedName name="Z_053BE130_58A3_4F3B_945A_C2EFB15C6264_.wvu.PrintArea" localSheetId="40" hidden="1">'26. Landscape Plans'!$A$2:$C$16</definedName>
    <definedName name="Z_053BE130_58A3_4F3B_945A_C2EFB15C6264_.wvu.PrintArea" localSheetId="42" hidden="1">'27. Survey'!$A$2:$E$106</definedName>
    <definedName name="Z_053BE130_58A3_4F3B_945A_C2EFB15C6264_.wvu.PrintArea" localSheetId="43" hidden="1">'28. Photogrammetry'!$A$2:$E$36</definedName>
    <definedName name="Z_053BE130_58A3_4F3B_945A_C2EFB15C6264_.wvu.PrintArea" localSheetId="44" hidden="1">'29. Mapping'!$A$2:$C$43</definedName>
    <definedName name="Z_053BE130_58A3_4F3B_945A_C2EFB15C6264_.wvu.PrintArea" localSheetId="5" hidden="1">'3. Project General Tasks'!$A$2:$E$30</definedName>
    <definedName name="Z_053BE130_58A3_4F3B_945A_C2EFB15C6264_.wvu.PrintArea" localSheetId="47" hidden="1">'31. Architecture Development'!$A$2:$E$174</definedName>
    <definedName name="Z_053BE130_58A3_4F3B_945A_C2EFB15C6264_.wvu.PrintArea" localSheetId="54" hidden="1">'35. Geotechnical'!$A$2:$E$66</definedName>
    <definedName name="Z_053BE130_58A3_4F3B_945A_C2EFB15C6264_.wvu.PrintArea" localSheetId="8" hidden="1">'4. Roadway Analysis'!$A$2:$C$30</definedName>
    <definedName name="Z_053BE130_58A3_4F3B_945A_C2EFB15C6264_.wvu.PrintArea" localSheetId="9" hidden="1">'5. Roadway Plans'!$A$2:$C$22</definedName>
    <definedName name="Z_053BE130_58A3_4F3B_945A_C2EFB15C6264_.wvu.PrintArea" localSheetId="10" hidden="1">'6a. Drainage Analysis'!$A$2:$F$41</definedName>
    <definedName name="Z_053BE130_58A3_4F3B_945A_C2EFB15C6264_.wvu.PrintArea" localSheetId="11" hidden="1">'6b. Drainage Plans'!$A$2:$C$10</definedName>
    <definedName name="Z_053BE130_58A3_4F3B_945A_C2EFB15C6264_.wvu.PrintArea" localSheetId="13" hidden="1">'6c. Selective C&amp;G'!$A$2:$C$13</definedName>
    <definedName name="Z_053BE130_58A3_4F3B_945A_C2EFB15C6264_.wvu.PrintArea" localSheetId="15" hidden="1">'7. Utilities'!$A$2:$E$19</definedName>
    <definedName name="Z_053BE130_58A3_4F3B_945A_C2EFB15C6264_.wvu.PrintArea" localSheetId="17" hidden="1">'8. Environmental Permits'!$A$2:$E$48</definedName>
    <definedName name="Z_053BE130_58A3_4F3B_945A_C2EFB15C6264_.wvu.PrintArea" localSheetId="19" hidden="1">'9. Str. -Summ Misc Tasks &amp; Dwgs'!$A$2:$E$31</definedName>
    <definedName name="Z_053BE130_58A3_4F3B_945A_C2EFB15C6264_.wvu.PrintArea" localSheetId="0" hidden="1">'Title Sheet'!$A$1:$A$16</definedName>
    <definedName name="Z_053BE130_58A3_4F3B_945A_C2EFB15C6264_.wvu.PrintTitles" localSheetId="20" hidden="1">'10. Structures-BDR'!$1:$3</definedName>
    <definedName name="Z_053BE130_58A3_4F3B_945A_C2EFB15C6264_.wvu.PrintTitles" localSheetId="21" hidden="1">'11. Str.-Temporary Bridge'!$1:$4</definedName>
    <definedName name="Z_053BE130_58A3_4F3B_945A_C2EFB15C6264_.wvu.PrintTitles" localSheetId="22" hidden="1">'12. Str.-Short Span Concrete'!$A:$B,'12. Str.-Short Span Concrete'!$1:$3</definedName>
    <definedName name="Z_053BE130_58A3_4F3B_945A_C2EFB15C6264_.wvu.PrintTitles" localSheetId="23" hidden="1">'13. Str.-Medium Span Concrete '!$1:$3</definedName>
    <definedName name="Z_053BE130_58A3_4F3B_945A_C2EFB15C6264_.wvu.PrintTitles" localSheetId="24" hidden="1">'14. Structures-Structural Steel'!$1:$3</definedName>
    <definedName name="Z_053BE130_58A3_4F3B_945A_C2EFB15C6264_.wvu.PrintTitles" localSheetId="25" hidden="1">'15.Str.-Segmental Concrete'!$1:$3</definedName>
    <definedName name="Z_053BE130_58A3_4F3B_945A_C2EFB15C6264_.wvu.PrintTitles" localSheetId="26" hidden="1">'16. Structures-Movable Span'!$1:$3</definedName>
    <definedName name="Z_053BE130_58A3_4F3B_945A_C2EFB15C6264_.wvu.PrintTitles" localSheetId="27" hidden="1">'17. Structures-Retaining Walls'!$1:$3</definedName>
    <definedName name="Z_053BE130_58A3_4F3B_945A_C2EFB15C6264_.wvu.PrintTitles" localSheetId="28" hidden="1">'18. Structures-Miscellaneous'!$A:$B,'18. Structures-Miscellaneous'!$1:$3</definedName>
    <definedName name="Z_053BE130_58A3_4F3B_945A_C2EFB15C6264_.wvu.PrintTitles" localSheetId="30" hidden="1">'19. Signing &amp; Marking Analysis'!$2:$2</definedName>
    <definedName name="Z_053BE130_58A3_4F3B_945A_C2EFB15C6264_.wvu.PrintTitles" localSheetId="31" hidden="1">'20. Signing &amp; Marking Plans'!$2:$2</definedName>
    <definedName name="Z_053BE130_58A3_4F3B_945A_C2EFB15C6264_.wvu.PrintTitles" localSheetId="33" hidden="1">'21. Signalization Analysis'!$2:$2</definedName>
    <definedName name="Z_053BE130_58A3_4F3B_945A_C2EFB15C6264_.wvu.PrintTitles" localSheetId="34" hidden="1">'22. Signalization Plans'!$2:$2</definedName>
    <definedName name="Z_053BE130_58A3_4F3B_945A_C2EFB15C6264_.wvu.PrintTitles" localSheetId="36" hidden="1">'23. Lighting Analysis'!$2:$2</definedName>
    <definedName name="Z_053BE130_58A3_4F3B_945A_C2EFB15C6264_.wvu.PrintTitles" localSheetId="37" hidden="1">'24. Lighting Plans'!$2:$2</definedName>
    <definedName name="Z_053BE130_58A3_4F3B_945A_C2EFB15C6264_.wvu.PrintTitles" localSheetId="39" hidden="1">'25. Landscape Analysis '!$2:$2</definedName>
    <definedName name="Z_053BE130_58A3_4F3B_945A_C2EFB15C6264_.wvu.PrintTitles" localSheetId="40" hidden="1">'26. Landscape Plans'!$2:$2</definedName>
    <definedName name="Z_053BE130_58A3_4F3B_945A_C2EFB15C6264_.wvu.PrintTitles" localSheetId="42" hidden="1">'27. Survey'!$2:$2</definedName>
    <definedName name="Z_053BE130_58A3_4F3B_945A_C2EFB15C6264_.wvu.PrintTitles" localSheetId="43" hidden="1">'28. Photogrammetry'!$2:$2</definedName>
    <definedName name="Z_053BE130_58A3_4F3B_945A_C2EFB15C6264_.wvu.PrintTitles" localSheetId="44" hidden="1">'29. Mapping'!$2:$2</definedName>
    <definedName name="Z_053BE130_58A3_4F3B_945A_C2EFB15C6264_.wvu.PrintTitles" localSheetId="5" hidden="1">'3. Project General Tasks'!$2:$2</definedName>
    <definedName name="Z_053BE130_58A3_4F3B_945A_C2EFB15C6264_.wvu.PrintTitles" localSheetId="47" hidden="1">'31. Architecture Development'!$2:$2</definedName>
    <definedName name="Z_053BE130_58A3_4F3B_945A_C2EFB15C6264_.wvu.PrintTitles" localSheetId="54" hidden="1">'35. Geotechnical'!$2:$2</definedName>
    <definedName name="Z_053BE130_58A3_4F3B_945A_C2EFB15C6264_.wvu.PrintTitles" localSheetId="8" hidden="1">'4. Roadway Analysis'!$2:$2</definedName>
    <definedName name="Z_053BE130_58A3_4F3B_945A_C2EFB15C6264_.wvu.PrintTitles" localSheetId="9" hidden="1">'5. Roadway Plans'!$2:$2</definedName>
    <definedName name="Z_053BE130_58A3_4F3B_945A_C2EFB15C6264_.wvu.PrintTitles" localSheetId="10" hidden="1">'6a. Drainage Analysis'!$2:$4</definedName>
    <definedName name="Z_053BE130_58A3_4F3B_945A_C2EFB15C6264_.wvu.PrintTitles" localSheetId="11" hidden="1">'6b. Drainage Plans'!$2:$2</definedName>
    <definedName name="Z_053BE130_58A3_4F3B_945A_C2EFB15C6264_.wvu.PrintTitles" localSheetId="13" hidden="1">'6c. Selective C&amp;G'!$2:$2</definedName>
    <definedName name="Z_053BE130_58A3_4F3B_945A_C2EFB15C6264_.wvu.PrintTitles" localSheetId="15" hidden="1">'7. Utilities'!$2:$2</definedName>
    <definedName name="Z_053BE130_58A3_4F3B_945A_C2EFB15C6264_.wvu.PrintTitles" localSheetId="17" hidden="1">'8. Environmental Permits'!$2:$2</definedName>
    <definedName name="Z_053BE130_58A3_4F3B_945A_C2EFB15C6264_.wvu.PrintTitles" localSheetId="19" hidden="1">'9. Str. -Summ Misc Tasks &amp; Dwgs'!$2:$2</definedName>
    <definedName name="Z_4FEDB3BD_111A_4B7D_AA97_E67173A5F707_.wvu.Cols" localSheetId="20" hidden="1">'10. Structures-BDR'!#REF!</definedName>
    <definedName name="Z_4FEDB3BD_111A_4B7D_AA97_E67173A5F707_.wvu.Cols" localSheetId="21" hidden="1">'11. Str.-Temporary Bridge'!#REF!</definedName>
    <definedName name="Z_4FEDB3BD_111A_4B7D_AA97_E67173A5F707_.wvu.Cols" localSheetId="22" hidden="1">'12. Str.-Short Span Concrete'!#REF!</definedName>
    <definedName name="Z_4FEDB3BD_111A_4B7D_AA97_E67173A5F707_.wvu.Cols" localSheetId="23" hidden="1">'13. Str.-Medium Span Concrete '!#REF!</definedName>
    <definedName name="Z_4FEDB3BD_111A_4B7D_AA97_E67173A5F707_.wvu.Cols" localSheetId="24" hidden="1">'14. Structures-Structural Steel'!#REF!</definedName>
    <definedName name="Z_4FEDB3BD_111A_4B7D_AA97_E67173A5F707_.wvu.Cols" localSheetId="25" hidden="1">'15.Str.-Segmental Concrete'!#REF!</definedName>
    <definedName name="Z_4FEDB3BD_111A_4B7D_AA97_E67173A5F707_.wvu.Cols" localSheetId="26" hidden="1">'16. Structures-Movable Span'!#REF!</definedName>
    <definedName name="Z_4FEDB3BD_111A_4B7D_AA97_E67173A5F707_.wvu.Cols" localSheetId="27" hidden="1">'17. Structures-Retaining Walls'!#REF!</definedName>
    <definedName name="Z_4FEDB3BD_111A_4B7D_AA97_E67173A5F707_.wvu.Cols" localSheetId="28" hidden="1">'18. Structures-Miscellaneous'!#REF!</definedName>
    <definedName name="Z_4FEDB3BD_111A_4B7D_AA97_E67173A5F707_.wvu.Cols" localSheetId="30" hidden="1">'19. Signing &amp; Marking Analysis'!#REF!</definedName>
    <definedName name="Z_4FEDB3BD_111A_4B7D_AA97_E67173A5F707_.wvu.Cols" localSheetId="31" hidden="1">'20. Signing &amp; Marking Plans'!#REF!</definedName>
    <definedName name="Z_4FEDB3BD_111A_4B7D_AA97_E67173A5F707_.wvu.Cols" localSheetId="33" hidden="1">'21. Signalization Analysis'!#REF!</definedName>
    <definedName name="Z_4FEDB3BD_111A_4B7D_AA97_E67173A5F707_.wvu.Cols" localSheetId="34" hidden="1">'22. Signalization Plans'!#REF!</definedName>
    <definedName name="Z_4FEDB3BD_111A_4B7D_AA97_E67173A5F707_.wvu.Cols" localSheetId="36" hidden="1">'23. Lighting Analysis'!#REF!</definedName>
    <definedName name="Z_4FEDB3BD_111A_4B7D_AA97_E67173A5F707_.wvu.Cols" localSheetId="37" hidden="1">'24. Lighting Plans'!#REF!</definedName>
    <definedName name="Z_4FEDB3BD_111A_4B7D_AA97_E67173A5F707_.wvu.Cols" localSheetId="39" hidden="1">'25. Landscape Analysis '!#REF!</definedName>
    <definedName name="Z_4FEDB3BD_111A_4B7D_AA97_E67173A5F707_.wvu.Cols" localSheetId="40" hidden="1">'26. Landscape Plans'!#REF!</definedName>
    <definedName name="Z_4FEDB3BD_111A_4B7D_AA97_E67173A5F707_.wvu.Cols" localSheetId="42" hidden="1">'27. Survey'!#REF!</definedName>
    <definedName name="Z_4FEDB3BD_111A_4B7D_AA97_E67173A5F707_.wvu.Cols" localSheetId="43" hidden="1">'28. Photogrammetry'!#REF!</definedName>
    <definedName name="Z_4FEDB3BD_111A_4B7D_AA97_E67173A5F707_.wvu.Cols" localSheetId="44" hidden="1">'29. Mapping'!#REF!</definedName>
    <definedName name="Z_4FEDB3BD_111A_4B7D_AA97_E67173A5F707_.wvu.Cols" localSheetId="5" hidden="1">'3. Project General Tasks'!#REF!</definedName>
    <definedName name="Z_4FEDB3BD_111A_4B7D_AA97_E67173A5F707_.wvu.Cols" localSheetId="47" hidden="1">'31. Architecture Development'!#REF!</definedName>
    <definedName name="Z_4FEDB3BD_111A_4B7D_AA97_E67173A5F707_.wvu.Cols" localSheetId="54" hidden="1">'35. Geotechnical'!#REF!</definedName>
    <definedName name="Z_4FEDB3BD_111A_4B7D_AA97_E67173A5F707_.wvu.Cols" localSheetId="8" hidden="1">'4. Roadway Analysis'!#REF!</definedName>
    <definedName name="Z_4FEDB3BD_111A_4B7D_AA97_E67173A5F707_.wvu.Cols" localSheetId="9" hidden="1">'5. Roadway Plans'!#REF!</definedName>
    <definedName name="Z_4FEDB3BD_111A_4B7D_AA97_E67173A5F707_.wvu.Cols" localSheetId="10" hidden="1">'6a. Drainage Analysis'!#REF!</definedName>
    <definedName name="Z_4FEDB3BD_111A_4B7D_AA97_E67173A5F707_.wvu.Cols" localSheetId="11" hidden="1">'6b. Drainage Plans'!#REF!</definedName>
    <definedName name="Z_4FEDB3BD_111A_4B7D_AA97_E67173A5F707_.wvu.Cols" localSheetId="13" hidden="1">'6c. Selective C&amp;G'!#REF!</definedName>
    <definedName name="Z_4FEDB3BD_111A_4B7D_AA97_E67173A5F707_.wvu.Cols" localSheetId="15" hidden="1">'7. Utilities'!#REF!</definedName>
    <definedName name="Z_4FEDB3BD_111A_4B7D_AA97_E67173A5F707_.wvu.Cols" localSheetId="17" hidden="1">'8. Environmental Permits'!#REF!</definedName>
    <definedName name="Z_4FEDB3BD_111A_4B7D_AA97_E67173A5F707_.wvu.Cols" localSheetId="19" hidden="1">'9. Str. -Summ Misc Tasks &amp; Dwgs'!#REF!</definedName>
    <definedName name="Z_4FEDB3BD_111A_4B7D_AA97_E67173A5F707_.wvu.PrintArea" localSheetId="20" hidden="1">'10. Structures-BDR'!$A$1:$E$47</definedName>
    <definedName name="Z_4FEDB3BD_111A_4B7D_AA97_E67173A5F707_.wvu.PrintArea" localSheetId="21" hidden="1">'11. Str.-Temporary Bridge'!$A$1:$E$16</definedName>
    <definedName name="Z_4FEDB3BD_111A_4B7D_AA97_E67173A5F707_.wvu.PrintArea" localSheetId="22" hidden="1">'12. Str.-Short Span Concrete'!$A$1:$E$41</definedName>
    <definedName name="Z_4FEDB3BD_111A_4B7D_AA97_E67173A5F707_.wvu.PrintArea" localSheetId="23" hidden="1">'13. Str.-Medium Span Concrete '!$A$1:$E$71</definedName>
    <definedName name="Z_4FEDB3BD_111A_4B7D_AA97_E67173A5F707_.wvu.PrintArea" localSheetId="24" hidden="1">'14. Structures-Structural Steel'!$A$1:$E$132</definedName>
    <definedName name="Z_4FEDB3BD_111A_4B7D_AA97_E67173A5F707_.wvu.PrintArea" localSheetId="25" hidden="1">'15.Str.-Segmental Concrete'!$A$1:$E$96</definedName>
    <definedName name="Z_4FEDB3BD_111A_4B7D_AA97_E67173A5F707_.wvu.PrintArea" localSheetId="26" hidden="1">'16. Structures-Movable Span'!$A$1:$E$122</definedName>
    <definedName name="Z_4FEDB3BD_111A_4B7D_AA97_E67173A5F707_.wvu.PrintArea" localSheetId="27" hidden="1">'17. Structures-Retaining Walls'!$A$1:$E$39</definedName>
    <definedName name="Z_4FEDB3BD_111A_4B7D_AA97_E67173A5F707_.wvu.PrintArea" localSheetId="28" hidden="1">'18. Structures-Miscellaneous'!$A$1:$E$47</definedName>
    <definedName name="Z_4FEDB3BD_111A_4B7D_AA97_E67173A5F707_.wvu.PrintArea" localSheetId="30" hidden="1">'19. Signing &amp; Marking Analysis'!$A$2:$E$20</definedName>
    <definedName name="Z_4FEDB3BD_111A_4B7D_AA97_E67173A5F707_.wvu.PrintArea" localSheetId="31" hidden="1">'20. Signing &amp; Marking Plans'!$A$2:$C$13</definedName>
    <definedName name="Z_4FEDB3BD_111A_4B7D_AA97_E67173A5F707_.wvu.PrintArea" localSheetId="33" hidden="1">'21. Signalization Analysis'!$A$2:$E$23</definedName>
    <definedName name="Z_4FEDB3BD_111A_4B7D_AA97_E67173A5F707_.wvu.PrintArea" localSheetId="34" hidden="1">'22. Signalization Plans'!$A$2:$C$17</definedName>
    <definedName name="Z_4FEDB3BD_111A_4B7D_AA97_E67173A5F707_.wvu.PrintArea" localSheetId="36" hidden="1">'23. Lighting Analysis'!$A$2:$E$21</definedName>
    <definedName name="Z_4FEDB3BD_111A_4B7D_AA97_E67173A5F707_.wvu.PrintArea" localSheetId="37" hidden="1">'24. Lighting Plans'!$A$2:$C$14</definedName>
    <definedName name="Z_4FEDB3BD_111A_4B7D_AA97_E67173A5F707_.wvu.PrintArea" localSheetId="39" hidden="1">'25. Landscape Analysis '!$A$2:$C$23</definedName>
    <definedName name="Z_4FEDB3BD_111A_4B7D_AA97_E67173A5F707_.wvu.PrintArea" localSheetId="40" hidden="1">'26. Landscape Plans'!$A$2:$C$16</definedName>
    <definedName name="Z_4FEDB3BD_111A_4B7D_AA97_E67173A5F707_.wvu.PrintArea" localSheetId="42" hidden="1">'27. Survey'!$A$2:$E$106</definedName>
    <definedName name="Z_4FEDB3BD_111A_4B7D_AA97_E67173A5F707_.wvu.PrintArea" localSheetId="43" hidden="1">'28. Photogrammetry'!$A$2:$E$36</definedName>
    <definedName name="Z_4FEDB3BD_111A_4B7D_AA97_E67173A5F707_.wvu.PrintArea" localSheetId="44" hidden="1">'29. Mapping'!$A$2:$C$43</definedName>
    <definedName name="Z_4FEDB3BD_111A_4B7D_AA97_E67173A5F707_.wvu.PrintArea" localSheetId="5" hidden="1">'3. Project General Tasks'!$A$2:$E$30</definedName>
    <definedName name="Z_4FEDB3BD_111A_4B7D_AA97_E67173A5F707_.wvu.PrintArea" localSheetId="47" hidden="1">'31. Architecture Development'!$A$2:$E$174</definedName>
    <definedName name="Z_4FEDB3BD_111A_4B7D_AA97_E67173A5F707_.wvu.PrintArea" localSheetId="49" hidden="1">'32. Noise Barrier Assessment'!$A$2:$E$14</definedName>
    <definedName name="Z_4FEDB3BD_111A_4B7D_AA97_E67173A5F707_.wvu.PrintArea" localSheetId="54" hidden="1">'35. Geotechnical'!$A$2:$E$66</definedName>
    <definedName name="Z_4FEDB3BD_111A_4B7D_AA97_E67173A5F707_.wvu.PrintArea" localSheetId="8" hidden="1">'4. Roadway Analysis'!$A$2:$C$30</definedName>
    <definedName name="Z_4FEDB3BD_111A_4B7D_AA97_E67173A5F707_.wvu.PrintArea" localSheetId="9" hidden="1">'5. Roadway Plans'!$A$2:$C$22</definedName>
    <definedName name="Z_4FEDB3BD_111A_4B7D_AA97_E67173A5F707_.wvu.PrintArea" localSheetId="10" hidden="1">'6a. Drainage Analysis'!$A$2:$F$41</definedName>
    <definedName name="Z_4FEDB3BD_111A_4B7D_AA97_E67173A5F707_.wvu.PrintArea" localSheetId="11" hidden="1">'6b. Drainage Plans'!$A$2:$C$10</definedName>
    <definedName name="Z_4FEDB3BD_111A_4B7D_AA97_E67173A5F707_.wvu.PrintArea" localSheetId="13" hidden="1">'6c. Selective C&amp;G'!$A$2:$C$13</definedName>
    <definedName name="Z_4FEDB3BD_111A_4B7D_AA97_E67173A5F707_.wvu.PrintArea" localSheetId="15" hidden="1">'7. Utilities'!$A$2:$E$19</definedName>
    <definedName name="Z_4FEDB3BD_111A_4B7D_AA97_E67173A5F707_.wvu.PrintArea" localSheetId="17" hidden="1">'8. Environmental Permits'!$A$2:$E$48</definedName>
    <definedName name="Z_4FEDB3BD_111A_4B7D_AA97_E67173A5F707_.wvu.PrintArea" localSheetId="19" hidden="1">'9. Str. -Summ Misc Tasks &amp; Dwgs'!$A$2:$E$31</definedName>
    <definedName name="Z_4FEDB3BD_111A_4B7D_AA97_E67173A5F707_.wvu.PrintArea" localSheetId="46" hidden="1">'Architecture Guidelines'!$A$1:$A$56</definedName>
    <definedName name="Z_4FEDB3BD_111A_4B7D_AA97_E67173A5F707_.wvu.PrintArea" localSheetId="16" hidden="1">'Environmental Permit Guidelines'!$A$1:$A$64</definedName>
    <definedName name="Z_4FEDB3BD_111A_4B7D_AA97_E67173A5F707_.wvu.PrintArea" localSheetId="53" hidden="1">'Geotechnical Guidelines'!$A$1:$A$19</definedName>
    <definedName name="Z_4FEDB3BD_111A_4B7D_AA97_E67173A5F707_.wvu.PrintArea" localSheetId="2" hidden="1">Introduction!$A$1:$A$12</definedName>
    <definedName name="Z_4FEDB3BD_111A_4B7D_AA97_E67173A5F707_.wvu.PrintArea" localSheetId="35" hidden="1">'Lighting Guidelines'!$A$1:$A$36</definedName>
    <definedName name="Z_4FEDB3BD_111A_4B7D_AA97_E67173A5F707_.wvu.PrintArea" localSheetId="6" hidden="1">'Roadway Guidelines'!$A$1:$A$44</definedName>
    <definedName name="Z_4FEDB3BD_111A_4B7D_AA97_E67173A5F707_.wvu.PrintArea" localSheetId="32" hidden="1">'Signalization Guidelines'!$A$1:$A$38</definedName>
    <definedName name="Z_4FEDB3BD_111A_4B7D_AA97_E67173A5F707_.wvu.PrintArea" localSheetId="29" hidden="1">'Signing &amp; Marking Guidelines'!$A$1:$A$38</definedName>
    <definedName name="Z_4FEDB3BD_111A_4B7D_AA97_E67173A5F707_.wvu.PrintArea" localSheetId="18" hidden="1">'Structures-Guidelines'!$A$1:$A$61</definedName>
    <definedName name="Z_4FEDB3BD_111A_4B7D_AA97_E67173A5F707_.wvu.PrintArea" localSheetId="41" hidden="1">'Survey Guidelines'!$A$1:$A$48</definedName>
    <definedName name="Z_4FEDB3BD_111A_4B7D_AA97_E67173A5F707_.wvu.PrintArea" localSheetId="0" hidden="1">'Title Sheet'!$A$1:$A$16</definedName>
    <definedName name="Z_4FEDB3BD_111A_4B7D_AA97_E67173A5F707_.wvu.PrintArea" localSheetId="1" hidden="1">TOC!$A$1:$D$38</definedName>
    <definedName name="Z_4FEDB3BD_111A_4B7D_AA97_E67173A5F707_.wvu.PrintArea" localSheetId="14" hidden="1">'Utility Guidelines'!$A$1:$A$46</definedName>
    <definedName name="Z_4FEDB3BD_111A_4B7D_AA97_E67173A5F707_.wvu.PrintTitles" localSheetId="20" hidden="1">'10. Structures-BDR'!$1:$3</definedName>
    <definedName name="Z_4FEDB3BD_111A_4B7D_AA97_E67173A5F707_.wvu.PrintTitles" localSheetId="21" hidden="1">'11. Str.-Temporary Bridge'!$1:$4</definedName>
    <definedName name="Z_4FEDB3BD_111A_4B7D_AA97_E67173A5F707_.wvu.PrintTitles" localSheetId="22" hidden="1">'12. Str.-Short Span Concrete'!$A:$B,'12. Str.-Short Span Concrete'!$1:$3</definedName>
    <definedName name="Z_4FEDB3BD_111A_4B7D_AA97_E67173A5F707_.wvu.PrintTitles" localSheetId="23" hidden="1">'13. Str.-Medium Span Concrete '!$1:$3</definedName>
    <definedName name="Z_4FEDB3BD_111A_4B7D_AA97_E67173A5F707_.wvu.PrintTitles" localSheetId="24" hidden="1">'14. Structures-Structural Steel'!$1:$3</definedName>
    <definedName name="Z_4FEDB3BD_111A_4B7D_AA97_E67173A5F707_.wvu.PrintTitles" localSheetId="25" hidden="1">'15.Str.-Segmental Concrete'!$1:$3</definedName>
    <definedName name="Z_4FEDB3BD_111A_4B7D_AA97_E67173A5F707_.wvu.PrintTitles" localSheetId="26" hidden="1">'16. Structures-Movable Span'!$1:$3</definedName>
    <definedName name="Z_4FEDB3BD_111A_4B7D_AA97_E67173A5F707_.wvu.PrintTitles" localSheetId="27" hidden="1">'17. Structures-Retaining Walls'!$1:$3</definedName>
    <definedName name="Z_4FEDB3BD_111A_4B7D_AA97_E67173A5F707_.wvu.PrintTitles" localSheetId="28" hidden="1">'18. Structures-Miscellaneous'!$A:$B,'18. Structures-Miscellaneous'!$1:$3</definedName>
    <definedName name="Z_4FEDB3BD_111A_4B7D_AA97_E67173A5F707_.wvu.PrintTitles" localSheetId="30" hidden="1">'19. Signing &amp; Marking Analysis'!$2:$2</definedName>
    <definedName name="Z_4FEDB3BD_111A_4B7D_AA97_E67173A5F707_.wvu.PrintTitles" localSheetId="31" hidden="1">'20. Signing &amp; Marking Plans'!$2:$2</definedName>
    <definedName name="Z_4FEDB3BD_111A_4B7D_AA97_E67173A5F707_.wvu.PrintTitles" localSheetId="33" hidden="1">'21. Signalization Analysis'!$2:$2</definedName>
    <definedName name="Z_4FEDB3BD_111A_4B7D_AA97_E67173A5F707_.wvu.PrintTitles" localSheetId="34" hidden="1">'22. Signalization Plans'!$2:$2</definedName>
    <definedName name="Z_4FEDB3BD_111A_4B7D_AA97_E67173A5F707_.wvu.PrintTitles" localSheetId="36" hidden="1">'23. Lighting Analysis'!$2:$2</definedName>
    <definedName name="Z_4FEDB3BD_111A_4B7D_AA97_E67173A5F707_.wvu.PrintTitles" localSheetId="37" hidden="1">'24. Lighting Plans'!$2:$2</definedName>
    <definedName name="Z_4FEDB3BD_111A_4B7D_AA97_E67173A5F707_.wvu.PrintTitles" localSheetId="39" hidden="1">'25. Landscape Analysis '!$2:$2</definedName>
    <definedName name="Z_4FEDB3BD_111A_4B7D_AA97_E67173A5F707_.wvu.PrintTitles" localSheetId="40" hidden="1">'26. Landscape Plans'!$2:$2</definedName>
    <definedName name="Z_4FEDB3BD_111A_4B7D_AA97_E67173A5F707_.wvu.PrintTitles" localSheetId="42" hidden="1">'27. Survey'!$2:$2</definedName>
    <definedName name="Z_4FEDB3BD_111A_4B7D_AA97_E67173A5F707_.wvu.PrintTitles" localSheetId="43" hidden="1">'28. Photogrammetry'!$2:$2</definedName>
    <definedName name="Z_4FEDB3BD_111A_4B7D_AA97_E67173A5F707_.wvu.PrintTitles" localSheetId="44" hidden="1">'29. Mapping'!$2:$2</definedName>
    <definedName name="Z_4FEDB3BD_111A_4B7D_AA97_E67173A5F707_.wvu.PrintTitles" localSheetId="5" hidden="1">'3. Project General Tasks'!$2:$2</definedName>
    <definedName name="Z_4FEDB3BD_111A_4B7D_AA97_E67173A5F707_.wvu.PrintTitles" localSheetId="47" hidden="1">'31. Architecture Development'!$2:$2</definedName>
    <definedName name="Z_4FEDB3BD_111A_4B7D_AA97_E67173A5F707_.wvu.PrintTitles" localSheetId="54" hidden="1">'35. Geotechnical'!$2:$2</definedName>
    <definedName name="Z_4FEDB3BD_111A_4B7D_AA97_E67173A5F707_.wvu.PrintTitles" localSheetId="8" hidden="1">'4. Roadway Analysis'!$2:$2</definedName>
    <definedName name="Z_4FEDB3BD_111A_4B7D_AA97_E67173A5F707_.wvu.PrintTitles" localSheetId="9" hidden="1">'5. Roadway Plans'!$2:$2</definedName>
    <definedName name="Z_4FEDB3BD_111A_4B7D_AA97_E67173A5F707_.wvu.PrintTitles" localSheetId="10" hidden="1">'6a. Drainage Analysis'!$2:$4</definedName>
    <definedName name="Z_4FEDB3BD_111A_4B7D_AA97_E67173A5F707_.wvu.PrintTitles" localSheetId="11" hidden="1">'6b. Drainage Plans'!$2:$2</definedName>
    <definedName name="Z_4FEDB3BD_111A_4B7D_AA97_E67173A5F707_.wvu.PrintTitles" localSheetId="13" hidden="1">'6c. Selective C&amp;G'!$2:$2</definedName>
    <definedName name="Z_4FEDB3BD_111A_4B7D_AA97_E67173A5F707_.wvu.PrintTitles" localSheetId="15" hidden="1">'7. Utilities'!$2:$2</definedName>
    <definedName name="Z_4FEDB3BD_111A_4B7D_AA97_E67173A5F707_.wvu.PrintTitles" localSheetId="17" hidden="1">'8. Environmental Permits'!$2:$2</definedName>
    <definedName name="Z_4FEDB3BD_111A_4B7D_AA97_E67173A5F707_.wvu.PrintTitles" localSheetId="19" hidden="1">'9. Str. -Summ Misc Tasks &amp; Dwgs'!$2:$2</definedName>
    <definedName name="Z_60E4326C_3B00_4FE4_9F0D_DCD952285ADA_.wvu.PrintArea" localSheetId="4" hidden="1">'Project Information'!$A$1:$N$24</definedName>
    <definedName name="Z_7AB36DFF_8FA7_4277_BB8E_931BBD7445B5_.wvu.PrintArea" localSheetId="4" hidden="1">'Project Information'!$A$1:$N$24</definedName>
    <definedName name="Z_960FB4AF_B150_4523_972C_3F7C93F049F3_.wvu.Cols" localSheetId="20" hidden="1">'10. Structures-BDR'!#REF!</definedName>
    <definedName name="Z_960FB4AF_B150_4523_972C_3F7C93F049F3_.wvu.Cols" localSheetId="21" hidden="1">'11. Str.-Temporary Bridge'!#REF!</definedName>
    <definedName name="Z_960FB4AF_B150_4523_972C_3F7C93F049F3_.wvu.Cols" localSheetId="22" hidden="1">'12. Str.-Short Span Concrete'!#REF!</definedName>
    <definedName name="Z_960FB4AF_B150_4523_972C_3F7C93F049F3_.wvu.Cols" localSheetId="23" hidden="1">'13. Str.-Medium Span Concrete '!#REF!</definedName>
    <definedName name="Z_960FB4AF_B150_4523_972C_3F7C93F049F3_.wvu.Cols" localSheetId="24" hidden="1">'14. Structures-Structural Steel'!#REF!</definedName>
    <definedName name="Z_960FB4AF_B150_4523_972C_3F7C93F049F3_.wvu.Cols" localSheetId="25" hidden="1">'15.Str.-Segmental Concrete'!#REF!</definedName>
    <definedName name="Z_960FB4AF_B150_4523_972C_3F7C93F049F3_.wvu.Cols" localSheetId="26" hidden="1">'16. Structures-Movable Span'!#REF!</definedName>
    <definedName name="Z_960FB4AF_B150_4523_972C_3F7C93F049F3_.wvu.Cols" localSheetId="27" hidden="1">'17. Structures-Retaining Walls'!#REF!</definedName>
    <definedName name="Z_960FB4AF_B150_4523_972C_3F7C93F049F3_.wvu.Cols" localSheetId="28" hidden="1">'18. Structures-Miscellaneous'!#REF!</definedName>
    <definedName name="Z_960FB4AF_B150_4523_972C_3F7C93F049F3_.wvu.Cols" localSheetId="30" hidden="1">'19. Signing &amp; Marking Analysis'!#REF!</definedName>
    <definedName name="Z_960FB4AF_B150_4523_972C_3F7C93F049F3_.wvu.Cols" localSheetId="31" hidden="1">'20. Signing &amp; Marking Plans'!#REF!</definedName>
    <definedName name="Z_960FB4AF_B150_4523_972C_3F7C93F049F3_.wvu.Cols" localSheetId="33" hidden="1">'21. Signalization Analysis'!#REF!</definedName>
    <definedName name="Z_960FB4AF_B150_4523_972C_3F7C93F049F3_.wvu.Cols" localSheetId="34" hidden="1">'22. Signalization Plans'!#REF!</definedName>
    <definedName name="Z_960FB4AF_B150_4523_972C_3F7C93F049F3_.wvu.Cols" localSheetId="36" hidden="1">'23. Lighting Analysis'!#REF!</definedName>
    <definedName name="Z_960FB4AF_B150_4523_972C_3F7C93F049F3_.wvu.Cols" localSheetId="37" hidden="1">'24. Lighting Plans'!#REF!</definedName>
    <definedName name="Z_960FB4AF_B150_4523_972C_3F7C93F049F3_.wvu.Cols" localSheetId="39" hidden="1">'25. Landscape Analysis '!#REF!</definedName>
    <definedName name="Z_960FB4AF_B150_4523_972C_3F7C93F049F3_.wvu.Cols" localSheetId="40" hidden="1">'26. Landscape Plans'!#REF!</definedName>
    <definedName name="Z_960FB4AF_B150_4523_972C_3F7C93F049F3_.wvu.Cols" localSheetId="42" hidden="1">'27. Survey'!#REF!</definedName>
    <definedName name="Z_960FB4AF_B150_4523_972C_3F7C93F049F3_.wvu.Cols" localSheetId="43" hidden="1">'28. Photogrammetry'!#REF!</definedName>
    <definedName name="Z_960FB4AF_B150_4523_972C_3F7C93F049F3_.wvu.Cols" localSheetId="44" hidden="1">'29. Mapping'!#REF!</definedName>
    <definedName name="Z_960FB4AF_B150_4523_972C_3F7C93F049F3_.wvu.Cols" localSheetId="5" hidden="1">'3. Project General Tasks'!#REF!</definedName>
    <definedName name="Z_960FB4AF_B150_4523_972C_3F7C93F049F3_.wvu.Cols" localSheetId="47" hidden="1">'31. Architecture Development'!#REF!</definedName>
    <definedName name="Z_960FB4AF_B150_4523_972C_3F7C93F049F3_.wvu.Cols" localSheetId="54" hidden="1">'35. Geotechnical'!#REF!</definedName>
    <definedName name="Z_960FB4AF_B150_4523_972C_3F7C93F049F3_.wvu.Cols" localSheetId="8" hidden="1">'4. Roadway Analysis'!#REF!</definedName>
    <definedName name="Z_960FB4AF_B150_4523_972C_3F7C93F049F3_.wvu.Cols" localSheetId="9" hidden="1">'5. Roadway Plans'!#REF!</definedName>
    <definedName name="Z_960FB4AF_B150_4523_972C_3F7C93F049F3_.wvu.Cols" localSheetId="10" hidden="1">'6a. Drainage Analysis'!#REF!</definedName>
    <definedName name="Z_960FB4AF_B150_4523_972C_3F7C93F049F3_.wvu.Cols" localSheetId="11" hidden="1">'6b. Drainage Plans'!#REF!</definedName>
    <definedName name="Z_960FB4AF_B150_4523_972C_3F7C93F049F3_.wvu.Cols" localSheetId="13" hidden="1">'6c. Selective C&amp;G'!#REF!</definedName>
    <definedName name="Z_960FB4AF_B150_4523_972C_3F7C93F049F3_.wvu.Cols" localSheetId="15" hidden="1">'7. Utilities'!#REF!</definedName>
    <definedName name="Z_960FB4AF_B150_4523_972C_3F7C93F049F3_.wvu.Cols" localSheetId="17" hidden="1">'8. Environmental Permits'!#REF!</definedName>
    <definedName name="Z_960FB4AF_B150_4523_972C_3F7C93F049F3_.wvu.Cols" localSheetId="19" hidden="1">'9. Str. -Summ Misc Tasks &amp; Dwgs'!#REF!</definedName>
    <definedName name="Z_960FB4AF_B150_4523_972C_3F7C93F049F3_.wvu.PrintArea" localSheetId="20" hidden="1">'10. Structures-BDR'!$A$1:$E$47</definedName>
    <definedName name="Z_960FB4AF_B150_4523_972C_3F7C93F049F3_.wvu.PrintArea" localSheetId="21" hidden="1">'11. Str.-Temporary Bridge'!$A$1:$E$16</definedName>
    <definedName name="Z_960FB4AF_B150_4523_972C_3F7C93F049F3_.wvu.PrintArea" localSheetId="22" hidden="1">'12. Str.-Short Span Concrete'!$A$1:$E$41</definedName>
    <definedName name="Z_960FB4AF_B150_4523_972C_3F7C93F049F3_.wvu.PrintArea" localSheetId="23" hidden="1">'13. Str.-Medium Span Concrete '!$A$1:$E$71</definedName>
    <definedName name="Z_960FB4AF_B150_4523_972C_3F7C93F049F3_.wvu.PrintArea" localSheetId="24" hidden="1">'14. Structures-Structural Steel'!$A$1:$E$132</definedName>
    <definedName name="Z_960FB4AF_B150_4523_972C_3F7C93F049F3_.wvu.PrintArea" localSheetId="25" hidden="1">'15.Str.-Segmental Concrete'!$A$1:$E$96</definedName>
    <definedName name="Z_960FB4AF_B150_4523_972C_3F7C93F049F3_.wvu.PrintArea" localSheetId="26" hidden="1">'16. Structures-Movable Span'!$A$1:$E$122</definedName>
    <definedName name="Z_960FB4AF_B150_4523_972C_3F7C93F049F3_.wvu.PrintArea" localSheetId="27" hidden="1">'17. Structures-Retaining Walls'!$A$1:$E$39</definedName>
    <definedName name="Z_960FB4AF_B150_4523_972C_3F7C93F049F3_.wvu.PrintArea" localSheetId="28" hidden="1">'18. Structures-Miscellaneous'!$A$1:$E$47</definedName>
    <definedName name="Z_960FB4AF_B150_4523_972C_3F7C93F049F3_.wvu.PrintArea" localSheetId="30" hidden="1">'19. Signing &amp; Marking Analysis'!$A$2:$E$20</definedName>
    <definedName name="Z_960FB4AF_B150_4523_972C_3F7C93F049F3_.wvu.PrintArea" localSheetId="31" hidden="1">'20. Signing &amp; Marking Plans'!$A$2:$C$13</definedName>
    <definedName name="Z_960FB4AF_B150_4523_972C_3F7C93F049F3_.wvu.PrintArea" localSheetId="33" hidden="1">'21. Signalization Analysis'!$A$2:$E$23</definedName>
    <definedName name="Z_960FB4AF_B150_4523_972C_3F7C93F049F3_.wvu.PrintArea" localSheetId="34" hidden="1">'22. Signalization Plans'!$A$2:$C$17</definedName>
    <definedName name="Z_960FB4AF_B150_4523_972C_3F7C93F049F3_.wvu.PrintArea" localSheetId="36" hidden="1">'23. Lighting Analysis'!$A$2:$E$21</definedName>
    <definedName name="Z_960FB4AF_B150_4523_972C_3F7C93F049F3_.wvu.PrintArea" localSheetId="37" hidden="1">'24. Lighting Plans'!$A$2:$C$14</definedName>
    <definedName name="Z_960FB4AF_B150_4523_972C_3F7C93F049F3_.wvu.PrintArea" localSheetId="39" hidden="1">'25. Landscape Analysis '!$A$2:$C$23</definedName>
    <definedName name="Z_960FB4AF_B150_4523_972C_3F7C93F049F3_.wvu.PrintArea" localSheetId="40" hidden="1">'26. Landscape Plans'!$A$2:$C$16</definedName>
    <definedName name="Z_960FB4AF_B150_4523_972C_3F7C93F049F3_.wvu.PrintArea" localSheetId="42" hidden="1">'27. Survey'!$A$2:$E$106</definedName>
    <definedName name="Z_960FB4AF_B150_4523_972C_3F7C93F049F3_.wvu.PrintArea" localSheetId="43" hidden="1">'28. Photogrammetry'!$A$2:$E$36</definedName>
    <definedName name="Z_960FB4AF_B150_4523_972C_3F7C93F049F3_.wvu.PrintArea" localSheetId="44" hidden="1">'29. Mapping'!$A$2:$C$43</definedName>
    <definedName name="Z_960FB4AF_B150_4523_972C_3F7C93F049F3_.wvu.PrintArea" localSheetId="5" hidden="1">'3. Project General Tasks'!$A$2:$E$30</definedName>
    <definedName name="Z_960FB4AF_B150_4523_972C_3F7C93F049F3_.wvu.PrintArea" localSheetId="47" hidden="1">'31. Architecture Development'!$A$2:$E$174</definedName>
    <definedName name="Z_960FB4AF_B150_4523_972C_3F7C93F049F3_.wvu.PrintArea" localSheetId="49" hidden="1">'32. Noise Barrier Assessment'!$A$2:$E$14</definedName>
    <definedName name="Z_960FB4AF_B150_4523_972C_3F7C93F049F3_.wvu.PrintArea" localSheetId="54" hidden="1">'35. Geotechnical'!$A$2:$E$66</definedName>
    <definedName name="Z_960FB4AF_B150_4523_972C_3F7C93F049F3_.wvu.PrintArea" localSheetId="8" hidden="1">'4. Roadway Analysis'!$A$2:$C$30</definedName>
    <definedName name="Z_960FB4AF_B150_4523_972C_3F7C93F049F3_.wvu.PrintArea" localSheetId="9" hidden="1">'5. Roadway Plans'!$A$2:$C$22</definedName>
    <definedName name="Z_960FB4AF_B150_4523_972C_3F7C93F049F3_.wvu.PrintArea" localSheetId="10" hidden="1">'6a. Drainage Analysis'!$A$2:$F$41</definedName>
    <definedName name="Z_960FB4AF_B150_4523_972C_3F7C93F049F3_.wvu.PrintArea" localSheetId="11" hidden="1">'6b. Drainage Plans'!$A$2:$C$10</definedName>
    <definedName name="Z_960FB4AF_B150_4523_972C_3F7C93F049F3_.wvu.PrintArea" localSheetId="13" hidden="1">'6c. Selective C&amp;G'!$A$2:$C$13</definedName>
    <definedName name="Z_960FB4AF_B150_4523_972C_3F7C93F049F3_.wvu.PrintArea" localSheetId="15" hidden="1">'7. Utilities'!$A$2:$E$19</definedName>
    <definedName name="Z_960FB4AF_B150_4523_972C_3F7C93F049F3_.wvu.PrintArea" localSheetId="17" hidden="1">'8. Environmental Permits'!$A$2:$E$48</definedName>
    <definedName name="Z_960FB4AF_B150_4523_972C_3F7C93F049F3_.wvu.PrintArea" localSheetId="19" hidden="1">'9. Str. -Summ Misc Tasks &amp; Dwgs'!$A$2:$E$31</definedName>
    <definedName name="Z_960FB4AF_B150_4523_972C_3F7C93F049F3_.wvu.PrintArea" localSheetId="46" hidden="1">'Architecture Guidelines'!$A$1:$A$56</definedName>
    <definedName name="Z_960FB4AF_B150_4523_972C_3F7C93F049F3_.wvu.PrintArea" localSheetId="16" hidden="1">'Environmental Permit Guidelines'!$A$1:$A$64</definedName>
    <definedName name="Z_960FB4AF_B150_4523_972C_3F7C93F049F3_.wvu.PrintArea" localSheetId="53" hidden="1">'Geotechnical Guidelines'!$A$1:$A$19</definedName>
    <definedName name="Z_960FB4AF_B150_4523_972C_3F7C93F049F3_.wvu.PrintArea" localSheetId="2" hidden="1">Introduction!$A$1:$A$12</definedName>
    <definedName name="Z_960FB4AF_B150_4523_972C_3F7C93F049F3_.wvu.PrintArea" localSheetId="35" hidden="1">'Lighting Guidelines'!$A$1:$A$36</definedName>
    <definedName name="Z_960FB4AF_B150_4523_972C_3F7C93F049F3_.wvu.PrintArea" localSheetId="6" hidden="1">'Roadway Guidelines'!$A$1:$A$44</definedName>
    <definedName name="Z_960FB4AF_B150_4523_972C_3F7C93F049F3_.wvu.PrintArea" localSheetId="32" hidden="1">'Signalization Guidelines'!$A$1:$A$38</definedName>
    <definedName name="Z_960FB4AF_B150_4523_972C_3F7C93F049F3_.wvu.PrintArea" localSheetId="29" hidden="1">'Signing &amp; Marking Guidelines'!$A$1:$A$38</definedName>
    <definedName name="Z_960FB4AF_B150_4523_972C_3F7C93F049F3_.wvu.PrintArea" localSheetId="18" hidden="1">'Structures-Guidelines'!$A$1:$A$61</definedName>
    <definedName name="Z_960FB4AF_B150_4523_972C_3F7C93F049F3_.wvu.PrintArea" localSheetId="41" hidden="1">'Survey Guidelines'!$A$1:$A$48</definedName>
    <definedName name="Z_960FB4AF_B150_4523_972C_3F7C93F049F3_.wvu.PrintArea" localSheetId="0" hidden="1">'Title Sheet'!$A$1:$A$16</definedName>
    <definedName name="Z_960FB4AF_B150_4523_972C_3F7C93F049F3_.wvu.PrintArea" localSheetId="1" hidden="1">TOC!$A$1:$D$38</definedName>
    <definedName name="Z_960FB4AF_B150_4523_972C_3F7C93F049F3_.wvu.PrintArea" localSheetId="14" hidden="1">'Utility Guidelines'!$A$1:$A$46</definedName>
    <definedName name="Z_960FB4AF_B150_4523_972C_3F7C93F049F3_.wvu.PrintTitles" localSheetId="20" hidden="1">'10. Structures-BDR'!$1:$3</definedName>
    <definedName name="Z_960FB4AF_B150_4523_972C_3F7C93F049F3_.wvu.PrintTitles" localSheetId="21" hidden="1">'11. Str.-Temporary Bridge'!$1:$4</definedName>
    <definedName name="Z_960FB4AF_B150_4523_972C_3F7C93F049F3_.wvu.PrintTitles" localSheetId="22" hidden="1">'12. Str.-Short Span Concrete'!$A:$B,'12. Str.-Short Span Concrete'!$1:$3</definedName>
    <definedName name="Z_960FB4AF_B150_4523_972C_3F7C93F049F3_.wvu.PrintTitles" localSheetId="23" hidden="1">'13. Str.-Medium Span Concrete '!$1:$3</definedName>
    <definedName name="Z_960FB4AF_B150_4523_972C_3F7C93F049F3_.wvu.PrintTitles" localSheetId="24" hidden="1">'14. Structures-Structural Steel'!$1:$3</definedName>
    <definedName name="Z_960FB4AF_B150_4523_972C_3F7C93F049F3_.wvu.PrintTitles" localSheetId="25" hidden="1">'15.Str.-Segmental Concrete'!$1:$3</definedName>
    <definedName name="Z_960FB4AF_B150_4523_972C_3F7C93F049F3_.wvu.PrintTitles" localSheetId="26" hidden="1">'16. Structures-Movable Span'!$1:$3</definedName>
    <definedName name="Z_960FB4AF_B150_4523_972C_3F7C93F049F3_.wvu.PrintTitles" localSheetId="27" hidden="1">'17. Structures-Retaining Walls'!$1:$3</definedName>
    <definedName name="Z_960FB4AF_B150_4523_972C_3F7C93F049F3_.wvu.PrintTitles" localSheetId="28" hidden="1">'18. Structures-Miscellaneous'!$A:$B,'18. Structures-Miscellaneous'!$1:$3</definedName>
    <definedName name="Z_960FB4AF_B150_4523_972C_3F7C93F049F3_.wvu.PrintTitles" localSheetId="30" hidden="1">'19. Signing &amp; Marking Analysis'!$2:$2</definedName>
    <definedName name="Z_960FB4AF_B150_4523_972C_3F7C93F049F3_.wvu.PrintTitles" localSheetId="31" hidden="1">'20. Signing &amp; Marking Plans'!$2:$2</definedName>
    <definedName name="Z_960FB4AF_B150_4523_972C_3F7C93F049F3_.wvu.PrintTitles" localSheetId="33" hidden="1">'21. Signalization Analysis'!$2:$2</definedName>
    <definedName name="Z_960FB4AF_B150_4523_972C_3F7C93F049F3_.wvu.PrintTitles" localSheetId="34" hidden="1">'22. Signalization Plans'!$2:$2</definedName>
    <definedName name="Z_960FB4AF_B150_4523_972C_3F7C93F049F3_.wvu.PrintTitles" localSheetId="36" hidden="1">'23. Lighting Analysis'!$2:$2</definedName>
    <definedName name="Z_960FB4AF_B150_4523_972C_3F7C93F049F3_.wvu.PrintTitles" localSheetId="37" hidden="1">'24. Lighting Plans'!$2:$2</definedName>
    <definedName name="Z_960FB4AF_B150_4523_972C_3F7C93F049F3_.wvu.PrintTitles" localSheetId="39" hidden="1">'25. Landscape Analysis '!$2:$2</definedName>
    <definedName name="Z_960FB4AF_B150_4523_972C_3F7C93F049F3_.wvu.PrintTitles" localSheetId="40" hidden="1">'26. Landscape Plans'!$2:$2</definedName>
    <definedName name="Z_960FB4AF_B150_4523_972C_3F7C93F049F3_.wvu.PrintTitles" localSheetId="42" hidden="1">'27. Survey'!$2:$2</definedName>
    <definedName name="Z_960FB4AF_B150_4523_972C_3F7C93F049F3_.wvu.PrintTitles" localSheetId="43" hidden="1">'28. Photogrammetry'!$2:$2</definedName>
    <definedName name="Z_960FB4AF_B150_4523_972C_3F7C93F049F3_.wvu.PrintTitles" localSheetId="44" hidden="1">'29. Mapping'!$2:$2</definedName>
    <definedName name="Z_960FB4AF_B150_4523_972C_3F7C93F049F3_.wvu.PrintTitles" localSheetId="5" hidden="1">'3. Project General Tasks'!$2:$2</definedName>
    <definedName name="Z_960FB4AF_B150_4523_972C_3F7C93F049F3_.wvu.PrintTitles" localSheetId="47" hidden="1">'31. Architecture Development'!$2:$2</definedName>
    <definedName name="Z_960FB4AF_B150_4523_972C_3F7C93F049F3_.wvu.PrintTitles" localSheetId="54" hidden="1">'35. Geotechnical'!$2:$2</definedName>
    <definedName name="Z_960FB4AF_B150_4523_972C_3F7C93F049F3_.wvu.PrintTitles" localSheetId="8" hidden="1">'4. Roadway Analysis'!$2:$2</definedName>
    <definedName name="Z_960FB4AF_B150_4523_972C_3F7C93F049F3_.wvu.PrintTitles" localSheetId="9" hidden="1">'5. Roadway Plans'!$2:$2</definedName>
    <definedName name="Z_960FB4AF_B150_4523_972C_3F7C93F049F3_.wvu.PrintTitles" localSheetId="10" hidden="1">'6a. Drainage Analysis'!$2:$4</definedName>
    <definedName name="Z_960FB4AF_B150_4523_972C_3F7C93F049F3_.wvu.PrintTitles" localSheetId="11" hidden="1">'6b. Drainage Plans'!$2:$2</definedName>
    <definedName name="Z_960FB4AF_B150_4523_972C_3F7C93F049F3_.wvu.PrintTitles" localSheetId="13" hidden="1">'6c. Selective C&amp;G'!$2:$2</definedName>
    <definedName name="Z_960FB4AF_B150_4523_972C_3F7C93F049F3_.wvu.PrintTitles" localSheetId="15" hidden="1">'7. Utilities'!$2:$2</definedName>
    <definedName name="Z_960FB4AF_B150_4523_972C_3F7C93F049F3_.wvu.PrintTitles" localSheetId="17" hidden="1">'8. Environmental Permits'!$2:$2</definedName>
    <definedName name="Z_960FB4AF_B150_4523_972C_3F7C93F049F3_.wvu.PrintTitles" localSheetId="19" hidden="1">'9. Str. -Summ Misc Tasks &amp; Dwgs'!$2:$2</definedName>
    <definedName name="Z_9A49CBDC_5824_479B_A57D_2870A1FAA7B5_.wvu.PrintArea" localSheetId="4" hidden="1">'Project Information'!$A$1:$N$24</definedName>
    <definedName name="Z_D5FFA8DD_F2DB_47F2_B4D2_3681726B2E8F_.wvu.Cols" localSheetId="20" hidden="1">'10. Structures-BDR'!#REF!</definedName>
    <definedName name="Z_D5FFA8DD_F2DB_47F2_B4D2_3681726B2E8F_.wvu.Cols" localSheetId="21" hidden="1">'11. Str.-Temporary Bridge'!#REF!</definedName>
    <definedName name="Z_D5FFA8DD_F2DB_47F2_B4D2_3681726B2E8F_.wvu.Cols" localSheetId="22" hidden="1">'12. Str.-Short Span Concrete'!#REF!</definedName>
    <definedName name="Z_D5FFA8DD_F2DB_47F2_B4D2_3681726B2E8F_.wvu.Cols" localSheetId="23" hidden="1">'13. Str.-Medium Span Concrete '!#REF!</definedName>
    <definedName name="Z_D5FFA8DD_F2DB_47F2_B4D2_3681726B2E8F_.wvu.Cols" localSheetId="24" hidden="1">'14. Structures-Structural Steel'!#REF!</definedName>
    <definedName name="Z_D5FFA8DD_F2DB_47F2_B4D2_3681726B2E8F_.wvu.Cols" localSheetId="25" hidden="1">'15.Str.-Segmental Concrete'!#REF!</definedName>
    <definedName name="Z_D5FFA8DD_F2DB_47F2_B4D2_3681726B2E8F_.wvu.Cols" localSheetId="26" hidden="1">'16. Structures-Movable Span'!#REF!</definedName>
    <definedName name="Z_D5FFA8DD_F2DB_47F2_B4D2_3681726B2E8F_.wvu.Cols" localSheetId="27" hidden="1">'17. Structures-Retaining Walls'!#REF!</definedName>
    <definedName name="Z_D5FFA8DD_F2DB_47F2_B4D2_3681726B2E8F_.wvu.Cols" localSheetId="28" hidden="1">'18. Structures-Miscellaneous'!#REF!</definedName>
    <definedName name="Z_D5FFA8DD_F2DB_47F2_B4D2_3681726B2E8F_.wvu.Cols" localSheetId="30" hidden="1">'19. Signing &amp; Marking Analysis'!#REF!</definedName>
    <definedName name="Z_D5FFA8DD_F2DB_47F2_B4D2_3681726B2E8F_.wvu.Cols" localSheetId="31" hidden="1">'20. Signing &amp; Marking Plans'!#REF!</definedName>
    <definedName name="Z_D5FFA8DD_F2DB_47F2_B4D2_3681726B2E8F_.wvu.Cols" localSheetId="33" hidden="1">'21. Signalization Analysis'!#REF!</definedName>
    <definedName name="Z_D5FFA8DD_F2DB_47F2_B4D2_3681726B2E8F_.wvu.Cols" localSheetId="34" hidden="1">'22. Signalization Plans'!#REF!</definedName>
    <definedName name="Z_D5FFA8DD_F2DB_47F2_B4D2_3681726B2E8F_.wvu.Cols" localSheetId="36" hidden="1">'23. Lighting Analysis'!#REF!</definedName>
    <definedName name="Z_D5FFA8DD_F2DB_47F2_B4D2_3681726B2E8F_.wvu.Cols" localSheetId="37" hidden="1">'24. Lighting Plans'!#REF!</definedName>
    <definedName name="Z_D5FFA8DD_F2DB_47F2_B4D2_3681726B2E8F_.wvu.Cols" localSheetId="39" hidden="1">'25. Landscape Analysis '!#REF!</definedName>
    <definedName name="Z_D5FFA8DD_F2DB_47F2_B4D2_3681726B2E8F_.wvu.Cols" localSheetId="40" hidden="1">'26. Landscape Plans'!#REF!</definedName>
    <definedName name="Z_D5FFA8DD_F2DB_47F2_B4D2_3681726B2E8F_.wvu.Cols" localSheetId="42" hidden="1">'27. Survey'!#REF!</definedName>
    <definedName name="Z_D5FFA8DD_F2DB_47F2_B4D2_3681726B2E8F_.wvu.Cols" localSheetId="43" hidden="1">'28. Photogrammetry'!#REF!</definedName>
    <definedName name="Z_D5FFA8DD_F2DB_47F2_B4D2_3681726B2E8F_.wvu.Cols" localSheetId="44" hidden="1">'29. Mapping'!#REF!</definedName>
    <definedName name="Z_D5FFA8DD_F2DB_47F2_B4D2_3681726B2E8F_.wvu.Cols" localSheetId="5" hidden="1">'3. Project General Tasks'!#REF!</definedName>
    <definedName name="Z_D5FFA8DD_F2DB_47F2_B4D2_3681726B2E8F_.wvu.Cols" localSheetId="47" hidden="1">'31. Architecture Development'!#REF!</definedName>
    <definedName name="Z_D5FFA8DD_F2DB_47F2_B4D2_3681726B2E8F_.wvu.Cols" localSheetId="54" hidden="1">'35. Geotechnical'!#REF!</definedName>
    <definedName name="Z_D5FFA8DD_F2DB_47F2_B4D2_3681726B2E8F_.wvu.Cols" localSheetId="8" hidden="1">'4. Roadway Analysis'!#REF!</definedName>
    <definedName name="Z_D5FFA8DD_F2DB_47F2_B4D2_3681726B2E8F_.wvu.Cols" localSheetId="9" hidden="1">'5. Roadway Plans'!#REF!</definedName>
    <definedName name="Z_D5FFA8DD_F2DB_47F2_B4D2_3681726B2E8F_.wvu.Cols" localSheetId="10" hidden="1">'6a. Drainage Analysis'!#REF!</definedName>
    <definedName name="Z_D5FFA8DD_F2DB_47F2_B4D2_3681726B2E8F_.wvu.Cols" localSheetId="11" hidden="1">'6b. Drainage Plans'!#REF!</definedName>
    <definedName name="Z_D5FFA8DD_F2DB_47F2_B4D2_3681726B2E8F_.wvu.Cols" localSheetId="13" hidden="1">'6c. Selective C&amp;G'!#REF!</definedName>
    <definedName name="Z_D5FFA8DD_F2DB_47F2_B4D2_3681726B2E8F_.wvu.Cols" localSheetId="15" hidden="1">'7. Utilities'!#REF!</definedName>
    <definedName name="Z_D5FFA8DD_F2DB_47F2_B4D2_3681726B2E8F_.wvu.Cols" localSheetId="17" hidden="1">'8. Environmental Permits'!#REF!</definedName>
    <definedName name="Z_D5FFA8DD_F2DB_47F2_B4D2_3681726B2E8F_.wvu.Cols" localSheetId="19" hidden="1">'9. Str. -Summ Misc Tasks &amp; Dwgs'!#REF!</definedName>
    <definedName name="Z_D5FFA8DD_F2DB_47F2_B4D2_3681726B2E8F_.wvu.PrintArea" localSheetId="21" hidden="1">'11. Str.-Temporary Bridge'!$A$1:$E$16</definedName>
    <definedName name="Z_D5FFA8DD_F2DB_47F2_B4D2_3681726B2E8F_.wvu.PrintArea" localSheetId="22" hidden="1">'12. Str.-Short Span Concrete'!$A$1:$E$41</definedName>
    <definedName name="Z_D5FFA8DD_F2DB_47F2_B4D2_3681726B2E8F_.wvu.PrintArea" localSheetId="23" hidden="1">'13. Str.-Medium Span Concrete '!$A$1:$E$71</definedName>
    <definedName name="Z_D5FFA8DD_F2DB_47F2_B4D2_3681726B2E8F_.wvu.PrintArea" localSheetId="24" hidden="1">'14. Structures-Structural Steel'!$A$1:$E$132</definedName>
    <definedName name="Z_D5FFA8DD_F2DB_47F2_B4D2_3681726B2E8F_.wvu.PrintArea" localSheetId="30" hidden="1">'19. Signing &amp; Marking Analysis'!$A$2:$E$20</definedName>
    <definedName name="Z_D5FFA8DD_F2DB_47F2_B4D2_3681726B2E8F_.wvu.PrintArea" localSheetId="31" hidden="1">'20. Signing &amp; Marking Plans'!$A$2:$C$13</definedName>
    <definedName name="Z_D5FFA8DD_F2DB_47F2_B4D2_3681726B2E8F_.wvu.PrintArea" localSheetId="33" hidden="1">'21. Signalization Analysis'!$A$2:$E$23</definedName>
    <definedName name="Z_D5FFA8DD_F2DB_47F2_B4D2_3681726B2E8F_.wvu.PrintArea" localSheetId="34" hidden="1">'22. Signalization Plans'!$A$2:$C$17</definedName>
    <definedName name="Z_D5FFA8DD_F2DB_47F2_B4D2_3681726B2E8F_.wvu.PrintArea" localSheetId="36" hidden="1">'23. Lighting Analysis'!$A$2:$E$21</definedName>
    <definedName name="Z_D5FFA8DD_F2DB_47F2_B4D2_3681726B2E8F_.wvu.PrintArea" localSheetId="37" hidden="1">'24. Lighting Plans'!$A$2:$C$14</definedName>
    <definedName name="Z_D5FFA8DD_F2DB_47F2_B4D2_3681726B2E8F_.wvu.PrintArea" localSheetId="39" hidden="1">'25. Landscape Analysis '!$A$2:$C$23</definedName>
    <definedName name="Z_D5FFA8DD_F2DB_47F2_B4D2_3681726B2E8F_.wvu.PrintArea" localSheetId="40" hidden="1">'26. Landscape Plans'!$A$2:$C$16</definedName>
    <definedName name="Z_D5FFA8DD_F2DB_47F2_B4D2_3681726B2E8F_.wvu.PrintArea" localSheetId="42" hidden="1">'27. Survey'!$A$2:$E$106</definedName>
    <definedName name="Z_D5FFA8DD_F2DB_47F2_B4D2_3681726B2E8F_.wvu.PrintArea" localSheetId="43" hidden="1">'28. Photogrammetry'!$A$2:$E$36</definedName>
    <definedName name="Z_D5FFA8DD_F2DB_47F2_B4D2_3681726B2E8F_.wvu.PrintArea" localSheetId="44" hidden="1">'29. Mapping'!$A$2:$C$43</definedName>
    <definedName name="Z_D5FFA8DD_F2DB_47F2_B4D2_3681726B2E8F_.wvu.PrintArea" localSheetId="5" hidden="1">'3. Project General Tasks'!$A$2:$E$30</definedName>
    <definedName name="Z_D5FFA8DD_F2DB_47F2_B4D2_3681726B2E8F_.wvu.PrintArea" localSheetId="47" hidden="1">'31. Architecture Development'!$A$2:$E$174</definedName>
    <definedName name="Z_D5FFA8DD_F2DB_47F2_B4D2_3681726B2E8F_.wvu.PrintArea" localSheetId="49" hidden="1">'32. Noise Barrier Assessment'!$A$2:$E$14</definedName>
    <definedName name="Z_D5FFA8DD_F2DB_47F2_B4D2_3681726B2E8F_.wvu.PrintArea" localSheetId="54" hidden="1">'35. Geotechnical'!$A$2:$E$66</definedName>
    <definedName name="Z_D5FFA8DD_F2DB_47F2_B4D2_3681726B2E8F_.wvu.PrintArea" localSheetId="8" hidden="1">'4. Roadway Analysis'!$A$2:$C$30</definedName>
    <definedName name="Z_D5FFA8DD_F2DB_47F2_B4D2_3681726B2E8F_.wvu.PrintArea" localSheetId="9" hidden="1">'5. Roadway Plans'!$A$2:$C$22</definedName>
    <definedName name="Z_D5FFA8DD_F2DB_47F2_B4D2_3681726B2E8F_.wvu.PrintArea" localSheetId="10" hidden="1">'6a. Drainage Analysis'!$A$2:$F$41</definedName>
    <definedName name="Z_D5FFA8DD_F2DB_47F2_B4D2_3681726B2E8F_.wvu.PrintArea" localSheetId="11" hidden="1">'6b. Drainage Plans'!$A$2:$C$10</definedName>
    <definedName name="Z_D5FFA8DD_F2DB_47F2_B4D2_3681726B2E8F_.wvu.PrintArea" localSheetId="13" hidden="1">'6c. Selective C&amp;G'!$A$2:$C$13</definedName>
    <definedName name="Z_D5FFA8DD_F2DB_47F2_B4D2_3681726B2E8F_.wvu.PrintArea" localSheetId="15" hidden="1">'7. Utilities'!$A$2:$E$19</definedName>
    <definedName name="Z_D5FFA8DD_F2DB_47F2_B4D2_3681726B2E8F_.wvu.PrintArea" localSheetId="17" hidden="1">'8. Environmental Permits'!$A$2:$E$48</definedName>
    <definedName name="Z_D5FFA8DD_F2DB_47F2_B4D2_3681726B2E8F_.wvu.PrintArea" localSheetId="19" hidden="1">'9. Str. -Summ Misc Tasks &amp; Dwgs'!$A$2:$E$31</definedName>
    <definedName name="Z_D5FFA8DD_F2DB_47F2_B4D2_3681726B2E8F_.wvu.PrintArea" localSheetId="16" hidden="1">'Environmental Permit Guidelines'!$A$1:$A$64</definedName>
    <definedName name="Z_D5FFA8DD_F2DB_47F2_B4D2_3681726B2E8F_.wvu.PrintArea" localSheetId="2" hidden="1">Introduction!$A$1:$A$12</definedName>
    <definedName name="Z_D5FFA8DD_F2DB_47F2_B4D2_3681726B2E8F_.wvu.PrintArea" localSheetId="6" hidden="1">'Roadway Guidelines'!$A$1:$A$44</definedName>
    <definedName name="Z_D5FFA8DD_F2DB_47F2_B4D2_3681726B2E8F_.wvu.PrintArea" localSheetId="0" hidden="1">'Title Sheet'!$A$1:$A$16</definedName>
    <definedName name="Z_D5FFA8DD_F2DB_47F2_B4D2_3681726B2E8F_.wvu.PrintArea" localSheetId="1" hidden="1">TOC!$A$1:$D$38</definedName>
    <definedName name="Z_D5FFA8DD_F2DB_47F2_B4D2_3681726B2E8F_.wvu.PrintArea" localSheetId="14" hidden="1">'Utility Guidelines'!$A$1:$A$46</definedName>
    <definedName name="Z_D5FFA8DD_F2DB_47F2_B4D2_3681726B2E8F_.wvu.PrintTitles" localSheetId="20" hidden="1">'10. Structures-BDR'!$1:$3</definedName>
    <definedName name="Z_D5FFA8DD_F2DB_47F2_B4D2_3681726B2E8F_.wvu.PrintTitles" localSheetId="21" hidden="1">'11. Str.-Temporary Bridge'!$1:$4</definedName>
    <definedName name="Z_D5FFA8DD_F2DB_47F2_B4D2_3681726B2E8F_.wvu.PrintTitles" localSheetId="22" hidden="1">'12. Str.-Short Span Concrete'!$A:$B,'12. Str.-Short Span Concrete'!$1:$3</definedName>
    <definedName name="Z_D5FFA8DD_F2DB_47F2_B4D2_3681726B2E8F_.wvu.PrintTitles" localSheetId="23" hidden="1">'13. Str.-Medium Span Concrete '!$1:$3</definedName>
    <definedName name="Z_D5FFA8DD_F2DB_47F2_B4D2_3681726B2E8F_.wvu.PrintTitles" localSheetId="24" hidden="1">'14. Structures-Structural Steel'!$1:$3</definedName>
    <definedName name="Z_D5FFA8DD_F2DB_47F2_B4D2_3681726B2E8F_.wvu.PrintTitles" localSheetId="25" hidden="1">'15.Str.-Segmental Concrete'!$1:$3</definedName>
    <definedName name="Z_D5FFA8DD_F2DB_47F2_B4D2_3681726B2E8F_.wvu.PrintTitles" localSheetId="26" hidden="1">'16. Structures-Movable Span'!$1:$3</definedName>
    <definedName name="Z_D5FFA8DD_F2DB_47F2_B4D2_3681726B2E8F_.wvu.PrintTitles" localSheetId="27" hidden="1">'17. Structures-Retaining Walls'!$1:$3</definedName>
    <definedName name="Z_D5FFA8DD_F2DB_47F2_B4D2_3681726B2E8F_.wvu.PrintTitles" localSheetId="28" hidden="1">'18. Structures-Miscellaneous'!$A:$B,'18. Structures-Miscellaneous'!$1:$3</definedName>
    <definedName name="Z_D5FFA8DD_F2DB_47F2_B4D2_3681726B2E8F_.wvu.PrintTitles" localSheetId="30" hidden="1">'19. Signing &amp; Marking Analysis'!$2:$2</definedName>
    <definedName name="Z_D5FFA8DD_F2DB_47F2_B4D2_3681726B2E8F_.wvu.PrintTitles" localSheetId="31" hidden="1">'20. Signing &amp; Marking Plans'!$2:$2</definedName>
    <definedName name="Z_D5FFA8DD_F2DB_47F2_B4D2_3681726B2E8F_.wvu.PrintTitles" localSheetId="33" hidden="1">'21. Signalization Analysis'!$2:$2</definedName>
    <definedName name="Z_D5FFA8DD_F2DB_47F2_B4D2_3681726B2E8F_.wvu.PrintTitles" localSheetId="34" hidden="1">'22. Signalization Plans'!$2:$2</definedName>
    <definedName name="Z_D5FFA8DD_F2DB_47F2_B4D2_3681726B2E8F_.wvu.PrintTitles" localSheetId="36" hidden="1">'23. Lighting Analysis'!$2:$2</definedName>
    <definedName name="Z_D5FFA8DD_F2DB_47F2_B4D2_3681726B2E8F_.wvu.PrintTitles" localSheetId="37" hidden="1">'24. Lighting Plans'!$2:$2</definedName>
    <definedName name="Z_D5FFA8DD_F2DB_47F2_B4D2_3681726B2E8F_.wvu.PrintTitles" localSheetId="39" hidden="1">'25. Landscape Analysis '!$2:$2</definedName>
    <definedName name="Z_D5FFA8DD_F2DB_47F2_B4D2_3681726B2E8F_.wvu.PrintTitles" localSheetId="40" hidden="1">'26. Landscape Plans'!$2:$2</definedName>
    <definedName name="Z_D5FFA8DD_F2DB_47F2_B4D2_3681726B2E8F_.wvu.PrintTitles" localSheetId="42" hidden="1">'27. Survey'!$2:$2</definedName>
    <definedName name="Z_D5FFA8DD_F2DB_47F2_B4D2_3681726B2E8F_.wvu.PrintTitles" localSheetId="43" hidden="1">'28. Photogrammetry'!$2:$2</definedName>
    <definedName name="Z_D5FFA8DD_F2DB_47F2_B4D2_3681726B2E8F_.wvu.PrintTitles" localSheetId="44" hidden="1">'29. Mapping'!$2:$2</definedName>
    <definedName name="Z_D5FFA8DD_F2DB_47F2_B4D2_3681726B2E8F_.wvu.PrintTitles" localSheetId="5" hidden="1">'3. Project General Tasks'!$2:$2</definedName>
    <definedName name="Z_D5FFA8DD_F2DB_47F2_B4D2_3681726B2E8F_.wvu.PrintTitles" localSheetId="47" hidden="1">'31. Architecture Development'!$2:$2</definedName>
    <definedName name="Z_D5FFA8DD_F2DB_47F2_B4D2_3681726B2E8F_.wvu.PrintTitles" localSheetId="54" hidden="1">'35. Geotechnical'!$2:$2</definedName>
    <definedName name="Z_D5FFA8DD_F2DB_47F2_B4D2_3681726B2E8F_.wvu.PrintTitles" localSheetId="8" hidden="1">'4. Roadway Analysis'!$2:$2</definedName>
    <definedName name="Z_D5FFA8DD_F2DB_47F2_B4D2_3681726B2E8F_.wvu.PrintTitles" localSheetId="9" hidden="1">'5. Roadway Plans'!$2:$2</definedName>
    <definedName name="Z_D5FFA8DD_F2DB_47F2_B4D2_3681726B2E8F_.wvu.PrintTitles" localSheetId="10" hidden="1">'6a. Drainage Analysis'!$2:$4</definedName>
    <definedName name="Z_D5FFA8DD_F2DB_47F2_B4D2_3681726B2E8F_.wvu.PrintTitles" localSheetId="11" hidden="1">'6b. Drainage Plans'!$2:$2</definedName>
    <definedName name="Z_D5FFA8DD_F2DB_47F2_B4D2_3681726B2E8F_.wvu.PrintTitles" localSheetId="13" hidden="1">'6c. Selective C&amp;G'!$2:$2</definedName>
    <definedName name="Z_D5FFA8DD_F2DB_47F2_B4D2_3681726B2E8F_.wvu.PrintTitles" localSheetId="15" hidden="1">'7. Utilities'!$2:$2</definedName>
    <definedName name="Z_D5FFA8DD_F2DB_47F2_B4D2_3681726B2E8F_.wvu.PrintTitles" localSheetId="17" hidden="1">'8. Environmental Permits'!$2:$2</definedName>
    <definedName name="Z_D5FFA8DD_F2DB_47F2_B4D2_3681726B2E8F_.wvu.PrintTitles" localSheetId="19" hidden="1">'9. Str. -Summ Misc Tasks &amp; Dwgs'!$2:$2</definedName>
    <definedName name="Z_D6E4F54A_545A_412E_8F8E_5B84FD797FEB_.wvu.PrintArea" localSheetId="4" hidden="1">'Project Information'!$A$1:$N$24</definedName>
    <definedName name="Z_DF3BD4C9_2986_4236_8E90_D96736404377_.wvu.Cols" localSheetId="20" hidden="1">'10. Structures-BDR'!#REF!</definedName>
    <definedName name="Z_DF3BD4C9_2986_4236_8E90_D96736404377_.wvu.Cols" localSheetId="21" hidden="1">'11. Str.-Temporary Bridge'!#REF!</definedName>
    <definedName name="Z_DF3BD4C9_2986_4236_8E90_D96736404377_.wvu.Cols" localSheetId="22" hidden="1">'12. Str.-Short Span Concrete'!#REF!</definedName>
    <definedName name="Z_DF3BD4C9_2986_4236_8E90_D96736404377_.wvu.Cols" localSheetId="23" hidden="1">'13. Str.-Medium Span Concrete '!#REF!</definedName>
    <definedName name="Z_DF3BD4C9_2986_4236_8E90_D96736404377_.wvu.Cols" localSheetId="24" hidden="1">'14. Structures-Structural Steel'!#REF!</definedName>
    <definedName name="Z_DF3BD4C9_2986_4236_8E90_D96736404377_.wvu.Cols" localSheetId="25" hidden="1">'15.Str.-Segmental Concrete'!#REF!</definedName>
    <definedName name="Z_DF3BD4C9_2986_4236_8E90_D96736404377_.wvu.Cols" localSheetId="26" hidden="1">'16. Structures-Movable Span'!#REF!</definedName>
    <definedName name="Z_DF3BD4C9_2986_4236_8E90_D96736404377_.wvu.Cols" localSheetId="27" hidden="1">'17. Structures-Retaining Walls'!#REF!</definedName>
    <definedName name="Z_DF3BD4C9_2986_4236_8E90_D96736404377_.wvu.Cols" localSheetId="28" hidden="1">'18. Structures-Miscellaneous'!#REF!</definedName>
    <definedName name="Z_DF3BD4C9_2986_4236_8E90_D96736404377_.wvu.Cols" localSheetId="30" hidden="1">'19. Signing &amp; Marking Analysis'!#REF!</definedName>
    <definedName name="Z_DF3BD4C9_2986_4236_8E90_D96736404377_.wvu.Cols" localSheetId="31" hidden="1">'20. Signing &amp; Marking Plans'!#REF!</definedName>
    <definedName name="Z_DF3BD4C9_2986_4236_8E90_D96736404377_.wvu.Cols" localSheetId="33" hidden="1">'21. Signalization Analysis'!#REF!</definedName>
    <definedName name="Z_DF3BD4C9_2986_4236_8E90_D96736404377_.wvu.Cols" localSheetId="34" hidden="1">'22. Signalization Plans'!#REF!</definedName>
    <definedName name="Z_DF3BD4C9_2986_4236_8E90_D96736404377_.wvu.Cols" localSheetId="36" hidden="1">'23. Lighting Analysis'!#REF!</definedName>
    <definedName name="Z_DF3BD4C9_2986_4236_8E90_D96736404377_.wvu.Cols" localSheetId="37" hidden="1">'24. Lighting Plans'!#REF!</definedName>
    <definedName name="Z_DF3BD4C9_2986_4236_8E90_D96736404377_.wvu.Cols" localSheetId="39" hidden="1">'25. Landscape Analysis '!#REF!</definedName>
    <definedName name="Z_DF3BD4C9_2986_4236_8E90_D96736404377_.wvu.Cols" localSheetId="40" hidden="1">'26. Landscape Plans'!#REF!</definedName>
    <definedName name="Z_DF3BD4C9_2986_4236_8E90_D96736404377_.wvu.Cols" localSheetId="42" hidden="1">'27. Survey'!#REF!</definedName>
    <definedName name="Z_DF3BD4C9_2986_4236_8E90_D96736404377_.wvu.Cols" localSheetId="43" hidden="1">'28. Photogrammetry'!#REF!</definedName>
    <definedName name="Z_DF3BD4C9_2986_4236_8E90_D96736404377_.wvu.Cols" localSheetId="44" hidden="1">'29. Mapping'!#REF!</definedName>
    <definedName name="Z_DF3BD4C9_2986_4236_8E90_D96736404377_.wvu.Cols" localSheetId="5" hidden="1">'3. Project General Tasks'!#REF!</definedName>
    <definedName name="Z_DF3BD4C9_2986_4236_8E90_D96736404377_.wvu.Cols" localSheetId="47" hidden="1">'31. Architecture Development'!#REF!</definedName>
    <definedName name="Z_DF3BD4C9_2986_4236_8E90_D96736404377_.wvu.Cols" localSheetId="54" hidden="1">'35. Geotechnical'!#REF!</definedName>
    <definedName name="Z_DF3BD4C9_2986_4236_8E90_D96736404377_.wvu.Cols" localSheetId="8" hidden="1">'4. Roadway Analysis'!#REF!</definedName>
    <definedName name="Z_DF3BD4C9_2986_4236_8E90_D96736404377_.wvu.Cols" localSheetId="9" hidden="1">'5. Roadway Plans'!#REF!</definedName>
    <definedName name="Z_DF3BD4C9_2986_4236_8E90_D96736404377_.wvu.Cols" localSheetId="10" hidden="1">'6a. Drainage Analysis'!#REF!</definedName>
    <definedName name="Z_DF3BD4C9_2986_4236_8E90_D96736404377_.wvu.Cols" localSheetId="11" hidden="1">'6b. Drainage Plans'!#REF!</definedName>
    <definedName name="Z_DF3BD4C9_2986_4236_8E90_D96736404377_.wvu.Cols" localSheetId="13" hidden="1">'6c. Selective C&amp;G'!#REF!</definedName>
    <definedName name="Z_DF3BD4C9_2986_4236_8E90_D96736404377_.wvu.Cols" localSheetId="15" hidden="1">'7. Utilities'!#REF!</definedName>
    <definedName name="Z_DF3BD4C9_2986_4236_8E90_D96736404377_.wvu.Cols" localSheetId="17" hidden="1">'8. Environmental Permits'!#REF!</definedName>
    <definedName name="Z_DF3BD4C9_2986_4236_8E90_D96736404377_.wvu.Cols" localSheetId="19" hidden="1">'9. Str. -Summ Misc Tasks &amp; Dwgs'!#REF!</definedName>
    <definedName name="Z_DF3BD4C9_2986_4236_8E90_D96736404377_.wvu.PrintArea" localSheetId="20" hidden="1">'10. Structures-BDR'!$A$1:$E$47</definedName>
    <definedName name="Z_DF3BD4C9_2986_4236_8E90_D96736404377_.wvu.PrintArea" localSheetId="21" hidden="1">'11. Str.-Temporary Bridge'!$A$1:$E$16</definedName>
    <definedName name="Z_DF3BD4C9_2986_4236_8E90_D96736404377_.wvu.PrintArea" localSheetId="22" hidden="1">'12. Str.-Short Span Concrete'!$A$1:$E$41</definedName>
    <definedName name="Z_DF3BD4C9_2986_4236_8E90_D96736404377_.wvu.PrintArea" localSheetId="23" hidden="1">'13. Str.-Medium Span Concrete '!$A$1:$E$71</definedName>
    <definedName name="Z_DF3BD4C9_2986_4236_8E90_D96736404377_.wvu.PrintArea" localSheetId="24" hidden="1">'14. Structures-Structural Steel'!$A$1:$E$132</definedName>
    <definedName name="Z_DF3BD4C9_2986_4236_8E90_D96736404377_.wvu.PrintArea" localSheetId="25" hidden="1">'15.Str.-Segmental Concrete'!$A$1:$E$96</definedName>
    <definedName name="Z_DF3BD4C9_2986_4236_8E90_D96736404377_.wvu.PrintArea" localSheetId="26" hidden="1">'16. Structures-Movable Span'!$A$1:$E$122</definedName>
    <definedName name="Z_DF3BD4C9_2986_4236_8E90_D96736404377_.wvu.PrintArea" localSheetId="27" hidden="1">'17. Structures-Retaining Walls'!$A$1:$E$39</definedName>
    <definedName name="Z_DF3BD4C9_2986_4236_8E90_D96736404377_.wvu.PrintArea" localSheetId="28" hidden="1">'18. Structures-Miscellaneous'!$A$1:$E$47</definedName>
    <definedName name="Z_DF3BD4C9_2986_4236_8E90_D96736404377_.wvu.PrintArea" localSheetId="30" hidden="1">'19. Signing &amp; Marking Analysis'!$A$2:$E$20</definedName>
    <definedName name="Z_DF3BD4C9_2986_4236_8E90_D96736404377_.wvu.PrintArea" localSheetId="31" hidden="1">'20. Signing &amp; Marking Plans'!$A$2:$C$13</definedName>
    <definedName name="Z_DF3BD4C9_2986_4236_8E90_D96736404377_.wvu.PrintArea" localSheetId="33" hidden="1">'21. Signalization Analysis'!$A$2:$E$23</definedName>
    <definedName name="Z_DF3BD4C9_2986_4236_8E90_D96736404377_.wvu.PrintArea" localSheetId="34" hidden="1">'22. Signalization Plans'!$A$2:$C$17</definedName>
    <definedName name="Z_DF3BD4C9_2986_4236_8E90_D96736404377_.wvu.PrintArea" localSheetId="36" hidden="1">'23. Lighting Analysis'!$A$2:$E$21</definedName>
    <definedName name="Z_DF3BD4C9_2986_4236_8E90_D96736404377_.wvu.PrintArea" localSheetId="37" hidden="1">'24. Lighting Plans'!$A$2:$C$14</definedName>
    <definedName name="Z_DF3BD4C9_2986_4236_8E90_D96736404377_.wvu.PrintArea" localSheetId="39" hidden="1">'25. Landscape Analysis '!$A$2:$C$23</definedName>
    <definedName name="Z_DF3BD4C9_2986_4236_8E90_D96736404377_.wvu.PrintArea" localSheetId="40" hidden="1">'26. Landscape Plans'!$A$2:$C$16</definedName>
    <definedName name="Z_DF3BD4C9_2986_4236_8E90_D96736404377_.wvu.PrintArea" localSheetId="42" hidden="1">'27. Survey'!$A$2:$E$106</definedName>
    <definedName name="Z_DF3BD4C9_2986_4236_8E90_D96736404377_.wvu.PrintArea" localSheetId="43" hidden="1">'28. Photogrammetry'!$A$2:$E$36</definedName>
    <definedName name="Z_DF3BD4C9_2986_4236_8E90_D96736404377_.wvu.PrintArea" localSheetId="44" hidden="1">'29. Mapping'!$A$2:$C$43</definedName>
    <definedName name="Z_DF3BD4C9_2986_4236_8E90_D96736404377_.wvu.PrintArea" localSheetId="5" hidden="1">'3. Project General Tasks'!$A$2:$E$30</definedName>
    <definedName name="Z_DF3BD4C9_2986_4236_8E90_D96736404377_.wvu.PrintArea" localSheetId="47" hidden="1">'31. Architecture Development'!$A$2:$E$174</definedName>
    <definedName name="Z_DF3BD4C9_2986_4236_8E90_D96736404377_.wvu.PrintArea" localSheetId="49" hidden="1">'32. Noise Barrier Assessment'!$A$2:$E$14</definedName>
    <definedName name="Z_DF3BD4C9_2986_4236_8E90_D96736404377_.wvu.PrintArea" localSheetId="54" hidden="1">'35. Geotechnical'!$A$2:$E$66</definedName>
    <definedName name="Z_DF3BD4C9_2986_4236_8E90_D96736404377_.wvu.PrintArea" localSheetId="8" hidden="1">'4. Roadway Analysis'!$A$2:$C$30</definedName>
    <definedName name="Z_DF3BD4C9_2986_4236_8E90_D96736404377_.wvu.PrintArea" localSheetId="9" hidden="1">'5. Roadway Plans'!$A$2:$C$22</definedName>
    <definedName name="Z_DF3BD4C9_2986_4236_8E90_D96736404377_.wvu.PrintArea" localSheetId="10" hidden="1">'6a. Drainage Analysis'!$A$2:$F$41</definedName>
    <definedName name="Z_DF3BD4C9_2986_4236_8E90_D96736404377_.wvu.PrintArea" localSheetId="11" hidden="1">'6b. Drainage Plans'!$A$2:$C$10</definedName>
    <definedName name="Z_DF3BD4C9_2986_4236_8E90_D96736404377_.wvu.PrintArea" localSheetId="13" hidden="1">'6c. Selective C&amp;G'!$A$2:$C$13</definedName>
    <definedName name="Z_DF3BD4C9_2986_4236_8E90_D96736404377_.wvu.PrintArea" localSheetId="15" hidden="1">'7. Utilities'!$A$2:$E$19</definedName>
    <definedName name="Z_DF3BD4C9_2986_4236_8E90_D96736404377_.wvu.PrintArea" localSheetId="17" hidden="1">'8. Environmental Permits'!$A$2:$E$48</definedName>
    <definedName name="Z_DF3BD4C9_2986_4236_8E90_D96736404377_.wvu.PrintArea" localSheetId="19" hidden="1">'9. Str. -Summ Misc Tasks &amp; Dwgs'!$A$2:$E$31</definedName>
    <definedName name="Z_DF3BD4C9_2986_4236_8E90_D96736404377_.wvu.PrintArea" localSheetId="46" hidden="1">'Architecture Guidelines'!$A$1:$A$56</definedName>
    <definedName name="Z_DF3BD4C9_2986_4236_8E90_D96736404377_.wvu.PrintArea" localSheetId="16" hidden="1">'Environmental Permit Guidelines'!$A$1:$A$64</definedName>
    <definedName name="Z_DF3BD4C9_2986_4236_8E90_D96736404377_.wvu.PrintArea" localSheetId="53" hidden="1">'Geotechnical Guidelines'!$A$1:$A$19</definedName>
    <definedName name="Z_DF3BD4C9_2986_4236_8E90_D96736404377_.wvu.PrintArea" localSheetId="2" hidden="1">Introduction!$A$1:$A$12</definedName>
    <definedName name="Z_DF3BD4C9_2986_4236_8E90_D96736404377_.wvu.PrintArea" localSheetId="35" hidden="1">'Lighting Guidelines'!$A$1:$A$36</definedName>
    <definedName name="Z_DF3BD4C9_2986_4236_8E90_D96736404377_.wvu.PrintArea" localSheetId="6" hidden="1">'Roadway Guidelines'!$A$1:$A$44</definedName>
    <definedName name="Z_DF3BD4C9_2986_4236_8E90_D96736404377_.wvu.PrintArea" localSheetId="32" hidden="1">'Signalization Guidelines'!$A$1:$A$38</definedName>
    <definedName name="Z_DF3BD4C9_2986_4236_8E90_D96736404377_.wvu.PrintArea" localSheetId="29" hidden="1">'Signing &amp; Marking Guidelines'!$A$1:$A$38</definedName>
    <definedName name="Z_DF3BD4C9_2986_4236_8E90_D96736404377_.wvu.PrintArea" localSheetId="18" hidden="1">'Structures-Guidelines'!$A$1:$A$61</definedName>
    <definedName name="Z_DF3BD4C9_2986_4236_8E90_D96736404377_.wvu.PrintArea" localSheetId="41" hidden="1">'Survey Guidelines'!$A$1:$A$48</definedName>
    <definedName name="Z_DF3BD4C9_2986_4236_8E90_D96736404377_.wvu.PrintArea" localSheetId="0" hidden="1">'Title Sheet'!$A$1:$A$16</definedName>
    <definedName name="Z_DF3BD4C9_2986_4236_8E90_D96736404377_.wvu.PrintArea" localSheetId="1" hidden="1">TOC!$A$1:$D$38</definedName>
    <definedName name="Z_DF3BD4C9_2986_4236_8E90_D96736404377_.wvu.PrintArea" localSheetId="14" hidden="1">'Utility Guidelines'!$A$1:$A$46</definedName>
    <definedName name="Z_DF3BD4C9_2986_4236_8E90_D96736404377_.wvu.PrintTitles" localSheetId="20" hidden="1">'10. Structures-BDR'!$1:$3</definedName>
    <definedName name="Z_DF3BD4C9_2986_4236_8E90_D96736404377_.wvu.PrintTitles" localSheetId="21" hidden="1">'11. Str.-Temporary Bridge'!$1:$4</definedName>
    <definedName name="Z_DF3BD4C9_2986_4236_8E90_D96736404377_.wvu.PrintTitles" localSheetId="22" hidden="1">'12. Str.-Short Span Concrete'!$A:$B,'12. Str.-Short Span Concrete'!$1:$3</definedName>
    <definedName name="Z_DF3BD4C9_2986_4236_8E90_D96736404377_.wvu.PrintTitles" localSheetId="23" hidden="1">'13. Str.-Medium Span Concrete '!$1:$3</definedName>
    <definedName name="Z_DF3BD4C9_2986_4236_8E90_D96736404377_.wvu.PrintTitles" localSheetId="24" hidden="1">'14. Structures-Structural Steel'!$1:$3</definedName>
    <definedName name="Z_DF3BD4C9_2986_4236_8E90_D96736404377_.wvu.PrintTitles" localSheetId="25" hidden="1">'15.Str.-Segmental Concrete'!$1:$3</definedName>
    <definedName name="Z_DF3BD4C9_2986_4236_8E90_D96736404377_.wvu.PrintTitles" localSheetId="26" hidden="1">'16. Structures-Movable Span'!$1:$3</definedName>
    <definedName name="Z_DF3BD4C9_2986_4236_8E90_D96736404377_.wvu.PrintTitles" localSheetId="27" hidden="1">'17. Structures-Retaining Walls'!$1:$3</definedName>
    <definedName name="Z_DF3BD4C9_2986_4236_8E90_D96736404377_.wvu.PrintTitles" localSheetId="28" hidden="1">'18. Structures-Miscellaneous'!$A:$B,'18. Structures-Miscellaneous'!$1:$3</definedName>
    <definedName name="Z_DF3BD4C9_2986_4236_8E90_D96736404377_.wvu.PrintTitles" localSheetId="30" hidden="1">'19. Signing &amp; Marking Analysis'!$2:$2</definedName>
    <definedName name="Z_DF3BD4C9_2986_4236_8E90_D96736404377_.wvu.PrintTitles" localSheetId="31" hidden="1">'20. Signing &amp; Marking Plans'!$2:$2</definedName>
    <definedName name="Z_DF3BD4C9_2986_4236_8E90_D96736404377_.wvu.PrintTitles" localSheetId="33" hidden="1">'21. Signalization Analysis'!$2:$2</definedName>
    <definedName name="Z_DF3BD4C9_2986_4236_8E90_D96736404377_.wvu.PrintTitles" localSheetId="34" hidden="1">'22. Signalization Plans'!$2:$2</definedName>
    <definedName name="Z_DF3BD4C9_2986_4236_8E90_D96736404377_.wvu.PrintTitles" localSheetId="36" hidden="1">'23. Lighting Analysis'!$2:$2</definedName>
    <definedName name="Z_DF3BD4C9_2986_4236_8E90_D96736404377_.wvu.PrintTitles" localSheetId="37" hidden="1">'24. Lighting Plans'!$2:$2</definedName>
    <definedName name="Z_DF3BD4C9_2986_4236_8E90_D96736404377_.wvu.PrintTitles" localSheetId="39" hidden="1">'25. Landscape Analysis '!$2:$2</definedName>
    <definedName name="Z_DF3BD4C9_2986_4236_8E90_D96736404377_.wvu.PrintTitles" localSheetId="40" hidden="1">'26. Landscape Plans'!$2:$2</definedName>
    <definedName name="Z_DF3BD4C9_2986_4236_8E90_D96736404377_.wvu.PrintTitles" localSheetId="42" hidden="1">'27. Survey'!$2:$2</definedName>
    <definedName name="Z_DF3BD4C9_2986_4236_8E90_D96736404377_.wvu.PrintTitles" localSheetId="43" hidden="1">'28. Photogrammetry'!$2:$2</definedName>
    <definedName name="Z_DF3BD4C9_2986_4236_8E90_D96736404377_.wvu.PrintTitles" localSheetId="44" hidden="1">'29. Mapping'!$2:$2</definedName>
    <definedName name="Z_DF3BD4C9_2986_4236_8E90_D96736404377_.wvu.PrintTitles" localSheetId="5" hidden="1">'3. Project General Tasks'!$2:$2</definedName>
    <definedName name="Z_DF3BD4C9_2986_4236_8E90_D96736404377_.wvu.PrintTitles" localSheetId="47" hidden="1">'31. Architecture Development'!$2:$2</definedName>
    <definedName name="Z_DF3BD4C9_2986_4236_8E90_D96736404377_.wvu.PrintTitles" localSheetId="54" hidden="1">'35. Geotechnical'!$2:$2</definedName>
    <definedName name="Z_DF3BD4C9_2986_4236_8E90_D96736404377_.wvu.PrintTitles" localSheetId="8" hidden="1">'4. Roadway Analysis'!$2:$2</definedName>
    <definedName name="Z_DF3BD4C9_2986_4236_8E90_D96736404377_.wvu.PrintTitles" localSheetId="9" hidden="1">'5. Roadway Plans'!$2:$2</definedName>
    <definedName name="Z_DF3BD4C9_2986_4236_8E90_D96736404377_.wvu.PrintTitles" localSheetId="10" hidden="1">'6a. Drainage Analysis'!$2:$4</definedName>
    <definedName name="Z_DF3BD4C9_2986_4236_8E90_D96736404377_.wvu.PrintTitles" localSheetId="11" hidden="1">'6b. Drainage Plans'!$2:$2</definedName>
    <definedName name="Z_DF3BD4C9_2986_4236_8E90_D96736404377_.wvu.PrintTitles" localSheetId="13" hidden="1">'6c. Selective C&amp;G'!$2:$2</definedName>
    <definedName name="Z_DF3BD4C9_2986_4236_8E90_D96736404377_.wvu.PrintTitles" localSheetId="15" hidden="1">'7. Utilities'!$2:$2</definedName>
    <definedName name="Z_DF3BD4C9_2986_4236_8E90_D96736404377_.wvu.PrintTitles" localSheetId="17" hidden="1">'8. Environmental Permits'!$2:$2</definedName>
    <definedName name="Z_DF3BD4C9_2986_4236_8E90_D96736404377_.wvu.PrintTitles" localSheetId="19" hidden="1">'9. Str. -Summ Misc Tasks &amp; Dwgs'!$2:$2</definedName>
    <definedName name="Z_EFE02F7B_3837_4B0F_9646_ADE249504E9F_.wvu.Cols" localSheetId="20" hidden="1">'10. Structures-BDR'!#REF!</definedName>
    <definedName name="Z_EFE02F7B_3837_4B0F_9646_ADE249504E9F_.wvu.Cols" localSheetId="21" hidden="1">'11. Str.-Temporary Bridge'!#REF!</definedName>
    <definedName name="Z_EFE02F7B_3837_4B0F_9646_ADE249504E9F_.wvu.Cols" localSheetId="22" hidden="1">'12. Str.-Short Span Concrete'!#REF!</definedName>
    <definedName name="Z_EFE02F7B_3837_4B0F_9646_ADE249504E9F_.wvu.Cols" localSheetId="23" hidden="1">'13. Str.-Medium Span Concrete '!#REF!</definedName>
    <definedName name="Z_EFE02F7B_3837_4B0F_9646_ADE249504E9F_.wvu.Cols" localSheetId="24" hidden="1">'14. Structures-Structural Steel'!#REF!</definedName>
    <definedName name="Z_EFE02F7B_3837_4B0F_9646_ADE249504E9F_.wvu.Cols" localSheetId="25" hidden="1">'15.Str.-Segmental Concrete'!#REF!</definedName>
    <definedName name="Z_EFE02F7B_3837_4B0F_9646_ADE249504E9F_.wvu.Cols" localSheetId="26" hidden="1">'16. Structures-Movable Span'!#REF!</definedName>
    <definedName name="Z_EFE02F7B_3837_4B0F_9646_ADE249504E9F_.wvu.Cols" localSheetId="27" hidden="1">'17. Structures-Retaining Walls'!#REF!</definedName>
    <definedName name="Z_EFE02F7B_3837_4B0F_9646_ADE249504E9F_.wvu.Cols" localSheetId="28" hidden="1">'18. Structures-Miscellaneous'!#REF!</definedName>
    <definedName name="Z_EFE02F7B_3837_4B0F_9646_ADE249504E9F_.wvu.Cols" localSheetId="30" hidden="1">'19. Signing &amp; Marking Analysis'!#REF!</definedName>
    <definedName name="Z_EFE02F7B_3837_4B0F_9646_ADE249504E9F_.wvu.Cols" localSheetId="31" hidden="1">'20. Signing &amp; Marking Plans'!#REF!</definedName>
    <definedName name="Z_EFE02F7B_3837_4B0F_9646_ADE249504E9F_.wvu.Cols" localSheetId="33" hidden="1">'21. Signalization Analysis'!#REF!</definedName>
    <definedName name="Z_EFE02F7B_3837_4B0F_9646_ADE249504E9F_.wvu.Cols" localSheetId="34" hidden="1">'22. Signalization Plans'!#REF!</definedName>
    <definedName name="Z_EFE02F7B_3837_4B0F_9646_ADE249504E9F_.wvu.Cols" localSheetId="36" hidden="1">'23. Lighting Analysis'!#REF!</definedName>
    <definedName name="Z_EFE02F7B_3837_4B0F_9646_ADE249504E9F_.wvu.Cols" localSheetId="37" hidden="1">'24. Lighting Plans'!#REF!</definedName>
    <definedName name="Z_EFE02F7B_3837_4B0F_9646_ADE249504E9F_.wvu.Cols" localSheetId="39" hidden="1">'25. Landscape Analysis '!#REF!</definedName>
    <definedName name="Z_EFE02F7B_3837_4B0F_9646_ADE249504E9F_.wvu.Cols" localSheetId="40" hidden="1">'26. Landscape Plans'!#REF!</definedName>
    <definedName name="Z_EFE02F7B_3837_4B0F_9646_ADE249504E9F_.wvu.Cols" localSheetId="42" hidden="1">'27. Survey'!#REF!</definedName>
    <definedName name="Z_EFE02F7B_3837_4B0F_9646_ADE249504E9F_.wvu.Cols" localSheetId="43" hidden="1">'28. Photogrammetry'!#REF!</definedName>
    <definedName name="Z_EFE02F7B_3837_4B0F_9646_ADE249504E9F_.wvu.Cols" localSheetId="44" hidden="1">'29. Mapping'!#REF!</definedName>
    <definedName name="Z_EFE02F7B_3837_4B0F_9646_ADE249504E9F_.wvu.Cols" localSheetId="5" hidden="1">'3. Project General Tasks'!#REF!</definedName>
    <definedName name="Z_EFE02F7B_3837_4B0F_9646_ADE249504E9F_.wvu.Cols" localSheetId="47" hidden="1">'31. Architecture Development'!#REF!</definedName>
    <definedName name="Z_EFE02F7B_3837_4B0F_9646_ADE249504E9F_.wvu.Cols" localSheetId="54" hidden="1">'35. Geotechnical'!#REF!</definedName>
    <definedName name="Z_EFE02F7B_3837_4B0F_9646_ADE249504E9F_.wvu.Cols" localSheetId="8" hidden="1">'4. Roadway Analysis'!#REF!</definedName>
    <definedName name="Z_EFE02F7B_3837_4B0F_9646_ADE249504E9F_.wvu.Cols" localSheetId="9" hidden="1">'5. Roadway Plans'!#REF!</definedName>
    <definedName name="Z_EFE02F7B_3837_4B0F_9646_ADE249504E9F_.wvu.Cols" localSheetId="10" hidden="1">'6a. Drainage Analysis'!#REF!</definedName>
    <definedName name="Z_EFE02F7B_3837_4B0F_9646_ADE249504E9F_.wvu.Cols" localSheetId="11" hidden="1">'6b. Drainage Plans'!#REF!</definedName>
    <definedName name="Z_EFE02F7B_3837_4B0F_9646_ADE249504E9F_.wvu.Cols" localSheetId="13" hidden="1">'6c. Selective C&amp;G'!#REF!</definedName>
    <definedName name="Z_EFE02F7B_3837_4B0F_9646_ADE249504E9F_.wvu.Cols" localSheetId="15" hidden="1">'7. Utilities'!#REF!</definedName>
    <definedName name="Z_EFE02F7B_3837_4B0F_9646_ADE249504E9F_.wvu.Cols" localSheetId="17" hidden="1">'8. Environmental Permits'!#REF!</definedName>
    <definedName name="Z_EFE02F7B_3837_4B0F_9646_ADE249504E9F_.wvu.Cols" localSheetId="19" hidden="1">'9. Str. -Summ Misc Tasks &amp; Dwgs'!#REF!</definedName>
    <definedName name="Z_EFE02F7B_3837_4B0F_9646_ADE249504E9F_.wvu.PrintArea" localSheetId="21" hidden="1">'11. Str.-Temporary Bridge'!$A$1:$E$16</definedName>
    <definedName name="Z_EFE02F7B_3837_4B0F_9646_ADE249504E9F_.wvu.PrintArea" localSheetId="22" hidden="1">'12. Str.-Short Span Concrete'!$A$1:$E$41</definedName>
    <definedName name="Z_EFE02F7B_3837_4B0F_9646_ADE249504E9F_.wvu.PrintArea" localSheetId="23" hidden="1">'13. Str.-Medium Span Concrete '!$A$1:$E$71</definedName>
    <definedName name="Z_EFE02F7B_3837_4B0F_9646_ADE249504E9F_.wvu.PrintArea" localSheetId="24" hidden="1">'14. Structures-Structural Steel'!$A$1:$E$132</definedName>
    <definedName name="Z_EFE02F7B_3837_4B0F_9646_ADE249504E9F_.wvu.PrintArea" localSheetId="30" hidden="1">'19. Signing &amp; Marking Analysis'!$A$2:$E$20</definedName>
    <definedName name="Z_EFE02F7B_3837_4B0F_9646_ADE249504E9F_.wvu.PrintArea" localSheetId="31" hidden="1">'20. Signing &amp; Marking Plans'!$A$2:$C$13</definedName>
    <definedName name="Z_EFE02F7B_3837_4B0F_9646_ADE249504E9F_.wvu.PrintArea" localSheetId="33" hidden="1">'21. Signalization Analysis'!$A$2:$E$23</definedName>
    <definedName name="Z_EFE02F7B_3837_4B0F_9646_ADE249504E9F_.wvu.PrintArea" localSheetId="34" hidden="1">'22. Signalization Plans'!$A$2:$C$17</definedName>
    <definedName name="Z_EFE02F7B_3837_4B0F_9646_ADE249504E9F_.wvu.PrintArea" localSheetId="36" hidden="1">'23. Lighting Analysis'!$A$2:$E$21</definedName>
    <definedName name="Z_EFE02F7B_3837_4B0F_9646_ADE249504E9F_.wvu.PrintArea" localSheetId="37" hidden="1">'24. Lighting Plans'!$A$2:$C$14</definedName>
    <definedName name="Z_EFE02F7B_3837_4B0F_9646_ADE249504E9F_.wvu.PrintArea" localSheetId="39" hidden="1">'25. Landscape Analysis '!$A$2:$C$23</definedName>
    <definedName name="Z_EFE02F7B_3837_4B0F_9646_ADE249504E9F_.wvu.PrintArea" localSheetId="40" hidden="1">'26. Landscape Plans'!$A$2:$C$16</definedName>
    <definedName name="Z_EFE02F7B_3837_4B0F_9646_ADE249504E9F_.wvu.PrintArea" localSheetId="42" hidden="1">'27. Survey'!$A$2:$E$106</definedName>
    <definedName name="Z_EFE02F7B_3837_4B0F_9646_ADE249504E9F_.wvu.PrintArea" localSheetId="43" hidden="1">'28. Photogrammetry'!$A$2:$E$36</definedName>
    <definedName name="Z_EFE02F7B_3837_4B0F_9646_ADE249504E9F_.wvu.PrintArea" localSheetId="44" hidden="1">'29. Mapping'!$A$2:$C$43</definedName>
    <definedName name="Z_EFE02F7B_3837_4B0F_9646_ADE249504E9F_.wvu.PrintArea" localSheetId="5" hidden="1">'3. Project General Tasks'!$A$2:$E$30</definedName>
    <definedName name="Z_EFE02F7B_3837_4B0F_9646_ADE249504E9F_.wvu.PrintArea" localSheetId="47" hidden="1">'31. Architecture Development'!$A$2:$E$174</definedName>
    <definedName name="Z_EFE02F7B_3837_4B0F_9646_ADE249504E9F_.wvu.PrintArea" localSheetId="49" hidden="1">'32. Noise Barrier Assessment'!$A$2:$E$14</definedName>
    <definedName name="Z_EFE02F7B_3837_4B0F_9646_ADE249504E9F_.wvu.PrintArea" localSheetId="54" hidden="1">'35. Geotechnical'!$A$2:$E$66</definedName>
    <definedName name="Z_EFE02F7B_3837_4B0F_9646_ADE249504E9F_.wvu.PrintArea" localSheetId="8" hidden="1">'4. Roadway Analysis'!$A$2:$C$30</definedName>
    <definedName name="Z_EFE02F7B_3837_4B0F_9646_ADE249504E9F_.wvu.PrintArea" localSheetId="9" hidden="1">'5. Roadway Plans'!$A$2:$C$22</definedName>
    <definedName name="Z_EFE02F7B_3837_4B0F_9646_ADE249504E9F_.wvu.PrintArea" localSheetId="10" hidden="1">'6a. Drainage Analysis'!$A$2:$F$41</definedName>
    <definedName name="Z_EFE02F7B_3837_4B0F_9646_ADE249504E9F_.wvu.PrintArea" localSheetId="11" hidden="1">'6b. Drainage Plans'!$A$2:$C$10</definedName>
    <definedName name="Z_EFE02F7B_3837_4B0F_9646_ADE249504E9F_.wvu.PrintArea" localSheetId="13" hidden="1">'6c. Selective C&amp;G'!$A$2:$C$13</definedName>
    <definedName name="Z_EFE02F7B_3837_4B0F_9646_ADE249504E9F_.wvu.PrintArea" localSheetId="15" hidden="1">'7. Utilities'!$A$2:$E$19</definedName>
    <definedName name="Z_EFE02F7B_3837_4B0F_9646_ADE249504E9F_.wvu.PrintArea" localSheetId="17" hidden="1">'8. Environmental Permits'!$A$2:$E$48</definedName>
    <definedName name="Z_EFE02F7B_3837_4B0F_9646_ADE249504E9F_.wvu.PrintArea" localSheetId="19" hidden="1">'9. Str. -Summ Misc Tasks &amp; Dwgs'!$A$2:$E$31</definedName>
    <definedName name="Z_EFE02F7B_3837_4B0F_9646_ADE249504E9F_.wvu.PrintArea" localSheetId="0" hidden="1">'Title Sheet'!$A$1:$A$16</definedName>
    <definedName name="Z_EFE02F7B_3837_4B0F_9646_ADE249504E9F_.wvu.PrintTitles" localSheetId="20" hidden="1">'10. Structures-BDR'!$1:$3</definedName>
    <definedName name="Z_EFE02F7B_3837_4B0F_9646_ADE249504E9F_.wvu.PrintTitles" localSheetId="21" hidden="1">'11. Str.-Temporary Bridge'!$1:$4</definedName>
    <definedName name="Z_EFE02F7B_3837_4B0F_9646_ADE249504E9F_.wvu.PrintTitles" localSheetId="22" hidden="1">'12. Str.-Short Span Concrete'!$A:$B,'12. Str.-Short Span Concrete'!$1:$3</definedName>
    <definedName name="Z_EFE02F7B_3837_4B0F_9646_ADE249504E9F_.wvu.PrintTitles" localSheetId="23" hidden="1">'13. Str.-Medium Span Concrete '!$1:$3</definedName>
    <definedName name="Z_EFE02F7B_3837_4B0F_9646_ADE249504E9F_.wvu.PrintTitles" localSheetId="24" hidden="1">'14. Structures-Structural Steel'!$1:$3</definedName>
    <definedName name="Z_EFE02F7B_3837_4B0F_9646_ADE249504E9F_.wvu.PrintTitles" localSheetId="25" hidden="1">'15.Str.-Segmental Concrete'!$1:$3</definedName>
    <definedName name="Z_EFE02F7B_3837_4B0F_9646_ADE249504E9F_.wvu.PrintTitles" localSheetId="26" hidden="1">'16. Structures-Movable Span'!$1:$3</definedName>
    <definedName name="Z_EFE02F7B_3837_4B0F_9646_ADE249504E9F_.wvu.PrintTitles" localSheetId="27" hidden="1">'17. Structures-Retaining Walls'!$1:$3</definedName>
    <definedName name="Z_EFE02F7B_3837_4B0F_9646_ADE249504E9F_.wvu.PrintTitles" localSheetId="28" hidden="1">'18. Structures-Miscellaneous'!$A:$B,'18. Structures-Miscellaneous'!$1:$3</definedName>
    <definedName name="Z_EFE02F7B_3837_4B0F_9646_ADE249504E9F_.wvu.PrintTitles" localSheetId="30" hidden="1">'19. Signing &amp; Marking Analysis'!$2:$2</definedName>
    <definedName name="Z_EFE02F7B_3837_4B0F_9646_ADE249504E9F_.wvu.PrintTitles" localSheetId="31" hidden="1">'20. Signing &amp; Marking Plans'!$2:$2</definedName>
    <definedName name="Z_EFE02F7B_3837_4B0F_9646_ADE249504E9F_.wvu.PrintTitles" localSheetId="33" hidden="1">'21. Signalization Analysis'!$2:$2</definedName>
    <definedName name="Z_EFE02F7B_3837_4B0F_9646_ADE249504E9F_.wvu.PrintTitles" localSheetId="34" hidden="1">'22. Signalization Plans'!$2:$2</definedName>
    <definedName name="Z_EFE02F7B_3837_4B0F_9646_ADE249504E9F_.wvu.PrintTitles" localSheetId="36" hidden="1">'23. Lighting Analysis'!$2:$2</definedName>
    <definedName name="Z_EFE02F7B_3837_4B0F_9646_ADE249504E9F_.wvu.PrintTitles" localSheetId="37" hidden="1">'24. Lighting Plans'!$2:$2</definedName>
    <definedName name="Z_EFE02F7B_3837_4B0F_9646_ADE249504E9F_.wvu.PrintTitles" localSheetId="39" hidden="1">'25. Landscape Analysis '!$2:$2</definedName>
    <definedName name="Z_EFE02F7B_3837_4B0F_9646_ADE249504E9F_.wvu.PrintTitles" localSheetId="40" hidden="1">'26. Landscape Plans'!$2:$2</definedName>
    <definedName name="Z_EFE02F7B_3837_4B0F_9646_ADE249504E9F_.wvu.PrintTitles" localSheetId="42" hidden="1">'27. Survey'!$2:$2</definedName>
    <definedName name="Z_EFE02F7B_3837_4B0F_9646_ADE249504E9F_.wvu.PrintTitles" localSheetId="43" hidden="1">'28. Photogrammetry'!$2:$2</definedName>
    <definedName name="Z_EFE02F7B_3837_4B0F_9646_ADE249504E9F_.wvu.PrintTitles" localSheetId="44" hidden="1">'29. Mapping'!$2:$2</definedName>
    <definedName name="Z_EFE02F7B_3837_4B0F_9646_ADE249504E9F_.wvu.PrintTitles" localSheetId="5" hidden="1">'3. Project General Tasks'!$2:$2</definedName>
    <definedName name="Z_EFE02F7B_3837_4B0F_9646_ADE249504E9F_.wvu.PrintTitles" localSheetId="47" hidden="1">'31. Architecture Development'!$2:$2</definedName>
    <definedName name="Z_EFE02F7B_3837_4B0F_9646_ADE249504E9F_.wvu.PrintTitles" localSheetId="54" hidden="1">'35. Geotechnical'!$2:$2</definedName>
    <definedName name="Z_EFE02F7B_3837_4B0F_9646_ADE249504E9F_.wvu.PrintTitles" localSheetId="8" hidden="1">'4. Roadway Analysis'!$2:$2</definedName>
    <definedName name="Z_EFE02F7B_3837_4B0F_9646_ADE249504E9F_.wvu.PrintTitles" localSheetId="9" hidden="1">'5. Roadway Plans'!$2:$2</definedName>
    <definedName name="Z_EFE02F7B_3837_4B0F_9646_ADE249504E9F_.wvu.PrintTitles" localSheetId="10" hidden="1">'6a. Drainage Analysis'!$2:$4</definedName>
    <definedName name="Z_EFE02F7B_3837_4B0F_9646_ADE249504E9F_.wvu.PrintTitles" localSheetId="11" hidden="1">'6b. Drainage Plans'!$2:$2</definedName>
    <definedName name="Z_EFE02F7B_3837_4B0F_9646_ADE249504E9F_.wvu.PrintTitles" localSheetId="13" hidden="1">'6c. Selective C&amp;G'!$2:$2</definedName>
    <definedName name="Z_EFE02F7B_3837_4B0F_9646_ADE249504E9F_.wvu.PrintTitles" localSheetId="15" hidden="1">'7. Utilities'!$2:$2</definedName>
    <definedName name="Z_EFE02F7B_3837_4B0F_9646_ADE249504E9F_.wvu.PrintTitles" localSheetId="17" hidden="1">'8. Environmental Permits'!$2:$2</definedName>
    <definedName name="Z_EFE02F7B_3837_4B0F_9646_ADE249504E9F_.wvu.PrintTitles" localSheetId="19" hidden="1">'9. Str. -Summ Misc Tasks &amp; Dwgs'!$2:$2</definedName>
    <definedName name="Z_F5DBE5B9_A9E4_4030_888B_08F930ECBB74_.wvu.Cols" localSheetId="20" hidden="1">'10. Structures-BDR'!#REF!</definedName>
    <definedName name="Z_F5DBE5B9_A9E4_4030_888B_08F930ECBB74_.wvu.Cols" localSheetId="21" hidden="1">'11. Str.-Temporary Bridge'!#REF!</definedName>
    <definedName name="Z_F5DBE5B9_A9E4_4030_888B_08F930ECBB74_.wvu.Cols" localSheetId="22" hidden="1">'12. Str.-Short Span Concrete'!#REF!</definedName>
    <definedName name="Z_F5DBE5B9_A9E4_4030_888B_08F930ECBB74_.wvu.Cols" localSheetId="23" hidden="1">'13. Str.-Medium Span Concrete '!#REF!</definedName>
    <definedName name="Z_F5DBE5B9_A9E4_4030_888B_08F930ECBB74_.wvu.Cols" localSheetId="24" hidden="1">'14. Structures-Structural Steel'!#REF!</definedName>
    <definedName name="Z_F5DBE5B9_A9E4_4030_888B_08F930ECBB74_.wvu.Cols" localSheetId="25" hidden="1">'15.Str.-Segmental Concrete'!#REF!</definedName>
    <definedName name="Z_F5DBE5B9_A9E4_4030_888B_08F930ECBB74_.wvu.Cols" localSheetId="26" hidden="1">'16. Structures-Movable Span'!#REF!</definedName>
    <definedName name="Z_F5DBE5B9_A9E4_4030_888B_08F930ECBB74_.wvu.Cols" localSheetId="27" hidden="1">'17. Structures-Retaining Walls'!#REF!</definedName>
    <definedName name="Z_F5DBE5B9_A9E4_4030_888B_08F930ECBB74_.wvu.Cols" localSheetId="28" hidden="1">'18. Structures-Miscellaneous'!#REF!</definedName>
    <definedName name="Z_F5DBE5B9_A9E4_4030_888B_08F930ECBB74_.wvu.Cols" localSheetId="30" hidden="1">'19. Signing &amp; Marking Analysis'!#REF!</definedName>
    <definedName name="Z_F5DBE5B9_A9E4_4030_888B_08F930ECBB74_.wvu.Cols" localSheetId="31" hidden="1">'20. Signing &amp; Marking Plans'!#REF!</definedName>
    <definedName name="Z_F5DBE5B9_A9E4_4030_888B_08F930ECBB74_.wvu.Cols" localSheetId="33" hidden="1">'21. Signalization Analysis'!#REF!</definedName>
    <definedName name="Z_F5DBE5B9_A9E4_4030_888B_08F930ECBB74_.wvu.Cols" localSheetId="34" hidden="1">'22. Signalization Plans'!#REF!</definedName>
    <definedName name="Z_F5DBE5B9_A9E4_4030_888B_08F930ECBB74_.wvu.Cols" localSheetId="36" hidden="1">'23. Lighting Analysis'!#REF!</definedName>
    <definedName name="Z_F5DBE5B9_A9E4_4030_888B_08F930ECBB74_.wvu.Cols" localSheetId="37" hidden="1">'24. Lighting Plans'!#REF!</definedName>
    <definedName name="Z_F5DBE5B9_A9E4_4030_888B_08F930ECBB74_.wvu.Cols" localSheetId="39" hidden="1">'25. Landscape Analysis '!#REF!</definedName>
    <definedName name="Z_F5DBE5B9_A9E4_4030_888B_08F930ECBB74_.wvu.Cols" localSheetId="40" hidden="1">'26. Landscape Plans'!#REF!</definedName>
    <definedName name="Z_F5DBE5B9_A9E4_4030_888B_08F930ECBB74_.wvu.Cols" localSheetId="42" hidden="1">'27. Survey'!#REF!</definedName>
    <definedName name="Z_F5DBE5B9_A9E4_4030_888B_08F930ECBB74_.wvu.Cols" localSheetId="43" hidden="1">'28. Photogrammetry'!#REF!</definedName>
    <definedName name="Z_F5DBE5B9_A9E4_4030_888B_08F930ECBB74_.wvu.Cols" localSheetId="44" hidden="1">'29. Mapping'!#REF!</definedName>
    <definedName name="Z_F5DBE5B9_A9E4_4030_888B_08F930ECBB74_.wvu.Cols" localSheetId="5" hidden="1">'3. Project General Tasks'!#REF!</definedName>
    <definedName name="Z_F5DBE5B9_A9E4_4030_888B_08F930ECBB74_.wvu.Cols" localSheetId="47" hidden="1">'31. Architecture Development'!#REF!</definedName>
    <definedName name="Z_F5DBE5B9_A9E4_4030_888B_08F930ECBB74_.wvu.Cols" localSheetId="54" hidden="1">'35. Geotechnical'!#REF!</definedName>
    <definedName name="Z_F5DBE5B9_A9E4_4030_888B_08F930ECBB74_.wvu.Cols" localSheetId="8" hidden="1">'4. Roadway Analysis'!#REF!</definedName>
    <definedName name="Z_F5DBE5B9_A9E4_4030_888B_08F930ECBB74_.wvu.Cols" localSheetId="9" hidden="1">'5. Roadway Plans'!#REF!</definedName>
    <definedName name="Z_F5DBE5B9_A9E4_4030_888B_08F930ECBB74_.wvu.Cols" localSheetId="10" hidden="1">'6a. Drainage Analysis'!#REF!</definedName>
    <definedName name="Z_F5DBE5B9_A9E4_4030_888B_08F930ECBB74_.wvu.Cols" localSheetId="11" hidden="1">'6b. Drainage Plans'!#REF!</definedName>
    <definedName name="Z_F5DBE5B9_A9E4_4030_888B_08F930ECBB74_.wvu.Cols" localSheetId="13" hidden="1">'6c. Selective C&amp;G'!#REF!</definedName>
    <definedName name="Z_F5DBE5B9_A9E4_4030_888B_08F930ECBB74_.wvu.Cols" localSheetId="15" hidden="1">'7. Utilities'!#REF!</definedName>
    <definedName name="Z_F5DBE5B9_A9E4_4030_888B_08F930ECBB74_.wvu.Cols" localSheetId="17" hidden="1">'8. Environmental Permits'!#REF!</definedName>
    <definedName name="Z_F5DBE5B9_A9E4_4030_888B_08F930ECBB74_.wvu.Cols" localSheetId="19" hidden="1">'9. Str. -Summ Misc Tasks &amp; Dwgs'!#REF!</definedName>
    <definedName name="Z_F5DBE5B9_A9E4_4030_888B_08F930ECBB74_.wvu.PrintArea" localSheetId="21" hidden="1">'11. Str.-Temporary Bridge'!$A$1:$E$16</definedName>
    <definedName name="Z_F5DBE5B9_A9E4_4030_888B_08F930ECBB74_.wvu.PrintArea" localSheetId="22" hidden="1">'12. Str.-Short Span Concrete'!$A$1:$E$41</definedName>
    <definedName name="Z_F5DBE5B9_A9E4_4030_888B_08F930ECBB74_.wvu.PrintArea" localSheetId="23" hidden="1">'13. Str.-Medium Span Concrete '!$A$1:$E$71</definedName>
    <definedName name="Z_F5DBE5B9_A9E4_4030_888B_08F930ECBB74_.wvu.PrintArea" localSheetId="24" hidden="1">'14. Structures-Structural Steel'!$A$1:$E$132</definedName>
    <definedName name="Z_F5DBE5B9_A9E4_4030_888B_08F930ECBB74_.wvu.PrintArea" localSheetId="30" hidden="1">'19. Signing &amp; Marking Analysis'!$A$2:$E$20</definedName>
    <definedName name="Z_F5DBE5B9_A9E4_4030_888B_08F930ECBB74_.wvu.PrintArea" localSheetId="31" hidden="1">'20. Signing &amp; Marking Plans'!$A$2:$C$13</definedName>
    <definedName name="Z_F5DBE5B9_A9E4_4030_888B_08F930ECBB74_.wvu.PrintArea" localSheetId="33" hidden="1">'21. Signalization Analysis'!$A$2:$E$23</definedName>
    <definedName name="Z_F5DBE5B9_A9E4_4030_888B_08F930ECBB74_.wvu.PrintArea" localSheetId="34" hidden="1">'22. Signalization Plans'!$A$2:$C$17</definedName>
    <definedName name="Z_F5DBE5B9_A9E4_4030_888B_08F930ECBB74_.wvu.PrintArea" localSheetId="36" hidden="1">'23. Lighting Analysis'!$A$2:$E$21</definedName>
    <definedName name="Z_F5DBE5B9_A9E4_4030_888B_08F930ECBB74_.wvu.PrintArea" localSheetId="37" hidden="1">'24. Lighting Plans'!$A$2:$C$14</definedName>
    <definedName name="Z_F5DBE5B9_A9E4_4030_888B_08F930ECBB74_.wvu.PrintArea" localSheetId="39" hidden="1">'25. Landscape Analysis '!$A$2:$C$23</definedName>
    <definedName name="Z_F5DBE5B9_A9E4_4030_888B_08F930ECBB74_.wvu.PrintArea" localSheetId="40" hidden="1">'26. Landscape Plans'!$A$2:$C$16</definedName>
    <definedName name="Z_F5DBE5B9_A9E4_4030_888B_08F930ECBB74_.wvu.PrintArea" localSheetId="42" hidden="1">'27. Survey'!$A$2:$E$106</definedName>
    <definedName name="Z_F5DBE5B9_A9E4_4030_888B_08F930ECBB74_.wvu.PrintArea" localSheetId="43" hidden="1">'28. Photogrammetry'!$A$2:$E$36</definedName>
    <definedName name="Z_F5DBE5B9_A9E4_4030_888B_08F930ECBB74_.wvu.PrintArea" localSheetId="44" hidden="1">'29. Mapping'!$A$2:$C$43</definedName>
    <definedName name="Z_F5DBE5B9_A9E4_4030_888B_08F930ECBB74_.wvu.PrintArea" localSheetId="5" hidden="1">'3. Project General Tasks'!$A$2:$E$30</definedName>
    <definedName name="Z_F5DBE5B9_A9E4_4030_888B_08F930ECBB74_.wvu.PrintArea" localSheetId="47" hidden="1">'31. Architecture Development'!$A$2:$E$174</definedName>
    <definedName name="Z_F5DBE5B9_A9E4_4030_888B_08F930ECBB74_.wvu.PrintArea" localSheetId="54" hidden="1">'35. Geotechnical'!$A$2:$E$66</definedName>
    <definedName name="Z_F5DBE5B9_A9E4_4030_888B_08F930ECBB74_.wvu.PrintArea" localSheetId="8" hidden="1">'4. Roadway Analysis'!$A$2:$C$30</definedName>
    <definedName name="Z_F5DBE5B9_A9E4_4030_888B_08F930ECBB74_.wvu.PrintArea" localSheetId="9" hidden="1">'5. Roadway Plans'!$A$2:$C$22</definedName>
    <definedName name="Z_F5DBE5B9_A9E4_4030_888B_08F930ECBB74_.wvu.PrintArea" localSheetId="10" hidden="1">'6a. Drainage Analysis'!$A$2:$F$41</definedName>
    <definedName name="Z_F5DBE5B9_A9E4_4030_888B_08F930ECBB74_.wvu.PrintArea" localSheetId="11" hidden="1">'6b. Drainage Plans'!$A$2:$C$10</definedName>
    <definedName name="Z_F5DBE5B9_A9E4_4030_888B_08F930ECBB74_.wvu.PrintArea" localSheetId="13" hidden="1">'6c. Selective C&amp;G'!$A$2:$C$13</definedName>
    <definedName name="Z_F5DBE5B9_A9E4_4030_888B_08F930ECBB74_.wvu.PrintArea" localSheetId="15" hidden="1">'7. Utilities'!$A$2:$E$19</definedName>
    <definedName name="Z_F5DBE5B9_A9E4_4030_888B_08F930ECBB74_.wvu.PrintArea" localSheetId="17" hidden="1">'8. Environmental Permits'!$A$2:$E$48</definedName>
    <definedName name="Z_F5DBE5B9_A9E4_4030_888B_08F930ECBB74_.wvu.PrintArea" localSheetId="19" hidden="1">'9. Str. -Summ Misc Tasks &amp; Dwgs'!$A$2:$E$31</definedName>
    <definedName name="Z_F5DBE5B9_A9E4_4030_888B_08F930ECBB74_.wvu.PrintArea" localSheetId="0" hidden="1">'Title Sheet'!$A$1:$A$16</definedName>
    <definedName name="Z_F5DBE5B9_A9E4_4030_888B_08F930ECBB74_.wvu.PrintTitles" localSheetId="20" hidden="1">'10. Structures-BDR'!$1:$3</definedName>
    <definedName name="Z_F5DBE5B9_A9E4_4030_888B_08F930ECBB74_.wvu.PrintTitles" localSheetId="21" hidden="1">'11. Str.-Temporary Bridge'!$1:$4</definedName>
    <definedName name="Z_F5DBE5B9_A9E4_4030_888B_08F930ECBB74_.wvu.PrintTitles" localSheetId="22" hidden="1">'12. Str.-Short Span Concrete'!$A:$B,'12. Str.-Short Span Concrete'!$1:$3</definedName>
    <definedName name="Z_F5DBE5B9_A9E4_4030_888B_08F930ECBB74_.wvu.PrintTitles" localSheetId="23" hidden="1">'13. Str.-Medium Span Concrete '!$1:$3</definedName>
    <definedName name="Z_F5DBE5B9_A9E4_4030_888B_08F930ECBB74_.wvu.PrintTitles" localSheetId="24" hidden="1">'14. Structures-Structural Steel'!$1:$3</definedName>
    <definedName name="Z_F5DBE5B9_A9E4_4030_888B_08F930ECBB74_.wvu.PrintTitles" localSheetId="25" hidden="1">'15.Str.-Segmental Concrete'!$1:$3</definedName>
    <definedName name="Z_F5DBE5B9_A9E4_4030_888B_08F930ECBB74_.wvu.PrintTitles" localSheetId="26" hidden="1">'16. Structures-Movable Span'!$1:$3</definedName>
    <definedName name="Z_F5DBE5B9_A9E4_4030_888B_08F930ECBB74_.wvu.PrintTitles" localSheetId="27" hidden="1">'17. Structures-Retaining Walls'!$1:$3</definedName>
    <definedName name="Z_F5DBE5B9_A9E4_4030_888B_08F930ECBB74_.wvu.PrintTitles" localSheetId="28" hidden="1">'18. Structures-Miscellaneous'!$A:$B,'18. Structures-Miscellaneous'!$1:$3</definedName>
    <definedName name="Z_F5DBE5B9_A9E4_4030_888B_08F930ECBB74_.wvu.PrintTitles" localSheetId="30" hidden="1">'19. Signing &amp; Marking Analysis'!$2:$2</definedName>
    <definedName name="Z_F5DBE5B9_A9E4_4030_888B_08F930ECBB74_.wvu.PrintTitles" localSheetId="31" hidden="1">'20. Signing &amp; Marking Plans'!$2:$2</definedName>
    <definedName name="Z_F5DBE5B9_A9E4_4030_888B_08F930ECBB74_.wvu.PrintTitles" localSheetId="33" hidden="1">'21. Signalization Analysis'!$2:$2</definedName>
    <definedName name="Z_F5DBE5B9_A9E4_4030_888B_08F930ECBB74_.wvu.PrintTitles" localSheetId="34" hidden="1">'22. Signalization Plans'!$2:$2</definedName>
    <definedName name="Z_F5DBE5B9_A9E4_4030_888B_08F930ECBB74_.wvu.PrintTitles" localSheetId="36" hidden="1">'23. Lighting Analysis'!$2:$2</definedName>
    <definedName name="Z_F5DBE5B9_A9E4_4030_888B_08F930ECBB74_.wvu.PrintTitles" localSheetId="37" hidden="1">'24. Lighting Plans'!$2:$2</definedName>
    <definedName name="Z_F5DBE5B9_A9E4_4030_888B_08F930ECBB74_.wvu.PrintTitles" localSheetId="39" hidden="1">'25. Landscape Analysis '!$2:$2</definedName>
    <definedName name="Z_F5DBE5B9_A9E4_4030_888B_08F930ECBB74_.wvu.PrintTitles" localSheetId="40" hidden="1">'26. Landscape Plans'!$2:$2</definedName>
    <definedName name="Z_F5DBE5B9_A9E4_4030_888B_08F930ECBB74_.wvu.PrintTitles" localSheetId="42" hidden="1">'27. Survey'!$2:$2</definedName>
    <definedName name="Z_F5DBE5B9_A9E4_4030_888B_08F930ECBB74_.wvu.PrintTitles" localSheetId="43" hidden="1">'28. Photogrammetry'!$2:$2</definedName>
    <definedName name="Z_F5DBE5B9_A9E4_4030_888B_08F930ECBB74_.wvu.PrintTitles" localSheetId="44" hidden="1">'29. Mapping'!$2:$2</definedName>
    <definedName name="Z_F5DBE5B9_A9E4_4030_888B_08F930ECBB74_.wvu.PrintTitles" localSheetId="5" hidden="1">'3. Project General Tasks'!$2:$2</definedName>
    <definedName name="Z_F5DBE5B9_A9E4_4030_888B_08F930ECBB74_.wvu.PrintTitles" localSheetId="47" hidden="1">'31. Architecture Development'!$2:$2</definedName>
    <definedName name="Z_F5DBE5B9_A9E4_4030_888B_08F930ECBB74_.wvu.PrintTitles" localSheetId="54" hidden="1">'35. Geotechnical'!$2:$2</definedName>
    <definedName name="Z_F5DBE5B9_A9E4_4030_888B_08F930ECBB74_.wvu.PrintTitles" localSheetId="8" hidden="1">'4. Roadway Analysis'!$2:$2</definedName>
    <definedName name="Z_F5DBE5B9_A9E4_4030_888B_08F930ECBB74_.wvu.PrintTitles" localSheetId="9" hidden="1">'5. Roadway Plans'!$2:$2</definedName>
    <definedName name="Z_F5DBE5B9_A9E4_4030_888B_08F930ECBB74_.wvu.PrintTitles" localSheetId="10" hidden="1">'6a. Drainage Analysis'!$2:$4</definedName>
    <definedName name="Z_F5DBE5B9_A9E4_4030_888B_08F930ECBB74_.wvu.PrintTitles" localSheetId="11" hidden="1">'6b. Drainage Plans'!$2:$2</definedName>
    <definedName name="Z_F5DBE5B9_A9E4_4030_888B_08F930ECBB74_.wvu.PrintTitles" localSheetId="13" hidden="1">'6c. Selective C&amp;G'!$2:$2</definedName>
    <definedName name="Z_F5DBE5B9_A9E4_4030_888B_08F930ECBB74_.wvu.PrintTitles" localSheetId="15" hidden="1">'7. Utilities'!$2:$2</definedName>
    <definedName name="Z_F5DBE5B9_A9E4_4030_888B_08F930ECBB74_.wvu.PrintTitles" localSheetId="17" hidden="1">'8. Environmental Permits'!$2:$2</definedName>
    <definedName name="Z_F5DBE5B9_A9E4_4030_888B_08F930ECBB74_.wvu.PrintTitles" localSheetId="19" hidden="1">'9. Str. -Summ Misc Tasks &amp; Dwgs'!$2:$2</definedName>
    <definedName name="Z_F9D86940_2653_4337_B9CA_6897524D27BA_.wvu.Cols" localSheetId="47" hidden="1">'31. Architecture Development'!#REF!</definedName>
    <definedName name="Z_F9D86940_2653_4337_B9CA_6897524D27BA_.wvu.PrintArea" localSheetId="47" hidden="1">'31. Architecture Development'!$A$2:$E$173</definedName>
    <definedName name="Z_F9D86940_2653_4337_B9CA_6897524D27BA_.wvu.PrintTitles" localSheetId="47" hidden="1">'31. Architecture Development'!$2:$2</definedName>
  </definedNames>
  <calcPr calcId="191029"/>
  <customWorkbookViews>
    <customWorkbookView name="Dianne M. Perkins - Personal View" guid="{4FEDB3BD-111A-4B7D-AA97-E67173A5F707}" mergeInterval="0" personalView="1" maximized="1" windowWidth="1020" windowHeight="605" tabRatio="809" activeSheetId="48"/>
    <customWorkbookView name="Doug Martin - Personal View" guid="{D5FFA8DD-F2DB-47F2-B4D2-3681726B2E8F}" mergeInterval="0" personalView="1" maximized="1" windowWidth="1276" windowHeight="834" tabRatio="809" activeSheetId="1"/>
    <customWorkbookView name="qi972ar - Personal View" guid="{EFE02F7B-3837-4B0F-9646-ADE249504E9F}" mergeInterval="0" personalView="1" maximized="1" windowWidth="1020" windowHeight="603" tabRatio="809" activeSheetId="12"/>
    <customWorkbookView name="FDOT - Personal View" guid="{053BE130-58A3-4F3B-945A-C2EFB15C6264}" mergeInterval="0" personalView="1" maximized="1" windowWidth="1276" windowHeight="861" tabRatio="809" activeSheetId="7"/>
    <customWorkbookView name="ADMIN - Personal View" guid="{F5DBE5B9-A9E4-4030-888B-08F930ECBB74}" mergeInterval="0" personalView="1" maximized="1" windowWidth="1020" windowHeight="583" tabRatio="809" activeSheetId="3" showFormulaBar="0"/>
    <customWorkbookView name="Thomas C. Morrison - Personal View" guid="{960FB4AF-B150-4523-972C-3F7C93F049F3}" mergeInterval="0" personalView="1" maximized="1" windowWidth="1276" windowHeight="877" tabRatio="809" activeSheetId="17"/>
    <customWorkbookView name="Valerie R. Vaughn - Personal View" guid="{DF3BD4C9-2986-4236-8E90-D96736404377}" mergeInterval="0" personalView="1" maximized="1" windowWidth="1148" windowHeight="701" tabRatio="809" activeSheetId="22"/>
  </customWorkbookView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9" i="69" l="1"/>
  <c r="E16" i="69"/>
  <c r="E13" i="69"/>
  <c r="E10" i="69"/>
  <c r="E7" i="69"/>
  <c r="E4" i="69"/>
  <c r="E22" i="69" s="1"/>
  <c r="G22" i="69" s="1"/>
  <c r="E40" i="67" l="1"/>
  <c r="E36" i="67"/>
  <c r="E32" i="67"/>
  <c r="E28" i="67"/>
  <c r="E24" i="67"/>
  <c r="E20" i="67"/>
  <c r="E16" i="67"/>
  <c r="E12" i="67"/>
  <c r="E8" i="67"/>
  <c r="E44" i="67" s="1"/>
  <c r="G44" i="67" s="1"/>
  <c r="E4" i="67"/>
</calcChain>
</file>

<file path=xl/sharedStrings.xml><?xml version="1.0" encoding="utf-8"?>
<sst xmlns="http://schemas.openxmlformats.org/spreadsheetml/2006/main" count="7185" uniqueCount="3392">
  <si>
    <t>Provide camber diagram and tables of girder deflections and geometric camber. Low range: straight, constant width, normal ends. High range: curved, variable width, skewed.</t>
  </si>
  <si>
    <t>Size and locate Intermediate Stiffeners, Crossframe Connectors, Jacking Stiffeners and Bearing Stiffeners.  Ranges depend upon repetition, geometry and complexity.</t>
  </si>
  <si>
    <t>Size Exterior Intermediate and End Crossframes.  Ranges depend upon repetition, geometry and complexity.</t>
  </si>
  <si>
    <t>Determine Camber, Geometric Camber.  Ranges depend upon repetition, geometry and complexity.</t>
  </si>
  <si>
    <t>Provide detailed layout of structural steel girders with locations of cross-frames, lateral bracing all stiffeners and splices. Low range: straight, constant width, normal ends. High range: curved, variable width, skewed.</t>
  </si>
  <si>
    <t>All efforts required for establishing the signal interconnect master design file to include reference files of topo, r/w, roadway, utilities files etc.  Includes design and layout of proposed signal interconnect conduit, signal cabinet, pull boxes, etc  (Middle range: 8 hours for setup and up to 24 hours per mile; Upper Range:  8 hours for setup and up to 32 hours per mile). Range based on project classifications shown in the guidelines for this section.</t>
  </si>
  <si>
    <t>Other Lighting Analysis</t>
  </si>
  <si>
    <t>LBR/Resilient Modulus Sampling</t>
  </si>
  <si>
    <t>Design LBR</t>
  </si>
  <si>
    <t>Laboratory Data</t>
  </si>
  <si>
    <t>Seasonal High Water Table</t>
  </si>
  <si>
    <t>Parameters for Water Retention Areas</t>
  </si>
  <si>
    <t>Delineate Limits of Unsuitable Material</t>
  </si>
  <si>
    <t>Embank-ment Boring</t>
  </si>
  <si>
    <t xml:space="preserve">Preliminary Roadway Report </t>
  </si>
  <si>
    <t>Tabulation of all Laboratory Data</t>
  </si>
  <si>
    <t>Selection of Foundation Alternatives (BDR)</t>
  </si>
  <si>
    <t>Lateral Load Analysis (Optional)</t>
  </si>
  <si>
    <t>Sheet Pile Wall Analysis (Optional)</t>
  </si>
  <si>
    <t>Staff hours include travel time to and from project site, time for sample collection, and time to travel between sampling locations.  Sample collection time can vary from ¼ to 1.0 hour per sample.  The staff hours assigned for this task vary greatly based on distance to and from the project site as well as distance between sample collection locations.  Collection of the physical sample typically will not vary tremendously from one project site to another, however; the other distance variable will be the overriding determinant in the number of staff hours assigned.  Hours assigned to this task assume the corrosion samples are collected after the borings, and  the engineer has subsequently targeted specific locations for sampling during the evaluation of the borings.</t>
  </si>
  <si>
    <t>54321</t>
  </si>
  <si>
    <t>Access Management Classification:</t>
  </si>
  <si>
    <t>Prepare all basic HVAC load and basic equipment and component selection.</t>
  </si>
  <si>
    <t>3% to 5% of total architectural plans technical subtotal.</t>
  </si>
  <si>
    <t xml:space="preserve">5% to 8% of total structural plans technical subtotal. </t>
  </si>
  <si>
    <t>3% to 5% of total structural plans technical subtotal.</t>
  </si>
  <si>
    <t>Mechanical Plans Technical Subtotal</t>
  </si>
  <si>
    <t xml:space="preserve">5% to 8% of total mechanical plans technical subtotal. </t>
  </si>
  <si>
    <t>3% to 5% of total mechanical plans technical subtotal.</t>
  </si>
  <si>
    <t>Plumbing Plans Technical Subtotal</t>
  </si>
  <si>
    <t>Fire Protection Plans Technical Subtotal</t>
  </si>
  <si>
    <t xml:space="preserve">5% to 8% of total plumbing plans technical subtotal. </t>
  </si>
  <si>
    <t>3% to 5% of total plumbing plans technical subtotal.</t>
  </si>
  <si>
    <t>Electrical Plans Technical Subtotal</t>
  </si>
  <si>
    <t xml:space="preserve">5% to 8% of total electrical plans technical subtotal. </t>
  </si>
  <si>
    <t>3% to 5% of total electrical plans technical subtotal.</t>
  </si>
  <si>
    <t>Panel Board and Light Fixture Schedules</t>
  </si>
  <si>
    <t>HVAC/Plumbing/Electrical Cables</t>
  </si>
  <si>
    <t>Schematic plan view of drive train, motors, brakes, speed reducers, bearing shafts, trunnions, couplers, including notes and dimensions. Low range for enclosed gearing: High range for open gearing.</t>
  </si>
  <si>
    <t>Cast-in-Place Retaining Walls</t>
  </si>
  <si>
    <r>
      <t xml:space="preserve">Walls in front of end bent. Calculate elevations of top of wall, proposed and existing ground lines, and maximum leveling pad elevations.  </t>
    </r>
    <r>
      <rPr>
        <sz val="10"/>
        <rFont val="Arial"/>
        <family val="2"/>
      </rPr>
      <t xml:space="preserve"> Range dependent upon complexity of geometry.  </t>
    </r>
    <r>
      <rPr>
        <i/>
        <sz val="10"/>
        <rFont val="Arial"/>
        <family val="2"/>
      </rPr>
      <t>[The higher ranges are for walls that are not parallel to the baseline, that turn back and step up past the end bent.]</t>
    </r>
  </si>
  <si>
    <r>
      <t xml:space="preserve">Walls in front of end bent. Calculate elevations of top of wall, proposed and existing ground lines, and bottom of wall elevation.  </t>
    </r>
    <r>
      <rPr>
        <sz val="10"/>
        <rFont val="Arial"/>
        <family val="2"/>
      </rPr>
      <t xml:space="preserve"> Range dependent upon complexity of geometry.</t>
    </r>
  </si>
  <si>
    <t xml:space="preserve">Constant offset from roadway alignment and constant cross-slope. Calculate elevations of top of wall, proposed and existing ground lines, and bottom of wall elevations.  Range dependent upon number of vertical controls.    </t>
  </si>
  <si>
    <t>Includes all non-field interagency and Departmental coordination during the initial (i.e., preliminary meetings prior to submittal) and final design phases.  Must provide adequate notification of all meetings and a copy of meeting minutes to District Permits Office.</t>
  </si>
  <si>
    <t>Evaluate power and control systems. Low range: established drive type. High range: multiple drive types (mechanical &amp; hydraulic).</t>
  </si>
  <si>
    <t>Develop bascule pier foundation alternatives. Low range: rectangular pier on land; High range: skewed pier with ship impact.</t>
  </si>
  <si>
    <t>Evaluate aesthetic requirements. Low range: Level 1, High range: Level 2  (Level 3 outside range).</t>
  </si>
  <si>
    <t>28.4</t>
  </si>
  <si>
    <t>Provide cross-sections, schematic plan, FGE table. Low range: one span, parallel beams. High Range: variable beam spacing, complex geometry.</t>
  </si>
  <si>
    <t>Although not specifically developed for Districtwide Geotechnical services, the staff hour estimating form, basis and these instructions may be used as a reference to such work if it falls within the typical range as defined above. Since analysis and reporting requirements for small geotechnical tasks may vary from the Standard Scope, the user should be cautious in applying the ranges shown in the basis to such work. The ranges were ‘proof tested’ against several typical projects from various Districts and found to result in reasonably consistent staff hour estimates compared to previously negotiated total staff hours. The form may be applicable to large projects over 3,000 staff hours but there is no comparative experience with a project of this size. Again the user should be cautious in applying the form, basis and instructions to very small or very large projects.</t>
  </si>
  <si>
    <t>Segment Layout / Designations</t>
  </si>
  <si>
    <t>PT Grouting Plan Details</t>
  </si>
  <si>
    <t>Preparation of Reinforcing Bar Lists</t>
  </si>
  <si>
    <t>Load Rating (LRFR)</t>
  </si>
  <si>
    <t>Reference and Master Interconnect Communication Design File</t>
  </si>
  <si>
    <t xml:space="preserve">Architectural Plans </t>
  </si>
  <si>
    <t xml:space="preserve">Structural Plans </t>
  </si>
  <si>
    <t>Mechanical Plans</t>
  </si>
  <si>
    <t xml:space="preserve">Plumbing Plans </t>
  </si>
  <si>
    <t>Fire Protection Plans</t>
  </si>
  <si>
    <t>Electrical Plans</t>
  </si>
  <si>
    <t>Architectural Plans Technical Subtotal</t>
  </si>
  <si>
    <t>Structural Plans Technical Subtotal</t>
  </si>
  <si>
    <r>
      <t xml:space="preserve">4.      </t>
    </r>
    <r>
      <rPr>
        <b/>
        <sz val="10"/>
        <rFont val="Arial"/>
        <family val="2"/>
      </rPr>
      <t>Building Type:</t>
    </r>
    <r>
      <rPr>
        <sz val="10"/>
        <rFont val="Arial"/>
        <family val="2"/>
      </rPr>
      <t xml:space="preserve"> The function, size, utility requirements, operator space, location, etc. will affect the design.</t>
    </r>
  </si>
  <si>
    <t>14 to 28</t>
  </si>
  <si>
    <t>FDOT Staff Hour Worksheet Package</t>
  </si>
  <si>
    <t>ITS GUIDELINES</t>
  </si>
  <si>
    <t>Office: See Basis for Staff Hour Range</t>
  </si>
  <si>
    <t>4 to 6</t>
  </si>
  <si>
    <t>Design Soil Parameters for Signs, Signals, High Mast Lights, and Strain Poles and Geotechnical Recommendations</t>
  </si>
  <si>
    <t xml:space="preserve">Utility Coordination: Coordinate utility conflicts and relocations, bridge mounted utilities, including meetings with utility owners. </t>
  </si>
  <si>
    <t xml:space="preserve">Railroad Coordination: Coordination with the District Railroad Coordinator, including vertical and horizontal clearance and crash wall requirements. Range depends on complexity. </t>
  </si>
  <si>
    <t>Noise Barriers Evaluation</t>
  </si>
  <si>
    <t>2 to 12</t>
  </si>
  <si>
    <t xml:space="preserve">Show all symbols and abbreviations used in design. </t>
  </si>
  <si>
    <t>Details of span locks, including connection to girders and notes. Low range for proprietary unit: High range for custom design.</t>
  </si>
  <si>
    <t>Calculation of total loads for bridge electrical system, including voltage drop and short circuit calculations. Low range for 2 leafs; High range for 4 leafs.</t>
  </si>
  <si>
    <t>18 to 32</t>
  </si>
  <si>
    <t>Evaluation of foundation alternatives, including evaluation of constructability considerations, if for all potential types: shallow footings, driven piles and drilled shafts for BDR preparation. The Geotechnical engineer must make a comprehensive evaluation of the different alternate foundation types that could potentially be used in the design of a particular structure.  Included in this evaluation is investigation into the historic foundation types used in similar geologic conditions and nearby locations as well as other limiting factors such as environmental, vibration or noise concerns.  The evaluation should include all negative and positive factors that may influence the selection of a particular foundation type and the reasons for not selecting another possible choice.  Finally, the selection information should include the sizes and depths of the foundations, which may be used later in the design process.  Minimum project assumes 2 borings per structure.</t>
  </si>
  <si>
    <t>Maintenance Map Key Sheet</t>
  </si>
  <si>
    <t>Maintenance Map Cover Sheet</t>
  </si>
  <si>
    <t>Maintenance Map Detail Sheet</t>
  </si>
  <si>
    <t>The purpose of this activity/task is to identify preliminary utility conflicts, surface soil and rock conditions, surface water conditions and locations, and observe and note nearby structures and foundation types.  Includes all travel to and from project site.  Multiply the number of persons for each review by the total number of anticipated trips and by the anticipated time for each trip.  Typically, only one to two trips are anticipated per project.</t>
  </si>
  <si>
    <t>Geotechnical Non-technical Subtotal</t>
  </si>
  <si>
    <t>·  Activity 12 addresses Short Span Concrete bridge tasks. The staff hour ranges were developed for precast and cast-in-place slab type bridges, inverted T and other slab type bridges. Use either Cast-in-Place Bridge or Prestressed Slab Unit Bridge depending on the anticipated structure type.</t>
  </si>
  <si>
    <t>Other Signing &amp; Pavement Marking Analysis</t>
  </si>
  <si>
    <t>Limiting Amount.  Unit of measure and ranges: refer to tasks of this document as applicable.</t>
  </si>
  <si>
    <t>GEOTECHNICAL GUIDELINES</t>
  </si>
  <si>
    <t xml:space="preserve">Develop custom details. Includes details for barrier transitions, specific drainage details, special aesthetic details, and other project specific details, if applicable. Range depends on number of utilities, drainage structures, and other site features.  </t>
  </si>
  <si>
    <t>Develop rebar table for custom designs. Range depends on complexity and size of wall.</t>
  </si>
  <si>
    <t xml:space="preserve">Critical Temporary or Permanent Sheet Pile (steel or concrete ), steel pipe piles,  including tie-backs, soldier pile walls. </t>
  </si>
  <si>
    <t>Normal document research time for field survey is included in office support hours, where applicable, in this document. Situations may necessitate the use of this task which will be in addition to the normal document research. Hours are project specific.  Limiting Amount.</t>
  </si>
  <si>
    <t>General Notes / Pay Item Notes</t>
  </si>
  <si>
    <t>Traffic Monitoring Site</t>
  </si>
  <si>
    <t>Special Details</t>
  </si>
  <si>
    <t>Traffic Data Collection</t>
  </si>
  <si>
    <t>System Timings</t>
  </si>
  <si>
    <t>Reference and Master Signalization Design File</t>
  </si>
  <si>
    <t>PI</t>
  </si>
  <si>
    <t>8 to 13</t>
  </si>
  <si>
    <t>22 to 36</t>
  </si>
  <si>
    <t>18 to 40</t>
  </si>
  <si>
    <t>23 to 38</t>
  </si>
  <si>
    <t>16 to 26</t>
  </si>
  <si>
    <t>18 to 30</t>
  </si>
  <si>
    <t>34 to 60</t>
  </si>
  <si>
    <t>26 to 51</t>
  </si>
  <si>
    <t>40 to 62</t>
  </si>
  <si>
    <t>32 to 53</t>
  </si>
  <si>
    <t>28 to 44</t>
  </si>
  <si>
    <t>30 to 54</t>
  </si>
  <si>
    <r>
      <t>·</t>
    </r>
    <r>
      <rPr>
        <sz val="10"/>
        <rFont val="Arial"/>
        <family val="2"/>
      </rPr>
      <t>  Minor activities within Water Management District or local drainage district lands</t>
    </r>
  </si>
  <si>
    <r>
      <t>·</t>
    </r>
    <r>
      <rPr>
        <sz val="10"/>
        <rFont val="Arial"/>
        <family val="2"/>
      </rPr>
      <t>  USCG (bridge permit issued by USCG District)</t>
    </r>
  </si>
  <si>
    <t>Roadway Items</t>
  </si>
  <si>
    <t>Embankment Settlement and Stability</t>
  </si>
  <si>
    <t>Roadway Subtotal</t>
  </si>
  <si>
    <t>Structures Items</t>
  </si>
  <si>
    <t xml:space="preserve">Includes collection of spot elevations and break lines. </t>
  </si>
  <si>
    <t>Digital Elevation Model</t>
  </si>
  <si>
    <t>Digital Terrain Model</t>
  </si>
  <si>
    <t>Topographics (3D)</t>
  </si>
  <si>
    <t>3 to 40</t>
  </si>
  <si>
    <t>Includes preparation of 3D topographic maps and all tasks associated with the creation of surfaces. Photogrammetrist will not propose hours for Task 10 (Surfaces) and Task 15 (Topographics).</t>
  </si>
  <si>
    <t>Includes any other task not identified by numbered tasks.</t>
  </si>
  <si>
    <t>Ortho Generation</t>
  </si>
  <si>
    <t>Drainage Basin</t>
  </si>
  <si>
    <t>Surfaces</t>
  </si>
  <si>
    <t>28.21</t>
  </si>
  <si>
    <t>28.22</t>
  </si>
  <si>
    <t>28.23</t>
  </si>
  <si>
    <t>1 to 30</t>
  </si>
  <si>
    <t>Includes preparation of drainage basin maps.  Includes final deliverable.</t>
  </si>
  <si>
    <t>Includes all efforts required for traffic data collection, crash reports (3-6 hrs/intersection), 24 hr. machine counts (1- 6 hrs/approach), 8 hr. turning movement counts (12-16 hrs/intersection, plus 11 hours per additional person), 7 day machine counts (6-10 hrs/approach), speed and delay studies (24-30 hrs /system assumes two people)  Travel time is not included in these ranges.</t>
  </si>
  <si>
    <t>Office Space improvements, Medium Toll Plaza, WIM Sta., Rest Area replacement</t>
  </si>
  <si>
    <t>Provide large scale drawings indicating components, design, composition, flashing, connections, and location of the elements and materials shown.</t>
  </si>
  <si>
    <t>Provide large scale drawing indicating components, design, composition, connections, flashing and location of the elements and materials with notes.</t>
  </si>
  <si>
    <t>Includes the slab-on-grade construction requirements, which will show the slab thickness, reinforcements, sloping requirements, location of expansion and control joints, soil preparation, dimensions and details too small to show on the small scale plans. Provide similar information if another construction system is necessary.</t>
  </si>
  <si>
    <t>Include details for placement of slab-on-grade or framing construction, including pour/construction sequences. Provide similar information if another construction system is necessary.</t>
  </si>
  <si>
    <t>24 to 42</t>
  </si>
  <si>
    <t>60 to 90</t>
  </si>
  <si>
    <r>
      <t>·</t>
    </r>
    <r>
      <rPr>
        <sz val="10"/>
        <rFont val="Arial"/>
        <family val="2"/>
      </rPr>
      <t>  Amount of information placed on each sheet</t>
    </r>
  </si>
  <si>
    <r>
      <t>·</t>
    </r>
    <r>
      <rPr>
        <sz val="10"/>
        <rFont val="Arial"/>
        <family val="2"/>
      </rPr>
      <t>  Number of unique spaces to be designed</t>
    </r>
  </si>
  <si>
    <r>
      <t>·</t>
    </r>
    <r>
      <rPr>
        <sz val="10"/>
        <rFont val="Arial"/>
        <family val="2"/>
      </rPr>
      <t>  Shape and massing of the structure</t>
    </r>
  </si>
  <si>
    <r>
      <t>·</t>
    </r>
    <r>
      <rPr>
        <sz val="10"/>
        <rFont val="Arial"/>
        <family val="2"/>
      </rPr>
      <t>  Site constraints</t>
    </r>
  </si>
  <si>
    <r>
      <t>·</t>
    </r>
    <r>
      <rPr>
        <sz val="10"/>
        <rFont val="Arial"/>
        <family val="2"/>
      </rPr>
      <t>  Number of stories</t>
    </r>
  </si>
  <si>
    <r>
      <t>·</t>
    </r>
    <r>
      <rPr>
        <sz val="10"/>
        <rFont val="Arial"/>
        <family val="2"/>
      </rPr>
      <t>  Number of areas which require an enlarged floor plan</t>
    </r>
  </si>
  <si>
    <r>
      <t>·</t>
    </r>
    <r>
      <rPr>
        <sz val="10"/>
        <rFont val="Arial"/>
        <family val="2"/>
      </rPr>
      <t>  Level of interior and exterior finishes</t>
    </r>
  </si>
  <si>
    <r>
      <t>·</t>
    </r>
    <r>
      <rPr>
        <sz val="10"/>
        <rFont val="Arial"/>
        <family val="2"/>
      </rPr>
      <t>  Soil conditions</t>
    </r>
  </si>
  <si>
    <r>
      <t>·</t>
    </r>
    <r>
      <rPr>
        <sz val="10"/>
        <rFont val="Arial"/>
        <family val="2"/>
      </rPr>
      <t>  Access to utilities</t>
    </r>
  </si>
  <si>
    <r>
      <t>·</t>
    </r>
    <r>
      <rPr>
        <sz val="10"/>
        <rFont val="Arial"/>
        <family val="2"/>
      </rPr>
      <t>  Structural system</t>
    </r>
  </si>
  <si>
    <r>
      <t>·</t>
    </r>
    <r>
      <rPr>
        <sz val="10"/>
        <rFont val="Arial"/>
        <family val="2"/>
      </rPr>
      <t>  Communication requirements</t>
    </r>
  </si>
  <si>
    <r>
      <t>·</t>
    </r>
    <r>
      <rPr>
        <sz val="10"/>
        <rFont val="Arial"/>
        <family val="2"/>
      </rPr>
      <t>  Number of dissimilar building components</t>
    </r>
  </si>
  <si>
    <t>16 to 40</t>
  </si>
  <si>
    <t>26 to 43</t>
  </si>
  <si>
    <t>26 to 44</t>
  </si>
  <si>
    <t>32 to 47</t>
  </si>
  <si>
    <t>26 to 45</t>
  </si>
  <si>
    <t>25 to 35</t>
  </si>
  <si>
    <t>39 to 62</t>
  </si>
  <si>
    <t>27 to 45</t>
  </si>
  <si>
    <t>30 to 42</t>
  </si>
  <si>
    <t>26 to 47</t>
  </si>
  <si>
    <t>29 to 48</t>
  </si>
  <si>
    <t>35 to 56</t>
  </si>
  <si>
    <t>32 to 56</t>
  </si>
  <si>
    <t>22 to 37</t>
  </si>
  <si>
    <t>35 to 45</t>
  </si>
  <si>
    <t>30 to 40</t>
  </si>
  <si>
    <t>5 to 10</t>
  </si>
  <si>
    <t>36 to 60</t>
  </si>
  <si>
    <t>31 to 50</t>
  </si>
  <si>
    <t>25 to 39</t>
  </si>
  <si>
    <t>45 to 70</t>
  </si>
  <si>
    <t>47 to 73</t>
  </si>
  <si>
    <t>26 to 40</t>
  </si>
  <si>
    <t>30 to 51</t>
  </si>
  <si>
    <t>58 to 82</t>
  </si>
  <si>
    <t>22 to 43</t>
  </si>
  <si>
    <t>Includes all efforts to prepare general notes, symbols, and legend for project-specific issues, regulations and requirements.</t>
  </si>
  <si>
    <t>Includes effort to supervise all design analysis. (Based on 5-10% of technical subtotal).</t>
  </si>
  <si>
    <t>Included when independent peer reviews are utilized in addition to the QA/QC review. (Based on 3-5% of technical subtotal).</t>
  </si>
  <si>
    <t>Includes development and implementation of a QA/QC plan including sub-consultant work. (Based on 5-10% of technical subtotal).</t>
  </si>
  <si>
    <t>2.  Lengthy rural freeway management system.</t>
  </si>
  <si>
    <t>3.  Freeway management system with numerous communications hubs and rings of devices.</t>
  </si>
  <si>
    <t>Urban</t>
  </si>
  <si>
    <t>Includes dimensional and welding details and notes for stiffeners, cross-frames and connectors, lateral bracing, studs, special bearings, sole plates, slotted hole orientation details, welded shop splices, jacking requirements, access hatches, ventilation, lighting and electrical conduit and outlet attachment locations, etc. Range depends on complexity of details.</t>
  </si>
  <si>
    <t>Includes dimensions details of bolted splices and splice notes. Range depends on number of splices and variability of details.</t>
  </si>
  <si>
    <t>Includes camber diagram and tables of girder deflections and geometric camber. Low range: straight, constant width, normal ends. High range: curved, variable width, skewed.</t>
  </si>
  <si>
    <t>Less than 15 degree skew, curved, grid analysis.</t>
  </si>
  <si>
    <t>Determination of structure and expansion joint movements and expansion joint type. Low range: simple span. High range: continuous spans.</t>
  </si>
  <si>
    <t>End bent geometry, including beam seat elevations, pile/shaft layout, cut-offs, and bearing pad locations. Low range: normal end condition. High range: skewed end condition.</t>
  </si>
  <si>
    <t>Development of deck and reinforcement details and quantities. Low range: normal, parallel beams. High Range:  skew, variable beam spacing, curved alignment.</t>
  </si>
  <si>
    <t>Power Subsystem</t>
  </si>
  <si>
    <t>Based upon complexity and length of the electrical circuits</t>
  </si>
  <si>
    <t>Existing ITS System</t>
  </si>
  <si>
    <t>Queue Analysis</t>
  </si>
  <si>
    <t>Reference and Master ITS Design File</t>
  </si>
  <si>
    <t>33.10</t>
  </si>
  <si>
    <t>Reference and Master Communications Design File</t>
  </si>
  <si>
    <t>Other ITS Analyses</t>
  </si>
  <si>
    <t>ITS Analysis Technical Subtotal</t>
  </si>
  <si>
    <t>ITS Analysis Nontechnical Subtotal</t>
  </si>
  <si>
    <t>Show location of each fixture used in the project along with circuiting and controls for each. Provide lighting/illumination calculations.</t>
  </si>
  <si>
    <t>Provide other details required to describe connections and components to show the design intent. To be negotiated on an as need basis.</t>
  </si>
  <si>
    <t>The large scale roof framing plan includes size, spacing, and type of roof framing members. The plan will also describe the structural diaphragm, column spacing, and miscellaneous framing, including specialized roof framing conditions/areas.</t>
  </si>
  <si>
    <t xml:space="preserve">The staff hour ranges presented in this section represent the work effort that might be expected for individual design tasks on typical traffic projects.  The ranges represent neither the minimum nor maximum hours that might be negotiated on a project for individual design tasks.  Hours below or above the presented ranges may be applicable based upon the constraints or requirements that are specific to the individual project.  Specific aspects of each individual project should be considered in negotiation hours for each individual task.  Whenever possible, examples of individual tasks will be included to provide guidance in determining what types of effort are associated with each individual task.  </t>
  </si>
  <si>
    <t>A "Lower Range" roadway project may fall in the "Middle Range" for Signing and Pavement Marking projects and vice versa.  See the project ranges below.  The project ranges should be used only for Reference &amp; Master Design Files and Quantities from Analysis.  All other tasks should be defined on task by task basis and should not necessarily use the Project Ranges.</t>
  </si>
  <si>
    <t>Existing Roadway</t>
  </si>
  <si>
    <t>Roadway Widening</t>
  </si>
  <si>
    <t>Minor Intersections</t>
  </si>
  <si>
    <t>Roadway Type</t>
  </si>
  <si>
    <t>Roadway Elements</t>
  </si>
  <si>
    <t>Stakeholder Participation</t>
  </si>
  <si>
    <t>Topography/DTM (3D)</t>
  </si>
  <si>
    <t>Includes 3-dimensional (X, Y, Z) field location, or stakeout, of boring locations established by geotechnical engineer.  Includes field edits, analysis and processing of all field collected data and / or reports. Delivery of all appropriate electronic files, and / or field notes. (Range is 8 to 30 borings located per crew day).</t>
  </si>
  <si>
    <t xml:space="preserve">Includes review of field conditions to verify completeness and accuracy of the compiled data. Identify and measure obscured or omitted features. LS based on average number of people per field review x length of review x number of field reviews. </t>
  </si>
  <si>
    <t>Miscellaneous Surveys &amp; Sketches</t>
  </si>
  <si>
    <t>Other Specific Purpose Survey(s)</t>
  </si>
  <si>
    <t>Supplemental Mapping</t>
  </si>
  <si>
    <t>ARCHITECTURE GUIDELINES</t>
  </si>
  <si>
    <t>General Plan and Elevation</t>
  </si>
  <si>
    <t>Approach Slab Plan and Details</t>
  </si>
  <si>
    <t>Miscellaneous Details</t>
  </si>
  <si>
    <t>End Bent Design and Plans</t>
  </si>
  <si>
    <t>End Bent Geometry</t>
  </si>
  <si>
    <t>End Bent Structural Design</t>
  </si>
  <si>
    <t>End Bent Plan and Elevation</t>
  </si>
  <si>
    <t>End Bent Details</t>
  </si>
  <si>
    <t>Intermediate Bent Design and Plans</t>
  </si>
  <si>
    <t>Bent Geometry</t>
  </si>
  <si>
    <t>Bent Stability Analysis</t>
  </si>
  <si>
    <t>Bent Structural Design</t>
  </si>
  <si>
    <t>Bent Plan and Elevation</t>
  </si>
  <si>
    <t xml:space="preserve">Hours are dependent on the level of detail required and will be influenced by the roadway geometry (skews, curves, spiral curves, etc.). Simple prestress beam bridges may not require a framing plan. </t>
  </si>
  <si>
    <t>Determination of final bridge geometry including calculation of vertical and horizontal clearances based on final member sizes and locations, and final project geometry. Low range: straight with normal ends. High Range: curved or skewed, superelevation transition, complex cross-road geometrics.</t>
  </si>
  <si>
    <t>Wingwall geometry, design and reinforcement including bar bending details, quantities and determination of pile/shaft loads. Low range, MSE. Mid range: normal, straight. High range: skewed or curved, cantilever wingwall.</t>
  </si>
  <si>
    <t>Development of Plan and Elevation. Low range: normal end condition. High range: skewed end condition.</t>
  </si>
  <si>
    <t>UTILITY GUIDELINES</t>
  </si>
  <si>
    <t>Review approved preliminary engineering report, typical section package and proposed geometric design alignment, and queue analysis. This does not include hours for analysis.</t>
  </si>
  <si>
    <t>Includes effort to supervise all technical design analysis. (Based on 5-10% of technical subtotal).</t>
  </si>
  <si>
    <t>Pedestal details, sections, if needed. Low range: pedestal details, minor sections. High range: crash walls.</t>
  </si>
  <si>
    <t>Development of Plan and Elevation. Low range: multi-column rectangular cap w/ drilled shafts/column. Mid range: simple hammerhead or multi-column rectangular cap with deep foundation pile cap. High range: Variable depth cap w/ tapered column, straddle pier.</t>
  </si>
  <si>
    <t>3 to 10</t>
  </si>
  <si>
    <t>Includes using counts and accident history to conduct a signal warrant study using current MUTS / MUTCD standards (8-40 hrs/intersection). Range based on complexity of study.</t>
  </si>
  <si>
    <t>Includes temporary stability and design checks due to construction loading. Low Range: Constant Girder Depth, High Range: Variable Girder Depth, Variable width deck, Curvature.</t>
  </si>
  <si>
    <t>Includes time to prepare project-specific general notes, symbols, legend and code issues.</t>
  </si>
  <si>
    <t xml:space="preserve">Provide overall plan showing locations of all piping, fixtures, and equipment. </t>
  </si>
  <si>
    <t xml:space="preserve">Prepare partial scaled, dimensioned, enlarged floor plan(s) showing all plumbing fixtures and piping in more detail to clarify special conditions. </t>
  </si>
  <si>
    <t>Includes hot and cold water supply and waste line, identifying all fixtures, sizes etc.</t>
  </si>
  <si>
    <t>This task is only for use where it is necessary to provide for development of sheets with common details that will be applicable to multiple bridges on the same project.</t>
  </si>
  <si>
    <t>Parcel- Range is based on per parcel. R/W Line is based on per mile. (Hours vary with length / complexity of parcel and staking interval.) Staff hours are to be negotiated on a case by case basis. Includes field staking and calculations of existing / proposed R/W lines for on-site review purposes. Delivery of all appropriate / required field notes.</t>
  </si>
  <si>
    <t>Includes setting R/W monumentation as depicted on final R/W maps for corridor and water retention areas. Deliverables will include appropriate electronic files and required field notes. (Range is 8 to 20 points set per crew day.)</t>
  </si>
  <si>
    <t>Level temporary walls.   Calculate elevations of top of wall, proposed and existing ground lines, and bottom of wall elevations.  Range dependent upon complexity of geometry.</t>
  </si>
  <si>
    <t>LS based on average number of people per meeting x length of meeting x number of meetings.  Length of meeting includes travel time for scheduled meetings.</t>
  </si>
  <si>
    <t>Signing &amp; Pavement Marking Analysis Nontechnical Subtotal</t>
  </si>
  <si>
    <t>Design of all controls, including safety interlocks, sequenced operation and alarms. Range depends on complexity.</t>
  </si>
  <si>
    <t>Design of grounding system for all bridge electrical components.</t>
  </si>
  <si>
    <t>Includes site observation, travel time, and written report. Hours and frequency, to be negotiated on an as need basis.</t>
  </si>
  <si>
    <t>Flight Preparation</t>
  </si>
  <si>
    <t>Determine begin and end wall stations and offsets, and stations and offsets of all horizontal changes. Straight walls and alignment.</t>
  </si>
  <si>
    <t>Determine begin and end wall stations and offsets, and stations and offsets of all horizontal changes.  Some curvature and taper.</t>
  </si>
  <si>
    <t>Determine begin and end wall stations and offsets, and stations and offsets of all horizontal changes. Highly curved with tapers.</t>
  </si>
  <si>
    <t>Community Awareness Plan</t>
  </si>
  <si>
    <t>Median Modification Letters</t>
  </si>
  <si>
    <t>Renderings and Fly Throughs</t>
  </si>
  <si>
    <t>PowerPoint Presentation</t>
  </si>
  <si>
    <t>Web Site</t>
  </si>
  <si>
    <t>Bent Details</t>
  </si>
  <si>
    <t>Misc. Substructure Design and Plans</t>
  </si>
  <si>
    <t>Permits may be issued from the following agencies:</t>
  </si>
  <si>
    <t>Survey Level:</t>
  </si>
  <si>
    <t>Drainage Design Documentation Report</t>
  </si>
  <si>
    <t>point</t>
  </si>
  <si>
    <t>General Notes, Abbreviations, Symbols, and Legend</t>
  </si>
  <si>
    <t>Permitting</t>
  </si>
  <si>
    <t>General Notes, Abbreviations, Symbols, Legend, and Code Issues</t>
  </si>
  <si>
    <t>Wetland Impact Analysis</t>
  </si>
  <si>
    <t>Contamination Impact Analysis</t>
  </si>
  <si>
    <t>Other Environmental Permits</t>
  </si>
  <si>
    <t>4 to 160</t>
  </si>
  <si>
    <t>8 to 280</t>
  </si>
  <si>
    <t>4 to 60</t>
  </si>
  <si>
    <t>0 to 4</t>
  </si>
  <si>
    <t>Environmental Permits Technical Subtotal</t>
  </si>
  <si>
    <t>Environmental Permits Non-Technical Subtotal</t>
  </si>
  <si>
    <t>Agency Verification of Wetland Data</t>
  </si>
  <si>
    <r>
      <t xml:space="preserve">Design of bascule pier foundations, including calculation of pier dead load and c.g.: Low range for rectangular pier and no ship impact; High range for skewed pier with ship impact.  </t>
    </r>
    <r>
      <rPr>
        <i/>
        <sz val="10"/>
        <rFont val="Arial"/>
        <family val="2"/>
      </rPr>
      <t>[This includes rest piers for single leaf bascule bridges.]</t>
    </r>
  </si>
  <si>
    <r>
      <t xml:space="preserve">Design of Bascule Pier footing: Low range for rectangular pier; High range for skewed pier and/or variable depth footing.  </t>
    </r>
    <r>
      <rPr>
        <i/>
        <sz val="10"/>
        <rFont val="Arial"/>
        <family val="2"/>
      </rPr>
      <t>[This includes rest piers for single leaf bascule bridges.]</t>
    </r>
  </si>
  <si>
    <t>Pedestal details, sections, foundation details, aesthetic details, if needed. Low range: multi-column rectangular cap w/ drilled shafts/column. Mid range: simple hammerhead or multi-column rectangular cap with deep foundation pile cap. High range: Variable depth cap w/ tapered column, straddle pier.</t>
  </si>
  <si>
    <t>Development of top of deck and approach slab finish grade elevations. (w/ Georgia Skew). Low range: one span, parallel beams. High Range: variable beam spacing, complex geometry.</t>
  </si>
  <si>
    <t>Preparation of Reinforcing Bar List</t>
  </si>
  <si>
    <t>Noise Impact Design Assessment</t>
  </si>
  <si>
    <t>Post Design Services</t>
  </si>
  <si>
    <t>Includes hours associated with providing engineering information to the District's Project Manager.</t>
  </si>
  <si>
    <t>Includes hours associated with providing technical information to the District's Project Manager.</t>
  </si>
  <si>
    <t>Frame</t>
  </si>
  <si>
    <t>Point</t>
  </si>
  <si>
    <t>Image</t>
  </si>
  <si>
    <t>Photogrammetry Technical Subtotal</t>
  </si>
  <si>
    <t>Photogrammetry Nontechnical Subtotal</t>
  </si>
  <si>
    <t>2 to 2.5</t>
  </si>
  <si>
    <t>0.1 to 1</t>
  </si>
  <si>
    <t>0.2 to 0.5</t>
  </si>
  <si>
    <t>3 to 16</t>
  </si>
  <si>
    <t>3 to 8</t>
  </si>
  <si>
    <t>Design of retaining wall and end bent and determination of pile loads.  Check for stability for wall lateral forces. Low range: check that the temporary bridge falls within the limits of the standard. High range:  span length or height outside standard.</t>
  </si>
  <si>
    <t>Includes general notes, bid item notes, surface finish details, etc. Range depends on complexity.</t>
  </si>
  <si>
    <t>Incorporate Report of Core Borings into project plans. Low Range: multiple bridges. High Range: single bridge.</t>
  </si>
  <si>
    <t>Includes dimensional and welding details and notes for stiffeners, cross-frames and connectors, studs, special bearings, sole plates, slotted hole orientation details, welded shop splices, jacking requirements, etc. Range depends on complexity of details.</t>
  </si>
  <si>
    <t>Dimension and detail bolted splices and splice notes. Range depends on number of splices and variability of details.</t>
  </si>
  <si>
    <t>The staff hour ranges presented in this section represent the work effort that might be expected for individual design tasks on typical traffic projects. The ranges represent neither the minimum nor maximum hours that might be negotiated on a project.</t>
  </si>
  <si>
    <t xml:space="preserve">A "Lower Range" roadway project may fall in the "Middle Range" for Lighting projects and vice versa.  See the project ranges below.  The project ranges should be used only for Reference &amp; Master Design Files and Quantities from Analysis. </t>
  </si>
  <si>
    <t>1.  Adding very limited number of ITS devices.</t>
  </si>
  <si>
    <t>2.  Small extension of existing freeway management system.</t>
  </si>
  <si>
    <t>3.  Installation of isolated devices such as a CCTV camera, a DMS sign or RWIS site.</t>
  </si>
  <si>
    <t>1. Small extension of existing freeway management system, communications architecture already determined.</t>
  </si>
  <si>
    <t>2.  Freeway management system with no communications hubs and all devices of a single type.</t>
  </si>
  <si>
    <t>1.  Complex urban freeway management system with a variety of different ITS of devices.</t>
  </si>
  <si>
    <t>Hours negotiated are per report.  Includes all activities to produce 60%, 90%, 100% and Final reports, including authoring report by project engineer plus senior engineer review, word processing, report production and response to FDOT comments.  Consideration should be given for length and complexity of project when determining staff hours.  Hour range assumes Preliminary Report is provided.  If  a Preliminary Report is not provided, additional hours need to be considered.  Staff hours are estimated to be 8-hours minimum for up to ½ mile of roadway length and 3 additional hours per ½ mile thereafter.  Box culvert hours are estimated separately in the Structures Section, but may be included in the Roadway Report if there are no other structures.</t>
  </si>
  <si>
    <t>Typical range of depth per boring is between 5 and 20 feet.  Work product is a Soil Profile Sheet.  Sheet may contain up to 30 borings of 5 ft each.  Information on the boring drafting sheets shall include boring stationing, offset, ground surface elevation, soil stratification, and groundwater elevation(s).  Additional deliverables for this task include a location map, a plan-view of all auger borings, as well as any applicable SCS and/or USGS maps applicable to the project site. Lower end of staff hour range is for larger projects and vice versa.</t>
  </si>
  <si>
    <t>Field: See Basis for Staff Hour Range</t>
  </si>
  <si>
    <t>Evaluation of construction equipment, materials delivery, site access, construction methodology.</t>
  </si>
  <si>
    <t>Provide grouting plan details, sequence of grouting, location of grout tubes and grout vents.  Low range:  SBS bridge and simple tendon geometry.  High range:  multi-spans, balanced cantilever construction, CIP on falsework construction and complex tendon geometry.</t>
  </si>
  <si>
    <t>Varies</t>
  </si>
  <si>
    <t>Develop access opening details. Low range: no utility accommodations. High range: utility accommodations required.</t>
  </si>
  <si>
    <t>Provide vermin screen at end bent segments. Low range: no access through screen. High range, access required.</t>
  </si>
  <si>
    <t>EA Diagram</t>
  </si>
  <si>
    <t>[Tasks under Activity 11 are for pre-fabricated temporary bridges only.]</t>
  </si>
  <si>
    <r>
      <t xml:space="preserve">Develop rebar table. Range depends on complexity. </t>
    </r>
    <r>
      <rPr>
        <i/>
        <sz val="10"/>
        <rFont val="Arial"/>
        <family val="2"/>
      </rPr>
      <t xml:space="preserve"> [This is only for staff hours for preparation of the Drawing-List, not for reinforcing bar bending details which are included in the design.]</t>
    </r>
  </si>
  <si>
    <t>SIGNING AND PAVEMENT MARKING GUIDELINES</t>
  </si>
  <si>
    <t>LIGHTING GUIDELINES</t>
  </si>
  <si>
    <t xml:space="preserve">Geotechnical Coordination: Coordination with geotechnical engineer, including boring plan, foundation loads and installation table, wall external stability requirements, pier stability requirements &amp; temporary wall requirements. Range depends on complexity. </t>
  </si>
  <si>
    <t xml:space="preserve">Bridge Hydraulics Coordination: Coordination with hydraulics engineer, including bridge opening and geometry, stabilization of waterway slopes, deck drainage, pond locations, scour and stream velocity. </t>
  </si>
  <si>
    <t xml:space="preserve">Aesthetics Coordination: Coordination of bridge and wall aesthetics, including concept sketches. Range depends on aesthetic involvement. </t>
  </si>
  <si>
    <t xml:space="preserve">Provide input to the creation of the Specification package and review of final package. Range depends on complexity. </t>
  </si>
  <si>
    <t>Horizontal and vertical alignment, vertical and horizontal clearances, alignment skews, baseline intersections. Low range: tangent - normal ends. Mid range: curved - normal ends, tangent - skewed ends. High range: curved - superelevation transition / skews.</t>
  </si>
  <si>
    <t>Gather existing channel and vessel information. Low range: from FDOT web site, High range: obtain from agencies.</t>
  </si>
  <si>
    <t>Detailed Analysis of Selected Foundation Alternate(s)</t>
  </si>
  <si>
    <t>Walls</t>
  </si>
  <si>
    <t>Wall Boring</t>
  </si>
  <si>
    <t>Box Culvert Analysis</t>
  </si>
  <si>
    <t>·  Activity 16 addresses Bascule bridge tasks. The staff hour ranges were developed for the bascule pier, rest pier, movable span, electrical, mechanical &amp; control house. The worksheet does not cover approach spans. Account for approach spans by adding worksheets for Activity 12, 13, 14 or 15, as applicable. The following task clarifications are provided for Activity 16:</t>
  </si>
  <si>
    <t>·  Activity 17 addresses Retaining Wall tasks. The staff hour ranges were developed for permanent and temporary proprietary walls, cast-in-place retaining walls and other retaining walls.</t>
  </si>
  <si>
    <t>Expansion Joint Segments</t>
  </si>
  <si>
    <t>CIP Closure Joint Details</t>
  </si>
  <si>
    <t>Casting Geometry</t>
  </si>
  <si>
    <t>Post-Tensioning Details</t>
  </si>
  <si>
    <t>Bulkhead Details</t>
  </si>
  <si>
    <t>Transverse Tendon Layout</t>
  </si>
  <si>
    <t>Longitudinal Tendon Layout</t>
  </si>
  <si>
    <t>Temporary Post-Tensioning</t>
  </si>
  <si>
    <t>Coordination of Field Work</t>
  </si>
  <si>
    <t>100 lf of boring</t>
  </si>
  <si>
    <t>Soil and Rock Classification - Roadway</t>
  </si>
  <si>
    <t>Cross-section</t>
  </si>
  <si>
    <r>
      <t>·</t>
    </r>
    <r>
      <rPr>
        <sz val="10"/>
        <rFont val="Arial"/>
        <family val="2"/>
      </rPr>
      <t>  Bridge replacement (in-kind or rehabilitation)</t>
    </r>
  </si>
  <si>
    <r>
      <t>·</t>
    </r>
    <r>
      <rPr>
        <sz val="10"/>
        <rFont val="Arial"/>
        <family val="2"/>
      </rPr>
      <t>  Shoulder widening</t>
    </r>
  </si>
  <si>
    <t>Building layout: identify all spaces, dimensions for all exterior &amp; major interior spaces and walls, special notes; indicate special conditions &amp; construction; flag all section cuts; flag areas to be enlarged and detailed.</t>
  </si>
  <si>
    <t>Partially enlarged floor plan to clearly show critical details, show and locate fixtures, equipment, etc., flag special conditions &amp; construction requiring large-scale details, notes and dimensions.</t>
  </si>
  <si>
    <t>Collect data (from local maintenance, bridge operations, etc.,) and establish movable bridge design criteria. Low range for rural bridge: High range for congested urban location.</t>
  </si>
  <si>
    <t>Develop geometric layout, including girder and joint locations, angle of opening, navigation clearances, depth of structure. Low range: no skew, High range: skewed bridge.</t>
  </si>
  <si>
    <t>Develop framing plan system, including bracing and counterweight concept. Low range: open deck; High range: closed deck.</t>
  </si>
  <si>
    <t>Preliminary design of main girder to establish structure depth and cost. Low range: plate girder with open deck; High range: box girder with closed deck.</t>
  </si>
  <si>
    <t>Evaluate support systems and determine type of supports, including trunnion type, forward or rear load shoe. Low range: typical forward load shoe design. High range: limited clearance requiring skew or rear load shoe.</t>
  </si>
  <si>
    <t>Calculate drive system power requirements. Low range: established drive type. High range: multiple drive types (mechanical &amp; hydraulic).</t>
  </si>
  <si>
    <t>Evaluate drive systems. Low range: established drive type. High range: multiple drive types (mechanical &amp; hydraulic).</t>
  </si>
  <si>
    <t>Includes concrete diaphragm or edge beam sections, reinforcement around deck appurtenances, SIP forms, deck placement sequence, etc. Range depends on complexity.</t>
  </si>
  <si>
    <t>Perform trial designs, including layout with crossframe locations.  Perform Computer Modeling, Pouring Sequence Analysis, and Grid Analysis (if rqd)  Ranges depend upon repetition, geometry and complexity.</t>
  </si>
  <si>
    <t>Traffic Data Analysis</t>
  </si>
  <si>
    <t>Typical Section Package</t>
  </si>
  <si>
    <t>Design Bearings, Sole Plates, Anchor Bolts and perform Jacking Analysis.  Ranges depend upon repetition, geometry and complexity.</t>
  </si>
  <si>
    <t>Design Field Splice.  Ranges depend upon repetition, geometry and complexity.</t>
  </si>
  <si>
    <t>Energy Analysis</t>
  </si>
  <si>
    <r>
      <t>·</t>
    </r>
    <r>
      <rPr>
        <sz val="10"/>
        <rFont val="Arial"/>
        <family val="2"/>
      </rPr>
      <t>  New road construction</t>
    </r>
  </si>
  <si>
    <r>
      <t>·</t>
    </r>
    <r>
      <rPr>
        <sz val="10"/>
        <rFont val="Arial"/>
        <family val="2"/>
      </rPr>
      <t>  New bridge construction</t>
    </r>
  </si>
  <si>
    <r>
      <t>·</t>
    </r>
    <r>
      <rPr>
        <sz val="10"/>
        <rFont val="Arial"/>
        <family val="2"/>
      </rPr>
      <t>  Adding lanes and resurfacing</t>
    </r>
  </si>
  <si>
    <r>
      <t>·</t>
    </r>
    <r>
      <rPr>
        <sz val="10"/>
        <rFont val="Arial"/>
        <family val="2"/>
      </rPr>
      <t>  Major activities waterward of the CCCL</t>
    </r>
  </si>
  <si>
    <r>
      <t>·</t>
    </r>
    <r>
      <rPr>
        <sz val="10"/>
        <rFont val="Arial"/>
        <family val="2"/>
      </rPr>
      <t>  USCG (bridge permit issued by USCG Headquarters, Washington, D.C.)</t>
    </r>
  </si>
  <si>
    <t>Structures Subtotal</t>
  </si>
  <si>
    <t>Geotechnical Non-technical Items</t>
  </si>
  <si>
    <t>Post ID</t>
  </si>
  <si>
    <t>Photo Products</t>
  </si>
  <si>
    <t>0.05 to 1.0</t>
  </si>
  <si>
    <t>Document Research</t>
  </si>
  <si>
    <t>Coordination</t>
  </si>
  <si>
    <t>Task No.</t>
  </si>
  <si>
    <t>Specifications Package Preparation</t>
  </si>
  <si>
    <t xml:space="preserve">Includes travel time for trips to field to obtain data necessary for design. ( based on average number of people per trip X length of trip X number of trips.) </t>
  </si>
  <si>
    <t>Office: 1 to 5</t>
  </si>
  <si>
    <t>See Basis for Staff Hours</t>
  </si>
  <si>
    <t>Includes the operation of the aircraft, aerial camera, and other instruments for the purpose of obtaining aerial photography or remotely sensed data.  (Fixed wing:  Includes transit flight time based on a range of airspeeds from 110 mph to 200 mph, and onsite flight time based on a range of airspeeds from 80 mph to 200 mph.)  (Rotary wing:  Includes transit flight time based on a range of airspeeds from 70 mph to 100 mph, and onsite flight time based on a range of airspeeds from 30 mph to 60 mph.)</t>
  </si>
  <si>
    <t>0.0 to 0.10</t>
  </si>
  <si>
    <t>0.0 to 0.083</t>
  </si>
  <si>
    <t>Lower Range</t>
  </si>
  <si>
    <t>Crew: 1 to 4</t>
  </si>
  <si>
    <t>Office: 2 to 3</t>
  </si>
  <si>
    <t>Crew: 1 to 10</t>
  </si>
  <si>
    <t>Office: 1 to 3</t>
  </si>
  <si>
    <t>Crew: 3 to 20</t>
  </si>
  <si>
    <t>Office: 1 to 4</t>
  </si>
  <si>
    <t>Includes elevation dimensions of all girder sections, plates, and studs, and locations of members subjected to tension, including structural steel notes. Low range: Same girder length for all girders, normal ends. High range: Variable girder and section lengths, skewed ends.</t>
  </si>
  <si>
    <t>Office: 2 to 4</t>
  </si>
  <si>
    <t>Includes field location / placement and referencing of section corners, ¼ section corners, center of section corners and fractional corners where pertinent.  Includes analysis and processing of all field collected data and/or reports. Delivery of all appropriate electronic files, forms, and/or field notes.  Prepare and submit to appropriate agencies. (Sectional / Grant line mile is defined as one mile of section line or grant line.)</t>
  </si>
  <si>
    <t>·  Activity 14 addresses Structural Steel bridge tasks. The staff hour ranges were developed for all steel girder superstructure types, including steel plates, standard rolled shapes, box girders, simple and continuous configurations. The forms were not intended to cover steel frames or trusses. Use either Structural Steel Plate Girder Design or Structural Steel Box Girder Design depending on the anticipated structure type.</t>
  </si>
  <si>
    <t>Signalization Analysis Technical Subtotal</t>
  </si>
  <si>
    <t>Signalization Analysis Nontechnical Subtotal</t>
  </si>
  <si>
    <t>Other Signalization Analysis</t>
  </si>
  <si>
    <t>Aerial Triangulation</t>
  </si>
  <si>
    <t>Collect and Review Plans and Data from UAO(s)</t>
  </si>
  <si>
    <t xml:space="preserve">Utility Constructability Review </t>
  </si>
  <si>
    <t>Preliminary Utility Meeting</t>
  </si>
  <si>
    <t>Individual/Field Meetings</t>
  </si>
  <si>
    <t>Utility Design Meeting</t>
  </si>
  <si>
    <t>Subordination of Easements Coordination</t>
  </si>
  <si>
    <t xml:space="preserve">Additional Utility Services </t>
  </si>
  <si>
    <t>Sign Panel Design Analysis</t>
  </si>
  <si>
    <t>Sign Lighting/Electrical Calculations</t>
  </si>
  <si>
    <t>Develop ship impact strength requirements for each span arrangement alternative. Low range: pile deletion (bent), High range: large impact zone.</t>
  </si>
  <si>
    <t>Prepare cooling/heating wiring/piping diagrams illustrating location, sizes, and arrangement of control components/accessories, in diagrammatic form. Includes control specific legends abbreviations and notes, along with sequence of operation.</t>
  </si>
  <si>
    <t>includes drawings that are duplication of other drawings, such as; drawings used on both the northbound and southbound rest areas.</t>
  </si>
  <si>
    <t>This Task is applicable for projects with Miscellaneous Structures only such as RRR Projects.  Low Range:  For projects with single structures.  High Range:  For projects with multiple structures.</t>
  </si>
  <si>
    <t>12 to 64</t>
  </si>
  <si>
    <t>Includes research, target diagrams, and mission planning. The low end of the range is for uncontrolled airspace with available planning images. The high end of the range is for controlled airspace with no planning images.</t>
  </si>
  <si>
    <t>Control Point Coordination</t>
  </si>
  <si>
    <t>Show all circuits for all receptacles, lights, and equipment, with corresponding loads.</t>
  </si>
  <si>
    <t>Show all major power distribution lines with corresponding loads to sub panels including all risers.</t>
  </si>
  <si>
    <t>Show circuiting in each panel board including required spare circuits. Indicate circuits, number of poles, circuit breakers, size, wire size, total KVA, demand load, short circuit and feeder calculations.</t>
  </si>
  <si>
    <t>EA ALT.</t>
  </si>
  <si>
    <t>EA Type</t>
  </si>
  <si>
    <t>Includes Segmental, Constant Depth CIP/Precast Box. Low range: continuous pre/post-tensioned, High range: long-term longitudinal analysis required, 3-D.  Bridges with multiple different continuous units fall outside the range.</t>
  </si>
  <si>
    <t>Includes rolled section, plate girder and box girder bridges. Low range: rolled sections. Mid range: line-girder analysis.  High range: 3-D analysis.  Bridges with multiple different continuous units fall outside the range.</t>
  </si>
  <si>
    <r>
      <t>·</t>
    </r>
    <r>
      <rPr>
        <sz val="10"/>
        <rFont val="Arial"/>
        <family val="2"/>
      </rPr>
      <t xml:space="preserve">  Rehabilitation, Resurfacing, and Restoration  </t>
    </r>
  </si>
  <si>
    <r>
      <t>·</t>
    </r>
    <r>
      <rPr>
        <sz val="10"/>
        <rFont val="Arial"/>
        <family val="2"/>
      </rPr>
      <t xml:space="preserve">  Sidewalks    </t>
    </r>
  </si>
  <si>
    <r>
      <t>·</t>
    </r>
    <r>
      <rPr>
        <sz val="10"/>
        <rFont val="Arial"/>
        <family val="2"/>
      </rPr>
      <t>  USCG (Advanced Approval)</t>
    </r>
  </si>
  <si>
    <r>
      <t>·</t>
    </r>
    <r>
      <rPr>
        <sz val="10"/>
        <rFont val="Arial"/>
        <family val="2"/>
      </rPr>
      <t>  Local Government</t>
    </r>
  </si>
  <si>
    <r>
      <t>·</t>
    </r>
    <r>
      <rPr>
        <sz val="10"/>
        <rFont val="Arial"/>
        <family val="2"/>
      </rPr>
      <t>  Multi-lane reconstruction</t>
    </r>
  </si>
  <si>
    <r>
      <t>·</t>
    </r>
    <r>
      <rPr>
        <sz val="10"/>
        <rFont val="Arial"/>
        <family val="2"/>
      </rPr>
      <t>  Add lane and resurfacing</t>
    </r>
  </si>
  <si>
    <r>
      <t>·</t>
    </r>
    <r>
      <rPr>
        <sz val="10"/>
        <rFont val="Arial"/>
        <family val="2"/>
      </rPr>
      <t>  Bridge widening or replacement (not in-kind)</t>
    </r>
  </si>
  <si>
    <t>General</t>
  </si>
  <si>
    <t>Final Bridge Geometry</t>
  </si>
  <si>
    <t>Casting Geometry Calculation</t>
  </si>
  <si>
    <r>
      <t xml:space="preserve">6.      </t>
    </r>
    <r>
      <rPr>
        <b/>
        <sz val="10"/>
        <rFont val="Arial"/>
        <family val="2"/>
      </rPr>
      <t>Location:</t>
    </r>
    <r>
      <rPr>
        <sz val="10"/>
        <rFont val="Arial"/>
        <family val="2"/>
      </rPr>
      <t xml:space="preserve"> The location of the building project can greatly affect elements such as utilities access and site access.</t>
    </r>
  </si>
  <si>
    <t>1.      Considerably more than average complexity</t>
  </si>
  <si>
    <t>2.      More than average complexity</t>
  </si>
  <si>
    <t>Prepare report figures including GP&amp;E, Section, Clearance Diagram, Framing Plan, Drive Layout, Pier Plan Below Deck, Visibility Study, construction sequence. Low range: rectangular pier; High range: four leaf with skewed piers, phase construction.</t>
  </si>
  <si>
    <t>4 to 50</t>
  </si>
  <si>
    <t>Determination of structure and expansion joint movements and expansion joint type.  High Range:  continuous structures.</t>
  </si>
  <si>
    <t>24 to 56</t>
  </si>
  <si>
    <t>EA End Bent</t>
  </si>
  <si>
    <t>EA Analysis</t>
  </si>
  <si>
    <t>Development of structural design of floors, walls, frames, roof, stairs, handrails and connections, including bar bending details. Range covers a two-story rectilinear structure and depends on complexity.</t>
  </si>
  <si>
    <r>
      <t xml:space="preserve">Develop rebar table for bascule pier, control house, concrete deck and counterweight. Range depends on complexity.  </t>
    </r>
    <r>
      <rPr>
        <i/>
        <sz val="10"/>
        <rFont val="Arial"/>
        <family val="2"/>
      </rPr>
      <t>[This is only for staff hours for preparation of the Drawing-List, not for reinforcing bar bending details which are included in the design.]</t>
    </r>
  </si>
  <si>
    <t>Develop LRFR load rating of deck, stringers, floor beams and girders.  Staff hour range assumes a symmetric double-leaf bascule bridge.  Low range:  steel grid deck.  High range:  composite deck system.</t>
  </si>
  <si>
    <t>Notes addressing steel requirements, counterweight, decking, erection, etc. Range depends upon complexity.</t>
  </si>
  <si>
    <t>Expansion Joint Segment</t>
  </si>
  <si>
    <t>Includes analysis of flat slab (CIP) concrete, precast slab unit bridges, double tee. Low range: little configuration flexibility, High range: no constraints / multiple spans</t>
  </si>
  <si>
    <t xml:space="preserve">Indicate all roof conditions using small &amp; large-scale detail drawings roof penetrations, framing &amp; blocking schemes, all flashing and other pertinent details. </t>
  </si>
  <si>
    <t>32.</t>
  </si>
  <si>
    <t>Other Utilities</t>
  </si>
  <si>
    <t>GUIDELINES</t>
  </si>
  <si>
    <t>2 to 16</t>
  </si>
  <si>
    <t>construction, major access management impacts).</t>
  </si>
  <si>
    <t xml:space="preserve"> Upper Range</t>
  </si>
  <si>
    <t>Upper Range</t>
  </si>
  <si>
    <t>Includes plan view with bar layout and spacing, barrier joint, light pilaster locations, drain locations, embedded conduit layout, etc. Low range: normal, parallel beams. High Range:  skew, variable beam spacing, curved alignment.</t>
  </si>
  <si>
    <t>Less than 15 degree skew, straight, line-girder analysis.</t>
  </si>
  <si>
    <t>Greater than 15 degree skew, straight, grid analysis.</t>
  </si>
  <si>
    <t>Greater than 15 degree skew, curved, grid analysis.</t>
  </si>
  <si>
    <t>Determine Interior Intermediate, End Diaphragm, Pier Diaphragm, and Lateral Bracing sizes.  Ranges depend upon repetition, geometry and complexity. Finite Element not included.</t>
  </si>
  <si>
    <t>Includes cross-sections, reinforcing, end anchorages, diaphragms, bearing plates and notes. Low range: constant depth. High range: Variable depth, end anchorages.</t>
  </si>
  <si>
    <t>Includes erection sequence and notes. Range depends on complexity.</t>
  </si>
  <si>
    <t>Includes elevation and cross-sections, reinforcing details and  notes. Range depends on complexity.</t>
  </si>
  <si>
    <t>Includes deflections for each phase and required build-up. Range depends on complexity of PT phasing.</t>
  </si>
  <si>
    <t>Determine Size, Spacing and Total Number.  Ranges depend upon repetition, geometry and complexity.</t>
  </si>
  <si>
    <t>Determine Camber and Geometric Camber.  Ranges depend upon repetition, geometry and complexity.</t>
  </si>
  <si>
    <t>Develop detailed layout of structural steel girders with locations of cross-frames, all stiffeners and splices. Low range: straight, constant width, normal ends. High range: curved, variable width, skewed.</t>
  </si>
  <si>
    <t>Included where independent peer review and/or constructability / bidability reviews are utilized in addition to QC review. (Based on 3-5% of technical subtotal).  ( As directed by FDOT)</t>
  </si>
  <si>
    <t>Supervise and coordinate all technical design analysis. (Based on 5-10% of technical subtotal).</t>
  </si>
  <si>
    <t>A "Lower Range" roadway project may fall in the "Middle Range" for Lighting projects and vice versa.  See the project ranges below.  The project ranges should be used only for Reference &amp; Master Design Files and Quantities from Analysis.  All other tasks should be defined on task by task basis and should not necessarily use the Project Ranges.</t>
  </si>
  <si>
    <t>Includes all efforts to prepare plan as it relates to the exterior lighting of the building, walkways and parking and utilities connections.</t>
  </si>
  <si>
    <t>Provide schedule of lighting fixtures and equipment, including but not limited to type, power requirements, finish, manufactures, volts, number of lamps, lamp watts, and quantities.</t>
  </si>
  <si>
    <t>Includes mounting, switching, and control details along with diagram of all lighting fixtures.</t>
  </si>
  <si>
    <t>Provide roof plan showing location of all air terminals, cables, roof penetrations grounding and connection to mechanical equipment.</t>
  </si>
  <si>
    <t>Provide all details of air terminals, cables and mounting, ground cables and mounting, roof penetrations and grounding details.</t>
  </si>
  <si>
    <t>Transverse and/or longitudinal sections, when required, showing dimensions, elevations and concrete configuration at deck and machinery levels.  Low range for simple rectangular pier, no control house and fewer levels; High range pier with unique pier configurations, control house, or numerous floor levels. Total number of sheets and necessity of sheets dependent upon complexity of pier.   [This includes rest piers for single leaf bascule bridges.]</t>
  </si>
  <si>
    <t>The staff hour estimating form, basis and these accompanying instructions were developed to be consistent with the Geotechnical section of the Standard Scope of Service covering the typical range of geotechnical investigations anticipated on 80 percent of all highway projects. It is recognized that the Districts may need to vary the specific requirements of the scope for performance of geotechnical work to make them District or project specific. Where such variations occur, it is recommended that all changes to the Standard Scope be shown in italics to alert the user that the scope requirements have changed from the standard and that the range of staff hours shown in the basis may no longer be applicable to a specific task.</t>
  </si>
  <si>
    <t xml:space="preserve">Remember that this form is intended to estimate the TOTAL number of hours for each task including engineering or technician hours to perform the task, senior review hours and applicable clerical hours.   </t>
  </si>
  <si>
    <t>Prepare a computerized economic evaluation of owning/operating cost of three basic HVAC systems deemed most appropriate for the project. Typically performed for one typical occupancy/climatological year and 20-25 year economic life.</t>
  </si>
  <si>
    <t>Supplemental Surveys</t>
  </si>
  <si>
    <t>Typical structure boring lengths vary from 25 lf to 100 lf.  Work product is a Report of Core Borings Sheet. Number of borings per page may vary based on depth of boring and soil types encountered that need to be described.  Low end of the staff hour range is for small miscellaneous structures and the upper end of the range is for larger, more complex structures. Drafting product includes Location map, SCS map and USGS map.  An additional consideration is that a greater number of shorter borings in geologically diverse areas will require a greater number of staff hours to complete per 100-lf than a single 100-lf boring in homogeneous soil.  Prepare a complete set of drawings to include all SPT borings, auger borings and any other pertinent soil information to be included in the plans.  Include these drawings in the Final Geotechnical Report.  Soil symbols must be consistent with those presented in the latest FDOT Soils and Foundations Handbook.</t>
  </si>
  <si>
    <t>0.5 to 4</t>
  </si>
  <si>
    <t>Includes the creation of a mosiac from multiple images. Units refer to the number of images that exist before the mosiac is created.</t>
  </si>
  <si>
    <t>Sheet Clipping</t>
  </si>
  <si>
    <t>Parent Tract Properties/Existing Easements</t>
  </si>
  <si>
    <t>Proposed R/W Requirements</t>
  </si>
  <si>
    <t>Limits of Construction</t>
  </si>
  <si>
    <t>Miscellaneous</t>
  </si>
  <si>
    <t>Title Search Map</t>
  </si>
  <si>
    <t>Title Search Report</t>
  </si>
  <si>
    <t>Legal Descriptions</t>
  </si>
  <si>
    <t>Alignment</t>
  </si>
  <si>
    <t>Existing R/W</t>
  </si>
  <si>
    <t>Control Survey Cover Sheet</t>
  </si>
  <si>
    <t>Control Survey Key Sheet</t>
  </si>
  <si>
    <t>Control Survey Detail Sheet</t>
  </si>
  <si>
    <t>R/W Map Cover Sheet</t>
  </si>
  <si>
    <t>R/W Map Key Sheet</t>
  </si>
  <si>
    <t>R/W Map Detail Sheet</t>
  </si>
  <si>
    <t>Reference Point Sheet</t>
  </si>
  <si>
    <t>Table of Ownerships Sheet</t>
  </si>
  <si>
    <t>Parcel Sketches</t>
  </si>
  <si>
    <t>TIITF Sketches</t>
  </si>
  <si>
    <t>Boundary Survey(s) Map</t>
  </si>
  <si>
    <t>R/W Monumentation Map</t>
  </si>
  <si>
    <t>Other BDR Issues</t>
  </si>
  <si>
    <t>Prepare report text. Low range: rectangular pier and open deck; High range: skewed pier with closed deck.</t>
  </si>
  <si>
    <t>Assemble checklist appendices to report. (Item used one time per project)</t>
  </si>
  <si>
    <t>Foundation Analysis (FL PIER)</t>
  </si>
  <si>
    <t>Develop bascule pier layout / concept. Low range: rectangular pier; High range: skewed pier.</t>
  </si>
  <si>
    <t>Refer to tasks of this document as applicable. Range is based on average of one site per mile.</t>
  </si>
  <si>
    <t>Field: 1 to 2</t>
  </si>
  <si>
    <t>Includes field location (2–dimensional) of jurisdiction limits as defined by respective authorities, also includes field edits, analysis and processing of all field collected data, preparation of reports. Delivery of all appropriate electronic files, and / or field notes.</t>
  </si>
  <si>
    <t>Structural Plans Total</t>
  </si>
  <si>
    <t>Life Cycle Cost Analysis</t>
  </si>
  <si>
    <t>Mechanical Plans Total</t>
  </si>
  <si>
    <t>Plumbing Plans Total</t>
  </si>
  <si>
    <t>Fire Protection Plan</t>
  </si>
  <si>
    <t>Hydraulic Calculation</t>
  </si>
  <si>
    <t>Lightning Protection Details</t>
  </si>
  <si>
    <t xml:space="preserve">Geotechnical engineer review of available printed literature including topographic maps, county agricultural soils maps, aerial photography (including historic photos), ground water resources, construction plans, geology bulletins, pile driving and historic construction records and existing plans.  Includes all time to locate, acquire and review data.  The Consultant will only be responsible to obtain and review locally available information.  Estimated to be between 4 to 40 hours per project based on complexity and size of project. </t>
  </si>
  <si>
    <t>Develop flexural and principal stress checks. Range depends on size, number of sections and complexity of project. (iterative process)</t>
  </si>
  <si>
    <t>Includes girder and diaphragm layout with dimensions. Low range: straight without intermediate continuity diaphragms. High range: curved, skewed, intermediate continuity diaphragms.</t>
  </si>
  <si>
    <t>Includes tendon layout, notes, dimensions and shear stirrup layout. Low range: constant depth. High range: Variable depth.</t>
  </si>
  <si>
    <t>20 to 80</t>
  </si>
  <si>
    <t>8 to 40</t>
  </si>
  <si>
    <t>8 to 20</t>
  </si>
  <si>
    <t>Includes all waste lines and associated vent lines and vent penetrations.</t>
  </si>
  <si>
    <t>Provide details of plumbing equipment and fixtures, including installations and connections of specific construction and installation components including sizes and dimensions.</t>
  </si>
  <si>
    <t>Provide drawings that are duplication of other drawings such as drawings used on both the northbound and southbound rest areas.</t>
  </si>
  <si>
    <t>Includes all activities required for geotechnical engineer to attend meetings with FDOT and/or Prime Consultant and travel time to and from the meetings.  Although the unit is ‘Lump Sum’ the number of staff hours is determined by multiplying the number of persons for each meeting by the total number of meetings anticipated, times 2 to 8 hours per meeting.</t>
  </si>
  <si>
    <t xml:space="preserve">Applicable cross-sections are those where unsuitable soil material are anticipated or previously encountered by Geotechnical Engineer.  The typical work-effort for this task begins with delineating the unsuitable material on each applicable cross-section that comes from either historical records or project-related borings.  This portion of the task is estimated to require between ¼ to ½ hour per cross-section, depending on the width of the section and the complexity of the soils.  In addition to the cross-section delineation, some Districts require the Geotechnical engineer to provide a drawing sheet that shows the plan limits of anticipated unsuitable material.  No staff hours are included in the range and must be added for this deliverable.  It is anticipated that an additional plan-view delineation page is required for each 12 cross-sections.  The minimum effort for this task item is estimated to be 1-hour with an additional 1 to 4 hours per plan-view delineation page, depending on the complexity of the limits of unsuitable material.  </t>
  </si>
  <si>
    <t>30 to 50</t>
  </si>
  <si>
    <t>Design of lightning and surge protection system for electrical and control systems. Low range: relay. High range: PLC.</t>
  </si>
  <si>
    <t>Design of interior pier lighting for maintenance, including battery backup system. Low range: single level/small area. High range: multi-level/high area.</t>
  </si>
  <si>
    <t>Plan of power supply to the bridge and equipment layout for all electrical components, including lightning protection, grounding and location of service. Low range: dual bridge. High range: single bridge.</t>
  </si>
  <si>
    <t>Calculate elevations of finished ground lines, top of collar &amp; top of pile. Low range - Relatively uniform ground line. High range: Irregular ground line. Limited number of vertical controls.</t>
  </si>
  <si>
    <t>Calculate elevations of finished ground lines, top of collar &amp; top of pile. Low range - Relatively uniform ground line. High range: Irregular ground line. Increased complexity and number of vertical controls.</t>
  </si>
  <si>
    <t xml:space="preserve">Calculate elevations of finished ground lines, top of collar &amp; top of pile. Low range - Relatively uniform ground line. High range: Irregular ground line. Large number of vertical controls.    </t>
  </si>
  <si>
    <t>Design of wall panel, post and connection design for higher wind pressures than assumed in the Structures Standards, foundation design, special utility accommodation. Low range: minimally exceeds standards, no utility conflict, multiple designs. High Range: Major modifications to standards, utility conflicts, little repetition.</t>
  </si>
  <si>
    <t>Staff hours include design, quantities and sheet preparation.  Low range:  access platform only.  High range:  access ladder and platform.</t>
  </si>
  <si>
    <t>Complete and Submit All Required Permit Applications</t>
  </si>
  <si>
    <t>Prepare Coastal Construction Control Line (CCCL) Permit Application</t>
  </si>
  <si>
    <t>Mitigation Coordination and Meetings</t>
  </si>
  <si>
    <t>Asbestos Survey</t>
  </si>
  <si>
    <t>Locate all above ground features and improvements for the limits of the project by collecting the required data with sufficient density for the purpose of a digital terrain model (DTM) survey.  Collect all break lines, high and low points.  Includes field edits, analysis and processing of all field collected data, existing maps, and/or reports.  Delivery of all appropriate electronic files.  ADD-ONS:  Increase tasks office support range by 0.3 to 1 hour per crew day for preparing required Microstation.dgn CADD and/or Geopak files.</t>
  </si>
  <si>
    <t>Corner/Mile</t>
  </si>
  <si>
    <t>Crew: 0.125 to 2 per block</t>
  </si>
  <si>
    <t>Crew: 1 to 4/mile</t>
  </si>
  <si>
    <t xml:space="preserve">Includes placement and location (XYZ) of targets and photo identifiable points and maintenance of targets. Includes analysis and processing of all field collected data, existing maps, and / or reports. </t>
  </si>
  <si>
    <t>The range of hours following each element of design is to be used as a guide to calculate the number of total hours required to perform that task, including design and drafting. The negotiator must use professional judgment based on the project scope to determine where each task would fall with in the range of hours. Each task must be judged based on its complexity and work effort.</t>
  </si>
  <si>
    <t>The size of a building is not necessarily related to the complexity/work effort of its design. To determine the design complexity/work effort several factors must be considered.</t>
  </si>
  <si>
    <t>Design of each unique prestressed slab unit and reinforcement including bar bending details, slab camber/deflection diagram, post-tensioning, quantities and barrier interface. Low range: normal ends. High range: skewed/non-parallel ends.</t>
  </si>
  <si>
    <t>Plan view showing arrangement of prestress slab units and spacing for transverse post-tensioning (PT). Low range: without PT. High range: with PT.</t>
  </si>
  <si>
    <t>Includes photo identifiable control point determination and marking prints. The low end of the range is for urban areas. The high end of the range is for rural areas.</t>
  </si>
  <si>
    <t>Intermediate Bent Structural Design</t>
  </si>
  <si>
    <t>Intermediate Bent Details</t>
  </si>
  <si>
    <t>Includes all efforts for an environmental task not covered by an existing defined task.  Required work will be defined in the scope and negotiated on a case-by-case basis.</t>
  </si>
  <si>
    <t>Signing &amp; Pavement Marking Analysis 
Technical Subtotal</t>
  </si>
  <si>
    <t>8 to 24</t>
  </si>
  <si>
    <t>4 to 12</t>
  </si>
  <si>
    <t>8 to 12</t>
  </si>
  <si>
    <t>Drainage Analysis Technical Subtotal</t>
  </si>
  <si>
    <t>The user must use experience and common sense in assessing where the specific project requirements may deviate from the typical project and some guidance is provided in the basis for each task. For instance, minimum hours listed are only applicable to typical projects. If needed, individual Structures Items can be used when negotiating Roadway projects, and individual Roadway Items can be used when negotiating Structures projects. If neither the Standard Scope nor the basis specifically include or describe an activity, type of analysis or geotechnical solution then it most likely is not covered within the typical staff hour ranges provided for guidance.</t>
  </si>
  <si>
    <t>Develop the final general plan and elevation details. Range shown is for GP&amp;E developed in final plans. Low range: long bridge over water. Mid range: rural, limited complexity. High range: urban, multiple crossing, high complexity.</t>
  </si>
  <si>
    <t>Develop foundation layout and notes. Develop installation table information with geotechnical input. Low range: rural High range: urban, scour.</t>
  </si>
  <si>
    <t>Design of intermediate bent, determination of pile loads, and check for stability. Low range: check that the temporary bridge falls within the limits of the standard. High range:  span length or height outside standard.</t>
  </si>
  <si>
    <t>Determination of final bridge geometry including calculation of vertical and horizontal clearances based on final member sizes and locations, and final project geometry. Low range: over water High Range: over roadway, curved or skewed supports .</t>
  </si>
  <si>
    <t>Varies depending on project requirements (i.e. utility hanger details, slope protection, etc.) Low range: add existing sheets, change title block. High range: develop project specific details.</t>
  </si>
  <si>
    <t>sheet</t>
  </si>
  <si>
    <t>Prepare index sheet for all submittals. Low Range: single bridge. High Range: multiple bridges.</t>
  </si>
  <si>
    <t>Required for multiple bridge projects. Range depends on complexity.</t>
  </si>
  <si>
    <t>Per boring analyzed.  High end of staff hour range represent practices to determine seasonal high water table in the field. Low end of the staff hour range represents practices to determine seasonal high water table using SCS maps, existing groundwater levels, boring information and rainfall data. Consideration needs to be made for historical information of subsurface conditions and the type of effort expected or mandated in the county. The staff hour range includes identification of artesian conditions.</t>
  </si>
  <si>
    <t xml:space="preserve">Per boring analyzed. High end of staff hour range represent practices to determine seasonal high water levels in the field. Low end of the staff hour range represents practices to determine seasonal high water levels using SCS maps, existing groundwater levels, boring information and rainfall data. Consideration needs to be given to historical subsurface conditions and the type of effort expected or mandated in the county.  The staff hour range includes identification of artesian conditions, if needed.  </t>
  </si>
  <si>
    <t>2 to 8</t>
  </si>
  <si>
    <t>4 to 24</t>
  </si>
  <si>
    <t>Provide all miscellaneous foundation and framing sections and details, and any other sections and details required to describe connections and components, and design (to be negotiated on an as need basis.)</t>
  </si>
  <si>
    <t>Drawings that are duplication of other drawings, such as; drawings used on both the northbound and southbound rest areas.</t>
  </si>
  <si>
    <t>Activities include coordination of all tasks in this particular work group including calls, site visits and plans changes. This activity includes both preliminary investigation and final roadway investigation coordination.  The Project Geotechnical Engineer will typically be available to answer telephone questions for the driller, make site visits to verify the quality of the drilling effort, and to make changes to the boring plans in the instance of unforeseen conflicts or conditions.  The staff hour range for the roadway fieldwork is between 0.5 to 1.0 hour per 100 lf of preliminary borings, plus 0.25 to 0.5 hour per 100 lf of final investigation boring based on both the size and complexity of the project.  The larger or simpler projects will require the lower end of the staff hour range and the smaller or more complex projects will require more hours per 100 lf of boring.</t>
  </si>
  <si>
    <t xml:space="preserve">Activities include development of laboratory testing plan and visual identification, stratum identification, refinement of field classification and modification of soil profiles.  Basis for hours is estimated to be 40 to 60 samples per 100 lf boring.  </t>
  </si>
  <si>
    <t>Proposed Design Contract Time:</t>
  </si>
  <si>
    <t>Includes vehicular live load and sidewalk loading. Low range: straight bridge. High Range: Variable width deck.</t>
  </si>
  <si>
    <t>Includes temperature rise or fall, and thermal gradients. Low range: one fixed bearing. High range: multiple fixed bearings.</t>
  </si>
  <si>
    <t>Includes iterations as required to satisfy design requirements, as well as fast and slow schedule runs. Range depends on size and complexity of project.</t>
  </si>
  <si>
    <t>8 to 32</t>
  </si>
  <si>
    <t>See Basis for Staff Hour Ranges</t>
  </si>
  <si>
    <t>Activities include coordination of all tasks in this particular work group including calls, site visits and plans changes. This activity includes both preliminary investigation and final roadway investigation coordination.  The Project Geotechnical Engineer will typically be available to answer telephone questions for the driller, make site visits to verify the quality of the drilling effort and to make changes to the boring plans for unforeseen conflicts or conditions.  The staff hour range for the roadway fieldwork is between 0.5 to 1.0 hour per 100 lf of preliminary borings, plus 0.25 to 0.5 hour per 100 lf of final investigation boring based on both the size and complexity of the project.  The smaller projects will require the higher end of the staff hour range, and the larger projects will require fewer hours per 100 lineal feet of boring.  However,  more complex projects may require the higher end of the staff hour range, whereas the simpler projects may not.</t>
  </si>
  <si>
    <t xml:space="preserve"> </t>
  </si>
  <si>
    <t>Includes plan view with bar layout and spacing, barrier joint, light pilaster locations, drain locations, embedded conduit layout, etc. Low range: normal ends, parallel beams. High Range:  skew, variable beam spacing, curved alignment.</t>
  </si>
  <si>
    <t>Develop section properties for each beam cross section, Low Range: Constant girder depth, High Range: Variable girder depth, variable width deck, curvature.</t>
  </si>
  <si>
    <t>Develop material properties based on time dependency, Range varies with number of sections per unit.</t>
  </si>
  <si>
    <t xml:space="preserve">Includes construction sequence and casting and erection schedule. Range depends on size and complexity of project. </t>
  </si>
  <si>
    <t xml:space="preserve">Includes vertical tendon geometry and stressing data. Range depends on size and complexity of project. </t>
  </si>
  <si>
    <t>Includes clipping sheets from the database into final product.</t>
  </si>
  <si>
    <t>Planimetrics (2D)</t>
  </si>
  <si>
    <t>Includes preparation of models and compilation of 2D maps from stereo models.</t>
  </si>
  <si>
    <t>CADD Edit</t>
  </si>
  <si>
    <t>Data Merging</t>
  </si>
  <si>
    <t>1 to 40</t>
  </si>
  <si>
    <t>Includes merging files from photogrammetry, field survey and data from other sources to develop a complete project database. For projects involving photogrammetry and ground survey, the department expects photogrammetrist and ground surveyor to coordinate data exchange to create deliverables.</t>
  </si>
  <si>
    <t>Includes travel time for trips to field to obtain data necessary for design.  Included for all design related field reviews. (LS based on average number of people per field review X length of field review X number of field reviews.)</t>
  </si>
  <si>
    <t>Structures Guidelines</t>
  </si>
  <si>
    <t>Finish Grade Geometry Calculation</t>
  </si>
  <si>
    <t>Construction Schedule</t>
  </si>
  <si>
    <t>General Plan &amp; Elevation</t>
  </si>
  <si>
    <t>Overhead Street Name Sign Design</t>
  </si>
  <si>
    <t>Pole Elevation Analysis</t>
  </si>
  <si>
    <t>Design Documentation</t>
  </si>
  <si>
    <t>Traffic Signal Operation Report</t>
  </si>
  <si>
    <t>Mast Arm / Monotube Tabulation Sheet</t>
  </si>
  <si>
    <t>Temporary Detection Sheet</t>
  </si>
  <si>
    <t>Lighting Justification Report</t>
  </si>
  <si>
    <t>Aeronautical Evaluation</t>
  </si>
  <si>
    <t>Voltage Drop Calculations</t>
  </si>
  <si>
    <t>Reference and Master Design Files</t>
  </si>
  <si>
    <t>Pole Data,  Legend &amp; Criteria</t>
  </si>
  <si>
    <t>Service Point Details</t>
  </si>
  <si>
    <t>Stake Borings/Utility Clearance</t>
  </si>
  <si>
    <t>Boring</t>
  </si>
  <si>
    <t>Drilling Access Permits</t>
  </si>
  <si>
    <t>Property Clearances</t>
  </si>
  <si>
    <t>Groundwater Monitoring</t>
  </si>
  <si>
    <t>Preliminary Plans</t>
  </si>
  <si>
    <t>8 to 80</t>
  </si>
  <si>
    <t>12 to 32</t>
  </si>
  <si>
    <t>32 to 80</t>
  </si>
  <si>
    <t>12 to 80</t>
  </si>
  <si>
    <t>6 to 40</t>
  </si>
  <si>
    <t>32 to 48</t>
  </si>
  <si>
    <t>60 to 120</t>
  </si>
  <si>
    <t>20 to 32</t>
  </si>
  <si>
    <t>24 to 80</t>
  </si>
  <si>
    <t>12 to 20</t>
  </si>
  <si>
    <t>2 to 40</t>
  </si>
  <si>
    <t>12 to 40</t>
  </si>
  <si>
    <t>80 to 120</t>
  </si>
  <si>
    <t>12 to 16</t>
  </si>
  <si>
    <t>16 to 28</t>
  </si>
  <si>
    <t>32 to 40</t>
  </si>
  <si>
    <t>Locate all above ground features and improvements for the limits of the project by collecting the required data with sufficient density for the purpose of a DTM survey. Collect all break lines, high and low points. Includes field edits, analysis and processing of all field collected data, existing maps, and / or reports. Delivery of all appropriate electronic files. Includes necessary control (for definitions, see tasks 1 through 5).</t>
  </si>
  <si>
    <t>Below to Lower End of Range Projects</t>
  </si>
  <si>
    <t xml:space="preserve"> Lower End of Range Projects</t>
  </si>
  <si>
    <t>Permanent walls, constant offset from roadway alignment and constant cross-slope. Range depends upon number of vertical controls.</t>
  </si>
  <si>
    <t xml:space="preserve">Permanent walls, variable horizontal deviations from roadway alignment, varying cross-slopes. Range dependent upon number of vertical and horizontal controls. </t>
  </si>
  <si>
    <t>Prepare general notes. Low range: standard drawings, High range: development of specific notes and details.</t>
  </si>
  <si>
    <t>Sections thru wall, tie-back details, coping details, aesthetic treatments, post and panel details, bar lists, etc. Range dependent upon complexity.</t>
  </si>
  <si>
    <t>Strain Poles</t>
  </si>
  <si>
    <t>8 to 120</t>
  </si>
  <si>
    <t>24 to 100</t>
  </si>
  <si>
    <t>2 to 20</t>
  </si>
  <si>
    <t>Other Retaining Walls and Bulkheads</t>
  </si>
  <si>
    <r>
      <t>Design of wall to determine member sizes and reinforcing of elements, embedment depths, tie back forces, etc. Low range: cantilevered sheet pile wall, High range: tie-back systems, special systems.</t>
    </r>
    <r>
      <rPr>
        <i/>
        <sz val="10"/>
        <rFont val="Arial"/>
        <family val="2"/>
      </rPr>
      <t xml:space="preserve">  [This includes for Quantities - computation of retaining wall areas, volume of concrete, and weight of rebar.]</t>
    </r>
  </si>
  <si>
    <t>Crew: 1 to 7/mile</t>
  </si>
  <si>
    <t>Field: 0.5 to 4</t>
  </si>
  <si>
    <t>8 to 24 points/day</t>
  </si>
  <si>
    <t>Details of tip joint and bascule pier leaf joints, including connection to girders. Low range: open joints. High range: sealed joints or finger joints.</t>
  </si>
  <si>
    <t>Design and sizing of trunnion shaft, bearings, hub and support weldments. Low range for roller bearings; High range for bushings. Spatial constraints might require additional hours.</t>
  </si>
  <si>
    <t xml:space="preserve">                                                            </t>
  </si>
  <si>
    <t>Includes cross-section showing concrete deck and haunch dimensions and reinforcement. Low range: parallel beams. High Range: variable beam spacing, multiple sections.</t>
  </si>
  <si>
    <r>
      <t>·</t>
    </r>
    <r>
      <rPr>
        <sz val="10"/>
        <rFont val="Arial"/>
        <family val="2"/>
      </rPr>
      <t>  Multi-lane Urban limited access new construction (new alignment, major ROW and, major interchange involvement).</t>
    </r>
  </si>
  <si>
    <t>Design Variations and Exceptions</t>
  </si>
  <si>
    <t xml:space="preserve">Cost Estimate </t>
  </si>
  <si>
    <r>
      <t>·</t>
    </r>
    <r>
      <rPr>
        <sz val="10"/>
        <rFont val="Arial"/>
        <family val="2"/>
      </rPr>
      <t>  Multi-lane limited access resurfacing (safety, earthwork, and minor intersection involvement).</t>
    </r>
  </si>
  <si>
    <r>
      <t>·</t>
    </r>
    <r>
      <rPr>
        <sz val="10"/>
        <rFont val="Arial"/>
        <family val="2"/>
      </rPr>
      <t>  Intersection improvements without lane additions or signalization</t>
    </r>
  </si>
  <si>
    <r>
      <t>·</t>
    </r>
    <r>
      <rPr>
        <sz val="10"/>
        <rFont val="Arial"/>
        <family val="2"/>
      </rPr>
      <t>  Rural 3R (major safety, minor earthwork, realigning ditches).</t>
    </r>
  </si>
  <si>
    <t xml:space="preserve">Design of Bascule Pier Backwall for support of approach spans: Low range for Medium Length spans; High range for box girders or longer approach spans and/or skews. </t>
  </si>
  <si>
    <t>Bascule Pier Deck Elevations: Low range for rectangular pier, no cross slope; High range for skewed pier.  Units are based on piers that have different elevations.</t>
  </si>
  <si>
    <t>Details of traffic railing barrier and connections to brackets and girders. Low range: open rail. High range: closed shape.</t>
  </si>
  <si>
    <t>Details of curb and sidewalk plates and supports. Low range: sidewalk with traffic barrier. High range: without traffic barrier.</t>
  </si>
  <si>
    <t>Details of floor beam and intermediate brackets and connections at barrier and sidewalk. Range depends on complexity.</t>
  </si>
  <si>
    <t>Design of bent cap and reinforcement including bar bending details, quantities and determination of pile/shaft loads, tie-back forces. Low range: widening, beam over pile. High range: frame analysis shaft/pile moment development, multiple pile rows.</t>
  </si>
  <si>
    <t>Bent geometry, including beam seat elevations, pile layout, cut-offs, and bearing pad locations. Low range: normal. High range: skewed.</t>
  </si>
  <si>
    <t>Special analysis required for extreme events such as scour and ship impact (if needed). Low range: minor scour. High range: major scour and/or ship impact.</t>
  </si>
  <si>
    <t>Design of bent cap and reinforcement including bar bending details, quantities and determination of pile/shaft loads. Low range: widening, beam over pile. High range: frame analysis shaft/pile moment development.</t>
  </si>
  <si>
    <t>Pier geometry, including beam seat elevations, pile layout, cut-offs, and bearing pad locations. Low range: simple widening. Mid range: normal pier. High range: skewed pier.</t>
  </si>
  <si>
    <t>Design of pier cap, column, footing, dimensions and reinforcement including bar bending details, quantities and determination of pile/shaft loads. Low range: widening, beam over column. Mid range: frame analysis, single or multi-column. High range: straddle pier (not integral).</t>
  </si>
  <si>
    <t>40 to 72</t>
  </si>
  <si>
    <t>32 to 72</t>
  </si>
  <si>
    <t>56 to 120</t>
  </si>
  <si>
    <t>20 to 28</t>
  </si>
  <si>
    <r>
      <t xml:space="preserve">7.      </t>
    </r>
    <r>
      <rPr>
        <b/>
        <sz val="10"/>
        <rFont val="Arial"/>
        <family val="2"/>
      </rPr>
      <t>Sheet Production:</t>
    </r>
    <r>
      <rPr>
        <sz val="10"/>
        <rFont val="Arial"/>
        <family val="2"/>
      </rPr>
      <t xml:space="preserve"> The number of sheets will be determined by such elements as content of sheet, unique and special</t>
    </r>
  </si>
  <si>
    <t>purpose spaces, shape and mass of building(s), spaces requiring enlarged floor plans and details, interior finishes, structural</t>
  </si>
  <si>
    <t>system, mechanical system, communications and data systems, and special equipment.</t>
  </si>
  <si>
    <t>Survey all existing recorded subdivision / condominium boundaries, tracts, units, phases, blocks, street R/W lines, and common areas. Includes analysis and processing of all field collected data and / or reports. Delivery of all appropriate electronic files, forms, and / or field notes. ADD-ONS - If unrecorded subdivision is on file in the public records of the subject county, survey the beginning and end of unrecorded subdivision. (For staff hour negotiations, each unrecorded subdivision is equivalent to one block of a recorded subdivision.)</t>
  </si>
  <si>
    <t>Crew: 0.25 to 4</t>
  </si>
  <si>
    <t>Field: 1 to 3</t>
  </si>
  <si>
    <t>Includes field location (2–dimensional) of maintained right of way limits as defined by respective authorities. Also includes field edits, analysis and processing of all field collected data, preparation of reports. Delivery of all appropriate electronic files, and / or field notes.</t>
  </si>
  <si>
    <t>Bridge Survey (Minor/Major)</t>
  </si>
  <si>
    <t>R/W Staking, Parcel / R/W Line</t>
  </si>
  <si>
    <t>Introduction</t>
  </si>
  <si>
    <t>Disclaimer</t>
  </si>
  <si>
    <t>Project Information</t>
  </si>
  <si>
    <t>ROADWAY ANALYSIS</t>
  </si>
  <si>
    <t>Roadway Guidelines</t>
  </si>
  <si>
    <t>DRAINAGE ANALYSIS</t>
  </si>
  <si>
    <t>Utilities Guidelines</t>
  </si>
  <si>
    <t>Utilities</t>
  </si>
  <si>
    <t>Environmental Permits Guidelines</t>
  </si>
  <si>
    <t>Signing &amp; Pavement Markings Plans</t>
  </si>
  <si>
    <t>Survey Guidelines</t>
  </si>
  <si>
    <t>PHOTOGRAMMETRY</t>
  </si>
  <si>
    <t>MAPPING</t>
  </si>
  <si>
    <t>GEOTECHNICAL</t>
  </si>
  <si>
    <t>Geotechnical Guidelines</t>
  </si>
  <si>
    <t>Geotechnical</t>
  </si>
  <si>
    <t>Architecture Guidelines</t>
  </si>
  <si>
    <t>Develop LRFR load rating for superstructure. Low range: simple span flat slab. High range: continuous flat slab.</t>
  </si>
  <si>
    <t>Design of bent cap and reinforcement including bar bending details, quantities and determination of pile/shaft loads. Low range: widening, beam over pile (assumes frame analysis performed under 13.13). High range: frame analysis shaft/pile moment development.</t>
  </si>
  <si>
    <t>EA Section</t>
  </si>
  <si>
    <t xml:space="preserve">EA Design </t>
  </si>
  <si>
    <t>Per Beam</t>
  </si>
  <si>
    <t>Develop LRFR load rating for superstructure.  Low range:  multiple unique beam checks (more than 10 beams).  High range:  single span bridge with two unique beam checks.</t>
  </si>
  <si>
    <t>Develop LRFR load rating for superstructure - continuous concrete girder design with time dependent analysis.  Unit is per continuous beam.  Range assumes three-span unit.  Low range:  constant beam depth.  High range:  variable beam depth.</t>
  </si>
  <si>
    <t>Wingwalls, pedestal details, sections. Low range: MSE cheekwall, Mid range: similar wingwalls. High range: skewed or curved, cantilever wingwall.</t>
  </si>
  <si>
    <t>The range indicated applies to units of five spans or less.  Additional hours may be required for longer units.</t>
  </si>
  <si>
    <t>Develop load rating for superstructure. Low range: straight line girder. High range: curved, skewed, grid analysis with substantial computer run post-processing analysis.</t>
  </si>
  <si>
    <t>Determine Web Sizes, Flange Sizes, Plate Cut-off Locations, Tension Flange Areas, longitudinal stiffeners size and connections. Determine quantities.  Ranges depend upon repetition, geometry and complexity.</t>
  </si>
  <si>
    <t>Wall types include:  mechanically stabilized earth (MSE), noise reduction, gravity, and cantilevered retaining.   Includes analysis of walls that are applicable to the design, consistent with other walls constructed along the same corridor, or those that have been suggested as preferable by the Designer.  Wall construction and loading considerations should be part of this analysis with particular emphasis being placed on established rules, statutes and safety factors that are applicable both during and after construction.  Staff hours are estimated to be:  ½ to 1 hour per boring analyzed for wall design parameters, plus 1 to 3 hours per boring analyzed for external wall stability and settlement (with a minimum of 4-hours per wall for external stability), plus 20% to 50% of external wall stability and settlement hours for construction recommendations.  Staff hour range is per wall type analyzed.</t>
  </si>
  <si>
    <t>Includes performing aircraft pre- and post flight inspection, loading and unloading aerial film, installing and removing aerial camera in aircraft.</t>
  </si>
  <si>
    <t>Roadway Analysis Nontechnical Subtotal</t>
  </si>
  <si>
    <t>Drainage Analysis Nontechnical Subtotal</t>
  </si>
  <si>
    <t xml:space="preserve">Final Report </t>
  </si>
  <si>
    <t>Preliminary Report - BDR</t>
  </si>
  <si>
    <t>Final Reports - Signs, Signals, Box Culvert, Walls and High Mast Lights.</t>
  </si>
  <si>
    <t>Roadway Analysis</t>
  </si>
  <si>
    <t>Drainage Analysis</t>
  </si>
  <si>
    <t>Roadway Plans</t>
  </si>
  <si>
    <t>Signalization Analysis</t>
  </si>
  <si>
    <t>Signalization Plans</t>
  </si>
  <si>
    <t>Lighting Analysis</t>
  </si>
  <si>
    <t>Lighting Plans</t>
  </si>
  <si>
    <t>Mapping</t>
  </si>
  <si>
    <t xml:space="preserve">Technical Meetings </t>
  </si>
  <si>
    <t>1.  Urban Multi-Lane with major R/W issues or Utility impacts</t>
  </si>
  <si>
    <t>2.  Single Point Urban Interchange</t>
  </si>
  <si>
    <t>24 to 40</t>
  </si>
  <si>
    <t>16 to 20</t>
  </si>
  <si>
    <t>·  Activity 15 addresses Segmental Concrete bridge tasks. The staff hour ranges were developed for precast, cast-in-place, span-by-span, balanced cantilever, single or multi-celled box, multiple box.</t>
  </si>
  <si>
    <t>Typical boring lengths are 25 feet.  Borings for embankments, ponds, outfall, etc. may be deeper than 25 feet.  Work product is a Report of Core Borings Sheet. Number of borings per page may vary based on depth of boring and soil types encountered that need to be described.  The greater the number of soil strata that are expected to be encountered (local geologic conditions) coupled with the design depth will be determining factors in the assignment of staff hours for this task.  Some level of experience with the project specific geology is helpful in determining where the project should fall in the staff hour range.  Typically, the smaller projects will require a greater number of hours per boring, however, some large and complex projects may require the upper range staff hours also.</t>
  </si>
  <si>
    <t>Steel Strain Poles</t>
  </si>
  <si>
    <t>Concrete Strain Poles</t>
  </si>
  <si>
    <t>Mast Arms</t>
  </si>
  <si>
    <t>Cantilever Sign Structures</t>
  </si>
  <si>
    <t>Overhead Span Sign Structures</t>
  </si>
  <si>
    <t>Monotube Overhead Sign Structure</t>
  </si>
  <si>
    <t>Bridge Mounted Signs (Attached to Superstr.)</t>
  </si>
  <si>
    <t>Control Drawings</t>
  </si>
  <si>
    <t>Aesthetic Details</t>
  </si>
  <si>
    <t>Special Structures</t>
  </si>
  <si>
    <t>Data Collection</t>
  </si>
  <si>
    <t>0.25 to 2</t>
  </si>
  <si>
    <t>1 to 5</t>
  </si>
  <si>
    <t>Reference Points</t>
  </si>
  <si>
    <t>2 to 3</t>
  </si>
  <si>
    <t>1 to 3</t>
  </si>
  <si>
    <t>Roadway Cross-Sections/Profiles</t>
  </si>
  <si>
    <t>Side Street Surveys</t>
  </si>
  <si>
    <t>Underground Utilities</t>
  </si>
  <si>
    <t>Designates</t>
  </si>
  <si>
    <t>1 to 2</t>
  </si>
  <si>
    <t>Locates</t>
  </si>
  <si>
    <t>Survey</t>
  </si>
  <si>
    <t>Outfall Survey</t>
  </si>
  <si>
    <t>Drainage Survey</t>
  </si>
  <si>
    <t>Channel Survey</t>
  </si>
  <si>
    <t>Pond Site Survey</t>
  </si>
  <si>
    <t>4 to 16</t>
  </si>
  <si>
    <t>Mitigation Survey</t>
  </si>
  <si>
    <t>Jurisdiction Line Survey</t>
  </si>
  <si>
    <t>Geotechnical Support</t>
  </si>
  <si>
    <t>Sectional / Grant Survey</t>
  </si>
  <si>
    <t>2 to 4</t>
  </si>
  <si>
    <t>Subdivision Location</t>
  </si>
  <si>
    <t>Maintained R/W</t>
  </si>
  <si>
    <t>Boundary Survey</t>
  </si>
  <si>
    <t>Water Boundary Survey</t>
  </si>
  <si>
    <t>R/W Monumentation</t>
  </si>
  <si>
    <t>Line Cutting</t>
  </si>
  <si>
    <t>Work Zone Safety</t>
  </si>
  <si>
    <t>Miscellaneous Surveys</t>
  </si>
  <si>
    <t>Lower End of Range Projects</t>
  </si>
  <si>
    <t>Middle of Range Projects</t>
  </si>
  <si>
    <t>Upper End of Range</t>
  </si>
  <si>
    <t>Includes piping diagrams, detail and/or partial, scaled dimensioned, enlarged floor plan(s) showing specific areas in more detail or to clarify piping/ installation conditions.</t>
  </si>
  <si>
    <t>Includes coordination with the architect to obtain fire flow and water/fire main data. Run preliminary hydraulic calculations to determine basic piping and fire pump selection, etc.</t>
  </si>
  <si>
    <t>Includes all efforts to prepare general notes, abbreviations, symbols, and legend.</t>
  </si>
  <si>
    <t>16 to 24</t>
  </si>
  <si>
    <t>5% to 8%</t>
  </si>
  <si>
    <t>3% to 5%</t>
  </si>
  <si>
    <t>20 to 30</t>
  </si>
  <si>
    <t>38 to 70</t>
  </si>
  <si>
    <t>30 to 46</t>
  </si>
  <si>
    <t>20 to 46</t>
  </si>
  <si>
    <t>21 to 31</t>
  </si>
  <si>
    <t>30 to 59</t>
  </si>
  <si>
    <t>14 to 24</t>
  </si>
  <si>
    <t>Refer to tasks of this document as applicable.</t>
  </si>
  <si>
    <t>Crew: 1 to 2</t>
  </si>
  <si>
    <t>Office: 1 to 2</t>
  </si>
  <si>
    <t>Crew: 1 to 15</t>
  </si>
  <si>
    <t>Design of bent cap and reinforcement including bar bending details, quantities and determination of pile/shaft loads, tie-back forces. Low range: one shaft per bearing. High range: shaft/pile moment development, multiple pile rows.</t>
  </si>
  <si>
    <t>Development of Plan and Elevation. Low range: one row of piles/shafts. High range: multiple rows of piles/shafts.</t>
  </si>
  <si>
    <t>Wingwalls, pedestal details, sections. Low range: one row of piles/shafts. High range: multiple rows of piles/shafts.</t>
  </si>
  <si>
    <t>Building plan showing locations of all data outlets, and circuiting.</t>
  </si>
  <si>
    <t>Show details of all connections and terminations, and riser diagram, and notes.</t>
  </si>
  <si>
    <t>4 to 32</t>
  </si>
  <si>
    <t>Includes defining geometric configuration of piers, preliminary design and determination of foundation loads (top of footing up). Low range: pile bents, Mid-range: standard pier type, High range: with stability analysis (significant scour and/or ship impact).  The number of types negotiated should take into account the difference in geometric configuration and loading.</t>
  </si>
  <si>
    <t>Prepare tender visibility study. Low range: single bridge. High range: dual bridges with skew, multiple tender house locations, visibility of sidewalk.</t>
  </si>
  <si>
    <t>EA SHT.</t>
  </si>
  <si>
    <t>Reviewing Departments LRE, preparing an Engineers Estimate, and updating as necessary. (LS - LRE review 1-3 hours and Engineers Estimate, if required 2-8 hours per submittal).</t>
  </si>
  <si>
    <t>Pier geometry, including beam seat elevations, pile layout, cut-offs, PT anchorage blockouts, and bearing pad locations. Low range: single bearing. Mid range: multiple bearings w/o PT. High range: multiple bearings w/ PT.</t>
  </si>
  <si>
    <t>Includes all efforts required to clear underbrush from the line of sight. All efforts shall be in compliance with all applicable Florida statutes, laws and ordinances pertaining to right of entry.</t>
  </si>
  <si>
    <t>Crew / Field / Office: See Basis for Staff Hour Range</t>
  </si>
  <si>
    <t>7 to 20</t>
  </si>
  <si>
    <t>Determination of final bridge geometry including calculation of vertical and horizontal clearances based on final member sizes and locations, and final project geometry. Low range: straight, SBS or BC constant depth. High range: curved, superelevation transition, variable depth, complex cross-road geometrics.</t>
  </si>
  <si>
    <t>Calculation of segment geometry. Low range: straight and single span. High range: curved and multiple spans.</t>
  </si>
  <si>
    <t>Calculation of finish grade elevations. Low range: straight and single span. High range: curved and multiple spans.</t>
  </si>
  <si>
    <t>32 to 100</t>
  </si>
  <si>
    <t>Develop section properties including shear lag effects, Low Range: Span-by-Span (SBS), Constant Depth, High Range: Balanced Cantilever (BC), Variable Depth, 2-D or 3-D properties.</t>
  </si>
  <si>
    <t>Develop material properties based on time dependency, Low Range: SBS, few typical sections. High Range: BC, variable depth, multiple typical sections.</t>
  </si>
  <si>
    <t>Develop plan sheets for casting geometry / camber.  Low range:  SBS bridge, straight bridge.  High range:  balanced cantilever, multi-span and horizontally curved.</t>
  </si>
  <si>
    <t>Develop 3-D plan sheets for integrated PT details, reinforcing bars and other inserts such as future PT steel pipes.  Low range:  simple shape of geometry and less congested.  High range:  complex geometry, very congested rebars as well as PT hardwares.</t>
  </si>
  <si>
    <t>Signal Warrant Study</t>
  </si>
  <si>
    <t>Interconnect Plans</t>
  </si>
  <si>
    <t>Strain Pole Schedule</t>
  </si>
  <si>
    <t>Signalization Plans Technical Subtotal</t>
  </si>
  <si>
    <t>Lighting Analysis Nontechnical Subtotal</t>
  </si>
  <si>
    <t xml:space="preserve">Includes time for field reviews to obtain data necessary for design (Based on the average number of people, the length of the trip and the number of trips). </t>
  </si>
  <si>
    <t>Indicate all principal exterior elevations of the building. Note all finishes, special conditions &amp; construction. Flag all sections. Flag all vertical elevations including ground elevations. Show all vertical dimensions.</t>
  </si>
  <si>
    <t>Development of wall data and completion of table of variables.  Range depends upon variability of wall height.</t>
  </si>
  <si>
    <t>Development of aesthetic details. Range depends on complexity.</t>
  </si>
  <si>
    <t>Low range:  incorporate standard details.  High range:  unique design.</t>
  </si>
  <si>
    <t>Office 1 to 4</t>
  </si>
  <si>
    <t>Electrical Plans Total</t>
  </si>
  <si>
    <t>Cost Estimate</t>
  </si>
  <si>
    <t>Task</t>
  </si>
  <si>
    <t>Locate all topographic features and improvements for the limits of the project by collecting the required data with sufficient density of data for the purpose of a digital elevation model (DEM) survey. Includes field edits, analysis and processing of all field collected data, existing maps, and / or reports. Delivery of all appropriate electronic files. Includes necessary control (for definitions, see tasks 1 through 3).</t>
  </si>
  <si>
    <t>This activity assumes that a settlement analysis and evaluation of global stability (sliding, slip surface, etc.) will be performed for each embankment boring.  On smaller projects, there may only be one boring per embankment, however, a minimum of 4-hours per embankment needs to be allotted.  For larger projects with multiple borings per embankment and/or multiple embankments the lower end of the staff hour range applies, with increases in staff hours based on project complexity.</t>
  </si>
  <si>
    <t>3 to 30</t>
  </si>
  <si>
    <t>Includes creation of the final image. (Work that is performed before creation of the final image is covered under other tasks.)</t>
  </si>
  <si>
    <t>Rectified Digital Imagery
(Georeferenced)</t>
  </si>
  <si>
    <t>Mosaicking</t>
  </si>
  <si>
    <t>Hours are for computing and completing the elements of the prestressed beam table of variables. Range varies with number of lines per table.</t>
  </si>
  <si>
    <t>Major - Locate all above ground features and improvements for the limits of the bridge. Includes field edits, analysis and processing of all field collected data, existing maps, and / or reports. Delivery of all appropriate electronic files, and / or field notes.  Minor - Locate selective above ground features and improvements for the limits of the bridge. Includes field edits, analysis and processing of all field collected data, existing maps, and/or reports.  Delivery of all appropriate electronic files, and/or field notes.</t>
  </si>
  <si>
    <t>Crew: 1 to 12</t>
  </si>
  <si>
    <t>Develop movable span cost estimate. Low range: rectangular pier and open deck; High range: skewed pier with closed deck.</t>
  </si>
  <si>
    <t>Identify wall locations and identify viable wall systems. Develop approximate quantities and wall location plan. (Item used one time per project). Low Range: Proprietary systems/CIP comparison. High Range: numerous walls, complex wall conditions.</t>
  </si>
  <si>
    <t>Development of Bent Plan and Elevation. Low range: normal end condition. High range: skewed end condition.</t>
  </si>
  <si>
    <t>Erection Sequence</t>
  </si>
  <si>
    <t>8 to 48</t>
  </si>
  <si>
    <t>24 to 72</t>
  </si>
  <si>
    <t>12 to 60</t>
  </si>
  <si>
    <t>6 to 24</t>
  </si>
  <si>
    <t>24 to 120</t>
  </si>
  <si>
    <t>8 to 64</t>
  </si>
  <si>
    <t>32 to 60</t>
  </si>
  <si>
    <t>160 to 240</t>
  </si>
  <si>
    <t>60 to 80</t>
  </si>
  <si>
    <t>8 to 10</t>
  </si>
  <si>
    <t>End bent geometry, including bearing elevations, pile/shaft layout cut-offs, and bearing pad locations. Low range: normal end condition. High range: skewed end condition.</t>
  </si>
  <si>
    <t>Development of End Bent Plan and Elevation. Low range: normal end condition. High range: skewed end condition.</t>
  </si>
  <si>
    <t>Bent geometry, including bearing elevations, pile/shaft layout cut-offs, and bearing pad locations. Low range: normal end condition. High range: skewed end condition.</t>
  </si>
  <si>
    <t>Pier Design and Plans</t>
  </si>
  <si>
    <t>Pier Geometry</t>
  </si>
  <si>
    <t>EA pier</t>
  </si>
  <si>
    <t>Pier Stability Analysis</t>
  </si>
  <si>
    <t>Pier Structural Design</t>
  </si>
  <si>
    <t>Pier Plan and Elevation</t>
  </si>
  <si>
    <t>Pier Details</t>
  </si>
  <si>
    <t>Superstructure Deck Design and Plans</t>
  </si>
  <si>
    <t>Finish Grade Elevation (FGE) Calculation</t>
  </si>
  <si>
    <t>Bridge Deck Reinforcing and Concrete Quantities</t>
  </si>
  <si>
    <t>Superstructure Section</t>
  </si>
  <si>
    <t>Miscellaneous Superstructure Details</t>
  </si>
  <si>
    <t>Continuous Concrete Girder Design</t>
  </si>
  <si>
    <t>Longitudinal Analysis</t>
  </si>
  <si>
    <t>Section Properties</t>
  </si>
  <si>
    <t>Material Properties</t>
  </si>
  <si>
    <t>Construction Sequence</t>
  </si>
  <si>
    <t>Structures - Technical Subtotal</t>
  </si>
  <si>
    <t>Structures - Non-Technical Subtotal</t>
  </si>
  <si>
    <t xml:space="preserve">To use the form and instructions the user must have evaluated the project scope in addition to the likely subsurface conditions and foundation alternatives in sufficient detail to estimate the total number, type and depth of exploratory borings for Roadways and Structures as well as the relative complexity of the project. In general, simple straightforward projects will require lower staffhours, while conversely more complex projects will merit higher staffhours per unit within the ‘typical’ ranges listed on the estimating sheet for ‘lump sum’ items.  When hours are determined ‘per item’ (such as per 100 LF of boring), and a range of hours is given to be multiplied by that item, it is intended that the higher end of the range be used for smaller projects, and vice versa.    </t>
  </si>
  <si>
    <r>
      <t>·</t>
    </r>
    <r>
      <rPr>
        <sz val="10"/>
        <rFont val="Arial"/>
        <family val="2"/>
      </rPr>
      <t>  Urban and rural 2-lane resurfacing Level 1 survey.</t>
    </r>
  </si>
  <si>
    <r>
      <t>Typical Low-Range Project</t>
    </r>
    <r>
      <rPr>
        <sz val="10"/>
        <rFont val="Arial"/>
        <family val="2"/>
      </rPr>
      <t>- A low-range project will typically not include additional travel lanes, but may include minor wetland or surface water impacts not requiring mitigation.  Low-range projects do not typically require authorization for use of Sovereign Submerged Lands and have no involvement with Threatened or Endangered Species.  Examples of typical low-range projects may include permitting for:</t>
    </r>
  </si>
  <si>
    <r>
      <t>·</t>
    </r>
    <r>
      <rPr>
        <sz val="10"/>
        <rFont val="Arial"/>
        <family val="2"/>
      </rPr>
      <t>  Minor intersection improvements</t>
    </r>
  </si>
  <si>
    <r>
      <t>·</t>
    </r>
    <r>
      <rPr>
        <sz val="10"/>
        <rFont val="Arial"/>
        <family val="2"/>
      </rPr>
      <t>  Culvert extensions</t>
    </r>
  </si>
  <si>
    <t>Field: 0.25 to 1</t>
  </si>
  <si>
    <t>Office: 0.25 to 5</t>
  </si>
  <si>
    <t>Basis for Staff Hour Ranges: Includes establishing, recovering/re-establishing, stationing project alignment. Also includes analysis and processing of all field collected data, existing maps, and/or reports for identifying mainline, ramp, offset, or secondary alignments.  Depict alignment and/or existing R/W lines (in required format) per Department R/W Maps, platted or dedicated rights of way.</t>
  </si>
  <si>
    <t>Field: 0.25 to 2</t>
  </si>
  <si>
    <t>Office 1 to 5</t>
  </si>
  <si>
    <t>Includes producing and implementation of QA/QC plan.  Includes review of sub-consultant work, verify comments are addressed, assembly of plans for submittals, etc.  (Based on 5-10% of technical subtotal).</t>
  </si>
  <si>
    <t>Included where independent peer review and/or constructability / bidability reviews are utilized in addition to QC review. (Based on 3-5% of technical subtotal).</t>
  </si>
  <si>
    <t>24 to 32</t>
  </si>
  <si>
    <t>Foundation Layout</t>
  </si>
  <si>
    <t>Superstructure Design and Plans</t>
  </si>
  <si>
    <t>Includes all efforts for a signalization task not covered by an existing defined task.  Required work will be defined in the scope and negotiated on a case-by-case basis.</t>
  </si>
  <si>
    <t>Includes all efforts for a signing &amp; pavement marking task not covered by an existing defined task.  Required work will be defined in the scope and negotiated on a case-by-case basis.</t>
  </si>
  <si>
    <t>Includes all efforts for a lighting task not covered by an existing defined task.  Required work will be defined in the scope and negotiated on a case-by-case basis.</t>
  </si>
  <si>
    <t>Other Geotechnical</t>
  </si>
  <si>
    <t>Includes all efforts for a geotechnical task not covered by an existing defined task.  Required work will be defined in the scope and negotiated on a case-by-case basis.</t>
  </si>
  <si>
    <t>Repetitive Sheets</t>
  </si>
  <si>
    <t>Other Pertinent Project Documentation</t>
  </si>
  <si>
    <t>Supervision</t>
  </si>
  <si>
    <t>Fire Protection Plans Total</t>
  </si>
  <si>
    <t>Unit</t>
  </si>
  <si>
    <t>Key Sheet and Index of Sheets</t>
  </si>
  <si>
    <t>Architectural Plans Total</t>
  </si>
  <si>
    <t>4 to 48</t>
  </si>
  <si>
    <t>12 to 28</t>
  </si>
  <si>
    <t>Determination of final bridge geometry including calculation of vertical and horizontal clearances based on final member sizes and locations, and final project geometry. Low range: straight, no skew, constant width. High Range: curved, skewed, or tapered width.</t>
  </si>
  <si>
    <t>Basis is estimated on 3 to 10 laboratory tests required per 100 lf of boring.  Typically there are more laboratory tests required for a complex project than for a simple rural widening project.  The more complex a project is estimated to be the greater the number of staff hours that need to be allowed for each 100 lf of roadway boring.</t>
  </si>
  <si>
    <t>Included in  Final Report.  The Geotechnical engineer will typically only perform permeability analysis, soil porosity estimates, and depth to confining layer(s) for each pond analyzed.  Pond location, layout and shape is not work that is normally performed by the Geotechnical engineer.  The smaller ponds typically require fewer hours because there are fewer borings to review and analyze.  Larger ponds and/or ponds in areas with known problematic soils will require a greater number of staff hours.</t>
  </si>
  <si>
    <t>Development of top of deck and approach slab finish grade elevations. (w/ Georgia Skew). Low range: one span, constant width. High Range: variable deck width, complex geometry.</t>
  </si>
  <si>
    <t>Provide cross-sections, schematic plan, FGE table. Low range: one span, constant width. High Range: variable deck width, complex geometry.</t>
  </si>
  <si>
    <t>Building foundation plan includes spread footings, piers, wall footings and/or piling layouts.  The plan will also include typical section cuts at footings, plan dimensions, and plan notes, areas of special conditions and construction, foundation schedule, necessary dimensions, and column lines.</t>
  </si>
  <si>
    <t>Provide partially enlarged foundation plans clearly showing critical details, special conditions and construction. Include dimensions, elevations, location(s) of control and expansion joints, column lines, match lines, and relationship(s) of foundation and utility penetrations, and plan notes.</t>
  </si>
  <si>
    <t>Includes the floor slab construction requirements, which will show the slab on grade thickness, reinforcements, sloping requirements, location of expansion and control joints, soil preparation, and large dimensions. Provide similar information if another construction system is necessary.</t>
  </si>
  <si>
    <t>4 to 5</t>
  </si>
  <si>
    <t>Determine Web Sizes, Flange Sizes, Plate Cut-off Locations, Tension Flange Areas, Development of Quantities. Ranges depend upon repetition, geometry and complexity.</t>
  </si>
  <si>
    <t xml:space="preserve">An example of a typical project would include evaluation of roadway subgrade or embankment stability/settlement related to sinkholes, soft clays, organic soils and/or high groundwater.  A typical project would require geotechnical guidance for normal cut and fill.  It may also require recommendations for realignment, surcharge, excavation and replacement, subgrade reinforcement using geosynthetics and/or underdrains.  Examples of projects considered atypical and, therefore, may fall below the range are: RRR projects, minor intersection improvements, etc. Examples of projects considered atypical and, therefore, may fall above the range are: dealing with extensive waste phosphatic clays or design recommendations for soil improvement by lime/cement subgrade stabilization, deep dynamic compaction, vibroflotation, compaction grouting, pile reinforced embankments, etc.  </t>
  </si>
  <si>
    <t>(Supervision portion of Geotechnical Project Management) Multiply the sum of all technical hours (Roadway and Structural items) by a percentage that ranges between 2 to 8%.  This task includes all routine geotechnical project supervision (Project Management) activities and is not a duplication of hours allowed in previous items.  Hours are not to be used for Prime Consultant's project supervision. The larger or simpler projects will require the lower end of the percentage range and the smaller or more complex projects will require the upper end of the percentage range.</t>
  </si>
  <si>
    <t>8.</t>
  </si>
  <si>
    <t>9.</t>
  </si>
  <si>
    <t>10.</t>
  </si>
  <si>
    <t>11.</t>
  </si>
  <si>
    <t>12.</t>
  </si>
  <si>
    <t>13.</t>
  </si>
  <si>
    <t>14.</t>
  </si>
  <si>
    <t>15.</t>
  </si>
  <si>
    <t>17.</t>
  </si>
  <si>
    <t>18.</t>
  </si>
  <si>
    <t>19.</t>
  </si>
  <si>
    <t>20.</t>
  </si>
  <si>
    <t>21.</t>
  </si>
  <si>
    <t>22.</t>
  </si>
  <si>
    <t>23.</t>
  </si>
  <si>
    <t>24.</t>
  </si>
  <si>
    <t>25.</t>
  </si>
  <si>
    <t>26.</t>
  </si>
  <si>
    <t>27.</t>
  </si>
  <si>
    <t>28.</t>
  </si>
  <si>
    <t>29.</t>
  </si>
  <si>
    <t>30.</t>
  </si>
  <si>
    <t>31.</t>
  </si>
  <si>
    <t>SIGNALIZATION</t>
  </si>
  <si>
    <t>Signalization Guidelines</t>
  </si>
  <si>
    <t>General Requirements</t>
  </si>
  <si>
    <t>Bridge Geometry</t>
  </si>
  <si>
    <t>Ship Impact Data Collection</t>
  </si>
  <si>
    <t>Ship Impact Criteria</t>
  </si>
  <si>
    <t>Superstructure Alternatives</t>
  </si>
  <si>
    <t>Long Span Concrete</t>
  </si>
  <si>
    <t>Foundation &amp; Substructure Alternatives</t>
  </si>
  <si>
    <t>Deep Foundations</t>
  </si>
  <si>
    <t>Aesthetics</t>
  </si>
  <si>
    <t>Certification/Close-Out</t>
  </si>
  <si>
    <t>Preliminary Project Research</t>
  </si>
  <si>
    <t>Establish Wetland Jurisdictional Lines and Assessments</t>
  </si>
  <si>
    <t>Design of interior and cantilever deck reinforcement. Low range: (empirical design method) normal, parallel beams. High Range: (traditional design method) skew, variable beam spacing.</t>
  </si>
  <si>
    <t>Development of deck reinforcement details and quantities. Low range: normal, parallel beams. High Range:  skew, variable beam spacing, curved alignment.</t>
  </si>
  <si>
    <t>Check ultimate flexure.  Low Range: Constant Girder Depth, High Range: Variable Girder Depth, Variable width deck, Curvature.</t>
  </si>
  <si>
    <t>Includes web shear reinforcement and slab interface reinforcement. Low Range: Constant Girder Depth, High Range: Variable Girder Depth, Variable width deck, Curvature.</t>
  </si>
  <si>
    <r>
      <t xml:space="preserve">Develop bar lists. Low range, highly repetitive bar lists. High range. Unique bar lists.  </t>
    </r>
    <r>
      <rPr>
        <i/>
        <sz val="10"/>
        <rFont val="Arial"/>
        <family val="2"/>
      </rPr>
      <t>[This is only for staff hours for preparation of the Drawing-List, not for reinforcing bar bending details which are included in the design.]</t>
    </r>
  </si>
  <si>
    <t>Recommendations include treatment of problematic soils and monitoring requirements. A simple, small project is estimated to require about 4 hours, whereas a large and/or complex projects may require up to 40-hours to complete.  There is a great deal of variability in the types of projects that will require ”geotechnical recommendations”, so very little guidance was given in a formula on determining staff hours for this task.  The recommendations may be contained in a draft or preliminary report or they may be part of the final project report.  Depending on the level of effort required by either the prime Consultant or the Department and the level of complexity of the project, the staff hours required will vary tremendously.</t>
  </si>
  <si>
    <t>Layout of control console and control panel, including material list. Low range: 2 leafs. High range: 4 leafs.</t>
  </si>
  <si>
    <t>Schematics showing control logic for all bridge components. Range depends on complexity.</t>
  </si>
  <si>
    <t>Schematics showing PLC program logic. Range depends on complexity.</t>
  </si>
  <si>
    <t>Details of communication systems including public announcement and intercom. Low range: 2 leafs. High range: 4 leafs.</t>
  </si>
  <si>
    <t>Details of conduit layout at pedestrian gates, traffic gates, and traffic barriers. Range depends on complexity.</t>
  </si>
  <si>
    <t>16 to 80</t>
  </si>
  <si>
    <r>
      <t xml:space="preserve">Plan view showing dimensions and layout of pier - Minimum views (3) - at deck level, below deck level &amp; machinery level.  Low range for simple rectangular pier or many plan views required with lots of similarity; High range pier with skew or unique pier configurations. Total number of sheets dependent upon complexity of pier.  </t>
    </r>
    <r>
      <rPr>
        <i/>
        <sz val="10"/>
        <rFont val="Arial"/>
        <family val="2"/>
      </rPr>
      <t>[This includes rest piers for single leaf bascule bridges.]</t>
    </r>
  </si>
  <si>
    <t>Elevation view showing dimensions, elevations and concrete configuration - Minimum elevations (3) - at front, back and one side .  Low range for simple rectangular pier, no control house nor architectural features; High range pier with unique pier configurations, control house or architectural features. Total number of sheets dependent upon complexity of pier.   [This includes rest piers for single leaf bascule bridges.]</t>
  </si>
  <si>
    <t>LS</t>
  </si>
  <si>
    <t>Pavement Design Package</t>
  </si>
  <si>
    <t>Units</t>
  </si>
  <si>
    <t>The Staff Hour Estimation Handbook was developed to assist Florida Department of Transportation (FDOT) and Consultant personnel in the estimation and negotiation of professional services contracts. This Handbook will serve as a reference tool for the Project Managers and other staff, both FDOT and Consultant, involved in estimation and negotiation of staff hours to effect a uniform and consistent process in all Districts and offices.</t>
  </si>
  <si>
    <t>24 to 60</t>
  </si>
  <si>
    <t>Includes time to prepare project-specific general notes, symbols, legend, and code issues.</t>
  </si>
  <si>
    <r>
      <t>·</t>
    </r>
    <r>
      <rPr>
        <sz val="10"/>
        <rFont val="Arial"/>
        <family val="2"/>
      </rPr>
      <t>  Amount of specialty equipment</t>
    </r>
  </si>
  <si>
    <t>40 to 80</t>
  </si>
  <si>
    <t>40 to 64</t>
  </si>
  <si>
    <t>12 to 12</t>
  </si>
  <si>
    <t>32 to 32</t>
  </si>
  <si>
    <t>100 to 200</t>
  </si>
  <si>
    <t>100 to 140</t>
  </si>
  <si>
    <t>Design of Pier Deck above counterweight and sidewalks,: Low range for concrete slab with edge beam, square pier; High range for structural steel framing support and skewed pier. Includes design of steel beams and structural supports.</t>
  </si>
  <si>
    <t>Design and sizing of pumps, cylinders, reservoirs, valving, piping, controls and cylinder connections. Low range for leaf less than 80 feet trunnion to tip; High range for more than 80 feet.</t>
  </si>
  <si>
    <t>Three units for typical bridge. Bridges with cross slope, skew or asymmetrical barriers will require additional diagrams.  Low Range: Open Steel Grid Deck High Range: Solid Deck</t>
  </si>
  <si>
    <t>Design of reinforcing in live load shoe columns: Low end: Typical load shoe in the front wall; High end for asymmetric layout or independent column</t>
  </si>
  <si>
    <t>Design of inboard/outboard trunnion support columns for simple trunnions and outboard columns for Hopkins type trunnions: Low range for Hopkins trunnion; Mid range for simple trunnion with concrete columns; High range for simple trunnions with steel columns/framing.</t>
  </si>
  <si>
    <t>Design of seals for Bascule Piers: Low range: rectangular piers; High range for skewed piers and/or phased construction.</t>
  </si>
  <si>
    <t>Wall Type Justification</t>
  </si>
  <si>
    <t>Model</t>
  </si>
  <si>
    <t>EA/Mile</t>
  </si>
  <si>
    <t>STAFF HOUR ESTIMATION</t>
  </si>
  <si>
    <t>4 to 8</t>
  </si>
  <si>
    <t>6 to 12</t>
  </si>
  <si>
    <t>2 to 6</t>
  </si>
  <si>
    <t>EA</t>
  </si>
  <si>
    <t>Pond Siting Analysis and Report</t>
  </si>
  <si>
    <t>Value Engineering (Multi-discipline Team) Review</t>
  </si>
  <si>
    <t>Include construction procedures for placement of slab, pouring sequence, notes and curing procedures.</t>
  </si>
  <si>
    <t>Bridge Controls</t>
  </si>
  <si>
    <t>Grounding</t>
  </si>
  <si>
    <t>Lightning &amp; Surge Suppression</t>
  </si>
  <si>
    <t>Pier Lighting</t>
  </si>
  <si>
    <t>Electrical Detailing</t>
  </si>
  <si>
    <t>Electrical Plan &amp; Elevation</t>
  </si>
  <si>
    <t>Electrical Symbols and Abbreviations</t>
  </si>
  <si>
    <t>Single/Three Line Diagram</t>
  </si>
  <si>
    <t>Wire and Conduit Schedules and Diagrams</t>
  </si>
  <si>
    <t>Control Desk/Panel Layout</t>
  </si>
  <si>
    <t>Control Schematics</t>
  </si>
  <si>
    <t>PLC Logic</t>
  </si>
  <si>
    <t>Communication System</t>
  </si>
  <si>
    <t>Navigation Lighting Details</t>
  </si>
  <si>
    <t>Pedestrian Gate, Traffic Gate and Barrier Details</t>
  </si>
  <si>
    <t>Submarine Cable</t>
  </si>
  <si>
    <t>Control House</t>
  </si>
  <si>
    <t>Architectural Design</t>
  </si>
  <si>
    <t>Structural Design</t>
  </si>
  <si>
    <t>Structural Details</t>
  </si>
  <si>
    <t>HVAC/Plumbing Design</t>
  </si>
  <si>
    <t>Load Rating</t>
  </si>
  <si>
    <t>Horizontal Wall Geometry</t>
  </si>
  <si>
    <t>Permanent Proprietary Walls</t>
  </si>
  <si>
    <t>Vertical Wall Geometry</t>
  </si>
  <si>
    <t>Semi-Standard Drawings</t>
  </si>
  <si>
    <t>Wall Plan and Elevations (Control Drawings)</t>
  </si>
  <si>
    <t>Bridge Development Report</t>
  </si>
  <si>
    <t>General Notes and Bid Item Notes</t>
  </si>
  <si>
    <t>Incorporate Report of Core Borings</t>
  </si>
  <si>
    <t>Miscellaneous Common Details</t>
  </si>
  <si>
    <t>Pier/Bent</t>
  </si>
  <si>
    <t>Technical Meetings</t>
  </si>
  <si>
    <t>Roadway Analysis Technical Subtotal</t>
  </si>
  <si>
    <t xml:space="preserve">These worksheets are intended to accommodate approximately 90% of the structures being designed.  Staff hour ranges are for new, replacement and widened bridges, rural and urban grade separation, interchange bridges, typical trestle and high level water crossings, retaining walls, box culverts, overhead signs, and other miscellaneous structures. The ranges represent neither the minimum nor maximum hours that might be negotiated on a project for individual design tasks.  Hours below or above the presented ranges may be applicable based upon the constraints or requirements that are specific to the individual task.  Specific aspects of each individual project should be considered in negotiating hours for each individual task. </t>
  </si>
  <si>
    <t>Worksheets and ranges have not been developed for rehabilitation or repair projects or exceptionally complex projects (Skyway) or tunnels.  It is anticipated that approximately 10% of structure task efforts will fall outside the ranges, either above or below the maximum and minimum values given, respectively.</t>
  </si>
  <si>
    <t>Prepare partial scaled, dimensioned, enlarged floor plan(s) showing mechanical rooms with equipment and clearances along with supply and return ductwork with sizes in more detail or to clarify special conditions.</t>
  </si>
  <si>
    <t>Show details of mechanical equipment, rooms and clearances, and required details of typical and special conditions depicting construction, installation, components, sizes/dimensions, etc.</t>
  </si>
  <si>
    <t>Show section(s) and/or partial cuts through building, indicating relative heights/elevations clearances around mechanical equipment and ductwork.</t>
  </si>
  <si>
    <t>Elevation view of Machinery Layout, including dimensions. Low range for enclosed gearing: High range for open gearing.</t>
  </si>
  <si>
    <t>Details of trunnion shaft, bearings, hub, support weldments, including notes. Low range for simple trunnion: High range for Hopkins.</t>
  </si>
  <si>
    <t>Mechanical Drive: Details of rack, rack frame, pinion support, pinion, pinion bearings, shafting, couplings, coupling covers and open gears if applicable, including notes. Low range for enclosed gearing: High range for open gearing.</t>
  </si>
  <si>
    <t>The following are general examples of the types of projects which would contain work effort from below the staff hour ranges contained in this handbook to above the ranges. This list is not inclusive, or always exact, but will provide the basis for beginning estimation and negotiation of staff hours for a project.</t>
  </si>
  <si>
    <t>Low Range Projects</t>
  </si>
  <si>
    <r>
      <t>·</t>
    </r>
    <r>
      <rPr>
        <sz val="10"/>
        <rFont val="Arial"/>
        <family val="2"/>
      </rPr>
      <t>  Rural 2-lane resurfacing (with no 3R improvements).</t>
    </r>
  </si>
  <si>
    <r>
      <t>·</t>
    </r>
    <r>
      <rPr>
        <sz val="10"/>
        <rFont val="Arial"/>
        <family val="2"/>
      </rPr>
      <t>  Sidewalk project with no utility involvement.</t>
    </r>
  </si>
  <si>
    <r>
      <t>·</t>
    </r>
    <r>
      <rPr>
        <sz val="10"/>
        <rFont val="Arial"/>
        <family val="2"/>
      </rPr>
      <t>  Minor bridge repair projects (painting or caulking) with no utility involvement.</t>
    </r>
  </si>
  <si>
    <r>
      <t>·</t>
    </r>
    <r>
      <rPr>
        <sz val="10"/>
        <rFont val="Arial"/>
        <family val="2"/>
      </rPr>
      <t>  Multi-lane limited access resurfacing (no interchange involvement).</t>
    </r>
  </si>
  <si>
    <t>Includes effort to prepare scaled and dimensioned plans depicting/identifying all fire protection equipment, sprinkler heads and piping including connection to utility main.</t>
  </si>
  <si>
    <r>
      <t>·</t>
    </r>
    <r>
      <rPr>
        <sz val="10"/>
        <rFont val="Arial"/>
        <family val="2"/>
      </rPr>
      <t>  Rural 3R (minor safety improvements)</t>
    </r>
  </si>
  <si>
    <r>
      <t>·</t>
    </r>
    <r>
      <rPr>
        <sz val="10"/>
        <rFont val="Arial"/>
        <family val="2"/>
      </rPr>
      <t>  Rural Signalization</t>
    </r>
  </si>
  <si>
    <t>1.  Rural 2-Lane Project</t>
  </si>
  <si>
    <t>2.  Urban Multi-Lane with minor R/W issues or Utility impacts</t>
  </si>
  <si>
    <t>3.  Urban 2-Lane with major R/W issues or Utility impacts.</t>
  </si>
  <si>
    <t>1.  Rural Multi-Lane Highway</t>
  </si>
  <si>
    <r>
      <t xml:space="preserve">2.      </t>
    </r>
    <r>
      <rPr>
        <b/>
        <sz val="10"/>
        <rFont val="Arial"/>
        <family val="2"/>
      </rPr>
      <t>Familiarity:</t>
    </r>
    <r>
      <rPr>
        <sz val="10"/>
        <rFont val="Arial"/>
        <family val="2"/>
      </rPr>
      <t xml:space="preserve"> Whether or not a design Consultant is familiar with FDOT processes, building types, and use of generic plans.</t>
    </r>
  </si>
  <si>
    <r>
      <t xml:space="preserve">3.      </t>
    </r>
    <r>
      <rPr>
        <b/>
        <sz val="10"/>
        <rFont val="Arial"/>
        <family val="2"/>
      </rPr>
      <t>Expandability:</t>
    </r>
    <r>
      <rPr>
        <sz val="10"/>
        <rFont val="Arial"/>
        <family val="2"/>
      </rPr>
      <t xml:space="preserve"> A requirement for future expandability may be a consideration in the initial design of the building.</t>
    </r>
  </si>
  <si>
    <t>Staff Hour Range</t>
  </si>
  <si>
    <t>Basis for Staff Hour Range</t>
  </si>
  <si>
    <t>See Basis for Staff Hour Range</t>
  </si>
  <si>
    <r>
      <t>·</t>
    </r>
    <r>
      <rPr>
        <sz val="10"/>
        <rFont val="Arial"/>
        <family val="2"/>
      </rPr>
      <t>  Multi-lane limited access reconstruction (ROW and interchange involvement).</t>
    </r>
  </si>
  <si>
    <r>
      <t>·</t>
    </r>
    <r>
      <rPr>
        <sz val="10"/>
        <rFont val="Arial"/>
        <family val="2"/>
      </rPr>
      <t>  Multi-lane rural limited access new construction (new alignment, ROW and interchange construction).</t>
    </r>
  </si>
  <si>
    <t>·  WMD Right of Way Occupancy Permit</t>
  </si>
  <si>
    <t>·  Local Government</t>
  </si>
  <si>
    <r>
      <t xml:space="preserve">Prepare wall plan and elevation sheets. Show all features including horizontal curve data, roadway profiles and superelevation transitions, utilities, drainage structures, waler layout, tie-back locations, etc. </t>
    </r>
    <r>
      <rPr>
        <sz val="10"/>
        <rFont val="Arial"/>
        <family val="2"/>
      </rPr>
      <t xml:space="preserve">Based upon approx. 500 feet of wall per sheet. Low range: level temporary sheet pile wall, High range: tie-back wall systems, </t>
    </r>
  </si>
  <si>
    <r>
      <t xml:space="preserve">Prepare plan of all wall locations in relation to the overall project (required for larger projects). </t>
    </r>
    <r>
      <rPr>
        <i/>
        <sz val="10"/>
        <rFont val="Arial"/>
        <family val="2"/>
      </rPr>
      <t>[NOTE:  Each Wall Task for specific wall types includes for quantities-computation of retaining wall areas, volume of concrete, and weight of rebar.  Low range:  temporary and permanent walls with simple geometry.  High Range:  CIP and anchored walls or blisters for light poles, etc.]</t>
    </r>
  </si>
  <si>
    <r>
      <t xml:space="preserve">Prepare wall plan and elevation sheets. Show all features including horizontal curve data, roadway profiles and superelevation transitions, utilities, light pilaster locations, drainage structures, sign structures, etc. </t>
    </r>
    <r>
      <rPr>
        <sz val="10"/>
        <rFont val="Arial"/>
        <family val="2"/>
      </rPr>
      <t xml:space="preserve">Based upon approx. 500 feet of wall per sheet. Low Range: Constant offset  High Range: Complex geometry, numerous drainage structures, signs, etc.  </t>
    </r>
    <r>
      <rPr>
        <i/>
        <sz val="10"/>
        <rFont val="Arial"/>
        <family val="2"/>
      </rPr>
      <t>[This includes for Quantities - computation of retaining wall areas, volume of concrete, and weight of rebar.]</t>
    </r>
  </si>
  <si>
    <r>
      <t xml:space="preserve">Prepare wall plan and elevation sheets. Show all features including horizontal curve data, roadway profiles and superelevation transitions, utilities, drainage structures, etc. </t>
    </r>
    <r>
      <rPr>
        <sz val="10"/>
        <rFont val="Arial"/>
        <family val="2"/>
      </rPr>
      <t xml:space="preserve">Based upon approx. 500 feet of wall per sheet. Low Range: Constant offset  High Range: Complex geometry, numerous drainage structures, signs, etc.  </t>
    </r>
    <r>
      <rPr>
        <i/>
        <sz val="10"/>
        <rFont val="Arial"/>
        <family val="2"/>
      </rPr>
      <t>[This includes for Quantities - computation of retaining wall areas, volume of concrete, and weight of rebar.]</t>
    </r>
  </si>
  <si>
    <r>
      <t xml:space="preserve">Prepare wall plan and elevation sheets. Show all features including horizontal curve data, roadway profiles and superelevation transitions, utilities, light pilaster locations, drainage structures, sign structures, etc. </t>
    </r>
    <r>
      <rPr>
        <sz val="10"/>
        <rFont val="Arial"/>
        <family val="2"/>
      </rPr>
      <t>Based upon approx. 500 feet of wall per sheet. Low Range: Constant offset  High Range: Complex geometry, numerous drainage structures, signs, etc.</t>
    </r>
  </si>
  <si>
    <t>EA Extension</t>
  </si>
  <si>
    <t>12 to 160</t>
  </si>
  <si>
    <t>Gather and analyze information.  Run Mathcad program. Check Clearances. Prepare construction plans. Low range: Using latest FDOT standard pole configurations with a load center check comparison against the standard poles. High range: Special pole configurations and designs with non standard single shaft foundations, multiple arms, luminaires, etc.</t>
  </si>
  <si>
    <t>Gather and analyze information. Run program. Check Clearances. Prepare construction plans. Design foundations. Low range: Using latest FDOT standard programs and details. High range: Using FDOT standard details with a special drilled shaft design and details.</t>
  </si>
  <si>
    <t>Full height sections representing all types of wall construction as required by design, indicate Underwriters Laboratories (UL) rating or other test # for fire rated wall systems. Indicate smoke and sound seals when applicable. Indicate all materials, fastenings, spacing, bracing, etc. for wall and wall mounted equipment.</t>
  </si>
  <si>
    <t>Show all head and jamb conditions as well as mounting details, and any special conditions at floor, walls or head.</t>
  </si>
  <si>
    <t>All foundation analyses are excluded from the scope of this task.  Each item in the task list should have a 1-hour minimum staff hour assignment per design type considered.  Additional staff hours need to be allocated depending on the depth of the boring anticipated or required for the structure. The Geotechnical engineer will provide soil parameters, namely, unit weight (total and buoyant), angle of internal friction, punching, uplift, and cohesion for each layer encountered during the investigation and that will be required for design factors.  Staff hour basis is estimated to be between ¼ to 1 ½ hour per boring.</t>
  </si>
  <si>
    <t>Task may include settlement and stability analysis and will include construction recommendations.  Additional staff hours need to be allocated for large box culverts, structures with anticipated difficult installations, or structures with long outfall piping.  The Geotechnical engineer will analyze the design and provide installation recommendations, which will include the bearing capacity and stability of the subsoils supporting the box culvert.</t>
  </si>
  <si>
    <t>Other reports or services required by the Department, to be negotiated on an as need basis.</t>
  </si>
  <si>
    <t>Hours to include meeting, analysis, preparation and presentation of report by a FDOT approved independent design professional in the appropriate field, as required by FDOT.</t>
  </si>
  <si>
    <t>Includes site observation, travel time, and written report. Hours and frequency to be negotiated on an as need basis.</t>
  </si>
  <si>
    <r>
      <t>·</t>
    </r>
    <r>
      <rPr>
        <sz val="10"/>
        <rFont val="Arial"/>
        <family val="2"/>
      </rPr>
      <t>  Urban multi-lane new construction (new alignment, ROW and intersection construction).</t>
    </r>
  </si>
  <si>
    <t>Includes project alignment points.</t>
  </si>
  <si>
    <t>Planimetric (2D)</t>
  </si>
  <si>
    <t xml:space="preserve">Locate all above ground features and improvements.  Includes field edits, analysis and processing of all field collected data, existing maps, and/or reports.  Includes delivery of all appropriate electronics files. </t>
  </si>
  <si>
    <t xml:space="preserve">Perform field survey check sections or profiles to verify the required accuracy of the digital terrain model and / or to determine existing cross slope. Includes analysis and processing of all field collected data for comparison with DTM. Includes delivery of all appropriate electronic files.  </t>
  </si>
  <si>
    <t>Locate underground improvements (XYZ, pipe size, type and condition) that relates to above ground structures. Includes field edits, analysis and processing of all field collected data, existing maps, and / or reports. Delivery of all appropriate electronic files. Includes necessary control. (Range is based on 4 to 16 drainage structures per crew day, dependent on accessibility)</t>
  </si>
  <si>
    <t>Refer to tasks of this document as applicable. Range is based on sites or acres.</t>
  </si>
  <si>
    <t>Crew: 1 to 16</t>
  </si>
  <si>
    <t>Sizing of motor and drive. Low range: 2 leafs. High range: 4 leafs.</t>
  </si>
  <si>
    <t>Hydraulic Drive: Layout of cylinders, hydraulic piping, hydraulic schematics, and details of connections, including notes. Low range for leaf less than 80 feet trunnion to tip; High range for more than 80 feet.</t>
  </si>
  <si>
    <t xml:space="preserve">The staff hour ranges presented on the following sheets represent the work effort that may be expected for each specific task on typical projects.  These hourly ranges vary from a simple project (lower end of range) to a complicated project (upper end of range).  The ranges represent neither the minimum nor maximum hours that may be negotiated for a particular task on a project.  Hours below or above these ranges may be applicable based upon constraints and requirements that are specific to the project.  </t>
  </si>
  <si>
    <t>Horizontal /Vertical Master Design Files</t>
  </si>
  <si>
    <t>For projects involving photogrammetry and ground survey, the department expects photogrammetrist and ground surveyor to review existing photography, inspect the corridor, obtain scope / objective from the project manager, in order to coordinate each party's responsibility and to estimate amount of data merging to be performed. (LS based on 2-3% of all the above tasks.)</t>
  </si>
  <si>
    <t>Coordination of disciplines by the architect.3-5% of all the above tasks.</t>
  </si>
  <si>
    <t>Determine cap size and configuration for PPC piles, drilled shafts, steel H &amp; pipe piles, concrete cylinder piles. Low range: pile bents, Mid-range: standard pier type, High range: with stability analysis (significant scour and/or ship impact).</t>
  </si>
  <si>
    <t xml:space="preserve">Variable horizontal deviations from roadway alignment, varying cross-slopes. Range dependent upon number of vertical and horizontal controls. </t>
  </si>
  <si>
    <t>Implementation of standard general notes sheet.</t>
  </si>
  <si>
    <t xml:space="preserve">Implementation of standards. </t>
  </si>
  <si>
    <t>Survey Subtotal</t>
  </si>
  <si>
    <t>Quality Assurance / Quality Control</t>
  </si>
  <si>
    <t>Make Utility Contacts</t>
  </si>
  <si>
    <t>Processing Utility Work by Highway Contractor (UWHC)</t>
  </si>
  <si>
    <t>Contract Plans to UAO(s)</t>
  </si>
  <si>
    <t>Details</t>
  </si>
  <si>
    <t>Temporary Proprietary Walls</t>
  </si>
  <si>
    <t>Design</t>
  </si>
  <si>
    <t>EA Design</t>
  </si>
  <si>
    <t xml:space="preserve">General Notes </t>
  </si>
  <si>
    <t>Sections and Details</t>
  </si>
  <si>
    <t xml:space="preserve">General Notes, Tables &amp; Misc. Details </t>
  </si>
  <si>
    <t xml:space="preserve">Wall Plan and Elevations </t>
  </si>
  <si>
    <t>Concrete Box Culverts</t>
  </si>
  <si>
    <t>Concrete Box Culverts Extensions</t>
  </si>
  <si>
    <t xml:space="preserve">Detailing and development of reinforcing in pier including development of reinforcing details, bar bends and lengths and plan, elevation, and sections views showing reinforcing layout in Bascule Pier deck, walls, platforms, footings, columns, and other miscellaneous elements.  Low range for rectangular pier; High range for skewed or complex pier with unique features or aesthetic features. </t>
  </si>
  <si>
    <t>Detailing of Traffic Barrier Transitions on Bascule Pier:  Low range for Concrete Barrier; High range for steel barrier.</t>
  </si>
  <si>
    <t>Includes contact prints, diapositives, and photo enlargements. The low end of the range is for black and white contact prints. The high end of the range is for color photo enlargements.</t>
  </si>
  <si>
    <t>Includes preparation, pugging, mensuration, and adjustment. May include merging airborne GPS control data with conventional control to derive a solution.</t>
  </si>
  <si>
    <t>Field Control</t>
  </si>
  <si>
    <t>1 to 1</t>
  </si>
  <si>
    <t>With Aerial GPS Control</t>
  </si>
  <si>
    <t>Includes all efforts for a utility task not covered by an existing defined task.  Required work will be defined in the scope and negotiated on a case-by-case basis.</t>
  </si>
  <si>
    <t>Other Structures</t>
  </si>
  <si>
    <t>Includes all efforts for a structures task not covered by an existing defined task.  Required work will be defined in the scope and negotiated on a case-by-case basis.</t>
  </si>
  <si>
    <t xml:space="preserve">A number of tasks included in the staff hour estimating form are  frequently requested of the geotechnical engineer by other design professionals. These tasks include Stormwater Volume Recovery Analysis and/or Background Seepage Analysis, Lateral Load Analysis, and Sheet Pile Wall Analysis. The user should determine if adequate hours for these activities are included in the relevant Drainage and Structures portions of the project to avoid repetition. </t>
  </si>
  <si>
    <t>The ‘typical’ range of geotechnical investigations considered as applicable includes the following:</t>
  </si>
  <si>
    <t>·  Projects with geotechnical staffhours ranging from approx. 100 to 3,000;</t>
  </si>
  <si>
    <t>·  Projects that include commonly encountered soil and rock conditions, site investigation methods and geotechnical</t>
  </si>
  <si>
    <t>design recommendations.</t>
  </si>
  <si>
    <t>Depict location and horizontal placement, include elevations and verify rise/run of all stairs in pier, etc.  Design and detail concrete stairs fully including reinforcing placement and list.  (Steel stairs to be fully designed and detailed in shop drawings by fabricator.) Low range for typical steel stairs; High range for concrete stairs.</t>
  </si>
  <si>
    <t>Fully design, detail, and locate pier equipment (lifting eyes, louvers, gutters, storage cabinets, hoists, crane rails, etc): Low range for minimum equipment ; High range for extensive equipment.</t>
  </si>
  <si>
    <t>Quantities &amp; Stressing Schedule</t>
  </si>
  <si>
    <t>Future Post-Tensioning</t>
  </si>
  <si>
    <t>Anchorage Blisters</t>
  </si>
  <si>
    <t>Stormwater Volume Recovery and/or Background Seepage Analysis</t>
  </si>
  <si>
    <t>Geotechnical Recommendations</t>
  </si>
  <si>
    <t>100 lf boring</t>
  </si>
  <si>
    <t>Soil and Rock Classification - Structures</t>
  </si>
  <si>
    <t>Bridge boring</t>
  </si>
  <si>
    <t>Deviation Blocks</t>
  </si>
  <si>
    <t>Erection Sequence and Details</t>
  </si>
  <si>
    <t>Access Opening Details</t>
  </si>
  <si>
    <t>Vermin Screen Details</t>
  </si>
  <si>
    <t>Railing Details</t>
  </si>
  <si>
    <t xml:space="preserve">Lighting &amp; Luminaries </t>
  </si>
  <si>
    <t>Architectural Details</t>
  </si>
  <si>
    <t>Includes railings, sacrificial and future wearing surface, blisters, diaphragms, utilities, as well as torsional effects. Low Range: No utilities, no curvature, constant section. High Range: Multiple utilities, scenic overlooks.</t>
  </si>
  <si>
    <t xml:space="preserve">Includes horizontal and vertical tendon geometry, curvature effects, and stressing data. Range depends on size and complexity of project. </t>
  </si>
  <si>
    <t xml:space="preserve">The individual tasks included for the various project activities (Roadway, Drainage, Signals, etc.) have been established to be as consistent as possible with the tasks identified in the standard Scope of Services. Also, each project activity section of this handbook will include a description of the overall logic utilized in establishing the types of projects relating to the range of staff hours identified for each task.  </t>
  </si>
  <si>
    <r>
      <t>·</t>
    </r>
    <r>
      <rPr>
        <sz val="10"/>
        <rFont val="Arial"/>
        <family val="2"/>
      </rPr>
      <t>  Urban 3R (major safety, earthwork, and utility involvement) Level 2 or 3</t>
    </r>
  </si>
  <si>
    <r>
      <t>·</t>
    </r>
    <r>
      <rPr>
        <sz val="10"/>
        <rFont val="Arial"/>
        <family val="2"/>
      </rPr>
      <t>  Rural 2-lane to multi-lane widening/resurfacing (minor ROW, earthwork and utility impacts) Level 2 or 3</t>
    </r>
  </si>
  <si>
    <t>Master CADD File</t>
  </si>
  <si>
    <t>3.  Flashing Beacon</t>
  </si>
  <si>
    <t>Sizing of electrical service, generator and all feeders, submarine cable, design of distribution panels and Motor Control Center, including protective device coordination. Low range: 2 leafs. High range: 4 leafs.</t>
  </si>
  <si>
    <t>End bent geometry, including beam seat elevations, pile/shaft layout, cut-offs, and bearing locations. Low range: Short end span. High range: long end span.</t>
  </si>
  <si>
    <t xml:space="preserve">Wingwall geometry, design and reinforcement including bar bending details, quantities and determination of pile/shaft loads. Low range, MSE. High range: normal, straight. </t>
  </si>
  <si>
    <t>SIGNALIZATION GUIDELINES</t>
  </si>
  <si>
    <r>
      <t>·</t>
    </r>
    <r>
      <rPr>
        <sz val="10"/>
        <rFont val="Arial"/>
        <family val="2"/>
      </rPr>
      <t>  Rural 2-lane 3R (minor safety, earthwork, and utility involvement) Level 1 or 2.</t>
    </r>
  </si>
  <si>
    <r>
      <t>·</t>
    </r>
    <r>
      <rPr>
        <sz val="10"/>
        <rFont val="Arial"/>
        <family val="2"/>
      </rPr>
      <t>  Rural 4-lane 3R (minor safety, earthwork, and utility involvement) Level 1 or 2</t>
    </r>
  </si>
  <si>
    <r>
      <t>·</t>
    </r>
    <r>
      <rPr>
        <sz val="10"/>
        <rFont val="Arial"/>
        <family val="2"/>
      </rPr>
      <t>  Urban 3R (minor safety, earthwork, and utility involvement, primarily only milling and resurfacing) Level 1 or 2</t>
    </r>
  </si>
  <si>
    <r>
      <t>·</t>
    </r>
    <r>
      <rPr>
        <sz val="10"/>
        <rFont val="Arial"/>
        <family val="2"/>
      </rPr>
      <t>  Multi-lane limited access resurfacing (minimal interchange involvement) Level 1 or 2</t>
    </r>
  </si>
  <si>
    <t>Includes analyzing counts to determine proper coordination timing plans including splits, force offs, offsets and preparation of Time Space Diagrams (4-6 hrs for the first two intersections and 1-2 hrs for each additional intersection).  Report not included.</t>
  </si>
  <si>
    <t>22 to 54</t>
  </si>
  <si>
    <t>Show locations of all communications outlets, and circuiting.</t>
  </si>
  <si>
    <t>Show details of communication system and riser diagram. punchdown, terminal board, grounding and notes</t>
  </si>
  <si>
    <t>Show location, type and circuiting of elements of security system, including riser diagram.</t>
  </si>
  <si>
    <t>Includes energy usage calculations on the proposed systems.</t>
  </si>
  <si>
    <t>Details of deck topping and reinforcement. Low range: normal ends. High range: skewed, continuous.</t>
  </si>
  <si>
    <t>Cross-sections, including keyway and diaphragm details, sidewalk details, topping and barrier details, slab deflection details, etc. Range depends on complexity.</t>
  </si>
  <si>
    <t>Develop flexural and principal stress checks. Range depends on size, number of segments and complexity of project. (iterative process)</t>
  </si>
  <si>
    <t xml:space="preserve">Check ultimate flexure.  Range depends on size, number of segments and complexity of project. </t>
  </si>
  <si>
    <t>Develop flexural stress checks. Low range: Single cell box. High range: Multi-cell box.</t>
  </si>
  <si>
    <t>Check ultimate flexure. Low range: Single cell box. High range: Multi-cell box.</t>
  </si>
  <si>
    <t>Includes details for HVAC, floor plans with lighting and receptacle layouts, fire alarm, plumbing and sump pumps. Range depends on complexity.</t>
  </si>
  <si>
    <t>Bascule Pier Dimensions - Detailing</t>
  </si>
  <si>
    <t>28 to 40</t>
  </si>
  <si>
    <t>8 to 28</t>
  </si>
  <si>
    <r>
      <t xml:space="preserve">Complete semi-standard to include settlement, allowable bearing pressure, minimum soil reinforcement length tables and embedment details. Range varies with number of walls. Low </t>
    </r>
    <r>
      <rPr>
        <sz val="10"/>
        <rFont val="Arial"/>
        <family val="2"/>
      </rPr>
      <t>Range:  temporary and permanent walls, High Range: temporary walls only.</t>
    </r>
  </si>
  <si>
    <t>Bearing Assembly Design and Detailing (with Jacking Analysis)</t>
  </si>
  <si>
    <t>HVAC Calculations</t>
  </si>
  <si>
    <t>Electrical Site Plan</t>
  </si>
  <si>
    <t>Architecture Development Subtotal</t>
  </si>
  <si>
    <t>Mapping Technical Subtotal</t>
  </si>
  <si>
    <t>Mapping Nontechnical Subtotal</t>
  </si>
  <si>
    <t xml:space="preserve">The staff hour workbook for structural design efforts, the staff hour worksheets, and the typical ranges and descriptions of each task were developed by a committee consisting of individuals from the FDOT and the consulting industry.  </t>
  </si>
  <si>
    <t xml:space="preserve">Constant offset from roadway alignment and constant cross-slope. Range dependent upon number of vertical controls.  </t>
  </si>
  <si>
    <t>Activity worksheets have been developed for the different work elements and bridge structure types normally encountered within FDOT projects. Only the Activity worksheets required should be included in the final workbook. Where more than one bridge is included within the project, individual worksheets shall be replicated for each bridge, such as Activity 10 BDR and other bridge task sheets as required. Each of these worksheets will have to be individually linked to the Activity 9 Structures Summary worksheet. It is the Consultant's responsibility to ensure the accuracy of the formulas.</t>
  </si>
  <si>
    <t>Final Design Bascule Pier</t>
  </si>
  <si>
    <t>Pier Deck</t>
  </si>
  <si>
    <t>Leaf / Pier Clearance Diagrams</t>
  </si>
  <si>
    <t>Load Shoe Columns</t>
  </si>
  <si>
    <t>Trunnion Columns</t>
  </si>
  <si>
    <t>Foundations</t>
  </si>
  <si>
    <t>Footing</t>
  </si>
  <si>
    <t>Seal</t>
  </si>
  <si>
    <t>Back Wall (Approach Span Bearings) Closed piers only.</t>
  </si>
  <si>
    <t>Bascule Pier Deck Elevations</t>
  </si>
  <si>
    <t>EA Pier</t>
  </si>
  <si>
    <t>Pier Plan Views</t>
  </si>
  <si>
    <t>Pier Elevation Views</t>
  </si>
  <si>
    <t>Pier Sections</t>
  </si>
  <si>
    <t>Bascule Pier Reinforcing Details</t>
  </si>
  <si>
    <t>Pier Reinforcing</t>
  </si>
  <si>
    <t>Bascule Pier Miscellaneous Details</t>
  </si>
  <si>
    <t>Pier Barrier Details</t>
  </si>
  <si>
    <t>Stair Details</t>
  </si>
  <si>
    <t>Handrail Details</t>
  </si>
  <si>
    <t>Ladder &amp; Hatch Details</t>
  </si>
  <si>
    <t>Pier Equipment</t>
  </si>
  <si>
    <t>Bascule Pier Notes &amp; Summary of Quantities</t>
  </si>
  <si>
    <t>Bascule Leaf Design</t>
  </si>
  <si>
    <t>Deck Design</t>
  </si>
  <si>
    <t>Sidewalk Design</t>
  </si>
  <si>
    <t>Stringer Design</t>
  </si>
  <si>
    <t>Typical Floorbeam Design</t>
  </si>
  <si>
    <t>Collect and review crash history, run photo metrics and develop a report per FDOT MUTS, AASHTO &amp; FHWA warrants and FDOT benefit-cost analysis.  Includes report preparation and exhibits. Based on complexity of report.</t>
  </si>
  <si>
    <t>40 to 120</t>
  </si>
  <si>
    <t>40 to 100</t>
  </si>
  <si>
    <t>Tendon Layouts</t>
  </si>
  <si>
    <t>Live Load Analysis</t>
  </si>
  <si>
    <t>Temperature Gradient</t>
  </si>
  <si>
    <t>Time Dependent Analysis</t>
  </si>
  <si>
    <t>Stress Summary</t>
  </si>
  <si>
    <t>Ultimate Moments</t>
  </si>
  <si>
    <t>Ultimate Shear</t>
  </si>
  <si>
    <t>Construction Loading</t>
  </si>
  <si>
    <t>Framing Plan</t>
  </si>
  <si>
    <t>Girder Elevation</t>
  </si>
  <si>
    <t>Structural Steel Details</t>
  </si>
  <si>
    <t>Splice Details</t>
  </si>
  <si>
    <t>Girder Deflections and Camber</t>
  </si>
  <si>
    <t>Simple Span Concrete Design</t>
  </si>
  <si>
    <t xml:space="preserve">Prestressed Beam </t>
  </si>
  <si>
    <t xml:space="preserve">Prestressed Beam Schedules </t>
  </si>
  <si>
    <t>Superstructure Plans</t>
  </si>
  <si>
    <t>Expansion Joints</t>
  </si>
  <si>
    <t>Miscellaneous Bridge Deck Details</t>
  </si>
  <si>
    <t>Roof Details</t>
  </si>
  <si>
    <t>Design of bent cap and reinforcement including bar bending details, quantities, and development of shaft/pile/cap interface. Low range: widening. High range: frame analysis shaft/pile moment development.</t>
  </si>
  <si>
    <t>Bent cap sections, pile/shaft/cap connection details, wingwall details. Low range: pile bent. High range: retaining wall interface, shaft bent.</t>
  </si>
  <si>
    <t>Special analysis required for extreme events such as scour and ship impact (if needed). Low range: minor scour. High range: major scour and/or ship impact (pile removal).</t>
  </si>
  <si>
    <t>Design of bent and cap including bar bending details, quantities, development of shaft/pile/cap interface, and stability analysis for normal loadings. Low range: widening. High range: frame analysis shaft/pile moment development.</t>
  </si>
  <si>
    <t>Bent cap sections, pile/shaft/cap connection details. Low range: pile bent. High range: shaft bent.</t>
  </si>
  <si>
    <t>Develop foundation layout and notes. Installation table information from geotechnical input. Low range: normal straight. High range: complex geometry w/ coordinates.</t>
  </si>
  <si>
    <t>Finish Grade Elevation Calculation</t>
  </si>
  <si>
    <t>Finish Grade Elevations</t>
  </si>
  <si>
    <t>Bridge Deck Design</t>
  </si>
  <si>
    <t>Prestressed Slab Unit Design</t>
  </si>
  <si>
    <t>Reinforcing Bar Lists</t>
  </si>
  <si>
    <t>Reinforcing Bar List</t>
  </si>
  <si>
    <t>Cast-in-Place Slab Bridges</t>
  </si>
  <si>
    <t>Superstructure Plan</t>
  </si>
  <si>
    <t>Superstructure Sections and Details</t>
  </si>
  <si>
    <t>Prestressed Slab Unit Bridges</t>
  </si>
  <si>
    <t>EA design</t>
  </si>
  <si>
    <t>Prestressed Slab Unit Layout</t>
  </si>
  <si>
    <t>Prestressed Slab Unit Details and Schedule</t>
  </si>
  <si>
    <t>Deck Topping Reinforcing Layout</t>
  </si>
  <si>
    <t>Wingwall Design and Geometry</t>
  </si>
  <si>
    <t>EA Bent</t>
  </si>
  <si>
    <t>EA bent</t>
  </si>
  <si>
    <t>The staff hour ranges presented in this section represent the work effort that might be expected for individual tasks on typical roadway projects, ranging from a standard 2-lane rural resurfacing project (lower end of range) to a complicated urban reconstruction project  (upper end of range). The ranges represent neither the minimum nor maximum hours that might be negotiated on a project for individual utility tasks. Hours below or above the presented ranges may be applicable based on the constraints or requirements that are specific to the individual project. Specific aspects of each individual project should be considered in negotiating hours for each individual task.  Whenever possible, examples of individual tasks will be included to provide guidance in determining what types of effort are associated with each individual task.</t>
  </si>
  <si>
    <t xml:space="preserve">High Mast Lighting  </t>
  </si>
  <si>
    <t>Bridge Hydraulics Recommendation Sheets</t>
  </si>
  <si>
    <t>Bridge Hydraulic Report</t>
  </si>
  <si>
    <t>Special (Long Span) Overhead Span Sign Structures</t>
  </si>
  <si>
    <t>Multi-Post Sign Support Calculations</t>
  </si>
  <si>
    <t>Develop Detailed Boring Location Plan</t>
  </si>
  <si>
    <t>Auger Boring Drafting</t>
  </si>
  <si>
    <t>SPT Boring Drafting</t>
  </si>
  <si>
    <t>Collection of Corrosion Samples</t>
  </si>
  <si>
    <t>Estimate Design Groundwater Level for Structures</t>
  </si>
  <si>
    <t>Final Report - Bridge and Associated Walls</t>
  </si>
  <si>
    <t>Riser Diagram, Details, and Partial Plans</t>
  </si>
  <si>
    <t>PROJECT GENERAL TASKS</t>
  </si>
  <si>
    <t>General Notes/Pay Item Notes</t>
  </si>
  <si>
    <t>Design of deck and reinforcement including bar bending details, slab deflection diagram, quantities and barrier interface. Low range: simple span, normal ends, constant width, no curvature. High range: continuous, skewed/non-parallel ends, variable width or curvature.</t>
  </si>
  <si>
    <t>Development of sheet showing reinforcing layout and dimensions of cast-in-place slab. Low range: simple span, normal ends, constant width, no curvature. High range: continuous, skewed/non-parallel ends, variable width or curvature.</t>
  </si>
  <si>
    <t>Development of sheet showing structural typical section and reinforcement, sidewalk details, barrier details, slab deflection details, etc. Low range: simple span, constant width. High range: continuous, variable width.</t>
  </si>
  <si>
    <t>Preparation of cost estimate in CSI format. Phase 1, 1 to 2 hours. Phase 2, 2 to 4 hours. Phase 3, 3 to 6 hours</t>
  </si>
  <si>
    <t>Provide unique segment designations and show graphically. Low range: constant depth segments. High range: variable depth segments.</t>
  </si>
  <si>
    <t>Provide segment geometry, reinforcement, and post-tensioning details. Low range: repetition of common elements. High range: no repetition.</t>
  </si>
  <si>
    <t>Includes shear keys and internal P.T. duct locations. Low range: constant width and depth. High range: variable width and depth.</t>
  </si>
  <si>
    <t>Provide plan and elevation view of longitudinal tendons with bulkhead opening locations at all segment joints. Provide dimensions for all horizontal and vertical deviations. Low range: constant width bottom slab. High range: variable width bottom slab.</t>
  </si>
  <si>
    <t>Provide quantities for post-tensioning, including permanent P.T. bars. Provide stressing forces and elongations. Low range: short structure and repetitious span lengths. High range: long structure and variable span lengths.</t>
  </si>
  <si>
    <t>Provide future post-tensioning layout and details. Low range: short structure and repetitious span lengths. High range: long structure and variable span lengths.</t>
  </si>
  <si>
    <t>Provide blister  geometry and reinforcement for all blister types. Low range: repetition of common elements. High range: no repetition.</t>
  </si>
  <si>
    <t>Gather and analyze information. Run program. Check Clearances. Prepare construction plans. Design foundations. Low range: Using latest FDOT standard programs and details. High range: Using FDOT standard details with additional special analysis.</t>
  </si>
  <si>
    <t>Design of Foundation and posts.  Low Range: Multiple similar designs, High Range: One Design.</t>
  </si>
  <si>
    <t>Signing &amp; Pavement Markings Guidelines</t>
  </si>
  <si>
    <t>Lighting Guidelines</t>
  </si>
  <si>
    <t>7.</t>
  </si>
  <si>
    <t>5 to 40</t>
  </si>
  <si>
    <t>Open gearing: Design and sizing of base plates or support weldments, main drive motor mounts and sizing of primary reducers and secondary open gears, including design of all gearing and bearings. Low range for leaf less than 80 feet trunnion to tip; High range for more than 80 feet.</t>
  </si>
  <si>
    <t>Provide typical and special column details including components, size, spacing and reinforcement.</t>
  </si>
  <si>
    <t>Block</t>
  </si>
  <si>
    <r>
      <t xml:space="preserve">5.      </t>
    </r>
    <r>
      <rPr>
        <b/>
        <sz val="10"/>
        <rFont val="Arial"/>
        <family val="2"/>
      </rPr>
      <t>Code requirements, Capacity ands Occupancy</t>
    </r>
    <r>
      <rPr>
        <sz val="10"/>
        <rFont val="Arial"/>
        <family val="2"/>
      </rPr>
      <t xml:space="preserve"> These requirements can have a profound effect on materials and systems</t>
    </r>
  </si>
  <si>
    <t>used in the design. Life Safety and other code requirements will have a direct influence on layout and size of space.</t>
  </si>
  <si>
    <t>Provide deviation block geometry and reinforcement. Provide diabolo details or specify all external post-tensioning entry and exit angles. Low range: straight bridge and constant depth segments. High range: curved and variable depth.</t>
  </si>
  <si>
    <t>Provide erection sequence and notes. Low range: precast segmental. High range, cast-in-place segmental.</t>
  </si>
  <si>
    <t xml:space="preserve">Includes sections and details of structural framing, floor slabs, handrails, roof, stairs, walls and connections. Range depends on complexity. </t>
  </si>
  <si>
    <t>Design and sizing of HVAC and all plumbing except for sump pump piping, including utility connection coordination. Range depends on complexity.</t>
  </si>
  <si>
    <t>Details of main girders, including sections, stiffeners, welds, trunnion hub connection, lateral bracing internal to boxes, and splices. Low range: plate girder. High Range: box girders.</t>
  </si>
  <si>
    <t>Fully detail table and schematic diagram of camber for main girders and floor beams. Range based on number of unique girders.</t>
  </si>
  <si>
    <t>Details of floor beam webs, flanges, stiffeners and connections. Low range: floor beam is constant depth. High range: floor beam is variable depth.</t>
  </si>
  <si>
    <t>Details of counterweight girder/box webs, flanges, stiffeners and connections. Low range: plate girders. High range: box girders.</t>
  </si>
  <si>
    <t>Details of trunnion girder webs, flanges, stiffeners and connections. (For use with Hopkins frame). Range depends on complexity.</t>
  </si>
  <si>
    <t>Details of cylinder girder webs, flanges, stiffeners and connections. (For hydraulic cylinder drive only). Range depends on complexity.</t>
  </si>
  <si>
    <t>28.12</t>
  </si>
  <si>
    <t>When the Joint Project Agreement (JPA) deliverable is not prepared by the CONSULTANT, services may include all coordination, meetings, etc., required to ensure compatibility, include JPA documents in the contract plans package and  include the JPA documents in the electronic delivery package.  (LS based on 8 to 40 hours per JPA for coordination, meetings, revisions/modifications, etc., and 6 to 16 hours per JPA for inclusion in the electronic delivery package.</t>
  </si>
  <si>
    <t>2 to 4 per Panel</t>
  </si>
  <si>
    <t>ITS Guidelines</t>
  </si>
  <si>
    <t>33.</t>
  </si>
  <si>
    <t>ITS Analysis</t>
  </si>
  <si>
    <t>34.</t>
  </si>
  <si>
    <t>ITS Plans</t>
  </si>
  <si>
    <t xml:space="preserve">To achieve mutually satisfactory negotiations between FDOT and Consultant personnel, it is essential that the staff hour estimations prepared by both parties follow the philosophy and concepts expressed in the previous paragraph. Using the limits of the staff hour ranges presented in this handbook as absolute limits will not achieve the results desired by each party necessary to successfully complete a project. </t>
  </si>
  <si>
    <t xml:space="preserve">  See itemized tasks for Public Involvement (Tasks 3.1.1 to 3.1.12).</t>
  </si>
  <si>
    <t>Includes implementation of QA / QC plan. Also includes subconsultant review, response to comments and any resolution meetings if required, preparation of submittals for review, etc.  (LS based on 5% of technical tasks.)</t>
  </si>
  <si>
    <t>120 to 200</t>
  </si>
  <si>
    <t>0.5 to 1</t>
  </si>
  <si>
    <t>4 to 40</t>
  </si>
  <si>
    <t>Includes specific drainage details,  and other project specific details, if applicable. Range Depends on number of utilities, drainage structures, other site features and complexity.</t>
  </si>
  <si>
    <t>Sheet Files</t>
  </si>
  <si>
    <t>Roadway Plans Technical Subtotal</t>
  </si>
  <si>
    <t>Mile</t>
  </si>
  <si>
    <t>Lighting Analysis Technical Subtotal</t>
  </si>
  <si>
    <t>Lighting Plans Technical Subtotal</t>
  </si>
  <si>
    <t>Quality Assurance/Quality Control</t>
  </si>
  <si>
    <t>Location</t>
  </si>
  <si>
    <t>Bridge Construction and Testing Recommendations</t>
  </si>
  <si>
    <t>Geotechnical Technical Subtotal</t>
  </si>
  <si>
    <t>Jurisdictional/Agency Lines</t>
  </si>
  <si>
    <t>Section and 1/4 Section Lines</t>
  </si>
  <si>
    <t>Topography</t>
  </si>
  <si>
    <t xml:space="preserve">The range of hours following each element of design is to be used as a guide to calculate the number of total hours required to perform that task, including design and drafting. The negotiator must use professional judgment based on the project scope to determine where each task would fall with in the range of hours. Each task must be judged based on its complexity. Various factors must be evaluated when considering the complexity of a project. Two of the primary considerations used to analyze projects are size and level of design effort.  </t>
  </si>
  <si>
    <t>Size factors to consider:</t>
  </si>
  <si>
    <t>Level of design effort factors to consider:</t>
  </si>
  <si>
    <t>Crew: See Basis for Staff Hour Range</t>
  </si>
  <si>
    <t>Field: 0.25 to 3</t>
  </si>
  <si>
    <t>Office: 1 to 6</t>
  </si>
  <si>
    <t>Size and locate Intermediate Stiffeners, Crossframe Connectors, Jacking Stiffeners. Design Bearing Stiffeners.  Ranges depend upon repetition, geometry and complexity.</t>
  </si>
  <si>
    <t>Design Intermediate Crossframes, End Crossframes.  Ranges depend upon repetition, geometry and complexity.</t>
  </si>
  <si>
    <t>Design Bolted/welded crossframe connections.  Ranges depend upon repetition, geometry and complexity.</t>
  </si>
  <si>
    <t>Miscellaneous Sections</t>
  </si>
  <si>
    <t>40 to 60</t>
  </si>
  <si>
    <t>Single line diagram of incoming service, including main disconnect switch, automatic transfer switch, generator and motor control center.  Low range: 4 leafs. High range: 2 leafs.</t>
  </si>
  <si>
    <t>Schedules showing light fixtures used and itemized electric circuits. Low range: 2 leafs. High range: 4 leafs.</t>
  </si>
  <si>
    <t xml:space="preserve">Schedules showing conduits, wire sizes, conduit numbers, and number of conductors in each conduit. </t>
  </si>
  <si>
    <t>100 to 240</t>
  </si>
  <si>
    <t>End bent geometry, including beam seat elevations, pile/shaft layout, cut-offs, and bearing pad locations. Low range: normal end condition. High range: skewed end condition or non parallel beam lines.</t>
  </si>
  <si>
    <t>Includes floor plans, elevations, architectural sections, window and door schedules, reflected ceiling plans, special details and finish schedule. Range depends on complexity.</t>
  </si>
  <si>
    <t>Structural Steel Plate Girder Design</t>
  </si>
  <si>
    <t>Unit Modeling</t>
  </si>
  <si>
    <t>Section Design</t>
  </si>
  <si>
    <t>Stiffener Design and Locations</t>
  </si>
  <si>
    <t>Connections</t>
  </si>
  <si>
    <t>Splice Design</t>
  </si>
  <si>
    <t>Shear Stud Connectors</t>
  </si>
  <si>
    <t>Deflection Analysis</t>
  </si>
  <si>
    <t>Structural Steel Box Girder Design</t>
  </si>
  <si>
    <t>Signing &amp; Pavement Markings Analysis</t>
  </si>
  <si>
    <t>LIGHTING</t>
  </si>
  <si>
    <t>There are many cases where individual tasks included within these activity worksheets are not required. In such cases, the number of units shall be indicated as zero. Individual line items shall not be deleted, nor inserted.</t>
  </si>
  <si>
    <t>The following Activity worksheets are provided:</t>
  </si>
  <si>
    <t>Modify end bent details to allow for non-standard geometry. May include a plan and elevation of bent. Low range: Slight modifications to standard Mid Range: Significant changes to standard High range:  Develop entirely new sheet and end bent configuration.</t>
  </si>
  <si>
    <t>Modify intermediate bent details to allow for non-standard geometry. May include a plan and elevation of bent. Low range: Slight modifications to standard Mid Range: Significant changes to standard High range:  Develop entirely new sheet and intermediate bent configuration (Tower bents outside range).</t>
  </si>
  <si>
    <t>Development of general plan and elevation sheet. Low range: rural, straight, no skew, constant width. High Range: urban, curved, skewed, or tapered width, no utilities.</t>
  </si>
  <si>
    <t>INTRODUCTION</t>
  </si>
  <si>
    <t>ENVIRONMENTAL PERMITS</t>
  </si>
  <si>
    <t>STRUCTURES</t>
  </si>
  <si>
    <t>SIGNING &amp; PAVEMENT MARKINGS</t>
  </si>
  <si>
    <t>Drafting of tables or influence lines for shear and moment in main girder. Low range: influence lines. High Range: stress tables.</t>
  </si>
  <si>
    <t>Calculation of required torque. Low range w/o single motor operation; High range with single motor operation and/or manual emergency drive.</t>
  </si>
  <si>
    <t>Design and sizing of span locks, including connection to girders. Low range for proprietary unit: High range for custom design.</t>
  </si>
  <si>
    <t>Sizing (determination of flow rate) of sump pumps, including design of required piping. Low range for steel grid deck; High range for closed deck.</t>
  </si>
  <si>
    <t>Design and sizing of external shafts, couplings, keys and drive shaft bearings. Low range for leaf less than 80 feet trunnion to tip; High range for more than 80 feet.</t>
  </si>
  <si>
    <t>Includes section at foundation showing the wall footings, slabs, reinforcement, and wall-to-foundation connections, as well as elevations of components.</t>
  </si>
  <si>
    <t>Provide large-scale drawings, typical details of column footings, piles, pile caps, and wall footings.  Include details indicating size of foundations and reinforcement and special considerations at penetrations.</t>
  </si>
  <si>
    <t>Indicate size, and placement of reinforcing, dimensions and relationship of floor slab to ground.</t>
  </si>
  <si>
    <r>
      <t>·</t>
    </r>
    <r>
      <rPr>
        <sz val="10"/>
        <rFont val="Arial"/>
        <family val="2"/>
      </rPr>
      <t>  Intersection improvements with lane additions and signalization.</t>
    </r>
  </si>
  <si>
    <r>
      <t>·</t>
    </r>
    <r>
      <rPr>
        <sz val="10"/>
        <rFont val="Arial"/>
        <family val="2"/>
      </rPr>
      <t>  Urban 3R (major safety, extensive above ground feature relocation).</t>
    </r>
  </si>
  <si>
    <r>
      <t>·</t>
    </r>
    <r>
      <rPr>
        <sz val="10"/>
        <rFont val="Arial"/>
        <family val="2"/>
      </rPr>
      <t>  Rural 2-lane new construction (new alignment, ROW, and earthwork).</t>
    </r>
  </si>
  <si>
    <r>
      <t>·</t>
    </r>
    <r>
      <rPr>
        <sz val="10"/>
        <rFont val="Arial"/>
        <family val="2"/>
      </rPr>
      <t>  Rural 2-lane to urban multi-lane reconstruction (ROW and intersection involvement).</t>
    </r>
  </si>
  <si>
    <r>
      <t>·</t>
    </r>
    <r>
      <rPr>
        <sz val="10"/>
        <rFont val="Arial"/>
        <family val="2"/>
      </rPr>
      <t>  Rural or urban 4-lane to 6-lane widening/resurfacing (widening in median, minor ROW, earthwork, and intersection involvement).</t>
    </r>
  </si>
  <si>
    <r>
      <t>·</t>
    </r>
    <r>
      <rPr>
        <sz val="10"/>
        <rFont val="Arial"/>
        <family val="2"/>
      </rPr>
      <t>  Urban Multi-intersection Signalization with utility impact.</t>
    </r>
  </si>
  <si>
    <r>
      <t>·</t>
    </r>
    <r>
      <rPr>
        <sz val="10"/>
        <rFont val="Arial"/>
        <family val="2"/>
      </rPr>
      <t>  Rural multi-lane new construction (new alignment, ROW, earthwork and intersection involvement).</t>
    </r>
  </si>
  <si>
    <r>
      <t>·</t>
    </r>
    <r>
      <rPr>
        <sz val="10"/>
        <rFont val="Arial"/>
        <family val="2"/>
      </rPr>
      <t>  Rural 2-lane to 4-lane (major ROW and earthwork).</t>
    </r>
  </si>
  <si>
    <t>To be determined on a case by case basis.</t>
  </si>
  <si>
    <t>(Each Trip) Collect soil samples for project LBR/Resilient Modulus determination (used in design).  Activity includes travel time to and from site, time per sample, and time to travel between sample collection sites.  Often the collection of samples can be combined with other mobilizations to the project site; however, the staff hour time for a person to collect samples is not reduced.  When this activity is not part of the laboratory fees that are billed by Consultants per sample to test the material, the unit is each trip to collect samples times the staff hours per trip needed to reflect both travel time to and from the project site as well as sample collection time.  Sample collection times will vary from person to person, but a reasonable attempt to determine an average time is between 20 and 40 minutes per 100 lb. sample.  Additional time is required when samples are delivered to the State Materials Office in Gainesville.</t>
  </si>
  <si>
    <t>Electronic Files for Cross-Sections</t>
  </si>
  <si>
    <t>Pavement Condition Survey and Pavement Evaluation Report</t>
  </si>
  <si>
    <t>Hours negotiated are per report.  Small/simple projects will require fewer staff hours than complex/large projects.  The report shall include all of the field and laboratory data as well as recommendations, as required.  Staff hours include all work effort including field evaluation in accordance with Section 3.2 of the Materials Manual: Flexible Pavement Coring and Evaluation, evaluating cores, authoring report, senior engineering review, word processing, entering data into the Pavement Coring and Reporting (PCR) system, report production and copying and response to FDOT comments. Consideration should be given for length and complexity of project when determining allowed staff hours. Staff hour range is travel time plus 1 to 2 hours per lane mile for field evaluation plus 4 to 20 hours for report.</t>
  </si>
  <si>
    <t xml:space="preserve">Hours negotiated are per report.  Small/simple projects will require fewer staff hours than complex/large projects.  The preliminary report shall include all of the field and laboratory data to be evaluated in the final report as well as any preliminary recommendations, as required.  Staff hours include all work effort including authoring report, senior engineering review, word processing, report production and copying and response to FDOT comments. Consideration should be given for length and complexity of project when determining allowed staff hours. Staff hour range is for Preliminary Roadway Report. </t>
  </si>
  <si>
    <t>Outdoor Advertising</t>
  </si>
  <si>
    <t>25.13</t>
  </si>
  <si>
    <t>25.14</t>
  </si>
  <si>
    <t>25.15</t>
  </si>
  <si>
    <t>25.16</t>
  </si>
  <si>
    <t>Includes table of variable dimensions at segment joints. Low range: constant width sections. High range: variable width sections.</t>
  </si>
  <si>
    <t>Includes plan and section views, dimensions and elevations. Low range: constant width and skew angles. High range: variable width and skew.</t>
  </si>
  <si>
    <t>Details of bracing connections, including bracing layout over trunnion. (Not required for exodermic decks on box girders). Range depends on complexity.</t>
  </si>
  <si>
    <t>Details of counterweight bracing layout and connections. (Not required for counterweight boxes). Range depends on duplication of details.</t>
  </si>
  <si>
    <t>Movable Span Geometrics and Clearances</t>
  </si>
  <si>
    <t>Framing Plan Development</t>
  </si>
  <si>
    <t>Conceptual Span Balance/Counterweight</t>
  </si>
  <si>
    <t>Support System Development</t>
  </si>
  <si>
    <t>Drive Power Calculations</t>
  </si>
  <si>
    <t>Drive System Development</t>
  </si>
  <si>
    <t>Power and Control Development</t>
  </si>
  <si>
    <t>Conceptual Pier Design</t>
  </si>
  <si>
    <t>Quantity and Cost Estimates (Movable Span)</t>
  </si>
  <si>
    <t>Tender Visibility Study</t>
  </si>
  <si>
    <t>Deck System Evaluation</t>
  </si>
  <si>
    <t>Exhibits (Movable Span)</t>
  </si>
  <si>
    <t>Report Preparation (Movable Span)</t>
  </si>
  <si>
    <t>Task 16.39  Bascule GP&amp;E: This task is only used if the bridge length prohibits providing a scale for the overall bridge GP&amp;E that is appropriate for detailing of the movable span (clearances, subcable location, etc.)</t>
  </si>
  <si>
    <t>Task 16.49 Trunnion Girder: This task only used for Hopkins (cantilever) trunnion arrangements.</t>
  </si>
  <si>
    <t>Task 16.50 Cylinder Girder: This task only used for hydraulic cylinder driven bascule bridges incorporating independent cylinder girders.</t>
  </si>
  <si>
    <t>Task 16.55 Pedestrian Rail and Support Details: Use only if bridge has a pedestrian rail.</t>
  </si>
  <si>
    <t>Task 16.56 Curb and Sidewalk Details: Use only if bridge has a raised curb or sidewalk decking that differs from the roadway deck.</t>
  </si>
  <si>
    <t>Task 16.64, 16.65, 16.66, 16.67: Mechanical Drive Design: Use tasks 16.64, 16.65, 16.66, &amp; 16.67 for bridges utilizing an electric motor or hydraulic motor drive train with a rack and pinion. If a hydraulic motor is used use these tasks with Task 16.68, Hydraulic Drive Design.</t>
  </si>
  <si>
    <t>Task 16.68 Hydraulic Drive Design: Use if hydraulic cylinder or hydraulic motor drive is employed in the design. If a hydraulic motor drive is employed, use this task with appropriate tasks from 16.64, 16.65, 16.66, &amp; 16.67.</t>
  </si>
  <si>
    <t>Task 16.89 PLC Logic: Use only for bridges with Programmable Logic Controllers.</t>
  </si>
  <si>
    <t>Bridge 1:</t>
  </si>
  <si>
    <t>EA Unit</t>
  </si>
  <si>
    <t>EA section</t>
  </si>
  <si>
    <t>EA typ. section</t>
  </si>
  <si>
    <t>EA case</t>
  </si>
  <si>
    <t>EA Wall</t>
  </si>
  <si>
    <t>Initial Config.</t>
  </si>
  <si>
    <t>EA Add'l. Config.</t>
  </si>
  <si>
    <t>Overhead &amp; Cantilever Sign Structures</t>
  </si>
  <si>
    <t>2-Lane Roadway</t>
  </si>
  <si>
    <t>1 to 6</t>
  </si>
  <si>
    <t>Multi-lane Roadway</t>
  </si>
  <si>
    <t>Interstate</t>
  </si>
  <si>
    <t>Alignment and/or Existing R/W Lines</t>
  </si>
  <si>
    <t>1 to 4</t>
  </si>
  <si>
    <t>Aerial Targets</t>
  </si>
  <si>
    <t>Determination of braking requirements and location of application, including sizing of brakes and design of brake support. Low range for leaf less than 80 feet trunnion to tip; High range for more than 80 feet.</t>
  </si>
  <si>
    <t>4.  Mid Block Traffic Signal</t>
  </si>
  <si>
    <t>2.  Vehicular Loop Replacement</t>
  </si>
  <si>
    <t>3.1.5</t>
  </si>
  <si>
    <t>Driveway Modification Letters</t>
  </si>
  <si>
    <t>3.1.6</t>
  </si>
  <si>
    <t>Newsletters</t>
  </si>
  <si>
    <t>3.1.7</t>
  </si>
  <si>
    <t>3.1.8</t>
  </si>
  <si>
    <t>3.1.9</t>
  </si>
  <si>
    <t>Public Meeting Preparations</t>
  </si>
  <si>
    <t>3.1.10</t>
  </si>
  <si>
    <t>Public Meeting Attendance/Followup</t>
  </si>
  <si>
    <t>3.1.11</t>
  </si>
  <si>
    <t>3.1.12</t>
  </si>
  <si>
    <t>This task includes the preparation and distribution of project newsletters. The hours associated for this task are 20 - 40 hours for the initial newsletter 12 - 24 hours for each subsequent edition. The Department and the Consultant will need to agree on the number of editions over the life of the project.</t>
  </si>
  <si>
    <t>Horizontal Project Control (HPC)</t>
  </si>
  <si>
    <t>8 to 30 targets/day</t>
  </si>
  <si>
    <t>Field Support 0.25 to 2 hours</t>
  </si>
  <si>
    <t>“A”  (Project alignment points)</t>
  </si>
  <si>
    <t>4 to 12 points/day</t>
  </si>
  <si>
    <t>Includes all effort required to supervise all photogrammetric activities. (LS based on 5% of technical tasks.) These activities must be performed by the project supervisor, a Florida P.S.M. Includes all effort required to supervise all survey activities. (LS based on 5% from tasks 5 through 23, where applicable.) These activities must be performed by the project supervisor, a Florida P.S.M.</t>
  </si>
  <si>
    <t>Task 16.23 Stringer Design: This task is only used if deck stringers are anticipated in the design as is typical for steel grid deck bridges where the deck spans transversely between stringers. If a deck system that spans longitudinally between floorbeams is used, this task is not used.</t>
  </si>
  <si>
    <t>Task 16.27 Sidewalk Bracket Design: This task only used on bridges with sidewalks.</t>
  </si>
  <si>
    <t>Task 16.28 Roadway Bracket Design: This task is used when cantilever brackets are used to support the deck outside of the main girders as is the most common case.</t>
  </si>
  <si>
    <t>Task 16.31 Trunnion Girder Design: This task only used for Hopkins (cantilever) trunnion arrangements.</t>
  </si>
  <si>
    <t>Photogrammetry</t>
  </si>
  <si>
    <t>Document Collection and Review</t>
  </si>
  <si>
    <t>Main Girder Preliminary Design</t>
  </si>
  <si>
    <t>Public Involvement</t>
  </si>
  <si>
    <t>Joint Project Agreements</t>
  </si>
  <si>
    <t>Independent Peer Review</t>
  </si>
  <si>
    <t>No Passing Zone Study</t>
  </si>
  <si>
    <t>Key Sheet</t>
  </si>
  <si>
    <t>Project Layout</t>
  </si>
  <si>
    <t>Plan Sheet</t>
  </si>
  <si>
    <t>Interchange Layout Sheet</t>
  </si>
  <si>
    <t>Cross Sections</t>
  </si>
  <si>
    <t>Utility Adjustment Sheets</t>
  </si>
  <si>
    <t>Sheet</t>
  </si>
  <si>
    <t>Begin Milepost:</t>
  </si>
  <si>
    <t>End Milepost:</t>
  </si>
  <si>
    <t>Number of Lanes:</t>
  </si>
  <si>
    <t>Financial Project Identification Number:</t>
  </si>
  <si>
    <t>Federal Aid Project Identification Number:</t>
  </si>
  <si>
    <t>Project Description:</t>
  </si>
  <si>
    <t>Project Length:</t>
  </si>
  <si>
    <t>Miles</t>
  </si>
  <si>
    <t>Typical Section:</t>
  </si>
  <si>
    <t>(Divided / Undivided)</t>
  </si>
  <si>
    <t>Project Type:</t>
  </si>
  <si>
    <t>(Minor / Major)</t>
  </si>
  <si>
    <t>Roadway Classification:</t>
  </si>
  <si>
    <t>Lane Configuration:</t>
  </si>
  <si>
    <t>3.</t>
  </si>
  <si>
    <t>4.</t>
  </si>
  <si>
    <t>5.</t>
  </si>
  <si>
    <t>CAP Level:</t>
  </si>
  <si>
    <t>Field Reviews</t>
  </si>
  <si>
    <t>STANDARD SCOPE &amp;</t>
  </si>
  <si>
    <t>24 to 48</t>
  </si>
  <si>
    <t>Summary of Quantities - Aesthetic Requirements</t>
  </si>
  <si>
    <t>Fender System Access</t>
  </si>
  <si>
    <t>Fender System</t>
  </si>
  <si>
    <t>Middle Range</t>
  </si>
  <si>
    <t xml:space="preserve">Staff hours for LRFR load rating of the superstructure should be determined in accordance with the following guidelines.  Guidelines are for load ratings performed on new structures during the design phase and apply to bridges with 10 or less spans.  A reduction in per-span hours shall be required for bridges in excess of 10 spans.   </t>
  </si>
  <si>
    <t>Cantilever Erection</t>
  </si>
  <si>
    <t>36 hours per span - apply the following factors for complexity.</t>
  </si>
  <si>
    <t>Span-by-span Erection</t>
  </si>
  <si>
    <t>Upper End to Above Range Projects</t>
  </si>
  <si>
    <t xml:space="preserve">     Fixed Wing</t>
  </si>
  <si>
    <t xml:space="preserve">     Rotary Wing</t>
  </si>
  <si>
    <t>Hour</t>
  </si>
  <si>
    <t>2 to 2 hours each</t>
  </si>
  <si>
    <t>4 to 4 hours each</t>
  </si>
  <si>
    <t>Design and analysis of bracing elements, sizes, geometry and connections. Low range: short leaf (4 floor beams per leaf); High range:  Long leaf (8 floor beams).  Not applicable for exodermic deck with steel boxes.</t>
  </si>
  <si>
    <t>Design of masonry plate for bearing loads and curvature for bending. Low range for Plate Girders; High range for Box Girders.  Tail locks not included.</t>
  </si>
  <si>
    <t>Parking garage, warehouse, storage</t>
  </si>
  <si>
    <r>
      <t xml:space="preserve">1.      </t>
    </r>
    <r>
      <rPr>
        <b/>
        <sz val="10"/>
        <rFont val="Arial"/>
        <family val="2"/>
      </rPr>
      <t>Site Constraints:</t>
    </r>
    <r>
      <rPr>
        <sz val="10"/>
        <rFont val="Arial"/>
        <family val="2"/>
      </rPr>
      <t xml:space="preserve"> Limited R/W, topo, utilities placement, roadway geometry, and lane configurations, wind zones, flood zones, etc.</t>
    </r>
  </si>
  <si>
    <t>Includes travel time for trips to obtain data necessary for design. (EA based on average number of people per trip X length of trip X number of trips.)</t>
  </si>
  <si>
    <t>Wingwall Geometry and Design</t>
  </si>
  <si>
    <t>Pier Construction Loads</t>
  </si>
  <si>
    <t>Superimposed Dead Loads</t>
  </si>
  <si>
    <t>Transverse Analysis</t>
  </si>
  <si>
    <t>Superstructure Design</t>
  </si>
  <si>
    <t>Typical Segment</t>
  </si>
  <si>
    <t>Pier Segment</t>
  </si>
  <si>
    <t>Blister Details</t>
  </si>
  <si>
    <t>Deviator Blocks</t>
  </si>
  <si>
    <t>Bearings</t>
  </si>
  <si>
    <t>Special Analysis</t>
  </si>
  <si>
    <t>Typical Sections</t>
  </si>
  <si>
    <t>Typical Segments</t>
  </si>
  <si>
    <t xml:space="preserve">Variable Depth Segments </t>
  </si>
  <si>
    <t>Pier Segments</t>
  </si>
  <si>
    <r>
      <t>·</t>
    </r>
    <r>
      <rPr>
        <sz val="10"/>
        <rFont val="Arial"/>
        <family val="2"/>
      </rPr>
      <t>  Multi-lane limited access, urban reconstruction or new alignment with major interchange involvement (major ROW and interchange</t>
    </r>
  </si>
  <si>
    <t>Coordination with District Bridge Maintenance, bearings, expansion joints, painting, inspectability, request/obtain existing bridge plans. 2 to 16 Hours.</t>
  </si>
  <si>
    <t>Pedestal details, sections, foundation details, aesthetic details, temporary and permanent post-tensioning, if needed.  Low range: single bearing, single column. Mid Range: tapered column or straddle pier w/o PT. High range: tapered column or straddle pier w/ PT.</t>
  </si>
  <si>
    <t>Provide as required to describe the important code and planning issues related to the project. These issues may be but not limited to architectural, structural, mechanical (Heating Ventilation Air Conditioning), plumbing and electrical.</t>
  </si>
  <si>
    <t>Provide other reports or services required by the Department, to be negotiated on an as need basis.</t>
  </si>
  <si>
    <t>Includes Permitting for Fire Marshall, Local Building Department, Water management, and others as required by locality, to be negotiated on an as need basis.</t>
  </si>
  <si>
    <t>Lateral Bracing Details</t>
  </si>
  <si>
    <t>Counterweight Bracing Details</t>
  </si>
  <si>
    <t>Joint Details</t>
  </si>
  <si>
    <t>Traffic Barrier Details</t>
  </si>
  <si>
    <t>Pedestrian Rail and Support Details</t>
  </si>
  <si>
    <t>Curb and Sidewalk Details</t>
  </si>
  <si>
    <t>Barrier &amp; Sidewalk Bracket Details</t>
  </si>
  <si>
    <t>Counterweight Details</t>
  </si>
  <si>
    <t>Stress Table or Influence Lines</t>
  </si>
  <si>
    <t>Mechanical Design</t>
  </si>
  <si>
    <t>Final Power Requirements</t>
  </si>
  <si>
    <t>Trunnion Assembly</t>
  </si>
  <si>
    <t>Span Locks</t>
  </si>
  <si>
    <t>Sump Pumps</t>
  </si>
  <si>
    <t xml:space="preserve">Mechanical Drive Design </t>
  </si>
  <si>
    <r>
      <t>·</t>
    </r>
    <r>
      <rPr>
        <sz val="10"/>
        <rFont val="Arial"/>
        <family val="2"/>
      </rPr>
      <t>  Rural 2-lane 3R (major safety, earthwork, and utility involvement) Level 2 or 3</t>
    </r>
  </si>
  <si>
    <r>
      <t>·</t>
    </r>
    <r>
      <rPr>
        <sz val="10"/>
        <rFont val="Arial"/>
        <family val="2"/>
      </rPr>
      <t>  Rural 4-lane 3R (major safety, earthwork, and utility involvement) Level 2 or 3</t>
    </r>
  </si>
  <si>
    <t>Includes effort to evaluate overhead street name sign, lettering,  description, street block numbers, and information to develop the layout of a sign (based on hours for each sign).</t>
  </si>
  <si>
    <t>Includes effort to determine pole elevations at proposed pole locations (2 hours for the first intersection and 1 hour for each additional intersection).</t>
  </si>
  <si>
    <t>20 to 40</t>
  </si>
  <si>
    <t>All effort to develop full traffic signal report.</t>
  </si>
  <si>
    <t>End Floorbeam Design</t>
  </si>
  <si>
    <t>Deep Floorbeam Design</t>
  </si>
  <si>
    <t>Sidewalk Bracket Design</t>
  </si>
  <si>
    <t>Roadway Bracket Design</t>
  </si>
  <si>
    <t>Main Girder Influence Lines</t>
  </si>
  <si>
    <t>Main Girder Design</t>
  </si>
  <si>
    <t>Trunnion Girder Design</t>
  </si>
  <si>
    <t>Main Girder Camber Data</t>
  </si>
  <si>
    <t>Leaf Lateral Bracing Design</t>
  </si>
  <si>
    <t>Counterweight Design</t>
  </si>
  <si>
    <t>Live Load Shoe Design</t>
  </si>
  <si>
    <t>Barrier Design</t>
  </si>
  <si>
    <t>Deck Elevations</t>
  </si>
  <si>
    <t>Balance Calculations</t>
  </si>
  <si>
    <t>Bascule Leaf Detailing</t>
  </si>
  <si>
    <t>Bascule GP&amp;E</t>
  </si>
  <si>
    <t>Bascule Leaf Notes</t>
  </si>
  <si>
    <t>Flooring Plan &amp; Details</t>
  </si>
  <si>
    <t>Typical Section &amp; Finish Grade Elevations</t>
  </si>
  <si>
    <t>Girder Details</t>
  </si>
  <si>
    <t>Camber Layout</t>
  </si>
  <si>
    <t>Floor Beams</t>
  </si>
  <si>
    <t>Development of Plan and Elevation. Low range: single bearing, single column. High range: tapered column or straddle pier.</t>
  </si>
  <si>
    <t>Includes details for barrier transitions, specific drainage details, special aesthetic details, and other project specific details, if applicable. Range Depends on number of utilities, drainage structures, other site features and complexity.</t>
  </si>
  <si>
    <t>Drive Shafts, Couplings, Keys, Bearings and Supports</t>
  </si>
  <si>
    <t>Rack &amp; Pinion, Bearings and Supports</t>
  </si>
  <si>
    <t>Drive Train</t>
  </si>
  <si>
    <t>Motor Brakes &amp; Machinery Brakes</t>
  </si>
  <si>
    <t>Hydraulic Drive Design</t>
  </si>
  <si>
    <t>Hydraulic Drive</t>
  </si>
  <si>
    <t>Machinery Detailing</t>
  </si>
  <si>
    <t>Machinery Layout</t>
  </si>
  <si>
    <t>Machinery Elevation</t>
  </si>
  <si>
    <t>Machinery Section</t>
  </si>
  <si>
    <t>Drive Details</t>
  </si>
  <si>
    <t>Electrical Design</t>
  </si>
  <si>
    <t>Load Analysis</t>
  </si>
  <si>
    <t>Power Distribution</t>
  </si>
  <si>
    <t>Drive Equipment</t>
  </si>
  <si>
    <t>3.1.1</t>
  </si>
  <si>
    <t>Develop vehicular and sidewalk loading. Low Range: single cell box. High range: multi-cell box.</t>
  </si>
  <si>
    <t>60 to 140</t>
  </si>
  <si>
    <t>20 to 48</t>
  </si>
  <si>
    <t>32 to 52</t>
  </si>
  <si>
    <t>16 to 100</t>
  </si>
  <si>
    <t>72 to 160</t>
  </si>
  <si>
    <t>80 to 100</t>
  </si>
  <si>
    <t>24 to 36</t>
  </si>
  <si>
    <t>28 to 36</t>
  </si>
  <si>
    <t>160 to 200</t>
  </si>
  <si>
    <t>60 to 160</t>
  </si>
  <si>
    <t>300 to 460</t>
  </si>
  <si>
    <t>40 to 48</t>
  </si>
  <si>
    <t>120 to 160</t>
  </si>
  <si>
    <t>200 to 300</t>
  </si>
  <si>
    <t>36 to 36</t>
  </si>
  <si>
    <t>Design roadway stringers that support decking including connections to floor beams. Low Range: Stringers with steel grid deck  High Range: Stringers with composite deck.</t>
  </si>
  <si>
    <t xml:space="preserve">Design roadway floorbeams that support stringers/decking including connections to main girders. Low Range: Floorbeam with steel grid deck  High Range: Composite deck with trunnion or cylinder girder framed in. </t>
  </si>
  <si>
    <t>Based on project specific items, includes all special structures.</t>
  </si>
  <si>
    <t>Gather and analyze information. Structural design. Prepare construction plans. Low range: Using standards as available. High range: Required special analysis and detailing, due to large sign panels, skews, etc.</t>
  </si>
  <si>
    <t>Existing Bridge Plans</t>
  </si>
  <si>
    <t>Temporary Bridge</t>
  </si>
  <si>
    <t>Short Span Concrete</t>
  </si>
  <si>
    <t>Structural Steel</t>
  </si>
  <si>
    <t>Movable Span</t>
  </si>
  <si>
    <t>Retaining Walls</t>
  </si>
  <si>
    <t>Special Systems</t>
  </si>
  <si>
    <t>Fully design, detail, and locate handrails within bascule pier.  Low Range: Standard pipe handrail High Range: Rail that requires a special design.</t>
  </si>
  <si>
    <t>Fully design, detail, and locate access hatches and ladders: Low range for standard manufactured hatches and ladders; High range for custom designs.</t>
  </si>
  <si>
    <t xml:space="preserve">Variable horizontal deviations from roadway alignment, varying cross-slopes. Range dependent upon number of vertical and horizontal controls.  </t>
  </si>
  <si>
    <t>Noise Impact Design Reassessment Technical Subtotal</t>
  </si>
  <si>
    <t>Mobilization</t>
  </si>
  <si>
    <t>Flight Operations</t>
  </si>
  <si>
    <t>Indicate typical and special construction details showing components, connections and reinforcement of the concrete slab.</t>
  </si>
  <si>
    <t>Provide drawing(s) to indicate overall roof framing, roof framing plan includes size, spacing, and type of roof framing members.  The plan will also describe the structural diaphragm, column spacing, and miscellaneous framing components.</t>
  </si>
  <si>
    <t>Indicate roof loading of the structure including dead load, live load, and wind load.</t>
  </si>
  <si>
    <t>Provide sections at the roof framing to show the framing connections.</t>
  </si>
  <si>
    <t>Includes typical roof framing details and specialized roof details showing components, connections and construction.</t>
  </si>
  <si>
    <t>Provide sections at bearing walls, including connections to floor and roof system.</t>
  </si>
  <si>
    <t>Provide typical details at bearing walls, including connection of components.</t>
  </si>
  <si>
    <t>Includes sections through columns to show column structural components and foundation and roof framing connections.</t>
  </si>
  <si>
    <t>Noise Impact Design Reassessment Nontechnical Subtotal</t>
  </si>
  <si>
    <t xml:space="preserve">Based on average number of people per meeting x length of meeting x number of meetings. </t>
  </si>
  <si>
    <r>
      <t xml:space="preserve">The staff hour ranges presented on the following sheets represent the work effort that may be expected for each specific task on typical projects.  These hourly ranges vary from the simple project (lower end of range) to the complicated project (upper end of range) based upon the specific variables for each individual activity.  The ranges represent neither the minimum nor maximum hours that may be negotiated for a particular task on a project.  Hours below or above these ranges may be applicable based upon constraints and requirements that are specific to the project. </t>
    </r>
    <r>
      <rPr>
        <b/>
        <u/>
        <sz val="10"/>
        <rFont val="Arial"/>
        <family val="2"/>
      </rPr>
      <t>The project type (RRR, Widening, Reconstruction, etc.) does not dictate the level of complexity of each activity or task.  Each individual activity/task may have a different level of complexity based upon project specific requirements and conditions.</t>
    </r>
  </si>
  <si>
    <t>Details of prestressed slab units showing prestressing information, reinforcement, and post-tensioning blockout details. Low range: numerous similar sheets, normal ends. High range:  one sheet, or skewed ends.</t>
  </si>
  <si>
    <t>Girder Elevation, Including Grouting Plan and Vent Locations</t>
  </si>
  <si>
    <t>Cross-Frame Design</t>
  </si>
  <si>
    <t>Interior Cross-Frame Design</t>
  </si>
  <si>
    <t xml:space="preserve">Exterior Cross-Frame Design </t>
  </si>
  <si>
    <t>Fascia, Soffit and Parapet Details</t>
  </si>
  <si>
    <t>Design Narrative Reports</t>
  </si>
  <si>
    <t>Includes all efforts to prepare general notes, material symbols, legends, special regulatory requirements, code and loading information. Includes all word &amp; term abbreviations and material symbols used in construction documents.</t>
  </si>
  <si>
    <t>Includes reviewing the Department's LRE, preparing an Engineers Estimate and updating as necessary (1-3 hours per LRE review and 2-8 hours per Engineer's Estimate per submittal).</t>
  </si>
  <si>
    <t>Reviewing Departments LRE, preparing an initial cost estimate, and updating as necessary. (LS based on LRE develop/review range of 2-6 hours and a range of 2-8 hours per Engineers Estimate  per submittal)</t>
  </si>
  <si>
    <t>Prime Consultant Project Manager Meetings</t>
  </si>
  <si>
    <t>Analyze pier segments and develop reinforcement requirements and quantities. Analyze jacking locations and loads. Low range: integral pier segment (no bearing), BC, straight. High range: offset bearings, SBS or BC curved.</t>
  </si>
  <si>
    <t>Analyze blisters and develop reinforcement requirements and quantities. (internal tendons only, typ. BC). Low range: single anchor. High range: multiple anchors.</t>
  </si>
  <si>
    <t>Analyze deviators and develop reinforcement requirements and quantities. (external and future tendons). Low range: w/ribs. High range: no ribs</t>
  </si>
  <si>
    <t>Develop bearing loads, movements, and sizes. Low range: neoprene pads, straight. Mid range: pot bearing, curved. High range: special designs (outside of published load range), curved, mutli-box section.</t>
  </si>
  <si>
    <t>Design analysis depending on project requirements (i.e. utility hanger, special conduit, sign structures, unique light pilasters, drainage, scenic overlooks, etc.). Range depends on complexity.</t>
  </si>
  <si>
    <t>Includes temperature rise or fall, and thermal gradients. Low range: one fixed bearing, straight. High range: multiple fixed bearings, curvature.</t>
  </si>
  <si>
    <t>Includes iterations as required to satisfy design requirements, as well as fast and slow schedule runs. Range depends on size and complexity of project. Low range: SBS based on number of spans. High Range: BC based on number of segments.</t>
  </si>
  <si>
    <t>Maintenance Plan</t>
  </si>
  <si>
    <t>12-120 hrs depending on the complexity of the project</t>
  </si>
  <si>
    <r>
      <t>· </t>
    </r>
    <r>
      <rPr>
        <sz val="10"/>
        <rFont val="Arial"/>
        <family val="2"/>
      </rPr>
      <t> WMD Right of Way Occupancy Permit</t>
    </r>
  </si>
  <si>
    <t>See Basis for Staff Hour Calculation</t>
  </si>
  <si>
    <t>Fiber Optic Splice Diagrams</t>
  </si>
  <si>
    <t>Lightning Protection Plans</t>
  </si>
  <si>
    <t>ITS Plans Technical Subtotal</t>
  </si>
  <si>
    <t>This task involves the preparation of a PowerPoint presentation for use in public meetings.  Includes development of slides, as well as coordination and review of slides by the Department.  Slide development: 16 - 40 hours (includes review by the Department and fixup).   If voice over is included with the presentation, add 12 - 24 hours for development of the script and 8 - 16 hours for recording and including the voice over in the presentation.</t>
  </si>
  <si>
    <t>Temporary Drainage Analysis</t>
  </si>
  <si>
    <t>Meetings with departmental and/or Agency staff such as  progress/phase review meetings, local governments, public involvement, etc. Excludes Project Manager hours.</t>
  </si>
  <si>
    <t xml:space="preserve">Permit Coordination: Provide sketches and information for permitting with USACE, USCG, local WMDs. Direct coordination with USCG on clearance and construction requirements. Range depends on complexity. </t>
  </si>
  <si>
    <t>Medium Span Concrete</t>
  </si>
  <si>
    <t>Evaluate various deck systems. Low range: open deck only; High range: closed deck systems.  Note:  Evaluation of both open and closed decks is outside this range.</t>
  </si>
  <si>
    <t>Perform conceptual level span balance to verify counterweight and pier dimensions and cost. Low range: open deck; High range: closed deck and skew.</t>
  </si>
  <si>
    <t>Writing and editing report.  Low range - short span rural, no construction phasing.  Mid range - Typical overpass.  High range - major/complex urban interchange, etc.</t>
  </si>
  <si>
    <t>Design post sizes for each proposed ground mount sign.  May include developing cross section at each sign location.  (Based on the number of proposed signs)</t>
  </si>
  <si>
    <t>Establish sign layout, text sizes and run sign design software.  (Based on number of proposed signs)</t>
  </si>
  <si>
    <t xml:space="preserve">Includes efforts to verify photometrics on the lighted sign, determine load center requirements and perform voltage drop calculations.  (Based on the number of proposed signs)   </t>
  </si>
  <si>
    <t>Design of Cross Drains</t>
  </si>
  <si>
    <t>Design of Storm Drains</t>
  </si>
  <si>
    <t>Optional Culvert Material</t>
  </si>
  <si>
    <t xml:space="preserve">Determination of structure and expansion joint movements and expansion joint type. Low range: simple span. High range: continuous spans. </t>
  </si>
  <si>
    <t>UTILITIES</t>
  </si>
  <si>
    <t>SURVEY</t>
  </si>
  <si>
    <t>LANDSCAPE ARCHITECTURE</t>
  </si>
  <si>
    <t>ARCHITECTURE</t>
  </si>
  <si>
    <r>
      <t xml:space="preserve">Complete semi-standard to include settlement, allowable bearing pressure, minimum soil reinforcement length tables and embedment details. </t>
    </r>
    <r>
      <rPr>
        <sz val="10"/>
        <rFont val="Arial"/>
        <family val="2"/>
      </rPr>
      <t>Range varies with number of walls.</t>
    </r>
  </si>
  <si>
    <t>Constructibility Requirements</t>
  </si>
  <si>
    <t>Quantity and Cost Estimates</t>
  </si>
  <si>
    <t>Exhibits</t>
  </si>
  <si>
    <t>Report Preparation</t>
  </si>
  <si>
    <t>BDR Submittal Package</t>
  </si>
  <si>
    <t>Construction Staging</t>
  </si>
  <si>
    <t>General Layout Design and Plans</t>
  </si>
  <si>
    <t>Overall Bridge Final Geometry</t>
  </si>
  <si>
    <t>Expansion/Contraction Analysis</t>
  </si>
  <si>
    <t>General Layout Design &amp; Plans</t>
  </si>
  <si>
    <t>8 to 60</t>
  </si>
  <si>
    <t>32 to 120</t>
  </si>
  <si>
    <t>80 to 160</t>
  </si>
  <si>
    <t>40 to 200</t>
  </si>
  <si>
    <t>160 to 400</t>
  </si>
  <si>
    <t>80 to 240</t>
  </si>
  <si>
    <t>40 to 160</t>
  </si>
  <si>
    <t>60 to 240</t>
  </si>
  <si>
    <t>60 to 180</t>
  </si>
  <si>
    <t>60 to 100</t>
  </si>
  <si>
    <t>16 to 200</t>
  </si>
  <si>
    <t>48 to 60</t>
  </si>
  <si>
    <t>Provide cross-sections, schematic plan, FGE table. Low range: straight and long (repetitious). High range: curved and short.</t>
  </si>
  <si>
    <t>Develop number of construction days. Range depends on complexity.</t>
  </si>
  <si>
    <t>Quality Assurance/ Quality Control</t>
  </si>
  <si>
    <t>8 to 16</t>
  </si>
  <si>
    <t>12 to 24</t>
  </si>
  <si>
    <t>16 to 48</t>
  </si>
  <si>
    <t>12 to 48</t>
  </si>
  <si>
    <t>16 to 32</t>
  </si>
  <si>
    <t>Data Collection &amp; Design Criteria</t>
  </si>
  <si>
    <t>Gather and analyze information. Create 3D model. Check Clearances. Prepare construction plans. Design foundations. Low Range: Multiple similar designs, High Range: One Design with new drawings required.</t>
  </si>
  <si>
    <t>Gather and analyze information. Review and coordinate with fabricator. Foundation design only. Prepare foundation plans. Low Range: Multiple similar designs, foundation only.  High Range: One Design, foundation and pole design.</t>
  </si>
  <si>
    <t>Determine begin and end wall stations and offsets, and stations and offsets of all horizontal changes.  Straight walls and alignment.</t>
  </si>
  <si>
    <t>Drawings that are duplication of other drawings such as drawings used on both the northbound and southbound rest areas.</t>
  </si>
  <si>
    <t>Counterweight Girder/Box</t>
  </si>
  <si>
    <t>Trunnion Girder</t>
  </si>
  <si>
    <t>Cylinder Girder</t>
  </si>
  <si>
    <t>Develop plan sheets for architectural details. Low range: minor architectural treatments. High range: extensive architectural requirements.</t>
  </si>
  <si>
    <t>Develop plan sheets. Low range: standard details. High range: complex details.</t>
  </si>
  <si>
    <t>Label and incorporate existing bridge plans. Low range: 10 sheets, High range: 70 sheets.</t>
  </si>
  <si>
    <t>Includes construction sequence and casting and erection schedule. Range depends on size and complexity of project. Low range: SBS. High Range: BC and CIP.</t>
  </si>
  <si>
    <t>Includes web shear reinforcement and slab interface reinforcement.</t>
  </si>
  <si>
    <t>Detail of bascule span showing channel clearances, dimensions etc., enlarged from overall GP&amp;E (if required); Low range no skew; High range with skew.</t>
  </si>
  <si>
    <t>Details of submarine cable, support and termination cabinets. Low range: 2 leafs. High range: 4 leafs.</t>
  </si>
  <si>
    <t>Details of CCTV system, and other miscellaneous details. Range depends on complexity.</t>
  </si>
  <si>
    <t>Development of elevation and floor plan concepts, materials and architectural features in and around the control house. Range depends on complexity.</t>
  </si>
  <si>
    <t>Develop bearing details, design loads, and directions of movements. Low range, straight and repetitious span lengths. High range, curved and highly variable span lengths.</t>
  </si>
  <si>
    <t>Provide expansion joint details, design movements, and direction of movements. Include slider plates as required for railings and sidewalks. Low range: straight with no sidewalk. High range: curved with sidewalk.</t>
  </si>
  <si>
    <t>Develop railing details. Low range: straight and short. High range: curved, long, scenic overlooks.</t>
  </si>
  <si>
    <t>STRUCTURES GUIDELINES</t>
  </si>
  <si>
    <t>Includes determining signal operation plan, intersection geometry, local signal timings, pre-emption phasing and timings, forecasting traffic, intersection analysis run, etc. per intersection. Range based on project classifications shown in the guidelines for this section.</t>
  </si>
  <si>
    <t>Design and sizing of rack frame, rack, connection to the girder, pinion support, pinion and pinion bearings. Low range for leaf less than 80 feet trunnion to tip; High range for more than 80 feet.</t>
  </si>
  <si>
    <r>
      <t>·</t>
    </r>
    <r>
      <rPr>
        <sz val="10"/>
        <rFont val="Arial"/>
        <family val="2"/>
      </rPr>
      <t>  Urban 3R (safety, no change to profile grade line, utility exception granted).</t>
    </r>
  </si>
  <si>
    <r>
      <t>·</t>
    </r>
    <r>
      <rPr>
        <sz val="10"/>
        <rFont val="Arial"/>
        <family val="2"/>
      </rPr>
      <t>  Highway lighting (FDOT Installed).</t>
    </r>
  </si>
  <si>
    <r>
      <t>·</t>
    </r>
    <r>
      <rPr>
        <sz val="10"/>
        <rFont val="Arial"/>
        <family val="2"/>
      </rPr>
      <t>  Rural widening/resurfacing (minor ROW and earthwork).</t>
    </r>
  </si>
  <si>
    <r>
      <t>·</t>
    </r>
    <r>
      <rPr>
        <sz val="10"/>
        <rFont val="Arial"/>
        <family val="2"/>
      </rPr>
      <t>  Urban Signalization with utility impact.</t>
    </r>
  </si>
  <si>
    <t>Plans Update</t>
  </si>
  <si>
    <t>Project Common and Project General Tasks</t>
  </si>
  <si>
    <t>Summary and Miscellaneous Tasks &amp; Drawings</t>
  </si>
  <si>
    <t>Short Span Concrete Bridge</t>
  </si>
  <si>
    <t>Medium Span Concrete Bridge</t>
  </si>
  <si>
    <t>Structural Steel Bridge</t>
  </si>
  <si>
    <t>Segmental Concrete Bridge</t>
  </si>
  <si>
    <t>Architecture Development</t>
  </si>
  <si>
    <t>Noise Barriers Impact Design Assessment in the Design Phase</t>
  </si>
  <si>
    <t>3.1.2</t>
  </si>
  <si>
    <t>Notifications</t>
  </si>
  <si>
    <t>3.1.3</t>
  </si>
  <si>
    <t>Prepare Mailing Lists</t>
  </si>
  <si>
    <t>3.1.4</t>
  </si>
  <si>
    <t>3.10</t>
  </si>
  <si>
    <t>NOISE BARRIERS</t>
  </si>
  <si>
    <t>Includes PC points and vertical control points.</t>
  </si>
  <si>
    <t>“B”  (HPC &amp; VPC points)</t>
  </si>
  <si>
    <t>Mile/Site</t>
  </si>
  <si>
    <t xml:space="preserve">Vertical PC / Bench Line </t>
  </si>
  <si>
    <t>Includes establishing or recovering project control (PC) for the purpose of establishing vertical control on approved datum; may include primary or secondary vertical control points. Includes analysis and processing of all field collected data and preparation of forms. (Primary Points: 5 to 8 points per mile; at a range of 1 to 3 crew days) (Secondary Points: 5 to 8 points per mile; at a range of 1 to 2 crew days) The low end of the range is for rural 2-lane; the high end of the range is for urban multi-lane / interstate. Staff hours are based on actual distance covered, including level run to and from existing control.</t>
  </si>
  <si>
    <t>INTELLIGENT TRANSPORTATION SYSTEMS (ITS)</t>
  </si>
  <si>
    <t>Includes design check for form removal and lifting prior to transverse post-tensioning, and lifting and stacking after post-tensioning. Low range: CIP, High range: Precast.</t>
  </si>
  <si>
    <t>Analyze expansion joint segments and develop reinforcement requirements and quantities. Low range: BC, straight. High range: SBS or BC curved.</t>
  </si>
  <si>
    <t>Develop expansion joint and slider plate details. Low range: straight. High range: curved.</t>
  </si>
  <si>
    <t>Provide lighting standard in accordance with standards and project requirements. Low range: standard inside box lighting and standard luminaires. High range: special inside lighting system.</t>
  </si>
  <si>
    <t>Details of fender, channel and clearance gauge lights. Low range w/o transfer relays; High range with transfer relays.</t>
  </si>
  <si>
    <t>Sections of Machinery Layout, including dimensions, component labels and machinery schedules. Low range for enclosed gearing: High range for open gearing.</t>
  </si>
  <si>
    <t>Enclosed gearing: Design and sizing of base plates or support weldments, main drive motor mounts and sizing of primary and secondary reducers. Low range for grout supported; High range for weldment supported.</t>
  </si>
  <si>
    <t>Includes plan view, pocket locations, sections and elevations, reinforcement, counterweight blocks and bar bending details. Low range: box girder. High range: plate girder.</t>
  </si>
  <si>
    <t>Elevation view detailing the web and flange geometry, sections sizes, and stiffener, splice, and floor beam locations, etc.  Low range: short leaf; High range: long leafs.</t>
  </si>
  <si>
    <t>Section view depicting the primary structural elements and overall cross section dimensions. Low range: Open Deck with typical section only; High range: Concrete Deck with finish grade elevations.</t>
  </si>
  <si>
    <t>Layout depicting the location and plan dimensions of the decking and centerline of support elements. Details of reinforcing placement, grating support, edge support, panel connection, etc. Low range: Plan layout only; High range: multiple special details required.</t>
  </si>
  <si>
    <t>Structural framing layout depicting the location and plan dimensions of the main girders, bracing, and floor beams.  Low range: Exodermic deck with steel boxes ; High range: plate girders.</t>
  </si>
  <si>
    <t>Development of final balance calculations to determine horizontal and vertical location of center of gravity and making minor adjustments to counterweight. Low range: Exodermic deck with steel boxes ; High range: plate girders.</t>
  </si>
  <si>
    <t>Development of top of deck  finish grade elevations. (w/ Georgia Skew). Low range: one leaf, no cross slope. High Range: asymmetric.</t>
  </si>
  <si>
    <t>Design of Traffic Railing and Pedestrian Railing Barrier including connections.  Low range: Single Railing; High range Multiple Railings.</t>
  </si>
  <si>
    <t>Preliminary sizing of counterweight and design of support framing, development of reinforcing steel requirements. Low range: Concrete counterweight with steel framing; High range: Steel counterweight box.</t>
  </si>
  <si>
    <t>Compute deflections and camber due to dead loads and geometry. Low range  Plate Girders; High range for Composite Box Girders with asymmetric loads.</t>
  </si>
  <si>
    <t>Design of Web Sizes, Flange Sizes, Plate Cut-off Locations, and connections to the floor beam and counterweight girder Range depends on complexity.</t>
  </si>
  <si>
    <t>Design of Web Sizes, Flange Sizes, Plate Cut-off Locations, Girder geometrics. Low range for Plate Girders, line girder analysis; High range:  Box Girders, girders that are not identical, loads are asymmetric, grid analysis modeling needed.</t>
  </si>
  <si>
    <t>Compute influence lines for moment and shear at floor beam connection points. Low range for Plate Girders with line girder analysis; Mid range for Box Girders with grid 3D analysis. High Range Box that are asymmetric.</t>
  </si>
  <si>
    <t>Design of roadway cantilever brackets and connection Low range for steel grid deck and no tie plates; High range for composite deck or intermediate bracket.</t>
  </si>
  <si>
    <t>Design of cantilever brackets supporting sidewalk and connection to supporting element. Low range for pedestrian load only; High range for occasional wheel loads and composite deck or intermediate brackets.</t>
  </si>
  <si>
    <t>Design roadway floorbeams that support stringers/decking including connections to main girders and knee braces. Low Range: Typical floorbeam with steel grid deck  High Range: Composite deck with knee braces or span locks on/thru floorbeam.</t>
  </si>
  <si>
    <t>Design roadway floorbeams that support stringers/decking including connections to main girders and knee braces. Low Range: Typical floorbeam with steel grid deck and no knee braces High Range: Composite deck or with knee braces.</t>
  </si>
  <si>
    <t>Design decking and immediate supports Low range for pedestrian load only; High range for occasional wheel loads.</t>
  </si>
  <si>
    <t>Design deck, including bar bending details. Low range for steel grid; Mid range for concrete filled; High range for exodermic with no stringers.</t>
  </si>
  <si>
    <t>Summarize quantities by pour and provide notes for pour sequence and construction sequence as required Low Range Single phase construction  High Range Multi Phase.</t>
  </si>
  <si>
    <t>Other Project General Tasks</t>
  </si>
  <si>
    <t>Includes all efforts for a project general task not covered by an existing defined task.  Required work will be defined in the scope and negotiated on a case-by-case basis.</t>
  </si>
  <si>
    <t>New Roadway Alignment</t>
  </si>
  <si>
    <t>32.7</t>
  </si>
  <si>
    <t>32.8</t>
  </si>
  <si>
    <t>3.11</t>
  </si>
  <si>
    <t>3.12</t>
  </si>
  <si>
    <t>Railroad, Transit and/or Airport Coordination</t>
  </si>
  <si>
    <t>Pavement Type Selection Report</t>
  </si>
  <si>
    <t>Text
Pages</t>
  </si>
  <si>
    <t>Show and/or coordinate with other disciplines. Electrical/mechanical spaces to indicate all horizontal &amp; vertical clearances between equipment. Show all special feature walls &amp; conditions, and all vertical and horizontal dimensions in lobbies and public spaces as needed.</t>
  </si>
  <si>
    <t>Provide elevations of all restroom walls to indicate all fixtures, counters, devices, accessories, finish transitions, and other features. Indicate all fixture clearances, partition layout, vanity locations, and other fixture &amp; equipment locations, with dimensions and ADA clearances.</t>
  </si>
  <si>
    <t>Stair Section, Enlarged Stair Plan and Details</t>
  </si>
  <si>
    <t>20 to 60</t>
  </si>
  <si>
    <t>Stair section, enlarged stair plan and stair details if multiple story structure</t>
  </si>
  <si>
    <t>40 to 65</t>
  </si>
  <si>
    <t>40 to 70</t>
  </si>
  <si>
    <t xml:space="preserve">20 to 40
</t>
  </si>
  <si>
    <t>24 to 46</t>
  </si>
  <si>
    <t>24 to 70</t>
  </si>
  <si>
    <t>Include finishes for walls, floor, base, and ceilings.</t>
  </si>
  <si>
    <t>Building Information Modeling (BIM)</t>
  </si>
  <si>
    <t>Project</t>
  </si>
  <si>
    <t>No Additional Cost</t>
  </si>
  <si>
    <t>Using AutoCad Revit or a similar program for the production of construction documents does not cost the Client/Owner any additional design fee. However, the proportion of the fee is more front loaded because of the design process. The creation of the 3D model is part of the design and must be converted into 2D to print the construction documents. The additional use of the Virtual 3D model can provide additional advantages and services, but at an additional cost. Another very useful feature is the user's ability to visualize the spaces in 3D early on as part of the approval process.</t>
  </si>
  <si>
    <t>FDOT</t>
  </si>
  <si>
    <t xml:space="preserve">Field Work </t>
  </si>
  <si>
    <t>Pond Site Alternatives</t>
  </si>
  <si>
    <t>Species Surveys</t>
  </si>
  <si>
    <t>Complete and Submit All Required Wetland Permit Applications</t>
  </si>
  <si>
    <t>Complete and Submit All Required Species Permit Applications</t>
  </si>
  <si>
    <t>It is intended that individuals negotiating work efforts for both the FDOT and the Consultant be experienced structural engineers knowledgeable of the work effort to complete each task.  The worksheets are intended to guide negotiators who have hands on experience designing multiple similar projects.</t>
  </si>
  <si>
    <t>Activity 10 addresses Bridge Development Report tasks. The staff hour ranges were developed for general geometric requirements, statical systems, superstructures alternates, substructure alternatives, foundation alternates, vessel collision, scour, precast bridge options, moveable spans, temporary traffic control, constructability requirements, bridge security, retaining wall, quantities, cost estimates and aesthetics consideration. Report preparation including conclusions and recommendations, development of exhibits and supporting documentation are to be included. The option to include Preliminary Plans is also available.</t>
  </si>
  <si>
    <t xml:space="preserve">·  Activity 13 addresses Medium Span Concrete bridge tasks. The staff hour ranges were developed for precast, prestressed concrete beam bridges designed as simply supported or continuous over intermediate supports. Use either Simple Span Concrete Design or Continuous Concrete Girder Design depending on the anticipated structure type, unless both systems are used in the same bridge. </t>
  </si>
  <si>
    <t>Development of top of deck and approach slab finish grade elevations. Low range: one span, parallel beams. High Range: variable beam spacing, complex geometry.</t>
  </si>
  <si>
    <t>Diaphragm Design</t>
  </si>
  <si>
    <t>Per FDOT policy, Florida I-beam designs do not require diaphragms.  Use this Task No. only for special designs.</t>
  </si>
  <si>
    <t>Hours are for completing each required prestressed beam design. Low range: multiple beam lengths, High range: single beam length.</t>
  </si>
  <si>
    <t>Beam Stability</t>
  </si>
  <si>
    <t>Beam/girder stability</t>
  </si>
  <si>
    <t>Evaluate beam/girder stability for construction wind loads.</t>
  </si>
  <si>
    <t>Bearing</t>
  </si>
  <si>
    <t>Bearing pad and bearing plate design</t>
  </si>
  <si>
    <t>Type/
Span</t>
  </si>
  <si>
    <t>Pad: 8 to 12/type
Plate: 2 to 6/span</t>
  </si>
  <si>
    <t>Non-standard bearing pad/plate design.  Plate Low Range:  simple geometry; Plate High Range:  compound beveled.</t>
  </si>
  <si>
    <t>Bearing pad and bearing plate details</t>
  </si>
  <si>
    <t>Non-standard bearing pad/plate details.  Hours are per pad detail.</t>
  </si>
  <si>
    <t>Erection Scheme</t>
  </si>
  <si>
    <t>Erection scheme analysis</t>
  </si>
  <si>
    <t>EA
Critical
Stage</t>
  </si>
  <si>
    <t xml:space="preserve">8 to 25 </t>
  </si>
  <si>
    <t>Includes all major phases of erection.  Investigate the stability of beams or girders subjected to  wind loads during construction.  Check for maximum vertical displacements of the temporary supports for fit up, alignment, and stability when required.  Low Range:  Short, straight units.  High Range:  Long units, curved superstructure and/or skewed supports and integral piers.</t>
  </si>
  <si>
    <t>Erection scheme</t>
  </si>
  <si>
    <t>10 to 30</t>
  </si>
  <si>
    <t>Gather and analyze information. Foundation design. Structural design. Check Clearances. Prepare construction plans.</t>
  </si>
  <si>
    <t>29 to 46</t>
  </si>
  <si>
    <t>Risk Assessment Workshop</t>
  </si>
  <si>
    <t>16.</t>
  </si>
  <si>
    <t>·  Activity 18 addresses Miscellaneous structure tasks. The staff hour ranges were developed for concrete box culverts, strain poles, mast arms, overhead and cantilever sign structures, high mast light foundations, noise barrier walls and special structures.</t>
  </si>
  <si>
    <t>Noise Barrier Walls (Ground Mount)</t>
  </si>
  <si>
    <t>Meetings with departmental and/or staff such as noise barrier kick-off meeting, constructability meeting, and/or any necessary progress meetings. Excludes Project Manager hours and public involvement efforts.</t>
  </si>
  <si>
    <t>8.14.4</t>
  </si>
  <si>
    <t>8.14.5</t>
  </si>
  <si>
    <t>10 to 20</t>
  </si>
  <si>
    <t>Ceiling plan should include types of material, heights, soffits and details of same. HVAC returns and diffusers, ceiling mounted lighting fixtures and exit signs.</t>
  </si>
  <si>
    <t>Terrestrial Mobile LiDAR</t>
  </si>
  <si>
    <t>LiDAR Operator</t>
  </si>
  <si>
    <t xml:space="preserve">Basis for Staff Hour Range </t>
  </si>
  <si>
    <t>Terrestrial Mobile LiDAR Mission Planning</t>
  </si>
  <si>
    <t>Multi-Lane /  Interstate</t>
  </si>
  <si>
    <t>Scan Miles</t>
  </si>
  <si>
    <t>PSM Only</t>
  </si>
  <si>
    <t>-</t>
  </si>
  <si>
    <t>All efforts necessary for planning and preparation of materials needed for the successful  execution of the Mobile LiDAR Mission. Includes route and safety planning; GPS /data acquisition scheduling, weather reports, and site terrain research.</t>
  </si>
  <si>
    <t>Sr. LiDAR Tech Only</t>
  </si>
  <si>
    <t>LiDAR Technician Only</t>
  </si>
  <si>
    <t>Project Control Point Coordination</t>
  </si>
  <si>
    <t>Terrestrial Mobile LiDAR Mobilization</t>
  </si>
  <si>
    <t>Personnel</t>
  </si>
  <si>
    <t>LiDAR Operator Only</t>
  </si>
  <si>
    <t>Field Technician Only</t>
  </si>
  <si>
    <t>Terrestrial Mobile LiDAR Mission</t>
  </si>
  <si>
    <t>LiDAR Sensor Operator</t>
  </si>
  <si>
    <t>Includes on site calibration, collection of Mobile LiDAR data, and any simultaneous base station occupations. Personnel should include any safety or supporting personnel if necessary.</t>
  </si>
  <si>
    <t>Terrestrial Mobile LiDAR Processing</t>
  </si>
  <si>
    <t>Includes downloading and post processing of Global Navigation Satellite System (GNSS) / Inertial Navigation System (INS) data, creation of scan vehicle best estimate trajectories, analysis of scan route data overlaps. Also includes if necessary, separation of large point cloud data sets into manageable LAS (see ASPRS) files with corresponding graphic "tile" index.</t>
  </si>
  <si>
    <t>Terrestrial Mobile Photography Processing</t>
  </si>
  <si>
    <t>Includes the formatting, organizing,  and naming digital photographic imagery (if any) collected during Mobile LiDAR mission. If adjustment or rectification is needed this will result in significantly higher range values, and may even need to be specified elsewhere in tab 28.</t>
  </si>
  <si>
    <t>Transformation / Adjustment</t>
  </si>
  <si>
    <t>Includes transformation / Adjustment of LiDAR point cloud to Project Control, accuracy analysis, NSSDA reporting of validation points, and includes cross section analysis. If this is performed by separate firm or is the final product delivered, it should be accompanied by a Survey Report certifying accuracy and meeting  MTS . Also includes creation and delivery of adjusted point cloud data in digital LAS (see ASPRS) file(s) format.</t>
  </si>
  <si>
    <t>Classification / Editing</t>
  </si>
  <si>
    <t>Corridor Miles</t>
  </si>
  <si>
    <t>Includes any classification of point cloud data, removal or classification of  anomalies from such things as moving object ghosting, erroneous point returns, points outside effective range of sensor, etc. These task ranges will vary significantly depending on number of classification categories required by project scope.</t>
  </si>
  <si>
    <t>Specific Surface Reporting</t>
  </si>
  <si>
    <t>Topographic (3D) Mapping</t>
  </si>
  <si>
    <t>Topographic (2D) Planimetric Mapping</t>
  </si>
  <si>
    <t>CADD Edits</t>
  </si>
  <si>
    <t>Includes CADD edit of graphics after field review for delivery of required electronic files. (MicroStation .dgn, CADD)</t>
  </si>
  <si>
    <t xml:space="preserve">Includes final edit of graphics for delivery after ingesting outlying or obscured areas measured with other technologies. (MicroStation .dgn, CADD and Geopak files.) </t>
  </si>
  <si>
    <t>Survey Report</t>
  </si>
  <si>
    <t>LiDAR Tech Only</t>
  </si>
  <si>
    <t>Includes site visit and "walk through" as part of quality assurance by P.S.M.(s) responsible for survey map data and products.</t>
  </si>
  <si>
    <t xml:space="preserve">* The low end of the range is for rural 2-lane; medium range is for typical Multi-Lane; the high end of the range is for urban/interstate. </t>
  </si>
  <si>
    <t>35.1</t>
  </si>
  <si>
    <t>35.2</t>
  </si>
  <si>
    <t>35.3</t>
  </si>
  <si>
    <t>35.4</t>
  </si>
  <si>
    <t>TERRESTRIAL MOBILE LiDAR</t>
  </si>
  <si>
    <t>35.</t>
  </si>
  <si>
    <t>Staff Hour Ranges</t>
  </si>
  <si>
    <t>Garage, Service, Repetitive Design, Open space office building</t>
  </si>
  <si>
    <t>Lidar</t>
  </si>
  <si>
    <t>0.05 to 4.0</t>
  </si>
  <si>
    <t>Includes post processing of lidar data to XYZ coordinates. Staff hours are inversely proportional to the length of the project in flight line miles.</t>
  </si>
  <si>
    <t>28.14</t>
  </si>
  <si>
    <t>28.16</t>
  </si>
  <si>
    <t>28.19</t>
  </si>
  <si>
    <t>Load Rating for Damaged/Widened Structures</t>
  </si>
  <si>
    <r>
      <t>Changes to the scope and task descriptions shall be kept to a minimum to insure consistent work effort requirements of consultants statewide</t>
    </r>
    <r>
      <rPr>
        <b/>
        <sz val="10"/>
        <rFont val="Arial"/>
        <family val="2"/>
      </rPr>
      <t>.</t>
    </r>
  </si>
  <si>
    <t>PERMITS</t>
  </si>
  <si>
    <t>This task involves the research and coordination necessary in order to complete the public involvement plan as per District requirements. Criteria affecting the hours are directly associated with the anticipated complexity of the public involvement. Issues such as how information will be disseminated and gathered from the public are to be considered.  Includes necessary data collection for completion of the CAP and identification of local government recipients.  Range: Low 16 to 24 hours; medium 24 to 40 hours; complex 40 to 80 hours.  If the CAP is provided by the District, the hours should be reduced to the following ranges: Low 8 to 16 hours; medium 16 to 24 hours; complex 24 to 32 hours.</t>
  </si>
  <si>
    <t>This task involves the preparation of a project mailing list.  This may be accomplished with an update of the mailing list from PD&amp;E or the preparation of a new mailing list.  Range:  8 to 16 hours for updated list: 16 to 40 hours for a new list with consideration given to the number of properties along the project.</t>
  </si>
  <si>
    <t>This task involves the preparation of a median modification letter to be sent to property owners along the project, modification of the letter for each median opening location, and a sketch of the proposed median modifications in the vicinity of the property.  Effort includes submittal of the letters to FDOT for review as well as revisions. Initial letter: 1 - 3 hours.  Modification of letter for each opening location = 1 hour.  Preparation of sketch for each median opening: 1 - 3 hours.</t>
  </si>
  <si>
    <t>This task involves the preparation of a driveway modification letter to be sent to property owners along the project, modification of the letter for each property owner receiving the letter, and a sketch of the proposed driveway modification(s) for each affected property.  Effort includes submittal of the letters to FDOT for review as well as revisions. Initial letter: 1 - 3 hours.  Modification of letter for each property owner: 1 hour.  Preparation of each sketch: 1 - 3 hours.</t>
  </si>
  <si>
    <t>Includes preparation of materials for public meetings.  Hours are based on one meeting.  Activities may include:  meeting notification mailing (assemble and mail); newspaper display ad; meeting exhibits; sign-in sheet; comment form; flyer preparation; fact sheet; site selection and development of meeting layout; and one preparation meeting with FDOT staff.  Range: 16 to 60 hours.</t>
  </si>
  <si>
    <t>Task includes set-up, attendance at the public meeting and preparation of a meeting summary.  The summary includes a copy of all slides, boards, hand outs, completed sign-in sheets and completed comment forms.  Includes two participants.  Note: Do not include these hours in 3.6.  Range: 16 to 80 hours for two participants.  Add 8 hours for each additional participant.</t>
  </si>
  <si>
    <t>Other Agency Meetings</t>
  </si>
  <si>
    <t>This task includes the time for assembling the Specifications Package.  Hours for Technical Special Provisions and/or Modified Special Provisions are included in each Activity.</t>
  </si>
  <si>
    <t>Includes all efforts required for VE study.  This includes providing initial input, answering questions, and providing complete plans as needed for study.  This includes attending the teams recommendation meeting and required responses to recommended alternatives. This may require additional documentation, beyond the Design Report.  Consultant attends up to 4 Meetings. (LS)</t>
  </si>
  <si>
    <t>Drainage Map (Including Interchanges)</t>
  </si>
  <si>
    <t>Any Verified Vertical Elevation and Horizontal Locaiton (Vvh; SUE) information is addressed in the Survey activity.</t>
  </si>
  <si>
    <t>Exception Processing</t>
  </si>
  <si>
    <t xml:space="preserve">Additional services will be determined when the services are required and requested.  This item is not usually included in the scope at the time of negotiation.  It is normally added as a supplemental agreement when the need is identified. </t>
  </si>
  <si>
    <t>Prepare as per agency criteria.  (field permit low end of range, general permit higher end of range depending on complexity)</t>
  </si>
  <si>
    <t>Includes number of attendees X number of meetings X duration of meetings, plus travel time.  Tabulate number of meetings below.</t>
  </si>
  <si>
    <t>Includes all effort required to manage and supervise tasks.  (Based on 2-5% of technical subtotal.)</t>
  </si>
  <si>
    <t>·  Activity 11 addresses Temporary Bridge tasks. The staff hour ranges were developed for an ACROW bridge superstructure with layout of substructure and possibly special design of substructure for longer spans or taller substructures than allowed by the Standard Drawings.</t>
  </si>
  <si>
    <t>To be negotiated.  - Technical Subtotal - if required by scope.</t>
  </si>
  <si>
    <t>Key Sheet and Index of Drawings</t>
  </si>
  <si>
    <t>Label &amp; incorporate existing bridge plans. Low range: single bridge, High range: multiple bridges</t>
  </si>
  <si>
    <t>Review LRE &amp; prepare initial cost estimate, updating as necessary.  (LS based on LRE &amp; Engineers Estimate range of 4 to 8 hours per bridge.)  This includes for interim cost estimate updates required by some Districts.</t>
  </si>
  <si>
    <r>
      <t xml:space="preserve">Alternate is defined from end bent to end bent.  </t>
    </r>
    <r>
      <rPr>
        <b/>
        <sz val="10"/>
        <rFont val="Arial"/>
        <family val="2"/>
      </rPr>
      <t>Evaluate Every Day Counts (EDC) using feasibility questions provided by the Department.  If determined to be an option, use similar staffhour ranges as shown here for each additional precast/prefabricated alternate considered.  Additional staffhours for performing cost estimates (e.g., direct and indirect costs) for the prefabricated/precast structure approach are included in Activity 10.28.</t>
    </r>
  </si>
  <si>
    <t>Includes prestressed beams. Low range: little configuration flexibility, High range: no constraints / multiple spans.</t>
  </si>
  <si>
    <t>Shallow Foundations / GRS Abutments</t>
  </si>
  <si>
    <t>Spread Foundations. Range based on geometric constraints.  The number of types negotiated should take into account the difference in geometric configuration and loading.  Staffhour range also applies to the evaluation of GRS Abutment alternates.</t>
  </si>
  <si>
    <t>EA Foundation Evaluated</t>
  </si>
  <si>
    <t>Establish unit prices, develop quantities and cost estimates.  
Additional staffhours for EDC cost estimating will be negotiated.</t>
  </si>
  <si>
    <t>10. Structures-BDR Total</t>
  </si>
  <si>
    <t>Low range is for completing the FDOT standards/data table. High range is for detailing a non standard approach slab (widenings) including bar bending details and quantities.</t>
  </si>
  <si>
    <r>
      <t xml:space="preserve">Varies depending on project requirements (i.e. utility hanger details, conduit details, special demolition details, unique light pilaster details, drainage details, expansion joint details, slope protection, special bearing pad design, load rating, etc.). Low range: use of standards. High range: develop project specific details. </t>
    </r>
    <r>
      <rPr>
        <i/>
        <sz val="10"/>
        <rFont val="Arial"/>
        <family val="2"/>
      </rPr>
      <t xml:space="preserve"> [In the worksheet line items for miscellaneous details, the Consultants must identify what specific types of details will be developed and included in the sheets being listed.  General notes such as X nos of sheets for miscellaneous details will not be acceptable.]</t>
    </r>
  </si>
  <si>
    <r>
      <t xml:space="preserve">Varies depending on project requirements (i.e. utility hanger details, conduit details, special demolition details, unique light pilaster details, drainage details, expansion joint details, slope protection, load rating, etc.). Low range: use of standards. High range: develop project specific details. </t>
    </r>
    <r>
      <rPr>
        <i/>
        <sz val="10"/>
        <rFont val="Arial"/>
        <family val="2"/>
      </rPr>
      <t xml:space="preserve"> [In the worksheet line items for miscellaneous details, the Consultants must identify what specific types of details will be developed and included in the sheets being listed.  General notes such as x nos of sheets for miscellaneous details will not be acceptable.]</t>
    </r>
  </si>
  <si>
    <t>Includes cross-section showing concrete deck reinforcement and diaphragms (where necessary). Low range: parallel beams. High Range: variable beam spacing, multiple sections.</t>
  </si>
  <si>
    <t>Including concrete diaphragm sections (where necessary), reinforcement around deck appurtenances, SIP forms,  etc. Range depends on complexity.</t>
  </si>
  <si>
    <r>
      <t xml:space="preserve">Varies depending on project requirements (i.e. utility hanger details, conduit details, special demolition details, unique light pilaster details, drainage details, expansion joint details, slope protection, load rating, etc.). Low range: use of standards. High range: develop project specific  details. </t>
    </r>
    <r>
      <rPr>
        <i/>
        <sz val="10"/>
        <rFont val="Arial"/>
        <family val="2"/>
      </rPr>
      <t xml:space="preserve"> [In the worksheet line items for miscellaneous details, the Consultants must identify what specific types of details will be developed and included in the sheets being listed.  General notes such as x nos of sheets for miscellaneous details will not be acceptable.]</t>
    </r>
  </si>
  <si>
    <t>Low range is for completing the FDOT standards/data table. High range is for detailing a non standard approach slab (due to modular joints) including bar bending details and quantities.</t>
  </si>
  <si>
    <r>
      <t xml:space="preserve">Varies depending on project requirements (i.e. hanger details, special conduit details, special demolition details, unique light pilaster details, drainage details, load rating, etc.). Low range: use of semi-standards. High range: develop project specific  details. </t>
    </r>
    <r>
      <rPr>
        <i/>
        <sz val="10"/>
        <rFont val="Arial"/>
        <family val="2"/>
      </rPr>
      <t xml:space="preserve"> [In the worksheet line items for miscellaneous details, the Consultants must identify what specific types of details will be developed and included in the sheets being listed.  General notes such as x nos of sheets for miscellaneous details will not be acceptable.]</t>
    </r>
  </si>
  <si>
    <t>Includes development of construction loads for SBS with gantry loading and BC. Low range: straight, short span, SBS with gantry loading. High range: curved, long span, BC.</t>
  </si>
  <si>
    <t>Design of pier cap, column, footing, dimensions and reinforcement including bar bending details, quantities and determination of pile/shaft loads. Includes all loading conditions with construction load case (SBS with gantry loading and BC) and post-tensioning as needed. Low range: single bearing, single column. High range: straddle pier.</t>
  </si>
  <si>
    <t>Includes vehicular live load and sidewalk loading, including torsional effects. Low range: straight bridge single cell box. High Range: curvature and other torsional effects and multi-cell box.</t>
  </si>
  <si>
    <t xml:space="preserve">Includes temporary stability and design checks due to construction loading. (Not for typical SBS, only for SBS with gantry loading and BC). Range depends on size, number of cantilevers and complexity of project.   Low Range: SBS with gantry loading; High Range: BC and curved bridges. </t>
  </si>
  <si>
    <t>Includes representative sections and local load effects at deviators in constant and variable depth box girders for SBS and BC. Low range: single-cell constant depth. High Range: variable depth and multi-cell box.</t>
  </si>
  <si>
    <t>Develop thermal gradient loading. Low range: Single cell box. High range: Multi-cell box and variable depth.</t>
  </si>
  <si>
    <t>Develop segment reinforcement for longitudinal, transverse, and local effects, including traffic railing impact. Develop quantities. Low range: constant depth single-cell box. High range: variable depth and multi-cell box.</t>
  </si>
  <si>
    <t>Provide transverse tendon geometry in section and in plan view for all variable length segments. Low range: straight and constant length segments, and single-cell box. High range: curved and variable length segments and multi-cell box.</t>
  </si>
  <si>
    <t>Provide typical Section, duct details at couplers, details for variable depth segments, stressing notes,  Low range: constant depth section, single-cell box. High range: variable depth section and multi-cell box. Does not apply for cast-in-place construction.</t>
  </si>
  <si>
    <r>
      <t xml:space="preserve">Detail such items as unique bumper block details and supports, walkways between piers, access bridge to control house, equipment enclosures, bascule pier architectural features, load rating, etc.  Hours dependent upon complexity.  </t>
    </r>
    <r>
      <rPr>
        <i/>
        <sz val="10"/>
        <rFont val="Arial"/>
        <family val="2"/>
      </rPr>
      <t>[In the worksheet line items for miscellaneous details, the Consultants must identify what specific types of details will be developed and included in the sheets being listed.  General notes such as x nos of sheets for miscellaneous details will not be acceptable.]</t>
    </r>
  </si>
  <si>
    <t>Inspection and evaluation of existing culvert.  Design, load rating and preparation of construction plans. Design and detail special wingwalls, pipe openings, handrail attachments and construction phasing. Low range: Using FDOT program and details without load rating, with field inspection. High range: Special design with details, load rating, phased construction, intermediate pipe penetrations, bends, non standard wingwalls/headwalls., with field inspection.</t>
  </si>
  <si>
    <t xml:space="preserve">Gather and analyze information. Run ATLAS program. Design steel pole, cables and foundation. Check Clearances. Prepare construction plans.  Low range: 2-pole system using FDOT programs and details. High range: Special configuration (suspended box) with custom details (pole, footing, etc.) </t>
  </si>
  <si>
    <t>Gather and analyze information. Run ATLAS program. Design cable and foundation. Check Clearances. Prepare construction plans. Low range: 2-pole system using FDOT programs and details. High range: Special configuration (suspended box) with custom details (pole, footing, etc.)</t>
  </si>
  <si>
    <t>Non-Standard High Mast Lighting Structures</t>
  </si>
  <si>
    <r>
      <t>Design of Noise Barrier Walls Covered by Standards</t>
    </r>
    <r>
      <rPr>
        <sz val="10"/>
        <rFont val="Symbol"/>
        <family val="1"/>
        <charset val="2"/>
      </rPr>
      <t/>
    </r>
  </si>
  <si>
    <t>Design of Noise Barrier Walls Not Covered by Standards</t>
  </si>
  <si>
    <t>The following examples are used as a guide only.  See the State's DMS Fee Curve Guidelines for a complete guide of complexity.</t>
  </si>
  <si>
    <t>Materials testing and research lab, Special purpose, Multiple use buildings.</t>
  </si>
  <si>
    <t>Vehicle Maintenance and Vehicle Maintenance Yard, Renovations, alterations, Large Toll Plaza, Weigh in Motion/Inspection Sta., Rest Area addition/redesign, Medium Toll Plaza, Small Toll Plaza, Rest Area interior modifications/refinish, Rest Area replacement</t>
  </si>
  <si>
    <t>6 to 20</t>
  </si>
  <si>
    <t>Includes all efforts to complete title blocks, index of sheets, project numbers, area map, and other pertinent project information. Includes all efforts to prepare an index of all civil, architectural, structural, mechanical, plumbing, electrical sheets, etc., Florida Building Code and Standards, Location Map</t>
  </si>
  <si>
    <t>Includes floor plan diagramming primary paths of egress, limits of travel distance, dead-end corridors, common paths of travel, areas of refuge, location of fire alarms, fire fighting devices, marking means of egress and exists, rated walls and doors, and other life safety requirements particular to the project including exit calculation tabulations, Code research.</t>
  </si>
  <si>
    <t>For pitched roofs, indicate entire roof configuration, shape and slope direction, show all ridges &amp; valleys, eave limits, gutters, downspouts, all penetrations, and special conditions. Flag all details. Include all valley flashing &amp; ridge caps, and all other pertinent roofing details. For flat roofs, show the entire roof, parapet, roof edges, roof drains, roof mounted equipment, pipe penetrations, roof hatch, roof finish elevations, etc.. Flag details being provided for the project. Requirements for Building Code Uplift and roof drainage, down spout and overflow calculations.</t>
  </si>
  <si>
    <t>Provide vertical cuts thru the building or portion thereof indicating the relationships of all building components, systems &amp; equipment, materials, assemblies, clearances, dimensions, special conditions, and other pertinent elements including ADA requirements.</t>
  </si>
  <si>
    <t>Indicate light fixtures, Heating Ventilation Air Conditioning supply &amp; return grilles, sprinkler heads (if any), monitoring devices, smoke detectors, fire detectors, alarms, exit lights with direction of travel, emergency lighting, intercom speakers, walls, columns, tracks for moveable partitions, equipment and suspension grid layout. Minimum 2 building sections.</t>
  </si>
  <si>
    <t>Room Finish Schedule or Finish Plan</t>
  </si>
  <si>
    <t>Show door (with view windows and other features) and window type as applicable. Show all dimensions and sizes, frame type and size, materials and finishes.  room finish schedule and legend.</t>
  </si>
  <si>
    <t>Door and Window Schedule</t>
  </si>
  <si>
    <t>Show all head, jamb, and threshold conditions of doors and head jamb and sill details of windows.</t>
  </si>
  <si>
    <t>Provide full height sections indicating with notes all material, system assemblies, wall openings and their treatment, floor and roof connections, elevations of sills, heads, fascia, soffit, and other major components, and Indicate typical details. Show one section for each type of wall construction or unique feature.</t>
  </si>
  <si>
    <t>Provide plan layouts, typical mounting detail(s) and heights above finished floor, composition, material, colors, style, and sizes of all signage to be used on the project. List ADA requirements.</t>
  </si>
  <si>
    <t>Provide other reports or services required by the Department, to be negotiated on an as need basis, additional services, due diligence, field investigation, as-built documentation, closeout documents.</t>
  </si>
  <si>
    <t>5% to 8% of total architectural plans technical subtotal. Includes interdisciplinary coordination.</t>
  </si>
  <si>
    <t>Meeting with Independent Peer Review</t>
  </si>
  <si>
    <t>Hours to include meeting with FDOT approved independent design professional in the appropriate field, as required by FDOT to review independent peer review findings.</t>
  </si>
  <si>
    <t>Hours negotiated are per report.  Includes all activities to produce report, including authoring report by project engineer plus senior engineer review, word processing, report production, and response to FDOT comments.  Consideration should be given for length and complexity of project when determining allowed staff hours.  Includes discussion of bridge foundation alternatives and adjacent walls.  Twin bridges are considered to be one structure.  The staff hour range in the estimating form is for each type of structure considered and reported, with the low end of the staff hour range used for simple structures and the upper end of the range for complex structures (twin bridges.)  This report shall include a complete evaluation of all possible foundations for a specific structure, a detailed analysis of the selected foundation type and size (footing size and shape, pile sizes, and shaft diameters), and supporting calculations and analysis for the selected foundation.  All detailed analysis information applicable to the selected foundation(s) should be included from task item 35.34.</t>
  </si>
  <si>
    <t>5. Roadway Plans</t>
  </si>
  <si>
    <t>4. Roadway Analysis</t>
  </si>
  <si>
    <t>3. Project General Tasks</t>
  </si>
  <si>
    <t>6b. Drainage Plans</t>
  </si>
  <si>
    <r>
      <t xml:space="preserve">This task involves the preparation renderings and/or fly-throughs </t>
    </r>
    <r>
      <rPr>
        <b/>
        <u/>
        <sz val="11"/>
        <rFont val="Arial"/>
        <family val="2"/>
      </rPr>
      <t>as defined in the Scope of Services.</t>
    </r>
    <r>
      <rPr>
        <sz val="11"/>
        <rFont val="Arial"/>
        <family val="2"/>
      </rPr>
      <t xml:space="preserve">  Fly-throughs will be negotiated on a case by case basis.  Criteria affecting the hours include the length of the project, the level of detail and movement included in the fly-through, the duration of the fly-though (i.e. how many minutes), and if voice over and music is included.  Range: negotiated on a project basis.</t>
    </r>
  </si>
  <si>
    <r>
      <t>Includes only Project Manager staff hours</t>
    </r>
    <r>
      <rPr>
        <sz val="11"/>
        <rFont val="Arial"/>
        <family val="2"/>
      </rPr>
      <t xml:space="preserve"> for phase review, progress review, miscellaneous review meetings, and other design activities meetings, including any travel time.  Meetings required for other staff for each Activity are included in the meetings section for that specific Activity:  (LS based on 1 Project Manager X length of meeting X number of meetings per month X Contract Duration.)</t>
    </r>
  </si>
  <si>
    <t>Drainage Plans Technical Subtotal</t>
  </si>
  <si>
    <t>7. Utilities</t>
  </si>
  <si>
    <t>25.17</t>
  </si>
  <si>
    <t>Required work will be defined in the scope and negotiated on a case-by-case basis. Determining the level of effort needed to perform the activities stated above will be dependent on the size and complexity of the project.  For instance, a short 3-R project may have a need for minimal involvement of the EOR for Post Design Services, however, a large complex interchange, or bridge may require substantial involvement.  In addition, changes in the physical interchange or bridge may require substantial involvement.  In addition, changes in the physical and social conditions of the project may also add to the consideration of the appropriate effort.
The Districts may wish to identify a minimal amount of funds in order to identify those issues that could affect the time required by the EOR for post design services.  This approach would initially supplement the design contract by a reasonable amount, and as funds are depleted, supplement additional resources as needed.  Care must be taken to ensure that sufficient funds are always available to cover unforeseen construction events.  This would allow money to remain available for other projects and not be tied up in post design where it may not be needed until the outer years.</t>
  </si>
  <si>
    <t>Structures - Summary of Miscellaneous Tasks &amp; Drawings</t>
  </si>
  <si>
    <t>Structures - Bridge Development Report (BDR)</t>
  </si>
  <si>
    <t>Structures - Temporary Bridge</t>
  </si>
  <si>
    <t>Structures - Short Span Concrete</t>
  </si>
  <si>
    <t>Structures - Medium Span Concrete</t>
  </si>
  <si>
    <t>Structures - Structural Steel</t>
  </si>
  <si>
    <t>Structures - Segmental Concrete</t>
  </si>
  <si>
    <t>Structures - Movable Span</t>
  </si>
  <si>
    <t>Structures - Retaining Walls</t>
  </si>
  <si>
    <t>Structures - Miscellaneous</t>
  </si>
  <si>
    <t>Signing and Pavement Marking Analysis</t>
  </si>
  <si>
    <t>Signing and Pavement Marking Plans</t>
  </si>
  <si>
    <t>Plan and Elevation showing location, horizontal and vertical geometry of walls.  Low range: simple geometry.  High range: curves and tapers. Based on 500' per sheet.</t>
  </si>
  <si>
    <r>
      <t>Includes final edit of graphics for delivery of required electronic files. (Microstation .</t>
    </r>
    <r>
      <rPr>
        <i/>
        <sz val="11"/>
        <rFont val="Arial"/>
        <family val="2"/>
      </rPr>
      <t xml:space="preserve">dgn, </t>
    </r>
    <r>
      <rPr>
        <sz val="11"/>
        <rFont val="Arial"/>
        <family val="2"/>
      </rPr>
      <t xml:space="preserve">CADD and Geopak files.) Unit of measure is 25% of selected office hours from tasks 28.1 through 28.12,  where CADD system use is applicable.
</t>
    </r>
  </si>
  <si>
    <r>
      <t xml:space="preserve">Includes cost to get specialized personnel and equipment on site. When additional field personnel are needed for safety etc. during scan, the additional # of staff should be entered into </t>
    </r>
    <r>
      <rPr>
        <b/>
        <i/>
        <sz val="10"/>
        <rFont val="Arial"/>
        <family val="2"/>
      </rPr>
      <t>No. of Units</t>
    </r>
    <r>
      <rPr>
        <b/>
        <sz val="10"/>
        <rFont val="Arial"/>
        <family val="2"/>
      </rPr>
      <t xml:space="preserve"> </t>
    </r>
    <r>
      <rPr>
        <sz val="10"/>
        <rFont val="Arial"/>
        <family val="2"/>
      </rPr>
      <t>column.</t>
    </r>
  </si>
  <si>
    <r>
      <t xml:space="preserve">Includes modeling and reporting of specific surface details such as pavement rutting, bridge structure clearance to roadway surface. This task is used for efforts </t>
    </r>
    <r>
      <rPr>
        <b/>
        <sz val="10"/>
        <color indexed="8"/>
        <rFont val="Arial"/>
        <family val="2"/>
      </rPr>
      <t>NOT</t>
    </r>
    <r>
      <rPr>
        <sz val="10"/>
        <color indexed="8"/>
        <rFont val="Arial"/>
        <family val="2"/>
      </rPr>
      <t xml:space="preserve"> covered under other typical topographic mapping tasks.</t>
    </r>
  </si>
  <si>
    <r>
      <t xml:space="preserve">Includes efforts necessary to produce three dimensional (3D) topographic survey map from collected Mobile LiDAR data. Do not duplicate effort for project areas that may be covered under </t>
    </r>
    <r>
      <rPr>
        <i/>
        <sz val="10"/>
        <color indexed="8"/>
        <rFont val="Arial"/>
        <family val="2"/>
      </rPr>
      <t>30.11 Topographic (2D) Planimetric Mapping.</t>
    </r>
  </si>
  <si>
    <r>
      <t xml:space="preserve">Includes efforts necessary to produce two dimensional (2D) planimetric survey map from collected Mobile LiDAR data. Do not duplicate effort for project areas that may be covered under </t>
    </r>
    <r>
      <rPr>
        <i/>
        <sz val="10"/>
        <color indexed="8"/>
        <rFont val="Arial"/>
        <family val="2"/>
      </rPr>
      <t>30.10 Topographic (3D) Mapping.</t>
    </r>
  </si>
  <si>
    <r>
      <t xml:space="preserve">For miscellaneous tasks not covered on spreadsheet sepcific tasks.  The # of staff should be entered into </t>
    </r>
    <r>
      <rPr>
        <b/>
        <i/>
        <sz val="10"/>
        <color indexed="8"/>
        <rFont val="Arial"/>
        <family val="2"/>
      </rPr>
      <t>No. of Units</t>
    </r>
    <r>
      <rPr>
        <sz val="10"/>
        <color indexed="8"/>
        <rFont val="Arial"/>
        <family val="2"/>
      </rPr>
      <t xml:space="preserve"> column.</t>
    </r>
  </si>
  <si>
    <t>Staff</t>
  </si>
  <si>
    <t>1-Technician to drive vehicle,
1-base station</t>
  </si>
  <si>
    <t>Terrestrial Mobil LiDAR</t>
  </si>
  <si>
    <t>Mobile Scan Technical Total</t>
  </si>
  <si>
    <t>Mobile Scan Nontechnical Total</t>
  </si>
  <si>
    <r>
      <t>Coordination with Architect:</t>
    </r>
    <r>
      <rPr>
        <sz val="11"/>
        <rFont val="Arial"/>
        <family val="2"/>
      </rPr>
      <t xml:space="preserve"> Hours for each meeting based on one meeting per month, and includes travel time. Lower range: structural engineer, architect and other building disciplines are one firm. High range: structural engineer, architect and other building disciplines are of different firms, 4 - 8 hrs. </t>
    </r>
    <r>
      <rPr>
        <b/>
        <i/>
        <sz val="11"/>
        <rFont val="Arial"/>
        <family val="2"/>
      </rPr>
      <t>Coordination with Other Disciplines:</t>
    </r>
    <r>
      <rPr>
        <sz val="11"/>
        <rFont val="Arial"/>
        <family val="2"/>
      </rPr>
      <t xml:space="preserve"> Hours for each meeting based on one meeting per month, and includes travel time and meeting summary, 0-16 hrs</t>
    </r>
    <r>
      <rPr>
        <b/>
        <i/>
        <sz val="11"/>
        <rFont val="Arial"/>
        <family val="2"/>
      </rPr>
      <t xml:space="preserve">. Kick-Off: </t>
    </r>
    <r>
      <rPr>
        <sz val="11"/>
        <rFont val="Arial"/>
        <family val="2"/>
      </rPr>
      <t xml:space="preserve">Includes travel time, and coordination of meeting with other disciplines, 8-16 hrs. </t>
    </r>
    <r>
      <rPr>
        <b/>
        <i/>
        <sz val="11"/>
        <rFont val="Arial"/>
        <family val="2"/>
      </rPr>
      <t xml:space="preserve"> Phase Review Meetings: </t>
    </r>
    <r>
      <rPr>
        <sz val="11"/>
        <rFont val="Arial"/>
        <family val="2"/>
      </rPr>
      <t xml:space="preserve">Hours include written responses by structural engineer to architect, 4-8 hrs. </t>
    </r>
    <r>
      <rPr>
        <b/>
        <i/>
        <sz val="11"/>
        <rFont val="Arial"/>
        <family val="2"/>
      </rPr>
      <t xml:space="preserve">Progress Meetings: Owner </t>
    </r>
    <r>
      <rPr>
        <sz val="11"/>
        <rFont val="Arial"/>
        <family val="2"/>
      </rPr>
      <t>(FDOT, local, users): Hours for each meeting X negotiated number of meetings, and includes travel time. Low range: architect is handling meetings minutes as they relate to the structural issues. High range: structural engineer is responsible for meeting summary as related to the building, 4-8 hrs.</t>
    </r>
  </si>
  <si>
    <t>Prepare scaled and dimensioned plans showing and identifying all HVAC and refrigeration equipment, supply and return air ductwork, air distribution devices, notes, and other related items as needed to depict design.</t>
  </si>
  <si>
    <t>Includes all efforts needed to prepare hydronic cooling/heating piping layout, arrangement of components/accessories, etc. in diagrammatic form.</t>
  </si>
  <si>
    <r>
      <t>Schedule of mechanical equipment, including but not limited to type, power requirements, and quantities.</t>
    </r>
    <r>
      <rPr>
        <i/>
        <sz val="11"/>
        <rFont val="Arial"/>
        <family val="2"/>
      </rPr>
      <t xml:space="preserve"> </t>
    </r>
  </si>
  <si>
    <r>
      <t xml:space="preserve">Coordination with architect: </t>
    </r>
    <r>
      <rPr>
        <sz val="11"/>
        <rFont val="Arial"/>
        <family val="2"/>
      </rPr>
      <t xml:space="preserve">Hours for each meeting based on one meeting per month, and includes travel time. Lower range: architect, mechanical engineer and other building disciplines are one firm. High range: mechanical engineer, architect and other disciplines are of different firms, 4-8 hrs. </t>
    </r>
    <r>
      <rPr>
        <b/>
        <i/>
        <sz val="11"/>
        <rFont val="Arial"/>
        <family val="2"/>
      </rPr>
      <t xml:space="preserve">Coordination with other disciplines:  </t>
    </r>
    <r>
      <rPr>
        <sz val="11"/>
        <rFont val="Arial"/>
        <family val="2"/>
      </rPr>
      <t xml:space="preserve">Hours for each meeting based on one meeting per month, and includes travel time. Lower range: prime consultant, architect and mechanical engineer are of the same firm. High range: prime consultant, architect, and mechanical engineer are of different firms, 0-16 hrs. </t>
    </r>
    <r>
      <rPr>
        <b/>
        <i/>
        <sz val="11"/>
        <rFont val="Arial"/>
        <family val="2"/>
      </rPr>
      <t xml:space="preserve">Agencies </t>
    </r>
    <r>
      <rPr>
        <i/>
        <sz val="11"/>
        <rFont val="Arial"/>
        <family val="2"/>
      </rPr>
      <t>(Utilities, etc.):</t>
    </r>
    <r>
      <rPr>
        <sz val="11"/>
        <rFont val="Arial"/>
        <family val="2"/>
      </rPr>
      <t xml:space="preserve"> Hours for each meeting X negotiated number of meetings, and includes travel time.  Low range: architect is handling meetings minutes as they relate to the mechanical issues. High range: mechanical engineer  is  responsible for meeting summary as related to mechanical issues,  0-4 hrs.</t>
    </r>
    <r>
      <rPr>
        <b/>
        <i/>
        <sz val="11"/>
        <rFont val="Arial"/>
        <family val="2"/>
      </rPr>
      <t xml:space="preserve"> Phase Review Meetings: </t>
    </r>
    <r>
      <rPr>
        <sz val="11"/>
        <rFont val="Arial"/>
        <family val="2"/>
      </rPr>
      <t xml:space="preserve">Hours include written responses by mechanical engineer to architect, 4-8 hrs. 
</t>
    </r>
    <r>
      <rPr>
        <b/>
        <sz val="11"/>
        <rFont val="Arial"/>
        <family val="2"/>
      </rPr>
      <t>Kick-off:</t>
    </r>
    <r>
      <rPr>
        <sz val="11"/>
        <rFont val="Arial"/>
        <family val="2"/>
      </rPr>
      <t xml:space="preserve">  Includes travel time, 8-16 hrs. Progress Meetings, Owner (FDOT, local, 
user): Hours for each meeting X negotiated number of meetings, and includes 
travel time. Low range: architect is handling meetings minutes as they relate to 
the mechanical issues. High range: mechanical engineer is responsible for 
meeting summary as related to the building, 4-8 hrs. </t>
    </r>
  </si>
  <si>
    <r>
      <t xml:space="preserve">Coordination with architect: </t>
    </r>
    <r>
      <rPr>
        <sz val="11"/>
        <rFont val="Arial"/>
        <family val="2"/>
      </rPr>
      <t xml:space="preserve">Hours for each meeting based on one meeting per month, and includes travel time. Lower range: architect, mechanical engineer and other building disciplines are one firm. High range: mechanical engineer, architect and other disciplines are of different firms, 4-8 hrs. </t>
    </r>
    <r>
      <rPr>
        <b/>
        <i/>
        <sz val="11"/>
        <rFont val="Arial"/>
        <family val="2"/>
      </rPr>
      <t>Coordination with other disciplines:</t>
    </r>
    <r>
      <rPr>
        <sz val="11"/>
        <rFont val="Arial"/>
        <family val="2"/>
      </rPr>
      <t xml:space="preserve">  Hours for each meeting based on one meeting per month, and includes travel time. Lower range: prime consultant, architect and mechanical engineer are of the same firm. High range: prime consultant, architect, and mechanical engineer are of different firms, 0-16 hrs. </t>
    </r>
    <r>
      <rPr>
        <b/>
        <i/>
        <sz val="11"/>
        <rFont val="Arial"/>
        <family val="2"/>
      </rPr>
      <t>Agencies</t>
    </r>
    <r>
      <rPr>
        <i/>
        <sz val="11"/>
        <rFont val="Arial"/>
        <family val="2"/>
      </rPr>
      <t xml:space="preserve"> (Utilities, etc.):</t>
    </r>
    <r>
      <rPr>
        <sz val="11"/>
        <rFont val="Arial"/>
        <family val="2"/>
      </rPr>
      <t xml:space="preserve"> Hours for each meeting X negotiated number of meetings, and includes travel time. Low range: architect is handling meetings minutes as they relate to the mechanical issues. High range: mechanical engineer is responsible for meeting summary as related to mechanical issues, 0-4 hrs.</t>
    </r>
    <r>
      <rPr>
        <b/>
        <i/>
        <sz val="11"/>
        <rFont val="Arial"/>
        <family val="2"/>
      </rPr>
      <t xml:space="preserve"> 
Kick-off:</t>
    </r>
    <r>
      <rPr>
        <sz val="11"/>
        <rFont val="Arial"/>
        <family val="2"/>
      </rPr>
      <t xml:space="preserve">  Includes travel time, 8-16 hrs. </t>
    </r>
    <r>
      <rPr>
        <b/>
        <i/>
        <sz val="11"/>
        <rFont val="Arial"/>
        <family val="2"/>
      </rPr>
      <t>Phase Review Meetings:</t>
    </r>
    <r>
      <rPr>
        <sz val="11"/>
        <rFont val="Arial"/>
        <family val="2"/>
      </rPr>
      <t xml:space="preserve"> Hours include written responses by mechanical engineer to architect, 4-8 hrs. </t>
    </r>
    <r>
      <rPr>
        <b/>
        <i/>
        <sz val="11"/>
        <rFont val="Arial"/>
        <family val="2"/>
      </rPr>
      <t>Progress 
Meetings, Owner</t>
    </r>
    <r>
      <rPr>
        <sz val="11"/>
        <rFont val="Arial"/>
        <family val="2"/>
      </rPr>
      <t xml:space="preserve"> (FDOT, local, user): Hours for each meeting X negotiated 
number of meetings, and includes travel time. Low range: architect is handling 
meetings minutes as they relate to the mechanical issues. High range: 
mechanical engineer is responsible for meeting summary as related to the 
building, 4-8 hrs. </t>
    </r>
  </si>
  <si>
    <r>
      <t xml:space="preserve">Coordination with Architect: </t>
    </r>
    <r>
      <rPr>
        <sz val="11"/>
        <rFont val="Arial"/>
        <family val="2"/>
      </rPr>
      <t xml:space="preserve">Hours for each meeting based on one meeting per month, and includes travel time. Lower range: fire protection engineer, architect and other building disciplines are one firm. High range: fire protection engineer, architect, and other building disciplines are of different firms, 4-8 hrs. </t>
    </r>
    <r>
      <rPr>
        <b/>
        <i/>
        <sz val="11"/>
        <rFont val="Arial"/>
        <family val="2"/>
      </rPr>
      <t xml:space="preserve">Coordination with other disciplines:  </t>
    </r>
    <r>
      <rPr>
        <sz val="11"/>
        <rFont val="Arial"/>
        <family val="2"/>
      </rPr>
      <t xml:space="preserve">Hours for each meeting based on one meeting per month, and includes travel time. Lower range: fire protection engineer, architect and other building disciplines are of the same firm. High range: fire protection engineer, architect and other building disciplines are of different firms, 0-16 hrs. </t>
    </r>
    <r>
      <rPr>
        <b/>
        <i/>
        <sz val="11"/>
        <rFont val="Arial"/>
        <family val="2"/>
      </rPr>
      <t xml:space="preserve">Agencies (Utilities, etc.): </t>
    </r>
    <r>
      <rPr>
        <sz val="11"/>
        <rFont val="Arial"/>
        <family val="2"/>
      </rPr>
      <t xml:space="preserve">Hours for each meeting X negotiated number of meetings, and includes travel time. Low range: architect is handling meetings minutes as they relate to the fire protection issues. High range: fire protection engineer is responsible for meeting summary as related to the building, 4-8 hrs.
</t>
    </r>
    <r>
      <rPr>
        <b/>
        <i/>
        <sz val="11"/>
        <rFont val="Arial"/>
        <family val="2"/>
      </rPr>
      <t xml:space="preserve">Kick-off: </t>
    </r>
    <r>
      <rPr>
        <sz val="11"/>
        <rFont val="Arial"/>
        <family val="2"/>
      </rPr>
      <t>Includes travel time, 8-16 hrs.</t>
    </r>
    <r>
      <rPr>
        <b/>
        <i/>
        <sz val="11"/>
        <rFont val="Arial"/>
        <family val="2"/>
      </rPr>
      <t xml:space="preserve"> Phase Review Meetings:</t>
    </r>
    <r>
      <rPr>
        <sz val="11"/>
        <rFont val="Arial"/>
        <family val="2"/>
      </rPr>
      <t xml:space="preserve"> Hours include 
written responses by mechanical engineer to architect, 4-8 hrs. Progress Meeting, 
Owner (FDOT, local, user): Hours for each meeting X negotiated number of 
meetings, and includes travel. Low range: architect is handling meetings minutes 
as they relate to the fire protection issues. High range: fire protection engineer is 
responsible for meeting summary as related to the building, 4-8 hrs.</t>
    </r>
  </si>
  <si>
    <r>
      <t>Coordination with Architect:</t>
    </r>
    <r>
      <rPr>
        <sz val="11"/>
        <rFont val="Arial"/>
        <family val="2"/>
      </rPr>
      <t xml:space="preserve"> Hours for each meeting based on one meeting per month, and includes travel time. Lower range: electrical engineer, architect and other building disciplines are one firm. High range: electrical engineer, architect, and other building disciplines are of different firms, 4-8 hrs. </t>
    </r>
    <r>
      <rPr>
        <b/>
        <i/>
        <sz val="11"/>
        <rFont val="Arial"/>
        <family val="2"/>
      </rPr>
      <t>Coordination with other disciplines:</t>
    </r>
    <r>
      <rPr>
        <sz val="11"/>
        <rFont val="Arial"/>
        <family val="2"/>
      </rPr>
      <t xml:space="preserve">  Hours for each meeting based on one meeting per month, and includes travel time. Lower range: electrical engineer, architect and other building disciplines are of the same firm. High range: electrical engineer, architect and other building disciplines are of different firms, 0-16 hrs. </t>
    </r>
    <r>
      <rPr>
        <b/>
        <i/>
        <sz val="11"/>
        <rFont val="Arial"/>
        <family val="2"/>
      </rPr>
      <t xml:space="preserve">Agencies </t>
    </r>
    <r>
      <rPr>
        <i/>
        <sz val="11"/>
        <rFont val="Arial"/>
        <family val="2"/>
      </rPr>
      <t>(Utilities,  etc.):</t>
    </r>
    <r>
      <rPr>
        <sz val="11"/>
        <rFont val="Arial"/>
        <family val="2"/>
      </rPr>
      <t xml:space="preserve"> Hours for each meeting X negotiated number of meetings, and includes travel time. Low range: architect is handling meetings minutes as they relate to the electrical issues. High range: electrical engineer is responsible for meeting summary as related to the building, 4-8 hrs. 
</t>
    </r>
    <r>
      <rPr>
        <b/>
        <i/>
        <sz val="11"/>
        <rFont val="Arial"/>
        <family val="2"/>
      </rPr>
      <t>Kick-off:</t>
    </r>
    <r>
      <rPr>
        <sz val="11"/>
        <rFont val="Arial"/>
        <family val="2"/>
      </rPr>
      <t xml:space="preserve"> Includes travel time, 8-16 hrs. 
</t>
    </r>
    <r>
      <rPr>
        <b/>
        <i/>
        <sz val="11"/>
        <rFont val="Arial"/>
        <family val="2"/>
      </rPr>
      <t>Phase Reviews:</t>
    </r>
    <r>
      <rPr>
        <sz val="11"/>
        <rFont val="Arial"/>
        <family val="2"/>
      </rPr>
      <t xml:space="preserve"> Hours include written responses by electrical engineer to architect, 8-16 hrs. 
</t>
    </r>
    <r>
      <rPr>
        <b/>
        <i/>
        <sz val="11"/>
        <rFont val="Arial"/>
        <family val="2"/>
      </rPr>
      <t>Progress Meetings, Owner (FDOT, local, user):</t>
    </r>
    <r>
      <rPr>
        <sz val="11"/>
        <rFont val="Arial"/>
        <family val="2"/>
      </rPr>
      <t xml:space="preserve"> Hours for each meeting X 
negotiated number of meetings, and includes travel. Low range: architect is 
handling meetings minutes as they relate to the electrical issues. High range: 
electrical engineer is responsible for meeting summary as related to the building, 
4-8 hrs. </t>
    </r>
  </si>
  <si>
    <r>
      <t xml:space="preserve">The lower staff hour range is estimated for simple (shallow) borings and the upper staff hour range is for complex (deeper) borings.  Activity includes separate files for soil profiles and water levels.
The Roadway engineer sometimes performs this task, so </t>
    </r>
    <r>
      <rPr>
        <b/>
        <sz val="11"/>
        <rFont val="Arial"/>
        <family val="2"/>
      </rPr>
      <t>effort  between disciplines needs to be coordinated to insure the work is performed without duplication of assigned staff hours</t>
    </r>
    <r>
      <rPr>
        <sz val="11"/>
        <rFont val="Arial"/>
        <family val="2"/>
      </rPr>
      <t xml:space="preserve">.  The Geotechnical engineer typically does not perform the CADD or manual drafting of the cross-sections, so no staff hours have been estimated for that item.  If the Geotechnical engineer is required to perform drafting of cross-sections, additional staff hours need to be allocated. </t>
    </r>
  </si>
  <si>
    <r>
      <t xml:space="preserve">The Drainage engineer sometimes performs this task, so </t>
    </r>
    <r>
      <rPr>
        <b/>
        <sz val="11"/>
        <rFont val="Arial"/>
        <family val="2"/>
      </rPr>
      <t>effort between disciplines needs to be coordinated to insure the work is performed without duplication of assigned staff hours</t>
    </r>
    <r>
      <rPr>
        <sz val="11"/>
        <rFont val="Arial"/>
        <family val="2"/>
      </rPr>
      <t>.  The engineer typically performs between 1 and 3 analyses per pond, depending on pond size, shape and geologic conditions.  The listed staff hour range is per pond analyzed.  Generally only one background seepage analysis is performed per pond, which takes an anticipated 1 to 2 hours per analysis plus one to several iterations for a volume recovery analysis, which takes an additional 2 to 6 hours per iteration.  The low end of the staff hour range would be used for a single small pond with one boring and no anticipated poor geologic conditions and the upper end of the staff hour range would be used for a medium to large single pond with multiple borings and known potentially poor geologic conditions in the vicinity of the pond.</t>
    </r>
  </si>
  <si>
    <r>
      <t>Basis is estimated on 3 to 10 laboratory tests required per 100 lf of boring.  Typically there are more laboratory tests required for a complex project than for a simple rural widening project.  More complex projects will require a greater the number of staff hours.  The staff hour range includes D</t>
    </r>
    <r>
      <rPr>
        <vertAlign val="subscript"/>
        <sz val="11"/>
        <rFont val="Arial"/>
        <family val="2"/>
      </rPr>
      <t>50</t>
    </r>
    <r>
      <rPr>
        <sz val="11"/>
        <rFont val="Arial"/>
        <family val="2"/>
      </rPr>
      <t xml:space="preserve"> determinations for scour analysis.</t>
    </r>
  </si>
  <si>
    <r>
      <t xml:space="preserve">The lateral load analysis is an optional item in Geotechnical scope.  </t>
    </r>
    <r>
      <rPr>
        <b/>
        <sz val="11"/>
        <rFont val="Arial"/>
        <family val="2"/>
      </rPr>
      <t>Check Structural discipline to avoid for duplication of staff hours, and insure that analysis is performed.</t>
    </r>
    <r>
      <rPr>
        <sz val="11"/>
        <rFont val="Arial"/>
        <family val="2"/>
      </rPr>
      <t xml:space="preserve">  Staff hour range is for one foundation type and size. Maximum end of range is used in complex projects.  Multiply minimum number of staff hours by the total number of foundation types analyzed, and add 2-3 more hours for each additional size of foundation analyzed.</t>
    </r>
  </si>
  <si>
    <r>
      <t xml:space="preserve">The typical geotechnical effort includes evaluating soil parameters, global stability and settlement. Sheet pile wall design is an optional item for the geotechnical engineer.  </t>
    </r>
    <r>
      <rPr>
        <b/>
        <sz val="11"/>
        <rFont val="Arial"/>
        <family val="2"/>
      </rPr>
      <t>Sometimes the designer or the Structural engineer performs this task.  If sheet pile walls are included in the project, verify staff hours have been allocated to allow for analysis, and staff hours between disciplines are not duplicated.</t>
    </r>
    <r>
      <rPr>
        <sz val="11"/>
        <rFont val="Arial"/>
        <family val="2"/>
      </rPr>
      <t xml:space="preserve"> Sheet pile wall design includes depth of embedment (tip elevation), wall deflection, friction factors, shear points, tie-back when required, soil anchors, and minimum sheet pile section properties.  As part of the geotechnical effort, recommendations should be made as to the ease or difficulty of the installation. Upper end of range includes sheet pile wall design.</t>
    </r>
  </si>
  <si>
    <r>
      <t xml:space="preserve">Geotechnical activities are limited to the Geotechnical Engineer’s review of Prime Consultant’s plans and provide comments, and Subconsultant work as defined below.  Plan sets typically reviewed are the 60, 90, and 100% plans for Roadway work and 30, 60, 90, 100, and Final plans for Structures.  Staff hours are estimated to range between 2 to 12 hours per review.  On a minor project, there are typically a total of two reviews.  For a major project there are typically 7 reviews required.  All review personnel are included in the staff hour range.  </t>
    </r>
    <r>
      <rPr>
        <b/>
        <sz val="11"/>
        <rFont val="Arial"/>
        <family val="2"/>
      </rPr>
      <t>Add hours for review of Subconsultant work only if the Department or Prime Consultant requires the Geotechnical Engineer to use a Subconsultant.</t>
    </r>
    <r>
      <rPr>
        <sz val="11"/>
        <rFont val="Arial"/>
        <family val="2"/>
      </rPr>
      <t xml:space="preserve">  Negotiated hours for Subconsultant review should be based on a percentage of the Subconsultant’s work, typically, 3 to 8%.  Minimum 2-hours.  All internal review hours are included in each task item. </t>
    </r>
  </si>
  <si>
    <t>(Coordination portion of Geotechnical Project Management) Multiply the sum of all technical and non-technical hours (Roadway, Structural, and Geotechnical Non-technical items) above by a percentage that ranges between 2 to 5%.  This task includes all routine geotechnical project coordination (Project Management) activities and is not a duplication of hours allowed in previous items.  Hours are not to be used for Prime Consultant's project coordination. The larger or simpler projects will require the lower end of the percentage range and the smaller or more complex projects will require the upper end of the percentage range.</t>
  </si>
  <si>
    <t>Production rate is estimated at 30 borings per hour, minimum 1 hour. This item is a combination of two phases of work during the project life.  The first part is for the preliminary phase of the project where typically the geotechnical engineer will take a roadway plan sheet, identify any known conflicts, identify any previous and/or historical borings that may have been taken in the area, and place some dots on the plan to identify preliminary boring locations.  This effort is estimated to require a staff hour range of between 1 and 4 hours depending on the size and complexity of the project.  The second phase of work typically requires a much greater level of investigation into all potential conflicts and historical borings in addition to a much greater number of borings to place on a plan sheet.  Placement of the second phase borings frequently is driven in part by the soil properties identified in the first phase of this investigation.  In particular, where the geotechnical engineer has identified a potential problem soil, a greater number of borings will be required to define the limits of unsuitable material.
Again, the number of hours estimated for this phase of work for this task is based on the size and complexity of the project.  Staff hour estimates range from 2 to 32 hours for the second phase of this task.  The larger and more complex projects will require a greater number of hours.</t>
  </si>
  <si>
    <t>Activity includes calls to utility companies plus single source utility location firms.  Maximum time per boring should be estimated on minimum job and vice-versa.  Activities are anticipated to be telephone calls, travel time to and from site, and time to stake each boring.  This item includes both field and office work.  The office work involved for either a large/complex project or a small/simple project is approximately equal.  The minimum staff hour range (0.2 hours per boring) is most appropriate to use for a large/complex project because the travel time to and from the project site to stake the borings is divided over a much larger number of borings and therefore the time to stake each boring is effectively reduced.  The smaller projects require essentially the same amount of time to travel to and from the project site, however, since there are fewer borings over which to distribute the travel time, the time allowed per boring should be much greater (up to 0.5 hours per boring).  Consideration should be given to the actual anticipated travel time.  No consideration was given for difficult access locations which may require clearing, mud-bugs, etc., because the developers did not believe that difficult access should be included in the ‘standard' range for this task.  Special consideration and additional staff hours should be granted to the geotechnical engineer for anticipated difficult drilling access.  The staff hour range assumes a single location (area) with a single mobilization for drilling.</t>
  </si>
  <si>
    <t>Provide any other details required to  clarify design. Details to include components, design computations and location of the elements and materials shown. (To be negotiated on an as needed basis.)</t>
  </si>
  <si>
    <r>
      <rPr>
        <sz val="11"/>
        <rFont val="Arial"/>
        <family val="2"/>
      </rPr>
      <t>Negotiate on a per project basis.</t>
    </r>
    <r>
      <rPr>
        <b/>
        <i/>
        <sz val="11"/>
        <rFont val="Arial"/>
        <family val="2"/>
      </rPr>
      <t xml:space="preserve">
Coordination with Sub-consultants:</t>
    </r>
    <r>
      <rPr>
        <sz val="11"/>
        <rFont val="Arial"/>
        <family val="2"/>
      </rPr>
      <t xml:space="preserve"> Hours for each meeting based on one meeting per month, and includes travel time and meeting summary, 4-8 hrs.</t>
    </r>
    <r>
      <rPr>
        <b/>
        <i/>
        <sz val="11"/>
        <rFont val="Arial"/>
        <family val="2"/>
      </rPr>
      <t xml:space="preserve">Agencies </t>
    </r>
    <r>
      <rPr>
        <i/>
        <sz val="11"/>
        <rFont val="Arial"/>
        <family val="2"/>
      </rPr>
      <t>(Utilities, Department of Environmental Protection, Water Management District, etc.)</t>
    </r>
    <r>
      <rPr>
        <sz val="11"/>
        <rFont val="Arial"/>
        <family val="2"/>
      </rPr>
      <t>: Hours for each meeting X negotiated number of meetings, and includes travel time and meeting summary, 8-16 hrs. Low range: architect is not prime consultant; prime consultant is handling meetings with other agencies. High range: architect is the prime consultant and responsible for meeting with agencies and meeting summaries.</t>
    </r>
    <r>
      <rPr>
        <b/>
        <i/>
        <sz val="11"/>
        <rFont val="Arial"/>
        <family val="2"/>
      </rPr>
      <t xml:space="preserve"> Kick-Off:</t>
    </r>
    <r>
      <rPr>
        <sz val="11"/>
        <rFont val="Arial"/>
        <family val="2"/>
      </rPr>
      <t xml:space="preserve"> Includes travel time, meeting summary, and coordination of meeting with sub-consultants, 8-16 hrs. </t>
    </r>
    <r>
      <rPr>
        <b/>
        <i/>
        <sz val="11"/>
        <rFont val="Arial"/>
        <family val="2"/>
      </rPr>
      <t xml:space="preserve">Phase Review Meetings: </t>
    </r>
    <r>
      <rPr>
        <sz val="11"/>
        <rFont val="Arial"/>
        <family val="2"/>
      </rPr>
      <t xml:space="preserve">Hours include travel meeting, and written responses by architect and the compiling of sub-consultants responses. 8-16 hrs. </t>
    </r>
    <r>
      <rPr>
        <b/>
        <i/>
        <sz val="11"/>
        <rFont val="Arial"/>
        <family val="2"/>
      </rPr>
      <t xml:space="preserve">Progress Meetings: Owner </t>
    </r>
    <r>
      <rPr>
        <sz val="11"/>
        <rFont val="Arial"/>
        <family val="2"/>
      </rPr>
      <t>(FDOT, local, users): Hours for each meeting X negotiated number of meetings, and includes travel time and meeting summary, 4-8 hrs.</t>
    </r>
  </si>
  <si>
    <t>Name of Prime / Subconsultant:</t>
  </si>
  <si>
    <t>Enter name of prime or subconsultant</t>
  </si>
  <si>
    <t>County:</t>
  </si>
  <si>
    <t>enter name of county</t>
  </si>
  <si>
    <t>Enter project name &amp; description</t>
  </si>
  <si>
    <t>(Urban / Rural / Int.)</t>
  </si>
  <si>
    <t>(NHS/FIHS/Off Sys.)</t>
  </si>
  <si>
    <t>Design Variations:</t>
  </si>
  <si>
    <t>1.</t>
  </si>
  <si>
    <t>Design Exceptions:</t>
  </si>
  <si>
    <t>2.</t>
  </si>
  <si>
    <t>months/days</t>
  </si>
  <si>
    <t>Date of Negotiation:</t>
  </si>
  <si>
    <t>Project Activity:</t>
  </si>
  <si>
    <t>Estimated By:</t>
  </si>
  <si>
    <t>Negotiated By: (name - firm)</t>
  </si>
  <si>
    <t>Consultant</t>
  </si>
  <si>
    <t>3. Project Common &amp; Project General Tasks</t>
  </si>
  <si>
    <t>Enter name &amp; firm</t>
  </si>
  <si>
    <t>Enter name &amp; office</t>
  </si>
  <si>
    <t>9. Structures Summary</t>
  </si>
  <si>
    <t>11. Structures - Temporary Bridge</t>
  </si>
  <si>
    <t>12. Structures - Short Span Concrete</t>
  </si>
  <si>
    <t>13. Structures - Medium Span Concrete</t>
  </si>
  <si>
    <t>14. Structures - Structural Steel</t>
  </si>
  <si>
    <t>15. Structures - Segmental Concrete</t>
  </si>
  <si>
    <t>16. Structures - Movable Span</t>
  </si>
  <si>
    <t>17. Structures - Retaining Walls</t>
  </si>
  <si>
    <t>18. Structures - Miscellaneous</t>
  </si>
  <si>
    <t>19. Signing and Pavement Marking Analysis</t>
  </si>
  <si>
    <t>20. Signing and Pavement Marking Plans</t>
  </si>
  <si>
    <t>21. Signalization Analysis</t>
  </si>
  <si>
    <t>22. Signalization Plans</t>
  </si>
  <si>
    <t>23. Lighting Analysis</t>
  </si>
  <si>
    <t>24. Lighting Plans</t>
  </si>
  <si>
    <t>27. Survey</t>
  </si>
  <si>
    <t>28. Photogrammetry</t>
  </si>
  <si>
    <t>29. Mapping</t>
  </si>
  <si>
    <t>30. Terrestrial Mobile LiDAR</t>
  </si>
  <si>
    <t>31. Architecture Development</t>
  </si>
  <si>
    <t>32. Noise Barriers Impact Design Assessment</t>
  </si>
  <si>
    <t>33. Intelligent Transportation Systems Analysis</t>
  </si>
  <si>
    <t>34. Intelligent Transportation Systems Plans</t>
  </si>
  <si>
    <t>35. Geotechnical</t>
  </si>
  <si>
    <t>6b.</t>
  </si>
  <si>
    <t>Drainage Plans</t>
  </si>
  <si>
    <t>Includes production of special details plan sheets - only as required</t>
  </si>
  <si>
    <t>Includes production of special details plan sheets - only as required.</t>
  </si>
  <si>
    <t>Strain Pole Data Table Plan Sheets</t>
  </si>
  <si>
    <t>Strain Pole Special Details Plan Sheets</t>
  </si>
  <si>
    <t>Mast Arms Data Table Plan Sheets</t>
  </si>
  <si>
    <t>Mast Arm Special Details Plan Sheets</t>
  </si>
  <si>
    <t>Overhead and Cantilever Sign Structures Data Table Plan Sheets</t>
  </si>
  <si>
    <t>Overhead and Cantilever Sign Structures Special Details Plan Sheets</t>
  </si>
  <si>
    <t>High Mast Lighting Special Details Plan Sheets</t>
  </si>
  <si>
    <t>Concrete Box Culvert Data Table Plan Sheets</t>
  </si>
  <si>
    <t>Concrete Box Culvert Special Details Plan Sheets</t>
  </si>
  <si>
    <t>Includes production of data table plan sheets.
6 spans per sheet</t>
  </si>
  <si>
    <t>Includes production of data table plan sheets.
2 box culverts or box culvert extensions per sheet</t>
  </si>
  <si>
    <t>Includes production of data table plan sheets.
6 mast arms per sheet</t>
  </si>
  <si>
    <t>Includes production of data table plan sheets.
5 structures per sheet</t>
  </si>
  <si>
    <t>Muck Probing</t>
  </si>
  <si>
    <t>Crew Day</t>
  </si>
  <si>
    <t>Activity includes probing to determine the depth of surficial muck and standing water in a detailed pattern sufficient for determining removal limits to be shown in the Plans by 2 or 3 person crew of field technicians (in increments of 0.25 or 0.5 crew days) depending on the size and anticipated complexity of the project. Special consideration and additional staff hours should be granted to areas with anticipated difficult access, water deeper than 3 feet or very soft muck.</t>
  </si>
  <si>
    <t>6a.1</t>
  </si>
  <si>
    <t>35.19</t>
  </si>
  <si>
    <t>35.54</t>
  </si>
  <si>
    <r>
      <t xml:space="preserve">It is recognized that the Districts may need to vary the work requirements shown in the Standard Scope of Services and Task Descriptions of the Staff Hour Estimating Forms to make them District or project specific. Where such variations occur, all changes to the Standard Scope shall be shown in </t>
    </r>
    <r>
      <rPr>
        <b/>
        <i/>
        <sz val="10"/>
        <rFont val="Arial"/>
        <family val="2"/>
      </rPr>
      <t>bold italics</t>
    </r>
    <r>
      <rPr>
        <b/>
        <sz val="10"/>
        <rFont val="Arial"/>
        <family val="2"/>
      </rPr>
      <t xml:space="preserve"> to alert the user that the scope requirements have changed from the standard. Changes to the work effort described for each Task shall be noted in that Task's comment column of the Staff Hour Estimating Forms to alert the user that the ranges shown in the basis may no longer be applicable to that specific task.</t>
    </r>
  </si>
  <si>
    <t>These four work activities are interrelated.  Not all projects will require photogrammetry, mapping or terrestrial mobile LiDAR: the need or extent of any of these will have a direct relationship on the tasks included in the survey work activity.</t>
  </si>
  <si>
    <r>
      <t>·</t>
    </r>
    <r>
      <rPr>
        <sz val="10"/>
        <rFont val="Arial"/>
        <family val="2"/>
      </rPr>
      <t>  Rural or urban 4-lane to 6-lane widening/resurfacing (widening in median, minor ROW, earthwork, and utility impacts, minimal intersection improvement)  Level 3 or 4</t>
    </r>
  </si>
  <si>
    <r>
      <t>·</t>
    </r>
    <r>
      <rPr>
        <sz val="10"/>
        <rFont val="Arial"/>
        <family val="2"/>
      </rPr>
      <t>  Multi-lane limited access resurfacing (minor safety, earthwork, and utility involvement, minimal intersection involvement)  Level 2 or 3</t>
    </r>
  </si>
  <si>
    <t>All ranges shown in the conventional Survey tasks (TAB 27) are for 4-person crew days based on an 8 hour day.  The ranges presented in the photogrammetry and terrestrail mobile LiDAR sections represent the work effort that might be expected for individual tasks on typical mapping projects, including topographics, planimetrics, image processing, and fixed and rotary wing flight operations.</t>
  </si>
  <si>
    <t>6a.</t>
  </si>
  <si>
    <t>Task includes making a presentation at one meeting with local governing authorities and/or Metropolitan Planning Organization (MPO) and preparation of a meeting summary.  It is assumed the same boards and PowerPoint presentation from the public meeting can be used for the MPO presentation. Includes one participant.  Note: Do not include these hours in 3.6.  Range: 4 to 12 hours.</t>
  </si>
  <si>
    <t>Digital Delivery</t>
  </si>
  <si>
    <t>Includes submitting applicable documents and contract plans (as defined in the scope of services) in digital format.  Effort is calculated as follows:
For setup of the signature sheet and signing and sealing by the first EOR: 6 to 9 hours
For each additional EOR signature: 3 hours per signature</t>
  </si>
  <si>
    <t>6a. Drainage Analysis</t>
  </si>
  <si>
    <t>6a.4</t>
  </si>
  <si>
    <t>6a.8</t>
  </si>
  <si>
    <t>Design of Floodplain Compensation</t>
  </si>
  <si>
    <t>6b.1</t>
  </si>
  <si>
    <t>6b.2</t>
  </si>
  <si>
    <t>6b.3</t>
  </si>
  <si>
    <t>6b.4</t>
  </si>
  <si>
    <t>6b.5</t>
  </si>
  <si>
    <t>6b.7</t>
  </si>
  <si>
    <t>Utility Kickoff Meeting</t>
  </si>
  <si>
    <t>Identify Existing Utility Agency Owners (UAO(s))</t>
  </si>
  <si>
    <t>An effective permitting program is based on a commitment to close coordination and documentation among the CONSULTANT, the Department’s District Permit Coordinator, the Department's Environmental Management Office, the Department’s  Project Manager, and regulatory agencies.  The CONSULTANT shall meet with the District Permit Coordinator and  the Department’s  Project Manager prior to developing and submitting all permit application packages to ensure District policies regarding acquisition of environmental permits have been adequately addressed.  The Consultant shall meet with the Permit Coordinator and the Environmental Management Office to determine the level of work required for reevaluations and environmental clearances.  The CONSULTANT shall proceed with the development and submittal of permit application packages and acquisition of permits based upon the general guidelines provided by the DEPARTMENT.  The Environmental Permits Task is generally considered complete once all applicable environmental permits have been obtained.</t>
  </si>
  <si>
    <t>The CONSULTANT, the Department's Permit Coordinator and the Department's Environmental Management Office will fully review the project's PD&amp;E documents to determine any special requirements or commitments.  The Department's staff and the CONSULTANT will also review the regulating agencies requirements for any species issues to fully understand surveying and permitting.</t>
  </si>
  <si>
    <t>Below is a brief description of a typical low-range project, a typical mid-range project, and a typical high-range project, with examples of each.   Some projects, even typical ones, may not fall neatly into one of these categories.  Thus, the descriptions and lists below should be used only as a general guide and should never be used in lieu of close coordination among the CONSULTANT, the Department’s District Permit Coordinator, the Department's Environmental Management Office and  the Department’s  Project Manager.</t>
  </si>
  <si>
    <r>
      <t>·</t>
    </r>
    <r>
      <rPr>
        <sz val="10"/>
        <rFont val="Arial"/>
        <family val="2"/>
      </rPr>
      <t>  USACE (Nationwide)</t>
    </r>
  </si>
  <si>
    <r>
      <t>·</t>
    </r>
    <r>
      <rPr>
        <sz val="10"/>
        <rFont val="Arial"/>
        <family val="2"/>
      </rPr>
      <t>  USACE (Nationwide, or Letter of Permission)</t>
    </r>
  </si>
  <si>
    <t>8.2</t>
  </si>
  <si>
    <t>8.2.1</t>
  </si>
  <si>
    <t>8.2.2</t>
  </si>
  <si>
    <t>8.2.3</t>
  </si>
  <si>
    <t>8.3</t>
  </si>
  <si>
    <t>8.4</t>
  </si>
  <si>
    <t>8.4.1</t>
  </si>
  <si>
    <t>8.4.2</t>
  </si>
  <si>
    <t>8.5</t>
  </si>
  <si>
    <t>8.6</t>
  </si>
  <si>
    <t>8.7</t>
  </si>
  <si>
    <t>8.8</t>
  </si>
  <si>
    <t>8.9</t>
  </si>
  <si>
    <t>8.10</t>
  </si>
  <si>
    <t>8.11</t>
  </si>
  <si>
    <t>8.12</t>
  </si>
  <si>
    <t>8.14.1</t>
  </si>
  <si>
    <t>8.14.2</t>
  </si>
  <si>
    <t>8.14.3</t>
  </si>
  <si>
    <t>8.16</t>
  </si>
  <si>
    <t>8.17</t>
  </si>
  <si>
    <t>8.18</t>
  </si>
  <si>
    <t>8.19</t>
  </si>
  <si>
    <t>8.20</t>
  </si>
  <si>
    <t>per pond site</t>
  </si>
  <si>
    <t>Agency verification of wetland data, including all field work, identified in Task 8.2.</t>
  </si>
  <si>
    <t>A completed package which shows the staging areas, maintenance access, and all permanent items (i.e., guardrail, light posts, landscape, drainage structures, etc.) to remain in Agency R/W.  Prepared as per agency criteria.</t>
  </si>
  <si>
    <t xml:space="preserve">Multi-agency coordination, including meetings, will be necessary to ensure acceptance of mitigation from all involved agencies.  May include the finalization of the wetland functional assessment started under Task 3, coordination for mitigation banks credit, as required.  New alignment with wetland/species may require more hours. </t>
  </si>
  <si>
    <t>Preparation of Environmental Clearances and Reevaluations (use when consultant prepares all documents associated with reevaluation)</t>
  </si>
  <si>
    <t>Perform Asbestos Survey per Scope of Services. Hours will be based on number and size of bridges.</t>
  </si>
  <si>
    <t>Includes production and implementation of QA/QC plan, including response to FDOT comments.  (Based on 2-10% of technical subtotal.)  Percentage may be determined by Management.</t>
  </si>
  <si>
    <t xml:space="preserve">·  Activity 9 is a summary of the General Tasks, Bridge Development Report, Bridge Design and Production, Retaining Wall Design and Production and Miscellaneous Structure Design and Production activities within the project. The general tasks address the technical tasks associated with the development of the project-based key sheet/index of drawings, general notes, cost estimates and Technical Special Provisions. This worksheet also addresses non-technical tasks such as field reviews, technical meetings and coordination. This Activity worksheet also addresses Quality Assurance/Quality Control, Independent Peer Review and Supervision activities. </t>
  </si>
  <si>
    <t>25 hours per span - apply the following factors for complexity.
Simple bridge:  0.75 (straight, uniform span length, except end spans)
Normal bridge:  1.00 (straight, non-uniform span length)
Complex bridge:  1.20 (curved, non-uniform span length)</t>
  </si>
  <si>
    <t>Design and load rating. Design and detail special wingwalls, pipe openings, handrail attachments and construction phasing. Low range: Standard box culverts using FDOT program and details without load rating. High range: Special design with details, load rating, phased construction, intermediate pipe penetrations, bends, non standard wingwalls/headwalls.</t>
  </si>
  <si>
    <r>
      <t xml:space="preserve">Includes all efforts required to obtain data and prepare report in accordance with the Manual on Uniform Traffic Studies.
</t>
    </r>
    <r>
      <rPr>
        <u/>
        <sz val="11"/>
        <rFont val="Arial"/>
        <family val="2"/>
      </rPr>
      <t>Hours may be estimated as follows:</t>
    </r>
    <r>
      <rPr>
        <sz val="11"/>
        <rFont val="Arial"/>
        <family val="2"/>
      </rPr>
      <t xml:space="preserve">
Field Work: 2-6 hrs per mile, depending on complexity.
Analysis and Report: 24hrs + 8hrs per mile</t>
    </r>
  </si>
  <si>
    <t>Includes internal coordination with survey, geotechnical, drainage, structures, lighting, roadway, signals, utilities, rail road, permits, schedules, specifications, bicycle/ pedestrian/ transit, landscape architecture, municipalities, maintaining agency,traffic operations, and other Department offices incorporating sheets and/or preferences.  Does not include formal meetings. (Based on 2-5% of all the above tasks). The higher range may be necessary if  most elements listed above are involved and 4 or more agencies are actively involved.</t>
  </si>
  <si>
    <t>Meetings with departmental and/or Agency staff such as meetings with traffic operations, traffic design, access management, progress review, phase review, etc (based on average number of people per mtgs X length of mtgs X number of mtgs).</t>
  </si>
  <si>
    <t>Meetings with Local or Departmental staff such as meetings with Traffic Operations, Design, Access Management, progress review, phase review, etc (Based on the average number of people, the length of the trip and the number of trips).</t>
  </si>
  <si>
    <t>Includes internal coordination with survey, geotechnical, drainage, structures, lighting, roadway, utilities, rail road, permits, schedules, specifications, bicycle/ pedestrian/ transit, landscape architecture, municipalities, maintaining agencies, traffic operations, and other Department offices.  (Based on 2-5% of all the above tasks). The higher range may be necessary if  most elements listed above are involved and/or 3 or more agencies are actively involved).  Incorporation of other discipline's plan sheets into the plan set is included.  Does not include formal meetings.</t>
  </si>
  <si>
    <t>Meetings with departmental and/or Agency staff such as meetings with traffic operations, traffic design, progress review, phase review, etc (EA based on average number of people per mtgs X length of mtgs X number of mtgs).</t>
  </si>
  <si>
    <t>Includes internal coordination with survey, geotechnical, drainage, structures, lighting, roadway, signing and marking, utilities, rail road, permits, schedules, specifications, bicycle/ pedestrian/ transit, landscape architecture, municipalities, maintaining agency, traffic operations, and other Department offices for incorporating sheets and/or preferences.   (Based on 2-5% of all the above tasks),  Does not include formal meetings.</t>
  </si>
  <si>
    <r>
      <t>·</t>
    </r>
    <r>
      <rPr>
        <sz val="10"/>
        <rFont val="Arial"/>
        <family val="2"/>
      </rPr>
      <t>  Rural 2-lane new construction (new alignment, ROW, earthwork and utility impacts) (This is for full design survey and ROW) Level 4</t>
    </r>
  </si>
  <si>
    <r>
      <t>·</t>
    </r>
    <r>
      <rPr>
        <sz val="10"/>
        <rFont val="Arial"/>
        <family val="2"/>
      </rPr>
      <t>  Rural 2-lane to urban multi-lane reconstruction (minor ROW and utility impacts, minimal intersection involvement) (This is for full design survey and ROW)  Level 4</t>
    </r>
  </si>
  <si>
    <r>
      <t>·</t>
    </r>
    <r>
      <rPr>
        <sz val="10"/>
        <rFont val="Arial"/>
        <family val="2"/>
      </rPr>
      <t>  Rural 2-lane to 4-lane widening/resurfacing (major ROW, earthwork and utility impacts) Level 3 or 4 for full design model</t>
    </r>
  </si>
  <si>
    <r>
      <t>·</t>
    </r>
    <r>
      <rPr>
        <sz val="10"/>
        <rFont val="Arial"/>
        <family val="2"/>
      </rPr>
      <t>  Rural 2-lane to urban multi-lane widening/resurfacing (utilizing existing pavement, minor cross slope correction, major ROW and utility impacts, intersection involvement)  Level 3 or 4 for full design model</t>
    </r>
  </si>
  <si>
    <r>
      <t>·</t>
    </r>
    <r>
      <rPr>
        <sz val="10"/>
        <rFont val="Arial"/>
        <family val="2"/>
      </rPr>
      <t>  Rural 2-lane to urban multi-lane reconstruction (major ROW and utility impacts, intersection involvement) (This is for full design survey and ROW)  Level 4</t>
    </r>
  </si>
  <si>
    <r>
      <t>·</t>
    </r>
    <r>
      <rPr>
        <sz val="10"/>
        <rFont val="Arial"/>
        <family val="2"/>
      </rPr>
      <t>  Rural multi-lane new construction (new alignment, ROW, earthwork and utility impacts, minimal intersection involvement) (This is for full design survey and ROW)  Level 4</t>
    </r>
  </si>
  <si>
    <r>
      <t>·</t>
    </r>
    <r>
      <rPr>
        <sz val="10"/>
        <rFont val="Arial"/>
        <family val="2"/>
      </rPr>
      <t>  Urban multi-lane new construction (new alignment, major ROW and utility impacts, intersection involvement) (This is for full design survey and ROW)  Level 4</t>
    </r>
  </si>
  <si>
    <r>
      <t>·</t>
    </r>
    <r>
      <rPr>
        <sz val="10"/>
        <rFont val="Arial"/>
        <family val="2"/>
      </rPr>
      <t>  Multi-lane limited access widening/resurfacing (minor ROW and utility impacts, interchange involvement) Level 3 or 4 for full design model (This is for full design survey and ROW)</t>
    </r>
  </si>
  <si>
    <r>
      <t>·</t>
    </r>
    <r>
      <rPr>
        <sz val="10"/>
        <rFont val="Arial"/>
        <family val="2"/>
      </rPr>
      <t>  Multi-lane limited access reconstruction (minor ROW and utility impacts, interchange involvement)  (This is for full design survey and ROW)  Level 4</t>
    </r>
  </si>
  <si>
    <r>
      <t>·</t>
    </r>
    <r>
      <rPr>
        <sz val="10"/>
        <rFont val="Arial"/>
        <family val="2"/>
      </rPr>
      <t>  Multi-lane limited access new construction (new alignment, minor ROW and utility impacts, minimal interchange involvement)  (This is for full design survey and ROW)  Level 4</t>
    </r>
  </si>
  <si>
    <r>
      <t>·</t>
    </r>
    <r>
      <rPr>
        <sz val="10"/>
        <rFont val="Arial"/>
        <family val="2"/>
      </rPr>
      <t>  Multi-lane widening, reconstruction or new alignment with major interchange involvement (major ROW and utility impacts,urban interchange involvement, major access management impacts)  (This is for full design survey and ROW)  Level 4</t>
    </r>
  </si>
  <si>
    <r>
      <t>·</t>
    </r>
    <r>
      <rPr>
        <sz val="10"/>
        <rFont val="Arial"/>
        <family val="2"/>
      </rPr>
      <t>  Urban limited access (widening or reconstruction with multi-level interchanges)  (This is for full design survey and ROW)  Level 4</t>
    </r>
  </si>
  <si>
    <r>
      <t>·</t>
    </r>
    <r>
      <rPr>
        <sz val="10"/>
        <rFont val="Arial"/>
        <family val="2"/>
      </rPr>
      <t>  Multi-lane limited access new construction (new alignment, major ROW and utility impacts, major interchange involvement)  (This is for full design survey and ROW)  Level 4</t>
    </r>
  </si>
  <si>
    <t>The staff hour ranges presented in this section represent the work effort that might be expected for individual tasks on typical roadway projects, ranging from a standard 2-lane resurfacing project (lower end of range) to a complicated reconstruction project  (upper end of range). The ranges represent neither the minimum nor maximum hours that might be negotiated on a project for individual survey tasks. Hours below or above the presented ranges may be applicable based on the constraints or requirements that are specific to the individual project. Whenever possible, examples of individual tasks will be included to provide guidance in determining what types of effort are associated with each individual task.</t>
  </si>
  <si>
    <r>
      <t xml:space="preserve">All efforts necessary to </t>
    </r>
    <r>
      <rPr>
        <b/>
        <sz val="10"/>
        <rFont val="Arial"/>
        <family val="2"/>
      </rPr>
      <t>coordinate</t>
    </r>
    <r>
      <rPr>
        <sz val="10"/>
        <rFont val="Arial"/>
        <family val="2"/>
      </rPr>
      <t xml:space="preserve"> the proper placement of project ground control (i.e. base stations, transformation control points, and validation points), supporting the Mobile LiDAR survey. Includes communication of appropriate accuracies along with of target specifications and identification with  field and office personnel. </t>
    </r>
  </si>
  <si>
    <t>Architectural Program Review/Verification</t>
  </si>
  <si>
    <t>Noise Analysis</t>
  </si>
  <si>
    <t>Outdoor Advertising Identification</t>
  </si>
  <si>
    <t>Noise Study Report (NSR) Addendum</t>
  </si>
  <si>
    <t>2-5%</t>
  </si>
  <si>
    <t>Produce and implement a QA/QC Plan, including responses to FDOT comments. Also includes sub-consultant review, response to comments and any resolution meetings if required. Based on percent of technical hours subtotal. Percent may be determined by management.</t>
  </si>
  <si>
    <t>0-5%</t>
  </si>
  <si>
    <t>Includes all efforts by the prime and/or sub-consultant to manage and supervise noise modeling and analysis tasks, if not included under other tasks. Based on percent of technical hours subtotal. Percent may be determined by management.</t>
  </si>
  <si>
    <t>32.6</t>
  </si>
  <si>
    <t>32.9</t>
  </si>
  <si>
    <t>0-3%</t>
  </si>
  <si>
    <t>Includes all efforts by prime and/or sub-consultant to coordinate project team disciplines, if not included under other tasks. Based on percent of technical hours subtotal. Percent may be determined by management.</t>
  </si>
  <si>
    <t>Per Site</t>
  </si>
  <si>
    <t>Includes internal coordination with survey, geotechnical, drainage, structures, lighting, roadway, utilities, rail road, permits, schedules, specifications, bicycle/ pedestrian/ transit, landscape architecture, municipalities, maintaining agencies traffic operations, and other Department offices.  (Based on 2-5% of all the above tasks). The higher range may be necessary if  most elements listed above are involved and/or 3 or more agencies are actively involved).  Incorporation of other discipline's plan sheets into the plan set is included.  Does not include formal meetings.</t>
  </si>
  <si>
    <t>35.5</t>
  </si>
  <si>
    <t>35.6</t>
  </si>
  <si>
    <t>35.7</t>
  </si>
  <si>
    <t>35.8</t>
  </si>
  <si>
    <t>35.9</t>
  </si>
  <si>
    <t>35.10</t>
  </si>
  <si>
    <t>35.11</t>
  </si>
  <si>
    <t>35.12</t>
  </si>
  <si>
    <t>35.13</t>
  </si>
  <si>
    <t>35.14</t>
  </si>
  <si>
    <t>35.15</t>
  </si>
  <si>
    <t>35.16</t>
  </si>
  <si>
    <t>35.17</t>
  </si>
  <si>
    <t>35.18</t>
  </si>
  <si>
    <t>Obtain all State, County, City, DOT Maintenance, and Water Management District permits for field investigations, as required.  Activities include telephone call time, travel time to and from permit agency, and time to prepare the application.  This item varies from District to District and County to County.  Some Counties, Municipalities, Cities, Water Management Districts, etc. require permits for drilling, whereas others do not.  In the case where only a DOT Maintenance permit is required for drilling, the lower staff hour range should be used.  Upward adjustment of staff hours should be projected for each additional permit that is required.  Activities related to obtaining an Environmental Resource Permit (ERP) are not included in this Task, and are to be negotiated under Activity 8, Environmental Permits.</t>
  </si>
  <si>
    <t>35.20</t>
  </si>
  <si>
    <t>35.21</t>
  </si>
  <si>
    <t>35.22</t>
  </si>
  <si>
    <t>35.23</t>
  </si>
  <si>
    <t>35.24</t>
  </si>
  <si>
    <t>35.25</t>
  </si>
  <si>
    <t>35.26</t>
  </si>
  <si>
    <t>35.27</t>
  </si>
  <si>
    <t>35.28</t>
  </si>
  <si>
    <t>35.29</t>
  </si>
  <si>
    <t>35.30</t>
  </si>
  <si>
    <t>35.31</t>
  </si>
  <si>
    <t>35.32</t>
  </si>
  <si>
    <t>35.33</t>
  </si>
  <si>
    <t>35.34</t>
  </si>
  <si>
    <t>35.35</t>
  </si>
  <si>
    <t>35.36</t>
  </si>
  <si>
    <t>35.37</t>
  </si>
  <si>
    <t>35.38</t>
  </si>
  <si>
    <t>35.39</t>
  </si>
  <si>
    <t>35.40</t>
  </si>
  <si>
    <t>35.41</t>
  </si>
  <si>
    <t>35.42</t>
  </si>
  <si>
    <t>35.43</t>
  </si>
  <si>
    <t>35.44</t>
  </si>
  <si>
    <t>35.45</t>
  </si>
  <si>
    <t>35.46</t>
  </si>
  <si>
    <t>35.47</t>
  </si>
  <si>
    <t>35.48</t>
  </si>
  <si>
    <t>35.49</t>
  </si>
  <si>
    <t>35.50</t>
  </si>
  <si>
    <t>35.51</t>
  </si>
  <si>
    <t>35.52</t>
  </si>
  <si>
    <t>35.53</t>
  </si>
  <si>
    <t>35.55</t>
  </si>
  <si>
    <t>Noise Barrier Impact Design Assessment in the Design Phase</t>
  </si>
  <si>
    <t>Includes implementation of QA / QC plan. Also includes sub consultant review, response to comments and any resolution meetings if required, preparation of submittals for review, etc.  (LS based on 5 - 7% of technical tasks)</t>
  </si>
  <si>
    <t xml:space="preserve">Includes effort required to supervise Terrestrial Mobile LiDAR mapping project activities.  These activities must be performed by the project supervisor, a Florida P.S.M. (LS based on  5 - 7%  from tasks 5 through 23, where applicable.) </t>
  </si>
  <si>
    <t>Includes efforts  of the Terrestrial Mobile LiDAR surveyor responsible for the survey project deliverables to coordinate  with the other surveyors 9if any) on the final presentation of survey map/report  after data merging, communicating each surveyor's responsibility with the Department's Project  Manager with (LS based on 2-3% of all the above tasks).</t>
  </si>
  <si>
    <t>Monitor Existing Structures</t>
  </si>
  <si>
    <t>TBD</t>
  </si>
  <si>
    <t xml:space="preserve">1 to 4
</t>
  </si>
  <si>
    <t>Perform a boundary survey in accordance with Standards of Practice for Professional Surveyors and Mappers (Rule 5J-17, F.A.C.) and Chapter 472, F.S. Includes analysis and processing of all field collected data, preparation of reports. Delivery of all appropriate electronic files, and / or field notes.</t>
  </si>
  <si>
    <t>Includes Mean High Water, Ordinary High Water, and Safe Upland Line surveys performed in accordance with Florida Department of Environmental Protection, Bureau of Surveying and Mapping procedures, Standards of Practice for Professional Surveyors and Mappers (Rule 5J17, F.A.C.) and Chapter 177, Part II, F.S. Includes analysis and processing of all field collected data, preparation of reports.  Delivery of all appropriate electronic files, and/or field notes.</t>
  </si>
  <si>
    <t>Landscape and Existing Vegetation Coordination</t>
  </si>
  <si>
    <t>3.13</t>
  </si>
  <si>
    <t>SELECTIVE CLEARING AND GRUBBING GUIDELINES</t>
  </si>
  <si>
    <t xml:space="preserve">Complexity of ROW </t>
  </si>
  <si>
    <t>No screening or buffering impacts</t>
  </si>
  <si>
    <t>Minor screening or buffering impacts</t>
  </si>
  <si>
    <t>Minimum</t>
  </si>
  <si>
    <t>Moderate</t>
  </si>
  <si>
    <t>Extensive</t>
  </si>
  <si>
    <t>Number of Species to Eradicate/Preserve</t>
  </si>
  <si>
    <t>Part of the project site is sensitive</t>
  </si>
  <si>
    <t xml:space="preserve">A large majority of the project site is sensitive </t>
  </si>
  <si>
    <t xml:space="preserve">Tree/Palm Relocation </t>
  </si>
  <si>
    <t>None</t>
  </si>
  <si>
    <t>Wildlife Connectivity Coordination: Coordination with the Environmental
Management or Permit Office to document the decision to include or exclude wildlife connectivity features into the project. Low range - single crossing,  EMO or Permit office provides summary memo. High range - multiple crossings through interchange, discussion provided in BDR.</t>
  </si>
  <si>
    <t>Selective Clearing and Grubbing Guidelines</t>
  </si>
  <si>
    <r>
      <t>Produce and implement a QA/QC plan.  Includes review of sub-consultant work, response to comments and any resolution meetings if required, assembly of plans for submittals, etc. Perform three way check list (quantity sheets, designer interface</t>
    </r>
    <r>
      <rPr>
        <sz val="11"/>
        <rFont val="Arial"/>
        <family val="2"/>
      </rPr>
      <t>, and plans comparison). (Based on 5-10% of technical subtotal).</t>
    </r>
  </si>
  <si>
    <r>
      <rPr>
        <strike/>
        <sz val="10"/>
        <rFont val="Arial"/>
        <family val="2"/>
      </rPr>
      <t xml:space="preserve">
</t>
    </r>
    <r>
      <rPr>
        <sz val="10"/>
        <rFont val="Arial"/>
        <family val="2"/>
      </rPr>
      <t>See Structure Type</t>
    </r>
  </si>
  <si>
    <r>
      <t xml:space="preserve">Develop LFR/LRFR Load Rating for existing structure or structures to be widened.  </t>
    </r>
    <r>
      <rPr>
        <strike/>
        <sz val="10"/>
        <rFont val="Arial"/>
        <family val="2"/>
      </rPr>
      <t xml:space="preserve">
</t>
    </r>
    <r>
      <rPr>
        <sz val="10"/>
        <rFont val="Arial"/>
        <family val="2"/>
      </rPr>
      <t>Use task range appropriate for structure type.
Short Span Concrete - Task 12.28
Medium Span Concrete - Task 13.55
Structural Steel - Task 14.62
Ranges may be modified to account for damage or deterioration.</t>
    </r>
  </si>
  <si>
    <t>Refer to the Selective Clearing and Grubbing Guidelines. To be determined on a case by case basis.</t>
  </si>
  <si>
    <t xml:space="preserve">2.  Limited Access </t>
  </si>
  <si>
    <t>1.  Rural Multi-Lane</t>
  </si>
  <si>
    <t xml:space="preserve">1.  Urban Multi-Lane </t>
  </si>
  <si>
    <t>2.  Complex Limited Access</t>
  </si>
  <si>
    <t>3.  Interchange Projects</t>
  </si>
  <si>
    <t>1.  Complex Interchange Projects</t>
  </si>
  <si>
    <t>2.  Stand-alone Corridor Lighting Projects</t>
  </si>
  <si>
    <t>Voltage drop calculation for each circuit (typical service point has four branch circuits) to verify that conductors are sized properly.</t>
  </si>
  <si>
    <t>Establishing the lighting master design file to include all applicable  reference files .  This includes all work to create elements showing the alignment in plan view.  Includes design and layout of proposed light poles, conductors and conduit runs, load center locations, pull box, service points, electrical service feed. and efforts required for drafting and clean up of reference files .   Corridor Lighting (LS - Lower Range: 15 hours for set up, and 40 hours per mile including cross roads; Middle Range: 25 hours for set up, and 90 hours per mile including ramps and cross roads, Upper Range:  35 hours for set up and 140 hours per mile including ramps and cross roads (ranges based on project classifications shown in the guidelines for this section).  Per Mile - based on the length of the lighting required to be shown in plan view per the scope of services. Add 8-20 hours for each signalized intersection lighting design.</t>
  </si>
  <si>
    <t>Ancillary Structures Report</t>
  </si>
  <si>
    <t>Condition Evaluation of Signal and Sign Structures, and High Mast Light Poles</t>
  </si>
  <si>
    <t>EA structure</t>
  </si>
  <si>
    <t>Includes span wire, mast arm and overhead signal structures. Includes overhead and bridge mounted sign structures. Perform a physical assessment based on review of existing plans, shop drawings, inspection reports and field observations that includes damage, deterioration, or other potential defects that may cause a reduction in service life or design capacity. Low Range: 20 or more structures. High Range: less than 7 structures.</t>
  </si>
  <si>
    <t>Condition Evaluation of Signal and Sign Structures, and High Mast Light Poles (No As built or Design Plans Available)</t>
  </si>
  <si>
    <t>Concrete Strain Poles: Perform a physical assessment based on field measurement that includes damage, deterioration, or other potential defects that may cause a reduction in service life or design capacity. Low Range: 20 or more structures. High Range: less than 7 structures.</t>
  </si>
  <si>
    <t>Mast Arms: Perform a physical assessment based on field measurements that includes damage, deterioration, or other potential defects that may cause a reduction in service life or design capacity. Low Range: 20 or more structures. High Range: less than 7 structures.</t>
  </si>
  <si>
    <t>Bridge Mounted and Cantilever Sign Structures: Perform a physical assessment based on field measurements that includes damage, deterioration, or other potential defects that may cause a reduction in service life or design capacity. Low Range: 20 or more structures. High Range: less than 7 structures.</t>
  </si>
  <si>
    <t>Overhead Sign Structures. Perform a physical assessment based on field measurements that includes damage, deterioration, or other potential defects that may cause a reduction in service life or design capacity. Low Range: 20 or more structures. High Range: less than 7 structures.</t>
  </si>
  <si>
    <t>High Mast Lights: Perform a physical assessment based on field measurements that includes damage, deterioration, or other potential defects that may cause a reduction in service life or design capacity. Low Range: 20 or more structures. High Range: less than 7 structures.</t>
  </si>
  <si>
    <t>Analytical Evaluation of Signal and Sign Structures, and High Mast Light Poles</t>
  </si>
  <si>
    <t>Includes span wire, mast arm and overhead signal structures. Includes overhead and bridge mounted sign structures. A structural capacity analysis ranging from an estimate based on the Condition Evaluation to a detailed structural analysis. The effort required for the numerical analysis of an existing structure in good condition with no damage or deterioration should be similar to the design effort required for a new structure.</t>
  </si>
  <si>
    <t>Low Range: less than 5 structures. High Range: 20 or more structures.</t>
  </si>
  <si>
    <t>Hydroplaning Analysis</t>
  </si>
  <si>
    <t>Existing Permit Analysis</t>
  </si>
  <si>
    <t xml:space="preserve">Technical Special Provisions and Modified Special Provisions </t>
  </si>
  <si>
    <t>Technical Special Provisions and Modified Special Provisions</t>
  </si>
  <si>
    <t>Technical Special Provisions and Modified Special Provisions Package</t>
  </si>
  <si>
    <t xml:space="preserve">Includes preparation of Technical Special Provisions (TSP) and Modified Special Provisions (MSP) to describe all aspects of construction related to this discipline and not covered by Standard FDOT Specs. </t>
  </si>
  <si>
    <t>Preparation of Technical Special Provisions (TSP) and Modified Special Provisions (MSP) to describe all aspects of mechanical system not covered in the standard FDOT specifications.</t>
  </si>
  <si>
    <t>Includes preparation of Technical Special Provisions (TSP) and Modified Special Provisions (MSP) to describe all aspects of plumbing system not covered by Standard DOT Specs.</t>
  </si>
  <si>
    <t>Technical Special Provisions (TSP) and Modified Special Provisions (MSP) Package</t>
  </si>
  <si>
    <t>Preparation of Technical Special Provisions (TSP) and Modified Special Provisions (MSP) to describe all aspects of fire protection not covered by Standard DOT Specs.</t>
  </si>
  <si>
    <t xml:space="preserve">Technical Special Provisions and Modified Special Provisions Package </t>
  </si>
  <si>
    <t>Includes preparation of Technical Special Provisions (TSP) and Modified Special Provisions (MSP) to describe all aspects of electrical, data, communications, and security systems not covered by Standard DOT Specs.</t>
  </si>
  <si>
    <t>Develop Technical Special Provisions (TSP) and Modified Special Provisions (MSP) as required to supplement the Standard Specifications. The staffhours for this task shall be shown as zero based on assuming that no TSPs or MSPs will be required, except where required TSPs and MSPs can be identified at time of negotiations as follows:  TSPs and MSPs identified by the Consultant from their initial review of the applicable FDOT Standard.</t>
  </si>
  <si>
    <t>Staff hours shown are based on minor modifications to existing Technical Special Provisions (TSP) and Modified Special Provisions (MSP).  Based on 4-12 hours per each modified TSP and MSP.  Newly developed TSPs and MSPs are to be negotiated based on individual basis.  (LS - based on per project)</t>
  </si>
  <si>
    <t xml:space="preserve">Development or incorporation of a Technical Special Provision (TSP) or Modified Special Provision (MSP) for the project  (4 - 12 hours for each modified TSP or MSP.  Newly developed TSPs or MSPs are to be negotiated individually).  </t>
  </si>
  <si>
    <t xml:space="preserve">Based on modifications to each existing Technical Special Provisions (TSP) and Modified Special Provisions (MSP).  Based on 4 - 12 hours per each modified TSP or MSP.  Newly developed TSPs or MSPs are to be negotiated based on individual basis.  </t>
  </si>
  <si>
    <t xml:space="preserve">Development or incorporation of a Technical Special Provision (TSP) or Modified Special Provision (MSP) for the project  (4 - 12 hours for each modified TSP or MSP section.  Newly developed TSPs or MSPs are to be negotiated individually).  </t>
  </si>
  <si>
    <t>Activities include development of required Technical Special Provisions (TSP) and Modified Special Provisions (MSP) and associated plan sheets that are foreseen at the beginning of the project, including a review of the Contract package, if needed.  Minimum staff hours should be allocated to this task for review and editing of existing TSP or MSP and the upper end of the staff hour range should be used when technical special provisions need to be prepared and no Department specifications or guidelines exist for the item in question.  The TSP or MSP shall be specific and precise to the project and shall include requirements for construction, testing and inspection.</t>
  </si>
  <si>
    <r>
      <t xml:space="preserve">Design of interior and cantilever deck reinforcement. Low range: </t>
    </r>
    <r>
      <rPr>
        <sz val="10"/>
        <rFont val="Arial"/>
        <family val="2"/>
      </rPr>
      <t xml:space="preserve">normal, parallel beams. High Range: </t>
    </r>
    <r>
      <rPr>
        <sz val="10"/>
        <rFont val="Arial"/>
        <family val="2"/>
      </rPr>
      <t>skew, variable beam spacing.</t>
    </r>
  </si>
  <si>
    <t>6 to 32</t>
  </si>
  <si>
    <t>9.10</t>
  </si>
  <si>
    <r>
      <t>*Note: refer to Part Six of Manual of Uniform Traffic Control Devices (MUTCD) and Index 102-600 of the FDOT Standard</t>
    </r>
    <r>
      <rPr>
        <strike/>
        <sz val="11"/>
        <rFont val="Arial"/>
        <family val="2"/>
      </rPr>
      <t>s</t>
    </r>
    <r>
      <rPr>
        <sz val="11"/>
        <rFont val="Arial"/>
        <family val="2"/>
      </rPr>
      <t xml:space="preserve">  Plans for basis of safety requirements. Range is based on 1 hour (0.125 day), 2 hours (0.25 day) or 3 hours (0.375 day) per crew day where applicable.</t>
    </r>
  </si>
  <si>
    <t>Includes Cantilevered retaining walls on spread footings, standard plans walls and CIP portion of MSE walls for Overhead sign supports.</t>
  </si>
  <si>
    <t>Design of wall to determine size, reinforcing of elements, and rebar bending diagrams for each different wall design. Low range: standard plans walls, multiple custom designs,  High range: custom designs.</t>
  </si>
  <si>
    <r>
      <t>Incorporate Standard</t>
    </r>
    <r>
      <rPr>
        <sz val="11"/>
        <color rgb="FFFF0000"/>
        <rFont val="Arial"/>
        <family val="2"/>
      </rPr>
      <t xml:space="preserve"> </t>
    </r>
    <r>
      <rPr>
        <sz val="11"/>
        <rFont val="Arial"/>
        <family val="2"/>
      </rPr>
      <t>Plans</t>
    </r>
    <r>
      <rPr>
        <sz val="11"/>
        <color rgb="FFFF0000"/>
        <rFont val="Arial"/>
        <family val="2"/>
      </rPr>
      <t xml:space="preserve"> </t>
    </r>
    <r>
      <rPr>
        <sz val="11"/>
        <rFont val="Arial"/>
        <family val="2"/>
      </rPr>
      <t>into Bridge Plans. Staff hour range is based on number of Standards included (per bridge).</t>
    </r>
  </si>
  <si>
    <r>
      <rPr>
        <b/>
        <sz val="11"/>
        <rFont val="Arial"/>
        <family val="2"/>
      </rPr>
      <t>Optional services (may be negotiated at a later date if needed):</t>
    </r>
    <r>
      <rPr>
        <sz val="11"/>
        <rFont val="Arial"/>
        <family val="2"/>
      </rPr>
      <t xml:space="preserve">
Monitor Existing Structures Coordination:
Includes work required to identify existing structures in need of settlement, vibration and/or groundwater monitoring by the contractor during construction and to coordinate with and assist the EOR and Geotechnical Engineer to develop mitigation strategies.  See</t>
    </r>
    <r>
      <rPr>
        <sz val="11"/>
        <color rgb="FFFF0000"/>
        <rFont val="Arial"/>
        <family val="2"/>
      </rPr>
      <t xml:space="preserve"> </t>
    </r>
    <r>
      <rPr>
        <sz val="11"/>
        <rFont val="Arial"/>
        <family val="2"/>
      </rPr>
      <t xml:space="preserve">FDM Chapter 307 and Chapter 9 of the Soils and Foundations Handbook.
</t>
    </r>
  </si>
  <si>
    <r>
      <t>Typical Mid-range Project</t>
    </r>
    <r>
      <rPr>
        <sz val="10"/>
        <rFont val="Arial"/>
        <family val="2"/>
      </rPr>
      <t xml:space="preserve"> - A mid-range project will typically include additional travel lanes, may include wetland or surface water impacts of less than one half acre and may require mitigation.  Mid-range projects may require authorization for use of Sovereign Submerged Lands and may have involvement with Threatened or Endangered Species.   Examples of typical mid-range projects may include permitting for:</t>
    </r>
  </si>
  <si>
    <r>
      <t>·</t>
    </r>
    <r>
      <rPr>
        <sz val="10"/>
        <rFont val="Arial"/>
        <family val="2"/>
      </rPr>
      <t>  Trails</t>
    </r>
  </si>
  <si>
    <t>·  Local Water Control District Right of Way Occupancy Permit</t>
  </si>
  <si>
    <r>
      <t>·</t>
    </r>
    <r>
      <rPr>
        <sz val="10"/>
        <rFont val="Arial"/>
        <family val="2"/>
      </rPr>
      <t>  USACE (Individual Permit or Regional General Permit)</t>
    </r>
  </si>
  <si>
    <r>
      <t>·</t>
    </r>
    <r>
      <rPr>
        <sz val="10"/>
        <rFont val="Arial"/>
        <family val="2"/>
      </rPr>
      <t>  Local Water Control District Right of Way Occupancy Permit</t>
    </r>
  </si>
  <si>
    <r>
      <t>Typical High-Range Project</t>
    </r>
    <r>
      <rPr>
        <sz val="10"/>
        <rFont val="Arial"/>
        <family val="2"/>
      </rPr>
      <t xml:space="preserve"> – A high-range project will typically include additional travel lanes, wetland or surface water impacts of one half acre or greater, and require mitigation.  High-range projects may require authorization for use of Sovereign Submerged Lands and may have involvement with Threatened or Endangered Species. Examples of typical high-range projects may include permitting for:</t>
    </r>
  </si>
  <si>
    <t>Essential Fish Habitat Impact Analysis</t>
  </si>
  <si>
    <t>Protected Species and Habitat Impact Analysis</t>
  </si>
  <si>
    <t>Collect data necessary and analyze the impacts to wetlands caused by the changes to the project as described in Part 2, Chapter 9 of the PD&amp;E Manual.</t>
  </si>
  <si>
    <t>Collect data necessary and analyze the impacts to essential fish habitat caused by the changes to the project as described in Part 2, Chapter 17 of the PD&amp;E Manual.</t>
  </si>
  <si>
    <t>Collect data necessary and analyze the impacts to wildlife and habitat caused by the changes to the project as described in Part 2, Chapter 16 of the PD&amp;E Manual.</t>
  </si>
  <si>
    <t xml:space="preserve">Coordinate and Review Dredge and Fill Sketches </t>
  </si>
  <si>
    <t>Compensatory Mitigation Plan</t>
  </si>
  <si>
    <t>3.11.1</t>
  </si>
  <si>
    <t>40-80</t>
  </si>
  <si>
    <t>Includes all efforts to comply with the requirements of Title 14 of the Code of Federal Regulations (CFR) Part 77 and the conditions of any Determinations; and coordination with the Department.</t>
  </si>
  <si>
    <t xml:space="preserve">Contract Maintenance and Project Documentation </t>
  </si>
  <si>
    <t>Includes all efforts required to attend and provide support materials for the Risk Assessment Workshop and associated preparatory and follow up Risk Assessment meetings, prepare a risk based cost estimate, and provide follow-up actions as necessary. The Workshop will involve a Risk Preparatory Session (half-day to 1 day plus information assessment), a Risk Assessment Workshop (1 to 3 days), and Risk Follow-Up Meeting (half-day to 1 day).  There will be approximately one Risk Assessment Update meeting every 3 to 6 months (as deemed necessary) during the design to discuss the risks, mitigation strategies and any updates to the Risk Register.  Also includes 4 to 8 hours for meeting preparation and follow-up activities for each meeting.
Hours = LS based on the following hours for each consultant key design staff member needed in attendance: 
= Workshop Preparatory Session: (4 to 8 hrs x # of key consultant staff required)
+ Workshop: (8 to 40 hrs x # of key consultant staff required)
+ Workshop Follow-up Meeting: (4 to 8 hrs x # of key consultant staff required)
+ Update Meetings: (1 to 3 hrs per update meeting x # of key consultant staff required x # of update meetings) 
+ (4 to 8 hrs prep/follow-up x # of meetings)</t>
  </si>
  <si>
    <t>The amount for QA/QC shall be negotiated based on complexities of the structures on the project.  Range shall be from 5 to 10% of the sum of the total hours estimated for the Structures-Technical Subtotal (includes Activities 10 thru 18, as applicable) and the subtotal hours estimated for the Miscellaneous Tasks &amp; Drawings (Activity 9, Tasks 9.1-9.10).</t>
  </si>
  <si>
    <t xml:space="preserve">Based on 3-7% of the sum of the total hours estimated for the Structures - Technical Subtotal (includes Activities 10 thru 18, as applicable) and the subtotal hours estimated for the Miscellaneous Tasks &amp; Drawings (Activity 9, Tasks 9.1-9.10)
Low Range:  high-hour jobs (repetitive-type);  Mid-Range:  typical jobs (rdwy overpass, stream crossings, etc.); High Range: complex jobs. </t>
  </si>
  <si>
    <t>Temporary Traffic Control Plan (TTCP) Analysis</t>
  </si>
  <si>
    <t>Master TTCP Design Files</t>
  </si>
  <si>
    <t>TTCP Level:</t>
  </si>
  <si>
    <t>Roadway Coordination: Coordinate geometry, typical sections, TTCP, drainage, signing, lighting, signalization, construction schedule, submittal requirement, etc. . Low range: rural, low-level bridge widening. Mid range: urban bridge replacement. High Range: interchange improvements and multiple TCP phases.</t>
  </si>
  <si>
    <t>Plan &amp; Elevation, Typical Bridge Section, TTCP staging, aesthetics treatment, special details, Superstructure and Substructure Sections for each Alternatives. Low range: flat slab, pile bents, no TCP, High Range: multi-level, complex geometry &amp; staged construction.</t>
  </si>
  <si>
    <t>Coordination with TTCP and development of staged construction / demolition requirements. Range dependent on complexity.</t>
  </si>
  <si>
    <t>TTCP/Staged Construction Requirements</t>
  </si>
  <si>
    <t>Development of the phased construction details to match the roadway TTCP. Low range: two stages. High Range: three or more stages.</t>
  </si>
  <si>
    <t>Completion of the phased construction details to match the roadway TTCP. Low range: one or two phase(s) defined by typical section. High range: multiple phases, complex framing.</t>
  </si>
  <si>
    <t>Completion of the phased construction details to match the roadwayTTCP. Low range: one or two phase(s) defined by typical section. High range: multiple phases, complex framing.</t>
  </si>
  <si>
    <t>Includes phased construction scheme addressing all major phases of erection.  Show required temporary support locations and associated loads assume in design.  Coordinate temporary support locations with the TTCP.</t>
  </si>
  <si>
    <t xml:space="preserve">TTCP Signal </t>
  </si>
  <si>
    <t xml:space="preserve">Temporary Traffic Control Plans </t>
  </si>
  <si>
    <t>Coordinate and Develop TTCP for Field Investigation</t>
  </si>
  <si>
    <t>This item requires primarily office work for both the planning phase and the coordination of the work.  Typically, a project engineer will perform both functions and will act as a liaison between the field and office personnel during traffic maintenance operations.  In the case of TTCP, the lower staff hour estimate will be used for smaller/less complex projects and the upper range of the staff hour range will be used for large/complex projects.  The range listed is per TTCP mobilization.</t>
  </si>
  <si>
    <t>Coordinate and Develop TTCP Plans for Field Investigation</t>
  </si>
  <si>
    <t xml:space="preserve">This item requires primarily office work for both the planning phase and the coordination of the work.  Typically, a project engineer will perform both functions and will act as a liaison between the field and office personnel during traffic maintenance operations.  In the case of TTCP, the lower staff hour estimate will be used for smaller/less complex projects and the upper range of the staff hour range will be used for large/complex projects.  The range listed is per TTCP mobilization.  </t>
  </si>
  <si>
    <t>·  DEP (Coastal Construction Control Line (CCCL) permit)</t>
  </si>
  <si>
    <t>Adjacent Property Screening Concerns</t>
  </si>
  <si>
    <t xml:space="preserve">Vegetation Survey </t>
  </si>
  <si>
    <t>Tree Survey</t>
  </si>
  <si>
    <t>25.18</t>
  </si>
  <si>
    <t>25.5</t>
  </si>
  <si>
    <t>25.3</t>
  </si>
  <si>
    <t>Conceptual Planting Design</t>
  </si>
  <si>
    <t>Final Planting Design</t>
  </si>
  <si>
    <t>25.4</t>
  </si>
  <si>
    <t>Conceptual Irrigation Design</t>
  </si>
  <si>
    <t>Final Irrigation Design</t>
  </si>
  <si>
    <t xml:space="preserve">Conceptual Hardscape Design </t>
  </si>
  <si>
    <t xml:space="preserve">Final Hardscape Design </t>
  </si>
  <si>
    <t>25.10</t>
  </si>
  <si>
    <t>ENVIRONMENTAL CLEARANCES, REEVALUATIONS, AND TECHNICAL SUPPORT</t>
  </si>
  <si>
    <t>NEPA or SEIR Re-evaluation</t>
  </si>
  <si>
    <t>Collect Data and prepare a Re-evaluation in accordance with Part 1 Chapter 13 of the PD&amp;E Manual.</t>
  </si>
  <si>
    <t>This task includes all of the work necessary to develop and maintain an internet web page for the dissemination of project information, and collection of public comment. The hours needed for this task are 20 to 60 hours to develop the web page (dependent on size and complexity of the web page).  Website maintenance - add 2 to 6 hours per month for the duration of the design to maintain and update the site.  www.fdot.gov/it/consultantsites.shtm provides preliminary guidance for the website development.</t>
  </si>
  <si>
    <t xml:space="preserve">    Context Classification:</t>
  </si>
  <si>
    <t>8. Environmental Permits and Env. Clearances</t>
  </si>
  <si>
    <t>25. Landscape Analysis</t>
  </si>
  <si>
    <t>26. Landscape Plans</t>
  </si>
  <si>
    <t>8. Environmental Permits and Environmental Clearances</t>
  </si>
  <si>
    <t>Landscape Analysis Technical Subtotal</t>
  </si>
  <si>
    <t xml:space="preserve">  Landscape Analysis Nontechnical Subtotal</t>
  </si>
  <si>
    <t>Landscape Plans Technical Subtotal</t>
  </si>
  <si>
    <t>Conduct Wildlife Field Surveys as necessary, including Threatened &amp; Endangered Species (T&amp;E) surveys.  For most low and mid range projects this activity can be accomplished in conjunction with the Wetland survey.  When a separate Species or Wildlife survey is required it should be fully detailed in the scope and hours will be project specific.  Close coordination with the Department's Environmental Management Office will be required for further guidance.</t>
  </si>
  <si>
    <t>Other Landscape Services</t>
  </si>
  <si>
    <t xml:space="preserve">Locate of the horizontal boundary of an area occupied by a species or category of species. 6 to 20 points per hour. </t>
  </si>
  <si>
    <t xml:space="preserve">Locate individual trees or palms within the project limits, The CONSULTANT shall coordinate with the surveyor to identify the individual horizontal location of trees within an identified boundary meeting the specified requirements of size and species.  Size may include trunk diameter at the specified height above grade (usually at breast height- DBH) and the perimeter of its drip line or horizontal extent of its branch/limb structure.  Located trees should be labeled by common name and trunk diameter.  4-20 trees per hour.  </t>
  </si>
  <si>
    <t>Unit of measure is a % of survey crew days to be decided at negotiations', field support and office support hours from tasks 1 through 30 where applicable. Supplemental survey days and hours are to be approved in advance by the District Surveyor or the District Location Surveyor.  Limiting Amount.</t>
  </si>
  <si>
    <t>Includes implementation of QA/QC plan. Also includes subconsultant review, response to comments and any resolution meetings if required, preparation of submittals for review, etc.  (LS based on 5% of office support hours from tasks 1 through 30, where applicable.)</t>
  </si>
  <si>
    <t>Includes all effort required to coordinate survey activities with other disciplines. (LS based on 3% of office support hours from tasks 1 through 30, where applicable.) These activities must be performed by the project supervisor, a Florida P.S.M. or their delegate as approved by the District Surveying Office.</t>
  </si>
  <si>
    <t>Includes all effort required to supervise all survey activities. (LS based on 5% of field support and office support hours from tasks 1 through 34, where applicable.) These activities must be performed by the project supervisor, a Florida P.S.M. or their delegate as approved by the District Surveying Office.</t>
  </si>
  <si>
    <t>Standard intersections and Interchanges</t>
  </si>
  <si>
    <t>Complex intersections and Multiple-Level Interchanges</t>
  </si>
  <si>
    <t>ENVIRONMENTAL PERMITS and ENVIRONMENTAL CLEARANCES GUIDELINES</t>
  </si>
  <si>
    <r>
      <t>·</t>
    </r>
    <r>
      <rPr>
        <sz val="10"/>
        <rFont val="Arial"/>
        <family val="2"/>
      </rPr>
      <t>  DEP/WMD (General Permit)</t>
    </r>
  </si>
  <si>
    <r>
      <t>·</t>
    </r>
    <r>
      <rPr>
        <sz val="10"/>
        <rFont val="Arial"/>
        <family val="2"/>
      </rPr>
      <t>  EPA and/or DEP [National Pollutant Discharge Elimination System (NPDES) Construction General Permit]</t>
    </r>
  </si>
  <si>
    <r>
      <t>·</t>
    </r>
    <r>
      <rPr>
        <sz val="10"/>
        <rFont val="Arial"/>
        <family val="2"/>
      </rPr>
      <t>  Minor activities waterward of the Coastal Construction Control Line (CCCL)</t>
    </r>
  </si>
  <si>
    <r>
      <t>·</t>
    </r>
    <r>
      <rPr>
        <sz val="10"/>
        <rFont val="Arial"/>
        <family val="2"/>
      </rPr>
      <t>  DEP/WMD (Individual Permit)</t>
    </r>
  </si>
  <si>
    <r>
      <t>·</t>
    </r>
    <r>
      <rPr>
        <sz val="10"/>
        <rFont val="Arial"/>
        <family val="2"/>
      </rPr>
      <t>  DEP (CCCL permit)</t>
    </r>
  </si>
  <si>
    <t>· DEP Class V Deep Well Permit</t>
  </si>
  <si>
    <t>ENVIRONMENTAL PERMITS AND ENVIRONMENTAL CLEARANCES</t>
  </si>
  <si>
    <t xml:space="preserve">Prepare per agency criteria and District direction.  </t>
  </si>
  <si>
    <t>Prepare Water Management District or Local Water Control District Right of Way Occupancy Permit Application</t>
  </si>
  <si>
    <t>Archaeological and Historical Resources</t>
  </si>
  <si>
    <t>Collect data necessary to completely analyze the impacts to all cultural and historic resources caused by the changes to the project and prepare a Cultural Resource Assessment Survey Report in accordance with Part 2, Chapter 8 of the PD&amp;E Manual.</t>
  </si>
  <si>
    <t>Perform the necessary analysis to complete the Contamination Screening Evaluation and complete the Contamination Screening Evaluation Report as described in Part 2, Chapter 20, of the PD&amp;E Manual.</t>
  </si>
  <si>
    <t>CLARIFICATION FOR when ONLY Phase I plans are final deliverable, use Task Nos. as shown for applicable bridge types for project Activities 12 thru 16.  Staffhours to be negotiated and scaled appropriately.</t>
  </si>
  <si>
    <t>Details of pedestrian rail, support and connections to brackets and floor beams. Low range: standard plans railing. High range: custom railing.</t>
  </si>
  <si>
    <r>
      <t>All efforts required per intersection for establishing the signal master design file to include reference files of topo, r/w, roadway, pavement markings, utilities files, etc.  Includes the design and layout of proposed signal poles, signal heads, loops, pedestrian signals, conduit, pull boxes, service points</t>
    </r>
    <r>
      <rPr>
        <sz val="11"/>
        <rFont val="Arial"/>
        <family val="2"/>
      </rPr>
      <t>, traffic monitoring sites (not including separate detail sheets), e</t>
    </r>
    <r>
      <rPr>
        <sz val="11"/>
        <color indexed="8"/>
        <rFont val="Arial"/>
        <family val="2"/>
      </rPr>
      <t>tc.  Also includes proposed call outs, pay item numbers, loop detector chart, controller timing chart, signal/ pedestrian head details, sign details, controller notes, signal operating plan, etc. Range based on project classifications shown in the guidelines for this section.</t>
    </r>
  </si>
  <si>
    <t>Landscape  Analysis</t>
  </si>
  <si>
    <t>26. Landscape  Plans</t>
  </si>
  <si>
    <t>Includes establishing or recovering project control (PC) for the purpose of establishing horizontal control on the Florida state plane coordinate system, or approved datum; may include primary or secondary control points. Includes analysis and processing of all field collected data and preparation of forms. (Primary Points: 3 to 5 points per mile; at a range of 1 to 4 crew days) (Secondary Points: 5 to 30 points per mile; at a range of 1 to 4 crew days) The low end of the range is for rural 2-lane; the high end of the range is for urban multi-lane / interstate. Includes delivery of all appropriate electronic files.</t>
  </si>
  <si>
    <t xml:space="preserve">Location (Level A as described in FDOT Design Manual and Utility Accommodations Manual) includes non-destructive excavation to determine size, type and location of existing utility, as necessary for final 3-dimensional verification. Designation (Level B as described in F.D.O.T. Plans Preparation Manual and Utility Accommodations Manual) includes 2-dimensional collection of existing utilities and selected 3-dimensional verification as needed for designation. </t>
  </si>
  <si>
    <t>(Units are based on per linear mile of utility.) (Range is based on 2 to 15 locates per day.) Survey includes collection of data on points as needed for designates and locates. (LS is based on 10% to 40% of designation and location crew days.) Includes analysis and processing of all field collected data, and delivery of all appropriate electronic files. (Survey activities to support level C as described in FDOT Design Manual and Utility Accommodations Manual are described in Task 6, Topography, and Task 7, DTM.)</t>
  </si>
  <si>
    <r>
      <t>Verify the field conditions as related to the collected survey data. LS based on average number of people per meeting x length of meeting x number of meetings. This includes field reconnaissance, recovery of existing control points, and other efforts necessary for approval of proposed P</t>
    </r>
    <r>
      <rPr>
        <strike/>
        <sz val="11"/>
        <rFont val="Arial"/>
        <family val="2"/>
      </rPr>
      <t>N</t>
    </r>
    <r>
      <rPr>
        <sz val="11"/>
        <rFont val="Arial"/>
        <family val="2"/>
      </rPr>
      <t>C points and centerline points.</t>
    </r>
  </si>
  <si>
    <t xml:space="preserve">   ·  DEP Class V deep well permit</t>
  </si>
  <si>
    <t>DEP Coordination &amp; Report</t>
  </si>
  <si>
    <t xml:space="preserve">Includes effort to coordinate Florida Department of Environmental Protection (DEP) review and submit report to include provisions for preventing disorientation of sea turtles as required per DEP. </t>
  </si>
  <si>
    <t>LANDSCAPE GUIDELINES</t>
  </si>
  <si>
    <t>1-3 Sign Faces</t>
  </si>
  <si>
    <t>4-6  Sign Faces</t>
  </si>
  <si>
    <t>7+ Sign Faces</t>
  </si>
  <si>
    <t xml:space="preserve">
12 to 24</t>
  </si>
  <si>
    <t>1. Two-Lane Arterial and Collector Roadways</t>
  </si>
  <si>
    <t>2. New Construction &amp; Reconstruction Projects on Limited Access Roadways with Interchange Spacing &gt; 3 miles</t>
  </si>
  <si>
    <t>3. Resurfacing Projects on Limited Access Roadways with Minor Signing Improvements</t>
  </si>
  <si>
    <t>1. Multi-Lane Arterial and Collector Roadways</t>
  </si>
  <si>
    <t>2. New Construction &amp; Reconstruction Projects on Limited Access Roadways with Interchange Spacing between 2 and 3 miles</t>
  </si>
  <si>
    <r>
      <rPr>
        <sz val="10"/>
        <rFont val="Arial"/>
        <family val="2"/>
      </rPr>
      <t>3. Stand-alone Rural</t>
    </r>
    <r>
      <rPr>
        <sz val="10"/>
        <color rgb="FFFF0000"/>
        <rFont val="Arial"/>
        <family val="2"/>
      </rPr>
      <t xml:space="preserve"> </t>
    </r>
    <r>
      <rPr>
        <sz val="10"/>
        <rFont val="Arial"/>
        <family val="2"/>
      </rPr>
      <t>Interchange Improvements</t>
    </r>
  </si>
  <si>
    <t>2. Stand-alone Urban Interchange Improvements</t>
  </si>
  <si>
    <t>Signing and Pavement Marking Master Design File</t>
  </si>
  <si>
    <r>
      <rPr>
        <strike/>
        <sz val="11"/>
        <color rgb="FFFF0000"/>
        <rFont val="Arial"/>
        <family val="2"/>
      </rPr>
      <t xml:space="preserve">
</t>
    </r>
    <r>
      <rPr>
        <sz val="11"/>
        <rFont val="Arial"/>
        <family val="2"/>
      </rPr>
      <t>Develop master design file showing all signing and pavement markings. Includes all work necessary to create the master design file and design the signing and pavement markings. Lower Range: 30 hours for setup and 40 hours per mile; Middle Range: 45 hours for setup and 90 hours per mile; Upper Range: 60 hours for setup and 140 hours per mile. Add hours at the mainline rate for the total length of ramps and cross streets. Add 4-12 hours per signalized intersection. Add 4-20 hours per intersection for vehicle loops to be included in the Signing and Pavement Marking Plans. Add 2 hours for green-colored pavement marking GIS file(s).</t>
    </r>
  </si>
  <si>
    <t>Lighting Design Analysis Report (LDAR)</t>
  </si>
  <si>
    <t xml:space="preserve">
Provide an LDAR in accordance with the requirements of the FDOT Design Manual. Corridor Lighting: 40-80 hours for proposed corridor lighting. Intersection Lighting: 4-12 hours for each proposed signalized intersection lighting design.</t>
  </si>
  <si>
    <t>Temporary Highway Lighting</t>
  </si>
  <si>
    <t>Develop a Temporary Highway Lighting design and, when required, a Temporary Highway Lighting design file. The Temporary Highway Lighting design must account for all phases of the TTCP and includes the analysis, calculations, and placement of luminaires, supports, conductors, conduits, pull boxes, and electrical power service. Analysis: 20-60 hours. Design File (when required): 8 hours for setup and 40 hours per mile per phase of Temporary Highway Lighting.</t>
  </si>
  <si>
    <t>Temporary Highway Lighting Plan Sheets</t>
  </si>
  <si>
    <t>1. New Construction &amp; Reconstruction Projects on Limited Access Roadways with Interchange Spacing &lt; 2 miles</t>
  </si>
  <si>
    <t>Project Control Sheet</t>
  </si>
  <si>
    <t>Project Control Sheets</t>
  </si>
  <si>
    <t>6a.26</t>
  </si>
  <si>
    <t>6a.28</t>
  </si>
  <si>
    <t>Integrated 3D Drawings</t>
  </si>
  <si>
    <t>Life Safety Plans</t>
  </si>
  <si>
    <t>Site Plans</t>
  </si>
  <si>
    <t>Floor Plans (small scale)</t>
  </si>
  <si>
    <t>Floor Plans (large scale)</t>
  </si>
  <si>
    <t>Exterior Elevations</t>
  </si>
  <si>
    <t>Roof Plans</t>
  </si>
  <si>
    <t>Interior Elevations</t>
  </si>
  <si>
    <t>Rest Room Plans (Enlarged)</t>
  </si>
  <si>
    <t>Rest Room Elevations</t>
  </si>
  <si>
    <t>Building Sections</t>
  </si>
  <si>
    <t>Reflective Ceiling Plans</t>
  </si>
  <si>
    <t>Door Jamb Details and Window Details</t>
  </si>
  <si>
    <t>Exterior Wall Sections</t>
  </si>
  <si>
    <t>Interior Wall Sections</t>
  </si>
  <si>
    <t>Overhead Door Details</t>
  </si>
  <si>
    <t>Curtain Wall Details</t>
  </si>
  <si>
    <t>Signage Details</t>
  </si>
  <si>
    <t>Foundation Plans (Small Scale)</t>
  </si>
  <si>
    <t>Foundation Plans (Large Scale)</t>
  </si>
  <si>
    <t>Slab Plans (Small Scale)</t>
  </si>
  <si>
    <t>Slab Plans (Large Scale)</t>
  </si>
  <si>
    <t xml:space="preserve">Slab Placement Plans </t>
  </si>
  <si>
    <t>Slab Placement Details</t>
  </si>
  <si>
    <t>Foundation Sections</t>
  </si>
  <si>
    <t>Foundation Details</t>
  </si>
  <si>
    <t>Slab Sections</t>
  </si>
  <si>
    <t>Slab Details</t>
  </si>
  <si>
    <t>Roof Framing Plans (Small Scale)</t>
  </si>
  <si>
    <t>Roof Framing Plans (Large Scale)</t>
  </si>
  <si>
    <t>Roof Loading Plans and Details</t>
  </si>
  <si>
    <t>Roof Sections</t>
  </si>
  <si>
    <t>Bearing Wall Sections</t>
  </si>
  <si>
    <t>Bearing Wall Details</t>
  </si>
  <si>
    <t>Column Sections</t>
  </si>
  <si>
    <t>Column Details</t>
  </si>
  <si>
    <t>Plans (Small Scale)</t>
  </si>
  <si>
    <t>Plans (Large Scale)</t>
  </si>
  <si>
    <t>Sections</t>
  </si>
  <si>
    <t>Piping Schematics</t>
  </si>
  <si>
    <t>Control Plans</t>
  </si>
  <si>
    <t xml:space="preserve">Schedules </t>
  </si>
  <si>
    <t>Isometrics (Large Scale)</t>
  </si>
  <si>
    <t>Riser Diagrams</t>
  </si>
  <si>
    <t>Lighting Fixtures Schedules</t>
  </si>
  <si>
    <t>Lighting Fixtures Details</t>
  </si>
  <si>
    <t>Power Plans</t>
  </si>
  <si>
    <t>Power Distribution Riser Diagrams</t>
  </si>
  <si>
    <t>Panel Board Schedules</t>
  </si>
  <si>
    <t>Data Plans</t>
  </si>
  <si>
    <t>Data Details</t>
  </si>
  <si>
    <t>Communication Plans</t>
  </si>
  <si>
    <t>Communication Details</t>
  </si>
  <si>
    <t>Security Alarm System Plans</t>
  </si>
  <si>
    <t>3.3.2</t>
  </si>
  <si>
    <t>Estimated Quantities Report Preparation</t>
  </si>
  <si>
    <t>Cost Estimates</t>
  </si>
  <si>
    <t>Prepare cost estimates for the drainage components, except bridges and earthwork for stormwater management and flood compensation sites.  Includes updates at phase submittals.  Staff hours vary with the number of drainage components.</t>
  </si>
  <si>
    <t>Noise Guidelines</t>
  </si>
  <si>
    <t>NOISE GUIDELINES</t>
  </si>
  <si>
    <t>The staff hour ranges presented in this section represent the work effort that is expected for individual tasks related to modeling a typical roadway project.  Noise analysis ranges are based on the number of noise receptors that have a potential to be impacted by the project. Number of noise receptors is a function of existing land use and roadway context classification.</t>
  </si>
  <si>
    <t xml:space="preserve">  </t>
  </si>
  <si>
    <t>Each alternative is considered a corridor and may be categorized at different ranges of complexity. Specific aspects of each individual project should be considered in negotiating hours for each individual task.  Whenever possible, examples of individual tasks will be included to provide guidance in determining what types of effort are associated with each individual task.</t>
  </si>
  <si>
    <t xml:space="preserve">Any corridor identified with a context classification of C1-Natural; C2-Rural of any length; or C3C-Surban Commercial with no residentials. Factors contributing to a lower classification include: </t>
  </si>
  <si>
    <t>·         Minimal noise sensitive uses in the corridor at a low density of development</t>
  </si>
  <si>
    <t>·         Few cross-roads, interchange ramps or other facilities that require additional modeling effort</t>
  </si>
  <si>
    <t>·         Minimal number of distinct traffic volumes needed to be entered into model</t>
  </si>
  <si>
    <t>·         Simple terrain and roadway cross-sections (minimal terrain or elevation changes that need to be coded in model)</t>
  </si>
  <si>
    <t>·         Minimal public involvement expected since likelihood of noise abatement is low</t>
  </si>
  <si>
    <t xml:space="preserve">Any corridor identified with a context classification of C2T-Rural Town, C3R-Suburban Residential, C3C- Suburban Commercial, or C4-Urban General. Factors contributing to a lower classification include: </t>
  </si>
  <si>
    <t>·        length less or equal to 5 miles (greater length may justify “upper end” classification)</t>
  </si>
  <si>
    <t xml:space="preserve">·        moderate density and number of Noise Sensitive Areas (NSAs) proximate to corridor resulting in moderate number of receptors modeled: </t>
  </si>
  <si>
    <r>
      <t xml:space="preserve">    o</t>
    </r>
    <r>
      <rPr>
        <sz val="7"/>
        <rFont val="Arial"/>
        <family val="2"/>
      </rPr>
      <t xml:space="preserve">    </t>
    </r>
    <r>
      <rPr>
        <sz val="10"/>
        <rFont val="Arial"/>
        <family val="2"/>
      </rPr>
      <t>single family or low-level multi-family residential; mostly single-story properties</t>
    </r>
  </si>
  <si>
    <r>
      <t xml:space="preserve">    o</t>
    </r>
    <r>
      <rPr>
        <sz val="7"/>
        <rFont val="Arial"/>
        <family val="2"/>
      </rPr>
      <t xml:space="preserve">    </t>
    </r>
    <r>
      <rPr>
        <sz val="10"/>
        <rFont val="Arial"/>
        <family val="2"/>
      </rPr>
      <t>churches, schools, outdoor uses (restaurant dining, etc.) or other sensitive receptors</t>
    </r>
  </si>
  <si>
    <r>
      <t xml:space="preserve">    o</t>
    </r>
    <r>
      <rPr>
        <sz val="7"/>
        <rFont val="Arial"/>
        <family val="2"/>
      </rPr>
      <t xml:space="preserve">    </t>
    </r>
    <r>
      <rPr>
        <sz val="10"/>
        <rFont val="Arial"/>
        <family val="2"/>
      </rPr>
      <t>low to moderate number of outdoor “special land use” properties: parks, pools, etc.</t>
    </r>
  </si>
  <si>
    <r>
      <t xml:space="preserve">    o</t>
    </r>
    <r>
      <rPr>
        <sz val="7"/>
        <rFont val="Arial"/>
        <family val="2"/>
      </rPr>
      <t xml:space="preserve">    </t>
    </r>
    <r>
      <rPr>
        <sz val="10"/>
        <rFont val="Arial"/>
        <family val="2"/>
      </rPr>
      <t>few building rows or coded barriers needed</t>
    </r>
  </si>
  <si>
    <t xml:space="preserve">·        Some additional roadway links to be modeled (crossroads, turn lanes, interchange ramps, etc.) of a moderate level of complexity (few curves, few superelevated sections, etc.) </t>
  </si>
  <si>
    <t>·        Moderate numbers of roadway segments with distinct traffic volumes to be input.</t>
  </si>
  <si>
    <t>·        Relatively simple terrain and simple rural/suburban cross section to be included in model</t>
  </si>
  <si>
    <t>·        Moderate public involvement anticipated (potential for some abatement and outreach to a few communities)</t>
  </si>
  <si>
    <t xml:space="preserve"> Upper End of Range Projects</t>
  </si>
  <si>
    <t>Any corridor identified with a context classification of C5-Urban Center or C6-Urban Core of any length; or</t>
  </si>
  <si>
    <t>Any corridor greater than 5 miles identified with a context classification of C2T-Rural Town, 3CR-Suburban Residential, C3C- Suburban Commercial, T3 Suburban Zone, or C4-Urban General);</t>
  </si>
  <si>
    <t>Factors contributing to an upper end classification include:</t>
  </si>
  <si>
    <t>·        large number of distinct NSAs proximate to corridor</t>
  </si>
  <si>
    <t xml:space="preserve">·        Density of NSAs is high resulting in large number of closely-spaced receptors, building rows in model, etc.: </t>
  </si>
  <si>
    <t xml:space="preserve">    o    dense single family or multi-family residential; some or many multi-story properties</t>
  </si>
  <si>
    <t xml:space="preserve">    o    many churches, schools, outdoor uses (restaurant dining, etc.) or other sensitive receptors</t>
  </si>
  <si>
    <t xml:space="preserve">    o    Extensive outdoor “special land use” properties: parks, pools, etc.</t>
  </si>
  <si>
    <t xml:space="preserve">    o    Numerous roadway links to be modeled (highway mainline, ramps, turn lanes, crossroads/overpass/underpass, etc.)</t>
  </si>
  <si>
    <t xml:space="preserve">    o    Complex terrain and/or roadway cross section near NSAs that requires multiple features in model including terrain lines to define cut/fill, bridges, MSE walls, barrier walls, ditches, etc.</t>
  </si>
  <si>
    <t xml:space="preserve">    o    Many traffic volumes to be input for many distinct segments of roadway</t>
  </si>
  <si>
    <t xml:space="preserve">    o    Intensive public involvement anticipated (high likelihood of abatement and outreach to many people or to numerous distinct NSAs).</t>
  </si>
  <si>
    <t>999999-1-32-01</t>
  </si>
  <si>
    <t>Preparation of cost estimate in CSI format. Phase 1, 6 to 12 hours. Phase 2, 20 to 40 hours. Phase 3, 10 to 20 hours</t>
  </si>
  <si>
    <r>
      <t xml:space="preserve">
</t>
    </r>
    <r>
      <rPr>
        <sz val="11"/>
        <rFont val="Arial"/>
        <family val="2"/>
      </rPr>
      <t>See Basis for Staff Hour Range</t>
    </r>
  </si>
  <si>
    <t>3.3</t>
  </si>
  <si>
    <t>Specifications &amp; Estimates</t>
  </si>
  <si>
    <t>Drainage Structures</t>
  </si>
  <si>
    <t>Tree Disposition Plan Guidelines</t>
  </si>
  <si>
    <t>3.3.1</t>
  </si>
  <si>
    <t>Includes project management efforts for complete setup and maintenance of files, electronic folders and documents, developing technical monthly progress reports, schedule updates and compilation and submittal of project documentation. 
(LS based on initial set-up estimated at 16 to 24 hours; 3 to 6 hours per month for update/maintenance; 4 to 12 hours for final project documentation). (Note: Preparation of non-technical -administrative -progress reports, invoices and staff hour estimates cannot be reimbursed.)</t>
  </si>
  <si>
    <t>Prepare USACE Section 408  Application to Alter a Civil Works Project</t>
  </si>
  <si>
    <t>Includes compiling and delivering project documentation in accordance with FDOT Design Manual.</t>
  </si>
  <si>
    <t>Plant Schedule</t>
  </si>
  <si>
    <t>Landscape Guidelines</t>
  </si>
  <si>
    <t>Landscape Analysis</t>
  </si>
  <si>
    <t>Landscape Plans</t>
  </si>
  <si>
    <t>Environmental Permits and Environmental Clearances</t>
  </si>
  <si>
    <t>6a.16</t>
  </si>
  <si>
    <t>25.19</t>
  </si>
  <si>
    <t xml:space="preserve">  See itemized tasks for Specifications &amp; Estimates (Tasks 3.3.1 &amp; 3.3.2).</t>
  </si>
  <si>
    <t>Includes creating and delivering the Key Sheet &amp; Signature Sheet.  Based on 4 hours.  Add 2 hours when a signature sheet is required.</t>
  </si>
  <si>
    <t xml:space="preserve">Review Utility Markups &amp; Work Schedules and Processing of Schedules &amp; Agreements    </t>
  </si>
  <si>
    <t xml:space="preserve">Utility Coordination/Follow-up </t>
  </si>
  <si>
    <t>8.6.1</t>
  </si>
  <si>
    <t>Prepare and submit required documents for USCG coordination</t>
  </si>
  <si>
    <t>8.6.2</t>
  </si>
  <si>
    <t>8.21</t>
  </si>
  <si>
    <t>28.5</t>
  </si>
  <si>
    <t>28.7</t>
  </si>
  <si>
    <t>28.10</t>
  </si>
  <si>
    <t>28.11</t>
  </si>
  <si>
    <t>28.17</t>
  </si>
  <si>
    <t>28.20</t>
  </si>
  <si>
    <t>3.      Repairs and Renovations</t>
  </si>
  <si>
    <t>Miscellaneous Repairs and Renovations, Alterations to Office Space, Fire Code Corrective Work</t>
  </si>
  <si>
    <t>31.141.1</t>
  </si>
  <si>
    <t>GBRS Coordination Meetings</t>
  </si>
  <si>
    <t>Hours include the efforts to review all project documents as required of the commissioning agent during the design phase.  These hours include all disciplines involved in the effort.  This line item would not be needed if the commissioning is being provided by a third party - not by the design and engineering team.</t>
  </si>
  <si>
    <t>GBRS Commissioning</t>
  </si>
  <si>
    <t>31.141.2</t>
  </si>
  <si>
    <t>31.141.3</t>
  </si>
  <si>
    <t>GBRS Green Credit</t>
  </si>
  <si>
    <t>Hours include the efforts to document and obtain certification for buildings.  These hours include all disciplines involved in the effort.  This line item does not include the Certification Costs (registration and review fees) paid directly to the GBRS.</t>
  </si>
  <si>
    <t xml:space="preserve">Low range to verify applicability of Standard Plans. Higher range for ITS sites where Standard Plans are not applicable. </t>
  </si>
  <si>
    <t>See ITS Guidelines: Low range = 8 hrs, Mid range = 16 hrs., Upper range = 32 hrs.</t>
  </si>
  <si>
    <t>Complete and submit USCG Bridge Permit Application</t>
  </si>
  <si>
    <t>Per Mile</t>
  </si>
  <si>
    <t>Rural project with few inlets and outfalls. Based on 2 hours per mile.</t>
  </si>
  <si>
    <t>Based on 4 hours per mile.</t>
  </si>
  <si>
    <t xml:space="preserve">Urban project with many inlets and outfalls.  Based on 6 hours per mile. </t>
  </si>
  <si>
    <t xml:space="preserve">4 to 60 </t>
  </si>
  <si>
    <t xml:space="preserve">Completed as per USCG criteria.  Expansion of the sketches under Task 8.5 with additional information regarding waterway clearances, removal of existing structures, fender system, navigational signage and lighting as required, and MHW/MLW. </t>
  </si>
  <si>
    <t>Basis for Staff Hour</t>
  </si>
  <si>
    <t xml:space="preserve"> Includes creating and delivering the Bridge Hydraulics Recommendation Sheets.  Multiple matching parallel bridges count as one bridge.  Based on 32 hours per bridge.</t>
  </si>
  <si>
    <t xml:space="preserve">Includes creating and delivering the Drainage Structures sheets.  Includes work for Drainage Plan View, Drainage Profiles, Drainage Tabular Information, and Optional Materials Tabulation.  Based on 12 hours plus 1 hour per drainage structure.  Add 3 hours per Drainage Special Detail (includes notes). </t>
  </si>
  <si>
    <t>6b.6</t>
  </si>
  <si>
    <t>Includes supervision and coordination activities associated with the development of Drainage Plans.  Based on 5% of technical subtotal.</t>
  </si>
  <si>
    <r>
      <t xml:space="preserve">1 meeting X number of attendees X (pre-meeting preparation + travel time + meeting duration + preparation of meeting minutes).  Prior to any contact with the UAOs, the Consultant shall meet with the DUO to receive guidance, as may be required, to assure that all necessary coordination will be accomplished in accordance with Department procedures.  Consultant shall bring a copy of the design project work schedule reflecting utility activities.  The Consultant shall be prepared to discuss the projects applied utility schedule logic and current UAO contact information.  </t>
    </r>
    <r>
      <rPr>
        <i/>
        <sz val="11"/>
        <rFont val="Arial"/>
        <family val="2"/>
      </rPr>
      <t>Note: If virtual meeting is held, remove travel time from equation.</t>
    </r>
  </si>
  <si>
    <t>Based on 1 to 20 hours depending on the project length, type, and complexities. Includes Research Time (office and field time) and travel time if applicable.  Identify all Utility Agency Owners (UAOs) in the corridor.  Identification shall include the updated UAO contact information.  Consultant shall contact Sunshine 811, perform a field visit, and review prior FDOT utility permits, reports, existing plans, and surveys provided.</t>
  </si>
  <si>
    <r>
      <rPr>
        <u/>
        <sz val="11"/>
        <rFont val="Arial"/>
        <family val="2"/>
      </rPr>
      <t>Based on 1 hour Per UAO Per Contact.</t>
    </r>
    <r>
      <rPr>
        <sz val="11"/>
        <rFont val="Arial"/>
        <family val="2"/>
      </rPr>
      <t xml:space="preserve">
</t>
    </r>
    <r>
      <rPr>
        <u/>
        <sz val="11"/>
        <rFont val="Arial"/>
        <family val="2"/>
      </rPr>
      <t>(First Contact)</t>
    </r>
    <r>
      <rPr>
        <sz val="11"/>
        <rFont val="Arial"/>
        <family val="2"/>
      </rPr>
      <t xml:space="preserve"> Send letters and plans to each UAO, one set for the utility office, one set each to construction and maintenance office if required.  Request type, size, location, easements, and cost for relocation if applicable.  Send UAO claims for reimbursement to the DUO to be processed as required for the FDOT Legal Office for an opinion on compensable property rights.  Include the meeting schedule (if applicable) and the design schedule.
</t>
    </r>
    <r>
      <rPr>
        <u/>
        <sz val="11"/>
        <rFont val="Arial"/>
        <family val="2"/>
      </rPr>
      <t>(Second Contact)</t>
    </r>
    <r>
      <rPr>
        <sz val="11"/>
        <rFont val="Arial"/>
        <family val="2"/>
      </rPr>
      <t xml:space="preserve"> At a minimum of 4 weeks prior to the meeting, the Consultant  shall transmit Phase II plans and the utility conflict information (if applicable) to each UAO having facilities located within the project limits, and one set to the Department Offices, if required
</t>
    </r>
    <r>
      <rPr>
        <u/>
        <sz val="11"/>
        <rFont val="Arial"/>
        <family val="2"/>
      </rPr>
      <t>(Third Contact)</t>
    </r>
    <r>
      <rPr>
        <sz val="11"/>
        <rFont val="Arial"/>
        <family val="2"/>
      </rPr>
      <t xml:space="preserve"> Identify agreements and assemble packages.  Send agreements, letters, the utility conflict information (when applicable), and plans to the UAOs including all component sets, one set for the utility office, one set to construction and maintenance if required.  Include the design schedule.  Not all projects will have all contacts as described above.  PDF packages are acceptable for all distributions, hard copies and CADD files should be made available if requested by the UAO or District Office.
</t>
    </r>
    <r>
      <rPr>
        <i/>
        <sz val="11"/>
        <rFont val="Arial"/>
        <family val="2"/>
      </rPr>
      <t>Note: Not all projects will have all contacts as described above.</t>
    </r>
  </si>
  <si>
    <t>Based on number of UAO's and number of alternatives (estimate 2 to 6 hours per alternatives).  The Consultant shall be responsible for transmitting the appropriate design reports including but not limited to the RRR report, Preliminary Engineering Report, Project Scope and/or the Concept Report (if applicable) to each UAO in order to identify any design violation that may require a Design Alternative.  The Consultant shall identify and communicate to the UAO any facilities in conflict with their location or the project schedule.  The Consultant shall assist with the processing of design alternatives involving utility facilities with the UAO and The Department.  Assist with processing per the UAM.</t>
  </si>
  <si>
    <r>
      <t xml:space="preserve">1 meeting X number UC/UPM attendees X (travel time + meeting duration)+(pre-meeting preparation + preparation of meeting minutes).  The Consultant shall schedule (time and place), notify participants, and conduct a preliminary utility meeting with all affected UAO(s) for the purpose of presenting the project, review the current design schedule, evaluate the utility information collected, provide follow-up information on compensable property rights from the FDOT Legal Office, discuss the utility work by highway contractor option with each utility, and discuss any future design issues that may impact utilities.  This is also an opportunity for the UAOs to present proposed facilities.   The Consultant shall keep accurate minutes and distribute a copy to all attendees. </t>
    </r>
    <r>
      <rPr>
        <i/>
        <sz val="11"/>
        <rFont val="Arial"/>
        <family val="2"/>
      </rPr>
      <t>Note: If virtual meeting is held, remove travel time from equation.</t>
    </r>
  </si>
  <si>
    <t>Includes time for trips to the field to gather data for conflict resolution/utility issues and/or meetings with UAO(s). Based on the Number of anticipated meetings X number UC/UPM attendees X (travel time + meeting duration)+(pre-meeting preparation + preparation of meeting minutes).  The Consultant shall meet with each UAO as necessary, separately or together, throughout the project design duration to provide guidance in the interpretation of plans, review changes to the plans and schedules, optional clearing and grubbing work, and assist in the development of the UAO’s marked/RGB plans and work schedules. The Consultant is responsible for motivating the UAO to complete and return the necessary documents after each Utility Contact or Meeting.</t>
  </si>
  <si>
    <t>Estimate 1 to 4 hours per UAO depending on the complexity of the utility coordination effort and number of contacts made.  Review UAO's marked plans and data individually as they are received for content, accuracy, utility type, material, and size. Provide to the EOR (designer) for inclusion in the plans.  Forward all requests for UAO reimbursement and supporting documentation to the DUO.</t>
  </si>
  <si>
    <t>Based on the number of Documents and complexity of the utility coordination. Estimate 2 to 6  hours per document.  The Consultant, if requested by the Department, shall transmit to and secure from the UAO the executed subordination agreements prepared by the appropriate Department office.  The Consultant shall coordinate with the DUO the programming of the necessary work program funds to compensate the UAO.</t>
  </si>
  <si>
    <t>Based on pre-meeting preparation time + travel time + meeting duration + preparation of minutes.  The Consultant shall schedule (time and place), notify participants, and conduct a Utility meeting with all affected UAOs.  The Consultant shall be prepared to discuss impacts to existing trees/landscaping and proposed landscaping, drainage, traffic signalization, maintenance of traffic (construction phasing), review the current design schedule and letting date, evaluate the utility information collected, provide follow-up information on compensable property rights from the FDOT Legal Office, discuss with each UAO the utility work by highway contractor option, discuss any future design issues that may impact utilities, etc., to the extent that they may have an effect on existing or proposed utility facilities with particular emphasis on drainage and maintenance of traffic with each UAO.
The intent of this meeting shall be to assist the UAOs in identifying and resolving conflicts between utilities and proposed construction prior to completion of the plans, including utility adjustment details.  Also to work with the UAOs to recommend potential resolution between known utility conflicts with proposed construction plans as may be deemed practical by the UAO. The Consultant shall keep accurate minutes of all meetings and distribute a copy to all attendees.  See Tasks 4.5 and 4.8 for responsibilities concerning the development and maintenance of the utility conflict information, i.e. their location identification and adjustments.</t>
  </si>
  <si>
    <t xml:space="preserve">Estimate 2 to 8 hours X number of Utility documents for each UAO (for example: schedules, agreements, estimates, red-green-brown marked plans, and based on the number of UAOs, length of the project and complexity of the utility impacts).  Review utility marked-up plans and work schedules as they are received for content, and coordinate review with the designer.  Send color markups and schedules to the appropriate Department office(s) such as survey, geotechnical, drainage, structures, lighting, roadway, signals, utilities, landscape architecture, municipalities, maintaining agency, traffic operations, and other Department offices for review and comment if required by the District.  Coordinate with the District for execution.  Distribute Executed Final Documents.  Prepare Work Order for UAO’s if required by the District.  The Consultant shall coordinate with the DUO the programming of the necessary work program funds.  Based on documentation received from the UAO, ensure resolution between UWS conflicts and the proposed construction plans/schedule. </t>
  </si>
  <si>
    <t>Based on complexity of the utility coordination, number of UAO's, and level of effort anticipated to coordinate with the UAO's (estimate 2 to 10 hours for each Utility).  This includes follow-up, interpreting plans, and assisting and the completion of the UAO’s work schedule and agreements.  Includes phone calls, face-to-face meetings, etc., to motivate and ensure the UAO(s) complete and return the required documents in accordance with the project schedule.  Ensure the resolution of all identified conflicts.  This task can be applied to all phases of the project. The Consultant shall keep accurate minutes of all meetings and distribute a copy to all attendees.</t>
  </si>
  <si>
    <t>Based on number of UAO's, complexity of schedules, and amount of coordination with Construction required.  Review utility schedules against construction contract time, and phasing for compatibility. Estimate 1 to 8 hours per UAO.  Coordinate with and obtain written concurrence from the Construction office.</t>
  </si>
  <si>
    <t xml:space="preserve">1 hour per utility.  If requested by the District, this includes transmittal of the contract plans as processed for letting.  Transmittals to UAO(s) via electronic delivery or another agreeable format.   </t>
  </si>
  <si>
    <r>
      <t xml:space="preserve">Based on number of UAO's. Estimate 1 to 2 hours per UAO.  This includes hours for transmitting utility files (all supporting documentation) to the DUO and preparation of the Utility Certification Letter. The Consultant shall certify to the appropriate Department representative the following:
All utility negotiations (Full execution of each agreement, approved Utility Work Schedules, Technical Special Provisions (TSP) and Modified Special Provisions (MSP) written, etc.) have been completed with arrangements made for utility work to be undertaken and completed as required for proper coordination with the physical construction schedule.
</t>
    </r>
    <r>
      <rPr>
        <u/>
        <sz val="11"/>
        <rFont val="Arial"/>
        <family val="2"/>
      </rPr>
      <t>OR</t>
    </r>
    <r>
      <rPr>
        <sz val="11"/>
        <rFont val="Arial"/>
        <family val="2"/>
      </rPr>
      <t xml:space="preserve">  
An on-site inspection was made and no utility work will be involved.
</t>
    </r>
    <r>
      <rPr>
        <u/>
        <sz val="11"/>
        <rFont val="Arial"/>
        <family val="2"/>
      </rPr>
      <t>OR</t>
    </r>
    <r>
      <rPr>
        <sz val="11"/>
        <rFont val="Arial"/>
        <family val="2"/>
      </rPr>
      <t xml:space="preserve">
Plans were sent to the Utility Companies/Agencies and no utility work is required.</t>
    </r>
  </si>
  <si>
    <r>
      <t>Per UAO based on minor UWHC utility work (adjustment of manholes and valve boxes by the contractor) to major UWHC utility work (replacement of water/sewer main, lift station, duct system, etc.).  Per UWHC (8 to 60 hours per UHWC).</t>
    </r>
    <r>
      <rPr>
        <strike/>
        <sz val="11"/>
        <rFont val="Arial"/>
        <family val="2"/>
      </rPr>
      <t xml:space="preserve">
</t>
    </r>
    <r>
      <rPr>
        <sz val="11"/>
        <rFont val="Arial"/>
        <family val="2"/>
      </rPr>
      <t xml:space="preserve">
This includes coordination of utility design effort between the Department and the UAO(s).  The Consultant shall conduct additional coordination meetings, prepare and process the agreements, review tabulation of quantities, perform UWHC constructability and bidability review, coordinate approval of Technical Special Provisions (TSP) and Modified Special Provisions (MSP) prepared by the UAO. This task does not include the utility design effort.  This item is not usually included in the scope at the time of negotiation.  It is normally added as a supplemental agreement when the need is identified.  Effort for the EOR is not included in this task, see Roadway Analysis Task Group 4.  </t>
    </r>
  </si>
  <si>
    <t xml:space="preserve">Complete and Submit Documentation for Coordination and/or USCG Bridge Permit Application </t>
  </si>
  <si>
    <t>Regulatory Agency Support</t>
  </si>
  <si>
    <t>Includes all efforts for regulatory agency support, including but not limited to the preparation of a Statement of Findings or Memorandum for the Record; Public Notice; Findings of Fact; and Biological Opinion. Required work will be defined in the scope and negotiated on a case-by-case basis.</t>
  </si>
  <si>
    <t xml:space="preserve">Includes determination of wetland lines for alignment and preferred pond sites, Normal Pool, Seasonal High-Water, and extent of epibenthic resources.  Includes completion of the involved agencies' wetland assessment program(s) and associated field forms.  Coordinate with survey and review survey points per Scope and Staff hour Estimates Sections 27.17 (Jurisdiction Line Survey) and 27.23 (Water Boundary Survey).  </t>
  </si>
  <si>
    <t>Key Sheet &amp; Signature Sheet</t>
  </si>
  <si>
    <t>Planting Plans For Linear Areas</t>
  </si>
  <si>
    <t>Planting Plans for Non-Linear Areas (Stormwater Facilities, Rest Areas, Interchanges &amp; Toll Plazas)</t>
  </si>
  <si>
    <t>Irrigation Plans for Linear Areas</t>
  </si>
  <si>
    <t>Irrigation Plans for Non-Linear Areas (Stormwater Facilities, Rest Areas, Interchanges and Toll Plazas)</t>
  </si>
  <si>
    <t>4.      Average Complexity</t>
  </si>
  <si>
    <t>5.      Less than average complexity</t>
  </si>
  <si>
    <r>
      <t xml:space="preserve">6. </t>
    </r>
    <r>
      <rPr>
        <sz val="10"/>
        <rFont val="Arial"/>
        <family val="2"/>
      </rPr>
      <t xml:space="preserve">    </t>
    </r>
    <r>
      <rPr>
        <b/>
        <sz val="10"/>
        <rFont val="Arial"/>
        <family val="2"/>
      </rPr>
      <t>Considerably Less Than Average Complexity</t>
    </r>
  </si>
  <si>
    <t>The Architectural Program is a written description of the project, defining use, and size of the facility.  It is the basis of this whole Architectural Development.  More than likely it will be or can be from the Facilities Design Manual (FDM), if it is something that FDOT has previously built.  
It should be written as developed by an Architect.  This comment reflects previous experiences in developing plans for the FDOT “districts”. The previous comment does not necessarily apply to the Turnpike office (TPO).
The “Review” portion is necessary because the project description included in an RFP often provides the Districts design staff interpretation of the FDM and both the RFP and FDM description include items that are at variance with Chapter 3 General Design Guidelines in the FDM.</t>
  </si>
  <si>
    <t>Includes all efforts to prepare general notes, material symbols, legends, and special regulatory requirements. Includes all word &amp; term abbreviations and material symbols used in construction documents. Building Code Review Summary, ADA, and Green Buidling Rating System (GBRS) requirements.</t>
  </si>
  <si>
    <t>Includes all efforts to indicate spatial relationships between buildings, roadway(s) &amp; parking lot(s), landscaping, sidewalks, drainage structures, outdoor furniture &amp; equipment, information kiosks, utilities locations, topography, ADA  and GBRS requirements and details, ETC</t>
  </si>
  <si>
    <t>Preparation of Technical Special Provisions (TSP) and Modified Special Provisions (MSP) following Construction Specifications Institutes divisions 1 thru 14 of the 48 division format describing all products materials and intended use in the project that are not listed in the FDOT specifications. They shall incorproate all GBRS requirements dictated by the credits being pursued by the project (Hours to include such specifications shall be  listed under 31.141).</t>
  </si>
  <si>
    <t>GBRS Certification</t>
  </si>
  <si>
    <t>Hours include the efforts to provide specific green analysis such as green charrettes, project research, energy modeling, solar studies, green specifications, etc. These hours include all disciplines involved in the effort.</t>
  </si>
  <si>
    <t>Bi-weekly 30 minute teleconference meetings to discuss incorporation of green requirements into documents.</t>
  </si>
  <si>
    <r>
      <t xml:space="preserve">Review existing documents: 16 hours
</t>
    </r>
    <r>
      <rPr>
        <u/>
        <sz val="11"/>
        <rFont val="Arial"/>
        <family val="2"/>
      </rPr>
      <t>Prepare System Engineering:</t>
    </r>
    <r>
      <rPr>
        <sz val="11"/>
        <rFont val="Arial"/>
        <family val="2"/>
      </rPr>
      <t xml:space="preserve"> 48 hours for low risk/complexity projects, up to 200 hours for high risk/complexity projects. Add 100 hours if custom software development is required.
</t>
    </r>
    <r>
      <rPr>
        <u/>
        <sz val="11"/>
        <rFont val="Arial"/>
        <family val="2"/>
      </rPr>
      <t>CCTV Subsystem</t>
    </r>
    <r>
      <rPr>
        <sz val="11"/>
        <rFont val="Arial"/>
        <family val="2"/>
      </rPr>
      <t xml:space="preserve">: Low range 2 hours/site; high range 4 hours/site
</t>
    </r>
    <r>
      <rPr>
        <u/>
        <sz val="11"/>
        <rFont val="Arial"/>
        <family val="2"/>
      </rPr>
      <t>Vehicle Detection  and Automatic Vehicle Identification Subsystems</t>
    </r>
    <r>
      <rPr>
        <sz val="11"/>
        <rFont val="Arial"/>
        <family val="2"/>
      </rPr>
      <t xml:space="preserve">: 1 hour/site when co-located with CCTV Subsystem; 2 hours/site for stand-alone detection systems.
</t>
    </r>
    <r>
      <rPr>
        <u/>
        <sz val="11"/>
        <rFont val="Arial"/>
        <family val="2"/>
      </rPr>
      <t>Dynamic Message Sign Subsystems (DMS, Arterial DMS, Embedded DMS, DTBS)</t>
    </r>
    <r>
      <rPr>
        <sz val="11"/>
        <rFont val="Arial"/>
        <family val="2"/>
      </rPr>
      <t xml:space="preserve">: 4-8 hours per site.
</t>
    </r>
    <r>
      <rPr>
        <u/>
        <sz val="11"/>
        <rFont val="Arial"/>
        <family val="2"/>
      </rPr>
      <t>Road Weather Information System (RWIS)</t>
    </r>
    <r>
      <rPr>
        <sz val="11"/>
        <rFont val="Arial"/>
        <family val="2"/>
      </rPr>
      <t xml:space="preserve">: 4-6 hours per site.
</t>
    </r>
    <r>
      <rPr>
        <u/>
        <sz val="11"/>
        <rFont val="Arial"/>
        <family val="2"/>
      </rPr>
      <t>Traffic Signal Data Subsystem</t>
    </r>
    <r>
      <rPr>
        <sz val="11"/>
        <rFont val="Arial"/>
        <family val="2"/>
      </rPr>
      <t xml:space="preserve">: 2-4 hours per site
</t>
    </r>
    <r>
      <rPr>
        <u/>
        <sz val="11"/>
        <rFont val="Arial"/>
        <family val="2"/>
      </rPr>
      <t>Connected and Automated Vehicle (CAV) Subsystems</t>
    </r>
    <r>
      <rPr>
        <sz val="11"/>
        <rFont val="Arial"/>
        <family val="2"/>
      </rPr>
      <t xml:space="preserve">: 4-8 hours per site
</t>
    </r>
    <r>
      <rPr>
        <u/>
        <sz val="11"/>
        <rFont val="Arial"/>
        <family val="2"/>
      </rPr>
      <t>Wrong-way Vehicle Detection Systems (WWVDS)</t>
    </r>
    <r>
      <rPr>
        <sz val="11"/>
        <rFont val="Arial"/>
        <family val="2"/>
      </rPr>
      <t xml:space="preserve">: 2-4 hours per site.
</t>
    </r>
    <r>
      <rPr>
        <u/>
        <sz val="11"/>
        <rFont val="Arial"/>
        <family val="2"/>
      </rPr>
      <t>Structural Health Monitoring (SHMS) Connectivity Subsystem</t>
    </r>
    <r>
      <rPr>
        <sz val="11"/>
        <rFont val="Arial"/>
        <family val="2"/>
      </rPr>
      <t xml:space="preserve">: 2-4 hours per site
</t>
    </r>
    <r>
      <rPr>
        <u/>
        <sz val="11"/>
        <rFont val="Arial"/>
        <family val="2"/>
      </rPr>
      <t>Ramp Signaling Subsystems (RSS)</t>
    </r>
    <r>
      <rPr>
        <sz val="11"/>
        <rFont val="Arial"/>
        <family val="2"/>
      </rPr>
      <t xml:space="preserve">: 4-8 hours per site
</t>
    </r>
    <r>
      <rPr>
        <u/>
        <sz val="11"/>
        <rFont val="Arial"/>
        <family val="2"/>
      </rPr>
      <t>Truck Parking Availability System</t>
    </r>
    <r>
      <rPr>
        <sz val="11"/>
        <rFont val="Arial"/>
        <family val="2"/>
      </rPr>
      <t xml:space="preserve">: 16-24 hours per rest area or parking area covered
</t>
    </r>
    <r>
      <rPr>
        <u/>
        <sz val="11"/>
        <rFont val="Arial"/>
        <family val="2"/>
      </rPr>
      <t>ITS Software Subsystem</t>
    </r>
    <r>
      <rPr>
        <sz val="11"/>
        <rFont val="Arial"/>
        <family val="2"/>
      </rPr>
      <t>: See 33.16 Other ITS Analysis</t>
    </r>
  </si>
  <si>
    <t>Communications Subsystem Analysis</t>
  </si>
  <si>
    <t>Varies with complexity of project.  Low range is for extending existing.  High range is for a stand-alone new project. Add 40 hours if maintenance of communication analysis is required.</t>
  </si>
  <si>
    <t>Grounding, Surge Suppression, and Lightning Protection Analysis</t>
  </si>
  <si>
    <t>1  to 16</t>
  </si>
  <si>
    <t>Varies with complexity of project.  Low range is for extending existing.  High range is for a stand-alone new project.
New stand-alone electrical service points: 4-8 hours per site
Modified electrical service points: 2-4 hours per site
New electrical distribution system: 24-240 hours, depending on length and number of sites connected
Modified electrical distribution system: 40-120 hours, pending on length and number of sites connected, number of changes
New emergency generators: 40 hours per ITS Master Hub site
New emergency generators: 60 hours for distribution system generator
New or modified UPS: 1 hour per site</t>
  </si>
  <si>
    <t xml:space="preserve">Varies with complexity of existing system and available data on existing system. Use ITS Guidelines to determine Range. Low range = 8 hrs, Mid range = 16 hrs., Upper range = 32 hrs. Add 8 hours per local agency with existing ITS elements impacted by the project. </t>
  </si>
  <si>
    <t xml:space="preserve">All efforts required per site for establishing the master design file to include reference files of topo, r/w, roadway, pavement markings, utilities files, etc.  Includes the design and layout of all proposed ITS devices and electrical service points, conduits, pull boxes, conductor sizing, generators, and transformers. Use Upper Range for projects with both general use and express lanes. </t>
  </si>
  <si>
    <t xml:space="preserve">All efforts required for establishing the communications master design file to include reference files of topo, r/w, roadway, utilities files, existing ITS communications infrastructure, etc.  Includes design and layout of proposed communications conduit, field cabinets, devices, pull and splice boxes, standard route markers, communications plan overview, fiber optic sizing, fiber optic splicing, connections, communication hubs, etc. Use Upper Range for projects located on routes managed by local agencies. Add 10 hours per mile for projects segments with both general use and express lanes. </t>
  </si>
  <si>
    <t>ITS Poles and Overhead Structures Elevation Analysis</t>
  </si>
  <si>
    <t>Includes effort to determine CCTV field of view; elimination of occlusion; site access for maintenance vehicles and personnel; access to pole mounted equipment, such as CCTV cameras, traffic detectors, and cabinets; and probability of lightning strike at proposed pole locations (2 hours for the first location and 1 hour for each additional location). Videographic CCTV Study = 8 hrs per site. When applicable, add 1 hour per site to coordinate ITS structure heights, lengths, foundation depths, and sizes with roadway, structures, and drainage disciplines. Note: ITS Structure Design and Plans are covered by Tab 18 Structures-Miscellaneous.</t>
  </si>
  <si>
    <t>DMS Sign Panel Design Analysis</t>
  </si>
  <si>
    <t xml:space="preserve">Establish sign layout, text sizes and run sign design software for any static sign panels that include changeable message elements. Also applies to determining pixel pitch, character height, characters per line, character spacing, dimensions, and weight of DMS, ADMS, Embedded DMS, and DTBS signs. Coordinate DMS with master signing analysis and plans.  </t>
  </si>
  <si>
    <t>Includes all efforts for a ITS task not covered by an existing defined task, such as, ITS software development, design of ITS Communication Master Hubs, wireless ITS communication infrastructure, environmental permitting, etc.  Required work will be defined in the scope and negotiated on a case-by-case basis.</t>
  </si>
  <si>
    <t>Includes using traffic observations and safety information to determine DMS, CCTV, and detector locations per device. Add up to 40 additional hours, when required, to use existing traffic data to determine time periods when construction activities can be performed. Range based on project classifications shown in the guidelines</t>
  </si>
  <si>
    <t>Meetings with Local or Departmental staff such as meetings with Traffic Operations, Design, Construction,  progress review, phase review, etc. (Based on the average number of people, the length of the trip and the number of trips).</t>
  </si>
  <si>
    <r>
      <t xml:space="preserve">Detailed analyses of selected alternate(s) include axial capacities, lateral load parameters, settlement, scour resistance, and downdrag.  Review results of Structural Engineer’s lateral load analysis for geotechnical compatibility.  </t>
    </r>
    <r>
      <rPr>
        <b/>
        <sz val="11"/>
        <rFont val="Arial"/>
        <family val="2"/>
      </rPr>
      <t xml:space="preserve">Subtract Selection of Foundation Alternatives (35.37) hours.  </t>
    </r>
    <r>
      <rPr>
        <sz val="11"/>
        <rFont val="Arial"/>
        <family val="2"/>
      </rPr>
      <t>Projects with complex foundations, large foundations, deep foundations, or foundations that may be at risk for impact or other dynamic considerations (scour, vibration, moments, etc.) will require a greater number of staff hours to perform a detailed analysis.  Overall project size is not a consideration in determining staff hours for this task item.  This task includes all installation table information applicable to the selected foundation.</t>
    </r>
  </si>
  <si>
    <t>The recommendations may include foundation installation limitations, evaluation of available pile driving equipment for drivability and energy transfer considerations, and static/dynamic load testing equipment that may be required for testing programs.  Additional recommendations may include SPT borings during construction at drilled shaft locations, vibration monitoring during pile driving, temporary or permanent cofferdams, gabion rip-rap installation plans, or other special considerations that may be required based on the foundation alternatives and local conditions.  Pile or shaft requirement recommendations are included in this task.  Estimated effort is anticipated to range between 10% and 25% of Selection of Foundation Alternatives (35.37) hours added to the Detailed Analysis of Selected Foundation Alternate(s) (35.38) hours.</t>
  </si>
  <si>
    <t>Hours negotiated are per report.  This report shall include a comprehensive evaluation of the recommended foundation type, including discussion generated from comments from the District Geotechnical engineer and the designer.  All types of loading should be discussed and the report should include all items previously discussed in items 35.36 and 35.42.  Recommendations for walls associated with the structure or integral to the structure shall include a complete evaluation including bearing capacity, settlement, stability and all other information pertinent to the type of wall selected.  Includes all activities to produce report, including authoring report by project engineer plus senior engineer review, word processing, report production, and response to FDOT comments.  Consideration should be given for length and complexity of project when determining allowed staff hours.  Staff hour basis is estimated to be between 25% to 50% of Detailed Analysis (35.38), Design Parameters (35.41 and/or 35.42), and Construction and Testing Recommendations for Bridge (35.39) and associated wall staff hours.  A minimum of 28 hours should be allowed for each bridge structure and associated wall system.  Upper range 
of the percentage is for a small single structure with few borings and the lower end 
of the percentage is for large bridges and associated wall structures with a large 
number of bridge borings and significant analysis hours.</t>
  </si>
  <si>
    <t>Hours negotiated are per report.  Includes all activities to produce report, including authoring report by project engineer, senior engineer review, word processing, report production and responding to FDOT comments.  Consideration should be given for length and complexity of project when determining allowed staff hours.  Staff hour basis is estimated to be approximately 40% of Design Soil Parameters and Geotechnical Recommendations (35.43) and Box Culvert Analysis (35.44) hours. This percentage is not applicable to projects containing very long walls.  If no other structure, other than box culvert and/or a wall is included on the project, the discussion and reporting will be included in the Roadway Report rather than a separate submittal. However, the hours are determined in this section.  A minimum of 3-hours should be allowed for Box Culvert/Wall discussions included in Roadway Report.</t>
  </si>
  <si>
    <t>Written notification to property owners is typically a Department function and, therefore, excluded.  Basis for hours should be the number of houses/property tenants to notify in person for coordination of field activities, if required.  Activities include travel time to the site, travel time between properties and time for notification.  Time of notification is estimated to be typically 15-minutes per house/property tenant.  The work included in this item is solely intended to allow some time for the field personnel to personally knock on an owners/tenants door and explain that drilling will be occurring on that property.  This item is not necessarily dependent on the size/complexity of the project; rather it is much more related to the number of homes/residents that need to be notified.  In dense urban areas, there will be a greater number of residents/homeowners to notify than in a rural area.  It is anticipated that only a single notification will be required per property clearance.</t>
  </si>
  <si>
    <t>(Each Trip) Primary basis for activity is recording piezometers levels.  Activities include travel time to and from the project site and time to measure and record piezometers water levels.  Typical staff hour range is estimated between 20 and 40 minutes for each water level reading.  Unit is per each mobilization.  This activity is strongly dependent on the size and complexity of the project.  The larger/more complex projects require a greater number of piezometers to be installed and monitored; therefore, more time will be required for each monitoring mobilization.  Additionally, some Districts are more geographically distant from end to end than others.  The Districts in which travel from the Geotechnical engineer’s office to the project site require a great deal of travel need to allow a greater number of staff hours for travel to and from the project site.</t>
  </si>
  <si>
    <t>Maximum hour range includes Design LBR report, if required.  Effort for this task is estimated to be 8 tests per hour, 1-hour minimum plus time to produce letter report (if required).  The staff hours for this activity are somewhat dependent on the size and complexity of the project.  A small/simple project with few LBRs and without a report will require only 1 to 2 hours to complete this task.  A complex/large project with a letter report might require up to 16 staff hours for task completion.  The geotechnical engineer will need between 1 to 12 hours to determine the design LBR with an average of 8 LBR samples reviewed per hour, plus between 1 and 4 hours to produce the letter report.</t>
  </si>
  <si>
    <t>Production rate is estimated at 30 borings per hour, minimum 1 hour. This item is a combination of two phases of work during the project life.  The first part is for the preliminary phase of the project where typically the geotechnical engineer will take a roadway plan sheet, identify any known conflicts, identify any previous and/or historical borings that may have been taken in the area, and place some dots on the plan to identify preliminary boring locations.  This effort is estimated to require a staff hour range of between 1 and 4 hours depending on the size and complexity of the project.  The second phase of work typically requires a much greater level of investigation into all potential conflicts and historical borings in addition to a much greater number of borings to place on a plan sheet.  Placement of the second phase borings frequently is driven in part by the soil properties identified in the first phase of this investigation.  In particular, where the geotechnical engineer has identified a potential problem soil, a greater number of borings will be required to define the limits of unsuitable material.  
Again, the number of hours estimated for this task during each phase of work is 
based on the size and complexity of the project.  Staff hour estimates range from 2 
to 32 hours for the second phase of this task.  The larger and more complex 
projects will require a greater number of hours.</t>
  </si>
  <si>
    <t>Activity includes calls to utility companies plus single source utility location firms.  Maximum time per boring should be estimated on minimum job and vice-versa.  Activities are anticipated to be telephone calls, travel time to and from site, and time to stake each boring.  This item includes both field and office work.  The office work involved for either a large/complex project or a small/simple project is approximately equal.  The developers of this range determined that the minimum staff hour range (0.2 hours per boring) is most appropriate to use for a large/complex project because the travel time to and from the project site to stake the borings is divided over a much larger number of borings and therefore the time to stake each boring is effectively reduced.  The smaller projects require essentially the same amount of time to travel to and from the project site, however, since there are fewer borings over which to distribute the travel time, the time allowed per boring should be much greater (up to 0.5 hours per boring).  Consideration should be given to the actual anticipated travel time.  Additional consideration should be given for difficult 
access locations which may require clearing, mud-bugs, etc.; difficult access is 
not included in the ‘standard' range for this task.  Special consideration and 
additional staff hours should be granted to the geotechnical engineer for anticipated 
difficult drilling access.  The staff hour range assumes a single location (area) with 
a single mobilization for drilling.</t>
  </si>
  <si>
    <t>Written notification to property owners is typically a Department function and therefore excluded.  Basis for hours should be the number of houses/property tenants to notify in person for coordination of field activities, if required.  Activities include travel time to the site, travel time between properties, and time for notification.  Time of notification is estimated to be typically 15-minutes per house/property tenant.  The work included in this item is solely intended to allow some time for the field personnel to personally knock on an owners/tenants door and explain that drilling will be occurring on that property.  This item is not necessarily dependent on the size/complexity of the project; rather it is much more related to the number of homes/residents that need to be notified.  In dense urban areas, there will be a greater number of residents/homeowners to notify than in a rural area.  It is anticipated that only a single notification will be required per property clearance.</t>
  </si>
  <si>
    <t>Includes creating and delivering the Non-Linear Area Plans Sheets (Standalone Intersection Projects).  Based on 4 hours for each intersection, mid-block crossing, or similar lighting applications.  Based on 24 hours per interchange or rest area.</t>
  </si>
  <si>
    <t>Signalization Plans Sheets</t>
  </si>
  <si>
    <t>This task includes developing an Estimated Quantities (EQ) Report beginning with Phase III submittal and for all subsequent submittals. Includes loading category information, pay items, and quantities into Designer Interface for AASHTOWare
Project Preconstruction (PrP). Includes QA/QC efforts associated with AASHTOWare PrP and the Estimated Quantities Report. 
Based on 16 hours, plus 2 hours for each component. Drainage is treated as a component. Consider adding 4 hours when required to include EQ Report with Phase II submittal.</t>
  </si>
  <si>
    <t>Roadway Quantities for EQ Report</t>
  </si>
  <si>
    <t xml:space="preserve">Drainage Quantities for EQ Report </t>
  </si>
  <si>
    <r>
      <rPr>
        <sz val="11"/>
        <rFont val="Arial"/>
        <family val="2"/>
      </rPr>
      <t xml:space="preserve">Includes all work required to determine structures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t>
    </r>
    <r>
      <rPr>
        <strike/>
        <sz val="11"/>
        <rFont val="Arial"/>
        <family val="2"/>
      </rPr>
      <t xml:space="preserve">
</t>
    </r>
    <r>
      <rPr>
        <sz val="11"/>
        <rFont val="Arial"/>
        <family val="2"/>
      </rPr>
      <t>Based on 16 hours for the first bridge, 12 hours per bridge for bridges 2 - 6, and 8 hours per bridge for bridges 7 and greater.</t>
    </r>
    <r>
      <rPr>
        <strike/>
        <sz val="11"/>
        <rFont val="Arial"/>
        <family val="2"/>
      </rPr>
      <t xml:space="preserve">
</t>
    </r>
    <r>
      <rPr>
        <sz val="11"/>
        <rFont val="Arial"/>
        <family val="2"/>
      </rPr>
      <t>Based on 2 hours per wall segment and 2 hours per box culvert.</t>
    </r>
  </si>
  <si>
    <t>Structures Quantities for EQ Report</t>
  </si>
  <si>
    <t>S&amp;PM Quantities for EQ Report</t>
  </si>
  <si>
    <t>Includes creating and delivering the General and Pay Item Notes Sheet.  Based on 6 hours for simple (primarily standardized notes), 9 hours for standard (mix of standardized notes and project-specific notes), and 12 hours for complex (primarily project-specific notes).</t>
  </si>
  <si>
    <t xml:space="preserve">Includes creating and delivering the Project Layout Sheet.  Includes overview of the entire project and may include stations, intersection locations, project limits and plan sheet coverage.  Should be used only when necessary (large projects or spaced out projects). Based on 6 hours.  </t>
  </si>
  <si>
    <t>Includes creating and delivering the Special Details.  Based on 2 hours per detail for simple details (details that require no engineering analysis, minor details, manufacturer or FDOT provided details), 4 hours per detail for standard details (details that require some engineering and are site or project specific (e.g., gore markings, cross walk markings, pedestrian and bicycle markings, sign placement)), and 6 hours per detail for complex details (details that are highly unique or based on new technologies).</t>
  </si>
  <si>
    <t>Includes creating and delivering the Special Service Point Details Sheets when not provided in the Lighting Plans.  Based on 4 hours for each simple detail (retrofit or modification to existing service point) and 8 hours for each standard detail (new service point).</t>
  </si>
  <si>
    <t xml:space="preserve">Includes creating and delivering the Guide Sign Data Sheets. Based on 2 hours per sign that must be imported from the guide sign program. </t>
  </si>
  <si>
    <t xml:space="preserve">Includes all QA/QC activities associated with the development of Signing and Pavement Marking Plans, and addressing ERC Phase Review comments.  Based on 5% of technical subtotal. </t>
  </si>
  <si>
    <t xml:space="preserve">Includes supervision and coordination activities associated with the development of Signing and Pavement Marking Plans.  Based on 5% of technical subtotal. </t>
  </si>
  <si>
    <r>
      <rPr>
        <sz val="11"/>
        <rFont val="Arial"/>
        <family val="2"/>
      </rPr>
      <t>Includes creating and delivering the Plans Sheets.  Based on 14 hours per mile for lower range projects and 21 hours per mile for mid and upper range projects.  The length should be Begin Project to End Project along mainline less project exceptions.  Do not include side streets, crossroads, or interchange ramps in the length.  Add 2 hours for each mid-block crossing or signalized intersection, add 4 hours for each interchange or roundabout, and 8 hours for each rest area or toll facility.</t>
    </r>
    <r>
      <rPr>
        <strike/>
        <sz val="11"/>
        <rFont val="Arial"/>
        <family val="2"/>
      </rPr>
      <t xml:space="preserve">  </t>
    </r>
  </si>
  <si>
    <t>Guide Sign Data</t>
  </si>
  <si>
    <t>Cross Sections (Sign Installations)</t>
  </si>
  <si>
    <t>Signing &amp; Pavement Marking Plans Technical Subtotal
Technical Subtotal</t>
  </si>
  <si>
    <t>Signalization Quantities for EQ Report</t>
  </si>
  <si>
    <t>Includes all work required to determine signalization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Based on 20 hours for the first signalized intersection, plus 4 hours for each additional signalized intersection.</t>
  </si>
  <si>
    <t>Includes creating and delivering the Key Sheet &amp; Signature Sheet.  Key Sheet based on 4 hours.  Add 2 hours when a signature sheet is required.</t>
  </si>
  <si>
    <t>Includes creating and delivering the Signalization Plan Sheets.  Based on 2 hours per signalized intersection for low range,  4 hours per signalized intersection for mid range, and 6 hours per signalized intersection for upper range.</t>
  </si>
  <si>
    <t>Includes creating and delivering the Interconnect Plan Sheets.  Based on 21 hours per mile for mid range projects, and 28 hours per mile for upper range projects. Interconnect Plans are typically not necessary for low range projects.</t>
  </si>
  <si>
    <t xml:space="preserve">Includes creating and delivering the Guide Sign Data Sheets. Based on 2 hours per street name sign that must be imported from the guide sign program. </t>
  </si>
  <si>
    <t>Includes creating and delivering the Special Service Point Details Sheets showing the load center, pull boxes, conduit, circuits, notes, and connection to the power service (if the standard plans are not applicable).  Based on 4 hours for each simple detail (retrofit or modification to existing service point) and 8 hours for each standard detail (new service point).</t>
  </si>
  <si>
    <t>Includes creating and delivering the Mast Arm/Monotube Tabulation Sheets showing the schedule detail chart for steel mast arms and mono tubes.  Based on 1 hour per each single mast arm and 2 hours per each double mast arm.</t>
  </si>
  <si>
    <t>Includes creating and delivering the Strain Pole Data Sheets showing the schedule detail chart for strain poles.  Based on 2 hours per each span.</t>
  </si>
  <si>
    <t xml:space="preserve">Includes creating and delivering the TTCP Signal Sheets showing plan, notes and details.  Includes CADD work.  For up to three phases, based on 16 hour per intersection for low and mid range complexity and 24 hours per intersection for upper range complexity.  Add 8 hours per intersection where temporary pedestrian signals are needed. </t>
  </si>
  <si>
    <t xml:space="preserve">Includes creating and delivering the Temporary Detection Sheets.   Based on 4 hours per intersection where temporary detection is required, includes effort for all phases of TTCP. </t>
  </si>
  <si>
    <t xml:space="preserve">Includes all QA/QC activities associated with the development of Signalization Plans, and addressing ERC Phase Review comments.  Based on 5% of technical subtotal. </t>
  </si>
  <si>
    <t xml:space="preserve">Includes supervision and coordination activities associated with the development of Signalization Plans.  Based on 5% of technical subtotal. </t>
  </si>
  <si>
    <r>
      <rPr>
        <sz val="11"/>
        <rFont val="Arial"/>
        <family val="2"/>
      </rPr>
      <t>Includes creating and delivering the Traffic Monitoring Site Sheets.  Based on 4 hours per traffic monitoring site for loop detection, or 8 hours per site for other forms of detection.</t>
    </r>
    <r>
      <rPr>
        <strike/>
        <sz val="11"/>
        <rFont val="Arial"/>
        <family val="2"/>
      </rPr>
      <t xml:space="preserve">   </t>
    </r>
  </si>
  <si>
    <r>
      <rPr>
        <sz val="11"/>
        <rFont val="Arial"/>
        <family val="2"/>
      </rPr>
      <t xml:space="preserve">Includes creating and delivering the Special Details. Based on 1 hour per simple detail that require no engineering analysis (e.g., Ped Pole, VVH data/foundation, Department provided details), 2 hours per standard detail (e.g., Signal/Sign Attachment), and 4 hours per complex detail (e.g., Connected Vehicle). </t>
    </r>
    <r>
      <rPr>
        <strike/>
        <sz val="11"/>
        <rFont val="Arial"/>
        <family val="2"/>
      </rPr>
      <t xml:space="preserve"> </t>
    </r>
  </si>
  <si>
    <t>Lighting Quantities for EQ Report</t>
  </si>
  <si>
    <t>Includes all work required to determine lighting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Based on 20 hours for &lt;= 8 proposed light poles, plus 0.5 hour for each additional pole.</t>
  </si>
  <si>
    <t xml:space="preserve">Includes creating and delivering the Pole Data, Legend &amp; Criteria Sheets.  Modify general legend description, wind speed, uniformity ratios, develop pole data, pull station and offset of each pole and update pole descriptions.  Based on 5 hours for Legend &amp; Criteria.  Based on 0.2 hours per pole for the Pole Data Schedule. (Round up to the nearest hour) </t>
  </si>
  <si>
    <t>Includes creating and delivering the Project Layout Sheet. Includes overview of the entire project and may include stations, intersection locations, project limits and plan sheet coverage.  Should be used only when necessary (large projects or spaced out projects). Based on 6 hours.</t>
  </si>
  <si>
    <t xml:space="preserve">Includes creating and delivering the Linear Area Plans Sheets.  Based on 4 hours for the set-up of the sheet and 8 hours per mile of project length.  (Total length includes ramp and crossroad lengths as well as all intersections, mid-block crossings, or similar lighting applications within the corridor)  </t>
  </si>
  <si>
    <t xml:space="preserve">Includes decorative lighting, under deck, bridge cross section, plan view, tags, labels, call out identifications, special notes and reference to bridge plans.  Based on 4 hours per simple detail (details that require no engineering analysis, minor details, manufacturer or FDOT provided details) and 8 hours per standard detail (details that require engineering analysis and must be created).  Based on 12 hours per complex detail for the first detail and 8 hours for each additional complex detail (under deck lighting details or details based on new technologies). </t>
  </si>
  <si>
    <t>Includes creating and delivering the Service Point Details.  Provide notes directing the type of service point feed, (underground /overhead) length of conductor and disconnect location for load center, panel schedule and panel details, and pay item numbers. Special details if required. Provide description and notes.  Based on 6 hours for each simple detail (retrofit or modification to existing service point), 12 hours for each standard detail (new lighting service point), and 16 hours for each complex detail (high mast service point).</t>
  </si>
  <si>
    <t>Includes creating and delivering the Temporary Highway Lighting Sheets. Includes plans, notes and details.  The requirements for Temporary Highway Lighting is unique and requires independent negotiations.  Typically, this effort is between 16 to 48 hours to complete.</t>
  </si>
  <si>
    <t xml:space="preserve">Includes all QA/QC activities associated with the development of Lighting Plans, and addressing ERC Phase Review comments.  Based on 5% of technical subtotal. </t>
  </si>
  <si>
    <r>
      <rPr>
        <sz val="11"/>
        <rFont val="Arial"/>
        <family val="2"/>
      </rPr>
      <t>Includes supervision and coordination activities associated with the development of Lighting Plans.  Based on 5% of technical subtotal.</t>
    </r>
    <r>
      <rPr>
        <strike/>
        <sz val="11"/>
        <rFont val="Arial"/>
        <family val="2"/>
      </rPr>
      <t xml:space="preserve"> </t>
    </r>
  </si>
  <si>
    <t>Plan Sheets (Corridor Projects)</t>
  </si>
  <si>
    <t>Plan Sheets (Isolated Areas not within a Corridor Project)</t>
  </si>
  <si>
    <t>24.7</t>
  </si>
  <si>
    <t>Landscape Quantities for EQ Report</t>
  </si>
  <si>
    <t>Sheet no longer produced.</t>
  </si>
  <si>
    <t>ITS Quantities for EQ Report</t>
  </si>
  <si>
    <t>Includes all work required to determine ITS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Based on 24 hours for &lt;= 6 proposed ITS Installations (Poles, Base-Mounted Cabinet, DMS, HUB), plus 2 hours for each additional ITS Installation.</t>
  </si>
  <si>
    <r>
      <t xml:space="preserve">Includes work effort to provide Roadway EOR guidance on the radius to review existing structures for monitoring.  
Lump sum is based on:
1 to 4 hours to provide Roadway EOR guidance based on review of aerial photos, pictures and soil borings. Low end of range is for projects with homogeneous soil conditions; high range is for projects with multiple soil conditions.
</t>
    </r>
    <r>
      <rPr>
        <b/>
        <sz val="11"/>
        <rFont val="Arial"/>
        <family val="2"/>
      </rPr>
      <t xml:space="preserve">
Optional services (may be negotiated at a later date if needed):</t>
    </r>
    <r>
      <rPr>
        <sz val="11"/>
        <rFont val="Arial"/>
        <family val="2"/>
      </rPr>
      <t xml:space="preserve">
Includes work required to identify existing structures in need of settlement, vibration and/or groundwater monitoring by the contractor during construction and to coordinate with the EOR and Structural Engineer (when applicable) to develop mitigation strategies.  See FDM Chapter 117 and Chapter 9 of the Soils and Foundations Handbook. 
8 to 32 hours of field visits depending on size/location of the project including travel time and coordination meetings with EOR and structures engineer (if needed), and 
1 to 6 hours to prepare appropriate recommendation notes for geotechnical report and Plans (if any).  
The low end of the staff hour range includes a relatively simple project with one or two known existing structures/facilities of concern.  The upper end of the staff hour range includes complex projects with known sensitive structures/facilities, such as hospitals and many structures/facilities of concern in the proximity of construction zone.</t>
    </r>
  </si>
  <si>
    <t>Standard Plans - Bridges</t>
  </si>
  <si>
    <r>
      <t xml:space="preserve">Includes all work required to determine signing and pavement marking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The "Begin Project" and "End Project" mileposts are the basis for computing the project length. The below equations are appropriate for project lengths up to 10 miles.  The hours per additional mile should be halved for the length of project that exceeds 10 miles to account for efficiencies.
</t>
    </r>
    <r>
      <rPr>
        <b/>
        <sz val="11"/>
        <rFont val="Arial"/>
        <family val="2"/>
      </rPr>
      <t>Low Range Projects:</t>
    </r>
    <r>
      <rPr>
        <sz val="11"/>
        <rFont val="Arial"/>
        <family val="2"/>
      </rPr>
      <t xml:space="preserve"> Based on 16 hours for the first mile of project length, plus 2 hours for each additional mile. Add 4 hours for each interchange or rest area. 
</t>
    </r>
    <r>
      <rPr>
        <b/>
        <sz val="11"/>
        <rFont val="Arial"/>
        <family val="2"/>
      </rPr>
      <t>Middle and Upper Range Projects:</t>
    </r>
    <r>
      <rPr>
        <sz val="11"/>
        <rFont val="Arial"/>
        <family val="2"/>
      </rPr>
      <t xml:space="preserve"> Based on 20 hours for the first mile of project length, plus 4 hours for each additional mile. Add 4 hours for each interchange or rest area.
</t>
    </r>
  </si>
  <si>
    <t>Includes creating and delivering the Cross Sections (Sign Installations).  Based on 3 hours for each multi-post sign installation that will be shown in the plans when required by the District. Based on 6 hours for each standard overhaed sign structure (one sign panel) and 9 hours for each complex overhead sign structure (multiple sign panels).</t>
  </si>
  <si>
    <t>Planting Details</t>
  </si>
  <si>
    <t>Irrigation Details</t>
  </si>
  <si>
    <t>Hardscape Plans</t>
  </si>
  <si>
    <t>Desktop review and preliminary field review for each pond site alternative for suitability as required. Estimate 0 to 4 hours per pond site. Consider multiple consultants may be used to assess pond sites.</t>
  </si>
  <si>
    <t>Section 4(f), 6(f), and ARC</t>
  </si>
  <si>
    <t xml:space="preserve">0 to 4 </t>
  </si>
  <si>
    <t>8.14.6</t>
  </si>
  <si>
    <t>8.15.1</t>
  </si>
  <si>
    <t>8.15.2</t>
  </si>
  <si>
    <t>8.15.3</t>
  </si>
  <si>
    <t>Collect data necessary to analyze the impacts to Section 4(f), 6(f), and Acquisition and Restoration Council (ARC) resources caused by the changes to the project and prepare necessary documentation in accordance with Part 2, Chapters 7 and 23 of the PD&amp;E Manual.</t>
  </si>
  <si>
    <t>8.15.4</t>
  </si>
  <si>
    <t>8.15.5</t>
  </si>
  <si>
    <t>8.15.6</t>
  </si>
  <si>
    <t>CONTAMINATION ANALYSIS</t>
  </si>
  <si>
    <t>Identifying benefitted receptors and generate mailing list(s) for the noise barrier survey (2-8 hrs/barrier), property owner noise barrier survey package and mailout (4-16 hrs), public meeting presentation material (24-48 hrs), secure meeting site(s) (2-4 hrs/meeting), attend one neighborhood meeting (16-24 hrs), compile meeting results (2-4 hrs/meeting); highly variable depending on number of property owners, controversial issues, and number of barriers</t>
  </si>
  <si>
    <t>ROADWAY GUIDELINES FOR DETERMINING PROJECT COMPLEXITY</t>
  </si>
  <si>
    <t>Below (very low) Complexity Projects</t>
  </si>
  <si>
    <t>2-Lane</t>
  </si>
  <si>
    <t>Flush Shoulder or Curbed</t>
  </si>
  <si>
    <t>RRR</t>
  </si>
  <si>
    <t>No improvements, or cross slope correction</t>
  </si>
  <si>
    <t>All Roadway Types</t>
  </si>
  <si>
    <t xml:space="preserve">Safety Improvement or Sidewalk Projects </t>
  </si>
  <si>
    <t>Calculated earthwork quantities</t>
  </si>
  <si>
    <t>2-Lane or Multi-Lane</t>
  </si>
  <si>
    <t>Minimal safety enhancements, turnout improvements, and minimal cross slope correction</t>
  </si>
  <si>
    <t>Limited Access</t>
  </si>
  <si>
    <t>Resurfacing</t>
  </si>
  <si>
    <t>Minimal safety enhancements, cross slope correction, and interchange involvement</t>
  </si>
  <si>
    <t>Flush Shoulder</t>
  </si>
  <si>
    <t>RRR or Widening/Resurfacing</t>
  </si>
  <si>
    <t>Safety enhancements, turnout improvements, intersection improvements, and cross slope correction</t>
  </si>
  <si>
    <t>New Construction</t>
  </si>
  <si>
    <t>Minimal utility impacts, intersection involvement, and R/W involvement</t>
  </si>
  <si>
    <t>Curbed</t>
  </si>
  <si>
    <t>Safety &amp; Bike/Ped enhancements, ADA improvements,  intersection improvements, and cross slope correction</t>
  </si>
  <si>
    <t>Multi-Lane</t>
  </si>
  <si>
    <t>Resurfacing or Widening/Resurfacing</t>
  </si>
  <si>
    <t>Safety enhancements, interchange involvement, and cross slope correction</t>
  </si>
  <si>
    <t>New Innovative Intersections</t>
  </si>
  <si>
    <t>Utility impacts, driveway connections, and possible R/W involvement</t>
  </si>
  <si>
    <t>Reconstruction or Widening/Resurfacing</t>
  </si>
  <si>
    <t>Utility impacts, driveway connections, intersection improvements, and possible R/W involvement</t>
  </si>
  <si>
    <t>Reconstruction</t>
  </si>
  <si>
    <t>Utility impacts, driveway connections, intersection improvements, and R/W involvement/constraints</t>
  </si>
  <si>
    <t>New Construction or Widening/Resurfacing</t>
  </si>
  <si>
    <t>Widening/Resurfacing</t>
  </si>
  <si>
    <t>Minimal utility, R/W, and intersection involvement, closed median/barrier wall, and includes interchange ramps</t>
  </si>
  <si>
    <t>New Construction or Reconstruction</t>
  </si>
  <si>
    <t>Minimal utility involvement, interchange/intersection improvements, and possible R/W involvement</t>
  </si>
  <si>
    <t>Utility impacts and R/W involvement/constraints</t>
  </si>
  <si>
    <t xml:space="preserve">Completed as per agency criteria, includes RAI sketches. This effort includes coordination and review of dredge and fill sketches for temporary, secondary, and permanent impacts and wetland protection plans and features.  The Basis for estimate will include time for review by the natural scientist.  </t>
  </si>
  <si>
    <t>Low Complexity Projects</t>
  </si>
  <si>
    <t>Mid Complexity Projects</t>
  </si>
  <si>
    <t>Upper Complexity Projects</t>
  </si>
  <si>
    <t>Above (very high) Complexity Projects</t>
  </si>
  <si>
    <t>Safety Analysis</t>
  </si>
  <si>
    <t>Includes all work necessary to perform all safety analysis required for roadway design. This effort includes safety analysis (justification/mitigation) as needed for design variations and exceptions.
A Highway Safety Manual (HSM) assessment is based on 40 hours for a simple assessment, 50 hours for a standard assessment, and 60 hours for a complex assessment.
Crash analysis is based on 8 hours for a simple analysis of crash reports, 24 hours for standard analysis of crash reports, and 40 hours for a complex analysis of crash reports.</t>
  </si>
  <si>
    <t>Design Reports</t>
  </si>
  <si>
    <t>3D Modeling Development</t>
  </si>
  <si>
    <t>Utility Data Collection &amp; Analysis</t>
  </si>
  <si>
    <t>Includes time for EOR to collect, analyze, and coordinate utility data. Includes reviewing the Utility Work Schedule (UWS) and developing utility conflict information (if not included in tab 7). Based on 2 hours for below low complexity projects, 6 hours for low complexity projects, 12 hours for mid complexity projects, 18 hours for upper complexity projects, and 24 hours for above upper complexity projects.</t>
  </si>
  <si>
    <t>Includes creating and delivering the Key Sheet &amp; Signature Sheet. Based on 4 hours.  Add 2 hours when a signature sheet is required.</t>
  </si>
  <si>
    <t>Includes creating and delivering the Typical Sections Sheets.  Includes placing standard details (e.g., shoulder pavement detail or asphalt base curb pad detail).  Based on 4 hours per typical section when the CADD files used to create the typical section package are available and 10 hours per typical section when the CADD files used to create the typical section package are not available.  Add 3 hours for each partial section.</t>
  </si>
  <si>
    <t>Cross Slope Correction Details</t>
  </si>
  <si>
    <t>Included creating and delivering Cross Slope Details Sheets.  Includes creating detail and supporting data table.  Based on 8 hours per roadway segment (area) requiring cross slope correction details (e.g., typical sections, notes, tables).</t>
  </si>
  <si>
    <t>Includes creating and delivering the Detail Sheets.  Includes developing details and CADD work.  Based on 10 hours for each Ramp Terminal detail, 12 hours for each Intersection Layout detail, and 10 hours for each Special detail.</t>
  </si>
  <si>
    <t>Utility Conflict Matrix (for drainage structures)</t>
  </si>
  <si>
    <t>Includes all efforts for populating and coordination of the Utility Conflict Matrix for all drainage structures.</t>
  </si>
  <si>
    <t>Side and cross drains. Based on 4 hours.</t>
  </si>
  <si>
    <t>Closed drainage system &lt; 20 structures, minor utility involvement. Based on 8 hours.</t>
  </si>
  <si>
    <t xml:space="preserve">Closed drainage system &gt; 20 structures, major utility involvement. Based on 16 hours.  </t>
  </si>
  <si>
    <t>Analysis of Pipe Video Inspection Report</t>
  </si>
  <si>
    <t>Includes all efforts for analysis of the pipe video inspection report provided by the District. Complexity based on length and complexity of the pipe video inspection report.</t>
  </si>
  <si>
    <t>Based on 16 hours.</t>
  </si>
  <si>
    <t>Short length of pipe, simple inspection report. Based on 8 hours.</t>
  </si>
  <si>
    <t xml:space="preserve">Long length of pipe, complex inspection report. Based on 24 hours.  </t>
  </si>
  <si>
    <t xml:space="preserve">Employing empirical equations to develop wave conditions for protection design.
Based on 20 hours.
</t>
  </si>
  <si>
    <t>Steady state two dimensional modeling, force calculation on 1-3 spans. 
Based on 40 hours.</t>
  </si>
  <si>
    <t>Coupled wave surge modeling, force calculation on &gt;3 spans.
Based on 60 hours.</t>
  </si>
  <si>
    <t>Based on 9 hours per cross drain.</t>
  </si>
  <si>
    <t xml:space="preserve">Normal roadside and median ditches defined by the typical roadway section.   
Based on 14 hours per ditch mile.
</t>
  </si>
  <si>
    <t xml:space="preserve">Special ditches (varying width, depth, and profile).  Large offsite areas contributing to roadside ditches. Based on 20 hours per ditch mile. </t>
  </si>
  <si>
    <t>Ditches with constrained/variable R/W.  Based on 26 hours per ditch mile.</t>
  </si>
  <si>
    <t>Based on 2 hours per side drain to be modeled in 3D.</t>
  </si>
  <si>
    <t xml:space="preserve">Design of Stormwater Management Facility </t>
  </si>
  <si>
    <t>Based on 0.20 hours per drainage pipe.</t>
  </si>
  <si>
    <t>Design of Trench Drains</t>
  </si>
  <si>
    <t>Based on 2 hours per trench drain.</t>
  </si>
  <si>
    <t>Based on 2.5 hours per trench drain.</t>
  </si>
  <si>
    <t>Based on 3 hours per trench drain.</t>
  </si>
  <si>
    <t>Includes all efforts to design trench drains. Includes the development of 3D CADD files.</t>
  </si>
  <si>
    <t>Based on 8 hours per drainage well.</t>
  </si>
  <si>
    <t>Based on 10 hours per drainage well.</t>
  </si>
  <si>
    <t xml:space="preserve">Includes all efforts for a drainage task not covered by an existing defined task.  Required work will be defined in the scope and negotiated on a case-by-case basis. </t>
  </si>
  <si>
    <t>Staff-hours vary with a) length &amp; complexity of project, b) permit requirements, and c) the number of required submittals.  This task is for writing and developing the report. Calculations are to be included in the report, however, hours to perform calculations are included in the respective analysis task.</t>
  </si>
  <si>
    <t>Based on 30 hours.</t>
  </si>
  <si>
    <t>Based on 40 hours.</t>
  </si>
  <si>
    <t>Element</t>
  </si>
  <si>
    <t>Complexity Guidance</t>
  </si>
  <si>
    <t>Complexity</t>
  </si>
  <si>
    <t>Rating</t>
  </si>
  <si>
    <t>Comments</t>
  </si>
  <si>
    <t>N/A</t>
  </si>
  <si>
    <t>Simple</t>
  </si>
  <si>
    <t>Standard</t>
  </si>
  <si>
    <t>Complex</t>
  </si>
  <si>
    <t>N/A:</t>
  </si>
  <si>
    <t xml:space="preserve">Simple: </t>
  </si>
  <si>
    <t xml:space="preserve">Standard: </t>
  </si>
  <si>
    <t>Significant screening or buffering impacts</t>
  </si>
  <si>
    <t xml:space="preserve">Complex: </t>
  </si>
  <si>
    <t>Commitments/Stakeholders involved</t>
  </si>
  <si>
    <t>No Roadway (pond, rest area)</t>
  </si>
  <si>
    <t>No Intersections</t>
  </si>
  <si>
    <t>Utility, and Local and State Agency Coordination</t>
  </si>
  <si>
    <t>No coordination</t>
  </si>
  <si>
    <t>Minimum - 2 or less utilities and agencies</t>
  </si>
  <si>
    <t>Moderate - 3 to 5 utilities and agencies</t>
  </si>
  <si>
    <t>1-3 Plant Species, 1 Method</t>
  </si>
  <si>
    <t>1-6 Plant Species, 1-2 Methods</t>
  </si>
  <si>
    <t>7+ Plant Species or 3+ Methods</t>
  </si>
  <si>
    <t>No sensitive sites involvement</t>
  </si>
  <si>
    <t>Minimal sensitive sites involvement</t>
  </si>
  <si>
    <t xml:space="preserve">Number of Trees to be Inventoried </t>
  </si>
  <si>
    <t>1-20 Trees</t>
  </si>
  <si>
    <t xml:space="preserve">21-50  Trees </t>
  </si>
  <si>
    <t>51+ Trees</t>
  </si>
  <si>
    <t>Number of Trees to be Root or Branch Pruned</t>
  </si>
  <si>
    <t>1 to 3 Trees</t>
  </si>
  <si>
    <t>4 to 10 Trees</t>
  </si>
  <si>
    <t>11 Trees</t>
  </si>
  <si>
    <t>1-10 Trees</t>
  </si>
  <si>
    <t xml:space="preserve">11 - 20  Trees </t>
  </si>
  <si>
    <t>21+ Trees</t>
  </si>
  <si>
    <t xml:space="preserve">Total Points: </t>
  </si>
  <si>
    <t xml:space="preserve">Overall Complexity: </t>
  </si>
  <si>
    <t xml:space="preserve">Total Points 9 or less: </t>
  </si>
  <si>
    <t xml:space="preserve">Total Points 10 to 20: </t>
  </si>
  <si>
    <t>Total Points 21 or more:</t>
  </si>
  <si>
    <t>6c. Selective Clearing and Grubbing</t>
  </si>
  <si>
    <t>6c.1</t>
  </si>
  <si>
    <t>Data Collection and Inventory</t>
  </si>
  <si>
    <t>6c.2</t>
  </si>
  <si>
    <t>6c.3</t>
  </si>
  <si>
    <t xml:space="preserve">Selective C&amp;G Maintenance Report </t>
  </si>
  <si>
    <t>6c.4</t>
  </si>
  <si>
    <t>6c.5</t>
  </si>
  <si>
    <t>Quantities for EQ Report</t>
  </si>
  <si>
    <t>6c.6</t>
  </si>
  <si>
    <t>Selective C&amp;G Technical Subtotal</t>
  </si>
  <si>
    <t>6c.7</t>
  </si>
  <si>
    <t>6c.8</t>
  </si>
  <si>
    <t>6c.9</t>
  </si>
  <si>
    <t>Selective C&amp;G Meetings</t>
  </si>
  <si>
    <t>6c.10</t>
  </si>
  <si>
    <t>Selective C&amp;G Nontechnical Subtotal</t>
  </si>
  <si>
    <t>6c.11</t>
  </si>
  <si>
    <t>Based on 5% of technical tasks.</t>
  </si>
  <si>
    <t xml:space="preserve">Meetings with Department staff, regulatory agencies, local governments, etc. Based on 2 hours per meeting plus travel time (hours) for in-person meetings, if necessary. </t>
  </si>
  <si>
    <t>Field time to obtain data necessary for SC&amp;G tasks. Based on number of staff per field review X (length of time (hours) on site per staff per field review + travel time (hours) per staff per field review).</t>
  </si>
  <si>
    <t>Includes all efforts to coordinate internally with survey, geotechnical, drainage, structures, lighting, roadway, signals, utilities, rail road, permits, schedules, specifications, bicycle/ pedestrian/ transit, landscape architecture, traffic operations, and other Department offices to produce a final set of construction documents. Based on 3% of all the above tasks.</t>
  </si>
  <si>
    <t>Includes all work required to determine and validate selective clearing and grubbing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Based on 8 hours for simple projects, 12 hours for standard projects, and 16 hours for complex projects.</t>
  </si>
  <si>
    <t>Reviewing Departments LRE, preparing an initial cost estimate, and updating as necessary. 
Based on 3 hours for simple projects, 6 hours for standard projects, and 9 hours for complex projects.</t>
  </si>
  <si>
    <t>Conduct site inventory and analysis of existing vegetation to be removed, protected, or relocated. Includes identification of opportunities and constraints for the proposed project based on existing site conditions. 
Refer to the Selective Clearing and Grubbing Guidelines to determine complexity. 
Based on 8 hours per mile and 4 hours per interchange or rest area for simple projects, 12 hours per mile and 6 hours per interchange or rest area for standard projects, 16 hours per mile and 8 hours per interchange or rest area for complex projects.</t>
  </si>
  <si>
    <t>Review information provided by the Department.  Establish number of field assessments and coordinate with the District Landscape Architect. Gather and review information during field assessments to determine next steps in Selective Clearing and Grubbing process and establish the extent of the Vegetation Survey &amp; Tree Survey under Task 27.28 &amp; 27.29. Refer to the Selective Clearing and Grubbing Guidelines to determine complexity. Includes disposition table. Based on 16 hours for simple projects, 24 hours for standard projects, and 32 hours for complex projects.</t>
  </si>
  <si>
    <t>Selective C&amp;G Plan</t>
  </si>
  <si>
    <t>Prepare a report detailing the care and maintenance of the plant preservation areas and selective clearing and grubbing areas.  Coordinate with the District Landscape Architect to ensure that the intent of the plant preservation areas is in alignment with future highway landscape plans. Coordinate with project Construction Arborist.  Plant Preservation Methods to be shown in Selective C&amp;G Plan. Based on 12 hours for report.</t>
  </si>
  <si>
    <t>Includes creating and delivering the Selective Clearing and Grubbing Plan, including all required notes and standard details. Includes Tree Disposition Chart and any required notes. 
Based on 8 hours per mile and 4 hours per interchange or rest area for simple projects, 10 hours per mile and 6 hours per interchange or rest area for standard projects, 12 hours per mile and 8 hours per interchange or rest area for complex projects.
Add 4 hours per detail. Treat the Tree Disposition Chart as a detail.</t>
  </si>
  <si>
    <t>The following matrix was developed to determine the level of complexity of a Planting Plan.</t>
  </si>
  <si>
    <t>Planting Palette</t>
  </si>
  <si>
    <t>Palms/Trees Only</t>
  </si>
  <si>
    <t>Palms/Trees and shrubs</t>
  </si>
  <si>
    <t>Specialized Designs (Urban Corridor, Complete Street, Scenic Interchange)</t>
  </si>
  <si>
    <t>Reconstruction or New Roadway Alignment</t>
  </si>
  <si>
    <t>Roadway Location
(Context Classification)</t>
  </si>
  <si>
    <t>C1, C2 (rural)</t>
  </si>
  <si>
    <t>C2T, C3C, C3R (Suburban), Rural LA Facilities</t>
  </si>
  <si>
    <t>C4, C5, C6 (Urban), Urban LA Facilities</t>
  </si>
  <si>
    <t>1-3 Stakeholders</t>
  </si>
  <si>
    <t>4-6 Stakeholders</t>
  </si>
  <si>
    <t>7+ Stakeholders or Public Workshop</t>
  </si>
  <si>
    <t xml:space="preserve">Planting Plan Complexity: </t>
  </si>
  <si>
    <t xml:space="preserve">Total Points 6 or less: </t>
  </si>
  <si>
    <t>Low</t>
  </si>
  <si>
    <t xml:space="preserve">Total Points 7 to 12: </t>
  </si>
  <si>
    <t>Mid</t>
  </si>
  <si>
    <t>Total Points 13 or more:</t>
  </si>
  <si>
    <t>High</t>
  </si>
  <si>
    <t>Includes all efforts for a landscape task not covered by an existing defined task. This may include preparation of agreements with local agencies. Required work will be defined in the scope and negotiated on a case-by-case basis.</t>
  </si>
  <si>
    <t>Includes supervision and coordination activities associated with the development of Landscape Plans. Based on 5% of technical subtotal.</t>
  </si>
  <si>
    <t xml:space="preserve">Includes all QA/QC activities associated with the development of Landscape Plans, and addressing ERC Phase Review comments. Based on 5% of technical subtotal.    </t>
  </si>
  <si>
    <t>Includes creating and delivering the Hardscape Plans Sheets. Show in Landscape Plans when practical.  Included Elements:  Hardscape schedules; Installation details; Warranty Requirements; References to other disciplines (to avoid potential conflicts). Based on 20 hours for simple hardscape projects, 45 hours for standard hardscape projects, and 80 hours for complex hardscape projects.</t>
  </si>
  <si>
    <t>Includes creating and delivering the Irrigation Details. The irrigation details shall be relevant to the specific project, and shall be coordinated with applicable technical special provisions. Included Elements:  Equipment installation details; Nozzle designations; Warranty Requirements; System requirements; Limits of irrigation; Power supply details; Water source details; References to other disciplines (to avoid potential conflicts). Based on 4 hours per detail (includes notes).</t>
  </si>
  <si>
    <t>Includes creating and delivering the Planting Details not included in the standard plans. The details shall be relevant to the specific project, and shall be coordinated with any technical special provisions. Based on 4 hours per detail (includes notes).</t>
  </si>
  <si>
    <t>Includes creating and delivering the General and Pay Item Notes Sheet. Based on 6 hours for simple (primarily standardized notes), 9 hours for standard (mix of standardized notes and project-specific notes), and 12 hours for complex (primarily project-specific notes).</t>
  </si>
  <si>
    <t>Property Lines</t>
  </si>
  <si>
    <t>Includes creating the line work with all required data into the Master CADD file from the Property Line analysis done in the survey task. Computations for elements not field tied are included in this task. This task includes preparation of closure reports for each block. Based on 4 hours per tract for standard tracts (i.e. Simple rectangular configuration) and 10 hours per tract for complex tracts (i.e. Multiple segments, less outs, or parts/encumbrances, Tracts with curvilinear configurations).</t>
  </si>
  <si>
    <t>Typical &amp; Special Details</t>
  </si>
  <si>
    <t>Communication Overview Sheet</t>
  </si>
  <si>
    <t xml:space="preserve">Includes creating and delivering the Communication Overview Sheets. Based on 1 hour per ITS site. Use when requested by Department. </t>
  </si>
  <si>
    <t>Grounding &amp; Lightning Protection Plans</t>
  </si>
  <si>
    <t>Design Analysis</t>
  </si>
  <si>
    <t>Includes all efforts for a roadway task not covered by an existing defined task.  Required work will be defined in the scope and negotiated on a case-by-case basis.</t>
  </si>
  <si>
    <t>All work required to develop and obtain approval of the typical section package according to the FDOT Design Manual (FDM).  Also includes any modification received from reviews.  Based on 6 hours for the cover/data sheet and location map. Based on 6 hours per typical section for 2-lane flush shoulder and ramps, 8 hours per typical section for 2-lane curbed and multi-lane flush shoulder, and 10 hours per typical section for limited access with barrier and multi-lane curb.</t>
  </si>
  <si>
    <t>All work required to develop and obtain approval of the Pavement Type Selection Report according to the Pavement Type Selection Manual.  Also includes any modification received from reviews.  Based on 8 hours for a memo, 40 hours for a typical report, and 50 hours for a report with a complex analysis.</t>
  </si>
  <si>
    <r>
      <rPr>
        <b/>
        <sz val="10"/>
        <rFont val="Arial"/>
        <family val="2"/>
      </rPr>
      <t>Monitor Existing Structures:</t>
    </r>
    <r>
      <rPr>
        <sz val="10"/>
        <rFont val="Arial"/>
        <family val="2"/>
      </rPr>
      <t xml:space="preserve"> Includes work required to visually identify existing structures in need of monitoring (as required in FDM 117) to identify the necessary pay items to be included in the bid documents.</t>
    </r>
    <r>
      <rPr>
        <b/>
        <sz val="10"/>
        <rFont val="Arial"/>
        <family val="2"/>
      </rPr>
      <t xml:space="preserve"> </t>
    </r>
    <r>
      <rPr>
        <sz val="10"/>
        <rFont val="Arial"/>
        <family val="2"/>
      </rPr>
      <t>Optional services may be negotiated at a later date if needed.
Coordinate with and assist the geotechnical engineer and/or structural engineer to develop mitigation strategies (when applicable).</t>
    </r>
    <r>
      <rPr>
        <b/>
        <sz val="10"/>
        <rFont val="Arial"/>
        <family val="2"/>
      </rPr>
      <t xml:space="preserve"> </t>
    </r>
    <r>
      <rPr>
        <sz val="10"/>
        <rFont val="Arial"/>
        <family val="2"/>
      </rPr>
      <t>Based on 4 hours for below low and low complexity projects, 8 hours for mid complexity projects, 12 hours for upper complexity projects, and 16 hours for above upper complexity projects containing existing structures requiring monitoring.</t>
    </r>
    <r>
      <rPr>
        <b/>
        <sz val="10"/>
        <rFont val="Arial"/>
        <family val="2"/>
      </rPr>
      <t xml:space="preserve">
Access Management: </t>
    </r>
    <r>
      <rPr>
        <sz val="10"/>
        <rFont val="Arial"/>
        <family val="2"/>
      </rPr>
      <t>Includes all efforts required to determine location and types of median opening modifications and driveway connection spacing.  This also includes any Access Management Report, research for permitted/un-permitted driveways. Based on 2 hours per mile for below low complexity projects, 4 hours per mile for low complexity projects, 8 hours per mile for mid complexity projects, 10 hours per mile for upper complexity projects, and 14 hours per mile for above upper complexity projects.</t>
    </r>
  </si>
  <si>
    <t>Operational Analysis</t>
  </si>
  <si>
    <r>
      <t xml:space="preserve">All efforts required for establishing the master design files for the horizontal and vertical geometry, drainage structure features, utilities (including conflict location identification and adjustments), etc.  This includes all work to create elements showing the alignment for both horizontal and vertical geometries in plan and profile portion of plan sheets.  Includes efforts required to place labels and required information in accordance with the FDOT CADD Manual and FDM in master design file.  Also includes all engineering work for designing and analyzing elements required for the plan/profile geometries including horizontal/vertical alignments, back of sidewalk profiles, intersection layouts, curb return profiles, ramp profiles, utilities, etc.
Based on project elements to be designed in 2D for the plan and profile plan sheets.
</t>
    </r>
    <r>
      <rPr>
        <b/>
        <u/>
        <sz val="10"/>
        <rFont val="Arial"/>
        <family val="2"/>
      </rPr>
      <t>Below Low Complexity Projects:</t>
    </r>
    <r>
      <rPr>
        <b/>
        <sz val="10"/>
        <rFont val="Arial"/>
        <family val="2"/>
      </rPr>
      <t xml:space="preserve"> </t>
    </r>
    <r>
      <rPr>
        <sz val="10"/>
        <rFont val="Arial"/>
        <family val="2"/>
      </rPr>
      <t>Based on 120 hours per mile (mainline, side roads, and ramps) and 60 hours per mile for frontage roads.</t>
    </r>
    <r>
      <rPr>
        <b/>
        <u/>
        <sz val="10"/>
        <rFont val="Arial"/>
        <family val="2"/>
      </rPr>
      <t xml:space="preserve">
Low Complexity Projects</t>
    </r>
    <r>
      <rPr>
        <u/>
        <sz val="10"/>
        <rFont val="Arial"/>
        <family val="2"/>
      </rPr>
      <t>:</t>
    </r>
    <r>
      <rPr>
        <sz val="10"/>
        <rFont val="Arial"/>
        <family val="2"/>
      </rPr>
      <t xml:space="preserve"> Based on 175 hours per mile (mainline, side roads, and ramps) and 90 hours per mile for frontage roads.
</t>
    </r>
    <r>
      <rPr>
        <b/>
        <u/>
        <sz val="10"/>
        <rFont val="Arial"/>
        <family val="2"/>
      </rPr>
      <t>Mid Complexity Projects</t>
    </r>
    <r>
      <rPr>
        <u/>
        <sz val="10"/>
        <rFont val="Arial"/>
        <family val="2"/>
      </rPr>
      <t>:</t>
    </r>
    <r>
      <rPr>
        <sz val="10"/>
        <rFont val="Arial"/>
        <family val="2"/>
      </rPr>
      <t xml:space="preserve"> Based on 215 hours per mile (mainline, side roads, and ramps) and 120 hours per mile for frontage roads.
</t>
    </r>
    <r>
      <rPr>
        <b/>
        <u/>
        <sz val="10"/>
        <rFont val="Arial"/>
        <family val="2"/>
      </rPr>
      <t>Upper Complexity Projects</t>
    </r>
    <r>
      <rPr>
        <u/>
        <sz val="10"/>
        <rFont val="Arial"/>
        <family val="2"/>
      </rPr>
      <t>:</t>
    </r>
    <r>
      <rPr>
        <sz val="10"/>
        <rFont val="Arial"/>
        <family val="2"/>
      </rPr>
      <t xml:space="preserve"> Based on 260 hours per mile (mainline, side roads, and ramps) and 135 hours per mile for frontage roads.
</t>
    </r>
    <r>
      <rPr>
        <b/>
        <u/>
        <sz val="10"/>
        <rFont val="Arial"/>
        <family val="2"/>
      </rPr>
      <t>Above Upper Complexity Projects:</t>
    </r>
    <r>
      <rPr>
        <sz val="10"/>
        <rFont val="Arial"/>
        <family val="2"/>
      </rPr>
      <t xml:space="preserve"> Based on 300 hours per mile (mainline, side roads, and ramps) and 150 hours per mile for frontage roads.</t>
    </r>
  </si>
  <si>
    <r>
      <t xml:space="preserve">Based on project elements to be designed in 3D for the 3D model. This includes all efforts and elements required in accordance with the FDOT CADD Manual and FDM in the master design file.
Hours are based on the length of the project to be designed in a 3D model. This could be all or a portion of the total project. The hours for 3D Modeling Development are to be in addition to the hours for the Horizontal/Vertical Master Design File in 2D.  
</t>
    </r>
    <r>
      <rPr>
        <b/>
        <u/>
        <sz val="10"/>
        <rFont val="Arial"/>
        <family val="2"/>
      </rPr>
      <t>Below Low Complexity Projects:</t>
    </r>
    <r>
      <rPr>
        <sz val="10"/>
        <rFont val="Arial"/>
        <family val="2"/>
      </rPr>
      <t xml:space="preserve"> Based on 60 hours per mile (mainline, side roads, and ramps) and 30 hours per mile for frontage roads. Add 10 hours if AMG files are required.
</t>
    </r>
    <r>
      <rPr>
        <b/>
        <u/>
        <sz val="10"/>
        <rFont val="Arial"/>
        <family val="2"/>
      </rPr>
      <t>Low Complexity Projects:</t>
    </r>
    <r>
      <rPr>
        <sz val="10"/>
        <rFont val="Arial"/>
        <family val="2"/>
      </rPr>
      <t xml:space="preserve"> Based on 87.5 hours per mile (mainline, side roads, and ramps) and 45 hours per mile for frontage roads. Add 15 hours if AMG files are required.
</t>
    </r>
    <r>
      <rPr>
        <b/>
        <u/>
        <sz val="10"/>
        <rFont val="Arial"/>
        <family val="2"/>
      </rPr>
      <t>Mid Complexity Projects:</t>
    </r>
    <r>
      <rPr>
        <sz val="10"/>
        <rFont val="Arial"/>
        <family val="2"/>
      </rPr>
      <t xml:space="preserve"> Based on 107.5 hours per mile (mainline, side roads, and ramps) and 60 hours per mile for frontage roads. Add 20 hours if AMG files are required.
</t>
    </r>
    <r>
      <rPr>
        <b/>
        <u/>
        <sz val="10"/>
        <rFont val="Arial"/>
        <family val="2"/>
      </rPr>
      <t>Upper Complexity Projects:</t>
    </r>
    <r>
      <rPr>
        <sz val="10"/>
        <rFont val="Arial"/>
        <family val="2"/>
      </rPr>
      <t xml:space="preserve"> Based on 130 hours per mile (mainline, side roads, and ramps) and 67.5 hours per mile for frontage roads. Add 30 hours if AMG files are required.
</t>
    </r>
    <r>
      <rPr>
        <b/>
        <u/>
        <sz val="10"/>
        <rFont val="Arial"/>
        <family val="2"/>
      </rPr>
      <t>Above Upper Complexity Projects:</t>
    </r>
    <r>
      <rPr>
        <sz val="10"/>
        <rFont val="Arial"/>
        <family val="2"/>
      </rPr>
      <t xml:space="preserve"> Based on 150 hours per mile (mainline, side roads, and ramps) and 75 hours per mile for frontage roads. Add 40 hours if AMG files are required.</t>
    </r>
  </si>
  <si>
    <t>Includes all work necessary to develop a TTCP concept, such as determining the usage of lane closures, traffic pacing, detours, diversions, lane shifts, temporary drainage, temporary signals, retaining walls, and pedestrian TTCP. See FDM for guidance and requirements.
Based on 10 hours for below low complexity projects, 20 hours for low complexity projects, 40 hours for mid complexity projects, 100 hours for upper complexity projects, and 160 hours for above upper complexity projects. Below low and low complexity projects are typically Level I TTCP and mid to above upper complexity projects are typically Level II TTCP.</t>
  </si>
  <si>
    <r>
      <t>Includes all work required to determine and validate roadway pay items and quantities. Includes creating the Excel summary tables through the Quantity Takeoff Manager (QTM), fully populating the tables with estimated quantities, and delivering the Excel file to the lead consultant firm Engineer of Record (EOR). Includes estimating construction days when required. Consider adding 4 hours when required to include EQ Report with Phase II submittal. 
The "Begin Project" and "End Project" mileposts are the basis for computing the project length.  Adding additional hours may be considered for side streets when continuous work along the side street exceeds one-quarter mile from the project corridor.</t>
    </r>
    <r>
      <rPr>
        <strike/>
        <sz val="10"/>
        <rFont val="Arial"/>
        <family val="2"/>
      </rPr>
      <t xml:space="preserve">
</t>
    </r>
    <r>
      <rPr>
        <b/>
        <u/>
        <sz val="10"/>
        <rFont val="Arial"/>
        <family val="2"/>
      </rPr>
      <t>Below Range Projects:</t>
    </r>
    <r>
      <rPr>
        <b/>
        <sz val="10"/>
        <rFont val="Arial"/>
        <family val="2"/>
      </rPr>
      <t xml:space="preserve"> </t>
    </r>
    <r>
      <rPr>
        <sz val="10"/>
        <rFont val="Arial"/>
        <family val="2"/>
      </rPr>
      <t xml:space="preserve">Based on 2 hours per mile of project length, plus 32 hours for validation of roadway pay items.  
</t>
    </r>
    <r>
      <rPr>
        <b/>
        <u/>
        <sz val="10"/>
        <rFont val="Arial"/>
        <family val="2"/>
      </rPr>
      <t>Lower Range Projects:</t>
    </r>
    <r>
      <rPr>
        <sz val="10"/>
        <rFont val="Arial"/>
        <family val="2"/>
      </rPr>
      <t xml:space="preserve"> Based on 6 hours per mile of project length, plus 36 hours for validation of roadway pay items. 
</t>
    </r>
    <r>
      <rPr>
        <b/>
        <u/>
        <sz val="10"/>
        <rFont val="Arial"/>
        <family val="2"/>
      </rPr>
      <t>Middle Range Projects:</t>
    </r>
    <r>
      <rPr>
        <sz val="10"/>
        <rFont val="Arial"/>
        <family val="2"/>
      </rPr>
      <t xml:space="preserve"> Based on 10 hours per mile of project length, plus 40 hours for validation of roadway pay items. 
</t>
    </r>
    <r>
      <rPr>
        <b/>
        <u/>
        <sz val="10"/>
        <rFont val="Arial"/>
        <family val="2"/>
      </rPr>
      <t>Upper Range Projects:</t>
    </r>
    <r>
      <rPr>
        <sz val="10"/>
        <rFont val="Arial"/>
        <family val="2"/>
      </rPr>
      <t xml:space="preserve"> Based on 14 hours per mile of project length, plus 44 hours for validation of roadway pay items. 
</t>
    </r>
    <r>
      <rPr>
        <b/>
        <u/>
        <sz val="10"/>
        <rFont val="Arial"/>
        <family val="2"/>
      </rPr>
      <t>Above Range Projects:</t>
    </r>
    <r>
      <rPr>
        <sz val="10"/>
        <rFont val="Arial"/>
        <family val="2"/>
      </rPr>
      <t xml:space="preserve"> Based on 16 hours per mile of project length, plus 48 hours for validation of roadway pay items.  
Add 8 hours for each interchange or rest area.</t>
    </r>
  </si>
  <si>
    <t>Includes all work required to determine and validate temporary traffic control pay items and quantities. Includes creating the Excel summary tables through the Quantity Takeoff Manager (QTM), fully populating the tables with estimated quantities, and delivering the Excel file to the lead consultant firm Engineer of Record (EOR). Includes estimating construction days when required. Consider adding 4 hours when required to include EQ Report with Phase II submittal.
Based on 6 hours per major phase for simple TTCP projects (isolated area(s) typically one major phase of TTCP), 9 hours per major phase for standard TTCP projects (typically 2-3 major phases of TTCP), and 12 hours per major phase for complex TTCP projects (typically 3 or more major phases of TTCP).</t>
  </si>
  <si>
    <t>Technical or Modified Special Provisions</t>
  </si>
  <si>
    <t>Staff hours are based on minor modifications to existing TSPs and MSPs. Based on 6 hours per each modified TSP and MSP. Newly developed TSPs are to be negotiated based on individual basis. (LS - based on the number of TSPs per project.)</t>
  </si>
  <si>
    <t>Other Roadway Tasks</t>
  </si>
  <si>
    <t>Includes producing and implementation of QA/QC plan.  Also includes Sub-consultant review, response to comments and any resolution meetings if required, assembly of plans for submittals for reviews, etc. Based on 5% of the technical subtotal.</t>
  </si>
  <si>
    <t>Includes all effort required to supervise all technical design analysis. Based on 5% of the technical subtotal.</t>
  </si>
  <si>
    <t>Roadway Meetings</t>
  </si>
  <si>
    <t xml:space="preserve">Meetings with departmental and/or Agency staff such as meetings with Access Management meetings, pavement design meetings, local governments, etc. Excludes Project Manager hours. Based on 2 hours per meeting plus travel time (hours) for in-person meetings, if necessary. </t>
  </si>
  <si>
    <t>Includes travel time for trips to field to obtain data necessary for design.  Included for roadway, TTCP, Access Management and all other roadway design related field reviews.  Excludes Project Manager hours. Based on number of staff per field review X (length of time (hours) on site per staff per field review + travel time (hours) per staff per field review).</t>
  </si>
  <si>
    <r>
      <t xml:space="preserve">Reviewing Departments LRE, preparing an initial cost estimate, and updating as necessary.  
</t>
    </r>
    <r>
      <rPr>
        <b/>
        <sz val="10"/>
        <rFont val="Arial"/>
        <family val="2"/>
      </rPr>
      <t>Engineer Estimate</t>
    </r>
    <r>
      <rPr>
        <sz val="10"/>
        <rFont val="Arial"/>
        <family val="2"/>
      </rPr>
      <t xml:space="preserve"> based on 8 hours per submittal for below low complexity projects, 10 hours per submittal for low complexity projects, 12 hours per submittal for mid complexity projects, 14 hours per submittal for upper complexity projects, and 16 hours per submittal for above upper complexity projects. 
</t>
    </r>
    <r>
      <rPr>
        <b/>
        <sz val="10"/>
        <rFont val="Arial"/>
        <family val="2"/>
      </rPr>
      <t>LRE Updates</t>
    </r>
    <r>
      <rPr>
        <sz val="10"/>
        <rFont val="Arial"/>
        <family val="2"/>
      </rPr>
      <t xml:space="preserve"> based on 4 hours per update (typically at Phase II, but sometimes Phase I) for below low complexity projects, 5 hours per update for low complexity projects, 6 hours per update for mid complexity projects, 7 hours per update for upper complexity projects, and 8 hours per update for above upper complexity projects.</t>
    </r>
  </si>
  <si>
    <t>Includes creating and delivering the Project Layout/Model Management Sheet. Includes overview of the entire project and may include stations, intersection locations, project limits, and plan sheet coverage. Project Layout Sheets should be used only when necessary (complex projects or multiple work location projects). Based on 6 hours.</t>
  </si>
  <si>
    <t>Includes creating and delivering the Plan Sheets.  Based on 14 hours per mile for below low complexity projects, 20 hours per mile for low complexity projects, 26 hours per mile for mid complexity projects, 32 hours per mile for upper complexity projects, and 38 hours per mile for above upper complexity projects. (Length includes only mainline). Add 8 hours for each interchange and 8 hours for each roundabout.</t>
  </si>
  <si>
    <t>Includes creating and delivering the Profile Views.  Profile views are typically displayed on the plan sheets.  Based on 14 hours per mile for flush shoulder roadways.  Based on 21 hours per mile for curbed roadways.</t>
  </si>
  <si>
    <t>Includes creating and delivering Special Profiles in the plans set.  Based on 2 hours per driveway or curb return and 4 hours per intersection or railroad crossing special profile.</t>
  </si>
  <si>
    <t>Includes creating and delivering the Sidewalk Profiles.  Based on 35 hours per mile of sidewalk for simple or standard sidewalk profiles and 56 hours per mile of sidewalk for complex sidewalk profiles. Complexity based on number of driveways.  These profiles are independent of the roadway profile and used only when necessary.</t>
  </si>
  <si>
    <t>Includes creating and delivering the Interchange Layout Sheet.  Includes developing layout and CADD work.  Based on 18 hours for each standard two-level interchange and 24 hours for each complex interchange greater than two levels.</t>
  </si>
  <si>
    <t>Soil Survey Sheets</t>
  </si>
  <si>
    <t>Includes creating and delivering the Soil Survey Sheets. Based on 2 hours. The geotechnical discipline develops and delivers the soil survey sheets to insert into the plans.</t>
  </si>
  <si>
    <t>Includes creating and delivering Cross Sections.  Cross sections are not included in the plans. Cross sections are delivered with the plans as a PDF file for ERC reviews.  Final cross sections are placed in PSEE Project Documentation.  Based on 4 hours per alignment.</t>
  </si>
  <si>
    <t>Temporary Traffic Control Plan</t>
  </si>
  <si>
    <t>Includes creating and delivering the Temporary Traffic Control Plan Sheets.  Based on 4 hours for TTC Notes Sheet including phasing notes and phasing typical sections. TTC Plan Sheets (for Level II only) based on 21 hours per mile for mid complexity projects, 28 hours per mile for upper complexity projects, and 28 hours per mile for above upper complexity projects.   Add 4 hours for each necessary critical cross section and 8 hours for each TTC detail.</t>
  </si>
  <si>
    <t>Includes creating and delivering the Utility Adjustment Sheets.  Includes VVH labeling.  Based on 10 hours per mile for simple projects (1-3 utility agencies), 20 hours per mile for standard projects (4-7 utility agencies), and 30 hours per mile for complex projects (8 or more utility agencies). (Length includes only mainline)</t>
  </si>
  <si>
    <t>Includes creating and delivering the Project Control Sheets. Based on 4 hours. The surveyor develops and delivers the Project Control Sheet to insert into the plans.</t>
  </si>
  <si>
    <t>Includes supervision and coordination activities associated with the development of Roadway Plans.  Based on 5% of technical subtotal.</t>
  </si>
  <si>
    <t>Project Layout/Model Management</t>
  </si>
  <si>
    <t>Plan View (Plan Sheets)</t>
  </si>
  <si>
    <t>Profile View (Plan/Profile Sheets)</t>
  </si>
  <si>
    <t>Sidewalk Profiles</t>
  </si>
  <si>
    <t xml:space="preserve">Includes all QA/QC activities associated with the development of Roadway Plans, including addressing ERC phase review comments.  Based on 5% of technical subtotal.  </t>
  </si>
  <si>
    <t>Task Complexity</t>
  </si>
  <si>
    <t>Includes all efforts to perform a Temporary Drainage Analysis.</t>
  </si>
  <si>
    <t>Include this task if French Drains are proposed and the existing systems must be analyzed for a pre vs. post comparison of the peak stages and/or discharges. The staff hours should be estimated based on components of the existing system. The amount of effort will depend on the available information for the existing system.</t>
  </si>
  <si>
    <t>Includes all efforts to design drainage wells.</t>
  </si>
  <si>
    <t>Stormwater Runoff Control Concept</t>
  </si>
  <si>
    <t>Based on 5%of technical tasks.</t>
  </si>
  <si>
    <t>Base Clearance Analysis</t>
  </si>
  <si>
    <t>Includes all efforts for Base Clearance Analysis.  Complexity is based on data availability which is typically driven by the type of high water condition (cross drains, lakes, wetlands, tidal and controlled water bodies).</t>
  </si>
  <si>
    <t>Controlled canals, contiguous wetlands, lakes with historical data. Based on 4 hours per location and 8 hours for a simple report (technical memo).</t>
  </si>
  <si>
    <t>Cross drains, flood plains with some historical data. Based on 6 hours per location and 24 hours for a standard report.</t>
  </si>
  <si>
    <r>
      <t>Lakes with no historical data. Based on 8 hours per location and 40 hours for a complex report (many locations, full reconstruction of roadway, new alignment)</t>
    </r>
    <r>
      <rPr>
        <i/>
        <sz val="11"/>
        <rFont val="Arial"/>
        <family val="2"/>
      </rPr>
      <t>.</t>
    </r>
  </si>
  <si>
    <t>6a.2</t>
  </si>
  <si>
    <t>Includes all efforts to perform a hydroplaning analysis to assist in the determination of the appropriate roadway geometry for all necessary locations (both typical sections and critical cross sections) as needed. See the FDOT Hydroplaning Guidance and FDOT FDM Chapters 210 and 211 for more information. Complexity based on number of locations that require an evaluation.</t>
  </si>
  <si>
    <t>Consists of only a few typical sections (1-3) to be evaluated. Based on 8 hours.</t>
  </si>
  <si>
    <t>Requires evaluation of multiple typical sections in addition to a few critical locations (1-3). Based on 24 hours.</t>
  </si>
  <si>
    <t>Requires evaluation of multiple typical sections and multiple critical locations. Based on 40 hours.</t>
  </si>
  <si>
    <t>6a.3</t>
  </si>
  <si>
    <t>Includes all efforts required for Existing Permit Analysis. Including desktop analysis of local, state, and federal Drainage permits. Complexity based on number of permits, number of permitting agencies and age of permits. This task is specific to permit research surrounding stormwater management systems.</t>
  </si>
  <si>
    <t>Smaller projects with simple drainage systems in place. Based on 4 hours.</t>
  </si>
  <si>
    <t>Mid-size projects with multiple stormwater facilities and/or enhanced conveyance systems. Based on 12 hours.</t>
  </si>
  <si>
    <t>Larger projects or projects with complicated designs. Factors to consider are off-site basins, comingling, regional facilities, or facilities with unique features. Based on 20 hours.</t>
  </si>
  <si>
    <t>6a.5</t>
  </si>
  <si>
    <t>Noise Barrier Drainage Analysis</t>
  </si>
  <si>
    <t>Includes all efforts to perform a Noise Barrier Drainage Analysis. Includes evaluating the capacity of drainage openings in noise barriers and locating them to ensure offsite flows are accommodated.</t>
  </si>
  <si>
    <t xml:space="preserve">Minimal area adjacent to R/W discharging toward noise barrier locations; standard wall openings sufficient for conveyance. Based on 4 hours per mile of wall. </t>
  </si>
  <si>
    <t xml:space="preserve">Moderate area discharging toward noise barrier piping or moderate grading at back of wall location required. Based on 8 hours per mile of wall. </t>
  </si>
  <si>
    <t xml:space="preserve">Sheet flow or larger channelization at back of wall location requiring analysis of upstream stage effects. Based on 12 hours per mile of wall. </t>
  </si>
  <si>
    <t>6a.6</t>
  </si>
  <si>
    <t>RRR, Bridge widenings. Based on 4 hours.</t>
  </si>
  <si>
    <t>Rural widening and reconstruction. Based on 20 hours.</t>
  </si>
  <si>
    <t>Projects with significant temporary drainage needed for complex TTCP phasing such as interchange or urban multi-lane reconstruction. Based on 40 hours.</t>
  </si>
  <si>
    <t>6a.7</t>
  </si>
  <si>
    <r>
      <t xml:space="preserve">Includes all efforts for Pond Siting Analysis and Report when not performed during PD&amp;E or when an alternative option has been identified and needs to be developed. Complexity based on the presence of relevant existing information and basin characteristics such as degree of urbanization, right of way constraints, potential utility impacts, and quantity of environmental impacts.  Field reviews and technical meeting hours to be included in tasks 6a.27 &amp; 6a.28. </t>
    </r>
    <r>
      <rPr>
        <b/>
        <sz val="11"/>
        <rFont val="Arial"/>
        <family val="2"/>
      </rPr>
      <t xml:space="preserve">This task excludes the design of stormwater management facilities (see task 6a.12) </t>
    </r>
    <r>
      <rPr>
        <sz val="11"/>
        <rFont val="Arial"/>
        <family val="2"/>
      </rPr>
      <t xml:space="preserve">Treat regional treatment alternatives similar to one pond per basin when considering hours during negotiations. </t>
    </r>
  </si>
  <si>
    <t>R/W less than 50% developed. Simplified volumetric approach. Based on 24 hours per basin (based on three ponds per basin) and 8 hours for the report.</t>
  </si>
  <si>
    <t>R/W 50-80% developed, some environmentally sensitive areas, but some undeveloped areas have no environmental impacts. Based on 42 hours per basin (based on three ponds per basin) and 12 hours for the report.</t>
  </si>
  <si>
    <t>R/W is 80%-100% developed, this range includes environmentally sensitive areas and joint use/regional pond siting efforts. Based on 60 hours per basin (based on three ponds per basin) and 16 hours for the report.</t>
  </si>
  <si>
    <t>6a.9</t>
  </si>
  <si>
    <r>
      <rPr>
        <b/>
        <sz val="11"/>
        <rFont val="Arial"/>
        <family val="2"/>
      </rPr>
      <t xml:space="preserve">Controlled Canal Crossing/Pedestrian Bridge: </t>
    </r>
    <r>
      <rPr>
        <sz val="11"/>
        <rFont val="Arial"/>
        <family val="2"/>
      </rPr>
      <t>Includes all efforts for a Bridge Hydraulic Report for controlled canal crossings or pedestrian bridges. This is based on an abbreviated report per the drainage manual.</t>
    </r>
  </si>
  <si>
    <t>No alternatives. Based on 60 hours.</t>
  </si>
  <si>
    <t>Two Alternatives such as Bridge vs Box. Based on 80 hours.</t>
  </si>
  <si>
    <t>Multiple alternatives such as a bridge vs. a box culvert vs. several pipe configurations. Based on 100 hours.</t>
  </si>
  <si>
    <r>
      <rPr>
        <b/>
        <sz val="11"/>
        <rFont val="Arial"/>
        <family val="2"/>
      </rPr>
      <t xml:space="preserve">Main Bridge (Non-Tidal): </t>
    </r>
    <r>
      <rPr>
        <sz val="11"/>
        <rFont val="Arial"/>
        <family val="2"/>
      </rPr>
      <t>Includes all efforts for a Bridge Hydraulic Report for main bridges (non-tidal). Add 80 hours if there is floodway involvement where a FEMA "No Rise" is expected. If a Floodway change (redefinition) is expected, staff hours need to be negotiated on a case-by-case basis.</t>
    </r>
  </si>
  <si>
    <t>Replacement in kind at a gaged site.
Based on 120 hours for a single or dual parallel bridge with no relief structure.
Based on 220 hours if the crossing involves one or more relief bridges.</t>
  </si>
  <si>
    <t>Single or Dual parallel bridges, with several alternative structures to evaluate. 
Based on 200 hours for a single or dual parallel bridge with no relief structure.
Based on 300 hours if the crossing involves one or more relief bridges.</t>
  </si>
  <si>
    <r>
      <t>Single or Dual parallel bridges, with several alternative structures to evaluate that are complicated by known problems such as a migrating stream,</t>
    </r>
    <r>
      <rPr>
        <strike/>
        <sz val="11"/>
        <rFont val="Arial"/>
        <family val="2"/>
      </rPr>
      <t xml:space="preserve"> </t>
    </r>
    <r>
      <rPr>
        <sz val="11"/>
        <rFont val="Arial"/>
        <family val="2"/>
      </rPr>
      <t>existing frequent over-topping of the roadway for storms lower than the design storm event or scour. 
Based on 300 hours for a single or dual parallel bridge with no relief structure.
Based on 400 hours if the crossing involves one or more relief bridges.</t>
    </r>
  </si>
  <si>
    <r>
      <rPr>
        <b/>
        <sz val="11"/>
        <rFont val="Arial"/>
        <family val="2"/>
      </rPr>
      <t>Main Bridge (Tidal Crossing):</t>
    </r>
    <r>
      <rPr>
        <sz val="11"/>
        <rFont val="Arial"/>
        <family val="2"/>
      </rPr>
      <t xml:space="preserve"> Includes all efforts for a Bridge Hydraulic Report for main bridges (tidal crossing). Add 80 hours if there is floodway involvement where a FEMA "No Rise" is expected. If a Floodway change (redefinition) is expected, or the project requires two-dimensional modeling, staff hours need to be negotiated on a case-by-case basis.</t>
    </r>
  </si>
  <si>
    <t xml:space="preserve">Single tributary requiring only one reach be modeled.  
Based on 128 hours for a single or dual parallel bridge with no relief structure.
Based on 228 hours if the crossing involves one or more relief bridges.  </t>
  </si>
  <si>
    <t>Several parallel tributaries must be modeled.
Based on 208 hours for a single or dual parallel bridge with no relief structure.
Based on 308 hours if the crossing involves one or more relief bridges.</t>
  </si>
  <si>
    <t>Several parallel tributaries must be modeled that are complicated by known problems such as a migrating stream, existing frequent over-topping of the roadway for storms lower than the design storm event or scour. 
Based on 308 hours for a single or dual parallel bridge with no relief structure.
Based on 408 hours if the crossing involves one or more relief bridges.</t>
  </si>
  <si>
    <r>
      <t xml:space="preserve">Wave Modeling: </t>
    </r>
    <r>
      <rPr>
        <sz val="11"/>
        <rFont val="Arial"/>
        <family val="2"/>
      </rPr>
      <t xml:space="preserve">Includes all efforts for wave force calculations and wave modeling for "critical" and "extremely critical" brides requiring wave modeling. </t>
    </r>
  </si>
  <si>
    <t>6a.10</t>
  </si>
  <si>
    <t>Identically replaced culverts due to structural problems, with minimal lengthening to meet clear zone requirements. Rational method is used on an easily defined basin. Based on 11 hours per cross drain.</t>
  </si>
  <si>
    <t xml:space="preserve">Culvert replaced due significant lengthening for added travel lanes or culvert realignment or both.  Rational method is used. No known flooding or scour problems. Based on 14 hours per cross drain. </t>
  </si>
  <si>
    <t xml:space="preserve">Analysis of several alternatives of size and configuration.  Drainage basin difficult to define because of flat terrain, drainage basin is larger than appropriate for the Rational Method, but ungaged. Flooding or scour problems are known. Based on 24 hours per cross drain. </t>
  </si>
  <si>
    <r>
      <t xml:space="preserve">Analysis of several alternatives of size and configuration that are complicated by the need to model basin overtopping, or model more than one culvert location draining the area.  Activities </t>
    </r>
    <r>
      <rPr>
        <b/>
        <sz val="11"/>
        <rFont val="Arial"/>
        <family val="2"/>
      </rPr>
      <t>above</t>
    </r>
    <r>
      <rPr>
        <sz val="11"/>
        <rFont val="Arial"/>
        <family val="2"/>
      </rPr>
      <t xml:space="preserve"> the range may include complex modeling and routing of the drainage area. Includes necessary downstream tailwater determination. Based on 34 hours per cross drain. </t>
    </r>
  </si>
  <si>
    <t>6a.11</t>
  </si>
  <si>
    <t>Design of Ditches and Side Drains</t>
  </si>
  <si>
    <t>Includes all efforts for the design of roadside and lateral ditches and side drains. Includes capacity calculations, longitudinal grade adjustments, flow changes, additional adjustments for ditch convergences, selection of suitable channel lining, design of side drain pipes, and documentation. Includes basin delineation, hydrology, and development of 3D CADD files. Task does not include linear stormwater management treatment facilities.</t>
  </si>
  <si>
    <t>6a.12</t>
  </si>
  <si>
    <t>Staff hours vary with regulatory criteria and site conditions.  Includes determining pond layout (contributing drainage basin, shape, contours, slopes, volumes, tie-ins, aesthetics, etc.), routing, pollutant/nutrient loading and recovery calculations, outlet control structure design and buoyancy calculations for pond liners when necessary.  Includes hydrology and development of 3D CADD files. Task includes evaluation of existing condition and proposed condition.</t>
  </si>
  <si>
    <r>
      <t xml:space="preserve">Facilities in high upland areas, in areas with well drained sandy soils, in areas with more than adequate right of way available. Simple treatment ponds providing no attenuation in undeveloped areas may be below the range. </t>
    </r>
    <r>
      <rPr>
        <sz val="12"/>
        <rFont val="Arial"/>
        <family val="2"/>
      </rPr>
      <t>Based on 50 hours per simple pond.</t>
    </r>
  </si>
  <si>
    <t>Things that may cause the design to be above the low range are: 
1. High groundwater
2. Flood prone areas where freeboard is difficult to achieve
3. Poorly defined tailwater in the receiving waterbody 
4. Limited and expensive right of way 
5. Large offsite inflows to the project
6. Facilities discharging to sensitive water bodies
7. Springsheds and facilities with no positive outfall
8. More strict criteria beyond standard WMD and FDOT criteria 
9. Difficulty tying into element 
Standard ponds contain a few elements listed above. Based on 75 hours per standard pond. 
Complex ponds contain most elements listed above. Based on 100 hours per complex pond.</t>
  </si>
  <si>
    <t>A cell is defined as areas of storage separated by drainage structures, ditch blocks, natural topography, roads, driveways, etc. Staff hours vary with number of cells and detail of routing calculations.  Includes determining pond layout (contributing drainage basin, shape, contours, slopes, volumes, tie-ins, aesthetics, etc.), routing, pollutant/nutrient loading and recovery calculations, outlet control structure design and buoyancy calculations for pond liners when necessary. Includes hydrology and development of 3D CADD files. Task includes evaluation of existing condition and proposed condition.</t>
  </si>
  <si>
    <t>Projects with single independent cells not interconnected. The range also includes treatment swales and the effort needed to calculate capacity and grade adjustments. Based on 12 hours per cell.</t>
  </si>
  <si>
    <t>Projects with many interconnected linear stormwater cells functioning as one facility. Based on 16 hours per cell.</t>
  </si>
  <si>
    <t>Projects with multiple cells in series or multiple control structures. Based on 20 hours per cell.</t>
  </si>
  <si>
    <t>6a.13</t>
  </si>
  <si>
    <t>Staff hours vary with level of design and modeling necessary to determine floodplain compensation, if required. If modeling efforts exist through other areas of design, staff hours are not to be duplicated. Depressional Storage to be negotiated on a case-by-case basis.</t>
  </si>
  <si>
    <t>Compensation based on total volume filled versus total volume excavated. Based on 32 hours per basin.</t>
  </si>
  <si>
    <t>Regulatory agency requires flood plain storage volumes be compensated equally at incremental elevations.  (sometimes called "cup for cup").  Compensation area is adjacent to the fill area. Based on 52 hours per basin.</t>
  </si>
  <si>
    <t>Regulatory agency requires compensation area is far removed from the project requiring water surface profile computations to equate elevations and result in no rise. Based on 68 hours per basin.</t>
  </si>
  <si>
    <t>6a.14</t>
  </si>
  <si>
    <t>When counting structures include inlets, manholes, and end treatments.  Generally, projects with more structures will need fewer staff hours per structure and projects with less structures will need more staff hours per structure.  The task may involve attending a utility coordination meeting, but meeting hours are not included in the range and should be tabulated in "Technical Meetings".  This task includes deck drainage not included in Bridge Hydraulics Report, such as overpasses or land traversing bridges. Includes basin delineation, hydrology, and development of 3D CADD files. 
Add 3 hours for each non-standard drainage structure to be modeled in 3D.</t>
  </si>
  <si>
    <t>Suburban area with minimal utilities, few existing offsite pipes to connect to, small offsite drainage areas, minimal back of sidewalk inlets to design, or a large quantity of structures (approx. 100 or more). Based on 3 hours per structure.</t>
  </si>
  <si>
    <t>Complicated projects such as those described in the high range, but with a large quantity of structures.  Or simple projects such as those described in the low range, but with relatively few structures. Based on 3.5 hours per structure.</t>
  </si>
  <si>
    <t>Highly urbanized with many utilities, large offsite drainage areas, many back of sidewalk inlets to design, numerous existing offsite ponds to accept water from, or a short project with relatively few structures (&lt; 50). Based on 4 hours per structure.</t>
  </si>
  <si>
    <t>6a.15</t>
  </si>
  <si>
    <t>Provide a Culvert Service Life Estimator sheet for each drainage pipe. Additional borings are not required for each drainage pipe analyzed.
Based on 2 hours for setup of the Culvert Life Estimator sheet.</t>
  </si>
  <si>
    <t>Many structures lying in areas with similar soil parameters. Acceptable to use the low end of the hour range to accommodate the savings associated with economies of scale. Based on 0.15 hours per drainage pipe.</t>
  </si>
  <si>
    <t>Individual structures lying in areas with varying soil parameters. Acceptable to use the high end of the hour range. Based on 0.25 hours per drainage pipe.</t>
  </si>
  <si>
    <t>6a.17</t>
  </si>
  <si>
    <t>Design of French Drain Systems</t>
  </si>
  <si>
    <t>A cell is defined as french drain systems separated by drainage structures, ditch blocks, natural topography, roads, driveways, etc. To supplement the descriptions for the Simple-Standard-Complex Range, things that may require more hours in design are: high groundwater conditions, low lying terrain, low hydraulic permeability of soil, complicated soil strata, many utilities, and complicated system network.  The effort to develop the "working drainage map" and determine inlet locations and spread is included in the task "Design of Storm Drains". Includes the development of 3D CADD files.</t>
  </si>
  <si>
    <t>Projects with single independent cells not interconnected. Based on 12 hours per cell.</t>
  </si>
  <si>
    <t>Evaluation of Existing French Drain Systems</t>
  </si>
  <si>
    <t>Rural widening or reconstruction projects with modifications to the existing systems. Based on 2 hours per cell.</t>
  </si>
  <si>
    <t>Urban widening or reconstruction projects with modifications to the existing systems. Based on 3 hours per cell.</t>
  </si>
  <si>
    <t>Rural or Urban reconstruction projects with a complete reconstruction of the drainage systems. Based on 4 hours per cell.</t>
  </si>
  <si>
    <t>6a.18</t>
  </si>
  <si>
    <t>Design of Drainage Wells</t>
  </si>
  <si>
    <t>Low capacity of wells in the area, limited locations to place the wells, head availability, and many utilities.
Based on 12 hours per drainage well.</t>
  </si>
  <si>
    <t>6a.19</t>
  </si>
  <si>
    <t>Includes analysis and design of the Stormwater Runoff Control Concept. Includes the development of 2D CADD files.</t>
  </si>
  <si>
    <t>6a.20</t>
  </si>
  <si>
    <t>Other Drainage Tasks</t>
  </si>
  <si>
    <t>6a.21</t>
  </si>
  <si>
    <t>Mill and resurface, no permit documentation required.  Includes technical memorandums for smaller projects.
Based on 8 hours for the report.</t>
  </si>
  <si>
    <t>RRR project with numerous culvert extensions, minimal permit documentation such as water quality only.
Based on 40 hours for the report.</t>
  </si>
  <si>
    <t>Major reconstruction having up to 4 submittals, and all the tasks to document, substantial permit documentation such as quality, quantity, &amp; flood plain compensation. Based on 80 hours for the report.</t>
  </si>
  <si>
    <t>6a.22</t>
  </si>
  <si>
    <t>Includes all work required to determine and validate drainage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t>
  </si>
  <si>
    <t>Based on 20 hours.</t>
  </si>
  <si>
    <t>6a.23</t>
  </si>
  <si>
    <r>
      <t xml:space="preserve">Resurfacing projects. 
</t>
    </r>
    <r>
      <rPr>
        <b/>
        <sz val="11"/>
        <rFont val="Arial"/>
        <family val="2"/>
      </rPr>
      <t>Engineer Estimate:</t>
    </r>
    <r>
      <rPr>
        <sz val="11"/>
        <rFont val="Arial"/>
        <family val="2"/>
      </rPr>
      <t xml:space="preserve"> Based on 2 hours per submittal. 
</t>
    </r>
    <r>
      <rPr>
        <b/>
        <sz val="11"/>
        <rFont val="Arial"/>
        <family val="2"/>
      </rPr>
      <t>LRE Update:</t>
    </r>
    <r>
      <rPr>
        <sz val="11"/>
        <rFont val="Arial"/>
        <family val="2"/>
      </rPr>
      <t xml:space="preserve"> Based on 2 hours per submittal. </t>
    </r>
  </si>
  <si>
    <r>
      <t xml:space="preserve">Curbed roadways less than 1 mile long and flush shoulder roadways. 
</t>
    </r>
    <r>
      <rPr>
        <b/>
        <sz val="11"/>
        <rFont val="Arial"/>
        <family val="2"/>
      </rPr>
      <t>Engineer Estimate:</t>
    </r>
    <r>
      <rPr>
        <sz val="11"/>
        <rFont val="Arial"/>
        <family val="2"/>
      </rPr>
      <t xml:space="preserve"> Based on 5 hours per submittal. 
</t>
    </r>
    <r>
      <rPr>
        <b/>
        <sz val="11"/>
        <rFont val="Arial"/>
        <family val="2"/>
      </rPr>
      <t>LRE Update:</t>
    </r>
    <r>
      <rPr>
        <sz val="11"/>
        <rFont val="Arial"/>
        <family val="2"/>
      </rPr>
      <t xml:space="preserve"> Based on 4 hours per submittal. </t>
    </r>
  </si>
  <si>
    <r>
      <t xml:space="preserve">Curbed roadways longer than 1 mile.
</t>
    </r>
    <r>
      <rPr>
        <b/>
        <sz val="11"/>
        <rFont val="Arial"/>
        <family val="2"/>
      </rPr>
      <t>Engineer Estimate:</t>
    </r>
    <r>
      <rPr>
        <sz val="11"/>
        <rFont val="Arial"/>
        <family val="2"/>
      </rPr>
      <t xml:space="preserve"> Based on 8 hours per submittal. 
</t>
    </r>
    <r>
      <rPr>
        <b/>
        <sz val="11"/>
        <rFont val="Arial"/>
        <family val="2"/>
      </rPr>
      <t>LRE Update:</t>
    </r>
    <r>
      <rPr>
        <sz val="11"/>
        <rFont val="Arial"/>
        <family val="2"/>
      </rPr>
      <t xml:space="preserve"> Based on 6 hours per submittal. </t>
    </r>
  </si>
  <si>
    <t>6a.24</t>
  </si>
  <si>
    <t>6a.25</t>
  </si>
  <si>
    <t>6a.27</t>
  </si>
  <si>
    <t xml:space="preserve">Meetings with Department staff, regulatory agencies, local governments such as meetings with District Drainage Engineer, the Water Management District, FDEP, etc. Based on 2 hours per meeting plus travel time (hours) for in-person meetings, if necessary. </t>
  </si>
  <si>
    <t>Field time to obtain data necessary for design. When in the field, designers will obtain/gather for any or all the required tasks. Based on number of staff per field review X (length of time (hours) on site per staff per field review + travel time (hours) per staff per field review).</t>
  </si>
  <si>
    <t>6a.29</t>
  </si>
  <si>
    <t xml:space="preserve">Includes all work required (existing structures and flood data) for production of drainage map.    
Based on 10 hours per mile for simple map (rural project, low number of structures, lots of available data),  24 hours per mile for standard map, and 40 hours per mile for complex map (multilane urban, many structures, not much existing data available).  </t>
  </si>
  <si>
    <t>Includes creating and delivering the Lateral Ditch Plan/Profile &amp; Cross Section sheets.  Based on 8 hours per standard ditch and 12 hours per complex ditch where horizontal and vertical geometry is complex.  Add 2 hours per ditch alignment that require cross sections.</t>
  </si>
  <si>
    <t>Includes creating and delivering the Retention/Detention or Floodplain Compensation Ponds Detail &amp; Cross Sections Sheets.  Based on 24 hours per standard pond and 32 hours per complex pond.  Add 2 hours per pond alignment that require cross sections.</t>
  </si>
  <si>
    <t xml:space="preserve">Includes all QA/QC activities associated with the development of Drainage Plans, including addressing ERC phase review comments.  Based on 5% of technical subtotal.    </t>
  </si>
  <si>
    <t>Data gathering including desktop analysis from relevant sources including PD&amp;E studies, county, local agencies, WMD, USACE, USCG, etc.  Research existing permits, conservation easement title restrictions, and SSL determination. Review any other information available from the Department and verify background data.  This task includes a preliminary field review.  The Basis for Staff hours is contingent on the number of wetlands, potential pond sites, complexity of environmental issues, etc.</t>
  </si>
  <si>
    <t>Involves a multi-discipline team of engineers and biologists.  Includes all necessary field work and environmental research to ensure site specific success based on proposed mitigation.  Must be detailed in Scope.</t>
  </si>
  <si>
    <t>Includes completion of application (i.e. ERP, Section 404), relevant minor attachments (e.g., project location map, aerials, affidavit of ownership, pictures, additional technical analysis, etc.), and cover letter with project description as well as completion of applicable forms (such as the US Army Corps of Engineers (USACE) “Wetland Determination Data Form – Atlantic and Gulf Coastal Plain Region”;  the USACE “Approved Jurisdictional Determination Form”; and/or project specific data forms, Uniform Mitigation Assessment Method (UMAMs) and field review forms as required).  Includes engineering and environmental responses to agency Requests for Additional Information (RAIs), including necessary revisions to applicable attachments.  All responses and completed applications must be approved by the District Permit Coordinator.  Includes, but is not limited to, applications submitted to WMDs and/or DEP, USACE, or local governments (those delegated ERP authority).  Geotechnical permitting should also be included.</t>
  </si>
  <si>
    <t>Staff hours for this task will require close coordination with the District's Environmental Management Office and regulatory agencies to determine the types of permits required.  The work effort will be determined and includes completion of application (e.g., project location map, aerials, affidavit of ownership, pictures, additional technical analysis, etc.), and cover letter with project description as well as completion of applicable forms. Includes response to agency RAIs, including necessary revisions to applicable attachments.  All responses and completed applications must be approved by the District Permit Coordinator.   Includes wildlife and T&amp;E permit application (including Section 7 and 10 consultation as necessary).</t>
  </si>
  <si>
    <t>8.13</t>
  </si>
  <si>
    <t>Landscape Opportunity Plan</t>
  </si>
  <si>
    <t>Includes all efforts to develop a Landscape Opportunity Plan. 
Linear projects are defined as projects along a roadway corridor and area projects are defined as interchanges, rest areas, and toll plazas.
Based on 16 hours per mile on linear projects or 1 hour per acre on area projects for simple complexity opportunity plans, 28 hours per mile on linear projects or 2 hours per acre on area projects for standard complexity opportunity plans, and 40 hours per mile on linear projects or 3 hours per acre on area projects for complex opportunity plans.</t>
  </si>
  <si>
    <t>Includes all efforts to coordinate internally with survey, geotechnical, drainage, structures, lighting, roadway, signals, utilities, rail road, permits, schedules, specifications, bicycle/ pedestrian/ transit, landscape architecture, traffic operations, and other Department offices to produce a final set of construction documents. Based on 3% of required tasks.</t>
  </si>
  <si>
    <t>Includes all research required to collect data necessary to complete initial design analysis for standalone landscape projects.  Includes identifying local ordinances and acquiring additional information and data from lighting, utilities, ITS, signage/pavement markings, drainage maintenance, etc. Based on 8 hours for low complexity projects, 24 hours for mid complexity projects, and 40 hours for upper complexity projects.</t>
  </si>
  <si>
    <t>25.2</t>
  </si>
  <si>
    <t>Outdoor Advertising Assessment</t>
  </si>
  <si>
    <t>Includes all work required to determine locations of all outdoor advertising (ODA) permitted within the roadway project limits. Includes all work required to determine the proposed view zones and the supporting documentation including ODA Summary Box. Coordination/Meetings/Negotiations with ODA permittees. Based on 4 hours per outdoor advertising sign structure.</t>
  </si>
  <si>
    <t>Master Design File Setup (Base Files)</t>
  </si>
  <si>
    <t>Includes identification of opportunities and constraints for the proposed project based on existing site conditions. 
Linear projects are defined as projects along a roadway corridor and area projects are defined as interchanges, rest areas, and toll plazas.
Based on 8 hours per mile on linear projects or 0.5 hours per acre on area projects for low complexity projects, 32 hours per mile on linear projects or 2 hours per acre on area projects for mid complexity projects, and 56 hours per mile on linear projects or 3 hours per acre on area projects for upper complexity projects.</t>
  </si>
  <si>
    <t>25.6</t>
  </si>
  <si>
    <r>
      <t xml:space="preserve">Conceptual Planting Design includes an Illustrative/Conceptual Master Plan &amp; preliminary costs. Typically not done in master design file.  Includes delineation of all proposed planting types, areas, and reports. Phase 1 design level. 
Linear projects are defined as projects along a roadway corridor and area projects are defined as interchanges, rest areas, and toll plazas.
</t>
    </r>
    <r>
      <rPr>
        <b/>
        <sz val="11"/>
        <rFont val="Arial"/>
        <family val="2"/>
      </rPr>
      <t xml:space="preserve">Report Preparation: </t>
    </r>
    <r>
      <rPr>
        <sz val="11"/>
        <rFont val="Arial"/>
        <family val="2"/>
      </rPr>
      <t xml:space="preserve">Based on 16 hours for low complexity projects, 28 hours for mid complexity projects, and 40 hours for upper complexity projects.
</t>
    </r>
    <r>
      <rPr>
        <b/>
        <sz val="11"/>
        <rFont val="Arial"/>
        <family val="2"/>
      </rPr>
      <t xml:space="preserve">Conceptual Planting Design: </t>
    </r>
    <r>
      <rPr>
        <sz val="11"/>
        <rFont val="Arial"/>
        <family val="2"/>
      </rPr>
      <t>Based on 24 hours per mile on linear projects or 1 hour per acre on area projects for low complexity projects, 40 hours per mile on linear projects or 2 hours per acre on area projects for mid complexity projects, and 60 hours per mile on linear projects or 3 hours per acre on area projects for upper complexity projects.</t>
    </r>
  </si>
  <si>
    <t>25.7</t>
  </si>
  <si>
    <t xml:space="preserve">Final Planting Design includes all work in master design files. Planting design includes the species/type, size, location, spacing, and quality of all plants. Assume master design file is provided by another discipline.
Linear projects are defined as projects along a roadway corridor and area projects are defined as interchanges, rest areas, and toll plazas.
Based on 60 hours per mile on linear projects or 2 hours per acre on area projects for low complexity projects, 120 hours per mile on linear projects or 5 hours per acre on area projects for mid complexity projects, and 180 hours per mile on linear projects or 8 hours per acre on area projects for upper complexity projects.
</t>
  </si>
  <si>
    <t>25.8</t>
  </si>
  <si>
    <r>
      <t xml:space="preserve">Conceptual Irrigation Design includes scheme development &amp; preliminary costs. Typically not done in master design file. Includes determination of water &amp; power sources. Phase 1 design level. Includes analysis of methods, materials, and operation costs associated with irrigation system design. 
Linear projects are defined as projects along a roadway corridor and area projects are defined as interchanges, rest areas, and toll plazas.
</t>
    </r>
    <r>
      <rPr>
        <b/>
        <sz val="11"/>
        <rFont val="Arial"/>
        <family val="2"/>
      </rPr>
      <t>Feasibility Report:</t>
    </r>
    <r>
      <rPr>
        <sz val="11"/>
        <rFont val="Arial"/>
        <family val="2"/>
      </rPr>
      <t xml:space="preserve"> Based on 16 hours for simple complexity irrigation designs, 24 hours for standard complexity irrigation designs, and 32 hours for complex irrigation designs.
</t>
    </r>
    <r>
      <rPr>
        <b/>
        <sz val="11"/>
        <rFont val="Arial"/>
        <family val="2"/>
      </rPr>
      <t>Conceptual Irrigation Design:</t>
    </r>
    <r>
      <rPr>
        <sz val="11"/>
        <rFont val="Arial"/>
        <family val="2"/>
      </rPr>
      <t xml:space="preserve"> Based on 20 hours per mile on linear projects or 1 hour per acre on area projects for simple complexity irrigation designs, 35 hours per mile on linear projects or 2 hours per acre on area projects for standard complexity irrigation designs, and 50 hours per mile on linear projects or 3 hours per acre on area projects for complex irrigation designs. </t>
    </r>
  </si>
  <si>
    <t>25.9</t>
  </si>
  <si>
    <t xml:space="preserve">Final Irrigation Design includes all work in master design files. Irrigation design includes meter installation, tapping of main,  locating and sizing pumps, pump stations, mainlines, lateral lines, irrigation heads, valves, backflow, and control devices.  
Linear projects are defined as projects along a roadway corridor and area projects are defined as interchanges, rest areas, and toll plazas.
Based on 50 hours per mile on linear projects or 2 hour per acre on area projects for simple complexity irrigation designs, 100 hours per mile on linear projects or 5 hours per acre on area projects for standard complexity irrigation designs, and 150 hours per mile on linear projects or 8 hours per acre on area projects for complex irrigation designs. </t>
  </si>
  <si>
    <r>
      <t xml:space="preserve">Conceptual Hardscape Design includes scheme development &amp; preliminary costs. Typically not done in master design file. Delineation of areas and elements to be included in design. Select cut sheets, prepare image boards.  Includes report, if required.  
</t>
    </r>
    <r>
      <rPr>
        <b/>
        <sz val="11"/>
        <rFont val="Arial"/>
        <family val="2"/>
      </rPr>
      <t>Report Preparation:</t>
    </r>
    <r>
      <rPr>
        <sz val="11"/>
        <rFont val="Arial"/>
        <family val="2"/>
      </rPr>
      <t xml:space="preserve"> Based on 8 hours for simple complexity hardscape designs, 12 hours for standard complexity hardscape designs, and 16 hours for complex hardscape designs.
</t>
    </r>
    <r>
      <rPr>
        <b/>
        <sz val="11"/>
        <rFont val="Arial"/>
        <family val="2"/>
      </rPr>
      <t>Conceptual Hardscape Design:</t>
    </r>
    <r>
      <rPr>
        <sz val="11"/>
        <rFont val="Arial"/>
        <family val="2"/>
      </rPr>
      <t xml:space="preserve"> Based on 8 hours for simple complexity hardscape designs, 24 hours for standard complexity hardscape designs, and 40 hours for complex hardscape designs.</t>
    </r>
  </si>
  <si>
    <t>25.11</t>
  </si>
  <si>
    <r>
      <t>Final Hardscape Design includes all work in master design files.  Hardscape Design includes landscape accent lighting, sidewalks, plazas, steps, fountains, walls, pedestrian bridges, non-regulatory signs or project graphics, site furnishings, and specialty surfacing; concrete pavers, stamped concrete and stamped asphalt.</t>
    </r>
    <r>
      <rPr>
        <strike/>
        <sz val="11"/>
        <rFont val="Arial"/>
        <family val="2"/>
      </rPr>
      <t xml:space="preserve">
</t>
    </r>
    <r>
      <rPr>
        <sz val="11"/>
        <rFont val="Arial"/>
        <family val="2"/>
      </rPr>
      <t>Based on 80 hours for simple complexity hardscape designs, 120 hours for standard complexity hardscape designs, and 160 hours for complex hardscape designs.</t>
    </r>
  </si>
  <si>
    <t>25.12</t>
  </si>
  <si>
    <t>Includes all work required to determine and validate landscape pay items and quantities. Includes creating the Excel summary table through the Quantity Takeoff Manager (QTM), fully populating the tables with the estimated quantities, and delivering the Excel file to the lead consultant firm Engineer of Record (EOR). Consider adding 4 hours when required to include EQ Report with Phase II submittal.
Based on 20 hours for low complexity projects, 24 hours for mid complexity projects, and 28 hours for upper complexity projects.</t>
  </si>
  <si>
    <r>
      <t xml:space="preserve">Reviewing Department's LRE, prepare an initial cost estimate, and updating as necessary.
</t>
    </r>
    <r>
      <rPr>
        <b/>
        <sz val="11"/>
        <rFont val="Arial"/>
        <family val="2"/>
      </rPr>
      <t>Engineer Estimate</t>
    </r>
    <r>
      <rPr>
        <sz val="11"/>
        <rFont val="Arial"/>
        <family val="2"/>
      </rPr>
      <t xml:space="preserve"> based on 2 hours per submittal for low complexity projects, 5 hours per submittal for mid complexity projects, and 8 hours per submittal for upper complexity projects. 
</t>
    </r>
    <r>
      <rPr>
        <b/>
        <sz val="11"/>
        <rFont val="Arial"/>
        <family val="2"/>
      </rPr>
      <t>LRE Updates</t>
    </r>
    <r>
      <rPr>
        <sz val="11"/>
        <rFont val="Arial"/>
        <family val="2"/>
      </rPr>
      <t xml:space="preserve"> based on 2 hours per update (typically at Phase II, but sometimes Phase I) for low complexity projects, 4 hours per update for mid complexity projects, and 6 hours per update for upper complexity projects. </t>
    </r>
  </si>
  <si>
    <t xml:space="preserve">Technical or Modified Special Provisions </t>
  </si>
  <si>
    <t>Includes producing and implementation of QA/QC plan. Includes response to comments and resolution meetings if required, assembly of plans for submittals for reviews, etc. Based on 5% of technical tasks.</t>
  </si>
  <si>
    <t>Includes all effort required to supervise all technical design analysis. Based on 5% of technical tasks.</t>
  </si>
  <si>
    <t>Landscape Meetings</t>
  </si>
  <si>
    <t>Meetings with departmental and/or governmental agency or private party regarding design objectives, utilities (electrical, ITS, Gas, sewer, etc.) and other coordination issues. Also includes coordination meetings with other disciplines (Permit preparation and application; Utilities; Traffic Control; Architecture; Roadway; Structures; Drainage; Lighting; ITS) 
Based on 2 hours per meeting plus travel time (hours) for in-person meetings, if necessary.</t>
  </si>
  <si>
    <t>Includes travel time for trips to field to obtain data necessary for design. Included for planting, irrigation, and hardscape design.  
Based on number of staff per field review X (length of time (hours) on site per staff per field review + travel time (hours) per staff per field review).</t>
  </si>
  <si>
    <t>25.20</t>
  </si>
  <si>
    <t xml:space="preserve">Includes creating and delivering the Planting Plans Sheets for Linear Areas. Based on 14 hours per mile for low complexity projects, 21 hours per mile for mid complexity projects, and 28 hours per mile for upper complexity projects. Use Landscape Guidelines Matrix to determine complexity.  </t>
  </si>
  <si>
    <t xml:space="preserve">Includes creating and delivering the Planting Plans Sheets for Non-Linear Areas. Based on 0.5 hours per acre for low complexity projects, 1 hour per acre for mid complexity projects, and 1.5 hours per acre for upper complexity projects for each stormwater facility, rest area, interchange, toll plaza, or other non-linear area. (When calculating acreage, include all areas within the project limits. Do not deduct any unplantable areas.)  </t>
  </si>
  <si>
    <t>Includes creating and delivering the Irrigation Plans Sheets for Linear Areas. Based on 14 hours per mile for simple complexity irrigation plans, 21 hours per mile for standard complexity irrigation plans, and 28 hours per mile for complex irrigation plans.</t>
  </si>
  <si>
    <t>Includes creating and delivering the Irrigation Plans Sheets for Non-Linear Areas. Based on 0.5 hours per acre for simple complexity irrigation plans, 1 hour per acre for standard complexity irrigation plans, and 1.5 hours per acre for complex irrigation plans for each stormwater facility, rest area, interchange, toll plaza, or other non-linear area. (When calculating acreage, include all project limits. Do not deduct any unplantable areas)</t>
  </si>
  <si>
    <t>Includes creating and delivering the Maintenance Plan Sheets.  Includes written or graphic guidance for the design intent including mature form and size. Describe the agency’s responsibilities for the care and maintenance of the landscape improvements following the establishment period. Based on 8 hours for simple complexity maintenance plans, 16 hours for standard complexity maintenance plans, and 24 hours for complex maintenance plans.</t>
  </si>
  <si>
    <t xml:space="preserve">Includes creating the line work with all required data into the Master CADD file from the alignment analysis done in the survey task. Based on 2 hours per mile for simple configurations (i.e. tangents), 3 hours per mile for standard configurations (i.e. mix of tangents and curves), and 4 hours per mile for complex configurations (i.e. multiple curves, ramps, spirals). </t>
  </si>
  <si>
    <t>Includes creating the line work with all required data into the Master CADD file from the sectional analysis done in the survey task, including preparation of closure reports. Based on 2 hours per section for standard sections and 4 hours per section for complex sections (i.e. containing government lots, meander lines, grants, section on closing line, water boundaries).</t>
  </si>
  <si>
    <t>Subdivisions</t>
  </si>
  <si>
    <t>Includes creating the line work with all required data into the Master CADD file from the Subdivision analysis done in the survey task. Computations for elements not field tied are included in this task. This task includes preparation of closure reports for each block. Based on 4 hours per block for standard blocks (i.e. simple rectangular configurations) and 12 hours per block for complex blocks (i.e. curvilinear configurations).</t>
  </si>
  <si>
    <t>Includes creating the line work with all required data into the Master CADD file for Existing R/W. This task includes the determination and/or verification of deeded, maintained, and dedicated rights of way and/or easements previously acquired or used for appurtenant roadway facilities for all projects (with or without a right of way phase) including mainline corridor and/or side streets. Computations for elements not field tied are included in this task. Based on 8 hours per mile (project length including side streets) for simple configurations (i.e. simple right of way configurations with minimal research/verification, available right of way information), 16 hours per mile for standard configurations, and 24 hours per mile for complex configurations (i.e. complex right of way configurations with extensive research/verification, minimal right of way information available).</t>
  </si>
  <si>
    <t>Includes importing graphic elements into the Master CADD file at the desired scale for Topography. Includes adjusting and modifying elements as necessary. Based on 2 hours per mile for standard configurations (i.e. rural/minimal) and 4 hours per mile for complex configurations (i.e. urban/extensive).</t>
  </si>
  <si>
    <t>Includes creating the line work with all required data into the Master CADD file for Parent Tract Properties/Existing Easements in the preparation of a Right of Way map. This will include the title search analysis and determination of parent tracts and existing easements for properties determined to be impacted by proposed right of way acquisition. Based on 2 hours per parcel for simple boundary configurations (i.e. minimal title search analysis), 5 hours per parcel for standard boundary configurations, and 10 hours per parcel for complex boundary configurations (i.e. extensive title search analysis).</t>
  </si>
  <si>
    <t>Includes creating the line work along with all required data including takes and remainders will be plotted into the Master CADD file for Proposed R/W Requirements in the preparation of a Right of Way map. This includes coordination with the Roadway Designer, evaluation and calculations of the required right of way, and remainder areas with minimal adjustments due to appraisal/design coordination. This task includes preparation of closure reports for each parcel and/or parent tract. Based on 2 hours per parcel for standard configurations (i.e. rural projects) and 4 hours per parcel for complex configurations (i.e. urban and/or multiple takes).</t>
  </si>
  <si>
    <t>Includes importing line work provided by the designer into the Master CADD file (includes minor labeling) for Limits of Construction in preparation of a Right of Way map. A comparison of the limits of construction with the right of way will be made. Coordination with the Roadway Designer will be required to resolve problem areas, if any.  Based on 2 hours per mile.</t>
  </si>
  <si>
    <t xml:space="preserve">Includes mapping of jurisdictional, wetland, water boundaries, and city/county limit lines into the Master CADD file (includes labeling). Based on 2 hours per linear mile (linear mile is defined as the actual lines being plotted, not the project length) for simple configurations (minimal labeling), 4 hours per linear mile for standard configurations, and 6 hours per linear mile for complex configurations (extensive labeling and research). </t>
  </si>
  <si>
    <t>Includes creating and delivering the Control Survey Cover Sheet. Based on 8 hours per cover sheet.</t>
  </si>
  <si>
    <t>Includes creating and delivering the Control Survey Key Sheet (24" x 36"). Includes sheet(s) derived from the Master CADD  file at an appropriate scale to show alignment(s), section ties, subdivisions, other elements as required, and relationship of the detail sheets if necessary. The line work and text will be added/modified to fit the key sheet scale. Based on 8 hours per sheet for simple projects (rural/low density), 12 hours per sheet for standard projects, and 16 hours per sheet for complex projects (urban/high density).</t>
  </si>
  <si>
    <t>Includes creating and delivering the Control Survey Detail Sheet (24" x 36"). Includes sheet(s) derived from the Master CADD  file at an appropriate scale to depict the field right of way survey data. The line work and text will be added/modified to fit the detail sheet scale. Based on 8 hours per sheet for simple projects (rural/low density), 16 hours per sheet for standard projects, and 24 hours per sheet for complex projects (urban/high density).</t>
  </si>
  <si>
    <t>Includes creating and delivering the R/W Map Cover Sheet. Based on 8 hours per cover sheet.</t>
  </si>
  <si>
    <t>Includes creating and delivering the R/W Map Key Sheet (24" x 36"). Includes sheet(s) derived from the Master CADD  file at an appropriate scale to show alignment(s), section ties, subdivisions, large parent tracts, other elements as required, and relationship of the detail sheets if necessary. The line work and text will be added/modified to fit the key sheet scale. Based on 2 hours per sheet for simple (copying from existing key sheet with minimal adjustments to details), 12 hours per sheet for standard, and 24 hours per sheet for complex (depiction of large parent tracts).</t>
  </si>
  <si>
    <t>Includes creating and delivering the R/W Map Detail Sheet (24" x 36"). Includes sheet(s) derived from the Master CADD  file at an appropriate scale. The line work and text will be added/modified to fit the detail sheet scale. Based on 4 hours per sheet for simple (copying from existing detail sheet with minimal adjustments to details/minimal or no parcels), 18 hours per sheet for standard, and 24 hours per sheet for complex (extensive number of parcels).</t>
  </si>
  <si>
    <t>Includes creating and delivering the Maintenance Map Cover Sheet. Based on 8 hours per cover sheet.</t>
  </si>
  <si>
    <t>Includes creating and delivering the Maintenance Map Key Sheet (24" x 36").  Includes sheet(s) derived from the Master CADD  file at an appropriate scale to show alignment(s), section ties, subdivisions, other elements as required, and relationship of the detail sheets if necessary. The line work and text will be added/modified to fit the key sheet scale. Based on 2 hours per sheet for simple (copying from existing key sheet with minimal adjustments to details), 8 hours per sheet for standard, and 16 hours per sheet for complex (extensive CADD work to create the sheet(s)).</t>
  </si>
  <si>
    <t>Includes creating and delivering the Maintenance Map Detail Sheet (24" x 36"). Includes sheet(s) derived from the Master CADD  file at an appropriate scale. The line work and text will be added/modified to fit the detail sheet scale. Based on 2 hours per sheet for simple (copying from existing detail sheet with minimal adjustments to details), 12 hours per sheet for standard, and 24 hours per sheet for complex (conforming to local governmental agency requirements).</t>
  </si>
  <si>
    <t>Includes creating and delivering the Reference Point Sheet. Includes information derived from field book data or electronic files plotted into a CADD file. The line work and text will be added/modified to fit the sheet scale (if applicable). Based on 0.5 hours per center line point.</t>
  </si>
  <si>
    <t>Includes creating and delivering the Project Control Sheet (24" x 36"). Includes information derived from field book data or electronic files plotted into a CADD file. The line work and text will be added/modified to fit the sheet scale (if applicable). Includes alignment, control tables, and reference points. Based on 6 hours per sheet for simple projects, 8 hours per sheet for standard projects, and 12 hours per sheet for complex projects.</t>
  </si>
  <si>
    <t>Includes creating and delivering the Table of Ownerships Sheet. The Department’s approved sheet cell will be used in preparation of the ownership sheet. Calculations for the area of the takes and remainders are included in task “Plot Proposed R/W Requirements”. Based on 4 hours plus 1 hour per every 5 parcels.</t>
  </si>
  <si>
    <t>Includes creating and delivering the Parcel Sketches. Parcel sketches may be prepared for various purposes as needed. Based on 4 hours per parcel for simple projects, 10 hours per parcel for standard projects, and 16 hours per parcel for complex projects.</t>
  </si>
  <si>
    <t>Includes creating and delivering the TIITF Sketches. Sketches will be prepared for the Department to obtain rights over sovereign/submerged lands or state owned uplands as needed. Based on 12 hours per parcel for simple projects, 22 hours per parcel for standard projects, and 32 hours per parcel for complex projects.</t>
  </si>
  <si>
    <t>Includes creating and delivering Other Specific Purpose Survey(s). Include the preparation of maps for mitigation surveys or jurisdiction line surveys as needed. Based on 16 hours per survey for simple projects, 50 hours per survey for standard projects, and 80 hours per survey for complex projects.</t>
  </si>
  <si>
    <t>Includes creating and delivering the Boundary Survey(s) Map as needed. Based on 16 hours per survey for simple projects, 50 hours per survey for standard projects, and 80 hours per survey for complex projects.</t>
  </si>
  <si>
    <t>Includes creating and delivering the Title Search Map. Includes a title search map (i.e. marked property appraiser map or preliminary right of way map) will be provided for the purpose of depicting the parcels that will be affected by the proposed requirements. The map will be used to obtain Title Search Reports necessary to develop the right of way maps. Based on 2 hours for a standard map and 4 hours for complex map.</t>
  </si>
  <si>
    <t>Includes creating and delivering the Title Search Report. Includes coordination effort to acquire a Title Search Report for each parcel where right of way is required. Based on 2 hours when required.</t>
  </si>
  <si>
    <t xml:space="preserve">Includes producing and implementation of QA/QC plan, response to review comments, and resolution meetings, if required. Based on 5% of the technical tasks. </t>
  </si>
  <si>
    <t>Includes all effort required to supervise technical activities. Based on 5% of technical tasks.</t>
  </si>
  <si>
    <t xml:space="preserve">Based on 2 hours per meeting plus travel time (hours) for in-person meetings, if necessary. </t>
  </si>
  <si>
    <t>Based on number of staff per field review X (length of time (hours) on site per staff per field review + travel time (hours) per staff per field review).</t>
  </si>
  <si>
    <t>This activity will only be used upon determination by the District R/W Surveyor that substantial mapping revisions required after start of the 60% Right of Way Map stage development are a direct result of major design and/or development changes and would be considered above and beyond the initial negotiated scope.  All tasks would generally be defined in the previous activities. Required work will be defined in a supplemental scope and negotiated on a case-by-case basis.</t>
  </si>
  <si>
    <t xml:space="preserve">Mapping Meetings </t>
  </si>
  <si>
    <t>Includes all effort required to coordinate technical activities. Based on 3% of all the above tasks and the complexity of the project.</t>
  </si>
  <si>
    <t>Review PD&amp;E Study (NSR, Commitments, Design Concepts, TNM files) (2-8 hrs per project); data collection and development of design phase TNM files (8-32 hrs per barrier/Common Noise Environment - high end used if project has overlapping barriers and existing barriers), land use review and Date of Public Knowledge permit review (4-24hrs/project), Special Land Use Analysis Data Collection (4-12 hrs/special use site)</t>
  </si>
  <si>
    <t>Evaluate and document results for various heights and lengths; select recommended. Includes preliminary constructability review. 12-48 hrs per noise barrier system)</t>
  </si>
  <si>
    <t>Identify signs and determine if they are conforming (2-8 hrs per noise barrier depending on anticipated number of signs).  Provide line of sight information for public hearings (2-6 hrs per barrier).</t>
  </si>
  <si>
    <t>Includes creating and delivering the Project Layout Sheet. Includes overview of the entire project and may include stations, intersection locations, ITS devices, project limits, and plan sheet coverage. Based on 1 hour per mile.</t>
  </si>
  <si>
    <t xml:space="preserve">Includes creating and delivering the Typical and Special Details Sheets showing block diagrams, hub cabinets, wiring diagrams, solar power service details, special mounting details, horizontal directional drilling at critical crossings, wireless ethernet equipment for local and broadband communication, or other necessary details.  Based on 4 hours per detail for standard details (common details typically used in projects), and 8 hours per detail for complex details (details unique or require more effort). </t>
  </si>
  <si>
    <t>Includes creating and delivering the ITS &amp; Communication Plan. Includes power and communications. Based on 20 hours per mile for low complexity projects, 25 hours per mile for mid complexity projects, and 30 hours per mile for upper complexity projects. If the project is non-linear, based on 4 hours for each ITS installation.</t>
  </si>
  <si>
    <t>Includes creating and delivering the Grounding and Lightning Protection Plans. This task should be used when Standard Drawings and Interim Standards do not address the situation. Based on 10 hours per site.</t>
  </si>
  <si>
    <t>Includes creating and developing the Cross Sections. Includes incorporating the elevations provided by the structural engineer related to the top of foundation, drilled shafts, and top of beam cap below grade. Based on 4 hours for each ground mount ITS site, 8 hours for each cantilever mounted ITS site, and 12 hours for each full span truss, MSE wall, or bridge mounted ITS site.</t>
  </si>
  <si>
    <t>Includes creating and delivering the Guide Sign Data Sheets. Based on 2 hours per sign that must be imported from the guide sign program.</t>
  </si>
  <si>
    <t>Includes creating and delivering the Power Service Point Details (riser diagram, one-line diagram, panel board schedule) showing the panel board, disconnects, transformers, ITS cabinets, pull boxes, conduit, circuits, notes, and connection to the power service (if the standard plans are not applicable). Based on 6 hours per ITS cabinet.</t>
  </si>
  <si>
    <t>Includes creating and delivering the Strain Pole Schedule. Based on 2 hours per pole.</t>
  </si>
  <si>
    <t>Includes creating and delivering the Temporary Traffic Control Plans. Based on 2 hours for TTCP notes and 6 hours per detour plan. Use this task when not shown in Roadway TTCP.</t>
  </si>
  <si>
    <t>Includes all QA/QC activities associated with the development of ITS Plans, and addressing ERC Phase Review comments. Based on 5% of technical subtotal.</t>
  </si>
  <si>
    <t>Includes supervision and coordination activities associated with the development of ITS Plans. Based on 5% of technical subtotal.</t>
  </si>
  <si>
    <t>ITS &amp; Communication Plan Sheet</t>
  </si>
  <si>
    <t xml:space="preserve">Includes creating and delivering the Fiber Optic Splice Diagrams. Based on 2 hours per ITS cabinet for standard diagrams and 4 hours per ITS cabinet for complex diagrams (cross-connection/splice junction). Based on 6 hours per Master ITS Hub Shelter.   </t>
  </si>
  <si>
    <t>Hybrid &amp; DMS Guide Sign Data</t>
  </si>
  <si>
    <t>Assessment and Disposition Determination</t>
  </si>
  <si>
    <t>Sensitive Sites (Wetlands, Submerged, Dune, Sensitive Vegetation, Environmental Permits Required)</t>
  </si>
  <si>
    <t>Extensive - 6 or more utilities and agencies</t>
  </si>
  <si>
    <t>The following matrix was developed to determine the overall level of complexity of a Selective Clearing and Grubbing analysis and plan development.</t>
  </si>
  <si>
    <t>New Multi-level Interchange</t>
  </si>
  <si>
    <t>GUIDELINES FOR SURVEY, PHOTOGRAMMETRY, MAPPING, AND TERRESTRIAL MOBIL LIDAR
(Work Activities 27 – 30)</t>
  </si>
  <si>
    <r>
      <t>Survey Levels 1 through 4 are defined in</t>
    </r>
    <r>
      <rPr>
        <sz val="10"/>
        <color rgb="FFFF0000"/>
        <rFont val="Arial"/>
        <family val="2"/>
      </rPr>
      <t xml:space="preserve"> </t>
    </r>
    <r>
      <rPr>
        <sz val="10"/>
        <rFont val="Arial"/>
        <family val="2"/>
      </rPr>
      <t>FDOT Design Manual (FDM), Chapter 114.</t>
    </r>
  </si>
  <si>
    <t>SELECTIVE CLEARING &amp; GRUBBING</t>
  </si>
  <si>
    <t>Selective C&amp;G Guidelines</t>
  </si>
  <si>
    <t>6c.</t>
  </si>
  <si>
    <t>Selective C&amp;G</t>
  </si>
  <si>
    <t>6c. Selective C&amp;G</t>
  </si>
  <si>
    <t>10. Structures - Bridge Development Report</t>
  </si>
  <si>
    <t>This task involves the preparation and maintenance of a flyer and/or notification letter to elected officials and other public officials, private property owners, and tenants at intervals during plans production as identified by the Department.  Includes the preparation of a draft notification letter and/or flyer for review by the District.  Notification letters will be sent by the District.  Range: 8 to 16 hours.</t>
  </si>
  <si>
    <t>Cross-Slope Analysis</t>
  </si>
  <si>
    <t>Includes all work necessary to analyze existing cross-slopes and crash data, and develop cross-slope correction concepts. Cross-slope assessment is based on 1.5 hours per mile for undivided roadways and 2.5 hours per mile for divided roadways. Cross-slope concepts for corrections are based on 6 hours per each concept required to address cross-slope correction.</t>
  </si>
  <si>
    <t>Includes all work required for the final roundabout design in accordance with all applicable manuals, guidelines, standards, handbooks, procedures, and current design memorandums. Includes final design layout (consideration of pedestrian access, drainage, construction estimate, right of way impacts, environmental impacts, utility adjustments and/or relocation), operational analysis using microsimulation (existing and projected traffic volumes), and updating and finalizing the preliminary operational report. The CONSULTANT shall perform a roundabout final operational analysis that recommends a functional geometric layout that is cost effective, safe, and meets the needs of the community.
Based on 40 hours for each 1 lane x 1 lane roundabout, 60 hours for each 1 lane x 2 lane roundabout, and 80 hours for each 2 lane x 2 lane roundabout.</t>
  </si>
  <si>
    <r>
      <t xml:space="preserve">Develop master TTCP files showing each phase of the TTCP. Includes all work necessary for designing lane configurations, diversions, lane shifts, signing and pavement markings, temporary traffic control devices, and temporary pedestrian ways. 
</t>
    </r>
    <r>
      <rPr>
        <b/>
        <sz val="10"/>
        <rFont val="Arial"/>
        <family val="2"/>
      </rPr>
      <t>Vehicular TTCP</t>
    </r>
    <r>
      <rPr>
        <sz val="10"/>
        <rFont val="Arial"/>
        <family val="2"/>
      </rPr>
      <t xml:space="preserve"> (for Level II only) based on 32 hours per phase-mile (total length of project requiring level II TTCP in miles multiplied by the number of major phases (subphases not included)) for mid complexity projects, 40 hours per phase-mile for upper complexity projects, and 48 hours per phase-mile for above upper complexity projects.
</t>
    </r>
    <r>
      <rPr>
        <b/>
        <sz val="10"/>
        <rFont val="Arial"/>
        <family val="2"/>
      </rPr>
      <t>Pedestrian TTCP</t>
    </r>
    <r>
      <rPr>
        <sz val="10"/>
        <rFont val="Arial"/>
        <family val="2"/>
      </rPr>
      <t xml:space="preserve"> (for work involving temporary pedestrian ways) based on 24 hours for a simple pedestrian TTCP design, 32 hours for a standard pedestrian TTCP design, and 40 hours for a complex pedestrian TTCP design.</t>
    </r>
  </si>
  <si>
    <t>TTCP 3D Modeling (for isolated locations intended for design clarification for Level II only) based on 8 hours per location (requiring 3D TTCP development over all phases) for mid complexity projects, 16 hours per location for upper complexity projects, and 24 hours per location for above upper complexity projects.</t>
  </si>
  <si>
    <t xml:space="preserve">TTCP 3D Modeling (Isolated Locations) </t>
  </si>
  <si>
    <t>TTCP Quantities for EQ Report</t>
  </si>
  <si>
    <t>Typical Sections Sheets</t>
  </si>
  <si>
    <t>Special Profiles</t>
  </si>
  <si>
    <t>Utility Verification Data (SUE)</t>
  </si>
  <si>
    <t>Includes creating and delivering the Utility Verification Data (SUE).  Includes a summary of verified utilities tables.  Based on 4 hours.  The surveyor develops and delivers the SUE Data to insert into the plans.</t>
  </si>
  <si>
    <t>If major exhibits are required for the Drainage Design Documentation Report such as, drainage delineation, hydrology, and other special exhibits required, add 8 hours per exhibit to develop and include exhibit in the report.</t>
  </si>
  <si>
    <r>
      <rPr>
        <b/>
        <sz val="11"/>
        <rFont val="Arial"/>
        <family val="2"/>
      </rPr>
      <t>Design of Minor Cross Drains</t>
    </r>
    <r>
      <rPr>
        <sz val="11"/>
        <rFont val="Arial"/>
        <family val="2"/>
      </rPr>
      <t>: Includes all efforts for the Design of Minor Cross Drains. All extensions and those new/replacement structures with no known scouring or flooding problems, needing minimal hydrologic effort. For example, a) where the flow is determined by multiplying a design velocity by the culvert flow area, or b) where the rational method can be used on a small easily defined basin. Includes basin delineation, hydrology, and development of 3D CADD files.</t>
    </r>
  </si>
  <si>
    <r>
      <rPr>
        <b/>
        <sz val="11"/>
        <rFont val="Arial"/>
        <family val="2"/>
      </rPr>
      <t>Design of Major Cross Drains</t>
    </r>
    <r>
      <rPr>
        <sz val="11"/>
        <rFont val="Arial"/>
        <family val="2"/>
      </rPr>
      <t>: Includes all efforts for the Design of Major Cross Drains. Includes all cross drains that are not minor. Includes basin delineation, hydrology, and development of 3D CADD files.</t>
    </r>
  </si>
  <si>
    <t>Drainage Meetings</t>
  </si>
  <si>
    <t>Lateral Ditches</t>
  </si>
  <si>
    <t>Retention/Detention/Floodplain Compensation Ponds</t>
  </si>
  <si>
    <t>Technical support to the Department for Environmental Clearances and Reevaluations (use when consultant provides technical support only)</t>
  </si>
  <si>
    <t>Maintenance of Communications Plan</t>
  </si>
  <si>
    <t>Includes creating and delivering the MOC Plan Sheets. Based on 10 hours per mile.</t>
  </si>
  <si>
    <t>Setup master design file which may include: acquiring CADD files from outside sources if no survey is performed as part of the project, converting drawing files from Microstation to AutoCAD or vice versa, creating base CADD files from a variety of sources, and acquiring additional information from lighting, utilities, ITS, signage/pavement markings, drainage, maintenance, etc.
Based on 16 hours for simple setup (complete and current CADD files available) of design file (base file), 28 hours for standard setup (partial CADD files available) of design file (base file), and 40 hours for complex setup (no usable CADD files available) of design file (base file).</t>
  </si>
  <si>
    <t>Site Inventory and Analysis</t>
  </si>
  <si>
    <t>Includes creating and delivering the R/W Monumentation Map (24" x 36"). Includes mapping of the field-monumented right of way. The right of way map will be the basis for this map, with minimal effort to revise the cover sheet and add the recording data to the ownership sheet. This includes verifying that acquisition documents are in agreement with the Right of Way Map prior to monumentation. Based on 8 hours per sheet for simple projects (i.e., rural, few individual points, few parcels, linear), 20 hours per sheet for standard projects, and 32 hours per sheet for complex projects (i.e., urban, many individual points, many parcels, curvilinear).</t>
  </si>
  <si>
    <t>Includes creating and delivering Legal Descriptions. Based on 2 hours per parcel for standard descriptions (i.e. simple take configurations) and 4 hour per parcel for complex descriptions (i.e. complex take configurations or multiple takes).</t>
  </si>
  <si>
    <t>Master Design File Setup &amp; Maintenance, Model Management Plan</t>
  </si>
  <si>
    <t>Includes efforts required for initial setup of the horizontal/vertical master design file and maintenance of the design file throughout the life of the design. Includes creating a model management plan when necessary. Includes a base amount of hours for planning and development management to get the design file started. Based on 20 hours for below low complexity projects, 30 hours for low complexity projects, 40 hours for mid complexity projects, and 50 hours for upper and above upper complexity projects.</t>
  </si>
  <si>
    <t>September 2023</t>
  </si>
  <si>
    <t>Includes pavement type selection and all necessary coordination to resolve issues related to pavement design when provided by the Department.  Initial set-up includes collecting all data necessary for entire project limits. The preparation and assembly of the report is based on 16 hours for below low complexity projects, 24 hours for low complexity projects, 32 hours for mid complexity projects, 40 hours for upper complexity projects, and 48 hours for above upper complexity projects. Pavement designs are based on 8 hours for each travel/auxiliary lane design and 4 hours for each other roadway (ramps, side roads, frontage roads) and shoulder design.</t>
  </si>
  <si>
    <r>
      <t xml:space="preserve">Includes data collection, analysis, and preparation of documentation package in accordance with FDM 122. Also includes any efforts to respond to comments or questions for submitted package. Hours for safety analysis for justification/mitigation are included in task 4.5 and shall not be included in this task. 
</t>
    </r>
    <r>
      <rPr>
        <b/>
        <sz val="10"/>
        <rFont val="Arial"/>
        <family val="2"/>
      </rPr>
      <t>Design Variation Memo</t>
    </r>
    <r>
      <rPr>
        <sz val="10"/>
        <rFont val="Arial"/>
        <family val="2"/>
      </rPr>
      <t xml:space="preserve"> based on 8 hours plus 2 hours for each design element contained in a design variation memo. 
</t>
    </r>
    <r>
      <rPr>
        <b/>
        <sz val="10"/>
        <rFont val="Arial"/>
        <family val="2"/>
      </rPr>
      <t xml:space="preserve">Formal Variation </t>
    </r>
    <r>
      <rPr>
        <sz val="10"/>
        <rFont val="Arial"/>
        <family val="2"/>
      </rPr>
      <t xml:space="preserve">based on 24 hours for each design element contained in a formal design variation.
</t>
    </r>
    <r>
      <rPr>
        <b/>
        <sz val="10"/>
        <rFont val="Arial"/>
        <family val="2"/>
      </rPr>
      <t>Design Exception</t>
    </r>
    <r>
      <rPr>
        <sz val="10"/>
        <rFont val="Arial"/>
        <family val="2"/>
      </rPr>
      <t xml:space="preserve"> based on 40 hours for each design element contained in a design exception.</t>
    </r>
  </si>
  <si>
    <r>
      <rPr>
        <b/>
        <sz val="10"/>
        <rFont val="Arial"/>
        <family val="2"/>
      </rPr>
      <t>RRR Report</t>
    </r>
    <r>
      <rPr>
        <sz val="10"/>
        <rFont val="Arial"/>
        <family val="2"/>
      </rPr>
      <t xml:space="preserve"> is based on 40 hours for a simple report/memo, 60 hours for a standard/typical report, and 80 hours for a complex report involving complex analysis.
</t>
    </r>
    <r>
      <rPr>
        <b/>
        <sz val="10"/>
        <rFont val="Arial"/>
        <family val="2"/>
      </rPr>
      <t xml:space="preserve">Other Reports </t>
    </r>
    <r>
      <rPr>
        <sz val="10"/>
        <rFont val="Arial"/>
        <family val="2"/>
      </rPr>
      <t xml:space="preserve">includes any other required engineering report to be negotiated on a case-by-case basis. </t>
    </r>
  </si>
  <si>
    <t>Model Element Name</t>
  </si>
  <si>
    <t>LOD</t>
  </si>
  <si>
    <t>2D or 3D</t>
  </si>
  <si>
    <t>Element Data Attributes</t>
  </si>
  <si>
    <t>Modeling Effort</t>
  </si>
  <si>
    <t>Developed BIM Uses</t>
  </si>
  <si>
    <t>Legal Document? Yes Contract / No FIO</t>
  </si>
  <si>
    <t>Professional  of Record</t>
  </si>
  <si>
    <t>Source CADD File</t>
  </si>
  <si>
    <t>Source CADD Layer</t>
  </si>
  <si>
    <t>Pay Item No.
 Quantity &amp; Unit</t>
  </si>
  <si>
    <t>Location Data</t>
  </si>
  <si>
    <t>FDOT Specification</t>
  </si>
  <si>
    <t>Limitations</t>
  </si>
  <si>
    <t>Required Reports</t>
  </si>
  <si>
    <t>Documents Attached? Y/N</t>
  </si>
  <si>
    <t>2D Design File</t>
  </si>
  <si>
    <t>3D Model Development</t>
  </si>
  <si>
    <t>Pay item Data: Number, Quantity and Unit</t>
  </si>
  <si>
    <t>Location Data: Alignment, Station Offset</t>
  </si>
  <si>
    <t xml:space="preserve">GIS Data Portal
</t>
  </si>
  <si>
    <t>Updated by DAB</t>
  </si>
  <si>
    <t>Survey Elements</t>
  </si>
  <si>
    <t>SURVRD</t>
  </si>
  <si>
    <t>3D</t>
  </si>
  <si>
    <t>YES</t>
  </si>
  <si>
    <t>Surveyor</t>
  </si>
  <si>
    <t>No</t>
  </si>
  <si>
    <t>Yes</t>
  </si>
  <si>
    <t>Terrain</t>
  </si>
  <si>
    <t>Existing Elements</t>
  </si>
  <si>
    <t>Pavement</t>
  </si>
  <si>
    <t>Both</t>
  </si>
  <si>
    <t>MODLEX</t>
  </si>
  <si>
    <t>assumed depths</t>
  </si>
  <si>
    <t>Cores</t>
  </si>
  <si>
    <t>2D</t>
  </si>
  <si>
    <t>3D w/ assumed depth</t>
  </si>
  <si>
    <t>Shoulders</t>
  </si>
  <si>
    <t>Curbs</t>
  </si>
  <si>
    <t>n/a</t>
  </si>
  <si>
    <t>Islands/Medians</t>
  </si>
  <si>
    <t>Sidewalks/ADA Ramps</t>
  </si>
  <si>
    <t>Other Concrete Pads</t>
  </si>
  <si>
    <t>Slope Pavement</t>
  </si>
  <si>
    <t>Ditch Pavement</t>
  </si>
  <si>
    <t>Driveways</t>
  </si>
  <si>
    <t>Traffic Separators</t>
  </si>
  <si>
    <t>VVH</t>
  </si>
  <si>
    <t>Drainage</t>
  </si>
  <si>
    <t>Geotech Data</t>
  </si>
  <si>
    <t>ABORRD</t>
  </si>
  <si>
    <t>Geotech Report</t>
  </si>
  <si>
    <t>Unsuitable Soil</t>
  </si>
  <si>
    <t>MODLRD</t>
  </si>
  <si>
    <t>Bridge Super Structures</t>
  </si>
  <si>
    <t>BR#MODLBR_EX</t>
  </si>
  <si>
    <t>When removed</t>
  </si>
  <si>
    <t>Bridge Sub Structures</t>
  </si>
  <si>
    <t>Bridge Misc. Structures (RipRap, Approach Slabs)</t>
  </si>
  <si>
    <t>MISCSTR</t>
  </si>
  <si>
    <t>Misc. Structures(Signs, Signals, Light Poles,ITS)</t>
  </si>
  <si>
    <t>Walls:  MSE, Noise, Retaining, Sheet Pile, etc.</t>
  </si>
  <si>
    <t>Controlling Alignments</t>
  </si>
  <si>
    <t>Existing Horizontal and Vertical Alignments</t>
  </si>
  <si>
    <t>Roadway</t>
  </si>
  <si>
    <t>ALGNRD</t>
  </si>
  <si>
    <t>Alignment Name</t>
  </si>
  <si>
    <t>HA Report</t>
  </si>
  <si>
    <t>Proposed Horizontal and Vertical Alignments</t>
  </si>
  <si>
    <t>Survey Control Points (reference pts &amp; bench marks)</t>
  </si>
  <si>
    <t>CTLSRD</t>
  </si>
  <si>
    <t>Point Name, NE</t>
  </si>
  <si>
    <t>Survey Control Report</t>
  </si>
  <si>
    <t>Superelevation Model - Roadway</t>
  </si>
  <si>
    <t>SE Report</t>
  </si>
  <si>
    <t>Baselines and profiles - Ramps, sidewalks</t>
  </si>
  <si>
    <t xml:space="preserve">Other Baselines and profiles -Sidewalks </t>
  </si>
  <si>
    <t>Baselines and profiles -Walls, Ditches, Bridges</t>
  </si>
  <si>
    <t>RetaingWall</t>
  </si>
  <si>
    <t>Other Baselines and profiles - Ditches</t>
  </si>
  <si>
    <t>Drainiage</t>
  </si>
  <si>
    <t>DRPRRD</t>
  </si>
  <si>
    <t>Other Baselines and profiles - Bridge</t>
  </si>
  <si>
    <t>Structures</t>
  </si>
  <si>
    <t>BR#ALGNBR</t>
  </si>
  <si>
    <t>Right of Way Geometry</t>
  </si>
  <si>
    <t>Existing Right-of-Way Lines</t>
  </si>
  <si>
    <t>RWDTRD</t>
  </si>
  <si>
    <t xml:space="preserve">Yes, Owner Info </t>
  </si>
  <si>
    <t>Signed Survey</t>
  </si>
  <si>
    <t>3D (Draping)</t>
  </si>
  <si>
    <t>Other Boundaries (Wetland Limits)</t>
  </si>
  <si>
    <t>Proposed Right-of-Way Lines</t>
  </si>
  <si>
    <t>Permanent Easement Lines</t>
  </si>
  <si>
    <t>Temporary Easement Lines</t>
  </si>
  <si>
    <t>Earthwork</t>
  </si>
  <si>
    <t>Excavation</t>
  </si>
  <si>
    <t>NO</t>
  </si>
  <si>
    <t>not for AMG</t>
  </si>
  <si>
    <t>Use EAV Report</t>
  </si>
  <si>
    <t>Embankment</t>
  </si>
  <si>
    <t>Embankment for Bridge</t>
  </si>
  <si>
    <t>Excavation for Bridge</t>
  </si>
  <si>
    <t>Subsoil Excavation</t>
  </si>
  <si>
    <t>add other pay items for excavation</t>
  </si>
  <si>
    <t>Existing</t>
  </si>
  <si>
    <t>Proposed</t>
  </si>
  <si>
    <t>Finished Subgrade</t>
  </si>
  <si>
    <t xml:space="preserve">Subsoil  </t>
  </si>
  <si>
    <t>Existing Subgrade</t>
  </si>
  <si>
    <t>Pavement Roadway &amp; Shoulders</t>
  </si>
  <si>
    <t>Stabilization</t>
  </si>
  <si>
    <t>QTDSRD</t>
  </si>
  <si>
    <t>Base Course</t>
  </si>
  <si>
    <t>Stuctural Course Asphalt</t>
  </si>
  <si>
    <t>FC Asphalt Pavement</t>
  </si>
  <si>
    <t>Concrete Pavement</t>
  </si>
  <si>
    <t>Pavement Milling</t>
  </si>
  <si>
    <t>Pavement Overbuild</t>
  </si>
  <si>
    <t>Pavement Overlay</t>
  </si>
  <si>
    <t>Shoulder Pavement</t>
  </si>
  <si>
    <t xml:space="preserve">Concrete </t>
  </si>
  <si>
    <t xml:space="preserve">Ditch Pavement </t>
  </si>
  <si>
    <t>Concrete Sidewalk</t>
  </si>
  <si>
    <t>Concrete Pads</t>
  </si>
  <si>
    <t>Curb and Gutter</t>
  </si>
  <si>
    <t>Curb and Gutter Flare Outs</t>
  </si>
  <si>
    <t>Shoulder Gutter</t>
  </si>
  <si>
    <t>Roundabout Apron</t>
  </si>
  <si>
    <t>Traffic Separator</t>
  </si>
  <si>
    <t>Concrete Flared Driveway</t>
  </si>
  <si>
    <t>Sidewalk Curb Ramps</t>
  </si>
  <si>
    <t>Detectable Warnings at Ramps</t>
  </si>
  <si>
    <t>Pedestrian Channelization Barriers/Islands</t>
  </si>
  <si>
    <t>Misc. Roadside</t>
  </si>
  <si>
    <t>Rural Driveways</t>
  </si>
  <si>
    <t>Meadian Cross Over</t>
  </si>
  <si>
    <t>Shoulder Sodding and Turf</t>
  </si>
  <si>
    <t>3D (Sloped Line)</t>
  </si>
  <si>
    <t>Permanent Erosion Control Sod</t>
  </si>
  <si>
    <t>Fencing</t>
  </si>
  <si>
    <t>Fence Gates</t>
  </si>
  <si>
    <t>Crash Cushions</t>
  </si>
  <si>
    <t>DSGNRD</t>
  </si>
  <si>
    <t xml:space="preserve">from APL </t>
  </si>
  <si>
    <t>Concrete Barrier</t>
  </si>
  <si>
    <t>High Tension Cable Barrier</t>
  </si>
  <si>
    <t>Ped/Bicycle Railing</t>
  </si>
  <si>
    <t>Pipe Guiderail</t>
  </si>
  <si>
    <t xml:space="preserve">Walls </t>
  </si>
  <si>
    <t>Gravity Wall</t>
  </si>
  <si>
    <t>Rebar detail from standards</t>
  </si>
  <si>
    <t>MSE Walls</t>
  </si>
  <si>
    <t>MSEWall</t>
  </si>
  <si>
    <t>Noise Walls</t>
  </si>
  <si>
    <t>NoiseWall</t>
  </si>
  <si>
    <t>Perimeter Walls</t>
  </si>
  <si>
    <t>RetainingWall</t>
  </si>
  <si>
    <t>Canitlever Wall</t>
  </si>
  <si>
    <t>Concrete Sheet Pile Wall</t>
  </si>
  <si>
    <t>SheetPileWall</t>
  </si>
  <si>
    <t>Steel Sheet Pile Wall</t>
  </si>
  <si>
    <t>Temp. Steel Sheet Pile Wall</t>
  </si>
  <si>
    <t>Guardrail</t>
  </si>
  <si>
    <t>Culverts extended a small amount to meet clear zone requirements where Q is estimated by Q= Area x Velocity. Based on 7 hours per cross drain.</t>
  </si>
  <si>
    <t>File Version: 2023.01.3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</si>
</sst>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67">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name val="CG Times"/>
      <family val="1"/>
    </font>
    <font>
      <u/>
      <sz val="7.5"/>
      <color indexed="12"/>
      <name val="Arial"/>
      <family val="2"/>
    </font>
    <font>
      <sz val="10"/>
      <name val="Times New Roman"/>
      <family val="1"/>
    </font>
    <font>
      <b/>
      <sz val="10"/>
      <name val="Times New Roman"/>
      <family val="1"/>
    </font>
    <font>
      <b/>
      <sz val="10"/>
      <name val="Arial"/>
      <family val="2"/>
    </font>
    <font>
      <sz val="10"/>
      <color indexed="10"/>
      <name val="Arial"/>
      <family val="2"/>
    </font>
    <font>
      <b/>
      <sz val="10"/>
      <color indexed="10"/>
      <name val="Arial"/>
      <family val="2"/>
    </font>
    <font>
      <u/>
      <sz val="10"/>
      <name val="Arial"/>
      <family val="2"/>
    </font>
    <font>
      <sz val="10"/>
      <name val="Arial"/>
      <family val="2"/>
    </font>
    <font>
      <sz val="12"/>
      <name val="Arial"/>
      <family val="2"/>
    </font>
    <font>
      <b/>
      <u/>
      <sz val="12"/>
      <name val="Arial"/>
      <family val="2"/>
    </font>
    <font>
      <sz val="10"/>
      <color indexed="8"/>
      <name val="Arial"/>
      <family val="2"/>
    </font>
    <font>
      <b/>
      <sz val="12"/>
      <name val="Times New Roman"/>
      <family val="1"/>
    </font>
    <font>
      <sz val="10"/>
      <name val="Symbol"/>
      <family val="1"/>
      <charset val="2"/>
    </font>
    <font>
      <b/>
      <i/>
      <sz val="10"/>
      <name val="Arial"/>
      <family val="2"/>
    </font>
    <font>
      <i/>
      <sz val="10"/>
      <name val="Arial"/>
      <family val="2"/>
    </font>
    <font>
      <b/>
      <sz val="24"/>
      <name val="Arial"/>
      <family val="2"/>
    </font>
    <font>
      <b/>
      <sz val="22"/>
      <name val="Arial"/>
      <family val="2"/>
    </font>
    <font>
      <b/>
      <sz val="10"/>
      <color indexed="8"/>
      <name val="Arial"/>
      <family val="2"/>
    </font>
    <font>
      <b/>
      <u/>
      <sz val="10"/>
      <name val="Arial"/>
      <family val="2"/>
    </font>
    <font>
      <sz val="14"/>
      <name val="CG Times"/>
      <family val="1"/>
    </font>
    <font>
      <sz val="8"/>
      <name val="Arial"/>
      <family val="2"/>
    </font>
    <font>
      <sz val="11"/>
      <name val="Arial"/>
      <family val="2"/>
    </font>
    <font>
      <sz val="11"/>
      <color theme="1"/>
      <name val="Calibri"/>
      <family val="2"/>
      <scheme val="minor"/>
    </font>
    <font>
      <sz val="10"/>
      <color theme="1"/>
      <name val="Calibri"/>
      <family val="2"/>
      <scheme val="minor"/>
    </font>
    <font>
      <b/>
      <sz val="11"/>
      <name val="Arial"/>
      <family val="2"/>
    </font>
    <font>
      <b/>
      <sz val="12"/>
      <name val="Arial"/>
      <family val="2"/>
    </font>
    <font>
      <strike/>
      <sz val="11"/>
      <name val="Arial"/>
      <family val="2"/>
    </font>
    <font>
      <b/>
      <u/>
      <sz val="11"/>
      <name val="Arial"/>
      <family val="2"/>
    </font>
    <font>
      <u/>
      <sz val="11"/>
      <name val="Arial"/>
      <family val="2"/>
    </font>
    <font>
      <sz val="11"/>
      <color indexed="8"/>
      <name val="Arial"/>
      <family val="2"/>
    </font>
    <font>
      <b/>
      <sz val="12"/>
      <color indexed="8"/>
      <name val="Arial"/>
      <family val="2"/>
    </font>
    <font>
      <sz val="12"/>
      <color indexed="8"/>
      <name val="Arial"/>
      <family val="2"/>
    </font>
    <font>
      <sz val="10"/>
      <color theme="1"/>
      <name val="Arial"/>
      <family val="2"/>
    </font>
    <font>
      <b/>
      <sz val="10"/>
      <color theme="1"/>
      <name val="Arial"/>
      <family val="2"/>
    </font>
    <font>
      <i/>
      <sz val="11"/>
      <name val="Arial"/>
      <family val="2"/>
    </font>
    <font>
      <b/>
      <sz val="10"/>
      <color rgb="FF00B050"/>
      <name val="Arial"/>
      <family val="2"/>
    </font>
    <font>
      <i/>
      <sz val="10"/>
      <color indexed="8"/>
      <name val="Arial"/>
      <family val="2"/>
    </font>
    <font>
      <b/>
      <i/>
      <sz val="10"/>
      <color indexed="8"/>
      <name val="Arial"/>
      <family val="2"/>
    </font>
    <font>
      <b/>
      <sz val="12"/>
      <color theme="1"/>
      <name val="Arial"/>
      <family val="2"/>
    </font>
    <font>
      <sz val="12"/>
      <color theme="1"/>
      <name val="Arial"/>
      <family val="2"/>
    </font>
    <font>
      <b/>
      <i/>
      <sz val="11"/>
      <name val="Arial"/>
      <family val="2"/>
    </font>
    <font>
      <vertAlign val="subscript"/>
      <sz val="11"/>
      <name val="Arial"/>
      <family val="2"/>
    </font>
    <font>
      <sz val="11"/>
      <color rgb="FF1F497D"/>
      <name val="Calibri"/>
      <family val="2"/>
    </font>
    <font>
      <sz val="10"/>
      <color indexed="56"/>
      <name val="Arial"/>
      <family val="2"/>
    </font>
    <font>
      <b/>
      <sz val="11"/>
      <name val="Calibri"/>
      <family val="2"/>
    </font>
    <font>
      <sz val="11"/>
      <name val="Calibri"/>
      <family val="2"/>
    </font>
    <font>
      <sz val="10"/>
      <color rgb="FFFF0000"/>
      <name val="Arial"/>
      <family val="2"/>
    </font>
    <font>
      <sz val="11"/>
      <color rgb="FFFF0000"/>
      <name val="Arial"/>
      <family val="2"/>
    </font>
    <font>
      <strike/>
      <sz val="10"/>
      <name val="Arial"/>
      <family val="2"/>
    </font>
    <font>
      <strike/>
      <sz val="11"/>
      <color rgb="FFFF0000"/>
      <name val="Arial"/>
      <family val="2"/>
    </font>
    <font>
      <sz val="10"/>
      <name val="Arial"/>
      <family val="2"/>
    </font>
    <font>
      <u/>
      <sz val="10"/>
      <color indexed="12"/>
      <name val="Arial"/>
      <family val="2"/>
    </font>
    <font>
      <sz val="7"/>
      <name val="Arial"/>
      <family val="2"/>
    </font>
    <font>
      <sz val="10"/>
      <color rgb="FFC00000"/>
      <name val="Arial"/>
      <family val="2"/>
    </font>
    <font>
      <b/>
      <sz val="16"/>
      <name val="Arial"/>
      <family val="2"/>
    </font>
    <font>
      <sz val="10"/>
      <color rgb="FF00B050"/>
      <name val="CG Times"/>
      <family val="1"/>
    </font>
    <font>
      <b/>
      <sz val="11"/>
      <color theme="0"/>
      <name val="Arial"/>
      <family val="2"/>
    </font>
    <font>
      <b/>
      <sz val="11"/>
      <color rgb="FFC00000"/>
      <name val="Arial"/>
      <family val="2"/>
    </font>
    <font>
      <b/>
      <sz val="12"/>
      <name val="Calibri"/>
      <family val="2"/>
      <scheme val="minor"/>
    </font>
    <font>
      <sz val="11"/>
      <name val="Calibri"/>
      <family val="2"/>
      <scheme val="minor"/>
    </font>
    <font>
      <b/>
      <sz val="14"/>
      <color theme="4" tint="-0.499984740745262"/>
      <name val="Calibri"/>
      <family val="2"/>
      <scheme val="minor"/>
    </font>
  </fonts>
  <fills count="10">
    <fill>
      <patternFill patternType="none"/>
    </fill>
    <fill>
      <patternFill patternType="gray125"/>
    </fill>
    <fill>
      <patternFill patternType="solid">
        <fgColor indexed="47"/>
        <bgColor indexed="64"/>
      </patternFill>
    </fill>
    <fill>
      <patternFill patternType="solid">
        <fgColor indexed="9"/>
        <bgColor indexed="64"/>
      </patternFill>
    </fill>
    <fill>
      <patternFill patternType="solid">
        <fgColor indexed="8"/>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00"/>
        <bgColor indexed="64"/>
      </patternFill>
    </fill>
  </fills>
  <borders count="75">
    <border>
      <left/>
      <right/>
      <top/>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right style="medium">
        <color indexed="64"/>
      </right>
      <top/>
      <bottom style="medium">
        <color indexed="64"/>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right style="medium">
        <color indexed="64"/>
      </right>
      <top/>
      <bottom/>
      <diagonal/>
    </border>
    <border>
      <left/>
      <right/>
      <top/>
      <bottom style="medium">
        <color indexed="64"/>
      </bottom>
      <diagonal/>
    </border>
    <border>
      <left/>
      <right/>
      <top style="double">
        <color indexed="64"/>
      </top>
      <bottom/>
      <diagonal/>
    </border>
    <border>
      <left style="thin">
        <color indexed="64"/>
      </left>
      <right/>
      <top style="thin">
        <color indexed="64"/>
      </top>
      <bottom style="medium">
        <color indexed="64"/>
      </bottom>
      <diagonal/>
    </border>
    <border>
      <left/>
      <right style="thin">
        <color indexed="64"/>
      </right>
      <top/>
      <bottom/>
      <diagonal/>
    </border>
    <border>
      <left/>
      <right style="thin">
        <color indexed="64"/>
      </right>
      <top/>
      <bottom style="thin">
        <color indexed="64"/>
      </bottom>
      <diagonal/>
    </border>
    <border>
      <left style="medium">
        <color indexed="64"/>
      </left>
      <right/>
      <top/>
      <bottom style="thin">
        <color indexed="64"/>
      </bottom>
      <diagonal/>
    </border>
    <border>
      <left style="medium">
        <color indexed="64"/>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thin">
        <color indexed="64"/>
      </left>
      <right/>
      <top style="thin">
        <color indexed="64"/>
      </top>
      <bottom style="double">
        <color indexed="64"/>
      </bottom>
      <diagonal/>
    </border>
    <border>
      <left/>
      <right style="medium">
        <color indexed="64"/>
      </right>
      <top/>
      <bottom style="double">
        <color indexed="64"/>
      </bottom>
      <diagonal/>
    </border>
    <border>
      <left style="thin">
        <color indexed="64"/>
      </left>
      <right style="medium">
        <color indexed="64"/>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medium">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medium">
        <color indexed="64"/>
      </right>
      <top style="medium">
        <color indexed="64"/>
      </top>
      <bottom/>
      <diagonal/>
    </border>
  </borders>
  <cellStyleXfs count="17">
    <xf numFmtId="0" fontId="0" fillId="0" borderId="0"/>
    <xf numFmtId="0" fontId="6" fillId="0" borderId="0" applyNumberFormat="0" applyFill="0" applyBorder="0" applyAlignment="0" applyProtection="0">
      <alignment vertical="top"/>
      <protection locked="0"/>
    </xf>
    <xf numFmtId="0" fontId="13" fillId="0" borderId="0"/>
    <xf numFmtId="0" fontId="28" fillId="0" borderId="0"/>
    <xf numFmtId="0" fontId="4" fillId="0" borderId="0"/>
    <xf numFmtId="0" fontId="4" fillId="0" borderId="0"/>
    <xf numFmtId="0" fontId="4" fillId="0" borderId="0"/>
    <xf numFmtId="0" fontId="3" fillId="0" borderId="0"/>
    <xf numFmtId="0" fontId="4" fillId="0" borderId="0"/>
    <xf numFmtId="0" fontId="2" fillId="0" borderId="0"/>
    <xf numFmtId="0" fontId="2" fillId="0" borderId="0"/>
    <xf numFmtId="0" fontId="56" fillId="0" borderId="0"/>
    <xf numFmtId="0" fontId="1" fillId="0" borderId="0"/>
    <xf numFmtId="0" fontId="1" fillId="0" borderId="0"/>
    <xf numFmtId="0" fontId="1" fillId="0" borderId="0"/>
    <xf numFmtId="0" fontId="1" fillId="0" borderId="0"/>
    <xf numFmtId="0" fontId="4" fillId="0" borderId="0"/>
  </cellStyleXfs>
  <cellXfs count="1151">
    <xf numFmtId="0" fontId="0" fillId="0" borderId="0" xfId="0"/>
    <xf numFmtId="0" fontId="5" fillId="0" borderId="0" xfId="0" applyFont="1"/>
    <xf numFmtId="0" fontId="0" fillId="0" borderId="0" xfId="0" applyAlignment="1">
      <alignment horizontal="center"/>
    </xf>
    <xf numFmtId="0" fontId="9" fillId="0" borderId="0" xfId="0" applyFont="1"/>
    <xf numFmtId="0" fontId="13" fillId="0" borderId="0" xfId="0" applyFont="1"/>
    <xf numFmtId="0" fontId="17" fillId="0" borderId="0" xfId="0" applyFont="1"/>
    <xf numFmtId="0" fontId="17" fillId="0" borderId="0" xfId="0" applyFont="1" applyAlignment="1">
      <alignment horizontal="center" vertical="center"/>
    </xf>
    <xf numFmtId="1" fontId="17" fillId="0" borderId="4" xfId="0" applyNumberFormat="1" applyFont="1" applyBorder="1" applyAlignment="1">
      <alignment horizontal="center"/>
    </xf>
    <xf numFmtId="0" fontId="17" fillId="0" borderId="2" xfId="0" applyFont="1" applyBorder="1" applyAlignment="1">
      <alignment horizontal="center" vertical="center" wrapText="1"/>
    </xf>
    <xf numFmtId="0" fontId="7" fillId="0" borderId="0" xfId="0" applyFont="1"/>
    <xf numFmtId="0" fontId="7" fillId="0" borderId="0" xfId="0" applyFont="1" applyProtection="1">
      <protection locked="0"/>
    </xf>
    <xf numFmtId="0" fontId="0" fillId="0" borderId="2" xfId="0" applyBorder="1" applyAlignment="1">
      <alignment horizontal="center" vertical="center"/>
    </xf>
    <xf numFmtId="1" fontId="0" fillId="0" borderId="0" xfId="0" applyNumberFormat="1" applyAlignment="1">
      <alignment horizontal="center" vertical="center"/>
    </xf>
    <xf numFmtId="0" fontId="0" fillId="0" borderId="0" xfId="0" applyAlignment="1">
      <alignment horizontal="center" vertical="center"/>
    </xf>
    <xf numFmtId="2" fontId="0" fillId="0" borderId="0" xfId="0" applyNumberFormat="1" applyAlignment="1">
      <alignment horizontal="center" vertical="center"/>
    </xf>
    <xf numFmtId="0" fontId="0" fillId="0" borderId="0" xfId="0" applyAlignment="1">
      <alignment vertical="center"/>
    </xf>
    <xf numFmtId="0" fontId="0" fillId="0" borderId="2" xfId="0" applyBorder="1" applyAlignment="1">
      <alignment horizontal="left" vertical="center"/>
    </xf>
    <xf numFmtId="0" fontId="13" fillId="0" borderId="2" xfId="0" applyFont="1" applyBorder="1" applyAlignment="1">
      <alignment horizontal="left" vertical="center"/>
    </xf>
    <xf numFmtId="0" fontId="13" fillId="0" borderId="1" xfId="0" applyFont="1" applyBorder="1" applyAlignment="1">
      <alignment horizontal="center" vertical="center"/>
    </xf>
    <xf numFmtId="0" fontId="13" fillId="0" borderId="2" xfId="0" applyFont="1" applyBorder="1" applyAlignment="1">
      <alignment horizontal="center" vertical="center"/>
    </xf>
    <xf numFmtId="0" fontId="13" fillId="0" borderId="0" xfId="0" applyFont="1" applyAlignment="1">
      <alignment vertical="center"/>
    </xf>
    <xf numFmtId="0" fontId="0" fillId="0" borderId="0" xfId="0" applyAlignment="1">
      <alignment horizontal="center" wrapText="1"/>
    </xf>
    <xf numFmtId="0" fontId="9" fillId="0" borderId="0" xfId="0" applyFont="1" applyAlignment="1">
      <alignment vertical="center"/>
    </xf>
    <xf numFmtId="0" fontId="9" fillId="0" borderId="0" xfId="0" applyFont="1" applyAlignment="1">
      <alignment horizontal="center"/>
    </xf>
    <xf numFmtId="0" fontId="9" fillId="0" borderId="0" xfId="0" applyFont="1" applyAlignment="1">
      <alignment horizontal="center" vertical="center"/>
    </xf>
    <xf numFmtId="0" fontId="9" fillId="0" borderId="0" xfId="0" applyFont="1" applyAlignment="1">
      <alignment horizontal="center" wrapText="1"/>
    </xf>
    <xf numFmtId="0" fontId="16" fillId="0" borderId="0" xfId="0" applyFont="1"/>
    <xf numFmtId="2" fontId="0" fillId="0" borderId="1" xfId="0" applyNumberFormat="1" applyBorder="1" applyAlignment="1">
      <alignment horizontal="center" vertical="center"/>
    </xf>
    <xf numFmtId="2" fontId="13" fillId="0" borderId="1" xfId="0" applyNumberFormat="1" applyFont="1" applyBorder="1" applyAlignment="1">
      <alignment horizontal="center" vertical="center"/>
    </xf>
    <xf numFmtId="0" fontId="13" fillId="0" borderId="2" xfId="0" applyFont="1" applyBorder="1" applyAlignment="1">
      <alignment vertical="center" wrapText="1"/>
    </xf>
    <xf numFmtId="0" fontId="17" fillId="0" borderId="0" xfId="0" applyFont="1" applyAlignment="1">
      <alignment wrapText="1"/>
    </xf>
    <xf numFmtId="0" fontId="16" fillId="0" borderId="2" xfId="0" applyFont="1" applyBorder="1" applyAlignment="1">
      <alignment horizontal="center" vertical="center"/>
    </xf>
    <xf numFmtId="0" fontId="13" fillId="0" borderId="3" xfId="0" applyFont="1" applyBorder="1" applyAlignment="1">
      <alignment vertical="center" wrapText="1"/>
    </xf>
    <xf numFmtId="0" fontId="0" fillId="0" borderId="0" xfId="0" applyAlignment="1">
      <alignment vertical="center" wrapText="1"/>
    </xf>
    <xf numFmtId="0" fontId="0" fillId="0" borderId="3" xfId="0" applyBorder="1" applyAlignment="1">
      <alignment vertical="center" wrapText="1"/>
    </xf>
    <xf numFmtId="164" fontId="0" fillId="0" borderId="1" xfId="0" applyNumberFormat="1" applyBorder="1" applyAlignment="1">
      <alignment horizontal="center" vertical="center"/>
    </xf>
    <xf numFmtId="0" fontId="13" fillId="0" borderId="0" xfId="0" applyFont="1" applyAlignment="1">
      <alignment horizontal="left"/>
    </xf>
    <xf numFmtId="0" fontId="21" fillId="0" borderId="0" xfId="0" applyFont="1" applyAlignment="1">
      <alignment horizontal="center"/>
    </xf>
    <xf numFmtId="0" fontId="22" fillId="0" borderId="0" xfId="0" applyFont="1" applyAlignment="1">
      <alignment horizontal="center"/>
    </xf>
    <xf numFmtId="0" fontId="13" fillId="0" borderId="0" xfId="0" applyFont="1" applyAlignment="1">
      <alignment horizontal="center"/>
    </xf>
    <xf numFmtId="49" fontId="13" fillId="0" borderId="0" xfId="0" applyNumberFormat="1" applyFont="1"/>
    <xf numFmtId="0" fontId="13" fillId="0" borderId="0" xfId="0" applyFont="1" applyProtection="1">
      <protection locked="0"/>
    </xf>
    <xf numFmtId="0" fontId="13" fillId="0" borderId="0" xfId="0" applyFont="1" applyAlignment="1">
      <alignment wrapText="1"/>
    </xf>
    <xf numFmtId="0" fontId="8" fillId="0" borderId="0" xfId="0" applyFont="1"/>
    <xf numFmtId="0" fontId="8" fillId="0" borderId="0" xfId="0" applyFont="1" applyAlignment="1">
      <alignment horizontal="center" vertical="center"/>
    </xf>
    <xf numFmtId="0" fontId="9" fillId="0" borderId="0" xfId="0" applyFont="1" applyAlignment="1">
      <alignment horizontal="left" vertical="top" wrapText="1"/>
    </xf>
    <xf numFmtId="0" fontId="13" fillId="0" borderId="0" xfId="0" applyFont="1" applyAlignment="1">
      <alignment horizontal="left" vertical="top" wrapText="1"/>
    </xf>
    <xf numFmtId="0" fontId="20" fillId="0" borderId="0" xfId="0" applyFont="1" applyAlignment="1">
      <alignment horizontal="left" vertical="top" wrapText="1"/>
    </xf>
    <xf numFmtId="0" fontId="13" fillId="0" borderId="0" xfId="0" applyFont="1" applyAlignment="1">
      <alignment horizontal="justify" vertical="top"/>
    </xf>
    <xf numFmtId="0" fontId="9" fillId="0" borderId="0" xfId="0" applyFont="1" applyAlignment="1">
      <alignment horizontal="left" vertical="top" wrapText="1" indent="1"/>
    </xf>
    <xf numFmtId="0" fontId="13" fillId="0" borderId="0" xfId="0" applyFont="1" applyAlignment="1">
      <alignment horizontal="left" vertical="top" wrapText="1" indent="1"/>
    </xf>
    <xf numFmtId="0" fontId="13" fillId="0" borderId="0" xfId="0" applyFont="1" applyAlignment="1">
      <alignment horizontal="left" wrapText="1"/>
    </xf>
    <xf numFmtId="0" fontId="13" fillId="0" borderId="0" xfId="0" applyFont="1" applyAlignment="1">
      <alignment horizontal="center" wrapText="1"/>
    </xf>
    <xf numFmtId="0" fontId="13" fillId="0" borderId="0" xfId="0" applyFont="1" applyAlignment="1">
      <alignment vertical="top" wrapText="1"/>
    </xf>
    <xf numFmtId="0" fontId="20" fillId="0" borderId="0" xfId="0" applyFont="1" applyAlignment="1">
      <alignment wrapText="1"/>
    </xf>
    <xf numFmtId="0" fontId="20" fillId="0" borderId="0" xfId="0" applyFont="1" applyAlignment="1">
      <alignment vertical="top" wrapText="1"/>
    </xf>
    <xf numFmtId="0" fontId="13" fillId="0" borderId="0" xfId="0" applyFont="1" applyAlignment="1">
      <alignment horizontal="left" vertical="top" wrapText="1" indent="2"/>
    </xf>
    <xf numFmtId="0" fontId="13" fillId="2" borderId="0" xfId="0" applyFont="1" applyFill="1"/>
    <xf numFmtId="49" fontId="9" fillId="0" borderId="0" xfId="0" applyNumberFormat="1" applyFont="1" applyAlignment="1">
      <alignment horizontal="left" vertical="top" wrapText="1" indent="1"/>
    </xf>
    <xf numFmtId="0" fontId="13" fillId="0" borderId="0" xfId="0" applyFont="1" applyAlignment="1" applyProtection="1">
      <alignment horizontal="center" wrapText="1"/>
      <protection locked="0"/>
    </xf>
    <xf numFmtId="0" fontId="13" fillId="0" borderId="0" xfId="0" applyFont="1" applyAlignment="1">
      <alignment horizontal="left" indent="6"/>
    </xf>
    <xf numFmtId="0" fontId="9" fillId="0" borderId="0" xfId="0" applyFont="1" applyAlignment="1">
      <alignment horizontal="left" indent="6"/>
    </xf>
    <xf numFmtId="0" fontId="5" fillId="3" borderId="0" xfId="0" applyFont="1" applyFill="1" applyAlignment="1">
      <alignment vertical="center"/>
    </xf>
    <xf numFmtId="0" fontId="5" fillId="3" borderId="0" xfId="0" applyFont="1" applyFill="1" applyAlignment="1">
      <alignment horizontal="left" vertical="center"/>
    </xf>
    <xf numFmtId="164" fontId="5" fillId="0" borderId="0" xfId="0" applyNumberFormat="1" applyFont="1" applyAlignment="1">
      <alignment vertical="center"/>
    </xf>
    <xf numFmtId="0" fontId="5" fillId="0" borderId="0" xfId="0" applyFont="1" applyAlignment="1">
      <alignment vertical="center" wrapText="1"/>
    </xf>
    <xf numFmtId="0" fontId="5" fillId="0" borderId="0" xfId="0" applyFont="1" applyAlignment="1">
      <alignment vertical="center"/>
    </xf>
    <xf numFmtId="0" fontId="13" fillId="0" borderId="0" xfId="0" applyFont="1" applyAlignment="1">
      <alignment vertical="center" wrapText="1"/>
    </xf>
    <xf numFmtId="164" fontId="0" fillId="0" borderId="1" xfId="0" applyNumberFormat="1" applyBorder="1" applyAlignment="1">
      <alignment horizontal="center" vertical="center" wrapText="1"/>
    </xf>
    <xf numFmtId="0" fontId="9" fillId="0" borderId="0" xfId="0" applyFont="1" applyAlignment="1">
      <alignment vertical="center" wrapText="1"/>
    </xf>
    <xf numFmtId="0" fontId="0" fillId="0" borderId="0" xfId="0" applyAlignment="1">
      <alignment wrapText="1"/>
    </xf>
    <xf numFmtId="0" fontId="9" fillId="0" borderId="0" xfId="0" applyFont="1" applyAlignment="1">
      <alignment wrapText="1"/>
    </xf>
    <xf numFmtId="0" fontId="0" fillId="0" borderId="2" xfId="0" applyBorder="1" applyAlignment="1">
      <alignment vertical="center" wrapText="1"/>
    </xf>
    <xf numFmtId="0" fontId="13" fillId="0" borderId="3" xfId="0" applyFont="1" applyBorder="1" applyAlignment="1">
      <alignment horizontal="left" vertical="center" wrapText="1"/>
    </xf>
    <xf numFmtId="0" fontId="13" fillId="0" borderId="0" xfId="0" applyFont="1" applyAlignment="1">
      <alignment horizontal="left" vertical="top" wrapText="1" indent="4"/>
    </xf>
    <xf numFmtId="0" fontId="0" fillId="0" borderId="3" xfId="0" applyBorder="1" applyAlignment="1">
      <alignment horizontal="left" vertical="center" wrapText="1"/>
    </xf>
    <xf numFmtId="0" fontId="0" fillId="0" borderId="0" xfId="0" applyAlignment="1">
      <alignment horizontal="left" vertical="center" wrapText="1"/>
    </xf>
    <xf numFmtId="0" fontId="9" fillId="0" borderId="0" xfId="0" applyFont="1" applyAlignment="1">
      <alignment horizontal="left" vertical="center"/>
    </xf>
    <xf numFmtId="0" fontId="9" fillId="0" borderId="0" xfId="0" applyFont="1" applyAlignment="1">
      <alignment horizontal="center" vertical="center" wrapText="1"/>
    </xf>
    <xf numFmtId="0" fontId="13" fillId="0" borderId="3" xfId="0" applyFont="1" applyBorder="1" applyAlignment="1" applyProtection="1">
      <alignment vertical="top" wrapText="1"/>
      <protection locked="0"/>
    </xf>
    <xf numFmtId="0" fontId="13" fillId="0" borderId="0" xfId="0" applyFont="1" applyAlignment="1">
      <alignment horizontal="justify" wrapText="1"/>
    </xf>
    <xf numFmtId="0" fontId="13" fillId="0" borderId="0" xfId="0" applyFont="1" applyAlignment="1">
      <alignment horizontal="justify"/>
    </xf>
    <xf numFmtId="0" fontId="13" fillId="0" borderId="0" xfId="0" applyFont="1" applyAlignment="1">
      <alignment horizontal="left" wrapText="1" indent="2"/>
    </xf>
    <xf numFmtId="0" fontId="9" fillId="0" borderId="0" xfId="0" applyFont="1" applyAlignment="1">
      <alignment horizontal="left"/>
    </xf>
    <xf numFmtId="0" fontId="4" fillId="0" borderId="2" xfId="0" applyFont="1" applyBorder="1" applyAlignment="1">
      <alignment vertical="center" wrapText="1"/>
    </xf>
    <xf numFmtId="0" fontId="13" fillId="0" borderId="0" xfId="0" applyFont="1" applyAlignment="1">
      <alignment horizontal="left" wrapText="1" indent="1"/>
    </xf>
    <xf numFmtId="0" fontId="14" fillId="0" borderId="0" xfId="0" applyFont="1"/>
    <xf numFmtId="49" fontId="9" fillId="0" borderId="0" xfId="0" applyNumberFormat="1" applyFont="1" applyAlignment="1">
      <alignment horizontal="left" vertical="top" wrapText="1" indent="2"/>
    </xf>
    <xf numFmtId="0" fontId="4" fillId="0" borderId="0" xfId="0" applyFont="1"/>
    <xf numFmtId="0" fontId="16" fillId="0" borderId="2" xfId="0" applyFont="1" applyBorder="1" applyAlignment="1">
      <alignment horizontal="left" vertical="center" wrapText="1"/>
    </xf>
    <xf numFmtId="0" fontId="16" fillId="0" borderId="2" xfId="0" applyFont="1" applyBorder="1" applyAlignment="1">
      <alignment horizontal="center" vertical="center" wrapText="1"/>
    </xf>
    <xf numFmtId="0" fontId="16" fillId="0" borderId="1" xfId="0" applyFont="1" applyBorder="1" applyAlignment="1">
      <alignment horizontal="center" vertical="center"/>
    </xf>
    <xf numFmtId="0" fontId="16" fillId="0" borderId="0" xfId="0" applyFont="1" applyAlignment="1">
      <alignment vertical="center"/>
    </xf>
    <xf numFmtId="2" fontId="16" fillId="0" borderId="1" xfId="0" applyNumberFormat="1" applyFont="1" applyBorder="1" applyAlignment="1">
      <alignment horizontal="center" vertical="center"/>
    </xf>
    <xf numFmtId="2" fontId="16" fillId="0" borderId="2" xfId="0" applyNumberFormat="1" applyFont="1" applyBorder="1" applyAlignment="1">
      <alignment horizontal="left" vertical="center" wrapText="1"/>
    </xf>
    <xf numFmtId="2" fontId="16" fillId="0" borderId="2" xfId="0" applyNumberFormat="1" applyFont="1" applyBorder="1" applyAlignment="1">
      <alignment horizontal="center" vertical="center"/>
    </xf>
    <xf numFmtId="0" fontId="16" fillId="0" borderId="0" xfId="0" applyFont="1" applyAlignment="1">
      <alignment horizontal="center"/>
    </xf>
    <xf numFmtId="0" fontId="16" fillId="0" borderId="0" xfId="0" applyFont="1" applyAlignment="1">
      <alignment horizontal="center" wrapText="1"/>
    </xf>
    <xf numFmtId="0" fontId="23" fillId="0" borderId="0" xfId="0" applyFont="1" applyAlignment="1">
      <alignment horizontal="left"/>
    </xf>
    <xf numFmtId="0" fontId="16" fillId="0" borderId="0" xfId="0" applyFont="1" applyAlignment="1">
      <alignment horizontal="center" vertical="center" wrapText="1"/>
    </xf>
    <xf numFmtId="49" fontId="9" fillId="0" borderId="0" xfId="0" applyNumberFormat="1" applyFont="1"/>
    <xf numFmtId="0" fontId="9" fillId="0" borderId="0" xfId="1" applyFont="1" applyFill="1" applyAlignment="1" applyProtection="1"/>
    <xf numFmtId="0" fontId="0" fillId="0" borderId="19" xfId="0" applyBorder="1" applyAlignment="1">
      <alignment vertical="center" wrapText="1"/>
    </xf>
    <xf numFmtId="4" fontId="13" fillId="0" borderId="1" xfId="0" applyNumberFormat="1" applyFont="1" applyBorder="1" applyAlignment="1">
      <alignment horizontal="center" vertical="center"/>
    </xf>
    <xf numFmtId="0" fontId="4" fillId="0" borderId="2" xfId="0" applyFon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2" xfId="0" applyFont="1" applyBorder="1" applyAlignment="1">
      <alignment horizontal="left" vertical="center" wrapText="1"/>
    </xf>
    <xf numFmtId="0" fontId="0" fillId="0" borderId="0" xfId="0" applyAlignment="1">
      <alignment horizontal="left"/>
    </xf>
    <xf numFmtId="0" fontId="24" fillId="0" borderId="0" xfId="0" applyFont="1" applyAlignment="1">
      <alignment wrapText="1"/>
    </xf>
    <xf numFmtId="0" fontId="23" fillId="0" borderId="23" xfId="0" applyFont="1" applyBorder="1" applyAlignment="1">
      <alignment horizontal="right" vertical="center"/>
    </xf>
    <xf numFmtId="0" fontId="23" fillId="0" borderId="20" xfId="0" applyFont="1" applyBorder="1" applyAlignment="1">
      <alignment horizontal="right" vertical="center"/>
    </xf>
    <xf numFmtId="0" fontId="0" fillId="0" borderId="20" xfId="0" applyBorder="1" applyAlignment="1">
      <alignment horizontal="center" vertical="center"/>
    </xf>
    <xf numFmtId="0" fontId="0" fillId="0" borderId="25" xfId="0" applyBorder="1" applyAlignment="1">
      <alignment horizontal="left" vertical="center" wrapText="1"/>
    </xf>
    <xf numFmtId="0" fontId="4" fillId="0" borderId="3" xfId="0" applyFont="1" applyBorder="1" applyAlignment="1">
      <alignment horizontal="left" vertical="center" wrapText="1"/>
    </xf>
    <xf numFmtId="0" fontId="24" fillId="0" borderId="0" xfId="0" applyFont="1" applyAlignment="1">
      <alignment horizontal="right"/>
    </xf>
    <xf numFmtId="0" fontId="4" fillId="0" borderId="2" xfId="0" applyFont="1" applyBorder="1" applyAlignment="1">
      <alignment horizontal="center" vertical="center"/>
    </xf>
    <xf numFmtId="0" fontId="4" fillId="0" borderId="0" xfId="4" applyAlignment="1">
      <alignment vertical="center" wrapText="1"/>
    </xf>
    <xf numFmtId="0" fontId="4" fillId="0" borderId="0" xfId="4" applyAlignment="1">
      <alignment horizontal="center" vertical="center"/>
    </xf>
    <xf numFmtId="2" fontId="0" fillId="0" borderId="12" xfId="0" applyNumberFormat="1" applyBorder="1"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justify" wrapText="1"/>
    </xf>
    <xf numFmtId="0" fontId="4" fillId="0" borderId="0" xfId="0" applyFont="1" applyAlignment="1">
      <alignment horizontal="justify"/>
    </xf>
    <xf numFmtId="0" fontId="4" fillId="0" borderId="3" xfId="0" applyFont="1" applyBorder="1" applyAlignment="1">
      <alignment vertical="center" wrapText="1"/>
    </xf>
    <xf numFmtId="49" fontId="4" fillId="0" borderId="0" xfId="0" applyNumberFormat="1" applyFont="1" applyAlignment="1">
      <alignment horizontal="right"/>
    </xf>
    <xf numFmtId="0" fontId="4" fillId="0" borderId="0" xfId="4" applyAlignment="1">
      <alignment horizontal="left" vertical="center" wrapText="1"/>
    </xf>
    <xf numFmtId="49" fontId="9" fillId="0" borderId="0" xfId="0" applyNumberFormat="1" applyFont="1" applyAlignment="1">
      <alignment horizontal="left"/>
    </xf>
    <xf numFmtId="2" fontId="29" fillId="0" borderId="0" xfId="0" applyNumberFormat="1" applyFont="1" applyAlignment="1">
      <alignment horizontal="center"/>
    </xf>
    <xf numFmtId="0" fontId="0" fillId="0" borderId="0" xfId="0" applyAlignment="1">
      <alignment vertical="top" wrapText="1"/>
    </xf>
    <xf numFmtId="0" fontId="29" fillId="0" borderId="0" xfId="0" applyFont="1"/>
    <xf numFmtId="0" fontId="29" fillId="0" borderId="0" xfId="0" applyFont="1" applyAlignment="1">
      <alignment horizontal="center"/>
    </xf>
    <xf numFmtId="2" fontId="0" fillId="0" borderId="0" xfId="0" applyNumberFormat="1" applyAlignment="1">
      <alignment horizontal="center"/>
    </xf>
    <xf numFmtId="0" fontId="4" fillId="0" borderId="0" xfId="0" applyFont="1" applyAlignment="1">
      <alignment horizontal="left" vertical="top" wrapText="1" indent="4"/>
    </xf>
    <xf numFmtId="0" fontId="4" fillId="0" borderId="0" xfId="0" applyFont="1" applyAlignment="1">
      <alignment horizontal="right"/>
    </xf>
    <xf numFmtId="0" fontId="4" fillId="0" borderId="3" xfId="0" applyFont="1" applyBorder="1" applyAlignment="1">
      <alignment horizontal="left" vertical="top" wrapText="1"/>
    </xf>
    <xf numFmtId="164" fontId="4" fillId="0" borderId="1" xfId="0" quotePrefix="1" applyNumberFormat="1" applyFont="1" applyBorder="1" applyAlignment="1">
      <alignment horizontal="center" vertical="center"/>
    </xf>
    <xf numFmtId="0" fontId="4" fillId="0" borderId="3" xfId="0" applyFont="1" applyBorder="1" applyAlignment="1" applyProtection="1">
      <alignment horizontal="left" vertical="top" wrapText="1"/>
      <protection locked="0"/>
    </xf>
    <xf numFmtId="0" fontId="4" fillId="0" borderId="11" xfId="0" applyFont="1" applyBorder="1" applyAlignment="1">
      <alignment horizontal="left" vertical="center" wrapText="1"/>
    </xf>
    <xf numFmtId="0" fontId="4" fillId="0" borderId="30" xfId="0" applyFont="1" applyBorder="1" applyAlignment="1">
      <alignment horizontal="left" vertical="center" wrapText="1"/>
    </xf>
    <xf numFmtId="0" fontId="4" fillId="0" borderId="13" xfId="0" applyFont="1" applyBorder="1" applyAlignment="1">
      <alignment horizontal="center" vertical="center"/>
    </xf>
    <xf numFmtId="0" fontId="9" fillId="5" borderId="0" xfId="0" applyFont="1" applyFill="1" applyAlignment="1">
      <alignment horizontal="left" vertical="top" wrapText="1"/>
    </xf>
    <xf numFmtId="0" fontId="9" fillId="5" borderId="2" xfId="0" applyFont="1" applyFill="1" applyBorder="1" applyAlignment="1">
      <alignment horizontal="center" vertical="center" wrapText="1"/>
    </xf>
    <xf numFmtId="0" fontId="9" fillId="5" borderId="3" xfId="0" applyFont="1" applyFill="1" applyBorder="1" applyAlignment="1" applyProtection="1">
      <alignment horizontal="left" vertical="center" wrapText="1"/>
      <protection locked="0"/>
    </xf>
    <xf numFmtId="0" fontId="31" fillId="5" borderId="2" xfId="0" applyFont="1" applyFill="1" applyBorder="1" applyAlignment="1">
      <alignment horizontal="center" vertical="center"/>
    </xf>
    <xf numFmtId="49" fontId="31" fillId="5" borderId="16" xfId="0" applyNumberFormat="1" applyFont="1" applyFill="1" applyBorder="1" applyAlignment="1">
      <alignment horizontal="center" vertical="center" wrapText="1"/>
    </xf>
    <xf numFmtId="0" fontId="31" fillId="5" borderId="5" xfId="0" applyFont="1" applyFill="1" applyBorder="1" applyAlignment="1">
      <alignment horizontal="center" vertical="center" wrapText="1"/>
    </xf>
    <xf numFmtId="0" fontId="31" fillId="5" borderId="9" xfId="0" applyFont="1" applyFill="1" applyBorder="1" applyAlignment="1">
      <alignment horizontal="center" vertical="center" wrapText="1"/>
    </xf>
    <xf numFmtId="164" fontId="4" fillId="0" borderId="15" xfId="0" quotePrefix="1" applyNumberFormat="1" applyFont="1" applyBorder="1" applyAlignment="1">
      <alignment horizontal="center" vertical="center"/>
    </xf>
    <xf numFmtId="0" fontId="31" fillId="5" borderId="5" xfId="0" applyFont="1" applyFill="1" applyBorder="1" applyAlignment="1">
      <alignment horizontal="centerContinuous" vertical="center" wrapText="1"/>
    </xf>
    <xf numFmtId="0" fontId="27" fillId="0" borderId="11" xfId="0" applyFont="1" applyBorder="1" applyAlignment="1">
      <alignment horizontal="center" vertical="center"/>
    </xf>
    <xf numFmtId="0" fontId="27" fillId="0" borderId="3" xfId="0" applyFont="1" applyBorder="1" applyAlignment="1">
      <alignment horizontal="left" vertical="center" wrapText="1"/>
    </xf>
    <xf numFmtId="0" fontId="27" fillId="0" borderId="2" xfId="0" applyFont="1" applyBorder="1" applyAlignment="1">
      <alignment horizontal="left" vertical="center" wrapText="1"/>
    </xf>
    <xf numFmtId="0" fontId="27" fillId="0" borderId="2" xfId="0" applyFont="1" applyBorder="1" applyAlignment="1">
      <alignment horizontal="center" vertical="center"/>
    </xf>
    <xf numFmtId="164" fontId="27" fillId="0" borderId="1" xfId="0" quotePrefix="1" applyNumberFormat="1" applyFont="1" applyBorder="1" applyAlignment="1">
      <alignment horizontal="center" vertical="center"/>
    </xf>
    <xf numFmtId="2" fontId="27" fillId="0" borderId="1" xfId="0" quotePrefix="1" applyNumberFormat="1" applyFont="1" applyBorder="1" applyAlignment="1">
      <alignment horizontal="center" vertical="center"/>
    </xf>
    <xf numFmtId="0" fontId="27" fillId="0" borderId="2" xfId="0" applyFont="1" applyBorder="1" applyAlignment="1">
      <alignment vertical="center" wrapText="1"/>
    </xf>
    <xf numFmtId="49" fontId="27" fillId="0" borderId="1" xfId="0" quotePrefix="1" applyNumberFormat="1" applyFont="1" applyBorder="1" applyAlignment="1">
      <alignment horizontal="center" vertical="center"/>
    </xf>
    <xf numFmtId="49" fontId="27" fillId="0" borderId="12" xfId="0" quotePrefix="1" applyNumberFormat="1" applyFont="1" applyBorder="1" applyAlignment="1">
      <alignment horizontal="center" vertical="center"/>
    </xf>
    <xf numFmtId="0" fontId="27" fillId="0" borderId="13" xfId="0" applyFont="1" applyBorder="1" applyAlignment="1">
      <alignment horizontal="left" vertical="center" wrapText="1"/>
    </xf>
    <xf numFmtId="49" fontId="27" fillId="0" borderId="12" xfId="0" applyNumberFormat="1" applyFont="1" applyBorder="1" applyAlignment="1">
      <alignment horizontal="center" vertical="center"/>
    </xf>
    <xf numFmtId="0" fontId="20" fillId="5" borderId="0" xfId="0" applyFont="1" applyFill="1" applyAlignment="1">
      <alignment horizontal="left" vertical="top" wrapText="1"/>
    </xf>
    <xf numFmtId="49" fontId="27" fillId="0" borderId="2" xfId="0" applyNumberFormat="1" applyFont="1" applyBorder="1" applyAlignment="1">
      <alignment horizontal="center" vertical="center"/>
    </xf>
    <xf numFmtId="49" fontId="27" fillId="0" borderId="2" xfId="0" applyNumberFormat="1" applyFont="1" applyBorder="1" applyAlignment="1">
      <alignment horizontal="center" vertical="center" wrapText="1"/>
    </xf>
    <xf numFmtId="0" fontId="30" fillId="5" borderId="2" xfId="0" applyFont="1" applyFill="1" applyBorder="1" applyAlignment="1" applyProtection="1">
      <alignment horizontal="center" vertical="center" wrapText="1"/>
      <protection locked="0"/>
    </xf>
    <xf numFmtId="0" fontId="27" fillId="0" borderId="21" xfId="0" applyFont="1" applyBorder="1" applyAlignment="1" applyProtection="1">
      <alignment horizontal="left" vertical="center" wrapText="1"/>
      <protection locked="0"/>
    </xf>
    <xf numFmtId="49" fontId="27" fillId="5" borderId="23" xfId="0" quotePrefix="1" applyNumberFormat="1" applyFont="1" applyFill="1" applyBorder="1" applyAlignment="1">
      <alignment horizontal="center" vertical="center"/>
    </xf>
    <xf numFmtId="0" fontId="27" fillId="5" borderId="2" xfId="0" applyFont="1" applyFill="1" applyBorder="1" applyAlignment="1" applyProtection="1">
      <alignment horizontal="center" vertical="center" wrapText="1"/>
      <protection locked="0"/>
    </xf>
    <xf numFmtId="0" fontId="27" fillId="5" borderId="3" xfId="0" applyFont="1" applyFill="1" applyBorder="1" applyAlignment="1">
      <alignment horizontal="left" vertical="center" wrapText="1"/>
    </xf>
    <xf numFmtId="0" fontId="17" fillId="0" borderId="0" xfId="0" applyFont="1" applyAlignment="1">
      <alignment vertical="center"/>
    </xf>
    <xf numFmtId="0" fontId="17" fillId="0" borderId="0" xfId="0" applyFont="1" applyAlignment="1">
      <alignment vertical="center" wrapText="1"/>
    </xf>
    <xf numFmtId="49" fontId="17" fillId="0" borderId="0" xfId="0" applyNumberFormat="1" applyFont="1" applyAlignment="1">
      <alignment vertical="center"/>
    </xf>
    <xf numFmtId="0" fontId="8" fillId="0" borderId="0" xfId="0" applyFont="1" applyAlignment="1">
      <alignment vertical="center"/>
    </xf>
    <xf numFmtId="49" fontId="17" fillId="0" borderId="4" xfId="0" applyNumberFormat="1" applyFont="1" applyBorder="1" applyAlignment="1">
      <alignment horizontal="center" vertical="center"/>
    </xf>
    <xf numFmtId="0" fontId="4" fillId="0" borderId="0" xfId="0" applyFont="1" applyAlignment="1">
      <alignment vertical="center"/>
    </xf>
    <xf numFmtId="0" fontId="14" fillId="5" borderId="43" xfId="0" applyFont="1" applyFill="1" applyBorder="1" applyAlignment="1">
      <alignment vertical="center"/>
    </xf>
    <xf numFmtId="0" fontId="31" fillId="5" borderId="17" xfId="0" applyFont="1" applyFill="1" applyBorder="1" applyAlignment="1">
      <alignment vertical="center"/>
    </xf>
    <xf numFmtId="0" fontId="14" fillId="5" borderId="17" xfId="0" applyFont="1" applyFill="1" applyBorder="1" applyAlignment="1">
      <alignment vertical="center"/>
    </xf>
    <xf numFmtId="0" fontId="14" fillId="5" borderId="35" xfId="0" applyFont="1" applyFill="1" applyBorder="1" applyAlignment="1">
      <alignment vertical="center"/>
    </xf>
    <xf numFmtId="49" fontId="27" fillId="0" borderId="15" xfId="0" applyNumberFormat="1" applyFont="1" applyBorder="1" applyAlignment="1">
      <alignment horizontal="center" vertical="center" wrapText="1"/>
    </xf>
    <xf numFmtId="0" fontId="27" fillId="0" borderId="11" xfId="0" applyFont="1" applyBorder="1" applyAlignment="1">
      <alignment horizontal="center" vertical="center" wrapText="1"/>
    </xf>
    <xf numFmtId="0" fontId="35" fillId="0" borderId="2" xfId="0" applyFont="1" applyBorder="1" applyAlignment="1">
      <alignment vertical="center"/>
    </xf>
    <xf numFmtId="0" fontId="35" fillId="0" borderId="2" xfId="0" applyFont="1" applyBorder="1" applyAlignment="1">
      <alignment horizontal="center" vertical="center"/>
    </xf>
    <xf numFmtId="0" fontId="35" fillId="0" borderId="2" xfId="0" applyFont="1" applyBorder="1" applyAlignment="1">
      <alignment horizontal="left" vertical="center" wrapText="1"/>
    </xf>
    <xf numFmtId="0" fontId="31" fillId="5" borderId="2" xfId="0" applyFont="1" applyFill="1" applyBorder="1" applyAlignment="1">
      <alignment horizontal="center" vertical="center" wrapText="1"/>
    </xf>
    <xf numFmtId="0" fontId="27" fillId="0" borderId="1" xfId="0" applyFont="1" applyBorder="1" applyAlignment="1">
      <alignment horizontal="center" vertical="center" wrapText="1"/>
    </xf>
    <xf numFmtId="2" fontId="27" fillId="0" borderId="1" xfId="0" applyNumberFormat="1" applyFont="1" applyBorder="1" applyAlignment="1">
      <alignment horizontal="center" vertical="center" wrapText="1"/>
    </xf>
    <xf numFmtId="0" fontId="27" fillId="0" borderId="15" xfId="0" applyFont="1" applyBorder="1" applyAlignment="1">
      <alignment horizontal="center" vertical="center" wrapText="1"/>
    </xf>
    <xf numFmtId="0" fontId="27" fillId="0" borderId="11" xfId="0" applyFont="1" applyBorder="1" applyAlignment="1">
      <alignment vertical="center" wrapText="1"/>
    </xf>
    <xf numFmtId="0" fontId="9" fillId="5" borderId="0" xfId="0" applyFont="1" applyFill="1" applyAlignment="1">
      <alignment horizontal="left" wrapText="1"/>
    </xf>
    <xf numFmtId="0" fontId="14" fillId="5" borderId="2" xfId="0" applyFont="1" applyFill="1" applyBorder="1" applyAlignment="1">
      <alignment horizontal="center" vertical="center"/>
    </xf>
    <xf numFmtId="0" fontId="14" fillId="5" borderId="3" xfId="0" applyFont="1" applyFill="1" applyBorder="1" applyAlignment="1">
      <alignment horizontal="left" vertical="center" wrapText="1"/>
    </xf>
    <xf numFmtId="9" fontId="27" fillId="0" borderId="2" xfId="0" applyNumberFormat="1" applyFont="1" applyBorder="1" applyAlignment="1">
      <alignment horizontal="center" vertical="center" wrapText="1"/>
    </xf>
    <xf numFmtId="0" fontId="27" fillId="0" borderId="1" xfId="0" applyFont="1" applyBorder="1" applyAlignment="1">
      <alignment horizontal="center" vertical="center"/>
    </xf>
    <xf numFmtId="0" fontId="27" fillId="0" borderId="19" xfId="0" applyFont="1" applyBorder="1" applyAlignment="1">
      <alignment vertical="center" wrapText="1"/>
    </xf>
    <xf numFmtId="2" fontId="0" fillId="0" borderId="1" xfId="0" applyNumberFormat="1" applyBorder="1" applyAlignment="1">
      <alignment horizontal="center" vertical="center" wrapText="1"/>
    </xf>
    <xf numFmtId="0" fontId="0" fillId="0" borderId="2" xfId="0" applyBorder="1" applyAlignment="1">
      <alignment horizontal="left"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0" fillId="0" borderId="13" xfId="0" applyBorder="1" applyAlignment="1">
      <alignment horizontal="left" vertical="center" wrapText="1"/>
    </xf>
    <xf numFmtId="0" fontId="0" fillId="0" borderId="13" xfId="0" applyBorder="1" applyAlignment="1">
      <alignment horizontal="center" vertical="center" wrapText="1"/>
    </xf>
    <xf numFmtId="0" fontId="9" fillId="5" borderId="0" xfId="0" applyFont="1" applyFill="1" applyAlignment="1">
      <alignment vertical="center" wrapText="1"/>
    </xf>
    <xf numFmtId="0" fontId="20" fillId="5" borderId="0" xfId="0" applyFont="1" applyFill="1" applyAlignment="1">
      <alignment vertical="center" wrapText="1"/>
    </xf>
    <xf numFmtId="0" fontId="16" fillId="5" borderId="1" xfId="0" applyFont="1" applyFill="1" applyBorder="1" applyAlignment="1">
      <alignment vertical="center"/>
    </xf>
    <xf numFmtId="0" fontId="23" fillId="5" borderId="2" xfId="0" applyFont="1" applyFill="1" applyBorder="1" applyAlignment="1">
      <alignment horizontal="left" vertical="center"/>
    </xf>
    <xf numFmtId="0" fontId="0" fillId="5" borderId="2" xfId="0" applyFill="1" applyBorder="1" applyAlignment="1">
      <alignment horizontal="center" vertical="center"/>
    </xf>
    <xf numFmtId="0" fontId="4" fillId="5" borderId="3" xfId="0" applyFont="1" applyFill="1" applyBorder="1" applyAlignment="1">
      <alignment horizontal="left" vertical="center" wrapText="1"/>
    </xf>
    <xf numFmtId="0" fontId="0" fillId="5" borderId="3" xfId="0" applyFill="1" applyBorder="1" applyAlignment="1">
      <alignment horizontal="left" vertical="center" wrapText="1"/>
    </xf>
    <xf numFmtId="0" fontId="23" fillId="5" borderId="2" xfId="0" applyFont="1" applyFill="1" applyBorder="1" applyAlignment="1">
      <alignment horizontal="center" vertical="center"/>
    </xf>
    <xf numFmtId="2" fontId="23" fillId="5" borderId="2" xfId="0" applyNumberFormat="1" applyFont="1" applyFill="1" applyBorder="1" applyAlignment="1">
      <alignment horizontal="left" vertical="center"/>
    </xf>
    <xf numFmtId="2" fontId="23" fillId="5" borderId="2" xfId="0" applyNumberFormat="1" applyFont="1" applyFill="1" applyBorder="1" applyAlignment="1">
      <alignment horizontal="center" vertical="center"/>
    </xf>
    <xf numFmtId="0" fontId="13" fillId="5" borderId="2" xfId="0" applyFont="1" applyFill="1" applyBorder="1" applyAlignment="1">
      <alignment horizontal="center" vertical="center"/>
    </xf>
    <xf numFmtId="0" fontId="13" fillId="5" borderId="3" xfId="0" applyFont="1" applyFill="1" applyBorder="1" applyAlignment="1">
      <alignment horizontal="left" vertical="center" wrapText="1"/>
    </xf>
    <xf numFmtId="0" fontId="16" fillId="5" borderId="2" xfId="0" applyFont="1" applyFill="1" applyBorder="1" applyAlignment="1">
      <alignment vertical="center"/>
    </xf>
    <xf numFmtId="0" fontId="16" fillId="5" borderId="3" xfId="0" applyFont="1" applyFill="1" applyBorder="1" applyAlignment="1">
      <alignment vertical="center"/>
    </xf>
    <xf numFmtId="0" fontId="9" fillId="5" borderId="8" xfId="0" applyFont="1" applyFill="1" applyBorder="1" applyAlignment="1">
      <alignment horizontal="centerContinuous" vertical="center" wrapText="1"/>
    </xf>
    <xf numFmtId="0" fontId="9" fillId="5" borderId="6" xfId="0" applyFont="1" applyFill="1" applyBorder="1" applyAlignment="1">
      <alignment horizontal="centerContinuous" vertical="center"/>
    </xf>
    <xf numFmtId="0" fontId="9" fillId="5" borderId="6" xfId="0" applyFont="1" applyFill="1" applyBorder="1" applyAlignment="1">
      <alignment horizontal="center" vertical="center" wrapText="1"/>
    </xf>
    <xf numFmtId="0" fontId="9" fillId="5" borderId="6" xfId="0" applyFont="1" applyFill="1" applyBorder="1" applyAlignment="1">
      <alignment horizontal="center" vertical="center"/>
    </xf>
    <xf numFmtId="0" fontId="9" fillId="5" borderId="7" xfId="0" applyFont="1" applyFill="1" applyBorder="1" applyAlignment="1">
      <alignment horizontal="center" vertical="center"/>
    </xf>
    <xf numFmtId="0" fontId="0" fillId="5" borderId="1" xfId="0" applyFill="1" applyBorder="1" applyAlignment="1">
      <alignment vertical="center"/>
    </xf>
    <xf numFmtId="0" fontId="9" fillId="5" borderId="2" xfId="0" applyFont="1" applyFill="1" applyBorder="1" applyAlignment="1">
      <alignment horizontal="left" vertical="center"/>
    </xf>
    <xf numFmtId="0" fontId="9" fillId="5" borderId="2" xfId="0" applyFont="1" applyFill="1" applyBorder="1" applyAlignment="1">
      <alignment horizontal="center" vertical="center"/>
    </xf>
    <xf numFmtId="0" fontId="0" fillId="5" borderId="2" xfId="0" applyFill="1" applyBorder="1" applyAlignment="1">
      <alignment vertical="center"/>
    </xf>
    <xf numFmtId="0" fontId="0" fillId="5" borderId="3" xfId="0" applyFill="1" applyBorder="1" applyAlignment="1">
      <alignment vertical="center"/>
    </xf>
    <xf numFmtId="0" fontId="31" fillId="5" borderId="1" xfId="0" applyFont="1" applyFill="1" applyBorder="1" applyAlignment="1">
      <alignment horizontal="center" vertical="center" wrapText="1"/>
    </xf>
    <xf numFmtId="0" fontId="31" fillId="5" borderId="3" xfId="0" applyFont="1" applyFill="1" applyBorder="1" applyAlignment="1">
      <alignment horizontal="center" vertical="center" wrapText="1"/>
    </xf>
    <xf numFmtId="0" fontId="23" fillId="5" borderId="1" xfId="0" applyFont="1" applyFill="1" applyBorder="1" applyAlignment="1">
      <alignment horizontal="center" vertical="center" wrapText="1"/>
    </xf>
    <xf numFmtId="0" fontId="23" fillId="5" borderId="2" xfId="0" applyFont="1" applyFill="1" applyBorder="1" applyAlignment="1">
      <alignment horizontal="center" vertical="center" wrapText="1"/>
    </xf>
    <xf numFmtId="0" fontId="23" fillId="5" borderId="3" xfId="0" applyFont="1" applyFill="1" applyBorder="1" applyAlignment="1">
      <alignment horizontal="center" vertical="center" wrapText="1"/>
    </xf>
    <xf numFmtId="0" fontId="13" fillId="5" borderId="1" xfId="0" applyFont="1" applyFill="1" applyBorder="1" applyAlignment="1">
      <alignment horizontal="center" vertical="center"/>
    </xf>
    <xf numFmtId="0" fontId="9" fillId="5" borderId="2" xfId="0" applyFont="1" applyFill="1" applyBorder="1" applyAlignment="1">
      <alignment horizontal="left" vertical="center" wrapText="1"/>
    </xf>
    <xf numFmtId="0" fontId="13" fillId="5" borderId="2" xfId="0" applyFont="1" applyFill="1" applyBorder="1" applyAlignment="1">
      <alignment horizontal="center" vertical="center" wrapText="1"/>
    </xf>
    <xf numFmtId="0" fontId="0" fillId="5" borderId="3" xfId="0" applyFill="1" applyBorder="1" applyAlignment="1">
      <alignment vertical="center" wrapText="1"/>
    </xf>
    <xf numFmtId="0" fontId="13" fillId="5" borderId="3" xfId="0" applyFont="1" applyFill="1" applyBorder="1" applyAlignment="1">
      <alignment vertical="center"/>
    </xf>
    <xf numFmtId="0" fontId="9" fillId="5" borderId="1" xfId="0" applyFont="1" applyFill="1" applyBorder="1" applyAlignment="1">
      <alignment horizontal="centerContinuous" vertical="center" wrapText="1"/>
    </xf>
    <xf numFmtId="0" fontId="9" fillId="5" borderId="2" xfId="0" applyFont="1" applyFill="1" applyBorder="1" applyAlignment="1">
      <alignment horizontal="centerContinuous" vertical="center" wrapText="1"/>
    </xf>
    <xf numFmtId="0" fontId="9" fillId="5" borderId="3" xfId="0" applyFont="1" applyFill="1" applyBorder="1" applyAlignment="1">
      <alignment horizontal="center" vertical="center"/>
    </xf>
    <xf numFmtId="0" fontId="9" fillId="5" borderId="1" xfId="0" applyFont="1" applyFill="1" applyBorder="1" applyAlignment="1">
      <alignment horizontal="left" vertical="center"/>
    </xf>
    <xf numFmtId="0" fontId="9" fillId="5" borderId="2" xfId="0" applyFont="1" applyFill="1" applyBorder="1" applyAlignment="1">
      <alignment vertical="center" wrapText="1"/>
    </xf>
    <xf numFmtId="0" fontId="9" fillId="5" borderId="3" xfId="0" applyFont="1" applyFill="1" applyBorder="1" applyAlignment="1">
      <alignment horizontal="left" vertical="center" wrapText="1"/>
    </xf>
    <xf numFmtId="0" fontId="0" fillId="5" borderId="1" xfId="0" applyFill="1" applyBorder="1" applyAlignment="1">
      <alignment vertical="center" wrapText="1"/>
    </xf>
    <xf numFmtId="0" fontId="0" fillId="5" borderId="2" xfId="0" applyFill="1" applyBorder="1" applyAlignment="1">
      <alignment vertical="center" wrapText="1"/>
    </xf>
    <xf numFmtId="0" fontId="9" fillId="5" borderId="3" xfId="0" applyFont="1" applyFill="1" applyBorder="1" applyAlignment="1">
      <alignment horizontal="center" vertical="center" wrapText="1"/>
    </xf>
    <xf numFmtId="0" fontId="13" fillId="5" borderId="1" xfId="0" applyFont="1" applyFill="1" applyBorder="1" applyAlignment="1">
      <alignment vertical="center" wrapText="1"/>
    </xf>
    <xf numFmtId="0" fontId="13" fillId="5" borderId="3" xfId="0" applyFont="1" applyFill="1" applyBorder="1" applyAlignment="1">
      <alignment vertical="center" wrapText="1"/>
    </xf>
    <xf numFmtId="0" fontId="9" fillId="5" borderId="8" xfId="0" applyFont="1" applyFill="1" applyBorder="1" applyAlignment="1">
      <alignment horizontal="center" vertical="center" wrapText="1"/>
    </xf>
    <xf numFmtId="0" fontId="9" fillId="5" borderId="1" xfId="0" applyFont="1" applyFill="1" applyBorder="1" applyAlignment="1">
      <alignment horizontal="center" vertical="center" wrapText="1"/>
    </xf>
    <xf numFmtId="0" fontId="13" fillId="5" borderId="3" xfId="0" applyFont="1" applyFill="1" applyBorder="1" applyAlignment="1">
      <alignment horizontal="center" vertical="center"/>
    </xf>
    <xf numFmtId="0" fontId="9" fillId="5" borderId="3" xfId="0" applyFont="1" applyFill="1" applyBorder="1" applyAlignment="1">
      <alignment vertical="center" wrapText="1"/>
    </xf>
    <xf numFmtId="0" fontId="9" fillId="5" borderId="1" xfId="0" applyFont="1" applyFill="1" applyBorder="1" applyAlignment="1">
      <alignment horizontal="center" vertical="center"/>
    </xf>
    <xf numFmtId="0" fontId="13" fillId="5" borderId="2" xfId="0" applyFont="1" applyFill="1" applyBorder="1" applyAlignment="1">
      <alignment vertical="center"/>
    </xf>
    <xf numFmtId="0" fontId="13" fillId="0" borderId="3" xfId="0" applyFont="1" applyBorder="1" applyAlignment="1">
      <alignment horizontal="left" vertical="top" wrapText="1"/>
    </xf>
    <xf numFmtId="165" fontId="13"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0" fontId="0" fillId="5" borderId="1" xfId="0" applyFill="1" applyBorder="1"/>
    <xf numFmtId="0" fontId="0" fillId="5" borderId="2" xfId="0" applyFill="1" applyBorder="1"/>
    <xf numFmtId="0" fontId="0" fillId="5" borderId="3" xfId="0" applyFill="1" applyBorder="1"/>
    <xf numFmtId="0" fontId="9" fillId="0" borderId="0" xfId="0" applyFont="1" applyAlignment="1">
      <alignment horizontal="left" vertical="center" wrapText="1"/>
    </xf>
    <xf numFmtId="0" fontId="9" fillId="5" borderId="1" xfId="0" applyFont="1" applyFill="1" applyBorder="1" applyAlignment="1">
      <alignment horizontal="left" vertical="center" wrapText="1"/>
    </xf>
    <xf numFmtId="0" fontId="0" fillId="5" borderId="1" xfId="0" applyFill="1" applyBorder="1" applyAlignment="1">
      <alignment horizontal="left" vertical="center" wrapText="1"/>
    </xf>
    <xf numFmtId="0" fontId="0" fillId="5" borderId="2" xfId="0" applyFill="1" applyBorder="1" applyAlignment="1">
      <alignment horizontal="left" vertical="center"/>
    </xf>
    <xf numFmtId="0" fontId="4" fillId="0" borderId="0" xfId="0" applyFont="1" applyAlignment="1">
      <alignment horizontal="left" vertical="center"/>
    </xf>
    <xf numFmtId="0" fontId="31" fillId="5" borderId="1" xfId="0" applyFont="1" applyFill="1" applyBorder="1" applyAlignment="1">
      <alignment horizontal="centerContinuous" vertical="center" wrapText="1"/>
    </xf>
    <xf numFmtId="0" fontId="31" fillId="5" borderId="2" xfId="0" applyFont="1" applyFill="1" applyBorder="1" applyAlignment="1">
      <alignment horizontal="centerContinuous" vertical="center"/>
    </xf>
    <xf numFmtId="0" fontId="31" fillId="5" borderId="3" xfId="0" applyFont="1" applyFill="1" applyBorder="1" applyAlignment="1">
      <alignment horizontal="center" vertical="center"/>
    </xf>
    <xf numFmtId="0" fontId="31" fillId="5" borderId="3" xfId="0" applyFont="1" applyFill="1" applyBorder="1" applyAlignment="1">
      <alignment horizontal="left" vertical="center" wrapText="1"/>
    </xf>
    <xf numFmtId="0" fontId="30" fillId="5" borderId="2" xfId="0" applyFont="1" applyFill="1" applyBorder="1" applyAlignment="1">
      <alignment horizontal="center" vertical="center" wrapText="1"/>
    </xf>
    <xf numFmtId="0" fontId="27" fillId="0" borderId="2" xfId="0" applyFont="1" applyBorder="1" applyAlignment="1" applyProtection="1">
      <alignment horizontal="center" vertical="center" wrapText="1"/>
      <protection locked="0"/>
    </xf>
    <xf numFmtId="0" fontId="27" fillId="0" borderId="3" xfId="0" applyFont="1" applyBorder="1" applyAlignment="1" applyProtection="1">
      <alignment horizontal="left" vertical="center" wrapText="1"/>
      <protection locked="0"/>
    </xf>
    <xf numFmtId="0" fontId="27" fillId="0" borderId="2" xfId="0" applyFont="1" applyBorder="1" applyAlignment="1">
      <alignment horizontal="left" vertical="center"/>
    </xf>
    <xf numFmtId="0" fontId="35" fillId="0" borderId="2" xfId="0" applyFont="1" applyBorder="1" applyAlignment="1" applyProtection="1">
      <alignment horizontal="center" vertical="center" wrapText="1"/>
      <protection locked="0"/>
    </xf>
    <xf numFmtId="0" fontId="31" fillId="5" borderId="2" xfId="0" applyFont="1" applyFill="1" applyBorder="1" applyAlignment="1" applyProtection="1">
      <alignment horizontal="center" vertical="center" wrapText="1"/>
      <protection locked="0"/>
    </xf>
    <xf numFmtId="0" fontId="31" fillId="5" borderId="3" xfId="0" applyFont="1" applyFill="1" applyBorder="1" applyAlignment="1" applyProtection="1">
      <alignment horizontal="left" vertical="center" wrapText="1"/>
      <protection locked="0"/>
    </xf>
    <xf numFmtId="0" fontId="14" fillId="5" borderId="2" xfId="0" applyFont="1" applyFill="1" applyBorder="1" applyAlignment="1" applyProtection="1">
      <alignment horizontal="center" vertical="center" wrapText="1"/>
      <protection locked="0"/>
    </xf>
    <xf numFmtId="0" fontId="14" fillId="5" borderId="3" xfId="0" applyFont="1" applyFill="1" applyBorder="1" applyAlignment="1" applyProtection="1">
      <alignment horizontal="left" vertical="center" wrapText="1"/>
      <protection locked="0"/>
    </xf>
    <xf numFmtId="2" fontId="35" fillId="0" borderId="1" xfId="0" quotePrefix="1" applyNumberFormat="1" applyFont="1" applyBorder="1" applyAlignment="1">
      <alignment horizontal="center" vertical="center"/>
    </xf>
    <xf numFmtId="0" fontId="35" fillId="0" borderId="2" xfId="0" applyFont="1" applyBorder="1" applyAlignment="1">
      <alignment horizontal="left" vertical="center"/>
    </xf>
    <xf numFmtId="0" fontId="37" fillId="5" borderId="2" xfId="0" applyFont="1" applyFill="1" applyBorder="1" applyAlignment="1" applyProtection="1">
      <alignment horizontal="center" vertical="center" wrapText="1"/>
      <protection locked="0"/>
    </xf>
    <xf numFmtId="0" fontId="37" fillId="5" borderId="3" xfId="0" applyFont="1" applyFill="1" applyBorder="1" applyAlignment="1" applyProtection="1">
      <alignment horizontal="left" vertical="center" wrapText="1"/>
      <protection locked="0"/>
    </xf>
    <xf numFmtId="0" fontId="31" fillId="0" borderId="0" xfId="0" applyFont="1" applyAlignment="1">
      <alignment horizontal="left" vertical="center"/>
    </xf>
    <xf numFmtId="0" fontId="27" fillId="0" borderId="3" xfId="0" applyFont="1" applyBorder="1" applyAlignment="1">
      <alignment vertical="center" wrapText="1"/>
    </xf>
    <xf numFmtId="0" fontId="31" fillId="5" borderId="2" xfId="0" applyFont="1" applyFill="1" applyBorder="1" applyAlignment="1">
      <alignment horizontal="left" vertical="center" wrapText="1"/>
    </xf>
    <xf numFmtId="0" fontId="27" fillId="0" borderId="2" xfId="0" applyFont="1" applyBorder="1" applyAlignment="1" applyProtection="1">
      <alignment horizontal="center" vertical="center"/>
      <protection locked="0"/>
    </xf>
    <xf numFmtId="1" fontId="27" fillId="0" borderId="2" xfId="0" applyNumberFormat="1" applyFont="1" applyBorder="1" applyAlignment="1">
      <alignment horizontal="center" vertical="center" wrapText="1"/>
    </xf>
    <xf numFmtId="1" fontId="27" fillId="0" borderId="2" xfId="0" applyNumberFormat="1" applyFont="1" applyBorder="1" applyAlignment="1">
      <alignment vertical="center"/>
    </xf>
    <xf numFmtId="1" fontId="27" fillId="0" borderId="2" xfId="0" applyNumberFormat="1" applyFont="1" applyBorder="1" applyAlignment="1">
      <alignment vertical="center" wrapText="1"/>
    </xf>
    <xf numFmtId="0" fontId="27" fillId="0" borderId="2" xfId="0" applyFont="1" applyBorder="1" applyAlignment="1">
      <alignment vertical="center"/>
    </xf>
    <xf numFmtId="0" fontId="30" fillId="5" borderId="1" xfId="0" applyFont="1" applyFill="1" applyBorder="1" applyAlignment="1">
      <alignment horizontal="centerContinuous" vertical="center" wrapText="1"/>
    </xf>
    <xf numFmtId="0" fontId="30" fillId="5" borderId="3" xfId="0" applyFont="1" applyFill="1" applyBorder="1" applyAlignment="1" applyProtection="1">
      <alignment horizontal="center" vertical="center" wrapText="1"/>
      <protection locked="0"/>
    </xf>
    <xf numFmtId="0" fontId="27" fillId="0" borderId="51" xfId="0" applyFont="1" applyBorder="1" applyAlignment="1" applyProtection="1">
      <alignment horizontal="center" vertical="center"/>
      <protection locked="0"/>
    </xf>
    <xf numFmtId="0" fontId="27" fillId="0" borderId="51" xfId="0" applyFont="1" applyBorder="1" applyAlignment="1" applyProtection="1">
      <alignment horizontal="center" vertical="center" wrapText="1"/>
      <protection locked="0"/>
    </xf>
    <xf numFmtId="1" fontId="27" fillId="0" borderId="2" xfId="0" quotePrefix="1" applyNumberFormat="1" applyFont="1" applyBorder="1" applyAlignment="1">
      <alignment horizontal="left" vertical="center" wrapText="1"/>
    </xf>
    <xf numFmtId="1" fontId="27" fillId="0" borderId="11" xfId="0" quotePrefix="1" applyNumberFormat="1" applyFont="1" applyBorder="1" applyAlignment="1">
      <alignment horizontal="left" vertical="center" wrapText="1"/>
    </xf>
    <xf numFmtId="0" fontId="27" fillId="0" borderId="54" xfId="0" applyFont="1" applyBorder="1" applyAlignment="1">
      <alignment horizontal="left" vertical="center" wrapText="1"/>
    </xf>
    <xf numFmtId="0" fontId="27" fillId="0" borderId="54" xfId="0" applyFont="1" applyBorder="1" applyAlignment="1">
      <alignment horizontal="center" vertical="center"/>
    </xf>
    <xf numFmtId="0" fontId="27" fillId="0" borderId="51" xfId="0" applyFont="1" applyBorder="1" applyAlignment="1">
      <alignment horizontal="center" vertical="center" wrapText="1"/>
    </xf>
    <xf numFmtId="2" fontId="27" fillId="0" borderId="15" xfId="0" quotePrefix="1" applyNumberFormat="1" applyFont="1" applyBorder="1" applyAlignment="1">
      <alignment vertical="center"/>
    </xf>
    <xf numFmtId="1" fontId="27" fillId="0" borderId="11" xfId="0" applyNumberFormat="1" applyFont="1" applyBorder="1" applyAlignment="1">
      <alignment vertical="center" wrapText="1"/>
    </xf>
    <xf numFmtId="1" fontId="27" fillId="0" borderId="11" xfId="0" applyNumberFormat="1" applyFont="1" applyBorder="1" applyAlignment="1">
      <alignment vertical="center"/>
    </xf>
    <xf numFmtId="0" fontId="27" fillId="0" borderId="2" xfId="0" quotePrefix="1" applyFont="1" applyBorder="1" applyAlignment="1">
      <alignment vertical="center" wrapText="1"/>
    </xf>
    <xf numFmtId="1" fontId="27" fillId="0" borderId="2" xfId="0" applyNumberFormat="1" applyFont="1" applyBorder="1" applyAlignment="1">
      <alignment horizontal="center" vertical="center"/>
    </xf>
    <xf numFmtId="0" fontId="14" fillId="5" borderId="3" xfId="0" applyFont="1" applyFill="1" applyBorder="1" applyAlignment="1">
      <alignment horizontal="left" vertical="center"/>
    </xf>
    <xf numFmtId="0" fontId="27" fillId="0" borderId="30" xfId="0" applyFont="1" applyBorder="1" applyAlignment="1">
      <alignment horizontal="left" vertical="center" wrapText="1"/>
    </xf>
    <xf numFmtId="0" fontId="27" fillId="0" borderId="51" xfId="0" applyFont="1" applyBorder="1" applyAlignment="1">
      <alignment vertical="center" wrapText="1"/>
    </xf>
    <xf numFmtId="0" fontId="27" fillId="0" borderId="51" xfId="0" quotePrefix="1" applyFont="1" applyBorder="1" applyAlignment="1">
      <alignment vertical="center" wrapText="1"/>
    </xf>
    <xf numFmtId="49" fontId="27" fillId="0" borderId="50" xfId="0" applyNumberFormat="1" applyFont="1" applyBorder="1" applyAlignment="1">
      <alignment horizontal="center" vertical="center"/>
    </xf>
    <xf numFmtId="49" fontId="31" fillId="5" borderId="1" xfId="0" applyNumberFormat="1" applyFont="1" applyFill="1" applyBorder="1" applyAlignment="1">
      <alignment horizontal="centerContinuous" vertical="center" wrapText="1"/>
    </xf>
    <xf numFmtId="0" fontId="30" fillId="2" borderId="1" xfId="0" applyFont="1" applyFill="1" applyBorder="1" applyAlignment="1">
      <alignment horizontal="center" vertical="center" wrapText="1"/>
    </xf>
    <xf numFmtId="0" fontId="27" fillId="2" borderId="1" xfId="0" applyFont="1" applyFill="1" applyBorder="1"/>
    <xf numFmtId="164" fontId="27" fillId="0" borderId="1" xfId="0" applyNumberFormat="1" applyFont="1" applyBorder="1" applyAlignment="1">
      <alignment horizontal="center" vertical="center"/>
    </xf>
    <xf numFmtId="0" fontId="30" fillId="2" borderId="2" xfId="0" applyFont="1" applyFill="1" applyBorder="1" applyAlignment="1">
      <alignment horizontal="left" vertical="center" wrapText="1"/>
    </xf>
    <xf numFmtId="0" fontId="27" fillId="2" borderId="3" xfId="0" applyFont="1" applyFill="1" applyBorder="1" applyAlignment="1">
      <alignment horizontal="left" vertical="center"/>
    </xf>
    <xf numFmtId="2" fontId="27" fillId="0" borderId="1" xfId="0" applyNumberFormat="1" applyFont="1" applyBorder="1" applyAlignment="1">
      <alignment horizontal="center" vertical="center"/>
    </xf>
    <xf numFmtId="0" fontId="14" fillId="5" borderId="1" xfId="0" applyFont="1" applyFill="1" applyBorder="1"/>
    <xf numFmtId="1" fontId="31" fillId="5" borderId="2" xfId="0" applyNumberFormat="1" applyFont="1" applyFill="1" applyBorder="1" applyAlignment="1">
      <alignment horizontal="left" vertical="center"/>
    </xf>
    <xf numFmtId="0" fontId="14" fillId="5" borderId="3" xfId="0" applyFont="1" applyFill="1" applyBorder="1" applyAlignment="1">
      <alignment horizontal="center" vertical="center" wrapText="1"/>
    </xf>
    <xf numFmtId="0" fontId="38" fillId="0" borderId="24" xfId="0" applyFont="1" applyBorder="1" applyAlignment="1" applyProtection="1">
      <alignment horizontal="center" wrapText="1"/>
      <protection locked="0"/>
    </xf>
    <xf numFmtId="0" fontId="38" fillId="0" borderId="2" xfId="0" applyFont="1" applyBorder="1"/>
    <xf numFmtId="0" fontId="38" fillId="0" borderId="13" xfId="0" applyFont="1" applyBorder="1"/>
    <xf numFmtId="2" fontId="0" fillId="0" borderId="0" xfId="0" applyNumberFormat="1" applyAlignment="1">
      <alignment horizontal="left" vertical="center"/>
    </xf>
    <xf numFmtId="49" fontId="0" fillId="0" borderId="0" xfId="0" applyNumberFormat="1" applyAlignment="1">
      <alignment horizontal="center" vertical="center"/>
    </xf>
    <xf numFmtId="2" fontId="0" fillId="0" borderId="0" xfId="0" applyNumberFormat="1" applyAlignment="1">
      <alignment horizontal="center" vertical="center" wrapText="1"/>
    </xf>
    <xf numFmtId="49" fontId="0" fillId="0" borderId="0" xfId="0" applyNumberFormat="1" applyAlignment="1">
      <alignment horizontal="center" vertical="center" wrapText="1"/>
    </xf>
    <xf numFmtId="0" fontId="29" fillId="0" borderId="0" xfId="0" applyFont="1" applyAlignment="1">
      <alignment horizontal="center" vertical="center" wrapText="1"/>
    </xf>
    <xf numFmtId="0" fontId="0" fillId="0" borderId="0" xfId="0" applyAlignment="1">
      <alignment horizontal="center" vertical="center" wrapText="1"/>
    </xf>
    <xf numFmtId="0" fontId="44" fillId="5" borderId="23" xfId="0" applyFont="1" applyFill="1" applyBorder="1" applyAlignment="1">
      <alignment vertical="center"/>
    </xf>
    <xf numFmtId="0" fontId="45" fillId="5" borderId="20" xfId="0" applyFont="1" applyFill="1" applyBorder="1" applyAlignment="1">
      <alignment vertical="center"/>
    </xf>
    <xf numFmtId="0" fontId="38" fillId="5" borderId="20" xfId="0" applyFont="1" applyFill="1" applyBorder="1" applyAlignment="1">
      <alignment horizontal="left" vertical="center" wrapText="1"/>
    </xf>
    <xf numFmtId="0" fontId="38" fillId="5" borderId="20" xfId="0" applyFont="1" applyFill="1" applyBorder="1" applyAlignment="1" applyProtection="1">
      <alignment horizontal="center" wrapText="1"/>
      <protection locked="0"/>
    </xf>
    <xf numFmtId="2" fontId="38" fillId="5" borderId="4" xfId="0" applyNumberFormat="1" applyFont="1" applyFill="1" applyBorder="1" applyAlignment="1">
      <alignment horizontal="center" vertical="center" wrapText="1"/>
    </xf>
    <xf numFmtId="49" fontId="38" fillId="5" borderId="0" xfId="0" applyNumberFormat="1" applyFont="1" applyFill="1" applyAlignment="1">
      <alignment horizontal="center" vertical="center" wrapText="1"/>
    </xf>
    <xf numFmtId="2" fontId="38" fillId="5" borderId="0" xfId="0" applyNumberFormat="1" applyFont="1" applyFill="1" applyAlignment="1">
      <alignment horizontal="center" vertical="center" wrapText="1"/>
    </xf>
    <xf numFmtId="2" fontId="38" fillId="5" borderId="41" xfId="0" applyNumberFormat="1" applyFont="1" applyFill="1" applyBorder="1" applyAlignment="1">
      <alignment horizontal="center" vertical="center" wrapText="1"/>
    </xf>
    <xf numFmtId="0" fontId="44" fillId="5" borderId="20" xfId="0" applyFont="1" applyFill="1" applyBorder="1" applyAlignment="1">
      <alignment vertical="center"/>
    </xf>
    <xf numFmtId="0" fontId="38" fillId="5" borderId="20" xfId="0" applyFont="1" applyFill="1" applyBorder="1" applyAlignment="1">
      <alignment horizontal="center" vertical="center" wrapText="1"/>
    </xf>
    <xf numFmtId="0" fontId="38" fillId="0" borderId="60" xfId="0" applyFont="1" applyBorder="1" applyAlignment="1" applyProtection="1">
      <alignment horizontal="center" wrapText="1"/>
      <protection locked="0"/>
    </xf>
    <xf numFmtId="0" fontId="38" fillId="0" borderId="11" xfId="0" applyFont="1" applyBorder="1" applyAlignment="1" applyProtection="1">
      <alignment horizontal="center" wrapText="1"/>
      <protection locked="0"/>
    </xf>
    <xf numFmtId="2" fontId="38" fillId="0" borderId="11" xfId="0" applyNumberFormat="1" applyFont="1" applyBorder="1" applyAlignment="1">
      <alignment horizontal="center" vertical="center" wrapText="1"/>
    </xf>
    <xf numFmtId="49" fontId="39" fillId="0" borderId="11" xfId="0" quotePrefix="1" applyNumberFormat="1" applyFont="1" applyBorder="1" applyAlignment="1">
      <alignment horizontal="center" vertical="center" wrapText="1"/>
    </xf>
    <xf numFmtId="0" fontId="38" fillId="0" borderId="2" xfId="0" applyFont="1" applyBorder="1" applyAlignment="1" applyProtection="1">
      <alignment horizontal="center" wrapText="1"/>
      <protection locked="0"/>
    </xf>
    <xf numFmtId="2" fontId="38" fillId="0" borderId="2" xfId="0" applyNumberFormat="1" applyFont="1" applyBorder="1" applyAlignment="1">
      <alignment horizontal="center" vertical="center" wrapText="1"/>
    </xf>
    <xf numFmtId="49" fontId="39" fillId="0" borderId="2" xfId="0" quotePrefix="1" applyNumberFormat="1" applyFont="1" applyBorder="1" applyAlignment="1">
      <alignment horizontal="center" vertical="center" wrapText="1"/>
    </xf>
    <xf numFmtId="0" fontId="38" fillId="0" borderId="51" xfId="0" applyFont="1" applyBorder="1" applyAlignment="1" applyProtection="1">
      <alignment horizontal="center" wrapText="1"/>
      <protection locked="0"/>
    </xf>
    <xf numFmtId="2" fontId="38" fillId="0" borderId="51" xfId="0" applyNumberFormat="1" applyFont="1" applyBorder="1" applyAlignment="1">
      <alignment horizontal="center" vertical="center" wrapText="1"/>
    </xf>
    <xf numFmtId="49" fontId="39" fillId="0" borderId="51" xfId="0" quotePrefix="1" applyNumberFormat="1" applyFont="1" applyBorder="1" applyAlignment="1">
      <alignment horizontal="center" vertical="center" wrapText="1"/>
    </xf>
    <xf numFmtId="0" fontId="4" fillId="0" borderId="11" xfId="0" applyFont="1" applyBorder="1" applyAlignment="1" applyProtection="1">
      <alignment horizontal="center" wrapText="1"/>
      <protection locked="0"/>
    </xf>
    <xf numFmtId="0" fontId="4" fillId="0" borderId="51" xfId="0" applyFont="1" applyBorder="1" applyAlignment="1" applyProtection="1">
      <alignment horizontal="center" wrapText="1"/>
      <protection locked="0"/>
    </xf>
    <xf numFmtId="2" fontId="4" fillId="0" borderId="51" xfId="0" applyNumberFormat="1" applyFont="1" applyBorder="1" applyAlignment="1">
      <alignment horizontal="center" vertical="center" wrapText="1"/>
    </xf>
    <xf numFmtId="49" fontId="41" fillId="0" borderId="51" xfId="0" quotePrefix="1" applyNumberFormat="1" applyFont="1" applyBorder="1" applyAlignment="1">
      <alignment horizontal="center" vertical="center" wrapText="1"/>
    </xf>
    <xf numFmtId="49" fontId="38" fillId="0" borderId="11" xfId="0" applyNumberFormat="1" applyFont="1" applyBorder="1" applyAlignment="1">
      <alignment horizontal="center" vertical="center" wrapText="1"/>
    </xf>
    <xf numFmtId="49" fontId="38" fillId="0" borderId="51" xfId="0" applyNumberFormat="1" applyFont="1" applyBorder="1" applyAlignment="1">
      <alignment horizontal="center" vertical="center" wrapText="1"/>
    </xf>
    <xf numFmtId="2" fontId="4" fillId="0" borderId="11" xfId="0" applyNumberFormat="1" applyFont="1" applyBorder="1" applyAlignment="1">
      <alignment horizontal="center" vertical="center" wrapText="1"/>
    </xf>
    <xf numFmtId="2" fontId="4" fillId="0" borderId="2" xfId="0" applyNumberFormat="1" applyFont="1" applyBorder="1" applyAlignment="1">
      <alignment horizontal="center" vertical="center" wrapText="1"/>
    </xf>
    <xf numFmtId="0" fontId="38" fillId="5" borderId="37" xfId="0" applyFont="1" applyFill="1" applyBorder="1" applyAlignment="1">
      <alignment vertical="center" wrapText="1"/>
    </xf>
    <xf numFmtId="0" fontId="38" fillId="0" borderId="34" xfId="0" applyFont="1" applyBorder="1"/>
    <xf numFmtId="0" fontId="38" fillId="0" borderId="17" xfId="0" applyFont="1" applyBorder="1"/>
    <xf numFmtId="2" fontId="38" fillId="0" borderId="4" xfId="0" applyNumberFormat="1" applyFont="1" applyBorder="1" applyAlignment="1">
      <alignment horizontal="center" vertical="center" wrapText="1"/>
    </xf>
    <xf numFmtId="49" fontId="38" fillId="0" borderId="0" xfId="0" applyNumberFormat="1" applyFont="1" applyAlignment="1">
      <alignment horizontal="center" vertical="center" wrapText="1"/>
    </xf>
    <xf numFmtId="2" fontId="38" fillId="0" borderId="0" xfId="0" applyNumberFormat="1" applyFont="1" applyAlignment="1">
      <alignment horizontal="center" vertical="center" wrapText="1"/>
    </xf>
    <xf numFmtId="2" fontId="38" fillId="0" borderId="41" xfId="0" applyNumberFormat="1" applyFont="1" applyBorder="1" applyAlignment="1">
      <alignment horizontal="center" vertical="center" wrapText="1"/>
    </xf>
    <xf numFmtId="0" fontId="38" fillId="0" borderId="31" xfId="0" applyFont="1" applyBorder="1" applyAlignment="1" applyProtection="1">
      <alignment horizontal="center" wrapText="1"/>
      <protection locked="0"/>
    </xf>
    <xf numFmtId="2" fontId="38" fillId="0" borderId="63" xfId="0" applyNumberFormat="1" applyFont="1" applyBorder="1" applyAlignment="1">
      <alignment vertical="center"/>
    </xf>
    <xf numFmtId="49" fontId="38" fillId="0" borderId="39" xfId="0" applyNumberFormat="1" applyFont="1" applyBorder="1" applyAlignment="1">
      <alignment horizontal="center" vertical="center"/>
    </xf>
    <xf numFmtId="2" fontId="38" fillId="0" borderId="39" xfId="0" applyNumberFormat="1" applyFont="1" applyBorder="1" applyAlignment="1">
      <alignment horizontal="center" vertical="center" wrapText="1"/>
    </xf>
    <xf numFmtId="49" fontId="38" fillId="0" borderId="39" xfId="0" applyNumberFormat="1" applyFont="1" applyBorder="1" applyAlignment="1">
      <alignment horizontal="center" vertical="center" wrapText="1"/>
    </xf>
    <xf numFmtId="2" fontId="38" fillId="0" borderId="64" xfId="0" applyNumberFormat="1" applyFont="1" applyBorder="1" applyAlignment="1">
      <alignment horizontal="center" vertical="center" wrapText="1"/>
    </xf>
    <xf numFmtId="2" fontId="38" fillId="0" borderId="24" xfId="0" applyNumberFormat="1" applyFont="1" applyBorder="1" applyAlignment="1">
      <alignment vertical="center"/>
    </xf>
    <xf numFmtId="49" fontId="38" fillId="0" borderId="20" xfId="0" applyNumberFormat="1" applyFont="1" applyBorder="1" applyAlignment="1">
      <alignment horizontal="center" vertical="center"/>
    </xf>
    <xf numFmtId="2" fontId="38" fillId="0" borderId="20" xfId="0" applyNumberFormat="1" applyFont="1" applyBorder="1" applyAlignment="1">
      <alignment horizontal="center" vertical="center" wrapText="1"/>
    </xf>
    <xf numFmtId="49" fontId="38" fillId="0" borderId="20" xfId="0" applyNumberFormat="1" applyFont="1" applyBorder="1" applyAlignment="1">
      <alignment horizontal="center" vertical="center" wrapText="1"/>
    </xf>
    <xf numFmtId="2" fontId="38" fillId="0" borderId="21" xfId="0" applyNumberFormat="1" applyFont="1" applyBorder="1" applyAlignment="1">
      <alignment horizontal="center" vertical="center" wrapText="1"/>
    </xf>
    <xf numFmtId="2" fontId="38" fillId="0" borderId="24" xfId="0" applyNumberFormat="1" applyFont="1" applyBorder="1" applyAlignment="1">
      <alignment horizontal="center" vertical="center" wrapText="1"/>
    </xf>
    <xf numFmtId="2" fontId="38" fillId="0" borderId="1" xfId="0" applyNumberFormat="1" applyFont="1" applyBorder="1" applyAlignment="1">
      <alignment horizontal="center" vertical="center"/>
    </xf>
    <xf numFmtId="0" fontId="38" fillId="0" borderId="24" xfId="0" applyFont="1" applyBorder="1" applyAlignment="1">
      <alignment vertical="center"/>
    </xf>
    <xf numFmtId="0" fontId="38" fillId="0" borderId="20" xfId="0" applyFont="1" applyBorder="1" applyAlignment="1">
      <alignment vertical="center"/>
    </xf>
    <xf numFmtId="164" fontId="27" fillId="0" borderId="1" xfId="4" applyNumberFormat="1" applyFont="1" applyBorder="1" applyAlignment="1">
      <alignment horizontal="center" vertical="center"/>
    </xf>
    <xf numFmtId="0" fontId="27" fillId="0" borderId="2" xfId="4" applyFont="1" applyBorder="1" applyAlignment="1">
      <alignment horizontal="left" vertical="center"/>
    </xf>
    <xf numFmtId="0" fontId="27" fillId="0" borderId="3" xfId="4" applyFont="1" applyBorder="1" applyAlignment="1">
      <alignment horizontal="left" vertical="center" wrapText="1"/>
    </xf>
    <xf numFmtId="0" fontId="27" fillId="0" borderId="2" xfId="4" applyFont="1" applyBorder="1" applyAlignment="1">
      <alignment horizontal="center" vertical="center"/>
    </xf>
    <xf numFmtId="0" fontId="27" fillId="0" borderId="2" xfId="4" applyFont="1" applyBorder="1" applyAlignment="1">
      <alignment horizontal="center" vertical="center" wrapText="1"/>
    </xf>
    <xf numFmtId="0" fontId="27" fillId="0" borderId="2" xfId="4" applyFont="1" applyBorder="1" applyAlignment="1">
      <alignment horizontal="left" vertical="center" wrapText="1"/>
    </xf>
    <xf numFmtId="2" fontId="27" fillId="0" borderId="1" xfId="4" applyNumberFormat="1" applyFont="1" applyBorder="1" applyAlignment="1">
      <alignment horizontal="center" vertical="center"/>
    </xf>
    <xf numFmtId="0" fontId="46" fillId="0" borderId="3" xfId="4" applyFont="1" applyBorder="1" applyAlignment="1">
      <alignment horizontal="left" vertical="center" wrapText="1"/>
    </xf>
    <xf numFmtId="165" fontId="27" fillId="0" borderId="1" xfId="4" applyNumberFormat="1" applyFont="1" applyBorder="1" applyAlignment="1">
      <alignment horizontal="center" vertical="center"/>
    </xf>
    <xf numFmtId="0" fontId="35" fillId="0" borderId="2" xfId="4" applyFont="1" applyBorder="1" applyAlignment="1">
      <alignment horizontal="left" vertical="center"/>
    </xf>
    <xf numFmtId="0" fontId="35" fillId="0" borderId="2" xfId="4" applyFont="1" applyBorder="1" applyAlignment="1">
      <alignment horizontal="center" vertical="center"/>
    </xf>
    <xf numFmtId="0" fontId="35" fillId="0" borderId="2" xfId="4" applyFont="1" applyBorder="1" applyAlignment="1">
      <alignment horizontal="left" vertical="center" wrapText="1"/>
    </xf>
    <xf numFmtId="0" fontId="14" fillId="5" borderId="2" xfId="4" applyFont="1" applyFill="1" applyBorder="1" applyAlignment="1">
      <alignment horizontal="center" vertical="center" wrapText="1"/>
    </xf>
    <xf numFmtId="0" fontId="14" fillId="5" borderId="3" xfId="4" applyFont="1" applyFill="1" applyBorder="1" applyAlignment="1">
      <alignment horizontal="left" vertical="center"/>
    </xf>
    <xf numFmtId="0" fontId="31" fillId="5" borderId="3" xfId="4" applyFont="1" applyFill="1" applyBorder="1" applyAlignment="1">
      <alignment horizontal="left" vertical="center"/>
    </xf>
    <xf numFmtId="0" fontId="14" fillId="5" borderId="3" xfId="4" applyFont="1" applyFill="1" applyBorder="1" applyAlignment="1">
      <alignment horizontal="left" vertical="center" wrapText="1"/>
    </xf>
    <xf numFmtId="0" fontId="4" fillId="0" borderId="0" xfId="4" applyAlignment="1">
      <alignment vertical="center"/>
    </xf>
    <xf numFmtId="0" fontId="31" fillId="5" borderId="2" xfId="4" applyFont="1" applyFill="1" applyBorder="1" applyAlignment="1">
      <alignment horizontal="center" vertical="center"/>
    </xf>
    <xf numFmtId="14" fontId="31" fillId="5" borderId="2" xfId="4" applyNumberFormat="1" applyFont="1" applyFill="1" applyBorder="1" applyAlignment="1">
      <alignment horizontal="centerContinuous" vertical="center"/>
    </xf>
    <xf numFmtId="14" fontId="31" fillId="5" borderId="2" xfId="4" applyNumberFormat="1" applyFont="1" applyFill="1" applyBorder="1" applyAlignment="1">
      <alignment horizontal="center" vertical="center" wrapText="1"/>
    </xf>
    <xf numFmtId="14" fontId="31" fillId="5" borderId="1" xfId="4" applyNumberFormat="1" applyFont="1" applyFill="1" applyBorder="1" applyAlignment="1">
      <alignment horizontal="centerContinuous" vertical="center" wrapText="1"/>
    </xf>
    <xf numFmtId="14" fontId="31" fillId="5" borderId="3" xfId="4" applyNumberFormat="1" applyFont="1" applyFill="1" applyBorder="1" applyAlignment="1">
      <alignment horizontal="center" vertical="center"/>
    </xf>
    <xf numFmtId="0" fontId="31" fillId="5" borderId="1" xfId="4" applyFont="1" applyFill="1" applyBorder="1" applyAlignment="1">
      <alignment horizontal="center" vertical="center"/>
    </xf>
    <xf numFmtId="0" fontId="27" fillId="0" borderId="3" xfId="4" applyFont="1" applyBorder="1" applyAlignment="1">
      <alignment horizontal="left" vertical="center"/>
    </xf>
    <xf numFmtId="0" fontId="30" fillId="0" borderId="3" xfId="4" applyFont="1" applyBorder="1" applyAlignment="1">
      <alignment horizontal="left" vertical="center"/>
    </xf>
    <xf numFmtId="0" fontId="27" fillId="0" borderId="1" xfId="4" applyFont="1" applyBorder="1" applyAlignment="1">
      <alignment horizontal="right" vertical="center"/>
    </xf>
    <xf numFmtId="0" fontId="31" fillId="5" borderId="2" xfId="0" applyFont="1" applyFill="1" applyBorder="1" applyAlignment="1">
      <alignment vertical="center"/>
    </xf>
    <xf numFmtId="2" fontId="31" fillId="5" borderId="2" xfId="0" applyNumberFormat="1" applyFont="1" applyFill="1" applyBorder="1" applyAlignment="1">
      <alignment horizontal="center" vertical="center"/>
    </xf>
    <xf numFmtId="0" fontId="14" fillId="5" borderId="3" xfId="0" applyFont="1" applyFill="1" applyBorder="1" applyAlignment="1">
      <alignment horizontal="center" vertical="center"/>
    </xf>
    <xf numFmtId="2" fontId="14" fillId="5" borderId="3" xfId="0" applyNumberFormat="1" applyFont="1" applyFill="1" applyBorder="1" applyAlignment="1">
      <alignment horizontal="left" vertical="center"/>
    </xf>
    <xf numFmtId="49" fontId="31" fillId="5" borderId="1" xfId="0" applyNumberFormat="1" applyFont="1" applyFill="1" applyBorder="1" applyAlignment="1">
      <alignment horizontal="left" vertical="center" wrapText="1"/>
    </xf>
    <xf numFmtId="0" fontId="31" fillId="5" borderId="2" xfId="0" applyFont="1" applyFill="1" applyBorder="1" applyAlignment="1">
      <alignment horizontal="centerContinuous" vertical="center" wrapText="1"/>
    </xf>
    <xf numFmtId="0" fontId="31" fillId="5" borderId="3" xfId="0" applyFont="1" applyFill="1" applyBorder="1" applyAlignment="1">
      <alignment horizontal="centerContinuous" vertical="center" wrapText="1"/>
    </xf>
    <xf numFmtId="0" fontId="20" fillId="5" borderId="0" xfId="0" applyFont="1" applyFill="1" applyAlignment="1">
      <alignment horizontal="left" vertical="center" wrapText="1"/>
    </xf>
    <xf numFmtId="2" fontId="31" fillId="5" borderId="1" xfId="0" applyNumberFormat="1" applyFont="1" applyFill="1" applyBorder="1" applyAlignment="1">
      <alignment horizontal="center" vertical="center" wrapText="1"/>
    </xf>
    <xf numFmtId="49" fontId="27" fillId="0" borderId="1" xfId="0" applyNumberFormat="1" applyFont="1" applyBorder="1" applyAlignment="1">
      <alignment horizontal="center" vertical="center" wrapText="1"/>
    </xf>
    <xf numFmtId="0" fontId="14" fillId="5" borderId="2" xfId="0" applyFont="1" applyFill="1" applyBorder="1" applyAlignment="1">
      <alignment horizontal="center" vertical="center" wrapText="1"/>
    </xf>
    <xf numFmtId="2" fontId="31" fillId="5" borderId="2" xfId="0" applyNumberFormat="1" applyFont="1" applyFill="1" applyBorder="1" applyAlignment="1">
      <alignment horizontal="center" vertical="center" wrapText="1"/>
    </xf>
    <xf numFmtId="2" fontId="31" fillId="5" borderId="3" xfId="0" applyNumberFormat="1" applyFont="1" applyFill="1" applyBorder="1" applyAlignment="1">
      <alignment horizontal="center" vertical="center" wrapText="1"/>
    </xf>
    <xf numFmtId="0" fontId="46" fillId="0" borderId="3" xfId="4" applyFont="1" applyBorder="1" applyAlignment="1">
      <alignment horizontal="left" vertical="top" wrapText="1"/>
    </xf>
    <xf numFmtId="0" fontId="9" fillId="0" borderId="26" xfId="6" applyFont="1" applyBorder="1" applyAlignment="1">
      <alignment horizontal="right" vertical="center"/>
    </xf>
    <xf numFmtId="0" fontId="9" fillId="0" borderId="48" xfId="6" applyFont="1" applyBorder="1" applyAlignment="1">
      <alignment vertical="center"/>
    </xf>
    <xf numFmtId="0" fontId="9" fillId="0" borderId="27" xfId="6" applyFont="1" applyBorder="1" applyAlignment="1">
      <alignment vertical="center"/>
    </xf>
    <xf numFmtId="0" fontId="4" fillId="0" borderId="27" xfId="6" applyBorder="1" applyAlignment="1">
      <alignment vertical="center"/>
    </xf>
    <xf numFmtId="0" fontId="4" fillId="0" borderId="27" xfId="6" applyBorder="1" applyAlignment="1" applyProtection="1">
      <alignment vertical="center"/>
      <protection locked="0"/>
    </xf>
    <xf numFmtId="0" fontId="4" fillId="0" borderId="48" xfId="6" applyBorder="1" applyAlignment="1">
      <alignment vertical="center"/>
    </xf>
    <xf numFmtId="0" fontId="4" fillId="0" borderId="28" xfId="6" applyBorder="1" applyAlignment="1">
      <alignment vertical="center"/>
    </xf>
    <xf numFmtId="0" fontId="4" fillId="0" borderId="0" xfId="6" applyAlignment="1">
      <alignment vertical="center"/>
    </xf>
    <xf numFmtId="0" fontId="9" fillId="0" borderId="22" xfId="6" applyFont="1" applyBorder="1" applyAlignment="1">
      <alignment horizontal="right" vertical="center"/>
    </xf>
    <xf numFmtId="0" fontId="10" fillId="0" borderId="17" xfId="6" applyFont="1" applyBorder="1" applyAlignment="1">
      <alignment horizontal="left" vertical="center"/>
    </xf>
    <xf numFmtId="0" fontId="10" fillId="0" borderId="0" xfId="6" applyFont="1" applyAlignment="1">
      <alignment vertical="center"/>
    </xf>
    <xf numFmtId="0" fontId="23" fillId="0" borderId="0" xfId="6" applyFont="1" applyAlignment="1">
      <alignment horizontal="right" vertical="center"/>
    </xf>
    <xf numFmtId="0" fontId="4" fillId="0" borderId="17" xfId="6" applyBorder="1" applyAlignment="1">
      <alignment vertical="center"/>
    </xf>
    <xf numFmtId="0" fontId="4" fillId="0" borderId="37" xfId="6" applyBorder="1" applyAlignment="1">
      <alignment vertical="center"/>
    </xf>
    <xf numFmtId="0" fontId="10" fillId="0" borderId="17" xfId="6" applyFont="1" applyBorder="1" applyAlignment="1" applyProtection="1">
      <alignment horizontal="left" vertical="center"/>
      <protection locked="0"/>
    </xf>
    <xf numFmtId="0" fontId="10" fillId="0" borderId="17" xfId="6" applyFont="1" applyBorder="1" applyAlignment="1" applyProtection="1">
      <alignment horizontal="center" vertical="center"/>
      <protection locked="0"/>
    </xf>
    <xf numFmtId="0" fontId="9" fillId="0" borderId="0" xfId="6" applyFont="1" applyAlignment="1">
      <alignment vertical="center"/>
    </xf>
    <xf numFmtId="0" fontId="4" fillId="0" borderId="0" xfId="6" applyAlignment="1">
      <alignment horizontal="right" vertical="center"/>
    </xf>
    <xf numFmtId="0" fontId="9" fillId="0" borderId="0" xfId="6" applyFont="1" applyAlignment="1">
      <alignment horizontal="right" vertical="center"/>
    </xf>
    <xf numFmtId="0" fontId="10" fillId="0" borderId="17" xfId="6" applyFont="1" applyBorder="1" applyAlignment="1" applyProtection="1">
      <alignment vertical="center"/>
      <protection locked="0"/>
    </xf>
    <xf numFmtId="0" fontId="12" fillId="0" borderId="17" xfId="6" applyFont="1" applyBorder="1" applyAlignment="1" applyProtection="1">
      <alignment vertical="center"/>
      <protection locked="0"/>
    </xf>
    <xf numFmtId="0" fontId="4" fillId="0" borderId="17" xfId="6" applyBorder="1" applyAlignment="1" applyProtection="1">
      <alignment vertical="center"/>
      <protection locked="0"/>
    </xf>
    <xf numFmtId="0" fontId="49" fillId="0" borderId="17" xfId="6" applyFont="1" applyBorder="1" applyAlignment="1">
      <alignment vertical="center"/>
    </xf>
    <xf numFmtId="0" fontId="4" fillId="0" borderId="22" xfId="6" applyBorder="1" applyAlignment="1">
      <alignment vertical="center"/>
    </xf>
    <xf numFmtId="0" fontId="4" fillId="0" borderId="0" xfId="6" applyAlignment="1">
      <alignment horizontal="left" vertical="center"/>
    </xf>
    <xf numFmtId="0" fontId="4" fillId="0" borderId="0" xfId="6" applyAlignment="1" applyProtection="1">
      <alignment vertical="center"/>
      <protection locked="0"/>
    </xf>
    <xf numFmtId="14" fontId="4" fillId="0" borderId="17" xfId="6" applyNumberFormat="1" applyBorder="1" applyAlignment="1">
      <alignment vertical="center"/>
    </xf>
    <xf numFmtId="0" fontId="10" fillId="0" borderId="0" xfId="6" applyFont="1" applyAlignment="1" applyProtection="1">
      <alignment horizontal="center" vertical="center"/>
      <protection locked="0"/>
    </xf>
    <xf numFmtId="0" fontId="30" fillId="0" borderId="0" xfId="6" applyFont="1" applyAlignment="1">
      <alignment vertical="center"/>
    </xf>
    <xf numFmtId="0" fontId="4" fillId="0" borderId="53" xfId="6" applyBorder="1" applyAlignment="1">
      <alignment vertical="center"/>
    </xf>
    <xf numFmtId="0" fontId="4" fillId="0" borderId="1" xfId="6" applyBorder="1" applyAlignment="1">
      <alignment vertical="center"/>
    </xf>
    <xf numFmtId="0" fontId="4" fillId="0" borderId="1" xfId="6" applyBorder="1" applyAlignment="1">
      <alignment horizontal="left" vertical="center"/>
    </xf>
    <xf numFmtId="49" fontId="4" fillId="0" borderId="1" xfId="6" applyNumberFormat="1" applyBorder="1" applyAlignment="1">
      <alignment vertical="center"/>
    </xf>
    <xf numFmtId="0" fontId="25" fillId="0" borderId="0" xfId="0" applyFont="1" applyAlignment="1">
      <alignment vertical="center"/>
    </xf>
    <xf numFmtId="0" fontId="4" fillId="0" borderId="0" xfId="0" applyFont="1" applyAlignment="1">
      <alignment vertical="top" wrapText="1"/>
    </xf>
    <xf numFmtId="0" fontId="48" fillId="0" borderId="0" xfId="0" applyFont="1" applyAlignment="1">
      <alignment horizontal="left" vertical="top" wrapText="1"/>
    </xf>
    <xf numFmtId="0" fontId="4" fillId="0" borderId="13" xfId="0" applyFont="1" applyBorder="1" applyAlignment="1">
      <alignment horizontal="left" vertical="center" wrapText="1"/>
    </xf>
    <xf numFmtId="0" fontId="4" fillId="0" borderId="19" xfId="0" applyFont="1" applyBorder="1" applyAlignment="1">
      <alignment horizontal="left" vertical="center" wrapText="1"/>
    </xf>
    <xf numFmtId="0" fontId="4" fillId="0" borderId="0" xfId="0" applyFont="1" applyAlignment="1">
      <alignment vertical="top"/>
    </xf>
    <xf numFmtId="0" fontId="50" fillId="0" borderId="0" xfId="0" applyFont="1" applyAlignment="1">
      <alignment vertical="top"/>
    </xf>
    <xf numFmtId="0" fontId="4" fillId="3" borderId="0" xfId="0" applyFont="1" applyFill="1" applyAlignment="1">
      <alignment vertical="top"/>
    </xf>
    <xf numFmtId="0" fontId="4" fillId="3" borderId="0" xfId="0" applyFont="1" applyFill="1"/>
    <xf numFmtId="0" fontId="51" fillId="0" borderId="0" xfId="0" applyFont="1" applyAlignment="1">
      <alignment vertical="top"/>
    </xf>
    <xf numFmtId="0" fontId="51" fillId="0" borderId="0" xfId="0" applyFont="1" applyAlignment="1">
      <alignment vertical="top" wrapText="1"/>
    </xf>
    <xf numFmtId="0" fontId="50" fillId="0" borderId="0" xfId="0" applyFont="1" applyAlignment="1">
      <alignment vertical="center"/>
    </xf>
    <xf numFmtId="0" fontId="51" fillId="0" borderId="0" xfId="0" applyFont="1" applyAlignment="1">
      <alignment vertical="center" wrapText="1"/>
    </xf>
    <xf numFmtId="0" fontId="27" fillId="0" borderId="2" xfId="0" applyFont="1" applyBorder="1" applyAlignment="1">
      <alignment horizontal="center" vertical="center" wrapText="1"/>
    </xf>
    <xf numFmtId="0" fontId="27" fillId="0" borderId="2" xfId="0" applyFont="1" applyBorder="1" applyAlignment="1" applyProtection="1">
      <alignment horizontal="left" vertical="center" wrapText="1"/>
      <protection locked="0"/>
    </xf>
    <xf numFmtId="0" fontId="27" fillId="0" borderId="13" xfId="0" applyFont="1" applyBorder="1" applyAlignment="1">
      <alignment horizontal="center" vertical="center" wrapText="1"/>
    </xf>
    <xf numFmtId="2" fontId="13" fillId="0" borderId="1" xfId="0" applyNumberFormat="1" applyFont="1" applyBorder="1" applyAlignment="1">
      <alignment horizontal="center" vertical="center" wrapText="1"/>
    </xf>
    <xf numFmtId="0" fontId="13" fillId="0" borderId="2" xfId="0" applyFont="1" applyBorder="1" applyAlignment="1">
      <alignment horizontal="left" vertical="center" wrapText="1"/>
    </xf>
    <xf numFmtId="0" fontId="13" fillId="0" borderId="2" xfId="0" applyFont="1" applyBorder="1" applyAlignment="1">
      <alignment horizontal="center" vertical="center" wrapText="1"/>
    </xf>
    <xf numFmtId="0" fontId="27" fillId="0" borderId="11" xfId="0" applyFont="1" applyBorder="1" applyAlignment="1">
      <alignment horizontal="left" vertical="center" wrapText="1"/>
    </xf>
    <xf numFmtId="0" fontId="35" fillId="0" borderId="3" xfId="0" applyFont="1" applyBorder="1" applyAlignment="1" applyProtection="1">
      <alignment horizontal="left" vertical="center" wrapText="1"/>
      <protection locked="0"/>
    </xf>
    <xf numFmtId="0" fontId="27" fillId="0" borderId="3" xfId="0" applyFont="1" applyBorder="1" applyAlignment="1" applyProtection="1">
      <alignment horizontal="left" vertical="center"/>
      <protection locked="0"/>
    </xf>
    <xf numFmtId="0" fontId="27" fillId="0" borderId="51" xfId="0" applyFont="1" applyBorder="1" applyAlignment="1">
      <alignment horizontal="center" vertical="center"/>
    </xf>
    <xf numFmtId="1" fontId="27" fillId="0" borderId="11" xfId="0" applyNumberFormat="1" applyFont="1" applyBorder="1" applyAlignment="1">
      <alignment horizontal="center" vertical="center"/>
    </xf>
    <xf numFmtId="0" fontId="27" fillId="0" borderId="52" xfId="0" applyFont="1" applyBorder="1" applyAlignment="1">
      <alignment horizontal="left" vertical="center" wrapText="1"/>
    </xf>
    <xf numFmtId="0" fontId="27" fillId="0" borderId="58" xfId="0" applyFont="1" applyBorder="1" applyAlignment="1">
      <alignment horizontal="center" vertical="center"/>
    </xf>
    <xf numFmtId="0" fontId="38" fillId="0" borderId="2" xfId="0" applyFont="1" applyBorder="1" applyAlignment="1">
      <alignment horizontal="center" vertical="center" wrapText="1"/>
    </xf>
    <xf numFmtId="0" fontId="38" fillId="0" borderId="13" xfId="0" applyFont="1" applyBorder="1" applyAlignment="1">
      <alignment horizontal="center" vertical="center" wrapText="1"/>
    </xf>
    <xf numFmtId="0" fontId="31" fillId="5" borderId="1" xfId="4" applyFont="1" applyFill="1" applyBorder="1" applyAlignment="1">
      <alignment horizontal="right" vertical="center"/>
    </xf>
    <xf numFmtId="0" fontId="14" fillId="5" borderId="2" xfId="4" applyFont="1" applyFill="1" applyBorder="1" applyAlignment="1">
      <alignment horizontal="left" vertical="center"/>
    </xf>
    <xf numFmtId="0" fontId="14" fillId="5" borderId="3" xfId="0" applyFont="1" applyFill="1" applyBorder="1" applyAlignment="1">
      <alignment vertical="center" wrapText="1"/>
    </xf>
    <xf numFmtId="0" fontId="4" fillId="0" borderId="3" xfId="0" applyFont="1" applyBorder="1" applyAlignment="1">
      <alignment vertical="top" wrapText="1"/>
    </xf>
    <xf numFmtId="0" fontId="4" fillId="0" borderId="5" xfId="0" applyFont="1" applyBorder="1" applyAlignment="1">
      <alignment horizontal="left" vertical="center" wrapText="1"/>
    </xf>
    <xf numFmtId="0" fontId="4" fillId="0" borderId="5" xfId="0" applyFont="1" applyBorder="1" applyAlignment="1">
      <alignment horizontal="center" vertical="center"/>
    </xf>
    <xf numFmtId="0" fontId="4" fillId="0" borderId="9" xfId="0" applyFont="1" applyBorder="1" applyAlignment="1">
      <alignment horizontal="left" vertical="center" wrapText="1"/>
    </xf>
    <xf numFmtId="0" fontId="27" fillId="0" borderId="5" xfId="0" applyFont="1" applyBorder="1" applyAlignment="1">
      <alignment horizontal="left" vertical="center" wrapText="1"/>
    </xf>
    <xf numFmtId="0" fontId="27" fillId="0" borderId="5" xfId="0" applyFont="1" applyBorder="1" applyAlignment="1">
      <alignment horizontal="center" vertical="center"/>
    </xf>
    <xf numFmtId="0" fontId="27" fillId="0" borderId="5" xfId="0" applyFont="1" applyBorder="1" applyAlignment="1">
      <alignment horizontal="center" vertical="center" wrapText="1"/>
    </xf>
    <xf numFmtId="0" fontId="27" fillId="0" borderId="9" xfId="0" applyFont="1" applyBorder="1" applyAlignment="1">
      <alignment horizontal="left" vertical="center" wrapText="1"/>
    </xf>
    <xf numFmtId="0" fontId="34" fillId="0" borderId="3" xfId="0" applyFont="1" applyBorder="1" applyAlignment="1">
      <alignment horizontal="left" vertical="center" wrapText="1"/>
    </xf>
    <xf numFmtId="0" fontId="27" fillId="0" borderId="19" xfId="0" applyFont="1" applyBorder="1" applyAlignment="1">
      <alignment horizontal="left" vertical="center" wrapText="1"/>
    </xf>
    <xf numFmtId="49" fontId="27" fillId="0" borderId="16" xfId="0" applyNumberFormat="1" applyFont="1" applyBorder="1" applyAlignment="1">
      <alignment horizontal="center" vertical="center"/>
    </xf>
    <xf numFmtId="0" fontId="27" fillId="0" borderId="5" xfId="0" applyFont="1" applyBorder="1" applyAlignment="1" applyProtection="1">
      <alignment horizontal="center" vertical="center" wrapText="1"/>
      <protection locked="0"/>
    </xf>
    <xf numFmtId="0" fontId="27" fillId="0" borderId="2" xfId="5" applyFont="1" applyBorder="1" applyAlignment="1" applyProtection="1">
      <alignment horizontal="left" vertical="center" wrapText="1"/>
      <protection locked="0"/>
    </xf>
    <xf numFmtId="1" fontId="31" fillId="5" borderId="1" xfId="0" applyNumberFormat="1" applyFont="1" applyFill="1" applyBorder="1" applyAlignment="1">
      <alignment horizontal="center" vertical="center" wrapText="1"/>
    </xf>
    <xf numFmtId="0" fontId="27" fillId="0" borderId="3" xfId="5" applyFont="1" applyBorder="1" applyAlignment="1">
      <alignment horizontal="left" vertical="center" wrapText="1"/>
    </xf>
    <xf numFmtId="0" fontId="27" fillId="0" borderId="3" xfId="5" applyFont="1" applyBorder="1" applyAlignment="1">
      <alignment vertical="center" wrapText="1"/>
    </xf>
    <xf numFmtId="2" fontId="27" fillId="0" borderId="16" xfId="0" applyNumberFormat="1" applyFont="1" applyBorder="1" applyAlignment="1">
      <alignment horizontal="center" vertical="center"/>
    </xf>
    <xf numFmtId="0" fontId="27" fillId="0" borderId="5" xfId="0" applyFont="1" applyBorder="1" applyAlignment="1" applyProtection="1">
      <alignment horizontal="left" vertical="center" wrapText="1"/>
      <protection locked="0"/>
    </xf>
    <xf numFmtId="49" fontId="27" fillId="0" borderId="5" xfId="0" applyNumberFormat="1" applyFont="1" applyBorder="1" applyAlignment="1">
      <alignment horizontal="center" vertical="center"/>
    </xf>
    <xf numFmtId="0" fontId="27" fillId="0" borderId="9" xfId="0" applyFont="1" applyBorder="1" applyAlignment="1" applyProtection="1">
      <alignment horizontal="left" vertical="center" wrapText="1"/>
      <protection locked="0"/>
    </xf>
    <xf numFmtId="0" fontId="4" fillId="0" borderId="17" xfId="0" applyFont="1" applyBorder="1" applyAlignment="1">
      <alignment horizontal="left" vertical="top" wrapText="1"/>
    </xf>
    <xf numFmtId="0" fontId="4" fillId="0" borderId="0" xfId="0" applyFont="1" applyAlignment="1">
      <alignment horizontal="left" vertical="top" wrapText="1" indent="1"/>
    </xf>
    <xf numFmtId="49" fontId="27" fillId="0" borderId="1" xfId="0" quotePrefix="1" applyNumberFormat="1" applyFont="1" applyBorder="1" applyAlignment="1">
      <alignment horizontal="center" vertical="center" wrapText="1"/>
    </xf>
    <xf numFmtId="49" fontId="27" fillId="0" borderId="11" xfId="0" applyNumberFormat="1" applyFont="1" applyBorder="1" applyAlignment="1">
      <alignment horizontal="center" vertical="center" wrapText="1"/>
    </xf>
    <xf numFmtId="0" fontId="27" fillId="0" borderId="3" xfId="1" applyFont="1" applyFill="1" applyBorder="1" applyAlignment="1" applyProtection="1">
      <alignment horizontal="left" vertical="top" wrapText="1"/>
    </xf>
    <xf numFmtId="49" fontId="27" fillId="0" borderId="12" xfId="0" applyNumberFormat="1" applyFont="1" applyBorder="1" applyAlignment="1">
      <alignment horizontal="center" vertical="center" wrapText="1"/>
    </xf>
    <xf numFmtId="0" fontId="27" fillId="0" borderId="12" xfId="0" applyFont="1" applyBorder="1" applyAlignment="1">
      <alignment horizontal="center" vertical="center" wrapText="1"/>
    </xf>
    <xf numFmtId="49" fontId="27" fillId="0" borderId="16" xfId="0" applyNumberFormat="1" applyFont="1" applyBorder="1" applyAlignment="1">
      <alignment horizontal="center" vertical="center" wrapText="1"/>
    </xf>
    <xf numFmtId="0" fontId="27" fillId="0" borderId="9" xfId="0" applyFont="1" applyBorder="1" applyAlignment="1">
      <alignment horizontal="left" vertical="top" wrapText="1"/>
    </xf>
    <xf numFmtId="0" fontId="16" fillId="5" borderId="16" xfId="0" applyFont="1" applyFill="1" applyBorder="1" applyAlignment="1">
      <alignment vertical="center"/>
    </xf>
    <xf numFmtId="0" fontId="23" fillId="5" borderId="5" xfId="0" applyFont="1" applyFill="1" applyBorder="1" applyAlignment="1">
      <alignment horizontal="left" vertical="center"/>
    </xf>
    <xf numFmtId="0" fontId="0" fillId="5" borderId="5" xfId="0" applyFill="1" applyBorder="1" applyAlignment="1">
      <alignment horizontal="center" vertical="center"/>
    </xf>
    <xf numFmtId="0" fontId="4" fillId="5" borderId="9" xfId="0" applyFont="1" applyFill="1" applyBorder="1" applyAlignment="1">
      <alignment horizontal="left" vertical="center" wrapText="1"/>
    </xf>
    <xf numFmtId="0" fontId="20" fillId="5" borderId="3" xfId="0" applyFont="1" applyFill="1" applyBorder="1" applyAlignment="1">
      <alignment vertical="center"/>
    </xf>
    <xf numFmtId="164" fontId="0" fillId="0" borderId="16" xfId="0" applyNumberFormat="1" applyBorder="1" applyAlignment="1">
      <alignment horizontal="center" vertical="center"/>
    </xf>
    <xf numFmtId="0" fontId="0" fillId="0" borderId="5" xfId="0" applyBorder="1" applyAlignment="1">
      <alignment vertical="center"/>
    </xf>
    <xf numFmtId="0" fontId="0" fillId="0" borderId="5" xfId="0" applyBorder="1" applyAlignment="1">
      <alignment horizontal="center" vertical="center"/>
    </xf>
    <xf numFmtId="0" fontId="0" fillId="0" borderId="9" xfId="0" applyBorder="1" applyAlignment="1">
      <alignment vertical="center" wrapText="1"/>
    </xf>
    <xf numFmtId="2" fontId="13" fillId="0" borderId="16" xfId="0" applyNumberFormat="1" applyFont="1" applyBorder="1" applyAlignment="1">
      <alignment horizontal="center" vertical="center"/>
    </xf>
    <xf numFmtId="0" fontId="13" fillId="0" borderId="5" xfId="0" applyFont="1" applyBorder="1" applyAlignment="1">
      <alignment horizontal="left" vertical="center" wrapText="1"/>
    </xf>
    <xf numFmtId="0" fontId="13" fillId="0" borderId="5" xfId="0" applyFont="1" applyBorder="1" applyAlignment="1">
      <alignment horizontal="center" vertical="center" wrapText="1"/>
    </xf>
    <xf numFmtId="2" fontId="4" fillId="0" borderId="16" xfId="0" applyNumberFormat="1" applyFont="1" applyBorder="1" applyAlignment="1">
      <alignment horizontal="center" vertical="center"/>
    </xf>
    <xf numFmtId="0" fontId="13" fillId="0" borderId="5" xfId="0" applyFont="1" applyBorder="1" applyAlignment="1">
      <alignment horizontal="center" vertical="center"/>
    </xf>
    <xf numFmtId="0" fontId="13" fillId="0" borderId="19" xfId="0" applyFont="1" applyBorder="1" applyAlignment="1">
      <alignment horizontal="left" vertical="top" wrapText="1"/>
    </xf>
    <xf numFmtId="0" fontId="12" fillId="0" borderId="29" xfId="0" applyFont="1" applyBorder="1" applyAlignment="1">
      <alignment horizontal="left" vertical="top" wrapText="1"/>
    </xf>
    <xf numFmtId="0" fontId="13" fillId="0" borderId="29" xfId="0" applyFont="1" applyBorder="1" applyAlignment="1">
      <alignment horizontal="left" vertical="top" wrapText="1"/>
    </xf>
    <xf numFmtId="0" fontId="4" fillId="0" borderId="66" xfId="0" applyFont="1" applyBorder="1" applyAlignment="1">
      <alignment horizontal="left" vertical="top" wrapText="1"/>
    </xf>
    <xf numFmtId="165" fontId="13" fillId="0" borderId="16" xfId="0" applyNumberFormat="1" applyFont="1" applyBorder="1" applyAlignment="1">
      <alignment horizontal="center" vertical="center"/>
    </xf>
    <xf numFmtId="0" fontId="13" fillId="0" borderId="9" xfId="0" applyFont="1" applyBorder="1" applyAlignment="1">
      <alignment vertical="center" wrapText="1"/>
    </xf>
    <xf numFmtId="2" fontId="0" fillId="0" borderId="16" xfId="0" applyNumberFormat="1" applyBorder="1" applyAlignment="1">
      <alignment horizontal="center" vertical="center" wrapText="1"/>
    </xf>
    <xf numFmtId="0" fontId="0" fillId="0" borderId="5" xfId="0" applyBorder="1" applyAlignment="1">
      <alignment vertical="center" wrapText="1"/>
    </xf>
    <xf numFmtId="0" fontId="0" fillId="0" borderId="5" xfId="0" applyBorder="1" applyAlignment="1">
      <alignment horizontal="center" vertical="center" wrapText="1"/>
    </xf>
    <xf numFmtId="4" fontId="27" fillId="0" borderId="1" xfId="0" applyNumberFormat="1" applyFont="1" applyBorder="1" applyAlignment="1">
      <alignment horizontal="center" vertical="center" wrapText="1"/>
    </xf>
    <xf numFmtId="2" fontId="27" fillId="0" borderId="16" xfId="0" applyNumberFormat="1" applyFont="1" applyBorder="1" applyAlignment="1">
      <alignment horizontal="center" vertical="center" wrapText="1"/>
    </xf>
    <xf numFmtId="2" fontId="27" fillId="0" borderId="16" xfId="0" quotePrefix="1" applyNumberFormat="1" applyFont="1" applyBorder="1" applyAlignment="1">
      <alignment horizontal="center" vertical="center"/>
    </xf>
    <xf numFmtId="0" fontId="35" fillId="0" borderId="5" xfId="0" applyFont="1" applyBorder="1" applyAlignment="1">
      <alignment horizontal="left" vertical="center" wrapText="1"/>
    </xf>
    <xf numFmtId="0" fontId="35" fillId="0" borderId="5" xfId="0" applyFont="1" applyBorder="1" applyAlignment="1">
      <alignment horizontal="center" vertical="center"/>
    </xf>
    <xf numFmtId="0" fontId="35" fillId="0" borderId="5" xfId="0" applyFont="1" applyBorder="1" applyAlignment="1" applyProtection="1">
      <alignment horizontal="center" vertical="center" wrapText="1"/>
      <protection locked="0"/>
    </xf>
    <xf numFmtId="0" fontId="27" fillId="0" borderId="5" xfId="0" applyFont="1" applyBorder="1" applyAlignment="1">
      <alignment vertical="center" wrapText="1"/>
    </xf>
    <xf numFmtId="1" fontId="27" fillId="0" borderId="5" xfId="0" applyNumberFormat="1" applyFont="1" applyBorder="1" applyAlignment="1">
      <alignment vertical="center" wrapText="1"/>
    </xf>
    <xf numFmtId="1" fontId="27" fillId="0" borderId="5" xfId="0" applyNumberFormat="1" applyFont="1" applyBorder="1" applyAlignment="1">
      <alignment horizontal="center" vertical="center"/>
    </xf>
    <xf numFmtId="0" fontId="27" fillId="3" borderId="19" xfId="0" applyFont="1" applyFill="1" applyBorder="1" applyAlignment="1">
      <alignment horizontal="left" vertical="top" wrapText="1"/>
    </xf>
    <xf numFmtId="0" fontId="14" fillId="5" borderId="3" xfId="0" applyFont="1" applyFill="1" applyBorder="1"/>
    <xf numFmtId="0" fontId="27" fillId="0" borderId="16" xfId="0" applyFont="1" applyBorder="1" applyAlignment="1">
      <alignment horizontal="center" vertical="center"/>
    </xf>
    <xf numFmtId="0" fontId="27" fillId="0" borderId="5" xfId="0" applyFont="1" applyBorder="1" applyAlignment="1">
      <alignment horizontal="left" vertical="center"/>
    </xf>
    <xf numFmtId="0" fontId="4" fillId="0" borderId="24" xfId="0" applyFont="1" applyBorder="1" applyAlignment="1" applyProtection="1">
      <alignment vertical="center"/>
      <protection locked="0"/>
    </xf>
    <xf numFmtId="0" fontId="0" fillId="5" borderId="37" xfId="0" applyFill="1" applyBorder="1"/>
    <xf numFmtId="2" fontId="38" fillId="0" borderId="16" xfId="0" applyNumberFormat="1" applyFont="1" applyBorder="1" applyAlignment="1">
      <alignment horizontal="center" vertical="center"/>
    </xf>
    <xf numFmtId="0" fontId="38" fillId="0" borderId="40" xfId="0" applyFont="1" applyBorder="1" applyAlignment="1">
      <alignment vertical="center"/>
    </xf>
    <xf numFmtId="0" fontId="38" fillId="0" borderId="5" xfId="0" applyFont="1" applyBorder="1" applyAlignment="1">
      <alignment horizontal="center" vertical="center" wrapText="1"/>
    </xf>
    <xf numFmtId="0" fontId="38" fillId="0" borderId="45" xfId="0" applyFont="1" applyBorder="1" applyAlignment="1">
      <alignment vertical="center"/>
    </xf>
    <xf numFmtId="2" fontId="38" fillId="0" borderId="40" xfId="0" applyNumberFormat="1" applyFont="1" applyBorder="1" applyAlignment="1">
      <alignment horizontal="center" vertical="center" wrapText="1"/>
    </xf>
    <xf numFmtId="49" fontId="38" fillId="0" borderId="45" xfId="0" applyNumberFormat="1" applyFont="1" applyBorder="1" applyAlignment="1">
      <alignment horizontal="center" vertical="center"/>
    </xf>
    <xf numFmtId="2" fontId="38" fillId="0" borderId="45" xfId="0" applyNumberFormat="1" applyFont="1" applyBorder="1" applyAlignment="1">
      <alignment horizontal="center" vertical="center" wrapText="1"/>
    </xf>
    <xf numFmtId="49" fontId="38" fillId="0" borderId="45" xfId="0" applyNumberFormat="1" applyFont="1" applyBorder="1" applyAlignment="1">
      <alignment horizontal="center" vertical="center" wrapText="1"/>
    </xf>
    <xf numFmtId="2" fontId="38" fillId="0" borderId="46" xfId="0" applyNumberFormat="1" applyFont="1" applyBorder="1" applyAlignment="1">
      <alignment horizontal="center" vertical="center" wrapText="1"/>
    </xf>
    <xf numFmtId="165" fontId="27" fillId="0" borderId="16" xfId="4" applyNumberFormat="1" applyFont="1" applyBorder="1" applyAlignment="1">
      <alignment horizontal="center" vertical="center"/>
    </xf>
    <xf numFmtId="0" fontId="27" fillId="0" borderId="5" xfId="4" applyFont="1" applyBorder="1" applyAlignment="1">
      <alignment horizontal="left" vertical="center"/>
    </xf>
    <xf numFmtId="0" fontId="27" fillId="0" borderId="5" xfId="4" applyFont="1" applyBorder="1" applyAlignment="1">
      <alignment horizontal="center" vertical="center"/>
    </xf>
    <xf numFmtId="0" fontId="27" fillId="0" borderId="5" xfId="4" applyFont="1" applyBorder="1" applyAlignment="1">
      <alignment horizontal="center" vertical="center" wrapText="1"/>
    </xf>
    <xf numFmtId="0" fontId="27" fillId="0" borderId="9" xfId="4" applyFont="1" applyBorder="1" applyAlignment="1">
      <alignment horizontal="left" vertical="center" wrapText="1"/>
    </xf>
    <xf numFmtId="9" fontId="27" fillId="0" borderId="3" xfId="0" applyNumberFormat="1" applyFont="1" applyBorder="1" applyAlignment="1" applyProtection="1">
      <alignment horizontal="left" vertical="center" wrapText="1"/>
      <protection locked="0"/>
    </xf>
    <xf numFmtId="9" fontId="27" fillId="0" borderId="9" xfId="0" applyNumberFormat="1" applyFont="1" applyBorder="1" applyAlignment="1" applyProtection="1">
      <alignment horizontal="left" vertical="center" wrapText="1"/>
      <protection locked="0"/>
    </xf>
    <xf numFmtId="0" fontId="4" fillId="0" borderId="35" xfId="0" applyFont="1" applyBorder="1" applyAlignment="1">
      <alignment vertical="center" wrapText="1"/>
    </xf>
    <xf numFmtId="0" fontId="4" fillId="0" borderId="25" xfId="0" applyFont="1" applyBorder="1" applyAlignment="1">
      <alignment vertical="center" wrapText="1"/>
    </xf>
    <xf numFmtId="0" fontId="4" fillId="0" borderId="32" xfId="0" applyFont="1" applyBorder="1" applyAlignment="1">
      <alignment vertical="center" wrapText="1"/>
    </xf>
    <xf numFmtId="0" fontId="4" fillId="0" borderId="33" xfId="0" applyFont="1" applyBorder="1" applyAlignment="1">
      <alignment vertical="center" wrapText="1"/>
    </xf>
    <xf numFmtId="0" fontId="4" fillId="5" borderId="1"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3" xfId="0" applyFont="1" applyFill="1" applyBorder="1" applyAlignment="1">
      <alignment vertical="center" wrapText="1"/>
    </xf>
    <xf numFmtId="0" fontId="4" fillId="0" borderId="30" xfId="0" applyFont="1" applyBorder="1" applyAlignment="1" applyProtection="1">
      <alignment horizontal="left" vertical="center" wrapText="1"/>
      <protection locked="0"/>
    </xf>
    <xf numFmtId="0" fontId="4" fillId="0" borderId="19" xfId="0" applyFont="1" applyBorder="1" applyAlignment="1">
      <alignment horizontal="left" vertical="top" wrapText="1"/>
    </xf>
    <xf numFmtId="0" fontId="0" fillId="0" borderId="6" xfId="0" applyBorder="1" applyAlignment="1">
      <alignment wrapText="1"/>
    </xf>
    <xf numFmtId="0" fontId="0" fillId="0" borderId="2" xfId="0" applyBorder="1" applyAlignment="1">
      <alignment wrapText="1"/>
    </xf>
    <xf numFmtId="0" fontId="0" fillId="0" borderId="5" xfId="0" applyBorder="1" applyAlignment="1">
      <alignment wrapText="1"/>
    </xf>
    <xf numFmtId="0" fontId="4" fillId="0" borderId="0" xfId="1" applyFont="1" applyFill="1" applyAlignment="1" applyProtection="1"/>
    <xf numFmtId="49" fontId="4" fillId="0" borderId="0" xfId="0" applyNumberFormat="1" applyFont="1"/>
    <xf numFmtId="0" fontId="27" fillId="0" borderId="67" xfId="0" applyFont="1" applyBorder="1" applyAlignment="1">
      <alignment vertical="center" wrapText="1"/>
    </xf>
    <xf numFmtId="0" fontId="27" fillId="6" borderId="2" xfId="0" applyFont="1" applyFill="1" applyBorder="1" applyAlignment="1">
      <alignment horizontal="left" vertical="center" wrapText="1"/>
    </xf>
    <xf numFmtId="0" fontId="27" fillId="6" borderId="2" xfId="0" applyFont="1" applyFill="1" applyBorder="1" applyAlignment="1">
      <alignment horizontal="center" vertical="center" wrapText="1"/>
    </xf>
    <xf numFmtId="0" fontId="27" fillId="6" borderId="25" xfId="0" applyFont="1" applyFill="1" applyBorder="1" applyAlignment="1">
      <alignment vertical="top" wrapText="1"/>
    </xf>
    <xf numFmtId="0" fontId="27" fillId="0" borderId="13" xfId="0" applyFont="1" applyBorder="1" applyAlignment="1" applyProtection="1">
      <alignment horizontal="center" vertical="center" wrapText="1"/>
      <protection locked="0"/>
    </xf>
    <xf numFmtId="0" fontId="30" fillId="5" borderId="3" xfId="0" applyFont="1" applyFill="1" applyBorder="1" applyAlignment="1">
      <alignment horizontal="left" vertical="center" wrapText="1"/>
    </xf>
    <xf numFmtId="0" fontId="27" fillId="0" borderId="3" xfId="0" applyFont="1" applyBorder="1" applyAlignment="1">
      <alignment horizontal="left" vertical="top" wrapText="1"/>
    </xf>
    <xf numFmtId="164" fontId="27" fillId="0" borderId="1" xfId="0" quotePrefix="1" applyNumberFormat="1" applyFont="1" applyBorder="1" applyAlignment="1">
      <alignment horizontal="center" vertical="center" wrapText="1"/>
    </xf>
    <xf numFmtId="2" fontId="27" fillId="0" borderId="1" xfId="0" quotePrefix="1" applyNumberFormat="1" applyFont="1" applyBorder="1" applyAlignment="1">
      <alignment horizontal="center" vertical="center" wrapText="1"/>
    </xf>
    <xf numFmtId="2" fontId="27" fillId="0" borderId="15" xfId="0" quotePrefix="1" applyNumberFormat="1" applyFont="1" applyBorder="1" applyAlignment="1">
      <alignment horizontal="center" vertical="center" wrapText="1"/>
    </xf>
    <xf numFmtId="2" fontId="27" fillId="0" borderId="16" xfId="0" quotePrefix="1" applyNumberFormat="1" applyFont="1" applyBorder="1" applyAlignment="1">
      <alignment horizontal="center" vertical="center" wrapText="1"/>
    </xf>
    <xf numFmtId="164" fontId="27" fillId="0" borderId="15" xfId="5" quotePrefix="1" applyNumberFormat="1" applyFont="1" applyBorder="1" applyAlignment="1">
      <alignment horizontal="center" vertical="center" wrapText="1"/>
    </xf>
    <xf numFmtId="164" fontId="27" fillId="0" borderId="1" xfId="5" quotePrefix="1" applyNumberFormat="1" applyFont="1" applyBorder="1" applyAlignment="1">
      <alignment horizontal="center" vertical="center" wrapText="1"/>
    </xf>
    <xf numFmtId="0" fontId="31" fillId="5" borderId="24" xfId="0" applyFont="1" applyFill="1" applyBorder="1" applyAlignment="1">
      <alignment horizontal="center" vertical="center" wrapText="1"/>
    </xf>
    <xf numFmtId="0" fontId="4" fillId="0" borderId="1" xfId="0" applyFont="1" applyBorder="1" applyAlignment="1">
      <alignment horizontal="center" vertical="center"/>
    </xf>
    <xf numFmtId="0" fontId="4" fillId="0" borderId="2" xfId="0" applyFont="1" applyBorder="1" applyAlignment="1">
      <alignment horizontal="left" wrapText="1"/>
    </xf>
    <xf numFmtId="0" fontId="4" fillId="0" borderId="3" xfId="0" applyFont="1" applyBorder="1" applyAlignment="1">
      <alignment horizontal="left" wrapText="1"/>
    </xf>
    <xf numFmtId="0" fontId="4" fillId="0" borderId="2" xfId="0" applyFont="1" applyBorder="1" applyAlignment="1">
      <alignment horizontal="center" wrapText="1"/>
    </xf>
    <xf numFmtId="0" fontId="4" fillId="0" borderId="5" xfId="0" applyFont="1" applyBorder="1" applyAlignment="1">
      <alignment horizontal="center"/>
    </xf>
    <xf numFmtId="0" fontId="4" fillId="0" borderId="5" xfId="0" applyFont="1" applyBorder="1" applyAlignment="1">
      <alignment horizontal="left"/>
    </xf>
    <xf numFmtId="0" fontId="4" fillId="0" borderId="9" xfId="0" applyFont="1" applyBorder="1" applyAlignment="1">
      <alignment horizontal="left" wrapText="1"/>
    </xf>
    <xf numFmtId="0" fontId="27" fillId="0" borderId="12" xfId="0" quotePrefix="1" applyFont="1" applyBorder="1" applyAlignment="1">
      <alignment horizontal="center" vertical="center" wrapText="1"/>
    </xf>
    <xf numFmtId="0" fontId="4" fillId="0" borderId="2" xfId="0" applyFont="1" applyBorder="1" applyAlignment="1">
      <alignment wrapText="1"/>
    </xf>
    <xf numFmtId="0" fontId="4" fillId="0" borderId="0" xfId="0" applyFont="1" applyAlignment="1">
      <alignment horizontal="center" wrapText="1"/>
    </xf>
    <xf numFmtId="0" fontId="27" fillId="0" borderId="13" xfId="5" applyFont="1" applyBorder="1" applyAlignment="1">
      <alignment vertical="center" wrapText="1"/>
    </xf>
    <xf numFmtId="0" fontId="27" fillId="0" borderId="19" xfId="5" applyFont="1" applyBorder="1" applyAlignment="1">
      <alignment horizontal="left" vertical="center" wrapText="1"/>
    </xf>
    <xf numFmtId="2" fontId="9" fillId="5" borderId="16" xfId="0" applyNumberFormat="1" applyFont="1" applyFill="1" applyBorder="1" applyAlignment="1">
      <alignment horizontal="center" vertical="center" wrapText="1"/>
    </xf>
    <xf numFmtId="2" fontId="4" fillId="0" borderId="0" xfId="0" applyNumberFormat="1" applyFont="1" applyAlignment="1">
      <alignment horizontal="center"/>
    </xf>
    <xf numFmtId="0" fontId="9" fillId="5" borderId="0" xfId="0" applyFont="1" applyFill="1" applyAlignment="1">
      <alignment horizontal="center" vertical="top" wrapText="1"/>
    </xf>
    <xf numFmtId="0" fontId="27" fillId="0" borderId="0" xfId="0" applyFont="1" applyAlignment="1">
      <alignment horizontal="left" vertical="top" wrapText="1"/>
    </xf>
    <xf numFmtId="0" fontId="27" fillId="0" borderId="0" xfId="0" applyFont="1" applyAlignment="1">
      <alignment horizontal="center" vertical="top" wrapText="1"/>
    </xf>
    <xf numFmtId="0" fontId="4" fillId="0" borderId="0" xfId="0" applyFont="1" applyAlignment="1">
      <alignment vertical="center" wrapText="1"/>
    </xf>
    <xf numFmtId="0" fontId="4" fillId="0" borderId="0" xfId="0" applyFont="1" applyAlignment="1">
      <alignment wrapText="1"/>
    </xf>
    <xf numFmtId="0" fontId="27" fillId="0" borderId="11" xfId="0" applyFont="1" applyBorder="1" applyAlignment="1" applyProtection="1">
      <alignment horizontal="center" vertical="center" wrapText="1"/>
      <protection locked="0"/>
    </xf>
    <xf numFmtId="164" fontId="31" fillId="5" borderId="1" xfId="0" applyNumberFormat="1" applyFont="1" applyFill="1" applyBorder="1" applyAlignment="1">
      <alignment horizontal="center" vertical="center" wrapText="1"/>
    </xf>
    <xf numFmtId="164" fontId="27" fillId="0" borderId="15" xfId="0" quotePrefix="1" applyNumberFormat="1" applyFont="1" applyBorder="1" applyAlignment="1">
      <alignment horizontal="center" vertical="center"/>
    </xf>
    <xf numFmtId="1" fontId="27" fillId="0" borderId="11" xfId="0" applyNumberFormat="1" applyFont="1" applyBorder="1" applyAlignment="1">
      <alignment horizontal="left" vertical="center" wrapText="1"/>
    </xf>
    <xf numFmtId="1" fontId="27" fillId="0" borderId="2" xfId="0" applyNumberFormat="1" applyFont="1" applyBorder="1" applyAlignment="1">
      <alignment horizontal="left" vertical="center" wrapText="1"/>
    </xf>
    <xf numFmtId="0" fontId="27" fillId="0" borderId="51" xfId="0" applyFont="1" applyBorder="1" applyAlignment="1">
      <alignment horizontal="left" vertical="center" wrapText="1"/>
    </xf>
    <xf numFmtId="0" fontId="14" fillId="0" borderId="0" xfId="0" applyFont="1" applyAlignment="1">
      <alignment vertical="center"/>
    </xf>
    <xf numFmtId="0" fontId="4" fillId="5" borderId="3" xfId="0" applyFont="1" applyFill="1" applyBorder="1" applyAlignment="1" applyProtection="1">
      <alignment horizontal="left" vertical="center" wrapText="1"/>
      <protection locked="0"/>
    </xf>
    <xf numFmtId="164" fontId="4" fillId="0" borderId="0" xfId="0" applyNumberFormat="1" applyFont="1" applyAlignment="1">
      <alignment horizontal="left"/>
    </xf>
    <xf numFmtId="164" fontId="4" fillId="0" borderId="0" xfId="0" applyNumberFormat="1" applyFont="1"/>
    <xf numFmtId="0" fontId="4" fillId="3" borderId="0" xfId="0" applyFont="1" applyFill="1" applyAlignment="1">
      <alignment vertical="center"/>
    </xf>
    <xf numFmtId="49" fontId="4" fillId="0" borderId="0" xfId="0" applyNumberFormat="1" applyFont="1" applyAlignment="1">
      <alignment horizontal="center" vertical="center" wrapText="1"/>
    </xf>
    <xf numFmtId="0" fontId="4" fillId="0" borderId="0" xfId="0" applyFont="1" applyAlignment="1">
      <alignment horizontal="center" vertical="top" wrapText="1"/>
    </xf>
    <xf numFmtId="0" fontId="27" fillId="0" borderId="54" xfId="0" applyFont="1" applyBorder="1" applyAlignment="1" applyProtection="1">
      <alignment horizontal="center" vertical="center" wrapText="1"/>
      <protection locked="0"/>
    </xf>
    <xf numFmtId="0" fontId="27" fillId="0" borderId="30" xfId="0" applyFont="1" applyBorder="1" applyAlignment="1" applyProtection="1">
      <alignment horizontal="left" vertical="center" wrapText="1"/>
      <protection locked="0"/>
    </xf>
    <xf numFmtId="0" fontId="27" fillId="0" borderId="30" xfId="0" applyFont="1" applyBorder="1" applyAlignment="1" applyProtection="1">
      <alignment vertical="center" wrapText="1"/>
      <protection locked="0"/>
    </xf>
    <xf numFmtId="0" fontId="27" fillId="5" borderId="3" xfId="0" applyFont="1"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pplyProtection="1">
      <alignment vertical="center"/>
      <protection locked="0"/>
    </xf>
    <xf numFmtId="0" fontId="52" fillId="0" borderId="0" xfId="0" applyFont="1" applyAlignment="1">
      <alignment vertical="center" wrapText="1"/>
    </xf>
    <xf numFmtId="0" fontId="53" fillId="0" borderId="3" xfId="0" applyFont="1" applyBorder="1" applyAlignment="1" applyProtection="1">
      <alignment horizontal="left" vertical="center" wrapText="1"/>
      <protection locked="0"/>
    </xf>
    <xf numFmtId="0" fontId="4" fillId="0" borderId="2" xfId="0" applyFont="1" applyBorder="1" applyAlignment="1">
      <alignment horizontal="left" vertical="center"/>
    </xf>
    <xf numFmtId="0" fontId="53" fillId="0" borderId="0" xfId="0" applyFont="1" applyAlignment="1">
      <alignment horizontal="left" vertical="center" wrapText="1"/>
    </xf>
    <xf numFmtId="0" fontId="57" fillId="0" borderId="0" xfId="1" applyFont="1" applyFill="1" applyAlignment="1" applyProtection="1"/>
    <xf numFmtId="0" fontId="57" fillId="0" borderId="0" xfId="1" applyFont="1" applyFill="1" applyBorder="1" applyAlignment="1" applyProtection="1"/>
    <xf numFmtId="49" fontId="30" fillId="0" borderId="8" xfId="0" quotePrefix="1" applyNumberFormat="1" applyFont="1" applyBorder="1" applyAlignment="1">
      <alignment horizontal="center" vertical="center"/>
    </xf>
    <xf numFmtId="0" fontId="30" fillId="0" borderId="6" xfId="0" applyFont="1" applyBorder="1" applyAlignment="1">
      <alignment horizontal="left" vertical="center" wrapText="1"/>
    </xf>
    <xf numFmtId="0" fontId="30" fillId="0" borderId="6" xfId="0" applyFont="1" applyBorder="1" applyAlignment="1">
      <alignment horizontal="center" vertical="center"/>
    </xf>
    <xf numFmtId="0" fontId="30" fillId="0" borderId="6" xfId="0" applyFont="1" applyBorder="1" applyAlignment="1" applyProtection="1">
      <alignment horizontal="center" vertical="center" wrapText="1"/>
      <protection locked="0"/>
    </xf>
    <xf numFmtId="0" fontId="30" fillId="0" borderId="7" xfId="0" applyFont="1" applyBorder="1" applyAlignment="1">
      <alignment horizontal="left" vertical="center" wrapText="1"/>
    </xf>
    <xf numFmtId="0" fontId="4" fillId="0" borderId="0" xfId="0" applyFont="1" applyAlignment="1">
      <alignment horizontal="justify" vertical="center"/>
    </xf>
    <xf numFmtId="0" fontId="4" fillId="0" borderId="71" xfId="0" applyFont="1" applyBorder="1" applyAlignment="1">
      <alignment horizontal="justify" vertical="center"/>
    </xf>
    <xf numFmtId="0" fontId="4" fillId="0" borderId="0" xfId="0" applyFont="1" applyAlignment="1">
      <alignment horizontal="left"/>
    </xf>
    <xf numFmtId="0" fontId="4" fillId="0" borderId="0" xfId="0" applyFont="1" applyAlignment="1">
      <alignment horizontal="left" vertical="center" indent="1"/>
    </xf>
    <xf numFmtId="0" fontId="55" fillId="0" borderId="2" xfId="4" applyFont="1" applyBorder="1" applyAlignment="1">
      <alignment horizontal="center" vertical="center" wrapText="1"/>
    </xf>
    <xf numFmtId="49" fontId="30" fillId="0" borderId="1" xfId="0" quotePrefix="1" applyNumberFormat="1" applyFont="1" applyBorder="1" applyAlignment="1">
      <alignment horizontal="center" vertical="center"/>
    </xf>
    <xf numFmtId="0" fontId="30" fillId="0" borderId="2" xfId="0" applyFont="1" applyBorder="1" applyAlignment="1">
      <alignment horizontal="left" vertical="center" wrapText="1"/>
    </xf>
    <xf numFmtId="164" fontId="4" fillId="0" borderId="1" xfId="0" applyNumberFormat="1" applyFont="1" applyBorder="1" applyAlignment="1" applyProtection="1">
      <alignment horizontal="center" vertical="center" wrapText="1"/>
      <protection locked="0"/>
    </xf>
    <xf numFmtId="164" fontId="4" fillId="0" borderId="1" xfId="0" quotePrefix="1" applyNumberFormat="1" applyFont="1" applyBorder="1" applyAlignment="1" applyProtection="1">
      <alignment horizontal="center" vertical="center" wrapText="1"/>
      <protection locked="0"/>
    </xf>
    <xf numFmtId="2" fontId="4" fillId="0" borderId="1" xfId="0" quotePrefix="1" applyNumberFormat="1" applyFont="1" applyBorder="1" applyAlignment="1" applyProtection="1">
      <alignment horizontal="center" vertical="center" wrapText="1"/>
      <protection locked="0"/>
    </xf>
    <xf numFmtId="2" fontId="27" fillId="0" borderId="1" xfId="5" quotePrefix="1" applyNumberFormat="1" applyFont="1" applyBorder="1" applyAlignment="1">
      <alignment horizontal="center" vertical="center" wrapText="1"/>
    </xf>
    <xf numFmtId="2" fontId="27" fillId="0" borderId="1" xfId="5" applyNumberFormat="1" applyFont="1" applyBorder="1" applyAlignment="1">
      <alignment horizontal="center" vertical="center" wrapText="1"/>
    </xf>
    <xf numFmtId="0" fontId="32" fillId="0" borderId="3" xfId="0" applyFont="1" applyBorder="1" applyAlignment="1">
      <alignment horizontal="left" vertical="center" wrapText="1"/>
    </xf>
    <xf numFmtId="164" fontId="27" fillId="0" borderId="50" xfId="0" quotePrefix="1" applyNumberFormat="1" applyFont="1" applyBorder="1" applyAlignment="1">
      <alignment horizontal="center" vertical="center"/>
    </xf>
    <xf numFmtId="0" fontId="27" fillId="0" borderId="2" xfId="5" applyFont="1" applyBorder="1" applyAlignment="1">
      <alignment horizontal="left" vertical="center" wrapText="1"/>
    </xf>
    <xf numFmtId="0" fontId="27" fillId="0" borderId="2" xfId="5" applyFont="1" applyBorder="1" applyAlignment="1">
      <alignment vertical="center" wrapText="1"/>
    </xf>
    <xf numFmtId="0" fontId="27" fillId="0" borderId="29" xfId="0" applyFont="1" applyBorder="1" applyAlignment="1">
      <alignment horizontal="left" vertical="center" wrapText="1"/>
    </xf>
    <xf numFmtId="164" fontId="27" fillId="0" borderId="1" xfId="0" applyNumberFormat="1" applyFont="1" applyBorder="1" applyAlignment="1">
      <alignment horizontal="center" vertical="center" wrapText="1"/>
    </xf>
    <xf numFmtId="49" fontId="27" fillId="0" borderId="1" xfId="0" applyNumberFormat="1" applyFont="1" applyBorder="1" applyAlignment="1">
      <alignment horizontal="center" vertical="center"/>
    </xf>
    <xf numFmtId="0" fontId="20" fillId="0" borderId="0" xfId="0" applyFont="1" applyAlignment="1">
      <alignment horizontal="center"/>
    </xf>
    <xf numFmtId="0" fontId="59" fillId="0" borderId="48" xfId="6" quotePrefix="1" applyFont="1" applyBorder="1" applyAlignment="1" applyProtection="1">
      <alignment vertical="center"/>
      <protection locked="0"/>
    </xf>
    <xf numFmtId="0" fontId="59" fillId="0" borderId="17" xfId="6" applyFont="1" applyBorder="1" applyAlignment="1">
      <alignment horizontal="left" vertical="center"/>
    </xf>
    <xf numFmtId="0" fontId="59" fillId="0" borderId="17" xfId="6" applyFont="1" applyBorder="1" applyAlignment="1" applyProtection="1">
      <alignment horizontal="left" vertical="center"/>
      <protection locked="0"/>
    </xf>
    <xf numFmtId="0" fontId="59" fillId="0" borderId="48" xfId="6" quotePrefix="1" applyFont="1" applyBorder="1" applyAlignment="1">
      <alignment vertical="center"/>
    </xf>
    <xf numFmtId="0" fontId="59" fillId="0" borderId="17" xfId="6" applyFont="1" applyBorder="1" applyAlignment="1">
      <alignment vertical="center"/>
    </xf>
    <xf numFmtId="49" fontId="22" fillId="0" borderId="0" xfId="0" applyNumberFormat="1" applyFont="1" applyAlignment="1">
      <alignment horizontal="center"/>
    </xf>
    <xf numFmtId="2" fontId="27" fillId="0" borderId="65" xfId="0" quotePrefix="1" applyNumberFormat="1" applyFont="1" applyBorder="1" applyAlignment="1">
      <alignment horizontal="center" vertical="center"/>
    </xf>
    <xf numFmtId="0" fontId="31" fillId="5" borderId="15" xfId="0" applyFont="1" applyFill="1" applyBorder="1" applyAlignment="1">
      <alignment horizontal="centerContinuous" vertical="center" wrapText="1"/>
    </xf>
    <xf numFmtId="0" fontId="31" fillId="5" borderId="11" xfId="0" applyFont="1" applyFill="1" applyBorder="1" applyAlignment="1">
      <alignment horizontal="centerContinuous" vertical="center"/>
    </xf>
    <xf numFmtId="0" fontId="31" fillId="5" borderId="30" xfId="0" applyFont="1" applyFill="1" applyBorder="1" applyAlignment="1">
      <alignment horizontal="center" vertical="center"/>
    </xf>
    <xf numFmtId="0" fontId="32" fillId="0" borderId="9" xfId="0" applyFont="1" applyBorder="1" applyAlignment="1">
      <alignment horizontal="left" vertical="center" wrapText="1"/>
    </xf>
    <xf numFmtId="49" fontId="31" fillId="5" borderId="1" xfId="0" applyNumberFormat="1" applyFont="1" applyFill="1" applyBorder="1" applyAlignment="1">
      <alignment horizontal="center" vertical="center" wrapText="1"/>
    </xf>
    <xf numFmtId="0" fontId="30" fillId="5" borderId="3" xfId="0" applyFont="1" applyFill="1" applyBorder="1" applyAlignment="1">
      <alignment horizontal="center" vertical="center" wrapText="1"/>
    </xf>
    <xf numFmtId="0" fontId="30" fillId="5" borderId="20" xfId="0" applyFont="1" applyFill="1" applyBorder="1" applyAlignment="1">
      <alignment vertical="center" wrapText="1"/>
    </xf>
    <xf numFmtId="0" fontId="30" fillId="5" borderId="25" xfId="0" applyFont="1" applyFill="1" applyBorder="1" applyAlignment="1">
      <alignment vertical="center" wrapText="1"/>
    </xf>
    <xf numFmtId="0" fontId="17" fillId="5" borderId="20" xfId="0" applyFont="1" applyFill="1" applyBorder="1" applyAlignment="1">
      <alignment vertical="center"/>
    </xf>
    <xf numFmtId="49" fontId="31" fillId="5" borderId="23" xfId="0" applyNumberFormat="1" applyFont="1" applyFill="1" applyBorder="1" applyAlignment="1">
      <alignment vertical="center" wrapText="1"/>
    </xf>
    <xf numFmtId="0" fontId="31" fillId="5" borderId="21" xfId="0" applyFont="1" applyFill="1" applyBorder="1" applyAlignment="1">
      <alignment vertical="center" wrapText="1"/>
    </xf>
    <xf numFmtId="0" fontId="31" fillId="5" borderId="20" xfId="0" applyFont="1" applyFill="1" applyBorder="1" applyAlignment="1">
      <alignment vertical="center"/>
    </xf>
    <xf numFmtId="0" fontId="27" fillId="5" borderId="24" xfId="0" applyFont="1" applyFill="1" applyBorder="1" applyAlignment="1" applyProtection="1">
      <alignment horizontal="center" vertical="center" wrapText="1"/>
      <protection locked="0"/>
    </xf>
    <xf numFmtId="0" fontId="27" fillId="5" borderId="25" xfId="0" applyFont="1" applyFill="1" applyBorder="1" applyAlignment="1">
      <alignment horizontal="left" vertical="center" wrapText="1"/>
    </xf>
    <xf numFmtId="0" fontId="4" fillId="0" borderId="0" xfId="6" applyAlignment="1">
      <alignment horizontal="left" vertical="center" wrapText="1"/>
    </xf>
    <xf numFmtId="164" fontId="27" fillId="0" borderId="12" xfId="0" quotePrefix="1" applyNumberFormat="1" applyFont="1" applyBorder="1" applyAlignment="1">
      <alignment horizontal="center" vertical="center" wrapText="1"/>
    </xf>
    <xf numFmtId="0" fontId="61" fillId="3" borderId="0" xfId="0" applyFont="1" applyFill="1" applyAlignment="1">
      <alignment vertical="center"/>
    </xf>
    <xf numFmtId="0" fontId="27" fillId="0" borderId="0" xfId="5" applyFont="1" applyAlignment="1">
      <alignment vertical="center"/>
    </xf>
    <xf numFmtId="0" fontId="62" fillId="4" borderId="26" xfId="5" applyFont="1" applyFill="1" applyBorder="1" applyAlignment="1">
      <alignment horizontal="center" vertical="center"/>
    </xf>
    <xf numFmtId="0" fontId="62" fillId="4" borderId="27" xfId="5" applyFont="1" applyFill="1" applyBorder="1" applyAlignment="1">
      <alignment horizontal="center" vertical="center"/>
    </xf>
    <xf numFmtId="0" fontId="27" fillId="5" borderId="24" xfId="5" applyFont="1" applyFill="1" applyBorder="1" applyAlignment="1">
      <alignment horizontal="right" vertical="center" wrapText="1"/>
    </xf>
    <xf numFmtId="0" fontId="27" fillId="5" borderId="21" xfId="5" applyFont="1" applyFill="1" applyBorder="1" applyAlignment="1">
      <alignment horizontal="left" vertical="center"/>
    </xf>
    <xf numFmtId="0" fontId="27" fillId="5" borderId="21" xfId="5" applyFont="1" applyFill="1" applyBorder="1" applyAlignment="1">
      <alignment horizontal="left" vertical="center" wrapText="1"/>
    </xf>
    <xf numFmtId="0" fontId="27" fillId="6" borderId="24" xfId="5" applyFont="1" applyFill="1" applyBorder="1" applyAlignment="1">
      <alignment horizontal="right" vertical="center" wrapText="1"/>
    </xf>
    <xf numFmtId="0" fontId="27" fillId="6" borderId="21" xfId="5" applyFont="1" applyFill="1" applyBorder="1" applyAlignment="1">
      <alignment horizontal="left" vertical="center"/>
    </xf>
    <xf numFmtId="0" fontId="30" fillId="6" borderId="45" xfId="5" applyFont="1" applyFill="1" applyBorder="1" applyAlignment="1">
      <alignment horizontal="right" vertical="center"/>
    </xf>
    <xf numFmtId="0" fontId="30" fillId="6" borderId="46" xfId="5" applyFont="1" applyFill="1" applyBorder="1" applyAlignment="1">
      <alignment horizontal="center" vertical="center"/>
    </xf>
    <xf numFmtId="0" fontId="30" fillId="6" borderId="67" xfId="5" applyFont="1" applyFill="1" applyBorder="1" applyAlignment="1">
      <alignment horizontal="center" vertical="center"/>
    </xf>
    <xf numFmtId="0" fontId="27" fillId="6" borderId="0" xfId="5" applyFont="1" applyFill="1" applyAlignment="1">
      <alignment vertical="center"/>
    </xf>
    <xf numFmtId="0" fontId="27" fillId="6" borderId="31" xfId="5" applyFont="1" applyFill="1" applyBorder="1" applyAlignment="1">
      <alignment horizontal="left" vertical="center" indent="8"/>
    </xf>
    <xf numFmtId="0" fontId="27" fillId="6" borderId="36" xfId="5" applyFont="1" applyFill="1" applyBorder="1" applyAlignment="1">
      <alignment vertical="center"/>
    </xf>
    <xf numFmtId="0" fontId="27" fillId="6" borderId="4" xfId="5" applyFont="1" applyFill="1" applyBorder="1" applyAlignment="1">
      <alignment horizontal="left" vertical="center" indent="8"/>
    </xf>
    <xf numFmtId="0" fontId="27" fillId="6" borderId="41" xfId="5" applyFont="1" applyFill="1" applyBorder="1" applyAlignment="1">
      <alignment vertical="center"/>
    </xf>
    <xf numFmtId="0" fontId="27" fillId="6" borderId="34" xfId="5" applyFont="1" applyFill="1" applyBorder="1" applyAlignment="1">
      <alignment horizontal="left" vertical="center" indent="8"/>
    </xf>
    <xf numFmtId="0" fontId="27" fillId="6" borderId="42" xfId="5" applyFont="1" applyFill="1" applyBorder="1" applyAlignment="1">
      <alignment vertical="center"/>
    </xf>
    <xf numFmtId="0" fontId="62" fillId="4" borderId="27" xfId="5" applyFont="1" applyFill="1" applyBorder="1" applyAlignment="1">
      <alignment horizontal="center" vertical="center" wrapText="1"/>
    </xf>
    <xf numFmtId="0" fontId="27" fillId="6" borderId="40" xfId="5" applyFont="1" applyFill="1" applyBorder="1" applyAlignment="1">
      <alignment horizontal="right" vertical="center" wrapText="1"/>
    </xf>
    <xf numFmtId="0" fontId="27" fillId="6" borderId="46" xfId="5" applyFont="1" applyFill="1" applyBorder="1" applyAlignment="1">
      <alignment horizontal="left" vertical="center"/>
    </xf>
    <xf numFmtId="0" fontId="30" fillId="6" borderId="38" xfId="5" applyFont="1" applyFill="1" applyBorder="1" applyAlignment="1">
      <alignment horizontal="right" vertical="center"/>
    </xf>
    <xf numFmtId="0" fontId="30" fillId="6" borderId="73" xfId="5" applyFont="1" applyFill="1" applyBorder="1" applyAlignment="1">
      <alignment horizontal="center" vertical="center"/>
    </xf>
    <xf numFmtId="0" fontId="30" fillId="6" borderId="33" xfId="5" applyFont="1" applyFill="1" applyBorder="1" applyAlignment="1">
      <alignment horizontal="center" vertical="center"/>
    </xf>
    <xf numFmtId="0" fontId="27" fillId="6" borderId="31" xfId="5" applyFont="1" applyFill="1" applyBorder="1" applyAlignment="1">
      <alignment horizontal="right" vertical="center"/>
    </xf>
    <xf numFmtId="0" fontId="27" fillId="6" borderId="4" xfId="5" applyFont="1" applyFill="1" applyBorder="1" applyAlignment="1">
      <alignment horizontal="right" vertical="center"/>
    </xf>
    <xf numFmtId="0" fontId="27" fillId="6" borderId="34" xfId="5" applyFont="1" applyFill="1" applyBorder="1" applyAlignment="1">
      <alignment horizontal="right" vertical="center"/>
    </xf>
    <xf numFmtId="164" fontId="27" fillId="0" borderId="15" xfId="0" quotePrefix="1" applyNumberFormat="1" applyFont="1" applyBorder="1" applyAlignment="1">
      <alignment horizontal="center" vertical="center" wrapText="1"/>
    </xf>
    <xf numFmtId="0" fontId="27" fillId="0" borderId="10" xfId="0" applyFont="1" applyBorder="1" applyAlignment="1">
      <alignment horizontal="left" vertical="center" wrapText="1"/>
    </xf>
    <xf numFmtId="0" fontId="27" fillId="0" borderId="14" xfId="0" applyFont="1" applyBorder="1" applyAlignment="1">
      <alignment horizontal="center" vertical="center" wrapText="1"/>
    </xf>
    <xf numFmtId="1" fontId="30" fillId="2" borderId="2" xfId="0" applyNumberFormat="1" applyFont="1" applyFill="1" applyBorder="1" applyAlignment="1">
      <alignment horizontal="left" vertical="center"/>
    </xf>
    <xf numFmtId="164" fontId="4" fillId="0" borderId="12" xfId="0" quotePrefix="1" applyNumberFormat="1" applyFont="1" applyBorder="1" applyAlignment="1">
      <alignment horizontal="center" vertical="center"/>
    </xf>
    <xf numFmtId="164" fontId="4" fillId="0" borderId="1" xfId="0" quotePrefix="1" applyNumberFormat="1" applyFont="1" applyBorder="1" applyAlignment="1">
      <alignment horizontal="center" vertical="center" wrapText="1"/>
    </xf>
    <xf numFmtId="2" fontId="4" fillId="0" borderId="12" xfId="0" quotePrefix="1" applyNumberFormat="1" applyFont="1" applyBorder="1" applyAlignment="1">
      <alignment horizontal="center" vertical="center" wrapText="1"/>
    </xf>
    <xf numFmtId="0" fontId="4" fillId="0" borderId="3" xfId="5" applyBorder="1" applyAlignment="1">
      <alignment horizontal="left" vertical="center" wrapText="1"/>
    </xf>
    <xf numFmtId="0" fontId="4" fillId="0" borderId="30" xfId="5" applyBorder="1" applyAlignment="1">
      <alignment horizontal="left" vertical="center" wrapText="1"/>
    </xf>
    <xf numFmtId="0" fontId="4" fillId="0" borderId="19" xfId="0" applyFont="1" applyBorder="1" applyAlignment="1">
      <alignment horizontal="left" vertical="top" wrapText="1" readingOrder="1"/>
    </xf>
    <xf numFmtId="2" fontId="4" fillId="0" borderId="1" xfId="0" quotePrefix="1" applyNumberFormat="1" applyFont="1" applyBorder="1" applyAlignment="1">
      <alignment horizontal="center" vertical="center" wrapText="1"/>
    </xf>
    <xf numFmtId="2" fontId="4" fillId="0" borderId="16" xfId="0" applyNumberFormat="1" applyFont="1" applyBorder="1" applyAlignment="1">
      <alignment horizontal="center" vertical="center" wrapText="1"/>
    </xf>
    <xf numFmtId="0" fontId="4" fillId="0" borderId="7" xfId="5" applyBorder="1" applyAlignment="1">
      <alignment horizontal="left" vertical="center" wrapText="1"/>
    </xf>
    <xf numFmtId="0" fontId="4" fillId="0" borderId="2" xfId="5" applyBorder="1" applyAlignment="1">
      <alignment horizontal="left" vertical="center" wrapText="1"/>
    </xf>
    <xf numFmtId="2" fontId="4" fillId="0" borderId="12" xfId="0" quotePrefix="1" applyNumberFormat="1" applyFont="1" applyBorder="1" applyAlignment="1" applyProtection="1">
      <alignment horizontal="center" vertical="center" wrapText="1"/>
      <protection locked="0"/>
    </xf>
    <xf numFmtId="2" fontId="4" fillId="0" borderId="23" xfId="0" applyNumberFormat="1" applyFont="1" applyBorder="1" applyAlignment="1">
      <alignment horizontal="center" vertical="center" wrapText="1"/>
    </xf>
    <xf numFmtId="2" fontId="4" fillId="0" borderId="68" xfId="0" applyNumberFormat="1" applyFont="1" applyBorder="1" applyAlignment="1">
      <alignment horizontal="center" vertical="center" wrapText="1"/>
    </xf>
    <xf numFmtId="0" fontId="27" fillId="0" borderId="24" xfId="0" applyFont="1" applyBorder="1" applyAlignment="1">
      <alignment vertical="center" wrapText="1"/>
    </xf>
    <xf numFmtId="0" fontId="27" fillId="0" borderId="30" xfId="0" applyFont="1" applyBorder="1" applyAlignment="1">
      <alignment vertical="center" wrapText="1"/>
    </xf>
    <xf numFmtId="0" fontId="27" fillId="0" borderId="13" xfId="0" applyFont="1" applyBorder="1" applyAlignment="1">
      <alignment vertical="center" wrapText="1"/>
    </xf>
    <xf numFmtId="0" fontId="27" fillId="0" borderId="25" xfId="0" applyFont="1" applyBorder="1" applyAlignment="1">
      <alignment vertical="center" wrapText="1"/>
    </xf>
    <xf numFmtId="0" fontId="30" fillId="0" borderId="2" xfId="0" applyFont="1" applyBorder="1" applyAlignment="1">
      <alignment vertical="center" wrapText="1"/>
    </xf>
    <xf numFmtId="2" fontId="27" fillId="0" borderId="16" xfId="5" applyNumberFormat="1" applyFont="1" applyBorder="1" applyAlignment="1">
      <alignment horizontal="center" vertical="center" wrapText="1"/>
    </xf>
    <xf numFmtId="0" fontId="27" fillId="0" borderId="19" xfId="0" applyFont="1" applyBorder="1" applyAlignment="1">
      <alignment horizontal="left" vertical="top" wrapText="1" readingOrder="1"/>
    </xf>
    <xf numFmtId="2" fontId="27" fillId="0" borderId="1" xfId="0" quotePrefix="1" applyNumberFormat="1" applyFont="1" applyBorder="1" applyAlignment="1" applyProtection="1">
      <alignment horizontal="center" vertical="center" wrapText="1"/>
      <protection locked="0"/>
    </xf>
    <xf numFmtId="2" fontId="27" fillId="0" borderId="14" xfId="5" applyNumberFormat="1" applyFont="1" applyBorder="1" applyAlignment="1">
      <alignment horizontal="center" vertical="center" wrapText="1"/>
    </xf>
    <xf numFmtId="0" fontId="30" fillId="5" borderId="30" xfId="0" applyFont="1" applyFill="1" applyBorder="1" applyAlignment="1">
      <alignment horizontal="left" vertical="center" wrapText="1"/>
    </xf>
    <xf numFmtId="0" fontId="0" fillId="5" borderId="70" xfId="0" applyFill="1" applyBorder="1" applyAlignment="1">
      <alignment vertical="center"/>
    </xf>
    <xf numFmtId="0" fontId="64" fillId="5" borderId="18" xfId="0" applyFont="1" applyFill="1" applyBorder="1" applyAlignment="1">
      <alignment horizontal="center" vertical="center" wrapText="1"/>
    </xf>
    <xf numFmtId="0" fontId="64" fillId="5" borderId="5" xfId="0" applyFont="1" applyFill="1" applyBorder="1" applyAlignment="1">
      <alignment horizontal="center" vertical="center" wrapText="1"/>
    </xf>
    <xf numFmtId="0" fontId="64" fillId="5" borderId="5" xfId="0" applyFont="1" applyFill="1" applyBorder="1" applyAlignment="1">
      <alignment vertical="center" wrapText="1"/>
    </xf>
    <xf numFmtId="0" fontId="64" fillId="5" borderId="66" xfId="0" applyFont="1" applyFill="1" applyBorder="1" applyAlignment="1">
      <alignment horizontal="center" vertical="center" wrapText="1"/>
    </xf>
    <xf numFmtId="0" fontId="65" fillId="0" borderId="0" xfId="0" applyFont="1" applyAlignment="1">
      <alignment vertical="center"/>
    </xf>
    <xf numFmtId="0" fontId="65" fillId="0" borderId="0" xfId="0" applyFont="1" applyAlignment="1">
      <alignment horizontal="center" vertical="center"/>
    </xf>
    <xf numFmtId="0" fontId="0" fillId="0" borderId="22" xfId="0" applyBorder="1" applyAlignment="1">
      <alignment horizontal="left" vertical="center" indent="1"/>
    </xf>
    <xf numFmtId="0" fontId="0" fillId="9" borderId="0" xfId="0" applyFill="1" applyAlignment="1">
      <alignment horizontal="left" vertical="center" indent="1"/>
    </xf>
    <xf numFmtId="0" fontId="0" fillId="0" borderId="0" xfId="0" applyAlignment="1">
      <alignment horizontal="left" vertical="center" wrapText="1" indent="1"/>
    </xf>
    <xf numFmtId="0" fontId="66" fillId="0" borderId="22" xfId="0" applyFont="1" applyBorder="1" applyAlignment="1">
      <alignment horizontal="left" vertical="center" indent="1"/>
    </xf>
    <xf numFmtId="0" fontId="66" fillId="0" borderId="0" xfId="0" applyFont="1" applyAlignment="1">
      <alignment vertical="center"/>
    </xf>
    <xf numFmtId="0" fontId="66" fillId="0" borderId="0" xfId="0" applyFont="1" applyAlignment="1">
      <alignment horizontal="center" vertical="center"/>
    </xf>
    <xf numFmtId="0" fontId="66" fillId="9" borderId="0" xfId="0" applyFont="1" applyFill="1" applyAlignment="1">
      <alignment horizontal="left" vertical="center" indent="1"/>
    </xf>
    <xf numFmtId="0" fontId="66" fillId="0" borderId="0" xfId="0" applyFont="1" applyAlignment="1">
      <alignment horizontal="left" vertical="center" indent="1"/>
    </xf>
    <xf numFmtId="0" fontId="0" fillId="0" borderId="0" xfId="0" applyAlignment="1">
      <alignment horizontal="left" vertical="center" indent="1"/>
    </xf>
    <xf numFmtId="0" fontId="66" fillId="7" borderId="26" xfId="0" applyFont="1" applyFill="1" applyBorder="1" applyAlignment="1">
      <alignment horizontal="left" vertical="center" indent="1"/>
    </xf>
    <xf numFmtId="0" fontId="66" fillId="7" borderId="27" xfId="0" applyFont="1" applyFill="1" applyBorder="1" applyAlignment="1">
      <alignment vertical="center"/>
    </xf>
    <xf numFmtId="0" fontId="66" fillId="7" borderId="27" xfId="0" applyFont="1" applyFill="1" applyBorder="1" applyAlignment="1">
      <alignment horizontal="center" vertical="center"/>
    </xf>
    <xf numFmtId="0" fontId="66" fillId="9" borderId="27" xfId="0" applyFont="1" applyFill="1" applyBorder="1" applyAlignment="1">
      <alignment horizontal="left" vertical="center" indent="1"/>
    </xf>
    <xf numFmtId="0" fontId="66" fillId="7" borderId="27" xfId="0" applyFont="1" applyFill="1" applyBorder="1" applyAlignment="1">
      <alignment horizontal="left" vertical="center" indent="1"/>
    </xf>
    <xf numFmtId="0" fontId="66" fillId="7" borderId="28" xfId="0" applyFont="1" applyFill="1" applyBorder="1" applyAlignment="1">
      <alignment vertical="center"/>
    </xf>
    <xf numFmtId="0" fontId="4" fillId="0" borderId="0" xfId="0" applyFont="1" applyAlignment="1">
      <alignment horizontal="center" vertical="center"/>
    </xf>
    <xf numFmtId="0" fontId="0" fillId="0" borderId="37" xfId="0" applyBorder="1" applyAlignment="1">
      <alignment vertical="center"/>
    </xf>
    <xf numFmtId="0" fontId="0" fillId="9" borderId="22" xfId="0" applyFill="1" applyBorder="1" applyAlignment="1">
      <alignment horizontal="left" vertical="center" indent="1"/>
    </xf>
    <xf numFmtId="0" fontId="0" fillId="9" borderId="0" xfId="0" applyFill="1" applyAlignment="1">
      <alignment vertical="center"/>
    </xf>
    <xf numFmtId="0" fontId="0" fillId="9" borderId="0" xfId="0" applyFill="1" applyAlignment="1">
      <alignment horizontal="center" vertical="center"/>
    </xf>
    <xf numFmtId="0" fontId="4" fillId="9" borderId="0" xfId="0" applyFont="1" applyFill="1" applyAlignment="1">
      <alignment horizontal="left" vertical="center" indent="1"/>
    </xf>
    <xf numFmtId="0" fontId="4" fillId="9" borderId="22" xfId="0" applyFont="1" applyFill="1" applyBorder="1" applyAlignment="1">
      <alignment horizontal="left" vertical="center" indent="1"/>
    </xf>
    <xf numFmtId="0" fontId="0" fillId="9" borderId="44" xfId="0" applyFill="1" applyBorder="1" applyAlignment="1">
      <alignment horizontal="left" vertical="center" indent="1"/>
    </xf>
    <xf numFmtId="0" fontId="0" fillId="9" borderId="38" xfId="0" applyFill="1" applyBorder="1" applyAlignment="1">
      <alignment vertical="center"/>
    </xf>
    <xf numFmtId="0" fontId="0" fillId="9" borderId="38" xfId="0" applyFill="1" applyBorder="1" applyAlignment="1">
      <alignment horizontal="center" vertical="center"/>
    </xf>
    <xf numFmtId="0" fontId="0" fillId="9" borderId="38" xfId="0" applyFill="1" applyBorder="1" applyAlignment="1">
      <alignment horizontal="left" vertical="center" indent="1"/>
    </xf>
    <xf numFmtId="0" fontId="4" fillId="9" borderId="38" xfId="0" applyFont="1" applyFill="1" applyBorder="1" applyAlignment="1">
      <alignment horizontal="left" vertical="center" indent="1"/>
    </xf>
    <xf numFmtId="0" fontId="4" fillId="0" borderId="38" xfId="0" applyFont="1" applyBorder="1" applyAlignment="1">
      <alignment horizontal="left" vertical="center" indent="1"/>
    </xf>
    <xf numFmtId="0" fontId="0" fillId="0" borderId="33" xfId="0" applyBorder="1" applyAlignment="1">
      <alignment vertical="center"/>
    </xf>
    <xf numFmtId="0" fontId="4" fillId="0" borderId="22" xfId="0" applyFont="1" applyBorder="1" applyAlignment="1">
      <alignment horizontal="left" vertical="center" indent="1"/>
    </xf>
    <xf numFmtId="0" fontId="0" fillId="0" borderId="44" xfId="0" applyBorder="1" applyAlignment="1">
      <alignment horizontal="left" vertical="center" indent="1"/>
    </xf>
    <xf numFmtId="0" fontId="0" fillId="0" borderId="38" xfId="0" applyBorder="1" applyAlignment="1">
      <alignment vertical="center"/>
    </xf>
    <xf numFmtId="0" fontId="0" fillId="0" borderId="38" xfId="0" applyBorder="1" applyAlignment="1">
      <alignment horizontal="center" vertical="center"/>
    </xf>
    <xf numFmtId="0" fontId="0" fillId="0" borderId="38" xfId="0" applyBorder="1" applyAlignment="1">
      <alignment horizontal="left" vertical="center" indent="1"/>
    </xf>
    <xf numFmtId="0" fontId="4" fillId="0" borderId="38" xfId="0" applyFont="1" applyBorder="1" applyAlignment="1">
      <alignment horizontal="center" vertical="center"/>
    </xf>
    <xf numFmtId="0" fontId="15" fillId="0" borderId="26" xfId="0" applyFont="1" applyBorder="1" applyAlignment="1">
      <alignment horizontal="center"/>
    </xf>
    <xf numFmtId="0" fontId="15" fillId="0" borderId="27" xfId="0" applyFont="1" applyBorder="1" applyAlignment="1">
      <alignment horizontal="center"/>
    </xf>
    <xf numFmtId="0" fontId="15" fillId="0" borderId="28" xfId="0" applyFont="1" applyBorder="1" applyAlignment="1">
      <alignment horizontal="center"/>
    </xf>
    <xf numFmtId="0" fontId="14" fillId="0" borderId="44" xfId="0" applyFont="1" applyBorder="1" applyAlignment="1">
      <alignment horizontal="center" vertical="top" wrapText="1"/>
    </xf>
    <xf numFmtId="0" fontId="14" fillId="0" borderId="38" xfId="0" applyFont="1" applyBorder="1" applyAlignment="1">
      <alignment horizontal="center" vertical="top" wrapText="1"/>
    </xf>
    <xf numFmtId="0" fontId="14" fillId="0" borderId="33" xfId="0" applyFont="1" applyBorder="1" applyAlignment="1">
      <alignment horizontal="center" vertical="top" wrapText="1"/>
    </xf>
    <xf numFmtId="0" fontId="59" fillId="0" borderId="2" xfId="6" applyFont="1" applyBorder="1" applyAlignment="1">
      <alignment horizontal="center" vertical="center"/>
    </xf>
    <xf numFmtId="0" fontId="59" fillId="0" borderId="3" xfId="6" applyFont="1" applyBorder="1" applyAlignment="1">
      <alignment horizontal="center" vertical="center"/>
    </xf>
    <xf numFmtId="0" fontId="9" fillId="0" borderId="27" xfId="6" applyFont="1" applyBorder="1" applyAlignment="1">
      <alignment horizontal="right" vertical="center"/>
    </xf>
    <xf numFmtId="0" fontId="11" fillId="0" borderId="17" xfId="6" applyFont="1" applyBorder="1" applyAlignment="1" applyProtection="1">
      <alignment horizontal="center" vertical="center"/>
      <protection locked="0"/>
    </xf>
    <xf numFmtId="0" fontId="9" fillId="0" borderId="0" xfId="6" applyFont="1" applyAlignment="1">
      <alignment horizontal="right" vertical="center"/>
    </xf>
    <xf numFmtId="0" fontId="9" fillId="0" borderId="17" xfId="6" applyFont="1" applyBorder="1" applyAlignment="1">
      <alignment horizontal="center" vertical="center"/>
    </xf>
    <xf numFmtId="0" fontId="4" fillId="0" borderId="17" xfId="6" applyBorder="1" applyAlignment="1" applyProtection="1">
      <alignment horizontal="center" vertical="center"/>
      <protection locked="0"/>
    </xf>
    <xf numFmtId="0" fontId="30" fillId="5" borderId="8" xfId="6" applyFont="1" applyFill="1" applyBorder="1" applyAlignment="1">
      <alignment horizontal="center" vertical="center"/>
    </xf>
    <xf numFmtId="0" fontId="30" fillId="5" borderId="50" xfId="6" applyFont="1" applyFill="1" applyBorder="1" applyAlignment="1">
      <alignment horizontal="center" vertical="center"/>
    </xf>
    <xf numFmtId="0" fontId="30" fillId="5" borderId="6" xfId="6" applyFont="1" applyFill="1" applyBorder="1" applyAlignment="1">
      <alignment horizontal="center" vertical="center"/>
    </xf>
    <xf numFmtId="0" fontId="30" fillId="5" borderId="7" xfId="6" applyFont="1" applyFill="1" applyBorder="1" applyAlignment="1">
      <alignment horizontal="center" vertical="center"/>
    </xf>
    <xf numFmtId="0" fontId="30" fillId="5" borderId="51" xfId="6" applyFont="1" applyFill="1" applyBorder="1" applyAlignment="1">
      <alignment horizontal="center" vertical="center"/>
    </xf>
    <xf numFmtId="0" fontId="30" fillId="5" borderId="52" xfId="6" applyFont="1" applyFill="1" applyBorder="1" applyAlignment="1">
      <alignment horizontal="center" vertical="center"/>
    </xf>
    <xf numFmtId="0" fontId="4" fillId="0" borderId="17" xfId="6" quotePrefix="1" applyBorder="1" applyAlignment="1" applyProtection="1">
      <alignment horizontal="left" vertical="center"/>
      <protection locked="0"/>
    </xf>
    <xf numFmtId="0" fontId="4" fillId="0" borderId="17" xfId="6" applyBorder="1" applyAlignment="1" applyProtection="1">
      <alignment horizontal="left" vertical="center"/>
      <protection locked="0"/>
    </xf>
    <xf numFmtId="0" fontId="4" fillId="0" borderId="0" xfId="6" applyAlignment="1">
      <alignment horizontal="left" vertical="center"/>
    </xf>
    <xf numFmtId="0" fontId="59" fillId="0" borderId="54" xfId="6" applyFont="1" applyBorder="1" applyAlignment="1">
      <alignment horizontal="center" vertical="center"/>
    </xf>
    <xf numFmtId="0" fontId="59" fillId="0" borderId="55" xfId="6" applyFont="1" applyBorder="1" applyAlignment="1">
      <alignment horizontal="center" vertical="center"/>
    </xf>
    <xf numFmtId="49" fontId="31" fillId="5" borderId="8" xfId="0" applyNumberFormat="1" applyFont="1" applyFill="1" applyBorder="1" applyAlignment="1">
      <alignment horizontal="center" vertical="center" wrapText="1"/>
    </xf>
    <xf numFmtId="49" fontId="31" fillId="5" borderId="6" xfId="0" applyNumberFormat="1" applyFont="1" applyFill="1" applyBorder="1" applyAlignment="1">
      <alignment horizontal="center" vertical="center" wrapText="1"/>
    </xf>
    <xf numFmtId="49" fontId="31" fillId="5" borderId="7" xfId="0" applyNumberFormat="1" applyFont="1" applyFill="1" applyBorder="1" applyAlignment="1">
      <alignment horizontal="center" vertical="center" wrapText="1"/>
    </xf>
    <xf numFmtId="0" fontId="9" fillId="5" borderId="0" xfId="6" applyFont="1" applyFill="1" applyAlignment="1">
      <alignment horizontal="left" vertical="center"/>
    </xf>
    <xf numFmtId="0" fontId="60" fillId="7" borderId="0" xfId="6" applyFont="1" applyFill="1" applyAlignment="1">
      <alignment horizontal="center" vertical="center"/>
    </xf>
    <xf numFmtId="0" fontId="64" fillId="5" borderId="69" xfId="0" applyFont="1" applyFill="1" applyBorder="1" applyAlignment="1">
      <alignment horizontal="center" vertical="center" wrapText="1"/>
    </xf>
    <xf numFmtId="0" fontId="64" fillId="5" borderId="65" xfId="0" applyFont="1" applyFill="1" applyBorder="1" applyAlignment="1">
      <alignment horizontal="center" vertical="center" wrapText="1"/>
    </xf>
    <xf numFmtId="0" fontId="64" fillId="5" borderId="70" xfId="0" applyFont="1" applyFill="1" applyBorder="1" applyAlignment="1">
      <alignment horizontal="center" vertical="center" wrapText="1"/>
    </xf>
    <xf numFmtId="0" fontId="64" fillId="5" borderId="18" xfId="0" applyFont="1" applyFill="1" applyBorder="1" applyAlignment="1">
      <alignment horizontal="center" vertical="center" wrapText="1"/>
    </xf>
    <xf numFmtId="0" fontId="64" fillId="9" borderId="70" xfId="0" applyFont="1" applyFill="1" applyBorder="1" applyAlignment="1">
      <alignment horizontal="center" vertical="center" wrapText="1"/>
    </xf>
    <xf numFmtId="0" fontId="64" fillId="9" borderId="18" xfId="0" applyFont="1" applyFill="1" applyBorder="1" applyAlignment="1">
      <alignment horizontal="center" vertical="center" wrapText="1"/>
    </xf>
    <xf numFmtId="0" fontId="64" fillId="5" borderId="74" xfId="0" applyFont="1" applyFill="1" applyBorder="1" applyAlignment="1">
      <alignment horizontal="center" vertical="center" wrapText="1"/>
    </xf>
    <xf numFmtId="0" fontId="9" fillId="5" borderId="23" xfId="0" applyFont="1" applyFill="1" applyBorder="1" applyAlignment="1">
      <alignment horizontal="right" vertical="center" wrapText="1"/>
    </xf>
    <xf numFmtId="0" fontId="9" fillId="5" borderId="20" xfId="0" applyFont="1" applyFill="1" applyBorder="1" applyAlignment="1">
      <alignment horizontal="right" vertical="center" wrapText="1"/>
    </xf>
    <xf numFmtId="2" fontId="9" fillId="5" borderId="23" xfId="0" applyNumberFormat="1" applyFont="1" applyFill="1" applyBorder="1" applyAlignment="1">
      <alignment horizontal="right" vertical="center" wrapText="1"/>
    </xf>
    <xf numFmtId="2" fontId="9" fillId="5" borderId="20" xfId="0" applyNumberFormat="1" applyFont="1" applyFill="1" applyBorder="1" applyAlignment="1">
      <alignment horizontal="right" vertical="center" wrapText="1"/>
    </xf>
    <xf numFmtId="164" fontId="31" fillId="5" borderId="8" xfId="0" applyNumberFormat="1" applyFont="1" applyFill="1" applyBorder="1" applyAlignment="1">
      <alignment horizontal="center" vertical="center"/>
    </xf>
    <xf numFmtId="164" fontId="31" fillId="5" borderId="6" xfId="0" applyNumberFormat="1" applyFont="1" applyFill="1" applyBorder="1" applyAlignment="1">
      <alignment horizontal="center" vertical="center"/>
    </xf>
    <xf numFmtId="164" fontId="31" fillId="5" borderId="7" xfId="0" applyNumberFormat="1" applyFont="1" applyFill="1" applyBorder="1" applyAlignment="1">
      <alignment horizontal="center" vertical="center"/>
    </xf>
    <xf numFmtId="2" fontId="4" fillId="0" borderId="12" xfId="0" applyNumberFormat="1" applyFont="1" applyBorder="1" applyAlignment="1">
      <alignment horizontal="center" vertical="center" wrapText="1"/>
    </xf>
    <xf numFmtId="2" fontId="4" fillId="0" borderId="15" xfId="0" applyNumberFormat="1" applyFont="1" applyBorder="1" applyAlignment="1">
      <alignment horizontal="center" vertical="center" wrapText="1"/>
    </xf>
    <xf numFmtId="2" fontId="4" fillId="0" borderId="12" xfId="0" quotePrefix="1" applyNumberFormat="1" applyFont="1" applyBorder="1" applyAlignment="1">
      <alignment horizontal="center" vertical="center" wrapText="1"/>
    </xf>
    <xf numFmtId="2" fontId="4" fillId="0" borderId="15" xfId="0" quotePrefix="1" applyNumberFormat="1" applyFont="1" applyBorder="1" applyAlignment="1">
      <alignment horizontal="center" vertical="center" wrapText="1"/>
    </xf>
    <xf numFmtId="2" fontId="4" fillId="0" borderId="14" xfId="0" quotePrefix="1" applyNumberFormat="1" applyFont="1" applyBorder="1" applyAlignment="1">
      <alignment horizontal="center" vertical="center" wrapText="1"/>
    </xf>
    <xf numFmtId="0" fontId="31" fillId="5" borderId="8" xfId="0" applyFont="1" applyFill="1" applyBorder="1" applyAlignment="1">
      <alignment horizontal="center" vertical="center" wrapText="1"/>
    </xf>
    <xf numFmtId="0" fontId="31" fillId="5" borderId="6" xfId="0" applyFont="1" applyFill="1" applyBorder="1" applyAlignment="1">
      <alignment horizontal="center" vertical="center" wrapText="1"/>
    </xf>
    <xf numFmtId="0" fontId="31" fillId="5" borderId="7" xfId="0" applyFont="1" applyFill="1" applyBorder="1" applyAlignment="1">
      <alignment horizontal="center" vertical="center" wrapText="1"/>
    </xf>
    <xf numFmtId="164" fontId="31" fillId="5" borderId="8" xfId="0" applyNumberFormat="1" applyFont="1" applyFill="1" applyBorder="1" applyAlignment="1">
      <alignment horizontal="center" vertical="center" wrapText="1"/>
    </xf>
    <xf numFmtId="164" fontId="31" fillId="5" borderId="6" xfId="0" applyNumberFormat="1" applyFont="1" applyFill="1" applyBorder="1" applyAlignment="1">
      <alignment horizontal="center" vertical="center" wrapText="1"/>
    </xf>
    <xf numFmtId="164" fontId="31" fillId="5" borderId="7" xfId="0" applyNumberFormat="1" applyFont="1" applyFill="1" applyBorder="1" applyAlignment="1">
      <alignment horizontal="center" vertical="center" wrapText="1"/>
    </xf>
    <xf numFmtId="0" fontId="31" fillId="5" borderId="2" xfId="0" applyFont="1" applyFill="1" applyBorder="1" applyAlignment="1">
      <alignment horizontal="center" vertical="center" wrapText="1"/>
    </xf>
    <xf numFmtId="0" fontId="31" fillId="5" borderId="3" xfId="0" applyFont="1" applyFill="1" applyBorder="1" applyAlignment="1">
      <alignment horizontal="center" vertical="center" wrapText="1"/>
    </xf>
    <xf numFmtId="164" fontId="27" fillId="0" borderId="12" xfId="0" quotePrefix="1" applyNumberFormat="1" applyFont="1" applyBorder="1" applyAlignment="1">
      <alignment horizontal="center" vertical="center" wrapText="1"/>
    </xf>
    <xf numFmtId="0" fontId="27" fillId="0" borderId="15" xfId="0" applyFont="1" applyBorder="1" applyAlignment="1">
      <alignment horizontal="center" vertical="center" wrapText="1"/>
    </xf>
    <xf numFmtId="0" fontId="27" fillId="0" borderId="13" xfId="0" applyFont="1" applyBorder="1" applyAlignment="1">
      <alignment vertical="center" wrapText="1"/>
    </xf>
    <xf numFmtId="0" fontId="27" fillId="0" borderId="11" xfId="0" applyFont="1" applyBorder="1" applyAlignment="1">
      <alignment vertical="center" wrapText="1"/>
    </xf>
    <xf numFmtId="0" fontId="27" fillId="0" borderId="24" xfId="0" applyFont="1" applyBorder="1" applyAlignment="1">
      <alignment horizontal="left" vertical="center" wrapText="1"/>
    </xf>
    <xf numFmtId="0" fontId="27" fillId="0" borderId="25" xfId="0" applyFont="1" applyBorder="1" applyAlignment="1">
      <alignment horizontal="left" vertical="center" wrapText="1"/>
    </xf>
    <xf numFmtId="0" fontId="14" fillId="5" borderId="2" xfId="0" applyFont="1" applyFill="1" applyBorder="1" applyAlignment="1">
      <alignment horizontal="center" vertical="center" wrapText="1"/>
    </xf>
    <xf numFmtId="164" fontId="31" fillId="5" borderId="1" xfId="0" applyNumberFormat="1" applyFont="1" applyFill="1" applyBorder="1" applyAlignment="1">
      <alignment horizontal="center" vertical="center" wrapText="1"/>
    </xf>
    <xf numFmtId="0" fontId="14" fillId="5" borderId="1" xfId="0" applyFont="1" applyFill="1" applyBorder="1" applyAlignment="1">
      <alignment horizontal="center" vertical="center" wrapText="1"/>
    </xf>
    <xf numFmtId="2" fontId="27" fillId="0" borderId="12" xfId="0" quotePrefix="1" applyNumberFormat="1" applyFont="1" applyBorder="1" applyAlignment="1">
      <alignment horizontal="center" vertical="center" wrapText="1"/>
    </xf>
    <xf numFmtId="2" fontId="27" fillId="0" borderId="14" xfId="0" quotePrefix="1" applyNumberFormat="1" applyFont="1" applyBorder="1" applyAlignment="1">
      <alignment horizontal="center" vertical="center" wrapText="1"/>
    </xf>
    <xf numFmtId="2" fontId="27" fillId="0" borderId="15" xfId="0" quotePrefix="1" applyNumberFormat="1" applyFont="1" applyBorder="1" applyAlignment="1">
      <alignment horizontal="center" vertical="center" wrapText="1"/>
    </xf>
    <xf numFmtId="0" fontId="27" fillId="0" borderId="10" xfId="0" applyFont="1" applyBorder="1" applyAlignment="1">
      <alignment vertical="center" wrapText="1"/>
    </xf>
    <xf numFmtId="164" fontId="27" fillId="0" borderId="15" xfId="0" quotePrefix="1" applyNumberFormat="1" applyFont="1" applyBorder="1" applyAlignment="1">
      <alignment horizontal="center" vertical="center" wrapText="1"/>
    </xf>
    <xf numFmtId="0" fontId="31" fillId="5" borderId="24" xfId="0" applyFont="1" applyFill="1" applyBorder="1" applyAlignment="1">
      <alignment horizontal="center" vertical="center" wrapText="1"/>
    </xf>
    <xf numFmtId="0" fontId="31" fillId="5" borderId="20" xfId="0" applyFont="1" applyFill="1" applyBorder="1" applyAlignment="1">
      <alignment horizontal="center" vertical="center" wrapText="1"/>
    </xf>
    <xf numFmtId="0" fontId="31" fillId="5" borderId="25" xfId="0" applyFont="1" applyFill="1" applyBorder="1" applyAlignment="1">
      <alignment horizontal="center" vertical="center" wrapText="1"/>
    </xf>
    <xf numFmtId="0" fontId="31" fillId="5" borderId="13" xfId="0" applyFont="1" applyFill="1" applyBorder="1" applyAlignment="1">
      <alignment horizontal="center" vertical="center" wrapText="1"/>
    </xf>
    <xf numFmtId="0" fontId="31" fillId="5" borderId="11" xfId="0" applyFont="1" applyFill="1" applyBorder="1" applyAlignment="1">
      <alignment horizontal="center" vertical="center" wrapText="1"/>
    </xf>
    <xf numFmtId="0" fontId="27" fillId="0" borderId="20" xfId="0" applyFont="1" applyBorder="1" applyAlignment="1">
      <alignment horizontal="left" vertical="center" wrapText="1"/>
    </xf>
    <xf numFmtId="0" fontId="27" fillId="0" borderId="5" xfId="0" applyFont="1" applyBorder="1" applyAlignment="1">
      <alignment horizontal="left" vertical="center" wrapText="1"/>
    </xf>
    <xf numFmtId="0" fontId="27" fillId="0" borderId="5" xfId="0" applyFont="1" applyBorder="1" applyAlignment="1">
      <alignment horizontal="left" vertical="center"/>
    </xf>
    <xf numFmtId="0" fontId="27" fillId="0" borderId="9" xfId="0" applyFont="1" applyBorder="1" applyAlignment="1">
      <alignment horizontal="left" vertical="center"/>
    </xf>
    <xf numFmtId="0" fontId="31" fillId="5" borderId="23" xfId="0" applyFont="1" applyFill="1" applyBorder="1" applyAlignment="1">
      <alignment horizontal="left" vertical="center" wrapText="1"/>
    </xf>
    <xf numFmtId="0" fontId="31" fillId="5" borderId="20" xfId="0" applyFont="1" applyFill="1" applyBorder="1" applyAlignment="1">
      <alignment horizontal="left" vertical="center" wrapText="1"/>
    </xf>
    <xf numFmtId="0" fontId="27" fillId="0" borderId="2" xfId="0" applyFont="1" applyBorder="1" applyAlignment="1">
      <alignment horizontal="left" vertical="center"/>
    </xf>
    <xf numFmtId="0" fontId="27" fillId="0" borderId="3" xfId="0" applyFont="1" applyBorder="1" applyAlignment="1">
      <alignment horizontal="left" vertical="center"/>
    </xf>
    <xf numFmtId="0" fontId="27" fillId="5" borderId="24" xfId="0" applyFont="1" applyFill="1" applyBorder="1" applyAlignment="1">
      <alignment horizontal="center" vertical="center"/>
    </xf>
    <xf numFmtId="0" fontId="27" fillId="5" borderId="20" xfId="0" applyFont="1" applyFill="1" applyBorder="1" applyAlignment="1">
      <alignment horizontal="center" vertical="center"/>
    </xf>
    <xf numFmtId="0" fontId="27" fillId="5" borderId="25" xfId="0" applyFont="1" applyFill="1" applyBorder="1" applyAlignment="1">
      <alignment horizontal="center" vertical="center"/>
    </xf>
    <xf numFmtId="0" fontId="27" fillId="0" borderId="2" xfId="0" applyFont="1" applyBorder="1" applyAlignment="1">
      <alignment horizontal="left" vertical="center" wrapText="1"/>
    </xf>
    <xf numFmtId="0" fontId="27" fillId="0" borderId="3" xfId="0" applyFont="1" applyBorder="1" applyAlignment="1">
      <alignment horizontal="left" vertical="center" wrapText="1"/>
    </xf>
    <xf numFmtId="0" fontId="27" fillId="5" borderId="34" xfId="0" applyFont="1" applyFill="1" applyBorder="1" applyAlignment="1">
      <alignment horizontal="left" vertical="center"/>
    </xf>
    <xf numFmtId="0" fontId="27" fillId="5" borderId="17" xfId="0" applyFont="1" applyFill="1" applyBorder="1" applyAlignment="1">
      <alignment horizontal="left" vertical="center"/>
    </xf>
    <xf numFmtId="0" fontId="27" fillId="5" borderId="35" xfId="0" applyFont="1" applyFill="1" applyBorder="1" applyAlignment="1">
      <alignment horizontal="left" vertical="center"/>
    </xf>
    <xf numFmtId="2" fontId="31" fillId="5" borderId="23" xfId="0" applyNumberFormat="1" applyFont="1" applyFill="1" applyBorder="1" applyAlignment="1">
      <alignment horizontal="left" vertical="center" wrapText="1"/>
    </xf>
    <xf numFmtId="2" fontId="31" fillId="5" borderId="20" xfId="0" applyNumberFormat="1" applyFont="1" applyFill="1" applyBorder="1" applyAlignment="1">
      <alignment horizontal="left" vertical="center" wrapText="1"/>
    </xf>
    <xf numFmtId="0" fontId="27" fillId="0" borderId="2" xfId="0" applyFont="1" applyBorder="1" applyAlignment="1" applyProtection="1">
      <alignment vertical="center" wrapText="1"/>
      <protection locked="0"/>
    </xf>
    <xf numFmtId="0" fontId="27" fillId="0" borderId="3" xfId="0" applyFont="1" applyBorder="1" applyAlignment="1" applyProtection="1">
      <alignment vertical="center" wrapText="1"/>
      <protection locked="0"/>
    </xf>
    <xf numFmtId="0" fontId="27" fillId="0" borderId="24" xfId="0" applyFont="1" applyBorder="1" applyAlignment="1">
      <alignment vertical="center" wrapText="1"/>
    </xf>
    <xf numFmtId="0" fontId="27" fillId="0" borderId="20" xfId="0" applyFont="1" applyBorder="1" applyAlignment="1">
      <alignment vertical="center" wrapText="1"/>
    </xf>
    <xf numFmtId="0" fontId="27" fillId="0" borderId="25" xfId="0" applyFont="1" applyBorder="1" applyAlignment="1">
      <alignment vertical="center" wrapText="1"/>
    </xf>
    <xf numFmtId="0" fontId="31" fillId="5" borderId="23" xfId="0" applyFont="1" applyFill="1" applyBorder="1" applyAlignment="1">
      <alignment horizontal="right" vertical="center" wrapText="1"/>
    </xf>
    <xf numFmtId="0" fontId="31" fillId="5" borderId="20" xfId="0" applyFont="1" applyFill="1" applyBorder="1" applyAlignment="1">
      <alignment horizontal="right" vertical="center" wrapText="1"/>
    </xf>
    <xf numFmtId="0" fontId="31" fillId="5" borderId="8" xfId="0" applyFont="1" applyFill="1" applyBorder="1" applyAlignment="1">
      <alignment horizontal="center" vertical="center"/>
    </xf>
    <xf numFmtId="0" fontId="31" fillId="5" borderId="6" xfId="0" applyFont="1" applyFill="1" applyBorder="1" applyAlignment="1">
      <alignment horizontal="center" vertical="center"/>
    </xf>
    <xf numFmtId="0" fontId="31" fillId="5" borderId="7" xfId="0" applyFont="1" applyFill="1" applyBorder="1" applyAlignment="1">
      <alignment horizontal="center" vertical="center"/>
    </xf>
    <xf numFmtId="0" fontId="31" fillId="5" borderId="0" xfId="5" applyFont="1" applyFill="1" applyAlignment="1">
      <alignment vertical="center" wrapText="1"/>
    </xf>
    <xf numFmtId="0" fontId="14" fillId="5" borderId="0" xfId="5" applyFont="1" applyFill="1" applyAlignment="1">
      <alignment vertical="center"/>
    </xf>
    <xf numFmtId="0" fontId="27" fillId="6" borderId="0" xfId="5" applyFont="1" applyFill="1" applyAlignment="1">
      <alignment vertical="center" wrapText="1"/>
    </xf>
    <xf numFmtId="0" fontId="62" fillId="4" borderId="48" xfId="5" applyFont="1" applyFill="1" applyBorder="1" applyAlignment="1">
      <alignment horizontal="center" vertical="center"/>
    </xf>
    <xf numFmtId="0" fontId="62" fillId="4" borderId="27" xfId="5" applyFont="1" applyFill="1" applyBorder="1" applyAlignment="1">
      <alignment horizontal="center" vertical="center"/>
    </xf>
    <xf numFmtId="0" fontId="62" fillId="4" borderId="28" xfId="5" applyFont="1" applyFill="1" applyBorder="1" applyAlignment="1">
      <alignment horizontal="center" vertical="center"/>
    </xf>
    <xf numFmtId="0" fontId="27" fillId="5" borderId="69" xfId="5" applyFont="1" applyFill="1" applyBorder="1" applyAlignment="1">
      <alignment horizontal="left" vertical="center" wrapText="1"/>
    </xf>
    <xf numFmtId="0" fontId="27" fillId="5" borderId="14" xfId="5" applyFont="1" applyFill="1" applyBorder="1" applyAlignment="1">
      <alignment horizontal="left" vertical="center" wrapText="1"/>
    </xf>
    <xf numFmtId="0" fontId="27" fillId="5" borderId="15" xfId="5" applyFont="1" applyFill="1" applyBorder="1" applyAlignment="1">
      <alignment horizontal="left" vertical="center" wrapText="1"/>
    </xf>
    <xf numFmtId="0" fontId="63" fillId="8" borderId="70" xfId="5" applyFont="1" applyFill="1" applyBorder="1" applyAlignment="1" applyProtection="1">
      <alignment horizontal="center" vertical="center"/>
      <protection locked="0"/>
    </xf>
    <xf numFmtId="0" fontId="63" fillId="8" borderId="10" xfId="5" applyFont="1" applyFill="1" applyBorder="1" applyAlignment="1" applyProtection="1">
      <alignment horizontal="center" vertical="center"/>
      <protection locked="0"/>
    </xf>
    <xf numFmtId="0" fontId="63" fillId="8" borderId="11" xfId="5" applyFont="1" applyFill="1" applyBorder="1" applyAlignment="1" applyProtection="1">
      <alignment horizontal="center" vertical="center"/>
      <protection locked="0"/>
    </xf>
    <xf numFmtId="0" fontId="27" fillId="5" borderId="13" xfId="5" applyFont="1" applyFill="1" applyBorder="1" applyAlignment="1">
      <alignment horizontal="center" vertical="center"/>
    </xf>
    <xf numFmtId="0" fontId="27" fillId="5" borderId="10" xfId="5" applyFont="1" applyFill="1" applyBorder="1" applyAlignment="1">
      <alignment horizontal="center" vertical="center"/>
    </xf>
    <xf numFmtId="0" fontId="27" fillId="5" borderId="11" xfId="5" applyFont="1" applyFill="1" applyBorder="1" applyAlignment="1">
      <alignment horizontal="center" vertical="center"/>
    </xf>
    <xf numFmtId="0" fontId="27" fillId="5" borderId="4" xfId="5" applyFont="1" applyFill="1" applyBorder="1" applyAlignment="1" applyProtection="1">
      <alignment horizontal="left" vertical="center"/>
      <protection locked="0"/>
    </xf>
    <xf numFmtId="0" fontId="27" fillId="5" borderId="37" xfId="5" applyFont="1" applyFill="1" applyBorder="1" applyAlignment="1" applyProtection="1">
      <alignment horizontal="left" vertical="center"/>
      <protection locked="0"/>
    </xf>
    <xf numFmtId="0" fontId="27" fillId="5" borderId="34" xfId="5" applyFont="1" applyFill="1" applyBorder="1" applyAlignment="1" applyProtection="1">
      <alignment horizontal="left" vertical="center"/>
      <protection locked="0"/>
    </xf>
    <xf numFmtId="0" fontId="27" fillId="5" borderId="35" xfId="5" applyFont="1" applyFill="1" applyBorder="1" applyAlignment="1" applyProtection="1">
      <alignment horizontal="left" vertical="center"/>
      <protection locked="0"/>
    </xf>
    <xf numFmtId="0" fontId="27" fillId="6" borderId="12" xfId="5" applyFont="1" applyFill="1" applyBorder="1" applyAlignment="1">
      <alignment vertical="center" wrapText="1"/>
    </xf>
    <xf numFmtId="0" fontId="27" fillId="6" borderId="14" xfId="5" applyFont="1" applyFill="1" applyBorder="1" applyAlignment="1">
      <alignment vertical="center" wrapText="1"/>
    </xf>
    <xf numFmtId="0" fontId="27" fillId="6" borderId="15" xfId="5" applyFont="1" applyFill="1" applyBorder="1" applyAlignment="1">
      <alignment vertical="center" wrapText="1"/>
    </xf>
    <xf numFmtId="0" fontId="63" fillId="8" borderId="13" xfId="5" applyFont="1" applyFill="1" applyBorder="1" applyAlignment="1" applyProtection="1">
      <alignment horizontal="center" vertical="center"/>
      <protection locked="0"/>
    </xf>
    <xf numFmtId="0" fontId="27" fillId="6" borderId="10" xfId="5" applyFont="1" applyFill="1" applyBorder="1" applyAlignment="1">
      <alignment horizontal="center" vertical="center"/>
    </xf>
    <xf numFmtId="0" fontId="27" fillId="6" borderId="11" xfId="5" applyFont="1" applyFill="1" applyBorder="1" applyAlignment="1">
      <alignment horizontal="center" vertical="center"/>
    </xf>
    <xf numFmtId="0" fontId="27" fillId="6" borderId="31" xfId="5" applyFont="1" applyFill="1" applyBorder="1" applyAlignment="1" applyProtection="1">
      <alignment horizontal="left" vertical="center"/>
      <protection locked="0"/>
    </xf>
    <xf numFmtId="0" fontId="27" fillId="6" borderId="32" xfId="5" applyFont="1" applyFill="1" applyBorder="1" applyAlignment="1" applyProtection="1">
      <alignment horizontal="left" vertical="center"/>
      <protection locked="0"/>
    </xf>
    <xf numFmtId="0" fontId="27" fillId="6" borderId="4" xfId="5" applyFont="1" applyFill="1" applyBorder="1" applyAlignment="1" applyProtection="1">
      <alignment horizontal="left" vertical="center"/>
      <protection locked="0"/>
    </xf>
    <xf numFmtId="0" fontId="27" fillId="6" borderId="37" xfId="5" applyFont="1" applyFill="1" applyBorder="1" applyAlignment="1" applyProtection="1">
      <alignment horizontal="left" vertical="center"/>
      <protection locked="0"/>
    </xf>
    <xf numFmtId="0" fontId="27" fillId="6" borderId="34" xfId="5" applyFont="1" applyFill="1" applyBorder="1" applyAlignment="1" applyProtection="1">
      <alignment horizontal="left" vertical="center"/>
      <protection locked="0"/>
    </xf>
    <xf numFmtId="0" fontId="27" fillId="6" borderId="35" xfId="5" applyFont="1" applyFill="1" applyBorder="1" applyAlignment="1" applyProtection="1">
      <alignment horizontal="left" vertical="center"/>
      <protection locked="0"/>
    </xf>
    <xf numFmtId="0" fontId="27" fillId="5" borderId="12" xfId="5" applyFont="1" applyFill="1" applyBorder="1" applyAlignment="1">
      <alignment vertical="center" wrapText="1"/>
    </xf>
    <xf numFmtId="0" fontId="27" fillId="5" borderId="14" xfId="5" applyFont="1" applyFill="1" applyBorder="1" applyAlignment="1">
      <alignment vertical="center" wrapText="1"/>
    </xf>
    <xf numFmtId="0" fontId="27" fillId="5" borderId="15" xfId="5" applyFont="1" applyFill="1" applyBorder="1" applyAlignment="1">
      <alignment vertical="center" wrapText="1"/>
    </xf>
    <xf numFmtId="0" fontId="27" fillId="5" borderId="31" xfId="5" applyFont="1" applyFill="1" applyBorder="1" applyAlignment="1" applyProtection="1">
      <alignment horizontal="left" vertical="center"/>
      <protection locked="0"/>
    </xf>
    <xf numFmtId="0" fontId="27" fillId="5" borderId="32" xfId="5" applyFont="1" applyFill="1" applyBorder="1" applyAlignment="1" applyProtection="1">
      <alignment horizontal="left" vertical="center"/>
      <protection locked="0"/>
    </xf>
    <xf numFmtId="0" fontId="27" fillId="0" borderId="12" xfId="5" applyFont="1" applyBorder="1" applyAlignment="1">
      <alignment vertical="center" wrapText="1"/>
    </xf>
    <xf numFmtId="0" fontId="27" fillId="0" borderId="14" xfId="5" applyFont="1" applyBorder="1" applyAlignment="1">
      <alignment vertical="center" wrapText="1"/>
    </xf>
    <xf numFmtId="0" fontId="27" fillId="0" borderId="15" xfId="5" applyFont="1" applyBorder="1" applyAlignment="1">
      <alignment vertical="center" wrapText="1"/>
    </xf>
    <xf numFmtId="0" fontId="30" fillId="6" borderId="68" xfId="5" applyFont="1" applyFill="1" applyBorder="1" applyAlignment="1">
      <alignment horizontal="right" vertical="center"/>
    </xf>
    <xf numFmtId="0" fontId="30" fillId="6" borderId="45" xfId="5" applyFont="1" applyFill="1" applyBorder="1" applyAlignment="1">
      <alignment horizontal="right" vertical="center"/>
    </xf>
    <xf numFmtId="0" fontId="30" fillId="5" borderId="43" xfId="0" applyFont="1" applyFill="1" applyBorder="1" applyAlignment="1">
      <alignment horizontal="right" vertical="center" wrapText="1"/>
    </xf>
    <xf numFmtId="0" fontId="30" fillId="5" borderId="17" xfId="0" applyFont="1" applyFill="1" applyBorder="1" applyAlignment="1">
      <alignment horizontal="right" vertical="center" wrapText="1"/>
    </xf>
    <xf numFmtId="0" fontId="30" fillId="5" borderId="23" xfId="0" applyFont="1" applyFill="1" applyBorder="1" applyAlignment="1">
      <alignment horizontal="right" vertical="center" wrapText="1"/>
    </xf>
    <xf numFmtId="0" fontId="30" fillId="5" borderId="20" xfId="0" applyFont="1" applyFill="1" applyBorder="1" applyAlignment="1">
      <alignment horizontal="right" vertical="center" wrapText="1"/>
    </xf>
    <xf numFmtId="1" fontId="31" fillId="5" borderId="47" xfId="0" applyNumberFormat="1" applyFont="1" applyFill="1" applyBorder="1" applyAlignment="1">
      <alignment horizontal="center"/>
    </xf>
    <xf numFmtId="1" fontId="31" fillId="5" borderId="48" xfId="0" applyNumberFormat="1" applyFont="1" applyFill="1" applyBorder="1" applyAlignment="1">
      <alignment horizontal="center"/>
    </xf>
    <xf numFmtId="1" fontId="31" fillId="5" borderId="49" xfId="0" applyNumberFormat="1" applyFont="1" applyFill="1" applyBorder="1" applyAlignment="1">
      <alignment horizontal="center"/>
    </xf>
    <xf numFmtId="49" fontId="31" fillId="5" borderId="8" xfId="0" applyNumberFormat="1" applyFont="1" applyFill="1" applyBorder="1" applyAlignment="1">
      <alignment horizontal="center" vertical="center"/>
    </xf>
    <xf numFmtId="49" fontId="31" fillId="5" borderId="6" xfId="0" applyNumberFormat="1" applyFont="1" applyFill="1" applyBorder="1" applyAlignment="1">
      <alignment horizontal="center" vertical="center"/>
    </xf>
    <xf numFmtId="49" fontId="31" fillId="5" borderId="7" xfId="0" applyNumberFormat="1" applyFont="1" applyFill="1" applyBorder="1" applyAlignment="1">
      <alignment horizontal="center" vertical="center"/>
    </xf>
    <xf numFmtId="49" fontId="31" fillId="5" borderId="23" xfId="0" applyNumberFormat="1" applyFont="1" applyFill="1" applyBorder="1" applyAlignment="1">
      <alignment horizontal="right" vertical="center" wrapText="1"/>
    </xf>
    <xf numFmtId="0" fontId="31" fillId="5" borderId="21" xfId="0" applyFont="1" applyFill="1" applyBorder="1" applyAlignment="1">
      <alignment horizontal="right" vertical="center" wrapText="1"/>
    </xf>
    <xf numFmtId="0" fontId="30" fillId="0" borderId="24" xfId="0" applyFont="1" applyBorder="1" applyAlignment="1" applyProtection="1">
      <alignment horizontal="left" vertical="center" wrapText="1"/>
      <protection locked="0"/>
    </xf>
    <xf numFmtId="0" fontId="30" fillId="0" borderId="20" xfId="0" applyFont="1" applyBorder="1" applyAlignment="1">
      <alignment vertical="center" wrapText="1"/>
    </xf>
    <xf numFmtId="0" fontId="30" fillId="0" borderId="25" xfId="0" applyFont="1" applyBorder="1" applyAlignment="1">
      <alignment vertical="center" wrapText="1"/>
    </xf>
    <xf numFmtId="0" fontId="30" fillId="5" borderId="20" xfId="0" applyFont="1" applyFill="1" applyBorder="1" applyAlignment="1" applyProtection="1">
      <alignment horizontal="left" vertical="center"/>
      <protection locked="0"/>
    </xf>
    <xf numFmtId="0" fontId="30" fillId="5" borderId="25" xfId="0" applyFont="1" applyFill="1" applyBorder="1" applyAlignment="1" applyProtection="1">
      <alignment horizontal="left" vertical="center"/>
      <protection locked="0"/>
    </xf>
    <xf numFmtId="0" fontId="30" fillId="0" borderId="20" xfId="0" applyFont="1" applyBorder="1" applyAlignment="1" applyProtection="1">
      <alignment horizontal="left" vertical="center" wrapText="1"/>
      <protection locked="0"/>
    </xf>
    <xf numFmtId="0" fontId="30" fillId="0" borderId="25" xfId="0" applyFont="1" applyBorder="1" applyAlignment="1" applyProtection="1">
      <alignment horizontal="left" vertical="center" wrapText="1"/>
      <protection locked="0"/>
    </xf>
    <xf numFmtId="0" fontId="27" fillId="0" borderId="12" xfId="0" applyFont="1" applyBorder="1" applyAlignment="1">
      <alignment horizontal="center" vertical="center" wrapText="1"/>
    </xf>
    <xf numFmtId="0" fontId="27" fillId="0" borderId="14" xfId="0" applyFont="1" applyBorder="1" applyAlignment="1">
      <alignment horizontal="center" vertical="center" wrapText="1"/>
    </xf>
    <xf numFmtId="0" fontId="27" fillId="0" borderId="65" xfId="0" applyFont="1" applyBorder="1" applyAlignment="1">
      <alignment horizontal="center" vertical="center" wrapText="1"/>
    </xf>
    <xf numFmtId="0" fontId="27" fillId="0" borderId="13" xfId="0" applyFont="1" applyBorder="1" applyAlignment="1">
      <alignment horizontal="center" vertical="center" wrapText="1"/>
    </xf>
    <xf numFmtId="0" fontId="27" fillId="0" borderId="10" xfId="0" applyFont="1" applyBorder="1" applyAlignment="1">
      <alignment horizontal="center" vertical="center" wrapText="1"/>
    </xf>
    <xf numFmtId="0" fontId="27" fillId="0" borderId="18" xfId="0" applyFont="1" applyBorder="1" applyAlignment="1">
      <alignment horizontal="center" vertical="center" wrapText="1"/>
    </xf>
    <xf numFmtId="0" fontId="9" fillId="5" borderId="1" xfId="0" applyFont="1" applyFill="1" applyBorder="1" applyAlignment="1">
      <alignment horizontal="right" vertical="center"/>
    </xf>
    <xf numFmtId="0" fontId="9" fillId="5" borderId="2" xfId="0" applyFont="1" applyFill="1" applyBorder="1" applyAlignment="1">
      <alignment horizontal="right" vertical="center"/>
    </xf>
    <xf numFmtId="0" fontId="36" fillId="5" borderId="8" xfId="0" applyFont="1" applyFill="1" applyBorder="1" applyAlignment="1">
      <alignment horizontal="center" vertical="center"/>
    </xf>
    <xf numFmtId="0" fontId="36" fillId="5" borderId="6" xfId="0" applyFont="1" applyFill="1" applyBorder="1" applyAlignment="1">
      <alignment horizontal="center" vertical="center"/>
    </xf>
    <xf numFmtId="0" fontId="36" fillId="5" borderId="7" xfId="0" applyFont="1" applyFill="1" applyBorder="1" applyAlignment="1">
      <alignment horizontal="center" vertical="center"/>
    </xf>
    <xf numFmtId="2" fontId="4" fillId="0" borderId="12" xfId="0" applyNumberFormat="1" applyFont="1" applyBorder="1" applyAlignment="1">
      <alignment horizontal="center" vertical="center"/>
    </xf>
    <xf numFmtId="0" fontId="4" fillId="0" borderId="65" xfId="0" applyFont="1" applyBorder="1" applyAlignment="1">
      <alignment horizontal="center" vertical="center"/>
    </xf>
    <xf numFmtId="0" fontId="4" fillId="0" borderId="13" xfId="0" applyFont="1" applyBorder="1" applyAlignment="1">
      <alignment horizontal="left" vertical="center" wrapText="1"/>
    </xf>
    <xf numFmtId="0" fontId="4" fillId="0" borderId="18" xfId="0" applyFont="1" applyBorder="1" applyAlignment="1">
      <alignment horizontal="left" vertical="center" wrapText="1"/>
    </xf>
    <xf numFmtId="0" fontId="4" fillId="0" borderId="13" xfId="0" applyFont="1" applyBorder="1" applyAlignment="1">
      <alignment horizontal="center" vertical="center" wrapText="1"/>
    </xf>
    <xf numFmtId="0" fontId="4" fillId="0" borderId="18" xfId="0" applyFont="1" applyBorder="1" applyAlignment="1">
      <alignment horizontal="center" vertical="center"/>
    </xf>
    <xf numFmtId="2" fontId="13" fillId="0" borderId="1" xfId="0" applyNumberFormat="1" applyFont="1" applyBorder="1" applyAlignment="1">
      <alignment horizontal="center" vertical="center" wrapText="1"/>
    </xf>
    <xf numFmtId="0" fontId="13" fillId="0" borderId="2" xfId="0" applyFont="1" applyBorder="1" applyAlignment="1">
      <alignment horizontal="left" vertical="center" wrapText="1"/>
    </xf>
    <xf numFmtId="0" fontId="13" fillId="0" borderId="2" xfId="0" applyFont="1" applyBorder="1" applyAlignment="1">
      <alignment horizontal="center" vertical="center" wrapText="1"/>
    </xf>
    <xf numFmtId="0" fontId="0" fillId="0" borderId="13" xfId="0" applyBorder="1" applyAlignment="1">
      <alignment horizontal="center" vertical="center"/>
    </xf>
    <xf numFmtId="0" fontId="0" fillId="0" borderId="10" xfId="0" applyBorder="1" applyAlignment="1">
      <alignment horizontal="center" vertical="center"/>
    </xf>
    <xf numFmtId="0" fontId="0" fillId="0" borderId="18" xfId="0" applyBorder="1" applyAlignment="1">
      <alignment horizontal="center" vertical="center"/>
    </xf>
    <xf numFmtId="2" fontId="13" fillId="0" borderId="12" xfId="0" applyNumberFormat="1" applyFont="1" applyBorder="1" applyAlignment="1">
      <alignment horizontal="center" vertical="center"/>
    </xf>
    <xf numFmtId="2" fontId="13" fillId="0" borderId="14" xfId="0" applyNumberFormat="1" applyFont="1" applyBorder="1" applyAlignment="1">
      <alignment horizontal="center" vertical="center"/>
    </xf>
    <xf numFmtId="0" fontId="0" fillId="0" borderId="14" xfId="0" applyBorder="1" applyAlignment="1">
      <alignment horizontal="center" vertical="center"/>
    </xf>
    <xf numFmtId="0" fontId="0" fillId="0" borderId="65" xfId="0" applyBorder="1" applyAlignment="1">
      <alignment horizontal="center" vertical="center"/>
    </xf>
    <xf numFmtId="0" fontId="13" fillId="0" borderId="13" xfId="0" applyFont="1" applyBorder="1" applyAlignment="1">
      <alignment horizontal="left" vertical="center" wrapText="1"/>
    </xf>
    <xf numFmtId="0" fontId="13" fillId="0" borderId="10" xfId="0" applyFont="1" applyBorder="1" applyAlignment="1">
      <alignment horizontal="left" vertical="center" wrapText="1"/>
    </xf>
    <xf numFmtId="0" fontId="0" fillId="0" borderId="10" xfId="0" applyBorder="1" applyAlignment="1">
      <alignment horizontal="left" vertical="center" wrapText="1"/>
    </xf>
    <xf numFmtId="0" fontId="0" fillId="0" borderId="18" xfId="0" applyBorder="1" applyAlignment="1">
      <alignment horizontal="left" vertical="center" wrapText="1"/>
    </xf>
    <xf numFmtId="0" fontId="13" fillId="0" borderId="13" xfId="0" applyFont="1" applyBorder="1" applyAlignment="1">
      <alignment horizontal="center" vertical="center"/>
    </xf>
    <xf numFmtId="0" fontId="13" fillId="0" borderId="10" xfId="0" applyFont="1" applyBorder="1" applyAlignment="1">
      <alignment horizontal="center" vertical="center"/>
    </xf>
    <xf numFmtId="2" fontId="13" fillId="0" borderId="1" xfId="0" applyNumberFormat="1" applyFont="1" applyBorder="1" applyAlignment="1">
      <alignment horizontal="center" vertical="center"/>
    </xf>
    <xf numFmtId="2" fontId="0" fillId="0" borderId="1" xfId="0" applyNumberFormat="1" applyBorder="1" applyAlignment="1">
      <alignment horizontal="center" vertical="center" wrapText="1"/>
    </xf>
    <xf numFmtId="0" fontId="0" fillId="0" borderId="2" xfId="0" applyBorder="1" applyAlignment="1">
      <alignment horizontal="left" vertical="center" wrapText="1"/>
    </xf>
    <xf numFmtId="0" fontId="0" fillId="0" borderId="2" xfId="0" applyBorder="1" applyAlignment="1">
      <alignment horizontal="center" vertical="center" wrapText="1"/>
    </xf>
    <xf numFmtId="0" fontId="0" fillId="0" borderId="1" xfId="0" applyBorder="1" applyAlignment="1">
      <alignment horizontal="center" vertical="center" wrapText="1"/>
    </xf>
    <xf numFmtId="0" fontId="4" fillId="0" borderId="12"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0" xfId="0" applyFont="1" applyBorder="1" applyAlignment="1">
      <alignment horizontal="left" vertical="center" wrapText="1"/>
    </xf>
    <xf numFmtId="0" fontId="4" fillId="0" borderId="11" xfId="0" applyFont="1" applyBorder="1" applyAlignment="1">
      <alignment horizontal="left" vertical="center" wrapText="1"/>
    </xf>
    <xf numFmtId="0" fontId="4" fillId="0" borderId="13" xfId="0" applyFont="1" applyBorder="1" applyAlignment="1">
      <alignment horizontal="center" vertical="center"/>
    </xf>
    <xf numFmtId="0" fontId="4" fillId="0" borderId="10" xfId="0" applyFont="1" applyBorder="1" applyAlignment="1">
      <alignment horizontal="center" vertical="center"/>
    </xf>
    <xf numFmtId="0" fontId="4" fillId="0" borderId="11" xfId="0" applyFont="1" applyBorder="1" applyAlignment="1">
      <alignment horizontal="center" vertical="center"/>
    </xf>
    <xf numFmtId="2" fontId="27" fillId="0" borderId="1" xfId="0" applyNumberFormat="1" applyFont="1" applyBorder="1" applyAlignment="1">
      <alignment horizontal="center" vertical="center" wrapText="1"/>
    </xf>
    <xf numFmtId="0" fontId="27" fillId="0" borderId="1" xfId="0" applyFont="1" applyBorder="1" applyAlignment="1">
      <alignment horizontal="center" vertical="center" wrapText="1"/>
    </xf>
    <xf numFmtId="0" fontId="27" fillId="0" borderId="2" xfId="0" applyFont="1" applyBorder="1" applyAlignment="1">
      <alignment horizontal="center" vertical="center" wrapText="1"/>
    </xf>
    <xf numFmtId="0" fontId="27" fillId="0" borderId="3" xfId="0" applyFont="1" applyBorder="1" applyAlignment="1">
      <alignment vertical="center" wrapText="1"/>
    </xf>
    <xf numFmtId="164" fontId="31" fillId="5" borderId="1" xfId="0" applyNumberFormat="1" applyFont="1" applyFill="1" applyBorder="1" applyAlignment="1">
      <alignment horizontal="right" vertical="center" wrapText="1"/>
    </xf>
    <xf numFmtId="164" fontId="31" fillId="5" borderId="2" xfId="0" quotePrefix="1" applyNumberFormat="1" applyFont="1" applyFill="1" applyBorder="1" applyAlignment="1">
      <alignment horizontal="right" vertical="center" wrapText="1"/>
    </xf>
    <xf numFmtId="2" fontId="31" fillId="5" borderId="1" xfId="0" applyNumberFormat="1" applyFont="1" applyFill="1" applyBorder="1" applyAlignment="1">
      <alignment horizontal="right" vertical="center" wrapText="1"/>
    </xf>
    <xf numFmtId="2" fontId="31" fillId="5" borderId="2" xfId="0" quotePrefix="1" applyNumberFormat="1" applyFont="1" applyFill="1" applyBorder="1" applyAlignment="1">
      <alignment horizontal="right" vertical="center" wrapText="1"/>
    </xf>
    <xf numFmtId="0" fontId="31" fillId="5" borderId="1" xfId="0" applyFont="1" applyFill="1" applyBorder="1" applyAlignment="1">
      <alignment horizontal="right" vertical="center" wrapText="1"/>
    </xf>
    <xf numFmtId="0" fontId="31" fillId="5" borderId="2" xfId="0" applyFont="1" applyFill="1" applyBorder="1" applyAlignment="1">
      <alignment horizontal="right" vertical="center" wrapText="1"/>
    </xf>
    <xf numFmtId="2" fontId="31" fillId="5" borderId="1" xfId="0" applyNumberFormat="1" applyFont="1" applyFill="1" applyBorder="1" applyAlignment="1">
      <alignment horizontal="right" vertical="center"/>
    </xf>
    <xf numFmtId="2" fontId="31" fillId="5" borderId="2" xfId="0" quotePrefix="1" applyNumberFormat="1" applyFont="1" applyFill="1" applyBorder="1" applyAlignment="1">
      <alignment horizontal="right" vertical="center"/>
    </xf>
    <xf numFmtId="0" fontId="36" fillId="5" borderId="47" xfId="0" applyFont="1" applyFill="1" applyBorder="1" applyAlignment="1">
      <alignment horizontal="center" vertical="center"/>
    </xf>
    <xf numFmtId="0" fontId="36" fillId="5" borderId="48" xfId="0" applyFont="1" applyFill="1" applyBorder="1" applyAlignment="1">
      <alignment horizontal="center" vertical="center"/>
    </xf>
    <xf numFmtId="0" fontId="36" fillId="5" borderId="49" xfId="0" applyFont="1" applyFill="1" applyBorder="1" applyAlignment="1">
      <alignment horizontal="center" vertical="center"/>
    </xf>
    <xf numFmtId="0" fontId="31" fillId="5" borderId="17" xfId="0" applyFont="1" applyFill="1" applyBorder="1" applyAlignment="1">
      <alignment horizontal="right" vertical="center" wrapText="1"/>
    </xf>
    <xf numFmtId="164" fontId="27" fillId="0" borderId="12" xfId="0" quotePrefix="1" applyNumberFormat="1" applyFont="1" applyBorder="1" applyAlignment="1">
      <alignment horizontal="center" vertical="center"/>
    </xf>
    <xf numFmtId="164" fontId="27" fillId="0" borderId="15" xfId="0" quotePrefix="1" applyNumberFormat="1" applyFont="1" applyBorder="1" applyAlignment="1">
      <alignment horizontal="center" vertical="center"/>
    </xf>
    <xf numFmtId="0" fontId="27" fillId="0" borderId="65" xfId="5" applyFont="1" applyBorder="1" applyAlignment="1">
      <alignment vertical="center" wrapText="1"/>
    </xf>
    <xf numFmtId="0" fontId="63" fillId="8" borderId="18" xfId="5" applyFont="1" applyFill="1" applyBorder="1" applyAlignment="1" applyProtection="1">
      <alignment horizontal="center" vertical="center"/>
      <protection locked="0"/>
    </xf>
    <xf numFmtId="0" fontId="27" fillId="6" borderId="18" xfId="5" applyFont="1" applyFill="1" applyBorder="1" applyAlignment="1">
      <alignment horizontal="center" vertical="center"/>
    </xf>
    <xf numFmtId="0" fontId="27" fillId="6" borderId="72" xfId="5" applyFont="1" applyFill="1" applyBorder="1" applyAlignment="1" applyProtection="1">
      <alignment horizontal="left" vertical="center"/>
      <protection locked="0"/>
    </xf>
    <xf numFmtId="0" fontId="27" fillId="6" borderId="33" xfId="5" applyFont="1" applyFill="1" applyBorder="1" applyAlignment="1" applyProtection="1">
      <alignment horizontal="left" vertical="center"/>
      <protection locked="0"/>
    </xf>
    <xf numFmtId="0" fontId="30" fillId="6" borderId="44" xfId="5" applyFont="1" applyFill="1" applyBorder="1" applyAlignment="1">
      <alignment horizontal="right" vertical="center"/>
    </xf>
    <xf numFmtId="0" fontId="30" fillId="6" borderId="38" xfId="5" applyFont="1" applyFill="1" applyBorder="1" applyAlignment="1">
      <alignment horizontal="right" vertical="center"/>
    </xf>
    <xf numFmtId="0" fontId="31" fillId="5" borderId="23" xfId="0" applyFont="1" applyFill="1" applyBorder="1" applyAlignment="1">
      <alignment horizontal="center" vertical="center" wrapText="1"/>
    </xf>
    <xf numFmtId="1" fontId="27" fillId="0" borderId="54" xfId="0" applyNumberFormat="1" applyFont="1" applyBorder="1" applyAlignment="1">
      <alignment horizontal="center" vertical="center"/>
    </xf>
    <xf numFmtId="0" fontId="27" fillId="0" borderId="2" xfId="0" applyFont="1" applyBorder="1" applyAlignment="1">
      <alignment horizontal="center" vertical="center"/>
    </xf>
    <xf numFmtId="0" fontId="27" fillId="0" borderId="51" xfId="0" applyFont="1" applyBorder="1" applyAlignment="1">
      <alignment horizontal="center" vertical="center"/>
    </xf>
    <xf numFmtId="1" fontId="27" fillId="0" borderId="54" xfId="0" applyNumberFormat="1" applyFont="1" applyBorder="1" applyAlignment="1">
      <alignment horizontal="left" vertical="center" wrapText="1"/>
    </xf>
    <xf numFmtId="0" fontId="27" fillId="0" borderId="51" xfId="0" applyFont="1" applyBorder="1" applyAlignment="1">
      <alignment horizontal="left" vertical="center" wrapText="1"/>
    </xf>
    <xf numFmtId="2" fontId="27" fillId="0" borderId="53" xfId="0" quotePrefix="1" applyNumberFormat="1" applyFont="1" applyBorder="1" applyAlignment="1">
      <alignment horizontal="center" vertical="center"/>
    </xf>
    <xf numFmtId="2" fontId="27" fillId="0" borderId="1" xfId="0" quotePrefix="1" applyNumberFormat="1" applyFont="1" applyBorder="1" applyAlignment="1">
      <alignment horizontal="center" vertical="center"/>
    </xf>
    <xf numFmtId="2" fontId="27" fillId="0" borderId="50" xfId="0" quotePrefix="1" applyNumberFormat="1" applyFont="1" applyBorder="1" applyAlignment="1">
      <alignment horizontal="center" vertical="center"/>
    </xf>
    <xf numFmtId="2" fontId="27" fillId="0" borderId="15" xfId="0" quotePrefix="1" applyNumberFormat="1" applyFont="1" applyBorder="1" applyAlignment="1">
      <alignment horizontal="center" vertical="center"/>
    </xf>
    <xf numFmtId="1" fontId="27" fillId="0" borderId="11" xfId="0" applyNumberFormat="1" applyFont="1" applyBorder="1" applyAlignment="1">
      <alignment horizontal="left" vertical="center" wrapText="1"/>
    </xf>
    <xf numFmtId="0" fontId="27" fillId="0" borderId="2" xfId="0" applyFont="1" applyBorder="1" applyAlignment="1">
      <alignment vertical="center" wrapText="1"/>
    </xf>
    <xf numFmtId="0" fontId="27" fillId="0" borderId="51" xfId="0" applyFont="1" applyBorder="1" applyAlignment="1">
      <alignment vertical="center" wrapText="1"/>
    </xf>
    <xf numFmtId="1" fontId="27" fillId="0" borderId="11" xfId="0" applyNumberFormat="1" applyFont="1" applyBorder="1" applyAlignment="1">
      <alignment horizontal="center" vertical="center"/>
    </xf>
    <xf numFmtId="0" fontId="27" fillId="0" borderId="30" xfId="0" applyFont="1" applyBorder="1" applyAlignment="1" applyProtection="1">
      <alignment horizontal="left" vertical="center" wrapText="1"/>
      <protection locked="0"/>
    </xf>
    <xf numFmtId="0" fontId="27" fillId="0" borderId="3" xfId="0" applyFont="1" applyBorder="1" applyAlignment="1" applyProtection="1">
      <alignment horizontal="left" vertical="center" wrapText="1"/>
      <protection locked="0"/>
    </xf>
    <xf numFmtId="0" fontId="27" fillId="0" borderId="52" xfId="0" applyFont="1" applyBorder="1" applyAlignment="1" applyProtection="1">
      <alignment horizontal="left" vertical="center" wrapText="1"/>
      <protection locked="0"/>
    </xf>
    <xf numFmtId="164" fontId="27" fillId="0" borderId="1" xfId="0" quotePrefix="1" applyNumberFormat="1" applyFont="1" applyBorder="1" applyAlignment="1">
      <alignment horizontal="center" vertical="center"/>
    </xf>
    <xf numFmtId="0" fontId="27" fillId="0" borderId="1" xfId="0" applyFont="1" applyBorder="1" applyAlignment="1">
      <alignment horizontal="center" vertical="center"/>
    </xf>
    <xf numFmtId="0" fontId="27" fillId="0" borderId="50" xfId="0" applyFont="1" applyBorder="1" applyAlignment="1">
      <alignment horizontal="center" vertical="center"/>
    </xf>
    <xf numFmtId="164" fontId="27" fillId="0" borderId="50" xfId="0" quotePrefix="1" applyNumberFormat="1" applyFont="1" applyBorder="1" applyAlignment="1">
      <alignment horizontal="center" vertical="center"/>
    </xf>
    <xf numFmtId="1" fontId="27" fillId="0" borderId="2" xfId="0" applyNumberFormat="1" applyFont="1" applyBorder="1" applyAlignment="1">
      <alignment horizontal="left" vertical="center" wrapText="1"/>
    </xf>
    <xf numFmtId="1" fontId="27" fillId="0" borderId="51" xfId="0" applyNumberFormat="1" applyFont="1" applyBorder="1" applyAlignment="1">
      <alignment horizontal="left" vertical="center" wrapText="1"/>
    </xf>
    <xf numFmtId="1" fontId="27" fillId="0" borderId="2" xfId="0" applyNumberFormat="1" applyFont="1" applyBorder="1" applyAlignment="1">
      <alignment horizontal="center" vertical="center"/>
    </xf>
    <xf numFmtId="1" fontId="27" fillId="0" borderId="51" xfId="0" applyNumberFormat="1" applyFont="1" applyBorder="1" applyAlignment="1">
      <alignment horizontal="center" vertical="center"/>
    </xf>
    <xf numFmtId="0" fontId="27" fillId="0" borderId="11" xfId="0" applyFont="1" applyBorder="1" applyAlignment="1">
      <alignment horizontal="left" vertical="center" wrapText="1"/>
    </xf>
    <xf numFmtId="2" fontId="27" fillId="0" borderId="12" xfId="0" quotePrefix="1" applyNumberFormat="1" applyFont="1" applyBorder="1" applyAlignment="1">
      <alignment horizontal="center" vertical="center"/>
    </xf>
    <xf numFmtId="2" fontId="27" fillId="0" borderId="14" xfId="0" quotePrefix="1" applyNumberFormat="1" applyFont="1" applyBorder="1" applyAlignment="1">
      <alignment horizontal="center" vertical="center"/>
    </xf>
    <xf numFmtId="2" fontId="27" fillId="0" borderId="57" xfId="0" quotePrefix="1" applyNumberFormat="1" applyFont="1" applyBorder="1" applyAlignment="1">
      <alignment horizontal="center" vertical="center"/>
    </xf>
    <xf numFmtId="0" fontId="30" fillId="5" borderId="1" xfId="0" applyFont="1" applyFill="1" applyBorder="1" applyAlignment="1">
      <alignment horizontal="right" vertical="center" wrapText="1"/>
    </xf>
    <xf numFmtId="0" fontId="30" fillId="5" borderId="2" xfId="0" applyFont="1" applyFill="1" applyBorder="1" applyAlignment="1">
      <alignment horizontal="right" vertical="center" wrapText="1"/>
    </xf>
    <xf numFmtId="0" fontId="27" fillId="0" borderId="55" xfId="0" applyFont="1" applyBorder="1" applyAlignment="1" applyProtection="1">
      <alignment horizontal="left" vertical="center" wrapText="1"/>
      <protection locked="0"/>
    </xf>
    <xf numFmtId="1" fontId="27" fillId="0" borderId="11" xfId="0" applyNumberFormat="1" applyFont="1" applyBorder="1" applyAlignment="1">
      <alignment horizontal="center" vertical="center" wrapText="1"/>
    </xf>
    <xf numFmtId="0" fontId="27" fillId="0" borderId="51" xfId="0" applyFont="1" applyBorder="1" applyAlignment="1">
      <alignment horizontal="center" vertical="center" wrapText="1"/>
    </xf>
    <xf numFmtId="164" fontId="27" fillId="0" borderId="56" xfId="0" quotePrefix="1" applyNumberFormat="1" applyFont="1" applyBorder="1" applyAlignment="1">
      <alignment horizontal="center" vertical="center"/>
    </xf>
    <xf numFmtId="164" fontId="27" fillId="0" borderId="14" xfId="0" quotePrefix="1" applyNumberFormat="1" applyFont="1" applyBorder="1" applyAlignment="1">
      <alignment horizontal="center" vertical="center"/>
    </xf>
    <xf numFmtId="164" fontId="27" fillId="0" borderId="57" xfId="0" quotePrefix="1" applyNumberFormat="1" applyFont="1" applyBorder="1" applyAlignment="1">
      <alignment horizontal="center" vertical="center"/>
    </xf>
    <xf numFmtId="164" fontId="27" fillId="0" borderId="12" xfId="0" applyNumberFormat="1" applyFont="1" applyBorder="1" applyAlignment="1">
      <alignment horizontal="center" vertical="center"/>
    </xf>
    <xf numFmtId="164" fontId="27" fillId="0" borderId="14" xfId="0" applyNumberFormat="1" applyFont="1" applyBorder="1" applyAlignment="1">
      <alignment horizontal="center" vertical="center"/>
    </xf>
    <xf numFmtId="164" fontId="27" fillId="0" borderId="57" xfId="0" applyNumberFormat="1" applyFont="1" applyBorder="1" applyAlignment="1">
      <alignment horizontal="center" vertical="center"/>
    </xf>
    <xf numFmtId="0" fontId="27" fillId="0" borderId="3" xfId="0" applyFont="1" applyBorder="1" applyAlignment="1" applyProtection="1">
      <alignment horizontal="left" vertical="center"/>
      <protection locked="0"/>
    </xf>
    <xf numFmtId="0" fontId="27" fillId="0" borderId="52" xfId="0" applyFont="1" applyBorder="1" applyAlignment="1" applyProtection="1">
      <alignment horizontal="left" vertical="center"/>
      <protection locked="0"/>
    </xf>
    <xf numFmtId="49" fontId="27" fillId="0" borderId="14" xfId="0" quotePrefix="1" applyNumberFormat="1" applyFont="1" applyBorder="1" applyAlignment="1">
      <alignment horizontal="center" vertical="center"/>
    </xf>
    <xf numFmtId="49" fontId="27" fillId="0" borderId="57" xfId="0" quotePrefix="1" applyNumberFormat="1" applyFont="1" applyBorder="1" applyAlignment="1">
      <alignment horizontal="center" vertical="center"/>
    </xf>
    <xf numFmtId="49" fontId="27" fillId="0" borderId="12" xfId="0" quotePrefix="1" applyNumberFormat="1" applyFont="1" applyBorder="1" applyAlignment="1">
      <alignment horizontal="center" vertical="center"/>
    </xf>
    <xf numFmtId="49" fontId="27" fillId="0" borderId="12" xfId="0" applyNumberFormat="1" applyFont="1" applyBorder="1" applyAlignment="1">
      <alignment horizontal="center" vertical="center"/>
    </xf>
    <xf numFmtId="49" fontId="27" fillId="0" borderId="14" xfId="0" applyNumberFormat="1" applyFont="1" applyBorder="1" applyAlignment="1">
      <alignment horizontal="center" vertical="center"/>
    </xf>
    <xf numFmtId="49" fontId="27" fillId="0" borderId="57" xfId="0" applyNumberFormat="1" applyFont="1" applyBorder="1" applyAlignment="1">
      <alignment horizontal="center" vertical="center"/>
    </xf>
    <xf numFmtId="0" fontId="27" fillId="0" borderId="11" xfId="0" applyFont="1" applyBorder="1" applyAlignment="1">
      <alignment horizontal="center" vertical="center" wrapText="1"/>
    </xf>
    <xf numFmtId="0" fontId="27" fillId="0" borderId="30" xfId="0" applyFont="1" applyBorder="1" applyAlignment="1">
      <alignment horizontal="left" vertical="center" wrapText="1"/>
    </xf>
    <xf numFmtId="0" fontId="27" fillId="0" borderId="52" xfId="0" applyFont="1" applyBorder="1" applyAlignment="1">
      <alignment horizontal="left" vertical="center" wrapText="1"/>
    </xf>
    <xf numFmtId="0" fontId="27" fillId="0" borderId="19" xfId="0" applyFont="1" applyBorder="1" applyAlignment="1">
      <alignment horizontal="left" vertical="center" wrapText="1"/>
    </xf>
    <xf numFmtId="0" fontId="27" fillId="0" borderId="29" xfId="0" applyFont="1" applyBorder="1" applyAlignment="1">
      <alignment horizontal="left" vertical="center" wrapText="1"/>
    </xf>
    <xf numFmtId="0" fontId="27" fillId="0" borderId="59" xfId="0" applyFont="1" applyBorder="1" applyAlignment="1">
      <alignment horizontal="left" vertical="center" wrapText="1"/>
    </xf>
    <xf numFmtId="0" fontId="27" fillId="0" borderId="58" xfId="0" applyFont="1" applyBorder="1" applyAlignment="1">
      <alignment horizontal="center" vertical="center" wrapText="1"/>
    </xf>
    <xf numFmtId="0" fontId="27" fillId="0" borderId="10" xfId="0" applyFont="1" applyBorder="1" applyAlignment="1">
      <alignment horizontal="center" vertical="center"/>
    </xf>
    <xf numFmtId="0" fontId="27" fillId="0" borderId="58" xfId="0" applyFont="1" applyBorder="1" applyAlignment="1">
      <alignment horizontal="center" vertical="center"/>
    </xf>
    <xf numFmtId="2" fontId="31" fillId="5" borderId="23" xfId="0" applyNumberFormat="1" applyFont="1" applyFill="1" applyBorder="1" applyAlignment="1">
      <alignment horizontal="right" vertical="center"/>
    </xf>
    <xf numFmtId="2" fontId="31" fillId="5" borderId="20" xfId="0" applyNumberFormat="1" applyFont="1" applyFill="1" applyBorder="1" applyAlignment="1">
      <alignment horizontal="right" vertical="center"/>
    </xf>
    <xf numFmtId="0" fontId="27" fillId="0" borderId="13" xfId="0" applyFont="1" applyBorder="1" applyAlignment="1">
      <alignment horizontal="center" vertical="center"/>
    </xf>
    <xf numFmtId="0" fontId="31" fillId="5" borderId="1" xfId="0" applyFont="1" applyFill="1" applyBorder="1" applyAlignment="1">
      <alignment horizontal="right" vertical="center"/>
    </xf>
    <xf numFmtId="0" fontId="31" fillId="5" borderId="2" xfId="0" applyFont="1" applyFill="1" applyBorder="1" applyAlignment="1">
      <alignment horizontal="right" vertical="center"/>
    </xf>
    <xf numFmtId="0" fontId="44" fillId="5" borderId="3" xfId="0" applyFont="1" applyFill="1" applyBorder="1" applyAlignment="1">
      <alignment horizontal="center" vertical="center"/>
    </xf>
    <xf numFmtId="49" fontId="31" fillId="5" borderId="47" xfId="0" applyNumberFormat="1" applyFont="1" applyFill="1" applyBorder="1" applyAlignment="1">
      <alignment horizontal="center" vertical="center" wrapText="1"/>
    </xf>
    <xf numFmtId="49" fontId="31" fillId="5" borderId="48" xfId="0" applyNumberFormat="1" applyFont="1" applyFill="1" applyBorder="1" applyAlignment="1">
      <alignment horizontal="center" vertical="center" wrapText="1"/>
    </xf>
    <xf numFmtId="49" fontId="31" fillId="5" borderId="49" xfId="0" applyNumberFormat="1" applyFont="1" applyFill="1" applyBorder="1" applyAlignment="1">
      <alignment horizontal="center" vertical="center" wrapText="1"/>
    </xf>
    <xf numFmtId="0" fontId="38" fillId="0" borderId="62" xfId="0" applyFont="1" applyBorder="1" applyAlignment="1">
      <alignment horizontal="left" vertical="center" wrapText="1"/>
    </xf>
    <xf numFmtId="0" fontId="38" fillId="0" borderId="29" xfId="0" applyFont="1" applyBorder="1" applyAlignment="1">
      <alignment horizontal="left" vertical="center" wrapText="1"/>
    </xf>
    <xf numFmtId="0" fontId="44" fillId="5" borderId="2" xfId="0" applyFont="1" applyFill="1" applyBorder="1" applyAlignment="1">
      <alignment horizontal="center" vertical="center" wrapText="1"/>
    </xf>
    <xf numFmtId="2" fontId="38" fillId="5" borderId="2" xfId="0" applyNumberFormat="1" applyFont="1" applyFill="1" applyBorder="1" applyAlignment="1">
      <alignment horizontal="center" vertical="center" wrapText="1"/>
    </xf>
    <xf numFmtId="0" fontId="38" fillId="5" borderId="2" xfId="0" applyFont="1" applyFill="1" applyBorder="1" applyAlignment="1">
      <alignment horizontal="center" vertical="center" wrapText="1"/>
    </xf>
    <xf numFmtId="164" fontId="38" fillId="0" borderId="12" xfId="0" applyNumberFormat="1" applyFont="1" applyBorder="1" applyAlignment="1">
      <alignment horizontal="center" vertical="center" wrapText="1"/>
    </xf>
    <xf numFmtId="164" fontId="38" fillId="0" borderId="14" xfId="0" applyNumberFormat="1" applyFont="1" applyBorder="1" applyAlignment="1">
      <alignment horizontal="center" vertical="center" wrapText="1"/>
    </xf>
    <xf numFmtId="164" fontId="38" fillId="0" borderId="57" xfId="0" applyNumberFormat="1" applyFont="1" applyBorder="1" applyAlignment="1">
      <alignment horizontal="center" vertical="center" wrapText="1"/>
    </xf>
    <xf numFmtId="0" fontId="38" fillId="0" borderId="54" xfId="0" applyFont="1" applyBorder="1" applyAlignment="1">
      <alignment vertical="center"/>
    </xf>
    <xf numFmtId="0" fontId="38" fillId="0" borderId="2" xfId="0" applyFont="1" applyBorder="1" applyAlignment="1">
      <alignment vertical="center"/>
    </xf>
    <xf numFmtId="0" fontId="38" fillId="0" borderId="51" xfId="0" applyFont="1" applyBorder="1" applyAlignment="1">
      <alignment vertical="center"/>
    </xf>
    <xf numFmtId="164" fontId="38" fillId="0" borderId="53" xfId="0" applyNumberFormat="1" applyFont="1" applyBorder="1" applyAlignment="1">
      <alignment horizontal="center" vertical="center"/>
    </xf>
    <xf numFmtId="164" fontId="38" fillId="0" borderId="1" xfId="0" applyNumberFormat="1" applyFont="1" applyBorder="1" applyAlignment="1">
      <alignment horizontal="center" vertical="center"/>
    </xf>
    <xf numFmtId="164" fontId="38" fillId="0" borderId="50" xfId="0" applyNumberFormat="1" applyFont="1" applyBorder="1" applyAlignment="1">
      <alignment horizontal="center" vertical="center"/>
    </xf>
    <xf numFmtId="2" fontId="44" fillId="5" borderId="1" xfId="0" applyNumberFormat="1" applyFont="1" applyFill="1" applyBorder="1" applyAlignment="1">
      <alignment horizontal="center" vertical="center" wrapText="1"/>
    </xf>
    <xf numFmtId="0" fontId="38" fillId="0" borderId="32" xfId="0" applyFont="1" applyBorder="1" applyAlignment="1">
      <alignment vertical="center" wrapText="1"/>
    </xf>
    <xf numFmtId="0" fontId="38" fillId="0" borderId="37" xfId="0" applyFont="1" applyBorder="1" applyAlignment="1">
      <alignment vertical="center" wrapText="1"/>
    </xf>
    <xf numFmtId="0" fontId="38" fillId="0" borderId="61" xfId="0" applyFont="1" applyBorder="1" applyAlignment="1">
      <alignment vertical="center" wrapText="1"/>
    </xf>
    <xf numFmtId="0" fontId="4" fillId="0" borderId="30" xfId="0" applyFont="1" applyBorder="1" applyAlignment="1">
      <alignment vertical="center" wrapText="1"/>
    </xf>
    <xf numFmtId="0" fontId="4" fillId="0" borderId="3" xfId="0" applyFont="1" applyBorder="1" applyAlignment="1">
      <alignment vertical="center" wrapText="1"/>
    </xf>
    <xf numFmtId="0" fontId="4" fillId="0" borderId="52" xfId="0" applyFont="1" applyBorder="1" applyAlignment="1">
      <alignment vertical="center" wrapText="1"/>
    </xf>
    <xf numFmtId="0" fontId="38" fillId="0" borderId="2" xfId="0" applyFont="1" applyBorder="1" applyAlignment="1">
      <alignment horizontal="center" vertical="center" wrapText="1"/>
    </xf>
    <xf numFmtId="0" fontId="38" fillId="0" borderId="51" xfId="0" applyFont="1" applyBorder="1" applyAlignment="1">
      <alignment horizontal="center" vertical="center" wrapText="1"/>
    </xf>
    <xf numFmtId="0" fontId="38" fillId="0" borderId="13" xfId="0" applyFont="1" applyBorder="1" applyAlignment="1">
      <alignment horizontal="center" vertical="center" wrapText="1"/>
    </xf>
    <xf numFmtId="0" fontId="38" fillId="0" borderId="10" xfId="0" applyFont="1" applyBorder="1" applyAlignment="1">
      <alignment horizontal="center" vertical="center" wrapText="1"/>
    </xf>
    <xf numFmtId="0" fontId="38" fillId="0" borderId="58" xfId="0" applyFont="1" applyBorder="1" applyAlignment="1">
      <alignment horizontal="center" vertical="center" wrapText="1"/>
    </xf>
    <xf numFmtId="0" fontId="38" fillId="0" borderId="13" xfId="0" applyFont="1" applyBorder="1" applyAlignment="1">
      <alignment horizontal="left" vertical="center" wrapText="1"/>
    </xf>
    <xf numFmtId="0" fontId="38" fillId="0" borderId="10" xfId="0" applyFont="1" applyBorder="1" applyAlignment="1">
      <alignment horizontal="left" vertical="center" wrapText="1"/>
    </xf>
    <xf numFmtId="0" fontId="38" fillId="0" borderId="58" xfId="0" applyFont="1" applyBorder="1" applyAlignment="1">
      <alignment horizontal="left" vertical="center" wrapText="1"/>
    </xf>
    <xf numFmtId="0" fontId="38" fillId="0" borderId="30" xfId="0" applyFont="1" applyBorder="1" applyAlignment="1">
      <alignment vertical="center" wrapText="1"/>
    </xf>
    <xf numFmtId="0" fontId="38" fillId="0" borderId="52" xfId="0" applyFont="1" applyBorder="1" applyAlignment="1">
      <alignment vertical="center" wrapText="1"/>
    </xf>
    <xf numFmtId="0" fontId="4" fillId="0" borderId="11" xfId="0" applyFont="1" applyBorder="1" applyAlignment="1">
      <alignment horizontal="center" vertical="center" wrapText="1"/>
    </xf>
    <xf numFmtId="0" fontId="4" fillId="0" borderId="51" xfId="0" applyFont="1" applyBorder="1" applyAlignment="1">
      <alignment horizontal="center" vertical="center" wrapText="1"/>
    </xf>
    <xf numFmtId="0" fontId="38" fillId="0" borderId="11" xfId="0" applyFont="1" applyBorder="1" applyAlignment="1">
      <alignment vertical="center" wrapText="1"/>
    </xf>
    <xf numFmtId="0" fontId="38" fillId="0" borderId="51" xfId="0" applyFont="1" applyBorder="1" applyAlignment="1">
      <alignment vertical="center" wrapText="1"/>
    </xf>
    <xf numFmtId="164" fontId="38" fillId="0" borderId="15" xfId="0" applyNumberFormat="1" applyFont="1" applyBorder="1" applyAlignment="1">
      <alignment horizontal="center" vertical="center" wrapText="1"/>
    </xf>
    <xf numFmtId="164" fontId="38" fillId="0" borderId="50" xfId="0" applyNumberFormat="1" applyFont="1" applyBorder="1" applyAlignment="1">
      <alignment horizontal="center" vertical="center" wrapText="1"/>
    </xf>
    <xf numFmtId="0" fontId="4" fillId="0" borderId="30" xfId="3" applyFont="1" applyBorder="1" applyAlignment="1">
      <alignment horizontal="left" vertical="center" wrapText="1"/>
    </xf>
    <xf numFmtId="0" fontId="38" fillId="0" borderId="52" xfId="0" applyFont="1" applyBorder="1" applyAlignment="1">
      <alignment horizontal="left" vertical="center" wrapText="1"/>
    </xf>
    <xf numFmtId="0" fontId="38" fillId="0" borderId="11" xfId="0" applyFont="1" applyBorder="1" applyAlignment="1">
      <alignment horizontal="center" vertical="center" wrapText="1"/>
    </xf>
    <xf numFmtId="0" fontId="38" fillId="0" borderId="3" xfId="0" applyFont="1" applyBorder="1" applyAlignment="1">
      <alignment vertical="center" wrapText="1"/>
    </xf>
    <xf numFmtId="0" fontId="4" fillId="0" borderId="2" xfId="0" applyFont="1" applyBorder="1" applyAlignment="1">
      <alignment horizontal="center" vertical="center" wrapText="1"/>
    </xf>
    <xf numFmtId="0" fontId="38" fillId="0" borderId="2" xfId="0" applyFont="1" applyBorder="1" applyAlignment="1">
      <alignment vertical="center" wrapText="1"/>
    </xf>
    <xf numFmtId="164" fontId="38" fillId="0" borderId="1" xfId="0" applyNumberFormat="1" applyFont="1" applyBorder="1" applyAlignment="1">
      <alignment horizontal="center" vertical="center" wrapText="1"/>
    </xf>
    <xf numFmtId="0" fontId="38" fillId="0" borderId="11" xfId="0" applyFont="1" applyBorder="1" applyAlignment="1">
      <alignment horizontal="left" vertical="center" wrapText="1"/>
    </xf>
    <xf numFmtId="0" fontId="38" fillId="0" borderId="2" xfId="0" applyFont="1" applyBorder="1" applyAlignment="1">
      <alignment horizontal="left" vertical="center" wrapText="1"/>
    </xf>
    <xf numFmtId="0" fontId="38" fillId="0" borderId="51" xfId="0" applyFont="1" applyBorder="1" applyAlignment="1">
      <alignment horizontal="left" vertical="center" wrapText="1"/>
    </xf>
    <xf numFmtId="2" fontId="38" fillId="0" borderId="14" xfId="0" applyNumberFormat="1" applyFont="1" applyBorder="1" applyAlignment="1">
      <alignment horizontal="center" vertical="center"/>
    </xf>
    <xf numFmtId="2" fontId="38" fillId="0" borderId="15" xfId="0" applyNumberFormat="1" applyFont="1" applyBorder="1" applyAlignment="1">
      <alignment horizontal="center" vertical="center"/>
    </xf>
    <xf numFmtId="2" fontId="38" fillId="0" borderId="15" xfId="0" applyNumberFormat="1" applyFont="1" applyBorder="1" applyAlignment="1">
      <alignment horizontal="center" vertical="center" wrapText="1"/>
    </xf>
    <xf numFmtId="2" fontId="38" fillId="0" borderId="1" xfId="0" applyNumberFormat="1" applyFont="1" applyBorder="1" applyAlignment="1">
      <alignment horizontal="center" vertical="center" wrapText="1"/>
    </xf>
    <xf numFmtId="2" fontId="38" fillId="0" borderId="50" xfId="0" applyNumberFormat="1" applyFont="1" applyBorder="1" applyAlignment="1">
      <alignment horizontal="center" vertical="center" wrapText="1"/>
    </xf>
    <xf numFmtId="0" fontId="31" fillId="5" borderId="1" xfId="4" applyFont="1" applyFill="1" applyBorder="1" applyAlignment="1">
      <alignment horizontal="right" vertical="center"/>
    </xf>
    <xf numFmtId="0" fontId="31" fillId="5" borderId="2" xfId="4" applyFont="1" applyFill="1" applyBorder="1" applyAlignment="1">
      <alignment horizontal="right" vertical="center"/>
    </xf>
    <xf numFmtId="0" fontId="30" fillId="0" borderId="1" xfId="4" applyFont="1" applyBorder="1" applyAlignment="1">
      <alignment horizontal="center" vertical="center"/>
    </xf>
    <xf numFmtId="0" fontId="30" fillId="0" borderId="2" xfId="4" applyFont="1" applyBorder="1" applyAlignment="1">
      <alignment horizontal="center" vertical="center"/>
    </xf>
    <xf numFmtId="0" fontId="31" fillId="5" borderId="2" xfId="4" applyFont="1" applyFill="1" applyBorder="1" applyAlignment="1">
      <alignment horizontal="left" vertical="center"/>
    </xf>
    <xf numFmtId="0" fontId="14" fillId="5" borderId="2" xfId="4" applyFont="1" applyFill="1" applyBorder="1" applyAlignment="1">
      <alignment horizontal="left" vertical="center"/>
    </xf>
    <xf numFmtId="0" fontId="14" fillId="5" borderId="2" xfId="4" applyFont="1" applyFill="1" applyBorder="1" applyAlignment="1">
      <alignment vertical="center"/>
    </xf>
    <xf numFmtId="49" fontId="31" fillId="5" borderId="2" xfId="0" applyNumberFormat="1" applyFont="1" applyFill="1" applyBorder="1" applyAlignment="1">
      <alignment horizontal="left" vertical="center" wrapText="1"/>
    </xf>
    <xf numFmtId="0" fontId="14" fillId="5" borderId="2" xfId="0" applyFont="1" applyFill="1" applyBorder="1" applyAlignment="1">
      <alignment vertical="center" wrapText="1"/>
    </xf>
    <xf numFmtId="49" fontId="31" fillId="5" borderId="1" xfId="0" applyNumberFormat="1" applyFont="1" applyFill="1" applyBorder="1" applyAlignment="1">
      <alignment horizontal="right" vertical="center" wrapText="1"/>
    </xf>
    <xf numFmtId="0" fontId="14" fillId="5" borderId="2" xfId="0" applyFont="1" applyFill="1" applyBorder="1" applyAlignment="1">
      <alignment horizontal="right" vertical="center" wrapText="1"/>
    </xf>
    <xf numFmtId="2" fontId="31" fillId="5" borderId="2" xfId="0" applyNumberFormat="1" applyFont="1" applyFill="1" applyBorder="1" applyAlignment="1">
      <alignment horizontal="left" vertical="center" wrapText="1"/>
    </xf>
    <xf numFmtId="0" fontId="14" fillId="5" borderId="2" xfId="0" applyFont="1" applyFill="1" applyBorder="1" applyAlignment="1">
      <alignment horizontal="left" vertical="center" wrapText="1"/>
    </xf>
    <xf numFmtId="0" fontId="30" fillId="0" borderId="1" xfId="0" applyFont="1" applyBorder="1" applyAlignment="1">
      <alignment horizontal="right" vertical="center" wrapText="1"/>
    </xf>
    <xf numFmtId="0" fontId="27" fillId="0" borderId="2" xfId="0" applyFont="1" applyBorder="1" applyAlignment="1">
      <alignment vertical="center"/>
    </xf>
    <xf numFmtId="0" fontId="27" fillId="0" borderId="3" xfId="0" applyFont="1" applyBorder="1" applyAlignment="1">
      <alignment vertical="center"/>
    </xf>
    <xf numFmtId="2" fontId="31" fillId="5" borderId="2" xfId="0" applyNumberFormat="1" applyFont="1" applyFill="1" applyBorder="1" applyAlignment="1">
      <alignment horizontal="right" vertical="center" wrapText="1"/>
    </xf>
    <xf numFmtId="0" fontId="14" fillId="5" borderId="2" xfId="0" applyFont="1" applyFill="1" applyBorder="1" applyAlignment="1">
      <alignment vertical="center"/>
    </xf>
    <xf numFmtId="0" fontId="31" fillId="5" borderId="2" xfId="0" applyFont="1" applyFill="1" applyBorder="1" applyAlignment="1">
      <alignment horizontal="left" vertical="center" wrapText="1"/>
    </xf>
    <xf numFmtId="0" fontId="14" fillId="5" borderId="3" xfId="0" applyFont="1" applyFill="1" applyBorder="1" applyAlignment="1">
      <alignment vertical="center" wrapText="1"/>
    </xf>
  </cellXfs>
  <cellStyles count="17">
    <cellStyle name="Hyperlink" xfId="1" builtinId="8"/>
    <cellStyle name="Normal" xfId="0" builtinId="0"/>
    <cellStyle name="Normal 2" xfId="2" xr:uid="{00000000-0005-0000-0000-000002000000}"/>
    <cellStyle name="Normal 2 2" xfId="5" xr:uid="{00000000-0005-0000-0000-000003000000}"/>
    <cellStyle name="Normal 3" xfId="3" xr:uid="{00000000-0005-0000-0000-000004000000}"/>
    <cellStyle name="Normal 3 2" xfId="7" xr:uid="{00000000-0005-0000-0000-000005000000}"/>
    <cellStyle name="Normal 3 2 2" xfId="10" xr:uid="{00000000-0005-0000-0000-000006000000}"/>
    <cellStyle name="Normal 3 2 2 2" xfId="15" xr:uid="{6EBAC36B-DFCE-4541-9198-7F619601FCC3}"/>
    <cellStyle name="Normal 3 2 3" xfId="13" xr:uid="{8D5EE5A9-7180-48E3-AAEA-12B513918ED8}"/>
    <cellStyle name="Normal 3 3" xfId="9" xr:uid="{00000000-0005-0000-0000-000007000000}"/>
    <cellStyle name="Normal 3 3 2" xfId="14" xr:uid="{F6C146AF-D7A7-46FD-BCC6-EB46368EA1E5}"/>
    <cellStyle name="Normal 3 4" xfId="12" xr:uid="{99771A26-FFC3-4B16-98E2-6D102604A3C3}"/>
    <cellStyle name="Normal 4" xfId="4" xr:uid="{00000000-0005-0000-0000-000008000000}"/>
    <cellStyle name="Normal 5" xfId="6" xr:uid="{00000000-0005-0000-0000-000009000000}"/>
    <cellStyle name="Normal 6" xfId="8" xr:uid="{00000000-0005-0000-0000-00000A000000}"/>
    <cellStyle name="Normal 7" xfId="11" xr:uid="{50C992A9-6DE8-4B6B-94FC-2DA38FCFF850}"/>
    <cellStyle name="Normal 7 2" xfId="16" xr:uid="{EFBAFC68-B1FD-4922-B203-B5F27F4D8020}"/>
  </cellStyles>
  <dxfs count="5">
    <dxf>
      <font>
        <b/>
        <i val="0"/>
        <color theme="0"/>
      </font>
      <fill>
        <patternFill>
          <bgColor theme="1" tint="0.24994659260841701"/>
        </patternFill>
      </fill>
      <border>
        <top style="thin">
          <color auto="1"/>
        </top>
      </border>
    </dxf>
    <dxf>
      <font>
        <b/>
        <i val="0"/>
        <color theme="0"/>
      </font>
      <fill>
        <patternFill>
          <bgColor theme="1" tint="0.34998626667073579"/>
        </patternFill>
      </fill>
      <border>
        <top style="thin">
          <color auto="1"/>
        </top>
        <bottom style="thin">
          <color auto="1"/>
        </bottom>
      </border>
    </dxf>
    <dxf>
      <font>
        <b/>
        <i val="0"/>
        <color theme="1"/>
      </font>
      <fill>
        <patternFill>
          <bgColor theme="0" tint="-0.34998626667073579"/>
        </patternFill>
      </fill>
      <border>
        <top style="thin">
          <color auto="1"/>
        </top>
        <bottom style="thin">
          <color auto="1"/>
        </bottom>
      </border>
    </dxf>
    <dxf>
      <font>
        <b/>
        <i val="0"/>
        <color theme="1"/>
      </font>
    </dxf>
    <dxf>
      <font>
        <b val="0"/>
        <i/>
        <color theme="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22</xdr:col>
      <xdr:colOff>371475</xdr:colOff>
      <xdr:row>46</xdr:row>
      <xdr:rowOff>0</xdr:rowOff>
    </xdr:from>
    <xdr:to>
      <xdr:col>23</xdr:col>
      <xdr:colOff>276225</xdr:colOff>
      <xdr:row>46</xdr:row>
      <xdr:rowOff>0</xdr:rowOff>
    </xdr:to>
    <xdr:sp macro="" textlink="">
      <xdr:nvSpPr>
        <xdr:cNvPr id="2" name="Rectangle 222">
          <a:extLst>
            <a:ext uri="{FF2B5EF4-FFF2-40B4-BE49-F238E27FC236}">
              <a16:creationId xmlns:a16="http://schemas.microsoft.com/office/drawing/2014/main" id="{7EBED4D8-F59C-4716-93AF-FAE3C4CEA0CA}"/>
            </a:ext>
          </a:extLst>
        </xdr:cNvPr>
        <xdr:cNvSpPr>
          <a:spLocks noChangeArrowheads="1"/>
        </xdr:cNvSpPr>
      </xdr:nvSpPr>
      <xdr:spPr bwMode="auto">
        <a:xfrm>
          <a:off x="18964275" y="1183386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46</xdr:row>
      <xdr:rowOff>0</xdr:rowOff>
    </xdr:from>
    <xdr:to>
      <xdr:col>23</xdr:col>
      <xdr:colOff>276225</xdr:colOff>
      <xdr:row>46</xdr:row>
      <xdr:rowOff>0</xdr:rowOff>
    </xdr:to>
    <xdr:sp macro="" textlink="">
      <xdr:nvSpPr>
        <xdr:cNvPr id="3" name="Rectangle 224">
          <a:extLst>
            <a:ext uri="{FF2B5EF4-FFF2-40B4-BE49-F238E27FC236}">
              <a16:creationId xmlns:a16="http://schemas.microsoft.com/office/drawing/2014/main" id="{9C9A40AF-4085-4DF3-979F-986EE394C3C8}"/>
            </a:ext>
          </a:extLst>
        </xdr:cNvPr>
        <xdr:cNvSpPr>
          <a:spLocks noChangeArrowheads="1"/>
        </xdr:cNvSpPr>
      </xdr:nvSpPr>
      <xdr:spPr bwMode="auto">
        <a:xfrm>
          <a:off x="18964275" y="1183386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48</xdr:row>
      <xdr:rowOff>0</xdr:rowOff>
    </xdr:from>
    <xdr:to>
      <xdr:col>23</xdr:col>
      <xdr:colOff>276225</xdr:colOff>
      <xdr:row>48</xdr:row>
      <xdr:rowOff>0</xdr:rowOff>
    </xdr:to>
    <xdr:sp macro="" textlink="">
      <xdr:nvSpPr>
        <xdr:cNvPr id="4" name="Rectangle 222">
          <a:extLst>
            <a:ext uri="{FF2B5EF4-FFF2-40B4-BE49-F238E27FC236}">
              <a16:creationId xmlns:a16="http://schemas.microsoft.com/office/drawing/2014/main" id="{874788E7-A1D0-4668-A5D6-2569EBDCB308}"/>
            </a:ext>
          </a:extLst>
        </xdr:cNvPr>
        <xdr:cNvSpPr>
          <a:spLocks noChangeArrowheads="1"/>
        </xdr:cNvSpPr>
      </xdr:nvSpPr>
      <xdr:spPr bwMode="auto">
        <a:xfrm>
          <a:off x="18964275" y="1218438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48</xdr:row>
      <xdr:rowOff>0</xdr:rowOff>
    </xdr:from>
    <xdr:to>
      <xdr:col>23</xdr:col>
      <xdr:colOff>276225</xdr:colOff>
      <xdr:row>48</xdr:row>
      <xdr:rowOff>0</xdr:rowOff>
    </xdr:to>
    <xdr:sp macro="" textlink="">
      <xdr:nvSpPr>
        <xdr:cNvPr id="5" name="Rectangle 224">
          <a:extLst>
            <a:ext uri="{FF2B5EF4-FFF2-40B4-BE49-F238E27FC236}">
              <a16:creationId xmlns:a16="http://schemas.microsoft.com/office/drawing/2014/main" id="{90FB73E0-3EB1-4CA9-AFB0-BC2784079232}"/>
            </a:ext>
          </a:extLst>
        </xdr:cNvPr>
        <xdr:cNvSpPr>
          <a:spLocks noChangeArrowheads="1"/>
        </xdr:cNvSpPr>
      </xdr:nvSpPr>
      <xdr:spPr bwMode="auto">
        <a:xfrm>
          <a:off x="18964275" y="1218438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48</xdr:row>
      <xdr:rowOff>0</xdr:rowOff>
    </xdr:from>
    <xdr:to>
      <xdr:col>23</xdr:col>
      <xdr:colOff>276225</xdr:colOff>
      <xdr:row>48</xdr:row>
      <xdr:rowOff>0</xdr:rowOff>
    </xdr:to>
    <xdr:sp macro="" textlink="">
      <xdr:nvSpPr>
        <xdr:cNvPr id="6" name="Rectangle 222">
          <a:extLst>
            <a:ext uri="{FF2B5EF4-FFF2-40B4-BE49-F238E27FC236}">
              <a16:creationId xmlns:a16="http://schemas.microsoft.com/office/drawing/2014/main" id="{A67CE11F-101D-4CC3-BD5E-2B0EFABB54FD}"/>
            </a:ext>
          </a:extLst>
        </xdr:cNvPr>
        <xdr:cNvSpPr>
          <a:spLocks noChangeArrowheads="1"/>
        </xdr:cNvSpPr>
      </xdr:nvSpPr>
      <xdr:spPr bwMode="auto">
        <a:xfrm>
          <a:off x="18964275" y="1218438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48</xdr:row>
      <xdr:rowOff>0</xdr:rowOff>
    </xdr:from>
    <xdr:to>
      <xdr:col>23</xdr:col>
      <xdr:colOff>276225</xdr:colOff>
      <xdr:row>48</xdr:row>
      <xdr:rowOff>0</xdr:rowOff>
    </xdr:to>
    <xdr:sp macro="" textlink="">
      <xdr:nvSpPr>
        <xdr:cNvPr id="7" name="Rectangle 224">
          <a:extLst>
            <a:ext uri="{FF2B5EF4-FFF2-40B4-BE49-F238E27FC236}">
              <a16:creationId xmlns:a16="http://schemas.microsoft.com/office/drawing/2014/main" id="{D1330087-AFDB-48BF-A641-CEAADB2971C1}"/>
            </a:ext>
          </a:extLst>
        </xdr:cNvPr>
        <xdr:cNvSpPr>
          <a:spLocks noChangeArrowheads="1"/>
        </xdr:cNvSpPr>
      </xdr:nvSpPr>
      <xdr:spPr bwMode="auto">
        <a:xfrm>
          <a:off x="18964275" y="1218438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770853</xdr:colOff>
      <xdr:row>10</xdr:row>
      <xdr:rowOff>129540</xdr:rowOff>
    </xdr:from>
    <xdr:to>
      <xdr:col>0</xdr:col>
      <xdr:colOff>6898677</xdr:colOff>
      <xdr:row>10</xdr:row>
      <xdr:rowOff>2183130</xdr:rowOff>
    </xdr:to>
    <xdr:pic>
      <xdr:nvPicPr>
        <xdr:cNvPr id="22918" name="Picture 2">
          <a:extLst>
            <a:ext uri="{FF2B5EF4-FFF2-40B4-BE49-F238E27FC236}">
              <a16:creationId xmlns:a16="http://schemas.microsoft.com/office/drawing/2014/main" id="{00000000-0008-0000-1100-0000865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770853" y="3510915"/>
          <a:ext cx="6127824" cy="205359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777240</xdr:colOff>
      <xdr:row>24</xdr:row>
      <xdr:rowOff>148805</xdr:rowOff>
    </xdr:from>
    <xdr:to>
      <xdr:col>0</xdr:col>
      <xdr:colOff>6915150</xdr:colOff>
      <xdr:row>36</xdr:row>
      <xdr:rowOff>148374</xdr:rowOff>
    </xdr:to>
    <xdr:pic>
      <xdr:nvPicPr>
        <xdr:cNvPr id="17797" name="Picture 2">
          <a:extLst>
            <a:ext uri="{FF2B5EF4-FFF2-40B4-BE49-F238E27FC236}">
              <a16:creationId xmlns:a16="http://schemas.microsoft.com/office/drawing/2014/main" id="{00000000-0008-0000-1C00-0000854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777240" y="5263730"/>
          <a:ext cx="6137910" cy="20569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849630</xdr:colOff>
      <xdr:row>25</xdr:row>
      <xdr:rowOff>108341</xdr:rowOff>
    </xdr:from>
    <xdr:to>
      <xdr:col>0</xdr:col>
      <xdr:colOff>6987540</xdr:colOff>
      <xdr:row>37</xdr:row>
      <xdr:rowOff>115792</xdr:rowOff>
    </xdr:to>
    <xdr:pic>
      <xdr:nvPicPr>
        <xdr:cNvPr id="16773" name="Picture 2">
          <a:extLst>
            <a:ext uri="{FF2B5EF4-FFF2-40B4-BE49-F238E27FC236}">
              <a16:creationId xmlns:a16="http://schemas.microsoft.com/office/drawing/2014/main" id="{00000000-0008-0000-1F00-0000854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49630" y="5383220"/>
          <a:ext cx="6137910" cy="20569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838200</xdr:colOff>
      <xdr:row>22</xdr:row>
      <xdr:rowOff>168483</xdr:rowOff>
    </xdr:from>
    <xdr:to>
      <xdr:col>0</xdr:col>
      <xdr:colOff>6983730</xdr:colOff>
      <xdr:row>34</xdr:row>
      <xdr:rowOff>170606</xdr:rowOff>
    </xdr:to>
    <xdr:pic>
      <xdr:nvPicPr>
        <xdr:cNvPr id="18821" name="Picture 2">
          <a:extLst>
            <a:ext uri="{FF2B5EF4-FFF2-40B4-BE49-F238E27FC236}">
              <a16:creationId xmlns:a16="http://schemas.microsoft.com/office/drawing/2014/main" id="{00000000-0008-0000-2200-00008549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838200" y="4940508"/>
          <a:ext cx="6145530" cy="205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20</xdr:col>
      <xdr:colOff>371475</xdr:colOff>
      <xdr:row>24</xdr:row>
      <xdr:rowOff>728</xdr:rowOff>
    </xdr:from>
    <xdr:to>
      <xdr:col>21</xdr:col>
      <xdr:colOff>276225</xdr:colOff>
      <xdr:row>24</xdr:row>
      <xdr:rowOff>728</xdr:rowOff>
    </xdr:to>
    <xdr:sp macro="" textlink="">
      <xdr:nvSpPr>
        <xdr:cNvPr id="2" name="Rectangle 222">
          <a:extLst>
            <a:ext uri="{FF2B5EF4-FFF2-40B4-BE49-F238E27FC236}">
              <a16:creationId xmlns:a16="http://schemas.microsoft.com/office/drawing/2014/main" id="{4C83B3CB-46E6-42F6-A31B-46E78570B37D}"/>
            </a:ext>
          </a:extLst>
        </xdr:cNvPr>
        <xdr:cNvSpPr>
          <a:spLocks noChangeArrowheads="1"/>
        </xdr:cNvSpPr>
      </xdr:nvSpPr>
      <xdr:spPr bwMode="auto">
        <a:xfrm>
          <a:off x="19390995" y="6355808"/>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20</xdr:col>
      <xdr:colOff>371475</xdr:colOff>
      <xdr:row>24</xdr:row>
      <xdr:rowOff>728</xdr:rowOff>
    </xdr:from>
    <xdr:to>
      <xdr:col>21</xdr:col>
      <xdr:colOff>276225</xdr:colOff>
      <xdr:row>24</xdr:row>
      <xdr:rowOff>728</xdr:rowOff>
    </xdr:to>
    <xdr:sp macro="" textlink="">
      <xdr:nvSpPr>
        <xdr:cNvPr id="3" name="Rectangle 224">
          <a:extLst>
            <a:ext uri="{FF2B5EF4-FFF2-40B4-BE49-F238E27FC236}">
              <a16:creationId xmlns:a16="http://schemas.microsoft.com/office/drawing/2014/main" id="{A195AF70-F119-4FA3-A39F-715BF1511EFF}"/>
            </a:ext>
          </a:extLst>
        </xdr:cNvPr>
        <xdr:cNvSpPr>
          <a:spLocks noChangeArrowheads="1"/>
        </xdr:cNvSpPr>
      </xdr:nvSpPr>
      <xdr:spPr bwMode="auto">
        <a:xfrm>
          <a:off x="19390995" y="6355808"/>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20</xdr:col>
      <xdr:colOff>371475</xdr:colOff>
      <xdr:row>26</xdr:row>
      <xdr:rowOff>0</xdr:rowOff>
    </xdr:from>
    <xdr:to>
      <xdr:col>21</xdr:col>
      <xdr:colOff>276225</xdr:colOff>
      <xdr:row>26</xdr:row>
      <xdr:rowOff>0</xdr:rowOff>
    </xdr:to>
    <xdr:sp macro="" textlink="">
      <xdr:nvSpPr>
        <xdr:cNvPr id="4" name="Rectangle 222">
          <a:extLst>
            <a:ext uri="{FF2B5EF4-FFF2-40B4-BE49-F238E27FC236}">
              <a16:creationId xmlns:a16="http://schemas.microsoft.com/office/drawing/2014/main" id="{39E56A43-14D9-4716-999A-6458BD095763}"/>
            </a:ext>
          </a:extLst>
        </xdr:cNvPr>
        <xdr:cNvSpPr>
          <a:spLocks noChangeArrowheads="1"/>
        </xdr:cNvSpPr>
      </xdr:nvSpPr>
      <xdr:spPr bwMode="auto">
        <a:xfrm>
          <a:off x="193909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20</xdr:col>
      <xdr:colOff>371475</xdr:colOff>
      <xdr:row>26</xdr:row>
      <xdr:rowOff>0</xdr:rowOff>
    </xdr:from>
    <xdr:to>
      <xdr:col>21</xdr:col>
      <xdr:colOff>276225</xdr:colOff>
      <xdr:row>26</xdr:row>
      <xdr:rowOff>0</xdr:rowOff>
    </xdr:to>
    <xdr:sp macro="" textlink="">
      <xdr:nvSpPr>
        <xdr:cNvPr id="5" name="Rectangle 224">
          <a:extLst>
            <a:ext uri="{FF2B5EF4-FFF2-40B4-BE49-F238E27FC236}">
              <a16:creationId xmlns:a16="http://schemas.microsoft.com/office/drawing/2014/main" id="{2A31385D-31BB-48AF-8575-B88F16546E20}"/>
            </a:ext>
          </a:extLst>
        </xdr:cNvPr>
        <xdr:cNvSpPr>
          <a:spLocks noChangeArrowheads="1"/>
        </xdr:cNvSpPr>
      </xdr:nvSpPr>
      <xdr:spPr bwMode="auto">
        <a:xfrm>
          <a:off x="193909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20</xdr:col>
      <xdr:colOff>371475</xdr:colOff>
      <xdr:row>26</xdr:row>
      <xdr:rowOff>0</xdr:rowOff>
    </xdr:from>
    <xdr:to>
      <xdr:col>21</xdr:col>
      <xdr:colOff>276225</xdr:colOff>
      <xdr:row>26</xdr:row>
      <xdr:rowOff>0</xdr:rowOff>
    </xdr:to>
    <xdr:sp macro="" textlink="">
      <xdr:nvSpPr>
        <xdr:cNvPr id="6" name="Rectangle 222">
          <a:extLst>
            <a:ext uri="{FF2B5EF4-FFF2-40B4-BE49-F238E27FC236}">
              <a16:creationId xmlns:a16="http://schemas.microsoft.com/office/drawing/2014/main" id="{31C64188-06B2-4EB9-9601-BEB0DC72CDB2}"/>
            </a:ext>
          </a:extLst>
        </xdr:cNvPr>
        <xdr:cNvSpPr>
          <a:spLocks noChangeArrowheads="1"/>
        </xdr:cNvSpPr>
      </xdr:nvSpPr>
      <xdr:spPr bwMode="auto">
        <a:xfrm>
          <a:off x="193909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20</xdr:col>
      <xdr:colOff>371475</xdr:colOff>
      <xdr:row>26</xdr:row>
      <xdr:rowOff>0</xdr:rowOff>
    </xdr:from>
    <xdr:to>
      <xdr:col>21</xdr:col>
      <xdr:colOff>276225</xdr:colOff>
      <xdr:row>26</xdr:row>
      <xdr:rowOff>0</xdr:rowOff>
    </xdr:to>
    <xdr:sp macro="" textlink="">
      <xdr:nvSpPr>
        <xdr:cNvPr id="7" name="Rectangle 224">
          <a:extLst>
            <a:ext uri="{FF2B5EF4-FFF2-40B4-BE49-F238E27FC236}">
              <a16:creationId xmlns:a16="http://schemas.microsoft.com/office/drawing/2014/main" id="{5CD72AB6-180E-4D8A-A6F6-0BFFF1E4F078}"/>
            </a:ext>
          </a:extLst>
        </xdr:cNvPr>
        <xdr:cNvSpPr>
          <a:spLocks noChangeArrowheads="1"/>
        </xdr:cNvSpPr>
      </xdr:nvSpPr>
      <xdr:spPr bwMode="auto">
        <a:xfrm>
          <a:off x="193909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24</xdr:row>
      <xdr:rowOff>728</xdr:rowOff>
    </xdr:from>
    <xdr:to>
      <xdr:col>23</xdr:col>
      <xdr:colOff>276225</xdr:colOff>
      <xdr:row>24</xdr:row>
      <xdr:rowOff>728</xdr:rowOff>
    </xdr:to>
    <xdr:sp macro="" textlink="">
      <xdr:nvSpPr>
        <xdr:cNvPr id="8" name="Rectangle 222">
          <a:extLst>
            <a:ext uri="{FF2B5EF4-FFF2-40B4-BE49-F238E27FC236}">
              <a16:creationId xmlns:a16="http://schemas.microsoft.com/office/drawing/2014/main" id="{ED61BDAB-F5AD-44C4-8F5B-0C80ABF7C82F}"/>
            </a:ext>
          </a:extLst>
        </xdr:cNvPr>
        <xdr:cNvSpPr>
          <a:spLocks noChangeArrowheads="1"/>
        </xdr:cNvSpPr>
      </xdr:nvSpPr>
      <xdr:spPr bwMode="auto">
        <a:xfrm>
          <a:off x="20610195" y="6355808"/>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24</xdr:row>
      <xdr:rowOff>728</xdr:rowOff>
    </xdr:from>
    <xdr:to>
      <xdr:col>23</xdr:col>
      <xdr:colOff>276225</xdr:colOff>
      <xdr:row>24</xdr:row>
      <xdr:rowOff>728</xdr:rowOff>
    </xdr:to>
    <xdr:sp macro="" textlink="">
      <xdr:nvSpPr>
        <xdr:cNvPr id="9" name="Rectangle 224">
          <a:extLst>
            <a:ext uri="{FF2B5EF4-FFF2-40B4-BE49-F238E27FC236}">
              <a16:creationId xmlns:a16="http://schemas.microsoft.com/office/drawing/2014/main" id="{2273E9E7-0CB3-4DBB-8B7C-0CFCD2629D1C}"/>
            </a:ext>
          </a:extLst>
        </xdr:cNvPr>
        <xdr:cNvSpPr>
          <a:spLocks noChangeArrowheads="1"/>
        </xdr:cNvSpPr>
      </xdr:nvSpPr>
      <xdr:spPr bwMode="auto">
        <a:xfrm>
          <a:off x="20610195" y="6355808"/>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26</xdr:row>
      <xdr:rowOff>0</xdr:rowOff>
    </xdr:from>
    <xdr:to>
      <xdr:col>23</xdr:col>
      <xdr:colOff>276225</xdr:colOff>
      <xdr:row>26</xdr:row>
      <xdr:rowOff>0</xdr:rowOff>
    </xdr:to>
    <xdr:sp macro="" textlink="">
      <xdr:nvSpPr>
        <xdr:cNvPr id="10" name="Rectangle 222">
          <a:extLst>
            <a:ext uri="{FF2B5EF4-FFF2-40B4-BE49-F238E27FC236}">
              <a16:creationId xmlns:a16="http://schemas.microsoft.com/office/drawing/2014/main" id="{4E94227A-4F4C-440D-A00D-9E93F187D2DD}"/>
            </a:ext>
          </a:extLst>
        </xdr:cNvPr>
        <xdr:cNvSpPr>
          <a:spLocks noChangeArrowheads="1"/>
        </xdr:cNvSpPr>
      </xdr:nvSpPr>
      <xdr:spPr bwMode="auto">
        <a:xfrm>
          <a:off x="206101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26</xdr:row>
      <xdr:rowOff>0</xdr:rowOff>
    </xdr:from>
    <xdr:to>
      <xdr:col>23</xdr:col>
      <xdr:colOff>276225</xdr:colOff>
      <xdr:row>26</xdr:row>
      <xdr:rowOff>0</xdr:rowOff>
    </xdr:to>
    <xdr:sp macro="" textlink="">
      <xdr:nvSpPr>
        <xdr:cNvPr id="11" name="Rectangle 224">
          <a:extLst>
            <a:ext uri="{FF2B5EF4-FFF2-40B4-BE49-F238E27FC236}">
              <a16:creationId xmlns:a16="http://schemas.microsoft.com/office/drawing/2014/main" id="{0D630438-C14F-4BDB-864A-294592DB65C9}"/>
            </a:ext>
          </a:extLst>
        </xdr:cNvPr>
        <xdr:cNvSpPr>
          <a:spLocks noChangeArrowheads="1"/>
        </xdr:cNvSpPr>
      </xdr:nvSpPr>
      <xdr:spPr bwMode="auto">
        <a:xfrm>
          <a:off x="206101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26</xdr:row>
      <xdr:rowOff>0</xdr:rowOff>
    </xdr:from>
    <xdr:to>
      <xdr:col>23</xdr:col>
      <xdr:colOff>276225</xdr:colOff>
      <xdr:row>26</xdr:row>
      <xdr:rowOff>0</xdr:rowOff>
    </xdr:to>
    <xdr:sp macro="" textlink="">
      <xdr:nvSpPr>
        <xdr:cNvPr id="12" name="Rectangle 222">
          <a:extLst>
            <a:ext uri="{FF2B5EF4-FFF2-40B4-BE49-F238E27FC236}">
              <a16:creationId xmlns:a16="http://schemas.microsoft.com/office/drawing/2014/main" id="{0D557448-8138-4BA7-BEC3-FCE477789663}"/>
            </a:ext>
          </a:extLst>
        </xdr:cNvPr>
        <xdr:cNvSpPr>
          <a:spLocks noChangeArrowheads="1"/>
        </xdr:cNvSpPr>
      </xdr:nvSpPr>
      <xdr:spPr bwMode="auto">
        <a:xfrm>
          <a:off x="206101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22</xdr:col>
      <xdr:colOff>371475</xdr:colOff>
      <xdr:row>26</xdr:row>
      <xdr:rowOff>0</xdr:rowOff>
    </xdr:from>
    <xdr:to>
      <xdr:col>23</xdr:col>
      <xdr:colOff>276225</xdr:colOff>
      <xdr:row>26</xdr:row>
      <xdr:rowOff>0</xdr:rowOff>
    </xdr:to>
    <xdr:sp macro="" textlink="">
      <xdr:nvSpPr>
        <xdr:cNvPr id="13" name="Rectangle 224">
          <a:extLst>
            <a:ext uri="{FF2B5EF4-FFF2-40B4-BE49-F238E27FC236}">
              <a16:creationId xmlns:a16="http://schemas.microsoft.com/office/drawing/2014/main" id="{E0073329-D8D2-46CE-BE34-C61FA8A60EAB}"/>
            </a:ext>
          </a:extLst>
        </xdr:cNvPr>
        <xdr:cNvSpPr>
          <a:spLocks noChangeArrowheads="1"/>
        </xdr:cNvSpPr>
      </xdr:nvSpPr>
      <xdr:spPr bwMode="auto">
        <a:xfrm>
          <a:off x="20610195" y="67056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21</xdr:col>
      <xdr:colOff>371475</xdr:colOff>
      <xdr:row>17</xdr:row>
      <xdr:rowOff>0</xdr:rowOff>
    </xdr:from>
    <xdr:to>
      <xdr:col>22</xdr:col>
      <xdr:colOff>276225</xdr:colOff>
      <xdr:row>17</xdr:row>
      <xdr:rowOff>0</xdr:rowOff>
    </xdr:to>
    <xdr:sp macro="" textlink="">
      <xdr:nvSpPr>
        <xdr:cNvPr id="14" name="Rectangle 222">
          <a:extLst>
            <a:ext uri="{FF2B5EF4-FFF2-40B4-BE49-F238E27FC236}">
              <a16:creationId xmlns:a16="http://schemas.microsoft.com/office/drawing/2014/main" id="{5D24E6FD-971E-4F96-A445-6F1396866550}"/>
            </a:ext>
          </a:extLst>
        </xdr:cNvPr>
        <xdr:cNvSpPr>
          <a:spLocks noChangeArrowheads="1"/>
        </xdr:cNvSpPr>
      </xdr:nvSpPr>
      <xdr:spPr bwMode="auto">
        <a:xfrm>
          <a:off x="200005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21</xdr:col>
      <xdr:colOff>371475</xdr:colOff>
      <xdr:row>17</xdr:row>
      <xdr:rowOff>0</xdr:rowOff>
    </xdr:from>
    <xdr:to>
      <xdr:col>22</xdr:col>
      <xdr:colOff>276225</xdr:colOff>
      <xdr:row>17</xdr:row>
      <xdr:rowOff>0</xdr:rowOff>
    </xdr:to>
    <xdr:sp macro="" textlink="">
      <xdr:nvSpPr>
        <xdr:cNvPr id="15" name="Rectangle 224">
          <a:extLst>
            <a:ext uri="{FF2B5EF4-FFF2-40B4-BE49-F238E27FC236}">
              <a16:creationId xmlns:a16="http://schemas.microsoft.com/office/drawing/2014/main" id="{5AE203BD-36F0-4491-A333-D607356ACCFE}"/>
            </a:ext>
          </a:extLst>
        </xdr:cNvPr>
        <xdr:cNvSpPr>
          <a:spLocks noChangeArrowheads="1"/>
        </xdr:cNvSpPr>
      </xdr:nvSpPr>
      <xdr:spPr bwMode="auto">
        <a:xfrm>
          <a:off x="200005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21</xdr:col>
      <xdr:colOff>371475</xdr:colOff>
      <xdr:row>17</xdr:row>
      <xdr:rowOff>0</xdr:rowOff>
    </xdr:from>
    <xdr:to>
      <xdr:col>22</xdr:col>
      <xdr:colOff>276225</xdr:colOff>
      <xdr:row>17</xdr:row>
      <xdr:rowOff>0</xdr:rowOff>
    </xdr:to>
    <xdr:sp macro="" textlink="">
      <xdr:nvSpPr>
        <xdr:cNvPr id="16" name="Rectangle 222">
          <a:extLst>
            <a:ext uri="{FF2B5EF4-FFF2-40B4-BE49-F238E27FC236}">
              <a16:creationId xmlns:a16="http://schemas.microsoft.com/office/drawing/2014/main" id="{0723BB2B-C4B1-4067-B673-585766A4F7CF}"/>
            </a:ext>
          </a:extLst>
        </xdr:cNvPr>
        <xdr:cNvSpPr>
          <a:spLocks noChangeArrowheads="1"/>
        </xdr:cNvSpPr>
      </xdr:nvSpPr>
      <xdr:spPr bwMode="auto">
        <a:xfrm>
          <a:off x="200005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21</xdr:col>
      <xdr:colOff>371475</xdr:colOff>
      <xdr:row>17</xdr:row>
      <xdr:rowOff>0</xdr:rowOff>
    </xdr:from>
    <xdr:to>
      <xdr:col>22</xdr:col>
      <xdr:colOff>276225</xdr:colOff>
      <xdr:row>17</xdr:row>
      <xdr:rowOff>0</xdr:rowOff>
    </xdr:to>
    <xdr:sp macro="" textlink="">
      <xdr:nvSpPr>
        <xdr:cNvPr id="17" name="Rectangle 224">
          <a:extLst>
            <a:ext uri="{FF2B5EF4-FFF2-40B4-BE49-F238E27FC236}">
              <a16:creationId xmlns:a16="http://schemas.microsoft.com/office/drawing/2014/main" id="{BCE69506-E851-4108-A664-80C6E3700B59}"/>
            </a:ext>
          </a:extLst>
        </xdr:cNvPr>
        <xdr:cNvSpPr>
          <a:spLocks noChangeArrowheads="1"/>
        </xdr:cNvSpPr>
      </xdr:nvSpPr>
      <xdr:spPr bwMode="auto">
        <a:xfrm>
          <a:off x="200005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21</xdr:col>
      <xdr:colOff>371475</xdr:colOff>
      <xdr:row>17</xdr:row>
      <xdr:rowOff>0</xdr:rowOff>
    </xdr:from>
    <xdr:to>
      <xdr:col>22</xdr:col>
      <xdr:colOff>276225</xdr:colOff>
      <xdr:row>17</xdr:row>
      <xdr:rowOff>0</xdr:rowOff>
    </xdr:to>
    <xdr:sp macro="" textlink="">
      <xdr:nvSpPr>
        <xdr:cNvPr id="18" name="Rectangle 222">
          <a:extLst>
            <a:ext uri="{FF2B5EF4-FFF2-40B4-BE49-F238E27FC236}">
              <a16:creationId xmlns:a16="http://schemas.microsoft.com/office/drawing/2014/main" id="{D5945100-5509-4F44-854C-F214ABE34206}"/>
            </a:ext>
          </a:extLst>
        </xdr:cNvPr>
        <xdr:cNvSpPr>
          <a:spLocks noChangeArrowheads="1"/>
        </xdr:cNvSpPr>
      </xdr:nvSpPr>
      <xdr:spPr bwMode="auto">
        <a:xfrm>
          <a:off x="200005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21</xdr:col>
      <xdr:colOff>371475</xdr:colOff>
      <xdr:row>17</xdr:row>
      <xdr:rowOff>0</xdr:rowOff>
    </xdr:from>
    <xdr:to>
      <xdr:col>22</xdr:col>
      <xdr:colOff>276225</xdr:colOff>
      <xdr:row>17</xdr:row>
      <xdr:rowOff>0</xdr:rowOff>
    </xdr:to>
    <xdr:sp macro="" textlink="">
      <xdr:nvSpPr>
        <xdr:cNvPr id="19" name="Rectangle 224">
          <a:extLst>
            <a:ext uri="{FF2B5EF4-FFF2-40B4-BE49-F238E27FC236}">
              <a16:creationId xmlns:a16="http://schemas.microsoft.com/office/drawing/2014/main" id="{5AC8161C-1DDA-46F5-80EE-3D694289FC97}"/>
            </a:ext>
          </a:extLst>
        </xdr:cNvPr>
        <xdr:cNvSpPr>
          <a:spLocks noChangeArrowheads="1"/>
        </xdr:cNvSpPr>
      </xdr:nvSpPr>
      <xdr:spPr bwMode="auto">
        <a:xfrm>
          <a:off x="200005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23</xdr:col>
      <xdr:colOff>371475</xdr:colOff>
      <xdr:row>17</xdr:row>
      <xdr:rowOff>0</xdr:rowOff>
    </xdr:from>
    <xdr:to>
      <xdr:col>24</xdr:col>
      <xdr:colOff>276225</xdr:colOff>
      <xdr:row>17</xdr:row>
      <xdr:rowOff>0</xdr:rowOff>
    </xdr:to>
    <xdr:sp macro="" textlink="">
      <xdr:nvSpPr>
        <xdr:cNvPr id="20" name="Rectangle 222">
          <a:extLst>
            <a:ext uri="{FF2B5EF4-FFF2-40B4-BE49-F238E27FC236}">
              <a16:creationId xmlns:a16="http://schemas.microsoft.com/office/drawing/2014/main" id="{70A72E1F-8927-41EC-B2DC-743381F34DF1}"/>
            </a:ext>
          </a:extLst>
        </xdr:cNvPr>
        <xdr:cNvSpPr>
          <a:spLocks noChangeArrowheads="1"/>
        </xdr:cNvSpPr>
      </xdr:nvSpPr>
      <xdr:spPr bwMode="auto">
        <a:xfrm>
          <a:off x="212197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23</xdr:col>
      <xdr:colOff>371475</xdr:colOff>
      <xdr:row>17</xdr:row>
      <xdr:rowOff>0</xdr:rowOff>
    </xdr:from>
    <xdr:to>
      <xdr:col>24</xdr:col>
      <xdr:colOff>276225</xdr:colOff>
      <xdr:row>17</xdr:row>
      <xdr:rowOff>0</xdr:rowOff>
    </xdr:to>
    <xdr:sp macro="" textlink="">
      <xdr:nvSpPr>
        <xdr:cNvPr id="21" name="Rectangle 224">
          <a:extLst>
            <a:ext uri="{FF2B5EF4-FFF2-40B4-BE49-F238E27FC236}">
              <a16:creationId xmlns:a16="http://schemas.microsoft.com/office/drawing/2014/main" id="{97BA14C6-373D-42CE-A109-FD7CE334A334}"/>
            </a:ext>
          </a:extLst>
        </xdr:cNvPr>
        <xdr:cNvSpPr>
          <a:spLocks noChangeArrowheads="1"/>
        </xdr:cNvSpPr>
      </xdr:nvSpPr>
      <xdr:spPr bwMode="auto">
        <a:xfrm>
          <a:off x="212197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23</xdr:col>
      <xdr:colOff>371475</xdr:colOff>
      <xdr:row>17</xdr:row>
      <xdr:rowOff>0</xdr:rowOff>
    </xdr:from>
    <xdr:to>
      <xdr:col>24</xdr:col>
      <xdr:colOff>276225</xdr:colOff>
      <xdr:row>17</xdr:row>
      <xdr:rowOff>0</xdr:rowOff>
    </xdr:to>
    <xdr:sp macro="" textlink="">
      <xdr:nvSpPr>
        <xdr:cNvPr id="22" name="Rectangle 222">
          <a:extLst>
            <a:ext uri="{FF2B5EF4-FFF2-40B4-BE49-F238E27FC236}">
              <a16:creationId xmlns:a16="http://schemas.microsoft.com/office/drawing/2014/main" id="{7EBD7443-17F8-4AFC-8C1D-00B946D73C3F}"/>
            </a:ext>
          </a:extLst>
        </xdr:cNvPr>
        <xdr:cNvSpPr>
          <a:spLocks noChangeArrowheads="1"/>
        </xdr:cNvSpPr>
      </xdr:nvSpPr>
      <xdr:spPr bwMode="auto">
        <a:xfrm>
          <a:off x="212197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23</xdr:col>
      <xdr:colOff>371475</xdr:colOff>
      <xdr:row>17</xdr:row>
      <xdr:rowOff>0</xdr:rowOff>
    </xdr:from>
    <xdr:to>
      <xdr:col>24</xdr:col>
      <xdr:colOff>276225</xdr:colOff>
      <xdr:row>17</xdr:row>
      <xdr:rowOff>0</xdr:rowOff>
    </xdr:to>
    <xdr:sp macro="" textlink="">
      <xdr:nvSpPr>
        <xdr:cNvPr id="23" name="Rectangle 224">
          <a:extLst>
            <a:ext uri="{FF2B5EF4-FFF2-40B4-BE49-F238E27FC236}">
              <a16:creationId xmlns:a16="http://schemas.microsoft.com/office/drawing/2014/main" id="{2B510CAE-55D2-4A84-B278-53728183C0DA}"/>
            </a:ext>
          </a:extLst>
        </xdr:cNvPr>
        <xdr:cNvSpPr>
          <a:spLocks noChangeArrowheads="1"/>
        </xdr:cNvSpPr>
      </xdr:nvSpPr>
      <xdr:spPr bwMode="auto">
        <a:xfrm>
          <a:off x="212197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23</xdr:col>
      <xdr:colOff>371475</xdr:colOff>
      <xdr:row>17</xdr:row>
      <xdr:rowOff>0</xdr:rowOff>
    </xdr:from>
    <xdr:to>
      <xdr:col>24</xdr:col>
      <xdr:colOff>276225</xdr:colOff>
      <xdr:row>17</xdr:row>
      <xdr:rowOff>0</xdr:rowOff>
    </xdr:to>
    <xdr:sp macro="" textlink="">
      <xdr:nvSpPr>
        <xdr:cNvPr id="24" name="Rectangle 222">
          <a:extLst>
            <a:ext uri="{FF2B5EF4-FFF2-40B4-BE49-F238E27FC236}">
              <a16:creationId xmlns:a16="http://schemas.microsoft.com/office/drawing/2014/main" id="{425E5553-E54F-4BDF-AEF8-8D7CA12298EA}"/>
            </a:ext>
          </a:extLst>
        </xdr:cNvPr>
        <xdr:cNvSpPr>
          <a:spLocks noChangeArrowheads="1"/>
        </xdr:cNvSpPr>
      </xdr:nvSpPr>
      <xdr:spPr bwMode="auto">
        <a:xfrm>
          <a:off x="212197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23</xdr:col>
      <xdr:colOff>371475</xdr:colOff>
      <xdr:row>17</xdr:row>
      <xdr:rowOff>0</xdr:rowOff>
    </xdr:from>
    <xdr:to>
      <xdr:col>24</xdr:col>
      <xdr:colOff>276225</xdr:colOff>
      <xdr:row>17</xdr:row>
      <xdr:rowOff>0</xdr:rowOff>
    </xdr:to>
    <xdr:sp macro="" textlink="">
      <xdr:nvSpPr>
        <xdr:cNvPr id="25" name="Rectangle 224">
          <a:extLst>
            <a:ext uri="{FF2B5EF4-FFF2-40B4-BE49-F238E27FC236}">
              <a16:creationId xmlns:a16="http://schemas.microsoft.com/office/drawing/2014/main" id="{FD8B631D-3477-4561-9156-EE7BC1D41FE1}"/>
            </a:ext>
          </a:extLst>
        </xdr:cNvPr>
        <xdr:cNvSpPr>
          <a:spLocks noChangeArrowheads="1"/>
        </xdr:cNvSpPr>
      </xdr:nvSpPr>
      <xdr:spPr bwMode="auto">
        <a:xfrm>
          <a:off x="21219795" y="4572000"/>
          <a:ext cx="514350" cy="0"/>
        </a:xfrm>
        <a:prstGeom prst="rect">
          <a:avLst/>
        </a:prstGeom>
        <a:solidFill>
          <a:srgbClr val="0000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9525</xdr:colOff>
      <xdr:row>0</xdr:row>
      <xdr:rowOff>0</xdr:rowOff>
    </xdr:to>
    <xdr:sp macro="" textlink="">
      <xdr:nvSpPr>
        <xdr:cNvPr id="2" name="Rectangle 24">
          <a:extLst>
            <a:ext uri="{FF2B5EF4-FFF2-40B4-BE49-F238E27FC236}">
              <a16:creationId xmlns:a16="http://schemas.microsoft.com/office/drawing/2014/main" id="{5818A81E-8DBE-4E2D-92EF-8905B94A9C99}"/>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3" name="Rectangle 25">
          <a:extLst>
            <a:ext uri="{FF2B5EF4-FFF2-40B4-BE49-F238E27FC236}">
              <a16:creationId xmlns:a16="http://schemas.microsoft.com/office/drawing/2014/main" id="{7B6F25AD-A446-42B7-9217-4DDFCCC763A8}"/>
            </a:ext>
          </a:extLst>
        </xdr:cNvPr>
        <xdr:cNvSpPr>
          <a:spLocks noChangeArrowheads="1"/>
        </xdr:cNvSpPr>
      </xdr:nvSpPr>
      <xdr:spPr bwMode="auto">
        <a:xfrm>
          <a:off x="806958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0</xdr:colOff>
      <xdr:row>0</xdr:row>
      <xdr:rowOff>0</xdr:rowOff>
    </xdr:to>
    <xdr:sp macro="" textlink="">
      <xdr:nvSpPr>
        <xdr:cNvPr id="4" name="Line 26">
          <a:extLst>
            <a:ext uri="{FF2B5EF4-FFF2-40B4-BE49-F238E27FC236}">
              <a16:creationId xmlns:a16="http://schemas.microsoft.com/office/drawing/2014/main" id="{F50FA992-C6E8-4E76-A056-6BB2DF4C6AA2}"/>
            </a:ext>
          </a:extLst>
        </xdr:cNvPr>
        <xdr:cNvSpPr>
          <a:spLocks noChangeShapeType="1"/>
        </xdr:cNvSpPr>
      </xdr:nvSpPr>
      <xdr:spPr bwMode="auto">
        <a:xfrm>
          <a:off x="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5" name="Rectangle 27">
          <a:extLst>
            <a:ext uri="{FF2B5EF4-FFF2-40B4-BE49-F238E27FC236}">
              <a16:creationId xmlns:a16="http://schemas.microsoft.com/office/drawing/2014/main" id="{B51BC3C0-CDA1-469D-A9D1-B425438AC104}"/>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571500</xdr:colOff>
      <xdr:row>0</xdr:row>
      <xdr:rowOff>0</xdr:rowOff>
    </xdr:to>
    <xdr:sp macro="" textlink="">
      <xdr:nvSpPr>
        <xdr:cNvPr id="6" name="Line 28">
          <a:extLst>
            <a:ext uri="{FF2B5EF4-FFF2-40B4-BE49-F238E27FC236}">
              <a16:creationId xmlns:a16="http://schemas.microsoft.com/office/drawing/2014/main" id="{253E870A-61D8-46FF-9B85-7683267D2C20}"/>
            </a:ext>
          </a:extLst>
        </xdr:cNvPr>
        <xdr:cNvSpPr>
          <a:spLocks noChangeShapeType="1"/>
        </xdr:cNvSpPr>
      </xdr:nvSpPr>
      <xdr:spPr bwMode="auto">
        <a:xfrm>
          <a:off x="806958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7" name="Rectangle 29">
          <a:extLst>
            <a:ext uri="{FF2B5EF4-FFF2-40B4-BE49-F238E27FC236}">
              <a16:creationId xmlns:a16="http://schemas.microsoft.com/office/drawing/2014/main" id="{54CB9815-9A2C-4B40-8F88-2B9EB29CB9E7}"/>
            </a:ext>
          </a:extLst>
        </xdr:cNvPr>
        <xdr:cNvSpPr>
          <a:spLocks noChangeArrowheads="1"/>
        </xdr:cNvSpPr>
      </xdr:nvSpPr>
      <xdr:spPr bwMode="auto">
        <a:xfrm>
          <a:off x="806958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0</xdr:colOff>
      <xdr:row>0</xdr:row>
      <xdr:rowOff>0</xdr:rowOff>
    </xdr:to>
    <xdr:sp macro="" textlink="">
      <xdr:nvSpPr>
        <xdr:cNvPr id="8" name="Line 30">
          <a:extLst>
            <a:ext uri="{FF2B5EF4-FFF2-40B4-BE49-F238E27FC236}">
              <a16:creationId xmlns:a16="http://schemas.microsoft.com/office/drawing/2014/main" id="{03140BD0-5443-4667-BF99-B51BC2571DC4}"/>
            </a:ext>
          </a:extLst>
        </xdr:cNvPr>
        <xdr:cNvSpPr>
          <a:spLocks noChangeShapeType="1"/>
        </xdr:cNvSpPr>
      </xdr:nvSpPr>
      <xdr:spPr bwMode="auto">
        <a:xfrm>
          <a:off x="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9" name="Rectangle 31">
          <a:extLst>
            <a:ext uri="{FF2B5EF4-FFF2-40B4-BE49-F238E27FC236}">
              <a16:creationId xmlns:a16="http://schemas.microsoft.com/office/drawing/2014/main" id="{11E062AC-F0AD-42ED-9A8C-091669170077}"/>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571500</xdr:colOff>
      <xdr:row>0</xdr:row>
      <xdr:rowOff>0</xdr:rowOff>
    </xdr:to>
    <xdr:sp macro="" textlink="">
      <xdr:nvSpPr>
        <xdr:cNvPr id="10" name="Line 32">
          <a:extLst>
            <a:ext uri="{FF2B5EF4-FFF2-40B4-BE49-F238E27FC236}">
              <a16:creationId xmlns:a16="http://schemas.microsoft.com/office/drawing/2014/main" id="{6A91B2A4-62A2-4222-92BE-C114E3D06B98}"/>
            </a:ext>
          </a:extLst>
        </xdr:cNvPr>
        <xdr:cNvSpPr>
          <a:spLocks noChangeShapeType="1"/>
        </xdr:cNvSpPr>
      </xdr:nvSpPr>
      <xdr:spPr bwMode="auto">
        <a:xfrm>
          <a:off x="806958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11" name="Rectangle 33">
          <a:extLst>
            <a:ext uri="{FF2B5EF4-FFF2-40B4-BE49-F238E27FC236}">
              <a16:creationId xmlns:a16="http://schemas.microsoft.com/office/drawing/2014/main" id="{FD1CF347-83FA-44C6-BDE0-C96B25ACD907}"/>
            </a:ext>
          </a:extLst>
        </xdr:cNvPr>
        <xdr:cNvSpPr>
          <a:spLocks noChangeArrowheads="1"/>
        </xdr:cNvSpPr>
      </xdr:nvSpPr>
      <xdr:spPr bwMode="auto">
        <a:xfrm>
          <a:off x="806958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0</xdr:colOff>
      <xdr:row>0</xdr:row>
      <xdr:rowOff>0</xdr:rowOff>
    </xdr:to>
    <xdr:sp macro="" textlink="">
      <xdr:nvSpPr>
        <xdr:cNvPr id="12" name="Line 34">
          <a:extLst>
            <a:ext uri="{FF2B5EF4-FFF2-40B4-BE49-F238E27FC236}">
              <a16:creationId xmlns:a16="http://schemas.microsoft.com/office/drawing/2014/main" id="{F75D0C37-B825-4FA4-B74A-F9909F46B0E4}"/>
            </a:ext>
          </a:extLst>
        </xdr:cNvPr>
        <xdr:cNvSpPr>
          <a:spLocks noChangeShapeType="1"/>
        </xdr:cNvSpPr>
      </xdr:nvSpPr>
      <xdr:spPr bwMode="auto">
        <a:xfrm>
          <a:off x="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13" name="Rectangle 35">
          <a:extLst>
            <a:ext uri="{FF2B5EF4-FFF2-40B4-BE49-F238E27FC236}">
              <a16:creationId xmlns:a16="http://schemas.microsoft.com/office/drawing/2014/main" id="{C15B1E73-07B1-40D4-8E1E-E3D4CF27944B}"/>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571500</xdr:colOff>
      <xdr:row>0</xdr:row>
      <xdr:rowOff>0</xdr:rowOff>
    </xdr:to>
    <xdr:sp macro="" textlink="">
      <xdr:nvSpPr>
        <xdr:cNvPr id="14" name="Line 36">
          <a:extLst>
            <a:ext uri="{FF2B5EF4-FFF2-40B4-BE49-F238E27FC236}">
              <a16:creationId xmlns:a16="http://schemas.microsoft.com/office/drawing/2014/main" id="{4F6574FE-46CF-431C-8772-E0B20C9532F3}"/>
            </a:ext>
          </a:extLst>
        </xdr:cNvPr>
        <xdr:cNvSpPr>
          <a:spLocks noChangeShapeType="1"/>
        </xdr:cNvSpPr>
      </xdr:nvSpPr>
      <xdr:spPr bwMode="auto">
        <a:xfrm>
          <a:off x="806958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15" name="Rectangle 37">
          <a:extLst>
            <a:ext uri="{FF2B5EF4-FFF2-40B4-BE49-F238E27FC236}">
              <a16:creationId xmlns:a16="http://schemas.microsoft.com/office/drawing/2014/main" id="{C8D5C5EA-C596-4FD3-B088-188BADD128C8}"/>
            </a:ext>
          </a:extLst>
        </xdr:cNvPr>
        <xdr:cNvSpPr>
          <a:spLocks noChangeArrowheads="1"/>
        </xdr:cNvSpPr>
      </xdr:nvSpPr>
      <xdr:spPr bwMode="auto">
        <a:xfrm>
          <a:off x="806958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16" name="Line 38">
          <a:extLst>
            <a:ext uri="{FF2B5EF4-FFF2-40B4-BE49-F238E27FC236}">
              <a16:creationId xmlns:a16="http://schemas.microsoft.com/office/drawing/2014/main" id="{7B99B266-737F-47CA-90B8-24860F4702FE}"/>
            </a:ext>
          </a:extLst>
        </xdr:cNvPr>
        <xdr:cNvSpPr>
          <a:spLocks noChangeShapeType="1"/>
        </xdr:cNvSpPr>
      </xdr:nvSpPr>
      <xdr:spPr bwMode="auto">
        <a:xfrm>
          <a:off x="0"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17" name="Rectangle 39">
          <a:extLst>
            <a:ext uri="{FF2B5EF4-FFF2-40B4-BE49-F238E27FC236}">
              <a16:creationId xmlns:a16="http://schemas.microsoft.com/office/drawing/2014/main" id="{EAA5E456-D826-499B-A212-6CF0BE870E77}"/>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18" name="Line 40">
          <a:extLst>
            <a:ext uri="{FF2B5EF4-FFF2-40B4-BE49-F238E27FC236}">
              <a16:creationId xmlns:a16="http://schemas.microsoft.com/office/drawing/2014/main" id="{4E78C3EA-3798-4B59-9206-1028C35251BA}"/>
            </a:ext>
          </a:extLst>
        </xdr:cNvPr>
        <xdr:cNvSpPr>
          <a:spLocks noChangeShapeType="1"/>
        </xdr:cNvSpPr>
      </xdr:nvSpPr>
      <xdr:spPr bwMode="auto">
        <a:xfrm>
          <a:off x="8069580"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19" name="Rectangle 41">
          <a:extLst>
            <a:ext uri="{FF2B5EF4-FFF2-40B4-BE49-F238E27FC236}">
              <a16:creationId xmlns:a16="http://schemas.microsoft.com/office/drawing/2014/main" id="{BECE4400-AE3E-4E1C-BBBC-F952F5CD78BD}"/>
            </a:ext>
          </a:extLst>
        </xdr:cNvPr>
        <xdr:cNvSpPr>
          <a:spLocks noChangeArrowheads="1"/>
        </xdr:cNvSpPr>
      </xdr:nvSpPr>
      <xdr:spPr bwMode="auto">
        <a:xfrm>
          <a:off x="806958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20" name="Line 42">
          <a:extLst>
            <a:ext uri="{FF2B5EF4-FFF2-40B4-BE49-F238E27FC236}">
              <a16:creationId xmlns:a16="http://schemas.microsoft.com/office/drawing/2014/main" id="{6D139706-C811-4709-8D7C-37DBEA291039}"/>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21" name="Rectangle 43">
          <a:extLst>
            <a:ext uri="{FF2B5EF4-FFF2-40B4-BE49-F238E27FC236}">
              <a16:creationId xmlns:a16="http://schemas.microsoft.com/office/drawing/2014/main" id="{DD1BFB40-7556-44DF-924C-0E0CD6F6655F}"/>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22" name="Line 44">
          <a:extLst>
            <a:ext uri="{FF2B5EF4-FFF2-40B4-BE49-F238E27FC236}">
              <a16:creationId xmlns:a16="http://schemas.microsoft.com/office/drawing/2014/main" id="{6CC6C0D5-A7C9-4A71-875B-E1A64EFF3A23}"/>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23" name="Rectangle 45">
          <a:extLst>
            <a:ext uri="{FF2B5EF4-FFF2-40B4-BE49-F238E27FC236}">
              <a16:creationId xmlns:a16="http://schemas.microsoft.com/office/drawing/2014/main" id="{B8BEFAF4-B24D-48C8-A8B1-0C1C36E0DDCC}"/>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24" name="Line 46">
          <a:extLst>
            <a:ext uri="{FF2B5EF4-FFF2-40B4-BE49-F238E27FC236}">
              <a16:creationId xmlns:a16="http://schemas.microsoft.com/office/drawing/2014/main" id="{702F88AB-8D0D-4B3C-B9A1-6B09B3F006D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25" name="Line 48">
          <a:extLst>
            <a:ext uri="{FF2B5EF4-FFF2-40B4-BE49-F238E27FC236}">
              <a16:creationId xmlns:a16="http://schemas.microsoft.com/office/drawing/2014/main" id="{F6180ED8-9689-4979-9233-0FB625FD9EED}"/>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26" name="Rectangle 49">
          <a:extLst>
            <a:ext uri="{FF2B5EF4-FFF2-40B4-BE49-F238E27FC236}">
              <a16:creationId xmlns:a16="http://schemas.microsoft.com/office/drawing/2014/main" id="{BB3F7A94-2FB6-4368-B55A-BBA2884C07D1}"/>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27" name="Line 50">
          <a:extLst>
            <a:ext uri="{FF2B5EF4-FFF2-40B4-BE49-F238E27FC236}">
              <a16:creationId xmlns:a16="http://schemas.microsoft.com/office/drawing/2014/main" id="{0AE00655-947B-4DC7-A411-DB9A599DE87F}"/>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28" name="Rectangle 51">
          <a:extLst>
            <a:ext uri="{FF2B5EF4-FFF2-40B4-BE49-F238E27FC236}">
              <a16:creationId xmlns:a16="http://schemas.microsoft.com/office/drawing/2014/main" id="{D88D1CBD-D3EE-4C0F-8033-2FFA9BB5E661}"/>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29" name="Line 52">
          <a:extLst>
            <a:ext uri="{FF2B5EF4-FFF2-40B4-BE49-F238E27FC236}">
              <a16:creationId xmlns:a16="http://schemas.microsoft.com/office/drawing/2014/main" id="{E66C8FD0-5B81-4EE5-B512-5DD3D0BCB94E}"/>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30" name="Rectangle 53">
          <a:extLst>
            <a:ext uri="{FF2B5EF4-FFF2-40B4-BE49-F238E27FC236}">
              <a16:creationId xmlns:a16="http://schemas.microsoft.com/office/drawing/2014/main" id="{88BC62E4-6B45-485F-9C08-B7A239B26D77}"/>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31" name="Line 54">
          <a:extLst>
            <a:ext uri="{FF2B5EF4-FFF2-40B4-BE49-F238E27FC236}">
              <a16:creationId xmlns:a16="http://schemas.microsoft.com/office/drawing/2014/main" id="{7E70E365-2AE5-49D2-B542-692412AC1374}"/>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32" name="Rectangle 55">
          <a:extLst>
            <a:ext uri="{FF2B5EF4-FFF2-40B4-BE49-F238E27FC236}">
              <a16:creationId xmlns:a16="http://schemas.microsoft.com/office/drawing/2014/main" id="{8A9173E8-CB0C-4D52-AEC5-E54B305FA9BE}"/>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33" name="Line 56">
          <a:extLst>
            <a:ext uri="{FF2B5EF4-FFF2-40B4-BE49-F238E27FC236}">
              <a16:creationId xmlns:a16="http://schemas.microsoft.com/office/drawing/2014/main" id="{355FA407-D41C-4100-8986-E12E6DA00A0B}"/>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34" name="Rectangle 57">
          <a:extLst>
            <a:ext uri="{FF2B5EF4-FFF2-40B4-BE49-F238E27FC236}">
              <a16:creationId xmlns:a16="http://schemas.microsoft.com/office/drawing/2014/main" id="{A2EF1436-68B4-42AE-87B0-D713C0740CA6}"/>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35" name="Line 58">
          <a:extLst>
            <a:ext uri="{FF2B5EF4-FFF2-40B4-BE49-F238E27FC236}">
              <a16:creationId xmlns:a16="http://schemas.microsoft.com/office/drawing/2014/main" id="{B3A54FBD-97EA-4EB8-B6C2-83D6D01AAC00}"/>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36" name="Rectangle 59">
          <a:extLst>
            <a:ext uri="{FF2B5EF4-FFF2-40B4-BE49-F238E27FC236}">
              <a16:creationId xmlns:a16="http://schemas.microsoft.com/office/drawing/2014/main" id="{00AE6C4C-6C31-4AC8-B997-48ACC426A4A7}"/>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37" name="Line 60">
          <a:extLst>
            <a:ext uri="{FF2B5EF4-FFF2-40B4-BE49-F238E27FC236}">
              <a16:creationId xmlns:a16="http://schemas.microsoft.com/office/drawing/2014/main" id="{B78684CC-EDFB-4EBA-94A7-94955DC73E61}"/>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38" name="Rectangle 61">
          <a:extLst>
            <a:ext uri="{FF2B5EF4-FFF2-40B4-BE49-F238E27FC236}">
              <a16:creationId xmlns:a16="http://schemas.microsoft.com/office/drawing/2014/main" id="{FF519006-E90C-4963-9475-1CF00BA3281F}"/>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39" name="Line 62">
          <a:extLst>
            <a:ext uri="{FF2B5EF4-FFF2-40B4-BE49-F238E27FC236}">
              <a16:creationId xmlns:a16="http://schemas.microsoft.com/office/drawing/2014/main" id="{33CE4AFA-E55F-4215-9DBD-ECF21DB263CD}"/>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40" name="Rectangle 63">
          <a:extLst>
            <a:ext uri="{FF2B5EF4-FFF2-40B4-BE49-F238E27FC236}">
              <a16:creationId xmlns:a16="http://schemas.microsoft.com/office/drawing/2014/main" id="{78C49455-E927-4965-95A8-EA66EEEF7B8D}"/>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41" name="Line 64">
          <a:extLst>
            <a:ext uri="{FF2B5EF4-FFF2-40B4-BE49-F238E27FC236}">
              <a16:creationId xmlns:a16="http://schemas.microsoft.com/office/drawing/2014/main" id="{14F69D75-9E88-4B7A-8086-C7B9B06DBBA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42" name="Rectangle 65">
          <a:extLst>
            <a:ext uri="{FF2B5EF4-FFF2-40B4-BE49-F238E27FC236}">
              <a16:creationId xmlns:a16="http://schemas.microsoft.com/office/drawing/2014/main" id="{B6474738-A722-4CE9-B5C7-3186B6DF2F87}"/>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43" name="Line 66">
          <a:extLst>
            <a:ext uri="{FF2B5EF4-FFF2-40B4-BE49-F238E27FC236}">
              <a16:creationId xmlns:a16="http://schemas.microsoft.com/office/drawing/2014/main" id="{2C91A251-4F81-4C91-9D97-C9A64E2135CA}"/>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44" name="Rectangle 67">
          <a:extLst>
            <a:ext uri="{FF2B5EF4-FFF2-40B4-BE49-F238E27FC236}">
              <a16:creationId xmlns:a16="http://schemas.microsoft.com/office/drawing/2014/main" id="{3313863C-6438-4161-94E2-945F288C7EAA}"/>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45" name="Line 68">
          <a:extLst>
            <a:ext uri="{FF2B5EF4-FFF2-40B4-BE49-F238E27FC236}">
              <a16:creationId xmlns:a16="http://schemas.microsoft.com/office/drawing/2014/main" id="{9EF95685-0A64-4A48-B815-1656450D0DD0}"/>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46" name="Rectangle 69">
          <a:extLst>
            <a:ext uri="{FF2B5EF4-FFF2-40B4-BE49-F238E27FC236}">
              <a16:creationId xmlns:a16="http://schemas.microsoft.com/office/drawing/2014/main" id="{7461F895-1531-4F3C-9CF2-50C189E18B5C}"/>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47" name="Rectangle 71">
          <a:extLst>
            <a:ext uri="{FF2B5EF4-FFF2-40B4-BE49-F238E27FC236}">
              <a16:creationId xmlns:a16="http://schemas.microsoft.com/office/drawing/2014/main" id="{D646AD89-EBC7-4894-94E8-CB2EA7C5B8FD}"/>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48" name="Line 72">
          <a:extLst>
            <a:ext uri="{FF2B5EF4-FFF2-40B4-BE49-F238E27FC236}">
              <a16:creationId xmlns:a16="http://schemas.microsoft.com/office/drawing/2014/main" id="{5AB17692-7874-42A1-8F94-899CFF5C688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49" name="Rectangle 73">
          <a:extLst>
            <a:ext uri="{FF2B5EF4-FFF2-40B4-BE49-F238E27FC236}">
              <a16:creationId xmlns:a16="http://schemas.microsoft.com/office/drawing/2014/main" id="{F0A38DB7-5A54-4EC7-94C8-480642B9186C}"/>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50" name="Line 74">
          <a:extLst>
            <a:ext uri="{FF2B5EF4-FFF2-40B4-BE49-F238E27FC236}">
              <a16:creationId xmlns:a16="http://schemas.microsoft.com/office/drawing/2014/main" id="{B9A7FB1E-038F-4620-BCD5-5870BC0BB47B}"/>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51" name="Rectangle 75">
          <a:extLst>
            <a:ext uri="{FF2B5EF4-FFF2-40B4-BE49-F238E27FC236}">
              <a16:creationId xmlns:a16="http://schemas.microsoft.com/office/drawing/2014/main" id="{1D6DB201-34A6-4DC0-8403-FF975874269A}"/>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52" name="Line 76">
          <a:extLst>
            <a:ext uri="{FF2B5EF4-FFF2-40B4-BE49-F238E27FC236}">
              <a16:creationId xmlns:a16="http://schemas.microsoft.com/office/drawing/2014/main" id="{F3D9821F-B57A-4F52-9FC5-8C5042F76D5B}"/>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53" name="Rectangle 77">
          <a:extLst>
            <a:ext uri="{FF2B5EF4-FFF2-40B4-BE49-F238E27FC236}">
              <a16:creationId xmlns:a16="http://schemas.microsoft.com/office/drawing/2014/main" id="{3BD81DF4-08C8-4C79-887C-FD46DAA9B680}"/>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54" name="Line 78">
          <a:extLst>
            <a:ext uri="{FF2B5EF4-FFF2-40B4-BE49-F238E27FC236}">
              <a16:creationId xmlns:a16="http://schemas.microsoft.com/office/drawing/2014/main" id="{560AE35E-0197-48C7-A265-6ED251B37C8D}"/>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55" name="Rectangle 79">
          <a:extLst>
            <a:ext uri="{FF2B5EF4-FFF2-40B4-BE49-F238E27FC236}">
              <a16:creationId xmlns:a16="http://schemas.microsoft.com/office/drawing/2014/main" id="{37D2FABD-CBB7-4713-B400-25B16468BADB}"/>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56" name="Line 80">
          <a:extLst>
            <a:ext uri="{FF2B5EF4-FFF2-40B4-BE49-F238E27FC236}">
              <a16:creationId xmlns:a16="http://schemas.microsoft.com/office/drawing/2014/main" id="{2540D64F-5123-401F-A254-312D2324EAEA}"/>
            </a:ext>
          </a:extLst>
        </xdr:cNvPr>
        <xdr:cNvSpPr>
          <a:spLocks noChangeShapeType="1"/>
        </xdr:cNvSpPr>
      </xdr:nvSpPr>
      <xdr:spPr bwMode="auto">
        <a:xfrm>
          <a:off x="807910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57" name="Rectangle 81">
          <a:extLst>
            <a:ext uri="{FF2B5EF4-FFF2-40B4-BE49-F238E27FC236}">
              <a16:creationId xmlns:a16="http://schemas.microsoft.com/office/drawing/2014/main" id="{479ACD54-932B-4F3A-B883-4E125B1B2FAB}"/>
            </a:ext>
          </a:extLst>
        </xdr:cNvPr>
        <xdr:cNvSpPr>
          <a:spLocks noChangeArrowheads="1"/>
        </xdr:cNvSpPr>
      </xdr:nvSpPr>
      <xdr:spPr bwMode="auto">
        <a:xfrm>
          <a:off x="807910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58" name="Line 82">
          <a:extLst>
            <a:ext uri="{FF2B5EF4-FFF2-40B4-BE49-F238E27FC236}">
              <a16:creationId xmlns:a16="http://schemas.microsoft.com/office/drawing/2014/main" id="{9BBECD76-9746-40CD-8F7E-068DC019A641}"/>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59" name="Line 84">
          <a:extLst>
            <a:ext uri="{FF2B5EF4-FFF2-40B4-BE49-F238E27FC236}">
              <a16:creationId xmlns:a16="http://schemas.microsoft.com/office/drawing/2014/main" id="{093A1D8B-0557-4030-ABB0-7F14F19FAEAA}"/>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60" name="Line 86">
          <a:extLst>
            <a:ext uri="{FF2B5EF4-FFF2-40B4-BE49-F238E27FC236}">
              <a16:creationId xmlns:a16="http://schemas.microsoft.com/office/drawing/2014/main" id="{5BD1395E-983C-49B0-9EC1-0813D7316DC7}"/>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61" name="Rectangle 87">
          <a:extLst>
            <a:ext uri="{FF2B5EF4-FFF2-40B4-BE49-F238E27FC236}">
              <a16:creationId xmlns:a16="http://schemas.microsoft.com/office/drawing/2014/main" id="{9B7D43C7-5CB3-49D3-AF80-AC6FB522B925}"/>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62" name="Line 88">
          <a:extLst>
            <a:ext uri="{FF2B5EF4-FFF2-40B4-BE49-F238E27FC236}">
              <a16:creationId xmlns:a16="http://schemas.microsoft.com/office/drawing/2014/main" id="{4D2FAE43-65CC-4A16-B4C8-3CFF957A6755}"/>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63" name="Rectangle 89">
          <a:extLst>
            <a:ext uri="{FF2B5EF4-FFF2-40B4-BE49-F238E27FC236}">
              <a16:creationId xmlns:a16="http://schemas.microsoft.com/office/drawing/2014/main" id="{72FA6352-1671-4421-8500-78EBAD23AA7B}"/>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64" name="Line 90">
          <a:extLst>
            <a:ext uri="{FF2B5EF4-FFF2-40B4-BE49-F238E27FC236}">
              <a16:creationId xmlns:a16="http://schemas.microsoft.com/office/drawing/2014/main" id="{D1F50D0F-4AE5-4428-A818-251AD9BC79C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65" name="Rectangle 91">
          <a:extLst>
            <a:ext uri="{FF2B5EF4-FFF2-40B4-BE49-F238E27FC236}">
              <a16:creationId xmlns:a16="http://schemas.microsoft.com/office/drawing/2014/main" id="{38500986-7689-4216-96F4-06B209C98810}"/>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66" name="Line 92">
          <a:extLst>
            <a:ext uri="{FF2B5EF4-FFF2-40B4-BE49-F238E27FC236}">
              <a16:creationId xmlns:a16="http://schemas.microsoft.com/office/drawing/2014/main" id="{6A6761AE-C4F7-443D-AB72-3DC83A08CE1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67" name="Rectangle 93">
          <a:extLst>
            <a:ext uri="{FF2B5EF4-FFF2-40B4-BE49-F238E27FC236}">
              <a16:creationId xmlns:a16="http://schemas.microsoft.com/office/drawing/2014/main" id="{46B02974-FAB0-4735-AFB7-1A4795BAA954}"/>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68" name="Line 94">
          <a:extLst>
            <a:ext uri="{FF2B5EF4-FFF2-40B4-BE49-F238E27FC236}">
              <a16:creationId xmlns:a16="http://schemas.microsoft.com/office/drawing/2014/main" id="{65BB8901-A07B-4851-879F-80F5A296D9FD}"/>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69" name="Rectangle 95">
          <a:extLst>
            <a:ext uri="{FF2B5EF4-FFF2-40B4-BE49-F238E27FC236}">
              <a16:creationId xmlns:a16="http://schemas.microsoft.com/office/drawing/2014/main" id="{AD05ED8E-1574-418A-9270-9F60253E301A}"/>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70" name="Line 96">
          <a:extLst>
            <a:ext uri="{FF2B5EF4-FFF2-40B4-BE49-F238E27FC236}">
              <a16:creationId xmlns:a16="http://schemas.microsoft.com/office/drawing/2014/main" id="{1642F6BA-6137-447E-AAB9-38AADF5193CC}"/>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71" name="Rectangle 97">
          <a:extLst>
            <a:ext uri="{FF2B5EF4-FFF2-40B4-BE49-F238E27FC236}">
              <a16:creationId xmlns:a16="http://schemas.microsoft.com/office/drawing/2014/main" id="{9ADF1CFC-23C4-4240-BE8D-2AA14E99FF8C}"/>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72" name="Line 98">
          <a:extLst>
            <a:ext uri="{FF2B5EF4-FFF2-40B4-BE49-F238E27FC236}">
              <a16:creationId xmlns:a16="http://schemas.microsoft.com/office/drawing/2014/main" id="{9E3EBADA-E7D1-4C84-AE12-AE7F1E03633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73" name="Rectangle 99">
          <a:extLst>
            <a:ext uri="{FF2B5EF4-FFF2-40B4-BE49-F238E27FC236}">
              <a16:creationId xmlns:a16="http://schemas.microsoft.com/office/drawing/2014/main" id="{6C38B2DF-8D34-49BA-BD05-56AF1037345E}"/>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74" name="Line 100">
          <a:extLst>
            <a:ext uri="{FF2B5EF4-FFF2-40B4-BE49-F238E27FC236}">
              <a16:creationId xmlns:a16="http://schemas.microsoft.com/office/drawing/2014/main" id="{3C18C65E-4578-4F53-8095-B40A46678CFC}"/>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75" name="Rectangle 101">
          <a:extLst>
            <a:ext uri="{FF2B5EF4-FFF2-40B4-BE49-F238E27FC236}">
              <a16:creationId xmlns:a16="http://schemas.microsoft.com/office/drawing/2014/main" id="{EA0C7AD8-9564-400E-98E3-9A315022720C}"/>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76" name="Line 102">
          <a:extLst>
            <a:ext uri="{FF2B5EF4-FFF2-40B4-BE49-F238E27FC236}">
              <a16:creationId xmlns:a16="http://schemas.microsoft.com/office/drawing/2014/main" id="{C7FB83EA-0374-46D7-8D46-688E2E59CB51}"/>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77" name="Rectangle 103">
          <a:extLst>
            <a:ext uri="{FF2B5EF4-FFF2-40B4-BE49-F238E27FC236}">
              <a16:creationId xmlns:a16="http://schemas.microsoft.com/office/drawing/2014/main" id="{C7E030D3-25B3-49A6-BE25-561C824A316E}"/>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78" name="Line 104">
          <a:extLst>
            <a:ext uri="{FF2B5EF4-FFF2-40B4-BE49-F238E27FC236}">
              <a16:creationId xmlns:a16="http://schemas.microsoft.com/office/drawing/2014/main" id="{03BDF636-8A8B-4256-9CEB-297A9232E425}"/>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79" name="Rectangle 105">
          <a:extLst>
            <a:ext uri="{FF2B5EF4-FFF2-40B4-BE49-F238E27FC236}">
              <a16:creationId xmlns:a16="http://schemas.microsoft.com/office/drawing/2014/main" id="{2F3635CE-BA9C-418B-A80F-28A459B9FFA6}"/>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80" name="Line 106">
          <a:extLst>
            <a:ext uri="{FF2B5EF4-FFF2-40B4-BE49-F238E27FC236}">
              <a16:creationId xmlns:a16="http://schemas.microsoft.com/office/drawing/2014/main" id="{C1264878-3764-48AC-9D67-D7FBED2BB5E8}"/>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81" name="Rectangle 107">
          <a:extLst>
            <a:ext uri="{FF2B5EF4-FFF2-40B4-BE49-F238E27FC236}">
              <a16:creationId xmlns:a16="http://schemas.microsoft.com/office/drawing/2014/main" id="{6A2E8317-C098-4439-8CBB-D4FB43A84E53}"/>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82" name="Line 108">
          <a:extLst>
            <a:ext uri="{FF2B5EF4-FFF2-40B4-BE49-F238E27FC236}">
              <a16:creationId xmlns:a16="http://schemas.microsoft.com/office/drawing/2014/main" id="{0AD97CCA-5DD3-436C-B37A-4D6086799533}"/>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83" name="Rectangle 109">
          <a:extLst>
            <a:ext uri="{FF2B5EF4-FFF2-40B4-BE49-F238E27FC236}">
              <a16:creationId xmlns:a16="http://schemas.microsoft.com/office/drawing/2014/main" id="{7C04EE29-22BD-48D5-9609-E9D05C65ED42}"/>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84" name="Line 110">
          <a:extLst>
            <a:ext uri="{FF2B5EF4-FFF2-40B4-BE49-F238E27FC236}">
              <a16:creationId xmlns:a16="http://schemas.microsoft.com/office/drawing/2014/main" id="{1001A633-C787-417F-84E8-77AB3212D4E8}"/>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85" name="Rectangle 111">
          <a:extLst>
            <a:ext uri="{FF2B5EF4-FFF2-40B4-BE49-F238E27FC236}">
              <a16:creationId xmlns:a16="http://schemas.microsoft.com/office/drawing/2014/main" id="{4D2289A9-3F05-48E6-83C5-737899B338D9}"/>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86" name="Line 112">
          <a:extLst>
            <a:ext uri="{FF2B5EF4-FFF2-40B4-BE49-F238E27FC236}">
              <a16:creationId xmlns:a16="http://schemas.microsoft.com/office/drawing/2014/main" id="{79585CF5-C083-47E0-9A5A-3F29DEA9F20D}"/>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87" name="Rectangle 113">
          <a:extLst>
            <a:ext uri="{FF2B5EF4-FFF2-40B4-BE49-F238E27FC236}">
              <a16:creationId xmlns:a16="http://schemas.microsoft.com/office/drawing/2014/main" id="{A4B141DE-7954-4382-9091-CA95A5226883}"/>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88" name="Line 114">
          <a:extLst>
            <a:ext uri="{FF2B5EF4-FFF2-40B4-BE49-F238E27FC236}">
              <a16:creationId xmlns:a16="http://schemas.microsoft.com/office/drawing/2014/main" id="{D3CB4A50-C245-45F3-84B2-84B3A8073D76}"/>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89" name="Rectangle 115">
          <a:extLst>
            <a:ext uri="{FF2B5EF4-FFF2-40B4-BE49-F238E27FC236}">
              <a16:creationId xmlns:a16="http://schemas.microsoft.com/office/drawing/2014/main" id="{5F93BEDE-501D-481A-8866-3CF2D4B6DE8D}"/>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 name="Line 116">
          <a:extLst>
            <a:ext uri="{FF2B5EF4-FFF2-40B4-BE49-F238E27FC236}">
              <a16:creationId xmlns:a16="http://schemas.microsoft.com/office/drawing/2014/main" id="{C71A06C9-BF53-4398-9D7B-CBC73EC7CEEC}"/>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1" name="Rectangle 117">
          <a:extLst>
            <a:ext uri="{FF2B5EF4-FFF2-40B4-BE49-F238E27FC236}">
              <a16:creationId xmlns:a16="http://schemas.microsoft.com/office/drawing/2014/main" id="{B4F9FB40-9342-4C36-B2E1-9533203ED7C8}"/>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2" name="Line 118">
          <a:extLst>
            <a:ext uri="{FF2B5EF4-FFF2-40B4-BE49-F238E27FC236}">
              <a16:creationId xmlns:a16="http://schemas.microsoft.com/office/drawing/2014/main" id="{EED94A9E-03B6-4C20-B680-7325C9E53355}"/>
            </a:ext>
          </a:extLst>
        </xdr:cNvPr>
        <xdr:cNvSpPr>
          <a:spLocks noChangeShapeType="1"/>
        </xdr:cNvSpPr>
      </xdr:nvSpPr>
      <xdr:spPr bwMode="auto">
        <a:xfrm>
          <a:off x="0" y="0"/>
          <a:ext cx="807910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3" name="Rectangle 119">
          <a:extLst>
            <a:ext uri="{FF2B5EF4-FFF2-40B4-BE49-F238E27FC236}">
              <a16:creationId xmlns:a16="http://schemas.microsoft.com/office/drawing/2014/main" id="{09128A69-4938-45B1-A8BB-0D2AB4137DA3}"/>
            </a:ext>
          </a:extLst>
        </xdr:cNvPr>
        <xdr:cNvSpPr>
          <a:spLocks noChangeArrowheads="1"/>
        </xdr:cNvSpPr>
      </xdr:nvSpPr>
      <xdr:spPr bwMode="auto">
        <a:xfrm>
          <a:off x="0" y="0"/>
          <a:ext cx="808863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1055370</xdr:colOff>
      <xdr:row>46</xdr:row>
      <xdr:rowOff>160863</xdr:rowOff>
    </xdr:from>
    <xdr:to>
      <xdr:col>0</xdr:col>
      <xdr:colOff>7200900</xdr:colOff>
      <xdr:row>58</xdr:row>
      <xdr:rowOff>162986</xdr:rowOff>
    </xdr:to>
    <xdr:pic>
      <xdr:nvPicPr>
        <xdr:cNvPr id="94" name="Picture 120">
          <a:extLst>
            <a:ext uri="{FF2B5EF4-FFF2-40B4-BE49-F238E27FC236}">
              <a16:creationId xmlns:a16="http://schemas.microsoft.com/office/drawing/2014/main" id="{563BE6BE-9A9B-4B7D-B557-346DE2EF6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055370" y="9685863"/>
          <a:ext cx="6145530" cy="205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9525</xdr:colOff>
      <xdr:row>0</xdr:row>
      <xdr:rowOff>0</xdr:rowOff>
    </xdr:to>
    <xdr:sp macro="" textlink="">
      <xdr:nvSpPr>
        <xdr:cNvPr id="90665" name="Rectangle 24">
          <a:extLst>
            <a:ext uri="{FF2B5EF4-FFF2-40B4-BE49-F238E27FC236}">
              <a16:creationId xmlns:a16="http://schemas.microsoft.com/office/drawing/2014/main" id="{00000000-0008-0000-3000-000029620100}"/>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90666" name="Rectangle 25">
          <a:extLst>
            <a:ext uri="{FF2B5EF4-FFF2-40B4-BE49-F238E27FC236}">
              <a16:creationId xmlns:a16="http://schemas.microsoft.com/office/drawing/2014/main" id="{00000000-0008-0000-3000-00002A620100}"/>
            </a:ext>
          </a:extLst>
        </xdr:cNvPr>
        <xdr:cNvSpPr>
          <a:spLocks noChangeArrowheads="1"/>
        </xdr:cNvSpPr>
      </xdr:nvSpPr>
      <xdr:spPr bwMode="auto">
        <a:xfrm>
          <a:off x="1514475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0</xdr:colOff>
      <xdr:row>0</xdr:row>
      <xdr:rowOff>0</xdr:rowOff>
    </xdr:to>
    <xdr:sp macro="" textlink="">
      <xdr:nvSpPr>
        <xdr:cNvPr id="90667" name="Line 26">
          <a:extLst>
            <a:ext uri="{FF2B5EF4-FFF2-40B4-BE49-F238E27FC236}">
              <a16:creationId xmlns:a16="http://schemas.microsoft.com/office/drawing/2014/main" id="{00000000-0008-0000-3000-00002B620100}"/>
            </a:ext>
          </a:extLst>
        </xdr:cNvPr>
        <xdr:cNvSpPr>
          <a:spLocks noChangeShapeType="1"/>
        </xdr:cNvSpPr>
      </xdr:nvSpPr>
      <xdr:spPr bwMode="auto">
        <a:xfrm>
          <a:off x="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90668" name="Rectangle 27">
          <a:extLst>
            <a:ext uri="{FF2B5EF4-FFF2-40B4-BE49-F238E27FC236}">
              <a16:creationId xmlns:a16="http://schemas.microsoft.com/office/drawing/2014/main" id="{00000000-0008-0000-3000-00002C620100}"/>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571500</xdr:colOff>
      <xdr:row>0</xdr:row>
      <xdr:rowOff>0</xdr:rowOff>
    </xdr:to>
    <xdr:sp macro="" textlink="">
      <xdr:nvSpPr>
        <xdr:cNvPr id="90669" name="Line 28">
          <a:extLst>
            <a:ext uri="{FF2B5EF4-FFF2-40B4-BE49-F238E27FC236}">
              <a16:creationId xmlns:a16="http://schemas.microsoft.com/office/drawing/2014/main" id="{00000000-0008-0000-3000-00002D620100}"/>
            </a:ext>
          </a:extLst>
        </xdr:cNvPr>
        <xdr:cNvSpPr>
          <a:spLocks noChangeShapeType="1"/>
        </xdr:cNvSpPr>
      </xdr:nvSpPr>
      <xdr:spPr bwMode="auto">
        <a:xfrm>
          <a:off x="1514475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90670" name="Rectangle 29">
          <a:extLst>
            <a:ext uri="{FF2B5EF4-FFF2-40B4-BE49-F238E27FC236}">
              <a16:creationId xmlns:a16="http://schemas.microsoft.com/office/drawing/2014/main" id="{00000000-0008-0000-3000-00002E620100}"/>
            </a:ext>
          </a:extLst>
        </xdr:cNvPr>
        <xdr:cNvSpPr>
          <a:spLocks noChangeArrowheads="1"/>
        </xdr:cNvSpPr>
      </xdr:nvSpPr>
      <xdr:spPr bwMode="auto">
        <a:xfrm>
          <a:off x="1514475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0</xdr:colOff>
      <xdr:row>0</xdr:row>
      <xdr:rowOff>0</xdr:rowOff>
    </xdr:to>
    <xdr:sp macro="" textlink="">
      <xdr:nvSpPr>
        <xdr:cNvPr id="90671" name="Line 30">
          <a:extLst>
            <a:ext uri="{FF2B5EF4-FFF2-40B4-BE49-F238E27FC236}">
              <a16:creationId xmlns:a16="http://schemas.microsoft.com/office/drawing/2014/main" id="{00000000-0008-0000-3000-00002F620100}"/>
            </a:ext>
          </a:extLst>
        </xdr:cNvPr>
        <xdr:cNvSpPr>
          <a:spLocks noChangeShapeType="1"/>
        </xdr:cNvSpPr>
      </xdr:nvSpPr>
      <xdr:spPr bwMode="auto">
        <a:xfrm>
          <a:off x="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90672" name="Rectangle 31">
          <a:extLst>
            <a:ext uri="{FF2B5EF4-FFF2-40B4-BE49-F238E27FC236}">
              <a16:creationId xmlns:a16="http://schemas.microsoft.com/office/drawing/2014/main" id="{00000000-0008-0000-3000-000030620100}"/>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571500</xdr:colOff>
      <xdr:row>0</xdr:row>
      <xdr:rowOff>0</xdr:rowOff>
    </xdr:to>
    <xdr:sp macro="" textlink="">
      <xdr:nvSpPr>
        <xdr:cNvPr id="90673" name="Line 32">
          <a:extLst>
            <a:ext uri="{FF2B5EF4-FFF2-40B4-BE49-F238E27FC236}">
              <a16:creationId xmlns:a16="http://schemas.microsoft.com/office/drawing/2014/main" id="{00000000-0008-0000-3000-000031620100}"/>
            </a:ext>
          </a:extLst>
        </xdr:cNvPr>
        <xdr:cNvSpPr>
          <a:spLocks noChangeShapeType="1"/>
        </xdr:cNvSpPr>
      </xdr:nvSpPr>
      <xdr:spPr bwMode="auto">
        <a:xfrm>
          <a:off x="1514475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90674" name="Rectangle 33">
          <a:extLst>
            <a:ext uri="{FF2B5EF4-FFF2-40B4-BE49-F238E27FC236}">
              <a16:creationId xmlns:a16="http://schemas.microsoft.com/office/drawing/2014/main" id="{00000000-0008-0000-3000-000032620100}"/>
            </a:ext>
          </a:extLst>
        </xdr:cNvPr>
        <xdr:cNvSpPr>
          <a:spLocks noChangeArrowheads="1"/>
        </xdr:cNvSpPr>
      </xdr:nvSpPr>
      <xdr:spPr bwMode="auto">
        <a:xfrm>
          <a:off x="1514475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0</xdr:colOff>
      <xdr:row>0</xdr:row>
      <xdr:rowOff>0</xdr:rowOff>
    </xdr:to>
    <xdr:sp macro="" textlink="">
      <xdr:nvSpPr>
        <xdr:cNvPr id="90675" name="Line 34">
          <a:extLst>
            <a:ext uri="{FF2B5EF4-FFF2-40B4-BE49-F238E27FC236}">
              <a16:creationId xmlns:a16="http://schemas.microsoft.com/office/drawing/2014/main" id="{00000000-0008-0000-3000-000033620100}"/>
            </a:ext>
          </a:extLst>
        </xdr:cNvPr>
        <xdr:cNvSpPr>
          <a:spLocks noChangeShapeType="1"/>
        </xdr:cNvSpPr>
      </xdr:nvSpPr>
      <xdr:spPr bwMode="auto">
        <a:xfrm>
          <a:off x="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90676" name="Rectangle 35">
          <a:extLst>
            <a:ext uri="{FF2B5EF4-FFF2-40B4-BE49-F238E27FC236}">
              <a16:creationId xmlns:a16="http://schemas.microsoft.com/office/drawing/2014/main" id="{00000000-0008-0000-3000-000034620100}"/>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571500</xdr:colOff>
      <xdr:row>0</xdr:row>
      <xdr:rowOff>0</xdr:rowOff>
    </xdr:to>
    <xdr:sp macro="" textlink="">
      <xdr:nvSpPr>
        <xdr:cNvPr id="90677" name="Line 36">
          <a:extLst>
            <a:ext uri="{FF2B5EF4-FFF2-40B4-BE49-F238E27FC236}">
              <a16:creationId xmlns:a16="http://schemas.microsoft.com/office/drawing/2014/main" id="{00000000-0008-0000-3000-000035620100}"/>
            </a:ext>
          </a:extLst>
        </xdr:cNvPr>
        <xdr:cNvSpPr>
          <a:spLocks noChangeShapeType="1"/>
        </xdr:cNvSpPr>
      </xdr:nvSpPr>
      <xdr:spPr bwMode="auto">
        <a:xfrm>
          <a:off x="15144750" y="0"/>
          <a:ext cx="0"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90678" name="Rectangle 37">
          <a:extLst>
            <a:ext uri="{FF2B5EF4-FFF2-40B4-BE49-F238E27FC236}">
              <a16:creationId xmlns:a16="http://schemas.microsoft.com/office/drawing/2014/main" id="{00000000-0008-0000-3000-000036620100}"/>
            </a:ext>
          </a:extLst>
        </xdr:cNvPr>
        <xdr:cNvSpPr>
          <a:spLocks noChangeArrowheads="1"/>
        </xdr:cNvSpPr>
      </xdr:nvSpPr>
      <xdr:spPr bwMode="auto">
        <a:xfrm>
          <a:off x="1514475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90679" name="Line 38">
          <a:extLst>
            <a:ext uri="{FF2B5EF4-FFF2-40B4-BE49-F238E27FC236}">
              <a16:creationId xmlns:a16="http://schemas.microsoft.com/office/drawing/2014/main" id="{00000000-0008-0000-3000-000037620100}"/>
            </a:ext>
          </a:extLst>
        </xdr:cNvPr>
        <xdr:cNvSpPr>
          <a:spLocks noChangeShapeType="1"/>
        </xdr:cNvSpPr>
      </xdr:nvSpPr>
      <xdr:spPr bwMode="auto">
        <a:xfrm>
          <a:off x="0"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0</xdr:col>
      <xdr:colOff>9525</xdr:colOff>
      <xdr:row>0</xdr:row>
      <xdr:rowOff>0</xdr:rowOff>
    </xdr:to>
    <xdr:sp macro="" textlink="">
      <xdr:nvSpPr>
        <xdr:cNvPr id="90680" name="Rectangle 39">
          <a:extLst>
            <a:ext uri="{FF2B5EF4-FFF2-40B4-BE49-F238E27FC236}">
              <a16:creationId xmlns:a16="http://schemas.microsoft.com/office/drawing/2014/main" id="{00000000-0008-0000-3000-000038620100}"/>
            </a:ext>
          </a:extLst>
        </xdr:cNvPr>
        <xdr:cNvSpPr>
          <a:spLocks noChangeArrowheads="1"/>
        </xdr:cNvSpPr>
      </xdr:nvSpPr>
      <xdr:spPr bwMode="auto">
        <a:xfrm>
          <a:off x="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90681" name="Line 40">
          <a:extLst>
            <a:ext uri="{FF2B5EF4-FFF2-40B4-BE49-F238E27FC236}">
              <a16:creationId xmlns:a16="http://schemas.microsoft.com/office/drawing/2014/main" id="{00000000-0008-0000-3000-000039620100}"/>
            </a:ext>
          </a:extLst>
        </xdr:cNvPr>
        <xdr:cNvSpPr>
          <a:spLocks noChangeShapeType="1"/>
        </xdr:cNvSpPr>
      </xdr:nvSpPr>
      <xdr:spPr bwMode="auto">
        <a:xfrm>
          <a:off x="15144750"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571500</xdr:colOff>
      <xdr:row>0</xdr:row>
      <xdr:rowOff>0</xdr:rowOff>
    </xdr:from>
    <xdr:to>
      <xdr:col>12</xdr:col>
      <xdr:colOff>581025</xdr:colOff>
      <xdr:row>0</xdr:row>
      <xdr:rowOff>0</xdr:rowOff>
    </xdr:to>
    <xdr:sp macro="" textlink="">
      <xdr:nvSpPr>
        <xdr:cNvPr id="90682" name="Rectangle 41">
          <a:extLst>
            <a:ext uri="{FF2B5EF4-FFF2-40B4-BE49-F238E27FC236}">
              <a16:creationId xmlns:a16="http://schemas.microsoft.com/office/drawing/2014/main" id="{00000000-0008-0000-3000-00003A620100}"/>
            </a:ext>
          </a:extLst>
        </xdr:cNvPr>
        <xdr:cNvSpPr>
          <a:spLocks noChangeArrowheads="1"/>
        </xdr:cNvSpPr>
      </xdr:nvSpPr>
      <xdr:spPr bwMode="auto">
        <a:xfrm>
          <a:off x="15144750"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83" name="Line 42">
          <a:extLst>
            <a:ext uri="{FF2B5EF4-FFF2-40B4-BE49-F238E27FC236}">
              <a16:creationId xmlns:a16="http://schemas.microsoft.com/office/drawing/2014/main" id="{00000000-0008-0000-3000-00003B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84" name="Rectangle 43">
          <a:extLst>
            <a:ext uri="{FF2B5EF4-FFF2-40B4-BE49-F238E27FC236}">
              <a16:creationId xmlns:a16="http://schemas.microsoft.com/office/drawing/2014/main" id="{00000000-0008-0000-3000-00003C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85" name="Line 44">
          <a:extLst>
            <a:ext uri="{FF2B5EF4-FFF2-40B4-BE49-F238E27FC236}">
              <a16:creationId xmlns:a16="http://schemas.microsoft.com/office/drawing/2014/main" id="{00000000-0008-0000-3000-00003D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86" name="Rectangle 45">
          <a:extLst>
            <a:ext uri="{FF2B5EF4-FFF2-40B4-BE49-F238E27FC236}">
              <a16:creationId xmlns:a16="http://schemas.microsoft.com/office/drawing/2014/main" id="{00000000-0008-0000-3000-00003E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687" name="Line 46">
          <a:extLst>
            <a:ext uri="{FF2B5EF4-FFF2-40B4-BE49-F238E27FC236}">
              <a16:creationId xmlns:a16="http://schemas.microsoft.com/office/drawing/2014/main" id="{00000000-0008-0000-3000-00003F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688" name="Line 48">
          <a:extLst>
            <a:ext uri="{FF2B5EF4-FFF2-40B4-BE49-F238E27FC236}">
              <a16:creationId xmlns:a16="http://schemas.microsoft.com/office/drawing/2014/main" id="{00000000-0008-0000-3000-000040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689" name="Rectangle 49">
          <a:extLst>
            <a:ext uri="{FF2B5EF4-FFF2-40B4-BE49-F238E27FC236}">
              <a16:creationId xmlns:a16="http://schemas.microsoft.com/office/drawing/2014/main" id="{00000000-0008-0000-3000-000041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690" name="Line 50">
          <a:extLst>
            <a:ext uri="{FF2B5EF4-FFF2-40B4-BE49-F238E27FC236}">
              <a16:creationId xmlns:a16="http://schemas.microsoft.com/office/drawing/2014/main" id="{00000000-0008-0000-3000-000042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691" name="Rectangle 51">
          <a:extLst>
            <a:ext uri="{FF2B5EF4-FFF2-40B4-BE49-F238E27FC236}">
              <a16:creationId xmlns:a16="http://schemas.microsoft.com/office/drawing/2014/main" id="{00000000-0008-0000-3000-000043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692" name="Line 52">
          <a:extLst>
            <a:ext uri="{FF2B5EF4-FFF2-40B4-BE49-F238E27FC236}">
              <a16:creationId xmlns:a16="http://schemas.microsoft.com/office/drawing/2014/main" id="{00000000-0008-0000-3000-000044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693" name="Rectangle 53">
          <a:extLst>
            <a:ext uri="{FF2B5EF4-FFF2-40B4-BE49-F238E27FC236}">
              <a16:creationId xmlns:a16="http://schemas.microsoft.com/office/drawing/2014/main" id="{00000000-0008-0000-3000-000045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94" name="Line 54">
          <a:extLst>
            <a:ext uri="{FF2B5EF4-FFF2-40B4-BE49-F238E27FC236}">
              <a16:creationId xmlns:a16="http://schemas.microsoft.com/office/drawing/2014/main" id="{00000000-0008-0000-3000-000046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95" name="Rectangle 55">
          <a:extLst>
            <a:ext uri="{FF2B5EF4-FFF2-40B4-BE49-F238E27FC236}">
              <a16:creationId xmlns:a16="http://schemas.microsoft.com/office/drawing/2014/main" id="{00000000-0008-0000-3000-000047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96" name="Line 56">
          <a:extLst>
            <a:ext uri="{FF2B5EF4-FFF2-40B4-BE49-F238E27FC236}">
              <a16:creationId xmlns:a16="http://schemas.microsoft.com/office/drawing/2014/main" id="{00000000-0008-0000-3000-000048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697" name="Rectangle 57">
          <a:extLst>
            <a:ext uri="{FF2B5EF4-FFF2-40B4-BE49-F238E27FC236}">
              <a16:creationId xmlns:a16="http://schemas.microsoft.com/office/drawing/2014/main" id="{00000000-0008-0000-3000-000049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698" name="Line 58">
          <a:extLst>
            <a:ext uri="{FF2B5EF4-FFF2-40B4-BE49-F238E27FC236}">
              <a16:creationId xmlns:a16="http://schemas.microsoft.com/office/drawing/2014/main" id="{00000000-0008-0000-3000-00004A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699" name="Rectangle 59">
          <a:extLst>
            <a:ext uri="{FF2B5EF4-FFF2-40B4-BE49-F238E27FC236}">
              <a16:creationId xmlns:a16="http://schemas.microsoft.com/office/drawing/2014/main" id="{00000000-0008-0000-3000-00004B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00" name="Line 60">
          <a:extLst>
            <a:ext uri="{FF2B5EF4-FFF2-40B4-BE49-F238E27FC236}">
              <a16:creationId xmlns:a16="http://schemas.microsoft.com/office/drawing/2014/main" id="{00000000-0008-0000-3000-00004C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01" name="Rectangle 61">
          <a:extLst>
            <a:ext uri="{FF2B5EF4-FFF2-40B4-BE49-F238E27FC236}">
              <a16:creationId xmlns:a16="http://schemas.microsoft.com/office/drawing/2014/main" id="{00000000-0008-0000-3000-00004D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02" name="Line 62">
          <a:extLst>
            <a:ext uri="{FF2B5EF4-FFF2-40B4-BE49-F238E27FC236}">
              <a16:creationId xmlns:a16="http://schemas.microsoft.com/office/drawing/2014/main" id="{00000000-0008-0000-3000-00004E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03" name="Rectangle 63">
          <a:extLst>
            <a:ext uri="{FF2B5EF4-FFF2-40B4-BE49-F238E27FC236}">
              <a16:creationId xmlns:a16="http://schemas.microsoft.com/office/drawing/2014/main" id="{00000000-0008-0000-3000-00004F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04" name="Line 64">
          <a:extLst>
            <a:ext uri="{FF2B5EF4-FFF2-40B4-BE49-F238E27FC236}">
              <a16:creationId xmlns:a16="http://schemas.microsoft.com/office/drawing/2014/main" id="{00000000-0008-0000-3000-000050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05" name="Rectangle 65">
          <a:extLst>
            <a:ext uri="{FF2B5EF4-FFF2-40B4-BE49-F238E27FC236}">
              <a16:creationId xmlns:a16="http://schemas.microsoft.com/office/drawing/2014/main" id="{00000000-0008-0000-3000-000051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06" name="Line 66">
          <a:extLst>
            <a:ext uri="{FF2B5EF4-FFF2-40B4-BE49-F238E27FC236}">
              <a16:creationId xmlns:a16="http://schemas.microsoft.com/office/drawing/2014/main" id="{00000000-0008-0000-3000-000052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07" name="Rectangle 67">
          <a:extLst>
            <a:ext uri="{FF2B5EF4-FFF2-40B4-BE49-F238E27FC236}">
              <a16:creationId xmlns:a16="http://schemas.microsoft.com/office/drawing/2014/main" id="{00000000-0008-0000-3000-000053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08" name="Line 68">
          <a:extLst>
            <a:ext uri="{FF2B5EF4-FFF2-40B4-BE49-F238E27FC236}">
              <a16:creationId xmlns:a16="http://schemas.microsoft.com/office/drawing/2014/main" id="{00000000-0008-0000-3000-000054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09" name="Rectangle 69">
          <a:extLst>
            <a:ext uri="{FF2B5EF4-FFF2-40B4-BE49-F238E27FC236}">
              <a16:creationId xmlns:a16="http://schemas.microsoft.com/office/drawing/2014/main" id="{00000000-0008-0000-3000-000055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10" name="Rectangle 71">
          <a:extLst>
            <a:ext uri="{FF2B5EF4-FFF2-40B4-BE49-F238E27FC236}">
              <a16:creationId xmlns:a16="http://schemas.microsoft.com/office/drawing/2014/main" id="{00000000-0008-0000-3000-000056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11" name="Line 72">
          <a:extLst>
            <a:ext uri="{FF2B5EF4-FFF2-40B4-BE49-F238E27FC236}">
              <a16:creationId xmlns:a16="http://schemas.microsoft.com/office/drawing/2014/main" id="{00000000-0008-0000-3000-000057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12" name="Rectangle 73">
          <a:extLst>
            <a:ext uri="{FF2B5EF4-FFF2-40B4-BE49-F238E27FC236}">
              <a16:creationId xmlns:a16="http://schemas.microsoft.com/office/drawing/2014/main" id="{00000000-0008-0000-3000-000058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13" name="Line 74">
          <a:extLst>
            <a:ext uri="{FF2B5EF4-FFF2-40B4-BE49-F238E27FC236}">
              <a16:creationId xmlns:a16="http://schemas.microsoft.com/office/drawing/2014/main" id="{00000000-0008-0000-3000-000059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14" name="Rectangle 75">
          <a:extLst>
            <a:ext uri="{FF2B5EF4-FFF2-40B4-BE49-F238E27FC236}">
              <a16:creationId xmlns:a16="http://schemas.microsoft.com/office/drawing/2014/main" id="{00000000-0008-0000-3000-00005A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15" name="Line 76">
          <a:extLst>
            <a:ext uri="{FF2B5EF4-FFF2-40B4-BE49-F238E27FC236}">
              <a16:creationId xmlns:a16="http://schemas.microsoft.com/office/drawing/2014/main" id="{00000000-0008-0000-3000-00005B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16" name="Rectangle 77">
          <a:extLst>
            <a:ext uri="{FF2B5EF4-FFF2-40B4-BE49-F238E27FC236}">
              <a16:creationId xmlns:a16="http://schemas.microsoft.com/office/drawing/2014/main" id="{00000000-0008-0000-3000-00005C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17" name="Line 78">
          <a:extLst>
            <a:ext uri="{FF2B5EF4-FFF2-40B4-BE49-F238E27FC236}">
              <a16:creationId xmlns:a16="http://schemas.microsoft.com/office/drawing/2014/main" id="{00000000-0008-0000-3000-00005D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18" name="Rectangle 79">
          <a:extLst>
            <a:ext uri="{FF2B5EF4-FFF2-40B4-BE49-F238E27FC236}">
              <a16:creationId xmlns:a16="http://schemas.microsoft.com/office/drawing/2014/main" id="{00000000-0008-0000-3000-00005E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19" name="Line 80">
          <a:extLst>
            <a:ext uri="{FF2B5EF4-FFF2-40B4-BE49-F238E27FC236}">
              <a16:creationId xmlns:a16="http://schemas.microsoft.com/office/drawing/2014/main" id="{00000000-0008-0000-3000-00005F620100}"/>
            </a:ext>
          </a:extLst>
        </xdr:cNvPr>
        <xdr:cNvSpPr>
          <a:spLocks noChangeShapeType="1"/>
        </xdr:cNvSpPr>
      </xdr:nvSpPr>
      <xdr:spPr bwMode="auto">
        <a:xfrm>
          <a:off x="15154275" y="0"/>
          <a:ext cx="952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12</xdr:col>
      <xdr:colOff>581025</xdr:colOff>
      <xdr:row>0</xdr:row>
      <xdr:rowOff>0</xdr:rowOff>
    </xdr:from>
    <xdr:to>
      <xdr:col>12</xdr:col>
      <xdr:colOff>590550</xdr:colOff>
      <xdr:row>0</xdr:row>
      <xdr:rowOff>0</xdr:rowOff>
    </xdr:to>
    <xdr:sp macro="" textlink="">
      <xdr:nvSpPr>
        <xdr:cNvPr id="90720" name="Rectangle 81">
          <a:extLst>
            <a:ext uri="{FF2B5EF4-FFF2-40B4-BE49-F238E27FC236}">
              <a16:creationId xmlns:a16="http://schemas.microsoft.com/office/drawing/2014/main" id="{00000000-0008-0000-3000-000060620100}"/>
            </a:ext>
          </a:extLst>
        </xdr:cNvPr>
        <xdr:cNvSpPr>
          <a:spLocks noChangeArrowheads="1"/>
        </xdr:cNvSpPr>
      </xdr:nvSpPr>
      <xdr:spPr bwMode="auto">
        <a:xfrm>
          <a:off x="15154275" y="0"/>
          <a:ext cx="9525"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21" name="Line 82">
          <a:extLst>
            <a:ext uri="{FF2B5EF4-FFF2-40B4-BE49-F238E27FC236}">
              <a16:creationId xmlns:a16="http://schemas.microsoft.com/office/drawing/2014/main" id="{00000000-0008-0000-3000-000061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22" name="Line 84">
          <a:extLst>
            <a:ext uri="{FF2B5EF4-FFF2-40B4-BE49-F238E27FC236}">
              <a16:creationId xmlns:a16="http://schemas.microsoft.com/office/drawing/2014/main" id="{00000000-0008-0000-3000-000062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23" name="Line 86">
          <a:extLst>
            <a:ext uri="{FF2B5EF4-FFF2-40B4-BE49-F238E27FC236}">
              <a16:creationId xmlns:a16="http://schemas.microsoft.com/office/drawing/2014/main" id="{00000000-0008-0000-3000-000063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24" name="Rectangle 87">
          <a:extLst>
            <a:ext uri="{FF2B5EF4-FFF2-40B4-BE49-F238E27FC236}">
              <a16:creationId xmlns:a16="http://schemas.microsoft.com/office/drawing/2014/main" id="{00000000-0008-0000-3000-000064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25" name="Line 88">
          <a:extLst>
            <a:ext uri="{FF2B5EF4-FFF2-40B4-BE49-F238E27FC236}">
              <a16:creationId xmlns:a16="http://schemas.microsoft.com/office/drawing/2014/main" id="{00000000-0008-0000-3000-000065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26" name="Rectangle 89">
          <a:extLst>
            <a:ext uri="{FF2B5EF4-FFF2-40B4-BE49-F238E27FC236}">
              <a16:creationId xmlns:a16="http://schemas.microsoft.com/office/drawing/2014/main" id="{00000000-0008-0000-3000-000066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27" name="Line 90">
          <a:extLst>
            <a:ext uri="{FF2B5EF4-FFF2-40B4-BE49-F238E27FC236}">
              <a16:creationId xmlns:a16="http://schemas.microsoft.com/office/drawing/2014/main" id="{00000000-0008-0000-3000-000067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28" name="Rectangle 91">
          <a:extLst>
            <a:ext uri="{FF2B5EF4-FFF2-40B4-BE49-F238E27FC236}">
              <a16:creationId xmlns:a16="http://schemas.microsoft.com/office/drawing/2014/main" id="{00000000-0008-0000-3000-000068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29" name="Line 92">
          <a:extLst>
            <a:ext uri="{FF2B5EF4-FFF2-40B4-BE49-F238E27FC236}">
              <a16:creationId xmlns:a16="http://schemas.microsoft.com/office/drawing/2014/main" id="{00000000-0008-0000-3000-000069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30" name="Rectangle 93">
          <a:extLst>
            <a:ext uri="{FF2B5EF4-FFF2-40B4-BE49-F238E27FC236}">
              <a16:creationId xmlns:a16="http://schemas.microsoft.com/office/drawing/2014/main" id="{00000000-0008-0000-3000-00006A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31" name="Line 94">
          <a:extLst>
            <a:ext uri="{FF2B5EF4-FFF2-40B4-BE49-F238E27FC236}">
              <a16:creationId xmlns:a16="http://schemas.microsoft.com/office/drawing/2014/main" id="{00000000-0008-0000-3000-00006B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32" name="Rectangle 95">
          <a:extLst>
            <a:ext uri="{FF2B5EF4-FFF2-40B4-BE49-F238E27FC236}">
              <a16:creationId xmlns:a16="http://schemas.microsoft.com/office/drawing/2014/main" id="{00000000-0008-0000-3000-00006C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33" name="Line 96">
          <a:extLst>
            <a:ext uri="{FF2B5EF4-FFF2-40B4-BE49-F238E27FC236}">
              <a16:creationId xmlns:a16="http://schemas.microsoft.com/office/drawing/2014/main" id="{00000000-0008-0000-3000-00006D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34" name="Rectangle 97">
          <a:extLst>
            <a:ext uri="{FF2B5EF4-FFF2-40B4-BE49-F238E27FC236}">
              <a16:creationId xmlns:a16="http://schemas.microsoft.com/office/drawing/2014/main" id="{00000000-0008-0000-3000-00006E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35" name="Line 98">
          <a:extLst>
            <a:ext uri="{FF2B5EF4-FFF2-40B4-BE49-F238E27FC236}">
              <a16:creationId xmlns:a16="http://schemas.microsoft.com/office/drawing/2014/main" id="{00000000-0008-0000-3000-00006F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36" name="Rectangle 99">
          <a:extLst>
            <a:ext uri="{FF2B5EF4-FFF2-40B4-BE49-F238E27FC236}">
              <a16:creationId xmlns:a16="http://schemas.microsoft.com/office/drawing/2014/main" id="{00000000-0008-0000-3000-000070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37" name="Line 100">
          <a:extLst>
            <a:ext uri="{FF2B5EF4-FFF2-40B4-BE49-F238E27FC236}">
              <a16:creationId xmlns:a16="http://schemas.microsoft.com/office/drawing/2014/main" id="{00000000-0008-0000-3000-000071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38" name="Rectangle 101">
          <a:extLst>
            <a:ext uri="{FF2B5EF4-FFF2-40B4-BE49-F238E27FC236}">
              <a16:creationId xmlns:a16="http://schemas.microsoft.com/office/drawing/2014/main" id="{00000000-0008-0000-3000-000072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39" name="Line 102">
          <a:extLst>
            <a:ext uri="{FF2B5EF4-FFF2-40B4-BE49-F238E27FC236}">
              <a16:creationId xmlns:a16="http://schemas.microsoft.com/office/drawing/2014/main" id="{00000000-0008-0000-3000-000073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40" name="Rectangle 103">
          <a:extLst>
            <a:ext uri="{FF2B5EF4-FFF2-40B4-BE49-F238E27FC236}">
              <a16:creationId xmlns:a16="http://schemas.microsoft.com/office/drawing/2014/main" id="{00000000-0008-0000-3000-000074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41" name="Line 104">
          <a:extLst>
            <a:ext uri="{FF2B5EF4-FFF2-40B4-BE49-F238E27FC236}">
              <a16:creationId xmlns:a16="http://schemas.microsoft.com/office/drawing/2014/main" id="{00000000-0008-0000-3000-000075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42" name="Rectangle 105">
          <a:extLst>
            <a:ext uri="{FF2B5EF4-FFF2-40B4-BE49-F238E27FC236}">
              <a16:creationId xmlns:a16="http://schemas.microsoft.com/office/drawing/2014/main" id="{00000000-0008-0000-3000-000076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43" name="Line 106">
          <a:extLst>
            <a:ext uri="{FF2B5EF4-FFF2-40B4-BE49-F238E27FC236}">
              <a16:creationId xmlns:a16="http://schemas.microsoft.com/office/drawing/2014/main" id="{00000000-0008-0000-3000-000077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44" name="Rectangle 107">
          <a:extLst>
            <a:ext uri="{FF2B5EF4-FFF2-40B4-BE49-F238E27FC236}">
              <a16:creationId xmlns:a16="http://schemas.microsoft.com/office/drawing/2014/main" id="{00000000-0008-0000-3000-000078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45" name="Line 108">
          <a:extLst>
            <a:ext uri="{FF2B5EF4-FFF2-40B4-BE49-F238E27FC236}">
              <a16:creationId xmlns:a16="http://schemas.microsoft.com/office/drawing/2014/main" id="{00000000-0008-0000-3000-000079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46" name="Rectangle 109">
          <a:extLst>
            <a:ext uri="{FF2B5EF4-FFF2-40B4-BE49-F238E27FC236}">
              <a16:creationId xmlns:a16="http://schemas.microsoft.com/office/drawing/2014/main" id="{00000000-0008-0000-3000-00007A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47" name="Line 110">
          <a:extLst>
            <a:ext uri="{FF2B5EF4-FFF2-40B4-BE49-F238E27FC236}">
              <a16:creationId xmlns:a16="http://schemas.microsoft.com/office/drawing/2014/main" id="{00000000-0008-0000-3000-00007B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48" name="Rectangle 111">
          <a:extLst>
            <a:ext uri="{FF2B5EF4-FFF2-40B4-BE49-F238E27FC236}">
              <a16:creationId xmlns:a16="http://schemas.microsoft.com/office/drawing/2014/main" id="{00000000-0008-0000-3000-00007C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49" name="Line 112">
          <a:extLst>
            <a:ext uri="{FF2B5EF4-FFF2-40B4-BE49-F238E27FC236}">
              <a16:creationId xmlns:a16="http://schemas.microsoft.com/office/drawing/2014/main" id="{00000000-0008-0000-3000-00007D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50" name="Rectangle 113">
          <a:extLst>
            <a:ext uri="{FF2B5EF4-FFF2-40B4-BE49-F238E27FC236}">
              <a16:creationId xmlns:a16="http://schemas.microsoft.com/office/drawing/2014/main" id="{00000000-0008-0000-3000-00007E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51" name="Line 114">
          <a:extLst>
            <a:ext uri="{FF2B5EF4-FFF2-40B4-BE49-F238E27FC236}">
              <a16:creationId xmlns:a16="http://schemas.microsoft.com/office/drawing/2014/main" id="{00000000-0008-0000-3000-00007F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52" name="Rectangle 115">
          <a:extLst>
            <a:ext uri="{FF2B5EF4-FFF2-40B4-BE49-F238E27FC236}">
              <a16:creationId xmlns:a16="http://schemas.microsoft.com/office/drawing/2014/main" id="{00000000-0008-0000-3000-000080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53" name="Line 116">
          <a:extLst>
            <a:ext uri="{FF2B5EF4-FFF2-40B4-BE49-F238E27FC236}">
              <a16:creationId xmlns:a16="http://schemas.microsoft.com/office/drawing/2014/main" id="{00000000-0008-0000-3000-000081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54" name="Rectangle 117">
          <a:extLst>
            <a:ext uri="{FF2B5EF4-FFF2-40B4-BE49-F238E27FC236}">
              <a16:creationId xmlns:a16="http://schemas.microsoft.com/office/drawing/2014/main" id="{00000000-0008-0000-3000-000082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12</xdr:col>
      <xdr:colOff>581025</xdr:colOff>
      <xdr:row>0</xdr:row>
      <xdr:rowOff>0</xdr:rowOff>
    </xdr:to>
    <xdr:sp macro="" textlink="">
      <xdr:nvSpPr>
        <xdr:cNvPr id="90755" name="Line 118">
          <a:extLst>
            <a:ext uri="{FF2B5EF4-FFF2-40B4-BE49-F238E27FC236}">
              <a16:creationId xmlns:a16="http://schemas.microsoft.com/office/drawing/2014/main" id="{00000000-0008-0000-3000-000083620100}"/>
            </a:ext>
          </a:extLst>
        </xdr:cNvPr>
        <xdr:cNvSpPr>
          <a:spLocks noChangeShapeType="1"/>
        </xdr:cNvSpPr>
      </xdr:nvSpPr>
      <xdr:spPr bwMode="auto">
        <a:xfrm>
          <a:off x="0" y="0"/>
          <a:ext cx="15154275" cy="0"/>
        </a:xfrm>
        <a:prstGeom prst="line">
          <a:avLst/>
        </a:prstGeom>
        <a:noFill/>
        <a:ln w="0">
          <a:solidFill>
            <a:srgbClr val="D0D7E5"/>
          </a:solidFill>
          <a:round/>
          <a:headEnd/>
          <a:tailEnd/>
        </a:ln>
        <a:extLst>
          <a:ext uri="{909E8E84-426E-40DD-AFC4-6F175D3DCCD1}">
            <a14:hiddenFill xmlns:a14="http://schemas.microsoft.com/office/drawing/2010/main">
              <a:noFill/>
            </a14:hiddenFill>
          </a:ext>
        </a:extLst>
      </xdr:spPr>
    </xdr:sp>
    <xdr:clientData/>
  </xdr:twoCellAnchor>
  <xdr:twoCellAnchor>
    <xdr:from>
      <xdr:col>0</xdr:col>
      <xdr:colOff>0</xdr:colOff>
      <xdr:row>0</xdr:row>
      <xdr:rowOff>0</xdr:rowOff>
    </xdr:from>
    <xdr:to>
      <xdr:col>12</xdr:col>
      <xdr:colOff>590550</xdr:colOff>
      <xdr:row>0</xdr:row>
      <xdr:rowOff>0</xdr:rowOff>
    </xdr:to>
    <xdr:sp macro="" textlink="">
      <xdr:nvSpPr>
        <xdr:cNvPr id="90756" name="Rectangle 119">
          <a:extLst>
            <a:ext uri="{FF2B5EF4-FFF2-40B4-BE49-F238E27FC236}">
              <a16:creationId xmlns:a16="http://schemas.microsoft.com/office/drawing/2014/main" id="{00000000-0008-0000-3000-000084620100}"/>
            </a:ext>
          </a:extLst>
        </xdr:cNvPr>
        <xdr:cNvSpPr>
          <a:spLocks noChangeArrowheads="1"/>
        </xdr:cNvSpPr>
      </xdr:nvSpPr>
      <xdr:spPr bwMode="auto">
        <a:xfrm>
          <a:off x="0" y="0"/>
          <a:ext cx="15163800" cy="0"/>
        </a:xfrm>
        <a:prstGeom prst="rect">
          <a:avLst/>
        </a:prstGeom>
        <a:solidFill>
          <a:srgbClr val="D0D7E5"/>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1055370</xdr:colOff>
      <xdr:row>23</xdr:row>
      <xdr:rowOff>160863</xdr:rowOff>
    </xdr:from>
    <xdr:to>
      <xdr:col>0</xdr:col>
      <xdr:colOff>7200900</xdr:colOff>
      <xdr:row>35</xdr:row>
      <xdr:rowOff>162986</xdr:rowOff>
    </xdr:to>
    <xdr:pic>
      <xdr:nvPicPr>
        <xdr:cNvPr id="90757" name="Picture 120">
          <a:extLst>
            <a:ext uri="{FF2B5EF4-FFF2-40B4-BE49-F238E27FC236}">
              <a16:creationId xmlns:a16="http://schemas.microsoft.com/office/drawing/2014/main" id="{00000000-0008-0000-3000-0000856201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xdr:blipFill>
      <xdr:spPr bwMode="auto">
        <a:xfrm>
          <a:off x="1055370" y="4428063"/>
          <a:ext cx="6145530" cy="205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rojectManagement\ScopeOfServices\2014%20Update\DESIGN%20SERVICES\MASTER_RoadBridgeSHEst.v.2015.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sheetName val="Disclaimer"/>
      <sheetName val="Spreadsheet instructions"/>
      <sheetName val="Change Log"/>
      <sheetName val="Project Information"/>
      <sheetName val="Project Information(OLD)"/>
      <sheetName val="Summary"/>
      <sheetName val="Staff Hour Summary--Grand Total"/>
      <sheetName val="Staff Hour Summary - Firm"/>
      <sheetName val="Fee Sheet - Prime"/>
      <sheetName val="Fee Sheet - Sub"/>
      <sheetName val="3. Project General Tasks"/>
      <sheetName val="Roadway Guidelines"/>
      <sheetName val="4. Roadway Analysis"/>
      <sheetName val="5. Roadway Plans"/>
      <sheetName val="6a. Drainage Analysis"/>
      <sheetName val="6b. Drainage Plans"/>
      <sheetName val="Utility Guidelines"/>
      <sheetName val="7. Utilities"/>
      <sheetName val="Environmental Permit Guidelines"/>
      <sheetName val="8. Environmental Permits"/>
      <sheetName val="Structures-Guidelines"/>
      <sheetName val="9. Structures Summary"/>
      <sheetName val="10. Structures-BDR"/>
      <sheetName val="11. Temporary Bridge"/>
      <sheetName val="12. Short Span Concrete"/>
      <sheetName val="13. Medium Span Concrete "/>
      <sheetName val="14. Structures-Structural Steel"/>
      <sheetName val="15.Str.-Segmental Concrete"/>
      <sheetName val="16. Structures-Movable Span"/>
      <sheetName val="17. Str-Retaining Walls"/>
      <sheetName val="18. Structures-Miscellaneous"/>
      <sheetName val="Signing &amp; Marking Guidelines"/>
      <sheetName val="19. Signing &amp; Marking Analysis"/>
      <sheetName val="20. Signing &amp; Marking Plans"/>
      <sheetName val="Signalization Guidelines"/>
      <sheetName val="21. Signalization Analysis"/>
      <sheetName val="22. Signalization Plans"/>
      <sheetName val="Lighting Guidelines"/>
      <sheetName val="23. Lighting Analysis"/>
      <sheetName val="24. Lighting Plans"/>
      <sheetName val="Landscape Architect Guidelines"/>
      <sheetName val="25. Landscape Arch. Analysis"/>
      <sheetName val="26. Landscape Arch. Plans"/>
      <sheetName val="Survey Guidelines"/>
      <sheetName val="27. Survey"/>
      <sheetName val="Photogrammetry Guidelines"/>
      <sheetName val="28. Photogrammetry"/>
      <sheetName val="29. Mapping"/>
      <sheetName val="30. Terrestrial Mobile LiDAR"/>
      <sheetName val="Architecture Guidelines"/>
      <sheetName val="31. Architecture Development"/>
      <sheetName val="32. Noise Barrier Analysis"/>
      <sheetName val="ITS Guidelines"/>
      <sheetName val="33. ITS Analysis"/>
      <sheetName val="34. ITS Plans"/>
      <sheetName val="Geotechnical Guidelines"/>
      <sheetName val="35. Geotechnical"/>
    </sheet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8.bin"/><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16.bin"/><Relationship Id="rId3" Type="http://schemas.openxmlformats.org/officeDocument/2006/relationships/printerSettings" Target="../printerSettings/printerSettings11.bin"/><Relationship Id="rId7" Type="http://schemas.openxmlformats.org/officeDocument/2006/relationships/printerSettings" Target="../printerSettings/printerSettings15.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printerSettings" Target="../printerSettings/printerSettings14.bin"/><Relationship Id="rId5" Type="http://schemas.openxmlformats.org/officeDocument/2006/relationships/printerSettings" Target="../printerSettings/printerSettings13.bin"/><Relationship Id="rId4" Type="http://schemas.openxmlformats.org/officeDocument/2006/relationships/printerSettings" Target="../printerSettings/printerSettings12.bin"/></Relationships>
</file>

<file path=xl/worksheets/_rels/sheet3.xml.rels><?xml version="1.0" encoding="UTF-8" standalone="yes"?>
<Relationships xmlns="http://schemas.openxmlformats.org/package/2006/relationships"><Relationship Id="rId8" Type="http://schemas.openxmlformats.org/officeDocument/2006/relationships/printerSettings" Target="../printerSettings/printerSettings24.bin"/><Relationship Id="rId3" Type="http://schemas.openxmlformats.org/officeDocument/2006/relationships/printerSettings" Target="../printerSettings/printerSettings19.bin"/><Relationship Id="rId7" Type="http://schemas.openxmlformats.org/officeDocument/2006/relationships/printerSettings" Target="../printerSettings/printerSettings23.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printerSettings" Target="../printerSettings/printerSettings22.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32.bin"/><Relationship Id="rId3" Type="http://schemas.openxmlformats.org/officeDocument/2006/relationships/printerSettings" Target="../printerSettings/printerSettings27.bin"/><Relationship Id="rId7" Type="http://schemas.openxmlformats.org/officeDocument/2006/relationships/printerSettings" Target="../printerSettings/printerSettings31.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41.bin"/><Relationship Id="rId3" Type="http://schemas.openxmlformats.org/officeDocument/2006/relationships/printerSettings" Target="../printerSettings/printerSettings36.bin"/><Relationship Id="rId7" Type="http://schemas.openxmlformats.org/officeDocument/2006/relationships/printerSettings" Target="../printerSettings/printerSettings40.bin"/><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printerSettings" Target="../printerSettings/printerSettings39.bin"/><Relationship Id="rId5" Type="http://schemas.openxmlformats.org/officeDocument/2006/relationships/printerSettings" Target="../printerSettings/printerSettings38.bin"/><Relationship Id="rId4" Type="http://schemas.openxmlformats.org/officeDocument/2006/relationships/printerSettings" Target="../printerSettings/printerSettings3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51.bin"/><Relationship Id="rId3" Type="http://schemas.openxmlformats.org/officeDocument/2006/relationships/printerSettings" Target="../printerSettings/printerSettings46.bin"/><Relationship Id="rId7" Type="http://schemas.openxmlformats.org/officeDocument/2006/relationships/printerSettings" Target="../printerSettings/printerSettings50.bin"/><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 Id="rId6" Type="http://schemas.openxmlformats.org/officeDocument/2006/relationships/printerSettings" Target="../printerSettings/printerSettings49.bin"/><Relationship Id="rId5" Type="http://schemas.openxmlformats.org/officeDocument/2006/relationships/printerSettings" Target="../printerSettings/printerSettings48.bin"/><Relationship Id="rId4" Type="http://schemas.openxmlformats.org/officeDocument/2006/relationships/printerSettings" Target="../printerSettings/printerSettings47.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59.bin"/><Relationship Id="rId3" Type="http://schemas.openxmlformats.org/officeDocument/2006/relationships/printerSettings" Target="../printerSettings/printerSettings54.bin"/><Relationship Id="rId7" Type="http://schemas.openxmlformats.org/officeDocument/2006/relationships/printerSettings" Target="../printerSettings/printerSettings58.bin"/><Relationship Id="rId2" Type="http://schemas.openxmlformats.org/officeDocument/2006/relationships/printerSettings" Target="../printerSettings/printerSettings53.bin"/><Relationship Id="rId1" Type="http://schemas.openxmlformats.org/officeDocument/2006/relationships/printerSettings" Target="../printerSettings/printerSettings52.bin"/><Relationship Id="rId6" Type="http://schemas.openxmlformats.org/officeDocument/2006/relationships/printerSettings" Target="../printerSettings/printerSettings57.bin"/><Relationship Id="rId5" Type="http://schemas.openxmlformats.org/officeDocument/2006/relationships/printerSettings" Target="../printerSettings/printerSettings56.bin"/><Relationship Id="rId4" Type="http://schemas.openxmlformats.org/officeDocument/2006/relationships/printerSettings" Target="../printerSettings/printerSettings55.bin"/></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67.bin"/><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6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78.bin"/><Relationship Id="rId3" Type="http://schemas.openxmlformats.org/officeDocument/2006/relationships/printerSettings" Target="../printerSettings/printerSettings73.bin"/><Relationship Id="rId7" Type="http://schemas.openxmlformats.org/officeDocument/2006/relationships/printerSettings" Target="../printerSettings/printerSettings77.bin"/><Relationship Id="rId2" Type="http://schemas.openxmlformats.org/officeDocument/2006/relationships/printerSettings" Target="../printerSettings/printerSettings72.bin"/><Relationship Id="rId1" Type="http://schemas.openxmlformats.org/officeDocument/2006/relationships/printerSettings" Target="../printerSettings/printerSettings71.bin"/><Relationship Id="rId6" Type="http://schemas.openxmlformats.org/officeDocument/2006/relationships/printerSettings" Target="../printerSettings/printerSettings76.bin"/><Relationship Id="rId5" Type="http://schemas.openxmlformats.org/officeDocument/2006/relationships/printerSettings" Target="../printerSettings/printerSettings75.bin"/><Relationship Id="rId4" Type="http://schemas.openxmlformats.org/officeDocument/2006/relationships/printerSettings" Target="../printerSettings/printerSettings74.bin"/></Relationships>
</file>

<file path=xl/worksheets/_rels/sheet16.xml.rels><?xml version="1.0" encoding="UTF-8" standalone="yes"?>
<Relationships xmlns="http://schemas.openxmlformats.org/package/2006/relationships"><Relationship Id="rId8" Type="http://schemas.openxmlformats.org/officeDocument/2006/relationships/printerSettings" Target="../printerSettings/printerSettings86.bin"/><Relationship Id="rId3" Type="http://schemas.openxmlformats.org/officeDocument/2006/relationships/printerSettings" Target="../printerSettings/printerSettings81.bin"/><Relationship Id="rId7" Type="http://schemas.openxmlformats.org/officeDocument/2006/relationships/printerSettings" Target="../printerSettings/printerSettings85.bin"/><Relationship Id="rId2" Type="http://schemas.openxmlformats.org/officeDocument/2006/relationships/printerSettings" Target="../printerSettings/printerSettings80.bin"/><Relationship Id="rId1" Type="http://schemas.openxmlformats.org/officeDocument/2006/relationships/printerSettings" Target="../printerSettings/printerSettings79.bin"/><Relationship Id="rId6" Type="http://schemas.openxmlformats.org/officeDocument/2006/relationships/printerSettings" Target="../printerSettings/printerSettings84.bin"/><Relationship Id="rId5" Type="http://schemas.openxmlformats.org/officeDocument/2006/relationships/printerSettings" Target="../printerSettings/printerSettings83.bin"/><Relationship Id="rId4" Type="http://schemas.openxmlformats.org/officeDocument/2006/relationships/printerSettings" Target="../printerSettings/printerSettings82.bin"/></Relationships>
</file>

<file path=xl/worksheets/_rels/sheet17.xml.rels><?xml version="1.0" encoding="UTF-8" standalone="yes"?>
<Relationships xmlns="http://schemas.openxmlformats.org/package/2006/relationships"><Relationship Id="rId8" Type="http://schemas.openxmlformats.org/officeDocument/2006/relationships/printerSettings" Target="../printerSettings/printerSettings94.bin"/><Relationship Id="rId3" Type="http://schemas.openxmlformats.org/officeDocument/2006/relationships/printerSettings" Target="../printerSettings/printerSettings89.bin"/><Relationship Id="rId7" Type="http://schemas.openxmlformats.org/officeDocument/2006/relationships/printerSettings" Target="../printerSettings/printerSettings93.bin"/><Relationship Id="rId2" Type="http://schemas.openxmlformats.org/officeDocument/2006/relationships/printerSettings" Target="../printerSettings/printerSettings88.bin"/><Relationship Id="rId1" Type="http://schemas.openxmlformats.org/officeDocument/2006/relationships/printerSettings" Target="../printerSettings/printerSettings87.bin"/><Relationship Id="rId6" Type="http://schemas.openxmlformats.org/officeDocument/2006/relationships/printerSettings" Target="../printerSettings/printerSettings92.bin"/><Relationship Id="rId5" Type="http://schemas.openxmlformats.org/officeDocument/2006/relationships/printerSettings" Target="../printerSettings/printerSettings91.bin"/><Relationship Id="rId4" Type="http://schemas.openxmlformats.org/officeDocument/2006/relationships/printerSettings" Target="../printerSettings/printerSettings9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19.xml.rels><?xml version="1.0" encoding="UTF-8" standalone="yes"?>
<Relationships xmlns="http://schemas.openxmlformats.org/package/2006/relationships"><Relationship Id="rId8" Type="http://schemas.openxmlformats.org/officeDocument/2006/relationships/printerSettings" Target="../printerSettings/printerSettings103.bin"/><Relationship Id="rId3" Type="http://schemas.openxmlformats.org/officeDocument/2006/relationships/printerSettings" Target="../printerSettings/printerSettings98.bin"/><Relationship Id="rId7" Type="http://schemas.openxmlformats.org/officeDocument/2006/relationships/printerSettings" Target="../printerSettings/printerSettings102.bin"/><Relationship Id="rId2" Type="http://schemas.openxmlformats.org/officeDocument/2006/relationships/printerSettings" Target="../printerSettings/printerSettings97.bin"/><Relationship Id="rId1" Type="http://schemas.openxmlformats.org/officeDocument/2006/relationships/printerSettings" Target="../printerSettings/printerSettings96.bin"/><Relationship Id="rId6" Type="http://schemas.openxmlformats.org/officeDocument/2006/relationships/printerSettings" Target="../printerSettings/printerSettings101.bin"/><Relationship Id="rId5" Type="http://schemas.openxmlformats.org/officeDocument/2006/relationships/printerSettings" Target="../printerSettings/printerSettings100.bin"/><Relationship Id="rId4" Type="http://schemas.openxmlformats.org/officeDocument/2006/relationships/printerSettings" Target="../printerSettings/printerSettings99.bin"/><Relationship Id="rId9" Type="http://schemas.openxmlformats.org/officeDocument/2006/relationships/drawing" Target="../drawings/drawing2.xml"/></Relationships>
</file>

<file path=xl/worksheets/_rels/sheet20.xml.rels><?xml version="1.0" encoding="UTF-8" standalone="yes"?>
<Relationships xmlns="http://schemas.openxmlformats.org/package/2006/relationships"><Relationship Id="rId8" Type="http://schemas.openxmlformats.org/officeDocument/2006/relationships/printerSettings" Target="../printerSettings/printerSettings111.bin"/><Relationship Id="rId3" Type="http://schemas.openxmlformats.org/officeDocument/2006/relationships/printerSettings" Target="../printerSettings/printerSettings106.bin"/><Relationship Id="rId7" Type="http://schemas.openxmlformats.org/officeDocument/2006/relationships/printerSettings" Target="../printerSettings/printerSettings110.bin"/><Relationship Id="rId2" Type="http://schemas.openxmlformats.org/officeDocument/2006/relationships/printerSettings" Target="../printerSettings/printerSettings105.bin"/><Relationship Id="rId1" Type="http://schemas.openxmlformats.org/officeDocument/2006/relationships/printerSettings" Target="../printerSettings/printerSettings104.bin"/><Relationship Id="rId6" Type="http://schemas.openxmlformats.org/officeDocument/2006/relationships/printerSettings" Target="../printerSettings/printerSettings109.bin"/><Relationship Id="rId5" Type="http://schemas.openxmlformats.org/officeDocument/2006/relationships/printerSettings" Target="../printerSettings/printerSettings108.bin"/><Relationship Id="rId4" Type="http://schemas.openxmlformats.org/officeDocument/2006/relationships/printerSettings" Target="../printerSettings/printerSettings107.bin"/></Relationships>
</file>

<file path=xl/worksheets/_rels/sheet21.xml.rels><?xml version="1.0" encoding="UTF-8" standalone="yes"?>
<Relationships xmlns="http://schemas.openxmlformats.org/package/2006/relationships"><Relationship Id="rId8" Type="http://schemas.openxmlformats.org/officeDocument/2006/relationships/printerSettings" Target="../printerSettings/printerSettings119.bin"/><Relationship Id="rId3" Type="http://schemas.openxmlformats.org/officeDocument/2006/relationships/printerSettings" Target="../printerSettings/printerSettings114.bin"/><Relationship Id="rId7" Type="http://schemas.openxmlformats.org/officeDocument/2006/relationships/printerSettings" Target="../printerSettings/printerSettings118.bin"/><Relationship Id="rId2" Type="http://schemas.openxmlformats.org/officeDocument/2006/relationships/printerSettings" Target="../printerSettings/printerSettings113.bin"/><Relationship Id="rId1" Type="http://schemas.openxmlformats.org/officeDocument/2006/relationships/printerSettings" Target="../printerSettings/printerSettings112.bin"/><Relationship Id="rId6" Type="http://schemas.openxmlformats.org/officeDocument/2006/relationships/printerSettings" Target="../printerSettings/printerSettings117.bin"/><Relationship Id="rId5" Type="http://schemas.openxmlformats.org/officeDocument/2006/relationships/printerSettings" Target="../printerSettings/printerSettings116.bin"/><Relationship Id="rId4" Type="http://schemas.openxmlformats.org/officeDocument/2006/relationships/printerSettings" Target="../printerSettings/printerSettings115.bin"/></Relationships>
</file>

<file path=xl/worksheets/_rels/sheet22.xml.rels><?xml version="1.0" encoding="UTF-8" standalone="yes"?>
<Relationships xmlns="http://schemas.openxmlformats.org/package/2006/relationships"><Relationship Id="rId8" Type="http://schemas.openxmlformats.org/officeDocument/2006/relationships/printerSettings" Target="../printerSettings/printerSettings127.bin"/><Relationship Id="rId3" Type="http://schemas.openxmlformats.org/officeDocument/2006/relationships/printerSettings" Target="../printerSettings/printerSettings122.bin"/><Relationship Id="rId7" Type="http://schemas.openxmlformats.org/officeDocument/2006/relationships/printerSettings" Target="../printerSettings/printerSettings126.bin"/><Relationship Id="rId2" Type="http://schemas.openxmlformats.org/officeDocument/2006/relationships/printerSettings" Target="../printerSettings/printerSettings121.bin"/><Relationship Id="rId1" Type="http://schemas.openxmlformats.org/officeDocument/2006/relationships/printerSettings" Target="../printerSettings/printerSettings120.bin"/><Relationship Id="rId6" Type="http://schemas.openxmlformats.org/officeDocument/2006/relationships/printerSettings" Target="../printerSettings/printerSettings125.bin"/><Relationship Id="rId5" Type="http://schemas.openxmlformats.org/officeDocument/2006/relationships/printerSettings" Target="../printerSettings/printerSettings124.bin"/><Relationship Id="rId4" Type="http://schemas.openxmlformats.org/officeDocument/2006/relationships/printerSettings" Target="../printerSettings/printerSettings123.bin"/></Relationships>
</file>

<file path=xl/worksheets/_rels/sheet23.xml.rels><?xml version="1.0" encoding="UTF-8" standalone="yes"?>
<Relationships xmlns="http://schemas.openxmlformats.org/package/2006/relationships"><Relationship Id="rId8" Type="http://schemas.openxmlformats.org/officeDocument/2006/relationships/printerSettings" Target="../printerSettings/printerSettings135.bin"/><Relationship Id="rId3" Type="http://schemas.openxmlformats.org/officeDocument/2006/relationships/printerSettings" Target="../printerSettings/printerSettings130.bin"/><Relationship Id="rId7" Type="http://schemas.openxmlformats.org/officeDocument/2006/relationships/printerSettings" Target="../printerSettings/printerSettings134.bin"/><Relationship Id="rId2" Type="http://schemas.openxmlformats.org/officeDocument/2006/relationships/printerSettings" Target="../printerSettings/printerSettings129.bin"/><Relationship Id="rId1" Type="http://schemas.openxmlformats.org/officeDocument/2006/relationships/printerSettings" Target="../printerSettings/printerSettings128.bin"/><Relationship Id="rId6" Type="http://schemas.openxmlformats.org/officeDocument/2006/relationships/printerSettings" Target="../printerSettings/printerSettings133.bin"/><Relationship Id="rId5" Type="http://schemas.openxmlformats.org/officeDocument/2006/relationships/printerSettings" Target="../printerSettings/printerSettings132.bin"/><Relationship Id="rId4" Type="http://schemas.openxmlformats.org/officeDocument/2006/relationships/printerSettings" Target="../printerSettings/printerSettings131.bin"/></Relationships>
</file>

<file path=xl/worksheets/_rels/sheet24.xml.rels><?xml version="1.0" encoding="UTF-8" standalone="yes"?>
<Relationships xmlns="http://schemas.openxmlformats.org/package/2006/relationships"><Relationship Id="rId8" Type="http://schemas.openxmlformats.org/officeDocument/2006/relationships/printerSettings" Target="../printerSettings/printerSettings143.bin"/><Relationship Id="rId3" Type="http://schemas.openxmlformats.org/officeDocument/2006/relationships/printerSettings" Target="../printerSettings/printerSettings138.bin"/><Relationship Id="rId7" Type="http://schemas.openxmlformats.org/officeDocument/2006/relationships/printerSettings" Target="../printerSettings/printerSettings142.bin"/><Relationship Id="rId2" Type="http://schemas.openxmlformats.org/officeDocument/2006/relationships/printerSettings" Target="../printerSettings/printerSettings137.bin"/><Relationship Id="rId1" Type="http://schemas.openxmlformats.org/officeDocument/2006/relationships/printerSettings" Target="../printerSettings/printerSettings136.bin"/><Relationship Id="rId6" Type="http://schemas.openxmlformats.org/officeDocument/2006/relationships/printerSettings" Target="../printerSettings/printerSettings141.bin"/><Relationship Id="rId5" Type="http://schemas.openxmlformats.org/officeDocument/2006/relationships/printerSettings" Target="../printerSettings/printerSettings140.bin"/><Relationship Id="rId4" Type="http://schemas.openxmlformats.org/officeDocument/2006/relationships/printerSettings" Target="../printerSettings/printerSettings139.bin"/></Relationships>
</file>

<file path=xl/worksheets/_rels/sheet25.xml.rels><?xml version="1.0" encoding="UTF-8" standalone="yes"?>
<Relationships xmlns="http://schemas.openxmlformats.org/package/2006/relationships"><Relationship Id="rId8" Type="http://schemas.openxmlformats.org/officeDocument/2006/relationships/printerSettings" Target="../printerSettings/printerSettings151.bin"/><Relationship Id="rId3" Type="http://schemas.openxmlformats.org/officeDocument/2006/relationships/printerSettings" Target="../printerSettings/printerSettings146.bin"/><Relationship Id="rId7" Type="http://schemas.openxmlformats.org/officeDocument/2006/relationships/printerSettings" Target="../printerSettings/printerSettings150.bin"/><Relationship Id="rId2" Type="http://schemas.openxmlformats.org/officeDocument/2006/relationships/printerSettings" Target="../printerSettings/printerSettings145.bin"/><Relationship Id="rId1" Type="http://schemas.openxmlformats.org/officeDocument/2006/relationships/printerSettings" Target="../printerSettings/printerSettings144.bin"/><Relationship Id="rId6" Type="http://schemas.openxmlformats.org/officeDocument/2006/relationships/printerSettings" Target="../printerSettings/printerSettings149.bin"/><Relationship Id="rId5" Type="http://schemas.openxmlformats.org/officeDocument/2006/relationships/printerSettings" Target="../printerSettings/printerSettings148.bin"/><Relationship Id="rId4" Type="http://schemas.openxmlformats.org/officeDocument/2006/relationships/printerSettings" Target="../printerSettings/printerSettings147.bin"/></Relationships>
</file>

<file path=xl/worksheets/_rels/sheet26.xml.rels><?xml version="1.0" encoding="UTF-8" standalone="yes"?>
<Relationships xmlns="http://schemas.openxmlformats.org/package/2006/relationships"><Relationship Id="rId8" Type="http://schemas.openxmlformats.org/officeDocument/2006/relationships/printerSettings" Target="../printerSettings/printerSettings159.bin"/><Relationship Id="rId3" Type="http://schemas.openxmlformats.org/officeDocument/2006/relationships/printerSettings" Target="../printerSettings/printerSettings154.bin"/><Relationship Id="rId7" Type="http://schemas.openxmlformats.org/officeDocument/2006/relationships/printerSettings" Target="../printerSettings/printerSettings158.bin"/><Relationship Id="rId2" Type="http://schemas.openxmlformats.org/officeDocument/2006/relationships/printerSettings" Target="../printerSettings/printerSettings153.bin"/><Relationship Id="rId1" Type="http://schemas.openxmlformats.org/officeDocument/2006/relationships/printerSettings" Target="../printerSettings/printerSettings152.bin"/><Relationship Id="rId6" Type="http://schemas.openxmlformats.org/officeDocument/2006/relationships/printerSettings" Target="../printerSettings/printerSettings157.bin"/><Relationship Id="rId5" Type="http://schemas.openxmlformats.org/officeDocument/2006/relationships/printerSettings" Target="../printerSettings/printerSettings156.bin"/><Relationship Id="rId4" Type="http://schemas.openxmlformats.org/officeDocument/2006/relationships/printerSettings" Target="../printerSettings/printerSettings155.bin"/></Relationships>
</file>

<file path=xl/worksheets/_rels/sheet27.xml.rels><?xml version="1.0" encoding="UTF-8" standalone="yes"?>
<Relationships xmlns="http://schemas.openxmlformats.org/package/2006/relationships"><Relationship Id="rId8" Type="http://schemas.openxmlformats.org/officeDocument/2006/relationships/printerSettings" Target="../printerSettings/printerSettings167.bin"/><Relationship Id="rId3" Type="http://schemas.openxmlformats.org/officeDocument/2006/relationships/printerSettings" Target="../printerSettings/printerSettings162.bin"/><Relationship Id="rId7" Type="http://schemas.openxmlformats.org/officeDocument/2006/relationships/printerSettings" Target="../printerSettings/printerSettings166.bin"/><Relationship Id="rId2" Type="http://schemas.openxmlformats.org/officeDocument/2006/relationships/printerSettings" Target="../printerSettings/printerSettings161.bin"/><Relationship Id="rId1" Type="http://schemas.openxmlformats.org/officeDocument/2006/relationships/printerSettings" Target="../printerSettings/printerSettings160.bin"/><Relationship Id="rId6" Type="http://schemas.openxmlformats.org/officeDocument/2006/relationships/printerSettings" Target="../printerSettings/printerSettings165.bin"/><Relationship Id="rId5" Type="http://schemas.openxmlformats.org/officeDocument/2006/relationships/printerSettings" Target="../printerSettings/printerSettings164.bin"/><Relationship Id="rId4" Type="http://schemas.openxmlformats.org/officeDocument/2006/relationships/printerSettings" Target="../printerSettings/printerSettings163.bin"/></Relationships>
</file>

<file path=xl/worksheets/_rels/sheet28.xml.rels><?xml version="1.0" encoding="UTF-8" standalone="yes"?>
<Relationships xmlns="http://schemas.openxmlformats.org/package/2006/relationships"><Relationship Id="rId8" Type="http://schemas.openxmlformats.org/officeDocument/2006/relationships/printerSettings" Target="../printerSettings/printerSettings175.bin"/><Relationship Id="rId3" Type="http://schemas.openxmlformats.org/officeDocument/2006/relationships/printerSettings" Target="../printerSettings/printerSettings170.bin"/><Relationship Id="rId7" Type="http://schemas.openxmlformats.org/officeDocument/2006/relationships/printerSettings" Target="../printerSettings/printerSettings174.bin"/><Relationship Id="rId2" Type="http://schemas.openxmlformats.org/officeDocument/2006/relationships/printerSettings" Target="../printerSettings/printerSettings169.bin"/><Relationship Id="rId1" Type="http://schemas.openxmlformats.org/officeDocument/2006/relationships/printerSettings" Target="../printerSettings/printerSettings168.bin"/><Relationship Id="rId6" Type="http://schemas.openxmlformats.org/officeDocument/2006/relationships/printerSettings" Target="../printerSettings/printerSettings173.bin"/><Relationship Id="rId5" Type="http://schemas.openxmlformats.org/officeDocument/2006/relationships/printerSettings" Target="../printerSettings/printerSettings172.bin"/><Relationship Id="rId4" Type="http://schemas.openxmlformats.org/officeDocument/2006/relationships/printerSettings" Target="../printerSettings/printerSettings171.bin"/></Relationships>
</file>

<file path=xl/worksheets/_rels/sheet29.xml.rels><?xml version="1.0" encoding="UTF-8" standalone="yes"?>
<Relationships xmlns="http://schemas.openxmlformats.org/package/2006/relationships"><Relationship Id="rId8" Type="http://schemas.openxmlformats.org/officeDocument/2006/relationships/printerSettings" Target="../printerSettings/printerSettings183.bin"/><Relationship Id="rId3" Type="http://schemas.openxmlformats.org/officeDocument/2006/relationships/printerSettings" Target="../printerSettings/printerSettings178.bin"/><Relationship Id="rId7" Type="http://schemas.openxmlformats.org/officeDocument/2006/relationships/printerSettings" Target="../printerSettings/printerSettings182.bin"/><Relationship Id="rId2" Type="http://schemas.openxmlformats.org/officeDocument/2006/relationships/printerSettings" Target="../printerSettings/printerSettings177.bin"/><Relationship Id="rId1" Type="http://schemas.openxmlformats.org/officeDocument/2006/relationships/printerSettings" Target="../printerSettings/printerSettings176.bin"/><Relationship Id="rId6" Type="http://schemas.openxmlformats.org/officeDocument/2006/relationships/printerSettings" Target="../printerSettings/printerSettings181.bin"/><Relationship Id="rId5" Type="http://schemas.openxmlformats.org/officeDocument/2006/relationships/printerSettings" Target="../printerSettings/printerSettings180.bin"/><Relationship Id="rId4" Type="http://schemas.openxmlformats.org/officeDocument/2006/relationships/printerSettings" Target="../printerSettings/printerSettings179.bin"/></Relationships>
</file>

<file path=xl/worksheets/_rels/sheet30.xml.rels><?xml version="1.0" encoding="UTF-8" standalone="yes"?>
<Relationships xmlns="http://schemas.openxmlformats.org/package/2006/relationships"><Relationship Id="rId8" Type="http://schemas.openxmlformats.org/officeDocument/2006/relationships/printerSettings" Target="../printerSettings/printerSettings191.bin"/><Relationship Id="rId3" Type="http://schemas.openxmlformats.org/officeDocument/2006/relationships/printerSettings" Target="../printerSettings/printerSettings186.bin"/><Relationship Id="rId7" Type="http://schemas.openxmlformats.org/officeDocument/2006/relationships/printerSettings" Target="../printerSettings/printerSettings190.bin"/><Relationship Id="rId2" Type="http://schemas.openxmlformats.org/officeDocument/2006/relationships/printerSettings" Target="../printerSettings/printerSettings185.bin"/><Relationship Id="rId1" Type="http://schemas.openxmlformats.org/officeDocument/2006/relationships/printerSettings" Target="../printerSettings/printerSettings184.bin"/><Relationship Id="rId6" Type="http://schemas.openxmlformats.org/officeDocument/2006/relationships/printerSettings" Target="../printerSettings/printerSettings189.bin"/><Relationship Id="rId5" Type="http://schemas.openxmlformats.org/officeDocument/2006/relationships/printerSettings" Target="../printerSettings/printerSettings188.bin"/><Relationship Id="rId4" Type="http://schemas.openxmlformats.org/officeDocument/2006/relationships/printerSettings" Target="../printerSettings/printerSettings187.bin"/><Relationship Id="rId9" Type="http://schemas.openxmlformats.org/officeDocument/2006/relationships/drawing" Target="../drawings/drawing3.xml"/></Relationships>
</file>

<file path=xl/worksheets/_rels/sheet31.xml.rels><?xml version="1.0" encoding="UTF-8" standalone="yes"?>
<Relationships xmlns="http://schemas.openxmlformats.org/package/2006/relationships"><Relationship Id="rId8" Type="http://schemas.openxmlformats.org/officeDocument/2006/relationships/printerSettings" Target="../printerSettings/printerSettings199.bin"/><Relationship Id="rId3" Type="http://schemas.openxmlformats.org/officeDocument/2006/relationships/printerSettings" Target="../printerSettings/printerSettings194.bin"/><Relationship Id="rId7" Type="http://schemas.openxmlformats.org/officeDocument/2006/relationships/printerSettings" Target="../printerSettings/printerSettings198.bin"/><Relationship Id="rId2" Type="http://schemas.openxmlformats.org/officeDocument/2006/relationships/printerSettings" Target="../printerSettings/printerSettings193.bin"/><Relationship Id="rId1" Type="http://schemas.openxmlformats.org/officeDocument/2006/relationships/printerSettings" Target="../printerSettings/printerSettings192.bin"/><Relationship Id="rId6" Type="http://schemas.openxmlformats.org/officeDocument/2006/relationships/printerSettings" Target="../printerSettings/printerSettings197.bin"/><Relationship Id="rId5" Type="http://schemas.openxmlformats.org/officeDocument/2006/relationships/printerSettings" Target="../printerSettings/printerSettings196.bin"/><Relationship Id="rId4" Type="http://schemas.openxmlformats.org/officeDocument/2006/relationships/printerSettings" Target="../printerSettings/printerSettings195.bin"/></Relationships>
</file>

<file path=xl/worksheets/_rels/sheet32.xml.rels><?xml version="1.0" encoding="UTF-8" standalone="yes"?>
<Relationships xmlns="http://schemas.openxmlformats.org/package/2006/relationships"><Relationship Id="rId8" Type="http://schemas.openxmlformats.org/officeDocument/2006/relationships/printerSettings" Target="../printerSettings/printerSettings207.bin"/><Relationship Id="rId3" Type="http://schemas.openxmlformats.org/officeDocument/2006/relationships/printerSettings" Target="../printerSettings/printerSettings202.bin"/><Relationship Id="rId7" Type="http://schemas.openxmlformats.org/officeDocument/2006/relationships/printerSettings" Target="../printerSettings/printerSettings206.bin"/><Relationship Id="rId2" Type="http://schemas.openxmlformats.org/officeDocument/2006/relationships/printerSettings" Target="../printerSettings/printerSettings201.bin"/><Relationship Id="rId1" Type="http://schemas.openxmlformats.org/officeDocument/2006/relationships/printerSettings" Target="../printerSettings/printerSettings200.bin"/><Relationship Id="rId6" Type="http://schemas.openxmlformats.org/officeDocument/2006/relationships/printerSettings" Target="../printerSettings/printerSettings205.bin"/><Relationship Id="rId5" Type="http://schemas.openxmlformats.org/officeDocument/2006/relationships/printerSettings" Target="../printerSettings/printerSettings204.bin"/><Relationship Id="rId4" Type="http://schemas.openxmlformats.org/officeDocument/2006/relationships/printerSettings" Target="../printerSettings/printerSettings203.bin"/></Relationships>
</file>

<file path=xl/worksheets/_rels/sheet33.xml.rels><?xml version="1.0" encoding="UTF-8" standalone="yes"?>
<Relationships xmlns="http://schemas.openxmlformats.org/package/2006/relationships"><Relationship Id="rId8" Type="http://schemas.openxmlformats.org/officeDocument/2006/relationships/printerSettings" Target="../printerSettings/printerSettings215.bin"/><Relationship Id="rId3" Type="http://schemas.openxmlformats.org/officeDocument/2006/relationships/printerSettings" Target="../printerSettings/printerSettings210.bin"/><Relationship Id="rId7" Type="http://schemas.openxmlformats.org/officeDocument/2006/relationships/printerSettings" Target="../printerSettings/printerSettings214.bin"/><Relationship Id="rId2" Type="http://schemas.openxmlformats.org/officeDocument/2006/relationships/printerSettings" Target="../printerSettings/printerSettings209.bin"/><Relationship Id="rId1" Type="http://schemas.openxmlformats.org/officeDocument/2006/relationships/printerSettings" Target="../printerSettings/printerSettings208.bin"/><Relationship Id="rId6" Type="http://schemas.openxmlformats.org/officeDocument/2006/relationships/printerSettings" Target="../printerSettings/printerSettings213.bin"/><Relationship Id="rId5" Type="http://schemas.openxmlformats.org/officeDocument/2006/relationships/printerSettings" Target="../printerSettings/printerSettings212.bin"/><Relationship Id="rId4" Type="http://schemas.openxmlformats.org/officeDocument/2006/relationships/printerSettings" Target="../printerSettings/printerSettings211.bin"/><Relationship Id="rId9" Type="http://schemas.openxmlformats.org/officeDocument/2006/relationships/drawing" Target="../drawings/drawing4.xml"/></Relationships>
</file>

<file path=xl/worksheets/_rels/sheet34.xml.rels><?xml version="1.0" encoding="UTF-8" standalone="yes"?>
<Relationships xmlns="http://schemas.openxmlformats.org/package/2006/relationships"><Relationship Id="rId8" Type="http://schemas.openxmlformats.org/officeDocument/2006/relationships/printerSettings" Target="../printerSettings/printerSettings223.bin"/><Relationship Id="rId3" Type="http://schemas.openxmlformats.org/officeDocument/2006/relationships/printerSettings" Target="../printerSettings/printerSettings218.bin"/><Relationship Id="rId7" Type="http://schemas.openxmlformats.org/officeDocument/2006/relationships/printerSettings" Target="../printerSettings/printerSettings222.bin"/><Relationship Id="rId2" Type="http://schemas.openxmlformats.org/officeDocument/2006/relationships/printerSettings" Target="../printerSettings/printerSettings217.bin"/><Relationship Id="rId1" Type="http://schemas.openxmlformats.org/officeDocument/2006/relationships/printerSettings" Target="../printerSettings/printerSettings216.bin"/><Relationship Id="rId6" Type="http://schemas.openxmlformats.org/officeDocument/2006/relationships/printerSettings" Target="../printerSettings/printerSettings221.bin"/><Relationship Id="rId5" Type="http://schemas.openxmlformats.org/officeDocument/2006/relationships/printerSettings" Target="../printerSettings/printerSettings220.bin"/><Relationship Id="rId4" Type="http://schemas.openxmlformats.org/officeDocument/2006/relationships/printerSettings" Target="../printerSettings/printerSettings219.bin"/></Relationships>
</file>

<file path=xl/worksheets/_rels/sheet35.xml.rels><?xml version="1.0" encoding="UTF-8" standalone="yes"?>
<Relationships xmlns="http://schemas.openxmlformats.org/package/2006/relationships"><Relationship Id="rId8" Type="http://schemas.openxmlformats.org/officeDocument/2006/relationships/printerSettings" Target="../printerSettings/printerSettings231.bin"/><Relationship Id="rId3" Type="http://schemas.openxmlformats.org/officeDocument/2006/relationships/printerSettings" Target="../printerSettings/printerSettings226.bin"/><Relationship Id="rId7" Type="http://schemas.openxmlformats.org/officeDocument/2006/relationships/printerSettings" Target="../printerSettings/printerSettings230.bin"/><Relationship Id="rId2" Type="http://schemas.openxmlformats.org/officeDocument/2006/relationships/printerSettings" Target="../printerSettings/printerSettings225.bin"/><Relationship Id="rId1" Type="http://schemas.openxmlformats.org/officeDocument/2006/relationships/printerSettings" Target="../printerSettings/printerSettings224.bin"/><Relationship Id="rId6" Type="http://schemas.openxmlformats.org/officeDocument/2006/relationships/printerSettings" Target="../printerSettings/printerSettings229.bin"/><Relationship Id="rId5" Type="http://schemas.openxmlformats.org/officeDocument/2006/relationships/printerSettings" Target="../printerSettings/printerSettings228.bin"/><Relationship Id="rId4" Type="http://schemas.openxmlformats.org/officeDocument/2006/relationships/printerSettings" Target="../printerSettings/printerSettings227.bin"/></Relationships>
</file>

<file path=xl/worksheets/_rels/sheet36.xml.rels><?xml version="1.0" encoding="UTF-8" standalone="yes"?>
<Relationships xmlns="http://schemas.openxmlformats.org/package/2006/relationships"><Relationship Id="rId8" Type="http://schemas.openxmlformats.org/officeDocument/2006/relationships/printerSettings" Target="../printerSettings/printerSettings239.bin"/><Relationship Id="rId3" Type="http://schemas.openxmlformats.org/officeDocument/2006/relationships/printerSettings" Target="../printerSettings/printerSettings234.bin"/><Relationship Id="rId7" Type="http://schemas.openxmlformats.org/officeDocument/2006/relationships/printerSettings" Target="../printerSettings/printerSettings238.bin"/><Relationship Id="rId2" Type="http://schemas.openxmlformats.org/officeDocument/2006/relationships/printerSettings" Target="../printerSettings/printerSettings233.bin"/><Relationship Id="rId1" Type="http://schemas.openxmlformats.org/officeDocument/2006/relationships/printerSettings" Target="../printerSettings/printerSettings232.bin"/><Relationship Id="rId6" Type="http://schemas.openxmlformats.org/officeDocument/2006/relationships/printerSettings" Target="../printerSettings/printerSettings237.bin"/><Relationship Id="rId5" Type="http://schemas.openxmlformats.org/officeDocument/2006/relationships/printerSettings" Target="../printerSettings/printerSettings236.bin"/><Relationship Id="rId4" Type="http://schemas.openxmlformats.org/officeDocument/2006/relationships/printerSettings" Target="../printerSettings/printerSettings235.bin"/><Relationship Id="rId9" Type="http://schemas.openxmlformats.org/officeDocument/2006/relationships/drawing" Target="../drawings/drawing5.xml"/></Relationships>
</file>

<file path=xl/worksheets/_rels/sheet37.xml.rels><?xml version="1.0" encoding="UTF-8" standalone="yes"?>
<Relationships xmlns="http://schemas.openxmlformats.org/package/2006/relationships"><Relationship Id="rId8" Type="http://schemas.openxmlformats.org/officeDocument/2006/relationships/printerSettings" Target="../printerSettings/printerSettings247.bin"/><Relationship Id="rId3" Type="http://schemas.openxmlformats.org/officeDocument/2006/relationships/printerSettings" Target="../printerSettings/printerSettings242.bin"/><Relationship Id="rId7" Type="http://schemas.openxmlformats.org/officeDocument/2006/relationships/printerSettings" Target="../printerSettings/printerSettings246.bin"/><Relationship Id="rId2" Type="http://schemas.openxmlformats.org/officeDocument/2006/relationships/printerSettings" Target="../printerSettings/printerSettings241.bin"/><Relationship Id="rId1" Type="http://schemas.openxmlformats.org/officeDocument/2006/relationships/printerSettings" Target="../printerSettings/printerSettings240.bin"/><Relationship Id="rId6" Type="http://schemas.openxmlformats.org/officeDocument/2006/relationships/printerSettings" Target="../printerSettings/printerSettings245.bin"/><Relationship Id="rId5" Type="http://schemas.openxmlformats.org/officeDocument/2006/relationships/printerSettings" Target="../printerSettings/printerSettings244.bin"/><Relationship Id="rId4" Type="http://schemas.openxmlformats.org/officeDocument/2006/relationships/printerSettings" Target="../printerSettings/printerSettings243.bin"/></Relationships>
</file>

<file path=xl/worksheets/_rels/sheet38.xml.rels><?xml version="1.0" encoding="UTF-8" standalone="yes"?>
<Relationships xmlns="http://schemas.openxmlformats.org/package/2006/relationships"><Relationship Id="rId8" Type="http://schemas.openxmlformats.org/officeDocument/2006/relationships/printerSettings" Target="../printerSettings/printerSettings255.bin"/><Relationship Id="rId3" Type="http://schemas.openxmlformats.org/officeDocument/2006/relationships/printerSettings" Target="../printerSettings/printerSettings250.bin"/><Relationship Id="rId7" Type="http://schemas.openxmlformats.org/officeDocument/2006/relationships/printerSettings" Target="../printerSettings/printerSettings254.bin"/><Relationship Id="rId2" Type="http://schemas.openxmlformats.org/officeDocument/2006/relationships/printerSettings" Target="../printerSettings/printerSettings249.bin"/><Relationship Id="rId1" Type="http://schemas.openxmlformats.org/officeDocument/2006/relationships/printerSettings" Target="../printerSettings/printerSettings248.bin"/><Relationship Id="rId6" Type="http://schemas.openxmlformats.org/officeDocument/2006/relationships/printerSettings" Target="../printerSettings/printerSettings253.bin"/><Relationship Id="rId5" Type="http://schemas.openxmlformats.org/officeDocument/2006/relationships/printerSettings" Target="../printerSettings/printerSettings252.bin"/><Relationship Id="rId4" Type="http://schemas.openxmlformats.org/officeDocument/2006/relationships/printerSettings" Target="../printerSettings/printerSettings251.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56.bin"/></Relationships>
</file>

<file path=xl/worksheets/_rels/sheet40.xml.rels><?xml version="1.0" encoding="UTF-8" standalone="yes"?>
<Relationships xmlns="http://schemas.openxmlformats.org/package/2006/relationships"><Relationship Id="rId8" Type="http://schemas.openxmlformats.org/officeDocument/2006/relationships/printerSettings" Target="../printerSettings/printerSettings264.bin"/><Relationship Id="rId3" Type="http://schemas.openxmlformats.org/officeDocument/2006/relationships/printerSettings" Target="../printerSettings/printerSettings259.bin"/><Relationship Id="rId7" Type="http://schemas.openxmlformats.org/officeDocument/2006/relationships/printerSettings" Target="../printerSettings/printerSettings263.bin"/><Relationship Id="rId2" Type="http://schemas.openxmlformats.org/officeDocument/2006/relationships/printerSettings" Target="../printerSettings/printerSettings258.bin"/><Relationship Id="rId1" Type="http://schemas.openxmlformats.org/officeDocument/2006/relationships/printerSettings" Target="../printerSettings/printerSettings257.bin"/><Relationship Id="rId6" Type="http://schemas.openxmlformats.org/officeDocument/2006/relationships/printerSettings" Target="../printerSettings/printerSettings262.bin"/><Relationship Id="rId5" Type="http://schemas.openxmlformats.org/officeDocument/2006/relationships/printerSettings" Target="../printerSettings/printerSettings261.bin"/><Relationship Id="rId4" Type="http://schemas.openxmlformats.org/officeDocument/2006/relationships/printerSettings" Target="../printerSettings/printerSettings260.bin"/></Relationships>
</file>

<file path=xl/worksheets/_rels/sheet41.xml.rels><?xml version="1.0" encoding="UTF-8" standalone="yes"?>
<Relationships xmlns="http://schemas.openxmlformats.org/package/2006/relationships"><Relationship Id="rId8" Type="http://schemas.openxmlformats.org/officeDocument/2006/relationships/printerSettings" Target="../printerSettings/printerSettings272.bin"/><Relationship Id="rId3" Type="http://schemas.openxmlformats.org/officeDocument/2006/relationships/printerSettings" Target="../printerSettings/printerSettings267.bin"/><Relationship Id="rId7" Type="http://schemas.openxmlformats.org/officeDocument/2006/relationships/printerSettings" Target="../printerSettings/printerSettings271.bin"/><Relationship Id="rId2" Type="http://schemas.openxmlformats.org/officeDocument/2006/relationships/printerSettings" Target="../printerSettings/printerSettings266.bin"/><Relationship Id="rId1" Type="http://schemas.openxmlformats.org/officeDocument/2006/relationships/printerSettings" Target="../printerSettings/printerSettings265.bin"/><Relationship Id="rId6" Type="http://schemas.openxmlformats.org/officeDocument/2006/relationships/printerSettings" Target="../printerSettings/printerSettings270.bin"/><Relationship Id="rId5" Type="http://schemas.openxmlformats.org/officeDocument/2006/relationships/printerSettings" Target="../printerSettings/printerSettings269.bin"/><Relationship Id="rId4" Type="http://schemas.openxmlformats.org/officeDocument/2006/relationships/printerSettings" Target="../printerSettings/printerSettings268.bin"/></Relationships>
</file>

<file path=xl/worksheets/_rels/sheet42.xml.rels><?xml version="1.0" encoding="UTF-8" standalone="yes"?>
<Relationships xmlns="http://schemas.openxmlformats.org/package/2006/relationships"><Relationship Id="rId8" Type="http://schemas.openxmlformats.org/officeDocument/2006/relationships/printerSettings" Target="../printerSettings/printerSettings280.bin"/><Relationship Id="rId3" Type="http://schemas.openxmlformats.org/officeDocument/2006/relationships/printerSettings" Target="../printerSettings/printerSettings275.bin"/><Relationship Id="rId7" Type="http://schemas.openxmlformats.org/officeDocument/2006/relationships/printerSettings" Target="../printerSettings/printerSettings279.bin"/><Relationship Id="rId2" Type="http://schemas.openxmlformats.org/officeDocument/2006/relationships/printerSettings" Target="../printerSettings/printerSettings274.bin"/><Relationship Id="rId1" Type="http://schemas.openxmlformats.org/officeDocument/2006/relationships/printerSettings" Target="../printerSettings/printerSettings273.bin"/><Relationship Id="rId6" Type="http://schemas.openxmlformats.org/officeDocument/2006/relationships/printerSettings" Target="../printerSettings/printerSettings278.bin"/><Relationship Id="rId5" Type="http://schemas.openxmlformats.org/officeDocument/2006/relationships/printerSettings" Target="../printerSettings/printerSettings277.bin"/><Relationship Id="rId4" Type="http://schemas.openxmlformats.org/officeDocument/2006/relationships/printerSettings" Target="../printerSettings/printerSettings276.bin"/></Relationships>
</file>

<file path=xl/worksheets/_rels/sheet43.xml.rels><?xml version="1.0" encoding="UTF-8" standalone="yes"?>
<Relationships xmlns="http://schemas.openxmlformats.org/package/2006/relationships"><Relationship Id="rId8" Type="http://schemas.openxmlformats.org/officeDocument/2006/relationships/printerSettings" Target="../printerSettings/printerSettings288.bin"/><Relationship Id="rId3" Type="http://schemas.openxmlformats.org/officeDocument/2006/relationships/printerSettings" Target="../printerSettings/printerSettings283.bin"/><Relationship Id="rId7" Type="http://schemas.openxmlformats.org/officeDocument/2006/relationships/printerSettings" Target="../printerSettings/printerSettings287.bin"/><Relationship Id="rId2" Type="http://schemas.openxmlformats.org/officeDocument/2006/relationships/printerSettings" Target="../printerSettings/printerSettings282.bin"/><Relationship Id="rId1" Type="http://schemas.openxmlformats.org/officeDocument/2006/relationships/printerSettings" Target="../printerSettings/printerSettings281.bin"/><Relationship Id="rId6" Type="http://schemas.openxmlformats.org/officeDocument/2006/relationships/printerSettings" Target="../printerSettings/printerSettings286.bin"/><Relationship Id="rId5" Type="http://schemas.openxmlformats.org/officeDocument/2006/relationships/printerSettings" Target="../printerSettings/printerSettings285.bin"/><Relationship Id="rId4" Type="http://schemas.openxmlformats.org/officeDocument/2006/relationships/printerSettings" Target="../printerSettings/printerSettings284.bin"/></Relationships>
</file>

<file path=xl/worksheets/_rels/sheet44.xml.rels><?xml version="1.0" encoding="UTF-8" standalone="yes"?>
<Relationships xmlns="http://schemas.openxmlformats.org/package/2006/relationships"><Relationship Id="rId8" Type="http://schemas.openxmlformats.org/officeDocument/2006/relationships/printerSettings" Target="../printerSettings/printerSettings296.bin"/><Relationship Id="rId3" Type="http://schemas.openxmlformats.org/officeDocument/2006/relationships/printerSettings" Target="../printerSettings/printerSettings291.bin"/><Relationship Id="rId7" Type="http://schemas.openxmlformats.org/officeDocument/2006/relationships/printerSettings" Target="../printerSettings/printerSettings295.bin"/><Relationship Id="rId2" Type="http://schemas.openxmlformats.org/officeDocument/2006/relationships/printerSettings" Target="../printerSettings/printerSettings290.bin"/><Relationship Id="rId1" Type="http://schemas.openxmlformats.org/officeDocument/2006/relationships/printerSettings" Target="../printerSettings/printerSettings289.bin"/><Relationship Id="rId6" Type="http://schemas.openxmlformats.org/officeDocument/2006/relationships/printerSettings" Target="../printerSettings/printerSettings294.bin"/><Relationship Id="rId5" Type="http://schemas.openxmlformats.org/officeDocument/2006/relationships/printerSettings" Target="../printerSettings/printerSettings293.bin"/><Relationship Id="rId4" Type="http://schemas.openxmlformats.org/officeDocument/2006/relationships/printerSettings" Target="../printerSettings/printerSettings292.bin"/></Relationships>
</file>

<file path=xl/worksheets/_rels/sheet45.xml.rels><?xml version="1.0" encoding="UTF-8" standalone="yes"?>
<Relationships xmlns="http://schemas.openxmlformats.org/package/2006/relationships"><Relationship Id="rId8" Type="http://schemas.openxmlformats.org/officeDocument/2006/relationships/printerSettings" Target="../printerSettings/printerSettings304.bin"/><Relationship Id="rId3" Type="http://schemas.openxmlformats.org/officeDocument/2006/relationships/printerSettings" Target="../printerSettings/printerSettings299.bin"/><Relationship Id="rId7" Type="http://schemas.openxmlformats.org/officeDocument/2006/relationships/printerSettings" Target="../printerSettings/printerSettings303.bin"/><Relationship Id="rId2" Type="http://schemas.openxmlformats.org/officeDocument/2006/relationships/printerSettings" Target="../printerSettings/printerSettings298.bin"/><Relationship Id="rId1" Type="http://schemas.openxmlformats.org/officeDocument/2006/relationships/printerSettings" Target="../printerSettings/printerSettings297.bin"/><Relationship Id="rId6" Type="http://schemas.openxmlformats.org/officeDocument/2006/relationships/printerSettings" Target="../printerSettings/printerSettings302.bin"/><Relationship Id="rId5" Type="http://schemas.openxmlformats.org/officeDocument/2006/relationships/printerSettings" Target="../printerSettings/printerSettings301.bin"/><Relationship Id="rId4" Type="http://schemas.openxmlformats.org/officeDocument/2006/relationships/printerSettings" Target="../printerSettings/printerSettings30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05.bin"/></Relationships>
</file>

<file path=xl/worksheets/_rels/sheet47.xml.rels><?xml version="1.0" encoding="UTF-8" standalone="yes"?>
<Relationships xmlns="http://schemas.openxmlformats.org/package/2006/relationships"><Relationship Id="rId8" Type="http://schemas.openxmlformats.org/officeDocument/2006/relationships/printerSettings" Target="../printerSettings/printerSettings313.bin"/><Relationship Id="rId3" Type="http://schemas.openxmlformats.org/officeDocument/2006/relationships/printerSettings" Target="../printerSettings/printerSettings308.bin"/><Relationship Id="rId7" Type="http://schemas.openxmlformats.org/officeDocument/2006/relationships/printerSettings" Target="../printerSettings/printerSettings312.bin"/><Relationship Id="rId2" Type="http://schemas.openxmlformats.org/officeDocument/2006/relationships/printerSettings" Target="../printerSettings/printerSettings307.bin"/><Relationship Id="rId1" Type="http://schemas.openxmlformats.org/officeDocument/2006/relationships/printerSettings" Target="../printerSettings/printerSettings306.bin"/><Relationship Id="rId6" Type="http://schemas.openxmlformats.org/officeDocument/2006/relationships/printerSettings" Target="../printerSettings/printerSettings311.bin"/><Relationship Id="rId5" Type="http://schemas.openxmlformats.org/officeDocument/2006/relationships/printerSettings" Target="../printerSettings/printerSettings310.bin"/><Relationship Id="rId4" Type="http://schemas.openxmlformats.org/officeDocument/2006/relationships/printerSettings" Target="../printerSettings/printerSettings309.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314.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5.bin"/></Relationships>
</file>

<file path=xl/worksheets/_rels/sheet50.xml.rels><?xml version="1.0" encoding="UTF-8" standalone="yes"?>
<Relationships xmlns="http://schemas.openxmlformats.org/package/2006/relationships"><Relationship Id="rId3" Type="http://schemas.openxmlformats.org/officeDocument/2006/relationships/printerSettings" Target="../printerSettings/printerSettings318.bin"/><Relationship Id="rId2" Type="http://schemas.openxmlformats.org/officeDocument/2006/relationships/printerSettings" Target="../printerSettings/printerSettings317.bin"/><Relationship Id="rId1" Type="http://schemas.openxmlformats.org/officeDocument/2006/relationships/printerSettings" Target="../printerSettings/printerSettings316.bin"/><Relationship Id="rId6" Type="http://schemas.openxmlformats.org/officeDocument/2006/relationships/printerSettings" Target="../printerSettings/printerSettings321.bin"/><Relationship Id="rId5" Type="http://schemas.openxmlformats.org/officeDocument/2006/relationships/printerSettings" Target="../printerSettings/printerSettings320.bin"/><Relationship Id="rId4" Type="http://schemas.openxmlformats.org/officeDocument/2006/relationships/printerSettings" Target="../printerSettings/printerSettings31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2.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323.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324.bin"/></Relationships>
</file>

<file path=xl/worksheets/_rels/sheet54.xml.rels><?xml version="1.0" encoding="UTF-8" standalone="yes"?>
<Relationships xmlns="http://schemas.openxmlformats.org/package/2006/relationships"><Relationship Id="rId8" Type="http://schemas.openxmlformats.org/officeDocument/2006/relationships/printerSettings" Target="../printerSettings/printerSettings332.bin"/><Relationship Id="rId3" Type="http://schemas.openxmlformats.org/officeDocument/2006/relationships/printerSettings" Target="../printerSettings/printerSettings327.bin"/><Relationship Id="rId7" Type="http://schemas.openxmlformats.org/officeDocument/2006/relationships/printerSettings" Target="../printerSettings/printerSettings331.bin"/><Relationship Id="rId2" Type="http://schemas.openxmlformats.org/officeDocument/2006/relationships/printerSettings" Target="../printerSettings/printerSettings326.bin"/><Relationship Id="rId1" Type="http://schemas.openxmlformats.org/officeDocument/2006/relationships/printerSettings" Target="../printerSettings/printerSettings325.bin"/><Relationship Id="rId6" Type="http://schemas.openxmlformats.org/officeDocument/2006/relationships/printerSettings" Target="../printerSettings/printerSettings330.bin"/><Relationship Id="rId5" Type="http://schemas.openxmlformats.org/officeDocument/2006/relationships/printerSettings" Target="../printerSettings/printerSettings329.bin"/><Relationship Id="rId4" Type="http://schemas.openxmlformats.org/officeDocument/2006/relationships/printerSettings" Target="../printerSettings/printerSettings328.bin"/></Relationships>
</file>

<file path=xl/worksheets/_rels/sheet55.xml.rels><?xml version="1.0" encoding="UTF-8" standalone="yes"?>
<Relationships xmlns="http://schemas.openxmlformats.org/package/2006/relationships"><Relationship Id="rId8" Type="http://schemas.openxmlformats.org/officeDocument/2006/relationships/printerSettings" Target="../printerSettings/printerSettings340.bin"/><Relationship Id="rId3" Type="http://schemas.openxmlformats.org/officeDocument/2006/relationships/printerSettings" Target="../printerSettings/printerSettings335.bin"/><Relationship Id="rId7" Type="http://schemas.openxmlformats.org/officeDocument/2006/relationships/printerSettings" Target="../printerSettings/printerSettings339.bin"/><Relationship Id="rId2" Type="http://schemas.openxmlformats.org/officeDocument/2006/relationships/printerSettings" Target="../printerSettings/printerSettings334.bin"/><Relationship Id="rId1" Type="http://schemas.openxmlformats.org/officeDocument/2006/relationships/printerSettings" Target="../printerSettings/printerSettings333.bin"/><Relationship Id="rId6" Type="http://schemas.openxmlformats.org/officeDocument/2006/relationships/printerSettings" Target="../printerSettings/printerSettings338.bin"/><Relationship Id="rId5" Type="http://schemas.openxmlformats.org/officeDocument/2006/relationships/printerSettings" Target="../printerSettings/printerSettings337.bin"/><Relationship Id="rId4" Type="http://schemas.openxmlformats.org/officeDocument/2006/relationships/printerSettings" Target="../printerSettings/printerSettings3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6"/>
  <sheetViews>
    <sheetView showGridLines="0" tabSelected="1" zoomScaleNormal="100" zoomScaleSheetLayoutView="85" workbookViewId="0"/>
  </sheetViews>
  <sheetFormatPr defaultColWidth="9.109375" defaultRowHeight="13.2"/>
  <cols>
    <col min="1" max="1" width="175.6640625" style="39" customWidth="1"/>
    <col min="2" max="16384" width="9.109375" style="4"/>
  </cols>
  <sheetData>
    <row r="1" spans="1:1" ht="30">
      <c r="A1" s="37" t="s">
        <v>1510</v>
      </c>
    </row>
    <row r="2" spans="1:1" ht="30">
      <c r="A2" s="37" t="s">
        <v>1004</v>
      </c>
    </row>
    <row r="3" spans="1:1" ht="30">
      <c r="A3" s="37" t="s">
        <v>459</v>
      </c>
    </row>
    <row r="4" spans="1:1" ht="28.2">
      <c r="A4" s="38"/>
    </row>
    <row r="5" spans="1:1" ht="28.2">
      <c r="A5" s="664" t="s">
        <v>3221</v>
      </c>
    </row>
    <row r="6" spans="1:1">
      <c r="A6" s="658" t="s">
        <v>3391</v>
      </c>
    </row>
  </sheetData>
  <customSheetViews>
    <customSheetView guid="{4FEDB3BD-111A-4B7D-AA97-E67173A5F707}" showPageBreaks="1" printArea="1" view="pageBreakPreview" showRuler="0">
      <selection activeCell="B24" sqref="B24"/>
      <pageMargins left="0.75" right="0.75" top="1" bottom="1" header="0.5" footer="0.5"/>
      <printOptions horizontalCentered="1" verticalCentered="1"/>
      <pageSetup orientation="landscape" horizontalDpi="400" verticalDpi="400" r:id="rId1"/>
      <headerFooter alignWithMargins="0"/>
    </customSheetView>
    <customSheetView guid="{D5FFA8DD-F2DB-47F2-B4D2-3681726B2E8F}" showPageBreaks="1" printArea="1" view="pageBreakPreview" showRuler="0">
      <selection activeCell="C3" sqref="C3:P3"/>
      <pageMargins left="0.75" right="0.75" top="1" bottom="1" header="0.5" footer="0.5"/>
      <printOptions horizontalCentered="1" verticalCentered="1"/>
      <pageSetup orientation="landscape" horizontalDpi="400" verticalDpi="400" r:id="rId2"/>
      <headerFooter alignWithMargins="0"/>
    </customSheetView>
    <customSheetView guid="{EFE02F7B-3837-4B0F-9646-ADE249504E9F}" showPageBreaks="1" printArea="1" view="pageBreakPreview" showRuler="0" topLeftCell="A4">
      <selection activeCell="F30" sqref="F30"/>
      <pageMargins left="0.75" right="0.75" top="1" bottom="1" header="0.5" footer="0.5"/>
      <printOptions horizontalCentered="1" verticalCentered="1"/>
      <pageSetup orientation="landscape" horizontalDpi="400" verticalDpi="400" r:id="rId3"/>
      <headerFooter alignWithMargins="0"/>
    </customSheetView>
    <customSheetView guid="{053BE130-58A3-4F3B-945A-C2EFB15C6264}" showPageBreaks="1" printArea="1" view="pageBreakPreview" showRuler="0" topLeftCell="A4">
      <selection activeCell="F30" sqref="F30"/>
      <pageMargins left="0.75" right="0.75" top="1" bottom="1" header="0.5" footer="0.5"/>
      <printOptions horizontalCentered="1" verticalCentered="1"/>
      <pageSetup orientation="landscape" horizontalDpi="400" verticalDpi="400" r:id="rId4"/>
      <headerFooter alignWithMargins="0"/>
    </customSheetView>
    <customSheetView guid="{F5DBE5B9-A9E4-4030-888B-08F930ECBB74}" showPageBreaks="1" printArea="1" view="pageBreakPreview" showRuler="0" topLeftCell="A4">
      <selection activeCell="F30" sqref="F30"/>
      <pageMargins left="0.75" right="0.75" top="1" bottom="1" header="0.5" footer="0.5"/>
      <printOptions horizontalCentered="1" verticalCentered="1"/>
      <pageSetup orientation="landscape" horizontalDpi="400" verticalDpi="400" r:id="rId5"/>
      <headerFooter alignWithMargins="0"/>
    </customSheetView>
    <customSheetView guid="{960FB4AF-B150-4523-972C-3F7C93F049F3}" showPageBreaks="1" printArea="1" view="pageBreakPreview" showRuler="0">
      <selection activeCell="B24" sqref="B24"/>
      <pageMargins left="0.75" right="0.75" top="1" bottom="1" header="0.5" footer="0.5"/>
      <printOptions horizontalCentered="1" verticalCentered="1"/>
      <pageSetup orientation="landscape" horizontalDpi="400" verticalDpi="400" r:id="rId6"/>
      <headerFooter alignWithMargins="0"/>
    </customSheetView>
    <customSheetView guid="{DF3BD4C9-2986-4236-8E90-D96736404377}" showPageBreaks="1" printArea="1" view="pageBreakPreview" showRuler="0">
      <selection activeCell="B24" sqref="B24"/>
      <pageMargins left="0.75" right="0.75" top="1" bottom="1" header="0.5" footer="0.5"/>
      <printOptions horizontalCentered="1" verticalCentered="1"/>
      <pageSetup orientation="landscape" horizontalDpi="400" verticalDpi="400" r:id="rId7"/>
      <headerFooter alignWithMargins="0"/>
    </customSheetView>
  </customSheetViews>
  <phoneticPr fontId="0" type="noConversion"/>
  <printOptions horizontalCentered="1" verticalCentered="1"/>
  <pageMargins left="0.75" right="0.75" top="1" bottom="1" header="0.5" footer="0.5"/>
  <pageSetup orientation="landscape" r:id="rId8"/>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90"/>
  <sheetViews>
    <sheetView showGridLines="0" zoomScaleNormal="100" zoomScaleSheetLayoutView="96" workbookViewId="0"/>
  </sheetViews>
  <sheetFormatPr defaultColWidth="9.109375" defaultRowHeight="13.2"/>
  <cols>
    <col min="1" max="1" width="5.6640625" style="575" customWidth="1"/>
    <col min="2" max="2" width="46.109375" style="88" customWidth="1"/>
    <col min="3" max="3" width="5.6640625" style="88" customWidth="1"/>
    <col min="4" max="4" width="58.109375" style="88" customWidth="1"/>
    <col min="5" max="16384" width="9.109375" style="88"/>
  </cols>
  <sheetData>
    <row r="1" spans="1:4" s="3" customFormat="1">
      <c r="A1" s="100" t="s">
        <v>1379</v>
      </c>
      <c r="B1" s="101"/>
      <c r="C1" s="3" t="s">
        <v>954</v>
      </c>
      <c r="D1" s="88"/>
    </row>
    <row r="2" spans="1:4">
      <c r="A2" s="123"/>
      <c r="B2" s="632" t="s">
        <v>698</v>
      </c>
      <c r="C2" s="123"/>
      <c r="D2" s="632" t="s">
        <v>955</v>
      </c>
    </row>
    <row r="3" spans="1:4">
      <c r="A3" s="123"/>
      <c r="B3" s="632" t="s">
        <v>699</v>
      </c>
      <c r="C3" s="123" t="s">
        <v>943</v>
      </c>
      <c r="D3" s="632" t="s">
        <v>736</v>
      </c>
    </row>
    <row r="4" spans="1:4">
      <c r="A4" s="123"/>
      <c r="B4" s="632" t="s">
        <v>700</v>
      </c>
      <c r="C4" s="123" t="s">
        <v>944</v>
      </c>
      <c r="D4" s="632" t="s">
        <v>737</v>
      </c>
    </row>
    <row r="5" spans="1:4">
      <c r="A5" s="100" t="s">
        <v>1285</v>
      </c>
      <c r="B5" s="574"/>
      <c r="C5" s="3" t="s">
        <v>1373</v>
      </c>
    </row>
    <row r="6" spans="1:4">
      <c r="A6" s="123" t="s">
        <v>1505</v>
      </c>
      <c r="B6" s="632" t="s">
        <v>1760</v>
      </c>
      <c r="C6" s="123"/>
      <c r="D6" s="632" t="s">
        <v>1301</v>
      </c>
    </row>
    <row r="7" spans="1:4">
      <c r="A7" s="100" t="s">
        <v>701</v>
      </c>
      <c r="B7" s="574"/>
      <c r="C7" s="123" t="s">
        <v>945</v>
      </c>
      <c r="D7" s="632" t="s">
        <v>738</v>
      </c>
    </row>
    <row r="8" spans="1:4">
      <c r="A8" s="100"/>
      <c r="B8" s="632" t="s">
        <v>2291</v>
      </c>
      <c r="C8" s="123" t="s">
        <v>946</v>
      </c>
      <c r="D8" s="632" t="s">
        <v>739</v>
      </c>
    </row>
    <row r="9" spans="1:4">
      <c r="A9" s="100"/>
      <c r="B9" s="632" t="s">
        <v>2566</v>
      </c>
      <c r="C9" s="3" t="s">
        <v>1699</v>
      </c>
    </row>
    <row r="10" spans="1:4">
      <c r="A10" s="123"/>
      <c r="B10" s="632" t="s">
        <v>702</v>
      </c>
      <c r="C10" s="3"/>
      <c r="D10" s="632" t="s">
        <v>2572</v>
      </c>
    </row>
    <row r="11" spans="1:4">
      <c r="A11" s="123" t="s">
        <v>1506</v>
      </c>
      <c r="B11" s="632" t="s">
        <v>733</v>
      </c>
      <c r="C11" s="123" t="s">
        <v>947</v>
      </c>
      <c r="D11" s="632" t="s">
        <v>2573</v>
      </c>
    </row>
    <row r="12" spans="1:4">
      <c r="A12" s="123" t="s">
        <v>1507</v>
      </c>
      <c r="B12" s="632" t="s">
        <v>735</v>
      </c>
      <c r="C12" s="123" t="s">
        <v>948</v>
      </c>
      <c r="D12" s="632" t="s">
        <v>2574</v>
      </c>
    </row>
    <row r="13" spans="1:4">
      <c r="A13" s="100" t="s">
        <v>703</v>
      </c>
      <c r="B13" s="574"/>
      <c r="C13" s="3" t="s">
        <v>1698</v>
      </c>
    </row>
    <row r="14" spans="1:4">
      <c r="A14" s="123" t="s">
        <v>2126</v>
      </c>
      <c r="B14" s="632" t="s">
        <v>734</v>
      </c>
      <c r="C14" s="123"/>
      <c r="D14" s="632" t="s">
        <v>708</v>
      </c>
    </row>
    <row r="15" spans="1:4">
      <c r="A15" s="123" t="s">
        <v>2098</v>
      </c>
      <c r="B15" s="632" t="s">
        <v>2099</v>
      </c>
      <c r="C15" s="123" t="s">
        <v>949</v>
      </c>
      <c r="D15" s="632" t="s">
        <v>770</v>
      </c>
    </row>
    <row r="16" spans="1:4">
      <c r="A16" s="100" t="s">
        <v>3188</v>
      </c>
      <c r="C16" s="3" t="s">
        <v>709</v>
      </c>
    </row>
    <row r="17" spans="1:4">
      <c r="A17" s="123"/>
      <c r="B17" s="632" t="s">
        <v>3189</v>
      </c>
      <c r="C17" s="123" t="s">
        <v>950</v>
      </c>
      <c r="D17" s="632" t="s">
        <v>1477</v>
      </c>
    </row>
    <row r="18" spans="1:4">
      <c r="A18" s="123" t="s">
        <v>3190</v>
      </c>
      <c r="B18" s="632" t="s">
        <v>3191</v>
      </c>
      <c r="C18" s="3" t="s">
        <v>710</v>
      </c>
    </row>
    <row r="19" spans="1:4">
      <c r="A19" s="100" t="s">
        <v>1697</v>
      </c>
      <c r="C19" s="123" t="s">
        <v>951</v>
      </c>
      <c r="D19" s="632" t="s">
        <v>740</v>
      </c>
    </row>
    <row r="20" spans="1:4">
      <c r="A20" s="123"/>
      <c r="B20" s="632" t="s">
        <v>704</v>
      </c>
      <c r="C20" s="3" t="s">
        <v>1916</v>
      </c>
    </row>
    <row r="21" spans="1:4">
      <c r="A21" s="123" t="s">
        <v>1302</v>
      </c>
      <c r="B21" s="632" t="s">
        <v>705</v>
      </c>
      <c r="C21" s="123" t="s">
        <v>952</v>
      </c>
      <c r="D21" s="632" t="s">
        <v>1874</v>
      </c>
    </row>
    <row r="22" spans="1:4">
      <c r="A22" s="100" t="s">
        <v>1380</v>
      </c>
      <c r="C22" s="3" t="s">
        <v>1700</v>
      </c>
    </row>
    <row r="23" spans="1:4">
      <c r="A23" s="123"/>
      <c r="B23" s="632" t="s">
        <v>706</v>
      </c>
      <c r="C23" s="123"/>
      <c r="D23" s="632" t="s">
        <v>714</v>
      </c>
    </row>
    <row r="24" spans="1:4">
      <c r="A24" s="123" t="s">
        <v>931</v>
      </c>
      <c r="B24" s="632" t="s">
        <v>2575</v>
      </c>
      <c r="C24" s="123" t="s">
        <v>953</v>
      </c>
      <c r="D24" s="632" t="s">
        <v>1766</v>
      </c>
    </row>
    <row r="25" spans="1:4">
      <c r="A25" s="100" t="s">
        <v>1381</v>
      </c>
      <c r="C25" s="3" t="s">
        <v>1774</v>
      </c>
    </row>
    <row r="26" spans="1:4">
      <c r="A26" s="100"/>
      <c r="B26" s="632" t="s">
        <v>610</v>
      </c>
      <c r="D26" s="632" t="s">
        <v>2525</v>
      </c>
    </row>
    <row r="27" spans="1:4">
      <c r="A27" s="123" t="s">
        <v>932</v>
      </c>
      <c r="B27" s="632" t="s">
        <v>1761</v>
      </c>
      <c r="C27" s="123" t="s">
        <v>457</v>
      </c>
      <c r="D27" s="632" t="s">
        <v>1767</v>
      </c>
    </row>
    <row r="28" spans="1:4">
      <c r="A28" s="123" t="s">
        <v>933</v>
      </c>
      <c r="B28" s="632" t="s">
        <v>1039</v>
      </c>
      <c r="C28" s="125" t="s">
        <v>1780</v>
      </c>
      <c r="D28" s="83"/>
    </row>
    <row r="29" spans="1:4">
      <c r="A29" s="123" t="s">
        <v>934</v>
      </c>
      <c r="B29" s="632" t="s">
        <v>1634</v>
      </c>
      <c r="C29" s="132"/>
      <c r="D29" s="633" t="s">
        <v>1322</v>
      </c>
    </row>
    <row r="30" spans="1:4">
      <c r="A30" s="123" t="s">
        <v>935</v>
      </c>
      <c r="B30" s="632" t="s">
        <v>1762</v>
      </c>
      <c r="C30" s="123" t="s">
        <v>1323</v>
      </c>
      <c r="D30" s="633" t="s">
        <v>1324</v>
      </c>
    </row>
    <row r="31" spans="1:4">
      <c r="A31" s="123" t="s">
        <v>936</v>
      </c>
      <c r="B31" s="632" t="s">
        <v>1763</v>
      </c>
      <c r="C31" s="123" t="s">
        <v>1325</v>
      </c>
      <c r="D31" s="633" t="s">
        <v>1326</v>
      </c>
    </row>
    <row r="32" spans="1:4">
      <c r="A32" s="123" t="s">
        <v>937</v>
      </c>
      <c r="B32" s="632" t="s">
        <v>1764</v>
      </c>
      <c r="C32" s="3" t="s">
        <v>711</v>
      </c>
    </row>
    <row r="33" spans="1:4">
      <c r="A33" s="123" t="s">
        <v>938</v>
      </c>
      <c r="B33" s="632" t="s">
        <v>1765</v>
      </c>
      <c r="C33" s="123"/>
      <c r="D33" s="632" t="s">
        <v>712</v>
      </c>
    </row>
    <row r="34" spans="1:4">
      <c r="A34" s="123" t="s">
        <v>1866</v>
      </c>
      <c r="B34" s="632" t="s">
        <v>1637</v>
      </c>
      <c r="C34" s="123" t="s">
        <v>1917</v>
      </c>
      <c r="D34" s="632" t="s">
        <v>713</v>
      </c>
    </row>
    <row r="35" spans="1:4">
      <c r="A35" s="123" t="s">
        <v>939</v>
      </c>
      <c r="B35" s="632" t="s">
        <v>1638</v>
      </c>
      <c r="C35" s="3"/>
      <c r="D35" s="632"/>
    </row>
    <row r="36" spans="1:4">
      <c r="A36" s="123" t="s">
        <v>940</v>
      </c>
      <c r="B36" s="632" t="s">
        <v>496</v>
      </c>
      <c r="C36" s="123"/>
      <c r="D36" s="632"/>
    </row>
    <row r="37" spans="1:4">
      <c r="A37" s="3" t="s">
        <v>1382</v>
      </c>
      <c r="B37" s="3"/>
      <c r="C37" s="123"/>
      <c r="D37" s="632"/>
    </row>
    <row r="38" spans="1:4">
      <c r="A38" s="123"/>
      <c r="B38" s="632" t="s">
        <v>1300</v>
      </c>
    </row>
    <row r="39" spans="1:4">
      <c r="A39" s="123" t="s">
        <v>941</v>
      </c>
      <c r="B39" s="632" t="s">
        <v>1372</v>
      </c>
    </row>
    <row r="40" spans="1:4">
      <c r="A40" s="123" t="s">
        <v>942</v>
      </c>
      <c r="B40" s="632" t="s">
        <v>707</v>
      </c>
    </row>
    <row r="41" spans="1:4">
      <c r="A41" s="88"/>
    </row>
    <row r="51" spans="3:3">
      <c r="C51" s="574"/>
    </row>
    <row r="71" spans="2:2">
      <c r="B71" s="574"/>
    </row>
    <row r="74" spans="2:2">
      <c r="B74" s="574"/>
    </row>
    <row r="77" spans="2:2">
      <c r="B77" s="574"/>
    </row>
    <row r="80" spans="2:2">
      <c r="B80" s="574"/>
    </row>
    <row r="81" spans="2:2">
      <c r="B81" s="574"/>
    </row>
    <row r="82" spans="2:2">
      <c r="B82" s="574"/>
    </row>
    <row r="85" spans="2:2">
      <c r="B85" s="574"/>
    </row>
    <row r="86" spans="2:2">
      <c r="B86" s="574"/>
    </row>
    <row r="89" spans="2:2">
      <c r="B89" s="574"/>
    </row>
    <row r="90" spans="2:2">
      <c r="B90" s="574"/>
    </row>
  </sheetData>
  <customSheetViews>
    <customSheetView guid="{4FEDB3BD-111A-4B7D-AA97-E67173A5F707}" scale="96" showPageBreaks="1" printArea="1" view="pageBreakPreview" showRuler="0">
      <selection activeCell="D33" sqref="D33"/>
      <pageMargins left="0.75" right="0.75" top="1" bottom="1" header="0.5" footer="0.5"/>
      <pageSetup orientation="landscape" r:id="rId1"/>
      <headerFooter alignWithMargins="0"/>
    </customSheetView>
    <customSheetView guid="{D5FFA8DD-F2DB-47F2-B4D2-3681726B2E8F}" scale="96" showPageBreaks="1" printArea="1" view="pageBreakPreview" showRuler="0">
      <selection activeCell="C3" sqref="C3:P3"/>
      <pageMargins left="0.75" right="0.75" top="1" bottom="1" header="0.5" footer="0.5"/>
      <pageSetup orientation="landscape" r:id="rId2"/>
      <headerFooter alignWithMargins="0"/>
    </customSheetView>
    <customSheetView guid="{EFE02F7B-3837-4B0F-9646-ADE249504E9F}" scale="96" showPageBreaks="1" view="pageBreakPreview" showRuler="0" topLeftCell="A10">
      <selection activeCell="A36" sqref="A36:IV36"/>
      <pageMargins left="0.75" right="0.75" top="1" bottom="1" header="0.5" footer="0.5"/>
      <pageSetup orientation="landscape" r:id="rId3"/>
      <headerFooter alignWithMargins="0"/>
    </customSheetView>
    <customSheetView guid="{053BE130-58A3-4F3B-945A-C2EFB15C6264}" scale="96" showPageBreaks="1" view="pageBreakPreview" showRuler="0" topLeftCell="A10">
      <selection activeCell="C37" sqref="C37"/>
      <pageMargins left="0.75" right="0.75" top="1" bottom="1" header="0.5" footer="0.5"/>
      <pageSetup orientation="landscape" r:id="rId4"/>
      <headerFooter alignWithMargins="0"/>
    </customSheetView>
    <customSheetView guid="{F5DBE5B9-A9E4-4030-888B-08F930ECBB74}" scale="96" showPageBreaks="1" view="pageBreakPreview" showRuler="0" topLeftCell="A10">
      <selection activeCell="A36" sqref="A36:IV36"/>
      <pageMargins left="0.75" right="0.75" top="1" bottom="1" header="0.5" footer="0.5"/>
      <pageSetup orientation="landscape" r:id="rId5"/>
      <headerFooter alignWithMargins="0"/>
    </customSheetView>
    <customSheetView guid="{960FB4AF-B150-4523-972C-3F7C93F049F3}" scale="96" showPageBreaks="1" printArea="1" view="pageBreakPreview" showRuler="0">
      <selection activeCell="D33" sqref="D33"/>
      <pageMargins left="0.75" right="0.75" top="1" bottom="1" header="0.5" footer="0.5"/>
      <pageSetup orientation="landscape" r:id="rId6"/>
      <headerFooter alignWithMargins="0"/>
    </customSheetView>
    <customSheetView guid="{DF3BD4C9-2986-4236-8E90-D96736404377}" scale="96" showPageBreaks="1" printArea="1" view="pageBreakPreview" showRuler="0">
      <selection activeCell="D33" sqref="D33"/>
      <pageMargins left="0.75" right="0.75" top="1" bottom="1" header="0.5" footer="0.5"/>
      <pageSetup orientation="landscape" r:id="rId7"/>
      <headerFooter alignWithMargins="0"/>
    </customSheetView>
  </customSheetViews>
  <phoneticPr fontId="0" type="noConversion"/>
  <hyperlinks>
    <hyperlink ref="B2" location="Introduction!A1" display="Introduction" xr:uid="{395A7496-48F4-45E9-BD6E-31AA35E5AF50}"/>
    <hyperlink ref="B3" location="Disclaimer!A1" display="Disclaimer" xr:uid="{5BEAF109-E5F0-4295-9C56-DC1FCBC57452}"/>
    <hyperlink ref="B4" location="'Project Information'!A1" display="Project Information" xr:uid="{A1887B52-37FC-4B14-BC48-AB566479DCE2}"/>
    <hyperlink ref="B6" location="'3. Project General Tasks'!A1" display="Project Common and Project General Tasks" xr:uid="{5EC7C8A5-F7BE-4DBF-929F-4D316960C30C}"/>
    <hyperlink ref="B8" location="'Selective C&amp;G Guidelines'!A1" display="Selective Clearing and Grubbing Guidelines" xr:uid="{6C84D2D6-3C68-4B70-BECE-0E410DC89DF1}"/>
    <hyperlink ref="B10" location="'Roadway Guidelines'!A1" display="Roadway Guidelines" xr:uid="{9FCFDBB4-FBF3-43C3-A0A8-20285EFA83CB}"/>
    <hyperlink ref="B11" location="'4. Roadway Analysis'!A1" display="Roadway Analysis" xr:uid="{2E0B4DE8-CB08-4DF8-AA6F-B8F5B02CE4F6}"/>
    <hyperlink ref="B12" location="'5. Roadway Plans'!A1" display="Roadway Plans" xr:uid="{DEC1C70E-2E8B-45E0-8CD3-FD9328A3DC7D}"/>
    <hyperlink ref="B14" location="'6a. Drainage Analysis'!A1" display="Drainage Analysis" xr:uid="{D32784D0-F1E3-4F22-AA9F-BB7E63424BEE}"/>
    <hyperlink ref="B15" location="'6b. Drainage Plans'!A1" display="Drainage Plans" xr:uid="{99192528-D0C6-48D0-A107-CF39DA051FF8}"/>
    <hyperlink ref="B20" location="'Utility Guidelines'!A1" display="Utilities Guidelines" xr:uid="{DE94D937-3F17-404C-9EF6-184D421128C1}"/>
    <hyperlink ref="B21" location="'7. Utilities'!A1" display="Utilities" xr:uid="{2D8B4215-340F-4364-AFAF-E5D864943AB0}"/>
    <hyperlink ref="B23" location="'Environmental Permit Guidelines'!A1" display="Environmental Permits Guidelines" xr:uid="{46060754-C4AB-4261-BF2E-C8DCFF661CAA}"/>
    <hyperlink ref="B24" location="'8. Environmental Permits'!A1" display="Environmental Permits, Compliance and Clearances" xr:uid="{809A4AC9-7E2F-4C8E-8883-2CD76CB4A818}"/>
    <hyperlink ref="B26" location="'Structures-Guidelines'!A1" display="Structures Guidelines" xr:uid="{6C3B2A9A-D1D1-43BC-80F7-FA57F9B6D9F8}"/>
    <hyperlink ref="B27" location="'9. Str. -Summ Misc Tasks &amp; Dwgs'!A1" display="Summary and Miscellaneous Tasks &amp; Drawings" xr:uid="{320C0F41-A49D-48AE-B7A7-C2CCA3F7E26D}"/>
    <hyperlink ref="B28" location="'10. Structures-BDR'!A1" display="Bridge Development Report" xr:uid="{68CED39F-A1C3-4B3B-94DC-1A3E6A658FB0}"/>
    <hyperlink ref="B29" location="'11. Str.-Temporary Bridge'!A1" display="Temporary Bridge" xr:uid="{6E3BB902-ABC8-445F-8D36-5264FA932240}"/>
    <hyperlink ref="B30" location="'12. Str.-Short Span Concrete'!A1" display="Short Span Concrete Bridge" xr:uid="{302B8FE5-8F7E-4EC8-AFE3-2A96DB2847D2}"/>
    <hyperlink ref="B31" location="'13. Str.-Medium Span Concrete '!A1" display="Medium Span Concrete Bridge" xr:uid="{EB2E4710-3CE2-47C0-B663-BF5ACE252F0B}"/>
    <hyperlink ref="B32" location="'14. Structures-Structural Steel'!A1" display="Structural Steel Bridge" xr:uid="{9B64CDDF-814A-4C3F-BAEC-C1F567454969}"/>
    <hyperlink ref="B33" location="'15.Str.-Segmental Concrete'!A1" display="Segmental Concrete Bridge" xr:uid="{E1D22AED-F658-48AD-B97F-8A68473A0B8F}"/>
    <hyperlink ref="B34" location="'16. Structures-Movable Span'!A1" display="Movable Span" xr:uid="{788F1083-6495-452D-8BBC-6CB25D8A4A08}"/>
    <hyperlink ref="B35" location="'17. Structures-Retaining Walls'!A1" display="Retaining Walls" xr:uid="{51367BA7-8647-438E-9E0B-C0FA74EECE74}"/>
    <hyperlink ref="B36" location="'18. Structures-Miscellaneous'!A1" display="Miscellaneous" xr:uid="{F9301A1E-9FB9-4ACC-9976-419FEF177A73}"/>
    <hyperlink ref="B38" location="'Signing &amp; Marking Guidelines'!A1" display="Signing &amp; Pavement Markings Guidelines" xr:uid="{8490F918-7030-43A8-9624-AB2034F0491D}"/>
    <hyperlink ref="B39" location="'19. Signing &amp; Marking Analysis'!A1" display="Signing &amp; Pavement Markings Analysis" xr:uid="{6FE033C9-8A7B-44D3-87A7-57C7A178D010}"/>
    <hyperlink ref="B40" location="'20. Signing &amp; Marking Plans'!A1" display="Signing &amp; Pavement Markings Plans" xr:uid="{2856B09C-229E-4D00-97F7-CE8D2C3F8E27}"/>
    <hyperlink ref="D2" location="'Signalization Guidelines'!A1" display="Signalization Guidelines" xr:uid="{D86E1612-2E2E-4B13-AB9C-47AB59E05DC2}"/>
    <hyperlink ref="D3" location="'21. Signalization Analysis'!A1" display="Signalization Analysis" xr:uid="{7210FD05-75C1-469F-8E3F-86DB632B0464}"/>
    <hyperlink ref="D4" location="'22. Signalization Plans'!A1" display="Signalization Plans" xr:uid="{CD347940-F337-465F-BE30-993999651F3D}"/>
    <hyperlink ref="D6" location="'Lighting Guidelines'!A1" display="Lighting Guidelines" xr:uid="{4AE03F82-0E75-4873-9187-FD6CBAD64D09}"/>
    <hyperlink ref="D7" location="'23. Lighting Analysis'!A1" display="Lighting Analysis" xr:uid="{05C6A69B-E302-491B-9BF1-F0238798C859}"/>
    <hyperlink ref="D8" location="'24. Lighting Plans'!A1" display="Lighting Plans" xr:uid="{82325F2A-DBC7-451B-B3C1-8B1DD8935E54}"/>
    <hyperlink ref="D10" location="'Landscape Guidelines'!A1" display="Landscape Architecture Guidelines" xr:uid="{668A73A9-CC95-43B9-B2DD-4485232A34D9}"/>
    <hyperlink ref="D11" location="'25. Landscape Analysis '!A1" display="Landscape Architecture Analysis" xr:uid="{A09430DE-3E66-4CFE-9DC3-0FC3FFE2B1EE}"/>
    <hyperlink ref="D12" location="'26. Landscape Plans'!A1" display="Landscape Architecture Plans" xr:uid="{8711384E-799B-423B-9B4B-929E979131C8}"/>
    <hyperlink ref="D14" location="'Survey Guidelines'!A1" display="Survey Guidelines" xr:uid="{F8F1A3A9-7DD8-4C82-A4B1-B3F44B566FDA}"/>
    <hyperlink ref="D15" location="'27. Survey'!A1" display="Survey" xr:uid="{C3575035-101C-4173-A5FF-4E1D509F797C}"/>
    <hyperlink ref="D17" location="'28. Photogrammetry'!A1" display="Photogrammetry" xr:uid="{1D10E359-B8C1-47C7-A86D-AAF31BCAF6B2}"/>
    <hyperlink ref="D19" location="'29. Mapping'!A1" display="Mapping" xr:uid="{BCDF2C8A-3B46-4893-BEBB-CA8F27C5C27A}"/>
    <hyperlink ref="D21" location="'30. Terrestrial Mobile LiDAR'!A1" display="Terrestrial Mobile LiDAR" xr:uid="{2E6309F5-03DD-459A-B944-46C9FB81024B}"/>
    <hyperlink ref="D23" location="'Architecture Guidelines'!A1" display="Architecture Guidelines" xr:uid="{2CCD3A13-0499-4C07-A382-7A38DC033C0F}"/>
    <hyperlink ref="D24" location="'31. Architecture Development'!A1" display="Architecture Development" xr:uid="{6CA57051-3B58-473E-B86F-3A43F9E95A87}"/>
    <hyperlink ref="D27" location="'32. Noise Barrier Assessment'!A1" display="Noise Barriers Impact Design Assessment in the Design Phase" xr:uid="{641C6A7D-5962-405C-85EA-39CD6628E942}"/>
    <hyperlink ref="D29" location="'ITS Guidelines'!A1" display="ITS Guidelines" xr:uid="{263AC55A-3D43-4E54-853C-3B95CD5A4571}"/>
    <hyperlink ref="D30" location="'33. ITS Analysis'!A1" display="ITS Analysis" xr:uid="{31DC9E6B-D2A6-412F-88BF-3B5A15BAB4B1}"/>
    <hyperlink ref="D31" location="'34. ITS Plans'!A1" display="ITS Plans" xr:uid="{0BFD4EF6-8725-4B8A-AED0-426659617C9C}"/>
    <hyperlink ref="D33" location="'Geotechnical Guidelines'!A1" display="Geotechnical Guidelines" xr:uid="{D564FB33-CF7C-4692-8228-BD513EEE36B2}"/>
    <hyperlink ref="D34" location="'35. Geotechnical'!A1" display="Geotechnical" xr:uid="{A074ACAE-8F18-421D-907C-92EB729E9A33}"/>
    <hyperlink ref="D26" location="'Noise Guidelines'!A1" display="Noise Guidelines" xr:uid="{1858FF1B-47E7-4510-B385-5F007CFE7742}"/>
    <hyperlink ref="B9" location="'Tree Disposition Guidelines'!A1" display="Tree Disposition Plan Guidelines" xr:uid="{D9906604-EEE9-465C-A2ED-7C3F3F0DEEED}"/>
    <hyperlink ref="B17" location="'Selective C&amp;G Guidelines '!A1" display="Selective C&amp;G Guidelines" xr:uid="{8C378546-C7CE-485B-A46A-84C2D7F0F285}"/>
    <hyperlink ref="B18" location="'6c. Selective C&amp;G'!A1" display="Selective C&amp;G" xr:uid="{66CB868D-9AC3-4373-B3A7-F3971BDEFA78}"/>
  </hyperlinks>
  <printOptions horizontalCentered="1" verticalCentered="1"/>
  <pageMargins left="0.75" right="0.75" top="1" bottom="1" header="0.5" footer="0.5"/>
  <pageSetup scale="99" orientation="landscape" r:id="rId8"/>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12"/>
  <sheetViews>
    <sheetView showGridLines="0" zoomScale="115" zoomScaleNormal="115" zoomScaleSheetLayoutView="115" workbookViewId="0"/>
  </sheetViews>
  <sheetFormatPr defaultColWidth="9.109375" defaultRowHeight="13.2"/>
  <cols>
    <col min="1" max="1" width="118.33203125" style="46" customWidth="1"/>
    <col min="2" max="16384" width="9.109375" style="46"/>
  </cols>
  <sheetData>
    <row r="1" spans="1:14">
      <c r="A1" s="139" t="s">
        <v>1379</v>
      </c>
    </row>
    <row r="2" spans="1:14">
      <c r="N2" s="46" t="s">
        <v>596</v>
      </c>
    </row>
    <row r="3" spans="1:14" ht="52.8">
      <c r="A3" s="46" t="s">
        <v>985</v>
      </c>
    </row>
    <row r="5" spans="1:14" ht="39.6">
      <c r="A5" s="46" t="s">
        <v>1159</v>
      </c>
    </row>
    <row r="7" spans="1:14" ht="85.8" customHeight="1">
      <c r="A7" s="46" t="s">
        <v>1656</v>
      </c>
    </row>
    <row r="8" spans="1:14">
      <c r="A8" s="45"/>
    </row>
    <row r="9" spans="1:14" ht="42.6" customHeight="1">
      <c r="A9" s="46" t="s">
        <v>1327</v>
      </c>
    </row>
    <row r="10" spans="1:14" ht="68.400000000000006" customHeight="1">
      <c r="A10" s="71" t="s">
        <v>2121</v>
      </c>
    </row>
    <row r="11" spans="1:14" ht="15">
      <c r="A11" s="86"/>
    </row>
    <row r="12" spans="1:14" ht="26.4">
      <c r="A12" s="108" t="s">
        <v>1927</v>
      </c>
    </row>
  </sheetData>
  <customSheetViews>
    <customSheetView guid="{4FEDB3BD-111A-4B7D-AA97-E67173A5F707}" showPageBreaks="1" printArea="1" view="pageBreakPreview" showRuler="0">
      <selection activeCell="A16" sqref="A16"/>
      <pageMargins left="0.75" right="0.75" top="1" bottom="1" header="0.5" footer="0.5"/>
      <pageSetup orientation="landscape" r:id="rId1"/>
      <headerFooter alignWithMargins="0">
        <oddFooter>&amp;CPage &amp;P of &amp;N</oddFooter>
      </headerFooter>
    </customSheetView>
    <customSheetView guid="{D5FFA8DD-F2DB-47F2-B4D2-3681726B2E8F}" showPageBreaks="1" printArea="1" view="pageBreakPreview" showRuler="0">
      <selection activeCell="C3" sqref="C3:P3"/>
      <rowBreaks count="1" manualBreakCount="1">
        <brk id="12" man="1"/>
      </rowBreaks>
      <pageMargins left="0.75" right="0.75" top="1" bottom="1" header="0.5" footer="0.5"/>
      <pageSetup orientation="landscape" r:id="rId2"/>
      <headerFooter alignWithMargins="0">
        <oddFooter>&amp;CPage &amp;P of &amp;N</oddFooter>
      </headerFooter>
    </customSheetView>
    <customSheetView guid="{EFE02F7B-3837-4B0F-9646-ADE249504E9F}" showPageBreaks="1" showRuler="0" topLeftCell="A13">
      <selection activeCell="A21" sqref="A21"/>
      <pageMargins left="0.75" right="0.75" top="1" bottom="1" header="0.5" footer="0.5"/>
      <pageSetup orientation="landscape" r:id="rId3"/>
      <headerFooter alignWithMargins="0">
        <oddFooter>&amp;CPage &amp;P of &amp;N</oddFooter>
      </headerFooter>
    </customSheetView>
    <customSheetView guid="{053BE130-58A3-4F3B-945A-C2EFB15C6264}" showRuler="0">
      <selection activeCell="A7" sqref="A7"/>
      <pageMargins left="0.75" right="0.75" top="1" bottom="1" header="0.5" footer="0.5"/>
      <pageSetup orientation="landscape" r:id="rId4"/>
      <headerFooter alignWithMargins="0">
        <oddFooter>&amp;CPage &amp;P of &amp;N</oddFooter>
      </headerFooter>
    </customSheetView>
    <customSheetView guid="{F5DBE5B9-A9E4-4030-888B-08F930ECBB74}" showPageBreaks="1" showRuler="0" topLeftCell="A13">
      <selection activeCell="A21" sqref="A21"/>
      <pageMargins left="0.75" right="0.75" top="1" bottom="1" header="0.5" footer="0.5"/>
      <pageSetup orientation="landscape" r:id="rId5"/>
      <headerFooter alignWithMargins="0">
        <oddFooter>&amp;CPage &amp;P of &amp;N</oddFooter>
      </headerFooter>
    </customSheetView>
    <customSheetView guid="{960FB4AF-B150-4523-972C-3F7C93F049F3}" showPageBreaks="1" printArea="1" view="pageBreakPreview" showRuler="0">
      <selection activeCell="A16" sqref="A16"/>
      <pageMargins left="0.75" right="0.75" top="1" bottom="1" header="0.5" footer="0.5"/>
      <pageSetup orientation="landscape" r:id="rId6"/>
      <headerFooter alignWithMargins="0">
        <oddFooter>&amp;CPage &amp;P of &amp;N</oddFooter>
      </headerFooter>
    </customSheetView>
    <customSheetView guid="{DF3BD4C9-2986-4236-8E90-D96736404377}" showPageBreaks="1" printArea="1" view="pageBreakPreview" showRuler="0">
      <selection activeCell="A16" sqref="A16"/>
      <pageMargins left="0.75" right="0.75" top="1" bottom="1" header="0.5" footer="0.5"/>
      <pageSetup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L2"/>
  <sheetViews>
    <sheetView showGridLines="0" zoomScale="115" zoomScaleNormal="115" zoomScaleSheetLayoutView="100" workbookViewId="0">
      <selection sqref="A1:L1"/>
    </sheetView>
  </sheetViews>
  <sheetFormatPr defaultRowHeight="13.2"/>
  <sheetData>
    <row r="1" spans="1:12" ht="15.6">
      <c r="A1" s="779" t="s">
        <v>65</v>
      </c>
      <c r="B1" s="780"/>
      <c r="C1" s="780"/>
      <c r="D1" s="780"/>
      <c r="E1" s="780"/>
      <c r="F1" s="780"/>
      <c r="G1" s="780"/>
      <c r="H1" s="780"/>
      <c r="I1" s="780"/>
      <c r="J1" s="780"/>
      <c r="K1" s="780"/>
      <c r="L1" s="781"/>
    </row>
    <row r="2" spans="1:12" ht="129.6" customHeight="1" thickBot="1">
      <c r="A2" s="782" t="s">
        <v>1102</v>
      </c>
      <c r="B2" s="783"/>
      <c r="C2" s="783"/>
      <c r="D2" s="783"/>
      <c r="E2" s="783"/>
      <c r="F2" s="783"/>
      <c r="G2" s="783"/>
      <c r="H2" s="783"/>
      <c r="I2" s="783"/>
      <c r="J2" s="783"/>
      <c r="K2" s="783"/>
      <c r="L2" s="784"/>
    </row>
  </sheetData>
  <customSheetViews>
    <customSheetView guid="{4FEDB3BD-111A-4B7D-AA97-E67173A5F707}" showPageBreaks="1" view="pageBreakPreview" showRuler="0">
      <selection activeCell="F14" sqref="F14"/>
      <pageMargins left="0.5" right="0.5" top="1" bottom="1" header="0.5" footer="0.5"/>
      <printOptions horizontalCentered="1"/>
      <pageSetup orientation="landscape" horizontalDpi="4294967292" r:id="rId1"/>
      <headerFooter alignWithMargins="0">
        <oddHeader>&amp;C&amp;"Arial,Bold"&amp;12&amp;UDisclaimer</oddHeader>
        <oddFooter>Page &amp;P of &amp;N</oddFooter>
      </headerFooter>
    </customSheetView>
    <customSheetView guid="{D5FFA8DD-F2DB-47F2-B4D2-3681726B2E8F}" showPageBreaks="1" view="pageBreakPreview" showRuler="0">
      <selection activeCell="C3" sqref="C3:P3"/>
      <pageMargins left="0.5" right="0.5" top="1" bottom="1" header="0.5" footer="0.5"/>
      <printOptions horizontalCentered="1"/>
      <pageSetup orientation="landscape" horizontalDpi="4294967292" r:id="rId2"/>
      <headerFooter alignWithMargins="0">
        <oddHeader>&amp;C&amp;"Arial,Bold"&amp;12&amp;UDisclaimer</oddHeader>
        <oddFooter>Page &amp;P of &amp;N</oddFooter>
      </headerFooter>
    </customSheetView>
    <customSheetView guid="{EFE02F7B-3837-4B0F-9646-ADE249504E9F}" showPageBreaks="1" view="pageBreakPreview" showRuler="0">
      <selection activeCell="F14" sqref="F14"/>
      <pageMargins left="0.5" right="0.5" top="1" bottom="1" header="0.5" footer="0.5"/>
      <printOptions horizontalCentered="1"/>
      <pageSetup orientation="landscape" horizontalDpi="4294967292" r:id="rId3"/>
      <headerFooter alignWithMargins="0">
        <oddHeader>&amp;C&amp;"Arial,Bold"&amp;12&amp;UDisclaimer</oddHeader>
        <oddFooter>Page &amp;P of &amp;N</oddFooter>
      </headerFooter>
    </customSheetView>
    <customSheetView guid="{053BE130-58A3-4F3B-945A-C2EFB15C6264}" showPageBreaks="1" view="pageBreakPreview" showRuler="0">
      <selection activeCell="L11" sqref="L11"/>
      <pageMargins left="0.5" right="0.5" top="1" bottom="1" header="0.5" footer="0.5"/>
      <printOptions horizontalCentered="1"/>
      <pageSetup orientation="landscape" horizontalDpi="4294967292" r:id="rId4"/>
      <headerFooter alignWithMargins="0">
        <oddHeader>&amp;C&amp;"Arial,Bold"&amp;12&amp;UDisclaimer</oddHeader>
        <oddFooter>Page &amp;P of &amp;N</oddFooter>
      </headerFooter>
    </customSheetView>
    <customSheetView guid="{F5DBE5B9-A9E4-4030-888B-08F930ECBB74}" showPageBreaks="1" view="pageBreakPreview" showRuler="0">
      <selection activeCell="F14" sqref="F14"/>
      <pageMargins left="0.5" right="0.5" top="1" bottom="1" header="0.5" footer="0.5"/>
      <printOptions horizontalCentered="1"/>
      <pageSetup orientation="landscape" horizontalDpi="4294967292" r:id="rId5"/>
      <headerFooter alignWithMargins="0">
        <oddHeader>&amp;C&amp;"Arial,Bold"&amp;12&amp;UDisclaimer</oddHeader>
        <oddFooter>Page &amp;P of &amp;N</oddFooter>
      </headerFooter>
    </customSheetView>
    <customSheetView guid="{960FB4AF-B150-4523-972C-3F7C93F049F3}" showPageBreaks="1" view="pageBreakPreview" showRuler="0">
      <selection activeCell="F14" sqref="F14"/>
      <pageMargins left="0.5" right="0.5" top="1" bottom="1" header="0.5" footer="0.5"/>
      <printOptions horizontalCentered="1"/>
      <pageSetup orientation="landscape" horizontalDpi="4294967292" r:id="rId6"/>
      <headerFooter alignWithMargins="0">
        <oddHeader>&amp;C&amp;"Arial,Bold"&amp;12&amp;UDisclaimer</oddHeader>
        <oddFooter>Page &amp;P of &amp;N</oddFooter>
      </headerFooter>
    </customSheetView>
    <customSheetView guid="{DF3BD4C9-2986-4236-8E90-D96736404377}" showPageBreaks="1" view="pageBreakPreview" showRuler="0">
      <selection activeCell="F14" sqref="F14"/>
      <pageMargins left="0.5" right="0.5" top="1" bottom="1" header="0.5" footer="0.5"/>
      <printOptions horizontalCentered="1"/>
      <pageSetup orientation="landscape" horizontalDpi="4294967292" r:id="rId7"/>
      <headerFooter alignWithMargins="0">
        <oddHeader>&amp;C&amp;"Arial,Bold"&amp;12&amp;UDisclaimer</oddHeader>
        <oddFooter>Page &amp;P of &amp;N</oddFooter>
      </headerFooter>
    </customSheetView>
  </customSheetViews>
  <mergeCells count="2">
    <mergeCell ref="A1:L1"/>
    <mergeCell ref="A2:L2"/>
  </mergeCells>
  <phoneticPr fontId="0" type="noConversion"/>
  <printOptions horizontalCentered="1" verticalCentered="1"/>
  <pageMargins left="0.75" right="0.75" top="1" bottom="1" header="0.5" footer="0.5"/>
  <pageSetup orientation="landscape" r:id="rId8"/>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N52"/>
  <sheetViews>
    <sheetView showRuler="0" view="pageBreakPreview" zoomScaleNormal="100" zoomScaleSheetLayoutView="100" workbookViewId="0"/>
  </sheetViews>
  <sheetFormatPr defaultColWidth="9.109375" defaultRowHeight="13.2"/>
  <cols>
    <col min="1" max="1" width="41" style="421" bestFit="1" customWidth="1"/>
    <col min="2" max="2" width="8.6640625" style="421" customWidth="1"/>
    <col min="3" max="3" width="7.44140625" style="421" customWidth="1"/>
    <col min="4" max="4" width="6.6640625" style="421" customWidth="1"/>
    <col min="5" max="5" width="8.6640625" style="421" customWidth="1"/>
    <col min="6" max="6" width="8.5546875" style="421" customWidth="1"/>
    <col min="7" max="7" width="8.44140625" style="421" customWidth="1"/>
    <col min="8" max="8" width="10.44140625" style="421" customWidth="1"/>
    <col min="9" max="9" width="10.6640625" style="421" customWidth="1"/>
    <col min="10" max="10" width="5.6640625" style="421" customWidth="1"/>
    <col min="11" max="11" width="16.6640625" style="421" customWidth="1"/>
    <col min="12" max="12" width="9.33203125" style="421" customWidth="1"/>
    <col min="13" max="16384" width="9.109375" style="421"/>
  </cols>
  <sheetData>
    <row r="1" spans="1:14" ht="20.100000000000001" customHeight="1">
      <c r="A1" s="414" t="s">
        <v>1494</v>
      </c>
      <c r="B1" s="659" t="s">
        <v>2560</v>
      </c>
      <c r="C1" s="415"/>
      <c r="D1" s="416"/>
      <c r="E1" s="417"/>
      <c r="F1" s="418"/>
      <c r="G1" s="787" t="s">
        <v>1495</v>
      </c>
      <c r="H1" s="787"/>
      <c r="I1" s="787"/>
      <c r="J1" s="787"/>
      <c r="K1" s="787"/>
      <c r="L1" s="662" t="s">
        <v>20</v>
      </c>
      <c r="M1" s="419"/>
      <c r="N1" s="420"/>
    </row>
    <row r="2" spans="1:14" ht="20.100000000000001" customHeight="1">
      <c r="A2" s="422" t="s">
        <v>2054</v>
      </c>
      <c r="B2" s="660" t="s">
        <v>2055</v>
      </c>
      <c r="C2" s="423"/>
      <c r="D2" s="423"/>
      <c r="E2" s="423"/>
      <c r="F2" s="423"/>
      <c r="G2" s="423"/>
      <c r="J2" s="424"/>
      <c r="K2" s="425" t="s">
        <v>2056</v>
      </c>
      <c r="L2" s="663" t="s">
        <v>2057</v>
      </c>
      <c r="M2" s="426"/>
      <c r="N2" s="427"/>
    </row>
    <row r="3" spans="1:14" ht="20.100000000000001" customHeight="1">
      <c r="A3" s="422" t="s">
        <v>1496</v>
      </c>
      <c r="B3" s="661" t="s">
        <v>2058</v>
      </c>
      <c r="C3" s="428"/>
      <c r="D3" s="428"/>
      <c r="E3" s="428"/>
      <c r="F3" s="428"/>
      <c r="G3" s="428"/>
      <c r="H3" s="428"/>
      <c r="I3" s="428"/>
      <c r="J3" s="428"/>
      <c r="K3" s="428"/>
      <c r="L3" s="428"/>
      <c r="N3" s="427"/>
    </row>
    <row r="4" spans="1:14" ht="20.100000000000001" customHeight="1">
      <c r="A4" s="422" t="s">
        <v>1491</v>
      </c>
      <c r="B4" s="788"/>
      <c r="C4" s="788"/>
      <c r="D4" s="789" t="s">
        <v>1492</v>
      </c>
      <c r="E4" s="789"/>
      <c r="F4" s="788"/>
      <c r="G4" s="788"/>
      <c r="H4" s="789" t="s">
        <v>1497</v>
      </c>
      <c r="I4" s="789"/>
      <c r="J4" s="429"/>
      <c r="K4" s="430" t="s">
        <v>1498</v>
      </c>
      <c r="N4" s="427"/>
    </row>
    <row r="5" spans="1:14" ht="20.100000000000001" customHeight="1">
      <c r="A5" s="422" t="s">
        <v>1493</v>
      </c>
      <c r="B5" s="790"/>
      <c r="C5" s="790"/>
      <c r="D5" s="789" t="s">
        <v>1499</v>
      </c>
      <c r="E5" s="789"/>
      <c r="F5" s="791"/>
      <c r="G5" s="791"/>
      <c r="H5" s="421" t="s">
        <v>2059</v>
      </c>
      <c r="J5" s="431"/>
      <c r="K5" s="432" t="s">
        <v>1504</v>
      </c>
      <c r="L5" s="433"/>
      <c r="M5" s="421" t="s">
        <v>1500</v>
      </c>
      <c r="N5" s="427"/>
    </row>
    <row r="6" spans="1:14" ht="20.100000000000001" customHeight="1">
      <c r="A6" s="422" t="s">
        <v>1501</v>
      </c>
      <c r="B6" s="429"/>
      <c r="C6" s="800" t="s">
        <v>1502</v>
      </c>
      <c r="D6" s="800"/>
      <c r="E6" s="789" t="s">
        <v>21</v>
      </c>
      <c r="F6" s="789"/>
      <c r="G6" s="789"/>
      <c r="H6" s="789"/>
      <c r="I6" s="434"/>
      <c r="J6" s="431"/>
      <c r="K6" s="432" t="s">
        <v>1503</v>
      </c>
      <c r="L6" s="435"/>
      <c r="M6" s="421" t="s">
        <v>2060</v>
      </c>
      <c r="N6" s="427"/>
    </row>
    <row r="7" spans="1:14" ht="20.100000000000001" customHeight="1">
      <c r="A7" s="422" t="s">
        <v>1508</v>
      </c>
      <c r="B7" s="799"/>
      <c r="C7" s="799"/>
      <c r="E7" s="789" t="s">
        <v>2366</v>
      </c>
      <c r="F7" s="789"/>
      <c r="G7" s="435"/>
      <c r="H7" s="426"/>
      <c r="J7" s="789" t="s">
        <v>270</v>
      </c>
      <c r="K7" s="789"/>
      <c r="L7" s="436"/>
      <c r="N7" s="427"/>
    </row>
    <row r="8" spans="1:14" ht="20.100000000000001" customHeight="1">
      <c r="A8" s="422" t="s">
        <v>2061</v>
      </c>
      <c r="B8" s="798" t="s">
        <v>2062</v>
      </c>
      <c r="C8" s="799"/>
      <c r="D8" s="799"/>
      <c r="E8" s="799"/>
      <c r="F8" s="789" t="s">
        <v>2063</v>
      </c>
      <c r="G8" s="789"/>
      <c r="H8" s="789"/>
      <c r="I8" s="798" t="s">
        <v>2062</v>
      </c>
      <c r="J8" s="799"/>
      <c r="K8" s="799"/>
      <c r="L8" s="799"/>
      <c r="N8" s="427"/>
    </row>
    <row r="9" spans="1:14" ht="20.100000000000001" customHeight="1">
      <c r="A9" s="437"/>
      <c r="B9" s="798" t="s">
        <v>2064</v>
      </c>
      <c r="C9" s="799"/>
      <c r="D9" s="799"/>
      <c r="E9" s="799"/>
      <c r="F9" s="438"/>
      <c r="I9" s="798" t="s">
        <v>2064</v>
      </c>
      <c r="J9" s="799"/>
      <c r="K9" s="799"/>
      <c r="L9" s="799"/>
      <c r="N9" s="427"/>
    </row>
    <row r="10" spans="1:14" ht="20.100000000000001" customHeight="1">
      <c r="A10" s="437"/>
      <c r="B10" s="798" t="s">
        <v>1505</v>
      </c>
      <c r="C10" s="798"/>
      <c r="D10" s="798"/>
      <c r="E10" s="798"/>
      <c r="F10" s="438"/>
      <c r="I10" s="798" t="s">
        <v>1505</v>
      </c>
      <c r="J10" s="799"/>
      <c r="K10" s="799"/>
      <c r="L10" s="799"/>
      <c r="N10" s="427"/>
    </row>
    <row r="11" spans="1:14" ht="20.100000000000001" customHeight="1">
      <c r="A11" s="437"/>
      <c r="B11" s="798" t="s">
        <v>1506</v>
      </c>
      <c r="C11" s="799"/>
      <c r="D11" s="799"/>
      <c r="E11" s="799"/>
      <c r="F11" s="438"/>
      <c r="I11" s="798" t="s">
        <v>1506</v>
      </c>
      <c r="J11" s="799"/>
      <c r="K11" s="799"/>
      <c r="L11" s="799"/>
      <c r="N11" s="427"/>
    </row>
    <row r="12" spans="1:14" ht="20.100000000000001" customHeight="1">
      <c r="A12" s="437"/>
      <c r="B12" s="798" t="s">
        <v>1507</v>
      </c>
      <c r="C12" s="799"/>
      <c r="D12" s="799"/>
      <c r="E12" s="799"/>
      <c r="F12" s="438"/>
      <c r="I12" s="798" t="s">
        <v>1507</v>
      </c>
      <c r="J12" s="799"/>
      <c r="K12" s="799"/>
      <c r="L12" s="799"/>
      <c r="N12" s="427"/>
    </row>
    <row r="13" spans="1:14" ht="6" customHeight="1">
      <c r="A13" s="437"/>
      <c r="J13" s="439"/>
      <c r="N13" s="427"/>
    </row>
    <row r="14" spans="1:14" ht="20.100000000000001" customHeight="1">
      <c r="A14" s="422" t="s">
        <v>589</v>
      </c>
      <c r="B14" s="429"/>
      <c r="C14" s="421" t="s">
        <v>2065</v>
      </c>
      <c r="F14" s="430"/>
      <c r="G14" s="432" t="s">
        <v>2066</v>
      </c>
      <c r="H14" s="440"/>
      <c r="I14" s="441"/>
      <c r="J14" s="430" t="s">
        <v>2400</v>
      </c>
      <c r="L14" s="440"/>
      <c r="N14" s="427"/>
    </row>
    <row r="15" spans="1:14" ht="6" customHeight="1" thickBot="1">
      <c r="A15" s="437"/>
      <c r="N15" s="427"/>
    </row>
    <row r="16" spans="1:14" s="442" customFormat="1" ht="21" customHeight="1">
      <c r="A16" s="792" t="s">
        <v>2067</v>
      </c>
      <c r="B16" s="794" t="s">
        <v>2068</v>
      </c>
      <c r="C16" s="794"/>
      <c r="D16" s="794"/>
      <c r="E16" s="794"/>
      <c r="F16" s="794"/>
      <c r="G16" s="794"/>
      <c r="H16" s="794"/>
      <c r="I16" s="794" t="s">
        <v>2069</v>
      </c>
      <c r="J16" s="794"/>
      <c r="K16" s="794"/>
      <c r="L16" s="794"/>
      <c r="M16" s="794"/>
      <c r="N16" s="795"/>
    </row>
    <row r="17" spans="1:14" s="442" customFormat="1" ht="21" customHeight="1" thickBot="1">
      <c r="A17" s="793"/>
      <c r="B17" s="796" t="s">
        <v>2070</v>
      </c>
      <c r="C17" s="796"/>
      <c r="D17" s="796"/>
      <c r="E17" s="796"/>
      <c r="F17" s="796" t="s">
        <v>1833</v>
      </c>
      <c r="G17" s="796"/>
      <c r="H17" s="796"/>
      <c r="I17" s="796" t="s">
        <v>2070</v>
      </c>
      <c r="J17" s="796"/>
      <c r="K17" s="796"/>
      <c r="L17" s="796" t="s">
        <v>1833</v>
      </c>
      <c r="M17" s="796"/>
      <c r="N17" s="797"/>
    </row>
    <row r="18" spans="1:14" ht="15" customHeight="1" thickTop="1">
      <c r="A18" s="443" t="s">
        <v>2071</v>
      </c>
      <c r="B18" s="801" t="s">
        <v>2072</v>
      </c>
      <c r="C18" s="801"/>
      <c r="D18" s="801"/>
      <c r="E18" s="801"/>
      <c r="F18" s="801" t="s">
        <v>2073</v>
      </c>
      <c r="G18" s="801"/>
      <c r="H18" s="801"/>
      <c r="I18" s="801" t="s">
        <v>2072</v>
      </c>
      <c r="J18" s="801"/>
      <c r="K18" s="801"/>
      <c r="L18" s="801" t="s">
        <v>2073</v>
      </c>
      <c r="M18" s="801"/>
      <c r="N18" s="802"/>
    </row>
    <row r="19" spans="1:14" ht="15" customHeight="1">
      <c r="A19" s="444" t="s">
        <v>2002</v>
      </c>
      <c r="B19" s="785" t="s">
        <v>2072</v>
      </c>
      <c r="C19" s="785"/>
      <c r="D19" s="785"/>
      <c r="E19" s="785"/>
      <c r="F19" s="785" t="s">
        <v>2073</v>
      </c>
      <c r="G19" s="785"/>
      <c r="H19" s="785"/>
      <c r="I19" s="785" t="s">
        <v>2072</v>
      </c>
      <c r="J19" s="785"/>
      <c r="K19" s="785"/>
      <c r="L19" s="785" t="s">
        <v>2073</v>
      </c>
      <c r="M19" s="785"/>
      <c r="N19" s="786"/>
    </row>
    <row r="20" spans="1:14" ht="15" customHeight="1">
      <c r="A20" s="445" t="s">
        <v>2001</v>
      </c>
      <c r="B20" s="785" t="s">
        <v>2072</v>
      </c>
      <c r="C20" s="785"/>
      <c r="D20" s="785"/>
      <c r="E20" s="785"/>
      <c r="F20" s="785" t="s">
        <v>2073</v>
      </c>
      <c r="G20" s="785"/>
      <c r="H20" s="785"/>
      <c r="I20" s="785" t="s">
        <v>2072</v>
      </c>
      <c r="J20" s="785"/>
      <c r="K20" s="785"/>
      <c r="L20" s="785" t="s">
        <v>2073</v>
      </c>
      <c r="M20" s="785"/>
      <c r="N20" s="786"/>
    </row>
    <row r="21" spans="1:14" ht="15" customHeight="1">
      <c r="A21" s="445" t="s">
        <v>2130</v>
      </c>
      <c r="B21" s="785" t="s">
        <v>2072</v>
      </c>
      <c r="C21" s="785"/>
      <c r="D21" s="785"/>
      <c r="E21" s="785"/>
      <c r="F21" s="785" t="s">
        <v>2073</v>
      </c>
      <c r="G21" s="785"/>
      <c r="H21" s="785"/>
      <c r="I21" s="785" t="s">
        <v>2072</v>
      </c>
      <c r="J21" s="785"/>
      <c r="K21" s="785"/>
      <c r="L21" s="785" t="s">
        <v>2073</v>
      </c>
      <c r="M21" s="785"/>
      <c r="N21" s="786"/>
    </row>
    <row r="22" spans="1:14" ht="15" customHeight="1">
      <c r="A22" s="445" t="s">
        <v>2004</v>
      </c>
      <c r="B22" s="785" t="s">
        <v>2072</v>
      </c>
      <c r="C22" s="785"/>
      <c r="D22" s="785"/>
      <c r="E22" s="785"/>
      <c r="F22" s="785" t="s">
        <v>2073</v>
      </c>
      <c r="G22" s="785"/>
      <c r="H22" s="785"/>
      <c r="I22" s="785" t="s">
        <v>2072</v>
      </c>
      <c r="J22" s="785"/>
      <c r="K22" s="785"/>
      <c r="L22" s="785" t="s">
        <v>2073</v>
      </c>
      <c r="M22" s="785"/>
      <c r="N22" s="786"/>
    </row>
    <row r="23" spans="1:14" ht="15" customHeight="1">
      <c r="A23" s="445" t="s">
        <v>3192</v>
      </c>
      <c r="B23" s="785" t="s">
        <v>2072</v>
      </c>
      <c r="C23" s="785"/>
      <c r="D23" s="785"/>
      <c r="E23" s="785"/>
      <c r="F23" s="785" t="s">
        <v>2073</v>
      </c>
      <c r="G23" s="785"/>
      <c r="H23" s="785"/>
      <c r="I23" s="785" t="s">
        <v>2072</v>
      </c>
      <c r="J23" s="785"/>
      <c r="K23" s="785"/>
      <c r="L23" s="785" t="s">
        <v>2073</v>
      </c>
      <c r="M23" s="785"/>
      <c r="N23" s="786"/>
    </row>
    <row r="24" spans="1:14" ht="15" customHeight="1">
      <c r="A24" s="445" t="s">
        <v>2008</v>
      </c>
      <c r="B24" s="785" t="s">
        <v>2072</v>
      </c>
      <c r="C24" s="785"/>
      <c r="D24" s="785"/>
      <c r="E24" s="785"/>
      <c r="F24" s="785" t="s">
        <v>2073</v>
      </c>
      <c r="G24" s="785"/>
      <c r="H24" s="785"/>
      <c r="I24" s="785" t="s">
        <v>2072</v>
      </c>
      <c r="J24" s="785"/>
      <c r="K24" s="785"/>
      <c r="L24" s="785" t="s">
        <v>2073</v>
      </c>
      <c r="M24" s="785"/>
      <c r="N24" s="786"/>
    </row>
    <row r="25" spans="1:14" ht="15" customHeight="1">
      <c r="A25" s="444" t="s">
        <v>2401</v>
      </c>
      <c r="B25" s="785" t="s">
        <v>2072</v>
      </c>
      <c r="C25" s="785"/>
      <c r="D25" s="785"/>
      <c r="E25" s="785"/>
      <c r="F25" s="785" t="s">
        <v>2073</v>
      </c>
      <c r="G25" s="785"/>
      <c r="H25" s="785"/>
      <c r="I25" s="785" t="s">
        <v>2072</v>
      </c>
      <c r="J25" s="785"/>
      <c r="K25" s="785"/>
      <c r="L25" s="785" t="s">
        <v>2073</v>
      </c>
      <c r="M25" s="785"/>
      <c r="N25" s="786"/>
    </row>
    <row r="26" spans="1:14" ht="15" customHeight="1">
      <c r="A26" s="444" t="s">
        <v>2074</v>
      </c>
      <c r="B26" s="785" t="s">
        <v>2072</v>
      </c>
      <c r="C26" s="785"/>
      <c r="D26" s="785"/>
      <c r="E26" s="785"/>
      <c r="F26" s="785" t="s">
        <v>2073</v>
      </c>
      <c r="G26" s="785"/>
      <c r="H26" s="785"/>
      <c r="I26" s="785" t="s">
        <v>2072</v>
      </c>
      <c r="J26" s="785"/>
      <c r="K26" s="785"/>
      <c r="L26" s="785" t="s">
        <v>2073</v>
      </c>
      <c r="M26" s="785"/>
      <c r="N26" s="786"/>
    </row>
    <row r="27" spans="1:14" ht="15" customHeight="1">
      <c r="A27" s="444" t="s">
        <v>3193</v>
      </c>
      <c r="B27" s="785" t="s">
        <v>2072</v>
      </c>
      <c r="C27" s="785"/>
      <c r="D27" s="785"/>
      <c r="E27" s="785"/>
      <c r="F27" s="785" t="s">
        <v>2073</v>
      </c>
      <c r="G27" s="785"/>
      <c r="H27" s="785"/>
      <c r="I27" s="785" t="s">
        <v>2072</v>
      </c>
      <c r="J27" s="785"/>
      <c r="K27" s="785"/>
      <c r="L27" s="785" t="s">
        <v>2073</v>
      </c>
      <c r="M27" s="785"/>
      <c r="N27" s="786"/>
    </row>
    <row r="28" spans="1:14" ht="15" customHeight="1">
      <c r="A28" s="444" t="s">
        <v>2075</v>
      </c>
      <c r="B28" s="785" t="s">
        <v>2072</v>
      </c>
      <c r="C28" s="785"/>
      <c r="D28" s="785"/>
      <c r="E28" s="785"/>
      <c r="F28" s="785" t="s">
        <v>2073</v>
      </c>
      <c r="G28" s="785"/>
      <c r="H28" s="785"/>
      <c r="I28" s="785" t="s">
        <v>2072</v>
      </c>
      <c r="J28" s="785"/>
      <c r="K28" s="785"/>
      <c r="L28" s="785" t="s">
        <v>2073</v>
      </c>
      <c r="M28" s="785"/>
      <c r="N28" s="786"/>
    </row>
    <row r="29" spans="1:14" ht="15" customHeight="1">
      <c r="A29" s="444" t="s">
        <v>2076</v>
      </c>
      <c r="B29" s="785" t="s">
        <v>2072</v>
      </c>
      <c r="C29" s="785"/>
      <c r="D29" s="785"/>
      <c r="E29" s="785"/>
      <c r="F29" s="785" t="s">
        <v>2073</v>
      </c>
      <c r="G29" s="785"/>
      <c r="H29" s="785"/>
      <c r="I29" s="785" t="s">
        <v>2072</v>
      </c>
      <c r="J29" s="785"/>
      <c r="K29" s="785"/>
      <c r="L29" s="785" t="s">
        <v>2073</v>
      </c>
      <c r="M29" s="785"/>
      <c r="N29" s="786"/>
    </row>
    <row r="30" spans="1:14" ht="15" customHeight="1">
      <c r="A30" s="444" t="s">
        <v>2077</v>
      </c>
      <c r="B30" s="785" t="s">
        <v>2072</v>
      </c>
      <c r="C30" s="785"/>
      <c r="D30" s="785"/>
      <c r="E30" s="785"/>
      <c r="F30" s="785" t="s">
        <v>2073</v>
      </c>
      <c r="G30" s="785"/>
      <c r="H30" s="785"/>
      <c r="I30" s="785" t="s">
        <v>2072</v>
      </c>
      <c r="J30" s="785"/>
      <c r="K30" s="785"/>
      <c r="L30" s="785" t="s">
        <v>2073</v>
      </c>
      <c r="M30" s="785"/>
      <c r="N30" s="786"/>
    </row>
    <row r="31" spans="1:14" ht="15" customHeight="1">
      <c r="A31" s="445" t="s">
        <v>2078</v>
      </c>
      <c r="B31" s="785" t="s">
        <v>2072</v>
      </c>
      <c r="C31" s="785"/>
      <c r="D31" s="785"/>
      <c r="E31" s="785"/>
      <c r="F31" s="785" t="s">
        <v>2073</v>
      </c>
      <c r="G31" s="785"/>
      <c r="H31" s="785"/>
      <c r="I31" s="785" t="s">
        <v>2072</v>
      </c>
      <c r="J31" s="785"/>
      <c r="K31" s="785"/>
      <c r="L31" s="785" t="s">
        <v>2073</v>
      </c>
      <c r="M31" s="785"/>
      <c r="N31" s="786"/>
    </row>
    <row r="32" spans="1:14" ht="15" customHeight="1">
      <c r="A32" s="444" t="s">
        <v>2079</v>
      </c>
      <c r="B32" s="785" t="s">
        <v>2072</v>
      </c>
      <c r="C32" s="785"/>
      <c r="D32" s="785"/>
      <c r="E32" s="785"/>
      <c r="F32" s="785" t="s">
        <v>2073</v>
      </c>
      <c r="G32" s="785"/>
      <c r="H32" s="785"/>
      <c r="I32" s="785" t="s">
        <v>2072</v>
      </c>
      <c r="J32" s="785"/>
      <c r="K32" s="785"/>
      <c r="L32" s="785" t="s">
        <v>2073</v>
      </c>
      <c r="M32" s="785"/>
      <c r="N32" s="786"/>
    </row>
    <row r="33" spans="1:14" ht="15" customHeight="1">
      <c r="A33" s="446" t="s">
        <v>2080</v>
      </c>
      <c r="B33" s="785" t="s">
        <v>2072</v>
      </c>
      <c r="C33" s="785"/>
      <c r="D33" s="785"/>
      <c r="E33" s="785"/>
      <c r="F33" s="785" t="s">
        <v>2073</v>
      </c>
      <c r="G33" s="785"/>
      <c r="H33" s="785"/>
      <c r="I33" s="785" t="s">
        <v>2072</v>
      </c>
      <c r="J33" s="785"/>
      <c r="K33" s="785"/>
      <c r="L33" s="785" t="s">
        <v>2073</v>
      </c>
      <c r="M33" s="785"/>
      <c r="N33" s="786"/>
    </row>
    <row r="34" spans="1:14" ht="15" customHeight="1">
      <c r="A34" s="446" t="s">
        <v>2081</v>
      </c>
      <c r="B34" s="785" t="s">
        <v>2072</v>
      </c>
      <c r="C34" s="785"/>
      <c r="D34" s="785"/>
      <c r="E34" s="785"/>
      <c r="F34" s="785" t="s">
        <v>2073</v>
      </c>
      <c r="G34" s="785"/>
      <c r="H34" s="785"/>
      <c r="I34" s="785" t="s">
        <v>2072</v>
      </c>
      <c r="J34" s="785"/>
      <c r="K34" s="785"/>
      <c r="L34" s="785" t="s">
        <v>2073</v>
      </c>
      <c r="M34" s="785"/>
      <c r="N34" s="786"/>
    </row>
    <row r="35" spans="1:14" ht="15" customHeight="1">
      <c r="A35" s="446" t="s">
        <v>2082</v>
      </c>
      <c r="B35" s="785" t="s">
        <v>2072</v>
      </c>
      <c r="C35" s="785"/>
      <c r="D35" s="785"/>
      <c r="E35" s="785"/>
      <c r="F35" s="785" t="s">
        <v>2073</v>
      </c>
      <c r="G35" s="785"/>
      <c r="H35" s="785"/>
      <c r="I35" s="785" t="s">
        <v>2072</v>
      </c>
      <c r="J35" s="785"/>
      <c r="K35" s="785"/>
      <c r="L35" s="785" t="s">
        <v>2073</v>
      </c>
      <c r="M35" s="785"/>
      <c r="N35" s="786"/>
    </row>
    <row r="36" spans="1:14" ht="15" customHeight="1">
      <c r="A36" s="446" t="s">
        <v>2083</v>
      </c>
      <c r="B36" s="785" t="s">
        <v>2072</v>
      </c>
      <c r="C36" s="785"/>
      <c r="D36" s="785"/>
      <c r="E36" s="785"/>
      <c r="F36" s="785" t="s">
        <v>2073</v>
      </c>
      <c r="G36" s="785"/>
      <c r="H36" s="785"/>
      <c r="I36" s="785" t="s">
        <v>2072</v>
      </c>
      <c r="J36" s="785"/>
      <c r="K36" s="785"/>
      <c r="L36" s="785" t="s">
        <v>2073</v>
      </c>
      <c r="M36" s="785"/>
      <c r="N36" s="786"/>
    </row>
    <row r="37" spans="1:14" ht="15" customHeight="1">
      <c r="A37" s="446" t="s">
        <v>2084</v>
      </c>
      <c r="B37" s="785" t="s">
        <v>2072</v>
      </c>
      <c r="C37" s="785"/>
      <c r="D37" s="785"/>
      <c r="E37" s="785"/>
      <c r="F37" s="785" t="s">
        <v>2073</v>
      </c>
      <c r="G37" s="785"/>
      <c r="H37" s="785"/>
      <c r="I37" s="785" t="s">
        <v>2072</v>
      </c>
      <c r="J37" s="785"/>
      <c r="K37" s="785"/>
      <c r="L37" s="785" t="s">
        <v>2073</v>
      </c>
      <c r="M37" s="785"/>
      <c r="N37" s="786"/>
    </row>
    <row r="38" spans="1:14" ht="15" customHeight="1">
      <c r="A38" s="444" t="s">
        <v>2085</v>
      </c>
      <c r="B38" s="785" t="s">
        <v>2072</v>
      </c>
      <c r="C38" s="785"/>
      <c r="D38" s="785"/>
      <c r="E38" s="785"/>
      <c r="F38" s="785" t="s">
        <v>2073</v>
      </c>
      <c r="G38" s="785"/>
      <c r="H38" s="785"/>
      <c r="I38" s="785" t="s">
        <v>2072</v>
      </c>
      <c r="J38" s="785"/>
      <c r="K38" s="785"/>
      <c r="L38" s="785" t="s">
        <v>2073</v>
      </c>
      <c r="M38" s="785"/>
      <c r="N38" s="786"/>
    </row>
    <row r="39" spans="1:14" ht="15" customHeight="1">
      <c r="A39" s="444" t="s">
        <v>2086</v>
      </c>
      <c r="B39" s="785" t="s">
        <v>2072</v>
      </c>
      <c r="C39" s="785"/>
      <c r="D39" s="785"/>
      <c r="E39" s="785"/>
      <c r="F39" s="785" t="s">
        <v>2073</v>
      </c>
      <c r="G39" s="785"/>
      <c r="H39" s="785"/>
      <c r="I39" s="785" t="s">
        <v>2072</v>
      </c>
      <c r="J39" s="785"/>
      <c r="K39" s="785"/>
      <c r="L39" s="785" t="s">
        <v>2073</v>
      </c>
      <c r="M39" s="785"/>
      <c r="N39" s="786"/>
    </row>
    <row r="40" spans="1:14" ht="15" customHeight="1">
      <c r="A40" s="444" t="s">
        <v>2087</v>
      </c>
      <c r="B40" s="785" t="s">
        <v>2072</v>
      </c>
      <c r="C40" s="785"/>
      <c r="D40" s="785"/>
      <c r="E40" s="785"/>
      <c r="F40" s="785" t="s">
        <v>2073</v>
      </c>
      <c r="G40" s="785"/>
      <c r="H40" s="785"/>
      <c r="I40" s="785" t="s">
        <v>2072</v>
      </c>
      <c r="J40" s="785"/>
      <c r="K40" s="785"/>
      <c r="L40" s="785" t="s">
        <v>2073</v>
      </c>
      <c r="M40" s="785"/>
      <c r="N40" s="786"/>
    </row>
    <row r="41" spans="1:14" ht="15" customHeight="1">
      <c r="A41" s="444" t="s">
        <v>2088</v>
      </c>
      <c r="B41" s="785" t="s">
        <v>2072</v>
      </c>
      <c r="C41" s="785"/>
      <c r="D41" s="785"/>
      <c r="E41" s="785"/>
      <c r="F41" s="785" t="s">
        <v>2073</v>
      </c>
      <c r="G41" s="785"/>
      <c r="H41" s="785"/>
      <c r="I41" s="785" t="s">
        <v>2072</v>
      </c>
      <c r="J41" s="785"/>
      <c r="K41" s="785"/>
      <c r="L41" s="785" t="s">
        <v>2073</v>
      </c>
      <c r="M41" s="785"/>
      <c r="N41" s="786"/>
    </row>
    <row r="42" spans="1:14" ht="15" customHeight="1">
      <c r="A42" s="444" t="s">
        <v>2402</v>
      </c>
      <c r="B42" s="785" t="s">
        <v>2072</v>
      </c>
      <c r="C42" s="785"/>
      <c r="D42" s="785"/>
      <c r="E42" s="785"/>
      <c r="F42" s="785" t="s">
        <v>2073</v>
      </c>
      <c r="G42" s="785"/>
      <c r="H42" s="785"/>
      <c r="I42" s="785" t="s">
        <v>2072</v>
      </c>
      <c r="J42" s="785"/>
      <c r="K42" s="785"/>
      <c r="L42" s="785" t="s">
        <v>2073</v>
      </c>
      <c r="M42" s="785"/>
      <c r="N42" s="786"/>
    </row>
    <row r="43" spans="1:14" ht="15" customHeight="1">
      <c r="A43" s="444" t="s">
        <v>2403</v>
      </c>
      <c r="B43" s="785" t="s">
        <v>2072</v>
      </c>
      <c r="C43" s="785"/>
      <c r="D43" s="785"/>
      <c r="E43" s="785"/>
      <c r="F43" s="785" t="s">
        <v>2073</v>
      </c>
      <c r="G43" s="785"/>
      <c r="H43" s="785"/>
      <c r="I43" s="785" t="s">
        <v>2072</v>
      </c>
      <c r="J43" s="785"/>
      <c r="K43" s="785"/>
      <c r="L43" s="785" t="s">
        <v>2073</v>
      </c>
      <c r="M43" s="785"/>
      <c r="N43" s="786"/>
    </row>
    <row r="44" spans="1:14" ht="15" customHeight="1">
      <c r="A44" s="444" t="s">
        <v>2089</v>
      </c>
      <c r="B44" s="785" t="s">
        <v>2072</v>
      </c>
      <c r="C44" s="785"/>
      <c r="D44" s="785"/>
      <c r="E44" s="785"/>
      <c r="F44" s="785" t="s">
        <v>2073</v>
      </c>
      <c r="G44" s="785"/>
      <c r="H44" s="785"/>
      <c r="I44" s="785" t="s">
        <v>2072</v>
      </c>
      <c r="J44" s="785"/>
      <c r="K44" s="785"/>
      <c r="L44" s="785" t="s">
        <v>2073</v>
      </c>
      <c r="M44" s="785"/>
      <c r="N44" s="786"/>
    </row>
    <row r="45" spans="1:14" ht="15" customHeight="1">
      <c r="A45" s="444" t="s">
        <v>2090</v>
      </c>
      <c r="B45" s="785" t="s">
        <v>2072</v>
      </c>
      <c r="C45" s="785"/>
      <c r="D45" s="785"/>
      <c r="E45" s="785"/>
      <c r="F45" s="785" t="s">
        <v>2073</v>
      </c>
      <c r="G45" s="785"/>
      <c r="H45" s="785"/>
      <c r="I45" s="785" t="s">
        <v>2072</v>
      </c>
      <c r="J45" s="785"/>
      <c r="K45" s="785"/>
      <c r="L45" s="785" t="s">
        <v>2073</v>
      </c>
      <c r="M45" s="785"/>
      <c r="N45" s="786"/>
    </row>
    <row r="46" spans="1:14" ht="15" customHeight="1">
      <c r="A46" s="444" t="s">
        <v>2091</v>
      </c>
      <c r="B46" s="785" t="s">
        <v>2072</v>
      </c>
      <c r="C46" s="785"/>
      <c r="D46" s="785"/>
      <c r="E46" s="785"/>
      <c r="F46" s="785" t="s">
        <v>2073</v>
      </c>
      <c r="G46" s="785"/>
      <c r="H46" s="785"/>
      <c r="I46" s="785" t="s">
        <v>2072</v>
      </c>
      <c r="J46" s="785"/>
      <c r="K46" s="785"/>
      <c r="L46" s="785" t="s">
        <v>2073</v>
      </c>
      <c r="M46" s="785"/>
      <c r="N46" s="786"/>
    </row>
    <row r="47" spans="1:14" ht="15" customHeight="1">
      <c r="A47" s="444" t="s">
        <v>2092</v>
      </c>
      <c r="B47" s="785" t="s">
        <v>2072</v>
      </c>
      <c r="C47" s="785"/>
      <c r="D47" s="785"/>
      <c r="E47" s="785"/>
      <c r="F47" s="785" t="s">
        <v>2073</v>
      </c>
      <c r="G47" s="785"/>
      <c r="H47" s="785"/>
      <c r="I47" s="785" t="s">
        <v>2072</v>
      </c>
      <c r="J47" s="785"/>
      <c r="K47" s="785"/>
      <c r="L47" s="785" t="s">
        <v>2073</v>
      </c>
      <c r="M47" s="785"/>
      <c r="N47" s="786"/>
    </row>
    <row r="48" spans="1:14" ht="15" customHeight="1">
      <c r="A48" s="444" t="s">
        <v>2093</v>
      </c>
      <c r="B48" s="785" t="s">
        <v>2072</v>
      </c>
      <c r="C48" s="785"/>
      <c r="D48" s="785"/>
      <c r="E48" s="785"/>
      <c r="F48" s="785" t="s">
        <v>2073</v>
      </c>
      <c r="G48" s="785"/>
      <c r="H48" s="785"/>
      <c r="I48" s="785" t="s">
        <v>2072</v>
      </c>
      <c r="J48" s="785"/>
      <c r="K48" s="785"/>
      <c r="L48" s="785" t="s">
        <v>2073</v>
      </c>
      <c r="M48" s="785"/>
      <c r="N48" s="786"/>
    </row>
    <row r="49" spans="1:14" ht="15" customHeight="1">
      <c r="A49" s="444" t="s">
        <v>2094</v>
      </c>
      <c r="B49" s="785" t="s">
        <v>2072</v>
      </c>
      <c r="C49" s="785"/>
      <c r="D49" s="785"/>
      <c r="E49" s="785"/>
      <c r="F49" s="785" t="s">
        <v>2073</v>
      </c>
      <c r="G49" s="785"/>
      <c r="H49" s="785"/>
      <c r="I49" s="785" t="s">
        <v>2072</v>
      </c>
      <c r="J49" s="785"/>
      <c r="K49" s="785"/>
      <c r="L49" s="785" t="s">
        <v>2073</v>
      </c>
      <c r="M49" s="785"/>
      <c r="N49" s="786"/>
    </row>
    <row r="50" spans="1:14" ht="15" customHeight="1">
      <c r="A50" s="444" t="s">
        <v>2095</v>
      </c>
      <c r="B50" s="785" t="s">
        <v>2072</v>
      </c>
      <c r="C50" s="785"/>
      <c r="D50" s="785"/>
      <c r="E50" s="785"/>
      <c r="F50" s="785" t="s">
        <v>2073</v>
      </c>
      <c r="G50" s="785"/>
      <c r="H50" s="785"/>
      <c r="I50" s="785" t="s">
        <v>2072</v>
      </c>
      <c r="J50" s="785"/>
      <c r="K50" s="785"/>
      <c r="L50" s="785" t="s">
        <v>2073</v>
      </c>
      <c r="M50" s="785"/>
      <c r="N50" s="786"/>
    </row>
    <row r="51" spans="1:14" ht="15" customHeight="1">
      <c r="A51" s="444" t="s">
        <v>2096</v>
      </c>
      <c r="B51" s="785" t="s">
        <v>2072</v>
      </c>
      <c r="C51" s="785"/>
      <c r="D51" s="785"/>
      <c r="E51" s="785"/>
      <c r="F51" s="785" t="s">
        <v>2073</v>
      </c>
      <c r="G51" s="785"/>
      <c r="H51" s="785"/>
      <c r="I51" s="785" t="s">
        <v>2072</v>
      </c>
      <c r="J51" s="785"/>
      <c r="K51" s="785"/>
      <c r="L51" s="785" t="s">
        <v>2073</v>
      </c>
      <c r="M51" s="785"/>
      <c r="N51" s="786"/>
    </row>
    <row r="52" spans="1:14" ht="15" customHeight="1">
      <c r="A52" s="444" t="s">
        <v>2097</v>
      </c>
      <c r="B52" s="785" t="s">
        <v>2072</v>
      </c>
      <c r="C52" s="785"/>
      <c r="D52" s="785"/>
      <c r="E52" s="785"/>
      <c r="F52" s="785" t="s">
        <v>2073</v>
      </c>
      <c r="G52" s="785"/>
      <c r="H52" s="785"/>
      <c r="I52" s="785" t="s">
        <v>2072</v>
      </c>
      <c r="J52" s="785"/>
      <c r="K52" s="785"/>
      <c r="L52" s="785" t="s">
        <v>2073</v>
      </c>
      <c r="M52" s="785"/>
      <c r="N52" s="786"/>
    </row>
  </sheetData>
  <dataConsolidate/>
  <mergeCells count="171">
    <mergeCell ref="B19:E19"/>
    <mergeCell ref="F19:H19"/>
    <mergeCell ref="I19:K19"/>
    <mergeCell ref="L19:N19"/>
    <mergeCell ref="B24:E24"/>
    <mergeCell ref="F24:H24"/>
    <mergeCell ref="I24:K24"/>
    <mergeCell ref="L24:N24"/>
    <mergeCell ref="E6:H6"/>
    <mergeCell ref="B7:C7"/>
    <mergeCell ref="E7:F7"/>
    <mergeCell ref="J7:K7"/>
    <mergeCell ref="B8:E8"/>
    <mergeCell ref="F8:H8"/>
    <mergeCell ref="I8:L8"/>
    <mergeCell ref="B18:E18"/>
    <mergeCell ref="F18:H18"/>
    <mergeCell ref="I18:K18"/>
    <mergeCell ref="L18:N18"/>
    <mergeCell ref="G1:K1"/>
    <mergeCell ref="B4:C4"/>
    <mergeCell ref="D4:E4"/>
    <mergeCell ref="F4:G4"/>
    <mergeCell ref="H4:I4"/>
    <mergeCell ref="B5:C5"/>
    <mergeCell ref="D5:E5"/>
    <mergeCell ref="F5:G5"/>
    <mergeCell ref="A16:A17"/>
    <mergeCell ref="B16:H16"/>
    <mergeCell ref="I16:N16"/>
    <mergeCell ref="B17:E17"/>
    <mergeCell ref="F17:H17"/>
    <mergeCell ref="I17:K17"/>
    <mergeCell ref="L17:N17"/>
    <mergeCell ref="B9:E9"/>
    <mergeCell ref="I9:L9"/>
    <mergeCell ref="B10:E10"/>
    <mergeCell ref="I10:L10"/>
    <mergeCell ref="B11:E11"/>
    <mergeCell ref="I11:L11"/>
    <mergeCell ref="B12:E12"/>
    <mergeCell ref="I12:L12"/>
    <mergeCell ref="C6:D6"/>
    <mergeCell ref="B25:E25"/>
    <mergeCell ref="F25:H25"/>
    <mergeCell ref="I25:K25"/>
    <mergeCell ref="L25:N25"/>
    <mergeCell ref="B20:E20"/>
    <mergeCell ref="F20:H20"/>
    <mergeCell ref="I20:K20"/>
    <mergeCell ref="L20:N20"/>
    <mergeCell ref="B21:E21"/>
    <mergeCell ref="F21:H21"/>
    <mergeCell ref="I21:K21"/>
    <mergeCell ref="L21:N21"/>
    <mergeCell ref="B22:E22"/>
    <mergeCell ref="F22:H22"/>
    <mergeCell ref="I22:K22"/>
    <mergeCell ref="L22:N22"/>
    <mergeCell ref="B23:E23"/>
    <mergeCell ref="F23:H23"/>
    <mergeCell ref="I23:K23"/>
    <mergeCell ref="L23:N23"/>
    <mergeCell ref="B28:E28"/>
    <mergeCell ref="F28:H28"/>
    <mergeCell ref="I28:K28"/>
    <mergeCell ref="L28:N28"/>
    <mergeCell ref="B29:E29"/>
    <mergeCell ref="F29:H29"/>
    <mergeCell ref="I29:K29"/>
    <mergeCell ref="L29:N29"/>
    <mergeCell ref="B26:E26"/>
    <mergeCell ref="F26:H26"/>
    <mergeCell ref="I26:K26"/>
    <mergeCell ref="L26:N26"/>
    <mergeCell ref="B27:E27"/>
    <mergeCell ref="F27:H27"/>
    <mergeCell ref="I27:K27"/>
    <mergeCell ref="L27:N27"/>
    <mergeCell ref="B32:E32"/>
    <mergeCell ref="F32:H32"/>
    <mergeCell ref="I32:K32"/>
    <mergeCell ref="L32:N32"/>
    <mergeCell ref="B33:E33"/>
    <mergeCell ref="F33:H33"/>
    <mergeCell ref="I33:K33"/>
    <mergeCell ref="L33:N33"/>
    <mergeCell ref="B30:E30"/>
    <mergeCell ref="F30:H30"/>
    <mergeCell ref="I30:K30"/>
    <mergeCell ref="L30:N30"/>
    <mergeCell ref="B31:E31"/>
    <mergeCell ref="F31:H31"/>
    <mergeCell ref="I31:K31"/>
    <mergeCell ref="L31:N31"/>
    <mergeCell ref="B36:E36"/>
    <mergeCell ref="F36:H36"/>
    <mergeCell ref="I36:K36"/>
    <mergeCell ref="L36:N36"/>
    <mergeCell ref="B37:E37"/>
    <mergeCell ref="F37:H37"/>
    <mergeCell ref="I37:K37"/>
    <mergeCell ref="L37:N37"/>
    <mergeCell ref="B34:E34"/>
    <mergeCell ref="F34:H34"/>
    <mergeCell ref="I34:K34"/>
    <mergeCell ref="L34:N34"/>
    <mergeCell ref="B35:E35"/>
    <mergeCell ref="F35:H35"/>
    <mergeCell ref="I35:K35"/>
    <mergeCell ref="L35:N35"/>
    <mergeCell ref="B40:E40"/>
    <mergeCell ref="F40:H40"/>
    <mergeCell ref="I40:K40"/>
    <mergeCell ref="L40:N40"/>
    <mergeCell ref="B41:E41"/>
    <mergeCell ref="F41:H41"/>
    <mergeCell ref="I41:K41"/>
    <mergeCell ref="L41:N41"/>
    <mergeCell ref="B38:E38"/>
    <mergeCell ref="F38:H38"/>
    <mergeCell ref="I38:K38"/>
    <mergeCell ref="L38:N38"/>
    <mergeCell ref="B39:E39"/>
    <mergeCell ref="F39:H39"/>
    <mergeCell ref="I39:K39"/>
    <mergeCell ref="L39:N39"/>
    <mergeCell ref="B44:E44"/>
    <mergeCell ref="F44:H44"/>
    <mergeCell ref="I44:K44"/>
    <mergeCell ref="L44:N44"/>
    <mergeCell ref="B45:E45"/>
    <mergeCell ref="F45:H45"/>
    <mergeCell ref="I45:K45"/>
    <mergeCell ref="L45:N45"/>
    <mergeCell ref="B42:E42"/>
    <mergeCell ref="F42:H42"/>
    <mergeCell ref="I42:K42"/>
    <mergeCell ref="L42:N42"/>
    <mergeCell ref="B43:E43"/>
    <mergeCell ref="F43:H43"/>
    <mergeCell ref="I43:K43"/>
    <mergeCell ref="L43:N43"/>
    <mergeCell ref="B48:E48"/>
    <mergeCell ref="F48:H48"/>
    <mergeCell ref="I48:K48"/>
    <mergeCell ref="L48:N48"/>
    <mergeCell ref="B49:E49"/>
    <mergeCell ref="F49:H49"/>
    <mergeCell ref="I49:K49"/>
    <mergeCell ref="L49:N49"/>
    <mergeCell ref="B46:E46"/>
    <mergeCell ref="F46:H46"/>
    <mergeCell ref="I46:K46"/>
    <mergeCell ref="L46:N46"/>
    <mergeCell ref="B47:E47"/>
    <mergeCell ref="F47:H47"/>
    <mergeCell ref="I47:K47"/>
    <mergeCell ref="L47:N47"/>
    <mergeCell ref="B52:E52"/>
    <mergeCell ref="F52:H52"/>
    <mergeCell ref="I52:K52"/>
    <mergeCell ref="L52:N52"/>
    <mergeCell ref="B50:E50"/>
    <mergeCell ref="F50:H50"/>
    <mergeCell ref="I50:K50"/>
    <mergeCell ref="L50:N50"/>
    <mergeCell ref="B51:E51"/>
    <mergeCell ref="F51:H51"/>
    <mergeCell ref="I51:K51"/>
    <mergeCell ref="L51:N51"/>
  </mergeCells>
  <printOptions horizontalCentered="1" verticalCentered="1"/>
  <pageMargins left="0.75" right="0.75" top="1" bottom="1" header="0.5" footer="0.5"/>
  <pageSetup scale="75" orientation="landscape"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3"/>
  <dimension ref="A1:H30"/>
  <sheetViews>
    <sheetView showGridLines="0" zoomScale="130" zoomScaleNormal="130" zoomScaleSheetLayoutView="115" workbookViewId="0">
      <pane ySplit="2" topLeftCell="A3" activePane="bottomLeft" state="frozen"/>
      <selection activeCell="A6" sqref="A6"/>
      <selection pane="bottomLeft" sqref="A1:E1"/>
    </sheetView>
  </sheetViews>
  <sheetFormatPr defaultColWidth="9.109375" defaultRowHeight="13.2"/>
  <cols>
    <col min="1" max="1" width="6.5546875" style="40" bestFit="1" customWidth="1"/>
    <col min="2" max="2" width="21" style="42" customWidth="1"/>
    <col min="3" max="3" width="7.109375" style="4" customWidth="1"/>
    <col min="4" max="4" width="16.5546875" style="41" bestFit="1" customWidth="1"/>
    <col min="5" max="5" width="68.33203125" style="41" customWidth="1"/>
    <col min="6" max="6" width="51" style="4" customWidth="1"/>
    <col min="7" max="9" width="36.6640625" style="4" customWidth="1"/>
    <col min="10" max="16384" width="9.109375" style="4"/>
  </cols>
  <sheetData>
    <row r="1" spans="1:7" ht="24.9" customHeight="1">
      <c r="A1" s="803" t="s">
        <v>2003</v>
      </c>
      <c r="B1" s="804"/>
      <c r="C1" s="804"/>
      <c r="D1" s="804"/>
      <c r="E1" s="805"/>
    </row>
    <row r="2" spans="1:7" ht="48" customHeight="1" thickBot="1">
      <c r="A2" s="143" t="s">
        <v>385</v>
      </c>
      <c r="B2" s="144" t="s">
        <v>844</v>
      </c>
      <c r="C2" s="144" t="s">
        <v>984</v>
      </c>
      <c r="D2" s="144" t="s">
        <v>1069</v>
      </c>
      <c r="E2" s="145" t="s">
        <v>1070</v>
      </c>
    </row>
    <row r="3" spans="1:7" ht="41.4">
      <c r="A3" s="634">
        <v>3.1</v>
      </c>
      <c r="B3" s="635" t="s">
        <v>1480</v>
      </c>
      <c r="C3" s="636" t="s">
        <v>982</v>
      </c>
      <c r="D3" s="637" t="s">
        <v>1071</v>
      </c>
      <c r="E3" s="638" t="s">
        <v>1328</v>
      </c>
      <c r="G3" s="4" t="s">
        <v>596</v>
      </c>
    </row>
    <row r="4" spans="1:7" ht="138">
      <c r="A4" s="155" t="s">
        <v>1612</v>
      </c>
      <c r="B4" s="150" t="s">
        <v>262</v>
      </c>
      <c r="C4" s="151" t="s">
        <v>982</v>
      </c>
      <c r="D4" s="266" t="s">
        <v>1071</v>
      </c>
      <c r="E4" s="149" t="s">
        <v>1929</v>
      </c>
    </row>
    <row r="5" spans="1:7" ht="82.8">
      <c r="A5" s="155" t="s">
        <v>1768</v>
      </c>
      <c r="B5" s="150" t="s">
        <v>1769</v>
      </c>
      <c r="C5" s="151" t="s">
        <v>982</v>
      </c>
      <c r="D5" s="266" t="s">
        <v>1071</v>
      </c>
      <c r="E5" s="149" t="s">
        <v>3194</v>
      </c>
    </row>
    <row r="6" spans="1:7" ht="69">
      <c r="A6" s="155" t="s">
        <v>1770</v>
      </c>
      <c r="B6" s="150" t="s">
        <v>1771</v>
      </c>
      <c r="C6" s="151" t="s">
        <v>982</v>
      </c>
      <c r="D6" s="266" t="s">
        <v>1071</v>
      </c>
      <c r="E6" s="149" t="s">
        <v>1930</v>
      </c>
    </row>
    <row r="7" spans="1:7" ht="96.6">
      <c r="A7" s="155" t="s">
        <v>1772</v>
      </c>
      <c r="B7" s="150" t="s">
        <v>263</v>
      </c>
      <c r="C7" s="151" t="s">
        <v>982</v>
      </c>
      <c r="D7" s="266" t="s">
        <v>1071</v>
      </c>
      <c r="E7" s="149" t="s">
        <v>1931</v>
      </c>
    </row>
    <row r="8" spans="1:7" ht="96.6">
      <c r="A8" s="155" t="s">
        <v>1454</v>
      </c>
      <c r="B8" s="150" t="s">
        <v>1455</v>
      </c>
      <c r="C8" s="151" t="s">
        <v>982</v>
      </c>
      <c r="D8" s="266" t="s">
        <v>1071</v>
      </c>
      <c r="E8" s="149" t="s">
        <v>1932</v>
      </c>
    </row>
    <row r="9" spans="1:7" ht="69">
      <c r="A9" s="155" t="s">
        <v>1456</v>
      </c>
      <c r="B9" s="150" t="s">
        <v>1457</v>
      </c>
      <c r="C9" s="151" t="s">
        <v>982</v>
      </c>
      <c r="D9" s="266" t="s">
        <v>1071</v>
      </c>
      <c r="E9" s="149" t="s">
        <v>1466</v>
      </c>
    </row>
    <row r="10" spans="1:7" ht="82.8">
      <c r="A10" s="155" t="s">
        <v>1458</v>
      </c>
      <c r="B10" s="150" t="s">
        <v>264</v>
      </c>
      <c r="C10" s="151" t="s">
        <v>982</v>
      </c>
      <c r="D10" s="266" t="s">
        <v>1071</v>
      </c>
      <c r="E10" s="149" t="s">
        <v>2005</v>
      </c>
    </row>
    <row r="11" spans="1:7" ht="82.8">
      <c r="A11" s="155" t="s">
        <v>1459</v>
      </c>
      <c r="B11" s="150" t="s">
        <v>265</v>
      </c>
      <c r="C11" s="151" t="s">
        <v>982</v>
      </c>
      <c r="D11" s="266" t="s">
        <v>1071</v>
      </c>
      <c r="E11" s="149" t="s">
        <v>1682</v>
      </c>
    </row>
    <row r="12" spans="1:7" ht="82.8">
      <c r="A12" s="155" t="s">
        <v>1460</v>
      </c>
      <c r="B12" s="150" t="s">
        <v>1461</v>
      </c>
      <c r="C12" s="151" t="s">
        <v>982</v>
      </c>
      <c r="D12" s="266" t="s">
        <v>1071</v>
      </c>
      <c r="E12" s="149" t="s">
        <v>1933</v>
      </c>
    </row>
    <row r="13" spans="1:7" ht="82.8">
      <c r="A13" s="155" t="s">
        <v>1462</v>
      </c>
      <c r="B13" s="150" t="s">
        <v>1463</v>
      </c>
      <c r="C13" s="151" t="s">
        <v>982</v>
      </c>
      <c r="D13" s="266" t="s">
        <v>1071</v>
      </c>
      <c r="E13" s="149" t="s">
        <v>1934</v>
      </c>
    </row>
    <row r="14" spans="1:7" ht="82.8">
      <c r="A14" s="155" t="s">
        <v>1464</v>
      </c>
      <c r="B14" s="150" t="s">
        <v>1935</v>
      </c>
      <c r="C14" s="151" t="s">
        <v>982</v>
      </c>
      <c r="D14" s="266" t="s">
        <v>1071</v>
      </c>
      <c r="E14" s="149" t="s">
        <v>2127</v>
      </c>
    </row>
    <row r="15" spans="1:7" ht="115.8" customHeight="1">
      <c r="A15" s="155" t="s">
        <v>1465</v>
      </c>
      <c r="B15" s="150" t="s">
        <v>266</v>
      </c>
      <c r="C15" s="151" t="s">
        <v>982</v>
      </c>
      <c r="D15" s="266" t="s">
        <v>1071</v>
      </c>
      <c r="E15" s="149" t="s">
        <v>2399</v>
      </c>
    </row>
    <row r="16" spans="1:7" ht="97.2" thickBot="1">
      <c r="A16" s="155">
        <v>3.2</v>
      </c>
      <c r="B16" s="150" t="s">
        <v>1481</v>
      </c>
      <c r="C16" s="151" t="s">
        <v>1008</v>
      </c>
      <c r="D16" s="266" t="s">
        <v>1071</v>
      </c>
      <c r="E16" s="149" t="s">
        <v>1320</v>
      </c>
    </row>
    <row r="17" spans="1:8" ht="41.4">
      <c r="A17" s="644" t="s">
        <v>2563</v>
      </c>
      <c r="B17" s="645" t="s">
        <v>2564</v>
      </c>
      <c r="C17" s="636" t="s">
        <v>982</v>
      </c>
      <c r="D17" s="637" t="s">
        <v>1071</v>
      </c>
      <c r="E17" s="638" t="s">
        <v>2578</v>
      </c>
    </row>
    <row r="18" spans="1:8" ht="41.4">
      <c r="A18" s="155" t="s">
        <v>2567</v>
      </c>
      <c r="B18" s="150" t="s">
        <v>386</v>
      </c>
      <c r="C18" s="151" t="s">
        <v>982</v>
      </c>
      <c r="D18" s="266" t="s">
        <v>2447</v>
      </c>
      <c r="E18" s="149" t="s">
        <v>1936</v>
      </c>
    </row>
    <row r="19" spans="1:8" ht="138">
      <c r="A19" s="155" t="s">
        <v>2521</v>
      </c>
      <c r="B19" s="150" t="s">
        <v>2522</v>
      </c>
      <c r="C19" s="151" t="s">
        <v>982</v>
      </c>
      <c r="D19" s="266" t="s">
        <v>1071</v>
      </c>
      <c r="E19" s="149" t="s">
        <v>2678</v>
      </c>
    </row>
    <row r="20" spans="1:8" ht="130.80000000000001" customHeight="1">
      <c r="A20" s="155">
        <v>3.4</v>
      </c>
      <c r="B20" s="150" t="s">
        <v>2360</v>
      </c>
      <c r="C20" s="151" t="s">
        <v>982</v>
      </c>
      <c r="D20" s="266" t="s">
        <v>1071</v>
      </c>
      <c r="E20" s="149" t="s">
        <v>2568</v>
      </c>
    </row>
    <row r="21" spans="1:8" ht="82.8">
      <c r="A21" s="155">
        <v>3.5</v>
      </c>
      <c r="B21" s="150" t="s">
        <v>1010</v>
      </c>
      <c r="C21" s="151" t="s">
        <v>982</v>
      </c>
      <c r="D21" s="266" t="s">
        <v>533</v>
      </c>
      <c r="E21" s="149" t="s">
        <v>1937</v>
      </c>
    </row>
    <row r="22" spans="1:8" ht="82.8">
      <c r="A22" s="155">
        <v>3.6</v>
      </c>
      <c r="B22" s="150" t="s">
        <v>1667</v>
      </c>
      <c r="C22" s="151" t="s">
        <v>982</v>
      </c>
      <c r="D22" s="266" t="s">
        <v>1071</v>
      </c>
      <c r="E22" s="486" t="s">
        <v>2006</v>
      </c>
    </row>
    <row r="23" spans="1:8" ht="41.4">
      <c r="A23" s="155">
        <v>3.7</v>
      </c>
      <c r="B23" s="150" t="s">
        <v>1759</v>
      </c>
      <c r="C23" s="151" t="s">
        <v>982</v>
      </c>
      <c r="D23" s="266" t="s">
        <v>1071</v>
      </c>
      <c r="E23" s="149" t="s">
        <v>1399</v>
      </c>
    </row>
    <row r="24" spans="1:8" ht="262.2">
      <c r="A24" s="155">
        <v>3.8</v>
      </c>
      <c r="B24" s="150" t="s">
        <v>292</v>
      </c>
      <c r="C24" s="151" t="s">
        <v>982</v>
      </c>
      <c r="D24" s="266" t="s">
        <v>1071</v>
      </c>
      <c r="E24" s="149" t="s">
        <v>2010</v>
      </c>
    </row>
    <row r="25" spans="1:8" ht="96.6">
      <c r="A25" s="156">
        <v>3.9</v>
      </c>
      <c r="B25" s="157" t="s">
        <v>2128</v>
      </c>
      <c r="C25" s="151" t="s">
        <v>982</v>
      </c>
      <c r="D25" s="266" t="s">
        <v>1678</v>
      </c>
      <c r="E25" s="487" t="s">
        <v>2129</v>
      </c>
      <c r="G25" s="449"/>
      <c r="H25" s="448"/>
    </row>
    <row r="26" spans="1:8" ht="311.39999999999998" customHeight="1">
      <c r="A26" s="158" t="s">
        <v>1773</v>
      </c>
      <c r="B26" s="157" t="s">
        <v>1865</v>
      </c>
      <c r="C26" s="151" t="s">
        <v>982</v>
      </c>
      <c r="D26" s="266" t="s">
        <v>1678</v>
      </c>
      <c r="E26" s="149" t="s">
        <v>2361</v>
      </c>
    </row>
    <row r="27" spans="1:8" ht="41.4">
      <c r="A27" s="158" t="s">
        <v>1813</v>
      </c>
      <c r="B27" s="157" t="s">
        <v>1815</v>
      </c>
      <c r="C27" s="151" t="s">
        <v>982</v>
      </c>
      <c r="D27" s="266" t="s">
        <v>1678</v>
      </c>
      <c r="E27" s="149" t="s">
        <v>1399</v>
      </c>
    </row>
    <row r="28" spans="1:8" ht="41.4">
      <c r="A28" s="158" t="s">
        <v>2357</v>
      </c>
      <c r="B28" s="157" t="s">
        <v>621</v>
      </c>
      <c r="C28" s="151" t="s">
        <v>982</v>
      </c>
      <c r="D28" s="580" t="s">
        <v>2358</v>
      </c>
      <c r="E28" s="487" t="s">
        <v>2359</v>
      </c>
    </row>
    <row r="29" spans="1:8" ht="41.4">
      <c r="A29" s="158" t="s">
        <v>1814</v>
      </c>
      <c r="B29" s="157" t="s">
        <v>2276</v>
      </c>
      <c r="C29" s="151" t="s">
        <v>982</v>
      </c>
      <c r="D29" s="580" t="s">
        <v>1678</v>
      </c>
      <c r="E29" s="487" t="s">
        <v>2295</v>
      </c>
    </row>
    <row r="30" spans="1:8" ht="42" thickBot="1">
      <c r="A30" s="488" t="s">
        <v>2277</v>
      </c>
      <c r="B30" s="482" t="s">
        <v>1808</v>
      </c>
      <c r="C30" s="483" t="s">
        <v>982</v>
      </c>
      <c r="D30" s="489" t="s">
        <v>1678</v>
      </c>
      <c r="E30" s="485" t="s">
        <v>1809</v>
      </c>
    </row>
  </sheetData>
  <customSheetViews>
    <customSheetView guid="{4FEDB3BD-111A-4B7D-AA97-E67173A5F707}" showPageBreaks="1" printArea="1" hiddenColumns="1" view="pageBreakPreview" showRuler="0">
      <selection activeCell="I7" sqref="I7"/>
      <pageMargins left="0.5" right="0.5" top="1" bottom="1" header="0.5" footer="0.34"/>
      <printOptions horizontalCentered="1"/>
      <pageSetup orientation="landscape" horizontalDpi="400" verticalDpi="400" r:id="rId1"/>
      <headerFooter alignWithMargins="0">
        <oddHeader>&amp;C&amp;"Arial,Bold"&amp;12&amp;UProject Activity 3: Project General Tasks</oddHeader>
        <oddFooter>&amp;CPage &amp;P of &amp;N</oddFooter>
      </headerFooter>
    </customSheetView>
    <customSheetView guid="{D5FFA8DD-F2DB-47F2-B4D2-3681726B2E8F}" showPageBreaks="1" printArea="1" hiddenColumns="1" view="pageBreakPreview" showRuler="0">
      <selection activeCell="C3" sqref="C3:P3"/>
      <pageMargins left="0.5" right="0.5" top="1" bottom="1" header="0.5" footer="0.34"/>
      <printOptions horizontalCentered="1"/>
      <pageSetup orientation="landscape" horizontalDpi="400" verticalDpi="400" r:id="rId2"/>
      <headerFooter alignWithMargins="0">
        <oddHeader>&amp;C&amp;"Arial,Bold"&amp;12&amp;UProject Activity 3: Project General Tasks</oddHeader>
        <oddFooter>&amp;CPage &amp;P of &amp;N</oddFooter>
      </headerFooter>
    </customSheetView>
    <customSheetView guid="{EFE02F7B-3837-4B0F-9646-ADE249504E9F}" showPageBreaks="1" printArea="1" hiddenColumns="1" view="pageBreakPreview" showRuler="0">
      <selection activeCell="J8" sqref="J8"/>
      <pageMargins left="0.5" right="0.5" top="1" bottom="1" header="0.5" footer="0.34"/>
      <printOptions horizontalCentered="1"/>
      <pageSetup orientation="landscape" horizontalDpi="400" verticalDpi="400" r:id="rId3"/>
      <headerFooter alignWithMargins="0">
        <oddHeader>&amp;C&amp;"Arial,Bold"&amp;12&amp;UProject Activity 3: Project General Tasks</oddHeader>
        <oddFooter>&amp;CPage &amp;P of &amp;N</oddFooter>
      </headerFooter>
    </customSheetView>
    <customSheetView guid="{053BE130-58A3-4F3B-945A-C2EFB15C6264}" showPageBreaks="1" printArea="1" hiddenColumns="1" view="pageBreakPreview" showRuler="0">
      <selection activeCell="I3" sqref="I3"/>
      <pageMargins left="0.5" right="0.5" top="1" bottom="1" header="0.5" footer="0.34"/>
      <printOptions horizontalCentered="1"/>
      <pageSetup orientation="landscape" horizontalDpi="400" verticalDpi="400" r:id="rId4"/>
      <headerFooter alignWithMargins="0">
        <oddHeader>&amp;C&amp;"Arial,Bold"&amp;12&amp;UProject Activity 3: Project General Tasks</oddHeader>
        <oddFooter>&amp;CPage &amp;P of &amp;N</oddFooter>
      </headerFooter>
    </customSheetView>
    <customSheetView guid="{F5DBE5B9-A9E4-4030-888B-08F930ECBB74}" showPageBreaks="1" printArea="1" hiddenColumns="1" view="pageBreakPreview" showRuler="0">
      <selection activeCell="J8" sqref="J8"/>
      <pageMargins left="0.5" right="0.5" top="1" bottom="1" header="0.5" footer="0.34"/>
      <printOptions horizontalCentered="1"/>
      <pageSetup orientation="landscape" horizontalDpi="400" verticalDpi="400" r:id="rId5"/>
      <headerFooter alignWithMargins="0">
        <oddHeader>&amp;C&amp;"Arial,Bold"&amp;12&amp;UProject Activity 3: Project General Tasks</oddHeader>
        <oddFooter>&amp;CPage &amp;P of &amp;N</oddFooter>
      </headerFooter>
    </customSheetView>
    <customSheetView guid="{960FB4AF-B150-4523-972C-3F7C93F049F3}" showPageBreaks="1" printArea="1" hiddenColumns="1" view="pageBreakPreview" showRuler="0">
      <selection activeCell="B7" sqref="B7"/>
      <pageMargins left="0.5" right="0.5" top="1" bottom="1" header="0.5" footer="0.34"/>
      <printOptions horizontalCentered="1"/>
      <pageSetup orientation="landscape" horizontalDpi="400" verticalDpi="400" r:id="rId6"/>
      <headerFooter alignWithMargins="0">
        <oddHeader>&amp;C&amp;"Arial,Bold"&amp;12&amp;UProject Activity 3: Project General Tasks</oddHeader>
        <oddFooter>&amp;CPage &amp;P of &amp;N</oddFooter>
      </headerFooter>
    </customSheetView>
    <customSheetView guid="{DF3BD4C9-2986-4236-8E90-D96736404377}" showPageBreaks="1" printArea="1" hiddenColumns="1" view="pageBreakPreview" showRuler="0">
      <selection activeCell="B7" sqref="B7"/>
      <pageMargins left="0.5" right="0.5" top="1" bottom="1" header="0.5" footer="0.34"/>
      <printOptions horizontalCentered="1"/>
      <pageSetup orientation="landscape" horizontalDpi="400" verticalDpi="400" r:id="rId7"/>
      <headerFooter alignWithMargins="0">
        <oddHeader>&amp;C&amp;"Arial,Bold"&amp;12&amp;UProject Activity 3: Project General Tasks</oddHeader>
        <oddFooter>&amp;CPage &amp;P of &amp;N</oddFooter>
      </headerFooter>
    </customSheetView>
  </customSheetViews>
  <mergeCells count="1">
    <mergeCell ref="A1:E1"/>
  </mergeCells>
  <phoneticPr fontId="0" type="noConversion"/>
  <printOptions horizontalCentered="1" verticalCentered="1"/>
  <pageMargins left="0.75" right="0.75" top="1" bottom="1" header="0.5" footer="0.5"/>
  <pageSetup scale="72" orientation="landscape" r:id="rId8"/>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25185-00F9-40DF-87D8-2F2E53481E2C}">
  <dimension ref="A1:D22"/>
  <sheetViews>
    <sheetView showGridLines="0" zoomScale="85" zoomScaleNormal="85" zoomScaleSheetLayoutView="100" workbookViewId="0">
      <selection sqref="A1:D1"/>
    </sheetView>
  </sheetViews>
  <sheetFormatPr defaultColWidth="9.109375" defaultRowHeight="13.2"/>
  <cols>
    <col min="1" max="1" width="26.44140625" style="421" customWidth="1"/>
    <col min="2" max="2" width="25.109375" style="421" customWidth="1"/>
    <col min="3" max="3" width="38.33203125" style="421" customWidth="1"/>
    <col min="4" max="4" width="94.88671875" style="421" customWidth="1"/>
    <col min="5" max="16384" width="9.109375" style="421"/>
  </cols>
  <sheetData>
    <row r="1" spans="1:4" ht="24" customHeight="1">
      <c r="A1" s="807" t="s">
        <v>2747</v>
      </c>
      <c r="B1" s="807"/>
      <c r="C1" s="807"/>
      <c r="D1" s="807"/>
    </row>
    <row r="2" spans="1:4" ht="19.95" customHeight="1">
      <c r="A2" s="806" t="s">
        <v>2748</v>
      </c>
      <c r="B2" s="806"/>
      <c r="C2" s="806"/>
      <c r="D2" s="806"/>
    </row>
    <row r="3" spans="1:4" ht="19.95" customHeight="1">
      <c r="A3" s="438" t="s">
        <v>2749</v>
      </c>
      <c r="B3" s="680" t="s">
        <v>2750</v>
      </c>
      <c r="C3" s="438" t="s">
        <v>2751</v>
      </c>
      <c r="D3" s="421" t="s">
        <v>2752</v>
      </c>
    </row>
    <row r="4" spans="1:4" ht="19.95" customHeight="1">
      <c r="A4" s="438" t="s">
        <v>2753</v>
      </c>
      <c r="B4" s="680" t="s">
        <v>2750</v>
      </c>
      <c r="C4" s="438" t="s">
        <v>2754</v>
      </c>
      <c r="D4" s="421" t="s">
        <v>2755</v>
      </c>
    </row>
    <row r="5" spans="1:4" ht="19.95" customHeight="1">
      <c r="A5" s="806" t="s">
        <v>2784</v>
      </c>
      <c r="B5" s="806"/>
      <c r="C5" s="806"/>
      <c r="D5" s="806"/>
    </row>
    <row r="6" spans="1:4" ht="19.95" customHeight="1">
      <c r="A6" s="680" t="s">
        <v>2756</v>
      </c>
      <c r="B6" s="680" t="s">
        <v>2750</v>
      </c>
      <c r="C6" s="680" t="s">
        <v>2751</v>
      </c>
      <c r="D6" s="421" t="s">
        <v>2757</v>
      </c>
    </row>
    <row r="7" spans="1:4" ht="19.95" customHeight="1">
      <c r="A7" s="438" t="s">
        <v>2753</v>
      </c>
      <c r="B7" s="680" t="s">
        <v>2758</v>
      </c>
      <c r="C7" s="680" t="s">
        <v>2759</v>
      </c>
      <c r="D7" s="421" t="s">
        <v>2760</v>
      </c>
    </row>
    <row r="8" spans="1:4" ht="19.95" customHeight="1">
      <c r="A8" s="806" t="s">
        <v>2785</v>
      </c>
      <c r="B8" s="806"/>
      <c r="C8" s="806"/>
      <c r="D8" s="806"/>
    </row>
    <row r="9" spans="1:4" ht="19.95" customHeight="1">
      <c r="A9" s="680" t="s">
        <v>2756</v>
      </c>
      <c r="B9" s="680" t="s">
        <v>2761</v>
      </c>
      <c r="C9" s="680" t="s">
        <v>2762</v>
      </c>
      <c r="D9" s="421" t="s">
        <v>2763</v>
      </c>
    </row>
    <row r="10" spans="1:4" ht="19.95" customHeight="1">
      <c r="A10" s="680" t="s">
        <v>2756</v>
      </c>
      <c r="B10" s="680" t="s">
        <v>2761</v>
      </c>
      <c r="C10" s="680" t="s">
        <v>2764</v>
      </c>
      <c r="D10" s="421" t="s">
        <v>2765</v>
      </c>
    </row>
    <row r="11" spans="1:4" ht="19.95" customHeight="1">
      <c r="A11" s="680" t="s">
        <v>2756</v>
      </c>
      <c r="B11" s="680" t="s">
        <v>2766</v>
      </c>
      <c r="C11" s="680" t="s">
        <v>2751</v>
      </c>
      <c r="D11" s="421" t="s">
        <v>2767</v>
      </c>
    </row>
    <row r="12" spans="1:4" ht="19.95" customHeight="1">
      <c r="A12" s="680" t="s">
        <v>2768</v>
      </c>
      <c r="B12" s="680" t="s">
        <v>2758</v>
      </c>
      <c r="C12" s="680" t="s">
        <v>2769</v>
      </c>
      <c r="D12" s="421" t="s">
        <v>2770</v>
      </c>
    </row>
    <row r="13" spans="1:4" ht="19.95" customHeight="1">
      <c r="A13" s="806" t="s">
        <v>2786</v>
      </c>
      <c r="B13" s="806"/>
      <c r="C13" s="806"/>
      <c r="D13" s="806"/>
    </row>
    <row r="14" spans="1:4" ht="19.95" customHeight="1">
      <c r="A14" s="438" t="s">
        <v>2753</v>
      </c>
      <c r="B14" s="680" t="s">
        <v>2750</v>
      </c>
      <c r="C14" s="680" t="s">
        <v>2771</v>
      </c>
      <c r="D14" s="421" t="s">
        <v>2772</v>
      </c>
    </row>
    <row r="15" spans="1:4" ht="19.95" customHeight="1">
      <c r="A15" s="680" t="s">
        <v>2756</v>
      </c>
      <c r="B15" s="680" t="s">
        <v>2761</v>
      </c>
      <c r="C15" s="421" t="s">
        <v>2773</v>
      </c>
      <c r="D15" s="421" t="s">
        <v>2774</v>
      </c>
    </row>
    <row r="16" spans="1:4" ht="19.95" customHeight="1">
      <c r="A16" s="680" t="s">
        <v>2749</v>
      </c>
      <c r="B16" s="680" t="s">
        <v>2766</v>
      </c>
      <c r="C16" s="680" t="s">
        <v>2775</v>
      </c>
      <c r="D16" s="421" t="s">
        <v>2776</v>
      </c>
    </row>
    <row r="17" spans="1:4" ht="19.95" customHeight="1">
      <c r="A17" s="680" t="s">
        <v>2756</v>
      </c>
      <c r="B17" s="680" t="s">
        <v>2766</v>
      </c>
      <c r="C17" s="680" t="s">
        <v>2777</v>
      </c>
      <c r="D17" s="421" t="s">
        <v>2774</v>
      </c>
    </row>
    <row r="18" spans="1:4" ht="19.95" customHeight="1">
      <c r="A18" s="680" t="s">
        <v>2768</v>
      </c>
      <c r="B18" s="680" t="s">
        <v>2758</v>
      </c>
      <c r="C18" s="421" t="s">
        <v>2778</v>
      </c>
      <c r="D18" s="421" t="s">
        <v>2779</v>
      </c>
    </row>
    <row r="19" spans="1:4" ht="19.95" customHeight="1">
      <c r="A19" s="680" t="s">
        <v>2768</v>
      </c>
      <c r="B19" s="680" t="s">
        <v>2758</v>
      </c>
      <c r="C19" s="680" t="s">
        <v>2780</v>
      </c>
      <c r="D19" s="421" t="s">
        <v>2781</v>
      </c>
    </row>
    <row r="20" spans="1:4" ht="19.95" customHeight="1">
      <c r="A20" s="806" t="s">
        <v>2787</v>
      </c>
      <c r="B20" s="806"/>
      <c r="C20" s="806"/>
      <c r="D20" s="806"/>
    </row>
    <row r="21" spans="1:4" ht="19.95" customHeight="1">
      <c r="A21" s="680" t="s">
        <v>2768</v>
      </c>
      <c r="B21" s="680" t="s">
        <v>2766</v>
      </c>
      <c r="C21" s="680" t="s">
        <v>2775</v>
      </c>
      <c r="D21" s="421" t="s">
        <v>2776</v>
      </c>
    </row>
    <row r="22" spans="1:4" ht="19.95" customHeight="1">
      <c r="A22" s="680" t="s">
        <v>2768</v>
      </c>
      <c r="B22" s="680" t="s">
        <v>2758</v>
      </c>
      <c r="C22" s="680" t="s">
        <v>3185</v>
      </c>
      <c r="D22" s="421" t="s">
        <v>2782</v>
      </c>
    </row>
  </sheetData>
  <mergeCells count="6">
    <mergeCell ref="A20:D20"/>
    <mergeCell ref="A1:D1"/>
    <mergeCell ref="A2:D2"/>
    <mergeCell ref="A5:D5"/>
    <mergeCell ref="A8:D8"/>
    <mergeCell ref="A13:D13"/>
  </mergeCells>
  <pageMargins left="0.75" right="0.75" top="1" bottom="1" header="0.5" footer="0.5"/>
  <pageSetup orientation="landscape" r:id="rId1"/>
  <headerFooter alignWithMargins="0">
    <oddFooter>&amp;CPage &amp;P of &amp;N</oddFooter>
  </headerFooter>
  <rowBreaks count="1" manualBreakCount="1">
    <brk id="7"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5082C-FF95-49A5-BCC2-DA64EC9A8F67}">
  <dimension ref="A1:AF109"/>
  <sheetViews>
    <sheetView zoomScale="130" zoomScaleNormal="130" workbookViewId="0">
      <pane ySplit="6" topLeftCell="A7" activePane="bottomLeft" state="frozen"/>
      <selection activeCell="B51" sqref="B51:F51"/>
      <selection pane="bottomLeft" sqref="A1:A2"/>
    </sheetView>
  </sheetViews>
  <sheetFormatPr defaultColWidth="9.109375" defaultRowHeight="13.2"/>
  <cols>
    <col min="1" max="1" width="47.5546875" style="752" customWidth="1"/>
    <col min="2" max="2" width="10.33203125" style="13" hidden="1" customWidth="1"/>
    <col min="3" max="3" width="21.88671875" style="745" hidden="1" customWidth="1"/>
    <col min="4" max="4" width="4.88671875" style="15" hidden="1" customWidth="1"/>
    <col min="5" max="5" width="16.88671875" style="15" hidden="1" customWidth="1"/>
    <col min="6" max="6" width="14.88671875" style="15" hidden="1" customWidth="1"/>
    <col min="7" max="7" width="17.44140625" style="15" hidden="1" customWidth="1"/>
    <col min="8" max="8" width="4.33203125" style="15" hidden="1" customWidth="1"/>
    <col min="9" max="9" width="18.33203125" style="752" hidden="1" customWidth="1"/>
    <col min="10" max="10" width="18.33203125" style="15" hidden="1" customWidth="1"/>
    <col min="11" max="12" width="19.109375" style="15" hidden="1" customWidth="1"/>
    <col min="13" max="13" width="13.88671875" style="15" hidden="1" customWidth="1"/>
    <col min="14" max="14" width="16" style="15" hidden="1" customWidth="1"/>
    <col min="15" max="15" width="10.5546875" style="15" hidden="1" customWidth="1"/>
    <col min="16" max="16" width="12.109375" style="15" hidden="1" customWidth="1"/>
    <col min="17" max="17" width="11" style="15" hidden="1" customWidth="1"/>
    <col min="18" max="18" width="20.33203125" style="13" customWidth="1"/>
    <col min="19" max="19" width="25.6640625" style="13" customWidth="1"/>
    <col min="20" max="20" width="18.33203125" style="752" hidden="1" customWidth="1"/>
    <col min="21" max="21" width="18.33203125" style="15" hidden="1" customWidth="1"/>
    <col min="22" max="22" width="9.109375" style="15"/>
    <col min="23" max="25" width="12.6640625" style="13" customWidth="1"/>
    <col min="26" max="26" width="9" style="13" customWidth="1"/>
    <col min="27" max="28" width="9" style="15" customWidth="1"/>
    <col min="29" max="31" width="12.6640625" style="15" customWidth="1"/>
    <col min="32" max="32" width="9" style="15" hidden="1" customWidth="1"/>
    <col min="33" max="16384" width="9.109375" style="15"/>
  </cols>
  <sheetData>
    <row r="1" spans="1:32" ht="30" customHeight="1">
      <c r="A1" s="808" t="s">
        <v>3225</v>
      </c>
      <c r="B1" s="810" t="s">
        <v>3226</v>
      </c>
      <c r="C1" s="812" t="s">
        <v>3227</v>
      </c>
      <c r="D1" s="737"/>
      <c r="E1" s="737"/>
      <c r="F1" s="737"/>
      <c r="G1" s="737"/>
      <c r="H1" s="737"/>
      <c r="I1" s="810" t="s">
        <v>3228</v>
      </c>
      <c r="J1" s="810"/>
      <c r="K1" s="737"/>
      <c r="L1" s="737"/>
      <c r="M1" s="737"/>
      <c r="N1" s="737"/>
      <c r="O1" s="737"/>
      <c r="P1" s="737"/>
      <c r="Q1" s="737"/>
      <c r="R1" s="810" t="s">
        <v>3229</v>
      </c>
      <c r="S1" s="810"/>
      <c r="T1" s="810" t="s">
        <v>3228</v>
      </c>
      <c r="U1" s="814"/>
    </row>
    <row r="2" spans="1:32" s="742" customFormat="1" ht="30" customHeight="1" thickBot="1">
      <c r="A2" s="809"/>
      <c r="B2" s="811"/>
      <c r="C2" s="813"/>
      <c r="D2" s="739" t="s">
        <v>3230</v>
      </c>
      <c r="E2" s="739" t="s">
        <v>3231</v>
      </c>
      <c r="F2" s="739" t="s">
        <v>3232</v>
      </c>
      <c r="G2" s="739" t="s">
        <v>3233</v>
      </c>
      <c r="H2" s="739" t="s">
        <v>3234</v>
      </c>
      <c r="I2" s="738" t="s">
        <v>3235</v>
      </c>
      <c r="J2" s="738" t="s">
        <v>3236</v>
      </c>
      <c r="K2" s="740"/>
      <c r="L2" s="740"/>
      <c r="M2" s="739" t="s">
        <v>3237</v>
      </c>
      <c r="N2" s="739" t="s">
        <v>3238</v>
      </c>
      <c r="O2" s="739" t="s">
        <v>3239</v>
      </c>
      <c r="P2" s="739" t="s">
        <v>3240</v>
      </c>
      <c r="Q2" s="739" t="s">
        <v>2834</v>
      </c>
      <c r="R2" s="738" t="s">
        <v>3241</v>
      </c>
      <c r="S2" s="738" t="s">
        <v>3242</v>
      </c>
      <c r="T2" s="738" t="s">
        <v>3235</v>
      </c>
      <c r="U2" s="741" t="s">
        <v>3236</v>
      </c>
      <c r="W2" s="743"/>
      <c r="X2" s="743"/>
      <c r="Y2" s="743"/>
      <c r="Z2" s="743"/>
    </row>
    <row r="3" spans="1:32" ht="71.25" hidden="1" customHeight="1" thickBot="1">
      <c r="A3" s="744"/>
      <c r="I3" s="746" t="s">
        <v>3243</v>
      </c>
      <c r="J3" s="33" t="s">
        <v>3244</v>
      </c>
      <c r="K3" s="33" t="s">
        <v>3245</v>
      </c>
      <c r="L3" s="33" t="s">
        <v>3246</v>
      </c>
      <c r="T3" s="746" t="s">
        <v>3243</v>
      </c>
      <c r="U3" s="33" t="s">
        <v>3244</v>
      </c>
    </row>
    <row r="4" spans="1:32" s="748" customFormat="1" ht="18" hidden="1" customHeight="1">
      <c r="A4" s="747" t="s">
        <v>3247</v>
      </c>
      <c r="B4" s="749"/>
      <c r="C4" s="750"/>
      <c r="I4" s="751"/>
      <c r="R4" s="749"/>
      <c r="S4" s="749"/>
      <c r="T4" s="751"/>
      <c r="W4" s="749"/>
      <c r="X4" s="749"/>
      <c r="Y4" s="749"/>
      <c r="Z4" s="749"/>
    </row>
    <row r="5" spans="1:32" ht="18" hidden="1" customHeight="1">
      <c r="A5" s="744" t="s">
        <v>3248</v>
      </c>
      <c r="B5" s="13">
        <v>300</v>
      </c>
      <c r="C5" s="745" t="s">
        <v>3249</v>
      </c>
      <c r="E5" s="15" t="s">
        <v>3250</v>
      </c>
      <c r="F5" s="15" t="s">
        <v>3251</v>
      </c>
      <c r="G5" s="15" t="s">
        <v>3248</v>
      </c>
      <c r="I5" s="752" t="s">
        <v>3252</v>
      </c>
      <c r="K5" s="15" t="s">
        <v>3253</v>
      </c>
      <c r="L5" s="15" t="s">
        <v>3253</v>
      </c>
      <c r="T5" s="752" t="s">
        <v>3252</v>
      </c>
    </row>
    <row r="6" spans="1:32" ht="18" hidden="1" customHeight="1">
      <c r="A6" s="744" t="s">
        <v>3254</v>
      </c>
      <c r="B6" s="13">
        <v>300</v>
      </c>
      <c r="C6" s="745" t="s">
        <v>3249</v>
      </c>
      <c r="E6" s="15" t="s">
        <v>3250</v>
      </c>
      <c r="F6" s="15" t="s">
        <v>3251</v>
      </c>
      <c r="G6" s="15" t="s">
        <v>3248</v>
      </c>
      <c r="I6" s="752" t="s">
        <v>3252</v>
      </c>
      <c r="K6" s="15" t="s">
        <v>3253</v>
      </c>
      <c r="L6" s="15" t="s">
        <v>3253</v>
      </c>
      <c r="T6" s="752" t="s">
        <v>3252</v>
      </c>
    </row>
    <row r="7" spans="1:32" s="748" customFormat="1" ht="18" customHeight="1">
      <c r="A7" s="753" t="s">
        <v>3255</v>
      </c>
      <c r="B7" s="755"/>
      <c r="C7" s="756"/>
      <c r="D7" s="754"/>
      <c r="E7" s="754"/>
      <c r="F7" s="754"/>
      <c r="G7" s="754"/>
      <c r="H7" s="754"/>
      <c r="I7" s="757"/>
      <c r="J7" s="754"/>
      <c r="K7" s="754"/>
      <c r="L7" s="754"/>
      <c r="M7" s="754"/>
      <c r="N7" s="754"/>
      <c r="O7" s="754"/>
      <c r="P7" s="754"/>
      <c r="Q7" s="754"/>
      <c r="R7" s="755"/>
      <c r="S7" s="755"/>
      <c r="T7" s="757"/>
      <c r="U7" s="758"/>
      <c r="W7" s="749"/>
      <c r="X7" s="749"/>
      <c r="Y7" s="749"/>
      <c r="Z7" s="749"/>
    </row>
    <row r="8" spans="1:32" ht="18" customHeight="1">
      <c r="A8" s="744" t="s">
        <v>3256</v>
      </c>
      <c r="B8" s="13">
        <v>200</v>
      </c>
      <c r="C8" s="745" t="s">
        <v>3257</v>
      </c>
      <c r="D8" s="15">
        <v>200</v>
      </c>
      <c r="E8" s="15" t="s">
        <v>3252</v>
      </c>
      <c r="F8" s="15" t="s">
        <v>2835</v>
      </c>
      <c r="G8" s="15" t="s">
        <v>3258</v>
      </c>
      <c r="I8" s="752" t="s">
        <v>3252</v>
      </c>
      <c r="K8" s="15" t="s">
        <v>3253</v>
      </c>
      <c r="L8" s="15" t="s">
        <v>3253</v>
      </c>
      <c r="N8" s="15" t="s">
        <v>3259</v>
      </c>
      <c r="O8" s="15" t="s">
        <v>3260</v>
      </c>
      <c r="R8" s="13" t="s">
        <v>3261</v>
      </c>
      <c r="S8" s="759" t="s">
        <v>3262</v>
      </c>
      <c r="T8" s="752" t="s">
        <v>3252</v>
      </c>
      <c r="U8" s="760"/>
    </row>
    <row r="9" spans="1:32" ht="18" customHeight="1">
      <c r="A9" s="744" t="s">
        <v>3263</v>
      </c>
      <c r="B9" s="13">
        <v>200</v>
      </c>
      <c r="C9" s="745" t="s">
        <v>3257</v>
      </c>
      <c r="D9" s="15">
        <v>200</v>
      </c>
      <c r="E9" s="15" t="s">
        <v>3252</v>
      </c>
      <c r="F9" s="15" t="s">
        <v>2835</v>
      </c>
      <c r="G9" s="15" t="s">
        <v>3258</v>
      </c>
      <c r="I9" s="752" t="s">
        <v>3252</v>
      </c>
      <c r="K9" s="15" t="s">
        <v>3253</v>
      </c>
      <c r="L9" s="15" t="s">
        <v>3253</v>
      </c>
      <c r="N9" s="15" t="s">
        <v>3259</v>
      </c>
      <c r="O9" s="15" t="s">
        <v>3260</v>
      </c>
      <c r="R9" s="13" t="s">
        <v>3261</v>
      </c>
      <c r="S9" s="759" t="s">
        <v>3262</v>
      </c>
      <c r="T9" s="752" t="s">
        <v>3252</v>
      </c>
      <c r="U9" s="760"/>
    </row>
    <row r="10" spans="1:32" ht="18" customHeight="1">
      <c r="A10" s="744" t="s">
        <v>3264</v>
      </c>
      <c r="B10" s="13">
        <v>200</v>
      </c>
      <c r="C10" s="745" t="s">
        <v>3257</v>
      </c>
      <c r="D10" s="15">
        <v>200</v>
      </c>
      <c r="E10" s="15" t="s">
        <v>3252</v>
      </c>
      <c r="F10" s="15" t="s">
        <v>2835</v>
      </c>
      <c r="G10" s="15" t="s">
        <v>3258</v>
      </c>
      <c r="I10" s="752" t="s">
        <v>3252</v>
      </c>
      <c r="K10" s="15" t="s">
        <v>3253</v>
      </c>
      <c r="L10" s="15" t="s">
        <v>3253</v>
      </c>
      <c r="N10" s="15" t="s">
        <v>3259</v>
      </c>
      <c r="O10" s="15" t="s">
        <v>3265</v>
      </c>
      <c r="R10" s="13" t="s">
        <v>3261</v>
      </c>
      <c r="S10" s="759" t="s">
        <v>3262</v>
      </c>
      <c r="T10" s="752" t="s">
        <v>3252</v>
      </c>
      <c r="U10" s="760"/>
      <c r="AC10" s="748"/>
      <c r="AD10" s="748"/>
      <c r="AE10" s="748"/>
      <c r="AF10" s="748"/>
    </row>
    <row r="11" spans="1:32" ht="18" customHeight="1">
      <c r="A11" s="744" t="s">
        <v>3266</v>
      </c>
      <c r="B11" s="13">
        <v>200</v>
      </c>
      <c r="C11" s="745" t="s">
        <v>3257</v>
      </c>
      <c r="D11" s="15">
        <v>200</v>
      </c>
      <c r="E11" s="15" t="s">
        <v>3252</v>
      </c>
      <c r="F11" s="15" t="s">
        <v>2835</v>
      </c>
      <c r="G11" s="15" t="s">
        <v>3258</v>
      </c>
      <c r="I11" s="752" t="s">
        <v>3252</v>
      </c>
      <c r="K11" s="15" t="s">
        <v>3253</v>
      </c>
      <c r="L11" s="15" t="s">
        <v>3253</v>
      </c>
      <c r="N11" s="15" t="s">
        <v>3259</v>
      </c>
      <c r="O11" s="15" t="s">
        <v>3265</v>
      </c>
      <c r="R11" s="13" t="s">
        <v>3261</v>
      </c>
      <c r="S11" s="759" t="s">
        <v>3262</v>
      </c>
      <c r="T11" s="752" t="s">
        <v>3252</v>
      </c>
      <c r="U11" s="760"/>
      <c r="W11" s="748"/>
      <c r="X11" s="748"/>
      <c r="Y11" s="748"/>
      <c r="Z11" s="748"/>
      <c r="AC11" s="13"/>
      <c r="AD11" s="13"/>
      <c r="AE11" s="13"/>
      <c r="AF11" s="13"/>
    </row>
    <row r="12" spans="1:32" ht="18" customHeight="1">
      <c r="A12" s="744" t="s">
        <v>3267</v>
      </c>
      <c r="B12" s="13">
        <v>200</v>
      </c>
      <c r="C12" s="745" t="s">
        <v>3257</v>
      </c>
      <c r="D12" s="15">
        <v>200</v>
      </c>
      <c r="E12" s="15" t="s">
        <v>3252</v>
      </c>
      <c r="F12" s="15" t="s">
        <v>2835</v>
      </c>
      <c r="G12" s="15" t="s">
        <v>3258</v>
      </c>
      <c r="I12" s="752" t="s">
        <v>3252</v>
      </c>
      <c r="K12" s="15" t="s">
        <v>3253</v>
      </c>
      <c r="L12" s="15" t="s">
        <v>3253</v>
      </c>
      <c r="N12" s="15" t="s">
        <v>3259</v>
      </c>
      <c r="O12" s="15" t="s">
        <v>3265</v>
      </c>
      <c r="R12" s="13" t="s">
        <v>3261</v>
      </c>
      <c r="S12" s="759" t="s">
        <v>3262</v>
      </c>
      <c r="T12" s="752" t="s">
        <v>3252</v>
      </c>
      <c r="U12" s="760"/>
      <c r="AC12" s="13"/>
      <c r="AD12" s="13"/>
      <c r="AE12" s="13"/>
      <c r="AF12" s="13"/>
    </row>
    <row r="13" spans="1:32" ht="18" customHeight="1">
      <c r="A13" s="744" t="s">
        <v>3268</v>
      </c>
      <c r="B13" s="13">
        <v>200</v>
      </c>
      <c r="C13" s="745" t="s">
        <v>3257</v>
      </c>
      <c r="D13" s="15">
        <v>200</v>
      </c>
      <c r="E13" s="15" t="s">
        <v>3252</v>
      </c>
      <c r="F13" s="15" t="s">
        <v>2835</v>
      </c>
      <c r="G13" s="15" t="s">
        <v>3258</v>
      </c>
      <c r="I13" s="752" t="s">
        <v>3252</v>
      </c>
      <c r="K13" s="15" t="s">
        <v>3253</v>
      </c>
      <c r="L13" s="15" t="s">
        <v>3253</v>
      </c>
      <c r="N13" s="15" t="s">
        <v>3259</v>
      </c>
      <c r="O13" s="15" t="s">
        <v>3265</v>
      </c>
      <c r="R13" s="13" t="s">
        <v>3261</v>
      </c>
      <c r="S13" s="759" t="s">
        <v>3262</v>
      </c>
      <c r="T13" s="752" t="s">
        <v>3252</v>
      </c>
      <c r="U13" s="760"/>
      <c r="AC13" s="13"/>
      <c r="AD13" s="13"/>
      <c r="AE13" s="13"/>
      <c r="AF13" s="13"/>
    </row>
    <row r="14" spans="1:32" ht="18" customHeight="1">
      <c r="A14" s="744" t="s">
        <v>3269</v>
      </c>
      <c r="B14" s="13">
        <v>200</v>
      </c>
      <c r="C14" s="745" t="s">
        <v>3257</v>
      </c>
      <c r="D14" s="15">
        <v>200</v>
      </c>
      <c r="E14" s="15" t="s">
        <v>3252</v>
      </c>
      <c r="F14" s="15" t="s">
        <v>2835</v>
      </c>
      <c r="G14" s="15" t="s">
        <v>3258</v>
      </c>
      <c r="I14" s="752" t="s">
        <v>3252</v>
      </c>
      <c r="K14" s="15" t="s">
        <v>3253</v>
      </c>
      <c r="L14" s="15" t="s">
        <v>3253</v>
      </c>
      <c r="N14" s="15" t="s">
        <v>3259</v>
      </c>
      <c r="O14" s="15" t="s">
        <v>3265</v>
      </c>
      <c r="R14" s="13" t="s">
        <v>3261</v>
      </c>
      <c r="S14" s="759" t="s">
        <v>3262</v>
      </c>
      <c r="T14" s="752" t="s">
        <v>3252</v>
      </c>
      <c r="U14" s="760"/>
      <c r="AC14" s="13"/>
      <c r="AD14" s="13"/>
      <c r="AE14" s="13"/>
      <c r="AF14" s="13"/>
    </row>
    <row r="15" spans="1:32" ht="18" customHeight="1">
      <c r="A15" s="744" t="s">
        <v>3270</v>
      </c>
      <c r="B15" s="13">
        <v>200</v>
      </c>
      <c r="C15" s="745" t="s">
        <v>3257</v>
      </c>
      <c r="D15" s="15">
        <v>200</v>
      </c>
      <c r="E15" s="15" t="s">
        <v>3252</v>
      </c>
      <c r="F15" s="15" t="s">
        <v>2835</v>
      </c>
      <c r="G15" s="15" t="s">
        <v>3258</v>
      </c>
      <c r="I15" s="752" t="s">
        <v>3252</v>
      </c>
      <c r="K15" s="15" t="s">
        <v>3253</v>
      </c>
      <c r="L15" s="15" t="s">
        <v>3253</v>
      </c>
      <c r="N15" s="15" t="s">
        <v>3259</v>
      </c>
      <c r="O15" s="15" t="s">
        <v>3265</v>
      </c>
      <c r="R15" s="13" t="s">
        <v>3261</v>
      </c>
      <c r="S15" s="759" t="s">
        <v>3262</v>
      </c>
      <c r="T15" s="752" t="s">
        <v>3252</v>
      </c>
      <c r="U15" s="760"/>
      <c r="AC15" s="13"/>
      <c r="AD15" s="13"/>
      <c r="AE15" s="13"/>
      <c r="AF15" s="13"/>
    </row>
    <row r="16" spans="1:32" ht="18" customHeight="1">
      <c r="A16" s="744" t="s">
        <v>3271</v>
      </c>
      <c r="B16" s="13">
        <v>200</v>
      </c>
      <c r="C16" s="745" t="s">
        <v>3257</v>
      </c>
      <c r="D16" s="15">
        <v>200</v>
      </c>
      <c r="E16" s="15" t="s">
        <v>3252</v>
      </c>
      <c r="F16" s="15" t="s">
        <v>2835</v>
      </c>
      <c r="G16" s="15" t="s">
        <v>3258</v>
      </c>
      <c r="I16" s="752" t="s">
        <v>3252</v>
      </c>
      <c r="K16" s="15" t="s">
        <v>3253</v>
      </c>
      <c r="L16" s="15" t="s">
        <v>3253</v>
      </c>
      <c r="N16" s="15" t="s">
        <v>3259</v>
      </c>
      <c r="O16" s="15" t="s">
        <v>3265</v>
      </c>
      <c r="R16" s="13" t="s">
        <v>3261</v>
      </c>
      <c r="S16" s="759" t="s">
        <v>3262</v>
      </c>
      <c r="T16" s="752" t="s">
        <v>3252</v>
      </c>
      <c r="U16" s="760"/>
      <c r="AC16" s="13"/>
      <c r="AD16" s="13"/>
      <c r="AE16" s="13"/>
      <c r="AF16" s="13"/>
    </row>
    <row r="17" spans="1:26" ht="18" customHeight="1">
      <c r="A17" s="744" t="s">
        <v>3272</v>
      </c>
      <c r="B17" s="13">
        <v>200</v>
      </c>
      <c r="C17" s="745" t="s">
        <v>3257</v>
      </c>
      <c r="D17" s="15">
        <v>200</v>
      </c>
      <c r="E17" s="15" t="s">
        <v>3252</v>
      </c>
      <c r="F17" s="15" t="s">
        <v>2835</v>
      </c>
      <c r="G17" s="15" t="s">
        <v>3258</v>
      </c>
      <c r="I17" s="752" t="s">
        <v>3252</v>
      </c>
      <c r="K17" s="15" t="s">
        <v>3253</v>
      </c>
      <c r="L17" s="15" t="s">
        <v>3253</v>
      </c>
      <c r="N17" s="15" t="s">
        <v>3259</v>
      </c>
      <c r="O17" s="15" t="s">
        <v>3265</v>
      </c>
      <c r="R17" s="13" t="s">
        <v>3261</v>
      </c>
      <c r="S17" s="759" t="s">
        <v>3262</v>
      </c>
      <c r="T17" s="752" t="s">
        <v>3252</v>
      </c>
      <c r="U17" s="760"/>
    </row>
    <row r="18" spans="1:26" ht="18" customHeight="1">
      <c r="A18" s="744" t="s">
        <v>705</v>
      </c>
      <c r="B18" s="13">
        <v>200</v>
      </c>
      <c r="C18" s="745" t="s">
        <v>3257</v>
      </c>
      <c r="D18" s="15">
        <v>200</v>
      </c>
      <c r="E18" s="15" t="s">
        <v>3252</v>
      </c>
      <c r="F18" s="15" t="s">
        <v>2835</v>
      </c>
      <c r="G18" s="15" t="s">
        <v>3258</v>
      </c>
      <c r="I18" s="752" t="s">
        <v>3252</v>
      </c>
      <c r="K18" s="15" t="s">
        <v>3253</v>
      </c>
      <c r="L18" s="15" t="s">
        <v>3253</v>
      </c>
      <c r="N18" s="15" t="s">
        <v>3259</v>
      </c>
      <c r="O18" s="15" t="s">
        <v>3273</v>
      </c>
      <c r="R18" s="13" t="s">
        <v>3261</v>
      </c>
      <c r="S18" s="759" t="s">
        <v>3262</v>
      </c>
      <c r="T18" s="752" t="s">
        <v>3252</v>
      </c>
      <c r="U18" s="760"/>
      <c r="W18" s="15"/>
      <c r="X18" s="15"/>
      <c r="Y18" s="15"/>
      <c r="Z18" s="15"/>
    </row>
    <row r="19" spans="1:26" ht="18" customHeight="1">
      <c r="A19" s="744" t="s">
        <v>3274</v>
      </c>
      <c r="B19" s="13">
        <v>200</v>
      </c>
      <c r="C19" s="745" t="s">
        <v>3257</v>
      </c>
      <c r="D19" s="15">
        <v>200</v>
      </c>
      <c r="E19" s="15" t="s">
        <v>3252</v>
      </c>
      <c r="F19" s="15" t="s">
        <v>2835</v>
      </c>
      <c r="G19" s="15" t="s">
        <v>3258</v>
      </c>
      <c r="I19" s="752" t="s">
        <v>3252</v>
      </c>
      <c r="K19" s="15" t="s">
        <v>3253</v>
      </c>
      <c r="L19" s="15" t="s">
        <v>3253</v>
      </c>
      <c r="N19" s="15" t="s">
        <v>3259</v>
      </c>
      <c r="R19" s="13" t="s">
        <v>3261</v>
      </c>
      <c r="S19" s="759" t="s">
        <v>3262</v>
      </c>
      <c r="T19" s="752" t="s">
        <v>3252</v>
      </c>
      <c r="U19" s="760"/>
      <c r="W19" s="15"/>
      <c r="X19" s="15"/>
      <c r="Y19" s="15"/>
      <c r="Z19" s="15"/>
    </row>
    <row r="20" spans="1:26" ht="18" customHeight="1">
      <c r="A20" s="744" t="s">
        <v>3275</v>
      </c>
      <c r="B20" s="13">
        <v>200</v>
      </c>
      <c r="C20" s="745" t="s">
        <v>3257</v>
      </c>
      <c r="D20" s="15">
        <v>200</v>
      </c>
      <c r="E20" s="15" t="s">
        <v>3252</v>
      </c>
      <c r="F20" s="15" t="s">
        <v>2835</v>
      </c>
      <c r="G20" s="15" t="s">
        <v>3276</v>
      </c>
      <c r="I20" s="752" t="s">
        <v>3252</v>
      </c>
      <c r="K20" s="15" t="s">
        <v>3253</v>
      </c>
      <c r="L20" s="15" t="s">
        <v>3253</v>
      </c>
      <c r="N20" s="15" t="s">
        <v>3259</v>
      </c>
      <c r="O20" s="15" t="s">
        <v>3277</v>
      </c>
      <c r="R20" s="13" t="s">
        <v>3261</v>
      </c>
      <c r="S20" s="13" t="s">
        <v>3227</v>
      </c>
      <c r="T20" s="752" t="s">
        <v>3252</v>
      </c>
      <c r="U20" s="760"/>
      <c r="W20" s="15"/>
      <c r="X20" s="15"/>
      <c r="Y20" s="15"/>
      <c r="Z20" s="15"/>
    </row>
    <row r="21" spans="1:26" ht="18" customHeight="1" thickBot="1">
      <c r="A21" s="744" t="s">
        <v>3278</v>
      </c>
      <c r="B21" s="13">
        <v>200</v>
      </c>
      <c r="C21" s="745" t="s">
        <v>3257</v>
      </c>
      <c r="D21" s="15">
        <v>200</v>
      </c>
      <c r="E21" s="15" t="s">
        <v>3252</v>
      </c>
      <c r="F21" s="15" t="s">
        <v>2835</v>
      </c>
      <c r="G21" s="15" t="s">
        <v>3279</v>
      </c>
      <c r="I21" s="752" t="s">
        <v>3252</v>
      </c>
      <c r="K21" s="15" t="s">
        <v>3253</v>
      </c>
      <c r="L21" s="15" t="s">
        <v>3253</v>
      </c>
      <c r="R21" s="13" t="s">
        <v>3261</v>
      </c>
      <c r="S21" s="13" t="s">
        <v>3249</v>
      </c>
      <c r="T21" s="752" t="s">
        <v>3252</v>
      </c>
      <c r="U21" s="760"/>
      <c r="W21" s="15"/>
      <c r="X21" s="15"/>
      <c r="Y21" s="15"/>
      <c r="Z21" s="15"/>
    </row>
    <row r="22" spans="1:26" ht="18" hidden="1" customHeight="1" thickBot="1">
      <c r="A22" s="761" t="s">
        <v>3280</v>
      </c>
      <c r="B22" s="763">
        <v>200</v>
      </c>
      <c r="C22" s="745" t="s">
        <v>3257</v>
      </c>
      <c r="D22" s="762"/>
      <c r="E22" s="762" t="s">
        <v>3252</v>
      </c>
      <c r="F22" s="762" t="s">
        <v>2835</v>
      </c>
      <c r="G22" s="762" t="s">
        <v>3281</v>
      </c>
      <c r="H22" s="762"/>
      <c r="I22" s="764" t="s">
        <v>3282</v>
      </c>
      <c r="J22" s="762"/>
      <c r="K22" s="762" t="s">
        <v>3253</v>
      </c>
      <c r="L22" s="762" t="s">
        <v>3253</v>
      </c>
      <c r="M22" s="762"/>
      <c r="N22" s="762"/>
      <c r="O22" s="762"/>
      <c r="P22" s="762"/>
      <c r="Q22" s="762"/>
      <c r="R22" s="763" t="s">
        <v>3261</v>
      </c>
      <c r="S22" s="763" t="s">
        <v>3261</v>
      </c>
      <c r="T22" s="642" t="s">
        <v>3282</v>
      </c>
      <c r="U22" s="760"/>
      <c r="W22" s="15"/>
      <c r="X22" s="15"/>
      <c r="Y22" s="15"/>
      <c r="Z22" s="15"/>
    </row>
    <row r="23" spans="1:26" ht="18" hidden="1" customHeight="1">
      <c r="A23" s="761" t="s">
        <v>3283</v>
      </c>
      <c r="B23" s="763">
        <v>200</v>
      </c>
      <c r="C23" s="745" t="s">
        <v>3257</v>
      </c>
      <c r="D23" s="762"/>
      <c r="E23" s="762" t="s">
        <v>3252</v>
      </c>
      <c r="F23" s="762" t="s">
        <v>2835</v>
      </c>
      <c r="G23" s="762" t="s">
        <v>3281</v>
      </c>
      <c r="H23" s="762"/>
      <c r="I23" s="764" t="s">
        <v>3282</v>
      </c>
      <c r="J23" s="762"/>
      <c r="K23" s="762" t="s">
        <v>3253</v>
      </c>
      <c r="L23" s="762" t="s">
        <v>3253</v>
      </c>
      <c r="M23" s="762"/>
      <c r="N23" s="762"/>
      <c r="O23" s="762"/>
      <c r="P23" s="762"/>
      <c r="Q23" s="762"/>
      <c r="R23" s="763" t="s">
        <v>3261</v>
      </c>
      <c r="S23" s="763" t="s">
        <v>3261</v>
      </c>
      <c r="T23" s="642" t="s">
        <v>3282</v>
      </c>
      <c r="U23" s="760"/>
      <c r="W23" s="15"/>
      <c r="X23" s="15"/>
      <c r="Y23" s="15"/>
      <c r="Z23" s="15"/>
    </row>
    <row r="24" spans="1:26" ht="18" hidden="1" customHeight="1">
      <c r="A24" s="765" t="s">
        <v>3284</v>
      </c>
      <c r="B24" s="763">
        <v>200</v>
      </c>
      <c r="C24" s="745" t="s">
        <v>3257</v>
      </c>
      <c r="D24" s="762"/>
      <c r="E24" s="762" t="s">
        <v>3252</v>
      </c>
      <c r="F24" s="762" t="s">
        <v>2835</v>
      </c>
      <c r="G24" s="762" t="s">
        <v>3285</v>
      </c>
      <c r="H24" s="762"/>
      <c r="I24" s="764" t="s">
        <v>3282</v>
      </c>
      <c r="J24" s="762"/>
      <c r="K24" s="762" t="s">
        <v>3253</v>
      </c>
      <c r="L24" s="762" t="s">
        <v>3253</v>
      </c>
      <c r="M24" s="762"/>
      <c r="N24" s="762"/>
      <c r="O24" s="762"/>
      <c r="P24" s="762"/>
      <c r="Q24" s="762"/>
      <c r="R24" s="763" t="s">
        <v>3261</v>
      </c>
      <c r="S24" s="763" t="s">
        <v>3261</v>
      </c>
      <c r="T24" s="642" t="s">
        <v>3282</v>
      </c>
      <c r="U24" s="760"/>
      <c r="W24" s="15"/>
      <c r="X24" s="15"/>
      <c r="Y24" s="15"/>
      <c r="Z24" s="15"/>
    </row>
    <row r="25" spans="1:26" ht="18" hidden="1" customHeight="1">
      <c r="A25" s="765" t="s">
        <v>3286</v>
      </c>
      <c r="B25" s="763">
        <v>200</v>
      </c>
      <c r="C25" s="745" t="s">
        <v>3257</v>
      </c>
      <c r="D25" s="762"/>
      <c r="E25" s="762" t="s">
        <v>3252</v>
      </c>
      <c r="F25" s="762" t="s">
        <v>2835</v>
      </c>
      <c r="G25" s="762" t="s">
        <v>3281</v>
      </c>
      <c r="H25" s="762"/>
      <c r="I25" s="764" t="s">
        <v>3282</v>
      </c>
      <c r="J25" s="762"/>
      <c r="K25" s="762" t="s">
        <v>3253</v>
      </c>
      <c r="L25" s="762" t="s">
        <v>3253</v>
      </c>
      <c r="M25" s="762"/>
      <c r="N25" s="762"/>
      <c r="O25" s="762"/>
      <c r="P25" s="762"/>
      <c r="Q25" s="762"/>
      <c r="R25" s="763" t="s">
        <v>3261</v>
      </c>
      <c r="S25" s="763" t="s">
        <v>3261</v>
      </c>
      <c r="T25" s="642" t="s">
        <v>3282</v>
      </c>
      <c r="U25" s="760"/>
    </row>
    <row r="26" spans="1:26" ht="18" hidden="1" customHeight="1">
      <c r="A26" s="766" t="s">
        <v>3287</v>
      </c>
      <c r="B26" s="768">
        <v>200</v>
      </c>
      <c r="C26" s="769" t="s">
        <v>3257</v>
      </c>
      <c r="D26" s="767"/>
      <c r="E26" s="767" t="s">
        <v>3252</v>
      </c>
      <c r="F26" s="767" t="s">
        <v>2835</v>
      </c>
      <c r="G26" s="767" t="s">
        <v>3258</v>
      </c>
      <c r="H26" s="767"/>
      <c r="I26" s="770" t="s">
        <v>3282</v>
      </c>
      <c r="J26" s="767"/>
      <c r="K26" s="767" t="s">
        <v>3253</v>
      </c>
      <c r="L26" s="767" t="s">
        <v>3253</v>
      </c>
      <c r="M26" s="767"/>
      <c r="N26" s="767"/>
      <c r="O26" s="767"/>
      <c r="P26" s="767"/>
      <c r="Q26" s="767"/>
      <c r="R26" s="763" t="s">
        <v>3261</v>
      </c>
      <c r="S26" s="763" t="s">
        <v>3261</v>
      </c>
      <c r="T26" s="771" t="s">
        <v>3282</v>
      </c>
      <c r="U26" s="772"/>
    </row>
    <row r="27" spans="1:26" s="748" customFormat="1" ht="18" customHeight="1">
      <c r="A27" s="753" t="s">
        <v>3288</v>
      </c>
      <c r="B27" s="755"/>
      <c r="C27" s="756"/>
      <c r="D27" s="754"/>
      <c r="E27" s="754"/>
      <c r="F27" s="754"/>
      <c r="G27" s="754"/>
      <c r="H27" s="754"/>
      <c r="I27" s="757"/>
      <c r="J27" s="754"/>
      <c r="K27" s="754"/>
      <c r="L27" s="754"/>
      <c r="M27" s="754"/>
      <c r="N27" s="754"/>
      <c r="O27" s="754"/>
      <c r="P27" s="754"/>
      <c r="Q27" s="754"/>
      <c r="R27" s="755"/>
      <c r="S27" s="755"/>
      <c r="T27" s="757"/>
      <c r="U27" s="758"/>
      <c r="W27" s="749"/>
      <c r="X27" s="749"/>
      <c r="Y27" s="749"/>
      <c r="Z27" s="749"/>
    </row>
    <row r="28" spans="1:26" ht="18" customHeight="1">
      <c r="A28" s="744" t="s">
        <v>3289</v>
      </c>
      <c r="B28" s="13">
        <v>300</v>
      </c>
      <c r="C28" s="745" t="s">
        <v>3257</v>
      </c>
      <c r="E28" s="15" t="s">
        <v>3253</v>
      </c>
      <c r="F28" s="15" t="s">
        <v>3290</v>
      </c>
      <c r="G28" s="15" t="s">
        <v>3291</v>
      </c>
      <c r="I28" s="752" t="s">
        <v>3252</v>
      </c>
      <c r="J28" s="15" t="s">
        <v>3292</v>
      </c>
      <c r="K28" s="15" t="s">
        <v>3253</v>
      </c>
      <c r="L28" s="15" t="s">
        <v>3252</v>
      </c>
      <c r="M28" s="15" t="s">
        <v>2835</v>
      </c>
      <c r="O28" s="15" t="s">
        <v>3293</v>
      </c>
      <c r="R28" s="759" t="s">
        <v>3249</v>
      </c>
      <c r="S28" s="13" t="s">
        <v>3249</v>
      </c>
      <c r="T28" s="752" t="s">
        <v>3252</v>
      </c>
      <c r="U28" s="760" t="s">
        <v>3292</v>
      </c>
    </row>
    <row r="29" spans="1:26" ht="18" customHeight="1">
      <c r="A29" s="744" t="s">
        <v>3294</v>
      </c>
      <c r="B29" s="13">
        <v>300</v>
      </c>
      <c r="C29" s="745" t="s">
        <v>3257</v>
      </c>
      <c r="E29" s="15" t="s">
        <v>3253</v>
      </c>
      <c r="F29" s="15" t="s">
        <v>3290</v>
      </c>
      <c r="G29" s="15" t="s">
        <v>3291</v>
      </c>
      <c r="I29" s="752" t="s">
        <v>3252</v>
      </c>
      <c r="J29" s="15" t="s">
        <v>3292</v>
      </c>
      <c r="K29" s="15" t="s">
        <v>3253</v>
      </c>
      <c r="L29" s="15" t="s">
        <v>3252</v>
      </c>
      <c r="M29" s="15" t="s">
        <v>2835</v>
      </c>
      <c r="O29" s="15" t="s">
        <v>3293</v>
      </c>
      <c r="R29" s="13" t="s">
        <v>3227</v>
      </c>
      <c r="S29" s="13" t="s">
        <v>3249</v>
      </c>
      <c r="T29" s="752" t="s">
        <v>3252</v>
      </c>
      <c r="U29" s="760" t="s">
        <v>3292</v>
      </c>
    </row>
    <row r="30" spans="1:26" ht="18" customHeight="1">
      <c r="A30" s="744" t="s">
        <v>3295</v>
      </c>
      <c r="B30" s="13">
        <v>200</v>
      </c>
      <c r="C30" s="752" t="s">
        <v>3261</v>
      </c>
      <c r="E30" s="15" t="s">
        <v>3253</v>
      </c>
      <c r="F30" s="15" t="s">
        <v>3290</v>
      </c>
      <c r="G30" s="15" t="s">
        <v>3296</v>
      </c>
      <c r="I30" s="752" t="s">
        <v>3252</v>
      </c>
      <c r="J30" s="15" t="s">
        <v>3297</v>
      </c>
      <c r="K30" s="15" t="s">
        <v>3253</v>
      </c>
      <c r="L30" s="15" t="s">
        <v>3252</v>
      </c>
      <c r="M30" s="15" t="s">
        <v>2835</v>
      </c>
      <c r="O30" s="15" t="s">
        <v>3298</v>
      </c>
      <c r="R30" s="759" t="s">
        <v>3249</v>
      </c>
      <c r="S30" s="13" t="s">
        <v>3249</v>
      </c>
      <c r="T30" s="752" t="s">
        <v>3252</v>
      </c>
      <c r="U30" s="760" t="s">
        <v>3297</v>
      </c>
    </row>
    <row r="31" spans="1:26" ht="18" customHeight="1">
      <c r="A31" s="773" t="s">
        <v>3299</v>
      </c>
      <c r="B31" s="13">
        <v>300</v>
      </c>
      <c r="C31" s="745" t="s">
        <v>3261</v>
      </c>
      <c r="E31" s="15" t="s">
        <v>3252</v>
      </c>
      <c r="F31" s="15" t="s">
        <v>3290</v>
      </c>
      <c r="G31" s="15" t="s">
        <v>3291</v>
      </c>
      <c r="I31" s="752" t="s">
        <v>3252</v>
      </c>
      <c r="J31" s="15" t="s">
        <v>3292</v>
      </c>
      <c r="K31" s="15" t="s">
        <v>3252</v>
      </c>
      <c r="L31" s="15" t="s">
        <v>3252</v>
      </c>
      <c r="M31" s="15" t="s">
        <v>2835</v>
      </c>
      <c r="O31" s="15" t="s">
        <v>3300</v>
      </c>
      <c r="R31" s="13" t="s">
        <v>3227</v>
      </c>
      <c r="S31" s="13" t="s">
        <v>3249</v>
      </c>
      <c r="T31" s="752" t="s">
        <v>3252</v>
      </c>
      <c r="U31" s="760" t="s">
        <v>3292</v>
      </c>
    </row>
    <row r="32" spans="1:26" ht="18" customHeight="1">
      <c r="A32" s="744" t="s">
        <v>3301</v>
      </c>
      <c r="B32" s="13">
        <v>300</v>
      </c>
      <c r="C32" s="745" t="s">
        <v>3257</v>
      </c>
      <c r="E32" s="15" t="s">
        <v>3253</v>
      </c>
      <c r="F32" s="15" t="s">
        <v>3290</v>
      </c>
      <c r="G32" s="15" t="s">
        <v>3291</v>
      </c>
      <c r="I32" s="752" t="s">
        <v>3252</v>
      </c>
      <c r="J32" s="15" t="s">
        <v>3292</v>
      </c>
      <c r="K32" s="15" t="s">
        <v>3253</v>
      </c>
      <c r="L32" s="15" t="s">
        <v>3252</v>
      </c>
      <c r="M32" s="15" t="s">
        <v>2835</v>
      </c>
      <c r="O32" s="15" t="s">
        <v>3293</v>
      </c>
      <c r="R32" s="13" t="s">
        <v>3227</v>
      </c>
      <c r="S32" s="13" t="s">
        <v>3249</v>
      </c>
      <c r="T32" s="752" t="s">
        <v>3252</v>
      </c>
      <c r="U32" s="760" t="s">
        <v>3292</v>
      </c>
    </row>
    <row r="33" spans="1:26" ht="18" hidden="1" customHeight="1">
      <c r="A33" s="744" t="s">
        <v>3302</v>
      </c>
      <c r="B33" s="13">
        <v>300</v>
      </c>
      <c r="C33" s="745" t="s">
        <v>3257</v>
      </c>
      <c r="E33" s="15" t="s">
        <v>3253</v>
      </c>
      <c r="F33" s="15" t="s">
        <v>3290</v>
      </c>
      <c r="G33" s="15" t="s">
        <v>3279</v>
      </c>
      <c r="I33" s="752" t="s">
        <v>3252</v>
      </c>
      <c r="J33" s="15" t="s">
        <v>3292</v>
      </c>
      <c r="K33" s="15" t="s">
        <v>3253</v>
      </c>
      <c r="L33" s="15" t="s">
        <v>3252</v>
      </c>
      <c r="M33" s="15" t="s">
        <v>2835</v>
      </c>
      <c r="O33" s="15" t="s">
        <v>3293</v>
      </c>
      <c r="R33" s="13" t="s">
        <v>3227</v>
      </c>
      <c r="S33" s="13" t="s">
        <v>3249</v>
      </c>
      <c r="T33" s="752" t="s">
        <v>3252</v>
      </c>
      <c r="U33" s="760" t="s">
        <v>3292</v>
      </c>
    </row>
    <row r="34" spans="1:26" ht="18" customHeight="1" thickBot="1">
      <c r="A34" s="744" t="s">
        <v>3303</v>
      </c>
      <c r="B34" s="13">
        <v>300</v>
      </c>
      <c r="C34" s="745" t="s">
        <v>3257</v>
      </c>
      <c r="E34" s="15" t="s">
        <v>3253</v>
      </c>
      <c r="F34" s="15" t="s">
        <v>3290</v>
      </c>
      <c r="G34" s="15" t="s">
        <v>3304</v>
      </c>
      <c r="I34" s="752" t="s">
        <v>3252</v>
      </c>
      <c r="J34" s="15" t="s">
        <v>3292</v>
      </c>
      <c r="K34" s="15" t="s">
        <v>3253</v>
      </c>
      <c r="L34" s="15" t="s">
        <v>3252</v>
      </c>
      <c r="M34" s="15" t="s">
        <v>2835</v>
      </c>
      <c r="O34" s="15" t="s">
        <v>3293</v>
      </c>
      <c r="R34" s="13" t="s">
        <v>3227</v>
      </c>
      <c r="S34" s="13" t="s">
        <v>3249</v>
      </c>
      <c r="T34" s="752" t="s">
        <v>3252</v>
      </c>
      <c r="U34" s="760" t="s">
        <v>3292</v>
      </c>
    </row>
    <row r="35" spans="1:26" ht="18" hidden="1" customHeight="1" thickBot="1">
      <c r="A35" s="744" t="s">
        <v>3305</v>
      </c>
      <c r="B35" s="13">
        <v>300</v>
      </c>
      <c r="C35" s="745" t="s">
        <v>3257</v>
      </c>
      <c r="E35" s="15" t="s">
        <v>3253</v>
      </c>
      <c r="F35" s="15" t="s">
        <v>3306</v>
      </c>
      <c r="G35" s="15" t="s">
        <v>3307</v>
      </c>
      <c r="I35" s="752" t="s">
        <v>3252</v>
      </c>
      <c r="J35" s="15" t="s">
        <v>3292</v>
      </c>
      <c r="K35" s="15" t="s">
        <v>3253</v>
      </c>
      <c r="L35" s="15" t="s">
        <v>3252</v>
      </c>
      <c r="M35" s="15" t="s">
        <v>2835</v>
      </c>
      <c r="O35" s="15" t="s">
        <v>3293</v>
      </c>
      <c r="R35" s="13" t="s">
        <v>3227</v>
      </c>
      <c r="S35" s="13" t="s">
        <v>3227</v>
      </c>
      <c r="T35" s="752" t="s">
        <v>3252</v>
      </c>
      <c r="U35" s="760" t="s">
        <v>3292</v>
      </c>
    </row>
    <row r="36" spans="1:26" ht="18" hidden="1" customHeight="1">
      <c r="A36" s="744" t="s">
        <v>3308</v>
      </c>
      <c r="B36" s="13">
        <v>300</v>
      </c>
      <c r="C36" s="745" t="s">
        <v>3257</v>
      </c>
      <c r="E36" s="15" t="s">
        <v>3253</v>
      </c>
      <c r="F36" s="15" t="s">
        <v>3309</v>
      </c>
      <c r="G36" s="15" t="s">
        <v>3310</v>
      </c>
      <c r="I36" s="752" t="s">
        <v>3252</v>
      </c>
      <c r="J36" s="15" t="s">
        <v>3292</v>
      </c>
      <c r="K36" s="15" t="s">
        <v>3253</v>
      </c>
      <c r="L36" s="15" t="s">
        <v>3252</v>
      </c>
      <c r="M36" s="15" t="s">
        <v>2835</v>
      </c>
      <c r="O36" s="15" t="s">
        <v>3293</v>
      </c>
      <c r="R36" s="13" t="s">
        <v>3227</v>
      </c>
      <c r="S36" s="13" t="s">
        <v>3227</v>
      </c>
      <c r="T36" s="752" t="s">
        <v>3252</v>
      </c>
      <c r="U36" s="760" t="s">
        <v>3292</v>
      </c>
    </row>
    <row r="37" spans="1:26" s="748" customFormat="1" ht="18" customHeight="1">
      <c r="A37" s="753" t="s">
        <v>3311</v>
      </c>
      <c r="B37" s="755"/>
      <c r="C37" s="756"/>
      <c r="D37" s="754"/>
      <c r="E37" s="754"/>
      <c r="F37" s="754"/>
      <c r="G37" s="754"/>
      <c r="H37" s="754"/>
      <c r="I37" s="757"/>
      <c r="J37" s="754"/>
      <c r="K37" s="754"/>
      <c r="L37" s="754"/>
      <c r="M37" s="754"/>
      <c r="N37" s="754"/>
      <c r="O37" s="754"/>
      <c r="P37" s="754"/>
      <c r="Q37" s="754"/>
      <c r="R37" s="755"/>
      <c r="S37" s="755"/>
      <c r="T37" s="757"/>
      <c r="U37" s="758"/>
      <c r="W37" s="749"/>
      <c r="X37" s="749"/>
      <c r="Y37" s="749"/>
      <c r="Z37" s="749"/>
    </row>
    <row r="38" spans="1:26" ht="18" customHeight="1">
      <c r="A38" s="744" t="s">
        <v>3312</v>
      </c>
      <c r="B38" s="13">
        <v>200</v>
      </c>
      <c r="C38" s="745" t="s">
        <v>3257</v>
      </c>
      <c r="E38" s="15" t="s">
        <v>3252</v>
      </c>
      <c r="F38" s="15" t="s">
        <v>3290</v>
      </c>
      <c r="G38" s="15" t="s">
        <v>3313</v>
      </c>
      <c r="I38" s="752" t="s">
        <v>3252</v>
      </c>
      <c r="J38" s="15" t="s">
        <v>2835</v>
      </c>
      <c r="K38" s="15" t="s">
        <v>3314</v>
      </c>
      <c r="L38" s="15" t="s">
        <v>3252</v>
      </c>
      <c r="M38" s="15" t="s">
        <v>2835</v>
      </c>
      <c r="O38" s="15" t="s">
        <v>3315</v>
      </c>
      <c r="R38" s="13" t="s">
        <v>3261</v>
      </c>
      <c r="S38" s="13" t="s">
        <v>3316</v>
      </c>
      <c r="T38" s="752" t="s">
        <v>3252</v>
      </c>
      <c r="U38" s="760" t="s">
        <v>2835</v>
      </c>
    </row>
    <row r="39" spans="1:26" ht="18" customHeight="1">
      <c r="A39" s="744" t="s">
        <v>2928</v>
      </c>
      <c r="B39" s="13">
        <v>200</v>
      </c>
      <c r="C39" s="745" t="s">
        <v>3257</v>
      </c>
      <c r="E39" s="15" t="s">
        <v>3252</v>
      </c>
      <c r="F39" s="15" t="s">
        <v>3290</v>
      </c>
      <c r="G39" s="15" t="s">
        <v>3313</v>
      </c>
      <c r="I39" s="752" t="s">
        <v>3252</v>
      </c>
      <c r="J39" s="15" t="s">
        <v>2835</v>
      </c>
      <c r="K39" s="15" t="s">
        <v>3314</v>
      </c>
      <c r="L39" s="15" t="s">
        <v>3252</v>
      </c>
      <c r="M39" s="15" t="s">
        <v>2835</v>
      </c>
      <c r="O39" s="15" t="s">
        <v>3315</v>
      </c>
      <c r="R39" s="13" t="s">
        <v>3261</v>
      </c>
      <c r="S39" s="13" t="s">
        <v>3316</v>
      </c>
      <c r="T39" s="752" t="s">
        <v>3252</v>
      </c>
      <c r="U39" s="760" t="s">
        <v>2835</v>
      </c>
    </row>
    <row r="40" spans="1:26" ht="18" customHeight="1">
      <c r="A40" s="744" t="s">
        <v>3317</v>
      </c>
      <c r="B40" s="13">
        <v>200</v>
      </c>
      <c r="C40" s="745" t="s">
        <v>3257</v>
      </c>
      <c r="E40" s="15" t="s">
        <v>3252</v>
      </c>
      <c r="F40" s="15" t="s">
        <v>3290</v>
      </c>
      <c r="G40" s="15" t="s">
        <v>3313</v>
      </c>
      <c r="I40" s="752" t="s">
        <v>3252</v>
      </c>
      <c r="J40" s="15" t="s">
        <v>2835</v>
      </c>
      <c r="K40" s="15" t="s">
        <v>3314</v>
      </c>
      <c r="L40" s="15" t="s">
        <v>3252</v>
      </c>
      <c r="M40" s="15" t="s">
        <v>2835</v>
      </c>
      <c r="O40" s="15" t="s">
        <v>3315</v>
      </c>
      <c r="R40" s="13" t="s">
        <v>3261</v>
      </c>
      <c r="S40" s="13" t="s">
        <v>3316</v>
      </c>
      <c r="T40" s="752" t="s">
        <v>3252</v>
      </c>
      <c r="U40" s="760" t="s">
        <v>2835</v>
      </c>
    </row>
    <row r="41" spans="1:26" ht="18" customHeight="1">
      <c r="A41" s="744" t="s">
        <v>3318</v>
      </c>
      <c r="B41" s="13">
        <v>200</v>
      </c>
      <c r="C41" s="745" t="s">
        <v>3257</v>
      </c>
      <c r="E41" s="15" t="s">
        <v>3252</v>
      </c>
      <c r="F41" s="15" t="s">
        <v>3290</v>
      </c>
      <c r="G41" s="15" t="s">
        <v>3313</v>
      </c>
      <c r="I41" s="752" t="s">
        <v>3252</v>
      </c>
      <c r="J41" s="15" t="s">
        <v>2835</v>
      </c>
      <c r="K41" s="15" t="s">
        <v>3314</v>
      </c>
      <c r="L41" s="15" t="s">
        <v>3252</v>
      </c>
      <c r="M41" s="15" t="s">
        <v>2835</v>
      </c>
      <c r="O41" s="15" t="s">
        <v>3315</v>
      </c>
      <c r="R41" s="13" t="s">
        <v>3261</v>
      </c>
      <c r="S41" s="13" t="s">
        <v>3316</v>
      </c>
      <c r="T41" s="752" t="s">
        <v>3252</v>
      </c>
      <c r="U41" s="760" t="s">
        <v>2835</v>
      </c>
    </row>
    <row r="42" spans="1:26" ht="18" customHeight="1">
      <c r="A42" s="744" t="s">
        <v>3319</v>
      </c>
      <c r="B42" s="13">
        <v>200</v>
      </c>
      <c r="C42" s="745" t="s">
        <v>3257</v>
      </c>
      <c r="E42" s="15" t="s">
        <v>3252</v>
      </c>
      <c r="F42" s="15" t="s">
        <v>3290</v>
      </c>
      <c r="G42" s="15" t="s">
        <v>3313</v>
      </c>
      <c r="I42" s="752" t="s">
        <v>3252</v>
      </c>
      <c r="J42" s="15" t="s">
        <v>2835</v>
      </c>
      <c r="K42" s="15" t="s">
        <v>3314</v>
      </c>
      <c r="L42" s="15" t="s">
        <v>3252</v>
      </c>
      <c r="M42" s="15" t="s">
        <v>2835</v>
      </c>
      <c r="O42" s="15" t="s">
        <v>3315</v>
      </c>
      <c r="R42" s="13" t="s">
        <v>3261</v>
      </c>
      <c r="S42" s="13" t="s">
        <v>3316</v>
      </c>
      <c r="T42" s="752" t="s">
        <v>3252</v>
      </c>
      <c r="U42" s="760" t="s">
        <v>2835</v>
      </c>
    </row>
    <row r="43" spans="1:26" ht="18" customHeight="1" thickBot="1">
      <c r="A43" s="774" t="s">
        <v>3320</v>
      </c>
      <c r="B43" s="776">
        <v>200</v>
      </c>
      <c r="C43" s="769" t="s">
        <v>3257</v>
      </c>
      <c r="D43" s="775"/>
      <c r="E43" s="775" t="s">
        <v>3252</v>
      </c>
      <c r="F43" s="775" t="s">
        <v>3290</v>
      </c>
      <c r="G43" s="775" t="s">
        <v>3313</v>
      </c>
      <c r="H43" s="775"/>
      <c r="I43" s="777" t="s">
        <v>3252</v>
      </c>
      <c r="J43" s="775" t="s">
        <v>2835</v>
      </c>
      <c r="K43" s="775" t="s">
        <v>3314</v>
      </c>
      <c r="L43" s="775" t="s">
        <v>3252</v>
      </c>
      <c r="M43" s="775" t="s">
        <v>2835</v>
      </c>
      <c r="N43" s="775"/>
      <c r="O43" s="775" t="s">
        <v>3315</v>
      </c>
      <c r="P43" s="775"/>
      <c r="Q43" s="775"/>
      <c r="R43" s="13" t="s">
        <v>3261</v>
      </c>
      <c r="S43" s="13" t="s">
        <v>3316</v>
      </c>
      <c r="T43" s="777" t="s">
        <v>3252</v>
      </c>
      <c r="U43" s="772" t="s">
        <v>2835</v>
      </c>
    </row>
    <row r="44" spans="1:26" s="748" customFormat="1" ht="18" customHeight="1">
      <c r="A44" s="753" t="s">
        <v>3321</v>
      </c>
      <c r="B44" s="755"/>
      <c r="C44" s="756"/>
      <c r="D44" s="754"/>
      <c r="E44" s="754"/>
      <c r="F44" s="754"/>
      <c r="G44" s="754"/>
      <c r="H44" s="754"/>
      <c r="I44" s="757"/>
      <c r="J44" s="754"/>
      <c r="K44" s="754"/>
      <c r="L44" s="754"/>
      <c r="M44" s="754"/>
      <c r="N44" s="754"/>
      <c r="O44" s="754"/>
      <c r="P44" s="754"/>
      <c r="Q44" s="754"/>
      <c r="R44" s="755"/>
      <c r="S44" s="755"/>
      <c r="T44" s="757"/>
      <c r="U44" s="758"/>
      <c r="W44" s="749"/>
      <c r="X44" s="749"/>
      <c r="Y44" s="749"/>
      <c r="Z44" s="749"/>
    </row>
    <row r="45" spans="1:26" ht="18" customHeight="1">
      <c r="A45" s="744" t="s">
        <v>3322</v>
      </c>
      <c r="B45" s="13">
        <v>300</v>
      </c>
      <c r="C45" s="745" t="s">
        <v>3249</v>
      </c>
      <c r="E45" s="15" t="s">
        <v>3323</v>
      </c>
      <c r="F45" s="15" t="s">
        <v>2835</v>
      </c>
      <c r="G45" s="15" t="s">
        <v>3279</v>
      </c>
      <c r="I45" s="752" t="s">
        <v>3253</v>
      </c>
      <c r="J45" s="15" t="s">
        <v>3253</v>
      </c>
      <c r="K45" s="15" t="s">
        <v>3252</v>
      </c>
      <c r="L45" s="15" t="s">
        <v>2835</v>
      </c>
      <c r="N45" s="15" t="s">
        <v>3324</v>
      </c>
      <c r="O45" s="15" t="s">
        <v>3325</v>
      </c>
      <c r="R45" s="13" t="s">
        <v>3261</v>
      </c>
      <c r="S45" s="13" t="s">
        <v>3249</v>
      </c>
      <c r="T45" s="752" t="s">
        <v>3253</v>
      </c>
      <c r="U45" s="760" t="s">
        <v>3253</v>
      </c>
    </row>
    <row r="46" spans="1:26" ht="18" customHeight="1">
      <c r="A46" s="744" t="s">
        <v>3326</v>
      </c>
      <c r="B46" s="13">
        <v>300</v>
      </c>
      <c r="C46" s="745" t="s">
        <v>3249</v>
      </c>
      <c r="E46" s="15" t="s">
        <v>3323</v>
      </c>
      <c r="F46" s="15" t="s">
        <v>2835</v>
      </c>
      <c r="G46" s="15" t="s">
        <v>3279</v>
      </c>
      <c r="I46" s="752" t="s">
        <v>3253</v>
      </c>
      <c r="J46" s="15" t="s">
        <v>3253</v>
      </c>
      <c r="K46" s="15" t="s">
        <v>3252</v>
      </c>
      <c r="L46" s="15" t="s">
        <v>2835</v>
      </c>
      <c r="N46" s="15" t="s">
        <v>3324</v>
      </c>
      <c r="O46" s="15" t="s">
        <v>3325</v>
      </c>
      <c r="R46" s="13" t="s">
        <v>3261</v>
      </c>
      <c r="S46" s="13" t="s">
        <v>3249</v>
      </c>
      <c r="T46" s="752" t="s">
        <v>3253</v>
      </c>
      <c r="U46" s="760" t="s">
        <v>3253</v>
      </c>
    </row>
    <row r="47" spans="1:26" ht="18" customHeight="1">
      <c r="A47" s="744" t="s">
        <v>3327</v>
      </c>
      <c r="B47" s="13">
        <v>300</v>
      </c>
      <c r="C47" s="745" t="s">
        <v>3249</v>
      </c>
      <c r="E47" s="15" t="s">
        <v>3323</v>
      </c>
      <c r="F47" s="15" t="s">
        <v>2835</v>
      </c>
      <c r="G47" s="15" t="s">
        <v>3279</v>
      </c>
      <c r="I47" s="752" t="s">
        <v>3253</v>
      </c>
      <c r="J47" s="15" t="s">
        <v>3253</v>
      </c>
      <c r="K47" s="15" t="s">
        <v>3252</v>
      </c>
      <c r="L47" s="15" t="s">
        <v>2835</v>
      </c>
      <c r="R47" s="13" t="s">
        <v>3261</v>
      </c>
      <c r="S47" s="13" t="s">
        <v>3249</v>
      </c>
      <c r="T47" s="752" t="s">
        <v>3253</v>
      </c>
      <c r="U47" s="760" t="s">
        <v>3253</v>
      </c>
    </row>
    <row r="48" spans="1:26" ht="18" customHeight="1">
      <c r="A48" s="744" t="s">
        <v>3328</v>
      </c>
      <c r="B48" s="13">
        <v>300</v>
      </c>
      <c r="C48" s="745" t="s">
        <v>3249</v>
      </c>
      <c r="E48" s="15" t="s">
        <v>3323</v>
      </c>
      <c r="F48" s="15" t="s">
        <v>2835</v>
      </c>
      <c r="G48" s="15" t="s">
        <v>3279</v>
      </c>
      <c r="I48" s="752" t="s">
        <v>3253</v>
      </c>
      <c r="J48" s="15" t="s">
        <v>3253</v>
      </c>
      <c r="K48" s="15" t="s">
        <v>3252</v>
      </c>
      <c r="L48" s="15" t="s">
        <v>2835</v>
      </c>
      <c r="R48" s="13" t="s">
        <v>3261</v>
      </c>
      <c r="S48" s="13" t="s">
        <v>3249</v>
      </c>
      <c r="T48" s="752" t="s">
        <v>3253</v>
      </c>
      <c r="U48" s="760" t="s">
        <v>3253</v>
      </c>
    </row>
    <row r="49" spans="1:26" ht="18" customHeight="1" thickBot="1">
      <c r="A49" s="744" t="s">
        <v>3329</v>
      </c>
      <c r="B49" s="13">
        <v>300</v>
      </c>
      <c r="C49" s="745" t="s">
        <v>3249</v>
      </c>
      <c r="E49" s="15" t="s">
        <v>3323</v>
      </c>
      <c r="F49" s="15" t="s">
        <v>2835</v>
      </c>
      <c r="G49" s="15" t="s">
        <v>3279</v>
      </c>
      <c r="I49" s="752" t="s">
        <v>3253</v>
      </c>
      <c r="J49" s="15" t="s">
        <v>3253</v>
      </c>
      <c r="K49" s="15" t="s">
        <v>3252</v>
      </c>
      <c r="L49" s="15" t="s">
        <v>2835</v>
      </c>
      <c r="R49" s="13" t="s">
        <v>3261</v>
      </c>
      <c r="S49" s="13" t="s">
        <v>3249</v>
      </c>
      <c r="T49" s="752" t="s">
        <v>3253</v>
      </c>
      <c r="U49" s="760" t="s">
        <v>3253</v>
      </c>
    </row>
    <row r="50" spans="1:26" ht="18" hidden="1" customHeight="1" thickBot="1">
      <c r="A50" s="774" t="s">
        <v>3330</v>
      </c>
      <c r="B50" s="776"/>
      <c r="C50" s="769"/>
      <c r="D50" s="775"/>
      <c r="E50" s="775"/>
      <c r="F50" s="775"/>
      <c r="G50" s="775"/>
      <c r="H50" s="775"/>
      <c r="I50" s="777"/>
      <c r="J50" s="775"/>
      <c r="K50" s="775" t="s">
        <v>3252</v>
      </c>
      <c r="L50" s="775" t="s">
        <v>2835</v>
      </c>
      <c r="M50" s="775"/>
      <c r="N50" s="775"/>
      <c r="O50" s="775"/>
      <c r="P50" s="775"/>
      <c r="Q50" s="775"/>
      <c r="R50" s="776"/>
      <c r="S50" s="776"/>
      <c r="T50" s="777"/>
      <c r="U50" s="772"/>
    </row>
    <row r="51" spans="1:26" s="748" customFormat="1" ht="18" hidden="1" customHeight="1">
      <c r="A51" s="753" t="s">
        <v>3254</v>
      </c>
      <c r="B51" s="755"/>
      <c r="C51" s="756"/>
      <c r="D51" s="754"/>
      <c r="E51" s="754"/>
      <c r="F51" s="754"/>
      <c r="G51" s="754"/>
      <c r="H51" s="754"/>
      <c r="I51" s="757"/>
      <c r="J51" s="754"/>
      <c r="K51" s="754"/>
      <c r="L51" s="754"/>
      <c r="M51" s="754"/>
      <c r="N51" s="754"/>
      <c r="O51" s="754"/>
      <c r="P51" s="754"/>
      <c r="Q51" s="754"/>
      <c r="R51" s="755"/>
      <c r="S51" s="755"/>
      <c r="T51" s="757"/>
      <c r="U51" s="758"/>
      <c r="W51" s="749"/>
      <c r="X51" s="749"/>
      <c r="Y51" s="749"/>
      <c r="Z51" s="749"/>
    </row>
    <row r="52" spans="1:26" ht="18" hidden="1" customHeight="1">
      <c r="A52" s="773" t="s">
        <v>3331</v>
      </c>
      <c r="B52" s="13">
        <v>300</v>
      </c>
      <c r="C52" s="745" t="s">
        <v>3249</v>
      </c>
      <c r="E52" s="15" t="s">
        <v>3323</v>
      </c>
      <c r="F52" s="15" t="s">
        <v>2835</v>
      </c>
      <c r="G52" s="15" t="s">
        <v>3279</v>
      </c>
      <c r="I52" s="752" t="s">
        <v>3253</v>
      </c>
      <c r="J52" s="15" t="s">
        <v>3253</v>
      </c>
      <c r="K52" s="15" t="s">
        <v>3252</v>
      </c>
      <c r="L52" s="15" t="s">
        <v>2835</v>
      </c>
      <c r="N52" s="15" t="s">
        <v>3324</v>
      </c>
      <c r="O52" s="15" t="s">
        <v>3325</v>
      </c>
      <c r="R52" s="759" t="s">
        <v>2835</v>
      </c>
      <c r="S52" s="13" t="s">
        <v>3249</v>
      </c>
      <c r="T52" s="752" t="s">
        <v>3253</v>
      </c>
      <c r="U52" s="760" t="s">
        <v>3253</v>
      </c>
    </row>
    <row r="53" spans="1:26" ht="18" hidden="1" customHeight="1">
      <c r="A53" s="773" t="s">
        <v>3332</v>
      </c>
      <c r="B53" s="13">
        <v>300</v>
      </c>
      <c r="C53" s="745" t="s">
        <v>3249</v>
      </c>
      <c r="E53" s="15" t="s">
        <v>3323</v>
      </c>
      <c r="F53" s="15" t="s">
        <v>2835</v>
      </c>
      <c r="G53" s="15" t="s">
        <v>3279</v>
      </c>
      <c r="I53" s="752" t="s">
        <v>3253</v>
      </c>
      <c r="J53" s="15" t="s">
        <v>3253</v>
      </c>
      <c r="K53" s="15" t="s">
        <v>3252</v>
      </c>
      <c r="L53" s="15" t="s">
        <v>2835</v>
      </c>
      <c r="N53" s="15" t="s">
        <v>3324</v>
      </c>
      <c r="O53" s="15" t="s">
        <v>3325</v>
      </c>
      <c r="R53" s="759" t="s">
        <v>2835</v>
      </c>
      <c r="S53" s="13" t="s">
        <v>3249</v>
      </c>
      <c r="T53" s="752" t="s">
        <v>3253</v>
      </c>
      <c r="U53" s="760" t="s">
        <v>3253</v>
      </c>
    </row>
    <row r="54" spans="1:26" ht="18" hidden="1" customHeight="1">
      <c r="A54" s="773" t="s">
        <v>3333</v>
      </c>
      <c r="B54" s="13">
        <v>300</v>
      </c>
      <c r="C54" s="745" t="s">
        <v>3249</v>
      </c>
      <c r="E54" s="15" t="s">
        <v>3323</v>
      </c>
      <c r="F54" s="15" t="s">
        <v>2835</v>
      </c>
      <c r="G54" s="15" t="s">
        <v>3279</v>
      </c>
      <c r="I54" s="752" t="s">
        <v>3253</v>
      </c>
      <c r="J54" s="15" t="s">
        <v>3253</v>
      </c>
      <c r="K54" s="15" t="s">
        <v>3252</v>
      </c>
      <c r="L54" s="15" t="s">
        <v>2835</v>
      </c>
      <c r="R54" s="759" t="s">
        <v>2835</v>
      </c>
      <c r="S54" s="13" t="s">
        <v>3249</v>
      </c>
      <c r="T54" s="752" t="s">
        <v>3253</v>
      </c>
      <c r="U54" s="760" t="s">
        <v>3253</v>
      </c>
    </row>
    <row r="55" spans="1:26" ht="18" hidden="1" customHeight="1">
      <c r="A55" s="773" t="s">
        <v>3334</v>
      </c>
      <c r="B55" s="13">
        <v>300</v>
      </c>
      <c r="C55" s="745" t="s">
        <v>3249</v>
      </c>
      <c r="E55" s="15" t="s">
        <v>3323</v>
      </c>
      <c r="F55" s="15" t="s">
        <v>2835</v>
      </c>
      <c r="G55" s="15" t="s">
        <v>3279</v>
      </c>
      <c r="I55" s="752" t="s">
        <v>3253</v>
      </c>
      <c r="J55" s="15" t="s">
        <v>3253</v>
      </c>
      <c r="K55" s="15" t="s">
        <v>3252</v>
      </c>
      <c r="L55" s="15" t="s">
        <v>2835</v>
      </c>
      <c r="R55" s="759" t="s">
        <v>2835</v>
      </c>
      <c r="S55" s="13" t="s">
        <v>3249</v>
      </c>
      <c r="T55" s="752" t="s">
        <v>3253</v>
      </c>
      <c r="U55" s="760" t="s">
        <v>3253</v>
      </c>
    </row>
    <row r="56" spans="1:26" ht="18" hidden="1" customHeight="1">
      <c r="A56" s="773" t="s">
        <v>3335</v>
      </c>
      <c r="B56" s="13">
        <v>300</v>
      </c>
      <c r="C56" s="745" t="s">
        <v>3249</v>
      </c>
      <c r="E56" s="15" t="s">
        <v>3323</v>
      </c>
      <c r="F56" s="15" t="s">
        <v>2835</v>
      </c>
      <c r="G56" s="15" t="s">
        <v>3279</v>
      </c>
      <c r="I56" s="752" t="s">
        <v>3253</v>
      </c>
      <c r="J56" s="15" t="s">
        <v>3253</v>
      </c>
      <c r="K56" s="15" t="s">
        <v>3252</v>
      </c>
      <c r="L56" s="15" t="s">
        <v>2835</v>
      </c>
      <c r="R56" s="759" t="s">
        <v>2835</v>
      </c>
      <c r="S56" s="13" t="s">
        <v>3249</v>
      </c>
      <c r="T56" s="752" t="s">
        <v>3253</v>
      </c>
      <c r="U56" s="760" t="s">
        <v>3253</v>
      </c>
    </row>
    <row r="57" spans="1:26" s="748" customFormat="1" ht="18" customHeight="1">
      <c r="A57" s="753" t="s">
        <v>3336</v>
      </c>
      <c r="B57" s="755"/>
      <c r="C57" s="756"/>
      <c r="D57" s="754"/>
      <c r="E57" s="754"/>
      <c r="F57" s="754"/>
      <c r="G57" s="754"/>
      <c r="H57" s="754"/>
      <c r="I57" s="757"/>
      <c r="J57" s="754"/>
      <c r="K57" s="754"/>
      <c r="L57" s="754"/>
      <c r="M57" s="754"/>
      <c r="N57" s="754"/>
      <c r="O57" s="754"/>
      <c r="P57" s="754"/>
      <c r="Q57" s="754"/>
      <c r="R57" s="755"/>
      <c r="S57" s="755"/>
      <c r="T57" s="757"/>
      <c r="U57" s="758"/>
      <c r="W57" s="749"/>
      <c r="X57" s="749"/>
      <c r="Y57" s="749"/>
      <c r="Z57" s="749"/>
    </row>
    <row r="58" spans="1:26" ht="18" customHeight="1">
      <c r="A58" s="744" t="s">
        <v>3337</v>
      </c>
      <c r="B58" s="13">
        <v>200</v>
      </c>
      <c r="C58" s="745" t="s">
        <v>3261</v>
      </c>
      <c r="E58" s="15" t="s">
        <v>3252</v>
      </c>
      <c r="F58" s="15" t="s">
        <v>2835</v>
      </c>
      <c r="G58" s="15" t="s">
        <v>3338</v>
      </c>
      <c r="I58" s="752" t="s">
        <v>3253</v>
      </c>
      <c r="J58" s="15" t="s">
        <v>3253</v>
      </c>
      <c r="K58" s="15" t="s">
        <v>3253</v>
      </c>
      <c r="L58" s="15" t="s">
        <v>3253</v>
      </c>
      <c r="R58" s="13" t="s">
        <v>3261</v>
      </c>
      <c r="S58" s="13" t="s">
        <v>3227</v>
      </c>
      <c r="T58" s="752" t="s">
        <v>3253</v>
      </c>
      <c r="U58" s="760" t="s">
        <v>3253</v>
      </c>
    </row>
    <row r="59" spans="1:26" ht="18" customHeight="1">
      <c r="A59" s="744" t="s">
        <v>3339</v>
      </c>
      <c r="B59" s="13">
        <v>300</v>
      </c>
      <c r="C59" s="745" t="s">
        <v>3257</v>
      </c>
      <c r="E59" s="15" t="s">
        <v>3253</v>
      </c>
      <c r="F59" s="15" t="s">
        <v>3290</v>
      </c>
      <c r="G59" s="15" t="s">
        <v>3279</v>
      </c>
      <c r="I59" s="752" t="s">
        <v>3253</v>
      </c>
      <c r="J59" s="15" t="s">
        <v>3253</v>
      </c>
      <c r="K59" s="15" t="s">
        <v>3253</v>
      </c>
      <c r="L59" s="15" t="s">
        <v>3253</v>
      </c>
      <c r="R59" s="13" t="s">
        <v>3261</v>
      </c>
      <c r="S59" s="13" t="s">
        <v>3249</v>
      </c>
      <c r="T59" s="752" t="s">
        <v>3253</v>
      </c>
      <c r="U59" s="760" t="s">
        <v>3253</v>
      </c>
    </row>
    <row r="60" spans="1:26" ht="18" customHeight="1">
      <c r="A60" s="744" t="s">
        <v>3340</v>
      </c>
      <c r="B60" s="13">
        <v>300</v>
      </c>
      <c r="C60" s="745" t="s">
        <v>3257</v>
      </c>
      <c r="E60" s="15" t="s">
        <v>3253</v>
      </c>
      <c r="F60" s="15" t="s">
        <v>3290</v>
      </c>
      <c r="G60" s="15" t="s">
        <v>3279</v>
      </c>
      <c r="I60" s="752" t="s">
        <v>3253</v>
      </c>
      <c r="J60" s="15" t="s">
        <v>3253</v>
      </c>
      <c r="K60" s="15" t="s">
        <v>3253</v>
      </c>
      <c r="L60" s="15" t="s">
        <v>3253</v>
      </c>
      <c r="R60" s="13" t="s">
        <v>3261</v>
      </c>
      <c r="S60" s="13" t="s">
        <v>3249</v>
      </c>
      <c r="T60" s="752" t="s">
        <v>3253</v>
      </c>
      <c r="U60" s="760" t="s">
        <v>3253</v>
      </c>
    </row>
    <row r="61" spans="1:26" ht="18" customHeight="1">
      <c r="A61" s="744" t="s">
        <v>3341</v>
      </c>
      <c r="B61" s="13">
        <v>300</v>
      </c>
      <c r="C61" s="745" t="s">
        <v>3257</v>
      </c>
      <c r="E61" s="15" t="s">
        <v>3253</v>
      </c>
      <c r="F61" s="15" t="s">
        <v>3290</v>
      </c>
      <c r="G61" s="15" t="s">
        <v>3279</v>
      </c>
      <c r="I61" s="752" t="s">
        <v>3253</v>
      </c>
      <c r="J61" s="15" t="s">
        <v>3253</v>
      </c>
      <c r="K61" s="15" t="s">
        <v>3253</v>
      </c>
      <c r="L61" s="15" t="s">
        <v>3253</v>
      </c>
      <c r="R61" s="13" t="s">
        <v>3261</v>
      </c>
      <c r="S61" s="13" t="s">
        <v>3249</v>
      </c>
      <c r="T61" s="752" t="s">
        <v>3253</v>
      </c>
      <c r="U61" s="760" t="s">
        <v>3253</v>
      </c>
    </row>
    <row r="62" spans="1:26" ht="18" customHeight="1">
      <c r="A62" s="744" t="s">
        <v>3342</v>
      </c>
      <c r="B62" s="13">
        <v>300</v>
      </c>
      <c r="C62" s="745" t="s">
        <v>3257</v>
      </c>
      <c r="E62" s="15" t="s">
        <v>3253</v>
      </c>
      <c r="F62" s="15" t="s">
        <v>3290</v>
      </c>
      <c r="G62" s="15" t="s">
        <v>3279</v>
      </c>
      <c r="I62" s="752" t="s">
        <v>3253</v>
      </c>
      <c r="J62" s="15" t="s">
        <v>3253</v>
      </c>
      <c r="K62" s="15" t="s">
        <v>3253</v>
      </c>
      <c r="L62" s="15" t="s">
        <v>3253</v>
      </c>
      <c r="R62" s="13" t="s">
        <v>3261</v>
      </c>
      <c r="S62" s="13" t="s">
        <v>3249</v>
      </c>
      <c r="T62" s="752" t="s">
        <v>3253</v>
      </c>
      <c r="U62" s="760" t="s">
        <v>3253</v>
      </c>
    </row>
    <row r="63" spans="1:26" ht="18" customHeight="1">
      <c r="A63" s="744" t="s">
        <v>3343</v>
      </c>
      <c r="B63" s="13">
        <v>300</v>
      </c>
      <c r="C63" s="745" t="s">
        <v>3257</v>
      </c>
      <c r="E63" s="15" t="s">
        <v>3253</v>
      </c>
      <c r="F63" s="15" t="s">
        <v>3290</v>
      </c>
      <c r="G63" s="15" t="s">
        <v>3279</v>
      </c>
      <c r="I63" s="752" t="s">
        <v>3253</v>
      </c>
      <c r="J63" s="15" t="s">
        <v>3253</v>
      </c>
      <c r="K63" s="15" t="s">
        <v>3253</v>
      </c>
      <c r="L63" s="15" t="s">
        <v>3253</v>
      </c>
      <c r="R63" s="13" t="s">
        <v>3261</v>
      </c>
      <c r="S63" s="13" t="s">
        <v>3249</v>
      </c>
      <c r="T63" s="752" t="s">
        <v>3253</v>
      </c>
      <c r="U63" s="760" t="s">
        <v>3253</v>
      </c>
    </row>
    <row r="64" spans="1:26" ht="18" customHeight="1">
      <c r="A64" s="744" t="s">
        <v>3344</v>
      </c>
      <c r="B64" s="13">
        <v>300</v>
      </c>
      <c r="C64" s="745" t="s">
        <v>3257</v>
      </c>
      <c r="E64" s="15" t="s">
        <v>3253</v>
      </c>
      <c r="F64" s="15" t="s">
        <v>3290</v>
      </c>
      <c r="G64" s="15" t="s">
        <v>3279</v>
      </c>
      <c r="I64" s="752" t="s">
        <v>3253</v>
      </c>
      <c r="J64" s="15" t="s">
        <v>3253</v>
      </c>
      <c r="K64" s="15" t="s">
        <v>3253</v>
      </c>
      <c r="L64" s="15" t="s">
        <v>3253</v>
      </c>
      <c r="R64" s="13" t="s">
        <v>3261</v>
      </c>
      <c r="S64" s="13" t="s">
        <v>3249</v>
      </c>
      <c r="T64" s="752" t="s">
        <v>3253</v>
      </c>
      <c r="U64" s="760" t="s">
        <v>3253</v>
      </c>
    </row>
    <row r="65" spans="1:26" ht="18" customHeight="1" thickBot="1">
      <c r="A65" s="774" t="s">
        <v>3345</v>
      </c>
      <c r="B65" s="776">
        <v>300</v>
      </c>
      <c r="C65" s="769" t="s">
        <v>3257</v>
      </c>
      <c r="D65" s="775"/>
      <c r="E65" s="775" t="s">
        <v>3253</v>
      </c>
      <c r="F65" s="775" t="s">
        <v>3290</v>
      </c>
      <c r="G65" s="775" t="s">
        <v>3279</v>
      </c>
      <c r="H65" s="775"/>
      <c r="I65" s="777" t="s">
        <v>3253</v>
      </c>
      <c r="J65" s="775" t="s">
        <v>3253</v>
      </c>
      <c r="K65" s="775" t="s">
        <v>3253</v>
      </c>
      <c r="L65" s="775" t="s">
        <v>3253</v>
      </c>
      <c r="M65" s="775"/>
      <c r="N65" s="775"/>
      <c r="O65" s="775"/>
      <c r="P65" s="775"/>
      <c r="Q65" s="775"/>
      <c r="R65" s="13" t="s">
        <v>3261</v>
      </c>
      <c r="S65" s="13" t="s">
        <v>3249</v>
      </c>
      <c r="T65" s="777" t="s">
        <v>3253</v>
      </c>
      <c r="U65" s="772" t="s">
        <v>3253</v>
      </c>
    </row>
    <row r="66" spans="1:26" s="748" customFormat="1" ht="18" hidden="1" customHeight="1" thickBot="1">
      <c r="A66" s="753" t="s">
        <v>3346</v>
      </c>
      <c r="B66" s="755"/>
      <c r="C66" s="756"/>
      <c r="D66" s="754"/>
      <c r="E66" s="754"/>
      <c r="F66" s="754"/>
      <c r="G66" s="754"/>
      <c r="H66" s="754"/>
      <c r="I66" s="757"/>
      <c r="J66" s="754"/>
      <c r="K66" s="754"/>
      <c r="L66" s="754"/>
      <c r="M66" s="754"/>
      <c r="N66" s="754"/>
      <c r="O66" s="754"/>
      <c r="P66" s="754"/>
      <c r="Q66" s="754"/>
      <c r="R66" s="755"/>
      <c r="S66" s="755"/>
      <c r="T66" s="757"/>
      <c r="U66" s="758"/>
      <c r="W66" s="749"/>
      <c r="X66" s="749"/>
      <c r="Y66" s="749"/>
      <c r="Z66" s="749"/>
    </row>
    <row r="67" spans="1:26" ht="18" hidden="1" customHeight="1">
      <c r="A67" s="744" t="s">
        <v>3337</v>
      </c>
      <c r="B67" s="13">
        <v>200</v>
      </c>
      <c r="C67" s="745" t="s">
        <v>3261</v>
      </c>
      <c r="E67" s="15" t="s">
        <v>3252</v>
      </c>
      <c r="F67" s="15" t="s">
        <v>2835</v>
      </c>
      <c r="G67" s="15" t="s">
        <v>3338</v>
      </c>
      <c r="I67" s="752" t="s">
        <v>3253</v>
      </c>
      <c r="J67" s="15" t="s">
        <v>3253</v>
      </c>
      <c r="K67" s="15" t="s">
        <v>3253</v>
      </c>
      <c r="L67" s="15" t="s">
        <v>3253</v>
      </c>
      <c r="T67" s="752" t="s">
        <v>3253</v>
      </c>
      <c r="U67" s="760" t="s">
        <v>3253</v>
      </c>
    </row>
    <row r="68" spans="1:26" ht="18" hidden="1" customHeight="1">
      <c r="A68" s="744" t="s">
        <v>3339</v>
      </c>
      <c r="B68" s="13">
        <v>300</v>
      </c>
      <c r="C68" s="745" t="s">
        <v>3257</v>
      </c>
      <c r="E68" s="15" t="s">
        <v>3253</v>
      </c>
      <c r="F68" s="15" t="s">
        <v>3290</v>
      </c>
      <c r="G68" s="15" t="s">
        <v>3279</v>
      </c>
      <c r="I68" s="752" t="s">
        <v>3253</v>
      </c>
      <c r="J68" s="15" t="s">
        <v>3253</v>
      </c>
      <c r="K68" s="15" t="s">
        <v>3253</v>
      </c>
      <c r="L68" s="15" t="s">
        <v>3253</v>
      </c>
      <c r="T68" s="752" t="s">
        <v>3253</v>
      </c>
      <c r="U68" s="760" t="s">
        <v>3253</v>
      </c>
    </row>
    <row r="69" spans="1:26" ht="18" hidden="1" customHeight="1">
      <c r="A69" s="744" t="s">
        <v>3340</v>
      </c>
      <c r="B69" s="13">
        <v>300</v>
      </c>
      <c r="C69" s="745" t="s">
        <v>3257</v>
      </c>
      <c r="E69" s="15" t="s">
        <v>3253</v>
      </c>
      <c r="F69" s="15" t="s">
        <v>3290</v>
      </c>
      <c r="G69" s="15" t="s">
        <v>3279</v>
      </c>
      <c r="I69" s="752" t="s">
        <v>3253</v>
      </c>
      <c r="J69" s="15" t="s">
        <v>3253</v>
      </c>
      <c r="K69" s="15" t="s">
        <v>3253</v>
      </c>
      <c r="L69" s="15" t="s">
        <v>3253</v>
      </c>
      <c r="T69" s="752" t="s">
        <v>3253</v>
      </c>
      <c r="U69" s="760" t="s">
        <v>3253</v>
      </c>
    </row>
    <row r="70" spans="1:26" ht="18" hidden="1" customHeight="1">
      <c r="A70" s="744" t="s">
        <v>3341</v>
      </c>
      <c r="B70" s="13">
        <v>300</v>
      </c>
      <c r="C70" s="745" t="s">
        <v>3257</v>
      </c>
      <c r="E70" s="15" t="s">
        <v>3253</v>
      </c>
      <c r="F70" s="15" t="s">
        <v>3290</v>
      </c>
      <c r="G70" s="15" t="s">
        <v>3279</v>
      </c>
      <c r="I70" s="752" t="s">
        <v>3253</v>
      </c>
      <c r="J70" s="15" t="s">
        <v>3253</v>
      </c>
      <c r="K70" s="15" t="s">
        <v>3253</v>
      </c>
      <c r="L70" s="15" t="s">
        <v>3253</v>
      </c>
      <c r="T70" s="752" t="s">
        <v>3253</v>
      </c>
      <c r="U70" s="760" t="s">
        <v>3253</v>
      </c>
    </row>
    <row r="71" spans="1:26" ht="18" hidden="1" customHeight="1">
      <c r="A71" s="744" t="s">
        <v>3342</v>
      </c>
      <c r="B71" s="13">
        <v>300</v>
      </c>
      <c r="C71" s="745" t="s">
        <v>3257</v>
      </c>
      <c r="E71" s="15" t="s">
        <v>3253</v>
      </c>
      <c r="F71" s="15" t="s">
        <v>3290</v>
      </c>
      <c r="G71" s="15" t="s">
        <v>3279</v>
      </c>
      <c r="I71" s="752" t="s">
        <v>3253</v>
      </c>
      <c r="J71" s="15" t="s">
        <v>3253</v>
      </c>
      <c r="K71" s="15" t="s">
        <v>3253</v>
      </c>
      <c r="L71" s="15" t="s">
        <v>3253</v>
      </c>
      <c r="T71" s="752" t="s">
        <v>3253</v>
      </c>
      <c r="U71" s="760" t="s">
        <v>3253</v>
      </c>
    </row>
    <row r="72" spans="1:26" ht="18" hidden="1" customHeight="1">
      <c r="A72" s="744" t="s">
        <v>3343</v>
      </c>
      <c r="B72" s="13">
        <v>300</v>
      </c>
      <c r="C72" s="745" t="s">
        <v>3257</v>
      </c>
      <c r="E72" s="15" t="s">
        <v>3253</v>
      </c>
      <c r="F72" s="15" t="s">
        <v>3290</v>
      </c>
      <c r="G72" s="15" t="s">
        <v>3279</v>
      </c>
      <c r="I72" s="752" t="s">
        <v>3253</v>
      </c>
      <c r="J72" s="15" t="s">
        <v>3253</v>
      </c>
      <c r="K72" s="15" t="s">
        <v>3253</v>
      </c>
      <c r="L72" s="15" t="s">
        <v>3253</v>
      </c>
      <c r="T72" s="752" t="s">
        <v>3253</v>
      </c>
      <c r="U72" s="760" t="s">
        <v>3253</v>
      </c>
    </row>
    <row r="73" spans="1:26" ht="18" hidden="1" customHeight="1">
      <c r="A73" s="744" t="s">
        <v>3344</v>
      </c>
      <c r="B73" s="13">
        <v>300</v>
      </c>
      <c r="C73" s="745" t="s">
        <v>3257</v>
      </c>
      <c r="E73" s="15" t="s">
        <v>3253</v>
      </c>
      <c r="F73" s="15" t="s">
        <v>3290</v>
      </c>
      <c r="G73" s="15" t="s">
        <v>3279</v>
      </c>
      <c r="I73" s="752" t="s">
        <v>3253</v>
      </c>
      <c r="J73" s="15" t="s">
        <v>3253</v>
      </c>
      <c r="K73" s="15" t="s">
        <v>3253</v>
      </c>
      <c r="L73" s="15" t="s">
        <v>3253</v>
      </c>
      <c r="T73" s="752" t="s">
        <v>3253</v>
      </c>
      <c r="U73" s="760" t="s">
        <v>3253</v>
      </c>
    </row>
    <row r="74" spans="1:26" ht="18" hidden="1" customHeight="1">
      <c r="A74" s="774" t="s">
        <v>3345</v>
      </c>
      <c r="B74" s="776">
        <v>300</v>
      </c>
      <c r="C74" s="769" t="s">
        <v>3257</v>
      </c>
      <c r="D74" s="775"/>
      <c r="E74" s="775" t="s">
        <v>3253</v>
      </c>
      <c r="F74" s="775" t="s">
        <v>3290</v>
      </c>
      <c r="G74" s="775" t="s">
        <v>3279</v>
      </c>
      <c r="H74" s="775"/>
      <c r="I74" s="777" t="s">
        <v>3253</v>
      </c>
      <c r="J74" s="775" t="s">
        <v>3253</v>
      </c>
      <c r="K74" s="775" t="s">
        <v>3253</v>
      </c>
      <c r="L74" s="775" t="s">
        <v>3253</v>
      </c>
      <c r="M74" s="775"/>
      <c r="N74" s="775"/>
      <c r="O74" s="775"/>
      <c r="P74" s="775"/>
      <c r="Q74" s="775"/>
      <c r="R74" s="776"/>
      <c r="S74" s="776"/>
      <c r="T74" s="777" t="s">
        <v>3253</v>
      </c>
      <c r="U74" s="772" t="s">
        <v>3253</v>
      </c>
    </row>
    <row r="75" spans="1:26" s="748" customFormat="1" ht="18" customHeight="1">
      <c r="A75" s="753" t="s">
        <v>3347</v>
      </c>
      <c r="B75" s="755"/>
      <c r="C75" s="756"/>
      <c r="D75" s="754"/>
      <c r="E75" s="754"/>
      <c r="F75" s="754"/>
      <c r="G75" s="754"/>
      <c r="H75" s="754"/>
      <c r="I75" s="757"/>
      <c r="J75" s="754"/>
      <c r="K75" s="754"/>
      <c r="L75" s="754"/>
      <c r="M75" s="754"/>
      <c r="N75" s="754"/>
      <c r="O75" s="754"/>
      <c r="P75" s="754"/>
      <c r="Q75" s="754"/>
      <c r="R75" s="755"/>
      <c r="S75" s="755"/>
      <c r="T75" s="757"/>
      <c r="U75" s="758"/>
      <c r="W75" s="749"/>
      <c r="X75" s="749"/>
      <c r="Y75" s="749"/>
      <c r="Z75" s="749"/>
    </row>
    <row r="76" spans="1:26" ht="18" customHeight="1">
      <c r="A76" s="744" t="s">
        <v>3348</v>
      </c>
      <c r="B76" s="13">
        <v>300</v>
      </c>
      <c r="C76" s="745" t="s">
        <v>3257</v>
      </c>
      <c r="E76" s="15" t="s">
        <v>3253</v>
      </c>
      <c r="F76" s="15" t="s">
        <v>3290</v>
      </c>
      <c r="G76" s="15" t="s">
        <v>3279</v>
      </c>
      <c r="I76" s="752" t="s">
        <v>3253</v>
      </c>
      <c r="J76" s="15" t="s">
        <v>3253</v>
      </c>
      <c r="K76" s="15" t="s">
        <v>3253</v>
      </c>
      <c r="L76" s="15" t="s">
        <v>3253</v>
      </c>
      <c r="R76" s="13" t="s">
        <v>3261</v>
      </c>
      <c r="S76" s="13" t="s">
        <v>3249</v>
      </c>
      <c r="T76" s="752" t="s">
        <v>3253</v>
      </c>
      <c r="U76" s="760" t="s">
        <v>3253</v>
      </c>
    </row>
    <row r="77" spans="1:26" ht="18" customHeight="1">
      <c r="A77" s="744" t="s">
        <v>3349</v>
      </c>
      <c r="B77" s="13">
        <v>300</v>
      </c>
      <c r="C77" s="745" t="s">
        <v>3257</v>
      </c>
      <c r="E77" s="15" t="s">
        <v>3253</v>
      </c>
      <c r="F77" s="15" t="s">
        <v>3290</v>
      </c>
      <c r="G77" s="15" t="s">
        <v>3279</v>
      </c>
      <c r="I77" s="752" t="s">
        <v>3253</v>
      </c>
      <c r="J77" s="15" t="s">
        <v>3253</v>
      </c>
      <c r="K77" s="15" t="s">
        <v>3253</v>
      </c>
      <c r="L77" s="15" t="s">
        <v>3253</v>
      </c>
      <c r="R77" s="13" t="s">
        <v>3261</v>
      </c>
      <c r="S77" s="13" t="s">
        <v>3249</v>
      </c>
      <c r="T77" s="752" t="s">
        <v>3253</v>
      </c>
      <c r="U77" s="760" t="s">
        <v>3253</v>
      </c>
    </row>
    <row r="78" spans="1:26" ht="18" customHeight="1">
      <c r="A78" s="744" t="s">
        <v>3350</v>
      </c>
      <c r="B78" s="13">
        <v>300</v>
      </c>
      <c r="C78" s="745" t="s">
        <v>3257</v>
      </c>
      <c r="E78" s="15" t="s">
        <v>3253</v>
      </c>
      <c r="F78" s="15" t="s">
        <v>3290</v>
      </c>
      <c r="G78" s="15" t="s">
        <v>3279</v>
      </c>
      <c r="I78" s="752" t="s">
        <v>3253</v>
      </c>
      <c r="J78" s="15" t="s">
        <v>3253</v>
      </c>
      <c r="K78" s="15" t="s">
        <v>3253</v>
      </c>
      <c r="L78" s="15" t="s">
        <v>3253</v>
      </c>
      <c r="R78" s="13" t="s">
        <v>3261</v>
      </c>
      <c r="S78" s="13" t="s">
        <v>3249</v>
      </c>
      <c r="T78" s="752" t="s">
        <v>3253</v>
      </c>
      <c r="U78" s="760" t="s">
        <v>3253</v>
      </c>
    </row>
    <row r="79" spans="1:26" ht="18" customHeight="1">
      <c r="A79" s="744" t="s">
        <v>3351</v>
      </c>
      <c r="B79" s="13">
        <v>300</v>
      </c>
      <c r="C79" s="745" t="s">
        <v>3257</v>
      </c>
      <c r="E79" s="15" t="s">
        <v>3253</v>
      </c>
      <c r="F79" s="15" t="s">
        <v>3290</v>
      </c>
      <c r="G79" s="15" t="s">
        <v>3279</v>
      </c>
      <c r="I79" s="752" t="s">
        <v>3253</v>
      </c>
      <c r="J79" s="15" t="s">
        <v>3253</v>
      </c>
      <c r="K79" s="15" t="s">
        <v>3253</v>
      </c>
      <c r="L79" s="15" t="s">
        <v>3253</v>
      </c>
      <c r="R79" s="13" t="s">
        <v>3261</v>
      </c>
      <c r="S79" s="13" t="s">
        <v>3249</v>
      </c>
      <c r="T79" s="752" t="s">
        <v>3253</v>
      </c>
      <c r="U79" s="760" t="s">
        <v>3253</v>
      </c>
    </row>
    <row r="80" spans="1:26" ht="18" customHeight="1">
      <c r="A80" s="744" t="s">
        <v>3352</v>
      </c>
      <c r="B80" s="13">
        <v>300</v>
      </c>
      <c r="C80" s="745" t="s">
        <v>3257</v>
      </c>
      <c r="E80" s="15" t="s">
        <v>3253</v>
      </c>
      <c r="F80" s="15" t="s">
        <v>3290</v>
      </c>
      <c r="G80" s="15" t="s">
        <v>3279</v>
      </c>
      <c r="I80" s="752" t="s">
        <v>3253</v>
      </c>
      <c r="J80" s="15" t="s">
        <v>3253</v>
      </c>
      <c r="K80" s="15" t="s">
        <v>3253</v>
      </c>
      <c r="L80" s="15" t="s">
        <v>3253</v>
      </c>
      <c r="R80" s="13" t="s">
        <v>3261</v>
      </c>
      <c r="S80" s="13" t="s">
        <v>3249</v>
      </c>
      <c r="T80" s="752" t="s">
        <v>3253</v>
      </c>
      <c r="U80" s="760" t="s">
        <v>3253</v>
      </c>
    </row>
    <row r="81" spans="1:26" ht="18" customHeight="1">
      <c r="A81" s="744" t="s">
        <v>3353</v>
      </c>
      <c r="B81" s="13">
        <v>300</v>
      </c>
      <c r="C81" s="745" t="s">
        <v>3257</v>
      </c>
      <c r="E81" s="15" t="s">
        <v>3253</v>
      </c>
      <c r="F81" s="15" t="s">
        <v>3290</v>
      </c>
      <c r="G81" s="15" t="s">
        <v>3279</v>
      </c>
      <c r="I81" s="752" t="s">
        <v>3253</v>
      </c>
      <c r="J81" s="15" t="s">
        <v>3253</v>
      </c>
      <c r="K81" s="15" t="s">
        <v>3253</v>
      </c>
      <c r="L81" s="15" t="s">
        <v>3253</v>
      </c>
      <c r="R81" s="13" t="s">
        <v>3261</v>
      </c>
      <c r="S81" s="13" t="s">
        <v>3249</v>
      </c>
      <c r="T81" s="752" t="s">
        <v>3253</v>
      </c>
      <c r="U81" s="760" t="s">
        <v>3253</v>
      </c>
    </row>
    <row r="82" spans="1:26" ht="18" customHeight="1">
      <c r="A82" s="744" t="s">
        <v>3354</v>
      </c>
      <c r="B82" s="13">
        <v>300</v>
      </c>
      <c r="C82" s="745" t="s">
        <v>3257</v>
      </c>
      <c r="E82" s="15" t="s">
        <v>3253</v>
      </c>
      <c r="F82" s="15" t="s">
        <v>3290</v>
      </c>
      <c r="G82" s="15" t="s">
        <v>3279</v>
      </c>
      <c r="I82" s="752" t="s">
        <v>3253</v>
      </c>
      <c r="J82" s="15" t="s">
        <v>3253</v>
      </c>
      <c r="K82" s="15" t="s">
        <v>3253</v>
      </c>
      <c r="L82" s="15" t="s">
        <v>3253</v>
      </c>
      <c r="R82" s="13" t="s">
        <v>3261</v>
      </c>
      <c r="S82" s="13" t="s">
        <v>3249</v>
      </c>
      <c r="T82" s="752" t="s">
        <v>3253</v>
      </c>
      <c r="U82" s="760" t="s">
        <v>3253</v>
      </c>
    </row>
    <row r="83" spans="1:26" ht="18" customHeight="1">
      <c r="A83" s="744" t="s">
        <v>3355</v>
      </c>
      <c r="B83" s="13">
        <v>300</v>
      </c>
      <c r="C83" s="745" t="s">
        <v>3257</v>
      </c>
      <c r="E83" s="15" t="s">
        <v>3253</v>
      </c>
      <c r="F83" s="15" t="s">
        <v>3290</v>
      </c>
      <c r="G83" s="15" t="s">
        <v>3279</v>
      </c>
      <c r="I83" s="752" t="s">
        <v>3253</v>
      </c>
      <c r="J83" s="15" t="s">
        <v>3253</v>
      </c>
      <c r="K83" s="15" t="s">
        <v>3253</v>
      </c>
      <c r="L83" s="15" t="s">
        <v>3253</v>
      </c>
      <c r="R83" s="13" t="s">
        <v>3261</v>
      </c>
      <c r="S83" s="13" t="s">
        <v>3249</v>
      </c>
      <c r="T83" s="752" t="s">
        <v>3253</v>
      </c>
      <c r="U83" s="760" t="s">
        <v>3253</v>
      </c>
    </row>
    <row r="84" spans="1:26" ht="18" customHeight="1">
      <c r="A84" s="744" t="s">
        <v>3356</v>
      </c>
      <c r="B84" s="13">
        <v>300</v>
      </c>
      <c r="C84" s="745" t="s">
        <v>3257</v>
      </c>
      <c r="E84" s="15" t="s">
        <v>3253</v>
      </c>
      <c r="F84" s="15" t="s">
        <v>3290</v>
      </c>
      <c r="G84" s="15" t="s">
        <v>3279</v>
      </c>
      <c r="I84" s="752" t="s">
        <v>3253</v>
      </c>
      <c r="J84" s="15" t="s">
        <v>3253</v>
      </c>
      <c r="K84" s="15" t="s">
        <v>3253</v>
      </c>
      <c r="L84" s="15" t="s">
        <v>3253</v>
      </c>
      <c r="R84" s="13" t="s">
        <v>3261</v>
      </c>
      <c r="S84" s="13" t="s">
        <v>3249</v>
      </c>
      <c r="T84" s="752" t="s">
        <v>3253</v>
      </c>
      <c r="U84" s="760" t="s">
        <v>3253</v>
      </c>
    </row>
    <row r="85" spans="1:26" ht="18" customHeight="1">
      <c r="A85" s="744" t="s">
        <v>3357</v>
      </c>
      <c r="B85" s="13">
        <v>300</v>
      </c>
      <c r="C85" s="745" t="s">
        <v>3257</v>
      </c>
      <c r="E85" s="15" t="s">
        <v>3253</v>
      </c>
      <c r="F85" s="15" t="s">
        <v>3290</v>
      </c>
      <c r="G85" s="15" t="s">
        <v>3279</v>
      </c>
      <c r="I85" s="752" t="s">
        <v>3253</v>
      </c>
      <c r="J85" s="15" t="s">
        <v>3253</v>
      </c>
      <c r="K85" s="15" t="s">
        <v>3253</v>
      </c>
      <c r="L85" s="15" t="s">
        <v>3253</v>
      </c>
      <c r="R85" s="13" t="s">
        <v>3261</v>
      </c>
      <c r="S85" s="13" t="s">
        <v>3249</v>
      </c>
      <c r="T85" s="752" t="s">
        <v>3253</v>
      </c>
      <c r="U85" s="760" t="s">
        <v>3253</v>
      </c>
    </row>
    <row r="86" spans="1:26" ht="18" customHeight="1">
      <c r="A86" s="744" t="s">
        <v>3358</v>
      </c>
      <c r="B86" s="13">
        <v>300</v>
      </c>
      <c r="C86" s="745" t="s">
        <v>3257</v>
      </c>
      <c r="E86" s="15" t="s">
        <v>3253</v>
      </c>
      <c r="F86" s="15" t="s">
        <v>3290</v>
      </c>
      <c r="G86" s="15" t="s">
        <v>3279</v>
      </c>
      <c r="I86" s="752" t="s">
        <v>3253</v>
      </c>
      <c r="J86" s="15" t="s">
        <v>3253</v>
      </c>
      <c r="K86" s="15" t="s">
        <v>3253</v>
      </c>
      <c r="L86" s="15" t="s">
        <v>3253</v>
      </c>
      <c r="R86" s="13" t="s">
        <v>3261</v>
      </c>
      <c r="S86" s="13" t="s">
        <v>3261</v>
      </c>
      <c r="T86" s="752" t="s">
        <v>3253</v>
      </c>
      <c r="U86" s="760" t="s">
        <v>3253</v>
      </c>
    </row>
    <row r="87" spans="1:26" ht="18" customHeight="1" thickBot="1">
      <c r="A87" s="774" t="s">
        <v>3359</v>
      </c>
      <c r="B87" s="776">
        <v>300</v>
      </c>
      <c r="C87" s="769" t="s">
        <v>3257</v>
      </c>
      <c r="D87" s="775"/>
      <c r="E87" s="775" t="s">
        <v>3253</v>
      </c>
      <c r="F87" s="775" t="s">
        <v>3290</v>
      </c>
      <c r="G87" s="775" t="s">
        <v>3279</v>
      </c>
      <c r="H87" s="775"/>
      <c r="I87" s="777" t="s">
        <v>3253</v>
      </c>
      <c r="J87" s="775" t="s">
        <v>3253</v>
      </c>
      <c r="K87" s="775" t="s">
        <v>3253</v>
      </c>
      <c r="L87" s="775" t="s">
        <v>3253</v>
      </c>
      <c r="M87" s="775"/>
      <c r="N87" s="775"/>
      <c r="O87" s="775"/>
      <c r="P87" s="775"/>
      <c r="Q87" s="775"/>
      <c r="R87" s="13" t="s">
        <v>3261</v>
      </c>
      <c r="S87" s="13" t="s">
        <v>3249</v>
      </c>
      <c r="T87" s="777" t="s">
        <v>3253</v>
      </c>
      <c r="U87" s="772" t="s">
        <v>3253</v>
      </c>
    </row>
    <row r="88" spans="1:26" s="748" customFormat="1" ht="18" customHeight="1">
      <c r="A88" s="753" t="s">
        <v>3360</v>
      </c>
      <c r="B88" s="755"/>
      <c r="C88" s="756"/>
      <c r="D88" s="754"/>
      <c r="E88" s="754"/>
      <c r="F88" s="754"/>
      <c r="G88" s="754"/>
      <c r="H88" s="754"/>
      <c r="I88" s="757"/>
      <c r="J88" s="754"/>
      <c r="K88" s="754"/>
      <c r="L88" s="754"/>
      <c r="M88" s="754"/>
      <c r="N88" s="754"/>
      <c r="O88" s="754"/>
      <c r="P88" s="754"/>
      <c r="Q88" s="754"/>
      <c r="R88" s="755"/>
      <c r="S88" s="755"/>
      <c r="T88" s="757"/>
      <c r="U88" s="758"/>
      <c r="W88" s="749"/>
      <c r="X88" s="749"/>
      <c r="Y88" s="749"/>
      <c r="Z88" s="749"/>
    </row>
    <row r="89" spans="1:26" ht="18" customHeight="1">
      <c r="A89" s="744" t="s">
        <v>3361</v>
      </c>
      <c r="B89" s="13">
        <v>300</v>
      </c>
      <c r="C89" s="745" t="s">
        <v>3257</v>
      </c>
      <c r="E89" s="15" t="s">
        <v>3253</v>
      </c>
      <c r="F89" s="15" t="s">
        <v>3290</v>
      </c>
      <c r="G89" s="15" t="s">
        <v>3279</v>
      </c>
      <c r="I89" s="752" t="s">
        <v>3253</v>
      </c>
      <c r="J89" s="15" t="s">
        <v>3253</v>
      </c>
      <c r="K89" s="15" t="s">
        <v>3253</v>
      </c>
      <c r="L89" s="15" t="s">
        <v>3253</v>
      </c>
      <c r="R89" s="13" t="s">
        <v>3261</v>
      </c>
      <c r="S89" s="13" t="s">
        <v>3249</v>
      </c>
      <c r="T89" s="752" t="s">
        <v>3253</v>
      </c>
      <c r="U89" s="760" t="s">
        <v>3253</v>
      </c>
    </row>
    <row r="90" spans="1:26" ht="18" customHeight="1">
      <c r="A90" s="744" t="s">
        <v>3362</v>
      </c>
      <c r="B90" s="13">
        <v>301</v>
      </c>
      <c r="C90" s="745" t="s">
        <v>3257</v>
      </c>
      <c r="E90" s="15" t="s">
        <v>3253</v>
      </c>
      <c r="F90" s="15" t="s">
        <v>3290</v>
      </c>
      <c r="G90" s="15" t="s">
        <v>3279</v>
      </c>
      <c r="I90" s="752" t="s">
        <v>3253</v>
      </c>
      <c r="J90" s="15" t="s">
        <v>3253</v>
      </c>
      <c r="K90" s="15" t="s">
        <v>3253</v>
      </c>
      <c r="L90" s="15" t="s">
        <v>3253</v>
      </c>
      <c r="R90" s="13" t="s">
        <v>3261</v>
      </c>
      <c r="S90" s="13" t="s">
        <v>3249</v>
      </c>
      <c r="T90" s="752" t="s">
        <v>3253</v>
      </c>
      <c r="U90" s="760" t="s">
        <v>3253</v>
      </c>
    </row>
    <row r="91" spans="1:26" ht="18" customHeight="1">
      <c r="A91" s="773" t="s">
        <v>3363</v>
      </c>
      <c r="B91" s="13">
        <v>300</v>
      </c>
      <c r="C91" s="745" t="s">
        <v>3257</v>
      </c>
      <c r="E91" s="15" t="s">
        <v>3253</v>
      </c>
      <c r="F91" s="15" t="s">
        <v>3290</v>
      </c>
      <c r="G91" s="15" t="s">
        <v>3279</v>
      </c>
      <c r="I91" s="752" t="s">
        <v>3253</v>
      </c>
      <c r="J91" s="15" t="s">
        <v>3253</v>
      </c>
      <c r="K91" s="15" t="s">
        <v>3253</v>
      </c>
      <c r="L91" s="15" t="s">
        <v>3253</v>
      </c>
      <c r="R91" s="13" t="s">
        <v>3261</v>
      </c>
      <c r="S91" s="759" t="s">
        <v>3364</v>
      </c>
      <c r="T91" s="752" t="s">
        <v>3253</v>
      </c>
      <c r="U91" s="760" t="s">
        <v>3253</v>
      </c>
    </row>
    <row r="92" spans="1:26" ht="18" customHeight="1">
      <c r="A92" s="744" t="s">
        <v>3365</v>
      </c>
      <c r="B92" s="13">
        <v>300</v>
      </c>
      <c r="C92" s="745" t="s">
        <v>3257</v>
      </c>
      <c r="E92" s="15" t="s">
        <v>3253</v>
      </c>
      <c r="F92" s="15" t="s">
        <v>3290</v>
      </c>
      <c r="G92" s="15" t="s">
        <v>3279</v>
      </c>
      <c r="I92" s="752" t="s">
        <v>3253</v>
      </c>
      <c r="J92" s="15" t="s">
        <v>3253</v>
      </c>
      <c r="K92" s="15" t="s">
        <v>3253</v>
      </c>
      <c r="L92" s="15" t="s">
        <v>3253</v>
      </c>
      <c r="R92" s="13" t="s">
        <v>3261</v>
      </c>
      <c r="S92" s="759" t="s">
        <v>3364</v>
      </c>
      <c r="T92" s="752" t="s">
        <v>3253</v>
      </c>
      <c r="U92" s="760" t="s">
        <v>3253</v>
      </c>
    </row>
    <row r="93" spans="1:26" ht="18" customHeight="1">
      <c r="A93" s="773" t="s">
        <v>3366</v>
      </c>
      <c r="B93" s="13">
        <v>300</v>
      </c>
      <c r="C93" s="745" t="s">
        <v>3257</v>
      </c>
      <c r="E93" s="15" t="s">
        <v>3252</v>
      </c>
      <c r="F93" s="15" t="s">
        <v>2835</v>
      </c>
      <c r="G93" s="15" t="s">
        <v>3279</v>
      </c>
      <c r="I93" s="752" t="s">
        <v>3253</v>
      </c>
      <c r="J93" s="15" t="s">
        <v>3253</v>
      </c>
      <c r="K93" s="15" t="s">
        <v>3253</v>
      </c>
      <c r="L93" s="15" t="s">
        <v>3253</v>
      </c>
      <c r="R93" s="13" t="s">
        <v>3261</v>
      </c>
      <c r="S93" s="759" t="s">
        <v>3249</v>
      </c>
      <c r="T93" s="752" t="s">
        <v>3253</v>
      </c>
      <c r="U93" s="760" t="s">
        <v>3253</v>
      </c>
    </row>
    <row r="94" spans="1:26" ht="18" customHeight="1">
      <c r="A94" s="773" t="s">
        <v>3367</v>
      </c>
      <c r="B94" s="13">
        <v>300</v>
      </c>
      <c r="C94" s="745" t="s">
        <v>3257</v>
      </c>
      <c r="E94" s="15" t="s">
        <v>3252</v>
      </c>
      <c r="F94" s="15" t="s">
        <v>2835</v>
      </c>
      <c r="G94" s="15" t="s">
        <v>3279</v>
      </c>
      <c r="I94" s="752" t="s">
        <v>3253</v>
      </c>
      <c r="J94" s="15" t="s">
        <v>3253</v>
      </c>
      <c r="K94" s="15" t="s">
        <v>3253</v>
      </c>
      <c r="L94" s="15" t="s">
        <v>3253</v>
      </c>
      <c r="R94" s="13" t="s">
        <v>3261</v>
      </c>
      <c r="S94" s="759" t="s">
        <v>3261</v>
      </c>
      <c r="T94" s="752" t="s">
        <v>3253</v>
      </c>
      <c r="U94" s="760" t="s">
        <v>3253</v>
      </c>
    </row>
    <row r="95" spans="1:26" ht="18" customHeight="1">
      <c r="A95" s="773" t="s">
        <v>3389</v>
      </c>
      <c r="B95" s="13">
        <v>300</v>
      </c>
      <c r="C95" s="745" t="s">
        <v>3257</v>
      </c>
      <c r="E95" s="15" t="s">
        <v>3252</v>
      </c>
      <c r="F95" s="15" t="s">
        <v>2835</v>
      </c>
      <c r="G95" s="15" t="s">
        <v>3279</v>
      </c>
      <c r="I95" s="752" t="s">
        <v>3253</v>
      </c>
      <c r="J95" s="15" t="s">
        <v>3253</v>
      </c>
      <c r="K95" s="15" t="s">
        <v>3253</v>
      </c>
      <c r="L95" s="15" t="s">
        <v>3253</v>
      </c>
      <c r="R95" s="13" t="s">
        <v>3261</v>
      </c>
      <c r="S95" s="759" t="s">
        <v>3249</v>
      </c>
      <c r="T95" s="752" t="s">
        <v>3253</v>
      </c>
      <c r="U95" s="760" t="s">
        <v>3253</v>
      </c>
    </row>
    <row r="96" spans="1:26" ht="18" customHeight="1">
      <c r="A96" s="744" t="s">
        <v>3368</v>
      </c>
      <c r="B96" s="13">
        <v>200</v>
      </c>
      <c r="C96" s="745" t="s">
        <v>3261</v>
      </c>
      <c r="E96" s="15" t="s">
        <v>3252</v>
      </c>
      <c r="F96" s="15" t="s">
        <v>2835</v>
      </c>
      <c r="G96" s="15" t="s">
        <v>3369</v>
      </c>
      <c r="I96" s="752" t="s">
        <v>3253</v>
      </c>
      <c r="J96" s="15" t="s">
        <v>3253</v>
      </c>
      <c r="K96" s="15" t="s">
        <v>3253</v>
      </c>
      <c r="L96" s="15" t="s">
        <v>3253</v>
      </c>
      <c r="P96" s="15" t="s">
        <v>3370</v>
      </c>
      <c r="R96" s="13" t="s">
        <v>3261</v>
      </c>
      <c r="S96" s="13" t="s">
        <v>3261</v>
      </c>
      <c r="T96" s="752" t="s">
        <v>3253</v>
      </c>
      <c r="U96" s="760" t="s">
        <v>3253</v>
      </c>
    </row>
    <row r="97" spans="1:26" ht="18" customHeight="1">
      <c r="A97" s="744" t="s">
        <v>3371</v>
      </c>
      <c r="B97" s="13">
        <v>300</v>
      </c>
      <c r="C97" s="745" t="s">
        <v>3257</v>
      </c>
      <c r="E97" s="15" t="s">
        <v>3253</v>
      </c>
      <c r="F97" s="15" t="s">
        <v>3290</v>
      </c>
      <c r="G97" s="15" t="s">
        <v>3279</v>
      </c>
      <c r="I97" s="752" t="s">
        <v>3253</v>
      </c>
      <c r="J97" s="15" t="s">
        <v>3253</v>
      </c>
      <c r="K97" s="15" t="s">
        <v>3253</v>
      </c>
      <c r="L97" s="15" t="s">
        <v>3253</v>
      </c>
      <c r="R97" s="13" t="s">
        <v>3261</v>
      </c>
      <c r="S97" s="759" t="s">
        <v>3249</v>
      </c>
      <c r="T97" s="752" t="s">
        <v>3253</v>
      </c>
      <c r="U97" s="760" t="s">
        <v>3253</v>
      </c>
    </row>
    <row r="98" spans="1:26" ht="18" customHeight="1">
      <c r="A98" s="744" t="s">
        <v>3372</v>
      </c>
      <c r="B98" s="13">
        <v>300</v>
      </c>
      <c r="C98" s="745" t="s">
        <v>3257</v>
      </c>
      <c r="E98" s="15" t="s">
        <v>3252</v>
      </c>
      <c r="F98" s="15" t="s">
        <v>2835</v>
      </c>
      <c r="G98" s="15" t="s">
        <v>3279</v>
      </c>
      <c r="I98" s="752" t="s">
        <v>3253</v>
      </c>
      <c r="J98" s="15" t="s">
        <v>3253</v>
      </c>
      <c r="K98" s="15" t="s">
        <v>3253</v>
      </c>
      <c r="L98" s="15" t="s">
        <v>3253</v>
      </c>
      <c r="R98" s="13" t="s">
        <v>3261</v>
      </c>
      <c r="S98" s="759" t="s">
        <v>3249</v>
      </c>
      <c r="T98" s="752" t="s">
        <v>3253</v>
      </c>
      <c r="U98" s="760" t="s">
        <v>3253</v>
      </c>
    </row>
    <row r="99" spans="1:26" ht="18" customHeight="1">
      <c r="A99" s="744" t="s">
        <v>3373</v>
      </c>
      <c r="B99" s="13">
        <v>300</v>
      </c>
      <c r="C99" s="745" t="s">
        <v>3257</v>
      </c>
      <c r="E99" s="15" t="s">
        <v>3252</v>
      </c>
      <c r="F99" s="15" t="s">
        <v>2835</v>
      </c>
      <c r="G99" s="15" t="s">
        <v>3279</v>
      </c>
      <c r="I99" s="752" t="s">
        <v>3253</v>
      </c>
      <c r="J99" s="15" t="s">
        <v>3253</v>
      </c>
      <c r="K99" s="15" t="s">
        <v>3253</v>
      </c>
      <c r="L99" s="15" t="s">
        <v>3253</v>
      </c>
      <c r="R99" s="13" t="s">
        <v>3261</v>
      </c>
      <c r="S99" s="759" t="s">
        <v>3249</v>
      </c>
      <c r="T99" s="752" t="s">
        <v>3253</v>
      </c>
      <c r="U99" s="760" t="s">
        <v>3253</v>
      </c>
    </row>
    <row r="100" spans="1:26" ht="18" customHeight="1" thickBot="1">
      <c r="A100" s="774" t="s">
        <v>3374</v>
      </c>
      <c r="B100" s="776">
        <v>300</v>
      </c>
      <c r="C100" s="769" t="s">
        <v>3257</v>
      </c>
      <c r="D100" s="775"/>
      <c r="E100" s="775" t="s">
        <v>3252</v>
      </c>
      <c r="F100" s="775" t="s">
        <v>2835</v>
      </c>
      <c r="G100" s="775" t="s">
        <v>3279</v>
      </c>
      <c r="H100" s="775"/>
      <c r="I100" s="777" t="s">
        <v>3253</v>
      </c>
      <c r="J100" s="775" t="s">
        <v>3253</v>
      </c>
      <c r="K100" s="775" t="s">
        <v>3253</v>
      </c>
      <c r="L100" s="775" t="s">
        <v>3253</v>
      </c>
      <c r="M100" s="775"/>
      <c r="N100" s="775"/>
      <c r="O100" s="775"/>
      <c r="P100" s="775"/>
      <c r="Q100" s="775"/>
      <c r="R100" s="13" t="s">
        <v>3261</v>
      </c>
      <c r="S100" s="759" t="s">
        <v>3249</v>
      </c>
      <c r="T100" s="777" t="s">
        <v>3253</v>
      </c>
      <c r="U100" s="772" t="s">
        <v>3253</v>
      </c>
    </row>
    <row r="101" spans="1:26" s="748" customFormat="1" ht="18" customHeight="1">
      <c r="A101" s="753" t="s">
        <v>3375</v>
      </c>
      <c r="B101" s="755"/>
      <c r="C101" s="756"/>
      <c r="D101" s="754"/>
      <c r="E101" s="754"/>
      <c r="F101" s="754"/>
      <c r="G101" s="754"/>
      <c r="H101" s="754"/>
      <c r="I101" s="757"/>
      <c r="J101" s="754"/>
      <c r="K101" s="754"/>
      <c r="L101" s="754"/>
      <c r="M101" s="754"/>
      <c r="N101" s="754"/>
      <c r="O101" s="754"/>
      <c r="P101" s="754"/>
      <c r="Q101" s="754"/>
      <c r="R101" s="755"/>
      <c r="S101" s="755"/>
      <c r="T101" s="757"/>
      <c r="U101" s="758"/>
      <c r="W101" s="749"/>
      <c r="X101" s="749"/>
      <c r="Y101" s="749"/>
      <c r="Z101" s="749"/>
    </row>
    <row r="102" spans="1:26" ht="18" customHeight="1">
      <c r="A102" s="744" t="s">
        <v>3376</v>
      </c>
      <c r="B102" s="13">
        <v>300</v>
      </c>
      <c r="C102" s="745" t="s">
        <v>3257</v>
      </c>
      <c r="E102" s="15" t="s">
        <v>3253</v>
      </c>
      <c r="F102" s="15" t="s">
        <v>3309</v>
      </c>
      <c r="G102" s="15" t="s">
        <v>3279</v>
      </c>
      <c r="I102" s="752" t="s">
        <v>3253</v>
      </c>
      <c r="J102" s="15" t="s">
        <v>3253</v>
      </c>
      <c r="K102" s="15" t="s">
        <v>3253</v>
      </c>
      <c r="L102" s="15" t="s">
        <v>3253</v>
      </c>
      <c r="Q102" s="15" t="s">
        <v>3377</v>
      </c>
      <c r="R102" s="759" t="s">
        <v>3261</v>
      </c>
      <c r="S102" s="759" t="s">
        <v>3249</v>
      </c>
      <c r="T102" s="752" t="s">
        <v>3253</v>
      </c>
      <c r="U102" s="760" t="s">
        <v>3253</v>
      </c>
    </row>
    <row r="103" spans="1:26" ht="18" customHeight="1">
      <c r="A103" s="744" t="s">
        <v>3378</v>
      </c>
      <c r="B103" s="13">
        <v>300</v>
      </c>
      <c r="C103" s="745" t="s">
        <v>3257</v>
      </c>
      <c r="E103" s="15" t="s">
        <v>3253</v>
      </c>
      <c r="F103" s="15" t="s">
        <v>3309</v>
      </c>
      <c r="G103" s="15" t="s">
        <v>3379</v>
      </c>
      <c r="I103" s="752" t="s">
        <v>3253</v>
      </c>
      <c r="J103" s="15" t="s">
        <v>3253</v>
      </c>
      <c r="K103" s="15" t="s">
        <v>3253</v>
      </c>
      <c r="L103" s="15" t="s">
        <v>3253</v>
      </c>
      <c r="R103" s="759" t="s">
        <v>3261</v>
      </c>
      <c r="S103" s="759" t="s">
        <v>3249</v>
      </c>
      <c r="T103" s="752" t="s">
        <v>3253</v>
      </c>
      <c r="U103" s="760" t="s">
        <v>3253</v>
      </c>
    </row>
    <row r="104" spans="1:26" ht="18" customHeight="1">
      <c r="A104" s="744" t="s">
        <v>3380</v>
      </c>
      <c r="B104" s="13">
        <v>300</v>
      </c>
      <c r="C104" s="745" t="s">
        <v>3257</v>
      </c>
      <c r="E104" s="15" t="s">
        <v>3253</v>
      </c>
      <c r="F104" s="15" t="s">
        <v>3309</v>
      </c>
      <c r="G104" s="15" t="s">
        <v>3381</v>
      </c>
      <c r="I104" s="752" t="s">
        <v>3253</v>
      </c>
      <c r="J104" s="15" t="s">
        <v>3253</v>
      </c>
      <c r="K104" s="15" t="s">
        <v>3253</v>
      </c>
      <c r="L104" s="15" t="s">
        <v>3253</v>
      </c>
      <c r="R104" s="759" t="s">
        <v>3261</v>
      </c>
      <c r="S104" s="759" t="s">
        <v>3249</v>
      </c>
      <c r="T104" s="752" t="s">
        <v>3253</v>
      </c>
      <c r="U104" s="760" t="s">
        <v>3253</v>
      </c>
    </row>
    <row r="105" spans="1:26" ht="18" customHeight="1">
      <c r="A105" s="744" t="s">
        <v>3382</v>
      </c>
      <c r="B105" s="13">
        <v>300</v>
      </c>
      <c r="C105" s="745" t="s">
        <v>3257</v>
      </c>
      <c r="E105" s="15" t="s">
        <v>3253</v>
      </c>
      <c r="F105" s="15" t="s">
        <v>3309</v>
      </c>
      <c r="G105" s="15" t="s">
        <v>3383</v>
      </c>
      <c r="I105" s="752" t="s">
        <v>3253</v>
      </c>
      <c r="J105" s="15" t="s">
        <v>3253</v>
      </c>
      <c r="K105" s="15" t="s">
        <v>3253</v>
      </c>
      <c r="L105" s="15" t="s">
        <v>3253</v>
      </c>
      <c r="R105" s="759" t="s">
        <v>3261</v>
      </c>
      <c r="S105" s="759" t="s">
        <v>3249</v>
      </c>
      <c r="T105" s="752" t="s">
        <v>3253</v>
      </c>
      <c r="U105" s="760" t="s">
        <v>3253</v>
      </c>
    </row>
    <row r="106" spans="1:26" ht="18" customHeight="1">
      <c r="A106" s="744" t="s">
        <v>3384</v>
      </c>
      <c r="B106" s="13">
        <v>400</v>
      </c>
      <c r="C106" s="745" t="s">
        <v>3257</v>
      </c>
      <c r="E106" s="15" t="s">
        <v>3253</v>
      </c>
      <c r="F106" s="15" t="s">
        <v>3309</v>
      </c>
      <c r="G106" s="15" t="s">
        <v>3383</v>
      </c>
      <c r="I106" s="752" t="s">
        <v>3253</v>
      </c>
      <c r="J106" s="15" t="s">
        <v>3253</v>
      </c>
      <c r="K106" s="15" t="s">
        <v>3253</v>
      </c>
      <c r="L106" s="15" t="s">
        <v>3253</v>
      </c>
      <c r="R106" s="759" t="s">
        <v>3261</v>
      </c>
      <c r="S106" s="759" t="s">
        <v>3249</v>
      </c>
      <c r="T106" s="752" t="s">
        <v>3253</v>
      </c>
      <c r="U106" s="760" t="s">
        <v>3253</v>
      </c>
    </row>
    <row r="107" spans="1:26" ht="18" customHeight="1">
      <c r="A107" s="744" t="s">
        <v>3385</v>
      </c>
      <c r="B107" s="13">
        <v>300</v>
      </c>
      <c r="C107" s="745" t="s">
        <v>3257</v>
      </c>
      <c r="E107" s="15" t="s">
        <v>3253</v>
      </c>
      <c r="F107" s="15" t="s">
        <v>3309</v>
      </c>
      <c r="G107" s="15" t="s">
        <v>3386</v>
      </c>
      <c r="I107" s="752" t="s">
        <v>3253</v>
      </c>
      <c r="J107" s="15" t="s">
        <v>3253</v>
      </c>
      <c r="K107" s="15" t="s">
        <v>3253</v>
      </c>
      <c r="L107" s="15" t="s">
        <v>3253</v>
      </c>
      <c r="R107" s="759" t="s">
        <v>3261</v>
      </c>
      <c r="S107" s="759" t="s">
        <v>3249</v>
      </c>
      <c r="T107" s="752" t="s">
        <v>3253</v>
      </c>
      <c r="U107" s="760" t="s">
        <v>3253</v>
      </c>
    </row>
    <row r="108" spans="1:26" ht="18" customHeight="1">
      <c r="A108" s="744" t="s">
        <v>3387</v>
      </c>
      <c r="B108" s="13">
        <v>300</v>
      </c>
      <c r="C108" s="745" t="s">
        <v>3257</v>
      </c>
      <c r="E108" s="15" t="s">
        <v>3253</v>
      </c>
      <c r="F108" s="15" t="s">
        <v>3309</v>
      </c>
      <c r="G108" s="15" t="s">
        <v>3386</v>
      </c>
      <c r="I108" s="752" t="s">
        <v>3253</v>
      </c>
      <c r="J108" s="15" t="s">
        <v>3253</v>
      </c>
      <c r="K108" s="15" t="s">
        <v>3253</v>
      </c>
      <c r="L108" s="15" t="s">
        <v>3253</v>
      </c>
      <c r="R108" s="759" t="s">
        <v>3261</v>
      </c>
      <c r="S108" s="759" t="s">
        <v>3249</v>
      </c>
      <c r="T108" s="752" t="s">
        <v>3253</v>
      </c>
      <c r="U108" s="760" t="s">
        <v>3253</v>
      </c>
    </row>
    <row r="109" spans="1:26" ht="18" customHeight="1" thickBot="1">
      <c r="A109" s="774" t="s">
        <v>3388</v>
      </c>
      <c r="B109" s="776">
        <v>300</v>
      </c>
      <c r="C109" s="769" t="s">
        <v>3257</v>
      </c>
      <c r="D109" s="775"/>
      <c r="E109" s="775" t="s">
        <v>3253</v>
      </c>
      <c r="F109" s="775" t="s">
        <v>3309</v>
      </c>
      <c r="G109" s="775" t="s">
        <v>3386</v>
      </c>
      <c r="H109" s="775"/>
      <c r="I109" s="777" t="s">
        <v>3253</v>
      </c>
      <c r="J109" s="775" t="s">
        <v>3253</v>
      </c>
      <c r="K109" s="775" t="s">
        <v>3253</v>
      </c>
      <c r="L109" s="775" t="s">
        <v>3253</v>
      </c>
      <c r="M109" s="775"/>
      <c r="N109" s="775"/>
      <c r="O109" s="775"/>
      <c r="P109" s="775"/>
      <c r="Q109" s="775"/>
      <c r="R109" s="778" t="s">
        <v>3261</v>
      </c>
      <c r="S109" s="778" t="s">
        <v>3249</v>
      </c>
      <c r="T109" s="777" t="s">
        <v>3253</v>
      </c>
      <c r="U109" s="772" t="s">
        <v>3253</v>
      </c>
    </row>
  </sheetData>
  <mergeCells count="6">
    <mergeCell ref="T1:U1"/>
    <mergeCell ref="A1:A2"/>
    <mergeCell ref="B1:B2"/>
    <mergeCell ref="C1:C2"/>
    <mergeCell ref="I1:J1"/>
    <mergeCell ref="R1:S1"/>
  </mergeCells>
  <conditionalFormatting sqref="A38:A43">
    <cfRule type="expression" dxfId="4" priority="1">
      <formula>#REF!="Level 5"</formula>
    </cfRule>
    <cfRule type="expression" dxfId="3" priority="2">
      <formula>#REF!="Level 4"</formula>
    </cfRule>
    <cfRule type="expression" dxfId="2" priority="3">
      <formula>#REF!="Level 3"</formula>
    </cfRule>
    <cfRule type="expression" dxfId="1" priority="4">
      <formula>#REF!="Level 2"</formula>
    </cfRule>
    <cfRule type="expression" dxfId="0" priority="5">
      <formula>#REF!="Level 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C31"/>
  <sheetViews>
    <sheetView showGridLines="0" zoomScale="115" zoomScaleNormal="115" zoomScaleSheetLayoutView="115" workbookViewId="0">
      <selection sqref="A1:C1"/>
    </sheetView>
  </sheetViews>
  <sheetFormatPr defaultColWidth="9.109375" defaultRowHeight="13.2"/>
  <cols>
    <col min="1" max="1" width="6.33203125" style="618" customWidth="1"/>
    <col min="2" max="2" width="23.44140625" style="88" customWidth="1"/>
    <col min="3" max="3" width="116.88671875" style="260" bestFit="1" customWidth="1"/>
    <col min="4" max="16384" width="9.109375" style="88"/>
  </cols>
  <sheetData>
    <row r="1" spans="1:3" ht="15.6">
      <c r="A1" s="819" t="s">
        <v>2002</v>
      </c>
      <c r="B1" s="820"/>
      <c r="C1" s="821"/>
    </row>
    <row r="2" spans="1:3" ht="31.2">
      <c r="A2" s="610" t="s">
        <v>385</v>
      </c>
      <c r="B2" s="142" t="s">
        <v>844</v>
      </c>
      <c r="C2" s="263" t="s">
        <v>1070</v>
      </c>
    </row>
    <row r="3" spans="1:3" ht="52.8">
      <c r="A3" s="146">
        <v>4.0999999999999996</v>
      </c>
      <c r="B3" s="136" t="s">
        <v>369</v>
      </c>
      <c r="C3" s="137" t="s">
        <v>2936</v>
      </c>
    </row>
    <row r="4" spans="1:3" ht="39.6">
      <c r="A4" s="134">
        <v>4.2</v>
      </c>
      <c r="B4" s="106" t="s">
        <v>1816</v>
      </c>
      <c r="C4" s="113" t="s">
        <v>2937</v>
      </c>
    </row>
    <row r="5" spans="1:3" ht="66">
      <c r="A5" s="134">
        <v>4.3</v>
      </c>
      <c r="B5" s="106" t="s">
        <v>983</v>
      </c>
      <c r="C5" s="133" t="s">
        <v>3222</v>
      </c>
    </row>
    <row r="6" spans="1:3" ht="39.6">
      <c r="A6" s="134">
        <v>4.4000000000000004</v>
      </c>
      <c r="B6" s="106" t="s">
        <v>3195</v>
      </c>
      <c r="C6" s="570" t="s">
        <v>3196</v>
      </c>
    </row>
    <row r="7" spans="1:3" ht="79.2">
      <c r="A7" s="714">
        <v>4.5</v>
      </c>
      <c r="B7" s="450" t="s">
        <v>2788</v>
      </c>
      <c r="C7" s="133" t="s">
        <v>2789</v>
      </c>
    </row>
    <row r="8" spans="1:3" ht="118.8">
      <c r="A8" s="134">
        <v>4.5999999999999996</v>
      </c>
      <c r="B8" s="106" t="s">
        <v>2934</v>
      </c>
      <c r="C8" s="569" t="s">
        <v>2938</v>
      </c>
    </row>
    <row r="9" spans="1:3" ht="105.6">
      <c r="A9" s="134">
        <v>4.7</v>
      </c>
      <c r="B9" s="106" t="s">
        <v>2939</v>
      </c>
      <c r="C9" s="478" t="s">
        <v>3197</v>
      </c>
    </row>
    <row r="10" spans="1:3" ht="39.6">
      <c r="A10" s="715">
        <v>4.8</v>
      </c>
      <c r="B10" s="106" t="s">
        <v>2790</v>
      </c>
      <c r="C10" s="113" t="s">
        <v>3224</v>
      </c>
    </row>
    <row r="11" spans="1:3" ht="79.2">
      <c r="A11" s="715">
        <v>4.9000000000000004</v>
      </c>
      <c r="B11" s="106" t="s">
        <v>669</v>
      </c>
      <c r="C11" s="113" t="s">
        <v>3223</v>
      </c>
    </row>
    <row r="12" spans="1:3" ht="52.8">
      <c r="A12" s="716">
        <v>4.0999999999999996</v>
      </c>
      <c r="B12" s="450" t="s">
        <v>3219</v>
      </c>
      <c r="C12" s="113" t="s">
        <v>3220</v>
      </c>
    </row>
    <row r="13" spans="1:3" ht="198">
      <c r="A13" s="822">
        <v>4.1100000000000003</v>
      </c>
      <c r="B13" s="450" t="s">
        <v>1103</v>
      </c>
      <c r="C13" s="717" t="s">
        <v>2940</v>
      </c>
    </row>
    <row r="14" spans="1:3" ht="211.2">
      <c r="A14" s="823"/>
      <c r="B14" s="450" t="s">
        <v>2791</v>
      </c>
      <c r="C14" s="718" t="s">
        <v>2941</v>
      </c>
    </row>
    <row r="15" spans="1:3" ht="79.2" customHeight="1">
      <c r="A15" s="824">
        <v>4.12</v>
      </c>
      <c r="B15" s="106" t="s">
        <v>2364</v>
      </c>
      <c r="C15" s="135" t="s">
        <v>2942</v>
      </c>
    </row>
    <row r="16" spans="1:3" ht="92.4">
      <c r="A16" s="826"/>
      <c r="B16" s="106" t="s">
        <v>2365</v>
      </c>
      <c r="C16" s="113" t="s">
        <v>3198</v>
      </c>
    </row>
    <row r="17" spans="1:3" ht="39.6">
      <c r="A17" s="825"/>
      <c r="B17" s="450" t="s">
        <v>3200</v>
      </c>
      <c r="C17" s="719" t="s">
        <v>3199</v>
      </c>
    </row>
    <row r="18" spans="1:3" ht="39.6">
      <c r="A18" s="716">
        <v>4.13</v>
      </c>
      <c r="B18" s="450" t="s">
        <v>2792</v>
      </c>
      <c r="C18" s="719" t="s">
        <v>2793</v>
      </c>
    </row>
    <row r="19" spans="1:3" ht="158.4">
      <c r="A19" s="824">
        <v>4.1399999999999997</v>
      </c>
      <c r="B19" s="106" t="s">
        <v>2679</v>
      </c>
      <c r="C19" s="113" t="s">
        <v>2943</v>
      </c>
    </row>
    <row r="20" spans="1:3" ht="92.4">
      <c r="A20" s="825"/>
      <c r="B20" s="106" t="s">
        <v>3201</v>
      </c>
      <c r="C20" s="113" t="s">
        <v>2944</v>
      </c>
    </row>
    <row r="21" spans="1:3" ht="92.4">
      <c r="A21" s="720">
        <v>4.1500000000000004</v>
      </c>
      <c r="B21" s="106" t="s">
        <v>670</v>
      </c>
      <c r="C21" s="113" t="s">
        <v>2953</v>
      </c>
    </row>
    <row r="22" spans="1:3" ht="26.4">
      <c r="A22" s="720">
        <v>4.16</v>
      </c>
      <c r="B22" s="106" t="s">
        <v>2945</v>
      </c>
      <c r="C22" s="113" t="s">
        <v>2946</v>
      </c>
    </row>
    <row r="23" spans="1:3" ht="26.4">
      <c r="A23" s="720">
        <v>4.17</v>
      </c>
      <c r="B23" s="106" t="s">
        <v>2947</v>
      </c>
      <c r="C23" s="113" t="s">
        <v>2935</v>
      </c>
    </row>
    <row r="24" spans="1:3">
      <c r="A24" s="815" t="s">
        <v>1045</v>
      </c>
      <c r="B24" s="816"/>
      <c r="C24" s="616"/>
    </row>
    <row r="25" spans="1:3" ht="26.4">
      <c r="A25" s="105">
        <v>4.18</v>
      </c>
      <c r="B25" s="106" t="s">
        <v>1339</v>
      </c>
      <c r="C25" s="113" t="s">
        <v>2948</v>
      </c>
    </row>
    <row r="26" spans="1:3">
      <c r="A26" s="105">
        <v>4.1900000000000004</v>
      </c>
      <c r="B26" s="106" t="s">
        <v>912</v>
      </c>
      <c r="C26" s="113" t="s">
        <v>2949</v>
      </c>
    </row>
    <row r="27" spans="1:3" ht="39.6">
      <c r="A27" s="105">
        <v>4.2</v>
      </c>
      <c r="B27" s="106" t="s">
        <v>2950</v>
      </c>
      <c r="C27" s="113" t="s">
        <v>2951</v>
      </c>
    </row>
    <row r="28" spans="1:3" ht="39.6">
      <c r="A28" s="105">
        <v>4.21</v>
      </c>
      <c r="B28" s="106" t="s">
        <v>1509</v>
      </c>
      <c r="C28" s="113" t="s">
        <v>2952</v>
      </c>
    </row>
    <row r="29" spans="1:3">
      <c r="A29" s="817" t="s">
        <v>728</v>
      </c>
      <c r="B29" s="818"/>
      <c r="C29" s="141"/>
    </row>
    <row r="30" spans="1:3" ht="40.200000000000003" thickBot="1">
      <c r="A30" s="721">
        <v>4.22</v>
      </c>
      <c r="B30" s="479" t="s">
        <v>384</v>
      </c>
      <c r="C30" s="481" t="s">
        <v>2893</v>
      </c>
    </row>
    <row r="31" spans="1:3">
      <c r="A31" s="617"/>
    </row>
  </sheetData>
  <customSheetViews>
    <customSheetView guid="{4FEDB3BD-111A-4B7D-AA97-E67173A5F707}" showPageBreaks="1" printArea="1" hiddenColumns="1" view="pageBreakPreview" showRuler="0" topLeftCell="A8">
      <selection activeCell="I19" sqref="I19"/>
      <rowBreaks count="4" manualBreakCount="4">
        <brk id="6" max="8" man="1"/>
        <brk id="9" max="8" man="1"/>
        <brk id="13" max="8" man="1"/>
        <brk id="14" max="8" man="1"/>
      </rowBreaks>
      <pageMargins left="0.5" right="0.5" top="1" bottom="1" header="0.5" footer="0.34"/>
      <printOptions horizontalCentered="1"/>
      <pageSetup scale="99" fitToHeight="3" orientation="landscape" horizontalDpi="4294967292" r:id="rId1"/>
      <headerFooter alignWithMargins="0">
        <oddHeader>&amp;C&amp;"Arial,Bold"&amp;12&amp;UProject Activity 4: Roadway Analysis</oddHeader>
        <oddFooter>&amp;CPage &amp;P of &amp;N</oddFooter>
      </headerFooter>
    </customSheetView>
    <customSheetView guid="{D5FFA8DD-F2DB-47F2-B4D2-3681726B2E8F}" showPageBreaks="1" printArea="1" hiddenColumns="1" view="pageBreakPreview" showRuler="0" topLeftCell="A13">
      <selection activeCell="C3" sqref="C3:P3"/>
      <rowBreaks count="4" manualBreakCount="4">
        <brk id="6" max="8" man="1"/>
        <brk id="9" max="8" man="1"/>
        <brk id="13" max="8" man="1"/>
        <brk id="14" max="8" man="1"/>
      </rowBreaks>
      <pageMargins left="0.5" right="0.5" top="1" bottom="1" header="0.5" footer="0.34"/>
      <printOptions horizontalCentered="1"/>
      <pageSetup scale="99" fitToHeight="3" orientation="landscape" horizontalDpi="4294967292" r:id="rId2"/>
      <headerFooter alignWithMargins="0">
        <oddHeader>&amp;C&amp;"Arial,Bold"&amp;12&amp;UProject Activity 4: Roadway Analysis</oddHeader>
        <oddFooter>&amp;CPage &amp;P of &amp;N</oddFooter>
      </headerFooter>
    </customSheetView>
    <customSheetView guid="{EFE02F7B-3837-4B0F-9646-ADE249504E9F}" showPageBreaks="1" printArea="1" hiddenColumns="1" view="pageBreakPreview" showRuler="0">
      <selection activeCell="I19" sqref="I19"/>
      <rowBreaks count="4" manualBreakCount="4">
        <brk id="6" max="8" man="1"/>
        <brk id="9" max="8" man="1"/>
        <brk id="13" max="8" man="1"/>
        <brk id="14" max="8" man="1"/>
      </rowBreaks>
      <pageMargins left="0.5" right="0.5" top="1" bottom="1" header="0.5" footer="0.34"/>
      <printOptions horizontalCentered="1"/>
      <pageSetup scale="99" fitToHeight="3" orientation="landscape" horizontalDpi="4294967292" r:id="rId3"/>
      <headerFooter alignWithMargins="0">
        <oddHeader>&amp;C&amp;"Arial,Bold"&amp;12&amp;UProject Activity 4: Roadway Analysis</oddHeader>
        <oddFooter>&amp;CPage &amp;P of &amp;N</oddFooter>
      </headerFooter>
    </customSheetView>
    <customSheetView guid="{053BE130-58A3-4F3B-945A-C2EFB15C6264}" showPageBreaks="1" printArea="1" hiddenColumns="1" view="pageBreakPreview" showRuler="0" topLeftCell="A13">
      <selection activeCell="I30" sqref="I30"/>
      <rowBreaks count="3" manualBreakCount="3">
        <brk id="6" max="8" man="1"/>
        <brk id="8" max="8" man="1"/>
        <brk id="13" max="8" man="1"/>
      </rowBreaks>
      <pageMargins left="0.5" right="0.5" top="1" bottom="1" header="0.5" footer="0.34"/>
      <printOptions horizontalCentered="1"/>
      <pageSetup scale="99" fitToHeight="3" orientation="landscape" horizontalDpi="4294967292" r:id="rId4"/>
      <headerFooter alignWithMargins="0">
        <oddHeader>&amp;C&amp;"Arial,Bold"&amp;12&amp;UProject Activity 4: Roadway Analysis</oddHeader>
        <oddFooter>&amp;CPage &amp;P of &amp;N</oddFooter>
      </headerFooter>
    </customSheetView>
    <customSheetView guid="{F5DBE5B9-A9E4-4030-888B-08F930ECBB74}" showPageBreaks="1" printArea="1" hiddenColumns="1" view="pageBreakPreview" showRuler="0" topLeftCell="A4">
      <selection activeCell="I11" sqref="I11"/>
      <rowBreaks count="4" manualBreakCount="4">
        <brk id="6" max="8" man="1"/>
        <brk id="9" max="8" man="1"/>
        <brk id="13" max="8" man="1"/>
        <brk id="14" max="8" man="1"/>
      </rowBreaks>
      <pageMargins left="0.5" right="0.5" top="1" bottom="1" header="0.5" footer="0.34"/>
      <printOptions horizontalCentered="1"/>
      <pageSetup scale="99" fitToHeight="3" orientation="landscape" horizontalDpi="4294967292" r:id="rId5"/>
      <headerFooter alignWithMargins="0">
        <oddHeader>&amp;C&amp;"Arial,Bold"&amp;12&amp;UProject Activity 4: Roadway Analysis</oddHeader>
        <oddFooter>&amp;CPage &amp;P of &amp;N</oddFooter>
      </headerFooter>
    </customSheetView>
    <customSheetView guid="{960FB4AF-B150-4523-972C-3F7C93F049F3}" showPageBreaks="1" printArea="1" hiddenColumns="1" view="pageBreakPreview" showRuler="0">
      <selection activeCell="I19" sqref="I19"/>
      <rowBreaks count="4" manualBreakCount="4">
        <brk id="6" max="8" man="1"/>
        <brk id="9" max="8" man="1"/>
        <brk id="13" max="8" man="1"/>
        <brk id="14" max="8" man="1"/>
      </rowBreaks>
      <pageMargins left="0.5" right="0.5" top="1" bottom="1" header="0.5" footer="0.34"/>
      <printOptions horizontalCentered="1"/>
      <pageSetup scale="99" fitToHeight="3" orientation="landscape" horizontalDpi="4294967292" r:id="rId6"/>
      <headerFooter alignWithMargins="0">
        <oddHeader>&amp;C&amp;"Arial,Bold"&amp;12&amp;UProject Activity 4: Roadway Analysis</oddHeader>
        <oddFooter>&amp;CPage &amp;P of &amp;N</oddFooter>
      </headerFooter>
    </customSheetView>
    <customSheetView guid="{DF3BD4C9-2986-4236-8E90-D96736404377}" showPageBreaks="1" printArea="1" hiddenColumns="1" view="pageBreakPreview" showRuler="0">
      <selection activeCell="I19" sqref="I19"/>
      <rowBreaks count="4" manualBreakCount="4">
        <brk id="6" max="8" man="1"/>
        <brk id="9" max="8" man="1"/>
        <brk id="13" max="8" man="1"/>
        <brk id="14" max="8" man="1"/>
      </rowBreaks>
      <pageMargins left="0.5" right="0.5" top="1" bottom="1" header="0.5" footer="0.34"/>
      <printOptions horizontalCentered="1"/>
      <pageSetup scale="99" fitToHeight="3" orientation="landscape" horizontalDpi="4294967292" r:id="rId7"/>
      <headerFooter alignWithMargins="0">
        <oddHeader>&amp;C&amp;"Arial,Bold"&amp;12&amp;UProject Activity 4: Roadway Analysis</oddHeader>
        <oddFooter>&amp;CPage &amp;P of &amp;N</oddFooter>
      </headerFooter>
    </customSheetView>
  </customSheetViews>
  <mergeCells count="6">
    <mergeCell ref="A24:B24"/>
    <mergeCell ref="A29:B29"/>
    <mergeCell ref="A1:C1"/>
    <mergeCell ref="A13:A14"/>
    <mergeCell ref="A19:A20"/>
    <mergeCell ref="A15:A17"/>
  </mergeCells>
  <phoneticPr fontId="0" type="noConversion"/>
  <printOptions horizontalCentered="1" verticalCentered="1"/>
  <pageMargins left="0.75" right="0.75" top="1" bottom="1" header="0.5" footer="0.5"/>
  <pageSetup scale="64" fitToHeight="7" orientation="landscape" r:id="rId8"/>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C22"/>
  <sheetViews>
    <sheetView showGridLines="0" zoomScale="130" zoomScaleNormal="130" zoomScaleSheetLayoutView="115" workbookViewId="0">
      <selection sqref="A1:C1"/>
    </sheetView>
  </sheetViews>
  <sheetFormatPr defaultColWidth="9.109375" defaultRowHeight="13.2"/>
  <cols>
    <col min="1" max="1" width="6.88671875" style="603" customWidth="1"/>
    <col min="2" max="2" width="31.33203125" style="88" customWidth="1"/>
    <col min="3" max="3" width="68.33203125" style="88" customWidth="1"/>
    <col min="4" max="16384" width="9.109375" style="88"/>
  </cols>
  <sheetData>
    <row r="1" spans="1:3" ht="15.6">
      <c r="A1" s="827" t="s">
        <v>2001</v>
      </c>
      <c r="B1" s="828"/>
      <c r="C1" s="829"/>
    </row>
    <row r="2" spans="1:3" ht="27" thickBot="1">
      <c r="A2" s="602" t="s">
        <v>385</v>
      </c>
      <c r="B2" s="147" t="s">
        <v>844</v>
      </c>
      <c r="C2" s="145" t="s">
        <v>1070</v>
      </c>
    </row>
    <row r="3" spans="1:3" ht="26.4">
      <c r="A3" s="146">
        <v>5.0999999999999996</v>
      </c>
      <c r="B3" s="136" t="s">
        <v>2635</v>
      </c>
      <c r="C3" s="722" t="s">
        <v>2794</v>
      </c>
    </row>
    <row r="4" spans="1:3" ht="79.2">
      <c r="A4" s="646">
        <v>5.2</v>
      </c>
      <c r="B4" s="106" t="s">
        <v>3202</v>
      </c>
      <c r="C4" s="717" t="s">
        <v>2795</v>
      </c>
    </row>
    <row r="5" spans="1:3" ht="39.6">
      <c r="A5" s="646">
        <v>5.3</v>
      </c>
      <c r="B5" s="723" t="s">
        <v>2796</v>
      </c>
      <c r="C5" s="717" t="s">
        <v>2797</v>
      </c>
    </row>
    <row r="6" spans="1:3" ht="52.8">
      <c r="A6" s="715">
        <v>5.4</v>
      </c>
      <c r="B6" s="106" t="s">
        <v>1286</v>
      </c>
      <c r="C6" s="113" t="s">
        <v>2684</v>
      </c>
    </row>
    <row r="7" spans="1:3" ht="66">
      <c r="A7" s="647">
        <v>5.5</v>
      </c>
      <c r="B7" s="106" t="s">
        <v>2968</v>
      </c>
      <c r="C7" s="113" t="s">
        <v>2954</v>
      </c>
    </row>
    <row r="8" spans="1:3" ht="79.2">
      <c r="A8" s="647">
        <v>5.6</v>
      </c>
      <c r="B8" s="106" t="s">
        <v>2969</v>
      </c>
      <c r="C8" s="113" t="s">
        <v>2955</v>
      </c>
    </row>
    <row r="9" spans="1:3" ht="39.6">
      <c r="A9" s="647">
        <v>5.7</v>
      </c>
      <c r="B9" s="106" t="s">
        <v>2970</v>
      </c>
      <c r="C9" s="113" t="s">
        <v>2956</v>
      </c>
    </row>
    <row r="10" spans="1:3" ht="39.6">
      <c r="A10" s="647">
        <v>5.8</v>
      </c>
      <c r="B10" s="106" t="s">
        <v>3203</v>
      </c>
      <c r="C10" s="113" t="s">
        <v>2957</v>
      </c>
    </row>
    <row r="11" spans="1:3" ht="66">
      <c r="A11" s="647">
        <v>5.9</v>
      </c>
      <c r="B11" s="106" t="s">
        <v>2971</v>
      </c>
      <c r="C11" s="113" t="s">
        <v>2958</v>
      </c>
    </row>
    <row r="12" spans="1:3" ht="52.8">
      <c r="A12" s="648">
        <v>5.0999999999999996</v>
      </c>
      <c r="B12" s="106" t="s">
        <v>1487</v>
      </c>
      <c r="C12" s="113" t="s">
        <v>2959</v>
      </c>
    </row>
    <row r="13" spans="1:3" ht="39.6">
      <c r="A13" s="648">
        <v>5.1100000000000003</v>
      </c>
      <c r="B13" s="106" t="s">
        <v>1115</v>
      </c>
      <c r="C13" s="717" t="s">
        <v>2798</v>
      </c>
    </row>
    <row r="14" spans="1:3" ht="39.6">
      <c r="A14" s="648">
        <v>5.12</v>
      </c>
      <c r="B14" s="106" t="s">
        <v>2960</v>
      </c>
      <c r="C14" s="113" t="s">
        <v>2961</v>
      </c>
    </row>
    <row r="15" spans="1:3" ht="52.8">
      <c r="A15" s="724">
        <v>5.13</v>
      </c>
      <c r="B15" s="450" t="s">
        <v>1488</v>
      </c>
      <c r="C15" s="451" t="s">
        <v>2962</v>
      </c>
    </row>
    <row r="16" spans="1:3" ht="79.2">
      <c r="A16" s="648">
        <v>5.14</v>
      </c>
      <c r="B16" s="106" t="s">
        <v>2963</v>
      </c>
      <c r="C16" s="113" t="s">
        <v>2964</v>
      </c>
    </row>
    <row r="17" spans="1:3" ht="66">
      <c r="A17" s="648">
        <v>5.15</v>
      </c>
      <c r="B17" s="106" t="s">
        <v>1489</v>
      </c>
      <c r="C17" s="113" t="s">
        <v>2965</v>
      </c>
    </row>
    <row r="18" spans="1:3" ht="39.6">
      <c r="A18" s="648">
        <v>5.16</v>
      </c>
      <c r="B18" s="106" t="s">
        <v>2464</v>
      </c>
      <c r="C18" s="113" t="s">
        <v>2966</v>
      </c>
    </row>
    <row r="19" spans="1:3" ht="39.6">
      <c r="A19" s="648">
        <v>5.17</v>
      </c>
      <c r="B19" s="106" t="s">
        <v>3204</v>
      </c>
      <c r="C19" s="113" t="s">
        <v>3205</v>
      </c>
    </row>
    <row r="20" spans="1:3">
      <c r="A20" s="815" t="s">
        <v>1335</v>
      </c>
      <c r="B20" s="816"/>
      <c r="C20" s="238"/>
    </row>
    <row r="21" spans="1:3" ht="39.6">
      <c r="A21" s="725">
        <v>5.18</v>
      </c>
      <c r="B21" s="106" t="s">
        <v>1339</v>
      </c>
      <c r="C21" s="113" t="s">
        <v>2972</v>
      </c>
    </row>
    <row r="22" spans="1:3" ht="27" thickBot="1">
      <c r="A22" s="726">
        <v>5.19</v>
      </c>
      <c r="B22" s="479" t="s">
        <v>912</v>
      </c>
      <c r="C22" s="481" t="s">
        <v>2967</v>
      </c>
    </row>
  </sheetData>
  <customSheetViews>
    <customSheetView guid="{4FEDB3BD-111A-4B7D-AA97-E67173A5F707}" showPageBreaks="1" fitToPage="1" printArea="1" hiddenColumns="1" view="pageBreakPreview" showRuler="0" topLeftCell="A22">
      <selection activeCell="L13" sqref="L13"/>
      <rowBreaks count="2" manualBreakCount="2">
        <brk id="21" max="11" man="1"/>
        <brk id="41" max="11" man="1"/>
      </rowBreaks>
      <pageMargins left="0.5" right="0.5" top="1" bottom="1" header="0.5" footer="0.5"/>
      <printOptions horizontalCentered="1"/>
      <pageSetup fitToHeight="0" orientation="landscape" horizontalDpi="4294967292" r:id="rId1"/>
      <headerFooter alignWithMargins="0">
        <oddHeader>&amp;C&amp;"Arial,Bold"&amp;12&amp;UProject Activity 5: Roadway Plans</oddHeader>
        <oddFooter>Page &amp;P of &amp;N</oddFooter>
      </headerFooter>
    </customSheetView>
    <customSheetView guid="{D5FFA8DD-F2DB-47F2-B4D2-3681726B2E8F}" showPageBreaks="1" fitToPage="1" printArea="1" hiddenColumns="1" view="pageBreakPreview" showRuler="0" topLeftCell="A22">
      <selection activeCell="C3" sqref="C3:P3"/>
      <rowBreaks count="2" manualBreakCount="2">
        <brk id="21" max="11" man="1"/>
        <brk id="41" max="11" man="1"/>
      </rowBreaks>
      <pageMargins left="0.5" right="0.5" top="1" bottom="1" header="0.5" footer="0.5"/>
      <printOptions horizontalCentered="1"/>
      <pageSetup fitToHeight="0" orientation="landscape" horizontalDpi="4294967292" r:id="rId2"/>
      <headerFooter alignWithMargins="0">
        <oddHeader>&amp;C&amp;"Arial,Bold"&amp;12&amp;UProject Activity 5: Roadway Plans</oddHeader>
        <oddFooter>Page &amp;P of &amp;N</oddFooter>
      </headerFooter>
    </customSheetView>
    <customSheetView guid="{EFE02F7B-3837-4B0F-9646-ADE249504E9F}" showPageBreaks="1" fitToPage="1" printArea="1" hiddenColumns="1" view="pageBreakPreview" showRuler="0">
      <selection activeCell="L13" sqref="L13"/>
      <pageMargins left="0.5" right="0.5" top="1" bottom="1" header="0.5" footer="0.5"/>
      <printOptions horizontalCentered="1"/>
      <pageSetup fitToHeight="0" orientation="landscape" horizontalDpi="4294967292" r:id="rId3"/>
      <headerFooter alignWithMargins="0">
        <oddHeader>&amp;C&amp;"Arial,Bold"&amp;12&amp;UProject Activity 5: Roadway Plans</oddHeader>
        <oddFooter>Page &amp;P of &amp;N</oddFooter>
      </headerFooter>
    </customSheetView>
    <customSheetView guid="{053BE130-58A3-4F3B-945A-C2EFB15C6264}" showPageBreaks="1" fitToPage="1" printArea="1" hiddenColumns="1" view="pageBreakPreview" showRuler="0" topLeftCell="A22">
      <selection activeCell="L37" sqref="L37"/>
      <pageMargins left="0.5" right="0.5" top="1" bottom="1" header="0.5" footer="0.5"/>
      <printOptions horizontalCentered="1"/>
      <pageSetup fitToHeight="0" orientation="landscape" horizontalDpi="4294967292" r:id="rId4"/>
      <headerFooter alignWithMargins="0">
        <oddHeader>&amp;C&amp;"Arial,Bold"&amp;12&amp;UProject Activity 5: Roadway Plans</oddHeader>
        <oddFooter>Page &amp;P of &amp;N</oddFooter>
      </headerFooter>
    </customSheetView>
    <customSheetView guid="{F5DBE5B9-A9E4-4030-888B-08F930ECBB74}" showPageBreaks="1" fitToPage="1" printArea="1" hiddenColumns="1" view="pageBreakPreview" showRuler="0">
      <selection activeCell="L13" sqref="L13"/>
      <pageMargins left="0.5" right="0.5" top="1" bottom="1" header="0.5" footer="0.5"/>
      <printOptions horizontalCentered="1"/>
      <pageSetup fitToHeight="0" orientation="landscape" horizontalDpi="4294967292" r:id="rId5"/>
      <headerFooter alignWithMargins="0">
        <oddHeader>&amp;C&amp;"Arial,Bold"&amp;12&amp;UProject Activity 5: Roadway Plans</oddHeader>
        <oddFooter>Page &amp;P of &amp;N</oddFooter>
      </headerFooter>
    </customSheetView>
    <customSheetView guid="{960FB4AF-B150-4523-972C-3F7C93F049F3}" showPageBreaks="1" fitToPage="1" printArea="1" hiddenColumns="1" view="pageBreakPreview" showRuler="0" topLeftCell="A22">
      <selection activeCell="L13" sqref="L13"/>
      <rowBreaks count="2" manualBreakCount="2">
        <brk id="21" max="11" man="1"/>
        <brk id="41" max="11" man="1"/>
      </rowBreaks>
      <pageMargins left="0.5" right="0.5" top="1" bottom="1" header="0.5" footer="0.5"/>
      <printOptions horizontalCentered="1"/>
      <pageSetup fitToHeight="0" orientation="landscape" horizontalDpi="4294967292" r:id="rId6"/>
      <headerFooter alignWithMargins="0">
        <oddHeader>&amp;C&amp;"Arial,Bold"&amp;12&amp;UProject Activity 5: Roadway Plans</oddHeader>
        <oddFooter>Page &amp;P of &amp;N</oddFooter>
      </headerFooter>
    </customSheetView>
    <customSheetView guid="{DF3BD4C9-2986-4236-8E90-D96736404377}" showPageBreaks="1" fitToPage="1" printArea="1" hiddenColumns="1" view="pageBreakPreview" showRuler="0" topLeftCell="A22">
      <selection activeCell="L13" sqref="L13"/>
      <rowBreaks count="2" manualBreakCount="2">
        <brk id="21" max="11" man="1"/>
        <brk id="41" max="11" man="1"/>
      </rowBreaks>
      <pageMargins left="0.5" right="0.5" top="1" bottom="1" header="0.5" footer="0.5"/>
      <printOptions horizontalCentered="1"/>
      <pageSetup fitToHeight="0" orientation="landscape" horizontalDpi="4294967292" r:id="rId7"/>
      <headerFooter alignWithMargins="0">
        <oddHeader>&amp;C&amp;"Arial,Bold"&amp;12&amp;UProject Activity 5: Roadway Plans</oddHeader>
        <oddFooter>Page &amp;P of &amp;N</oddFooter>
      </headerFooter>
    </customSheetView>
  </customSheetViews>
  <mergeCells count="2">
    <mergeCell ref="A20:B20"/>
    <mergeCell ref="A1:C1"/>
  </mergeCells>
  <phoneticPr fontId="0" type="noConversion"/>
  <printOptions horizontalCentered="1" verticalCentered="1"/>
  <pageMargins left="0.75" right="0.75" top="1" bottom="1" header="0.5" footer="0.5"/>
  <pageSetup scale="65" fitToHeight="0" orientation="landscape" r:id="rId8"/>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pageSetUpPr fitToPage="1"/>
  </sheetPr>
  <dimension ref="A1:I43"/>
  <sheetViews>
    <sheetView showGridLines="0" zoomScaleNormal="100" zoomScaleSheetLayoutView="100" workbookViewId="0">
      <selection sqref="A1:F1"/>
    </sheetView>
  </sheetViews>
  <sheetFormatPr defaultColWidth="9.109375" defaultRowHeight="13.2"/>
  <cols>
    <col min="1" max="1" width="8.109375" style="64" customWidth="1"/>
    <col min="2" max="2" width="22.88671875" style="65" bestFit="1" customWidth="1"/>
    <col min="3" max="3" width="63.21875" style="172" customWidth="1"/>
    <col min="4" max="4" width="36.33203125" style="619" customWidth="1"/>
    <col min="5" max="5" width="36.44140625" style="619" bestFit="1" customWidth="1"/>
    <col min="6" max="6" width="36.33203125" style="619" customWidth="1"/>
    <col min="7" max="8" width="9.109375" style="62"/>
    <col min="9" max="9" width="30.44140625" style="62" customWidth="1"/>
    <col min="10" max="16384" width="9.109375" style="62"/>
  </cols>
  <sheetData>
    <row r="1" spans="1:6" ht="15.6">
      <c r="A1" s="830" t="s">
        <v>2130</v>
      </c>
      <c r="B1" s="831"/>
      <c r="C1" s="831"/>
      <c r="D1" s="831"/>
      <c r="E1" s="831"/>
      <c r="F1" s="832"/>
    </row>
    <row r="2" spans="1:6" ht="15.6">
      <c r="A2" s="842" t="s">
        <v>385</v>
      </c>
      <c r="B2" s="833" t="s">
        <v>844</v>
      </c>
      <c r="C2" s="833" t="s">
        <v>1070</v>
      </c>
      <c r="D2" s="833"/>
      <c r="E2" s="833"/>
      <c r="F2" s="834"/>
    </row>
    <row r="3" spans="1:6" ht="15.6">
      <c r="A3" s="843"/>
      <c r="B3" s="841"/>
      <c r="C3" s="852" t="s">
        <v>438</v>
      </c>
      <c r="D3" s="849" t="s">
        <v>2973</v>
      </c>
      <c r="E3" s="850"/>
      <c r="F3" s="851"/>
    </row>
    <row r="4" spans="1:6" ht="15.6">
      <c r="A4" s="843"/>
      <c r="B4" s="841"/>
      <c r="C4" s="853"/>
      <c r="D4" s="182" t="s">
        <v>2836</v>
      </c>
      <c r="E4" s="182" t="s">
        <v>2837</v>
      </c>
      <c r="F4" s="224" t="s">
        <v>2838</v>
      </c>
    </row>
    <row r="5" spans="1:6" ht="69.599999999999994">
      <c r="A5" s="710" t="s">
        <v>2118</v>
      </c>
      <c r="B5" s="186" t="s">
        <v>2979</v>
      </c>
      <c r="C5" s="186" t="s">
        <v>2980</v>
      </c>
      <c r="D5" s="186" t="s">
        <v>2981</v>
      </c>
      <c r="E5" s="186" t="s">
        <v>2982</v>
      </c>
      <c r="F5" s="728" t="s">
        <v>2983</v>
      </c>
    </row>
    <row r="6" spans="1:6" ht="82.8">
      <c r="A6" s="584" t="s">
        <v>2984</v>
      </c>
      <c r="B6" s="154" t="s">
        <v>2318</v>
      </c>
      <c r="C6" s="154" t="s">
        <v>2985</v>
      </c>
      <c r="D6" s="154" t="s">
        <v>2986</v>
      </c>
      <c r="E6" s="154" t="s">
        <v>2987</v>
      </c>
      <c r="F6" s="279" t="s">
        <v>2988</v>
      </c>
    </row>
    <row r="7" spans="1:6" ht="82.8">
      <c r="A7" s="584" t="s">
        <v>2989</v>
      </c>
      <c r="B7" s="154" t="s">
        <v>2319</v>
      </c>
      <c r="C7" s="154" t="s">
        <v>2990</v>
      </c>
      <c r="D7" s="154" t="s">
        <v>2991</v>
      </c>
      <c r="E7" s="154" t="s">
        <v>2992</v>
      </c>
      <c r="F7" s="279" t="s">
        <v>2993</v>
      </c>
    </row>
    <row r="8" spans="1:6" ht="41.4">
      <c r="A8" s="584" t="s">
        <v>2131</v>
      </c>
      <c r="B8" s="154" t="s">
        <v>2799</v>
      </c>
      <c r="C8" s="154" t="s">
        <v>2800</v>
      </c>
      <c r="D8" s="154" t="s">
        <v>2801</v>
      </c>
      <c r="E8" s="154" t="s">
        <v>2802</v>
      </c>
      <c r="F8" s="279" t="s">
        <v>2803</v>
      </c>
    </row>
    <row r="9" spans="1:6" ht="69">
      <c r="A9" s="584" t="s">
        <v>2994</v>
      </c>
      <c r="B9" s="154" t="s">
        <v>2995</v>
      </c>
      <c r="C9" s="154" t="s">
        <v>2996</v>
      </c>
      <c r="D9" s="154" t="s">
        <v>2997</v>
      </c>
      <c r="E9" s="154" t="s">
        <v>2998</v>
      </c>
      <c r="F9" s="279" t="s">
        <v>2999</v>
      </c>
    </row>
    <row r="10" spans="1:6" ht="69">
      <c r="A10" s="584" t="s">
        <v>3000</v>
      </c>
      <c r="B10" s="154" t="s">
        <v>1683</v>
      </c>
      <c r="C10" s="154" t="s">
        <v>2974</v>
      </c>
      <c r="D10" s="154" t="s">
        <v>3001</v>
      </c>
      <c r="E10" s="154" t="s">
        <v>3002</v>
      </c>
      <c r="F10" s="279" t="s">
        <v>3003</v>
      </c>
    </row>
    <row r="11" spans="1:6" ht="151.80000000000001">
      <c r="A11" s="583" t="s">
        <v>3004</v>
      </c>
      <c r="B11" s="154" t="s">
        <v>1009</v>
      </c>
      <c r="C11" s="154" t="s">
        <v>3005</v>
      </c>
      <c r="D11" s="154" t="s">
        <v>3006</v>
      </c>
      <c r="E11" s="154" t="s">
        <v>3007</v>
      </c>
      <c r="F11" s="279" t="s">
        <v>3008</v>
      </c>
    </row>
    <row r="12" spans="1:6" s="682" customFormat="1" ht="41.4">
      <c r="A12" s="584" t="s">
        <v>2132</v>
      </c>
      <c r="B12" s="154" t="s">
        <v>2804</v>
      </c>
      <c r="C12" s="154" t="s">
        <v>2805</v>
      </c>
      <c r="D12" s="154" t="s">
        <v>2807</v>
      </c>
      <c r="E12" s="154" t="s">
        <v>2806</v>
      </c>
      <c r="F12" s="279" t="s">
        <v>2808</v>
      </c>
    </row>
    <row r="13" spans="1:6" ht="55.2">
      <c r="A13" s="844" t="s">
        <v>3009</v>
      </c>
      <c r="B13" s="837" t="s">
        <v>1275</v>
      </c>
      <c r="C13" s="154" t="s">
        <v>3010</v>
      </c>
      <c r="D13" s="154" t="s">
        <v>3011</v>
      </c>
      <c r="E13" s="154" t="s">
        <v>3012</v>
      </c>
      <c r="F13" s="279" t="s">
        <v>3013</v>
      </c>
    </row>
    <row r="14" spans="1:6" ht="165.6">
      <c r="A14" s="845"/>
      <c r="B14" s="847"/>
      <c r="C14" s="154" t="s">
        <v>3014</v>
      </c>
      <c r="D14" s="154" t="s">
        <v>3015</v>
      </c>
      <c r="E14" s="154" t="s">
        <v>3016</v>
      </c>
      <c r="F14" s="279" t="s">
        <v>3017</v>
      </c>
    </row>
    <row r="15" spans="1:6" s="447" customFormat="1" ht="151.80000000000001">
      <c r="A15" s="845"/>
      <c r="B15" s="847"/>
      <c r="C15" s="154" t="s">
        <v>3018</v>
      </c>
      <c r="D15" s="154" t="s">
        <v>3019</v>
      </c>
      <c r="E15" s="154" t="s">
        <v>3020</v>
      </c>
      <c r="F15" s="279" t="s">
        <v>3021</v>
      </c>
    </row>
    <row r="16" spans="1:6" s="447" customFormat="1" ht="82.8">
      <c r="A16" s="846"/>
      <c r="B16" s="838"/>
      <c r="C16" s="731" t="s">
        <v>3022</v>
      </c>
      <c r="D16" s="154" t="s">
        <v>2809</v>
      </c>
      <c r="E16" s="154" t="s">
        <v>2810</v>
      </c>
      <c r="F16" s="279" t="s">
        <v>2811</v>
      </c>
    </row>
    <row r="17" spans="1:9" ht="110.4">
      <c r="A17" s="835" t="s">
        <v>3023</v>
      </c>
      <c r="B17" s="837" t="s">
        <v>1693</v>
      </c>
      <c r="C17" s="154" t="s">
        <v>3207</v>
      </c>
      <c r="D17" s="154" t="s">
        <v>3390</v>
      </c>
      <c r="E17" s="154" t="s">
        <v>2812</v>
      </c>
      <c r="F17" s="279" t="s">
        <v>3024</v>
      </c>
    </row>
    <row r="18" spans="1:9" s="63" customFormat="1" ht="151.80000000000001">
      <c r="A18" s="836"/>
      <c r="B18" s="838"/>
      <c r="C18" s="154" t="s">
        <v>3208</v>
      </c>
      <c r="D18" s="154" t="s">
        <v>3025</v>
      </c>
      <c r="E18" s="154" t="s">
        <v>3026</v>
      </c>
      <c r="F18" s="279" t="s">
        <v>3027</v>
      </c>
    </row>
    <row r="19" spans="1:9" s="63" customFormat="1" ht="55.2">
      <c r="A19" s="835" t="s">
        <v>3028</v>
      </c>
      <c r="B19" s="837" t="s">
        <v>3029</v>
      </c>
      <c r="C19" s="837" t="s">
        <v>3030</v>
      </c>
      <c r="D19" s="727" t="s">
        <v>2813</v>
      </c>
      <c r="E19" s="154" t="s">
        <v>2814</v>
      </c>
      <c r="F19" s="279" t="s">
        <v>2815</v>
      </c>
    </row>
    <row r="20" spans="1:9" s="63" customFormat="1" ht="43.8" customHeight="1">
      <c r="A20" s="848"/>
      <c r="B20" s="838"/>
      <c r="C20" s="838"/>
      <c r="D20" s="839" t="s">
        <v>2816</v>
      </c>
      <c r="E20" s="854"/>
      <c r="F20" s="840"/>
    </row>
    <row r="21" spans="1:9" ht="208.2" customHeight="1">
      <c r="A21" s="835" t="s">
        <v>3031</v>
      </c>
      <c r="B21" s="837" t="s">
        <v>2817</v>
      </c>
      <c r="C21" s="154" t="s">
        <v>3032</v>
      </c>
      <c r="D21" s="154" t="s">
        <v>3033</v>
      </c>
      <c r="E21" s="839" t="s">
        <v>3034</v>
      </c>
      <c r="F21" s="840"/>
    </row>
    <row r="22" spans="1:9" s="66" customFormat="1" ht="138">
      <c r="A22" s="848"/>
      <c r="B22" s="838"/>
      <c r="C22" s="154" t="s">
        <v>3035</v>
      </c>
      <c r="D22" s="154" t="s">
        <v>3036</v>
      </c>
      <c r="E22" s="154" t="s">
        <v>3037</v>
      </c>
      <c r="F22" s="279" t="s">
        <v>3038</v>
      </c>
    </row>
    <row r="23" spans="1:9" ht="82.8">
      <c r="A23" s="583" t="s">
        <v>3039</v>
      </c>
      <c r="B23" s="154" t="s">
        <v>2133</v>
      </c>
      <c r="C23" s="154" t="s">
        <v>3040</v>
      </c>
      <c r="D23" s="154" t="s">
        <v>3041</v>
      </c>
      <c r="E23" s="154" t="s">
        <v>3042</v>
      </c>
      <c r="F23" s="279" t="s">
        <v>3043</v>
      </c>
    </row>
    <row r="24" spans="1:9" ht="151.80000000000001">
      <c r="A24" s="681" t="s">
        <v>3044</v>
      </c>
      <c r="B24" s="729" t="s">
        <v>1694</v>
      </c>
      <c r="C24" s="729" t="s">
        <v>3045</v>
      </c>
      <c r="D24" s="154" t="s">
        <v>3046</v>
      </c>
      <c r="E24" s="154" t="s">
        <v>3047</v>
      </c>
      <c r="F24" s="279" t="s">
        <v>3048</v>
      </c>
    </row>
    <row r="25" spans="1:9" ht="82.8">
      <c r="A25" s="583" t="s">
        <v>3049</v>
      </c>
      <c r="B25" s="154" t="s">
        <v>1695</v>
      </c>
      <c r="C25" s="154" t="s">
        <v>3050</v>
      </c>
      <c r="D25" s="154" t="s">
        <v>3051</v>
      </c>
      <c r="E25" s="154" t="s">
        <v>2818</v>
      </c>
      <c r="F25" s="279" t="s">
        <v>3052</v>
      </c>
      <c r="I25" s="605"/>
    </row>
    <row r="26" spans="1:9" ht="27.6">
      <c r="A26" s="583" t="s">
        <v>2576</v>
      </c>
      <c r="B26" s="154" t="s">
        <v>2819</v>
      </c>
      <c r="C26" s="154" t="s">
        <v>2823</v>
      </c>
      <c r="D26" s="154" t="s">
        <v>2820</v>
      </c>
      <c r="E26" s="154" t="s">
        <v>2821</v>
      </c>
      <c r="F26" s="279" t="s">
        <v>2822</v>
      </c>
      <c r="I26" s="605"/>
    </row>
    <row r="27" spans="1:9" ht="138">
      <c r="A27" s="844" t="s">
        <v>3053</v>
      </c>
      <c r="B27" s="154" t="s">
        <v>3054</v>
      </c>
      <c r="C27" s="154" t="s">
        <v>3055</v>
      </c>
      <c r="D27" s="154" t="s">
        <v>3056</v>
      </c>
      <c r="E27" s="154" t="s">
        <v>3037</v>
      </c>
      <c r="F27" s="279" t="s">
        <v>3038</v>
      </c>
    </row>
    <row r="28" spans="1:9" ht="69">
      <c r="A28" s="846"/>
      <c r="B28" s="154" t="s">
        <v>3057</v>
      </c>
      <c r="C28" s="154" t="s">
        <v>2975</v>
      </c>
      <c r="D28" s="154" t="s">
        <v>3058</v>
      </c>
      <c r="E28" s="154" t="s">
        <v>3059</v>
      </c>
      <c r="F28" s="279" t="s">
        <v>3060</v>
      </c>
    </row>
    <row r="29" spans="1:9" ht="55.2">
      <c r="A29" s="584" t="s">
        <v>3061</v>
      </c>
      <c r="B29" s="154" t="s">
        <v>3062</v>
      </c>
      <c r="C29" s="154" t="s">
        <v>2976</v>
      </c>
      <c r="D29" s="154" t="s">
        <v>2824</v>
      </c>
      <c r="E29" s="154" t="s">
        <v>2825</v>
      </c>
      <c r="F29" s="154" t="s">
        <v>3063</v>
      </c>
    </row>
    <row r="30" spans="1:9" ht="27.6">
      <c r="A30" s="649" t="s">
        <v>3064</v>
      </c>
      <c r="B30" s="654" t="s">
        <v>2977</v>
      </c>
      <c r="C30" s="654" t="s">
        <v>3065</v>
      </c>
      <c r="D30" s="654" t="s">
        <v>2606</v>
      </c>
      <c r="E30" s="654" t="s">
        <v>2607</v>
      </c>
      <c r="F30" s="493" t="s">
        <v>2608</v>
      </c>
    </row>
    <row r="31" spans="1:9" ht="13.8">
      <c r="A31" s="584" t="s">
        <v>3066</v>
      </c>
      <c r="B31" s="154" t="s">
        <v>3067</v>
      </c>
      <c r="C31" s="872" t="s">
        <v>2826</v>
      </c>
      <c r="D31" s="872"/>
      <c r="E31" s="872"/>
      <c r="F31" s="873"/>
    </row>
    <row r="32" spans="1:9" ht="82.8">
      <c r="A32" s="844" t="s">
        <v>3068</v>
      </c>
      <c r="B32" s="837" t="s">
        <v>271</v>
      </c>
      <c r="C32" s="837" t="s">
        <v>2827</v>
      </c>
      <c r="D32" s="154" t="s">
        <v>3069</v>
      </c>
      <c r="E32" s="154" t="s">
        <v>3070</v>
      </c>
      <c r="F32" s="279" t="s">
        <v>3071</v>
      </c>
    </row>
    <row r="33" spans="1:6" ht="34.799999999999997" customHeight="1">
      <c r="A33" s="846"/>
      <c r="B33" s="838"/>
      <c r="C33" s="838"/>
      <c r="D33" s="874" t="s">
        <v>3206</v>
      </c>
      <c r="E33" s="875"/>
      <c r="F33" s="876"/>
    </row>
    <row r="34" spans="1:6" ht="96.6">
      <c r="A34" s="585" t="s">
        <v>3072</v>
      </c>
      <c r="B34" s="186" t="s">
        <v>2680</v>
      </c>
      <c r="C34" s="186" t="s">
        <v>3073</v>
      </c>
      <c r="D34" s="727" t="s">
        <v>3074</v>
      </c>
      <c r="E34" s="154" t="s">
        <v>2828</v>
      </c>
      <c r="F34" s="730" t="s">
        <v>2829</v>
      </c>
    </row>
    <row r="35" spans="1:6" ht="82.8">
      <c r="A35" s="585" t="s">
        <v>3075</v>
      </c>
      <c r="B35" s="186" t="s">
        <v>843</v>
      </c>
      <c r="C35" s="186" t="s">
        <v>2524</v>
      </c>
      <c r="D35" s="186" t="s">
        <v>3076</v>
      </c>
      <c r="E35" s="186" t="s">
        <v>3077</v>
      </c>
      <c r="F35" s="728" t="s">
        <v>3078</v>
      </c>
    </row>
    <row r="36" spans="1:6" ht="27.6">
      <c r="A36" s="584" t="s">
        <v>3079</v>
      </c>
      <c r="B36" s="150" t="s">
        <v>2945</v>
      </c>
      <c r="C36" s="839" t="s">
        <v>2946</v>
      </c>
      <c r="D36" s="854"/>
      <c r="E36" s="854"/>
      <c r="F36" s="840"/>
    </row>
    <row r="37" spans="1:6" ht="15.6">
      <c r="A37" s="858" t="s">
        <v>571</v>
      </c>
      <c r="B37" s="859"/>
      <c r="C37" s="867"/>
      <c r="D37" s="868"/>
      <c r="E37" s="868"/>
      <c r="F37" s="869"/>
    </row>
    <row r="38" spans="1:6" ht="27.6">
      <c r="A38" s="584" t="s">
        <v>3080</v>
      </c>
      <c r="B38" s="150" t="s">
        <v>1726</v>
      </c>
      <c r="C38" s="860" t="s">
        <v>2890</v>
      </c>
      <c r="D38" s="860"/>
      <c r="E38" s="860"/>
      <c r="F38" s="861"/>
    </row>
    <row r="39" spans="1:6" ht="13.8">
      <c r="A39" s="584" t="s">
        <v>2465</v>
      </c>
      <c r="B39" s="154" t="s">
        <v>912</v>
      </c>
      <c r="C39" s="860" t="s">
        <v>2978</v>
      </c>
      <c r="D39" s="860"/>
      <c r="E39" s="860"/>
      <c r="F39" s="861"/>
    </row>
    <row r="40" spans="1:6" ht="31.2" customHeight="1">
      <c r="A40" s="584" t="s">
        <v>3081</v>
      </c>
      <c r="B40" s="150" t="s">
        <v>3209</v>
      </c>
      <c r="C40" s="865" t="s">
        <v>3082</v>
      </c>
      <c r="D40" s="860"/>
      <c r="E40" s="860"/>
      <c r="F40" s="861"/>
    </row>
    <row r="41" spans="1:6" ht="31.8" customHeight="1">
      <c r="A41" s="584" t="s">
        <v>2466</v>
      </c>
      <c r="B41" s="150" t="s">
        <v>1509</v>
      </c>
      <c r="C41" s="865" t="s">
        <v>3083</v>
      </c>
      <c r="D41" s="865"/>
      <c r="E41" s="865"/>
      <c r="F41" s="866"/>
    </row>
    <row r="42" spans="1:6" ht="15.6">
      <c r="A42" s="870" t="s">
        <v>729</v>
      </c>
      <c r="B42" s="871"/>
      <c r="C42" s="862"/>
      <c r="D42" s="863"/>
      <c r="E42" s="863"/>
      <c r="F42" s="864"/>
    </row>
    <row r="43" spans="1:6" ht="33" customHeight="1" thickBot="1">
      <c r="A43" s="586" t="s">
        <v>3084</v>
      </c>
      <c r="B43" s="482" t="s">
        <v>384</v>
      </c>
      <c r="C43" s="855" t="s">
        <v>2893</v>
      </c>
      <c r="D43" s="856"/>
      <c r="E43" s="856"/>
      <c r="F43" s="857"/>
    </row>
  </sheetData>
  <customSheetViews>
    <customSheetView guid="{4FEDB3BD-111A-4B7D-AA97-E67173A5F707}" showPageBreaks="1" printArea="1" hiddenColumns="1" view="pageBreakPreview" showRuler="0">
      <selection activeCell="J24" sqref="J24:M24"/>
      <rowBreaks count="8" manualBreakCount="8">
        <brk id="5" max="12" man="1"/>
        <brk id="7" max="12" man="1"/>
        <brk id="10" max="12" man="1"/>
        <brk id="13" max="12" man="1"/>
        <brk id="16" max="12" man="1"/>
        <brk id="19" max="12" man="1"/>
        <brk id="22" max="12" man="1"/>
        <brk id="24" max="12" man="1"/>
      </rowBreaks>
      <pageMargins left="0.5" right="0.5" top="1" bottom="1" header="0.5" footer="0.5"/>
      <printOptions horizontalCentered="1"/>
      <pageSetup fitToHeight="0" orientation="landscape" horizontalDpi="4294967292" verticalDpi="300" r:id="rId1"/>
      <headerFooter alignWithMargins="0">
        <oddHeader>&amp;C&amp;"Arial,Bold"&amp;12&amp;UProject Activity 6: Drainage Analysis</oddHeader>
        <oddFooter>&amp;C&amp;P of &amp;N</oddFooter>
      </headerFooter>
    </customSheetView>
    <customSheetView guid="{D5FFA8DD-F2DB-47F2-B4D2-3681726B2E8F}" showPageBreaks="1" printArea="1" hiddenColumns="1" view="pageBreakPreview" showRuler="0" topLeftCell="A31">
      <selection activeCell="C3" sqref="C3:P3"/>
      <rowBreaks count="8" manualBreakCount="8">
        <brk id="5" max="12" man="1"/>
        <brk id="7" max="12" man="1"/>
        <brk id="10" max="12" man="1"/>
        <brk id="13" max="12" man="1"/>
        <brk id="16" max="12" man="1"/>
        <brk id="19" max="12" man="1"/>
        <brk id="22" max="12" man="1"/>
        <brk id="24" max="12" man="1"/>
      </rowBreaks>
      <pageMargins left="0.5" right="0.5" top="1" bottom="1" header="0.5" footer="0.5"/>
      <printOptions horizontalCentered="1"/>
      <pageSetup fitToHeight="0" orientation="landscape" horizontalDpi="4294967292" verticalDpi="300" r:id="rId2"/>
      <headerFooter alignWithMargins="0">
        <oddHeader>&amp;C&amp;"Arial,Bold"&amp;12&amp;UProject Activity 6: Drainage Analysis</oddHeader>
        <oddFooter>&amp;C&amp;P of &amp;N</oddFooter>
      </headerFooter>
    </customSheetView>
    <customSheetView guid="{EFE02F7B-3837-4B0F-9646-ADE249504E9F}" showPageBreaks="1" printArea="1" hiddenColumns="1" view="pageBreakPreview" showRuler="0" topLeftCell="A23">
      <selection activeCell="J24" sqref="J24:M24"/>
      <rowBreaks count="8" manualBreakCount="8">
        <brk id="5" max="12" man="1"/>
        <brk id="7" max="12" man="1"/>
        <brk id="10" max="12" man="1"/>
        <brk id="13" max="12" man="1"/>
        <brk id="16" max="12" man="1"/>
        <brk id="19" max="12" man="1"/>
        <brk id="22" max="12" man="1"/>
        <brk id="24" max="12" man="1"/>
      </rowBreaks>
      <pageMargins left="0.5" right="0.5" top="1" bottom="1" header="0.5" footer="0.5"/>
      <printOptions horizontalCentered="1"/>
      <pageSetup fitToHeight="0" orientation="landscape" horizontalDpi="4294967292" verticalDpi="300" r:id="rId3"/>
      <headerFooter alignWithMargins="0">
        <oddHeader>&amp;C&amp;"Arial,Bold"&amp;12&amp;UProject Activity 6: Drainage Analysis</oddHeader>
        <oddFooter>&amp;C&amp;P of &amp;N</oddFooter>
      </headerFooter>
    </customSheetView>
    <customSheetView guid="{053BE130-58A3-4F3B-945A-C2EFB15C6264}" showPageBreaks="1" printArea="1" hiddenColumns="1" view="pageBreakPreview" showRuler="0" topLeftCell="A15">
      <selection activeCell="J15" sqref="J15"/>
      <rowBreaks count="7" manualBreakCount="7">
        <brk id="5" max="12" man="1"/>
        <brk id="7" max="12" man="1"/>
        <brk id="10" max="12" man="1"/>
        <brk id="13" max="12" man="1"/>
        <brk id="16" max="12" man="1"/>
        <brk id="19" max="12" man="1"/>
        <brk id="23" max="12" man="1"/>
      </rowBreaks>
      <pageMargins left="0.5" right="0.5" top="1" bottom="1" header="0.5" footer="0.5"/>
      <printOptions horizontalCentered="1"/>
      <pageSetup fitToHeight="0" orientation="landscape" horizontalDpi="4294967292" verticalDpi="300" r:id="rId4"/>
      <headerFooter alignWithMargins="0">
        <oddHeader>&amp;C&amp;"Arial,Bold"&amp;12&amp;UProject Activity 6: Drainage Analysis</oddHeader>
        <oddFooter>&amp;C&amp;P of &amp;N</oddFooter>
      </headerFooter>
    </customSheetView>
    <customSheetView guid="{F5DBE5B9-A9E4-4030-888B-08F930ECBB74}" showPageBreaks="1" printArea="1" hiddenColumns="1" view="pageBreakPreview" showRuler="0" topLeftCell="A23">
      <selection activeCell="J24" sqref="J24:M24"/>
      <rowBreaks count="8" manualBreakCount="8">
        <brk id="5" max="12" man="1"/>
        <brk id="7" max="12" man="1"/>
        <brk id="10" max="12" man="1"/>
        <brk id="13" max="12" man="1"/>
        <brk id="16" max="12" man="1"/>
        <brk id="19" max="12" man="1"/>
        <brk id="22" max="12" man="1"/>
        <brk id="24" max="12" man="1"/>
      </rowBreaks>
      <pageMargins left="0.5" right="0.5" top="1" bottom="1" header="0.5" footer="0.5"/>
      <printOptions horizontalCentered="1"/>
      <pageSetup fitToHeight="0" orientation="landscape" horizontalDpi="4294967292" verticalDpi="300" r:id="rId5"/>
      <headerFooter alignWithMargins="0">
        <oddHeader>&amp;C&amp;"Arial,Bold"&amp;12&amp;UProject Activity 6: Drainage Analysis</oddHeader>
        <oddFooter>&amp;C&amp;P of &amp;N</oddFooter>
      </headerFooter>
    </customSheetView>
    <customSheetView guid="{960FB4AF-B150-4523-972C-3F7C93F049F3}" showPageBreaks="1" printArea="1" hiddenColumns="1" view="pageBreakPreview" showRuler="0" topLeftCell="A10">
      <selection activeCell="M11" sqref="M11"/>
      <rowBreaks count="8" manualBreakCount="8">
        <brk id="5" max="12" man="1"/>
        <brk id="7" max="12" man="1"/>
        <brk id="10" max="12" man="1"/>
        <brk id="13" max="12" man="1"/>
        <brk id="16" max="12" man="1"/>
        <brk id="19" max="12" man="1"/>
        <brk id="22" max="12" man="1"/>
        <brk id="24" max="12" man="1"/>
      </rowBreaks>
      <pageMargins left="0.5" right="0.5" top="1" bottom="1" header="0.5" footer="0.5"/>
      <printOptions horizontalCentered="1"/>
      <pageSetup fitToHeight="0" orientation="landscape" horizontalDpi="4294967292" verticalDpi="300" r:id="rId6"/>
      <headerFooter alignWithMargins="0">
        <oddHeader>&amp;C&amp;"Arial,Bold"&amp;12&amp;UProject Activity 6: Drainage Analysis</oddHeader>
        <oddFooter>&amp;C&amp;P of &amp;N</oddFooter>
      </headerFooter>
    </customSheetView>
    <customSheetView guid="{DF3BD4C9-2986-4236-8E90-D96736404377}" showPageBreaks="1" printArea="1" hiddenColumns="1" view="pageBreakPreview" showRuler="0" topLeftCell="A10">
      <selection activeCell="M11" sqref="M11"/>
      <rowBreaks count="8" manualBreakCount="8">
        <brk id="5" max="12" man="1"/>
        <brk id="7" max="12" man="1"/>
        <brk id="10" max="12" man="1"/>
        <brk id="13" max="12" man="1"/>
        <brk id="16" max="12" man="1"/>
        <brk id="19" max="12" man="1"/>
        <brk id="22" max="12" man="1"/>
        <brk id="24" max="12" man="1"/>
      </rowBreaks>
      <pageMargins left="0.5" right="0.5" top="1" bottom="1" header="0.5" footer="0.5"/>
      <printOptions horizontalCentered="1"/>
      <pageSetup fitToHeight="0" orientation="landscape" horizontalDpi="4294967292" verticalDpi="300" r:id="rId7"/>
      <headerFooter alignWithMargins="0">
        <oddHeader>&amp;C&amp;"Arial,Bold"&amp;12&amp;UProject Activity 6: Drainage Analysis</oddHeader>
        <oddFooter>&amp;C&amp;P of &amp;N</oddFooter>
      </headerFooter>
    </customSheetView>
  </customSheetViews>
  <mergeCells count="33">
    <mergeCell ref="B21:B22"/>
    <mergeCell ref="C38:F38"/>
    <mergeCell ref="C40:F40"/>
    <mergeCell ref="A27:A28"/>
    <mergeCell ref="A32:A33"/>
    <mergeCell ref="B32:B33"/>
    <mergeCell ref="C31:F31"/>
    <mergeCell ref="C32:C33"/>
    <mergeCell ref="D33:F33"/>
    <mergeCell ref="C36:F36"/>
    <mergeCell ref="C43:F43"/>
    <mergeCell ref="A37:B37"/>
    <mergeCell ref="C39:F39"/>
    <mergeCell ref="C42:F42"/>
    <mergeCell ref="C41:F41"/>
    <mergeCell ref="C37:F37"/>
    <mergeCell ref="A42:B42"/>
    <mergeCell ref="A1:F1"/>
    <mergeCell ref="C2:F2"/>
    <mergeCell ref="A17:A18"/>
    <mergeCell ref="B17:B18"/>
    <mergeCell ref="E21:F21"/>
    <mergeCell ref="B2:B4"/>
    <mergeCell ref="A2:A4"/>
    <mergeCell ref="A13:A16"/>
    <mergeCell ref="B13:B16"/>
    <mergeCell ref="A19:A20"/>
    <mergeCell ref="B19:B20"/>
    <mergeCell ref="D3:F3"/>
    <mergeCell ref="C3:C4"/>
    <mergeCell ref="C19:C20"/>
    <mergeCell ref="D20:F20"/>
    <mergeCell ref="A21:A22"/>
  </mergeCells>
  <phoneticPr fontId="0" type="noConversion"/>
  <printOptions horizontalCentered="1" verticalCentered="1"/>
  <pageMargins left="0.75" right="0.75" top="1" bottom="1" header="0.5" footer="0.5"/>
  <pageSetup scale="13" orientation="landscape" r:id="rId8"/>
  <headerFooter alignWithMargins="0"/>
  <rowBreaks count="2" manualBreakCount="2">
    <brk id="21" max="8" man="1"/>
    <brk id="28" max="8"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10"/>
  <sheetViews>
    <sheetView showGridLines="0" zoomScale="130" zoomScaleNormal="130" zoomScaleSheetLayoutView="100" workbookViewId="0">
      <selection sqref="A1:C1"/>
    </sheetView>
  </sheetViews>
  <sheetFormatPr defaultColWidth="9.109375" defaultRowHeight="13.2"/>
  <cols>
    <col min="1" max="1" width="6.33203125" style="88" customWidth="1"/>
    <col min="2" max="2" width="31.33203125" style="88" customWidth="1"/>
    <col min="3" max="3" width="68.33203125" style="88" customWidth="1"/>
    <col min="4" max="16384" width="9.109375" style="88"/>
  </cols>
  <sheetData>
    <row r="1" spans="1:3" ht="24.9" customHeight="1">
      <c r="A1" s="879" t="s">
        <v>2004</v>
      </c>
      <c r="B1" s="880"/>
      <c r="C1" s="881"/>
    </row>
    <row r="2" spans="1:3" ht="48" customHeight="1">
      <c r="A2" s="261" t="s">
        <v>385</v>
      </c>
      <c r="B2" s="262" t="s">
        <v>844</v>
      </c>
      <c r="C2" s="263" t="s">
        <v>2611</v>
      </c>
    </row>
    <row r="3" spans="1:3" ht="82.8">
      <c r="A3" s="587" t="s">
        <v>2134</v>
      </c>
      <c r="B3" s="466" t="s">
        <v>1938</v>
      </c>
      <c r="C3" s="301" t="s">
        <v>3085</v>
      </c>
    </row>
    <row r="4" spans="1:3" ht="41.4">
      <c r="A4" s="588" t="s">
        <v>2135</v>
      </c>
      <c r="B4" s="150" t="s">
        <v>1274</v>
      </c>
      <c r="C4" s="149" t="s">
        <v>2612</v>
      </c>
    </row>
    <row r="5" spans="1:3" ht="69">
      <c r="A5" s="588" t="s">
        <v>2136</v>
      </c>
      <c r="B5" s="150" t="s">
        <v>2565</v>
      </c>
      <c r="C5" s="149" t="s">
        <v>2613</v>
      </c>
    </row>
    <row r="6" spans="1:3" ht="55.2">
      <c r="A6" s="649" t="s">
        <v>2137</v>
      </c>
      <c r="B6" s="150" t="s">
        <v>3210</v>
      </c>
      <c r="C6" s="149" t="s">
        <v>3086</v>
      </c>
    </row>
    <row r="7" spans="1:3" ht="55.2">
      <c r="A7" s="649" t="s">
        <v>2138</v>
      </c>
      <c r="B7" s="150" t="s">
        <v>3211</v>
      </c>
      <c r="C7" s="149" t="s">
        <v>3087</v>
      </c>
    </row>
    <row r="8" spans="1:3" ht="20.100000000000001" customHeight="1">
      <c r="A8" s="877" t="s">
        <v>2007</v>
      </c>
      <c r="B8" s="878"/>
      <c r="C8" s="581"/>
    </row>
    <row r="9" spans="1:3" ht="41.4">
      <c r="A9" s="650" t="s">
        <v>2614</v>
      </c>
      <c r="B9" s="150" t="s">
        <v>1339</v>
      </c>
      <c r="C9" s="149" t="s">
        <v>3088</v>
      </c>
    </row>
    <row r="10" spans="1:3" ht="28.2" thickBot="1">
      <c r="A10" s="732" t="s">
        <v>2139</v>
      </c>
      <c r="B10" s="482" t="s">
        <v>912</v>
      </c>
      <c r="C10" s="485" t="s">
        <v>2615</v>
      </c>
    </row>
  </sheetData>
  <mergeCells count="2">
    <mergeCell ref="A8:B8"/>
    <mergeCell ref="A1:C1"/>
  </mergeCells>
  <printOptions horizontalCentered="1" verticalCentered="1"/>
  <pageMargins left="0.75" right="0.75" top="1" bottom="1" header="0.5" footer="0.5"/>
  <pageSetup scale="67"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8B7FF-D40C-4978-B850-DAF366EE7764}">
  <dimension ref="A1:L49"/>
  <sheetViews>
    <sheetView showGridLines="0" zoomScale="115" zoomScaleNormal="115" workbookViewId="0">
      <pane ySplit="3" topLeftCell="A12" activePane="bottomLeft" state="frozen"/>
      <selection activeCell="A47" sqref="A47:A48"/>
      <selection pane="bottomLeft" sqref="A1:G1"/>
    </sheetView>
  </sheetViews>
  <sheetFormatPr defaultColWidth="8.88671875" defaultRowHeight="13.8"/>
  <cols>
    <col min="1" max="1" width="29.6640625" style="683" customWidth="1"/>
    <col min="2" max="2" width="12.6640625" style="683" customWidth="1"/>
    <col min="3" max="3" width="58.109375" style="683" customWidth="1"/>
    <col min="4" max="5" width="13.88671875" style="683" customWidth="1"/>
    <col min="6" max="6" width="37.33203125" style="683" customWidth="1"/>
    <col min="7" max="7" width="17.33203125" style="683" customWidth="1"/>
    <col min="8" max="8" width="8.88671875" style="683"/>
    <col min="9" max="13" width="0" style="683" hidden="1" customWidth="1"/>
    <col min="14" max="16384" width="8.88671875" style="683"/>
  </cols>
  <sheetData>
    <row r="1" spans="1:12" ht="25.8" customHeight="1">
      <c r="A1" s="882" t="s">
        <v>2278</v>
      </c>
      <c r="B1" s="882"/>
      <c r="C1" s="882"/>
      <c r="D1" s="882"/>
      <c r="E1" s="882"/>
      <c r="F1" s="882"/>
      <c r="G1" s="883"/>
    </row>
    <row r="2" spans="1:12" ht="33" customHeight="1" thickBot="1">
      <c r="A2" s="884" t="s">
        <v>3184</v>
      </c>
      <c r="B2" s="884"/>
      <c r="C2" s="884"/>
      <c r="D2" s="884"/>
      <c r="E2" s="884"/>
      <c r="F2" s="884"/>
      <c r="G2" s="884"/>
    </row>
    <row r="3" spans="1:12" ht="20.25" customHeight="1" thickBot="1">
      <c r="A3" s="684" t="s">
        <v>2830</v>
      </c>
      <c r="B3" s="885" t="s">
        <v>2831</v>
      </c>
      <c r="C3" s="885"/>
      <c r="D3" s="685" t="s">
        <v>2832</v>
      </c>
      <c r="E3" s="685" t="s">
        <v>2833</v>
      </c>
      <c r="F3" s="886" t="s">
        <v>2834</v>
      </c>
      <c r="G3" s="887"/>
      <c r="I3" s="683" t="s">
        <v>2835</v>
      </c>
      <c r="J3" s="683" t="s">
        <v>2836</v>
      </c>
      <c r="K3" s="683" t="s">
        <v>2837</v>
      </c>
      <c r="L3" s="683" t="s">
        <v>2838</v>
      </c>
    </row>
    <row r="4" spans="1:12" ht="20.100000000000001" customHeight="1">
      <c r="A4" s="888" t="s">
        <v>2279</v>
      </c>
      <c r="B4" s="686" t="s">
        <v>2839</v>
      </c>
      <c r="C4" s="687" t="s">
        <v>2280</v>
      </c>
      <c r="D4" s="891"/>
      <c r="E4" s="894">
        <f>IF(D4="N/A",0,IF(D4="Simple",1,IF(D4="Standard",2,IF(D4="Complex",3,0))))</f>
        <v>0</v>
      </c>
      <c r="F4" s="897"/>
      <c r="G4" s="898"/>
    </row>
    <row r="5" spans="1:12" ht="20.100000000000001" customHeight="1">
      <c r="A5" s="889"/>
      <c r="B5" s="686" t="s">
        <v>2840</v>
      </c>
      <c r="C5" s="687" t="s">
        <v>2281</v>
      </c>
      <c r="D5" s="892"/>
      <c r="E5" s="895"/>
      <c r="F5" s="897"/>
      <c r="G5" s="898"/>
    </row>
    <row r="6" spans="1:12" ht="20.100000000000001" customHeight="1">
      <c r="A6" s="889"/>
      <c r="B6" s="686" t="s">
        <v>2841</v>
      </c>
      <c r="C6" s="687" t="s">
        <v>2842</v>
      </c>
      <c r="D6" s="892"/>
      <c r="E6" s="895"/>
      <c r="F6" s="897"/>
      <c r="G6" s="898"/>
    </row>
    <row r="7" spans="1:12" ht="20.100000000000001" customHeight="1">
      <c r="A7" s="890"/>
      <c r="B7" s="686" t="s">
        <v>2843</v>
      </c>
      <c r="C7" s="688" t="s">
        <v>2844</v>
      </c>
      <c r="D7" s="893"/>
      <c r="E7" s="896"/>
      <c r="F7" s="899"/>
      <c r="G7" s="900"/>
    </row>
    <row r="8" spans="1:12" ht="20.100000000000001" customHeight="1">
      <c r="A8" s="901" t="s">
        <v>210</v>
      </c>
      <c r="B8" s="689" t="s">
        <v>2839</v>
      </c>
      <c r="C8" s="690" t="s">
        <v>2845</v>
      </c>
      <c r="D8" s="904"/>
      <c r="E8" s="905">
        <f>IF(D8="N/A",0,IF(D8="Simple",1,IF(D8="Standard",2,IF(D8="Complex",3,0))))</f>
        <v>0</v>
      </c>
      <c r="F8" s="907"/>
      <c r="G8" s="908"/>
    </row>
    <row r="9" spans="1:12" ht="20.100000000000001" customHeight="1">
      <c r="A9" s="902"/>
      <c r="B9" s="689" t="s">
        <v>2840</v>
      </c>
      <c r="C9" s="690" t="s">
        <v>207</v>
      </c>
      <c r="D9" s="892"/>
      <c r="E9" s="905"/>
      <c r="F9" s="909"/>
      <c r="G9" s="910"/>
    </row>
    <row r="10" spans="1:12" ht="20.100000000000001" customHeight="1">
      <c r="A10" s="902"/>
      <c r="B10" s="689" t="s">
        <v>2841</v>
      </c>
      <c r="C10" s="690" t="s">
        <v>208</v>
      </c>
      <c r="D10" s="892"/>
      <c r="E10" s="905"/>
      <c r="F10" s="909"/>
      <c r="G10" s="910"/>
    </row>
    <row r="11" spans="1:12" ht="20.100000000000001" customHeight="1">
      <c r="A11" s="903"/>
      <c r="B11" s="689" t="s">
        <v>2843</v>
      </c>
      <c r="C11" s="690" t="s">
        <v>1810</v>
      </c>
      <c r="D11" s="893"/>
      <c r="E11" s="906"/>
      <c r="F11" s="911"/>
      <c r="G11" s="912"/>
    </row>
    <row r="12" spans="1:12" ht="20.100000000000001" customHeight="1">
      <c r="A12" s="913" t="s">
        <v>211</v>
      </c>
      <c r="B12" s="686" t="s">
        <v>2839</v>
      </c>
      <c r="C12" s="687" t="s">
        <v>2846</v>
      </c>
      <c r="D12" s="904"/>
      <c r="E12" s="894">
        <f>IF(D12="N/A",0,IF(D12="Simple",1,IF(D12="Standard",2,IF(D12="Complex",3,0))))</f>
        <v>0</v>
      </c>
      <c r="F12" s="916"/>
      <c r="G12" s="917"/>
    </row>
    <row r="13" spans="1:12" ht="20.100000000000001" customHeight="1">
      <c r="A13" s="914"/>
      <c r="B13" s="686" t="s">
        <v>2840</v>
      </c>
      <c r="C13" s="687" t="s">
        <v>209</v>
      </c>
      <c r="D13" s="892"/>
      <c r="E13" s="895"/>
      <c r="F13" s="897"/>
      <c r="G13" s="898"/>
    </row>
    <row r="14" spans="1:12" ht="20.100000000000001" customHeight="1">
      <c r="A14" s="914"/>
      <c r="B14" s="686" t="s">
        <v>2841</v>
      </c>
      <c r="C14" s="687" t="s">
        <v>2416</v>
      </c>
      <c r="D14" s="892"/>
      <c r="E14" s="895"/>
      <c r="F14" s="897"/>
      <c r="G14" s="898"/>
    </row>
    <row r="15" spans="1:12" ht="20.100000000000001" customHeight="1">
      <c r="A15" s="915"/>
      <c r="B15" s="686" t="s">
        <v>2843</v>
      </c>
      <c r="C15" s="688" t="s">
        <v>2417</v>
      </c>
      <c r="D15" s="893"/>
      <c r="E15" s="896"/>
      <c r="F15" s="899"/>
      <c r="G15" s="900"/>
    </row>
    <row r="16" spans="1:12" ht="20.100000000000001" customHeight="1">
      <c r="A16" s="918" t="s">
        <v>2847</v>
      </c>
      <c r="B16" s="689" t="s">
        <v>2839</v>
      </c>
      <c r="C16" s="690" t="s">
        <v>2848</v>
      </c>
      <c r="D16" s="904"/>
      <c r="E16" s="905">
        <f>IF(D16="N/A",0,IF(D16="Simple",1,IF(D16="Standard",2,IF(D16="Complex",3,0))))</f>
        <v>0</v>
      </c>
      <c r="F16" s="907"/>
      <c r="G16" s="908"/>
    </row>
    <row r="17" spans="1:7" ht="20.100000000000001" customHeight="1">
      <c r="A17" s="919"/>
      <c r="B17" s="689" t="s">
        <v>2840</v>
      </c>
      <c r="C17" s="690" t="s">
        <v>2849</v>
      </c>
      <c r="D17" s="892"/>
      <c r="E17" s="905"/>
      <c r="F17" s="909"/>
      <c r="G17" s="910"/>
    </row>
    <row r="18" spans="1:7" ht="20.100000000000001" customHeight="1">
      <c r="A18" s="919"/>
      <c r="B18" s="689" t="s">
        <v>2841</v>
      </c>
      <c r="C18" s="690" t="s">
        <v>2850</v>
      </c>
      <c r="D18" s="892"/>
      <c r="E18" s="905"/>
      <c r="F18" s="909"/>
      <c r="G18" s="910"/>
    </row>
    <row r="19" spans="1:7" ht="20.100000000000001" customHeight="1">
      <c r="A19" s="920"/>
      <c r="B19" s="689" t="s">
        <v>2843</v>
      </c>
      <c r="C19" s="690" t="s">
        <v>3183</v>
      </c>
      <c r="D19" s="893"/>
      <c r="E19" s="906"/>
      <c r="F19" s="911"/>
      <c r="G19" s="912"/>
    </row>
    <row r="20" spans="1:7" ht="20.100000000000001" customHeight="1">
      <c r="A20" s="913" t="s">
        <v>2285</v>
      </c>
      <c r="B20" s="686" t="s">
        <v>2839</v>
      </c>
      <c r="C20" s="687" t="s">
        <v>2289</v>
      </c>
      <c r="D20" s="904"/>
      <c r="E20" s="894">
        <f>IF(D20="N/A",0,IF(D20="Simple",1,IF(D20="Standard",2,IF(D20="Complex",3,0))))</f>
        <v>0</v>
      </c>
      <c r="F20" s="916"/>
      <c r="G20" s="917"/>
    </row>
    <row r="21" spans="1:7" ht="20.100000000000001" customHeight="1">
      <c r="A21" s="914"/>
      <c r="B21" s="686" t="s">
        <v>2840</v>
      </c>
      <c r="C21" s="687" t="s">
        <v>2851</v>
      </c>
      <c r="D21" s="892"/>
      <c r="E21" s="895"/>
      <c r="F21" s="897"/>
      <c r="G21" s="898"/>
    </row>
    <row r="22" spans="1:7" ht="20.100000000000001" customHeight="1">
      <c r="A22" s="914"/>
      <c r="B22" s="686" t="s">
        <v>2841</v>
      </c>
      <c r="C22" s="687" t="s">
        <v>2852</v>
      </c>
      <c r="D22" s="892"/>
      <c r="E22" s="895"/>
      <c r="F22" s="897"/>
      <c r="G22" s="898"/>
    </row>
    <row r="23" spans="1:7" ht="20.100000000000001" customHeight="1">
      <c r="A23" s="915"/>
      <c r="B23" s="686" t="s">
        <v>2843</v>
      </c>
      <c r="C23" s="688" t="s">
        <v>2853</v>
      </c>
      <c r="D23" s="893"/>
      <c r="E23" s="896"/>
      <c r="F23" s="899"/>
      <c r="G23" s="900"/>
    </row>
    <row r="24" spans="1:7" ht="20.100000000000001" customHeight="1">
      <c r="A24" s="918" t="s">
        <v>3182</v>
      </c>
      <c r="B24" s="689" t="s">
        <v>2839</v>
      </c>
      <c r="C24" s="690" t="s">
        <v>2854</v>
      </c>
      <c r="D24" s="904"/>
      <c r="E24" s="905">
        <f>IF(D24="N/A",0,IF(D24="Simple",1,IF(D24="Standard",2,IF(D24="Complex",3,0))))</f>
        <v>0</v>
      </c>
      <c r="F24" s="907"/>
      <c r="G24" s="908"/>
    </row>
    <row r="25" spans="1:7" ht="20.100000000000001" customHeight="1">
      <c r="A25" s="919"/>
      <c r="B25" s="689" t="s">
        <v>2840</v>
      </c>
      <c r="C25" s="690" t="s">
        <v>2855</v>
      </c>
      <c r="D25" s="892"/>
      <c r="E25" s="905"/>
      <c r="F25" s="909"/>
      <c r="G25" s="910"/>
    </row>
    <row r="26" spans="1:7" ht="20.100000000000001" customHeight="1">
      <c r="A26" s="919"/>
      <c r="B26" s="689" t="s">
        <v>2841</v>
      </c>
      <c r="C26" s="690" t="s">
        <v>2286</v>
      </c>
      <c r="D26" s="892"/>
      <c r="E26" s="905"/>
      <c r="F26" s="909"/>
      <c r="G26" s="910"/>
    </row>
    <row r="27" spans="1:7" ht="20.100000000000001" customHeight="1">
      <c r="A27" s="920"/>
      <c r="B27" s="689" t="s">
        <v>2843</v>
      </c>
      <c r="C27" s="690" t="s">
        <v>2287</v>
      </c>
      <c r="D27" s="893"/>
      <c r="E27" s="906"/>
      <c r="F27" s="911"/>
      <c r="G27" s="912"/>
    </row>
    <row r="28" spans="1:7" ht="20.100000000000001" customHeight="1">
      <c r="A28" s="913" t="s">
        <v>2856</v>
      </c>
      <c r="B28" s="686" t="s">
        <v>2839</v>
      </c>
      <c r="C28" s="687" t="s">
        <v>2289</v>
      </c>
      <c r="D28" s="904"/>
      <c r="E28" s="894">
        <f>IF(D28="N/A",0,IF(D28="Simple",1,IF(D28="Standard",2,IF(D28="Complex",3,0))))</f>
        <v>0</v>
      </c>
      <c r="F28" s="916"/>
      <c r="G28" s="917"/>
    </row>
    <row r="29" spans="1:7" ht="20.100000000000001" customHeight="1">
      <c r="A29" s="914"/>
      <c r="B29" s="686" t="s">
        <v>2840</v>
      </c>
      <c r="C29" s="687" t="s">
        <v>2857</v>
      </c>
      <c r="D29" s="892"/>
      <c r="E29" s="895"/>
      <c r="F29" s="897"/>
      <c r="G29" s="898"/>
    </row>
    <row r="30" spans="1:7" ht="20.100000000000001" customHeight="1">
      <c r="A30" s="914"/>
      <c r="B30" s="686" t="s">
        <v>2841</v>
      </c>
      <c r="C30" s="687" t="s">
        <v>2858</v>
      </c>
      <c r="D30" s="892"/>
      <c r="E30" s="895"/>
      <c r="F30" s="897"/>
      <c r="G30" s="898"/>
    </row>
    <row r="31" spans="1:7" ht="20.100000000000001" customHeight="1">
      <c r="A31" s="915"/>
      <c r="B31" s="686" t="s">
        <v>2843</v>
      </c>
      <c r="C31" s="688" t="s">
        <v>2859</v>
      </c>
      <c r="D31" s="893"/>
      <c r="E31" s="896"/>
      <c r="F31" s="899"/>
      <c r="G31" s="900"/>
    </row>
    <row r="32" spans="1:7" ht="20.100000000000001" customHeight="1">
      <c r="A32" s="918" t="s">
        <v>2860</v>
      </c>
      <c r="B32" s="689" t="s">
        <v>2839</v>
      </c>
      <c r="C32" s="690" t="s">
        <v>2289</v>
      </c>
      <c r="D32" s="904"/>
      <c r="E32" s="905">
        <f>IF(D32="N/A",0,IF(D32="Simple",1,IF(D32="Standard",2,IF(D32="Complex",3,0))))</f>
        <v>0</v>
      </c>
      <c r="F32" s="907"/>
      <c r="G32" s="908"/>
    </row>
    <row r="33" spans="1:7" ht="20.100000000000001" customHeight="1">
      <c r="A33" s="919"/>
      <c r="B33" s="689" t="s">
        <v>2840</v>
      </c>
      <c r="C33" s="690" t="s">
        <v>2861</v>
      </c>
      <c r="D33" s="892"/>
      <c r="E33" s="905"/>
      <c r="F33" s="909"/>
      <c r="G33" s="910"/>
    </row>
    <row r="34" spans="1:7" ht="20.100000000000001" customHeight="1">
      <c r="A34" s="919"/>
      <c r="B34" s="689" t="s">
        <v>2841</v>
      </c>
      <c r="C34" s="690" t="s">
        <v>2862</v>
      </c>
      <c r="D34" s="892"/>
      <c r="E34" s="905"/>
      <c r="F34" s="909"/>
      <c r="G34" s="910"/>
    </row>
    <row r="35" spans="1:7" ht="20.100000000000001" customHeight="1">
      <c r="A35" s="920"/>
      <c r="B35" s="689" t="s">
        <v>2843</v>
      </c>
      <c r="C35" s="690" t="s">
        <v>2863</v>
      </c>
      <c r="D35" s="893"/>
      <c r="E35" s="906"/>
      <c r="F35" s="911"/>
      <c r="G35" s="912"/>
    </row>
    <row r="36" spans="1:7" ht="20.100000000000001" customHeight="1">
      <c r="A36" s="913" t="s">
        <v>2288</v>
      </c>
      <c r="B36" s="686" t="s">
        <v>2839</v>
      </c>
      <c r="C36" s="687" t="s">
        <v>2289</v>
      </c>
      <c r="D36" s="904"/>
      <c r="E36" s="894">
        <f>IF(D36="N/A",0,IF(D36="Simple",1,IF(D36="Standard",2,IF(D36="Complex",3,0))))</f>
        <v>0</v>
      </c>
      <c r="F36" s="916"/>
      <c r="G36" s="917"/>
    </row>
    <row r="37" spans="1:7" ht="20.100000000000001" customHeight="1">
      <c r="A37" s="914"/>
      <c r="B37" s="686" t="s">
        <v>2840</v>
      </c>
      <c r="C37" s="687" t="s">
        <v>2864</v>
      </c>
      <c r="D37" s="892"/>
      <c r="E37" s="895"/>
      <c r="F37" s="897"/>
      <c r="G37" s="898"/>
    </row>
    <row r="38" spans="1:7" ht="20.100000000000001" customHeight="1">
      <c r="A38" s="914"/>
      <c r="B38" s="686" t="s">
        <v>2841</v>
      </c>
      <c r="C38" s="687" t="s">
        <v>2865</v>
      </c>
      <c r="D38" s="892"/>
      <c r="E38" s="895"/>
      <c r="F38" s="897"/>
      <c r="G38" s="898"/>
    </row>
    <row r="39" spans="1:7" ht="20.100000000000001" customHeight="1">
      <c r="A39" s="915"/>
      <c r="B39" s="686" t="s">
        <v>2843</v>
      </c>
      <c r="C39" s="688" t="s">
        <v>2866</v>
      </c>
      <c r="D39" s="893"/>
      <c r="E39" s="896"/>
      <c r="F39" s="899"/>
      <c r="G39" s="900"/>
    </row>
    <row r="40" spans="1:7" ht="20.100000000000001" customHeight="1">
      <c r="A40" s="918" t="s">
        <v>2382</v>
      </c>
      <c r="B40" s="689" t="s">
        <v>2839</v>
      </c>
      <c r="C40" s="690" t="s">
        <v>2289</v>
      </c>
      <c r="D40" s="892"/>
      <c r="E40" s="905">
        <f>IF(D40="N/A",0,IF(D40="Simple",1,IF(D40="Standard",2,IF(D40="Complex",3,0))))</f>
        <v>0</v>
      </c>
      <c r="F40" s="907"/>
      <c r="G40" s="908"/>
    </row>
    <row r="41" spans="1:7" ht="20.100000000000001" customHeight="1">
      <c r="A41" s="919"/>
      <c r="B41" s="689" t="s">
        <v>2840</v>
      </c>
      <c r="C41" s="690" t="s">
        <v>2282</v>
      </c>
      <c r="D41" s="892"/>
      <c r="E41" s="905"/>
      <c r="F41" s="909"/>
      <c r="G41" s="910"/>
    </row>
    <row r="42" spans="1:7" ht="20.100000000000001" customHeight="1">
      <c r="A42" s="919"/>
      <c r="B42" s="689" t="s">
        <v>2841</v>
      </c>
      <c r="C42" s="690" t="s">
        <v>2283</v>
      </c>
      <c r="D42" s="892"/>
      <c r="E42" s="905"/>
      <c r="F42" s="909"/>
      <c r="G42" s="910"/>
    </row>
    <row r="43" spans="1:7" ht="20.100000000000001" customHeight="1">
      <c r="A43" s="919"/>
      <c r="B43" s="689" t="s">
        <v>2843</v>
      </c>
      <c r="C43" s="690" t="s">
        <v>2284</v>
      </c>
      <c r="D43" s="893"/>
      <c r="E43" s="906"/>
      <c r="F43" s="911"/>
      <c r="G43" s="912"/>
    </row>
    <row r="44" spans="1:7" ht="33.75" customHeight="1" thickBot="1">
      <c r="A44" s="921" t="s">
        <v>2867</v>
      </c>
      <c r="B44" s="922"/>
      <c r="C44" s="922"/>
      <c r="D44" s="922"/>
      <c r="E44" s="692">
        <f>SUM(E4:E43)</f>
        <v>0</v>
      </c>
      <c r="F44" s="691" t="s">
        <v>2868</v>
      </c>
      <c r="G44" s="693" t="str">
        <f>IF(E44=0,"N/A",IF(E44&lt;10,"Simple",IF(E44&lt;21,"Standard","Complex")))</f>
        <v>N/A</v>
      </c>
    </row>
    <row r="45" spans="1:7">
      <c r="A45" s="694"/>
      <c r="B45" s="694"/>
      <c r="C45" s="694"/>
      <c r="D45" s="694"/>
      <c r="E45" s="694"/>
      <c r="F45" s="694"/>
      <c r="G45" s="694"/>
    </row>
    <row r="46" spans="1:7">
      <c r="A46" s="694"/>
      <c r="B46" s="694"/>
      <c r="C46" s="694"/>
      <c r="D46" s="694"/>
      <c r="E46" s="694"/>
      <c r="F46" s="695" t="s">
        <v>2869</v>
      </c>
      <c r="G46" s="696" t="s">
        <v>2836</v>
      </c>
    </row>
    <row r="47" spans="1:7">
      <c r="A47" s="694"/>
      <c r="B47" s="694"/>
      <c r="C47" s="694"/>
      <c r="D47" s="694"/>
      <c r="E47" s="694"/>
      <c r="F47" s="697" t="s">
        <v>2870</v>
      </c>
      <c r="G47" s="698" t="s">
        <v>2837</v>
      </c>
    </row>
    <row r="48" spans="1:7">
      <c r="A48" s="694"/>
      <c r="B48" s="694"/>
      <c r="C48" s="694"/>
      <c r="D48" s="694"/>
      <c r="E48" s="694"/>
      <c r="F48" s="699" t="s">
        <v>2871</v>
      </c>
      <c r="G48" s="700" t="s">
        <v>2838</v>
      </c>
    </row>
    <row r="49" spans="1:7">
      <c r="A49" s="694"/>
      <c r="B49" s="694"/>
      <c r="C49" s="694"/>
      <c r="D49" s="694"/>
      <c r="E49" s="694"/>
      <c r="F49" s="694"/>
      <c r="G49" s="694"/>
    </row>
  </sheetData>
  <mergeCells count="45">
    <mergeCell ref="A40:A43"/>
    <mergeCell ref="D40:D43"/>
    <mergeCell ref="E40:E43"/>
    <mergeCell ref="F40:G43"/>
    <mergeCell ref="A44:D44"/>
    <mergeCell ref="A32:A35"/>
    <mergeCell ref="D32:D35"/>
    <mergeCell ref="E32:E35"/>
    <mergeCell ref="F32:G35"/>
    <mergeCell ref="A36:A39"/>
    <mergeCell ref="D36:D39"/>
    <mergeCell ref="E36:E39"/>
    <mergeCell ref="F36:G39"/>
    <mergeCell ref="A24:A27"/>
    <mergeCell ref="D24:D27"/>
    <mergeCell ref="E24:E27"/>
    <mergeCell ref="F24:G27"/>
    <mergeCell ref="A28:A31"/>
    <mergeCell ref="D28:D31"/>
    <mergeCell ref="E28:E31"/>
    <mergeCell ref="F28:G31"/>
    <mergeCell ref="A16:A19"/>
    <mergeCell ref="D16:D19"/>
    <mergeCell ref="E16:E19"/>
    <mergeCell ref="F16:G19"/>
    <mergeCell ref="A20:A23"/>
    <mergeCell ref="D20:D23"/>
    <mergeCell ref="E20:E23"/>
    <mergeCell ref="F20:G23"/>
    <mergeCell ref="A8:A11"/>
    <mergeCell ref="D8:D11"/>
    <mergeCell ref="E8:E11"/>
    <mergeCell ref="F8:G11"/>
    <mergeCell ref="A12:A15"/>
    <mergeCell ref="D12:D15"/>
    <mergeCell ref="E12:E15"/>
    <mergeCell ref="F12:G15"/>
    <mergeCell ref="A1:G1"/>
    <mergeCell ref="A2:G2"/>
    <mergeCell ref="B3:C3"/>
    <mergeCell ref="F3:G3"/>
    <mergeCell ref="A4:A7"/>
    <mergeCell ref="D4:D7"/>
    <mergeCell ref="E4:E7"/>
    <mergeCell ref="F4:G7"/>
  </mergeCells>
  <dataValidations count="1">
    <dataValidation type="list" allowBlank="1" showInputMessage="1" showErrorMessage="1" sqref="D4:D5 D8:D43" xr:uid="{14E3443B-F23D-409C-9913-0ED776E848D6}">
      <formula1>$I$3:$L$3</formula1>
    </dataValidation>
  </dataValidation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8C9A3-67BF-4FCB-B451-682DCB2D5892}">
  <dimension ref="A1:C15"/>
  <sheetViews>
    <sheetView showGridLines="0" zoomScale="130" zoomScaleNormal="130" zoomScaleSheetLayoutView="100" workbookViewId="0">
      <selection sqref="A1:C1"/>
    </sheetView>
  </sheetViews>
  <sheetFormatPr defaultColWidth="9.109375" defaultRowHeight="13.2"/>
  <cols>
    <col min="1" max="1" width="6.33203125" style="88" customWidth="1"/>
    <col min="2" max="2" width="31.33203125" style="88" customWidth="1"/>
    <col min="3" max="3" width="68.33203125" style="88" customWidth="1"/>
    <col min="4" max="16384" width="9.109375" style="88"/>
  </cols>
  <sheetData>
    <row r="1" spans="1:3" ht="24.9" customHeight="1">
      <c r="A1" s="879" t="s">
        <v>2872</v>
      </c>
      <c r="B1" s="880"/>
      <c r="C1" s="881"/>
    </row>
    <row r="2" spans="1:3" ht="48" customHeight="1">
      <c r="A2" s="261" t="s">
        <v>385</v>
      </c>
      <c r="B2" s="262" t="s">
        <v>844</v>
      </c>
      <c r="C2" s="263" t="s">
        <v>2611</v>
      </c>
    </row>
    <row r="3" spans="1:3" ht="124.2">
      <c r="A3" s="587" t="s">
        <v>2873</v>
      </c>
      <c r="B3" s="466" t="s">
        <v>2874</v>
      </c>
      <c r="C3" s="733" t="s">
        <v>2896</v>
      </c>
    </row>
    <row r="4" spans="1:3" ht="110.4">
      <c r="A4" s="588" t="s">
        <v>2875</v>
      </c>
      <c r="B4" s="150" t="s">
        <v>3181</v>
      </c>
      <c r="C4" s="582" t="s">
        <v>2897</v>
      </c>
    </row>
    <row r="5" spans="1:3" ht="82.8">
      <c r="A5" s="588" t="s">
        <v>2876</v>
      </c>
      <c r="B5" s="150" t="s">
        <v>2877</v>
      </c>
      <c r="C5" s="582" t="s">
        <v>2899</v>
      </c>
    </row>
    <row r="6" spans="1:3" ht="110.4">
      <c r="A6" s="649" t="s">
        <v>2878</v>
      </c>
      <c r="B6" s="150" t="s">
        <v>2898</v>
      </c>
      <c r="C6" s="149" t="s">
        <v>2900</v>
      </c>
    </row>
    <row r="7" spans="1:3" ht="110.4">
      <c r="A7" s="649" t="s">
        <v>2879</v>
      </c>
      <c r="B7" s="150" t="s">
        <v>2880</v>
      </c>
      <c r="C7" s="149" t="s">
        <v>2894</v>
      </c>
    </row>
    <row r="8" spans="1:3" ht="55.2">
      <c r="A8" s="734" t="s">
        <v>2881</v>
      </c>
      <c r="B8" s="150" t="s">
        <v>843</v>
      </c>
      <c r="C8" s="149" t="s">
        <v>2895</v>
      </c>
    </row>
    <row r="9" spans="1:3" ht="20.100000000000001" customHeight="1">
      <c r="A9" s="925" t="s">
        <v>2882</v>
      </c>
      <c r="B9" s="926"/>
      <c r="C9" s="581"/>
    </row>
    <row r="10" spans="1:3" ht="27.6">
      <c r="A10" s="650" t="s">
        <v>2883</v>
      </c>
      <c r="B10" s="150" t="s">
        <v>1339</v>
      </c>
      <c r="C10" s="149" t="s">
        <v>2890</v>
      </c>
    </row>
    <row r="11" spans="1:3" ht="13.8">
      <c r="A11" s="650" t="s">
        <v>2884</v>
      </c>
      <c r="B11" s="150" t="s">
        <v>912</v>
      </c>
      <c r="C11" s="149" t="s">
        <v>2890</v>
      </c>
    </row>
    <row r="12" spans="1:3" ht="41.4">
      <c r="A12" s="735" t="s">
        <v>2885</v>
      </c>
      <c r="B12" s="711" t="s">
        <v>2886</v>
      </c>
      <c r="C12" s="655" t="s">
        <v>2891</v>
      </c>
    </row>
    <row r="13" spans="1:3" ht="41.4">
      <c r="A13" s="650" t="s">
        <v>2887</v>
      </c>
      <c r="B13" s="150" t="s">
        <v>1509</v>
      </c>
      <c r="C13" s="149" t="s">
        <v>2892</v>
      </c>
    </row>
    <row r="14" spans="1:3" ht="20.100000000000001" customHeight="1">
      <c r="A14" s="923" t="s">
        <v>2888</v>
      </c>
      <c r="B14" s="924"/>
      <c r="C14" s="736"/>
    </row>
    <row r="15" spans="1:3" ht="69.599999999999994" thickBot="1">
      <c r="A15" s="732" t="s">
        <v>2889</v>
      </c>
      <c r="B15" s="482" t="s">
        <v>384</v>
      </c>
      <c r="C15" s="485" t="s">
        <v>2893</v>
      </c>
    </row>
  </sheetData>
  <mergeCells count="3">
    <mergeCell ref="A14:B14"/>
    <mergeCell ref="A1:C1"/>
    <mergeCell ref="A9:B9"/>
  </mergeCells>
  <printOptions horizontalCentered="1" verticalCentered="1"/>
  <pageMargins left="0.75" right="0.75" top="1" bottom="1" header="0.5" footer="0.5"/>
  <pageSetup scale="67" fitToHeight="0"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N42"/>
  <sheetViews>
    <sheetView showGridLines="0" view="pageBreakPreview" zoomScaleNormal="100" zoomScaleSheetLayoutView="100" workbookViewId="0"/>
  </sheetViews>
  <sheetFormatPr defaultColWidth="9.109375" defaultRowHeight="13.2"/>
  <cols>
    <col min="1" max="1" width="118.33203125" style="46" customWidth="1"/>
    <col min="2" max="16384" width="9.109375" style="4"/>
  </cols>
  <sheetData>
    <row r="1" spans="1:14">
      <c r="A1" s="139" t="s">
        <v>237</v>
      </c>
    </row>
    <row r="2" spans="1:14">
      <c r="N2" s="4" t="s">
        <v>596</v>
      </c>
    </row>
    <row r="3" spans="1:14" ht="79.2">
      <c r="A3" s="46" t="s">
        <v>1272</v>
      </c>
    </row>
    <row r="4" spans="1:14">
      <c r="A4" s="119" t="s">
        <v>1939</v>
      </c>
    </row>
    <row r="6" spans="1:14" ht="39.6">
      <c r="A6" s="46" t="s">
        <v>1054</v>
      </c>
    </row>
    <row r="8" spans="1:14">
      <c r="A8" s="159" t="s">
        <v>1055</v>
      </c>
    </row>
    <row r="9" spans="1:14">
      <c r="A9" s="47"/>
    </row>
    <row r="10" spans="1:14">
      <c r="A10" s="49" t="s">
        <v>1056</v>
      </c>
    </row>
    <row r="11" spans="1:14">
      <c r="A11" s="49" t="s">
        <v>1057</v>
      </c>
    </row>
    <row r="12" spans="1:14">
      <c r="A12" s="49" t="s">
        <v>1058</v>
      </c>
    </row>
    <row r="13" spans="1:14">
      <c r="A13" s="49" t="s">
        <v>1059</v>
      </c>
    </row>
    <row r="14" spans="1:14">
      <c r="A14" s="49" t="s">
        <v>1061</v>
      </c>
    </row>
    <row r="15" spans="1:14">
      <c r="A15" s="49" t="s">
        <v>1062</v>
      </c>
    </row>
    <row r="16" spans="1:14">
      <c r="A16" s="49" t="s">
        <v>671</v>
      </c>
    </row>
    <row r="17" spans="1:1">
      <c r="A17" s="49" t="s">
        <v>672</v>
      </c>
    </row>
    <row r="19" spans="1:1">
      <c r="A19" s="159" t="s">
        <v>790</v>
      </c>
    </row>
    <row r="20" spans="1:1">
      <c r="A20" s="47"/>
    </row>
    <row r="21" spans="1:1">
      <c r="A21" s="49" t="s">
        <v>673</v>
      </c>
    </row>
    <row r="22" spans="1:1">
      <c r="A22" s="49" t="s">
        <v>1755</v>
      </c>
    </row>
    <row r="23" spans="1:1">
      <c r="A23" s="49" t="s">
        <v>1756</v>
      </c>
    </row>
    <row r="24" spans="1:1">
      <c r="A24" s="49" t="s">
        <v>1757</v>
      </c>
    </row>
    <row r="25" spans="1:1">
      <c r="A25" s="49" t="s">
        <v>1758</v>
      </c>
    </row>
    <row r="26" spans="1:1">
      <c r="A26" s="49" t="s">
        <v>1391</v>
      </c>
    </row>
    <row r="28" spans="1:1">
      <c r="A28" s="159" t="s">
        <v>791</v>
      </c>
    </row>
    <row r="30" spans="1:1">
      <c r="A30" s="49" t="s">
        <v>1392</v>
      </c>
    </row>
    <row r="31" spans="1:1">
      <c r="A31" s="49" t="s">
        <v>1393</v>
      </c>
    </row>
    <row r="32" spans="1:1">
      <c r="A32" s="49" t="s">
        <v>1394</v>
      </c>
    </row>
    <row r="33" spans="1:1">
      <c r="A33" s="49" t="s">
        <v>1395</v>
      </c>
    </row>
    <row r="34" spans="1:1">
      <c r="A34" s="49" t="s">
        <v>1396</v>
      </c>
    </row>
    <row r="35" spans="1:1">
      <c r="A35" s="49" t="s">
        <v>1397</v>
      </c>
    </row>
    <row r="36" spans="1:1">
      <c r="A36" s="49" t="s">
        <v>1398</v>
      </c>
    </row>
    <row r="37" spans="1:1">
      <c r="A37" s="49" t="s">
        <v>1072</v>
      </c>
    </row>
    <row r="38" spans="1:1">
      <c r="A38" s="49" t="s">
        <v>1073</v>
      </c>
    </row>
    <row r="39" spans="1:1">
      <c r="A39" s="49" t="s">
        <v>1092</v>
      </c>
    </row>
    <row r="40" spans="1:1">
      <c r="A40" s="49" t="s">
        <v>1546</v>
      </c>
    </row>
    <row r="41" spans="1:1">
      <c r="A41" s="56" t="s">
        <v>461</v>
      </c>
    </row>
    <row r="42" spans="1:1">
      <c r="A42" s="49" t="s">
        <v>668</v>
      </c>
    </row>
  </sheetData>
  <customSheetViews>
    <customSheetView guid="{4FEDB3BD-111A-4B7D-AA97-E67173A5F707}" showPageBreaks="1" printArea="1" view="pageBreakPreview" showRuler="0" topLeftCell="A15">
      <selection activeCell="C14" sqref="C14"/>
      <rowBreaks count="2" manualBreakCount="2">
        <brk id="27" max="16383" man="1"/>
        <brk id="64" max="16383" man="1"/>
      </rowBreaks>
      <pageMargins left="0.75" right="0.75" top="1" bottom="1" header="0.5" footer="0.5"/>
      <pageSetup orientation="landscape" r:id="rId1"/>
      <headerFooter alignWithMargins="0">
        <oddFooter>&amp;CPage &amp;P of &amp;N</oddFooter>
      </headerFooter>
    </customSheetView>
    <customSheetView guid="{D5FFA8DD-F2DB-47F2-B4D2-3681726B2E8F}" showPageBreaks="1" printArea="1" view="pageBreakPreview" showRuler="0">
      <selection activeCell="C3" sqref="C3:P3"/>
      <rowBreaks count="2" manualBreakCount="2">
        <brk id="27" max="16383" man="1"/>
        <brk id="64" max="16383" man="1"/>
      </rowBreaks>
      <pageMargins left="0.75" right="0.75" top="1" bottom="1" header="0.5" footer="0.5"/>
      <pageSetup orientation="landscape" r:id="rId2"/>
      <headerFooter alignWithMargins="0">
        <oddFooter>&amp;CPage &amp;P of &amp;N</oddFooter>
      </headerFooter>
    </customSheetView>
    <customSheetView guid="{EFE02F7B-3837-4B0F-9646-ADE249504E9F}" showRuler="0" topLeftCell="A23">
      <selection activeCell="A51" sqref="A51:IV51"/>
      <rowBreaks count="2" manualBreakCount="2">
        <brk id="27" max="16383" man="1"/>
        <brk id="64" max="16383" man="1"/>
      </rowBreaks>
      <pageMargins left="0.75" right="0.75" top="1" bottom="1" header="0.5" footer="0.5"/>
      <pageSetup orientation="landscape" r:id="rId3"/>
      <headerFooter alignWithMargins="0">
        <oddFooter>&amp;CPage &amp;P of &amp;N</oddFooter>
      </headerFooter>
    </customSheetView>
    <customSheetView guid="{053BE130-58A3-4F3B-945A-C2EFB15C6264}" showRuler="0" topLeftCell="A23">
      <selection activeCell="A53" sqref="A53"/>
      <rowBreaks count="1" manualBreakCount="1">
        <brk id="27" max="16383" man="1"/>
      </rowBreaks>
      <pageMargins left="0.75" right="0.75" top="1" bottom="1" header="0.5" footer="0.5"/>
      <pageSetup orientation="landscape" r:id="rId4"/>
      <headerFooter alignWithMargins="0">
        <oddFooter>&amp;CPage &amp;P of &amp;N</oddFooter>
      </headerFooter>
    </customSheetView>
    <customSheetView guid="{F5DBE5B9-A9E4-4030-888B-08F930ECBB74}" showPageBreaks="1" showRuler="0" topLeftCell="A23">
      <selection activeCell="A51" sqref="A51:IV51"/>
      <rowBreaks count="2" manualBreakCount="2">
        <brk id="27" max="16383" man="1"/>
        <brk id="64" max="16383" man="1"/>
      </rowBreaks>
      <pageMargins left="0.75" right="0.75" top="1" bottom="1" header="0.5" footer="0.5"/>
      <pageSetup orientation="landscape" r:id="rId5"/>
      <headerFooter alignWithMargins="0">
        <oddFooter>&amp;CPage &amp;P of &amp;N</oddFooter>
      </headerFooter>
    </customSheetView>
    <customSheetView guid="{960FB4AF-B150-4523-972C-3F7C93F049F3}" showPageBreaks="1" printArea="1" view="pageBreakPreview" showRuler="0" topLeftCell="A15">
      <selection activeCell="C14" sqref="C14"/>
      <rowBreaks count="2" manualBreakCount="2">
        <brk id="27" max="16383" man="1"/>
        <brk id="64" max="16383" man="1"/>
      </rowBreaks>
      <pageMargins left="0.75" right="0.75" top="1" bottom="1" header="0.5" footer="0.5"/>
      <pageSetup orientation="landscape" r:id="rId6"/>
      <headerFooter alignWithMargins="0">
        <oddFooter>&amp;CPage &amp;P of &amp;N</oddFooter>
      </headerFooter>
    </customSheetView>
    <customSheetView guid="{DF3BD4C9-2986-4236-8E90-D96736404377}" showPageBreaks="1" printArea="1" view="pageBreakPreview" showRuler="0" topLeftCell="A15">
      <selection activeCell="C14" sqref="C14"/>
      <rowBreaks count="2" manualBreakCount="2">
        <brk id="27" max="16383" man="1"/>
        <brk id="64" max="16383" man="1"/>
      </rowBreaks>
      <pageMargins left="0.75" right="0.75" top="1" bottom="1" header="0.5" footer="0.5"/>
      <pageSetup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rowBreaks count="2" manualBreakCount="2">
    <brk id="27" max="16383" man="1"/>
    <brk id="64" max="16383" man="1"/>
  </rowBreak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G667"/>
  <sheetViews>
    <sheetView showGridLines="0" zoomScaleNormal="100" zoomScaleSheetLayoutView="100" workbookViewId="0">
      <selection sqref="A1:E1"/>
    </sheetView>
  </sheetViews>
  <sheetFormatPr defaultColWidth="9.109375" defaultRowHeight="15.6"/>
  <cols>
    <col min="1" max="1" width="6.5546875" style="7" bestFit="1" customWidth="1"/>
    <col min="2" max="2" width="31.33203125" style="8" customWidth="1"/>
    <col min="3" max="3" width="7.109375" style="5" bestFit="1" customWidth="1"/>
    <col min="4" max="4" width="10.6640625" style="44" customWidth="1"/>
    <col min="5" max="5" width="88.33203125" style="44" customWidth="1"/>
    <col min="6" max="16384" width="9.109375" style="5"/>
  </cols>
  <sheetData>
    <row r="1" spans="1:7">
      <c r="A1" s="927" t="s">
        <v>2008</v>
      </c>
      <c r="B1" s="928"/>
      <c r="C1" s="928"/>
      <c r="D1" s="928"/>
      <c r="E1" s="929"/>
    </row>
    <row r="2" spans="1:7" ht="46.8">
      <c r="A2" s="491" t="s">
        <v>385</v>
      </c>
      <c r="B2" s="182" t="s">
        <v>844</v>
      </c>
      <c r="C2" s="182" t="s">
        <v>984</v>
      </c>
      <c r="D2" s="182" t="s">
        <v>1069</v>
      </c>
      <c r="E2" s="224" t="s">
        <v>1070</v>
      </c>
    </row>
    <row r="3" spans="1:7" ht="97.2">
      <c r="A3" s="152">
        <v>7.1</v>
      </c>
      <c r="B3" s="490" t="s">
        <v>2140</v>
      </c>
      <c r="C3" s="160" t="s">
        <v>982</v>
      </c>
      <c r="D3" s="266" t="s">
        <v>594</v>
      </c>
      <c r="E3" s="492" t="s">
        <v>2616</v>
      </c>
      <c r="G3" s="5" t="s">
        <v>596</v>
      </c>
    </row>
    <row r="4" spans="1:7" ht="69">
      <c r="A4" s="308">
        <v>7.2</v>
      </c>
      <c r="B4" s="461" t="s">
        <v>2141</v>
      </c>
      <c r="C4" s="160" t="s">
        <v>982</v>
      </c>
      <c r="D4" s="266" t="s">
        <v>594</v>
      </c>
      <c r="E4" s="493" t="s">
        <v>2617</v>
      </c>
    </row>
    <row r="5" spans="1:7" ht="262.8">
      <c r="A5" s="152">
        <v>7.3</v>
      </c>
      <c r="B5" s="461" t="s">
        <v>1112</v>
      </c>
      <c r="C5" s="160" t="s">
        <v>982</v>
      </c>
      <c r="D5" s="266" t="s">
        <v>594</v>
      </c>
      <c r="E5" s="493" t="s">
        <v>2618</v>
      </c>
    </row>
    <row r="6" spans="1:7" ht="110.4">
      <c r="A6" s="308">
        <v>7.4</v>
      </c>
      <c r="B6" s="461" t="s">
        <v>1940</v>
      </c>
      <c r="C6" s="160" t="s">
        <v>982</v>
      </c>
      <c r="D6" s="266" t="s">
        <v>594</v>
      </c>
      <c r="E6" s="493" t="s">
        <v>2619</v>
      </c>
    </row>
    <row r="7" spans="1:7" ht="139.19999999999999">
      <c r="A7" s="152">
        <v>7.5</v>
      </c>
      <c r="B7" s="461" t="s">
        <v>410</v>
      </c>
      <c r="C7" s="160" t="s">
        <v>982</v>
      </c>
      <c r="D7" s="266" t="s">
        <v>594</v>
      </c>
      <c r="E7" s="279" t="s">
        <v>2620</v>
      </c>
    </row>
    <row r="8" spans="1:7" ht="124.2">
      <c r="A8" s="308">
        <v>7.6</v>
      </c>
      <c r="B8" s="461" t="s">
        <v>411</v>
      </c>
      <c r="C8" s="160" t="s">
        <v>982</v>
      </c>
      <c r="D8" s="266" t="s">
        <v>594</v>
      </c>
      <c r="E8" s="493" t="s">
        <v>2621</v>
      </c>
    </row>
    <row r="9" spans="1:7" ht="69">
      <c r="A9" s="152">
        <v>7.7</v>
      </c>
      <c r="B9" s="461" t="s">
        <v>408</v>
      </c>
      <c r="C9" s="160" t="s">
        <v>982</v>
      </c>
      <c r="D9" s="266" t="s">
        <v>594</v>
      </c>
      <c r="E9" s="493" t="s">
        <v>2622</v>
      </c>
    </row>
    <row r="10" spans="1:7" ht="69">
      <c r="A10" s="308">
        <v>7.8</v>
      </c>
      <c r="B10" s="461" t="s">
        <v>413</v>
      </c>
      <c r="C10" s="160" t="s">
        <v>982</v>
      </c>
      <c r="D10" s="266" t="s">
        <v>594</v>
      </c>
      <c r="E10" s="493" t="s">
        <v>2623</v>
      </c>
    </row>
    <row r="11" spans="1:7" ht="248.4">
      <c r="A11" s="152">
        <v>7.9</v>
      </c>
      <c r="B11" s="461" t="s">
        <v>412</v>
      </c>
      <c r="C11" s="160" t="s">
        <v>982</v>
      </c>
      <c r="D11" s="266" t="s">
        <v>594</v>
      </c>
      <c r="E11" s="279" t="s">
        <v>2624</v>
      </c>
    </row>
    <row r="12" spans="1:7" s="30" customFormat="1" ht="165.6">
      <c r="A12" s="184">
        <v>7.1</v>
      </c>
      <c r="B12" s="461" t="s">
        <v>2580</v>
      </c>
      <c r="C12" s="161" t="s">
        <v>982</v>
      </c>
      <c r="D12" s="266" t="s">
        <v>594</v>
      </c>
      <c r="E12" s="279" t="s">
        <v>2625</v>
      </c>
    </row>
    <row r="13" spans="1:7" ht="110.4">
      <c r="A13" s="153">
        <v>7.11</v>
      </c>
      <c r="B13" s="461" t="s">
        <v>2581</v>
      </c>
      <c r="C13" s="160" t="s">
        <v>982</v>
      </c>
      <c r="D13" s="266" t="s">
        <v>594</v>
      </c>
      <c r="E13" s="492" t="s">
        <v>2626</v>
      </c>
    </row>
    <row r="14" spans="1:7" ht="55.2">
      <c r="A14" s="311">
        <v>7.12</v>
      </c>
      <c r="B14" s="461" t="s">
        <v>409</v>
      </c>
      <c r="C14" s="160" t="s">
        <v>982</v>
      </c>
      <c r="D14" s="266" t="s">
        <v>594</v>
      </c>
      <c r="E14" s="493" t="s">
        <v>2627</v>
      </c>
    </row>
    <row r="15" spans="1:7" ht="55.2">
      <c r="A15" s="153">
        <v>7.13</v>
      </c>
      <c r="B15" s="461" t="s">
        <v>414</v>
      </c>
      <c r="C15" s="160" t="s">
        <v>982</v>
      </c>
      <c r="D15" s="266" t="s">
        <v>594</v>
      </c>
      <c r="E15" s="279" t="s">
        <v>1941</v>
      </c>
    </row>
    <row r="16" spans="1:7" ht="165.6">
      <c r="A16" s="311">
        <v>7.14</v>
      </c>
      <c r="B16" s="461" t="s">
        <v>1113</v>
      </c>
      <c r="C16" s="160" t="s">
        <v>982</v>
      </c>
      <c r="D16" s="266" t="s">
        <v>594</v>
      </c>
      <c r="E16" s="279" t="s">
        <v>2630</v>
      </c>
    </row>
    <row r="17" spans="1:5" ht="55.2">
      <c r="A17" s="153">
        <v>7.15</v>
      </c>
      <c r="B17" s="461" t="s">
        <v>1114</v>
      </c>
      <c r="C17" s="160" t="s">
        <v>982</v>
      </c>
      <c r="D17" s="266" t="s">
        <v>594</v>
      </c>
      <c r="E17" s="279" t="s">
        <v>2628</v>
      </c>
    </row>
    <row r="18" spans="1:5" ht="234.6">
      <c r="A18" s="311">
        <v>7.16</v>
      </c>
      <c r="B18" s="461" t="s">
        <v>965</v>
      </c>
      <c r="C18" s="160" t="s">
        <v>982</v>
      </c>
      <c r="D18" s="266" t="s">
        <v>594</v>
      </c>
      <c r="E18" s="279" t="s">
        <v>2629</v>
      </c>
    </row>
    <row r="19" spans="1:5" ht="55.8" thickBot="1">
      <c r="A19" s="494">
        <v>7.17</v>
      </c>
      <c r="B19" s="495" t="s">
        <v>458</v>
      </c>
      <c r="C19" s="496" t="s">
        <v>982</v>
      </c>
      <c r="D19" s="489" t="s">
        <v>594</v>
      </c>
      <c r="E19" s="497" t="s">
        <v>1132</v>
      </c>
    </row>
    <row r="20" spans="1:5">
      <c r="A20" s="5"/>
      <c r="B20" s="5"/>
      <c r="D20" s="43"/>
      <c r="E20" s="43"/>
    </row>
    <row r="21" spans="1:5">
      <c r="A21" s="5"/>
      <c r="B21" s="5"/>
      <c r="D21" s="43"/>
      <c r="E21" s="43"/>
    </row>
    <row r="22" spans="1:5">
      <c r="A22" s="5"/>
      <c r="B22" s="5"/>
      <c r="D22" s="43"/>
      <c r="E22" s="43"/>
    </row>
    <row r="23" spans="1:5">
      <c r="A23" s="5"/>
      <c r="B23" s="5"/>
      <c r="D23" s="43"/>
      <c r="E23" s="43"/>
    </row>
    <row r="24" spans="1:5">
      <c r="A24" s="5"/>
      <c r="B24" s="5"/>
      <c r="D24" s="43"/>
      <c r="E24" s="43"/>
    </row>
    <row r="25" spans="1:5">
      <c r="A25" s="5"/>
      <c r="B25" s="5"/>
      <c r="D25" s="43"/>
      <c r="E25" s="43"/>
    </row>
    <row r="26" spans="1:5">
      <c r="A26" s="5"/>
      <c r="B26" s="5"/>
      <c r="D26" s="43"/>
      <c r="E26" s="43"/>
    </row>
    <row r="27" spans="1:5">
      <c r="A27" s="5"/>
      <c r="B27" s="5"/>
      <c r="D27" s="43"/>
      <c r="E27" s="43"/>
    </row>
    <row r="28" spans="1:5">
      <c r="A28" s="5"/>
      <c r="B28" s="5"/>
      <c r="D28" s="43"/>
      <c r="E28" s="43"/>
    </row>
    <row r="29" spans="1:5">
      <c r="A29" s="5"/>
      <c r="B29" s="5"/>
      <c r="D29" s="43"/>
      <c r="E29" s="43"/>
    </row>
    <row r="30" spans="1:5">
      <c r="A30" s="5"/>
      <c r="B30" s="5"/>
      <c r="D30" s="43"/>
      <c r="E30" s="43"/>
    </row>
    <row r="31" spans="1:5">
      <c r="A31" s="5"/>
      <c r="B31" s="5"/>
      <c r="D31" s="43"/>
      <c r="E31" s="43"/>
    </row>
    <row r="32" spans="1:5">
      <c r="A32" s="5"/>
      <c r="B32" s="5"/>
      <c r="D32" s="43"/>
      <c r="E32" s="43"/>
    </row>
    <row r="33" spans="1:5">
      <c r="A33" s="5"/>
      <c r="B33" s="5"/>
      <c r="D33" s="43"/>
      <c r="E33" s="43"/>
    </row>
    <row r="34" spans="1:5">
      <c r="A34" s="5"/>
      <c r="B34" s="5"/>
      <c r="D34" s="43"/>
      <c r="E34" s="43"/>
    </row>
    <row r="35" spans="1:5">
      <c r="A35" s="5"/>
      <c r="B35" s="5"/>
      <c r="D35" s="43"/>
      <c r="E35" s="43"/>
    </row>
    <row r="36" spans="1:5">
      <c r="A36" s="5"/>
      <c r="B36" s="5"/>
      <c r="D36" s="43"/>
      <c r="E36" s="43"/>
    </row>
    <row r="37" spans="1:5">
      <c r="A37" s="5"/>
      <c r="B37" s="5"/>
      <c r="D37" s="43"/>
      <c r="E37" s="43"/>
    </row>
    <row r="38" spans="1:5">
      <c r="A38" s="5"/>
      <c r="B38" s="5"/>
      <c r="D38" s="43"/>
      <c r="E38" s="43"/>
    </row>
    <row r="39" spans="1:5">
      <c r="A39" s="5"/>
      <c r="B39" s="5"/>
      <c r="D39" s="43"/>
      <c r="E39" s="43"/>
    </row>
    <row r="40" spans="1:5">
      <c r="A40" s="5"/>
      <c r="B40" s="5"/>
      <c r="D40" s="43"/>
      <c r="E40" s="43"/>
    </row>
    <row r="41" spans="1:5">
      <c r="A41" s="5"/>
      <c r="B41" s="5"/>
      <c r="D41" s="43"/>
      <c r="E41" s="43"/>
    </row>
    <row r="42" spans="1:5">
      <c r="A42" s="5"/>
      <c r="B42" s="5"/>
      <c r="D42" s="43"/>
      <c r="E42" s="43"/>
    </row>
    <row r="43" spans="1:5">
      <c r="A43" s="5"/>
      <c r="B43" s="5"/>
      <c r="D43" s="43"/>
      <c r="E43" s="43"/>
    </row>
    <row r="44" spans="1:5">
      <c r="A44" s="5"/>
      <c r="B44" s="5"/>
      <c r="D44" s="43"/>
      <c r="E44" s="43"/>
    </row>
    <row r="45" spans="1:5">
      <c r="A45" s="5"/>
      <c r="B45" s="5"/>
      <c r="D45" s="43"/>
      <c r="E45" s="43"/>
    </row>
    <row r="46" spans="1:5">
      <c r="A46" s="5"/>
      <c r="B46" s="5"/>
      <c r="D46" s="43"/>
      <c r="E46" s="43"/>
    </row>
    <row r="47" spans="1:5">
      <c r="A47" s="5"/>
      <c r="B47" s="5"/>
      <c r="D47" s="43"/>
      <c r="E47" s="43"/>
    </row>
    <row r="48" spans="1:5">
      <c r="A48" s="5"/>
      <c r="B48" s="5"/>
      <c r="D48" s="43"/>
      <c r="E48" s="43"/>
    </row>
    <row r="49" spans="1:5">
      <c r="A49" s="5"/>
      <c r="B49" s="5"/>
      <c r="D49" s="43"/>
      <c r="E49" s="43"/>
    </row>
    <row r="50" spans="1:5">
      <c r="A50" s="5"/>
      <c r="B50" s="5"/>
      <c r="D50" s="43"/>
      <c r="E50" s="43"/>
    </row>
    <row r="51" spans="1:5">
      <c r="A51" s="5"/>
      <c r="B51" s="5"/>
      <c r="D51" s="43"/>
      <c r="E51" s="43"/>
    </row>
    <row r="52" spans="1:5">
      <c r="A52" s="5"/>
      <c r="B52" s="5"/>
      <c r="D52" s="43"/>
      <c r="E52" s="43"/>
    </row>
    <row r="53" spans="1:5">
      <c r="A53" s="5"/>
      <c r="B53" s="5"/>
      <c r="D53" s="43"/>
      <c r="E53" s="43"/>
    </row>
    <row r="54" spans="1:5">
      <c r="A54" s="5"/>
      <c r="B54" s="5"/>
      <c r="D54" s="43"/>
      <c r="E54" s="43"/>
    </row>
    <row r="55" spans="1:5">
      <c r="A55" s="5"/>
      <c r="B55" s="5"/>
      <c r="D55" s="43"/>
      <c r="E55" s="43"/>
    </row>
    <row r="56" spans="1:5">
      <c r="A56" s="5"/>
      <c r="B56" s="5"/>
      <c r="D56" s="43"/>
      <c r="E56" s="43"/>
    </row>
    <row r="57" spans="1:5">
      <c r="A57" s="5"/>
      <c r="B57" s="5"/>
      <c r="D57" s="43"/>
      <c r="E57" s="43"/>
    </row>
    <row r="58" spans="1:5">
      <c r="A58" s="5"/>
      <c r="B58" s="5"/>
      <c r="D58" s="43"/>
      <c r="E58" s="43"/>
    </row>
    <row r="59" spans="1:5">
      <c r="A59" s="5"/>
      <c r="B59" s="5"/>
      <c r="D59" s="43"/>
      <c r="E59" s="43"/>
    </row>
    <row r="60" spans="1:5">
      <c r="A60" s="5"/>
      <c r="B60" s="5"/>
      <c r="D60" s="43"/>
      <c r="E60" s="43"/>
    </row>
    <row r="61" spans="1:5">
      <c r="A61" s="5"/>
      <c r="B61" s="5"/>
      <c r="D61" s="43"/>
      <c r="E61" s="43"/>
    </row>
    <row r="62" spans="1:5">
      <c r="A62" s="5"/>
      <c r="B62" s="5"/>
      <c r="D62" s="43"/>
      <c r="E62" s="43"/>
    </row>
    <row r="63" spans="1:5">
      <c r="A63" s="5"/>
      <c r="B63" s="5"/>
      <c r="D63" s="43"/>
      <c r="E63" s="43"/>
    </row>
    <row r="64" spans="1:5">
      <c r="A64" s="5"/>
      <c r="B64" s="5"/>
      <c r="D64" s="43"/>
      <c r="E64" s="43"/>
    </row>
    <row r="65" spans="1:5">
      <c r="A65" s="5"/>
      <c r="B65" s="5"/>
      <c r="D65" s="43"/>
      <c r="E65" s="43"/>
    </row>
    <row r="66" spans="1:5">
      <c r="A66" s="5"/>
      <c r="B66" s="5"/>
      <c r="D66" s="43"/>
      <c r="E66" s="43"/>
    </row>
    <row r="67" spans="1:5">
      <c r="A67" s="5"/>
      <c r="B67" s="5"/>
      <c r="D67" s="43"/>
      <c r="E67" s="43"/>
    </row>
    <row r="68" spans="1:5">
      <c r="A68" s="5"/>
      <c r="B68" s="5"/>
      <c r="D68" s="43"/>
      <c r="E68" s="43"/>
    </row>
    <row r="69" spans="1:5">
      <c r="A69" s="5"/>
      <c r="B69" s="5"/>
      <c r="D69" s="43"/>
      <c r="E69" s="43"/>
    </row>
    <row r="70" spans="1:5">
      <c r="A70" s="5"/>
      <c r="B70" s="5"/>
      <c r="D70" s="43"/>
      <c r="E70" s="43"/>
    </row>
    <row r="71" spans="1:5">
      <c r="A71" s="5"/>
      <c r="B71" s="5"/>
      <c r="D71" s="43"/>
      <c r="E71" s="43"/>
    </row>
    <row r="72" spans="1:5">
      <c r="A72" s="5"/>
      <c r="B72" s="5"/>
      <c r="D72" s="43"/>
      <c r="E72" s="43"/>
    </row>
    <row r="73" spans="1:5">
      <c r="A73" s="5"/>
      <c r="B73" s="5"/>
      <c r="D73" s="43"/>
      <c r="E73" s="43"/>
    </row>
    <row r="74" spans="1:5">
      <c r="A74" s="5"/>
      <c r="B74" s="5"/>
      <c r="D74" s="43"/>
      <c r="E74" s="43"/>
    </row>
    <row r="75" spans="1:5">
      <c r="A75" s="5"/>
      <c r="B75" s="5"/>
      <c r="D75" s="43"/>
      <c r="E75" s="43"/>
    </row>
    <row r="76" spans="1:5">
      <c r="A76" s="5"/>
      <c r="B76" s="5"/>
      <c r="D76" s="43"/>
      <c r="E76" s="43"/>
    </row>
    <row r="77" spans="1:5">
      <c r="A77" s="5"/>
      <c r="B77" s="5"/>
      <c r="D77" s="43"/>
      <c r="E77" s="43"/>
    </row>
    <row r="78" spans="1:5">
      <c r="A78" s="5"/>
      <c r="B78" s="5"/>
      <c r="D78" s="43"/>
      <c r="E78" s="43"/>
    </row>
    <row r="79" spans="1:5">
      <c r="A79" s="5"/>
      <c r="B79" s="5"/>
      <c r="D79" s="43"/>
      <c r="E79" s="43"/>
    </row>
    <row r="80" spans="1:5">
      <c r="A80" s="5"/>
      <c r="B80" s="5"/>
      <c r="D80" s="43"/>
      <c r="E80" s="43"/>
    </row>
    <row r="81" spans="1:5">
      <c r="A81" s="5"/>
      <c r="B81" s="5"/>
      <c r="D81" s="43"/>
      <c r="E81" s="43"/>
    </row>
    <row r="82" spans="1:5">
      <c r="A82" s="5"/>
      <c r="B82" s="5"/>
      <c r="D82" s="43"/>
      <c r="E82" s="43"/>
    </row>
    <row r="83" spans="1:5">
      <c r="A83" s="5"/>
      <c r="B83" s="5"/>
      <c r="D83" s="43"/>
      <c r="E83" s="43"/>
    </row>
    <row r="84" spans="1:5">
      <c r="A84" s="5"/>
      <c r="B84" s="5"/>
      <c r="D84" s="43"/>
      <c r="E84" s="43"/>
    </row>
    <row r="85" spans="1:5">
      <c r="A85" s="5"/>
      <c r="B85" s="5"/>
      <c r="D85" s="43"/>
      <c r="E85" s="43"/>
    </row>
    <row r="86" spans="1:5">
      <c r="A86" s="5"/>
      <c r="B86" s="5"/>
      <c r="D86" s="43"/>
      <c r="E86" s="43"/>
    </row>
    <row r="87" spans="1:5">
      <c r="A87" s="5"/>
      <c r="B87" s="5"/>
      <c r="D87" s="43"/>
      <c r="E87" s="43"/>
    </row>
    <row r="88" spans="1:5">
      <c r="A88" s="5"/>
      <c r="B88" s="5"/>
      <c r="D88" s="43"/>
      <c r="E88" s="43"/>
    </row>
    <row r="89" spans="1:5">
      <c r="A89" s="5"/>
      <c r="B89" s="5"/>
      <c r="D89" s="43"/>
      <c r="E89" s="43"/>
    </row>
    <row r="90" spans="1:5">
      <c r="A90" s="5"/>
      <c r="B90" s="5"/>
      <c r="D90" s="43"/>
      <c r="E90" s="43"/>
    </row>
    <row r="91" spans="1:5">
      <c r="A91" s="5"/>
      <c r="B91" s="5"/>
      <c r="D91" s="43"/>
      <c r="E91" s="43"/>
    </row>
    <row r="92" spans="1:5">
      <c r="A92" s="5"/>
      <c r="B92" s="5"/>
      <c r="D92" s="43"/>
      <c r="E92" s="43"/>
    </row>
    <row r="93" spans="1:5">
      <c r="A93" s="5"/>
      <c r="B93" s="5"/>
      <c r="D93" s="43"/>
      <c r="E93" s="43"/>
    </row>
    <row r="94" spans="1:5">
      <c r="A94" s="5"/>
      <c r="B94" s="5"/>
      <c r="D94" s="43"/>
      <c r="E94" s="43"/>
    </row>
    <row r="95" spans="1:5">
      <c r="A95" s="5"/>
      <c r="B95" s="5"/>
      <c r="D95" s="43"/>
      <c r="E95" s="43"/>
    </row>
    <row r="96" spans="1:5">
      <c r="A96" s="5"/>
      <c r="B96" s="5"/>
      <c r="D96" s="43"/>
      <c r="E96" s="43"/>
    </row>
    <row r="97" spans="1:5">
      <c r="A97" s="5"/>
      <c r="B97" s="5"/>
      <c r="D97" s="43"/>
      <c r="E97" s="43"/>
    </row>
    <row r="98" spans="1:5">
      <c r="A98" s="5"/>
      <c r="B98" s="5"/>
      <c r="D98" s="43"/>
      <c r="E98" s="43"/>
    </row>
    <row r="99" spans="1:5">
      <c r="A99" s="5"/>
      <c r="B99" s="5"/>
      <c r="D99" s="43"/>
      <c r="E99" s="43"/>
    </row>
    <row r="100" spans="1:5">
      <c r="A100" s="5"/>
      <c r="B100" s="5"/>
      <c r="D100" s="43"/>
      <c r="E100" s="43"/>
    </row>
    <row r="101" spans="1:5">
      <c r="A101" s="5"/>
      <c r="B101" s="5"/>
      <c r="D101" s="43"/>
      <c r="E101" s="43"/>
    </row>
    <row r="102" spans="1:5">
      <c r="A102" s="5"/>
      <c r="B102" s="5"/>
      <c r="D102" s="43"/>
      <c r="E102" s="43"/>
    </row>
    <row r="103" spans="1:5">
      <c r="A103" s="5"/>
      <c r="B103" s="5"/>
      <c r="D103" s="43"/>
      <c r="E103" s="43"/>
    </row>
    <row r="104" spans="1:5">
      <c r="A104" s="5"/>
      <c r="B104" s="5"/>
      <c r="D104" s="43"/>
      <c r="E104" s="43"/>
    </row>
    <row r="105" spans="1:5">
      <c r="A105" s="5"/>
      <c r="B105" s="5"/>
      <c r="D105" s="43"/>
      <c r="E105" s="43"/>
    </row>
    <row r="106" spans="1:5">
      <c r="A106" s="5"/>
      <c r="B106" s="5"/>
      <c r="D106" s="43"/>
      <c r="E106" s="43"/>
    </row>
    <row r="107" spans="1:5">
      <c r="A107" s="5"/>
      <c r="B107" s="5"/>
      <c r="D107" s="43"/>
      <c r="E107" s="43"/>
    </row>
    <row r="108" spans="1:5">
      <c r="A108" s="5"/>
      <c r="B108" s="5"/>
      <c r="D108" s="43"/>
      <c r="E108" s="43"/>
    </row>
    <row r="109" spans="1:5">
      <c r="A109" s="5"/>
      <c r="B109" s="5"/>
      <c r="D109" s="43"/>
      <c r="E109" s="43"/>
    </row>
    <row r="110" spans="1:5">
      <c r="A110" s="5"/>
      <c r="B110" s="5"/>
      <c r="D110" s="43"/>
      <c r="E110" s="43"/>
    </row>
    <row r="111" spans="1:5">
      <c r="A111" s="5"/>
      <c r="B111" s="5"/>
      <c r="D111" s="43"/>
      <c r="E111" s="43"/>
    </row>
    <row r="112" spans="1:5">
      <c r="A112" s="5"/>
      <c r="B112" s="5"/>
      <c r="D112" s="43"/>
      <c r="E112" s="43"/>
    </row>
    <row r="113" spans="1:5">
      <c r="A113" s="5"/>
      <c r="B113" s="5"/>
      <c r="D113" s="43"/>
      <c r="E113" s="43"/>
    </row>
    <row r="114" spans="1:5">
      <c r="A114" s="5"/>
      <c r="B114" s="5"/>
      <c r="D114" s="43"/>
      <c r="E114" s="43"/>
    </row>
    <row r="115" spans="1:5">
      <c r="A115" s="5"/>
      <c r="B115" s="5"/>
      <c r="D115" s="43"/>
      <c r="E115" s="43"/>
    </row>
    <row r="116" spans="1:5">
      <c r="A116" s="5"/>
      <c r="B116" s="5"/>
      <c r="D116" s="43"/>
      <c r="E116" s="43"/>
    </row>
    <row r="117" spans="1:5">
      <c r="A117" s="5"/>
      <c r="B117" s="5"/>
      <c r="D117" s="43"/>
      <c r="E117" s="43"/>
    </row>
    <row r="118" spans="1:5">
      <c r="A118" s="5"/>
      <c r="B118" s="5"/>
      <c r="D118" s="43"/>
      <c r="E118" s="43"/>
    </row>
    <row r="119" spans="1:5">
      <c r="A119" s="5"/>
      <c r="B119" s="5"/>
      <c r="D119" s="43"/>
      <c r="E119" s="43"/>
    </row>
    <row r="120" spans="1:5">
      <c r="A120" s="5"/>
      <c r="B120" s="5"/>
      <c r="D120" s="43"/>
      <c r="E120" s="43"/>
    </row>
    <row r="121" spans="1:5">
      <c r="A121" s="5"/>
      <c r="B121" s="5"/>
      <c r="D121" s="43"/>
      <c r="E121" s="43"/>
    </row>
    <row r="122" spans="1:5">
      <c r="A122" s="5"/>
      <c r="B122" s="5"/>
      <c r="D122" s="43"/>
      <c r="E122" s="43"/>
    </row>
    <row r="123" spans="1:5">
      <c r="A123" s="5"/>
      <c r="B123" s="5"/>
      <c r="D123" s="43"/>
      <c r="E123" s="43"/>
    </row>
    <row r="124" spans="1:5">
      <c r="A124" s="5"/>
      <c r="B124" s="5"/>
      <c r="D124" s="43"/>
      <c r="E124" s="43"/>
    </row>
    <row r="125" spans="1:5">
      <c r="A125" s="5"/>
      <c r="B125" s="5"/>
      <c r="D125" s="43"/>
      <c r="E125" s="43"/>
    </row>
    <row r="126" spans="1:5">
      <c r="A126" s="5"/>
      <c r="B126" s="5"/>
      <c r="D126" s="43"/>
      <c r="E126" s="43"/>
    </row>
    <row r="127" spans="1:5">
      <c r="A127" s="5"/>
      <c r="B127" s="5"/>
      <c r="D127" s="43"/>
      <c r="E127" s="43"/>
    </row>
    <row r="128" spans="1:5">
      <c r="A128" s="5"/>
      <c r="B128" s="5"/>
      <c r="D128" s="43"/>
      <c r="E128" s="43"/>
    </row>
    <row r="129" spans="1:5">
      <c r="A129" s="5"/>
      <c r="B129" s="5"/>
      <c r="D129" s="43"/>
      <c r="E129" s="43"/>
    </row>
    <row r="130" spans="1:5">
      <c r="A130" s="5"/>
      <c r="B130" s="5"/>
      <c r="D130" s="43"/>
      <c r="E130" s="43"/>
    </row>
    <row r="131" spans="1:5">
      <c r="A131" s="5"/>
      <c r="B131" s="5"/>
      <c r="D131" s="43"/>
      <c r="E131" s="43"/>
    </row>
    <row r="132" spans="1:5">
      <c r="A132" s="5"/>
      <c r="B132" s="5"/>
      <c r="D132" s="43"/>
      <c r="E132" s="43"/>
    </row>
    <row r="133" spans="1:5">
      <c r="A133" s="5"/>
      <c r="B133" s="5"/>
      <c r="D133" s="43"/>
      <c r="E133" s="43"/>
    </row>
    <row r="134" spans="1:5">
      <c r="A134" s="5"/>
      <c r="B134" s="5"/>
      <c r="D134" s="43"/>
      <c r="E134" s="43"/>
    </row>
    <row r="135" spans="1:5">
      <c r="A135" s="5"/>
      <c r="B135" s="5"/>
      <c r="D135" s="43"/>
      <c r="E135" s="43"/>
    </row>
    <row r="136" spans="1:5">
      <c r="A136" s="5"/>
      <c r="B136" s="5"/>
      <c r="D136" s="43"/>
      <c r="E136" s="43"/>
    </row>
    <row r="137" spans="1:5">
      <c r="A137" s="5"/>
      <c r="B137" s="5"/>
      <c r="D137" s="43"/>
      <c r="E137" s="43"/>
    </row>
    <row r="138" spans="1:5">
      <c r="A138" s="5"/>
      <c r="B138" s="5"/>
      <c r="D138" s="43"/>
      <c r="E138" s="43"/>
    </row>
    <row r="139" spans="1:5">
      <c r="A139" s="5"/>
      <c r="B139" s="5"/>
      <c r="D139" s="43"/>
      <c r="E139" s="43"/>
    </row>
    <row r="140" spans="1:5">
      <c r="A140" s="5"/>
      <c r="B140" s="5"/>
      <c r="D140" s="43"/>
      <c r="E140" s="43"/>
    </row>
    <row r="141" spans="1:5">
      <c r="A141" s="5"/>
      <c r="B141" s="5"/>
      <c r="D141" s="43"/>
      <c r="E141" s="43"/>
    </row>
    <row r="142" spans="1:5">
      <c r="A142" s="5"/>
      <c r="B142" s="5"/>
      <c r="D142" s="43"/>
      <c r="E142" s="43"/>
    </row>
    <row r="143" spans="1:5">
      <c r="A143" s="5"/>
      <c r="B143" s="5"/>
      <c r="D143" s="43"/>
      <c r="E143" s="43"/>
    </row>
    <row r="144" spans="1:5">
      <c r="A144" s="5"/>
      <c r="B144" s="5"/>
      <c r="C144" s="6"/>
      <c r="D144" s="43"/>
      <c r="E144" s="43"/>
    </row>
    <row r="145" spans="1:5">
      <c r="A145" s="5"/>
      <c r="B145" s="5"/>
      <c r="C145" s="6"/>
      <c r="D145" s="43"/>
      <c r="E145" s="43"/>
    </row>
    <row r="146" spans="1:5">
      <c r="A146" s="5"/>
      <c r="B146" s="5"/>
      <c r="C146" s="6"/>
      <c r="D146" s="43"/>
      <c r="E146" s="43"/>
    </row>
    <row r="147" spans="1:5">
      <c r="A147" s="5"/>
      <c r="B147" s="5"/>
      <c r="C147" s="6"/>
      <c r="D147" s="43"/>
      <c r="E147" s="43"/>
    </row>
    <row r="148" spans="1:5">
      <c r="A148" s="5"/>
      <c r="B148" s="5"/>
      <c r="C148" s="6"/>
      <c r="D148" s="43"/>
      <c r="E148" s="43"/>
    </row>
    <row r="149" spans="1:5">
      <c r="A149" s="5"/>
      <c r="B149" s="5"/>
      <c r="C149" s="6"/>
      <c r="D149" s="43"/>
      <c r="E149" s="43"/>
    </row>
    <row r="150" spans="1:5">
      <c r="A150" s="5"/>
      <c r="B150" s="5"/>
      <c r="C150" s="6"/>
      <c r="D150" s="43"/>
      <c r="E150" s="43"/>
    </row>
    <row r="151" spans="1:5">
      <c r="A151" s="5"/>
      <c r="B151" s="5"/>
      <c r="C151" s="6"/>
      <c r="D151" s="43"/>
      <c r="E151" s="43"/>
    </row>
    <row r="152" spans="1:5">
      <c r="A152" s="5"/>
      <c r="B152" s="5"/>
      <c r="C152" s="6"/>
      <c r="D152" s="43"/>
      <c r="E152" s="43"/>
    </row>
    <row r="153" spans="1:5">
      <c r="A153" s="5"/>
      <c r="B153" s="5"/>
      <c r="C153" s="6"/>
      <c r="D153" s="43"/>
      <c r="E153" s="43"/>
    </row>
    <row r="154" spans="1:5">
      <c r="A154" s="5"/>
      <c r="B154" s="5"/>
      <c r="C154" s="6"/>
      <c r="D154" s="43"/>
      <c r="E154" s="43"/>
    </row>
    <row r="155" spans="1:5">
      <c r="A155" s="5"/>
      <c r="B155" s="5"/>
      <c r="D155" s="43"/>
      <c r="E155" s="43"/>
    </row>
    <row r="156" spans="1:5">
      <c r="A156" s="5"/>
      <c r="B156" s="5"/>
      <c r="D156" s="43"/>
      <c r="E156" s="43"/>
    </row>
    <row r="157" spans="1:5">
      <c r="A157" s="5"/>
      <c r="B157" s="5"/>
      <c r="D157" s="43"/>
      <c r="E157" s="43"/>
    </row>
    <row r="158" spans="1:5">
      <c r="A158" s="5"/>
      <c r="B158" s="5"/>
      <c r="D158" s="43"/>
      <c r="E158" s="43"/>
    </row>
    <row r="159" spans="1:5">
      <c r="A159" s="5"/>
      <c r="B159" s="5"/>
      <c r="D159" s="43"/>
      <c r="E159" s="43"/>
    </row>
    <row r="160" spans="1:5">
      <c r="A160" s="5"/>
      <c r="B160" s="5"/>
      <c r="D160" s="43"/>
      <c r="E160" s="43"/>
    </row>
    <row r="161" spans="1:5">
      <c r="A161" s="5"/>
      <c r="B161" s="5"/>
      <c r="D161" s="43"/>
      <c r="E161" s="43"/>
    </row>
    <row r="162" spans="1:5">
      <c r="A162" s="5"/>
      <c r="B162" s="5"/>
      <c r="D162" s="43"/>
      <c r="E162" s="43"/>
    </row>
    <row r="163" spans="1:5">
      <c r="A163" s="5"/>
      <c r="B163" s="5"/>
      <c r="D163" s="43"/>
      <c r="E163" s="43"/>
    </row>
    <row r="164" spans="1:5">
      <c r="A164" s="5"/>
      <c r="B164" s="5"/>
      <c r="D164" s="43"/>
      <c r="E164" s="43"/>
    </row>
    <row r="165" spans="1:5">
      <c r="A165" s="5"/>
      <c r="B165" s="5"/>
      <c r="D165" s="43"/>
      <c r="E165" s="43"/>
    </row>
    <row r="166" spans="1:5">
      <c r="A166" s="5"/>
      <c r="B166" s="5"/>
      <c r="D166" s="43"/>
      <c r="E166" s="43"/>
    </row>
    <row r="167" spans="1:5">
      <c r="A167" s="5"/>
      <c r="B167" s="5"/>
      <c r="D167" s="43"/>
      <c r="E167" s="43"/>
    </row>
    <row r="168" spans="1:5">
      <c r="A168" s="5"/>
      <c r="B168" s="5"/>
      <c r="D168" s="43"/>
      <c r="E168" s="43"/>
    </row>
    <row r="169" spans="1:5">
      <c r="A169" s="5"/>
      <c r="B169" s="5"/>
      <c r="D169" s="43"/>
      <c r="E169" s="43"/>
    </row>
    <row r="170" spans="1:5">
      <c r="A170" s="5"/>
      <c r="B170" s="5"/>
      <c r="D170" s="43"/>
      <c r="E170" s="43"/>
    </row>
    <row r="171" spans="1:5">
      <c r="A171" s="5"/>
      <c r="B171" s="5"/>
      <c r="D171" s="43"/>
      <c r="E171" s="43"/>
    </row>
    <row r="172" spans="1:5">
      <c r="A172" s="5"/>
      <c r="B172" s="5"/>
      <c r="D172" s="43"/>
      <c r="E172" s="43"/>
    </row>
    <row r="173" spans="1:5">
      <c r="A173" s="5"/>
      <c r="B173" s="5"/>
      <c r="D173" s="43"/>
      <c r="E173" s="43"/>
    </row>
    <row r="174" spans="1:5">
      <c r="A174" s="5"/>
      <c r="B174" s="5"/>
      <c r="D174" s="43"/>
      <c r="E174" s="43"/>
    </row>
    <row r="175" spans="1:5">
      <c r="A175" s="5"/>
      <c r="B175" s="5"/>
      <c r="D175" s="43"/>
      <c r="E175" s="43"/>
    </row>
    <row r="176" spans="1:5">
      <c r="A176" s="5"/>
      <c r="B176" s="5"/>
      <c r="D176" s="43"/>
      <c r="E176" s="43"/>
    </row>
    <row r="177" spans="1:5">
      <c r="A177" s="5"/>
      <c r="B177" s="5"/>
      <c r="D177" s="43"/>
      <c r="E177" s="43"/>
    </row>
    <row r="178" spans="1:5">
      <c r="A178" s="5"/>
      <c r="B178" s="5"/>
      <c r="D178" s="43"/>
      <c r="E178" s="43"/>
    </row>
    <row r="179" spans="1:5">
      <c r="A179" s="5"/>
      <c r="B179" s="5"/>
      <c r="D179" s="43"/>
      <c r="E179" s="43"/>
    </row>
    <row r="180" spans="1:5">
      <c r="A180" s="5"/>
      <c r="B180" s="5"/>
      <c r="D180" s="43"/>
      <c r="E180" s="43"/>
    </row>
    <row r="181" spans="1:5">
      <c r="A181" s="5"/>
      <c r="B181" s="5"/>
      <c r="D181" s="43"/>
      <c r="E181" s="43"/>
    </row>
    <row r="182" spans="1:5">
      <c r="A182" s="5"/>
      <c r="B182" s="5"/>
      <c r="D182" s="43"/>
      <c r="E182" s="43"/>
    </row>
    <row r="183" spans="1:5">
      <c r="A183" s="5"/>
      <c r="B183" s="5"/>
      <c r="D183" s="43"/>
      <c r="E183" s="43"/>
    </row>
    <row r="184" spans="1:5">
      <c r="A184" s="5"/>
      <c r="B184" s="5"/>
      <c r="D184" s="43"/>
      <c r="E184" s="43"/>
    </row>
    <row r="185" spans="1:5">
      <c r="A185" s="5"/>
      <c r="B185" s="5"/>
      <c r="D185" s="43"/>
      <c r="E185" s="43"/>
    </row>
    <row r="186" spans="1:5">
      <c r="A186" s="5"/>
      <c r="B186" s="5"/>
      <c r="D186" s="43"/>
      <c r="E186" s="43"/>
    </row>
    <row r="187" spans="1:5">
      <c r="A187" s="5"/>
      <c r="B187" s="5"/>
      <c r="D187" s="43"/>
      <c r="E187" s="43"/>
    </row>
    <row r="188" spans="1:5">
      <c r="A188" s="5"/>
      <c r="B188" s="5"/>
      <c r="D188" s="43"/>
      <c r="E188" s="43"/>
    </row>
    <row r="189" spans="1:5">
      <c r="A189" s="5"/>
      <c r="B189" s="5"/>
      <c r="D189" s="43"/>
      <c r="E189" s="43"/>
    </row>
    <row r="190" spans="1:5">
      <c r="A190" s="5"/>
      <c r="B190" s="5"/>
      <c r="D190" s="43"/>
      <c r="E190" s="43"/>
    </row>
    <row r="191" spans="1:5">
      <c r="A191" s="5"/>
      <c r="B191" s="5"/>
      <c r="D191" s="43"/>
      <c r="E191" s="43"/>
    </row>
    <row r="192" spans="1:5">
      <c r="A192" s="5"/>
      <c r="B192" s="5"/>
      <c r="D192" s="43"/>
      <c r="E192" s="43"/>
    </row>
    <row r="193" spans="1:5">
      <c r="A193" s="5"/>
      <c r="B193" s="5"/>
      <c r="D193" s="43"/>
      <c r="E193" s="43"/>
    </row>
    <row r="194" spans="1:5">
      <c r="A194" s="5"/>
      <c r="B194" s="5"/>
      <c r="D194" s="43"/>
      <c r="E194" s="43"/>
    </row>
    <row r="195" spans="1:5">
      <c r="A195" s="5"/>
      <c r="B195" s="5"/>
      <c r="D195" s="43"/>
      <c r="E195" s="43"/>
    </row>
    <row r="196" spans="1:5">
      <c r="A196" s="5"/>
      <c r="B196" s="5"/>
      <c r="D196" s="43"/>
      <c r="E196" s="43"/>
    </row>
    <row r="197" spans="1:5">
      <c r="A197" s="5"/>
      <c r="B197" s="5"/>
      <c r="D197" s="43"/>
      <c r="E197" s="43"/>
    </row>
    <row r="198" spans="1:5">
      <c r="A198" s="5"/>
      <c r="B198" s="5"/>
      <c r="D198" s="43"/>
      <c r="E198" s="43"/>
    </row>
    <row r="199" spans="1:5">
      <c r="A199" s="5"/>
      <c r="B199" s="5"/>
      <c r="D199" s="43"/>
      <c r="E199" s="43"/>
    </row>
    <row r="200" spans="1:5">
      <c r="A200" s="5"/>
      <c r="B200" s="5"/>
      <c r="D200" s="43"/>
      <c r="E200" s="43"/>
    </row>
    <row r="201" spans="1:5">
      <c r="A201" s="5"/>
      <c r="B201" s="5"/>
      <c r="D201" s="43"/>
      <c r="E201" s="43"/>
    </row>
    <row r="202" spans="1:5">
      <c r="A202" s="5"/>
      <c r="B202" s="5"/>
      <c r="D202" s="43"/>
      <c r="E202" s="43"/>
    </row>
    <row r="203" spans="1:5">
      <c r="A203" s="5"/>
      <c r="B203" s="5"/>
      <c r="D203" s="43"/>
      <c r="E203" s="43"/>
    </row>
    <row r="204" spans="1:5">
      <c r="A204" s="5"/>
      <c r="B204" s="5"/>
      <c r="D204" s="43"/>
      <c r="E204" s="43"/>
    </row>
    <row r="205" spans="1:5">
      <c r="A205" s="5"/>
      <c r="B205" s="5"/>
      <c r="D205" s="43"/>
      <c r="E205" s="43"/>
    </row>
    <row r="206" spans="1:5">
      <c r="A206" s="5"/>
      <c r="B206" s="5"/>
      <c r="D206" s="43"/>
      <c r="E206" s="43"/>
    </row>
    <row r="207" spans="1:5">
      <c r="A207" s="5"/>
      <c r="B207" s="5"/>
      <c r="D207" s="43"/>
      <c r="E207" s="43"/>
    </row>
    <row r="208" spans="1:5">
      <c r="A208" s="5"/>
      <c r="B208" s="5"/>
      <c r="D208" s="43"/>
      <c r="E208" s="43"/>
    </row>
    <row r="209" spans="1:5">
      <c r="A209" s="5"/>
      <c r="B209" s="5"/>
      <c r="D209" s="43"/>
      <c r="E209" s="43"/>
    </row>
    <row r="210" spans="1:5">
      <c r="A210" s="5"/>
      <c r="B210" s="5"/>
      <c r="D210" s="43"/>
      <c r="E210" s="43"/>
    </row>
    <row r="211" spans="1:5">
      <c r="A211" s="5"/>
      <c r="B211" s="5"/>
      <c r="D211" s="43"/>
      <c r="E211" s="43"/>
    </row>
    <row r="212" spans="1:5">
      <c r="A212" s="5"/>
      <c r="B212" s="5"/>
      <c r="D212" s="43"/>
      <c r="E212" s="43"/>
    </row>
    <row r="213" spans="1:5">
      <c r="A213" s="5"/>
      <c r="B213" s="5"/>
      <c r="D213" s="43"/>
      <c r="E213" s="43"/>
    </row>
    <row r="214" spans="1:5">
      <c r="A214" s="5"/>
      <c r="B214" s="5"/>
      <c r="D214" s="43"/>
      <c r="E214" s="43"/>
    </row>
    <row r="215" spans="1:5">
      <c r="A215" s="5"/>
      <c r="B215" s="5"/>
      <c r="D215" s="43"/>
      <c r="E215" s="43"/>
    </row>
    <row r="216" spans="1:5">
      <c r="A216" s="5"/>
      <c r="B216" s="5"/>
      <c r="D216" s="43"/>
      <c r="E216" s="43"/>
    </row>
    <row r="217" spans="1:5">
      <c r="A217" s="5"/>
      <c r="B217" s="5"/>
      <c r="D217" s="43"/>
      <c r="E217" s="43"/>
    </row>
    <row r="218" spans="1:5">
      <c r="A218" s="5"/>
      <c r="B218" s="5"/>
      <c r="D218" s="43"/>
      <c r="E218" s="43"/>
    </row>
    <row r="219" spans="1:5">
      <c r="A219" s="5"/>
      <c r="B219" s="5"/>
      <c r="D219" s="43"/>
      <c r="E219" s="43"/>
    </row>
    <row r="220" spans="1:5">
      <c r="A220" s="5"/>
      <c r="B220" s="5"/>
      <c r="D220" s="43"/>
      <c r="E220" s="43"/>
    </row>
    <row r="221" spans="1:5">
      <c r="A221" s="5"/>
      <c r="B221" s="5"/>
      <c r="D221" s="43"/>
      <c r="E221" s="43"/>
    </row>
    <row r="222" spans="1:5">
      <c r="A222" s="5"/>
      <c r="B222" s="5"/>
      <c r="D222" s="43"/>
      <c r="E222" s="43"/>
    </row>
    <row r="223" spans="1:5">
      <c r="A223" s="5"/>
      <c r="B223" s="5"/>
      <c r="D223" s="43"/>
      <c r="E223" s="43"/>
    </row>
    <row r="224" spans="1:5">
      <c r="A224" s="5"/>
      <c r="B224" s="5"/>
      <c r="D224" s="43"/>
      <c r="E224" s="43"/>
    </row>
    <row r="225" spans="1:5">
      <c r="A225" s="5"/>
      <c r="B225" s="5"/>
      <c r="D225" s="43"/>
      <c r="E225" s="43"/>
    </row>
    <row r="226" spans="1:5">
      <c r="A226" s="5"/>
      <c r="B226" s="5"/>
      <c r="D226" s="43"/>
      <c r="E226" s="43"/>
    </row>
    <row r="227" spans="1:5">
      <c r="A227" s="5"/>
      <c r="B227" s="5"/>
      <c r="D227" s="43"/>
      <c r="E227" s="43"/>
    </row>
    <row r="228" spans="1:5">
      <c r="A228" s="5"/>
      <c r="B228" s="5"/>
      <c r="D228" s="43"/>
      <c r="E228" s="43"/>
    </row>
    <row r="229" spans="1:5">
      <c r="A229" s="5"/>
      <c r="B229" s="5"/>
      <c r="D229" s="43"/>
      <c r="E229" s="43"/>
    </row>
    <row r="230" spans="1:5">
      <c r="A230" s="5"/>
      <c r="B230" s="5"/>
      <c r="D230" s="43"/>
      <c r="E230" s="43"/>
    </row>
    <row r="231" spans="1:5">
      <c r="A231" s="5"/>
      <c r="B231" s="5"/>
      <c r="D231" s="43"/>
      <c r="E231" s="43"/>
    </row>
    <row r="232" spans="1:5">
      <c r="A232" s="5"/>
      <c r="B232" s="5"/>
      <c r="D232" s="43"/>
      <c r="E232" s="43"/>
    </row>
    <row r="233" spans="1:5">
      <c r="A233" s="5"/>
      <c r="B233" s="5"/>
      <c r="D233" s="43"/>
      <c r="E233" s="43"/>
    </row>
    <row r="234" spans="1:5">
      <c r="A234" s="5"/>
      <c r="B234" s="5"/>
      <c r="D234" s="43"/>
      <c r="E234" s="43"/>
    </row>
    <row r="235" spans="1:5">
      <c r="A235" s="5"/>
      <c r="B235" s="5"/>
      <c r="D235" s="43"/>
      <c r="E235" s="43"/>
    </row>
    <row r="236" spans="1:5">
      <c r="A236" s="5"/>
      <c r="B236" s="5"/>
      <c r="D236" s="43"/>
      <c r="E236" s="43"/>
    </row>
    <row r="237" spans="1:5">
      <c r="A237" s="5"/>
      <c r="B237" s="5"/>
      <c r="D237" s="43"/>
      <c r="E237" s="43"/>
    </row>
    <row r="238" spans="1:5">
      <c r="A238" s="5"/>
      <c r="B238" s="5"/>
      <c r="D238" s="43"/>
      <c r="E238" s="43"/>
    </row>
    <row r="239" spans="1:5">
      <c r="A239" s="5"/>
      <c r="B239" s="5"/>
      <c r="D239" s="43"/>
      <c r="E239" s="43"/>
    </row>
    <row r="240" spans="1:5">
      <c r="A240" s="5"/>
      <c r="B240" s="5"/>
      <c r="D240" s="43"/>
      <c r="E240" s="43"/>
    </row>
    <row r="241" spans="1:5">
      <c r="A241" s="5"/>
      <c r="B241" s="5"/>
      <c r="D241" s="43"/>
      <c r="E241" s="43"/>
    </row>
    <row r="242" spans="1:5">
      <c r="A242" s="5"/>
      <c r="B242" s="5"/>
      <c r="D242" s="43"/>
      <c r="E242" s="43"/>
    </row>
    <row r="243" spans="1:5">
      <c r="A243" s="5"/>
      <c r="B243" s="5"/>
      <c r="D243" s="43"/>
      <c r="E243" s="43"/>
    </row>
    <row r="244" spans="1:5">
      <c r="A244" s="5"/>
      <c r="B244" s="5"/>
      <c r="D244" s="43"/>
      <c r="E244" s="43"/>
    </row>
    <row r="245" spans="1:5">
      <c r="A245" s="5"/>
      <c r="B245" s="5"/>
      <c r="D245" s="43"/>
      <c r="E245" s="43"/>
    </row>
    <row r="246" spans="1:5">
      <c r="A246" s="5"/>
      <c r="B246" s="5"/>
      <c r="D246" s="43"/>
      <c r="E246" s="43"/>
    </row>
    <row r="247" spans="1:5">
      <c r="A247" s="5"/>
      <c r="B247" s="5"/>
      <c r="D247" s="43"/>
      <c r="E247" s="43"/>
    </row>
    <row r="248" spans="1:5">
      <c r="A248" s="5"/>
      <c r="B248" s="5"/>
      <c r="D248" s="43"/>
      <c r="E248" s="43"/>
    </row>
    <row r="249" spans="1:5">
      <c r="A249" s="5"/>
      <c r="B249" s="5"/>
      <c r="D249" s="43"/>
      <c r="E249" s="43"/>
    </row>
    <row r="250" spans="1:5">
      <c r="A250" s="5"/>
      <c r="B250" s="5"/>
      <c r="D250" s="43"/>
      <c r="E250" s="43"/>
    </row>
    <row r="251" spans="1:5">
      <c r="A251" s="5"/>
      <c r="B251" s="5"/>
      <c r="D251" s="43"/>
      <c r="E251" s="43"/>
    </row>
    <row r="252" spans="1:5">
      <c r="A252" s="5"/>
      <c r="B252" s="5"/>
      <c r="D252" s="43"/>
      <c r="E252" s="43"/>
    </row>
    <row r="253" spans="1:5">
      <c r="A253" s="5"/>
      <c r="B253" s="5"/>
      <c r="D253" s="43"/>
      <c r="E253" s="43"/>
    </row>
    <row r="254" spans="1:5">
      <c r="A254" s="5"/>
      <c r="B254" s="5"/>
      <c r="D254" s="43"/>
      <c r="E254" s="43"/>
    </row>
    <row r="255" spans="1:5">
      <c r="A255" s="5"/>
      <c r="B255" s="5"/>
      <c r="D255" s="43"/>
      <c r="E255" s="43"/>
    </row>
    <row r="256" spans="1:5">
      <c r="A256" s="5"/>
      <c r="B256" s="5"/>
      <c r="D256" s="43"/>
      <c r="E256" s="43"/>
    </row>
    <row r="257" spans="1:5">
      <c r="A257" s="5"/>
      <c r="B257" s="5"/>
      <c r="D257" s="43"/>
      <c r="E257" s="43"/>
    </row>
    <row r="258" spans="1:5">
      <c r="A258" s="5"/>
      <c r="B258" s="5"/>
      <c r="D258" s="43"/>
      <c r="E258" s="43"/>
    </row>
    <row r="259" spans="1:5">
      <c r="A259" s="5"/>
      <c r="B259" s="5"/>
      <c r="D259" s="43"/>
      <c r="E259" s="43"/>
    </row>
    <row r="260" spans="1:5">
      <c r="A260" s="5"/>
      <c r="B260" s="5"/>
      <c r="D260" s="43"/>
      <c r="E260" s="43"/>
    </row>
    <row r="261" spans="1:5">
      <c r="A261" s="5"/>
      <c r="B261" s="5"/>
      <c r="D261" s="43"/>
      <c r="E261" s="43"/>
    </row>
    <row r="262" spans="1:5">
      <c r="A262" s="5"/>
      <c r="B262" s="5"/>
      <c r="D262" s="43"/>
      <c r="E262" s="43"/>
    </row>
    <row r="263" spans="1:5">
      <c r="A263" s="5"/>
      <c r="B263" s="5"/>
      <c r="D263" s="43"/>
      <c r="E263" s="43"/>
    </row>
    <row r="264" spans="1:5">
      <c r="A264" s="5"/>
      <c r="B264" s="5"/>
      <c r="D264" s="43"/>
      <c r="E264" s="43"/>
    </row>
    <row r="265" spans="1:5">
      <c r="A265" s="5"/>
      <c r="B265" s="5"/>
      <c r="D265" s="43"/>
      <c r="E265" s="43"/>
    </row>
    <row r="266" spans="1:5">
      <c r="A266" s="5"/>
      <c r="B266" s="5"/>
      <c r="D266" s="43"/>
      <c r="E266" s="43"/>
    </row>
    <row r="267" spans="1:5">
      <c r="A267" s="5"/>
      <c r="B267" s="5"/>
      <c r="D267" s="43"/>
      <c r="E267" s="43"/>
    </row>
    <row r="268" spans="1:5">
      <c r="A268" s="5"/>
      <c r="B268" s="5"/>
      <c r="D268" s="43"/>
      <c r="E268" s="43"/>
    </row>
    <row r="269" spans="1:5">
      <c r="A269" s="5"/>
      <c r="B269" s="5"/>
      <c r="D269" s="43"/>
      <c r="E269" s="43"/>
    </row>
    <row r="270" spans="1:5">
      <c r="A270" s="5"/>
      <c r="B270" s="5"/>
      <c r="D270" s="43"/>
      <c r="E270" s="43"/>
    </row>
    <row r="271" spans="1:5">
      <c r="A271" s="5"/>
      <c r="B271" s="5"/>
      <c r="D271" s="43"/>
      <c r="E271" s="43"/>
    </row>
    <row r="272" spans="1:5">
      <c r="A272" s="5"/>
      <c r="B272" s="5"/>
      <c r="D272" s="43"/>
      <c r="E272" s="43"/>
    </row>
    <row r="273" spans="1:5">
      <c r="A273" s="5"/>
      <c r="B273" s="5"/>
      <c r="D273" s="43"/>
      <c r="E273" s="43"/>
    </row>
    <row r="274" spans="1:5">
      <c r="A274" s="5"/>
      <c r="B274" s="5"/>
      <c r="D274" s="43"/>
      <c r="E274" s="43"/>
    </row>
    <row r="275" spans="1:5">
      <c r="A275" s="5"/>
      <c r="B275" s="5"/>
      <c r="D275" s="43"/>
      <c r="E275" s="43"/>
    </row>
    <row r="276" spans="1:5">
      <c r="A276" s="5"/>
      <c r="B276" s="5"/>
      <c r="D276" s="43"/>
      <c r="E276" s="43"/>
    </row>
    <row r="277" spans="1:5">
      <c r="A277" s="5"/>
      <c r="B277" s="5"/>
      <c r="D277" s="43"/>
      <c r="E277" s="43"/>
    </row>
    <row r="278" spans="1:5">
      <c r="A278" s="5"/>
      <c r="B278" s="5"/>
      <c r="D278" s="43"/>
      <c r="E278" s="43"/>
    </row>
    <row r="279" spans="1:5">
      <c r="A279" s="5"/>
      <c r="B279" s="5"/>
      <c r="D279" s="43"/>
      <c r="E279" s="43"/>
    </row>
    <row r="280" spans="1:5">
      <c r="A280" s="5"/>
      <c r="B280" s="5"/>
      <c r="D280" s="43"/>
      <c r="E280" s="43"/>
    </row>
    <row r="281" spans="1:5">
      <c r="A281" s="5"/>
      <c r="B281" s="5"/>
      <c r="D281" s="43"/>
      <c r="E281" s="43"/>
    </row>
    <row r="282" spans="1:5">
      <c r="A282" s="5"/>
      <c r="B282" s="5"/>
      <c r="D282" s="43"/>
      <c r="E282" s="43"/>
    </row>
    <row r="283" spans="1:5">
      <c r="A283" s="5"/>
      <c r="B283" s="5"/>
      <c r="D283" s="43"/>
      <c r="E283" s="43"/>
    </row>
    <row r="284" spans="1:5">
      <c r="A284" s="5"/>
      <c r="B284" s="5"/>
      <c r="D284" s="43"/>
      <c r="E284" s="43"/>
    </row>
    <row r="285" spans="1:5">
      <c r="A285" s="5"/>
      <c r="B285" s="5"/>
      <c r="D285" s="43"/>
      <c r="E285" s="43"/>
    </row>
    <row r="286" spans="1:5">
      <c r="A286" s="5"/>
      <c r="B286" s="5"/>
      <c r="D286" s="43"/>
      <c r="E286" s="43"/>
    </row>
    <row r="287" spans="1:5">
      <c r="A287" s="5"/>
      <c r="B287" s="5"/>
      <c r="D287" s="43"/>
      <c r="E287" s="43"/>
    </row>
    <row r="288" spans="1:5">
      <c r="A288" s="5"/>
      <c r="B288" s="5"/>
      <c r="D288" s="43"/>
      <c r="E288" s="43"/>
    </row>
    <row r="289" spans="1:5">
      <c r="A289" s="5"/>
      <c r="B289" s="5"/>
      <c r="D289" s="43"/>
      <c r="E289" s="43"/>
    </row>
    <row r="290" spans="1:5">
      <c r="A290" s="5"/>
      <c r="B290" s="5"/>
      <c r="D290" s="43"/>
      <c r="E290" s="43"/>
    </row>
    <row r="291" spans="1:5">
      <c r="A291" s="5"/>
      <c r="B291" s="5"/>
      <c r="D291" s="43"/>
      <c r="E291" s="43"/>
    </row>
    <row r="292" spans="1:5">
      <c r="A292" s="5"/>
      <c r="B292" s="5"/>
      <c r="D292" s="43"/>
      <c r="E292" s="43"/>
    </row>
    <row r="293" spans="1:5">
      <c r="A293" s="5"/>
      <c r="B293" s="5"/>
      <c r="D293" s="43"/>
      <c r="E293" s="43"/>
    </row>
    <row r="294" spans="1:5">
      <c r="A294" s="5"/>
      <c r="B294" s="5"/>
      <c r="D294" s="43"/>
      <c r="E294" s="43"/>
    </row>
    <row r="295" spans="1:5">
      <c r="A295" s="5"/>
      <c r="B295" s="5"/>
      <c r="D295" s="43"/>
      <c r="E295" s="43"/>
    </row>
    <row r="296" spans="1:5">
      <c r="A296" s="5"/>
      <c r="B296" s="5"/>
      <c r="D296" s="43"/>
      <c r="E296" s="43"/>
    </row>
    <row r="297" spans="1:5">
      <c r="A297" s="5"/>
      <c r="B297" s="5"/>
      <c r="D297" s="43"/>
      <c r="E297" s="43"/>
    </row>
    <row r="298" spans="1:5">
      <c r="A298" s="5"/>
      <c r="B298" s="5"/>
      <c r="D298" s="43"/>
      <c r="E298" s="43"/>
    </row>
    <row r="299" spans="1:5">
      <c r="A299" s="5"/>
      <c r="B299" s="5"/>
      <c r="D299" s="43"/>
      <c r="E299" s="43"/>
    </row>
    <row r="300" spans="1:5">
      <c r="A300" s="5"/>
      <c r="B300" s="5"/>
      <c r="D300" s="43"/>
      <c r="E300" s="43"/>
    </row>
    <row r="301" spans="1:5">
      <c r="A301" s="5"/>
      <c r="B301" s="5"/>
      <c r="D301" s="43"/>
      <c r="E301" s="43"/>
    </row>
    <row r="302" spans="1:5">
      <c r="A302" s="5"/>
      <c r="B302" s="5"/>
      <c r="D302" s="43"/>
      <c r="E302" s="43"/>
    </row>
    <row r="303" spans="1:5">
      <c r="A303" s="5"/>
      <c r="B303" s="5"/>
      <c r="D303" s="43"/>
      <c r="E303" s="43"/>
    </row>
    <row r="304" spans="1:5">
      <c r="A304" s="5"/>
      <c r="B304" s="5"/>
      <c r="D304" s="43"/>
      <c r="E304" s="43"/>
    </row>
    <row r="305" spans="1:5">
      <c r="A305" s="5"/>
      <c r="B305" s="5"/>
      <c r="D305" s="43"/>
      <c r="E305" s="43"/>
    </row>
    <row r="306" spans="1:5">
      <c r="A306" s="5"/>
      <c r="B306" s="5"/>
      <c r="D306" s="43"/>
      <c r="E306" s="43"/>
    </row>
    <row r="307" spans="1:5">
      <c r="A307" s="5"/>
      <c r="B307" s="5"/>
      <c r="D307" s="43"/>
      <c r="E307" s="43"/>
    </row>
    <row r="308" spans="1:5">
      <c r="A308" s="5"/>
      <c r="B308" s="5"/>
      <c r="D308" s="43"/>
      <c r="E308" s="43"/>
    </row>
    <row r="309" spans="1:5">
      <c r="A309" s="5"/>
      <c r="B309" s="5"/>
      <c r="D309" s="43"/>
      <c r="E309" s="43"/>
    </row>
    <row r="310" spans="1:5">
      <c r="A310" s="5"/>
      <c r="B310" s="5"/>
      <c r="D310" s="43"/>
      <c r="E310" s="43"/>
    </row>
    <row r="311" spans="1:5">
      <c r="A311" s="5"/>
      <c r="B311" s="5"/>
      <c r="D311" s="43"/>
      <c r="E311" s="43"/>
    </row>
    <row r="312" spans="1:5">
      <c r="A312" s="5"/>
      <c r="B312" s="5"/>
      <c r="D312" s="43"/>
      <c r="E312" s="43"/>
    </row>
    <row r="313" spans="1:5">
      <c r="A313" s="5"/>
      <c r="B313" s="5"/>
      <c r="D313" s="43"/>
      <c r="E313" s="43"/>
    </row>
    <row r="314" spans="1:5">
      <c r="A314" s="5"/>
      <c r="B314" s="5"/>
      <c r="D314" s="43"/>
      <c r="E314" s="43"/>
    </row>
    <row r="315" spans="1:5">
      <c r="A315" s="5"/>
      <c r="B315" s="5"/>
      <c r="D315" s="43"/>
      <c r="E315" s="43"/>
    </row>
    <row r="316" spans="1:5">
      <c r="A316" s="5"/>
      <c r="B316" s="5"/>
      <c r="D316" s="43"/>
      <c r="E316" s="43"/>
    </row>
    <row r="317" spans="1:5">
      <c r="A317" s="5"/>
      <c r="B317" s="5"/>
      <c r="D317" s="43"/>
      <c r="E317" s="43"/>
    </row>
    <row r="318" spans="1:5">
      <c r="A318" s="5"/>
      <c r="B318" s="5"/>
      <c r="D318" s="43"/>
      <c r="E318" s="43"/>
    </row>
    <row r="319" spans="1:5">
      <c r="A319" s="5"/>
      <c r="B319" s="5"/>
      <c r="D319" s="43"/>
      <c r="E319" s="43"/>
    </row>
    <row r="320" spans="1:5">
      <c r="A320" s="5"/>
      <c r="B320" s="5"/>
      <c r="D320" s="43"/>
      <c r="E320" s="43"/>
    </row>
    <row r="321" spans="1:5">
      <c r="A321" s="5"/>
      <c r="B321" s="5"/>
      <c r="D321" s="43"/>
      <c r="E321" s="43"/>
    </row>
    <row r="322" spans="1:5">
      <c r="A322" s="5"/>
      <c r="B322" s="5"/>
      <c r="D322" s="43"/>
      <c r="E322" s="43"/>
    </row>
    <row r="323" spans="1:5">
      <c r="A323" s="5"/>
      <c r="B323" s="5"/>
      <c r="D323" s="43"/>
      <c r="E323" s="43"/>
    </row>
    <row r="324" spans="1:5">
      <c r="A324" s="5"/>
      <c r="B324" s="5"/>
      <c r="D324" s="43"/>
      <c r="E324" s="43"/>
    </row>
    <row r="325" spans="1:5">
      <c r="A325" s="5"/>
      <c r="B325" s="5"/>
      <c r="D325" s="43"/>
      <c r="E325" s="43"/>
    </row>
    <row r="326" spans="1:5">
      <c r="A326" s="5"/>
      <c r="B326" s="5"/>
      <c r="D326" s="43"/>
      <c r="E326" s="43"/>
    </row>
    <row r="327" spans="1:5">
      <c r="A327" s="5"/>
      <c r="B327" s="5"/>
      <c r="D327" s="43"/>
      <c r="E327" s="43"/>
    </row>
    <row r="328" spans="1:5">
      <c r="A328" s="5"/>
      <c r="B328" s="5"/>
      <c r="D328" s="43"/>
      <c r="E328" s="43"/>
    </row>
    <row r="329" spans="1:5">
      <c r="A329" s="5"/>
      <c r="B329" s="5"/>
      <c r="D329" s="43"/>
      <c r="E329" s="43"/>
    </row>
    <row r="330" spans="1:5">
      <c r="A330" s="5"/>
      <c r="B330" s="5"/>
      <c r="D330" s="43"/>
      <c r="E330" s="43"/>
    </row>
    <row r="331" spans="1:5">
      <c r="A331" s="5"/>
      <c r="B331" s="5"/>
      <c r="D331" s="43"/>
      <c r="E331" s="43"/>
    </row>
    <row r="332" spans="1:5">
      <c r="A332" s="5"/>
      <c r="B332" s="5"/>
      <c r="D332" s="43"/>
      <c r="E332" s="43"/>
    </row>
    <row r="333" spans="1:5">
      <c r="A333" s="5"/>
      <c r="B333" s="5"/>
      <c r="D333" s="43"/>
      <c r="E333" s="43"/>
    </row>
    <row r="334" spans="1:5">
      <c r="A334" s="5"/>
      <c r="B334" s="5"/>
      <c r="D334" s="43"/>
      <c r="E334" s="43"/>
    </row>
    <row r="335" spans="1:5">
      <c r="A335" s="5"/>
      <c r="B335" s="5"/>
      <c r="D335" s="43"/>
      <c r="E335" s="43"/>
    </row>
    <row r="336" spans="1:5">
      <c r="A336" s="5"/>
      <c r="B336" s="5"/>
      <c r="D336" s="43"/>
      <c r="E336" s="43"/>
    </row>
    <row r="337" spans="1:5">
      <c r="A337" s="5"/>
      <c r="B337" s="5"/>
      <c r="D337" s="43"/>
      <c r="E337" s="43"/>
    </row>
    <row r="338" spans="1:5">
      <c r="A338" s="5"/>
      <c r="B338" s="5"/>
      <c r="D338" s="43"/>
      <c r="E338" s="43"/>
    </row>
    <row r="339" spans="1:5">
      <c r="A339" s="5"/>
      <c r="B339" s="5"/>
      <c r="D339" s="43"/>
      <c r="E339" s="43"/>
    </row>
    <row r="340" spans="1:5">
      <c r="A340" s="5"/>
      <c r="B340" s="5"/>
      <c r="D340" s="43"/>
      <c r="E340" s="43"/>
    </row>
    <row r="341" spans="1:5">
      <c r="A341" s="5"/>
      <c r="B341" s="5"/>
      <c r="D341" s="43"/>
      <c r="E341" s="43"/>
    </row>
    <row r="342" spans="1:5">
      <c r="A342" s="5"/>
      <c r="B342" s="5"/>
      <c r="D342" s="43"/>
      <c r="E342" s="43"/>
    </row>
    <row r="343" spans="1:5">
      <c r="A343" s="5"/>
      <c r="B343" s="5"/>
      <c r="D343" s="43"/>
      <c r="E343" s="43"/>
    </row>
    <row r="344" spans="1:5">
      <c r="A344" s="5"/>
      <c r="B344" s="5"/>
      <c r="D344" s="43"/>
      <c r="E344" s="43"/>
    </row>
    <row r="345" spans="1:5">
      <c r="A345" s="5"/>
      <c r="B345" s="5"/>
      <c r="D345" s="43"/>
      <c r="E345" s="43"/>
    </row>
    <row r="346" spans="1:5">
      <c r="A346" s="5"/>
      <c r="B346" s="5"/>
      <c r="D346" s="43"/>
      <c r="E346" s="43"/>
    </row>
    <row r="347" spans="1:5">
      <c r="A347" s="5"/>
      <c r="B347" s="5"/>
      <c r="D347" s="43"/>
      <c r="E347" s="43"/>
    </row>
    <row r="348" spans="1:5">
      <c r="A348" s="5"/>
      <c r="B348" s="5"/>
      <c r="D348" s="43"/>
      <c r="E348" s="43"/>
    </row>
    <row r="349" spans="1:5">
      <c r="A349" s="5"/>
      <c r="B349" s="5"/>
      <c r="D349" s="43"/>
      <c r="E349" s="43"/>
    </row>
    <row r="350" spans="1:5">
      <c r="A350" s="5"/>
      <c r="B350" s="5"/>
      <c r="D350" s="43"/>
      <c r="E350" s="43"/>
    </row>
    <row r="351" spans="1:5">
      <c r="A351" s="5"/>
      <c r="B351" s="5"/>
      <c r="D351" s="43"/>
      <c r="E351" s="43"/>
    </row>
    <row r="352" spans="1:5">
      <c r="A352" s="5"/>
      <c r="B352" s="5"/>
      <c r="D352" s="43"/>
      <c r="E352" s="43"/>
    </row>
    <row r="353" spans="1:5">
      <c r="A353" s="5"/>
      <c r="B353" s="5"/>
      <c r="D353" s="43"/>
      <c r="E353" s="43"/>
    </row>
    <row r="354" spans="1:5">
      <c r="A354" s="5"/>
      <c r="B354" s="5"/>
      <c r="D354" s="43"/>
      <c r="E354" s="43"/>
    </row>
    <row r="355" spans="1:5">
      <c r="A355" s="5"/>
      <c r="B355" s="5"/>
      <c r="D355" s="43"/>
      <c r="E355" s="43"/>
    </row>
    <row r="356" spans="1:5">
      <c r="A356" s="5"/>
      <c r="B356" s="5"/>
      <c r="D356" s="43"/>
      <c r="E356" s="43"/>
    </row>
    <row r="357" spans="1:5">
      <c r="A357" s="5"/>
      <c r="B357" s="5"/>
      <c r="D357" s="43"/>
      <c r="E357" s="43"/>
    </row>
    <row r="358" spans="1:5">
      <c r="A358" s="5"/>
      <c r="B358" s="5"/>
      <c r="D358" s="43"/>
      <c r="E358" s="43"/>
    </row>
    <row r="359" spans="1:5">
      <c r="A359" s="5"/>
      <c r="B359" s="5"/>
      <c r="D359" s="43"/>
      <c r="E359" s="43"/>
    </row>
    <row r="360" spans="1:5">
      <c r="A360" s="5"/>
      <c r="B360" s="5"/>
      <c r="D360" s="43"/>
      <c r="E360" s="43"/>
    </row>
    <row r="361" spans="1:5">
      <c r="A361" s="5"/>
      <c r="B361" s="5"/>
      <c r="D361" s="43"/>
      <c r="E361" s="43"/>
    </row>
    <row r="362" spans="1:5">
      <c r="A362" s="5"/>
      <c r="B362" s="5"/>
      <c r="D362" s="43"/>
      <c r="E362" s="43"/>
    </row>
    <row r="363" spans="1:5">
      <c r="A363" s="5"/>
      <c r="B363" s="5"/>
      <c r="D363" s="43"/>
      <c r="E363" s="43"/>
    </row>
    <row r="364" spans="1:5">
      <c r="A364" s="5"/>
      <c r="B364" s="5"/>
      <c r="D364" s="43"/>
      <c r="E364" s="43"/>
    </row>
    <row r="365" spans="1:5">
      <c r="A365" s="5"/>
      <c r="B365" s="5"/>
      <c r="D365" s="43"/>
      <c r="E365" s="43"/>
    </row>
    <row r="366" spans="1:5">
      <c r="A366" s="5"/>
      <c r="B366" s="5"/>
      <c r="D366" s="43"/>
      <c r="E366" s="43"/>
    </row>
    <row r="367" spans="1:5">
      <c r="A367" s="5"/>
      <c r="B367" s="5"/>
      <c r="D367" s="43"/>
      <c r="E367" s="43"/>
    </row>
    <row r="368" spans="1:5">
      <c r="A368" s="5"/>
      <c r="B368" s="5"/>
      <c r="D368" s="43"/>
      <c r="E368" s="43"/>
    </row>
    <row r="369" spans="1:5">
      <c r="A369" s="5"/>
      <c r="B369" s="5"/>
      <c r="D369" s="43"/>
      <c r="E369" s="43"/>
    </row>
    <row r="370" spans="1:5">
      <c r="A370" s="5"/>
      <c r="B370" s="5"/>
      <c r="D370" s="43"/>
      <c r="E370" s="43"/>
    </row>
    <row r="371" spans="1:5">
      <c r="A371" s="5"/>
      <c r="B371" s="5"/>
      <c r="D371" s="43"/>
      <c r="E371" s="43"/>
    </row>
    <row r="372" spans="1:5">
      <c r="A372" s="5"/>
      <c r="B372" s="5"/>
      <c r="D372" s="43"/>
      <c r="E372" s="43"/>
    </row>
    <row r="373" spans="1:5">
      <c r="A373" s="5"/>
      <c r="B373" s="5"/>
      <c r="D373" s="43"/>
      <c r="E373" s="43"/>
    </row>
    <row r="374" spans="1:5">
      <c r="A374" s="5"/>
      <c r="B374" s="5"/>
      <c r="D374" s="43"/>
      <c r="E374" s="43"/>
    </row>
    <row r="375" spans="1:5">
      <c r="A375" s="5"/>
      <c r="B375" s="5"/>
      <c r="D375" s="43"/>
      <c r="E375" s="43"/>
    </row>
    <row r="376" spans="1:5">
      <c r="A376" s="5"/>
      <c r="B376" s="5"/>
      <c r="D376" s="43"/>
      <c r="E376" s="43"/>
    </row>
    <row r="377" spans="1:5">
      <c r="A377" s="5"/>
      <c r="B377" s="5"/>
      <c r="D377" s="43"/>
      <c r="E377" s="43"/>
    </row>
    <row r="378" spans="1:5">
      <c r="A378" s="5"/>
      <c r="B378" s="5"/>
      <c r="D378" s="43"/>
      <c r="E378" s="43"/>
    </row>
    <row r="379" spans="1:5">
      <c r="A379" s="5"/>
      <c r="B379" s="5"/>
      <c r="D379" s="43"/>
      <c r="E379" s="43"/>
    </row>
    <row r="380" spans="1:5">
      <c r="A380" s="5"/>
      <c r="B380" s="5"/>
      <c r="D380" s="43"/>
      <c r="E380" s="43"/>
    </row>
    <row r="381" spans="1:5">
      <c r="A381" s="5"/>
      <c r="B381" s="5"/>
      <c r="D381" s="43"/>
      <c r="E381" s="43"/>
    </row>
    <row r="382" spans="1:5">
      <c r="A382" s="5"/>
      <c r="B382" s="5"/>
      <c r="D382" s="43"/>
      <c r="E382" s="43"/>
    </row>
    <row r="383" spans="1:5">
      <c r="A383" s="5"/>
      <c r="B383" s="5"/>
      <c r="D383" s="43"/>
      <c r="E383" s="43"/>
    </row>
    <row r="384" spans="1:5">
      <c r="A384" s="5"/>
      <c r="B384" s="5"/>
      <c r="D384" s="43"/>
      <c r="E384" s="43"/>
    </row>
    <row r="385" spans="1:5">
      <c r="A385" s="5"/>
      <c r="B385" s="5"/>
      <c r="D385" s="43"/>
      <c r="E385" s="43"/>
    </row>
    <row r="386" spans="1:5">
      <c r="A386" s="5"/>
      <c r="B386" s="5"/>
      <c r="D386" s="43"/>
      <c r="E386" s="43"/>
    </row>
    <row r="387" spans="1:5">
      <c r="A387" s="5"/>
      <c r="B387" s="5"/>
      <c r="D387" s="43"/>
      <c r="E387" s="43"/>
    </row>
    <row r="388" spans="1:5">
      <c r="A388" s="5"/>
      <c r="B388" s="5"/>
      <c r="D388" s="43"/>
      <c r="E388" s="43"/>
    </row>
    <row r="389" spans="1:5">
      <c r="A389" s="5"/>
      <c r="B389" s="5"/>
      <c r="D389" s="43"/>
      <c r="E389" s="43"/>
    </row>
    <row r="390" spans="1:5">
      <c r="A390" s="5"/>
      <c r="B390" s="5"/>
      <c r="D390" s="43"/>
      <c r="E390" s="43"/>
    </row>
    <row r="391" spans="1:5">
      <c r="A391" s="5"/>
      <c r="B391" s="5"/>
      <c r="D391" s="43"/>
      <c r="E391" s="43"/>
    </row>
    <row r="392" spans="1:5">
      <c r="A392" s="5"/>
      <c r="B392" s="5"/>
      <c r="D392" s="43"/>
      <c r="E392" s="43"/>
    </row>
    <row r="393" spans="1:5">
      <c r="A393" s="5"/>
      <c r="B393" s="5"/>
      <c r="D393" s="43"/>
      <c r="E393" s="43"/>
    </row>
    <row r="394" spans="1:5">
      <c r="A394" s="5"/>
      <c r="B394" s="5"/>
      <c r="D394" s="43"/>
      <c r="E394" s="43"/>
    </row>
    <row r="395" spans="1:5">
      <c r="A395" s="5"/>
      <c r="B395" s="5"/>
      <c r="D395" s="43"/>
      <c r="E395" s="43"/>
    </row>
    <row r="396" spans="1:5">
      <c r="A396" s="5"/>
      <c r="B396" s="5"/>
      <c r="D396" s="43"/>
      <c r="E396" s="43"/>
    </row>
    <row r="397" spans="1:5">
      <c r="A397" s="5"/>
      <c r="B397" s="5"/>
      <c r="D397" s="43"/>
      <c r="E397" s="43"/>
    </row>
    <row r="398" spans="1:5">
      <c r="A398" s="5"/>
      <c r="B398" s="5"/>
      <c r="D398" s="43"/>
      <c r="E398" s="43"/>
    </row>
    <row r="399" spans="1:5">
      <c r="A399" s="5"/>
      <c r="B399" s="5"/>
      <c r="D399" s="43"/>
      <c r="E399" s="43"/>
    </row>
    <row r="400" spans="1:5">
      <c r="A400" s="5"/>
      <c r="B400" s="5"/>
      <c r="D400" s="43"/>
      <c r="E400" s="43"/>
    </row>
    <row r="401" spans="1:5">
      <c r="A401" s="5"/>
      <c r="B401" s="5"/>
      <c r="D401" s="43"/>
      <c r="E401" s="43"/>
    </row>
    <row r="402" spans="1:5">
      <c r="A402" s="5"/>
      <c r="B402" s="5"/>
      <c r="D402" s="43"/>
      <c r="E402" s="43"/>
    </row>
    <row r="403" spans="1:5">
      <c r="A403" s="5"/>
      <c r="B403" s="5"/>
      <c r="D403" s="43"/>
      <c r="E403" s="43"/>
    </row>
    <row r="404" spans="1:5">
      <c r="A404" s="5"/>
      <c r="B404" s="5"/>
      <c r="D404" s="43"/>
      <c r="E404" s="43"/>
    </row>
    <row r="405" spans="1:5">
      <c r="A405" s="5"/>
      <c r="B405" s="5"/>
      <c r="D405" s="43"/>
      <c r="E405" s="43"/>
    </row>
    <row r="406" spans="1:5">
      <c r="A406" s="5"/>
      <c r="B406" s="5"/>
      <c r="D406" s="43"/>
      <c r="E406" s="43"/>
    </row>
    <row r="407" spans="1:5">
      <c r="A407" s="5"/>
      <c r="B407" s="5"/>
      <c r="D407" s="43"/>
      <c r="E407" s="43"/>
    </row>
    <row r="408" spans="1:5">
      <c r="A408" s="5"/>
      <c r="B408" s="5"/>
      <c r="D408" s="43"/>
      <c r="E408" s="43"/>
    </row>
    <row r="409" spans="1:5">
      <c r="A409" s="5"/>
      <c r="B409" s="5"/>
      <c r="D409" s="43"/>
      <c r="E409" s="43"/>
    </row>
    <row r="410" spans="1:5">
      <c r="A410" s="5"/>
      <c r="B410" s="5"/>
      <c r="D410" s="43"/>
      <c r="E410" s="43"/>
    </row>
    <row r="411" spans="1:5">
      <c r="A411" s="5"/>
      <c r="B411" s="5"/>
      <c r="D411" s="43"/>
      <c r="E411" s="43"/>
    </row>
    <row r="412" spans="1:5">
      <c r="A412" s="5"/>
      <c r="B412" s="5"/>
      <c r="D412" s="43"/>
      <c r="E412" s="43"/>
    </row>
    <row r="413" spans="1:5">
      <c r="A413" s="5"/>
      <c r="B413" s="5"/>
      <c r="D413" s="43"/>
      <c r="E413" s="43"/>
    </row>
    <row r="414" spans="1:5">
      <c r="A414" s="5"/>
      <c r="B414" s="5"/>
      <c r="D414" s="43"/>
      <c r="E414" s="43"/>
    </row>
    <row r="415" spans="1:5">
      <c r="A415" s="5"/>
      <c r="B415" s="5"/>
      <c r="D415" s="43"/>
      <c r="E415" s="43"/>
    </row>
    <row r="416" spans="1:5">
      <c r="A416" s="5"/>
      <c r="B416" s="5"/>
      <c r="D416" s="43"/>
      <c r="E416" s="43"/>
    </row>
    <row r="417" spans="1:5">
      <c r="A417" s="5"/>
      <c r="B417" s="5"/>
      <c r="D417" s="43"/>
      <c r="E417" s="43"/>
    </row>
    <row r="418" spans="1:5">
      <c r="A418" s="5"/>
      <c r="B418" s="5"/>
      <c r="D418" s="43"/>
      <c r="E418" s="43"/>
    </row>
    <row r="419" spans="1:5">
      <c r="A419" s="5"/>
      <c r="B419" s="5"/>
      <c r="D419" s="43"/>
      <c r="E419" s="43"/>
    </row>
    <row r="420" spans="1:5">
      <c r="A420" s="5"/>
      <c r="B420" s="5"/>
      <c r="D420" s="43"/>
      <c r="E420" s="43"/>
    </row>
    <row r="421" spans="1:5">
      <c r="A421" s="5"/>
      <c r="B421" s="5"/>
      <c r="D421" s="43"/>
      <c r="E421" s="43"/>
    </row>
    <row r="422" spans="1:5">
      <c r="A422" s="5"/>
      <c r="B422" s="5"/>
      <c r="D422" s="43"/>
      <c r="E422" s="43"/>
    </row>
    <row r="423" spans="1:5">
      <c r="A423" s="5"/>
      <c r="B423" s="5"/>
      <c r="D423" s="43"/>
      <c r="E423" s="43"/>
    </row>
    <row r="424" spans="1:5">
      <c r="A424" s="5"/>
      <c r="B424" s="5"/>
      <c r="D424" s="43"/>
      <c r="E424" s="43"/>
    </row>
    <row r="425" spans="1:5">
      <c r="A425" s="5"/>
      <c r="B425" s="5"/>
      <c r="D425" s="43"/>
      <c r="E425" s="43"/>
    </row>
    <row r="426" spans="1:5">
      <c r="A426" s="5"/>
      <c r="B426" s="5"/>
      <c r="D426" s="43"/>
      <c r="E426" s="43"/>
    </row>
    <row r="427" spans="1:5">
      <c r="A427" s="5"/>
      <c r="B427" s="5"/>
      <c r="D427" s="43"/>
      <c r="E427" s="43"/>
    </row>
    <row r="428" spans="1:5">
      <c r="A428" s="5"/>
      <c r="B428" s="5"/>
      <c r="D428" s="43"/>
      <c r="E428" s="43"/>
    </row>
    <row r="429" spans="1:5">
      <c r="A429" s="5"/>
      <c r="B429" s="5"/>
      <c r="D429" s="43"/>
      <c r="E429" s="43"/>
    </row>
    <row r="430" spans="1:5">
      <c r="A430" s="5"/>
      <c r="B430" s="5"/>
      <c r="D430" s="43"/>
      <c r="E430" s="43"/>
    </row>
    <row r="431" spans="1:5">
      <c r="A431" s="5"/>
      <c r="B431" s="5"/>
      <c r="D431" s="43"/>
      <c r="E431" s="43"/>
    </row>
    <row r="432" spans="1:5">
      <c r="A432" s="5"/>
      <c r="B432" s="5"/>
      <c r="D432" s="43"/>
      <c r="E432" s="43"/>
    </row>
    <row r="433" spans="1:5">
      <c r="A433" s="5"/>
      <c r="B433" s="5"/>
      <c r="D433" s="43"/>
      <c r="E433" s="43"/>
    </row>
    <row r="434" spans="1:5">
      <c r="A434" s="5"/>
      <c r="B434" s="5"/>
      <c r="D434" s="43"/>
      <c r="E434" s="43"/>
    </row>
    <row r="435" spans="1:5">
      <c r="A435" s="5"/>
      <c r="B435" s="5"/>
      <c r="D435" s="43"/>
      <c r="E435" s="43"/>
    </row>
    <row r="436" spans="1:5">
      <c r="A436" s="5"/>
      <c r="B436" s="5"/>
      <c r="D436" s="43"/>
      <c r="E436" s="43"/>
    </row>
    <row r="437" spans="1:5">
      <c r="A437" s="5"/>
      <c r="B437" s="5"/>
      <c r="D437" s="43"/>
      <c r="E437" s="43"/>
    </row>
    <row r="438" spans="1:5">
      <c r="A438" s="5"/>
      <c r="B438" s="5"/>
      <c r="D438" s="43"/>
      <c r="E438" s="43"/>
    </row>
    <row r="439" spans="1:5">
      <c r="A439" s="5"/>
      <c r="B439" s="5"/>
      <c r="D439" s="43"/>
      <c r="E439" s="43"/>
    </row>
    <row r="440" spans="1:5">
      <c r="A440" s="5"/>
      <c r="B440" s="5"/>
      <c r="D440" s="43"/>
      <c r="E440" s="43"/>
    </row>
    <row r="441" spans="1:5">
      <c r="A441" s="5"/>
      <c r="B441" s="5"/>
      <c r="D441" s="43"/>
      <c r="E441" s="43"/>
    </row>
    <row r="442" spans="1:5">
      <c r="A442" s="5"/>
      <c r="B442" s="5"/>
      <c r="D442" s="43"/>
      <c r="E442" s="43"/>
    </row>
    <row r="443" spans="1:5">
      <c r="A443" s="5"/>
      <c r="B443" s="5"/>
      <c r="D443" s="43"/>
      <c r="E443" s="43"/>
    </row>
    <row r="444" spans="1:5">
      <c r="A444" s="5"/>
      <c r="B444" s="5"/>
      <c r="D444" s="43"/>
      <c r="E444" s="43"/>
    </row>
    <row r="445" spans="1:5">
      <c r="A445" s="5"/>
      <c r="B445" s="5"/>
      <c r="D445" s="43"/>
      <c r="E445" s="43"/>
    </row>
    <row r="446" spans="1:5">
      <c r="A446" s="5"/>
      <c r="B446" s="5"/>
      <c r="D446" s="43"/>
      <c r="E446" s="43"/>
    </row>
    <row r="447" spans="1:5">
      <c r="A447" s="5"/>
      <c r="B447" s="5"/>
      <c r="D447" s="43"/>
      <c r="E447" s="43"/>
    </row>
    <row r="448" spans="1:5">
      <c r="A448" s="5"/>
      <c r="B448" s="5"/>
      <c r="D448" s="43"/>
      <c r="E448" s="43"/>
    </row>
    <row r="449" spans="1:5">
      <c r="A449" s="5"/>
      <c r="B449" s="5"/>
      <c r="D449" s="43"/>
      <c r="E449" s="43"/>
    </row>
    <row r="450" spans="1:5">
      <c r="A450" s="5"/>
      <c r="B450" s="5"/>
      <c r="D450" s="43"/>
      <c r="E450" s="43"/>
    </row>
    <row r="451" spans="1:5">
      <c r="A451" s="5"/>
      <c r="B451" s="5"/>
      <c r="D451" s="43"/>
      <c r="E451" s="43"/>
    </row>
    <row r="452" spans="1:5">
      <c r="A452" s="5"/>
      <c r="B452" s="5"/>
      <c r="D452" s="43"/>
      <c r="E452" s="43"/>
    </row>
    <row r="453" spans="1:5">
      <c r="A453" s="5"/>
      <c r="B453" s="5"/>
      <c r="D453" s="43"/>
      <c r="E453" s="43"/>
    </row>
    <row r="454" spans="1:5">
      <c r="A454" s="5"/>
      <c r="B454" s="5"/>
      <c r="D454" s="43"/>
      <c r="E454" s="43"/>
    </row>
    <row r="455" spans="1:5">
      <c r="A455" s="5"/>
      <c r="B455" s="5"/>
      <c r="D455" s="43"/>
      <c r="E455" s="43"/>
    </row>
    <row r="456" spans="1:5">
      <c r="A456" s="5"/>
      <c r="B456" s="5"/>
      <c r="D456" s="43"/>
      <c r="E456" s="43"/>
    </row>
    <row r="457" spans="1:5">
      <c r="A457" s="5"/>
      <c r="B457" s="5"/>
      <c r="D457" s="43"/>
      <c r="E457" s="43"/>
    </row>
    <row r="458" spans="1:5">
      <c r="A458" s="5"/>
      <c r="B458" s="5"/>
      <c r="D458" s="43"/>
      <c r="E458" s="43"/>
    </row>
    <row r="459" spans="1:5">
      <c r="A459" s="5"/>
      <c r="B459" s="5"/>
      <c r="D459" s="43"/>
      <c r="E459" s="43"/>
    </row>
    <row r="460" spans="1:5">
      <c r="A460" s="5"/>
      <c r="B460" s="5"/>
      <c r="D460" s="43"/>
      <c r="E460" s="43"/>
    </row>
    <row r="461" spans="1:5">
      <c r="A461" s="5"/>
      <c r="B461" s="5"/>
      <c r="D461" s="43"/>
      <c r="E461" s="43"/>
    </row>
    <row r="462" spans="1:5">
      <c r="A462" s="5"/>
      <c r="B462" s="5"/>
      <c r="D462" s="43"/>
      <c r="E462" s="43"/>
    </row>
    <row r="463" spans="1:5">
      <c r="A463" s="5"/>
      <c r="B463" s="5"/>
      <c r="D463" s="43"/>
      <c r="E463" s="43"/>
    </row>
    <row r="464" spans="1:5">
      <c r="A464" s="5"/>
      <c r="B464" s="5"/>
      <c r="D464" s="43"/>
      <c r="E464" s="43"/>
    </row>
    <row r="465" spans="1:5">
      <c r="A465" s="5"/>
      <c r="B465" s="5"/>
      <c r="D465" s="43"/>
      <c r="E465" s="43"/>
    </row>
    <row r="466" spans="1:5">
      <c r="A466" s="5"/>
      <c r="B466" s="5"/>
      <c r="D466" s="43"/>
      <c r="E466" s="43"/>
    </row>
    <row r="467" spans="1:5">
      <c r="A467" s="5"/>
      <c r="B467" s="5"/>
      <c r="D467" s="43"/>
      <c r="E467" s="43"/>
    </row>
    <row r="468" spans="1:5">
      <c r="A468" s="5"/>
      <c r="B468" s="5"/>
      <c r="D468" s="43"/>
      <c r="E468" s="43"/>
    </row>
    <row r="469" spans="1:5">
      <c r="A469" s="5"/>
      <c r="B469" s="5"/>
      <c r="D469" s="43"/>
      <c r="E469" s="43"/>
    </row>
    <row r="470" spans="1:5">
      <c r="A470" s="5"/>
      <c r="B470" s="5"/>
      <c r="D470" s="43"/>
      <c r="E470" s="43"/>
    </row>
    <row r="471" spans="1:5">
      <c r="A471" s="5"/>
      <c r="B471" s="5"/>
      <c r="D471" s="43"/>
      <c r="E471" s="43"/>
    </row>
    <row r="472" spans="1:5">
      <c r="A472" s="5"/>
      <c r="B472" s="5"/>
      <c r="D472" s="43"/>
      <c r="E472" s="43"/>
    </row>
    <row r="473" spans="1:5">
      <c r="A473" s="5"/>
      <c r="B473" s="5"/>
      <c r="D473" s="43"/>
      <c r="E473" s="43"/>
    </row>
    <row r="474" spans="1:5">
      <c r="A474" s="5"/>
      <c r="B474" s="5"/>
      <c r="D474" s="43"/>
      <c r="E474" s="43"/>
    </row>
    <row r="475" spans="1:5">
      <c r="A475" s="5"/>
      <c r="B475" s="5"/>
      <c r="D475" s="43"/>
      <c r="E475" s="43"/>
    </row>
    <row r="476" spans="1:5">
      <c r="A476" s="5"/>
      <c r="B476" s="5"/>
      <c r="D476" s="43"/>
      <c r="E476" s="43"/>
    </row>
    <row r="477" spans="1:5">
      <c r="A477" s="5"/>
      <c r="B477" s="5"/>
      <c r="D477" s="43"/>
      <c r="E477" s="43"/>
    </row>
    <row r="478" spans="1:5">
      <c r="A478" s="5"/>
      <c r="B478" s="5"/>
      <c r="D478" s="43"/>
      <c r="E478" s="43"/>
    </row>
    <row r="479" spans="1:5">
      <c r="A479" s="5"/>
      <c r="B479" s="5"/>
      <c r="D479" s="43"/>
      <c r="E479" s="43"/>
    </row>
    <row r="480" spans="1:5">
      <c r="A480" s="5"/>
      <c r="B480" s="5"/>
      <c r="D480" s="43"/>
      <c r="E480" s="43"/>
    </row>
    <row r="481" spans="1:5">
      <c r="A481" s="5"/>
      <c r="B481" s="5"/>
      <c r="D481" s="43"/>
      <c r="E481" s="43"/>
    </row>
    <row r="482" spans="1:5">
      <c r="A482" s="5"/>
      <c r="B482" s="5"/>
      <c r="D482" s="43"/>
      <c r="E482" s="43"/>
    </row>
    <row r="483" spans="1:5">
      <c r="A483" s="5"/>
      <c r="B483" s="5"/>
      <c r="D483" s="43"/>
      <c r="E483" s="43"/>
    </row>
    <row r="484" spans="1:5">
      <c r="A484" s="5"/>
      <c r="B484" s="5"/>
      <c r="D484" s="43"/>
      <c r="E484" s="43"/>
    </row>
    <row r="485" spans="1:5">
      <c r="A485" s="5"/>
      <c r="B485" s="5"/>
      <c r="D485" s="43"/>
      <c r="E485" s="43"/>
    </row>
    <row r="486" spans="1:5">
      <c r="A486" s="5"/>
      <c r="B486" s="5"/>
      <c r="D486" s="43"/>
      <c r="E486" s="43"/>
    </row>
    <row r="487" spans="1:5">
      <c r="A487" s="5"/>
      <c r="B487" s="5"/>
      <c r="D487" s="43"/>
      <c r="E487" s="43"/>
    </row>
    <row r="488" spans="1:5">
      <c r="A488" s="5"/>
      <c r="B488" s="5"/>
      <c r="D488" s="43"/>
      <c r="E488" s="43"/>
    </row>
    <row r="489" spans="1:5">
      <c r="A489" s="5"/>
      <c r="B489" s="5"/>
      <c r="D489" s="43"/>
      <c r="E489" s="43"/>
    </row>
    <row r="490" spans="1:5">
      <c r="A490" s="5"/>
      <c r="B490" s="5"/>
      <c r="D490" s="43"/>
      <c r="E490" s="43"/>
    </row>
    <row r="491" spans="1:5">
      <c r="A491" s="5"/>
      <c r="B491" s="5"/>
      <c r="D491" s="43"/>
      <c r="E491" s="43"/>
    </row>
    <row r="492" spans="1:5">
      <c r="A492" s="5"/>
      <c r="B492" s="5"/>
      <c r="D492" s="43"/>
      <c r="E492" s="43"/>
    </row>
    <row r="493" spans="1:5">
      <c r="A493" s="5"/>
      <c r="B493" s="5"/>
      <c r="D493" s="43"/>
      <c r="E493" s="43"/>
    </row>
    <row r="494" spans="1:5">
      <c r="A494" s="5"/>
      <c r="B494" s="5"/>
      <c r="D494" s="43"/>
      <c r="E494" s="43"/>
    </row>
    <row r="495" spans="1:5">
      <c r="A495" s="5"/>
      <c r="B495" s="5"/>
      <c r="D495" s="43"/>
      <c r="E495" s="43"/>
    </row>
    <row r="496" spans="1:5">
      <c r="A496" s="5"/>
      <c r="B496" s="5"/>
      <c r="D496" s="43"/>
      <c r="E496" s="43"/>
    </row>
    <row r="497" spans="1:5">
      <c r="A497" s="5"/>
      <c r="B497" s="5"/>
      <c r="D497" s="43"/>
      <c r="E497" s="43"/>
    </row>
    <row r="498" spans="1:5">
      <c r="A498" s="5"/>
      <c r="B498" s="5"/>
      <c r="D498" s="43"/>
      <c r="E498" s="43"/>
    </row>
    <row r="499" spans="1:5">
      <c r="A499" s="5"/>
      <c r="B499" s="5"/>
      <c r="D499" s="43"/>
      <c r="E499" s="43"/>
    </row>
    <row r="500" spans="1:5">
      <c r="A500" s="5"/>
      <c r="B500" s="5"/>
      <c r="D500" s="43"/>
      <c r="E500" s="43"/>
    </row>
    <row r="501" spans="1:5">
      <c r="A501" s="5"/>
      <c r="B501" s="5"/>
      <c r="D501" s="43"/>
      <c r="E501" s="43"/>
    </row>
    <row r="502" spans="1:5">
      <c r="A502" s="5"/>
      <c r="B502" s="5"/>
      <c r="D502" s="43"/>
      <c r="E502" s="43"/>
    </row>
    <row r="503" spans="1:5">
      <c r="A503" s="5"/>
      <c r="B503" s="5"/>
      <c r="D503" s="43"/>
      <c r="E503" s="43"/>
    </row>
    <row r="504" spans="1:5">
      <c r="A504" s="5"/>
      <c r="B504" s="5"/>
      <c r="D504" s="43"/>
      <c r="E504" s="43"/>
    </row>
    <row r="505" spans="1:5">
      <c r="A505" s="5"/>
      <c r="B505" s="5"/>
      <c r="D505" s="43"/>
      <c r="E505" s="43"/>
    </row>
    <row r="506" spans="1:5">
      <c r="A506" s="5"/>
      <c r="B506" s="5"/>
      <c r="D506" s="43"/>
      <c r="E506" s="43"/>
    </row>
    <row r="507" spans="1:5">
      <c r="A507" s="5"/>
      <c r="B507" s="5"/>
      <c r="D507" s="43"/>
      <c r="E507" s="43"/>
    </row>
    <row r="508" spans="1:5">
      <c r="A508" s="5"/>
      <c r="B508" s="5"/>
      <c r="D508" s="43"/>
      <c r="E508" s="43"/>
    </row>
    <row r="509" spans="1:5">
      <c r="A509" s="5"/>
      <c r="B509" s="5"/>
      <c r="D509" s="43"/>
      <c r="E509" s="43"/>
    </row>
    <row r="510" spans="1:5">
      <c r="A510" s="5"/>
      <c r="B510" s="5"/>
      <c r="D510" s="43"/>
      <c r="E510" s="43"/>
    </row>
    <row r="511" spans="1:5">
      <c r="A511" s="5"/>
      <c r="B511" s="5"/>
      <c r="D511" s="43"/>
      <c r="E511" s="43"/>
    </row>
    <row r="512" spans="1:5">
      <c r="A512" s="5"/>
      <c r="B512" s="5"/>
      <c r="D512" s="43"/>
      <c r="E512" s="43"/>
    </row>
    <row r="513" spans="1:5">
      <c r="A513" s="5"/>
      <c r="B513" s="5"/>
      <c r="D513" s="43"/>
      <c r="E513" s="43"/>
    </row>
    <row r="514" spans="1:5">
      <c r="A514" s="5"/>
      <c r="B514" s="5"/>
      <c r="D514" s="43"/>
      <c r="E514" s="43"/>
    </row>
    <row r="515" spans="1:5">
      <c r="A515" s="5"/>
      <c r="B515" s="5"/>
      <c r="D515" s="43"/>
      <c r="E515" s="43"/>
    </row>
    <row r="516" spans="1:5">
      <c r="A516" s="5"/>
      <c r="B516" s="5"/>
      <c r="D516" s="43"/>
      <c r="E516" s="43"/>
    </row>
    <row r="517" spans="1:5">
      <c r="A517" s="5"/>
      <c r="B517" s="5"/>
      <c r="D517" s="43"/>
      <c r="E517" s="43"/>
    </row>
    <row r="518" spans="1:5">
      <c r="A518" s="5"/>
      <c r="B518" s="5"/>
      <c r="D518" s="43"/>
      <c r="E518" s="43"/>
    </row>
    <row r="519" spans="1:5">
      <c r="A519" s="5"/>
      <c r="B519" s="5"/>
      <c r="D519" s="43"/>
      <c r="E519" s="43"/>
    </row>
    <row r="520" spans="1:5">
      <c r="A520" s="5"/>
      <c r="B520" s="5"/>
      <c r="D520" s="43"/>
      <c r="E520" s="43"/>
    </row>
    <row r="521" spans="1:5">
      <c r="A521" s="5"/>
      <c r="B521" s="5"/>
      <c r="D521" s="43"/>
      <c r="E521" s="43"/>
    </row>
    <row r="522" spans="1:5">
      <c r="A522" s="5"/>
      <c r="B522" s="5"/>
      <c r="D522" s="43"/>
      <c r="E522" s="43"/>
    </row>
    <row r="523" spans="1:5">
      <c r="A523" s="5"/>
      <c r="B523" s="5"/>
      <c r="D523" s="43"/>
      <c r="E523" s="43"/>
    </row>
    <row r="524" spans="1:5">
      <c r="A524" s="5"/>
      <c r="B524" s="5"/>
      <c r="D524" s="43"/>
      <c r="E524" s="43"/>
    </row>
    <row r="525" spans="1:5">
      <c r="A525" s="5"/>
      <c r="B525" s="5"/>
      <c r="D525" s="43"/>
      <c r="E525" s="43"/>
    </row>
    <row r="526" spans="1:5">
      <c r="A526" s="5"/>
      <c r="B526" s="5"/>
      <c r="D526" s="43"/>
      <c r="E526" s="43"/>
    </row>
    <row r="527" spans="1:5">
      <c r="A527" s="5"/>
      <c r="B527" s="5"/>
      <c r="D527" s="43"/>
      <c r="E527" s="43"/>
    </row>
    <row r="528" spans="1:5">
      <c r="A528" s="5"/>
      <c r="B528" s="5"/>
      <c r="D528" s="43"/>
      <c r="E528" s="43"/>
    </row>
    <row r="529" spans="1:5">
      <c r="A529" s="5"/>
      <c r="B529" s="5"/>
      <c r="D529" s="43"/>
      <c r="E529" s="43"/>
    </row>
    <row r="530" spans="1:5">
      <c r="A530" s="5"/>
      <c r="B530" s="5"/>
      <c r="D530" s="43"/>
      <c r="E530" s="43"/>
    </row>
    <row r="531" spans="1:5">
      <c r="A531" s="5"/>
      <c r="B531" s="5"/>
      <c r="D531" s="43"/>
      <c r="E531" s="43"/>
    </row>
    <row r="532" spans="1:5">
      <c r="A532" s="5"/>
      <c r="B532" s="5"/>
      <c r="D532" s="43"/>
      <c r="E532" s="43"/>
    </row>
    <row r="533" spans="1:5">
      <c r="A533" s="5"/>
      <c r="B533" s="5"/>
      <c r="D533" s="43"/>
      <c r="E533" s="43"/>
    </row>
    <row r="534" spans="1:5">
      <c r="A534" s="5"/>
      <c r="B534" s="5"/>
      <c r="D534" s="43"/>
      <c r="E534" s="43"/>
    </row>
    <row r="535" spans="1:5">
      <c r="A535" s="5"/>
      <c r="B535" s="5"/>
      <c r="D535" s="43"/>
      <c r="E535" s="43"/>
    </row>
    <row r="536" spans="1:5">
      <c r="A536" s="5"/>
      <c r="B536" s="5"/>
      <c r="D536" s="43"/>
      <c r="E536" s="43"/>
    </row>
    <row r="537" spans="1:5">
      <c r="A537" s="5"/>
      <c r="B537" s="5"/>
      <c r="D537" s="43"/>
      <c r="E537" s="43"/>
    </row>
    <row r="538" spans="1:5">
      <c r="A538" s="5"/>
      <c r="B538" s="5"/>
      <c r="D538" s="43"/>
      <c r="E538" s="43"/>
    </row>
    <row r="539" spans="1:5">
      <c r="A539" s="5"/>
      <c r="B539" s="5"/>
      <c r="D539" s="43"/>
      <c r="E539" s="43"/>
    </row>
    <row r="540" spans="1:5">
      <c r="A540" s="5"/>
      <c r="B540" s="5"/>
      <c r="D540" s="43"/>
      <c r="E540" s="43"/>
    </row>
    <row r="541" spans="1:5">
      <c r="A541" s="5"/>
      <c r="B541" s="5"/>
      <c r="D541" s="43"/>
      <c r="E541" s="43"/>
    </row>
    <row r="542" spans="1:5">
      <c r="A542" s="5"/>
      <c r="B542" s="5"/>
      <c r="D542" s="43"/>
      <c r="E542" s="43"/>
    </row>
    <row r="543" spans="1:5">
      <c r="A543" s="5"/>
      <c r="B543" s="5"/>
      <c r="D543" s="43"/>
      <c r="E543" s="43"/>
    </row>
    <row r="544" spans="1:5">
      <c r="A544" s="5"/>
      <c r="B544" s="5"/>
      <c r="D544" s="43"/>
      <c r="E544" s="43"/>
    </row>
    <row r="545" spans="1:5">
      <c r="A545" s="5"/>
      <c r="B545" s="5"/>
      <c r="D545" s="43"/>
      <c r="E545" s="43"/>
    </row>
    <row r="546" spans="1:5">
      <c r="A546" s="5"/>
      <c r="B546" s="5"/>
      <c r="D546" s="43"/>
      <c r="E546" s="43"/>
    </row>
    <row r="547" spans="1:5">
      <c r="A547" s="5"/>
      <c r="B547" s="5"/>
      <c r="D547" s="43"/>
      <c r="E547" s="43"/>
    </row>
    <row r="548" spans="1:5">
      <c r="A548" s="5"/>
      <c r="B548" s="5"/>
      <c r="D548" s="43"/>
      <c r="E548" s="43"/>
    </row>
    <row r="549" spans="1:5">
      <c r="A549" s="5"/>
      <c r="B549" s="5"/>
      <c r="D549" s="43"/>
      <c r="E549" s="43"/>
    </row>
    <row r="550" spans="1:5">
      <c r="A550" s="5"/>
      <c r="B550" s="5"/>
      <c r="D550" s="43"/>
      <c r="E550" s="43"/>
    </row>
    <row r="551" spans="1:5">
      <c r="A551" s="5"/>
      <c r="B551" s="5"/>
      <c r="D551" s="43"/>
      <c r="E551" s="43"/>
    </row>
    <row r="552" spans="1:5">
      <c r="A552" s="5"/>
      <c r="B552" s="5"/>
      <c r="D552" s="43"/>
      <c r="E552" s="43"/>
    </row>
    <row r="553" spans="1:5">
      <c r="A553" s="5"/>
      <c r="B553" s="5"/>
      <c r="D553" s="43"/>
      <c r="E553" s="43"/>
    </row>
    <row r="554" spans="1:5">
      <c r="A554" s="5"/>
      <c r="B554" s="5"/>
      <c r="D554" s="43"/>
      <c r="E554" s="43"/>
    </row>
    <row r="555" spans="1:5">
      <c r="A555" s="5"/>
      <c r="B555" s="5"/>
      <c r="D555" s="43"/>
      <c r="E555" s="43"/>
    </row>
    <row r="556" spans="1:5">
      <c r="A556" s="5"/>
      <c r="B556" s="5"/>
      <c r="D556" s="43"/>
      <c r="E556" s="43"/>
    </row>
    <row r="557" spans="1:5">
      <c r="A557" s="5"/>
      <c r="B557" s="5"/>
      <c r="D557" s="43"/>
      <c r="E557" s="43"/>
    </row>
    <row r="558" spans="1:5">
      <c r="A558" s="5"/>
      <c r="B558" s="5"/>
      <c r="D558" s="43"/>
      <c r="E558" s="43"/>
    </row>
    <row r="559" spans="1:5">
      <c r="A559" s="5"/>
      <c r="B559" s="5"/>
      <c r="D559" s="43"/>
      <c r="E559" s="43"/>
    </row>
    <row r="560" spans="1:5">
      <c r="A560" s="5"/>
      <c r="B560" s="5"/>
      <c r="D560" s="43"/>
      <c r="E560" s="43"/>
    </row>
    <row r="561" spans="1:5">
      <c r="A561" s="5"/>
      <c r="B561" s="5"/>
      <c r="D561" s="43"/>
      <c r="E561" s="43"/>
    </row>
    <row r="562" spans="1:5">
      <c r="A562" s="5"/>
      <c r="B562" s="5"/>
      <c r="D562" s="43"/>
      <c r="E562" s="43"/>
    </row>
    <row r="563" spans="1:5">
      <c r="A563" s="5"/>
      <c r="B563" s="5"/>
      <c r="D563" s="43"/>
      <c r="E563" s="43"/>
    </row>
    <row r="564" spans="1:5">
      <c r="A564" s="5"/>
      <c r="B564" s="5"/>
      <c r="D564" s="43"/>
      <c r="E564" s="43"/>
    </row>
    <row r="565" spans="1:5">
      <c r="A565" s="5"/>
      <c r="B565" s="5"/>
      <c r="D565" s="43"/>
      <c r="E565" s="43"/>
    </row>
    <row r="566" spans="1:5">
      <c r="A566" s="5"/>
      <c r="B566" s="5"/>
      <c r="D566" s="43"/>
      <c r="E566" s="43"/>
    </row>
    <row r="567" spans="1:5">
      <c r="A567" s="5"/>
      <c r="B567" s="5"/>
      <c r="D567" s="43"/>
      <c r="E567" s="43"/>
    </row>
    <row r="568" spans="1:5">
      <c r="A568" s="5"/>
      <c r="B568" s="5"/>
      <c r="D568" s="43"/>
      <c r="E568" s="43"/>
    </row>
    <row r="569" spans="1:5">
      <c r="A569" s="5"/>
      <c r="B569" s="5"/>
      <c r="D569" s="43"/>
      <c r="E569" s="43"/>
    </row>
    <row r="570" spans="1:5">
      <c r="A570" s="5"/>
      <c r="B570" s="5"/>
      <c r="D570" s="43"/>
      <c r="E570" s="43"/>
    </row>
    <row r="571" spans="1:5">
      <c r="A571" s="5"/>
      <c r="B571" s="5"/>
      <c r="D571" s="43"/>
      <c r="E571" s="43"/>
    </row>
    <row r="572" spans="1:5">
      <c r="A572" s="5"/>
      <c r="B572" s="5"/>
      <c r="D572" s="43"/>
      <c r="E572" s="43"/>
    </row>
    <row r="573" spans="1:5">
      <c r="A573" s="5"/>
      <c r="B573" s="5"/>
      <c r="D573" s="43"/>
      <c r="E573" s="43"/>
    </row>
    <row r="574" spans="1:5">
      <c r="A574" s="5"/>
      <c r="B574" s="5"/>
      <c r="D574" s="43"/>
      <c r="E574" s="43"/>
    </row>
    <row r="575" spans="1:5">
      <c r="A575" s="5"/>
      <c r="B575" s="5"/>
      <c r="D575" s="43"/>
      <c r="E575" s="43"/>
    </row>
    <row r="576" spans="1:5">
      <c r="A576" s="5"/>
      <c r="B576" s="5"/>
      <c r="D576" s="43"/>
      <c r="E576" s="43"/>
    </row>
    <row r="577" spans="1:5">
      <c r="A577" s="5"/>
      <c r="B577" s="5"/>
      <c r="D577" s="43"/>
      <c r="E577" s="43"/>
    </row>
    <row r="578" spans="1:5">
      <c r="A578" s="5"/>
      <c r="B578" s="5"/>
      <c r="D578" s="43"/>
      <c r="E578" s="43"/>
    </row>
    <row r="579" spans="1:5">
      <c r="A579" s="5"/>
      <c r="B579" s="5"/>
      <c r="D579" s="43"/>
      <c r="E579" s="43"/>
    </row>
    <row r="580" spans="1:5">
      <c r="A580" s="5"/>
      <c r="B580" s="5"/>
      <c r="D580" s="43"/>
      <c r="E580" s="43"/>
    </row>
    <row r="581" spans="1:5">
      <c r="A581" s="5"/>
      <c r="B581" s="5"/>
      <c r="D581" s="43"/>
      <c r="E581" s="43"/>
    </row>
    <row r="582" spans="1:5">
      <c r="A582" s="5"/>
      <c r="B582" s="5"/>
      <c r="D582" s="43"/>
      <c r="E582" s="43"/>
    </row>
    <row r="583" spans="1:5">
      <c r="A583" s="5"/>
      <c r="B583" s="5"/>
      <c r="D583" s="43"/>
      <c r="E583" s="43"/>
    </row>
    <row r="584" spans="1:5">
      <c r="A584" s="5"/>
      <c r="B584" s="5"/>
      <c r="D584" s="43"/>
      <c r="E584" s="43"/>
    </row>
    <row r="585" spans="1:5">
      <c r="A585" s="5"/>
      <c r="B585" s="5"/>
      <c r="D585" s="43"/>
      <c r="E585" s="43"/>
    </row>
    <row r="586" spans="1:5">
      <c r="A586" s="5"/>
      <c r="B586" s="5"/>
      <c r="D586" s="43"/>
      <c r="E586" s="43"/>
    </row>
    <row r="587" spans="1:5">
      <c r="A587" s="5"/>
      <c r="B587" s="5"/>
      <c r="D587" s="43"/>
      <c r="E587" s="43"/>
    </row>
    <row r="588" spans="1:5">
      <c r="A588" s="5"/>
      <c r="B588" s="5"/>
      <c r="D588" s="43"/>
      <c r="E588" s="43"/>
    </row>
    <row r="589" spans="1:5">
      <c r="A589" s="5"/>
      <c r="B589" s="5"/>
      <c r="D589" s="43"/>
      <c r="E589" s="43"/>
    </row>
    <row r="590" spans="1:5">
      <c r="A590" s="5"/>
      <c r="B590" s="5"/>
      <c r="D590" s="43"/>
      <c r="E590" s="43"/>
    </row>
    <row r="591" spans="1:5">
      <c r="A591" s="5"/>
      <c r="B591" s="5"/>
      <c r="D591" s="43"/>
      <c r="E591" s="43"/>
    </row>
    <row r="592" spans="1:5">
      <c r="A592" s="5"/>
      <c r="B592" s="5"/>
      <c r="D592" s="43"/>
      <c r="E592" s="43"/>
    </row>
    <row r="593" spans="1:5">
      <c r="A593" s="5"/>
      <c r="B593" s="5"/>
      <c r="D593" s="43"/>
      <c r="E593" s="43"/>
    </row>
    <row r="594" spans="1:5">
      <c r="A594" s="5"/>
      <c r="B594" s="5"/>
      <c r="D594" s="43"/>
      <c r="E594" s="43"/>
    </row>
    <row r="595" spans="1:5">
      <c r="A595" s="5"/>
      <c r="B595" s="5"/>
      <c r="D595" s="43"/>
      <c r="E595" s="43"/>
    </row>
    <row r="596" spans="1:5">
      <c r="A596" s="5"/>
      <c r="B596" s="5"/>
      <c r="D596" s="43"/>
      <c r="E596" s="43"/>
    </row>
    <row r="597" spans="1:5">
      <c r="A597" s="5"/>
      <c r="B597" s="5"/>
      <c r="D597" s="43"/>
      <c r="E597" s="43"/>
    </row>
    <row r="598" spans="1:5">
      <c r="A598" s="5"/>
      <c r="B598" s="5"/>
      <c r="D598" s="43"/>
      <c r="E598" s="43"/>
    </row>
    <row r="599" spans="1:5">
      <c r="A599" s="5"/>
      <c r="B599" s="5"/>
      <c r="D599" s="43"/>
      <c r="E599" s="43"/>
    </row>
    <row r="600" spans="1:5">
      <c r="A600" s="5"/>
      <c r="B600" s="5"/>
      <c r="D600" s="43"/>
      <c r="E600" s="43"/>
    </row>
    <row r="601" spans="1:5">
      <c r="A601" s="5"/>
      <c r="B601" s="5"/>
      <c r="D601" s="43"/>
      <c r="E601" s="43"/>
    </row>
    <row r="602" spans="1:5">
      <c r="A602" s="5"/>
      <c r="B602" s="5"/>
      <c r="D602" s="43"/>
      <c r="E602" s="43"/>
    </row>
    <row r="603" spans="1:5">
      <c r="A603" s="5"/>
      <c r="B603" s="5"/>
      <c r="D603" s="43"/>
      <c r="E603" s="43"/>
    </row>
    <row r="604" spans="1:5">
      <c r="A604" s="5"/>
      <c r="B604" s="5"/>
      <c r="D604" s="43"/>
      <c r="E604" s="43"/>
    </row>
    <row r="605" spans="1:5">
      <c r="A605" s="5"/>
      <c r="B605" s="5"/>
      <c r="D605" s="43"/>
      <c r="E605" s="43"/>
    </row>
    <row r="606" spans="1:5">
      <c r="A606" s="5"/>
      <c r="B606" s="5"/>
      <c r="D606" s="43"/>
      <c r="E606" s="43"/>
    </row>
    <row r="607" spans="1:5">
      <c r="A607" s="5"/>
      <c r="B607" s="5"/>
      <c r="D607" s="43"/>
      <c r="E607" s="43"/>
    </row>
    <row r="608" spans="1:5">
      <c r="A608" s="5"/>
      <c r="B608" s="5"/>
      <c r="D608" s="43"/>
      <c r="E608" s="43"/>
    </row>
    <row r="609" spans="1:5">
      <c r="A609" s="5"/>
      <c r="B609" s="5"/>
      <c r="D609" s="43"/>
      <c r="E609" s="43"/>
    </row>
    <row r="610" spans="1:5">
      <c r="A610" s="5"/>
      <c r="B610" s="5"/>
      <c r="D610" s="43"/>
      <c r="E610" s="43"/>
    </row>
    <row r="611" spans="1:5">
      <c r="A611" s="5"/>
      <c r="B611" s="5"/>
      <c r="D611" s="43"/>
      <c r="E611" s="43"/>
    </row>
    <row r="612" spans="1:5">
      <c r="A612" s="5"/>
      <c r="B612" s="5"/>
      <c r="D612" s="43"/>
      <c r="E612" s="43"/>
    </row>
    <row r="613" spans="1:5">
      <c r="A613" s="5"/>
      <c r="B613" s="5"/>
      <c r="D613" s="43"/>
      <c r="E613" s="43"/>
    </row>
    <row r="614" spans="1:5">
      <c r="A614" s="5"/>
      <c r="B614" s="5"/>
      <c r="D614" s="43"/>
      <c r="E614" s="43"/>
    </row>
    <row r="615" spans="1:5">
      <c r="A615" s="5"/>
      <c r="B615" s="5"/>
      <c r="D615" s="43"/>
      <c r="E615" s="43"/>
    </row>
    <row r="616" spans="1:5">
      <c r="A616" s="5"/>
      <c r="B616" s="5"/>
      <c r="D616" s="43"/>
      <c r="E616" s="43"/>
    </row>
    <row r="617" spans="1:5">
      <c r="A617" s="5"/>
      <c r="B617" s="5"/>
      <c r="D617" s="43"/>
      <c r="E617" s="43"/>
    </row>
    <row r="618" spans="1:5">
      <c r="A618" s="5"/>
      <c r="B618" s="5"/>
      <c r="D618" s="43"/>
      <c r="E618" s="43"/>
    </row>
    <row r="619" spans="1:5">
      <c r="A619" s="5"/>
      <c r="B619" s="5"/>
      <c r="D619" s="43"/>
      <c r="E619" s="43"/>
    </row>
    <row r="620" spans="1:5">
      <c r="A620" s="5"/>
      <c r="B620" s="5"/>
      <c r="D620" s="43"/>
      <c r="E620" s="43"/>
    </row>
    <row r="621" spans="1:5">
      <c r="A621" s="5"/>
      <c r="B621" s="5"/>
      <c r="D621" s="43"/>
      <c r="E621" s="43"/>
    </row>
    <row r="622" spans="1:5">
      <c r="A622" s="5"/>
      <c r="B622" s="5"/>
      <c r="D622" s="43"/>
      <c r="E622" s="43"/>
    </row>
    <row r="623" spans="1:5">
      <c r="A623" s="5"/>
      <c r="B623" s="5"/>
      <c r="D623" s="43"/>
      <c r="E623" s="43"/>
    </row>
    <row r="624" spans="1:5">
      <c r="A624" s="5"/>
      <c r="B624" s="5"/>
      <c r="D624" s="43"/>
      <c r="E624" s="43"/>
    </row>
    <row r="625" spans="1:5">
      <c r="A625" s="5"/>
      <c r="B625" s="5"/>
      <c r="D625" s="43"/>
      <c r="E625" s="43"/>
    </row>
    <row r="626" spans="1:5">
      <c r="A626" s="5"/>
      <c r="B626" s="5"/>
      <c r="D626" s="43"/>
      <c r="E626" s="43"/>
    </row>
    <row r="627" spans="1:5">
      <c r="A627" s="5"/>
      <c r="B627" s="5"/>
      <c r="D627" s="43"/>
      <c r="E627" s="43"/>
    </row>
    <row r="628" spans="1:5">
      <c r="A628" s="5"/>
      <c r="B628" s="5"/>
      <c r="D628" s="43"/>
      <c r="E628" s="43"/>
    </row>
    <row r="629" spans="1:5">
      <c r="A629" s="5"/>
      <c r="B629" s="5"/>
      <c r="D629" s="43"/>
      <c r="E629" s="43"/>
    </row>
    <row r="630" spans="1:5">
      <c r="A630" s="5"/>
      <c r="B630" s="5"/>
      <c r="D630" s="43"/>
      <c r="E630" s="43"/>
    </row>
    <row r="631" spans="1:5">
      <c r="A631" s="5"/>
      <c r="B631" s="5"/>
      <c r="D631" s="43"/>
      <c r="E631" s="43"/>
    </row>
    <row r="632" spans="1:5">
      <c r="A632" s="5"/>
      <c r="B632" s="5"/>
      <c r="D632" s="43"/>
      <c r="E632" s="43"/>
    </row>
    <row r="633" spans="1:5">
      <c r="A633" s="5"/>
      <c r="B633" s="5"/>
      <c r="D633" s="43"/>
      <c r="E633" s="43"/>
    </row>
    <row r="634" spans="1:5">
      <c r="A634" s="5"/>
      <c r="B634" s="5"/>
      <c r="D634" s="43"/>
      <c r="E634" s="43"/>
    </row>
    <row r="635" spans="1:5">
      <c r="A635" s="5"/>
      <c r="B635" s="5"/>
      <c r="D635" s="43"/>
      <c r="E635" s="43"/>
    </row>
    <row r="636" spans="1:5">
      <c r="A636" s="5"/>
      <c r="B636" s="5"/>
      <c r="D636" s="43"/>
      <c r="E636" s="43"/>
    </row>
    <row r="637" spans="1:5">
      <c r="A637" s="5"/>
      <c r="B637" s="5"/>
      <c r="D637" s="43"/>
      <c r="E637" s="43"/>
    </row>
    <row r="638" spans="1:5">
      <c r="A638" s="5"/>
      <c r="B638" s="5"/>
      <c r="D638" s="43"/>
      <c r="E638" s="43"/>
    </row>
    <row r="639" spans="1:5">
      <c r="A639" s="5"/>
      <c r="B639" s="5"/>
      <c r="D639" s="43"/>
      <c r="E639" s="43"/>
    </row>
    <row r="640" spans="1:5">
      <c r="A640" s="5"/>
      <c r="B640" s="5"/>
      <c r="D640" s="43"/>
      <c r="E640" s="43"/>
    </row>
    <row r="641" spans="1:5">
      <c r="A641" s="5"/>
      <c r="B641" s="5"/>
      <c r="D641" s="43"/>
      <c r="E641" s="43"/>
    </row>
    <row r="642" spans="1:5">
      <c r="A642" s="5"/>
      <c r="B642" s="5"/>
      <c r="D642" s="43"/>
      <c r="E642" s="43"/>
    </row>
    <row r="643" spans="1:5">
      <c r="A643" s="5"/>
      <c r="B643" s="5"/>
      <c r="D643" s="43"/>
      <c r="E643" s="43"/>
    </row>
    <row r="644" spans="1:5">
      <c r="A644" s="5"/>
      <c r="B644" s="5"/>
      <c r="D644" s="43"/>
      <c r="E644" s="43"/>
    </row>
    <row r="645" spans="1:5">
      <c r="A645" s="5"/>
      <c r="B645" s="5"/>
      <c r="D645" s="43"/>
      <c r="E645" s="43"/>
    </row>
    <row r="646" spans="1:5">
      <c r="A646" s="5"/>
      <c r="B646" s="5"/>
      <c r="D646" s="43"/>
      <c r="E646" s="43"/>
    </row>
    <row r="647" spans="1:5">
      <c r="A647" s="5"/>
      <c r="B647" s="5"/>
      <c r="D647" s="43"/>
      <c r="E647" s="43"/>
    </row>
    <row r="648" spans="1:5">
      <c r="A648" s="5"/>
      <c r="B648" s="5"/>
      <c r="D648" s="43"/>
      <c r="E648" s="43"/>
    </row>
    <row r="649" spans="1:5">
      <c r="A649" s="5"/>
      <c r="B649" s="5"/>
      <c r="D649" s="43"/>
      <c r="E649" s="43"/>
    </row>
    <row r="650" spans="1:5">
      <c r="A650" s="5"/>
      <c r="B650" s="5"/>
      <c r="D650" s="43"/>
      <c r="E650" s="43"/>
    </row>
    <row r="651" spans="1:5">
      <c r="A651" s="5"/>
      <c r="B651" s="5"/>
      <c r="D651" s="43"/>
      <c r="E651" s="43"/>
    </row>
    <row r="652" spans="1:5">
      <c r="A652" s="5"/>
      <c r="B652" s="5"/>
      <c r="D652" s="43"/>
      <c r="E652" s="43"/>
    </row>
    <row r="653" spans="1:5">
      <c r="A653" s="5"/>
      <c r="B653" s="5"/>
      <c r="D653" s="43"/>
      <c r="E653" s="43"/>
    </row>
    <row r="654" spans="1:5">
      <c r="A654" s="5"/>
      <c r="B654" s="5"/>
      <c r="D654" s="43"/>
      <c r="E654" s="43"/>
    </row>
    <row r="655" spans="1:5">
      <c r="A655" s="5"/>
      <c r="B655" s="5"/>
      <c r="D655" s="43"/>
      <c r="E655" s="43"/>
    </row>
    <row r="656" spans="1:5">
      <c r="A656" s="5"/>
      <c r="B656" s="5"/>
      <c r="D656" s="43"/>
      <c r="E656" s="43"/>
    </row>
    <row r="657" spans="1:5">
      <c r="A657" s="5"/>
      <c r="B657" s="5"/>
      <c r="D657" s="43"/>
      <c r="E657" s="43"/>
    </row>
    <row r="658" spans="1:5">
      <c r="A658" s="5"/>
      <c r="B658" s="5"/>
      <c r="D658" s="43"/>
      <c r="E658" s="43"/>
    </row>
    <row r="659" spans="1:5">
      <c r="A659" s="5"/>
      <c r="B659" s="5"/>
      <c r="D659" s="43"/>
      <c r="E659" s="43"/>
    </row>
    <row r="660" spans="1:5">
      <c r="A660" s="5"/>
      <c r="B660" s="5"/>
      <c r="D660" s="43"/>
      <c r="E660" s="43"/>
    </row>
    <row r="661" spans="1:5">
      <c r="A661" s="5"/>
      <c r="B661" s="5"/>
      <c r="D661" s="43"/>
      <c r="E661" s="43"/>
    </row>
    <row r="662" spans="1:5">
      <c r="A662" s="5"/>
      <c r="B662" s="5"/>
      <c r="D662" s="43"/>
      <c r="E662" s="43"/>
    </row>
    <row r="663" spans="1:5">
      <c r="A663" s="5"/>
      <c r="B663" s="5"/>
      <c r="D663" s="43"/>
      <c r="E663" s="43"/>
    </row>
    <row r="664" spans="1:5">
      <c r="A664" s="5"/>
      <c r="B664" s="5"/>
      <c r="D664" s="43"/>
      <c r="E664" s="43"/>
    </row>
    <row r="665" spans="1:5">
      <c r="A665" s="5"/>
      <c r="B665" s="5"/>
      <c r="D665" s="43"/>
      <c r="E665" s="43"/>
    </row>
    <row r="666" spans="1:5">
      <c r="A666" s="5"/>
      <c r="B666" s="5"/>
      <c r="D666" s="43"/>
      <c r="E666" s="43"/>
    </row>
    <row r="667" spans="1:5">
      <c r="A667" s="5"/>
      <c r="B667" s="5"/>
      <c r="D667" s="43"/>
      <c r="E667" s="43"/>
    </row>
  </sheetData>
  <customSheetViews>
    <customSheetView guid="{4FEDB3BD-111A-4B7D-AA97-E67173A5F707}" showPageBreaks="1" printArea="1" hiddenColumns="1" view="pageBreakPreview" showRuler="0" topLeftCell="A15">
      <selection activeCell="I18" sqref="I18"/>
      <pageMargins left="0.5" right="0.5" top="1" bottom="1" header="0.5" footer="0.5"/>
      <printOptions horizontalCentered="1"/>
      <pageSetup fitToHeight="0" orientation="landscape" r:id="rId1"/>
      <headerFooter alignWithMargins="0">
        <oddHeader xml:space="preserve">&amp;C&amp;"Arial,Bold"&amp;12&amp;UProject Activity 7: Utilities
</oddHeader>
        <oddFooter>Page &amp;P of &amp;N</oddFooter>
      </headerFooter>
    </customSheetView>
    <customSheetView guid="{D5FFA8DD-F2DB-47F2-B4D2-3681726B2E8F}" showPageBreaks="1" printArea="1" hiddenColumns="1" view="pageBreakPreview" showRuler="0" topLeftCell="A13">
      <selection activeCell="C3" sqref="C3:P3"/>
      <pageMargins left="0.5" right="0.5" top="1" bottom="1" header="0.5" footer="0.5"/>
      <printOptions horizontalCentered="1"/>
      <pageSetup fitToHeight="0" orientation="landscape" r:id="rId2"/>
      <headerFooter alignWithMargins="0">
        <oddHeader xml:space="preserve">&amp;C&amp;"Arial,Bold"&amp;12&amp;UProject Activity 7: Utilities
</oddHeader>
        <oddFooter>Page &amp;P of &amp;N</oddFooter>
      </headerFooter>
    </customSheetView>
    <customSheetView guid="{EFE02F7B-3837-4B0F-9646-ADE249504E9F}" showPageBreaks="1" printArea="1" hiddenColumns="1" view="pageBreakPreview" showRuler="0" topLeftCell="A17">
      <selection activeCell="I18" sqref="I18"/>
      <pageMargins left="0.5" right="0.5" top="1" bottom="1" header="0.5" footer="0.5"/>
      <printOptions horizontalCentered="1"/>
      <pageSetup fitToHeight="0" orientation="landscape" r:id="rId3"/>
      <headerFooter alignWithMargins="0">
        <oddHeader xml:space="preserve">&amp;C&amp;"Arial,Bold"&amp;12&amp;UProject Activity 7: Utilities
</oddHeader>
        <oddFooter>Page &amp;P of &amp;N</oddFooter>
      </headerFooter>
    </customSheetView>
    <customSheetView guid="{053BE130-58A3-4F3B-945A-C2EFB15C6264}" showPageBreaks="1" printArea="1" hiddenColumns="1" view="pageBreakPreview" showRuler="0" topLeftCell="A14">
      <selection activeCell="B2" sqref="B2"/>
      <pageMargins left="0.5" right="0.5" top="1" bottom="1" header="0.5" footer="0.5"/>
      <printOptions horizontalCentered="1"/>
      <pageSetup fitToHeight="0" orientation="landscape" r:id="rId4"/>
      <headerFooter alignWithMargins="0">
        <oddHeader xml:space="preserve">&amp;C&amp;"Arial,Bold"&amp;12&amp;UProject Activity 7: Utilities
</oddHeader>
        <oddFooter>Page &amp;P of &amp;N</oddFooter>
      </headerFooter>
    </customSheetView>
    <customSheetView guid="{F5DBE5B9-A9E4-4030-888B-08F930ECBB74}" showPageBreaks="1" printArea="1" hiddenColumns="1" view="pageBreakPreview" showRuler="0" topLeftCell="A17">
      <selection activeCell="I18" sqref="I18"/>
      <pageMargins left="0.5" right="0.5" top="1" bottom="1" header="0.5" footer="0.5"/>
      <printOptions horizontalCentered="1"/>
      <pageSetup fitToHeight="0" orientation="landscape" r:id="rId5"/>
      <headerFooter alignWithMargins="0">
        <oddHeader xml:space="preserve">&amp;C&amp;"Arial,Bold"&amp;12&amp;UProject Activity 7: Utilities
</oddHeader>
        <oddFooter>Page &amp;P of &amp;N</oddFooter>
      </headerFooter>
    </customSheetView>
    <customSheetView guid="{960FB4AF-B150-4523-972C-3F7C93F049F3}" showPageBreaks="1" printArea="1" hiddenColumns="1" view="pageBreakPreview" showRuler="0" topLeftCell="A15">
      <selection activeCell="I18" sqref="I18"/>
      <pageMargins left="0.5" right="0.5" top="1" bottom="1" header="0.5" footer="0.5"/>
      <printOptions horizontalCentered="1"/>
      <pageSetup fitToHeight="0" orientation="landscape" r:id="rId6"/>
      <headerFooter alignWithMargins="0">
        <oddHeader xml:space="preserve">&amp;C&amp;"Arial,Bold"&amp;12&amp;UProject Activity 7: Utilities
</oddHeader>
        <oddFooter>Page &amp;P of &amp;N</oddFooter>
      </headerFooter>
    </customSheetView>
    <customSheetView guid="{DF3BD4C9-2986-4236-8E90-D96736404377}" showPageBreaks="1" printArea="1" hiddenColumns="1" view="pageBreakPreview" showRuler="0" topLeftCell="A15">
      <selection activeCell="I18" sqref="I18"/>
      <pageMargins left="0.5" right="0.5" top="1" bottom="1" header="0.5" footer="0.5"/>
      <printOptions horizontalCentered="1"/>
      <pageSetup fitToHeight="0" orientation="landscape" r:id="rId7"/>
      <headerFooter alignWithMargins="0">
        <oddHeader xml:space="preserve">&amp;C&amp;"Arial,Bold"&amp;12&amp;UProject Activity 7: Utilities
</oddHeader>
        <oddFooter>Page &amp;P of &amp;N</oddFooter>
      </headerFooter>
    </customSheetView>
  </customSheetViews>
  <mergeCells count="1">
    <mergeCell ref="A1:E1"/>
  </mergeCells>
  <phoneticPr fontId="0" type="noConversion"/>
  <printOptions horizontalCentered="1" verticalCentered="1"/>
  <pageMargins left="0.75" right="0.75" top="1" bottom="1" header="0.5" footer="0.5"/>
  <pageSetup scale="85" fitToHeight="0" orientation="landscape" r:id="rId8"/>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N63"/>
  <sheetViews>
    <sheetView view="pageBreakPreview" zoomScale="115" zoomScaleNormal="100" zoomScaleSheetLayoutView="115" workbookViewId="0"/>
  </sheetViews>
  <sheetFormatPr defaultColWidth="9.109375" defaultRowHeight="13.2"/>
  <cols>
    <col min="1" max="1" width="118.33203125" style="119" customWidth="1"/>
    <col min="2" max="16384" width="9.109375" style="88"/>
  </cols>
  <sheetData>
    <row r="1" spans="1:14">
      <c r="A1" s="139" t="s">
        <v>2418</v>
      </c>
    </row>
    <row r="2" spans="1:14">
      <c r="N2" s="88" t="s">
        <v>596</v>
      </c>
    </row>
    <row r="3" spans="1:14" ht="107.25" customHeight="1">
      <c r="A3" s="119" t="s">
        <v>2142</v>
      </c>
    </row>
    <row r="5" spans="1:14" ht="39.6">
      <c r="A5" s="498" t="s">
        <v>2143</v>
      </c>
    </row>
    <row r="7" spans="1:14" ht="52.8">
      <c r="A7" s="119" t="s">
        <v>2144</v>
      </c>
    </row>
    <row r="9" spans="1:14" ht="39.75" customHeight="1">
      <c r="A9" s="139" t="s">
        <v>892</v>
      </c>
    </row>
    <row r="11" spans="1:14">
      <c r="A11" s="49" t="s">
        <v>893</v>
      </c>
    </row>
    <row r="12" spans="1:14">
      <c r="A12" s="49" t="s">
        <v>894</v>
      </c>
    </row>
    <row r="13" spans="1:14">
      <c r="A13" s="49" t="s">
        <v>355</v>
      </c>
    </row>
    <row r="14" spans="1:14">
      <c r="A14" s="49" t="s">
        <v>356</v>
      </c>
    </row>
    <row r="15" spans="1:14">
      <c r="A15" s="49" t="s">
        <v>431</v>
      </c>
    </row>
    <row r="16" spans="1:14">
      <c r="A16" s="49" t="s">
        <v>432</v>
      </c>
    </row>
    <row r="18" spans="1:1">
      <c r="A18" s="119" t="s">
        <v>269</v>
      </c>
    </row>
    <row r="19" spans="1:1">
      <c r="A19" s="49" t="s">
        <v>2419</v>
      </c>
    </row>
    <row r="20" spans="1:1">
      <c r="A20" s="49" t="s">
        <v>2145</v>
      </c>
    </row>
    <row r="21" spans="1:1">
      <c r="A21" s="49" t="s">
        <v>433</v>
      </c>
    </row>
    <row r="22" spans="1:1">
      <c r="A22" s="49" t="s">
        <v>2420</v>
      </c>
    </row>
    <row r="23" spans="1:1">
      <c r="A23" s="499" t="s">
        <v>2381</v>
      </c>
    </row>
    <row r="24" spans="1:1">
      <c r="A24" s="49" t="s">
        <v>434</v>
      </c>
    </row>
    <row r="26" spans="1:1" ht="38.25" customHeight="1">
      <c r="A26" s="139" t="s">
        <v>2344</v>
      </c>
    </row>
    <row r="28" spans="1:1">
      <c r="A28" s="49" t="s">
        <v>435</v>
      </c>
    </row>
    <row r="29" spans="1:1">
      <c r="A29" s="49" t="s">
        <v>436</v>
      </c>
    </row>
    <row r="30" spans="1:1">
      <c r="A30" s="49" t="s">
        <v>437</v>
      </c>
    </row>
    <row r="31" spans="1:1">
      <c r="A31" s="49" t="s">
        <v>2421</v>
      </c>
    </row>
    <row r="32" spans="1:1">
      <c r="A32" s="49" t="s">
        <v>111</v>
      </c>
    </row>
    <row r="33" spans="1:2">
      <c r="A33" s="49" t="s">
        <v>2345</v>
      </c>
    </row>
    <row r="35" spans="1:2">
      <c r="A35" s="119" t="s">
        <v>269</v>
      </c>
    </row>
    <row r="36" spans="1:2">
      <c r="A36" s="49" t="s">
        <v>2422</v>
      </c>
    </row>
    <row r="37" spans="1:2">
      <c r="A37" s="49" t="s">
        <v>1677</v>
      </c>
    </row>
    <row r="38" spans="1:2">
      <c r="A38" s="49" t="s">
        <v>2146</v>
      </c>
    </row>
    <row r="39" spans="1:2">
      <c r="A39" s="49" t="s">
        <v>112</v>
      </c>
    </row>
    <row r="40" spans="1:2">
      <c r="A40" s="49" t="s">
        <v>2420</v>
      </c>
    </row>
    <row r="41" spans="1:2">
      <c r="A41" s="49" t="s">
        <v>2423</v>
      </c>
    </row>
    <row r="42" spans="1:2">
      <c r="A42" s="49" t="s">
        <v>434</v>
      </c>
    </row>
    <row r="43" spans="1:2">
      <c r="A43" s="499" t="s">
        <v>2346</v>
      </c>
    </row>
    <row r="44" spans="1:2">
      <c r="A44" s="119" t="s">
        <v>2440</v>
      </c>
    </row>
    <row r="45" spans="1:2" ht="39.6">
      <c r="A45" s="139" t="s">
        <v>2349</v>
      </c>
      <c r="B45" s="172"/>
    </row>
    <row r="47" spans="1:2">
      <c r="A47" s="49" t="s">
        <v>373</v>
      </c>
    </row>
    <row r="48" spans="1:2">
      <c r="A48" s="49" t="s">
        <v>374</v>
      </c>
    </row>
    <row r="49" spans="1:1">
      <c r="A49" s="49" t="s">
        <v>435</v>
      </c>
    </row>
    <row r="50" spans="1:1">
      <c r="A50" s="49" t="s">
        <v>375</v>
      </c>
    </row>
    <row r="51" spans="1:1">
      <c r="A51" s="49" t="s">
        <v>437</v>
      </c>
    </row>
    <row r="52" spans="1:1">
      <c r="A52" s="49" t="s">
        <v>376</v>
      </c>
    </row>
    <row r="54" spans="1:1">
      <c r="A54" s="119" t="s">
        <v>269</v>
      </c>
    </row>
    <row r="55" spans="1:1">
      <c r="A55" s="49" t="s">
        <v>2422</v>
      </c>
    </row>
    <row r="56" spans="1:1">
      <c r="A56" s="499" t="s">
        <v>1074</v>
      </c>
    </row>
    <row r="57" spans="1:1">
      <c r="A57" s="49" t="s">
        <v>2347</v>
      </c>
    </row>
    <row r="58" spans="1:1">
      <c r="A58" s="49" t="s">
        <v>377</v>
      </c>
    </row>
    <row r="59" spans="1:1">
      <c r="A59" s="49" t="s">
        <v>2420</v>
      </c>
    </row>
    <row r="60" spans="1:1">
      <c r="A60" s="49" t="s">
        <v>2423</v>
      </c>
    </row>
    <row r="61" spans="1:1">
      <c r="A61" s="499" t="s">
        <v>1075</v>
      </c>
    </row>
    <row r="62" spans="1:1">
      <c r="A62" s="49" t="s">
        <v>2348</v>
      </c>
    </row>
    <row r="63" spans="1:1">
      <c r="A63" s="499" t="s">
        <v>2424</v>
      </c>
    </row>
  </sheetData>
  <customSheetViews>
    <customSheetView guid="{4FEDB3BD-111A-4B7D-AA97-E67173A5F707}" showPageBreaks="1" printArea="1" view="pageBreakPreview" showRuler="0" topLeftCell="A29">
      <selection activeCell="A55" sqref="A1:A55"/>
      <rowBreaks count="1" manualBreakCount="1">
        <brk id="22" max="16383" man="1"/>
      </rowBreaks>
      <pageMargins left="0.75" right="0.75" top="1" bottom="1" header="0.5" footer="0.5"/>
      <pageSetup orientation="landscape" r:id="rId1"/>
      <headerFooter alignWithMargins="0">
        <oddFooter>&amp;CPage &amp;P of &amp;N</oddFooter>
      </headerFooter>
    </customSheetView>
    <customSheetView guid="{D5FFA8DD-F2DB-47F2-B4D2-3681726B2E8F}" showPageBreaks="1" printArea="1" view="pageBreakPreview" showRuler="0" topLeftCell="A28">
      <selection activeCell="C3" sqref="C3:P3"/>
      <rowBreaks count="1" manualBreakCount="1">
        <brk id="22" max="16383" man="1"/>
      </rowBreaks>
      <pageMargins left="0.75" right="0.75" top="1" bottom="1" header="0.5" footer="0.5"/>
      <pageSetup orientation="landscape" r:id="rId2"/>
      <headerFooter alignWithMargins="0">
        <oddFooter>&amp;CPage &amp;P of &amp;N</oddFooter>
      </headerFooter>
    </customSheetView>
    <customSheetView guid="{EFE02F7B-3837-4B0F-9646-ADE249504E9F}" showRuler="0">
      <selection activeCell="A9" sqref="A9"/>
      <rowBreaks count="1" manualBreakCount="1">
        <brk id="22" max="16383" man="1"/>
      </rowBreaks>
      <pageMargins left="0.75" right="0.75" top="1" bottom="1" header="0.5" footer="0.5"/>
      <pageSetup orientation="landscape" r:id="rId3"/>
      <headerFooter alignWithMargins="0">
        <oddFooter>&amp;CPage &amp;P of &amp;N</oddFooter>
      </headerFooter>
    </customSheetView>
    <customSheetView guid="{053BE130-58A3-4F3B-945A-C2EFB15C6264}" showRuler="0">
      <selection activeCell="A9" sqref="A9"/>
      <rowBreaks count="1" manualBreakCount="1">
        <brk id="22" max="16383" man="1"/>
      </rowBreaks>
      <pageMargins left="0.75" right="0.75" top="1" bottom="1" header="0.5" footer="0.5"/>
      <pageSetup orientation="landscape" r:id="rId4"/>
      <headerFooter alignWithMargins="0">
        <oddFooter>&amp;CPage &amp;P of &amp;N</oddFooter>
      </headerFooter>
    </customSheetView>
    <customSheetView guid="{F5DBE5B9-A9E4-4030-888B-08F930ECBB74}" showPageBreaks="1" showRuler="0">
      <selection activeCell="A9" sqref="A9"/>
      <rowBreaks count="1" manualBreakCount="1">
        <brk id="22" max="16383" man="1"/>
      </rowBreaks>
      <pageMargins left="0.75" right="0.75" top="1" bottom="1" header="0.5" footer="0.5"/>
      <pageSetup orientation="landscape" r:id="rId5"/>
      <headerFooter alignWithMargins="0">
        <oddFooter>&amp;CPage &amp;P of &amp;N</oddFooter>
      </headerFooter>
    </customSheetView>
    <customSheetView guid="{960FB4AF-B150-4523-972C-3F7C93F049F3}" showPageBreaks="1" printArea="1" view="pageBreakPreview" showRuler="0" topLeftCell="A29">
      <selection activeCell="A55" sqref="A1:A55"/>
      <rowBreaks count="1" manualBreakCount="1">
        <brk id="22" max="16383" man="1"/>
      </rowBreaks>
      <pageMargins left="0.75" right="0.75" top="1" bottom="1" header="0.5" footer="0.5"/>
      <pageSetup orientation="landscape" r:id="rId6"/>
      <headerFooter alignWithMargins="0">
        <oddFooter>&amp;CPage &amp;P of &amp;N</oddFooter>
      </headerFooter>
    </customSheetView>
    <customSheetView guid="{DF3BD4C9-2986-4236-8E90-D96736404377}" showPageBreaks="1" printArea="1" view="pageBreakPreview" showRuler="0" topLeftCell="A29">
      <selection activeCell="A55" sqref="A1:A55"/>
      <rowBreaks count="1" manualBreakCount="1">
        <brk id="22" max="16383" man="1"/>
      </rowBreaks>
      <pageMargins left="0.75" right="0.75" top="1" bottom="1" header="0.5" footer="0.5"/>
      <pageSetup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scale="90" orientation="landscape" r:id="rId8"/>
  <headerFooter alignWithMargins="0"/>
  <rowBreaks count="1" manualBreakCount="1">
    <brk id="25" max="1638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E700"/>
  <sheetViews>
    <sheetView showGridLines="0" zoomScaleNormal="100" zoomScaleSheetLayoutView="115" workbookViewId="0">
      <selection sqref="A1:E1"/>
    </sheetView>
  </sheetViews>
  <sheetFormatPr defaultColWidth="9.109375" defaultRowHeight="15.6"/>
  <cols>
    <col min="1" max="1" width="6.88671875" style="171" bestFit="1" customWidth="1"/>
    <col min="2" max="2" width="31.33203125" style="8" customWidth="1"/>
    <col min="3" max="3" width="9.44140625" style="167" customWidth="1"/>
    <col min="4" max="4" width="16.6640625" style="44" customWidth="1"/>
    <col min="5" max="5" width="68.33203125" style="44" customWidth="1"/>
    <col min="6" max="16384" width="9.109375" style="167"/>
  </cols>
  <sheetData>
    <row r="1" spans="1:5" ht="24.9" customHeight="1">
      <c r="A1" s="930" t="s">
        <v>2404</v>
      </c>
      <c r="B1" s="931"/>
      <c r="C1" s="931"/>
      <c r="D1" s="931"/>
      <c r="E1" s="932"/>
    </row>
    <row r="2" spans="1:5" ht="31.8" thickBot="1">
      <c r="A2" s="143" t="s">
        <v>385</v>
      </c>
      <c r="B2" s="144" t="s">
        <v>844</v>
      </c>
      <c r="C2" s="144" t="s">
        <v>984</v>
      </c>
      <c r="D2" s="144" t="s">
        <v>1069</v>
      </c>
      <c r="E2" s="145" t="s">
        <v>1070</v>
      </c>
    </row>
    <row r="3" spans="1:5" s="172" customFormat="1" ht="20.100000000000001" customHeight="1">
      <c r="A3" s="173"/>
      <c r="B3" s="174" t="s">
        <v>2425</v>
      </c>
      <c r="C3" s="175"/>
      <c r="D3" s="175"/>
      <c r="E3" s="176"/>
    </row>
    <row r="4" spans="1:5" ht="96.6">
      <c r="A4" s="155">
        <v>8.1</v>
      </c>
      <c r="B4" s="461" t="s">
        <v>966</v>
      </c>
      <c r="C4" s="160" t="s">
        <v>982</v>
      </c>
      <c r="D4" s="266" t="s">
        <v>814</v>
      </c>
      <c r="E4" s="301" t="s">
        <v>3089</v>
      </c>
    </row>
    <row r="5" spans="1:5" s="615" customFormat="1" ht="20.100000000000001" customHeight="1">
      <c r="A5" s="173"/>
      <c r="B5" s="174" t="s">
        <v>1928</v>
      </c>
      <c r="C5" s="175"/>
      <c r="D5" s="175"/>
      <c r="E5" s="176"/>
    </row>
    <row r="6" spans="1:5">
      <c r="A6" s="500" t="s">
        <v>2147</v>
      </c>
      <c r="B6" s="935" t="s">
        <v>1834</v>
      </c>
      <c r="C6" s="940"/>
      <c r="D6" s="940"/>
      <c r="E6" s="941"/>
    </row>
    <row r="7" spans="1:5" ht="41.4">
      <c r="A7" s="409" t="s">
        <v>2148</v>
      </c>
      <c r="B7" s="163" t="s">
        <v>1835</v>
      </c>
      <c r="C7" s="501" t="s">
        <v>2171</v>
      </c>
      <c r="D7" s="609" t="s">
        <v>282</v>
      </c>
      <c r="E7" s="149" t="s">
        <v>2734</v>
      </c>
    </row>
    <row r="8" spans="1:5" ht="96.6">
      <c r="A8" s="409" t="s">
        <v>2149</v>
      </c>
      <c r="B8" s="461" t="s">
        <v>967</v>
      </c>
      <c r="C8" s="160" t="s">
        <v>982</v>
      </c>
      <c r="D8" s="266" t="s">
        <v>279</v>
      </c>
      <c r="E8" s="149" t="s">
        <v>2634</v>
      </c>
    </row>
    <row r="9" spans="1:5" ht="96.6">
      <c r="A9" s="409" t="s">
        <v>2150</v>
      </c>
      <c r="B9" s="163" t="s">
        <v>1836</v>
      </c>
      <c r="C9" s="160" t="s">
        <v>982</v>
      </c>
      <c r="D9" s="266" t="s">
        <v>1071</v>
      </c>
      <c r="E9" s="149" t="s">
        <v>2408</v>
      </c>
    </row>
    <row r="10" spans="1:5" ht="27.6">
      <c r="A10" s="409" t="s">
        <v>2151</v>
      </c>
      <c r="B10" s="461" t="s">
        <v>285</v>
      </c>
      <c r="C10" s="160" t="s">
        <v>982</v>
      </c>
      <c r="D10" s="266" t="s">
        <v>584</v>
      </c>
      <c r="E10" s="149" t="s">
        <v>2172</v>
      </c>
    </row>
    <row r="11" spans="1:5">
      <c r="A11" s="500" t="s">
        <v>2152</v>
      </c>
      <c r="B11" s="935" t="s">
        <v>550</v>
      </c>
      <c r="C11" s="936"/>
      <c r="D11" s="936"/>
      <c r="E11" s="937"/>
    </row>
    <row r="12" spans="1:5" ht="207">
      <c r="A12" s="409" t="s">
        <v>2153</v>
      </c>
      <c r="B12" s="461" t="s">
        <v>1837</v>
      </c>
      <c r="C12" s="160" t="s">
        <v>982</v>
      </c>
      <c r="D12" s="266" t="s">
        <v>280</v>
      </c>
      <c r="E12" s="149" t="s">
        <v>3091</v>
      </c>
    </row>
    <row r="13" spans="1:5" ht="151.80000000000001">
      <c r="A13" s="409" t="s">
        <v>2154</v>
      </c>
      <c r="B13" s="461" t="s">
        <v>1838</v>
      </c>
      <c r="C13" s="160" t="s">
        <v>982</v>
      </c>
      <c r="D13" s="266" t="s">
        <v>1071</v>
      </c>
      <c r="E13" s="502" t="s">
        <v>3092</v>
      </c>
    </row>
    <row r="14" spans="1:5" ht="69">
      <c r="A14" s="409" t="s">
        <v>2155</v>
      </c>
      <c r="B14" s="461" t="s">
        <v>2355</v>
      </c>
      <c r="C14" s="160" t="s">
        <v>982</v>
      </c>
      <c r="D14" s="266" t="s">
        <v>281</v>
      </c>
      <c r="E14" s="582" t="s">
        <v>2783</v>
      </c>
    </row>
    <row r="15" spans="1:5">
      <c r="A15" s="500" t="s">
        <v>2156</v>
      </c>
      <c r="B15" s="935" t="s">
        <v>2631</v>
      </c>
      <c r="C15" s="940"/>
      <c r="D15" s="940"/>
      <c r="E15" s="941"/>
    </row>
    <row r="16" spans="1:5" ht="55.2">
      <c r="A16" s="500" t="s">
        <v>2582</v>
      </c>
      <c r="B16" s="461" t="s">
        <v>2583</v>
      </c>
      <c r="C16" s="160" t="s">
        <v>982</v>
      </c>
      <c r="D16" s="266" t="s">
        <v>2609</v>
      </c>
      <c r="E16" s="149" t="s">
        <v>2610</v>
      </c>
    </row>
    <row r="17" spans="1:5" ht="55.2">
      <c r="A17" s="500" t="s">
        <v>2584</v>
      </c>
      <c r="B17" s="461" t="s">
        <v>2604</v>
      </c>
      <c r="C17" s="160" t="s">
        <v>982</v>
      </c>
      <c r="D17" s="266" t="s">
        <v>281</v>
      </c>
      <c r="E17" s="149" t="s">
        <v>2610</v>
      </c>
    </row>
    <row r="18" spans="1:5" ht="55.2">
      <c r="A18" s="409" t="s">
        <v>2157</v>
      </c>
      <c r="B18" s="461" t="s">
        <v>2427</v>
      </c>
      <c r="C18" s="160" t="s">
        <v>982</v>
      </c>
      <c r="D18" s="266" t="s">
        <v>584</v>
      </c>
      <c r="E18" s="149" t="s">
        <v>2173</v>
      </c>
    </row>
    <row r="19" spans="1:5" s="168" customFormat="1" ht="41.4">
      <c r="A19" s="409" t="s">
        <v>2158</v>
      </c>
      <c r="B19" s="461" t="s">
        <v>551</v>
      </c>
      <c r="C19" s="161" t="s">
        <v>982</v>
      </c>
      <c r="D19" s="266" t="s">
        <v>534</v>
      </c>
      <c r="E19" s="582" t="s">
        <v>1942</v>
      </c>
    </row>
    <row r="20" spans="1:5" ht="58.2" customHeight="1">
      <c r="A20" s="409" t="s">
        <v>2159</v>
      </c>
      <c r="B20" s="461" t="s">
        <v>2569</v>
      </c>
      <c r="C20" s="160" t="s">
        <v>982</v>
      </c>
      <c r="D20" s="266" t="s">
        <v>1071</v>
      </c>
      <c r="E20" s="149" t="s">
        <v>2426</v>
      </c>
    </row>
    <row r="21" spans="1:5" ht="41.4">
      <c r="A21" s="409" t="s">
        <v>2160</v>
      </c>
      <c r="B21" s="461" t="s">
        <v>2356</v>
      </c>
      <c r="C21" s="160" t="s">
        <v>982</v>
      </c>
      <c r="D21" s="266" t="s">
        <v>1071</v>
      </c>
      <c r="E21" s="582" t="s">
        <v>3090</v>
      </c>
    </row>
    <row r="22" spans="1:5" ht="69">
      <c r="A22" s="409" t="s">
        <v>2161</v>
      </c>
      <c r="B22" s="461" t="s">
        <v>552</v>
      </c>
      <c r="C22" s="160" t="s">
        <v>982</v>
      </c>
      <c r="D22" s="266" t="s">
        <v>584</v>
      </c>
      <c r="E22" s="149" t="s">
        <v>2174</v>
      </c>
    </row>
    <row r="23" spans="1:5" ht="55.2">
      <c r="A23" s="503" t="s">
        <v>2162</v>
      </c>
      <c r="B23" s="461" t="s">
        <v>2632</v>
      </c>
      <c r="C23" s="160" t="s">
        <v>982</v>
      </c>
      <c r="D23" s="266" t="s">
        <v>1071</v>
      </c>
      <c r="E23" s="149" t="s">
        <v>2633</v>
      </c>
    </row>
    <row r="24" spans="1:5" ht="41.4">
      <c r="A24" s="503" t="s">
        <v>3093</v>
      </c>
      <c r="B24" s="461" t="s">
        <v>278</v>
      </c>
      <c r="C24" s="160" t="s">
        <v>982</v>
      </c>
      <c r="D24" s="266" t="s">
        <v>1071</v>
      </c>
      <c r="E24" s="149" t="s">
        <v>566</v>
      </c>
    </row>
    <row r="25" spans="1:5" ht="20.100000000000001" customHeight="1">
      <c r="A25" s="164"/>
      <c r="B25" s="938" t="s">
        <v>2396</v>
      </c>
      <c r="C25" s="938"/>
      <c r="D25" s="938"/>
      <c r="E25" s="939"/>
    </row>
    <row r="26" spans="1:5" ht="32.25" customHeight="1">
      <c r="A26" s="712">
        <v>8.14</v>
      </c>
      <c r="B26" s="935" t="s">
        <v>3212</v>
      </c>
      <c r="C26" s="936"/>
      <c r="D26" s="936"/>
      <c r="E26" s="937"/>
    </row>
    <row r="27" spans="1:5" ht="27.6">
      <c r="A27" s="183" t="s">
        <v>2163</v>
      </c>
      <c r="B27" s="461" t="s">
        <v>2397</v>
      </c>
      <c r="C27" s="160" t="s">
        <v>982</v>
      </c>
      <c r="D27" s="266" t="s">
        <v>584</v>
      </c>
      <c r="E27" s="149" t="s">
        <v>293</v>
      </c>
    </row>
    <row r="28" spans="1:5" ht="27.6">
      <c r="A28" s="183" t="s">
        <v>2164</v>
      </c>
      <c r="B28" s="461" t="s">
        <v>2428</v>
      </c>
      <c r="C28" s="160" t="s">
        <v>982</v>
      </c>
      <c r="D28" s="266" t="s">
        <v>282</v>
      </c>
      <c r="E28" s="149" t="s">
        <v>294</v>
      </c>
    </row>
    <row r="29" spans="1:5" ht="27.6">
      <c r="A29" s="183" t="s">
        <v>2165</v>
      </c>
      <c r="B29" s="461" t="s">
        <v>2735</v>
      </c>
      <c r="C29" s="160" t="s">
        <v>982</v>
      </c>
      <c r="D29" s="266" t="s">
        <v>2736</v>
      </c>
      <c r="E29" s="149" t="s">
        <v>294</v>
      </c>
    </row>
    <row r="30" spans="1:5" ht="27.6">
      <c r="A30" s="183" t="s">
        <v>1870</v>
      </c>
      <c r="B30" s="461" t="s">
        <v>276</v>
      </c>
      <c r="C30" s="160" t="s">
        <v>982</v>
      </c>
      <c r="D30" s="266" t="s">
        <v>282</v>
      </c>
      <c r="E30" s="149" t="s">
        <v>294</v>
      </c>
    </row>
    <row r="31" spans="1:5" ht="27.6">
      <c r="A31" s="183" t="s">
        <v>1871</v>
      </c>
      <c r="B31" s="461" t="s">
        <v>2350</v>
      </c>
      <c r="C31" s="160" t="s">
        <v>982</v>
      </c>
      <c r="D31" s="266" t="s">
        <v>282</v>
      </c>
      <c r="E31" s="149" t="s">
        <v>294</v>
      </c>
    </row>
    <row r="32" spans="1:5" ht="27.6">
      <c r="A32" s="183" t="s">
        <v>2737</v>
      </c>
      <c r="B32" s="461" t="s">
        <v>2351</v>
      </c>
      <c r="C32" s="160" t="s">
        <v>982</v>
      </c>
      <c r="D32" s="266" t="s">
        <v>282</v>
      </c>
      <c r="E32" s="149" t="s">
        <v>294</v>
      </c>
    </row>
    <row r="33" spans="1:5" ht="32.25" customHeight="1">
      <c r="A33" s="504">
        <v>8.15</v>
      </c>
      <c r="B33" s="935" t="s">
        <v>2175</v>
      </c>
      <c r="C33" s="936"/>
      <c r="D33" s="936"/>
      <c r="E33" s="937"/>
    </row>
    <row r="34" spans="1:5" ht="27.6">
      <c r="A34" s="183" t="s">
        <v>2738</v>
      </c>
      <c r="B34" s="461" t="s">
        <v>2397</v>
      </c>
      <c r="C34" s="160" t="s">
        <v>982</v>
      </c>
      <c r="D34" s="266" t="s">
        <v>1071</v>
      </c>
      <c r="E34" s="149" t="s">
        <v>2398</v>
      </c>
    </row>
    <row r="35" spans="1:5" ht="55.2">
      <c r="A35" s="183" t="s">
        <v>2739</v>
      </c>
      <c r="B35" s="461" t="s">
        <v>2428</v>
      </c>
      <c r="C35" s="160" t="s">
        <v>982</v>
      </c>
      <c r="D35" s="266" t="s">
        <v>1071</v>
      </c>
      <c r="E35" s="149" t="s">
        <v>2429</v>
      </c>
    </row>
    <row r="36" spans="1:5" ht="55.2">
      <c r="A36" s="183" t="s">
        <v>2740</v>
      </c>
      <c r="B36" s="461" t="s">
        <v>2735</v>
      </c>
      <c r="C36" s="160" t="s">
        <v>982</v>
      </c>
      <c r="D36" s="266" t="s">
        <v>1071</v>
      </c>
      <c r="E36" s="149" t="s">
        <v>2741</v>
      </c>
    </row>
    <row r="37" spans="1:5" ht="41.4">
      <c r="A37" s="183" t="s">
        <v>2742</v>
      </c>
      <c r="B37" s="461" t="s">
        <v>276</v>
      </c>
      <c r="C37" s="160" t="s">
        <v>982</v>
      </c>
      <c r="D37" s="266" t="s">
        <v>1071</v>
      </c>
      <c r="E37" s="149" t="s">
        <v>2352</v>
      </c>
    </row>
    <row r="38" spans="1:5" ht="57" customHeight="1">
      <c r="A38" s="183" t="s">
        <v>2743</v>
      </c>
      <c r="B38" s="461" t="s">
        <v>2350</v>
      </c>
      <c r="C38" s="160" t="s">
        <v>982</v>
      </c>
      <c r="D38" s="266" t="s">
        <v>1071</v>
      </c>
      <c r="E38" s="149" t="s">
        <v>2353</v>
      </c>
    </row>
    <row r="39" spans="1:5" ht="41.4">
      <c r="A39" s="183" t="s">
        <v>2744</v>
      </c>
      <c r="B39" s="461" t="s">
        <v>2351</v>
      </c>
      <c r="C39" s="160" t="s">
        <v>982</v>
      </c>
      <c r="D39" s="266" t="s">
        <v>1071</v>
      </c>
      <c r="E39" s="149" t="s">
        <v>2354</v>
      </c>
    </row>
    <row r="40" spans="1:5">
      <c r="A40" s="674"/>
      <c r="B40" s="672" t="s">
        <v>2745</v>
      </c>
      <c r="C40" s="672"/>
      <c r="D40" s="672"/>
      <c r="E40" s="673"/>
    </row>
    <row r="41" spans="1:5" ht="41.4">
      <c r="A41" s="409" t="s">
        <v>2166</v>
      </c>
      <c r="B41" s="461" t="s">
        <v>277</v>
      </c>
      <c r="C41" s="160" t="s">
        <v>982</v>
      </c>
      <c r="D41" s="266" t="s">
        <v>1071</v>
      </c>
      <c r="E41" s="582" t="s">
        <v>2430</v>
      </c>
    </row>
    <row r="42" spans="1:5" ht="27.6">
      <c r="A42" s="409" t="s">
        <v>2167</v>
      </c>
      <c r="B42" s="461" t="s">
        <v>553</v>
      </c>
      <c r="C42" s="160" t="s">
        <v>982</v>
      </c>
      <c r="D42" s="266" t="s">
        <v>1071</v>
      </c>
      <c r="E42" s="582" t="s">
        <v>2176</v>
      </c>
    </row>
    <row r="43" spans="1:5">
      <c r="A43" s="675"/>
      <c r="B43" s="677" t="s">
        <v>283</v>
      </c>
      <c r="C43" s="676"/>
      <c r="D43" s="678"/>
      <c r="E43" s="679"/>
    </row>
    <row r="44" spans="1:5" ht="27.6">
      <c r="A44" s="409" t="s">
        <v>2168</v>
      </c>
      <c r="B44" s="461" t="s">
        <v>1044</v>
      </c>
      <c r="C44" s="160" t="s">
        <v>982</v>
      </c>
      <c r="D44" s="266" t="s">
        <v>1071</v>
      </c>
      <c r="E44" s="582" t="s">
        <v>1943</v>
      </c>
    </row>
    <row r="45" spans="1:5" ht="41.4">
      <c r="A45" s="409" t="s">
        <v>2169</v>
      </c>
      <c r="B45" s="461" t="s">
        <v>1339</v>
      </c>
      <c r="C45" s="160" t="s">
        <v>982</v>
      </c>
      <c r="D45" s="266" t="s">
        <v>1071</v>
      </c>
      <c r="E45" s="582" t="s">
        <v>2177</v>
      </c>
    </row>
    <row r="46" spans="1:5" ht="27.6">
      <c r="A46" s="409" t="s">
        <v>2170</v>
      </c>
      <c r="B46" s="461" t="s">
        <v>912</v>
      </c>
      <c r="C46" s="160" t="s">
        <v>982</v>
      </c>
      <c r="D46" s="266" t="s">
        <v>1071</v>
      </c>
      <c r="E46" s="582" t="s">
        <v>1944</v>
      </c>
    </row>
    <row r="47" spans="1:5" ht="35.1" customHeight="1">
      <c r="A47" s="933" t="s">
        <v>284</v>
      </c>
      <c r="B47" s="878"/>
      <c r="C47" s="934"/>
      <c r="D47" s="165"/>
      <c r="E47" s="166"/>
    </row>
    <row r="48" spans="1:5" ht="55.8" thickBot="1">
      <c r="A48" s="505" t="s">
        <v>2585</v>
      </c>
      <c r="B48" s="495" t="s">
        <v>384</v>
      </c>
      <c r="C48" s="496" t="s">
        <v>982</v>
      </c>
      <c r="D48" s="489" t="s">
        <v>1071</v>
      </c>
      <c r="E48" s="506" t="s">
        <v>43</v>
      </c>
    </row>
    <row r="49" spans="1:5">
      <c r="A49" s="169"/>
      <c r="B49" s="167"/>
      <c r="D49" s="170"/>
      <c r="E49" s="170"/>
    </row>
    <row r="50" spans="1:5">
      <c r="A50" s="169"/>
      <c r="B50" s="167"/>
      <c r="D50" s="170"/>
      <c r="E50" s="170"/>
    </row>
    <row r="51" spans="1:5">
      <c r="A51" s="169"/>
      <c r="B51" s="167"/>
      <c r="D51" s="170"/>
      <c r="E51" s="170"/>
    </row>
    <row r="52" spans="1:5">
      <c r="A52" s="169"/>
      <c r="B52" s="167"/>
      <c r="D52" s="170"/>
      <c r="E52" s="170"/>
    </row>
    <row r="53" spans="1:5">
      <c r="A53" s="169"/>
      <c r="B53" s="167"/>
      <c r="D53" s="170"/>
      <c r="E53" s="170"/>
    </row>
    <row r="54" spans="1:5">
      <c r="A54" s="169"/>
      <c r="B54" s="167"/>
      <c r="D54" s="170"/>
      <c r="E54" s="170"/>
    </row>
    <row r="55" spans="1:5">
      <c r="A55" s="169"/>
      <c r="B55" s="167"/>
      <c r="D55" s="170"/>
      <c r="E55" s="170"/>
    </row>
    <row r="56" spans="1:5">
      <c r="A56" s="169"/>
      <c r="B56" s="167"/>
      <c r="D56" s="170"/>
      <c r="E56" s="170"/>
    </row>
    <row r="57" spans="1:5">
      <c r="A57" s="169"/>
      <c r="B57" s="167"/>
      <c r="D57" s="170"/>
      <c r="E57" s="170"/>
    </row>
    <row r="58" spans="1:5">
      <c r="A58" s="169"/>
      <c r="B58" s="167"/>
      <c r="D58" s="170"/>
      <c r="E58" s="170"/>
    </row>
    <row r="59" spans="1:5">
      <c r="A59" s="169"/>
      <c r="B59" s="167"/>
      <c r="D59" s="170"/>
      <c r="E59" s="170"/>
    </row>
    <row r="60" spans="1:5">
      <c r="A60" s="169"/>
      <c r="B60" s="167"/>
      <c r="D60" s="170"/>
      <c r="E60" s="170"/>
    </row>
    <row r="61" spans="1:5">
      <c r="A61" s="169"/>
      <c r="B61" s="167"/>
      <c r="D61" s="170"/>
      <c r="E61" s="170"/>
    </row>
    <row r="62" spans="1:5">
      <c r="A62" s="169"/>
      <c r="B62" s="167"/>
      <c r="D62" s="170"/>
      <c r="E62" s="170"/>
    </row>
    <row r="63" spans="1:5">
      <c r="A63" s="169"/>
      <c r="B63" s="167"/>
      <c r="D63" s="170"/>
      <c r="E63" s="170"/>
    </row>
    <row r="64" spans="1:5">
      <c r="A64" s="169"/>
      <c r="B64" s="167"/>
      <c r="D64" s="170"/>
      <c r="E64" s="170"/>
    </row>
    <row r="65" spans="1:5">
      <c r="A65" s="169"/>
      <c r="B65" s="167"/>
      <c r="D65" s="170"/>
      <c r="E65" s="170"/>
    </row>
    <row r="66" spans="1:5">
      <c r="A66" s="169"/>
      <c r="B66" s="167"/>
      <c r="D66" s="170"/>
      <c r="E66" s="170"/>
    </row>
    <row r="67" spans="1:5">
      <c r="A67" s="169"/>
      <c r="B67" s="167"/>
      <c r="D67" s="170"/>
      <c r="E67" s="170"/>
    </row>
    <row r="68" spans="1:5">
      <c r="A68" s="169"/>
      <c r="B68" s="167"/>
      <c r="D68" s="170"/>
      <c r="E68" s="170"/>
    </row>
    <row r="69" spans="1:5">
      <c r="A69" s="169"/>
      <c r="B69" s="167"/>
      <c r="D69" s="170"/>
      <c r="E69" s="170"/>
    </row>
    <row r="70" spans="1:5">
      <c r="A70" s="169"/>
      <c r="B70" s="167"/>
      <c r="D70" s="170"/>
      <c r="E70" s="170"/>
    </row>
    <row r="71" spans="1:5">
      <c r="A71" s="169"/>
      <c r="B71" s="167"/>
      <c r="D71" s="170"/>
      <c r="E71" s="170"/>
    </row>
    <row r="72" spans="1:5">
      <c r="A72" s="169"/>
      <c r="B72" s="167"/>
      <c r="D72" s="170"/>
      <c r="E72" s="170"/>
    </row>
    <row r="73" spans="1:5">
      <c r="A73" s="169"/>
      <c r="B73" s="167"/>
      <c r="D73" s="170"/>
      <c r="E73" s="170"/>
    </row>
    <row r="74" spans="1:5">
      <c r="A74" s="169"/>
      <c r="B74" s="167"/>
      <c r="D74" s="170"/>
      <c r="E74" s="170"/>
    </row>
    <row r="75" spans="1:5">
      <c r="A75" s="169"/>
      <c r="B75" s="167"/>
      <c r="D75" s="170"/>
      <c r="E75" s="170"/>
    </row>
    <row r="76" spans="1:5">
      <c r="A76" s="169"/>
      <c r="B76" s="167"/>
      <c r="D76" s="170"/>
      <c r="E76" s="170"/>
    </row>
    <row r="77" spans="1:5">
      <c r="A77" s="169"/>
      <c r="B77" s="167"/>
      <c r="D77" s="170"/>
      <c r="E77" s="170"/>
    </row>
    <row r="78" spans="1:5">
      <c r="A78" s="169"/>
      <c r="B78" s="167"/>
      <c r="D78" s="170"/>
      <c r="E78" s="170"/>
    </row>
    <row r="79" spans="1:5">
      <c r="A79" s="169"/>
      <c r="B79" s="167"/>
      <c r="D79" s="170"/>
      <c r="E79" s="170"/>
    </row>
    <row r="80" spans="1:5">
      <c r="A80" s="169"/>
      <c r="B80" s="167"/>
      <c r="D80" s="170"/>
      <c r="E80" s="170"/>
    </row>
    <row r="81" spans="1:5">
      <c r="A81" s="169"/>
      <c r="B81" s="167"/>
      <c r="D81" s="170"/>
      <c r="E81" s="170"/>
    </row>
    <row r="82" spans="1:5">
      <c r="A82" s="169"/>
      <c r="B82" s="167"/>
      <c r="D82" s="170"/>
      <c r="E82" s="170"/>
    </row>
    <row r="83" spans="1:5">
      <c r="A83" s="169"/>
      <c r="B83" s="167"/>
      <c r="D83" s="170"/>
      <c r="E83" s="170"/>
    </row>
    <row r="84" spans="1:5">
      <c r="A84" s="169"/>
      <c r="B84" s="167"/>
      <c r="D84" s="170"/>
      <c r="E84" s="170"/>
    </row>
    <row r="85" spans="1:5">
      <c r="A85" s="169"/>
      <c r="B85" s="167"/>
      <c r="D85" s="170"/>
      <c r="E85" s="170"/>
    </row>
    <row r="86" spans="1:5">
      <c r="A86" s="169"/>
      <c r="B86" s="167"/>
      <c r="D86" s="170"/>
      <c r="E86" s="170"/>
    </row>
    <row r="87" spans="1:5">
      <c r="A87" s="169"/>
      <c r="B87" s="167"/>
      <c r="D87" s="170"/>
      <c r="E87" s="170"/>
    </row>
    <row r="88" spans="1:5">
      <c r="A88" s="169"/>
      <c r="B88" s="167"/>
      <c r="D88" s="170"/>
      <c r="E88" s="170"/>
    </row>
    <row r="89" spans="1:5">
      <c r="A89" s="169"/>
      <c r="B89" s="167"/>
      <c r="D89" s="170"/>
      <c r="E89" s="170"/>
    </row>
    <row r="90" spans="1:5">
      <c r="A90" s="169"/>
      <c r="B90" s="167"/>
      <c r="D90" s="170"/>
      <c r="E90" s="170"/>
    </row>
    <row r="91" spans="1:5">
      <c r="A91" s="169"/>
      <c r="B91" s="167"/>
      <c r="D91" s="170"/>
      <c r="E91" s="170"/>
    </row>
    <row r="92" spans="1:5">
      <c r="A92" s="169"/>
      <c r="B92" s="167"/>
      <c r="D92" s="170"/>
      <c r="E92" s="170"/>
    </row>
    <row r="93" spans="1:5">
      <c r="A93" s="169"/>
      <c r="B93" s="167"/>
      <c r="D93" s="170"/>
      <c r="E93" s="170"/>
    </row>
    <row r="94" spans="1:5">
      <c r="A94" s="169"/>
      <c r="B94" s="167"/>
      <c r="D94" s="170"/>
      <c r="E94" s="170"/>
    </row>
    <row r="95" spans="1:5">
      <c r="A95" s="169"/>
      <c r="B95" s="167"/>
      <c r="D95" s="170"/>
      <c r="E95" s="170"/>
    </row>
    <row r="96" spans="1:5">
      <c r="A96" s="169"/>
      <c r="B96" s="167"/>
      <c r="D96" s="170"/>
      <c r="E96" s="170"/>
    </row>
    <row r="97" spans="1:5">
      <c r="A97" s="169"/>
      <c r="B97" s="167"/>
      <c r="D97" s="170"/>
      <c r="E97" s="170"/>
    </row>
    <row r="98" spans="1:5">
      <c r="A98" s="169"/>
      <c r="B98" s="167"/>
      <c r="D98" s="170"/>
      <c r="E98" s="170"/>
    </row>
    <row r="99" spans="1:5">
      <c r="A99" s="169"/>
      <c r="B99" s="167"/>
      <c r="D99" s="170"/>
      <c r="E99" s="170"/>
    </row>
    <row r="100" spans="1:5">
      <c r="A100" s="169"/>
      <c r="B100" s="167"/>
      <c r="D100" s="170"/>
      <c r="E100" s="170"/>
    </row>
    <row r="101" spans="1:5">
      <c r="A101" s="169"/>
      <c r="B101" s="167"/>
      <c r="D101" s="170"/>
      <c r="E101" s="170"/>
    </row>
    <row r="102" spans="1:5">
      <c r="A102" s="169"/>
      <c r="B102" s="167"/>
      <c r="D102" s="170"/>
      <c r="E102" s="170"/>
    </row>
    <row r="103" spans="1:5">
      <c r="A103" s="169"/>
      <c r="B103" s="167"/>
      <c r="D103" s="170"/>
      <c r="E103" s="170"/>
    </row>
    <row r="104" spans="1:5">
      <c r="A104" s="169"/>
      <c r="B104" s="167"/>
      <c r="D104" s="170"/>
      <c r="E104" s="170"/>
    </row>
    <row r="105" spans="1:5">
      <c r="A105" s="169"/>
      <c r="B105" s="167"/>
      <c r="D105" s="170"/>
      <c r="E105" s="170"/>
    </row>
    <row r="106" spans="1:5">
      <c r="A106" s="169"/>
      <c r="B106" s="167"/>
      <c r="D106" s="170"/>
      <c r="E106" s="170"/>
    </row>
    <row r="107" spans="1:5">
      <c r="A107" s="169"/>
      <c r="B107" s="167"/>
      <c r="D107" s="170"/>
      <c r="E107" s="170"/>
    </row>
    <row r="108" spans="1:5">
      <c r="A108" s="169"/>
      <c r="B108" s="167"/>
      <c r="D108" s="170"/>
      <c r="E108" s="170"/>
    </row>
    <row r="109" spans="1:5">
      <c r="A109" s="169"/>
      <c r="B109" s="167"/>
      <c r="D109" s="170"/>
      <c r="E109" s="170"/>
    </row>
    <row r="110" spans="1:5">
      <c r="A110" s="169"/>
      <c r="B110" s="167"/>
      <c r="D110" s="170"/>
      <c r="E110" s="170"/>
    </row>
    <row r="111" spans="1:5">
      <c r="A111" s="169"/>
      <c r="B111" s="167"/>
      <c r="D111" s="170"/>
      <c r="E111" s="170"/>
    </row>
    <row r="112" spans="1:5">
      <c r="A112" s="169"/>
      <c r="B112" s="167"/>
      <c r="D112" s="170"/>
      <c r="E112" s="170"/>
    </row>
    <row r="113" spans="1:5">
      <c r="A113" s="169"/>
      <c r="B113" s="167"/>
      <c r="D113" s="170"/>
      <c r="E113" s="170"/>
    </row>
    <row r="114" spans="1:5">
      <c r="A114" s="169"/>
      <c r="B114" s="167"/>
      <c r="D114" s="170"/>
      <c r="E114" s="170"/>
    </row>
    <row r="115" spans="1:5">
      <c r="A115" s="169"/>
      <c r="B115" s="167"/>
      <c r="D115" s="170"/>
      <c r="E115" s="170"/>
    </row>
    <row r="116" spans="1:5">
      <c r="A116" s="169"/>
      <c r="B116" s="167"/>
      <c r="D116" s="170"/>
      <c r="E116" s="170"/>
    </row>
    <row r="117" spans="1:5">
      <c r="A117" s="169"/>
      <c r="B117" s="167"/>
      <c r="D117" s="170"/>
      <c r="E117" s="170"/>
    </row>
    <row r="118" spans="1:5">
      <c r="A118" s="169"/>
      <c r="B118" s="167"/>
      <c r="D118" s="170"/>
      <c r="E118" s="170"/>
    </row>
    <row r="119" spans="1:5">
      <c r="A119" s="169"/>
      <c r="B119" s="167"/>
      <c r="D119" s="170"/>
      <c r="E119" s="170"/>
    </row>
    <row r="120" spans="1:5">
      <c r="A120" s="169"/>
      <c r="B120" s="167"/>
      <c r="D120" s="170"/>
      <c r="E120" s="170"/>
    </row>
    <row r="121" spans="1:5">
      <c r="A121" s="169"/>
      <c r="B121" s="167"/>
      <c r="D121" s="170"/>
      <c r="E121" s="170"/>
    </row>
    <row r="122" spans="1:5">
      <c r="A122" s="169"/>
      <c r="B122" s="167"/>
      <c r="D122" s="170"/>
      <c r="E122" s="170"/>
    </row>
    <row r="123" spans="1:5">
      <c r="A123" s="169"/>
      <c r="B123" s="167"/>
      <c r="D123" s="170"/>
      <c r="E123" s="170"/>
    </row>
    <row r="124" spans="1:5">
      <c r="A124" s="169"/>
      <c r="B124" s="167"/>
      <c r="D124" s="170"/>
      <c r="E124" s="170"/>
    </row>
    <row r="125" spans="1:5">
      <c r="A125" s="169"/>
      <c r="B125" s="167"/>
      <c r="D125" s="170"/>
      <c r="E125" s="170"/>
    </row>
    <row r="126" spans="1:5">
      <c r="A126" s="169"/>
      <c r="B126" s="167"/>
      <c r="D126" s="170"/>
      <c r="E126" s="170"/>
    </row>
    <row r="127" spans="1:5">
      <c r="A127" s="169"/>
      <c r="B127" s="167"/>
      <c r="D127" s="170"/>
      <c r="E127" s="170"/>
    </row>
    <row r="128" spans="1:5">
      <c r="A128" s="169"/>
      <c r="B128" s="167"/>
      <c r="D128" s="170"/>
      <c r="E128" s="170"/>
    </row>
    <row r="129" spans="1:5">
      <c r="A129" s="169"/>
      <c r="B129" s="167"/>
      <c r="D129" s="170"/>
      <c r="E129" s="170"/>
    </row>
    <row r="130" spans="1:5">
      <c r="A130" s="169"/>
      <c r="B130" s="167"/>
      <c r="D130" s="170"/>
      <c r="E130" s="170"/>
    </row>
    <row r="131" spans="1:5">
      <c r="A131" s="169"/>
      <c r="B131" s="167"/>
      <c r="D131" s="170"/>
      <c r="E131" s="170"/>
    </row>
    <row r="132" spans="1:5">
      <c r="A132" s="169"/>
      <c r="B132" s="167"/>
      <c r="D132" s="170"/>
      <c r="E132" s="170"/>
    </row>
    <row r="133" spans="1:5">
      <c r="A133" s="169"/>
      <c r="B133" s="167"/>
      <c r="D133" s="170"/>
      <c r="E133" s="170"/>
    </row>
    <row r="134" spans="1:5">
      <c r="A134" s="169"/>
      <c r="B134" s="167"/>
      <c r="D134" s="170"/>
      <c r="E134" s="170"/>
    </row>
    <row r="135" spans="1:5">
      <c r="A135" s="169"/>
      <c r="B135" s="167"/>
      <c r="D135" s="170"/>
      <c r="E135" s="170"/>
    </row>
    <row r="136" spans="1:5">
      <c r="A136" s="169"/>
      <c r="B136" s="167"/>
      <c r="D136" s="170"/>
      <c r="E136" s="170"/>
    </row>
    <row r="137" spans="1:5">
      <c r="A137" s="169"/>
      <c r="B137" s="167"/>
      <c r="D137" s="170"/>
      <c r="E137" s="170"/>
    </row>
    <row r="138" spans="1:5">
      <c r="A138" s="169"/>
      <c r="B138" s="167"/>
      <c r="D138" s="170"/>
      <c r="E138" s="170"/>
    </row>
    <row r="139" spans="1:5">
      <c r="A139" s="169"/>
      <c r="B139" s="167"/>
      <c r="D139" s="170"/>
      <c r="E139" s="170"/>
    </row>
    <row r="140" spans="1:5">
      <c r="A140" s="169"/>
      <c r="B140" s="167"/>
      <c r="D140" s="170"/>
      <c r="E140" s="170"/>
    </row>
    <row r="141" spans="1:5">
      <c r="A141" s="169"/>
      <c r="B141" s="167"/>
      <c r="D141" s="170"/>
      <c r="E141" s="170"/>
    </row>
    <row r="142" spans="1:5">
      <c r="A142" s="169"/>
      <c r="B142" s="167"/>
      <c r="D142" s="170"/>
      <c r="E142" s="170"/>
    </row>
    <row r="143" spans="1:5">
      <c r="A143" s="169"/>
      <c r="B143" s="167"/>
      <c r="D143" s="170"/>
      <c r="E143" s="170"/>
    </row>
    <row r="144" spans="1:5">
      <c r="A144" s="169"/>
      <c r="B144" s="167"/>
      <c r="D144" s="170"/>
      <c r="E144" s="170"/>
    </row>
    <row r="145" spans="1:5">
      <c r="A145" s="169"/>
      <c r="B145" s="167"/>
      <c r="D145" s="170"/>
      <c r="E145" s="170"/>
    </row>
    <row r="146" spans="1:5">
      <c r="A146" s="169"/>
      <c r="B146" s="167"/>
      <c r="D146" s="170"/>
      <c r="E146" s="170"/>
    </row>
    <row r="147" spans="1:5">
      <c r="A147" s="169"/>
      <c r="B147" s="167"/>
      <c r="D147" s="170"/>
      <c r="E147" s="170"/>
    </row>
    <row r="148" spans="1:5">
      <c r="A148" s="169"/>
      <c r="B148" s="167"/>
      <c r="D148" s="170"/>
      <c r="E148" s="170"/>
    </row>
    <row r="149" spans="1:5">
      <c r="A149" s="169"/>
      <c r="B149" s="167"/>
      <c r="D149" s="170"/>
      <c r="E149" s="170"/>
    </row>
    <row r="150" spans="1:5">
      <c r="A150" s="169"/>
      <c r="B150" s="167"/>
      <c r="D150" s="170"/>
      <c r="E150" s="170"/>
    </row>
    <row r="151" spans="1:5">
      <c r="A151" s="169"/>
      <c r="B151" s="167"/>
      <c r="D151" s="170"/>
      <c r="E151" s="170"/>
    </row>
    <row r="152" spans="1:5">
      <c r="A152" s="169"/>
      <c r="B152" s="167"/>
      <c r="D152" s="170"/>
      <c r="E152" s="170"/>
    </row>
    <row r="153" spans="1:5">
      <c r="A153" s="169"/>
      <c r="B153" s="167"/>
      <c r="D153" s="170"/>
      <c r="E153" s="170"/>
    </row>
    <row r="154" spans="1:5">
      <c r="A154" s="169"/>
      <c r="B154" s="167"/>
      <c r="D154" s="170"/>
      <c r="E154" s="170"/>
    </row>
    <row r="155" spans="1:5">
      <c r="A155" s="169"/>
      <c r="B155" s="167"/>
      <c r="D155" s="170"/>
      <c r="E155" s="170"/>
    </row>
    <row r="156" spans="1:5">
      <c r="A156" s="169"/>
      <c r="B156" s="167"/>
      <c r="D156" s="170"/>
      <c r="E156" s="170"/>
    </row>
    <row r="157" spans="1:5">
      <c r="A157" s="169"/>
      <c r="B157" s="167"/>
      <c r="D157" s="170"/>
      <c r="E157" s="170"/>
    </row>
    <row r="158" spans="1:5">
      <c r="A158" s="169"/>
      <c r="B158" s="167"/>
      <c r="D158" s="170"/>
      <c r="E158" s="170"/>
    </row>
    <row r="159" spans="1:5">
      <c r="A159" s="169"/>
      <c r="B159" s="167"/>
      <c r="D159" s="170"/>
      <c r="E159" s="170"/>
    </row>
    <row r="160" spans="1:5">
      <c r="A160" s="169"/>
      <c r="B160" s="167"/>
      <c r="D160" s="170"/>
      <c r="E160" s="170"/>
    </row>
    <row r="161" spans="1:5">
      <c r="A161" s="169"/>
      <c r="B161" s="167"/>
      <c r="D161" s="170"/>
      <c r="E161" s="170"/>
    </row>
    <row r="162" spans="1:5">
      <c r="A162" s="169"/>
      <c r="B162" s="167"/>
      <c r="D162" s="170"/>
      <c r="E162" s="170"/>
    </row>
    <row r="163" spans="1:5">
      <c r="A163" s="169"/>
      <c r="B163" s="167"/>
      <c r="D163" s="170"/>
      <c r="E163" s="170"/>
    </row>
    <row r="164" spans="1:5">
      <c r="A164" s="169"/>
      <c r="B164" s="167"/>
      <c r="D164" s="170"/>
      <c r="E164" s="170"/>
    </row>
    <row r="165" spans="1:5">
      <c r="A165" s="169"/>
      <c r="B165" s="167"/>
      <c r="D165" s="170"/>
      <c r="E165" s="170"/>
    </row>
    <row r="166" spans="1:5">
      <c r="A166" s="169"/>
      <c r="B166" s="167"/>
      <c r="D166" s="170"/>
      <c r="E166" s="170"/>
    </row>
    <row r="167" spans="1:5">
      <c r="A167" s="169"/>
      <c r="B167" s="167"/>
      <c r="D167" s="170"/>
      <c r="E167" s="170"/>
    </row>
    <row r="168" spans="1:5">
      <c r="A168" s="169"/>
      <c r="B168" s="167"/>
      <c r="D168" s="170"/>
      <c r="E168" s="170"/>
    </row>
    <row r="169" spans="1:5">
      <c r="A169" s="169"/>
      <c r="B169" s="167"/>
      <c r="D169" s="170"/>
      <c r="E169" s="170"/>
    </row>
    <row r="170" spans="1:5">
      <c r="A170" s="169"/>
      <c r="B170" s="167"/>
      <c r="D170" s="170"/>
      <c r="E170" s="170"/>
    </row>
    <row r="171" spans="1:5">
      <c r="A171" s="169"/>
      <c r="B171" s="167"/>
      <c r="D171" s="170"/>
      <c r="E171" s="170"/>
    </row>
    <row r="172" spans="1:5">
      <c r="A172" s="169"/>
      <c r="B172" s="167"/>
      <c r="D172" s="170"/>
      <c r="E172" s="170"/>
    </row>
    <row r="173" spans="1:5">
      <c r="A173" s="169"/>
      <c r="B173" s="167"/>
      <c r="D173" s="170"/>
      <c r="E173" s="170"/>
    </row>
    <row r="174" spans="1:5">
      <c r="A174" s="169"/>
      <c r="B174" s="167"/>
      <c r="D174" s="170"/>
      <c r="E174" s="170"/>
    </row>
    <row r="175" spans="1:5">
      <c r="A175" s="169"/>
      <c r="B175" s="167"/>
      <c r="D175" s="170"/>
      <c r="E175" s="170"/>
    </row>
    <row r="176" spans="1:5">
      <c r="A176" s="169"/>
      <c r="B176" s="167"/>
      <c r="D176" s="170"/>
      <c r="E176" s="170"/>
    </row>
    <row r="177" spans="1:5">
      <c r="A177" s="169"/>
      <c r="B177" s="167"/>
      <c r="C177" s="6"/>
      <c r="D177" s="170"/>
      <c r="E177" s="170"/>
    </row>
    <row r="178" spans="1:5">
      <c r="A178" s="169"/>
      <c r="B178" s="167"/>
      <c r="C178" s="6"/>
      <c r="D178" s="170"/>
      <c r="E178" s="170"/>
    </row>
    <row r="179" spans="1:5">
      <c r="A179" s="169"/>
      <c r="B179" s="167"/>
      <c r="C179" s="6"/>
      <c r="D179" s="170"/>
      <c r="E179" s="170"/>
    </row>
    <row r="180" spans="1:5">
      <c r="A180" s="169"/>
      <c r="B180" s="167"/>
      <c r="C180" s="6"/>
      <c r="D180" s="170"/>
      <c r="E180" s="170"/>
    </row>
    <row r="181" spans="1:5">
      <c r="A181" s="169"/>
      <c r="B181" s="167"/>
      <c r="C181" s="6"/>
      <c r="D181" s="170"/>
      <c r="E181" s="170"/>
    </row>
    <row r="182" spans="1:5">
      <c r="A182" s="169"/>
      <c r="B182" s="167"/>
      <c r="C182" s="6"/>
      <c r="D182" s="170"/>
      <c r="E182" s="170"/>
    </row>
    <row r="183" spans="1:5">
      <c r="A183" s="169"/>
      <c r="B183" s="167"/>
      <c r="C183" s="6"/>
      <c r="D183" s="170"/>
      <c r="E183" s="170"/>
    </row>
    <row r="184" spans="1:5">
      <c r="A184" s="169"/>
      <c r="B184" s="167"/>
      <c r="C184" s="6"/>
      <c r="D184" s="170"/>
      <c r="E184" s="170"/>
    </row>
    <row r="185" spans="1:5">
      <c r="A185" s="169"/>
      <c r="B185" s="167"/>
      <c r="C185" s="6"/>
      <c r="D185" s="170"/>
      <c r="E185" s="170"/>
    </row>
    <row r="186" spans="1:5">
      <c r="A186" s="169"/>
      <c r="B186" s="167"/>
      <c r="C186" s="6"/>
      <c r="D186" s="170"/>
      <c r="E186" s="170"/>
    </row>
    <row r="187" spans="1:5">
      <c r="A187" s="169"/>
      <c r="B187" s="167"/>
      <c r="C187" s="6"/>
      <c r="D187" s="170"/>
      <c r="E187" s="170"/>
    </row>
    <row r="188" spans="1:5">
      <c r="A188" s="169"/>
      <c r="B188" s="167"/>
      <c r="D188" s="170"/>
      <c r="E188" s="170"/>
    </row>
    <row r="189" spans="1:5">
      <c r="A189" s="169"/>
      <c r="B189" s="167"/>
      <c r="D189" s="170"/>
      <c r="E189" s="170"/>
    </row>
    <row r="190" spans="1:5">
      <c r="A190" s="169"/>
      <c r="B190" s="167"/>
      <c r="D190" s="170"/>
      <c r="E190" s="170"/>
    </row>
    <row r="191" spans="1:5">
      <c r="A191" s="169"/>
      <c r="B191" s="167"/>
      <c r="D191" s="170"/>
      <c r="E191" s="170"/>
    </row>
    <row r="192" spans="1:5">
      <c r="A192" s="169"/>
      <c r="B192" s="167"/>
      <c r="D192" s="170"/>
      <c r="E192" s="170"/>
    </row>
    <row r="193" spans="1:5">
      <c r="A193" s="169"/>
      <c r="B193" s="167"/>
      <c r="D193" s="170"/>
      <c r="E193" s="170"/>
    </row>
    <row r="194" spans="1:5">
      <c r="A194" s="169"/>
      <c r="B194" s="167"/>
      <c r="D194" s="170"/>
      <c r="E194" s="170"/>
    </row>
    <row r="195" spans="1:5">
      <c r="A195" s="169"/>
      <c r="B195" s="167"/>
      <c r="D195" s="170"/>
      <c r="E195" s="170"/>
    </row>
    <row r="196" spans="1:5">
      <c r="A196" s="169"/>
      <c r="B196" s="167"/>
      <c r="D196" s="170"/>
      <c r="E196" s="170"/>
    </row>
    <row r="197" spans="1:5">
      <c r="A197" s="169"/>
      <c r="B197" s="167"/>
      <c r="D197" s="170"/>
      <c r="E197" s="170"/>
    </row>
    <row r="198" spans="1:5">
      <c r="A198" s="169"/>
      <c r="B198" s="167"/>
      <c r="D198" s="170"/>
      <c r="E198" s="170"/>
    </row>
    <row r="199" spans="1:5">
      <c r="A199" s="169"/>
      <c r="B199" s="167"/>
      <c r="D199" s="170"/>
      <c r="E199" s="170"/>
    </row>
    <row r="200" spans="1:5">
      <c r="A200" s="169"/>
      <c r="B200" s="167"/>
      <c r="D200" s="170"/>
      <c r="E200" s="170"/>
    </row>
    <row r="201" spans="1:5">
      <c r="A201" s="169"/>
      <c r="B201" s="167"/>
      <c r="D201" s="170"/>
      <c r="E201" s="170"/>
    </row>
    <row r="202" spans="1:5">
      <c r="A202" s="169"/>
      <c r="B202" s="167"/>
      <c r="D202" s="170"/>
      <c r="E202" s="170"/>
    </row>
    <row r="203" spans="1:5">
      <c r="A203" s="169"/>
      <c r="B203" s="167"/>
      <c r="D203" s="170"/>
      <c r="E203" s="170"/>
    </row>
    <row r="204" spans="1:5">
      <c r="A204" s="169"/>
      <c r="B204" s="167"/>
      <c r="D204" s="170"/>
      <c r="E204" s="170"/>
    </row>
    <row r="205" spans="1:5">
      <c r="A205" s="169"/>
      <c r="B205" s="167"/>
      <c r="D205" s="170"/>
      <c r="E205" s="170"/>
    </row>
    <row r="206" spans="1:5">
      <c r="A206" s="169"/>
      <c r="B206" s="167"/>
      <c r="D206" s="170"/>
      <c r="E206" s="170"/>
    </row>
    <row r="207" spans="1:5">
      <c r="A207" s="169"/>
      <c r="B207" s="167"/>
      <c r="D207" s="170"/>
      <c r="E207" s="170"/>
    </row>
    <row r="208" spans="1:5">
      <c r="A208" s="169"/>
      <c r="B208" s="167"/>
      <c r="D208" s="170"/>
      <c r="E208" s="170"/>
    </row>
    <row r="209" spans="1:5">
      <c r="A209" s="169"/>
      <c r="B209" s="167"/>
      <c r="D209" s="170"/>
      <c r="E209" s="170"/>
    </row>
    <row r="210" spans="1:5">
      <c r="A210" s="169"/>
      <c r="B210" s="167"/>
      <c r="D210" s="170"/>
      <c r="E210" s="170"/>
    </row>
    <row r="211" spans="1:5">
      <c r="A211" s="169"/>
      <c r="B211" s="167"/>
      <c r="D211" s="170"/>
      <c r="E211" s="170"/>
    </row>
    <row r="212" spans="1:5">
      <c r="A212" s="169"/>
      <c r="B212" s="167"/>
      <c r="D212" s="170"/>
      <c r="E212" s="170"/>
    </row>
    <row r="213" spans="1:5">
      <c r="A213" s="169"/>
      <c r="B213" s="167"/>
      <c r="D213" s="170"/>
      <c r="E213" s="170"/>
    </row>
    <row r="214" spans="1:5">
      <c r="A214" s="169"/>
      <c r="B214" s="167"/>
      <c r="D214" s="170"/>
      <c r="E214" s="170"/>
    </row>
    <row r="215" spans="1:5">
      <c r="A215" s="169"/>
      <c r="B215" s="167"/>
      <c r="D215" s="170"/>
      <c r="E215" s="170"/>
    </row>
    <row r="216" spans="1:5">
      <c r="A216" s="169"/>
      <c r="B216" s="167"/>
      <c r="D216" s="170"/>
      <c r="E216" s="170"/>
    </row>
    <row r="217" spans="1:5">
      <c r="A217" s="169"/>
      <c r="B217" s="167"/>
      <c r="D217" s="170"/>
      <c r="E217" s="170"/>
    </row>
    <row r="218" spans="1:5">
      <c r="A218" s="169"/>
      <c r="B218" s="167"/>
      <c r="D218" s="170"/>
      <c r="E218" s="170"/>
    </row>
    <row r="219" spans="1:5">
      <c r="A219" s="169"/>
      <c r="B219" s="167"/>
      <c r="D219" s="170"/>
      <c r="E219" s="170"/>
    </row>
    <row r="220" spans="1:5">
      <c r="A220" s="169"/>
      <c r="B220" s="167"/>
      <c r="D220" s="170"/>
      <c r="E220" s="170"/>
    </row>
    <row r="221" spans="1:5">
      <c r="A221" s="169"/>
      <c r="B221" s="167"/>
      <c r="D221" s="170"/>
      <c r="E221" s="170"/>
    </row>
    <row r="222" spans="1:5">
      <c r="A222" s="169"/>
      <c r="B222" s="167"/>
      <c r="D222" s="170"/>
      <c r="E222" s="170"/>
    </row>
    <row r="223" spans="1:5">
      <c r="A223" s="169"/>
      <c r="B223" s="167"/>
      <c r="D223" s="170"/>
      <c r="E223" s="170"/>
    </row>
    <row r="224" spans="1:5">
      <c r="A224" s="169"/>
      <c r="B224" s="167"/>
      <c r="D224" s="170"/>
      <c r="E224" s="170"/>
    </row>
    <row r="225" spans="1:5">
      <c r="A225" s="169"/>
      <c r="B225" s="167"/>
      <c r="D225" s="170"/>
      <c r="E225" s="170"/>
    </row>
    <row r="226" spans="1:5">
      <c r="A226" s="169"/>
      <c r="B226" s="167"/>
      <c r="D226" s="170"/>
      <c r="E226" s="170"/>
    </row>
    <row r="227" spans="1:5">
      <c r="A227" s="169"/>
      <c r="B227" s="167"/>
      <c r="D227" s="170"/>
      <c r="E227" s="170"/>
    </row>
    <row r="228" spans="1:5">
      <c r="A228" s="169"/>
      <c r="B228" s="167"/>
      <c r="D228" s="170"/>
      <c r="E228" s="170"/>
    </row>
    <row r="229" spans="1:5">
      <c r="A229" s="169"/>
      <c r="B229" s="167"/>
      <c r="D229" s="170"/>
      <c r="E229" s="170"/>
    </row>
    <row r="230" spans="1:5">
      <c r="A230" s="169"/>
      <c r="B230" s="167"/>
      <c r="D230" s="170"/>
      <c r="E230" s="170"/>
    </row>
    <row r="231" spans="1:5">
      <c r="A231" s="169"/>
      <c r="B231" s="167"/>
      <c r="D231" s="170"/>
      <c r="E231" s="170"/>
    </row>
    <row r="232" spans="1:5">
      <c r="A232" s="169"/>
      <c r="B232" s="167"/>
      <c r="D232" s="170"/>
      <c r="E232" s="170"/>
    </row>
    <row r="233" spans="1:5">
      <c r="A233" s="169"/>
      <c r="B233" s="167"/>
      <c r="D233" s="170"/>
      <c r="E233" s="170"/>
    </row>
    <row r="234" spans="1:5">
      <c r="A234" s="169"/>
      <c r="B234" s="167"/>
      <c r="D234" s="170"/>
      <c r="E234" s="170"/>
    </row>
    <row r="235" spans="1:5">
      <c r="A235" s="169"/>
      <c r="B235" s="167"/>
      <c r="D235" s="170"/>
      <c r="E235" s="170"/>
    </row>
    <row r="236" spans="1:5">
      <c r="A236" s="169"/>
      <c r="B236" s="167"/>
      <c r="D236" s="170"/>
      <c r="E236" s="170"/>
    </row>
    <row r="237" spans="1:5">
      <c r="A237" s="169"/>
      <c r="B237" s="167"/>
      <c r="D237" s="170"/>
      <c r="E237" s="170"/>
    </row>
    <row r="238" spans="1:5">
      <c r="A238" s="169"/>
      <c r="B238" s="167"/>
      <c r="D238" s="170"/>
      <c r="E238" s="170"/>
    </row>
    <row r="239" spans="1:5">
      <c r="A239" s="169"/>
      <c r="B239" s="167"/>
      <c r="D239" s="170"/>
      <c r="E239" s="170"/>
    </row>
    <row r="240" spans="1:5">
      <c r="A240" s="169"/>
      <c r="B240" s="167"/>
      <c r="D240" s="170"/>
      <c r="E240" s="170"/>
    </row>
    <row r="241" spans="1:5">
      <c r="A241" s="169"/>
      <c r="B241" s="167"/>
      <c r="D241" s="170"/>
      <c r="E241" s="170"/>
    </row>
    <row r="242" spans="1:5">
      <c r="A242" s="169"/>
      <c r="B242" s="167"/>
      <c r="D242" s="170"/>
      <c r="E242" s="170"/>
    </row>
    <row r="243" spans="1:5">
      <c r="A243" s="169"/>
      <c r="B243" s="167"/>
      <c r="D243" s="170"/>
      <c r="E243" s="170"/>
    </row>
    <row r="244" spans="1:5">
      <c r="A244" s="169"/>
      <c r="B244" s="167"/>
      <c r="D244" s="170"/>
      <c r="E244" s="170"/>
    </row>
    <row r="245" spans="1:5">
      <c r="A245" s="169"/>
      <c r="B245" s="167"/>
      <c r="D245" s="170"/>
      <c r="E245" s="170"/>
    </row>
    <row r="246" spans="1:5">
      <c r="A246" s="169"/>
      <c r="B246" s="167"/>
      <c r="D246" s="170"/>
      <c r="E246" s="170"/>
    </row>
    <row r="247" spans="1:5">
      <c r="A247" s="169"/>
      <c r="B247" s="167"/>
      <c r="D247" s="170"/>
      <c r="E247" s="170"/>
    </row>
    <row r="248" spans="1:5">
      <c r="A248" s="169"/>
      <c r="B248" s="167"/>
      <c r="D248" s="170"/>
      <c r="E248" s="170"/>
    </row>
    <row r="249" spans="1:5">
      <c r="A249" s="169"/>
      <c r="B249" s="167"/>
      <c r="D249" s="170"/>
      <c r="E249" s="170"/>
    </row>
    <row r="250" spans="1:5">
      <c r="A250" s="169"/>
      <c r="B250" s="167"/>
      <c r="D250" s="170"/>
      <c r="E250" s="170"/>
    </row>
    <row r="251" spans="1:5">
      <c r="A251" s="169"/>
      <c r="B251" s="167"/>
      <c r="D251" s="170"/>
      <c r="E251" s="170"/>
    </row>
    <row r="252" spans="1:5">
      <c r="A252" s="169"/>
      <c r="B252" s="167"/>
      <c r="D252" s="170"/>
      <c r="E252" s="170"/>
    </row>
    <row r="253" spans="1:5">
      <c r="A253" s="169"/>
      <c r="B253" s="167"/>
      <c r="D253" s="170"/>
      <c r="E253" s="170"/>
    </row>
    <row r="254" spans="1:5">
      <c r="A254" s="169"/>
      <c r="B254" s="167"/>
      <c r="D254" s="170"/>
      <c r="E254" s="170"/>
    </row>
    <row r="255" spans="1:5">
      <c r="A255" s="169"/>
      <c r="B255" s="167"/>
      <c r="D255" s="170"/>
      <c r="E255" s="170"/>
    </row>
    <row r="256" spans="1:5">
      <c r="A256" s="169"/>
      <c r="B256" s="167"/>
      <c r="D256" s="170"/>
      <c r="E256" s="170"/>
    </row>
    <row r="257" spans="1:5">
      <c r="A257" s="169"/>
      <c r="B257" s="167"/>
      <c r="D257" s="170"/>
      <c r="E257" s="170"/>
    </row>
    <row r="258" spans="1:5">
      <c r="A258" s="169"/>
      <c r="B258" s="167"/>
      <c r="D258" s="170"/>
      <c r="E258" s="170"/>
    </row>
    <row r="259" spans="1:5">
      <c r="A259" s="169"/>
      <c r="B259" s="167"/>
      <c r="D259" s="170"/>
      <c r="E259" s="170"/>
    </row>
    <row r="260" spans="1:5">
      <c r="A260" s="169"/>
      <c r="B260" s="167"/>
      <c r="D260" s="170"/>
      <c r="E260" s="170"/>
    </row>
    <row r="261" spans="1:5">
      <c r="A261" s="169"/>
      <c r="B261" s="167"/>
      <c r="D261" s="170"/>
      <c r="E261" s="170"/>
    </row>
    <row r="262" spans="1:5">
      <c r="A262" s="169"/>
      <c r="B262" s="167"/>
      <c r="D262" s="170"/>
      <c r="E262" s="170"/>
    </row>
    <row r="263" spans="1:5">
      <c r="A263" s="169"/>
      <c r="B263" s="167"/>
      <c r="D263" s="170"/>
      <c r="E263" s="170"/>
    </row>
    <row r="264" spans="1:5">
      <c r="A264" s="169"/>
      <c r="B264" s="167"/>
      <c r="D264" s="170"/>
      <c r="E264" s="170"/>
    </row>
    <row r="265" spans="1:5">
      <c r="A265" s="169"/>
      <c r="B265" s="167"/>
      <c r="D265" s="170"/>
      <c r="E265" s="170"/>
    </row>
    <row r="266" spans="1:5">
      <c r="A266" s="169"/>
      <c r="B266" s="167"/>
      <c r="D266" s="170"/>
      <c r="E266" s="170"/>
    </row>
    <row r="267" spans="1:5">
      <c r="A267" s="169"/>
      <c r="B267" s="167"/>
      <c r="D267" s="170"/>
      <c r="E267" s="170"/>
    </row>
    <row r="268" spans="1:5">
      <c r="A268" s="169"/>
      <c r="B268" s="167"/>
      <c r="D268" s="170"/>
      <c r="E268" s="170"/>
    </row>
    <row r="269" spans="1:5">
      <c r="A269" s="169"/>
      <c r="B269" s="167"/>
      <c r="D269" s="170"/>
      <c r="E269" s="170"/>
    </row>
    <row r="270" spans="1:5">
      <c r="A270" s="169"/>
      <c r="B270" s="167"/>
      <c r="D270" s="170"/>
      <c r="E270" s="170"/>
    </row>
    <row r="271" spans="1:5">
      <c r="A271" s="169"/>
      <c r="B271" s="167"/>
      <c r="D271" s="170"/>
      <c r="E271" s="170"/>
    </row>
    <row r="272" spans="1:5">
      <c r="A272" s="169"/>
      <c r="B272" s="167"/>
      <c r="D272" s="170"/>
      <c r="E272" s="170"/>
    </row>
    <row r="273" spans="1:5">
      <c r="A273" s="169"/>
      <c r="B273" s="167"/>
      <c r="D273" s="170"/>
      <c r="E273" s="170"/>
    </row>
    <row r="274" spans="1:5">
      <c r="A274" s="169"/>
      <c r="B274" s="167"/>
      <c r="D274" s="170"/>
      <c r="E274" s="170"/>
    </row>
    <row r="275" spans="1:5">
      <c r="A275" s="169"/>
      <c r="B275" s="167"/>
      <c r="D275" s="170"/>
      <c r="E275" s="170"/>
    </row>
    <row r="276" spans="1:5">
      <c r="A276" s="169"/>
      <c r="B276" s="167"/>
      <c r="D276" s="170"/>
      <c r="E276" s="170"/>
    </row>
    <row r="277" spans="1:5">
      <c r="A277" s="169"/>
      <c r="B277" s="167"/>
      <c r="D277" s="170"/>
      <c r="E277" s="170"/>
    </row>
    <row r="278" spans="1:5">
      <c r="A278" s="169"/>
      <c r="B278" s="167"/>
      <c r="D278" s="170"/>
      <c r="E278" s="170"/>
    </row>
    <row r="279" spans="1:5">
      <c r="A279" s="169"/>
      <c r="B279" s="167"/>
      <c r="D279" s="170"/>
      <c r="E279" s="170"/>
    </row>
    <row r="280" spans="1:5">
      <c r="A280" s="169"/>
      <c r="B280" s="167"/>
      <c r="D280" s="170"/>
      <c r="E280" s="170"/>
    </row>
    <row r="281" spans="1:5">
      <c r="A281" s="169"/>
      <c r="B281" s="167"/>
      <c r="D281" s="170"/>
      <c r="E281" s="170"/>
    </row>
    <row r="282" spans="1:5">
      <c r="A282" s="169"/>
      <c r="B282" s="167"/>
      <c r="D282" s="170"/>
      <c r="E282" s="170"/>
    </row>
    <row r="283" spans="1:5">
      <c r="A283" s="169"/>
      <c r="B283" s="167"/>
      <c r="D283" s="170"/>
      <c r="E283" s="170"/>
    </row>
    <row r="284" spans="1:5">
      <c r="A284" s="169"/>
      <c r="B284" s="167"/>
      <c r="D284" s="170"/>
      <c r="E284" s="170"/>
    </row>
    <row r="285" spans="1:5">
      <c r="A285" s="169"/>
      <c r="B285" s="167"/>
      <c r="D285" s="170"/>
      <c r="E285" s="170"/>
    </row>
    <row r="286" spans="1:5">
      <c r="A286" s="169"/>
      <c r="B286" s="167"/>
      <c r="D286" s="170"/>
      <c r="E286" s="170"/>
    </row>
    <row r="287" spans="1:5">
      <c r="A287" s="169"/>
      <c r="B287" s="167"/>
      <c r="D287" s="170"/>
      <c r="E287" s="170"/>
    </row>
    <row r="288" spans="1:5">
      <c r="A288" s="169"/>
      <c r="B288" s="167"/>
      <c r="D288" s="170"/>
      <c r="E288" s="170"/>
    </row>
    <row r="289" spans="1:5">
      <c r="A289" s="169"/>
      <c r="B289" s="167"/>
      <c r="D289" s="170"/>
      <c r="E289" s="170"/>
    </row>
    <row r="290" spans="1:5">
      <c r="A290" s="169"/>
      <c r="B290" s="167"/>
      <c r="D290" s="170"/>
      <c r="E290" s="170"/>
    </row>
    <row r="291" spans="1:5">
      <c r="A291" s="169"/>
      <c r="B291" s="167"/>
      <c r="D291" s="170"/>
      <c r="E291" s="170"/>
    </row>
    <row r="292" spans="1:5">
      <c r="A292" s="169"/>
      <c r="B292" s="167"/>
      <c r="D292" s="170"/>
      <c r="E292" s="170"/>
    </row>
    <row r="293" spans="1:5">
      <c r="A293" s="169"/>
      <c r="B293" s="167"/>
      <c r="D293" s="170"/>
      <c r="E293" s="170"/>
    </row>
    <row r="294" spans="1:5">
      <c r="A294" s="169"/>
      <c r="B294" s="167"/>
      <c r="D294" s="170"/>
      <c r="E294" s="170"/>
    </row>
    <row r="295" spans="1:5">
      <c r="A295" s="169"/>
      <c r="B295" s="167"/>
      <c r="D295" s="170"/>
      <c r="E295" s="170"/>
    </row>
    <row r="296" spans="1:5">
      <c r="A296" s="169"/>
      <c r="B296" s="167"/>
      <c r="D296" s="170"/>
      <c r="E296" s="170"/>
    </row>
    <row r="297" spans="1:5">
      <c r="A297" s="169"/>
      <c r="B297" s="167"/>
      <c r="D297" s="170"/>
      <c r="E297" s="170"/>
    </row>
    <row r="298" spans="1:5">
      <c r="A298" s="169"/>
      <c r="B298" s="167"/>
      <c r="D298" s="170"/>
      <c r="E298" s="170"/>
    </row>
    <row r="299" spans="1:5">
      <c r="A299" s="169"/>
      <c r="B299" s="167"/>
      <c r="D299" s="170"/>
      <c r="E299" s="170"/>
    </row>
    <row r="300" spans="1:5">
      <c r="A300" s="169"/>
      <c r="B300" s="167"/>
      <c r="D300" s="170"/>
      <c r="E300" s="170"/>
    </row>
    <row r="301" spans="1:5">
      <c r="A301" s="169"/>
      <c r="B301" s="167"/>
      <c r="D301" s="170"/>
      <c r="E301" s="170"/>
    </row>
    <row r="302" spans="1:5">
      <c r="A302" s="169"/>
      <c r="B302" s="167"/>
      <c r="D302" s="170"/>
      <c r="E302" s="170"/>
    </row>
    <row r="303" spans="1:5">
      <c r="A303" s="169"/>
      <c r="B303" s="167"/>
      <c r="D303" s="170"/>
      <c r="E303" s="170"/>
    </row>
    <row r="304" spans="1:5">
      <c r="A304" s="169"/>
      <c r="B304" s="167"/>
      <c r="D304" s="170"/>
      <c r="E304" s="170"/>
    </row>
    <row r="305" spans="1:5">
      <c r="A305" s="169"/>
      <c r="B305" s="167"/>
      <c r="D305" s="170"/>
      <c r="E305" s="170"/>
    </row>
    <row r="306" spans="1:5">
      <c r="A306" s="169"/>
      <c r="B306" s="167"/>
      <c r="D306" s="170"/>
      <c r="E306" s="170"/>
    </row>
    <row r="307" spans="1:5">
      <c r="A307" s="169"/>
      <c r="B307" s="167"/>
      <c r="D307" s="170"/>
      <c r="E307" s="170"/>
    </row>
    <row r="308" spans="1:5">
      <c r="A308" s="169"/>
      <c r="B308" s="167"/>
      <c r="D308" s="170"/>
      <c r="E308" s="170"/>
    </row>
    <row r="309" spans="1:5">
      <c r="A309" s="169"/>
      <c r="B309" s="167"/>
      <c r="D309" s="170"/>
      <c r="E309" s="170"/>
    </row>
    <row r="310" spans="1:5">
      <c r="A310" s="169"/>
      <c r="B310" s="167"/>
      <c r="D310" s="170"/>
      <c r="E310" s="170"/>
    </row>
    <row r="311" spans="1:5">
      <c r="A311" s="169"/>
      <c r="B311" s="167"/>
      <c r="D311" s="170"/>
      <c r="E311" s="170"/>
    </row>
    <row r="312" spans="1:5">
      <c r="A312" s="169"/>
      <c r="B312" s="167"/>
      <c r="D312" s="170"/>
      <c r="E312" s="170"/>
    </row>
    <row r="313" spans="1:5">
      <c r="A313" s="169"/>
      <c r="B313" s="167"/>
      <c r="D313" s="170"/>
      <c r="E313" s="170"/>
    </row>
    <row r="314" spans="1:5">
      <c r="A314" s="169"/>
      <c r="B314" s="167"/>
      <c r="D314" s="170"/>
      <c r="E314" s="170"/>
    </row>
    <row r="315" spans="1:5">
      <c r="A315" s="169"/>
      <c r="B315" s="167"/>
      <c r="D315" s="170"/>
      <c r="E315" s="170"/>
    </row>
    <row r="316" spans="1:5">
      <c r="A316" s="169"/>
      <c r="B316" s="167"/>
      <c r="D316" s="170"/>
      <c r="E316" s="170"/>
    </row>
    <row r="317" spans="1:5">
      <c r="A317" s="169"/>
      <c r="B317" s="167"/>
      <c r="D317" s="170"/>
      <c r="E317" s="170"/>
    </row>
    <row r="318" spans="1:5">
      <c r="A318" s="169"/>
      <c r="B318" s="167"/>
      <c r="D318" s="170"/>
      <c r="E318" s="170"/>
    </row>
    <row r="319" spans="1:5">
      <c r="A319" s="169"/>
      <c r="B319" s="167"/>
      <c r="D319" s="170"/>
      <c r="E319" s="170"/>
    </row>
    <row r="320" spans="1:5">
      <c r="A320" s="169"/>
      <c r="B320" s="167"/>
      <c r="D320" s="170"/>
      <c r="E320" s="170"/>
    </row>
    <row r="321" spans="1:5">
      <c r="A321" s="169"/>
      <c r="B321" s="167"/>
      <c r="D321" s="170"/>
      <c r="E321" s="170"/>
    </row>
    <row r="322" spans="1:5">
      <c r="A322" s="169"/>
      <c r="B322" s="167"/>
      <c r="D322" s="170"/>
      <c r="E322" s="170"/>
    </row>
    <row r="323" spans="1:5">
      <c r="A323" s="169"/>
      <c r="B323" s="167"/>
      <c r="D323" s="170"/>
      <c r="E323" s="170"/>
    </row>
    <row r="324" spans="1:5">
      <c r="A324" s="169"/>
      <c r="B324" s="167"/>
      <c r="D324" s="170"/>
      <c r="E324" s="170"/>
    </row>
    <row r="325" spans="1:5">
      <c r="A325" s="169"/>
      <c r="B325" s="167"/>
      <c r="D325" s="170"/>
      <c r="E325" s="170"/>
    </row>
    <row r="326" spans="1:5">
      <c r="A326" s="169"/>
      <c r="B326" s="167"/>
      <c r="D326" s="170"/>
      <c r="E326" s="170"/>
    </row>
    <row r="327" spans="1:5">
      <c r="A327" s="169"/>
      <c r="B327" s="167"/>
      <c r="D327" s="170"/>
      <c r="E327" s="170"/>
    </row>
    <row r="328" spans="1:5">
      <c r="A328" s="169"/>
      <c r="B328" s="167"/>
      <c r="D328" s="170"/>
      <c r="E328" s="170"/>
    </row>
    <row r="329" spans="1:5">
      <c r="A329" s="169"/>
      <c r="B329" s="167"/>
      <c r="D329" s="170"/>
      <c r="E329" s="170"/>
    </row>
    <row r="330" spans="1:5">
      <c r="A330" s="169"/>
      <c r="B330" s="167"/>
      <c r="D330" s="170"/>
      <c r="E330" s="170"/>
    </row>
    <row r="331" spans="1:5">
      <c r="A331" s="169"/>
      <c r="B331" s="167"/>
      <c r="D331" s="170"/>
      <c r="E331" s="170"/>
    </row>
    <row r="332" spans="1:5">
      <c r="A332" s="169"/>
      <c r="B332" s="167"/>
      <c r="D332" s="170"/>
      <c r="E332" s="170"/>
    </row>
    <row r="333" spans="1:5">
      <c r="A333" s="169"/>
      <c r="B333" s="167"/>
      <c r="D333" s="170"/>
      <c r="E333" s="170"/>
    </row>
    <row r="334" spans="1:5">
      <c r="A334" s="169"/>
      <c r="B334" s="167"/>
      <c r="D334" s="170"/>
      <c r="E334" s="170"/>
    </row>
    <row r="335" spans="1:5">
      <c r="A335" s="169"/>
      <c r="B335" s="167"/>
      <c r="D335" s="170"/>
      <c r="E335" s="170"/>
    </row>
    <row r="336" spans="1:5">
      <c r="A336" s="169"/>
      <c r="B336" s="167"/>
      <c r="D336" s="170"/>
      <c r="E336" s="170"/>
    </row>
    <row r="337" spans="1:5">
      <c r="A337" s="169"/>
      <c r="B337" s="167"/>
      <c r="D337" s="170"/>
      <c r="E337" s="170"/>
    </row>
    <row r="338" spans="1:5">
      <c r="A338" s="169"/>
      <c r="B338" s="167"/>
      <c r="D338" s="170"/>
      <c r="E338" s="170"/>
    </row>
    <row r="339" spans="1:5">
      <c r="A339" s="169"/>
      <c r="B339" s="167"/>
      <c r="D339" s="170"/>
      <c r="E339" s="170"/>
    </row>
    <row r="340" spans="1:5">
      <c r="A340" s="169"/>
      <c r="B340" s="167"/>
      <c r="D340" s="170"/>
      <c r="E340" s="170"/>
    </row>
    <row r="341" spans="1:5">
      <c r="A341" s="169"/>
      <c r="B341" s="167"/>
      <c r="D341" s="170"/>
      <c r="E341" s="170"/>
    </row>
    <row r="342" spans="1:5">
      <c r="A342" s="169"/>
      <c r="B342" s="167"/>
      <c r="D342" s="170"/>
      <c r="E342" s="170"/>
    </row>
    <row r="343" spans="1:5">
      <c r="A343" s="169"/>
      <c r="B343" s="167"/>
      <c r="D343" s="170"/>
      <c r="E343" s="170"/>
    </row>
    <row r="344" spans="1:5">
      <c r="A344" s="169"/>
      <c r="B344" s="167"/>
      <c r="D344" s="170"/>
      <c r="E344" s="170"/>
    </row>
    <row r="345" spans="1:5">
      <c r="A345" s="169"/>
      <c r="B345" s="167"/>
      <c r="D345" s="170"/>
      <c r="E345" s="170"/>
    </row>
    <row r="346" spans="1:5">
      <c r="A346" s="169"/>
      <c r="B346" s="167"/>
      <c r="D346" s="170"/>
      <c r="E346" s="170"/>
    </row>
    <row r="347" spans="1:5">
      <c r="A347" s="169"/>
      <c r="B347" s="167"/>
      <c r="D347" s="170"/>
      <c r="E347" s="170"/>
    </row>
    <row r="348" spans="1:5">
      <c r="A348" s="169"/>
      <c r="B348" s="167"/>
      <c r="D348" s="170"/>
      <c r="E348" s="170"/>
    </row>
    <row r="349" spans="1:5">
      <c r="A349" s="169"/>
      <c r="B349" s="167"/>
      <c r="D349" s="170"/>
      <c r="E349" s="170"/>
    </row>
    <row r="350" spans="1:5">
      <c r="A350" s="169"/>
      <c r="B350" s="167"/>
      <c r="D350" s="170"/>
      <c r="E350" s="170"/>
    </row>
    <row r="351" spans="1:5">
      <c r="A351" s="169"/>
      <c r="B351" s="167"/>
      <c r="D351" s="170"/>
      <c r="E351" s="170"/>
    </row>
    <row r="352" spans="1:5">
      <c r="A352" s="169"/>
      <c r="B352" s="167"/>
      <c r="D352" s="170"/>
      <c r="E352" s="170"/>
    </row>
    <row r="353" spans="1:5">
      <c r="A353" s="169"/>
      <c r="B353" s="167"/>
      <c r="D353" s="170"/>
      <c r="E353" s="170"/>
    </row>
    <row r="354" spans="1:5">
      <c r="A354" s="169"/>
      <c r="B354" s="167"/>
      <c r="D354" s="170"/>
      <c r="E354" s="170"/>
    </row>
    <row r="355" spans="1:5">
      <c r="A355" s="169"/>
      <c r="B355" s="167"/>
      <c r="D355" s="170"/>
      <c r="E355" s="170"/>
    </row>
    <row r="356" spans="1:5">
      <c r="A356" s="169"/>
      <c r="B356" s="167"/>
      <c r="D356" s="170"/>
      <c r="E356" s="170"/>
    </row>
    <row r="357" spans="1:5">
      <c r="A357" s="169"/>
      <c r="B357" s="167"/>
      <c r="D357" s="170"/>
      <c r="E357" s="170"/>
    </row>
    <row r="358" spans="1:5">
      <c r="A358" s="169"/>
      <c r="B358" s="167"/>
      <c r="D358" s="170"/>
      <c r="E358" s="170"/>
    </row>
    <row r="359" spans="1:5">
      <c r="A359" s="169"/>
      <c r="B359" s="167"/>
      <c r="D359" s="170"/>
      <c r="E359" s="170"/>
    </row>
    <row r="360" spans="1:5">
      <c r="A360" s="169"/>
      <c r="B360" s="167"/>
      <c r="D360" s="170"/>
      <c r="E360" s="170"/>
    </row>
    <row r="361" spans="1:5">
      <c r="A361" s="169"/>
      <c r="B361" s="167"/>
      <c r="D361" s="170"/>
      <c r="E361" s="170"/>
    </row>
    <row r="362" spans="1:5">
      <c r="A362" s="169"/>
      <c r="B362" s="167"/>
      <c r="D362" s="170"/>
      <c r="E362" s="170"/>
    </row>
    <row r="363" spans="1:5">
      <c r="A363" s="169"/>
      <c r="B363" s="167"/>
      <c r="D363" s="170"/>
      <c r="E363" s="170"/>
    </row>
    <row r="364" spans="1:5">
      <c r="A364" s="169"/>
      <c r="B364" s="167"/>
      <c r="D364" s="170"/>
      <c r="E364" s="170"/>
    </row>
    <row r="365" spans="1:5">
      <c r="A365" s="169"/>
      <c r="B365" s="167"/>
      <c r="D365" s="170"/>
      <c r="E365" s="170"/>
    </row>
    <row r="366" spans="1:5">
      <c r="A366" s="169"/>
      <c r="B366" s="167"/>
      <c r="D366" s="170"/>
      <c r="E366" s="170"/>
    </row>
    <row r="367" spans="1:5">
      <c r="A367" s="169"/>
      <c r="B367" s="167"/>
      <c r="D367" s="170"/>
      <c r="E367" s="170"/>
    </row>
    <row r="368" spans="1:5">
      <c r="A368" s="169"/>
      <c r="B368" s="167"/>
      <c r="D368" s="170"/>
      <c r="E368" s="170"/>
    </row>
    <row r="369" spans="1:5">
      <c r="A369" s="169"/>
      <c r="B369" s="167"/>
      <c r="D369" s="170"/>
      <c r="E369" s="170"/>
    </row>
    <row r="370" spans="1:5">
      <c r="A370" s="169"/>
      <c r="B370" s="167"/>
      <c r="D370" s="170"/>
      <c r="E370" s="170"/>
    </row>
    <row r="371" spans="1:5">
      <c r="A371" s="169"/>
      <c r="B371" s="167"/>
      <c r="D371" s="170"/>
      <c r="E371" s="170"/>
    </row>
    <row r="372" spans="1:5">
      <c r="A372" s="169"/>
      <c r="B372" s="167"/>
      <c r="D372" s="170"/>
      <c r="E372" s="170"/>
    </row>
    <row r="373" spans="1:5">
      <c r="A373" s="169"/>
      <c r="B373" s="167"/>
      <c r="D373" s="170"/>
      <c r="E373" s="170"/>
    </row>
    <row r="374" spans="1:5">
      <c r="A374" s="169"/>
      <c r="B374" s="167"/>
      <c r="D374" s="170"/>
      <c r="E374" s="170"/>
    </row>
    <row r="375" spans="1:5">
      <c r="A375" s="169"/>
      <c r="B375" s="167"/>
      <c r="D375" s="170"/>
      <c r="E375" s="170"/>
    </row>
    <row r="376" spans="1:5">
      <c r="A376" s="169"/>
      <c r="B376" s="167"/>
      <c r="D376" s="170"/>
      <c r="E376" s="170"/>
    </row>
    <row r="377" spans="1:5">
      <c r="A377" s="169"/>
      <c r="B377" s="167"/>
      <c r="D377" s="170"/>
      <c r="E377" s="170"/>
    </row>
    <row r="378" spans="1:5">
      <c r="A378" s="169"/>
      <c r="B378" s="167"/>
      <c r="D378" s="170"/>
      <c r="E378" s="170"/>
    </row>
    <row r="379" spans="1:5">
      <c r="A379" s="169"/>
      <c r="B379" s="167"/>
      <c r="D379" s="170"/>
      <c r="E379" s="170"/>
    </row>
    <row r="380" spans="1:5">
      <c r="A380" s="169"/>
      <c r="B380" s="167"/>
      <c r="D380" s="170"/>
      <c r="E380" s="170"/>
    </row>
    <row r="381" spans="1:5">
      <c r="A381" s="169"/>
      <c r="B381" s="167"/>
      <c r="D381" s="170"/>
      <c r="E381" s="170"/>
    </row>
    <row r="382" spans="1:5">
      <c r="A382" s="169"/>
      <c r="B382" s="167"/>
      <c r="D382" s="170"/>
      <c r="E382" s="170"/>
    </row>
    <row r="383" spans="1:5">
      <c r="A383" s="169"/>
      <c r="B383" s="167"/>
      <c r="D383" s="170"/>
      <c r="E383" s="170"/>
    </row>
    <row r="384" spans="1:5">
      <c r="A384" s="169"/>
      <c r="B384" s="167"/>
      <c r="D384" s="170"/>
      <c r="E384" s="170"/>
    </row>
    <row r="385" spans="1:5">
      <c r="A385" s="169"/>
      <c r="B385" s="167"/>
      <c r="D385" s="170"/>
      <c r="E385" s="170"/>
    </row>
    <row r="386" spans="1:5">
      <c r="A386" s="169"/>
      <c r="B386" s="167"/>
      <c r="D386" s="170"/>
      <c r="E386" s="170"/>
    </row>
    <row r="387" spans="1:5">
      <c r="A387" s="169"/>
      <c r="B387" s="167"/>
      <c r="D387" s="170"/>
      <c r="E387" s="170"/>
    </row>
    <row r="388" spans="1:5">
      <c r="A388" s="169"/>
      <c r="B388" s="167"/>
      <c r="D388" s="170"/>
      <c r="E388" s="170"/>
    </row>
    <row r="389" spans="1:5">
      <c r="A389" s="169"/>
      <c r="B389" s="167"/>
      <c r="D389" s="170"/>
      <c r="E389" s="170"/>
    </row>
    <row r="390" spans="1:5">
      <c r="A390" s="169"/>
      <c r="B390" s="167"/>
      <c r="D390" s="170"/>
      <c r="E390" s="170"/>
    </row>
    <row r="391" spans="1:5">
      <c r="A391" s="169"/>
      <c r="B391" s="167"/>
      <c r="D391" s="170"/>
      <c r="E391" s="170"/>
    </row>
    <row r="392" spans="1:5">
      <c r="A392" s="169"/>
      <c r="B392" s="167"/>
      <c r="D392" s="170"/>
      <c r="E392" s="170"/>
    </row>
    <row r="393" spans="1:5">
      <c r="A393" s="169"/>
      <c r="B393" s="167"/>
      <c r="D393" s="170"/>
      <c r="E393" s="170"/>
    </row>
    <row r="394" spans="1:5">
      <c r="A394" s="169"/>
      <c r="B394" s="167"/>
      <c r="D394" s="170"/>
      <c r="E394" s="170"/>
    </row>
    <row r="395" spans="1:5">
      <c r="A395" s="169"/>
      <c r="B395" s="167"/>
      <c r="D395" s="170"/>
      <c r="E395" s="170"/>
    </row>
    <row r="396" spans="1:5">
      <c r="A396" s="169"/>
      <c r="B396" s="167"/>
      <c r="D396" s="170"/>
      <c r="E396" s="170"/>
    </row>
    <row r="397" spans="1:5">
      <c r="A397" s="169"/>
      <c r="B397" s="167"/>
      <c r="D397" s="170"/>
      <c r="E397" s="170"/>
    </row>
    <row r="398" spans="1:5">
      <c r="A398" s="169"/>
      <c r="B398" s="167"/>
      <c r="D398" s="170"/>
      <c r="E398" s="170"/>
    </row>
    <row r="399" spans="1:5">
      <c r="A399" s="169"/>
      <c r="B399" s="167"/>
      <c r="D399" s="170"/>
      <c r="E399" s="170"/>
    </row>
    <row r="400" spans="1:5">
      <c r="A400" s="169"/>
      <c r="B400" s="167"/>
      <c r="D400" s="170"/>
      <c r="E400" s="170"/>
    </row>
    <row r="401" spans="1:5">
      <c r="A401" s="169"/>
      <c r="B401" s="167"/>
      <c r="D401" s="170"/>
      <c r="E401" s="170"/>
    </row>
    <row r="402" spans="1:5">
      <c r="A402" s="169"/>
      <c r="B402" s="167"/>
      <c r="D402" s="170"/>
      <c r="E402" s="170"/>
    </row>
    <row r="403" spans="1:5">
      <c r="A403" s="169"/>
      <c r="B403" s="167"/>
      <c r="D403" s="170"/>
      <c r="E403" s="170"/>
    </row>
    <row r="404" spans="1:5">
      <c r="A404" s="169"/>
      <c r="B404" s="167"/>
      <c r="D404" s="170"/>
      <c r="E404" s="170"/>
    </row>
    <row r="405" spans="1:5">
      <c r="A405" s="169"/>
      <c r="B405" s="167"/>
      <c r="D405" s="170"/>
      <c r="E405" s="170"/>
    </row>
    <row r="406" spans="1:5">
      <c r="A406" s="169"/>
      <c r="B406" s="167"/>
      <c r="D406" s="170"/>
      <c r="E406" s="170"/>
    </row>
    <row r="407" spans="1:5">
      <c r="A407" s="169"/>
      <c r="B407" s="167"/>
      <c r="D407" s="170"/>
      <c r="E407" s="170"/>
    </row>
    <row r="408" spans="1:5">
      <c r="A408" s="169"/>
      <c r="B408" s="167"/>
      <c r="D408" s="170"/>
      <c r="E408" s="170"/>
    </row>
    <row r="409" spans="1:5">
      <c r="A409" s="169"/>
      <c r="B409" s="167"/>
      <c r="D409" s="170"/>
      <c r="E409" s="170"/>
    </row>
    <row r="410" spans="1:5">
      <c r="A410" s="169"/>
      <c r="B410" s="167"/>
      <c r="D410" s="170"/>
      <c r="E410" s="170"/>
    </row>
    <row r="411" spans="1:5">
      <c r="A411" s="169"/>
      <c r="B411" s="167"/>
      <c r="D411" s="170"/>
      <c r="E411" s="170"/>
    </row>
    <row r="412" spans="1:5">
      <c r="A412" s="169"/>
      <c r="B412" s="167"/>
      <c r="D412" s="170"/>
      <c r="E412" s="170"/>
    </row>
    <row r="413" spans="1:5">
      <c r="A413" s="169"/>
      <c r="B413" s="167"/>
      <c r="D413" s="170"/>
      <c r="E413" s="170"/>
    </row>
    <row r="414" spans="1:5">
      <c r="A414" s="169"/>
      <c r="B414" s="167"/>
      <c r="D414" s="170"/>
      <c r="E414" s="170"/>
    </row>
    <row r="415" spans="1:5">
      <c r="A415" s="169"/>
      <c r="B415" s="167"/>
      <c r="D415" s="170"/>
      <c r="E415" s="170"/>
    </row>
    <row r="416" spans="1:5">
      <c r="A416" s="169"/>
      <c r="B416" s="167"/>
      <c r="D416" s="170"/>
      <c r="E416" s="170"/>
    </row>
    <row r="417" spans="1:5">
      <c r="A417" s="169"/>
      <c r="B417" s="167"/>
      <c r="D417" s="170"/>
      <c r="E417" s="170"/>
    </row>
    <row r="418" spans="1:5">
      <c r="A418" s="169"/>
      <c r="B418" s="167"/>
      <c r="D418" s="170"/>
      <c r="E418" s="170"/>
    </row>
    <row r="419" spans="1:5">
      <c r="A419" s="169"/>
      <c r="B419" s="167"/>
      <c r="D419" s="170"/>
      <c r="E419" s="170"/>
    </row>
    <row r="420" spans="1:5">
      <c r="A420" s="169"/>
      <c r="B420" s="167"/>
      <c r="D420" s="170"/>
      <c r="E420" s="170"/>
    </row>
    <row r="421" spans="1:5">
      <c r="A421" s="169"/>
      <c r="B421" s="167"/>
      <c r="D421" s="170"/>
      <c r="E421" s="170"/>
    </row>
    <row r="422" spans="1:5">
      <c r="A422" s="169"/>
      <c r="B422" s="167"/>
      <c r="D422" s="170"/>
      <c r="E422" s="170"/>
    </row>
    <row r="423" spans="1:5">
      <c r="A423" s="169"/>
      <c r="B423" s="167"/>
      <c r="D423" s="170"/>
      <c r="E423" s="170"/>
    </row>
    <row r="424" spans="1:5">
      <c r="A424" s="169"/>
      <c r="B424" s="167"/>
      <c r="D424" s="170"/>
      <c r="E424" s="170"/>
    </row>
    <row r="425" spans="1:5">
      <c r="A425" s="169"/>
      <c r="B425" s="167"/>
      <c r="D425" s="170"/>
      <c r="E425" s="170"/>
    </row>
    <row r="426" spans="1:5">
      <c r="A426" s="169"/>
      <c r="B426" s="167"/>
      <c r="D426" s="170"/>
      <c r="E426" s="170"/>
    </row>
    <row r="427" spans="1:5">
      <c r="A427" s="169"/>
      <c r="B427" s="167"/>
      <c r="D427" s="170"/>
      <c r="E427" s="170"/>
    </row>
    <row r="428" spans="1:5">
      <c r="A428" s="169"/>
      <c r="B428" s="167"/>
      <c r="D428" s="170"/>
      <c r="E428" s="170"/>
    </row>
    <row r="429" spans="1:5">
      <c r="A429" s="169"/>
      <c r="B429" s="167"/>
      <c r="D429" s="170"/>
      <c r="E429" s="170"/>
    </row>
    <row r="430" spans="1:5">
      <c r="A430" s="169"/>
      <c r="B430" s="167"/>
      <c r="D430" s="170"/>
      <c r="E430" s="170"/>
    </row>
    <row r="431" spans="1:5">
      <c r="A431" s="169"/>
      <c r="B431" s="167"/>
      <c r="D431" s="170"/>
      <c r="E431" s="170"/>
    </row>
    <row r="432" spans="1:5">
      <c r="A432" s="169"/>
      <c r="B432" s="167"/>
      <c r="D432" s="170"/>
      <c r="E432" s="170"/>
    </row>
    <row r="433" spans="1:5">
      <c r="A433" s="169"/>
      <c r="B433" s="167"/>
      <c r="D433" s="170"/>
      <c r="E433" s="170"/>
    </row>
    <row r="434" spans="1:5">
      <c r="A434" s="169"/>
      <c r="B434" s="167"/>
      <c r="D434" s="170"/>
      <c r="E434" s="170"/>
    </row>
    <row r="435" spans="1:5">
      <c r="A435" s="169"/>
      <c r="B435" s="167"/>
      <c r="D435" s="170"/>
      <c r="E435" s="170"/>
    </row>
    <row r="436" spans="1:5">
      <c r="A436" s="169"/>
      <c r="B436" s="167"/>
      <c r="D436" s="170"/>
      <c r="E436" s="170"/>
    </row>
    <row r="437" spans="1:5">
      <c r="A437" s="169"/>
      <c r="B437" s="167"/>
      <c r="D437" s="170"/>
      <c r="E437" s="170"/>
    </row>
    <row r="438" spans="1:5">
      <c r="A438" s="169"/>
      <c r="B438" s="167"/>
      <c r="D438" s="170"/>
      <c r="E438" s="170"/>
    </row>
    <row r="439" spans="1:5">
      <c r="A439" s="169"/>
      <c r="B439" s="167"/>
      <c r="D439" s="170"/>
      <c r="E439" s="170"/>
    </row>
    <row r="440" spans="1:5">
      <c r="A440" s="169"/>
      <c r="B440" s="167"/>
      <c r="D440" s="170"/>
      <c r="E440" s="170"/>
    </row>
    <row r="441" spans="1:5">
      <c r="A441" s="169"/>
      <c r="B441" s="167"/>
      <c r="D441" s="170"/>
      <c r="E441" s="170"/>
    </row>
    <row r="442" spans="1:5">
      <c r="A442" s="169"/>
      <c r="B442" s="167"/>
      <c r="D442" s="170"/>
      <c r="E442" s="170"/>
    </row>
    <row r="443" spans="1:5">
      <c r="A443" s="169"/>
      <c r="B443" s="167"/>
      <c r="D443" s="170"/>
      <c r="E443" s="170"/>
    </row>
    <row r="444" spans="1:5">
      <c r="A444" s="169"/>
      <c r="B444" s="167"/>
      <c r="D444" s="170"/>
      <c r="E444" s="170"/>
    </row>
    <row r="445" spans="1:5">
      <c r="A445" s="169"/>
      <c r="B445" s="167"/>
      <c r="D445" s="170"/>
      <c r="E445" s="170"/>
    </row>
    <row r="446" spans="1:5">
      <c r="A446" s="169"/>
      <c r="B446" s="167"/>
      <c r="D446" s="170"/>
      <c r="E446" s="170"/>
    </row>
    <row r="447" spans="1:5">
      <c r="A447" s="169"/>
      <c r="B447" s="167"/>
      <c r="D447" s="170"/>
      <c r="E447" s="170"/>
    </row>
    <row r="448" spans="1:5">
      <c r="A448" s="169"/>
      <c r="B448" s="167"/>
      <c r="D448" s="170"/>
      <c r="E448" s="170"/>
    </row>
    <row r="449" spans="1:5">
      <c r="A449" s="169"/>
      <c r="B449" s="167"/>
      <c r="D449" s="170"/>
      <c r="E449" s="170"/>
    </row>
    <row r="450" spans="1:5">
      <c r="A450" s="169"/>
      <c r="B450" s="167"/>
      <c r="D450" s="170"/>
      <c r="E450" s="170"/>
    </row>
    <row r="451" spans="1:5">
      <c r="A451" s="169"/>
      <c r="B451" s="167"/>
      <c r="D451" s="170"/>
      <c r="E451" s="170"/>
    </row>
    <row r="452" spans="1:5">
      <c r="A452" s="169"/>
      <c r="B452" s="167"/>
      <c r="D452" s="170"/>
      <c r="E452" s="170"/>
    </row>
    <row r="453" spans="1:5">
      <c r="A453" s="169"/>
      <c r="B453" s="167"/>
      <c r="D453" s="170"/>
      <c r="E453" s="170"/>
    </row>
    <row r="454" spans="1:5">
      <c r="A454" s="169"/>
      <c r="B454" s="167"/>
      <c r="D454" s="170"/>
      <c r="E454" s="170"/>
    </row>
    <row r="455" spans="1:5">
      <c r="A455" s="169"/>
      <c r="B455" s="167"/>
      <c r="D455" s="170"/>
      <c r="E455" s="170"/>
    </row>
    <row r="456" spans="1:5">
      <c r="A456" s="169"/>
      <c r="B456" s="167"/>
      <c r="D456" s="170"/>
      <c r="E456" s="170"/>
    </row>
    <row r="457" spans="1:5">
      <c r="A457" s="169"/>
      <c r="B457" s="167"/>
      <c r="D457" s="170"/>
      <c r="E457" s="170"/>
    </row>
    <row r="458" spans="1:5">
      <c r="A458" s="169"/>
      <c r="B458" s="167"/>
      <c r="D458" s="170"/>
      <c r="E458" s="170"/>
    </row>
    <row r="459" spans="1:5">
      <c r="A459" s="169"/>
      <c r="B459" s="167"/>
      <c r="D459" s="170"/>
      <c r="E459" s="170"/>
    </row>
    <row r="460" spans="1:5">
      <c r="A460" s="169"/>
      <c r="B460" s="167"/>
      <c r="D460" s="170"/>
      <c r="E460" s="170"/>
    </row>
    <row r="461" spans="1:5">
      <c r="A461" s="169"/>
      <c r="B461" s="167"/>
      <c r="D461" s="170"/>
      <c r="E461" s="170"/>
    </row>
    <row r="462" spans="1:5">
      <c r="A462" s="169"/>
      <c r="B462" s="167"/>
      <c r="D462" s="170"/>
      <c r="E462" s="170"/>
    </row>
    <row r="463" spans="1:5">
      <c r="A463" s="169"/>
      <c r="B463" s="167"/>
      <c r="D463" s="170"/>
      <c r="E463" s="170"/>
    </row>
    <row r="464" spans="1:5">
      <c r="A464" s="169"/>
      <c r="B464" s="167"/>
      <c r="D464" s="170"/>
      <c r="E464" s="170"/>
    </row>
    <row r="465" spans="1:5">
      <c r="A465" s="169"/>
      <c r="B465" s="167"/>
      <c r="D465" s="170"/>
      <c r="E465" s="170"/>
    </row>
    <row r="466" spans="1:5">
      <c r="A466" s="169"/>
      <c r="B466" s="167"/>
      <c r="D466" s="170"/>
      <c r="E466" s="170"/>
    </row>
    <row r="467" spans="1:5">
      <c r="A467" s="169"/>
      <c r="B467" s="167"/>
      <c r="D467" s="170"/>
      <c r="E467" s="170"/>
    </row>
    <row r="468" spans="1:5">
      <c r="A468" s="169"/>
      <c r="B468" s="167"/>
      <c r="D468" s="170"/>
      <c r="E468" s="170"/>
    </row>
    <row r="469" spans="1:5">
      <c r="A469" s="169"/>
      <c r="B469" s="167"/>
      <c r="D469" s="170"/>
      <c r="E469" s="170"/>
    </row>
    <row r="470" spans="1:5">
      <c r="A470" s="169"/>
      <c r="B470" s="167"/>
      <c r="D470" s="170"/>
      <c r="E470" s="170"/>
    </row>
    <row r="471" spans="1:5">
      <c r="A471" s="169"/>
      <c r="B471" s="167"/>
      <c r="D471" s="170"/>
      <c r="E471" s="170"/>
    </row>
    <row r="472" spans="1:5">
      <c r="A472" s="169"/>
      <c r="B472" s="167"/>
      <c r="D472" s="170"/>
      <c r="E472" s="170"/>
    </row>
    <row r="473" spans="1:5">
      <c r="A473" s="169"/>
      <c r="B473" s="167"/>
      <c r="D473" s="170"/>
      <c r="E473" s="170"/>
    </row>
    <row r="474" spans="1:5">
      <c r="A474" s="169"/>
      <c r="B474" s="167"/>
      <c r="D474" s="170"/>
      <c r="E474" s="170"/>
    </row>
    <row r="475" spans="1:5">
      <c r="A475" s="169"/>
      <c r="B475" s="167"/>
      <c r="D475" s="170"/>
      <c r="E475" s="170"/>
    </row>
    <row r="476" spans="1:5">
      <c r="A476" s="169"/>
      <c r="B476" s="167"/>
      <c r="D476" s="170"/>
      <c r="E476" s="170"/>
    </row>
    <row r="477" spans="1:5">
      <c r="A477" s="169"/>
      <c r="B477" s="167"/>
      <c r="D477" s="170"/>
      <c r="E477" s="170"/>
    </row>
    <row r="478" spans="1:5">
      <c r="A478" s="169"/>
      <c r="B478" s="167"/>
      <c r="D478" s="170"/>
      <c r="E478" s="170"/>
    </row>
    <row r="479" spans="1:5">
      <c r="A479" s="169"/>
      <c r="B479" s="167"/>
      <c r="D479" s="170"/>
      <c r="E479" s="170"/>
    </row>
    <row r="480" spans="1:5">
      <c r="A480" s="169"/>
      <c r="B480" s="167"/>
      <c r="D480" s="170"/>
      <c r="E480" s="170"/>
    </row>
    <row r="481" spans="1:5">
      <c r="A481" s="169"/>
      <c r="B481" s="167"/>
      <c r="D481" s="170"/>
      <c r="E481" s="170"/>
    </row>
    <row r="482" spans="1:5">
      <c r="A482" s="169"/>
      <c r="B482" s="167"/>
      <c r="D482" s="170"/>
      <c r="E482" s="170"/>
    </row>
    <row r="483" spans="1:5">
      <c r="A483" s="169"/>
      <c r="B483" s="167"/>
      <c r="D483" s="170"/>
      <c r="E483" s="170"/>
    </row>
    <row r="484" spans="1:5">
      <c r="A484" s="169"/>
      <c r="B484" s="167"/>
      <c r="D484" s="170"/>
      <c r="E484" s="170"/>
    </row>
    <row r="485" spans="1:5">
      <c r="A485" s="169"/>
      <c r="B485" s="167"/>
      <c r="D485" s="170"/>
      <c r="E485" s="170"/>
    </row>
    <row r="486" spans="1:5">
      <c r="A486" s="169"/>
      <c r="B486" s="167"/>
      <c r="D486" s="170"/>
      <c r="E486" s="170"/>
    </row>
    <row r="487" spans="1:5">
      <c r="A487" s="169"/>
      <c r="B487" s="167"/>
      <c r="D487" s="170"/>
      <c r="E487" s="170"/>
    </row>
    <row r="488" spans="1:5">
      <c r="A488" s="169"/>
      <c r="B488" s="167"/>
      <c r="D488" s="170"/>
      <c r="E488" s="170"/>
    </row>
    <row r="489" spans="1:5">
      <c r="A489" s="169"/>
      <c r="B489" s="167"/>
      <c r="D489" s="170"/>
      <c r="E489" s="170"/>
    </row>
    <row r="490" spans="1:5">
      <c r="A490" s="169"/>
      <c r="B490" s="167"/>
      <c r="D490" s="170"/>
      <c r="E490" s="170"/>
    </row>
    <row r="491" spans="1:5">
      <c r="A491" s="169"/>
      <c r="B491" s="167"/>
      <c r="D491" s="170"/>
      <c r="E491" s="170"/>
    </row>
    <row r="492" spans="1:5">
      <c r="A492" s="169"/>
      <c r="B492" s="167"/>
      <c r="D492" s="170"/>
      <c r="E492" s="170"/>
    </row>
    <row r="493" spans="1:5">
      <c r="A493" s="169"/>
      <c r="B493" s="167"/>
      <c r="D493" s="170"/>
      <c r="E493" s="170"/>
    </row>
    <row r="494" spans="1:5">
      <c r="A494" s="169"/>
      <c r="B494" s="167"/>
      <c r="D494" s="170"/>
      <c r="E494" s="170"/>
    </row>
    <row r="495" spans="1:5">
      <c r="A495" s="169"/>
      <c r="B495" s="167"/>
      <c r="D495" s="170"/>
      <c r="E495" s="170"/>
    </row>
    <row r="496" spans="1:5">
      <c r="A496" s="169"/>
      <c r="B496" s="167"/>
      <c r="D496" s="170"/>
      <c r="E496" s="170"/>
    </row>
    <row r="497" spans="1:5">
      <c r="A497" s="169"/>
      <c r="B497" s="167"/>
      <c r="D497" s="170"/>
      <c r="E497" s="170"/>
    </row>
    <row r="498" spans="1:5">
      <c r="A498" s="169"/>
      <c r="B498" s="167"/>
      <c r="D498" s="170"/>
      <c r="E498" s="170"/>
    </row>
    <row r="499" spans="1:5">
      <c r="A499" s="169"/>
      <c r="B499" s="167"/>
      <c r="D499" s="170"/>
      <c r="E499" s="170"/>
    </row>
    <row r="500" spans="1:5">
      <c r="A500" s="169"/>
      <c r="B500" s="167"/>
      <c r="D500" s="170"/>
      <c r="E500" s="170"/>
    </row>
    <row r="501" spans="1:5">
      <c r="A501" s="169"/>
      <c r="B501" s="167"/>
      <c r="D501" s="170"/>
      <c r="E501" s="170"/>
    </row>
    <row r="502" spans="1:5">
      <c r="A502" s="169"/>
      <c r="B502" s="167"/>
      <c r="D502" s="170"/>
      <c r="E502" s="170"/>
    </row>
    <row r="503" spans="1:5">
      <c r="A503" s="169"/>
      <c r="B503" s="167"/>
      <c r="D503" s="170"/>
      <c r="E503" s="170"/>
    </row>
    <row r="504" spans="1:5">
      <c r="A504" s="169"/>
      <c r="B504" s="167"/>
      <c r="D504" s="170"/>
      <c r="E504" s="170"/>
    </row>
    <row r="505" spans="1:5">
      <c r="A505" s="169"/>
      <c r="B505" s="167"/>
      <c r="D505" s="170"/>
      <c r="E505" s="170"/>
    </row>
    <row r="506" spans="1:5">
      <c r="A506" s="169"/>
      <c r="B506" s="167"/>
      <c r="D506" s="170"/>
      <c r="E506" s="170"/>
    </row>
    <row r="507" spans="1:5">
      <c r="A507" s="169"/>
      <c r="B507" s="167"/>
      <c r="D507" s="170"/>
      <c r="E507" s="170"/>
    </row>
    <row r="508" spans="1:5">
      <c r="A508" s="169"/>
      <c r="B508" s="167"/>
      <c r="D508" s="170"/>
      <c r="E508" s="170"/>
    </row>
    <row r="509" spans="1:5">
      <c r="A509" s="169"/>
      <c r="B509" s="167"/>
      <c r="D509" s="170"/>
      <c r="E509" s="170"/>
    </row>
    <row r="510" spans="1:5">
      <c r="A510" s="169"/>
      <c r="B510" s="167"/>
      <c r="D510" s="170"/>
      <c r="E510" s="170"/>
    </row>
    <row r="511" spans="1:5">
      <c r="A511" s="169"/>
      <c r="B511" s="167"/>
      <c r="D511" s="170"/>
      <c r="E511" s="170"/>
    </row>
    <row r="512" spans="1:5">
      <c r="A512" s="169"/>
      <c r="B512" s="167"/>
      <c r="D512" s="170"/>
      <c r="E512" s="170"/>
    </row>
    <row r="513" spans="1:5">
      <c r="A513" s="169"/>
      <c r="B513" s="167"/>
      <c r="D513" s="170"/>
      <c r="E513" s="170"/>
    </row>
    <row r="514" spans="1:5">
      <c r="A514" s="169"/>
      <c r="B514" s="167"/>
      <c r="D514" s="170"/>
      <c r="E514" s="170"/>
    </row>
    <row r="515" spans="1:5">
      <c r="A515" s="169"/>
      <c r="B515" s="167"/>
      <c r="D515" s="170"/>
      <c r="E515" s="170"/>
    </row>
    <row r="516" spans="1:5">
      <c r="A516" s="169"/>
      <c r="B516" s="167"/>
      <c r="D516" s="170"/>
      <c r="E516" s="170"/>
    </row>
    <row r="517" spans="1:5">
      <c r="A517" s="169"/>
      <c r="B517" s="167"/>
      <c r="D517" s="170"/>
      <c r="E517" s="170"/>
    </row>
    <row r="518" spans="1:5">
      <c r="A518" s="169"/>
      <c r="B518" s="167"/>
      <c r="D518" s="170"/>
      <c r="E518" s="170"/>
    </row>
    <row r="519" spans="1:5">
      <c r="A519" s="169"/>
      <c r="B519" s="167"/>
      <c r="D519" s="170"/>
      <c r="E519" s="170"/>
    </row>
    <row r="520" spans="1:5">
      <c r="A520" s="169"/>
      <c r="B520" s="167"/>
      <c r="D520" s="170"/>
      <c r="E520" s="170"/>
    </row>
    <row r="521" spans="1:5">
      <c r="A521" s="169"/>
      <c r="B521" s="167"/>
      <c r="D521" s="170"/>
      <c r="E521" s="170"/>
    </row>
    <row r="522" spans="1:5">
      <c r="A522" s="169"/>
      <c r="B522" s="167"/>
      <c r="D522" s="170"/>
      <c r="E522" s="170"/>
    </row>
    <row r="523" spans="1:5">
      <c r="A523" s="169"/>
      <c r="B523" s="167"/>
      <c r="D523" s="170"/>
      <c r="E523" s="170"/>
    </row>
    <row r="524" spans="1:5">
      <c r="A524" s="169"/>
      <c r="B524" s="167"/>
      <c r="D524" s="170"/>
      <c r="E524" s="170"/>
    </row>
    <row r="525" spans="1:5">
      <c r="A525" s="169"/>
      <c r="B525" s="167"/>
      <c r="D525" s="170"/>
      <c r="E525" s="170"/>
    </row>
    <row r="526" spans="1:5">
      <c r="A526" s="169"/>
      <c r="B526" s="167"/>
      <c r="D526" s="170"/>
      <c r="E526" s="170"/>
    </row>
    <row r="527" spans="1:5">
      <c r="A527" s="169"/>
      <c r="B527" s="167"/>
      <c r="D527" s="170"/>
      <c r="E527" s="170"/>
    </row>
    <row r="528" spans="1:5">
      <c r="A528" s="169"/>
      <c r="B528" s="167"/>
      <c r="D528" s="170"/>
      <c r="E528" s="170"/>
    </row>
    <row r="529" spans="1:5">
      <c r="A529" s="169"/>
      <c r="B529" s="167"/>
      <c r="D529" s="170"/>
      <c r="E529" s="170"/>
    </row>
    <row r="530" spans="1:5">
      <c r="A530" s="169"/>
      <c r="B530" s="167"/>
      <c r="D530" s="170"/>
      <c r="E530" s="170"/>
    </row>
    <row r="531" spans="1:5">
      <c r="A531" s="169"/>
      <c r="B531" s="167"/>
      <c r="D531" s="170"/>
      <c r="E531" s="170"/>
    </row>
    <row r="532" spans="1:5">
      <c r="A532" s="169"/>
      <c r="B532" s="167"/>
      <c r="D532" s="170"/>
      <c r="E532" s="170"/>
    </row>
    <row r="533" spans="1:5">
      <c r="A533" s="169"/>
      <c r="B533" s="167"/>
      <c r="D533" s="170"/>
      <c r="E533" s="170"/>
    </row>
    <row r="534" spans="1:5">
      <c r="A534" s="169"/>
      <c r="B534" s="167"/>
      <c r="D534" s="170"/>
      <c r="E534" s="170"/>
    </row>
    <row r="535" spans="1:5">
      <c r="A535" s="169"/>
      <c r="B535" s="167"/>
      <c r="D535" s="170"/>
      <c r="E535" s="170"/>
    </row>
    <row r="536" spans="1:5">
      <c r="A536" s="169"/>
      <c r="B536" s="167"/>
      <c r="D536" s="170"/>
      <c r="E536" s="170"/>
    </row>
    <row r="537" spans="1:5">
      <c r="A537" s="169"/>
      <c r="B537" s="167"/>
      <c r="D537" s="170"/>
      <c r="E537" s="170"/>
    </row>
    <row r="538" spans="1:5">
      <c r="A538" s="169"/>
      <c r="B538" s="167"/>
      <c r="D538" s="170"/>
      <c r="E538" s="170"/>
    </row>
    <row r="539" spans="1:5">
      <c r="A539" s="169"/>
      <c r="B539" s="167"/>
      <c r="D539" s="170"/>
      <c r="E539" s="170"/>
    </row>
    <row r="540" spans="1:5">
      <c r="A540" s="169"/>
      <c r="B540" s="167"/>
      <c r="D540" s="170"/>
      <c r="E540" s="170"/>
    </row>
    <row r="541" spans="1:5">
      <c r="A541" s="169"/>
      <c r="B541" s="167"/>
      <c r="D541" s="170"/>
      <c r="E541" s="170"/>
    </row>
    <row r="542" spans="1:5">
      <c r="A542" s="169"/>
      <c r="B542" s="167"/>
      <c r="D542" s="170"/>
      <c r="E542" s="170"/>
    </row>
    <row r="543" spans="1:5">
      <c r="A543" s="169"/>
      <c r="B543" s="167"/>
      <c r="D543" s="170"/>
      <c r="E543" s="170"/>
    </row>
    <row r="544" spans="1:5">
      <c r="A544" s="169"/>
      <c r="B544" s="167"/>
      <c r="D544" s="170"/>
      <c r="E544" s="170"/>
    </row>
    <row r="545" spans="1:5">
      <c r="A545" s="169"/>
      <c r="B545" s="167"/>
      <c r="D545" s="170"/>
      <c r="E545" s="170"/>
    </row>
    <row r="546" spans="1:5">
      <c r="A546" s="169"/>
      <c r="B546" s="167"/>
      <c r="D546" s="170"/>
      <c r="E546" s="170"/>
    </row>
    <row r="547" spans="1:5">
      <c r="A547" s="169"/>
      <c r="B547" s="167"/>
      <c r="D547" s="170"/>
      <c r="E547" s="170"/>
    </row>
    <row r="548" spans="1:5">
      <c r="A548" s="169"/>
      <c r="B548" s="167"/>
      <c r="D548" s="170"/>
      <c r="E548" s="170"/>
    </row>
    <row r="549" spans="1:5">
      <c r="A549" s="169"/>
      <c r="B549" s="167"/>
      <c r="D549" s="170"/>
      <c r="E549" s="170"/>
    </row>
    <row r="550" spans="1:5">
      <c r="A550" s="169"/>
      <c r="B550" s="167"/>
      <c r="D550" s="170"/>
      <c r="E550" s="170"/>
    </row>
    <row r="551" spans="1:5">
      <c r="A551" s="169"/>
      <c r="B551" s="167"/>
      <c r="D551" s="170"/>
      <c r="E551" s="170"/>
    </row>
    <row r="552" spans="1:5">
      <c r="A552" s="169"/>
      <c r="B552" s="167"/>
      <c r="D552" s="170"/>
      <c r="E552" s="170"/>
    </row>
    <row r="553" spans="1:5">
      <c r="A553" s="169"/>
      <c r="B553" s="167"/>
      <c r="D553" s="170"/>
      <c r="E553" s="170"/>
    </row>
    <row r="554" spans="1:5">
      <c r="A554" s="169"/>
      <c r="B554" s="167"/>
      <c r="D554" s="170"/>
      <c r="E554" s="170"/>
    </row>
    <row r="555" spans="1:5">
      <c r="A555" s="169"/>
      <c r="B555" s="167"/>
      <c r="D555" s="170"/>
      <c r="E555" s="170"/>
    </row>
    <row r="556" spans="1:5">
      <c r="A556" s="169"/>
      <c r="B556" s="167"/>
      <c r="D556" s="170"/>
      <c r="E556" s="170"/>
    </row>
    <row r="557" spans="1:5">
      <c r="A557" s="169"/>
      <c r="B557" s="167"/>
      <c r="D557" s="170"/>
      <c r="E557" s="170"/>
    </row>
    <row r="558" spans="1:5">
      <c r="A558" s="169"/>
      <c r="B558" s="167"/>
      <c r="D558" s="170"/>
      <c r="E558" s="170"/>
    </row>
    <row r="559" spans="1:5">
      <c r="A559" s="169"/>
      <c r="B559" s="167"/>
      <c r="D559" s="170"/>
      <c r="E559" s="170"/>
    </row>
    <row r="560" spans="1:5">
      <c r="A560" s="169"/>
      <c r="B560" s="167"/>
      <c r="D560" s="170"/>
      <c r="E560" s="170"/>
    </row>
    <row r="561" spans="1:5">
      <c r="A561" s="169"/>
      <c r="B561" s="167"/>
      <c r="D561" s="170"/>
      <c r="E561" s="170"/>
    </row>
    <row r="562" spans="1:5">
      <c r="A562" s="169"/>
      <c r="B562" s="167"/>
      <c r="D562" s="170"/>
      <c r="E562" s="170"/>
    </row>
    <row r="563" spans="1:5">
      <c r="A563" s="169"/>
      <c r="B563" s="167"/>
      <c r="D563" s="170"/>
      <c r="E563" s="170"/>
    </row>
    <row r="564" spans="1:5">
      <c r="A564" s="169"/>
      <c r="B564" s="167"/>
      <c r="D564" s="170"/>
      <c r="E564" s="170"/>
    </row>
    <row r="565" spans="1:5">
      <c r="A565" s="169"/>
      <c r="B565" s="167"/>
      <c r="D565" s="170"/>
      <c r="E565" s="170"/>
    </row>
    <row r="566" spans="1:5">
      <c r="A566" s="169"/>
      <c r="B566" s="167"/>
      <c r="D566" s="170"/>
      <c r="E566" s="170"/>
    </row>
    <row r="567" spans="1:5">
      <c r="A567" s="169"/>
      <c r="B567" s="167"/>
      <c r="D567" s="170"/>
      <c r="E567" s="170"/>
    </row>
    <row r="568" spans="1:5">
      <c r="A568" s="169"/>
      <c r="B568" s="167"/>
      <c r="D568" s="170"/>
      <c r="E568" s="170"/>
    </row>
    <row r="569" spans="1:5">
      <c r="A569" s="169"/>
      <c r="B569" s="167"/>
      <c r="D569" s="170"/>
      <c r="E569" s="170"/>
    </row>
    <row r="570" spans="1:5">
      <c r="A570" s="169"/>
      <c r="B570" s="167"/>
      <c r="D570" s="170"/>
      <c r="E570" s="170"/>
    </row>
    <row r="571" spans="1:5">
      <c r="A571" s="169"/>
      <c r="B571" s="167"/>
      <c r="D571" s="170"/>
      <c r="E571" s="170"/>
    </row>
    <row r="572" spans="1:5">
      <c r="A572" s="169"/>
      <c r="B572" s="167"/>
      <c r="D572" s="170"/>
      <c r="E572" s="170"/>
    </row>
    <row r="573" spans="1:5">
      <c r="A573" s="169"/>
      <c r="B573" s="167"/>
      <c r="D573" s="170"/>
      <c r="E573" s="170"/>
    </row>
    <row r="574" spans="1:5">
      <c r="A574" s="169"/>
      <c r="B574" s="167"/>
      <c r="D574" s="170"/>
      <c r="E574" s="170"/>
    </row>
    <row r="575" spans="1:5">
      <c r="A575" s="169"/>
      <c r="B575" s="167"/>
      <c r="D575" s="170"/>
      <c r="E575" s="170"/>
    </row>
    <row r="576" spans="1:5">
      <c r="A576" s="169"/>
      <c r="B576" s="167"/>
      <c r="D576" s="170"/>
      <c r="E576" s="170"/>
    </row>
    <row r="577" spans="1:5">
      <c r="A577" s="169"/>
      <c r="B577" s="167"/>
      <c r="D577" s="170"/>
      <c r="E577" s="170"/>
    </row>
    <row r="578" spans="1:5">
      <c r="A578" s="169"/>
      <c r="B578" s="167"/>
      <c r="D578" s="170"/>
      <c r="E578" s="170"/>
    </row>
    <row r="579" spans="1:5">
      <c r="A579" s="169"/>
      <c r="B579" s="167"/>
      <c r="D579" s="170"/>
      <c r="E579" s="170"/>
    </row>
    <row r="580" spans="1:5">
      <c r="A580" s="169"/>
      <c r="B580" s="167"/>
      <c r="D580" s="170"/>
      <c r="E580" s="170"/>
    </row>
    <row r="581" spans="1:5">
      <c r="A581" s="169"/>
      <c r="B581" s="167"/>
      <c r="D581" s="170"/>
      <c r="E581" s="170"/>
    </row>
    <row r="582" spans="1:5">
      <c r="A582" s="169"/>
      <c r="B582" s="167"/>
      <c r="D582" s="170"/>
      <c r="E582" s="170"/>
    </row>
    <row r="583" spans="1:5">
      <c r="A583" s="169"/>
      <c r="B583" s="167"/>
      <c r="D583" s="170"/>
      <c r="E583" s="170"/>
    </row>
    <row r="584" spans="1:5">
      <c r="A584" s="169"/>
      <c r="B584" s="167"/>
      <c r="D584" s="170"/>
      <c r="E584" s="170"/>
    </row>
    <row r="585" spans="1:5">
      <c r="A585" s="169"/>
      <c r="B585" s="167"/>
      <c r="D585" s="170"/>
      <c r="E585" s="170"/>
    </row>
    <row r="586" spans="1:5">
      <c r="A586" s="169"/>
      <c r="B586" s="167"/>
      <c r="D586" s="170"/>
      <c r="E586" s="170"/>
    </row>
    <row r="587" spans="1:5">
      <c r="A587" s="169"/>
      <c r="B587" s="167"/>
      <c r="D587" s="170"/>
      <c r="E587" s="170"/>
    </row>
    <row r="588" spans="1:5">
      <c r="A588" s="169"/>
      <c r="B588" s="167"/>
      <c r="D588" s="170"/>
      <c r="E588" s="170"/>
    </row>
    <row r="589" spans="1:5">
      <c r="A589" s="169"/>
      <c r="B589" s="167"/>
      <c r="D589" s="170"/>
      <c r="E589" s="170"/>
    </row>
    <row r="590" spans="1:5">
      <c r="A590" s="169"/>
      <c r="B590" s="167"/>
      <c r="D590" s="170"/>
      <c r="E590" s="170"/>
    </row>
    <row r="591" spans="1:5">
      <c r="A591" s="169"/>
      <c r="B591" s="167"/>
      <c r="D591" s="170"/>
      <c r="E591" s="170"/>
    </row>
    <row r="592" spans="1:5">
      <c r="A592" s="169"/>
      <c r="B592" s="167"/>
      <c r="D592" s="170"/>
      <c r="E592" s="170"/>
    </row>
    <row r="593" spans="1:5">
      <c r="A593" s="169"/>
      <c r="B593" s="167"/>
      <c r="D593" s="170"/>
      <c r="E593" s="170"/>
    </row>
    <row r="594" spans="1:5">
      <c r="A594" s="169"/>
      <c r="B594" s="167"/>
      <c r="D594" s="170"/>
      <c r="E594" s="170"/>
    </row>
    <row r="595" spans="1:5">
      <c r="A595" s="169"/>
      <c r="B595" s="167"/>
      <c r="D595" s="170"/>
      <c r="E595" s="170"/>
    </row>
    <row r="596" spans="1:5">
      <c r="A596" s="169"/>
      <c r="B596" s="167"/>
      <c r="D596" s="170"/>
      <c r="E596" s="170"/>
    </row>
    <row r="597" spans="1:5">
      <c r="A597" s="169"/>
      <c r="B597" s="167"/>
      <c r="D597" s="170"/>
      <c r="E597" s="170"/>
    </row>
    <row r="598" spans="1:5">
      <c r="A598" s="169"/>
      <c r="B598" s="167"/>
      <c r="D598" s="170"/>
      <c r="E598" s="170"/>
    </row>
    <row r="599" spans="1:5">
      <c r="A599" s="169"/>
      <c r="B599" s="167"/>
      <c r="D599" s="170"/>
      <c r="E599" s="170"/>
    </row>
    <row r="600" spans="1:5">
      <c r="A600" s="169"/>
      <c r="B600" s="167"/>
      <c r="D600" s="170"/>
      <c r="E600" s="170"/>
    </row>
    <row r="601" spans="1:5">
      <c r="A601" s="169"/>
      <c r="B601" s="167"/>
      <c r="D601" s="170"/>
      <c r="E601" s="170"/>
    </row>
    <row r="602" spans="1:5">
      <c r="A602" s="169"/>
      <c r="B602" s="167"/>
      <c r="D602" s="170"/>
      <c r="E602" s="170"/>
    </row>
    <row r="603" spans="1:5">
      <c r="A603" s="169"/>
      <c r="B603" s="167"/>
      <c r="D603" s="170"/>
      <c r="E603" s="170"/>
    </row>
    <row r="604" spans="1:5">
      <c r="A604" s="169"/>
      <c r="B604" s="167"/>
      <c r="D604" s="170"/>
      <c r="E604" s="170"/>
    </row>
    <row r="605" spans="1:5">
      <c r="A605" s="169"/>
      <c r="B605" s="167"/>
      <c r="D605" s="170"/>
      <c r="E605" s="170"/>
    </row>
    <row r="606" spans="1:5">
      <c r="A606" s="169"/>
      <c r="B606" s="167"/>
      <c r="D606" s="170"/>
      <c r="E606" s="170"/>
    </row>
    <row r="607" spans="1:5">
      <c r="A607" s="169"/>
      <c r="B607" s="167"/>
      <c r="D607" s="170"/>
      <c r="E607" s="170"/>
    </row>
    <row r="608" spans="1:5">
      <c r="A608" s="169"/>
      <c r="B608" s="167"/>
      <c r="D608" s="170"/>
      <c r="E608" s="170"/>
    </row>
    <row r="609" spans="1:5">
      <c r="A609" s="169"/>
      <c r="B609" s="167"/>
      <c r="D609" s="170"/>
      <c r="E609" s="170"/>
    </row>
    <row r="610" spans="1:5">
      <c r="A610" s="169"/>
      <c r="B610" s="167"/>
      <c r="D610" s="170"/>
      <c r="E610" s="170"/>
    </row>
    <row r="611" spans="1:5">
      <c r="A611" s="169"/>
      <c r="B611" s="167"/>
      <c r="D611" s="170"/>
      <c r="E611" s="170"/>
    </row>
    <row r="612" spans="1:5">
      <c r="A612" s="169"/>
      <c r="B612" s="167"/>
      <c r="D612" s="170"/>
      <c r="E612" s="170"/>
    </row>
    <row r="613" spans="1:5">
      <c r="A613" s="169"/>
      <c r="B613" s="167"/>
      <c r="D613" s="170"/>
      <c r="E613" s="170"/>
    </row>
    <row r="614" spans="1:5">
      <c r="A614" s="169"/>
      <c r="B614" s="167"/>
      <c r="D614" s="170"/>
      <c r="E614" s="170"/>
    </row>
    <row r="615" spans="1:5">
      <c r="A615" s="169"/>
      <c r="B615" s="167"/>
      <c r="D615" s="170"/>
      <c r="E615" s="170"/>
    </row>
    <row r="616" spans="1:5">
      <c r="A616" s="169"/>
      <c r="B616" s="167"/>
      <c r="D616" s="170"/>
      <c r="E616" s="170"/>
    </row>
    <row r="617" spans="1:5">
      <c r="A617" s="169"/>
      <c r="B617" s="167"/>
      <c r="D617" s="170"/>
      <c r="E617" s="170"/>
    </row>
    <row r="618" spans="1:5">
      <c r="A618" s="169"/>
      <c r="B618" s="167"/>
      <c r="D618" s="170"/>
      <c r="E618" s="170"/>
    </row>
    <row r="619" spans="1:5">
      <c r="A619" s="169"/>
      <c r="B619" s="167"/>
      <c r="D619" s="170"/>
      <c r="E619" s="170"/>
    </row>
    <row r="620" spans="1:5">
      <c r="A620" s="169"/>
      <c r="B620" s="167"/>
      <c r="D620" s="170"/>
      <c r="E620" s="170"/>
    </row>
    <row r="621" spans="1:5">
      <c r="A621" s="169"/>
      <c r="B621" s="167"/>
      <c r="D621" s="170"/>
      <c r="E621" s="170"/>
    </row>
    <row r="622" spans="1:5">
      <c r="A622" s="169"/>
      <c r="B622" s="167"/>
      <c r="D622" s="170"/>
      <c r="E622" s="170"/>
    </row>
    <row r="623" spans="1:5">
      <c r="A623" s="169"/>
      <c r="B623" s="167"/>
      <c r="D623" s="170"/>
      <c r="E623" s="170"/>
    </row>
    <row r="624" spans="1:5">
      <c r="A624" s="169"/>
      <c r="B624" s="167"/>
      <c r="D624" s="170"/>
      <c r="E624" s="170"/>
    </row>
    <row r="625" spans="1:5">
      <c r="A625" s="169"/>
      <c r="B625" s="167"/>
      <c r="D625" s="170"/>
      <c r="E625" s="170"/>
    </row>
    <row r="626" spans="1:5">
      <c r="A626" s="169"/>
      <c r="B626" s="167"/>
      <c r="D626" s="170"/>
      <c r="E626" s="170"/>
    </row>
    <row r="627" spans="1:5">
      <c r="A627" s="169"/>
      <c r="B627" s="167"/>
      <c r="D627" s="170"/>
      <c r="E627" s="170"/>
    </row>
    <row r="628" spans="1:5">
      <c r="A628" s="169"/>
      <c r="B628" s="167"/>
      <c r="D628" s="170"/>
      <c r="E628" s="170"/>
    </row>
    <row r="629" spans="1:5">
      <c r="A629" s="169"/>
      <c r="B629" s="167"/>
      <c r="D629" s="170"/>
      <c r="E629" s="170"/>
    </row>
    <row r="630" spans="1:5">
      <c r="A630" s="169"/>
      <c r="B630" s="167"/>
      <c r="D630" s="170"/>
      <c r="E630" s="170"/>
    </row>
    <row r="631" spans="1:5">
      <c r="A631" s="169"/>
      <c r="B631" s="167"/>
      <c r="D631" s="170"/>
      <c r="E631" s="170"/>
    </row>
    <row r="632" spans="1:5">
      <c r="A632" s="169"/>
      <c r="B632" s="167"/>
      <c r="D632" s="170"/>
      <c r="E632" s="170"/>
    </row>
    <row r="633" spans="1:5">
      <c r="A633" s="169"/>
      <c r="B633" s="167"/>
      <c r="D633" s="170"/>
      <c r="E633" s="170"/>
    </row>
    <row r="634" spans="1:5">
      <c r="A634" s="169"/>
      <c r="B634" s="167"/>
      <c r="D634" s="170"/>
      <c r="E634" s="170"/>
    </row>
    <row r="635" spans="1:5">
      <c r="A635" s="169"/>
      <c r="B635" s="167"/>
      <c r="D635" s="170"/>
      <c r="E635" s="170"/>
    </row>
    <row r="636" spans="1:5">
      <c r="A636" s="169"/>
      <c r="B636" s="167"/>
      <c r="D636" s="170"/>
      <c r="E636" s="170"/>
    </row>
    <row r="637" spans="1:5">
      <c r="A637" s="169"/>
      <c r="B637" s="167"/>
      <c r="D637" s="170"/>
      <c r="E637" s="170"/>
    </row>
    <row r="638" spans="1:5">
      <c r="A638" s="169"/>
      <c r="B638" s="167"/>
      <c r="D638" s="170"/>
      <c r="E638" s="170"/>
    </row>
    <row r="639" spans="1:5">
      <c r="A639" s="169"/>
      <c r="B639" s="167"/>
      <c r="D639" s="170"/>
      <c r="E639" s="170"/>
    </row>
    <row r="640" spans="1:5">
      <c r="A640" s="169"/>
      <c r="B640" s="167"/>
      <c r="D640" s="170"/>
      <c r="E640" s="170"/>
    </row>
    <row r="641" spans="1:5">
      <c r="A641" s="169"/>
      <c r="B641" s="167"/>
      <c r="D641" s="170"/>
      <c r="E641" s="170"/>
    </row>
    <row r="642" spans="1:5">
      <c r="A642" s="169"/>
      <c r="B642" s="167"/>
      <c r="D642" s="170"/>
      <c r="E642" s="170"/>
    </row>
    <row r="643" spans="1:5">
      <c r="A643" s="169"/>
      <c r="B643" s="167"/>
      <c r="D643" s="170"/>
      <c r="E643" s="170"/>
    </row>
    <row r="644" spans="1:5">
      <c r="A644" s="169"/>
      <c r="B644" s="167"/>
      <c r="D644" s="170"/>
      <c r="E644" s="170"/>
    </row>
    <row r="645" spans="1:5">
      <c r="A645" s="169"/>
      <c r="B645" s="167"/>
      <c r="D645" s="170"/>
      <c r="E645" s="170"/>
    </row>
    <row r="646" spans="1:5">
      <c r="A646" s="169"/>
      <c r="B646" s="167"/>
      <c r="D646" s="170"/>
      <c r="E646" s="170"/>
    </row>
    <row r="647" spans="1:5">
      <c r="A647" s="169"/>
      <c r="B647" s="167"/>
      <c r="D647" s="170"/>
      <c r="E647" s="170"/>
    </row>
    <row r="648" spans="1:5">
      <c r="A648" s="169"/>
      <c r="B648" s="167"/>
      <c r="D648" s="170"/>
      <c r="E648" s="170"/>
    </row>
    <row r="649" spans="1:5">
      <c r="A649" s="169"/>
      <c r="B649" s="167"/>
      <c r="D649" s="170"/>
      <c r="E649" s="170"/>
    </row>
    <row r="650" spans="1:5">
      <c r="A650" s="169"/>
      <c r="B650" s="167"/>
      <c r="D650" s="170"/>
      <c r="E650" s="170"/>
    </row>
    <row r="651" spans="1:5">
      <c r="A651" s="169"/>
      <c r="B651" s="167"/>
      <c r="D651" s="170"/>
      <c r="E651" s="170"/>
    </row>
    <row r="652" spans="1:5">
      <c r="A652" s="169"/>
      <c r="B652" s="167"/>
      <c r="D652" s="170"/>
      <c r="E652" s="170"/>
    </row>
    <row r="653" spans="1:5">
      <c r="A653" s="169"/>
      <c r="B653" s="167"/>
      <c r="D653" s="170"/>
      <c r="E653" s="170"/>
    </row>
    <row r="654" spans="1:5">
      <c r="A654" s="169"/>
      <c r="B654" s="167"/>
      <c r="D654" s="170"/>
      <c r="E654" s="170"/>
    </row>
    <row r="655" spans="1:5">
      <c r="A655" s="169"/>
      <c r="B655" s="167"/>
      <c r="D655" s="170"/>
      <c r="E655" s="170"/>
    </row>
    <row r="656" spans="1:5">
      <c r="A656" s="169"/>
      <c r="B656" s="167"/>
      <c r="D656" s="170"/>
      <c r="E656" s="170"/>
    </row>
    <row r="657" spans="1:5">
      <c r="A657" s="169"/>
      <c r="B657" s="167"/>
      <c r="D657" s="170"/>
      <c r="E657" s="170"/>
    </row>
    <row r="658" spans="1:5">
      <c r="A658" s="169"/>
      <c r="B658" s="167"/>
      <c r="D658" s="170"/>
      <c r="E658" s="170"/>
    </row>
    <row r="659" spans="1:5">
      <c r="A659" s="169"/>
      <c r="B659" s="167"/>
      <c r="D659" s="170"/>
      <c r="E659" s="170"/>
    </row>
    <row r="660" spans="1:5">
      <c r="A660" s="169"/>
      <c r="B660" s="167"/>
      <c r="D660" s="170"/>
      <c r="E660" s="170"/>
    </row>
    <row r="661" spans="1:5">
      <c r="A661" s="169"/>
      <c r="B661" s="167"/>
      <c r="D661" s="170"/>
      <c r="E661" s="170"/>
    </row>
    <row r="662" spans="1:5">
      <c r="A662" s="169"/>
      <c r="B662" s="167"/>
      <c r="D662" s="170"/>
      <c r="E662" s="170"/>
    </row>
    <row r="663" spans="1:5">
      <c r="A663" s="169"/>
      <c r="B663" s="167"/>
      <c r="D663" s="170"/>
      <c r="E663" s="170"/>
    </row>
    <row r="664" spans="1:5">
      <c r="A664" s="169"/>
      <c r="B664" s="167"/>
      <c r="D664" s="170"/>
      <c r="E664" s="170"/>
    </row>
    <row r="665" spans="1:5">
      <c r="A665" s="169"/>
      <c r="B665" s="167"/>
      <c r="D665" s="170"/>
      <c r="E665" s="170"/>
    </row>
    <row r="666" spans="1:5">
      <c r="A666" s="169"/>
      <c r="B666" s="167"/>
      <c r="D666" s="170"/>
      <c r="E666" s="170"/>
    </row>
    <row r="667" spans="1:5">
      <c r="A667" s="169"/>
      <c r="B667" s="167"/>
      <c r="D667" s="170"/>
      <c r="E667" s="170"/>
    </row>
    <row r="668" spans="1:5">
      <c r="A668" s="169"/>
      <c r="B668" s="167"/>
      <c r="D668" s="170"/>
      <c r="E668" s="170"/>
    </row>
    <row r="669" spans="1:5">
      <c r="A669" s="169"/>
      <c r="B669" s="167"/>
      <c r="D669" s="170"/>
      <c r="E669" s="170"/>
    </row>
    <row r="670" spans="1:5">
      <c r="A670" s="169"/>
      <c r="B670" s="167"/>
      <c r="D670" s="170"/>
      <c r="E670" s="170"/>
    </row>
    <row r="671" spans="1:5">
      <c r="A671" s="169"/>
      <c r="B671" s="167"/>
      <c r="D671" s="170"/>
      <c r="E671" s="170"/>
    </row>
    <row r="672" spans="1:5">
      <c r="A672" s="169"/>
      <c r="B672" s="167"/>
      <c r="D672" s="170"/>
      <c r="E672" s="170"/>
    </row>
    <row r="673" spans="1:5">
      <c r="A673" s="169"/>
      <c r="B673" s="167"/>
      <c r="D673" s="170"/>
      <c r="E673" s="170"/>
    </row>
    <row r="674" spans="1:5">
      <c r="A674" s="169"/>
      <c r="B674" s="167"/>
      <c r="D674" s="170"/>
      <c r="E674" s="170"/>
    </row>
    <row r="675" spans="1:5">
      <c r="A675" s="169"/>
      <c r="B675" s="167"/>
      <c r="D675" s="170"/>
      <c r="E675" s="170"/>
    </row>
    <row r="676" spans="1:5">
      <c r="A676" s="169"/>
      <c r="B676" s="167"/>
      <c r="D676" s="170"/>
      <c r="E676" s="170"/>
    </row>
    <row r="677" spans="1:5">
      <c r="A677" s="169"/>
      <c r="B677" s="167"/>
      <c r="D677" s="170"/>
      <c r="E677" s="170"/>
    </row>
    <row r="678" spans="1:5">
      <c r="A678" s="169"/>
      <c r="B678" s="167"/>
      <c r="D678" s="170"/>
      <c r="E678" s="170"/>
    </row>
    <row r="679" spans="1:5">
      <c r="A679" s="169"/>
      <c r="B679" s="167"/>
      <c r="D679" s="170"/>
      <c r="E679" s="170"/>
    </row>
    <row r="680" spans="1:5">
      <c r="A680" s="169"/>
      <c r="B680" s="167"/>
      <c r="D680" s="170"/>
      <c r="E680" s="170"/>
    </row>
    <row r="681" spans="1:5">
      <c r="A681" s="169"/>
      <c r="B681" s="167"/>
      <c r="D681" s="170"/>
      <c r="E681" s="170"/>
    </row>
    <row r="682" spans="1:5">
      <c r="A682" s="169"/>
      <c r="B682" s="167"/>
      <c r="D682" s="170"/>
      <c r="E682" s="170"/>
    </row>
    <row r="683" spans="1:5">
      <c r="A683" s="169"/>
      <c r="B683" s="167"/>
      <c r="D683" s="170"/>
      <c r="E683" s="170"/>
    </row>
    <row r="684" spans="1:5">
      <c r="A684" s="169"/>
      <c r="B684" s="167"/>
      <c r="D684" s="170"/>
      <c r="E684" s="170"/>
    </row>
    <row r="685" spans="1:5">
      <c r="A685" s="169"/>
      <c r="B685" s="167"/>
      <c r="D685" s="170"/>
      <c r="E685" s="170"/>
    </row>
    <row r="686" spans="1:5">
      <c r="A686" s="169"/>
      <c r="B686" s="167"/>
      <c r="D686" s="170"/>
      <c r="E686" s="170"/>
    </row>
    <row r="687" spans="1:5">
      <c r="A687" s="169"/>
      <c r="B687" s="167"/>
      <c r="D687" s="170"/>
      <c r="E687" s="170"/>
    </row>
    <row r="688" spans="1:5">
      <c r="A688" s="169"/>
      <c r="B688" s="167"/>
      <c r="D688" s="170"/>
      <c r="E688" s="170"/>
    </row>
    <row r="689" spans="1:5">
      <c r="A689" s="169"/>
      <c r="B689" s="167"/>
      <c r="D689" s="170"/>
      <c r="E689" s="170"/>
    </row>
    <row r="690" spans="1:5">
      <c r="A690" s="169"/>
      <c r="B690" s="167"/>
      <c r="D690" s="170"/>
      <c r="E690" s="170"/>
    </row>
    <row r="691" spans="1:5">
      <c r="A691" s="169"/>
      <c r="B691" s="167"/>
      <c r="D691" s="170"/>
      <c r="E691" s="170"/>
    </row>
    <row r="692" spans="1:5">
      <c r="A692" s="169"/>
      <c r="B692" s="167"/>
      <c r="D692" s="170"/>
      <c r="E692" s="170"/>
    </row>
    <row r="693" spans="1:5">
      <c r="A693" s="169"/>
      <c r="B693" s="167"/>
      <c r="D693" s="170"/>
      <c r="E693" s="170"/>
    </row>
    <row r="694" spans="1:5">
      <c r="A694" s="169"/>
      <c r="B694" s="167"/>
      <c r="D694" s="170"/>
      <c r="E694" s="170"/>
    </row>
    <row r="695" spans="1:5">
      <c r="A695" s="169"/>
      <c r="B695" s="167"/>
      <c r="D695" s="170"/>
      <c r="E695" s="170"/>
    </row>
    <row r="696" spans="1:5">
      <c r="A696" s="169"/>
      <c r="B696" s="167"/>
      <c r="D696" s="170"/>
      <c r="E696" s="170"/>
    </row>
    <row r="697" spans="1:5">
      <c r="A697" s="169"/>
      <c r="B697" s="167"/>
      <c r="D697" s="170"/>
      <c r="E697" s="170"/>
    </row>
    <row r="698" spans="1:5">
      <c r="A698" s="169"/>
      <c r="B698" s="167"/>
      <c r="D698" s="170"/>
      <c r="E698" s="170"/>
    </row>
    <row r="699" spans="1:5">
      <c r="A699" s="169"/>
      <c r="B699" s="167"/>
      <c r="D699" s="170"/>
      <c r="E699" s="170"/>
    </row>
    <row r="700" spans="1:5">
      <c r="A700" s="169"/>
      <c r="B700" s="167"/>
      <c r="D700" s="170"/>
      <c r="E700" s="170"/>
    </row>
  </sheetData>
  <mergeCells count="8">
    <mergeCell ref="A1:E1"/>
    <mergeCell ref="A47:C47"/>
    <mergeCell ref="B11:E11"/>
    <mergeCell ref="B25:E25"/>
    <mergeCell ref="B26:E26"/>
    <mergeCell ref="B33:E33"/>
    <mergeCell ref="B15:E15"/>
    <mergeCell ref="B6:E6"/>
  </mergeCells>
  <phoneticPr fontId="0" type="noConversion"/>
  <printOptions horizontalCentered="1" verticalCentered="1"/>
  <pageMargins left="0.75" right="0.75" top="1" bottom="1" header="0.5" footer="0.5"/>
  <pageSetup scale="91" fitToHeight="0" orientation="landscape" r:id="rId1"/>
  <headerFooter alignWithMargins="0"/>
  <colBreaks count="1" manualBreakCount="1">
    <brk id="5" max="1048575" man="1"/>
  </colBreaks>
  <ignoredErrors>
    <ignoredError sqref="A20" numberStoredAsText="1"/>
  </ignoredError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dimension ref="A1:N72"/>
  <sheetViews>
    <sheetView view="pageBreakPreview" zoomScaleNormal="100" zoomScaleSheetLayoutView="100" workbookViewId="0"/>
  </sheetViews>
  <sheetFormatPr defaultColWidth="9.109375" defaultRowHeight="13.2"/>
  <cols>
    <col min="1" max="1" width="121.33203125" style="42" customWidth="1"/>
    <col min="2" max="16384" width="9.109375" style="4"/>
  </cols>
  <sheetData>
    <row r="1" spans="1:14" s="57" customFormat="1">
      <c r="A1" s="187" t="s">
        <v>1752</v>
      </c>
    </row>
    <row r="2" spans="1:14">
      <c r="N2" s="4" t="s">
        <v>596</v>
      </c>
    </row>
    <row r="4" spans="1:14" s="81" customFormat="1" ht="26.4">
      <c r="A4" s="80" t="s">
        <v>1195</v>
      </c>
    </row>
    <row r="5" spans="1:14" s="81" customFormat="1">
      <c r="A5" s="80"/>
    </row>
    <row r="6" spans="1:14" s="81" customFormat="1" ht="39.6">
      <c r="A6" s="120" t="s">
        <v>1839</v>
      </c>
    </row>
    <row r="7" spans="1:14" s="81" customFormat="1">
      <c r="A7" s="80"/>
    </row>
    <row r="8" spans="1:14" s="81" customFormat="1" ht="79.2">
      <c r="A8" s="80" t="s">
        <v>1046</v>
      </c>
    </row>
    <row r="9" spans="1:14" s="81" customFormat="1">
      <c r="A9" s="80"/>
    </row>
    <row r="10" spans="1:14" s="81" customFormat="1" ht="39.6">
      <c r="A10" s="80" t="s">
        <v>1047</v>
      </c>
    </row>
    <row r="11" spans="1:14" s="81" customFormat="1" ht="189" customHeight="1">
      <c r="A11" s="80"/>
    </row>
    <row r="12" spans="1:14" s="81" customFormat="1" ht="66">
      <c r="A12" s="80" t="s">
        <v>1197</v>
      </c>
    </row>
    <row r="13" spans="1:14" s="81" customFormat="1">
      <c r="A13" s="80"/>
    </row>
    <row r="14" spans="1:14" s="81" customFormat="1" ht="25.5" customHeight="1">
      <c r="A14" s="80" t="s">
        <v>1374</v>
      </c>
    </row>
    <row r="15" spans="1:14" s="81" customFormat="1">
      <c r="A15" s="80"/>
    </row>
    <row r="16" spans="1:14" s="81" customFormat="1">
      <c r="A16" s="80" t="s">
        <v>1375</v>
      </c>
    </row>
    <row r="17" spans="1:1" s="81" customFormat="1">
      <c r="A17" s="80"/>
    </row>
    <row r="18" spans="1:1" s="81" customFormat="1" ht="63.75" customHeight="1">
      <c r="A18" s="120" t="s">
        <v>2178</v>
      </c>
    </row>
    <row r="19" spans="1:1" s="81" customFormat="1">
      <c r="A19" s="80"/>
    </row>
    <row r="20" spans="1:1" s="121" customFormat="1" ht="63.75" customHeight="1">
      <c r="A20" s="120" t="s">
        <v>1840</v>
      </c>
    </row>
    <row r="21" spans="1:1" s="121" customFormat="1">
      <c r="A21" s="120"/>
    </row>
    <row r="22" spans="1:1" s="81" customFormat="1" ht="38.25" customHeight="1">
      <c r="A22" s="120" t="s">
        <v>1945</v>
      </c>
    </row>
    <row r="23" spans="1:1" s="81" customFormat="1">
      <c r="A23" s="85"/>
    </row>
    <row r="24" spans="1:1" s="81" customFormat="1" ht="39.6">
      <c r="A24" s="80" t="s">
        <v>84</v>
      </c>
    </row>
    <row r="25" spans="1:1" s="81" customFormat="1">
      <c r="A25" s="80"/>
    </row>
    <row r="26" spans="1:1" s="81" customFormat="1" ht="39.6">
      <c r="A26" s="120" t="s">
        <v>1841</v>
      </c>
    </row>
    <row r="27" spans="1:1" s="81" customFormat="1">
      <c r="A27" s="85"/>
    </row>
    <row r="28" spans="1:1" s="81" customFormat="1" ht="39.6">
      <c r="A28" s="80" t="s">
        <v>403</v>
      </c>
    </row>
    <row r="29" spans="1:1" s="81" customFormat="1">
      <c r="A29" s="80"/>
    </row>
    <row r="30" spans="1:1" s="81" customFormat="1" ht="26.4">
      <c r="A30" s="80" t="s">
        <v>746</v>
      </c>
    </row>
    <row r="31" spans="1:1" s="81" customFormat="1">
      <c r="A31" s="85"/>
    </row>
    <row r="32" spans="1:1" s="81" customFormat="1" ht="39.6">
      <c r="A32" s="80" t="s">
        <v>341</v>
      </c>
    </row>
    <row r="33" spans="1:1" s="81" customFormat="1">
      <c r="A33" s="85"/>
    </row>
    <row r="34" spans="1:1" s="81" customFormat="1" ht="39.6">
      <c r="A34" s="82" t="s">
        <v>1473</v>
      </c>
    </row>
    <row r="35" spans="1:1" s="81" customFormat="1">
      <c r="A35" s="80"/>
    </row>
    <row r="36" spans="1:1" s="81" customFormat="1">
      <c r="A36" s="82" t="s">
        <v>1474</v>
      </c>
    </row>
    <row r="37" spans="1:1" s="81" customFormat="1">
      <c r="A37" s="80"/>
    </row>
    <row r="38" spans="1:1" s="81" customFormat="1" ht="26.4">
      <c r="A38" s="82" t="s">
        <v>1475</v>
      </c>
    </row>
    <row r="39" spans="1:1" s="81" customFormat="1">
      <c r="A39" s="85"/>
    </row>
    <row r="40" spans="1:1" s="81" customFormat="1">
      <c r="A40" s="82" t="s">
        <v>1476</v>
      </c>
    </row>
    <row r="41" spans="1:1" s="81" customFormat="1">
      <c r="A41" s="80"/>
    </row>
    <row r="42" spans="1:1" s="81" customFormat="1" ht="26.4">
      <c r="A42" s="82" t="s">
        <v>1427</v>
      </c>
    </row>
    <row r="43" spans="1:1" s="81" customFormat="1">
      <c r="A43" s="80"/>
    </row>
    <row r="44" spans="1:1" s="81" customFormat="1">
      <c r="A44" s="82" t="s">
        <v>1428</v>
      </c>
    </row>
    <row r="45" spans="1:1" s="81" customFormat="1">
      <c r="A45" s="82"/>
    </row>
    <row r="46" spans="1:1" s="81" customFormat="1">
      <c r="A46" s="82" t="s">
        <v>1429</v>
      </c>
    </row>
    <row r="47" spans="1:1" s="81" customFormat="1">
      <c r="A47" s="82"/>
    </row>
    <row r="48" spans="1:1" s="81" customFormat="1">
      <c r="A48" s="82" t="s">
        <v>1430</v>
      </c>
    </row>
    <row r="49" spans="1:1" s="81" customFormat="1">
      <c r="A49" s="82"/>
    </row>
    <row r="50" spans="1:1" s="81" customFormat="1" ht="25.5" customHeight="1">
      <c r="A50" s="82" t="s">
        <v>1431</v>
      </c>
    </row>
    <row r="51" spans="1:1" s="81" customFormat="1">
      <c r="A51" s="82"/>
    </row>
    <row r="52" spans="1:1" s="81" customFormat="1" ht="26.4">
      <c r="A52" s="82" t="s">
        <v>1432</v>
      </c>
    </row>
    <row r="53" spans="1:1" s="81" customFormat="1">
      <c r="A53" s="82"/>
    </row>
    <row r="54" spans="1:1" s="81" customFormat="1" ht="26.4">
      <c r="A54" s="82" t="s">
        <v>1433</v>
      </c>
    </row>
    <row r="55" spans="1:1" s="81" customFormat="1">
      <c r="A55" s="80"/>
    </row>
    <row r="56" spans="1:1" s="81" customFormat="1">
      <c r="A56" s="82" t="s">
        <v>1434</v>
      </c>
    </row>
    <row r="57" spans="1:1" s="81" customFormat="1">
      <c r="A57" s="82"/>
    </row>
    <row r="58" spans="1:1" s="81" customFormat="1" ht="26.4">
      <c r="A58" s="80" t="s">
        <v>342</v>
      </c>
    </row>
    <row r="59" spans="1:1" s="81" customFormat="1">
      <c r="A59" s="80"/>
    </row>
    <row r="60" spans="1:1" s="81" customFormat="1" ht="26.4">
      <c r="A60" s="120" t="s">
        <v>1867</v>
      </c>
    </row>
    <row r="61" spans="1:1" s="81" customFormat="1">
      <c r="A61" s="82"/>
    </row>
    <row r="62" spans="1:1" s="81" customFormat="1">
      <c r="A62" s="82"/>
    </row>
    <row r="63" spans="1:1" s="81" customFormat="1">
      <c r="A63" s="80"/>
    </row>
    <row r="64" spans="1:1" s="81" customFormat="1">
      <c r="A64" s="82"/>
    </row>
    <row r="65" spans="1:1" s="81" customFormat="1">
      <c r="A65" s="80"/>
    </row>
    <row r="66" spans="1:1" s="81" customFormat="1">
      <c r="A66" s="80"/>
    </row>
    <row r="67" spans="1:1" s="81" customFormat="1">
      <c r="A67" s="85"/>
    </row>
    <row r="68" spans="1:1" s="81" customFormat="1">
      <c r="A68" s="80"/>
    </row>
    <row r="69" spans="1:1" s="81" customFormat="1">
      <c r="A69" s="80"/>
    </row>
    <row r="70" spans="1:1" s="81" customFormat="1">
      <c r="A70" s="85"/>
    </row>
    <row r="72" spans="1:1">
      <c r="A72" s="48"/>
    </row>
  </sheetData>
  <customSheetViews>
    <customSheetView guid="{4FEDB3BD-111A-4B7D-AA97-E67173A5F707}" showPageBreaks="1" printArea="1" view="pageBreakPreview" showRuler="0" topLeftCell="A38">
      <selection activeCell="A62" sqref="A62"/>
      <rowBreaks count="3" manualBreakCount="3">
        <brk id="11" man="1"/>
        <brk id="29" man="1"/>
        <brk id="30" man="1"/>
      </rowBreaks>
      <pageMargins left="0.75" right="0.75" top="1" bottom="1" header="0.5" footer="0.5"/>
      <pageSetup scale="94" orientation="landscape" r:id="rId1"/>
      <headerFooter alignWithMargins="0">
        <oddFooter>&amp;CPage &amp;P of &amp;N</oddFooter>
      </headerFooter>
    </customSheetView>
    <customSheetView guid="{D5FFA8DD-F2DB-47F2-B4D2-3681726B2E8F}" showPageBreaks="1" view="pageBreakPreview" showRuler="0" topLeftCell="A31">
      <selection activeCell="C3" sqref="C3:P3"/>
      <rowBreaks count="3" manualBreakCount="3">
        <brk id="11" man="1"/>
        <brk id="12" max="16383" man="1"/>
        <brk id="32" man="1"/>
      </rowBreaks>
      <pageMargins left="0.75" right="0.75" top="1" bottom="1" header="0.5" footer="0.5"/>
      <pageSetup scale="94" orientation="landscape" r:id="rId2"/>
      <headerFooter alignWithMargins="0">
        <oddFooter>&amp;CPage &amp;P of &amp;N</oddFooter>
      </headerFooter>
    </customSheetView>
    <customSheetView guid="{EFE02F7B-3837-4B0F-9646-ADE249504E9F}" showPageBreaks="1" view="pageBreakPreview" showRuler="0" topLeftCell="A12">
      <selection activeCell="C23" sqref="C23"/>
      <rowBreaks count="3" manualBreakCount="3">
        <brk id="11" man="1"/>
        <brk id="12" max="16383" man="1"/>
        <brk id="32" man="1"/>
      </rowBreaks>
      <pageMargins left="0.75" right="0.75" top="1" bottom="1" header="0.5" footer="0.5"/>
      <pageSetup scale="94" orientation="landscape" r:id="rId3"/>
      <headerFooter alignWithMargins="0">
        <oddFooter>&amp;CPage &amp;P of &amp;N</oddFooter>
      </headerFooter>
    </customSheetView>
    <customSheetView guid="{053BE130-58A3-4F3B-945A-C2EFB15C6264}" showPageBreaks="1" view="pageBreakPreview" showRuler="0" topLeftCell="A12">
      <selection activeCell="C23" sqref="C23"/>
      <rowBreaks count="3" manualBreakCount="3">
        <brk id="11" man="1"/>
        <brk id="12" max="16383" man="1"/>
        <brk id="32" man="1"/>
      </rowBreaks>
      <pageMargins left="0.75" right="0.75" top="1" bottom="1" header="0.5" footer="0.5"/>
      <pageSetup scale="94" orientation="landscape" r:id="rId4"/>
      <headerFooter alignWithMargins="0">
        <oddFooter>&amp;CPage &amp;P of &amp;N</oddFooter>
      </headerFooter>
    </customSheetView>
    <customSheetView guid="{F5DBE5B9-A9E4-4030-888B-08F930ECBB74}" showPageBreaks="1" view="pageBreakPreview" showRuler="0" topLeftCell="A12">
      <selection activeCell="C23" sqref="C23"/>
      <rowBreaks count="3" manualBreakCount="3">
        <brk id="11" man="1"/>
        <brk id="12" max="16383" man="1"/>
        <brk id="32" man="1"/>
      </rowBreaks>
      <pageMargins left="0.75" right="0.75" top="1" bottom="1" header="0.5" footer="0.5"/>
      <pageSetup scale="94" orientation="landscape" r:id="rId5"/>
      <headerFooter alignWithMargins="0">
        <oddFooter>&amp;CPage &amp;P of &amp;N</oddFooter>
      </headerFooter>
    </customSheetView>
    <customSheetView guid="{960FB4AF-B150-4523-972C-3F7C93F049F3}" showPageBreaks="1" printArea="1" view="pageBreakPreview" showRuler="0" topLeftCell="A38">
      <selection activeCell="A62" sqref="A62"/>
      <rowBreaks count="2" manualBreakCount="2">
        <brk id="11" man="1"/>
        <brk id="30" man="1"/>
      </rowBreaks>
      <pageMargins left="0.75" right="0.75" top="1" bottom="1" header="0.5" footer="0.5"/>
      <pageSetup scale="94" orientation="landscape" r:id="rId6"/>
      <headerFooter alignWithMargins="0">
        <oddFooter>&amp;CPage &amp;P of &amp;N</oddFooter>
      </headerFooter>
    </customSheetView>
    <customSheetView guid="{DF3BD4C9-2986-4236-8E90-D96736404377}" showPageBreaks="1" printArea="1" view="pageBreakPreview" showRuler="0" topLeftCell="A38">
      <selection activeCell="A62" sqref="A62"/>
      <rowBreaks count="2" manualBreakCount="2">
        <brk id="11" man="1"/>
        <brk id="30" man="1"/>
      </rowBreaks>
      <pageMargins left="0.75" right="0.75" top="1" bottom="1" header="0.5" footer="0.5"/>
      <pageSetup scale="94"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rowBreaks count="2" manualBreakCount="2">
    <brk id="11" man="1"/>
    <brk id="27" man="1"/>
  </rowBreaks>
  <drawing r:id="rId9"/>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dimension ref="A1:F31"/>
  <sheetViews>
    <sheetView showGridLines="0" zoomScale="130" zoomScaleNormal="130" zoomScaleSheetLayoutView="100" workbookViewId="0">
      <selection sqref="A1:E1"/>
    </sheetView>
  </sheetViews>
  <sheetFormatPr defaultColWidth="9.109375" defaultRowHeight="13.2"/>
  <cols>
    <col min="2" max="2" width="31.33203125" style="70" customWidth="1"/>
    <col min="3" max="3" width="7.109375" style="70" customWidth="1"/>
    <col min="4" max="4" width="16.6640625" customWidth="1"/>
    <col min="5" max="5" width="68.33203125" customWidth="1"/>
    <col min="6" max="6" width="68" customWidth="1"/>
  </cols>
  <sheetData>
    <row r="1" spans="1:6" ht="20.100000000000001" customHeight="1">
      <c r="A1" s="879" t="s">
        <v>2011</v>
      </c>
      <c r="B1" s="880"/>
      <c r="C1" s="880"/>
      <c r="D1" s="880"/>
      <c r="E1" s="881"/>
    </row>
    <row r="2" spans="1:6" s="3" customFormat="1" ht="48" customHeight="1">
      <c r="A2" s="223" t="s">
        <v>385</v>
      </c>
      <c r="B2" s="182" t="s">
        <v>844</v>
      </c>
      <c r="C2" s="182" t="s">
        <v>984</v>
      </c>
      <c r="D2" s="182" t="s">
        <v>1069</v>
      </c>
      <c r="E2" s="224" t="s">
        <v>1070</v>
      </c>
    </row>
    <row r="3" spans="1:6" ht="27.6">
      <c r="A3" s="191">
        <v>9.1</v>
      </c>
      <c r="B3" s="150" t="s">
        <v>1947</v>
      </c>
      <c r="C3" s="460" t="s">
        <v>578</v>
      </c>
      <c r="D3" s="151" t="s">
        <v>775</v>
      </c>
      <c r="E3" s="149" t="s">
        <v>579</v>
      </c>
      <c r="F3" t="s">
        <v>596</v>
      </c>
    </row>
    <row r="4" spans="1:6" ht="20.100000000000001" customHeight="1">
      <c r="A4" s="191">
        <v>9.1999999999999993</v>
      </c>
      <c r="B4" s="150" t="s">
        <v>1485</v>
      </c>
      <c r="C4" s="460" t="s">
        <v>578</v>
      </c>
      <c r="D4" s="151" t="s">
        <v>1727</v>
      </c>
      <c r="E4" s="149" t="s">
        <v>580</v>
      </c>
    </row>
    <row r="5" spans="1:6" ht="27.6">
      <c r="A5" s="191">
        <v>9.3000000000000007</v>
      </c>
      <c r="B5" s="150" t="s">
        <v>1040</v>
      </c>
      <c r="C5" s="460" t="s">
        <v>578</v>
      </c>
      <c r="D5" s="151" t="s">
        <v>795</v>
      </c>
      <c r="E5" s="149" t="s">
        <v>306</v>
      </c>
    </row>
    <row r="6" spans="1:6" ht="41.4">
      <c r="A6" s="191">
        <v>9.4</v>
      </c>
      <c r="B6" s="150" t="s">
        <v>1042</v>
      </c>
      <c r="C6" s="460" t="s">
        <v>578</v>
      </c>
      <c r="D6" s="151" t="s">
        <v>917</v>
      </c>
      <c r="E6" s="149" t="s">
        <v>249</v>
      </c>
    </row>
    <row r="7" spans="1:6" ht="27.6">
      <c r="A7" s="191">
        <v>9.5</v>
      </c>
      <c r="B7" s="150" t="s">
        <v>1041</v>
      </c>
      <c r="C7" s="460" t="s">
        <v>578</v>
      </c>
      <c r="D7" s="151" t="s">
        <v>1331</v>
      </c>
      <c r="E7" s="149" t="s">
        <v>307</v>
      </c>
    </row>
    <row r="8" spans="1:6" ht="27.6">
      <c r="A8" s="191">
        <v>9.6</v>
      </c>
      <c r="B8" s="150" t="s">
        <v>2728</v>
      </c>
      <c r="C8" s="460" t="s">
        <v>982</v>
      </c>
      <c r="D8" s="151" t="s">
        <v>768</v>
      </c>
      <c r="E8" s="149" t="s">
        <v>2342</v>
      </c>
    </row>
    <row r="9" spans="1:6" ht="27.6">
      <c r="A9" s="191">
        <v>9.6999999999999993</v>
      </c>
      <c r="B9" s="150" t="s">
        <v>1633</v>
      </c>
      <c r="C9" s="460" t="s">
        <v>982</v>
      </c>
      <c r="D9" s="151" t="s">
        <v>1005</v>
      </c>
      <c r="E9" s="149" t="s">
        <v>1948</v>
      </c>
    </row>
    <row r="10" spans="1:6" ht="130.19999999999999" customHeight="1">
      <c r="A10" s="183">
        <v>9.8000000000000007</v>
      </c>
      <c r="B10" s="150" t="s">
        <v>2682</v>
      </c>
      <c r="C10" s="460" t="s">
        <v>982</v>
      </c>
      <c r="D10" s="460" t="s">
        <v>1071</v>
      </c>
      <c r="E10" s="651" t="s">
        <v>2681</v>
      </c>
      <c r="F10" s="631"/>
    </row>
    <row r="11" spans="1:6" ht="41.4">
      <c r="A11" s="183">
        <v>9.9</v>
      </c>
      <c r="B11" s="150" t="s">
        <v>843</v>
      </c>
      <c r="C11" s="460" t="s">
        <v>982</v>
      </c>
      <c r="D11" s="460" t="s">
        <v>1071</v>
      </c>
      <c r="E11" s="149" t="s">
        <v>1949</v>
      </c>
    </row>
    <row r="12" spans="1:6" ht="105.6" customHeight="1">
      <c r="A12" s="597" t="s">
        <v>2338</v>
      </c>
      <c r="B12" s="157" t="s">
        <v>2320</v>
      </c>
      <c r="C12" s="462" t="s">
        <v>982</v>
      </c>
      <c r="D12" s="462" t="s">
        <v>1071</v>
      </c>
      <c r="E12" s="192" t="s">
        <v>2330</v>
      </c>
    </row>
    <row r="13" spans="1:6" ht="15.6">
      <c r="A13" s="877" t="s">
        <v>888</v>
      </c>
      <c r="B13" s="878"/>
      <c r="C13" s="934"/>
      <c r="D13" s="188"/>
      <c r="E13" s="189"/>
    </row>
    <row r="14" spans="1:6" ht="55.2">
      <c r="A14" s="184">
        <v>9.11</v>
      </c>
      <c r="B14" s="150" t="s">
        <v>1509</v>
      </c>
      <c r="C14" s="460" t="s">
        <v>982</v>
      </c>
      <c r="D14" s="190" t="s">
        <v>1071</v>
      </c>
      <c r="E14" s="149" t="s">
        <v>609</v>
      </c>
    </row>
    <row r="15" spans="1:6" ht="41.4">
      <c r="A15" s="184">
        <v>9.1199999999999992</v>
      </c>
      <c r="B15" s="150" t="s">
        <v>1044</v>
      </c>
      <c r="C15" s="460" t="s">
        <v>982</v>
      </c>
      <c r="D15" s="190" t="s">
        <v>1071</v>
      </c>
      <c r="E15" s="149" t="s">
        <v>1684</v>
      </c>
      <c r="F15" s="70"/>
    </row>
    <row r="16" spans="1:6" ht="69">
      <c r="A16" s="183">
        <v>9.1300000000000008</v>
      </c>
      <c r="B16" s="150" t="s">
        <v>1111</v>
      </c>
      <c r="C16" s="460" t="s">
        <v>982</v>
      </c>
      <c r="D16" s="190" t="s">
        <v>1071</v>
      </c>
      <c r="E16" s="149" t="s">
        <v>2362</v>
      </c>
    </row>
    <row r="17" spans="1:5" ht="13.8">
      <c r="A17" s="183">
        <v>9.14</v>
      </c>
      <c r="B17" s="150" t="s">
        <v>1482</v>
      </c>
      <c r="C17" s="460" t="s">
        <v>982</v>
      </c>
      <c r="D17" s="190"/>
      <c r="E17" s="149" t="s">
        <v>1946</v>
      </c>
    </row>
    <row r="18" spans="1:5" ht="111" customHeight="1">
      <c r="A18" s="183">
        <v>9.15</v>
      </c>
      <c r="B18" s="150" t="s">
        <v>912</v>
      </c>
      <c r="C18" s="460" t="s">
        <v>982</v>
      </c>
      <c r="D18" s="190" t="s">
        <v>1071</v>
      </c>
      <c r="E18" s="149" t="s">
        <v>2363</v>
      </c>
    </row>
    <row r="19" spans="1:5" ht="15.6">
      <c r="A19" s="877" t="s">
        <v>889</v>
      </c>
      <c r="B19" s="878"/>
      <c r="C19" s="934"/>
      <c r="D19" s="188"/>
      <c r="E19" s="189"/>
    </row>
    <row r="20" spans="1:5" ht="41.4">
      <c r="A20" s="942">
        <v>9.16</v>
      </c>
      <c r="B20" s="945" t="s">
        <v>384</v>
      </c>
      <c r="C20" s="945" t="s">
        <v>982</v>
      </c>
      <c r="D20" s="151" t="s">
        <v>642</v>
      </c>
      <c r="E20" s="149" t="s">
        <v>420</v>
      </c>
    </row>
    <row r="21" spans="1:5" ht="69">
      <c r="A21" s="943"/>
      <c r="B21" s="946"/>
      <c r="C21" s="946"/>
      <c r="D21" s="151" t="s">
        <v>979</v>
      </c>
      <c r="E21" s="149" t="s">
        <v>2367</v>
      </c>
    </row>
    <row r="22" spans="1:5" ht="27.6">
      <c r="A22" s="943"/>
      <c r="B22" s="946"/>
      <c r="C22" s="946"/>
      <c r="D22" s="151" t="s">
        <v>858</v>
      </c>
      <c r="E22" s="149" t="s">
        <v>70</v>
      </c>
    </row>
    <row r="23" spans="1:5" ht="41.4">
      <c r="A23" s="943"/>
      <c r="B23" s="946"/>
      <c r="C23" s="946"/>
      <c r="D23" s="151" t="s">
        <v>421</v>
      </c>
      <c r="E23" s="149" t="s">
        <v>71</v>
      </c>
    </row>
    <row r="24" spans="1:5" ht="41.4">
      <c r="A24" s="943"/>
      <c r="B24" s="946"/>
      <c r="C24" s="946"/>
      <c r="D24" s="151" t="s">
        <v>460</v>
      </c>
      <c r="E24" s="149" t="s">
        <v>1547</v>
      </c>
    </row>
    <row r="25" spans="1:5" ht="41.4">
      <c r="A25" s="943"/>
      <c r="B25" s="946"/>
      <c r="C25" s="946"/>
      <c r="D25" s="151" t="s">
        <v>534</v>
      </c>
      <c r="E25" s="149" t="s">
        <v>1685</v>
      </c>
    </row>
    <row r="26" spans="1:5" ht="55.2">
      <c r="A26" s="943"/>
      <c r="B26" s="946"/>
      <c r="C26" s="946"/>
      <c r="D26" s="151" t="s">
        <v>534</v>
      </c>
      <c r="E26" s="149" t="s">
        <v>331</v>
      </c>
    </row>
    <row r="27" spans="1:5" ht="80.25" customHeight="1">
      <c r="A27" s="943"/>
      <c r="B27" s="946"/>
      <c r="C27" s="946"/>
      <c r="D27" s="151" t="s">
        <v>1332</v>
      </c>
      <c r="E27" s="149" t="s">
        <v>332</v>
      </c>
    </row>
    <row r="28" spans="1:5" ht="69">
      <c r="A28" s="943"/>
      <c r="B28" s="946"/>
      <c r="C28" s="946"/>
      <c r="D28" s="151" t="s">
        <v>73</v>
      </c>
      <c r="E28" s="149" t="s">
        <v>2290</v>
      </c>
    </row>
    <row r="29" spans="1:5" ht="27.6">
      <c r="A29" s="943"/>
      <c r="B29" s="946"/>
      <c r="C29" s="946"/>
      <c r="D29" s="151" t="s">
        <v>979</v>
      </c>
      <c r="E29" s="149" t="s">
        <v>333</v>
      </c>
    </row>
    <row r="30" spans="1:5" ht="27.6">
      <c r="A30" s="943"/>
      <c r="B30" s="946"/>
      <c r="C30" s="946"/>
      <c r="D30" s="151" t="s">
        <v>583</v>
      </c>
      <c r="E30" s="149" t="s">
        <v>334</v>
      </c>
    </row>
    <row r="31" spans="1:5" ht="124.8" thickBot="1">
      <c r="A31" s="944"/>
      <c r="B31" s="947"/>
      <c r="C31" s="947"/>
      <c r="D31" s="484" t="s">
        <v>2272</v>
      </c>
      <c r="E31" s="576" t="s">
        <v>2343</v>
      </c>
    </row>
  </sheetData>
  <customSheetViews>
    <customSheetView guid="{4FEDB3BD-111A-4B7D-AA97-E67173A5F707}" showPageBreaks="1" fitToPage="1" printArea="1" hiddenColumns="1" view="pageBreakPreview" showRuler="0" topLeftCell="B16">
      <selection activeCell="I6" sqref="I6"/>
      <pageMargins left="0.5" right="0.5" top="1" bottom="1" header="0.5" footer="0.5"/>
      <printOptions horizontalCentered="1"/>
      <pageSetup scale="91" fitToHeight="2" orientation="landscape" r:id="rId1"/>
      <headerFooter alignWithMargins="0">
        <oddHeader>&amp;C&amp;"Arial,Bold"&amp;12&amp;UProject Activity 9: Structures - Summary and Miscellaneous Tasks and Drawings</oddHeader>
        <oddFooter>&amp;CPage &amp;P of &amp;N</oddFooter>
      </headerFooter>
    </customSheetView>
    <customSheetView guid="{D5FFA8DD-F2DB-47F2-B4D2-3681726B2E8F}" showPageBreaks="1" fitToPage="1" printArea="1" hiddenColumns="1" view="pageBreakPreview" showRuler="0" topLeftCell="B16">
      <selection activeCell="C3" sqref="C3:P3"/>
      <pageMargins left="0.5" right="0.5" top="1" bottom="1" header="0.5" footer="0.5"/>
      <printOptions horizontalCentered="1"/>
      <pageSetup scale="91" fitToHeight="2" orientation="landscape" r:id="rId2"/>
      <headerFooter alignWithMargins="0">
        <oddHeader>&amp;C&amp;"Arial,Bold"&amp;12&amp;UProject Activity 9: Structures - Summary and Miscellaneous Tasks and Drawings</oddHeader>
        <oddFooter>&amp;CPage &amp;P of &amp;N</oddFooter>
      </headerFooter>
    </customSheetView>
    <customSheetView guid="{EFE02F7B-3837-4B0F-9646-ADE249504E9F}" showPageBreaks="1" printArea="1" hiddenColumns="1" view="pageBreakPreview" showRuler="0">
      <selection sqref="A1:IV65536"/>
      <pageMargins left="0.5" right="0.5" top="1" bottom="1" header="0.5" footer="0.5"/>
      <printOptions horizontalCentered="1"/>
      <pageSetup orientation="landscape" r:id="rId3"/>
      <headerFooter alignWithMargins="0">
        <oddHeader>&amp;C&amp;"Arial,Bold"&amp;12&amp;UProject Activity 9: Structures - Summary and Miscellaneous Tasks and Drawings</oddHeader>
        <oddFooter>&amp;CPage &amp;P of &amp;N</oddFooter>
      </headerFooter>
    </customSheetView>
    <customSheetView guid="{053BE130-58A3-4F3B-945A-C2EFB15C6264}" showPageBreaks="1" printArea="1" hiddenColumns="1" view="pageBreakPreview" showRuler="0">
      <selection sqref="A1:IV65536"/>
      <pageMargins left="0.5" right="0.5" top="1" bottom="1" header="0.5" footer="0.5"/>
      <printOptions horizontalCentered="1"/>
      <pageSetup orientation="landscape" r:id="rId4"/>
      <headerFooter alignWithMargins="0">
        <oddHeader>&amp;C&amp;"Arial,Bold"&amp;12&amp;UProject Activity 9: Structures - Summary and Miscellaneous Tasks and Drawings</oddHeader>
        <oddFooter>&amp;CPage &amp;P of &amp;N</oddFooter>
      </headerFooter>
    </customSheetView>
    <customSheetView guid="{F5DBE5B9-A9E4-4030-888B-08F930ECBB74}" showPageBreaks="1" printArea="1" hiddenColumns="1" view="pageBreakPreview" showRuler="0">
      <selection sqref="A1:IV65536"/>
      <pageMargins left="0.5" right="0.5" top="1" bottom="1" header="0.5" footer="0.5"/>
      <printOptions horizontalCentered="1"/>
      <pageSetup orientation="landscape" r:id="rId5"/>
      <headerFooter alignWithMargins="0">
        <oddHeader>&amp;C&amp;"Arial,Bold"&amp;12&amp;UProject Activity 9: Structures - Summary and Miscellaneous Tasks and Drawings</oddHeader>
        <oddFooter>&amp;CPage &amp;P of &amp;N</oddFooter>
      </headerFooter>
    </customSheetView>
    <customSheetView guid="{960FB4AF-B150-4523-972C-3F7C93F049F3}" showPageBreaks="1" fitToPage="1" printArea="1" hiddenColumns="1" view="pageBreakPreview" showRuler="0">
      <selection activeCell="B5" sqref="B5"/>
      <pageMargins left="0.5" right="0.5" top="1" bottom="1" header="0.5" footer="0.5"/>
      <printOptions horizontalCentered="1"/>
      <pageSetup scale="90" fitToHeight="2" orientation="landscape" r:id="rId6"/>
      <headerFooter alignWithMargins="0">
        <oddHeader>&amp;C&amp;"Arial,Bold"&amp;12&amp;UProject Activity 9: Structures - Summary and Miscellaneous Tasks and Drawings</oddHeader>
        <oddFooter>&amp;CPage &amp;P of &amp;N</oddFooter>
      </headerFooter>
    </customSheetView>
    <customSheetView guid="{DF3BD4C9-2986-4236-8E90-D96736404377}" showPageBreaks="1" fitToPage="1" printArea="1" hiddenColumns="1" view="pageBreakPreview" showRuler="0">
      <selection activeCell="I13" sqref="I13"/>
      <pageMargins left="0.5" right="0.5" top="1" bottom="1" header="0.5" footer="0.5"/>
      <printOptions horizontalCentered="1"/>
      <pageSetup scale="90" fitToHeight="2" orientation="landscape" r:id="rId7"/>
      <headerFooter alignWithMargins="0">
        <oddHeader>&amp;C&amp;"Arial,Bold"&amp;12&amp;UProject Activity 9: Structures - Summary and Miscellaneous Tasks and Drawings</oddHeader>
        <oddFooter>&amp;CPage &amp;P of &amp;N</oddFooter>
      </headerFooter>
    </customSheetView>
  </customSheetViews>
  <mergeCells count="6">
    <mergeCell ref="A1:E1"/>
    <mergeCell ref="A13:C13"/>
    <mergeCell ref="A19:C19"/>
    <mergeCell ref="A20:A31"/>
    <mergeCell ref="C20:C31"/>
    <mergeCell ref="B20:B31"/>
  </mergeCells>
  <phoneticPr fontId="0" type="noConversion"/>
  <printOptions horizontalCentered="1" verticalCentered="1"/>
  <pageMargins left="0.75" right="0.75" top="1" bottom="1" header="0.5" footer="0.5"/>
  <pageSetup scale="66" fitToHeight="2" orientation="landscape" r:id="rId8"/>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4"/>
  <dimension ref="A1:E59"/>
  <sheetViews>
    <sheetView showGridLines="0" zoomScale="115" zoomScaleNormal="115" zoomScaleSheetLayoutView="100" workbookViewId="0"/>
  </sheetViews>
  <sheetFormatPr defaultColWidth="9.109375" defaultRowHeight="13.2"/>
  <cols>
    <col min="1" max="1" width="6.6640625" style="96" customWidth="1"/>
    <col min="2" max="2" width="31.6640625" style="97" customWidth="1"/>
    <col min="3" max="3" width="11.6640625" style="96" customWidth="1"/>
    <col min="4" max="4" width="16.6640625" style="96" customWidth="1"/>
    <col min="5" max="5" width="60.5546875" style="96" customWidth="1"/>
    <col min="6" max="16384" width="9.109375" style="26"/>
  </cols>
  <sheetData>
    <row r="1" spans="1:5" ht="13.8" thickBot="1">
      <c r="A1" s="98" t="s">
        <v>1435</v>
      </c>
    </row>
    <row r="2" spans="1:5" ht="20.100000000000001" customHeight="1">
      <c r="A2" s="950" t="s">
        <v>2012</v>
      </c>
      <c r="B2" s="951"/>
      <c r="C2" s="951"/>
      <c r="D2" s="951"/>
      <c r="E2" s="952"/>
    </row>
    <row r="3" spans="1:5" s="99" customFormat="1" ht="48" customHeight="1">
      <c r="A3" s="225" t="s">
        <v>385</v>
      </c>
      <c r="B3" s="226" t="s">
        <v>844</v>
      </c>
      <c r="C3" s="226" t="s">
        <v>984</v>
      </c>
      <c r="D3" s="226" t="s">
        <v>1069</v>
      </c>
      <c r="E3" s="227" t="s">
        <v>1070</v>
      </c>
    </row>
    <row r="4" spans="1:5" s="92" customFormat="1" ht="20.100000000000001" customHeight="1">
      <c r="A4" s="201"/>
      <c r="B4" s="202" t="s">
        <v>956</v>
      </c>
      <c r="C4" s="202"/>
      <c r="D4" s="211"/>
      <c r="E4" s="212"/>
    </row>
    <row r="5" spans="1:5" s="92" customFormat="1" ht="52.8">
      <c r="A5" s="91">
        <v>10.1</v>
      </c>
      <c r="B5" s="89" t="s">
        <v>957</v>
      </c>
      <c r="C5" s="31" t="s">
        <v>982</v>
      </c>
      <c r="D5" s="11" t="s">
        <v>632</v>
      </c>
      <c r="E5" s="75" t="s">
        <v>335</v>
      </c>
    </row>
    <row r="6" spans="1:5" s="92" customFormat="1" ht="26.4">
      <c r="A6" s="91">
        <v>10.199999999999999</v>
      </c>
      <c r="B6" s="89" t="s">
        <v>958</v>
      </c>
      <c r="C6" s="31" t="s">
        <v>982</v>
      </c>
      <c r="D6" s="11" t="s">
        <v>1332</v>
      </c>
      <c r="E6" s="75" t="s">
        <v>336</v>
      </c>
    </row>
    <row r="7" spans="1:5" s="92" customFormat="1" ht="39.6">
      <c r="A7" s="91">
        <v>10.3</v>
      </c>
      <c r="B7" s="89" t="s">
        <v>959</v>
      </c>
      <c r="C7" s="31" t="s">
        <v>1008</v>
      </c>
      <c r="D7" s="11" t="s">
        <v>568</v>
      </c>
      <c r="E7" s="75" t="s">
        <v>417</v>
      </c>
    </row>
    <row r="8" spans="1:5" s="92" customFormat="1" ht="105.6">
      <c r="A8" s="201"/>
      <c r="B8" s="202" t="s">
        <v>960</v>
      </c>
      <c r="C8" s="206"/>
      <c r="D8" s="203"/>
      <c r="E8" s="204" t="s">
        <v>1950</v>
      </c>
    </row>
    <row r="9" spans="1:5" s="92" customFormat="1" ht="39.6">
      <c r="A9" s="91">
        <v>10.4</v>
      </c>
      <c r="B9" s="89" t="s">
        <v>1635</v>
      </c>
      <c r="C9" s="90" t="s">
        <v>427</v>
      </c>
      <c r="D9" s="11" t="s">
        <v>1727</v>
      </c>
      <c r="E9" s="75" t="s">
        <v>455</v>
      </c>
    </row>
    <row r="10" spans="1:5" s="92" customFormat="1" ht="26.4">
      <c r="A10" s="91">
        <v>10.5</v>
      </c>
      <c r="B10" s="89" t="s">
        <v>1686</v>
      </c>
      <c r="C10" s="90" t="s">
        <v>427</v>
      </c>
      <c r="D10" s="11" t="s">
        <v>633</v>
      </c>
      <c r="E10" s="113" t="s">
        <v>1951</v>
      </c>
    </row>
    <row r="11" spans="1:5" s="92" customFormat="1" ht="52.8">
      <c r="A11" s="91">
        <v>10.6</v>
      </c>
      <c r="B11" s="89" t="s">
        <v>961</v>
      </c>
      <c r="C11" s="90" t="s">
        <v>427</v>
      </c>
      <c r="D11" s="11" t="s">
        <v>634</v>
      </c>
      <c r="E11" s="75" t="s">
        <v>429</v>
      </c>
    </row>
    <row r="12" spans="1:5" s="92" customFormat="1" ht="52.8">
      <c r="A12" s="91">
        <v>10.7</v>
      </c>
      <c r="B12" s="89" t="s">
        <v>1636</v>
      </c>
      <c r="C12" s="90" t="s">
        <v>427</v>
      </c>
      <c r="D12" s="11" t="s">
        <v>635</v>
      </c>
      <c r="E12" s="75" t="s">
        <v>430</v>
      </c>
    </row>
    <row r="13" spans="1:5" s="92" customFormat="1" ht="20.100000000000001" customHeight="1">
      <c r="A13" s="201"/>
      <c r="B13" s="202" t="s">
        <v>962</v>
      </c>
      <c r="C13" s="206"/>
      <c r="D13" s="203"/>
      <c r="E13" s="205"/>
    </row>
    <row r="14" spans="1:5" s="92" customFormat="1" ht="79.2">
      <c r="A14" s="91">
        <v>10.8</v>
      </c>
      <c r="B14" s="89" t="s">
        <v>1043</v>
      </c>
      <c r="C14" s="90" t="s">
        <v>428</v>
      </c>
      <c r="D14" s="11" t="s">
        <v>636</v>
      </c>
      <c r="E14" s="75" t="s">
        <v>815</v>
      </c>
    </row>
    <row r="15" spans="1:5" s="92" customFormat="1" ht="52.8">
      <c r="A15" s="91">
        <v>10.9</v>
      </c>
      <c r="B15" s="84" t="s">
        <v>1952</v>
      </c>
      <c r="C15" s="104" t="s">
        <v>428</v>
      </c>
      <c r="D15" s="115" t="s">
        <v>1727</v>
      </c>
      <c r="E15" s="113" t="s">
        <v>1953</v>
      </c>
    </row>
    <row r="16" spans="1:5" s="92" customFormat="1" ht="52.8">
      <c r="A16" s="93">
        <v>10.1</v>
      </c>
      <c r="B16" s="106" t="s">
        <v>963</v>
      </c>
      <c r="C16" s="104" t="s">
        <v>1954</v>
      </c>
      <c r="D16" s="115" t="s">
        <v>584</v>
      </c>
      <c r="E16" s="113" t="s">
        <v>1106</v>
      </c>
    </row>
    <row r="17" spans="1:5" s="92" customFormat="1" ht="20.100000000000001" customHeight="1">
      <c r="A17" s="201"/>
      <c r="B17" s="207" t="s">
        <v>1637</v>
      </c>
      <c r="C17" s="208"/>
      <c r="D17" s="209"/>
      <c r="E17" s="210"/>
    </row>
    <row r="18" spans="1:5" s="92" customFormat="1" ht="39.6">
      <c r="A18" s="93">
        <v>10.11</v>
      </c>
      <c r="B18" s="94" t="s">
        <v>1732</v>
      </c>
      <c r="C18" s="95" t="s">
        <v>982</v>
      </c>
      <c r="D18" s="19" t="s">
        <v>1731</v>
      </c>
      <c r="E18" s="73" t="s">
        <v>359</v>
      </c>
    </row>
    <row r="19" spans="1:5" s="92" customFormat="1" ht="39.6">
      <c r="A19" s="93">
        <v>10.119999999999999</v>
      </c>
      <c r="B19" s="94" t="s">
        <v>1414</v>
      </c>
      <c r="C19" s="95" t="s">
        <v>982</v>
      </c>
      <c r="D19" s="19" t="s">
        <v>637</v>
      </c>
      <c r="E19" s="73" t="s">
        <v>360</v>
      </c>
    </row>
    <row r="20" spans="1:5" s="92" customFormat="1" ht="39.6">
      <c r="A20" s="93">
        <v>10.130000000000001</v>
      </c>
      <c r="B20" s="94" t="s">
        <v>1424</v>
      </c>
      <c r="C20" s="95" t="s">
        <v>982</v>
      </c>
      <c r="D20" s="19" t="s">
        <v>1731</v>
      </c>
      <c r="E20" s="73" t="s">
        <v>1687</v>
      </c>
    </row>
    <row r="21" spans="1:5" s="92" customFormat="1" ht="26.4">
      <c r="A21" s="93">
        <v>10.14</v>
      </c>
      <c r="B21" s="94" t="s">
        <v>1415</v>
      </c>
      <c r="C21" s="95" t="s">
        <v>982</v>
      </c>
      <c r="D21" s="19" t="s">
        <v>1728</v>
      </c>
      <c r="E21" s="73" t="s">
        <v>361</v>
      </c>
    </row>
    <row r="22" spans="1:5" s="92" customFormat="1" ht="39.6">
      <c r="A22" s="93">
        <v>10.15</v>
      </c>
      <c r="B22" s="94" t="s">
        <v>1479</v>
      </c>
      <c r="C22" s="95" t="s">
        <v>982</v>
      </c>
      <c r="D22" s="19" t="s">
        <v>638</v>
      </c>
      <c r="E22" s="73" t="s">
        <v>362</v>
      </c>
    </row>
    <row r="23" spans="1:5" s="92" customFormat="1" ht="39.6">
      <c r="A23" s="93">
        <v>10.16</v>
      </c>
      <c r="B23" s="94" t="s">
        <v>1416</v>
      </c>
      <c r="C23" s="95" t="s">
        <v>982</v>
      </c>
      <c r="D23" s="19" t="s">
        <v>744</v>
      </c>
      <c r="E23" s="73" t="s">
        <v>1688</v>
      </c>
    </row>
    <row r="24" spans="1:5" s="92" customFormat="1" ht="52.8">
      <c r="A24" s="93">
        <v>10.17</v>
      </c>
      <c r="B24" s="94" t="s">
        <v>1417</v>
      </c>
      <c r="C24" s="95" t="s">
        <v>982</v>
      </c>
      <c r="D24" s="19" t="s">
        <v>534</v>
      </c>
      <c r="E24" s="73" t="s">
        <v>363</v>
      </c>
    </row>
    <row r="25" spans="1:5" s="92" customFormat="1" ht="26.4">
      <c r="A25" s="93">
        <v>10.18</v>
      </c>
      <c r="B25" s="94" t="s">
        <v>1418</v>
      </c>
      <c r="C25" s="95" t="s">
        <v>982</v>
      </c>
      <c r="D25" s="19" t="s">
        <v>639</v>
      </c>
      <c r="E25" s="73" t="s">
        <v>364</v>
      </c>
    </row>
    <row r="26" spans="1:5" s="92" customFormat="1" ht="26.4">
      <c r="A26" s="93">
        <v>10.19</v>
      </c>
      <c r="B26" s="94" t="s">
        <v>1419</v>
      </c>
      <c r="C26" s="95" t="s">
        <v>982</v>
      </c>
      <c r="D26" s="19" t="s">
        <v>637</v>
      </c>
      <c r="E26" s="73" t="s">
        <v>365</v>
      </c>
    </row>
    <row r="27" spans="1:5" s="92" customFormat="1" ht="26.4">
      <c r="A27" s="93">
        <v>10.199999999999999</v>
      </c>
      <c r="B27" s="94" t="s">
        <v>1420</v>
      </c>
      <c r="C27" s="95" t="s">
        <v>982</v>
      </c>
      <c r="D27" s="19" t="s">
        <v>637</v>
      </c>
      <c r="E27" s="73" t="s">
        <v>44</v>
      </c>
    </row>
    <row r="28" spans="1:5" s="92" customFormat="1" ht="26.4">
      <c r="A28" s="93">
        <v>10.210000000000001</v>
      </c>
      <c r="B28" s="94" t="s">
        <v>1421</v>
      </c>
      <c r="C28" s="95" t="s">
        <v>982</v>
      </c>
      <c r="D28" s="19" t="s">
        <v>989</v>
      </c>
      <c r="E28" s="73" t="s">
        <v>518</v>
      </c>
    </row>
    <row r="29" spans="1:5" s="92" customFormat="1" ht="26.4">
      <c r="A29" s="93">
        <v>10.220000000000001</v>
      </c>
      <c r="B29" s="94" t="s">
        <v>517</v>
      </c>
      <c r="C29" s="95" t="s">
        <v>982</v>
      </c>
      <c r="D29" s="19" t="s">
        <v>640</v>
      </c>
      <c r="E29" s="73" t="s">
        <v>45</v>
      </c>
    </row>
    <row r="30" spans="1:5" s="92" customFormat="1" ht="40.5" customHeight="1">
      <c r="A30" s="93">
        <v>10.23</v>
      </c>
      <c r="B30" s="94" t="s">
        <v>1423</v>
      </c>
      <c r="C30" s="95" t="s">
        <v>982</v>
      </c>
      <c r="D30" s="19" t="s">
        <v>643</v>
      </c>
      <c r="E30" s="73" t="s">
        <v>816</v>
      </c>
    </row>
    <row r="31" spans="1:5" s="92" customFormat="1" ht="20.100000000000001" customHeight="1">
      <c r="A31" s="201"/>
      <c r="B31" s="202" t="s">
        <v>514</v>
      </c>
      <c r="C31" s="206"/>
      <c r="D31" s="203"/>
      <c r="E31" s="205"/>
    </row>
    <row r="32" spans="1:5" s="92" customFormat="1" ht="26.4">
      <c r="A32" s="93">
        <v>10.24</v>
      </c>
      <c r="B32" s="89" t="s">
        <v>964</v>
      </c>
      <c r="C32" s="31" t="s">
        <v>982</v>
      </c>
      <c r="D32" s="11" t="s">
        <v>642</v>
      </c>
      <c r="E32" s="75" t="s">
        <v>46</v>
      </c>
    </row>
    <row r="33" spans="1:5" ht="26.4">
      <c r="A33" s="93">
        <v>10.25</v>
      </c>
      <c r="B33" s="89" t="s">
        <v>2370</v>
      </c>
      <c r="C33" s="31" t="s">
        <v>982</v>
      </c>
      <c r="D33" s="11" t="s">
        <v>445</v>
      </c>
      <c r="E33" s="75" t="s">
        <v>2369</v>
      </c>
    </row>
    <row r="34" spans="1:5" s="92" customFormat="1" ht="26.4">
      <c r="A34" s="93">
        <v>10.26</v>
      </c>
      <c r="B34" s="89" t="s">
        <v>1702</v>
      </c>
      <c r="C34" s="31" t="s">
        <v>982</v>
      </c>
      <c r="D34" s="11" t="s">
        <v>460</v>
      </c>
      <c r="E34" s="75" t="s">
        <v>321</v>
      </c>
    </row>
    <row r="35" spans="1:5" s="92" customFormat="1" ht="92.4">
      <c r="A35" s="93">
        <v>10.27</v>
      </c>
      <c r="B35" s="106" t="s">
        <v>1926</v>
      </c>
      <c r="C35" s="115" t="s">
        <v>1436</v>
      </c>
      <c r="D35" s="104" t="s">
        <v>2293</v>
      </c>
      <c r="E35" s="113" t="s">
        <v>2294</v>
      </c>
    </row>
    <row r="36" spans="1:5" s="92" customFormat="1" ht="26.4">
      <c r="A36" s="93">
        <v>10.28</v>
      </c>
      <c r="B36" s="106" t="s">
        <v>1703</v>
      </c>
      <c r="C36" s="104" t="s">
        <v>427</v>
      </c>
      <c r="D36" s="115" t="s">
        <v>534</v>
      </c>
      <c r="E36" s="113" t="s">
        <v>1955</v>
      </c>
    </row>
    <row r="37" spans="1:5" s="92" customFormat="1" ht="26.4">
      <c r="A37" s="93">
        <v>10.29</v>
      </c>
      <c r="B37" s="89" t="s">
        <v>1422</v>
      </c>
      <c r="C37" s="90" t="s">
        <v>982</v>
      </c>
      <c r="D37" s="19" t="s">
        <v>1356</v>
      </c>
      <c r="E37" s="73" t="s">
        <v>854</v>
      </c>
    </row>
    <row r="38" spans="1:5" s="92" customFormat="1" ht="52.8">
      <c r="A38" s="93">
        <v>10.3</v>
      </c>
      <c r="B38" s="89" t="s">
        <v>1001</v>
      </c>
      <c r="C38" s="90" t="s">
        <v>982</v>
      </c>
      <c r="D38" s="11" t="s">
        <v>632</v>
      </c>
      <c r="E38" s="75" t="s">
        <v>855</v>
      </c>
    </row>
    <row r="39" spans="1:5" s="92" customFormat="1" ht="20.100000000000001" customHeight="1">
      <c r="A39" s="201"/>
      <c r="B39" s="202" t="s">
        <v>1705</v>
      </c>
      <c r="C39" s="206"/>
      <c r="D39" s="203"/>
      <c r="E39" s="205"/>
    </row>
    <row r="40" spans="1:5" s="92" customFormat="1" ht="52.8">
      <c r="A40" s="93">
        <v>10.31</v>
      </c>
      <c r="B40" s="89" t="s">
        <v>1704</v>
      </c>
      <c r="C40" s="90" t="s">
        <v>817</v>
      </c>
      <c r="D40" s="11" t="s">
        <v>633</v>
      </c>
      <c r="E40" s="75" t="s">
        <v>2368</v>
      </c>
    </row>
    <row r="41" spans="1:5" s="92" customFormat="1" ht="52.8">
      <c r="A41" s="93">
        <v>10.32</v>
      </c>
      <c r="B41" s="89" t="s">
        <v>1425</v>
      </c>
      <c r="C41" s="90" t="s">
        <v>817</v>
      </c>
      <c r="D41" s="11" t="s">
        <v>745</v>
      </c>
      <c r="E41" s="75" t="s">
        <v>444</v>
      </c>
    </row>
    <row r="42" spans="1:5" ht="39.6">
      <c r="A42" s="93">
        <v>10.33</v>
      </c>
      <c r="B42" s="89" t="s">
        <v>1705</v>
      </c>
      <c r="C42" s="31" t="s">
        <v>982</v>
      </c>
      <c r="D42" s="11" t="s">
        <v>862</v>
      </c>
      <c r="E42" s="75" t="s">
        <v>1689</v>
      </c>
    </row>
    <row r="43" spans="1:5" ht="26.4">
      <c r="A43" s="93">
        <v>10.34</v>
      </c>
      <c r="B43" s="89" t="s">
        <v>1426</v>
      </c>
      <c r="C43" s="31" t="s">
        <v>982</v>
      </c>
      <c r="D43" s="11" t="s">
        <v>644</v>
      </c>
      <c r="E43" s="75" t="s">
        <v>515</v>
      </c>
    </row>
    <row r="44" spans="1:5" s="92" customFormat="1" ht="26.4">
      <c r="A44" s="93">
        <v>10.35</v>
      </c>
      <c r="B44" s="89" t="s">
        <v>1706</v>
      </c>
      <c r="C44" s="31" t="s">
        <v>982</v>
      </c>
      <c r="D44" s="11" t="s">
        <v>775</v>
      </c>
      <c r="E44" s="75" t="s">
        <v>516</v>
      </c>
    </row>
    <row r="45" spans="1:5" s="92" customFormat="1" ht="20.100000000000001" customHeight="1">
      <c r="A45" s="948" t="s">
        <v>1956</v>
      </c>
      <c r="B45" s="949"/>
      <c r="C45" s="949"/>
      <c r="D45" s="203"/>
      <c r="E45" s="205"/>
    </row>
    <row r="46" spans="1:5" s="92" customFormat="1">
      <c r="A46" s="109"/>
      <c r="B46" s="110"/>
      <c r="C46" s="110"/>
      <c r="D46" s="111"/>
      <c r="E46" s="112"/>
    </row>
    <row r="47" spans="1:5" s="92" customFormat="1" ht="40.200000000000003" thickBot="1">
      <c r="A47" s="507"/>
      <c r="B47" s="508" t="s">
        <v>631</v>
      </c>
      <c r="C47" s="508"/>
      <c r="D47" s="509"/>
      <c r="E47" s="510" t="s">
        <v>2431</v>
      </c>
    </row>
    <row r="51" ht="12.75" customHeight="1"/>
    <row r="52" ht="12.75" customHeight="1"/>
    <row r="55" ht="12.75" customHeight="1"/>
    <row r="59" ht="12.75" customHeight="1"/>
  </sheetData>
  <customSheetViews>
    <customSheetView guid="{4FEDB3BD-111A-4B7D-AA97-E67173A5F707}" showPageBreaks="1" printArea="1" hiddenColumns="1" view="pageBreakPreview" showRuler="0" topLeftCell="A40">
      <selection activeCell="I4" sqref="I4"/>
      <rowBreaks count="3" manualBreakCount="3">
        <brk id="15" max="9" man="1"/>
        <brk id="29" max="9" man="1"/>
        <brk id="43" max="16383" man="1"/>
      </rowBreaks>
      <pageMargins left="0.5" right="0.5" top="1" bottom="1" header="0.5" footer="0.5"/>
      <printOptions horizontalCentered="1"/>
      <pageSetup fitToHeight="2" orientation="landscape" r:id="rId1"/>
      <headerFooter alignWithMargins="0">
        <oddHeader>&amp;C&amp;"Arial,Bold"&amp;12&amp;UProject Activity 10: Structures - BDR</oddHeader>
        <oddFooter>Page &amp;P of &amp;N</oddFooter>
      </headerFooter>
    </customSheetView>
    <customSheetView guid="{D5FFA8DD-F2DB-47F2-B4D2-3681726B2E8F}" showPageBreaks="1" hiddenColumns="1" view="pageBreakPreview" showRuler="0">
      <selection activeCell="C3" sqref="C3:P3"/>
      <rowBreaks count="3" manualBreakCount="3">
        <brk id="17" max="9" man="1"/>
        <brk id="32" max="9" man="1"/>
        <brk id="43" max="16383" man="1"/>
      </rowBreaks>
      <pageMargins left="0.5" right="0.5" top="1" bottom="1" header="0.5" footer="0.5"/>
      <printOptions horizontalCentered="1"/>
      <pageSetup fitToHeight="2" orientation="landscape" r:id="rId2"/>
      <headerFooter alignWithMargins="0">
        <oddHeader>&amp;C&amp;"Arial,Bold"&amp;12&amp;UProject Activity 10: Structures - BDR</oddHeader>
        <oddFooter>Page &amp;P of &amp;N</oddFooter>
      </headerFooter>
    </customSheetView>
    <customSheetView guid="{EFE02F7B-3837-4B0F-9646-ADE249504E9F}" showPageBreaks="1" hiddenColumns="1" view="pageBreakPreview" showRuler="0">
      <selection activeCell="B9" sqref="B9"/>
      <rowBreaks count="3" manualBreakCount="3">
        <brk id="17" max="9" man="1"/>
        <brk id="32" max="9" man="1"/>
        <brk id="43" max="16383" man="1"/>
      </rowBreaks>
      <pageMargins left="0.5" right="0.5" top="1" bottom="1" header="0.5" footer="0.5"/>
      <printOptions horizontalCentered="1"/>
      <pageSetup fitToHeight="2" orientation="landscape" r:id="rId3"/>
      <headerFooter alignWithMargins="0">
        <oddHeader>&amp;C&amp;"Arial,Bold"&amp;12&amp;UProject Activity 10: Structures - BDR</oddHeader>
        <oddFooter>Page &amp;P of &amp;N</oddFooter>
      </headerFooter>
    </customSheetView>
    <customSheetView guid="{053BE130-58A3-4F3B-945A-C2EFB15C6264}" showPageBreaks="1" hiddenColumns="1" view="pageBreakPreview" showRuler="0">
      <selection activeCell="B9" sqref="B9"/>
      <rowBreaks count="3" manualBreakCount="3">
        <brk id="17" max="9" man="1"/>
        <brk id="32" max="9" man="1"/>
        <brk id="43" max="16383" man="1"/>
      </rowBreaks>
      <pageMargins left="0.5" right="0.5" top="1" bottom="1" header="0.5" footer="0.5"/>
      <printOptions horizontalCentered="1"/>
      <pageSetup fitToHeight="2" orientation="landscape" r:id="rId4"/>
      <headerFooter alignWithMargins="0">
        <oddHeader>&amp;C&amp;"Arial,Bold"&amp;12&amp;UProject Activity 10: Structures - BDR</oddHeader>
        <oddFooter>Page &amp;P of &amp;N</oddFooter>
      </headerFooter>
    </customSheetView>
    <customSheetView guid="{F5DBE5B9-A9E4-4030-888B-08F930ECBB74}" showPageBreaks="1" hiddenColumns="1" view="pageBreakPreview" showRuler="0">
      <selection activeCell="B9" sqref="B9"/>
      <rowBreaks count="3" manualBreakCount="3">
        <brk id="17" max="9" man="1"/>
        <brk id="32" max="9" man="1"/>
        <brk id="43" max="16383" man="1"/>
      </rowBreaks>
      <pageMargins left="0.5" right="0.5" top="1" bottom="1" header="0.5" footer="0.5"/>
      <printOptions horizontalCentered="1"/>
      <pageSetup fitToHeight="2" orientation="landscape" r:id="rId5"/>
      <headerFooter alignWithMargins="0">
        <oddHeader>&amp;C&amp;"Arial,Bold"&amp;12&amp;UProject Activity 10: Structures - BDR</oddHeader>
        <oddFooter>Page &amp;P of &amp;N</oddFooter>
      </headerFooter>
    </customSheetView>
    <customSheetView guid="{960FB4AF-B150-4523-972C-3F7C93F049F3}" showPageBreaks="1" printArea="1" hiddenColumns="1" view="pageBreakPreview" showRuler="0">
      <selection activeCell="I32" sqref="I32"/>
      <rowBreaks count="4" manualBreakCount="4">
        <brk id="14" max="9" man="1"/>
        <brk id="15" max="9" man="1"/>
        <brk id="29" max="9" man="1"/>
        <brk id="43" max="16383" man="1"/>
      </rowBreaks>
      <pageMargins left="0.5" right="0.5" top="1" bottom="1" header="0.5" footer="0.5"/>
      <printOptions horizontalCentered="1"/>
      <pageSetup fitToHeight="2" orientation="landscape" r:id="rId6"/>
      <headerFooter alignWithMargins="0">
        <oddHeader>&amp;C&amp;"Arial,Bold"&amp;12&amp;UProject Activity 10: Structures - BDR</oddHeader>
        <oddFooter>Page &amp;P of &amp;N</oddFooter>
      </headerFooter>
    </customSheetView>
    <customSheetView guid="{DF3BD4C9-2986-4236-8E90-D96736404377}" showPageBreaks="1" printArea="1" hiddenColumns="1" view="pageBreakPreview" showRuler="0" topLeftCell="A28">
      <selection activeCell="J10" sqref="J10"/>
      <rowBreaks count="4" manualBreakCount="4">
        <brk id="14" max="9" man="1"/>
        <brk id="15" max="9" man="1"/>
        <brk id="29" max="9" man="1"/>
        <brk id="43" max="16383" man="1"/>
      </rowBreaks>
      <pageMargins left="0.5" right="0.5" top="1" bottom="1" header="0.5" footer="0.5"/>
      <printOptions horizontalCentered="1"/>
      <pageSetup fitToHeight="2" orientation="landscape" r:id="rId7"/>
      <headerFooter alignWithMargins="0">
        <oddHeader>&amp;C&amp;"Arial,Bold"&amp;12&amp;UProject Activity 10: Structures - BDR</oddHeader>
        <oddFooter>Page &amp;P of &amp;N</oddFooter>
      </headerFooter>
    </customSheetView>
  </customSheetViews>
  <mergeCells count="2">
    <mergeCell ref="A45:C45"/>
    <mergeCell ref="A2:E2"/>
  </mergeCells>
  <phoneticPr fontId="0" type="noConversion"/>
  <printOptions horizontalCentered="1" verticalCentered="1"/>
  <pageMargins left="0.75" right="0.75" top="1" bottom="1" header="0.5" footer="0.5"/>
  <pageSetup scale="96" fitToHeight="2" orientation="landscape" r:id="rId8"/>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5"/>
  <dimension ref="A1:F16"/>
  <sheetViews>
    <sheetView showGridLines="0" zoomScaleNormal="100" zoomScaleSheetLayoutView="100" workbookViewId="0"/>
  </sheetViews>
  <sheetFormatPr defaultColWidth="9.109375" defaultRowHeight="13.2"/>
  <cols>
    <col min="1" max="1" width="6.6640625" style="2" customWidth="1"/>
    <col min="2" max="2" width="31.6640625" style="2" customWidth="1"/>
    <col min="3" max="3" width="7.6640625" style="2" customWidth="1"/>
    <col min="4" max="4" width="16.6640625" customWidth="1"/>
    <col min="5" max="5" width="65.109375" customWidth="1"/>
  </cols>
  <sheetData>
    <row r="1" spans="1:6">
      <c r="A1" s="83" t="s">
        <v>1435</v>
      </c>
      <c r="B1" s="23"/>
    </row>
    <row r="2" spans="1:6" ht="13.8" thickBot="1">
      <c r="A2" s="83"/>
      <c r="B2" s="23"/>
    </row>
    <row r="3" spans="1:6" s="26" customFormat="1" ht="20.100000000000001" customHeight="1" thickBot="1">
      <c r="A3" s="950" t="s">
        <v>2013</v>
      </c>
      <c r="B3" s="951"/>
      <c r="C3" s="951"/>
      <c r="D3" s="951"/>
      <c r="E3" s="952"/>
    </row>
    <row r="4" spans="1:6" s="1" customFormat="1" ht="48" customHeight="1">
      <c r="A4" s="213" t="s">
        <v>385</v>
      </c>
      <c r="B4" s="214" t="s">
        <v>844</v>
      </c>
      <c r="C4" s="215" t="s">
        <v>984</v>
      </c>
      <c r="D4" s="216" t="s">
        <v>1069</v>
      </c>
      <c r="E4" s="217" t="s">
        <v>1070</v>
      </c>
      <c r="F4" s="1" t="s">
        <v>596</v>
      </c>
    </row>
    <row r="5" spans="1:6" s="15" customFormat="1" ht="20.100000000000001" customHeight="1">
      <c r="A5" s="218"/>
      <c r="B5" s="219" t="s">
        <v>1708</v>
      </c>
      <c r="C5" s="220"/>
      <c r="D5" s="221"/>
      <c r="E5" s="511" t="s">
        <v>327</v>
      </c>
    </row>
    <row r="6" spans="1:6" s="15" customFormat="1" ht="52.8">
      <c r="A6" s="35">
        <v>11.1</v>
      </c>
      <c r="B6" s="16" t="s">
        <v>1709</v>
      </c>
      <c r="C6" s="11" t="s">
        <v>982</v>
      </c>
      <c r="D6" s="11" t="s">
        <v>584</v>
      </c>
      <c r="E6" s="34" t="s">
        <v>576</v>
      </c>
    </row>
    <row r="7" spans="1:6" s="15" customFormat="1" ht="52.8">
      <c r="A7" s="35">
        <v>11.2</v>
      </c>
      <c r="B7" s="16" t="s">
        <v>220</v>
      </c>
      <c r="C7" s="11" t="s">
        <v>1490</v>
      </c>
      <c r="D7" s="11" t="s">
        <v>1731</v>
      </c>
      <c r="E7" s="34" t="s">
        <v>573</v>
      </c>
    </row>
    <row r="8" spans="1:6" s="15" customFormat="1" ht="39.6">
      <c r="A8" s="35">
        <v>11.3</v>
      </c>
      <c r="B8" s="16" t="s">
        <v>222</v>
      </c>
      <c r="C8" s="11" t="s">
        <v>1490</v>
      </c>
      <c r="D8" s="11" t="s">
        <v>814</v>
      </c>
      <c r="E8" s="34" t="s">
        <v>577</v>
      </c>
    </row>
    <row r="9" spans="1:6" s="15" customFormat="1" ht="20.100000000000001" customHeight="1">
      <c r="A9" s="218"/>
      <c r="B9" s="219" t="s">
        <v>223</v>
      </c>
      <c r="C9" s="220"/>
      <c r="D9" s="203"/>
      <c r="E9" s="222"/>
    </row>
    <row r="10" spans="1:6" s="15" customFormat="1" ht="52.8">
      <c r="A10" s="35">
        <v>11.4</v>
      </c>
      <c r="B10" s="16" t="s">
        <v>225</v>
      </c>
      <c r="C10" s="195" t="s">
        <v>1118</v>
      </c>
      <c r="D10" s="11" t="s">
        <v>584</v>
      </c>
      <c r="E10" s="34" t="s">
        <v>305</v>
      </c>
    </row>
    <row r="11" spans="1:6" s="15" customFormat="1" ht="52.8">
      <c r="A11" s="35">
        <v>11.5</v>
      </c>
      <c r="B11" s="16" t="s">
        <v>227</v>
      </c>
      <c r="C11" s="11" t="s">
        <v>1490</v>
      </c>
      <c r="D11" s="11" t="s">
        <v>1332</v>
      </c>
      <c r="E11" s="34" t="s">
        <v>1376</v>
      </c>
    </row>
    <row r="12" spans="1:6" s="15" customFormat="1" ht="20.100000000000001" customHeight="1">
      <c r="A12" s="218"/>
      <c r="B12" s="219" t="s">
        <v>228</v>
      </c>
      <c r="C12" s="220"/>
      <c r="D12" s="203"/>
      <c r="E12" s="222"/>
    </row>
    <row r="13" spans="1:6" s="15" customFormat="1" ht="39.6">
      <c r="A13" s="35">
        <v>11.6</v>
      </c>
      <c r="B13" s="16" t="s">
        <v>564</v>
      </c>
      <c r="C13" s="195" t="s">
        <v>1118</v>
      </c>
      <c r="D13" s="11" t="s">
        <v>584</v>
      </c>
      <c r="E13" s="34" t="s">
        <v>575</v>
      </c>
    </row>
    <row r="14" spans="1:6" s="15" customFormat="1" ht="66">
      <c r="A14" s="35">
        <v>11.7</v>
      </c>
      <c r="B14" s="16" t="s">
        <v>565</v>
      </c>
      <c r="C14" s="11" t="s">
        <v>1490</v>
      </c>
      <c r="D14" s="11" t="s">
        <v>1332</v>
      </c>
      <c r="E14" s="34" t="s">
        <v>1377</v>
      </c>
    </row>
    <row r="15" spans="1:6" s="15" customFormat="1" ht="20.100000000000001" customHeight="1">
      <c r="A15" s="218"/>
      <c r="B15" s="219" t="s">
        <v>268</v>
      </c>
      <c r="C15" s="220"/>
      <c r="D15" s="203"/>
      <c r="E15" s="222"/>
    </row>
    <row r="16" spans="1:6" s="15" customFormat="1" ht="27" thickBot="1">
      <c r="A16" s="512">
        <v>11.8</v>
      </c>
      <c r="B16" s="513" t="s">
        <v>903</v>
      </c>
      <c r="C16" s="514" t="s">
        <v>1490</v>
      </c>
      <c r="D16" s="514" t="s">
        <v>1728</v>
      </c>
      <c r="E16" s="515" t="s">
        <v>574</v>
      </c>
    </row>
  </sheetData>
  <customSheetViews>
    <customSheetView guid="{4FEDB3BD-111A-4B7D-AA97-E67173A5F707}" showPageBreaks="1" printArea="1" hiddenColumns="1" view="pageBreakPreview" showRuler="0" topLeftCell="A8">
      <selection activeCell="J5" sqref="J5"/>
      <pageMargins left="0.5" right="0.5" top="1" bottom="1" header="0.5" footer="0.5"/>
      <printOptions horizontalCentered="1"/>
      <pageSetup orientation="landscape" r:id="rId1"/>
      <headerFooter alignWithMargins="0">
        <oddHeader>&amp;C&amp;"Arial,Bold"&amp;12&amp;UProject Activity 11: Structures - Temporary Bridge</oddHeader>
        <oddFooter>Page &amp;P of &amp;N</oddFooter>
      </headerFooter>
    </customSheetView>
    <customSheetView guid="{D5FFA8DD-F2DB-47F2-B4D2-3681726B2E8F}" showPageBreaks="1" printArea="1" hiddenColumns="1" view="pageBreakPreview" showRuler="0">
      <selection activeCell="C3" sqref="C3:P3"/>
      <pageMargins left="0.5" right="0.5" top="1" bottom="1" header="0.5" footer="0.5"/>
      <printOptions horizontalCentered="1"/>
      <pageSetup orientation="landscape" r:id="rId2"/>
      <headerFooter alignWithMargins="0">
        <oddHeader>&amp;C&amp;"Arial,Bold"&amp;12&amp;UProject Activity 11: Structures - Temporary Bridge</oddHeader>
        <oddFooter>Page &amp;P of &amp;N</oddFooter>
      </headerFooter>
    </customSheetView>
    <customSheetView guid="{EFE02F7B-3837-4B0F-9646-ADE249504E9F}" showPageBreaks="1" printArea="1" hiddenColumns="1" view="pageBreakPreview" showRuler="0">
      <selection activeCell="J5" sqref="J5"/>
      <pageMargins left="0.5" right="0.5" top="1" bottom="1" header="0.5" footer="0.5"/>
      <printOptions horizontalCentered="1"/>
      <pageSetup orientation="landscape" r:id="rId3"/>
      <headerFooter alignWithMargins="0">
        <oddHeader>&amp;C&amp;"Arial,Bold"&amp;12&amp;UProject Activity 11: Structures - Temporary Bridge</oddHeader>
        <oddFooter>Page &amp;P of &amp;N</oddFooter>
      </headerFooter>
    </customSheetView>
    <customSheetView guid="{053BE130-58A3-4F3B-945A-C2EFB15C6264}" showPageBreaks="1" printArea="1" hiddenColumns="1" view="pageBreakPreview" showRuler="0">
      <selection activeCell="J5" sqref="J5"/>
      <pageMargins left="0.5" right="0.5" top="1" bottom="1" header="0.5" footer="0.5"/>
      <printOptions horizontalCentered="1"/>
      <pageSetup orientation="landscape" r:id="rId4"/>
      <headerFooter alignWithMargins="0">
        <oddHeader>&amp;C&amp;"Arial,Bold"&amp;12&amp;UProject Activity 11: Structures - Temporary Bridge</oddHeader>
        <oddFooter>Page &amp;P of &amp;N</oddFooter>
      </headerFooter>
    </customSheetView>
    <customSheetView guid="{F5DBE5B9-A9E4-4030-888B-08F930ECBB74}" showPageBreaks="1" printArea="1" hiddenColumns="1" view="pageBreakPreview" showRuler="0">
      <selection activeCell="J5" sqref="J5"/>
      <pageMargins left="0.5" right="0.5" top="1" bottom="1" header="0.5" footer="0.5"/>
      <printOptions horizontalCentered="1"/>
      <pageSetup orientation="landscape" r:id="rId5"/>
      <headerFooter alignWithMargins="0">
        <oddHeader>&amp;C&amp;"Arial,Bold"&amp;12&amp;UProject Activity 11: Structures - Temporary Bridge</oddHeader>
        <oddFooter>Page &amp;P of &amp;N</oddFooter>
      </headerFooter>
    </customSheetView>
    <customSheetView guid="{960FB4AF-B150-4523-972C-3F7C93F049F3}" showPageBreaks="1" printArea="1" hiddenColumns="1" view="pageBreakPreview" showRuler="0">
      <selection activeCell="J11" sqref="J11"/>
      <pageMargins left="0.5" right="0.5" top="1" bottom="1" header="0.5" footer="0.5"/>
      <printOptions horizontalCentered="1"/>
      <pageSetup orientation="landscape" r:id="rId6"/>
      <headerFooter alignWithMargins="0">
        <oddHeader>&amp;C&amp;"Arial,Bold"&amp;12&amp;UProject Activity 11: Structures - Temporary Bridge</oddHeader>
        <oddFooter>Page &amp;P of &amp;N</oddFooter>
      </headerFooter>
    </customSheetView>
    <customSheetView guid="{DF3BD4C9-2986-4236-8E90-D96736404377}" showPageBreaks="1" printArea="1" hiddenColumns="1" view="pageBreakPreview" showRuler="0" topLeftCell="A8">
      <selection activeCell="J5" sqref="J5"/>
      <pageMargins left="0.5" right="0.5" top="1" bottom="1" header="0.5" footer="0.5"/>
      <printOptions horizontalCentered="1"/>
      <pageSetup orientation="landscape" r:id="rId7"/>
      <headerFooter alignWithMargins="0">
        <oddHeader>&amp;C&amp;"Arial,Bold"&amp;12&amp;UProject Activity 11: Structures - Temporary Bridge</oddHeader>
        <oddFooter>Page &amp;P of &amp;N</oddFooter>
      </headerFooter>
    </customSheetView>
  </customSheetViews>
  <mergeCells count="1">
    <mergeCell ref="A3:E3"/>
  </mergeCells>
  <phoneticPr fontId="0" type="noConversion"/>
  <printOptions horizontalCentered="1" verticalCentered="1"/>
  <pageMargins left="0.75" right="0.75" top="1" bottom="1" header="0.5" footer="0.5"/>
  <pageSetup scale="96" orientation="landscape" r:id="rId8"/>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6"/>
  <dimension ref="A1:F41"/>
  <sheetViews>
    <sheetView showGridLines="0" zoomScale="115" zoomScaleNormal="115" zoomScaleSheetLayoutView="100" workbookViewId="0"/>
  </sheetViews>
  <sheetFormatPr defaultRowHeight="13.2"/>
  <cols>
    <col min="1" max="1" width="6.6640625" style="2" customWidth="1"/>
    <col min="2" max="2" width="31.6640625" style="21" customWidth="1"/>
    <col min="3" max="3" width="8.6640625" style="21" customWidth="1"/>
    <col min="4" max="4" width="16.6640625" style="13" customWidth="1"/>
    <col min="5" max="5" width="65.5546875" customWidth="1"/>
  </cols>
  <sheetData>
    <row r="1" spans="1:6" ht="13.8" thickBot="1">
      <c r="A1" s="83" t="s">
        <v>1435</v>
      </c>
    </row>
    <row r="2" spans="1:6" s="26" customFormat="1" ht="20.100000000000001" customHeight="1">
      <c r="A2" s="950" t="s">
        <v>2014</v>
      </c>
      <c r="B2" s="951"/>
      <c r="C2" s="951"/>
      <c r="D2" s="951"/>
      <c r="E2" s="952"/>
    </row>
    <row r="3" spans="1:6" ht="26.4">
      <c r="A3" s="233" t="s">
        <v>385</v>
      </c>
      <c r="B3" s="234" t="s">
        <v>844</v>
      </c>
      <c r="C3" s="140" t="s">
        <v>984</v>
      </c>
      <c r="D3" s="220" t="s">
        <v>1069</v>
      </c>
      <c r="E3" s="235" t="s">
        <v>1070</v>
      </c>
      <c r="F3" t="s">
        <v>596</v>
      </c>
    </row>
    <row r="4" spans="1:6" s="15" customFormat="1" ht="20.100000000000001" customHeight="1">
      <c r="A4" s="218"/>
      <c r="B4" s="229" t="s">
        <v>1708</v>
      </c>
      <c r="C4" s="140"/>
      <c r="D4" s="209"/>
      <c r="E4" s="232"/>
    </row>
    <row r="5" spans="1:6" s="15" customFormat="1" ht="52.8">
      <c r="A5" s="18">
        <v>12.1</v>
      </c>
      <c r="B5" s="464" t="s">
        <v>1709</v>
      </c>
      <c r="C5" s="465" t="s">
        <v>982</v>
      </c>
      <c r="D5" s="11" t="s">
        <v>584</v>
      </c>
      <c r="E5" s="34" t="s">
        <v>919</v>
      </c>
    </row>
    <row r="6" spans="1:6" s="15" customFormat="1" ht="26.4">
      <c r="A6" s="18">
        <v>12.2</v>
      </c>
      <c r="B6" s="464" t="s">
        <v>1710</v>
      </c>
      <c r="C6" s="465" t="s">
        <v>1436</v>
      </c>
      <c r="D6" s="11" t="s">
        <v>1445</v>
      </c>
      <c r="E6" s="34" t="s">
        <v>446</v>
      </c>
    </row>
    <row r="7" spans="1:6" s="15" customFormat="1" ht="39.6">
      <c r="A7" s="18">
        <v>12.3</v>
      </c>
      <c r="B7" s="464" t="s">
        <v>220</v>
      </c>
      <c r="C7" s="465" t="s">
        <v>1490</v>
      </c>
      <c r="D7" s="11" t="s">
        <v>447</v>
      </c>
      <c r="E7" s="34" t="s">
        <v>1378</v>
      </c>
    </row>
    <row r="8" spans="1:6" s="15" customFormat="1" ht="26.4">
      <c r="A8" s="18">
        <v>12.4</v>
      </c>
      <c r="B8" s="464" t="s">
        <v>1707</v>
      </c>
      <c r="C8" s="465" t="s">
        <v>1490</v>
      </c>
      <c r="D8" s="11" t="s">
        <v>1731</v>
      </c>
      <c r="E8" s="34" t="s">
        <v>2371</v>
      </c>
    </row>
    <row r="9" spans="1:6" s="15" customFormat="1" ht="39.6">
      <c r="A9" s="18">
        <v>12.5</v>
      </c>
      <c r="B9" s="464" t="s">
        <v>221</v>
      </c>
      <c r="C9" s="465" t="s">
        <v>1490</v>
      </c>
      <c r="D9" s="11" t="s">
        <v>593</v>
      </c>
      <c r="E9" s="122" t="s">
        <v>1957</v>
      </c>
    </row>
    <row r="10" spans="1:6" s="15" customFormat="1" ht="105.6">
      <c r="A10" s="18">
        <v>12.6</v>
      </c>
      <c r="B10" s="464" t="s">
        <v>222</v>
      </c>
      <c r="C10" s="465" t="s">
        <v>1490</v>
      </c>
      <c r="D10" s="11" t="s">
        <v>858</v>
      </c>
      <c r="E10" s="122" t="s">
        <v>1958</v>
      </c>
    </row>
    <row r="11" spans="1:6" s="15" customFormat="1" ht="20.100000000000001" customHeight="1">
      <c r="A11" s="218"/>
      <c r="B11" s="229" t="s">
        <v>223</v>
      </c>
      <c r="C11" s="140"/>
      <c r="D11" s="203"/>
      <c r="E11" s="231"/>
    </row>
    <row r="12" spans="1:6" s="15" customFormat="1" ht="39.6">
      <c r="A12" s="18">
        <v>12.7</v>
      </c>
      <c r="B12" s="464" t="s">
        <v>224</v>
      </c>
      <c r="C12" s="465" t="s">
        <v>448</v>
      </c>
      <c r="D12" s="11" t="s">
        <v>775</v>
      </c>
      <c r="E12" s="34" t="s">
        <v>868</v>
      </c>
    </row>
    <row r="13" spans="1:6" s="15" customFormat="1" ht="39.6">
      <c r="A13" s="18">
        <v>12.8</v>
      </c>
      <c r="B13" s="464" t="s">
        <v>225</v>
      </c>
      <c r="C13" s="465" t="s">
        <v>1118</v>
      </c>
      <c r="D13" s="11" t="s">
        <v>633</v>
      </c>
      <c r="E13" s="34" t="s">
        <v>1249</v>
      </c>
    </row>
    <row r="14" spans="1:6" s="15" customFormat="1" ht="26.4">
      <c r="A14" s="18">
        <v>12.9</v>
      </c>
      <c r="B14" s="464" t="s">
        <v>226</v>
      </c>
      <c r="C14" s="465" t="s">
        <v>1490</v>
      </c>
      <c r="D14" s="11" t="s">
        <v>795</v>
      </c>
      <c r="E14" s="34" t="s">
        <v>869</v>
      </c>
    </row>
    <row r="15" spans="1:6" s="15" customFormat="1" ht="26.4">
      <c r="A15" s="28">
        <v>12.1</v>
      </c>
      <c r="B15" s="464" t="s">
        <v>227</v>
      </c>
      <c r="C15" s="465" t="s">
        <v>1490</v>
      </c>
      <c r="D15" s="11" t="s">
        <v>1727</v>
      </c>
      <c r="E15" s="34" t="s">
        <v>1250</v>
      </c>
    </row>
    <row r="16" spans="1:6" s="15" customFormat="1" ht="26.4">
      <c r="A16" s="218"/>
      <c r="B16" s="229" t="s">
        <v>228</v>
      </c>
      <c r="C16" s="140"/>
      <c r="D16" s="203"/>
      <c r="E16" s="231"/>
    </row>
    <row r="17" spans="1:5" s="15" customFormat="1" ht="39.6">
      <c r="A17" s="28">
        <v>12.11</v>
      </c>
      <c r="B17" s="464" t="s">
        <v>229</v>
      </c>
      <c r="C17" s="465" t="s">
        <v>1270</v>
      </c>
      <c r="D17" s="11" t="s">
        <v>569</v>
      </c>
      <c r="E17" s="34" t="s">
        <v>870</v>
      </c>
    </row>
    <row r="18" spans="1:5" s="15" customFormat="1" ht="39.6">
      <c r="A18" s="28">
        <v>12.12</v>
      </c>
      <c r="B18" s="464" t="s">
        <v>230</v>
      </c>
      <c r="C18" s="465" t="s">
        <v>449</v>
      </c>
      <c r="D18" s="11" t="s">
        <v>633</v>
      </c>
      <c r="E18" s="34" t="s">
        <v>1251</v>
      </c>
    </row>
    <row r="19" spans="1:5" s="15" customFormat="1" ht="39.6">
      <c r="A19" s="28">
        <v>12.13</v>
      </c>
      <c r="B19" s="464" t="s">
        <v>231</v>
      </c>
      <c r="C19" s="465" t="s">
        <v>1118</v>
      </c>
      <c r="D19" s="11" t="s">
        <v>1729</v>
      </c>
      <c r="E19" s="34" t="s">
        <v>1252</v>
      </c>
    </row>
    <row r="20" spans="1:5" s="15" customFormat="1" ht="26.4">
      <c r="A20" s="28">
        <v>12.14</v>
      </c>
      <c r="B20" s="464" t="s">
        <v>232</v>
      </c>
      <c r="C20" s="465" t="s">
        <v>1490</v>
      </c>
      <c r="D20" s="11" t="s">
        <v>1728</v>
      </c>
      <c r="E20" s="34" t="s">
        <v>856</v>
      </c>
    </row>
    <row r="21" spans="1:5" s="15" customFormat="1" ht="26.4">
      <c r="A21" s="28">
        <v>12.15</v>
      </c>
      <c r="B21" s="464" t="s">
        <v>267</v>
      </c>
      <c r="C21" s="465" t="s">
        <v>1490</v>
      </c>
      <c r="D21" s="11" t="s">
        <v>1727</v>
      </c>
      <c r="E21" s="34" t="s">
        <v>1253</v>
      </c>
    </row>
    <row r="22" spans="1:5" s="15" customFormat="1" ht="26.4">
      <c r="A22" s="218"/>
      <c r="B22" s="229" t="s">
        <v>268</v>
      </c>
      <c r="C22" s="140"/>
      <c r="D22" s="203"/>
      <c r="E22" s="231"/>
    </row>
    <row r="23" spans="1:5" s="15" customFormat="1" ht="39.6">
      <c r="A23" s="28">
        <v>12.16</v>
      </c>
      <c r="B23" s="464" t="s">
        <v>903</v>
      </c>
      <c r="C23" s="465" t="s">
        <v>1490</v>
      </c>
      <c r="D23" s="11" t="s">
        <v>633</v>
      </c>
      <c r="E23" s="34" t="s">
        <v>1254</v>
      </c>
    </row>
    <row r="24" spans="1:5" s="15" customFormat="1" ht="20.100000000000001" customHeight="1">
      <c r="A24" s="218"/>
      <c r="B24" s="229" t="s">
        <v>904</v>
      </c>
      <c r="C24" s="140"/>
      <c r="D24" s="203"/>
      <c r="E24" s="231"/>
    </row>
    <row r="25" spans="1:5" s="15" customFormat="1" ht="39.6">
      <c r="A25" s="28">
        <v>12.17</v>
      </c>
      <c r="B25" s="464" t="s">
        <v>1255</v>
      </c>
      <c r="C25" s="465" t="s">
        <v>982</v>
      </c>
      <c r="D25" s="11" t="s">
        <v>593</v>
      </c>
      <c r="E25" s="34" t="s">
        <v>922</v>
      </c>
    </row>
    <row r="26" spans="1:5" s="15" customFormat="1" ht="26.4">
      <c r="A26" s="28">
        <v>12.18</v>
      </c>
      <c r="B26" s="464" t="s">
        <v>1256</v>
      </c>
      <c r="C26" s="465" t="s">
        <v>1490</v>
      </c>
      <c r="D26" s="11" t="s">
        <v>641</v>
      </c>
      <c r="E26" s="34" t="s">
        <v>923</v>
      </c>
    </row>
    <row r="27" spans="1:5" s="15" customFormat="1" ht="20.100000000000001" customHeight="1">
      <c r="A27" s="218"/>
      <c r="B27" s="229" t="s">
        <v>1261</v>
      </c>
      <c r="C27" s="140"/>
      <c r="D27" s="203"/>
      <c r="E27" s="231"/>
    </row>
    <row r="28" spans="1:5" s="15" customFormat="1" ht="52.8">
      <c r="A28" s="28">
        <v>12.19</v>
      </c>
      <c r="B28" s="29" t="s">
        <v>1257</v>
      </c>
      <c r="C28" s="465" t="s">
        <v>1436</v>
      </c>
      <c r="D28" s="11" t="s">
        <v>1511</v>
      </c>
      <c r="E28" s="34" t="s">
        <v>1287</v>
      </c>
    </row>
    <row r="29" spans="1:5" s="15" customFormat="1" ht="52.8">
      <c r="A29" s="28">
        <v>12.2</v>
      </c>
      <c r="B29" s="464" t="s">
        <v>1262</v>
      </c>
      <c r="C29" s="465" t="s">
        <v>1490</v>
      </c>
      <c r="D29" s="11" t="s">
        <v>1731</v>
      </c>
      <c r="E29" s="34" t="s">
        <v>1288</v>
      </c>
    </row>
    <row r="30" spans="1:5" s="15" customFormat="1" ht="39.6">
      <c r="A30" s="28">
        <v>12.21</v>
      </c>
      <c r="B30" s="464" t="s">
        <v>1263</v>
      </c>
      <c r="C30" s="465" t="s">
        <v>1490</v>
      </c>
      <c r="D30" s="11" t="s">
        <v>1728</v>
      </c>
      <c r="E30" s="34" t="s">
        <v>1289</v>
      </c>
    </row>
    <row r="31" spans="1:5" s="15" customFormat="1" ht="20.100000000000001" customHeight="1">
      <c r="A31" s="218"/>
      <c r="B31" s="229" t="s">
        <v>1264</v>
      </c>
      <c r="C31" s="140"/>
      <c r="D31" s="203"/>
      <c r="E31" s="231"/>
    </row>
    <row r="32" spans="1:5" s="15" customFormat="1" ht="52.8">
      <c r="A32" s="28">
        <v>12.22</v>
      </c>
      <c r="B32" s="29" t="s">
        <v>1258</v>
      </c>
      <c r="C32" s="465" t="s">
        <v>1118</v>
      </c>
      <c r="D32" s="11" t="s">
        <v>1731</v>
      </c>
      <c r="E32" s="34" t="s">
        <v>561</v>
      </c>
    </row>
    <row r="33" spans="1:5" s="15" customFormat="1" ht="26.4">
      <c r="A33" s="28">
        <v>12.23</v>
      </c>
      <c r="B33" s="464" t="s">
        <v>1266</v>
      </c>
      <c r="C33" s="465" t="s">
        <v>1490</v>
      </c>
      <c r="D33" s="11" t="s">
        <v>1728</v>
      </c>
      <c r="E33" s="34" t="s">
        <v>562</v>
      </c>
    </row>
    <row r="34" spans="1:5" s="15" customFormat="1" ht="39.6">
      <c r="A34" s="28">
        <v>12.24</v>
      </c>
      <c r="B34" s="464" t="s">
        <v>1267</v>
      </c>
      <c r="C34" s="465" t="s">
        <v>1490</v>
      </c>
      <c r="D34" s="11" t="s">
        <v>1511</v>
      </c>
      <c r="E34" s="34" t="s">
        <v>1657</v>
      </c>
    </row>
    <row r="35" spans="1:5" s="15" customFormat="1" ht="26.4">
      <c r="A35" s="28">
        <v>12.25</v>
      </c>
      <c r="B35" s="464" t="s">
        <v>1268</v>
      </c>
      <c r="C35" s="465" t="s">
        <v>1490</v>
      </c>
      <c r="D35" s="11" t="s">
        <v>1728</v>
      </c>
      <c r="E35" s="34" t="s">
        <v>1178</v>
      </c>
    </row>
    <row r="36" spans="1:5" s="15" customFormat="1" ht="39.6">
      <c r="A36" s="28">
        <v>12.26</v>
      </c>
      <c r="B36" s="464" t="s">
        <v>1263</v>
      </c>
      <c r="C36" s="465" t="s">
        <v>1490</v>
      </c>
      <c r="D36" s="11" t="s">
        <v>918</v>
      </c>
      <c r="E36" s="34" t="s">
        <v>1179</v>
      </c>
    </row>
    <row r="37" spans="1:5" s="15" customFormat="1" ht="20.100000000000001" customHeight="1">
      <c r="A37" s="228"/>
      <c r="B37" s="229" t="s">
        <v>1259</v>
      </c>
      <c r="C37" s="230"/>
      <c r="D37" s="203"/>
      <c r="E37" s="231"/>
    </row>
    <row r="38" spans="1:5" s="15" customFormat="1" ht="39.6">
      <c r="A38" s="28">
        <v>12.27</v>
      </c>
      <c r="B38" s="464" t="s">
        <v>290</v>
      </c>
      <c r="C38" s="465" t="s">
        <v>1490</v>
      </c>
      <c r="D38" s="11" t="s">
        <v>570</v>
      </c>
      <c r="E38" s="34" t="s">
        <v>328</v>
      </c>
    </row>
    <row r="39" spans="1:5" s="15" customFormat="1" ht="20.100000000000001" customHeight="1">
      <c r="A39" s="228"/>
      <c r="B39" s="229" t="s">
        <v>1033</v>
      </c>
      <c r="C39" s="230"/>
      <c r="D39" s="203"/>
      <c r="E39" s="231"/>
    </row>
    <row r="40" spans="1:5" s="15" customFormat="1" ht="27" thickBot="1">
      <c r="A40" s="516">
        <v>12.28</v>
      </c>
      <c r="B40" s="517" t="s">
        <v>1033</v>
      </c>
      <c r="C40" s="518" t="s">
        <v>1436</v>
      </c>
      <c r="D40" s="480" t="s">
        <v>534</v>
      </c>
      <c r="E40" s="515" t="s">
        <v>715</v>
      </c>
    </row>
    <row r="41" spans="1:5">
      <c r="A41" s="107"/>
    </row>
  </sheetData>
  <customSheetViews>
    <customSheetView guid="{4FEDB3BD-111A-4B7D-AA97-E67173A5F707}" showPageBreaks="1" printArea="1" hiddenColumns="1" view="pageBreakPreview" showRuler="0" topLeftCell="A27">
      <selection activeCell="J11" sqref="J11"/>
      <rowBreaks count="2" manualBreakCount="2">
        <brk id="14" max="9" man="1"/>
        <brk id="27" max="9" man="1"/>
      </rowBreaks>
      <pageMargins left="0.5" right="0.5" top="1" bottom="1" header="0.5" footer="0.5"/>
      <printOptions horizontalCentered="1"/>
      <pageSetup fitToHeight="0" orientation="landscape" r:id="rId1"/>
      <headerFooter alignWithMargins="0">
        <oddHeader>&amp;C&amp;"Arial,Bold"&amp;12&amp;UProject Activity 12: Structures- Short Span Concrete</oddHeader>
        <oddFooter>Page &amp;P of &amp;N</oddFooter>
      </headerFooter>
    </customSheetView>
    <customSheetView guid="{D5FFA8DD-F2DB-47F2-B4D2-3681726B2E8F}" showPageBreaks="1" printArea="1" hiddenColumns="1" showRuler="0">
      <selection activeCell="C3" sqref="C3:P3"/>
      <rowBreaks count="2" manualBreakCount="2">
        <brk id="14" max="9" man="1"/>
        <brk id="27" max="9" man="1"/>
      </rowBreaks>
      <pageMargins left="0.5" right="0.5" top="1" bottom="1" header="0.5" footer="0.5"/>
      <printOptions horizontalCentered="1"/>
      <pageSetup fitToHeight="0" orientation="landscape" r:id="rId2"/>
      <headerFooter alignWithMargins="0">
        <oddHeader>&amp;C&amp;"Arial,Bold"&amp;12&amp;UProject Activity 12: Structures- Short Span Concrete</oddHeader>
        <oddFooter>Page &amp;P of &amp;N</oddFooter>
      </headerFooter>
    </customSheetView>
    <customSheetView guid="{EFE02F7B-3837-4B0F-9646-ADE249504E9F}" hiddenColumns="1" showRuler="0" topLeftCell="A7">
      <selection activeCell="J11" sqref="J11"/>
      <rowBreaks count="2" manualBreakCount="2">
        <brk id="14" max="9" man="1"/>
        <brk id="27" max="9" man="1"/>
      </rowBreaks>
      <pageMargins left="0.5" right="0.5" top="1" bottom="1" header="0.5" footer="0.5"/>
      <printOptions horizontalCentered="1"/>
      <pageSetup fitToHeight="0" orientation="landscape" r:id="rId3"/>
      <headerFooter alignWithMargins="0">
        <oddHeader>&amp;C&amp;"Arial,Bold"&amp;12&amp;UProject Activity 12: Structures- Short Span Concrete</oddHeader>
        <oddFooter>Page &amp;P of &amp;N</oddFooter>
      </headerFooter>
    </customSheetView>
    <customSheetView guid="{053BE130-58A3-4F3B-945A-C2EFB15C6264}" hiddenColumns="1" showRuler="0" topLeftCell="A7">
      <selection activeCell="J11" sqref="J11"/>
      <rowBreaks count="1" manualBreakCount="1">
        <brk id="14" max="9" man="1"/>
      </rowBreaks>
      <pageMargins left="0.5" right="0.5" top="1" bottom="1" header="0.5" footer="0.5"/>
      <printOptions horizontalCentered="1"/>
      <pageSetup fitToHeight="0" orientation="landscape" r:id="rId4"/>
      <headerFooter alignWithMargins="0">
        <oddHeader>&amp;C&amp;"Arial,Bold"&amp;12&amp;UProject Activity 12: Structures- Short Span Concrete</oddHeader>
        <oddFooter>Page &amp;P of &amp;N</oddFooter>
      </headerFooter>
    </customSheetView>
    <customSheetView guid="{F5DBE5B9-A9E4-4030-888B-08F930ECBB74}" showPageBreaks="1" printArea="1" hiddenColumns="1" showRuler="0" topLeftCell="A7">
      <selection activeCell="J11" sqref="J11"/>
      <rowBreaks count="2" manualBreakCount="2">
        <brk id="14" max="9" man="1"/>
        <brk id="27" max="9" man="1"/>
      </rowBreaks>
      <pageMargins left="0.5" right="0.5" top="1" bottom="1" header="0.5" footer="0.5"/>
      <printOptions horizontalCentered="1"/>
      <pageSetup fitToHeight="0" orientation="landscape" r:id="rId5"/>
      <headerFooter alignWithMargins="0">
        <oddHeader>&amp;C&amp;"Arial,Bold"&amp;12&amp;UProject Activity 12: Structures- Short Span Concrete</oddHeader>
        <oddFooter>Page &amp;P of &amp;N</oddFooter>
      </headerFooter>
    </customSheetView>
    <customSheetView guid="{960FB4AF-B150-4523-972C-3F7C93F049F3}" showPageBreaks="1" printArea="1" hiddenColumns="1" view="pageBreakPreview" showRuler="0" topLeftCell="A31">
      <selection activeCell="C31" sqref="C31"/>
      <rowBreaks count="2" manualBreakCount="2">
        <brk id="14" max="9" man="1"/>
        <brk id="27" max="9" man="1"/>
      </rowBreaks>
      <pageMargins left="0.5" right="0.5" top="1" bottom="1" header="0.5" footer="0.5"/>
      <printOptions horizontalCentered="1"/>
      <pageSetup fitToHeight="0" orientation="landscape" r:id="rId6"/>
      <headerFooter alignWithMargins="0">
        <oddHeader>&amp;C&amp;"Arial,Bold"&amp;12&amp;UProject Activity 12: Structures- Short Span Concrete</oddHeader>
        <oddFooter>Page &amp;P of &amp;N</oddFooter>
      </headerFooter>
    </customSheetView>
    <customSheetView guid="{DF3BD4C9-2986-4236-8E90-D96736404377}" showPageBreaks="1" printArea="1" hiddenColumns="1" view="pageBreakPreview" showRuler="0" topLeftCell="A27">
      <selection activeCell="B37" sqref="B37"/>
      <rowBreaks count="2" manualBreakCount="2">
        <brk id="14" max="9" man="1"/>
        <brk id="27" max="9" man="1"/>
      </rowBreaks>
      <pageMargins left="0.5" right="0.5" top="1" bottom="1" header="0.5" footer="0.5"/>
      <printOptions horizontalCentered="1"/>
      <pageSetup fitToHeight="0" orientation="landscape" r:id="rId7"/>
      <headerFooter alignWithMargins="0">
        <oddHeader>&amp;C&amp;"Arial,Bold"&amp;12&amp;UProject Activity 12: Structures- Short Span Concrete</oddHeader>
        <oddFooter>Page &amp;P of &amp;N</oddFooter>
      </headerFooter>
    </customSheetView>
  </customSheetViews>
  <mergeCells count="1">
    <mergeCell ref="A2:E2"/>
  </mergeCells>
  <phoneticPr fontId="0" type="noConversion"/>
  <printOptions horizontalCentered="1" verticalCentered="1"/>
  <pageMargins left="0.75" right="0.75" top="1" bottom="1" header="0.5" footer="0.5"/>
  <pageSetup scale="95" fitToHeight="0" orientation="landscape" r:id="rId8"/>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7"/>
  <dimension ref="A1:E71"/>
  <sheetViews>
    <sheetView showGridLines="0" zoomScale="115" zoomScaleNormal="115" zoomScaleSheetLayoutView="100" workbookViewId="0"/>
  </sheetViews>
  <sheetFormatPr defaultColWidth="9.109375" defaultRowHeight="13.2"/>
  <cols>
    <col min="1" max="1" width="6.6640625" style="21" customWidth="1"/>
    <col min="2" max="2" width="31.6640625" style="21" customWidth="1"/>
    <col min="3" max="3" width="7.44140625" style="21" bestFit="1" customWidth="1"/>
    <col min="4" max="4" width="16.6640625" style="70" customWidth="1"/>
    <col min="5" max="5" width="65.109375" style="76" customWidth="1"/>
    <col min="6" max="16384" width="9.109375" style="70"/>
  </cols>
  <sheetData>
    <row r="1" spans="1:5" ht="13.8" thickBot="1">
      <c r="A1" s="83" t="s">
        <v>1435</v>
      </c>
    </row>
    <row r="2" spans="1:5" s="26" customFormat="1" ht="20.100000000000001" customHeight="1">
      <c r="A2" s="950" t="s">
        <v>2015</v>
      </c>
      <c r="B2" s="951"/>
      <c r="C2" s="951"/>
      <c r="D2" s="951"/>
      <c r="E2" s="952"/>
    </row>
    <row r="3" spans="1:5" s="33" customFormat="1" ht="25.5" customHeight="1">
      <c r="A3" s="233" t="s">
        <v>385</v>
      </c>
      <c r="B3" s="234" t="s">
        <v>844</v>
      </c>
      <c r="C3" s="140" t="s">
        <v>984</v>
      </c>
      <c r="D3" s="140" t="s">
        <v>1069</v>
      </c>
      <c r="E3" s="241" t="s">
        <v>1070</v>
      </c>
    </row>
    <row r="4" spans="1:5" s="33" customFormat="1" ht="20.100000000000001" customHeight="1">
      <c r="A4" s="239"/>
      <c r="B4" s="219" t="s">
        <v>1708</v>
      </c>
      <c r="C4" s="140"/>
      <c r="D4" s="240"/>
      <c r="E4" s="205"/>
    </row>
    <row r="5" spans="1:5" s="33" customFormat="1" ht="52.8">
      <c r="A5" s="68">
        <v>13.1</v>
      </c>
      <c r="B5" s="194" t="s">
        <v>1709</v>
      </c>
      <c r="C5" s="195" t="s">
        <v>982</v>
      </c>
      <c r="D5" s="11" t="s">
        <v>858</v>
      </c>
      <c r="E5" s="75" t="s">
        <v>234</v>
      </c>
    </row>
    <row r="6" spans="1:5" s="33" customFormat="1" ht="26.4">
      <c r="A6" s="68">
        <v>13.2</v>
      </c>
      <c r="B6" s="194" t="s">
        <v>1710</v>
      </c>
      <c r="C6" s="195" t="s">
        <v>1436</v>
      </c>
      <c r="D6" s="11" t="s">
        <v>583</v>
      </c>
      <c r="E6" s="75" t="s">
        <v>1696</v>
      </c>
    </row>
    <row r="7" spans="1:5" s="33" customFormat="1" ht="52.8">
      <c r="A7" s="68">
        <v>13.3</v>
      </c>
      <c r="B7" s="194" t="s">
        <v>220</v>
      </c>
      <c r="C7" s="195" t="s">
        <v>1490</v>
      </c>
      <c r="D7" s="11" t="s">
        <v>859</v>
      </c>
      <c r="E7" s="75" t="s">
        <v>573</v>
      </c>
    </row>
    <row r="8" spans="1:5" s="33" customFormat="1" ht="39.6">
      <c r="A8" s="68">
        <v>13.4</v>
      </c>
      <c r="B8" s="194" t="s">
        <v>1707</v>
      </c>
      <c r="C8" s="195" t="s">
        <v>1490</v>
      </c>
      <c r="D8" s="11" t="s">
        <v>152</v>
      </c>
      <c r="E8" s="75" t="s">
        <v>2372</v>
      </c>
    </row>
    <row r="9" spans="1:5" s="33" customFormat="1" ht="39.6">
      <c r="A9" s="68">
        <v>13.5</v>
      </c>
      <c r="B9" s="194" t="s">
        <v>221</v>
      </c>
      <c r="C9" s="195" t="s">
        <v>1490</v>
      </c>
      <c r="D9" s="11" t="s">
        <v>593</v>
      </c>
      <c r="E9" s="113" t="s">
        <v>1957</v>
      </c>
    </row>
    <row r="10" spans="1:5" s="33" customFormat="1" ht="105.6">
      <c r="A10" s="68">
        <v>13.6</v>
      </c>
      <c r="B10" s="194" t="s">
        <v>222</v>
      </c>
      <c r="C10" s="195" t="s">
        <v>1490</v>
      </c>
      <c r="D10" s="11" t="s">
        <v>858</v>
      </c>
      <c r="E10" s="113" t="s">
        <v>1959</v>
      </c>
    </row>
    <row r="11" spans="1:5" s="33" customFormat="1" ht="20.100000000000001" customHeight="1">
      <c r="A11" s="239"/>
      <c r="B11" s="219" t="s">
        <v>223</v>
      </c>
      <c r="C11" s="140"/>
      <c r="D11" s="203"/>
      <c r="E11" s="205"/>
    </row>
    <row r="12" spans="1:5" s="33" customFormat="1" ht="39.6">
      <c r="A12" s="196">
        <v>13.7</v>
      </c>
      <c r="B12" s="194" t="s">
        <v>224</v>
      </c>
      <c r="C12" s="195" t="s">
        <v>448</v>
      </c>
      <c r="D12" s="11" t="s">
        <v>775</v>
      </c>
      <c r="E12" s="75" t="s">
        <v>1361</v>
      </c>
    </row>
    <row r="13" spans="1:5" s="33" customFormat="1" ht="39.6">
      <c r="A13" s="196">
        <v>13.8</v>
      </c>
      <c r="B13" s="194" t="s">
        <v>1269</v>
      </c>
      <c r="C13" s="195" t="s">
        <v>448</v>
      </c>
      <c r="D13" s="11" t="s">
        <v>460</v>
      </c>
      <c r="E13" s="75" t="s">
        <v>235</v>
      </c>
    </row>
    <row r="14" spans="1:5" s="33" customFormat="1" ht="52.8">
      <c r="A14" s="196">
        <v>13.9</v>
      </c>
      <c r="B14" s="194" t="s">
        <v>225</v>
      </c>
      <c r="C14" s="195" t="s">
        <v>1118</v>
      </c>
      <c r="D14" s="11" t="s">
        <v>860</v>
      </c>
      <c r="E14" s="75" t="s">
        <v>679</v>
      </c>
    </row>
    <row r="15" spans="1:5" s="33" customFormat="1" ht="26.4">
      <c r="A15" s="193">
        <v>13.1</v>
      </c>
      <c r="B15" s="194" t="s">
        <v>226</v>
      </c>
      <c r="C15" s="195" t="s">
        <v>1490</v>
      </c>
      <c r="D15" s="11" t="s">
        <v>1731</v>
      </c>
      <c r="E15" s="75" t="s">
        <v>236</v>
      </c>
    </row>
    <row r="16" spans="1:5" s="33" customFormat="1" ht="26.4">
      <c r="A16" s="193">
        <v>13.11</v>
      </c>
      <c r="B16" s="194" t="s">
        <v>227</v>
      </c>
      <c r="C16" s="195" t="s">
        <v>1490</v>
      </c>
      <c r="D16" s="11" t="s">
        <v>1728</v>
      </c>
      <c r="E16" s="75" t="s">
        <v>722</v>
      </c>
    </row>
    <row r="17" spans="1:5" s="33" customFormat="1" ht="20.100000000000001" customHeight="1">
      <c r="A17" s="239"/>
      <c r="B17" s="219" t="s">
        <v>228</v>
      </c>
      <c r="C17" s="140"/>
      <c r="D17" s="203"/>
      <c r="E17" s="205"/>
    </row>
    <row r="18" spans="1:5" s="33" customFormat="1" ht="26.4">
      <c r="A18" s="193">
        <v>13.12</v>
      </c>
      <c r="B18" s="194" t="s">
        <v>229</v>
      </c>
      <c r="C18" s="195" t="s">
        <v>1270</v>
      </c>
      <c r="D18" s="11" t="s">
        <v>569</v>
      </c>
      <c r="E18" s="75" t="s">
        <v>680</v>
      </c>
    </row>
    <row r="19" spans="1:5" s="33" customFormat="1" ht="39.6">
      <c r="A19" s="193">
        <v>13.13</v>
      </c>
      <c r="B19" s="194" t="s">
        <v>230</v>
      </c>
      <c r="C19" s="195" t="s">
        <v>1118</v>
      </c>
      <c r="D19" s="11" t="s">
        <v>979</v>
      </c>
      <c r="E19" s="75" t="s">
        <v>681</v>
      </c>
    </row>
    <row r="20" spans="1:5" s="33" customFormat="1" ht="52.8">
      <c r="A20" s="193">
        <v>13.14</v>
      </c>
      <c r="B20" s="194" t="s">
        <v>231</v>
      </c>
      <c r="C20" s="195" t="s">
        <v>1118</v>
      </c>
      <c r="D20" s="11" t="s">
        <v>1729</v>
      </c>
      <c r="E20" s="75" t="s">
        <v>716</v>
      </c>
    </row>
    <row r="21" spans="1:5" s="33" customFormat="1" ht="26.4">
      <c r="A21" s="193">
        <v>13.15</v>
      </c>
      <c r="B21" s="194" t="s">
        <v>232</v>
      </c>
      <c r="C21" s="195" t="s">
        <v>1490</v>
      </c>
      <c r="D21" s="11" t="s">
        <v>1728</v>
      </c>
      <c r="E21" s="75" t="s">
        <v>236</v>
      </c>
    </row>
    <row r="22" spans="1:5" s="33" customFormat="1" ht="26.4">
      <c r="A22" s="193">
        <v>13.16</v>
      </c>
      <c r="B22" s="194" t="s">
        <v>267</v>
      </c>
      <c r="C22" s="195" t="s">
        <v>1490</v>
      </c>
      <c r="D22" s="11" t="s">
        <v>1728</v>
      </c>
      <c r="E22" s="75" t="s">
        <v>240</v>
      </c>
    </row>
    <row r="23" spans="1:5" s="33" customFormat="1" ht="20.100000000000001" customHeight="1">
      <c r="A23" s="239"/>
      <c r="B23" s="219" t="s">
        <v>871</v>
      </c>
      <c r="C23" s="140"/>
      <c r="D23" s="203"/>
      <c r="E23" s="205"/>
    </row>
    <row r="24" spans="1:5" s="33" customFormat="1" ht="39.6">
      <c r="A24" s="193">
        <v>13.17</v>
      </c>
      <c r="B24" s="194" t="s">
        <v>872</v>
      </c>
      <c r="C24" s="195" t="s">
        <v>1208</v>
      </c>
      <c r="D24" s="11" t="s">
        <v>861</v>
      </c>
      <c r="E24" s="75" t="s">
        <v>683</v>
      </c>
    </row>
    <row r="25" spans="1:5" s="33" customFormat="1" ht="39.6">
      <c r="A25" s="193">
        <v>13.18</v>
      </c>
      <c r="B25" s="194" t="s">
        <v>874</v>
      </c>
      <c r="C25" s="195" t="s">
        <v>1118</v>
      </c>
      <c r="D25" s="11" t="s">
        <v>862</v>
      </c>
      <c r="E25" s="75" t="s">
        <v>681</v>
      </c>
    </row>
    <row r="26" spans="1:5" s="33" customFormat="1" ht="52.8">
      <c r="A26" s="193">
        <v>13.19</v>
      </c>
      <c r="B26" s="194" t="s">
        <v>875</v>
      </c>
      <c r="C26" s="195" t="s">
        <v>1118</v>
      </c>
      <c r="D26" s="11" t="s">
        <v>862</v>
      </c>
      <c r="E26" s="75" t="s">
        <v>684</v>
      </c>
    </row>
    <row r="27" spans="1:5" s="33" customFormat="1" ht="52.8">
      <c r="A27" s="193">
        <v>13.2</v>
      </c>
      <c r="B27" s="194" t="s">
        <v>876</v>
      </c>
      <c r="C27" s="195" t="s">
        <v>1490</v>
      </c>
      <c r="D27" s="11" t="s">
        <v>152</v>
      </c>
      <c r="E27" s="75" t="s">
        <v>241</v>
      </c>
    </row>
    <row r="28" spans="1:5" s="33" customFormat="1" ht="52.8">
      <c r="A28" s="193">
        <v>13.21</v>
      </c>
      <c r="B28" s="194" t="s">
        <v>877</v>
      </c>
      <c r="C28" s="195" t="s">
        <v>1490</v>
      </c>
      <c r="D28" s="11" t="s">
        <v>152</v>
      </c>
      <c r="E28" s="75" t="s">
        <v>288</v>
      </c>
    </row>
    <row r="29" spans="1:5" s="33" customFormat="1" ht="20.100000000000001" customHeight="1">
      <c r="A29" s="239"/>
      <c r="B29" s="219" t="s">
        <v>268</v>
      </c>
      <c r="C29" s="140"/>
      <c r="D29" s="203"/>
      <c r="E29" s="205"/>
    </row>
    <row r="30" spans="1:5" s="33" customFormat="1" ht="39.6">
      <c r="A30" s="193">
        <v>13.22</v>
      </c>
      <c r="B30" s="194" t="s">
        <v>903</v>
      </c>
      <c r="C30" s="195" t="s">
        <v>1490</v>
      </c>
      <c r="D30" s="11" t="s">
        <v>1731</v>
      </c>
      <c r="E30" s="75" t="s">
        <v>1254</v>
      </c>
    </row>
    <row r="31" spans="1:5" s="33" customFormat="1" ht="20.100000000000001" customHeight="1">
      <c r="A31" s="239"/>
      <c r="B31" s="219" t="s">
        <v>878</v>
      </c>
      <c r="C31" s="140"/>
      <c r="D31" s="203"/>
      <c r="E31" s="205"/>
    </row>
    <row r="32" spans="1:5" s="33" customFormat="1" ht="39.6">
      <c r="A32" s="193">
        <v>13.23</v>
      </c>
      <c r="B32" s="194" t="s">
        <v>879</v>
      </c>
      <c r="C32" s="195" t="s">
        <v>982</v>
      </c>
      <c r="D32" s="11" t="s">
        <v>863</v>
      </c>
      <c r="E32" s="113" t="s">
        <v>1842</v>
      </c>
    </row>
    <row r="33" spans="1:5" s="33" customFormat="1" ht="26.4">
      <c r="A33" s="193">
        <v>13.24</v>
      </c>
      <c r="B33" s="194" t="s">
        <v>1256</v>
      </c>
      <c r="C33" s="195" t="s">
        <v>1490</v>
      </c>
      <c r="D33" s="11" t="s">
        <v>568</v>
      </c>
      <c r="E33" s="75" t="s">
        <v>48</v>
      </c>
    </row>
    <row r="34" spans="1:5" s="33" customFormat="1" ht="39.6">
      <c r="A34" s="193">
        <v>13.25</v>
      </c>
      <c r="B34" s="72" t="s">
        <v>1257</v>
      </c>
      <c r="C34" s="195" t="s">
        <v>717</v>
      </c>
      <c r="D34" s="11" t="s">
        <v>814</v>
      </c>
      <c r="E34" s="113" t="s">
        <v>968</v>
      </c>
    </row>
    <row r="35" spans="1:5" s="33" customFormat="1" ht="39.6">
      <c r="A35" s="193">
        <v>13.26</v>
      </c>
      <c r="B35" s="72" t="s">
        <v>880</v>
      </c>
      <c r="C35" s="195" t="s">
        <v>1436</v>
      </c>
      <c r="D35" s="11" t="s">
        <v>1727</v>
      </c>
      <c r="E35" s="75" t="s">
        <v>969</v>
      </c>
    </row>
    <row r="36" spans="1:5" s="33" customFormat="1" ht="26.4">
      <c r="A36" s="193">
        <v>13.27</v>
      </c>
      <c r="B36" s="84" t="s">
        <v>1843</v>
      </c>
      <c r="C36" s="195" t="s">
        <v>717</v>
      </c>
      <c r="D36" s="11" t="s">
        <v>633</v>
      </c>
      <c r="E36" s="113" t="s">
        <v>1844</v>
      </c>
    </row>
    <row r="37" spans="1:5" s="33" customFormat="1" ht="52.8">
      <c r="A37" s="193">
        <v>13.28</v>
      </c>
      <c r="B37" s="194" t="s">
        <v>1262</v>
      </c>
      <c r="C37" s="195" t="s">
        <v>1490</v>
      </c>
      <c r="D37" s="11" t="s">
        <v>1731</v>
      </c>
      <c r="E37" s="113" t="s">
        <v>597</v>
      </c>
    </row>
    <row r="38" spans="1:5" s="33" customFormat="1" ht="39.6">
      <c r="A38" s="193">
        <v>13.29</v>
      </c>
      <c r="B38" s="194" t="s">
        <v>881</v>
      </c>
      <c r="C38" s="195" t="s">
        <v>1490</v>
      </c>
      <c r="D38" s="11" t="s">
        <v>795</v>
      </c>
      <c r="E38" s="113" t="s">
        <v>1960</v>
      </c>
    </row>
    <row r="39" spans="1:5" s="33" customFormat="1" ht="26.4">
      <c r="A39" s="118">
        <v>13.3</v>
      </c>
      <c r="B39" s="197" t="s">
        <v>882</v>
      </c>
      <c r="C39" s="198" t="s">
        <v>1490</v>
      </c>
      <c r="D39" s="11" t="s">
        <v>643</v>
      </c>
      <c r="E39" s="113" t="s">
        <v>1961</v>
      </c>
    </row>
    <row r="40" spans="1:5" s="33" customFormat="1" ht="20.100000000000001" customHeight="1">
      <c r="A40" s="239"/>
      <c r="B40" s="219" t="s">
        <v>1259</v>
      </c>
      <c r="C40" s="140"/>
      <c r="D40" s="203"/>
      <c r="E40" s="205"/>
    </row>
    <row r="41" spans="1:5" s="33" customFormat="1" ht="39.6">
      <c r="A41" s="196">
        <v>13.31</v>
      </c>
      <c r="B41" s="194" t="s">
        <v>290</v>
      </c>
      <c r="C41" s="195" t="s">
        <v>1490</v>
      </c>
      <c r="D41" s="11" t="s">
        <v>570</v>
      </c>
      <c r="E41" s="75" t="s">
        <v>328</v>
      </c>
    </row>
    <row r="42" spans="1:5" s="33" customFormat="1" ht="20.100000000000001" customHeight="1">
      <c r="A42" s="239"/>
      <c r="B42" s="219" t="s">
        <v>883</v>
      </c>
      <c r="C42" s="140"/>
      <c r="D42" s="203"/>
      <c r="E42" s="205"/>
    </row>
    <row r="43" spans="1:5" s="33" customFormat="1" ht="39.6">
      <c r="A43" s="196">
        <v>13.32</v>
      </c>
      <c r="B43" s="29" t="s">
        <v>885</v>
      </c>
      <c r="C43" s="465" t="s">
        <v>982</v>
      </c>
      <c r="D43" s="19" t="s">
        <v>534</v>
      </c>
      <c r="E43" s="73" t="s">
        <v>598</v>
      </c>
    </row>
    <row r="44" spans="1:5" s="33" customFormat="1" ht="26.4">
      <c r="A44" s="196">
        <v>13.33</v>
      </c>
      <c r="B44" s="29" t="s">
        <v>886</v>
      </c>
      <c r="C44" s="465" t="s">
        <v>982</v>
      </c>
      <c r="D44" s="19" t="s">
        <v>633</v>
      </c>
      <c r="E44" s="73" t="s">
        <v>599</v>
      </c>
    </row>
    <row r="45" spans="1:5" s="33" customFormat="1" ht="26.4">
      <c r="A45" s="196">
        <v>13.34</v>
      </c>
      <c r="B45" s="29" t="s">
        <v>887</v>
      </c>
      <c r="C45" s="465" t="s">
        <v>1436</v>
      </c>
      <c r="D45" s="19" t="s">
        <v>864</v>
      </c>
      <c r="E45" s="73" t="s">
        <v>600</v>
      </c>
    </row>
    <row r="46" spans="1:5" s="33" customFormat="1" ht="26.4">
      <c r="A46" s="196">
        <v>13.35</v>
      </c>
      <c r="B46" s="29" t="s">
        <v>1229</v>
      </c>
      <c r="C46" s="465" t="s">
        <v>1436</v>
      </c>
      <c r="D46" s="19" t="s">
        <v>1356</v>
      </c>
      <c r="E46" s="73" t="s">
        <v>601</v>
      </c>
    </row>
    <row r="47" spans="1:5" s="33" customFormat="1" ht="26.4">
      <c r="A47" s="196">
        <v>13.36</v>
      </c>
      <c r="B47" s="29" t="s">
        <v>1230</v>
      </c>
      <c r="C47" s="465" t="s">
        <v>1436</v>
      </c>
      <c r="D47" s="19" t="s">
        <v>744</v>
      </c>
      <c r="E47" s="73" t="s">
        <v>590</v>
      </c>
    </row>
    <row r="48" spans="1:5" s="33" customFormat="1" ht="26.4">
      <c r="A48" s="196">
        <v>13.37</v>
      </c>
      <c r="B48" s="29" t="s">
        <v>1231</v>
      </c>
      <c r="C48" s="465" t="s">
        <v>1436</v>
      </c>
      <c r="D48" s="19" t="s">
        <v>864</v>
      </c>
      <c r="E48" s="73" t="s">
        <v>591</v>
      </c>
    </row>
    <row r="49" spans="1:5" s="33" customFormat="1" ht="26.4">
      <c r="A49" s="196">
        <v>13.38</v>
      </c>
      <c r="B49" s="29" t="s">
        <v>1232</v>
      </c>
      <c r="C49" s="465" t="s">
        <v>1436</v>
      </c>
      <c r="D49" s="19" t="s">
        <v>865</v>
      </c>
      <c r="E49" s="73" t="s">
        <v>592</v>
      </c>
    </row>
    <row r="50" spans="1:5" s="33" customFormat="1" ht="26.4">
      <c r="A50" s="193">
        <v>13.39</v>
      </c>
      <c r="B50" s="29" t="s">
        <v>1233</v>
      </c>
      <c r="C50" s="465" t="s">
        <v>1436</v>
      </c>
      <c r="D50" s="19" t="s">
        <v>866</v>
      </c>
      <c r="E50" s="73" t="s">
        <v>530</v>
      </c>
    </row>
    <row r="51" spans="1:5" s="33" customFormat="1" ht="26.4">
      <c r="A51" s="193">
        <v>13.4</v>
      </c>
      <c r="B51" s="29" t="s">
        <v>1234</v>
      </c>
      <c r="C51" s="465" t="s">
        <v>1436</v>
      </c>
      <c r="D51" s="19" t="s">
        <v>1356</v>
      </c>
      <c r="E51" s="73" t="s">
        <v>970</v>
      </c>
    </row>
    <row r="52" spans="1:5" s="33" customFormat="1" ht="39.6">
      <c r="A52" s="196">
        <v>13.41</v>
      </c>
      <c r="B52" s="29" t="s">
        <v>1235</v>
      </c>
      <c r="C52" s="465" t="s">
        <v>1436</v>
      </c>
      <c r="D52" s="19" t="s">
        <v>1356</v>
      </c>
      <c r="E52" s="73" t="s">
        <v>971</v>
      </c>
    </row>
    <row r="53" spans="1:5" s="67" customFormat="1" ht="39.6">
      <c r="A53" s="196">
        <v>13.42</v>
      </c>
      <c r="B53" s="29" t="s">
        <v>1236</v>
      </c>
      <c r="C53" s="465" t="s">
        <v>1436</v>
      </c>
      <c r="D53" s="19" t="s">
        <v>1356</v>
      </c>
      <c r="E53" s="73" t="s">
        <v>244</v>
      </c>
    </row>
    <row r="54" spans="1:5" s="67" customFormat="1" ht="39.6">
      <c r="A54" s="196">
        <v>13.43</v>
      </c>
      <c r="B54" s="464" t="s">
        <v>1237</v>
      </c>
      <c r="C54" s="465" t="s">
        <v>1490</v>
      </c>
      <c r="D54" s="19" t="s">
        <v>795</v>
      </c>
      <c r="E54" s="73" t="s">
        <v>531</v>
      </c>
    </row>
    <row r="55" spans="1:5" s="67" customFormat="1" ht="26.4">
      <c r="A55" s="196">
        <v>13.44</v>
      </c>
      <c r="B55" s="464" t="s">
        <v>1658</v>
      </c>
      <c r="C55" s="465" t="s">
        <v>1490</v>
      </c>
      <c r="D55" s="19" t="s">
        <v>795</v>
      </c>
      <c r="E55" s="73" t="s">
        <v>532</v>
      </c>
    </row>
    <row r="56" spans="1:5" s="67" customFormat="1" ht="39.6">
      <c r="A56" s="196">
        <v>13.45</v>
      </c>
      <c r="B56" s="464" t="s">
        <v>1592</v>
      </c>
      <c r="C56" s="465" t="s">
        <v>1490</v>
      </c>
      <c r="D56" s="19" t="s">
        <v>902</v>
      </c>
      <c r="E56" s="73" t="s">
        <v>469</v>
      </c>
    </row>
    <row r="57" spans="1:5" s="67" customFormat="1">
      <c r="A57" s="196">
        <v>13.46</v>
      </c>
      <c r="B57" s="464" t="s">
        <v>857</v>
      </c>
      <c r="C57" s="465" t="s">
        <v>1490</v>
      </c>
      <c r="D57" s="19" t="s">
        <v>902</v>
      </c>
      <c r="E57" s="73" t="s">
        <v>470</v>
      </c>
    </row>
    <row r="58" spans="1:5" s="67" customFormat="1" ht="26.4">
      <c r="A58" s="196">
        <v>13.47</v>
      </c>
      <c r="B58" s="464" t="s">
        <v>1240</v>
      </c>
      <c r="C58" s="465" t="s">
        <v>1490</v>
      </c>
      <c r="D58" s="19" t="s">
        <v>795</v>
      </c>
      <c r="E58" s="73" t="s">
        <v>471</v>
      </c>
    </row>
    <row r="59" spans="1:5" s="69" customFormat="1" ht="26.4">
      <c r="A59" s="196">
        <v>13.48</v>
      </c>
      <c r="B59" s="464" t="s">
        <v>1241</v>
      </c>
      <c r="C59" s="465" t="s">
        <v>1490</v>
      </c>
      <c r="D59" s="19" t="s">
        <v>795</v>
      </c>
      <c r="E59" s="73" t="s">
        <v>472</v>
      </c>
    </row>
    <row r="60" spans="1:5" s="69" customFormat="1" ht="20.100000000000001" customHeight="1">
      <c r="A60" s="236"/>
      <c r="B60" s="237" t="s">
        <v>1242</v>
      </c>
      <c r="C60" s="140"/>
      <c r="D60" s="220"/>
      <c r="E60" s="238"/>
    </row>
    <row r="61" spans="1:5" s="69" customFormat="1" ht="26.4">
      <c r="A61" s="463">
        <v>13.49</v>
      </c>
      <c r="B61" s="29" t="s">
        <v>1243</v>
      </c>
      <c r="C61" s="195" t="s">
        <v>718</v>
      </c>
      <c r="D61" s="19" t="s">
        <v>867</v>
      </c>
      <c r="E61" s="113" t="s">
        <v>1845</v>
      </c>
    </row>
    <row r="62" spans="1:5" s="67" customFormat="1" ht="26.4">
      <c r="A62" s="463">
        <v>13.5</v>
      </c>
      <c r="B62" s="29" t="s">
        <v>1244</v>
      </c>
      <c r="C62" s="195" t="s">
        <v>1490</v>
      </c>
      <c r="D62" s="19" t="s">
        <v>534</v>
      </c>
      <c r="E62" s="75" t="s">
        <v>851</v>
      </c>
    </row>
    <row r="63" spans="1:5" s="71" customFormat="1" ht="39.6">
      <c r="A63" s="463">
        <v>13.51</v>
      </c>
      <c r="B63" s="464" t="s">
        <v>1237</v>
      </c>
      <c r="C63" s="465" t="s">
        <v>1490</v>
      </c>
      <c r="D63" s="19" t="s">
        <v>795</v>
      </c>
      <c r="E63" s="75" t="s">
        <v>233</v>
      </c>
    </row>
    <row r="64" spans="1:5" s="172" customFormat="1" ht="20.100000000000001" customHeight="1">
      <c r="A64" s="565"/>
      <c r="B64" s="229" t="s">
        <v>1846</v>
      </c>
      <c r="C64" s="566"/>
      <c r="D64" s="566"/>
      <c r="E64" s="568"/>
    </row>
    <row r="65" spans="1:5" s="71" customFormat="1">
      <c r="A65" s="105">
        <v>13.52</v>
      </c>
      <c r="B65" s="106" t="s">
        <v>1847</v>
      </c>
      <c r="C65" s="104" t="s">
        <v>1436</v>
      </c>
      <c r="D65" s="115" t="s">
        <v>1727</v>
      </c>
      <c r="E65" s="113" t="s">
        <v>1848</v>
      </c>
    </row>
    <row r="66" spans="1:5" s="172" customFormat="1" ht="20.100000000000001" customHeight="1">
      <c r="A66" s="565"/>
      <c r="B66" s="229" t="s">
        <v>1849</v>
      </c>
      <c r="C66" s="566"/>
      <c r="D66" s="566"/>
      <c r="E66" s="568"/>
    </row>
    <row r="67" spans="1:5" s="71" customFormat="1" ht="26.4">
      <c r="A67" s="105">
        <v>13.53</v>
      </c>
      <c r="B67" s="106" t="s">
        <v>1850</v>
      </c>
      <c r="C67" s="104" t="s">
        <v>1851</v>
      </c>
      <c r="D67" s="104" t="s">
        <v>1852</v>
      </c>
      <c r="E67" s="113" t="s">
        <v>1853</v>
      </c>
    </row>
    <row r="68" spans="1:5" s="71" customFormat="1" ht="26.25" customHeight="1">
      <c r="A68" s="105">
        <v>13.54</v>
      </c>
      <c r="B68" s="106" t="s">
        <v>1854</v>
      </c>
      <c r="C68" s="104" t="s">
        <v>1490</v>
      </c>
      <c r="D68" s="115" t="s">
        <v>1727</v>
      </c>
      <c r="E68" s="113" t="s">
        <v>1855</v>
      </c>
    </row>
    <row r="69" spans="1:5" s="172" customFormat="1" ht="20.100000000000001" customHeight="1">
      <c r="A69" s="565"/>
      <c r="B69" s="229" t="s">
        <v>1033</v>
      </c>
      <c r="C69" s="566"/>
      <c r="D69" s="566"/>
      <c r="E69" s="568"/>
    </row>
    <row r="70" spans="1:5" s="15" customFormat="1" ht="39.6">
      <c r="A70" s="953">
        <v>13.55</v>
      </c>
      <c r="B70" s="955" t="s">
        <v>1033</v>
      </c>
      <c r="C70" s="957" t="s">
        <v>719</v>
      </c>
      <c r="D70" s="138" t="s">
        <v>73</v>
      </c>
      <c r="E70" s="102" t="s">
        <v>720</v>
      </c>
    </row>
    <row r="71" spans="1:5" s="15" customFormat="1" ht="53.4" thickBot="1">
      <c r="A71" s="954"/>
      <c r="B71" s="956"/>
      <c r="C71" s="958"/>
      <c r="D71" s="480" t="s">
        <v>637</v>
      </c>
      <c r="E71" s="515" t="s">
        <v>721</v>
      </c>
    </row>
  </sheetData>
  <customSheetViews>
    <customSheetView guid="{4FEDB3BD-111A-4B7D-AA97-E67173A5F707}" showPageBreaks="1" printArea="1" hiddenColumns="1" view="pageBreakPreview" showRuler="0" topLeftCell="A53">
      <selection activeCell="J7" sqref="J7"/>
      <pageMargins left="0.5" right="0.5" top="1" bottom="1" header="0.5" footer="0.5"/>
      <printOptions horizontalCentered="1"/>
      <pageSetup fitToHeight="0" orientation="landscape" r:id="rId1"/>
      <headerFooter alignWithMargins="0">
        <oddHeader>&amp;C&amp;"Arial,Bold"&amp;12&amp;UProject Activity 13: Structures- Medium Span Concrete</oddHeader>
        <oddFooter>Page &amp;P of &amp;N</oddFooter>
      </headerFooter>
    </customSheetView>
    <customSheetView guid="{D5FFA8DD-F2DB-47F2-B4D2-3681726B2E8F}" showPageBreaks="1" printArea="1" hiddenColumns="1" view="pageBreakPreview" showRuler="0" topLeftCell="A55">
      <selection activeCell="C3" sqref="C3:P3"/>
      <pageMargins left="0.5" right="0.5" top="1" bottom="1" header="0.5" footer="0.5"/>
      <printOptions horizontalCentered="1"/>
      <pageSetup fitToHeight="0" orientation="landscape" r:id="rId2"/>
      <headerFooter alignWithMargins="0">
        <oddHeader>&amp;C&amp;"Arial,Bold"&amp;12&amp;UProject Activity 13: Structures- Medium Span Concrete</oddHeader>
        <oddFooter>Page &amp;P of &amp;N</oddFooter>
      </headerFooter>
    </customSheetView>
    <customSheetView guid="{EFE02F7B-3837-4B0F-9646-ADE249504E9F}" showPageBreaks="1" printArea="1" hiddenColumns="1" view="pageBreakPreview" showRuler="0">
      <selection activeCell="J7" sqref="J7"/>
      <pageMargins left="0.5" right="0.5" top="1" bottom="1" header="0.5" footer="0.5"/>
      <printOptions horizontalCentered="1"/>
      <pageSetup fitToHeight="0" orientation="landscape" r:id="rId3"/>
      <headerFooter alignWithMargins="0">
        <oddHeader>&amp;C&amp;"Arial,Bold"&amp;12&amp;UProject Activity 13: Structures- Medium Span Concrete</oddHeader>
        <oddFooter>Page &amp;P of &amp;N</oddFooter>
      </headerFooter>
    </customSheetView>
    <customSheetView guid="{053BE130-58A3-4F3B-945A-C2EFB15C6264}" showPageBreaks="1" printArea="1" hiddenColumns="1" view="pageBreakPreview" showRuler="0">
      <selection activeCell="J7" sqref="J7"/>
      <pageMargins left="0.5" right="0.5" top="1" bottom="1" header="0.5" footer="0.5"/>
      <printOptions horizontalCentered="1"/>
      <pageSetup fitToHeight="0" orientation="landscape" r:id="rId4"/>
      <headerFooter alignWithMargins="0">
        <oddHeader>&amp;C&amp;"Arial,Bold"&amp;12&amp;UProject Activity 13: Structures- Medium Span Concrete</oddHeader>
        <oddFooter>Page &amp;P of &amp;N</oddFooter>
      </headerFooter>
    </customSheetView>
    <customSheetView guid="{F5DBE5B9-A9E4-4030-888B-08F930ECBB74}" showPageBreaks="1" printArea="1" hiddenColumns="1" view="pageBreakPreview" showRuler="0">
      <selection activeCell="J7" sqref="J7"/>
      <pageMargins left="0.5" right="0.5" top="1" bottom="1" header="0.5" footer="0.5"/>
      <printOptions horizontalCentered="1"/>
      <pageSetup fitToHeight="0" orientation="landscape" r:id="rId5"/>
      <headerFooter alignWithMargins="0">
        <oddHeader>&amp;C&amp;"Arial,Bold"&amp;12&amp;UProject Activity 13: Structures- Medium Span Concrete</oddHeader>
        <oddFooter>Page &amp;P of &amp;N</oddFooter>
      </headerFooter>
    </customSheetView>
    <customSheetView guid="{960FB4AF-B150-4523-972C-3F7C93F049F3}" showPageBreaks="1" printArea="1" hiddenColumns="1" view="pageBreakPreview" showRuler="0">
      <selection activeCell="B38" sqref="B38:C39"/>
      <pageMargins left="0.5" right="0.5" top="1" bottom="1" header="0.5" footer="0.5"/>
      <printOptions horizontalCentered="1"/>
      <pageSetup fitToHeight="0" orientation="landscape" r:id="rId6"/>
      <headerFooter alignWithMargins="0">
        <oddHeader>&amp;C&amp;"Arial,Bold"&amp;12&amp;UProject Activity 13: Structures- Medium Span Concrete</oddHeader>
        <oddFooter>Page &amp;P of &amp;N</oddFooter>
      </headerFooter>
    </customSheetView>
    <customSheetView guid="{DF3BD4C9-2986-4236-8E90-D96736404377}" showPageBreaks="1" printArea="1" hiddenColumns="1" view="pageBreakPreview" showRuler="0" topLeftCell="A52">
      <selection activeCell="A66" sqref="A66"/>
      <pageMargins left="0.5" right="0.5" top="1" bottom="1" header="0.5" footer="0.5"/>
      <printOptions horizontalCentered="1"/>
      <pageSetup fitToHeight="0" orientation="landscape" r:id="rId7"/>
      <headerFooter alignWithMargins="0">
        <oddHeader>&amp;C&amp;"Arial,Bold"&amp;12&amp;UProject Activity 13: Structures- Medium Span Concrete</oddHeader>
        <oddFooter>Page &amp;P of &amp;N</oddFooter>
      </headerFooter>
    </customSheetView>
  </customSheetViews>
  <mergeCells count="4">
    <mergeCell ref="A70:A71"/>
    <mergeCell ref="B70:B71"/>
    <mergeCell ref="C70:C71"/>
    <mergeCell ref="A2:E2"/>
  </mergeCells>
  <phoneticPr fontId="0" type="noConversion"/>
  <printOptions horizontalCentered="1" verticalCentered="1"/>
  <pageMargins left="0.75" right="0.75" top="1" bottom="1" header="0.5" footer="0.5"/>
  <pageSetup scale="96" fitToHeight="0" orientation="landscape" r:id="rId8"/>
  <headerFooter alignWithMargins="0"/>
  <rowBreaks count="1" manualBreakCount="1">
    <brk id="53" max="9"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8"/>
  <dimension ref="A1:E132"/>
  <sheetViews>
    <sheetView showGridLines="0" zoomScale="115" zoomScaleNormal="115" zoomScaleSheetLayoutView="100" workbookViewId="0"/>
  </sheetViews>
  <sheetFormatPr defaultColWidth="9.109375" defaultRowHeight="13.2"/>
  <cols>
    <col min="1" max="1" width="6.33203125" style="21" customWidth="1"/>
    <col min="2" max="2" width="30.6640625" style="21" customWidth="1"/>
    <col min="3" max="4" width="12.6640625" style="21" customWidth="1"/>
    <col min="5" max="5" width="100.6640625" style="21" customWidth="1"/>
    <col min="6" max="16384" width="9.109375" style="70"/>
  </cols>
  <sheetData>
    <row r="1" spans="1:5" ht="13.8" thickBot="1">
      <c r="A1" s="83" t="s">
        <v>1435</v>
      </c>
      <c r="B1" s="2"/>
    </row>
    <row r="2" spans="1:5" s="26" customFormat="1" ht="20.100000000000001" customHeight="1">
      <c r="A2" s="950" t="s">
        <v>2016</v>
      </c>
      <c r="B2" s="951"/>
      <c r="C2" s="951"/>
      <c r="D2" s="951"/>
      <c r="E2" s="952"/>
    </row>
    <row r="3" spans="1:5" s="33" customFormat="1" ht="48" customHeight="1">
      <c r="A3" s="245" t="s">
        <v>385</v>
      </c>
      <c r="B3" s="140" t="s">
        <v>844</v>
      </c>
      <c r="C3" s="140" t="s">
        <v>914</v>
      </c>
      <c r="D3" s="140" t="s">
        <v>1069</v>
      </c>
      <c r="E3" s="241" t="s">
        <v>1070</v>
      </c>
    </row>
    <row r="4" spans="1:5" s="33" customFormat="1">
      <c r="A4" s="239"/>
      <c r="B4" s="229" t="s">
        <v>1708</v>
      </c>
      <c r="C4" s="140"/>
      <c r="D4" s="240"/>
      <c r="E4" s="231"/>
    </row>
    <row r="5" spans="1:5" s="33" customFormat="1" ht="39.6">
      <c r="A5" s="196">
        <v>14.1</v>
      </c>
      <c r="B5" s="194" t="s">
        <v>1709</v>
      </c>
      <c r="C5" s="195" t="s">
        <v>982</v>
      </c>
      <c r="D5" s="11" t="s">
        <v>858</v>
      </c>
      <c r="E5" s="34" t="s">
        <v>234</v>
      </c>
    </row>
    <row r="6" spans="1:5" s="33" customFormat="1" ht="26.4">
      <c r="A6" s="196">
        <v>14.2</v>
      </c>
      <c r="B6" s="194" t="s">
        <v>1710</v>
      </c>
      <c r="C6" s="195" t="s">
        <v>1436</v>
      </c>
      <c r="D6" s="11" t="s">
        <v>460</v>
      </c>
      <c r="E6" s="34" t="s">
        <v>189</v>
      </c>
    </row>
    <row r="7" spans="1:5" s="33" customFormat="1" ht="26.4">
      <c r="A7" s="196">
        <v>14.3</v>
      </c>
      <c r="B7" s="194" t="s">
        <v>220</v>
      </c>
      <c r="C7" s="195" t="s">
        <v>1490</v>
      </c>
      <c r="D7" s="11" t="s">
        <v>859</v>
      </c>
      <c r="E7" s="34" t="s">
        <v>573</v>
      </c>
    </row>
    <row r="8" spans="1:5" s="33" customFormat="1" ht="26.4">
      <c r="A8" s="196">
        <v>14.4</v>
      </c>
      <c r="B8" s="194" t="s">
        <v>1707</v>
      </c>
      <c r="C8" s="195" t="s">
        <v>1490</v>
      </c>
      <c r="D8" s="11" t="s">
        <v>152</v>
      </c>
      <c r="E8" s="34" t="s">
        <v>2373</v>
      </c>
    </row>
    <row r="9" spans="1:5" s="33" customFormat="1" ht="26.4">
      <c r="A9" s="196">
        <v>14.5</v>
      </c>
      <c r="B9" s="194" t="s">
        <v>221</v>
      </c>
      <c r="C9" s="195" t="s">
        <v>1490</v>
      </c>
      <c r="D9" s="11" t="s">
        <v>593</v>
      </c>
      <c r="E9" s="122" t="s">
        <v>1957</v>
      </c>
    </row>
    <row r="10" spans="1:5" s="33" customFormat="1" ht="66">
      <c r="A10" s="196">
        <v>14.6</v>
      </c>
      <c r="B10" s="194" t="s">
        <v>222</v>
      </c>
      <c r="C10" s="195" t="s">
        <v>1490</v>
      </c>
      <c r="D10" s="11" t="s">
        <v>858</v>
      </c>
      <c r="E10" s="122" t="s">
        <v>1962</v>
      </c>
    </row>
    <row r="11" spans="1:5" s="33" customFormat="1" ht="20.100000000000001" customHeight="1">
      <c r="A11" s="239"/>
      <c r="B11" s="229" t="s">
        <v>223</v>
      </c>
      <c r="C11" s="140"/>
      <c r="D11" s="203"/>
      <c r="E11" s="231"/>
    </row>
    <row r="12" spans="1:5" s="33" customFormat="1" ht="26.4">
      <c r="A12" s="196">
        <v>14.7</v>
      </c>
      <c r="B12" s="194" t="s">
        <v>224</v>
      </c>
      <c r="C12" s="195" t="s">
        <v>1270</v>
      </c>
      <c r="D12" s="11" t="s">
        <v>775</v>
      </c>
      <c r="E12" s="34" t="s">
        <v>190</v>
      </c>
    </row>
    <row r="13" spans="1:5" s="33" customFormat="1" ht="26.4">
      <c r="A13" s="196">
        <v>14.8</v>
      </c>
      <c r="B13" s="194" t="s">
        <v>1269</v>
      </c>
      <c r="C13" s="195" t="s">
        <v>1270</v>
      </c>
      <c r="D13" s="11" t="s">
        <v>460</v>
      </c>
      <c r="E13" s="34" t="s">
        <v>235</v>
      </c>
    </row>
    <row r="14" spans="1:5" s="33" customFormat="1" ht="39.6">
      <c r="A14" s="196">
        <v>14.9</v>
      </c>
      <c r="B14" s="194" t="s">
        <v>225</v>
      </c>
      <c r="C14" s="195" t="s">
        <v>1118</v>
      </c>
      <c r="D14" s="11" t="s">
        <v>860</v>
      </c>
      <c r="E14" s="34" t="s">
        <v>679</v>
      </c>
    </row>
    <row r="15" spans="1:5" s="33" customFormat="1" ht="20.100000000000001" customHeight="1">
      <c r="A15" s="193">
        <v>14.1</v>
      </c>
      <c r="B15" s="194" t="s">
        <v>226</v>
      </c>
      <c r="C15" s="195" t="s">
        <v>1490</v>
      </c>
      <c r="D15" s="11" t="s">
        <v>1731</v>
      </c>
      <c r="E15" s="34" t="s">
        <v>236</v>
      </c>
    </row>
    <row r="16" spans="1:5" s="33" customFormat="1" ht="26.4">
      <c r="A16" s="193">
        <v>14.11</v>
      </c>
      <c r="B16" s="194" t="s">
        <v>227</v>
      </c>
      <c r="C16" s="195" t="s">
        <v>1490</v>
      </c>
      <c r="D16" s="11" t="s">
        <v>1728</v>
      </c>
      <c r="E16" s="34" t="s">
        <v>722</v>
      </c>
    </row>
    <row r="17" spans="1:5" s="33" customFormat="1" ht="26.4">
      <c r="A17" s="239"/>
      <c r="B17" s="229" t="s">
        <v>228</v>
      </c>
      <c r="C17" s="140"/>
      <c r="D17" s="203"/>
      <c r="E17" s="231"/>
    </row>
    <row r="18" spans="1:5" s="33" customFormat="1" ht="26.4">
      <c r="A18" s="193">
        <v>14.12</v>
      </c>
      <c r="B18" s="194" t="s">
        <v>229</v>
      </c>
      <c r="C18" s="195" t="s">
        <v>1271</v>
      </c>
      <c r="D18" s="11" t="s">
        <v>569</v>
      </c>
      <c r="E18" s="34" t="s">
        <v>680</v>
      </c>
    </row>
    <row r="19" spans="1:5" s="33" customFormat="1" ht="26.4">
      <c r="A19" s="193">
        <v>14.13</v>
      </c>
      <c r="B19" s="194" t="s">
        <v>230</v>
      </c>
      <c r="C19" s="195" t="s">
        <v>1265</v>
      </c>
      <c r="D19" s="11" t="s">
        <v>979</v>
      </c>
      <c r="E19" s="34" t="s">
        <v>681</v>
      </c>
    </row>
    <row r="20" spans="1:5" s="33" customFormat="1" ht="26.4">
      <c r="A20" s="193">
        <v>14.14</v>
      </c>
      <c r="B20" s="194" t="s">
        <v>231</v>
      </c>
      <c r="C20" s="195" t="s">
        <v>1265</v>
      </c>
      <c r="D20" s="11" t="s">
        <v>1729</v>
      </c>
      <c r="E20" s="34" t="s">
        <v>682</v>
      </c>
    </row>
    <row r="21" spans="1:5" s="33" customFormat="1" ht="20.100000000000001" customHeight="1">
      <c r="A21" s="193">
        <v>14.15</v>
      </c>
      <c r="B21" s="194" t="s">
        <v>232</v>
      </c>
      <c r="C21" s="195" t="s">
        <v>1490</v>
      </c>
      <c r="D21" s="11" t="s">
        <v>1728</v>
      </c>
      <c r="E21" s="34" t="s">
        <v>236</v>
      </c>
    </row>
    <row r="22" spans="1:5" s="33" customFormat="1" ht="20.100000000000001" customHeight="1">
      <c r="A22" s="193">
        <v>14.16</v>
      </c>
      <c r="B22" s="194" t="s">
        <v>267</v>
      </c>
      <c r="C22" s="195" t="s">
        <v>1490</v>
      </c>
      <c r="D22" s="11" t="s">
        <v>1728</v>
      </c>
      <c r="E22" s="34" t="s">
        <v>240</v>
      </c>
    </row>
    <row r="23" spans="1:5" s="33" customFormat="1" ht="20.100000000000001" customHeight="1">
      <c r="A23" s="239"/>
      <c r="B23" s="229" t="s">
        <v>871</v>
      </c>
      <c r="C23" s="140"/>
      <c r="D23" s="203"/>
      <c r="E23" s="231"/>
    </row>
    <row r="24" spans="1:5" s="33" customFormat="1" ht="26.4">
      <c r="A24" s="193">
        <v>14.17</v>
      </c>
      <c r="B24" s="194" t="s">
        <v>872</v>
      </c>
      <c r="C24" s="195" t="s">
        <v>873</v>
      </c>
      <c r="D24" s="11" t="s">
        <v>861</v>
      </c>
      <c r="E24" s="34" t="s">
        <v>683</v>
      </c>
    </row>
    <row r="25" spans="1:5" s="33" customFormat="1" ht="26.4">
      <c r="A25" s="193">
        <v>14.18</v>
      </c>
      <c r="B25" s="194" t="s">
        <v>874</v>
      </c>
      <c r="C25" s="195" t="s">
        <v>1265</v>
      </c>
      <c r="D25" s="11" t="s">
        <v>862</v>
      </c>
      <c r="E25" s="34" t="s">
        <v>681</v>
      </c>
    </row>
    <row r="26" spans="1:5" s="33" customFormat="1" ht="39.6">
      <c r="A26" s="193">
        <v>14.19</v>
      </c>
      <c r="B26" s="194" t="s">
        <v>875</v>
      </c>
      <c r="C26" s="195" t="s">
        <v>1265</v>
      </c>
      <c r="D26" s="11" t="s">
        <v>862</v>
      </c>
      <c r="E26" s="34" t="s">
        <v>684</v>
      </c>
    </row>
    <row r="27" spans="1:5" s="33" customFormat="1" ht="39.6">
      <c r="A27" s="193">
        <v>14.2</v>
      </c>
      <c r="B27" s="194" t="s">
        <v>876</v>
      </c>
      <c r="C27" s="195" t="s">
        <v>1490</v>
      </c>
      <c r="D27" s="11" t="s">
        <v>152</v>
      </c>
      <c r="E27" s="34" t="s">
        <v>241</v>
      </c>
    </row>
    <row r="28" spans="1:5" s="33" customFormat="1" ht="39.6">
      <c r="A28" s="193">
        <v>14.21</v>
      </c>
      <c r="B28" s="194" t="s">
        <v>877</v>
      </c>
      <c r="C28" s="195" t="s">
        <v>1490</v>
      </c>
      <c r="D28" s="11" t="s">
        <v>152</v>
      </c>
      <c r="E28" s="34" t="s">
        <v>288</v>
      </c>
    </row>
    <row r="29" spans="1:5" s="33" customFormat="1" ht="26.4">
      <c r="A29" s="239"/>
      <c r="B29" s="229" t="s">
        <v>268</v>
      </c>
      <c r="C29" s="140"/>
      <c r="D29" s="203"/>
      <c r="E29" s="231"/>
    </row>
    <row r="30" spans="1:5" s="33" customFormat="1" ht="26.4">
      <c r="A30" s="193">
        <v>14.22</v>
      </c>
      <c r="B30" s="194" t="s">
        <v>903</v>
      </c>
      <c r="C30" s="195" t="s">
        <v>1490</v>
      </c>
      <c r="D30" s="11" t="s">
        <v>1731</v>
      </c>
      <c r="E30" s="34" t="s">
        <v>1254</v>
      </c>
    </row>
    <row r="31" spans="1:5" s="33" customFormat="1" ht="26.4">
      <c r="A31" s="239"/>
      <c r="B31" s="229" t="s">
        <v>878</v>
      </c>
      <c r="C31" s="140"/>
      <c r="D31" s="203"/>
      <c r="E31" s="231"/>
    </row>
    <row r="32" spans="1:5" s="33" customFormat="1" ht="26.4">
      <c r="A32" s="193">
        <v>14.23</v>
      </c>
      <c r="B32" s="194" t="s">
        <v>879</v>
      </c>
      <c r="C32" s="195" t="s">
        <v>982</v>
      </c>
      <c r="D32" s="11" t="s">
        <v>863</v>
      </c>
      <c r="E32" s="34" t="s">
        <v>289</v>
      </c>
    </row>
    <row r="33" spans="1:5" s="33" customFormat="1" ht="26.4">
      <c r="A33" s="193">
        <v>14.24</v>
      </c>
      <c r="B33" s="194" t="s">
        <v>1256</v>
      </c>
      <c r="C33" s="195" t="s">
        <v>1490</v>
      </c>
      <c r="D33" s="11" t="s">
        <v>568</v>
      </c>
      <c r="E33" s="34" t="s">
        <v>48</v>
      </c>
    </row>
    <row r="34" spans="1:5" s="33" customFormat="1" ht="26.4">
      <c r="A34" s="193">
        <v>14.25</v>
      </c>
      <c r="B34" s="72" t="s">
        <v>1257</v>
      </c>
      <c r="C34" s="195" t="s">
        <v>1437</v>
      </c>
      <c r="D34" s="115" t="s">
        <v>2337</v>
      </c>
      <c r="E34" s="122" t="s">
        <v>2336</v>
      </c>
    </row>
    <row r="35" spans="1:5" s="33" customFormat="1" ht="26.4">
      <c r="A35" s="193">
        <v>14.26</v>
      </c>
      <c r="B35" s="72" t="s">
        <v>880</v>
      </c>
      <c r="C35" s="195" t="s">
        <v>1436</v>
      </c>
      <c r="D35" s="11" t="s">
        <v>1727</v>
      </c>
      <c r="E35" s="34" t="s">
        <v>191</v>
      </c>
    </row>
    <row r="36" spans="1:5" s="33" customFormat="1" ht="26.4">
      <c r="A36" s="193">
        <v>14.27</v>
      </c>
      <c r="B36" s="194" t="s">
        <v>1262</v>
      </c>
      <c r="C36" s="195" t="s">
        <v>1490</v>
      </c>
      <c r="D36" s="11" t="s">
        <v>1731</v>
      </c>
      <c r="E36" s="34" t="s">
        <v>464</v>
      </c>
    </row>
    <row r="37" spans="1:5" s="33" customFormat="1" ht="26.4">
      <c r="A37" s="193">
        <v>14.28</v>
      </c>
      <c r="B37" s="194" t="s">
        <v>881</v>
      </c>
      <c r="C37" s="195" t="s">
        <v>1490</v>
      </c>
      <c r="D37" s="11" t="s">
        <v>535</v>
      </c>
      <c r="E37" s="34" t="s">
        <v>667</v>
      </c>
    </row>
    <row r="38" spans="1:5" s="33" customFormat="1" ht="26.4">
      <c r="A38" s="193">
        <v>14.29</v>
      </c>
      <c r="B38" s="194" t="s">
        <v>1247</v>
      </c>
      <c r="C38" s="195" t="s">
        <v>1490</v>
      </c>
      <c r="D38" s="11" t="s">
        <v>1332</v>
      </c>
      <c r="E38" s="34" t="s">
        <v>366</v>
      </c>
    </row>
    <row r="39" spans="1:5" s="33" customFormat="1" ht="20.100000000000001" customHeight="1">
      <c r="A39" s="239"/>
      <c r="B39" s="229" t="s">
        <v>1259</v>
      </c>
      <c r="C39" s="140"/>
      <c r="D39" s="203"/>
      <c r="E39" s="231"/>
    </row>
    <row r="40" spans="1:5" s="33" customFormat="1" ht="26.4">
      <c r="A40" s="193">
        <v>14.3</v>
      </c>
      <c r="B40" s="194" t="s">
        <v>290</v>
      </c>
      <c r="C40" s="195" t="s">
        <v>1490</v>
      </c>
      <c r="D40" s="11" t="s">
        <v>570</v>
      </c>
      <c r="E40" s="34" t="s">
        <v>328</v>
      </c>
    </row>
    <row r="41" spans="1:5" s="67" customFormat="1">
      <c r="A41" s="242"/>
      <c r="B41" s="219" t="s">
        <v>1363</v>
      </c>
      <c r="C41" s="140"/>
      <c r="D41" s="203"/>
      <c r="E41" s="243" t="s">
        <v>723</v>
      </c>
    </row>
    <row r="42" spans="1:5" s="67" customFormat="1" ht="26.4">
      <c r="A42" s="959">
        <v>14.31</v>
      </c>
      <c r="B42" s="960" t="s">
        <v>1364</v>
      </c>
      <c r="C42" s="961" t="s">
        <v>1436</v>
      </c>
      <c r="D42" s="19"/>
      <c r="E42" s="32" t="s">
        <v>367</v>
      </c>
    </row>
    <row r="43" spans="1:5" s="67" customFormat="1">
      <c r="A43" s="959"/>
      <c r="B43" s="960"/>
      <c r="C43" s="961"/>
      <c r="D43" s="19" t="s">
        <v>744</v>
      </c>
      <c r="E43" s="32" t="s">
        <v>465</v>
      </c>
    </row>
    <row r="44" spans="1:5" s="67" customFormat="1">
      <c r="A44" s="959"/>
      <c r="B44" s="960"/>
      <c r="C44" s="961"/>
      <c r="D44" s="19" t="s">
        <v>989</v>
      </c>
      <c r="E44" s="32" t="s">
        <v>466</v>
      </c>
    </row>
    <row r="45" spans="1:5" s="67" customFormat="1">
      <c r="A45" s="959"/>
      <c r="B45" s="960"/>
      <c r="C45" s="961"/>
      <c r="D45" s="19" t="s">
        <v>989</v>
      </c>
      <c r="E45" s="32" t="s">
        <v>188</v>
      </c>
    </row>
    <row r="46" spans="1:5" s="67" customFormat="1">
      <c r="A46" s="959"/>
      <c r="B46" s="960"/>
      <c r="C46" s="961"/>
      <c r="D46" s="19" t="s">
        <v>638</v>
      </c>
      <c r="E46" s="32" t="s">
        <v>467</v>
      </c>
    </row>
    <row r="47" spans="1:5" s="67" customFormat="1" ht="26.4">
      <c r="A47" s="959">
        <v>14.32</v>
      </c>
      <c r="B47" s="960" t="s">
        <v>1365</v>
      </c>
      <c r="C47" s="961" t="s">
        <v>1436</v>
      </c>
      <c r="D47" s="19"/>
      <c r="E47" s="32" t="s">
        <v>928</v>
      </c>
    </row>
    <row r="48" spans="1:5" s="67" customFormat="1">
      <c r="A48" s="959"/>
      <c r="B48" s="960"/>
      <c r="C48" s="961"/>
      <c r="D48" s="19" t="s">
        <v>1729</v>
      </c>
      <c r="E48" s="32" t="s">
        <v>465</v>
      </c>
    </row>
    <row r="49" spans="1:5" s="67" customFormat="1">
      <c r="A49" s="959"/>
      <c r="B49" s="960"/>
      <c r="C49" s="961"/>
      <c r="D49" s="19" t="s">
        <v>686</v>
      </c>
      <c r="E49" s="32" t="s">
        <v>466</v>
      </c>
    </row>
    <row r="50" spans="1:5" s="67" customFormat="1">
      <c r="A50" s="959"/>
      <c r="B50" s="960"/>
      <c r="C50" s="961"/>
      <c r="D50" s="19" t="s">
        <v>634</v>
      </c>
      <c r="E50" s="32" t="s">
        <v>188</v>
      </c>
    </row>
    <row r="51" spans="1:5" s="67" customFormat="1">
      <c r="A51" s="959"/>
      <c r="B51" s="960"/>
      <c r="C51" s="961"/>
      <c r="D51" s="19" t="s">
        <v>1227</v>
      </c>
      <c r="E51" s="32" t="s">
        <v>467</v>
      </c>
    </row>
    <row r="52" spans="1:5" s="67" customFormat="1" ht="26.4">
      <c r="A52" s="959">
        <v>14.33</v>
      </c>
      <c r="B52" s="960" t="s">
        <v>1366</v>
      </c>
      <c r="C52" s="961" t="s">
        <v>1436</v>
      </c>
      <c r="D52" s="19"/>
      <c r="E52" s="32" t="s">
        <v>1352</v>
      </c>
    </row>
    <row r="53" spans="1:5" s="67" customFormat="1">
      <c r="A53" s="959"/>
      <c r="B53" s="960"/>
      <c r="C53" s="961"/>
      <c r="D53" s="19" t="s">
        <v>1727</v>
      </c>
      <c r="E53" s="32" t="s">
        <v>465</v>
      </c>
    </row>
    <row r="54" spans="1:5" s="67" customFormat="1">
      <c r="A54" s="959"/>
      <c r="B54" s="960"/>
      <c r="C54" s="961"/>
      <c r="D54" s="19" t="s">
        <v>795</v>
      </c>
      <c r="E54" s="32" t="s">
        <v>466</v>
      </c>
    </row>
    <row r="55" spans="1:5" s="67" customFormat="1">
      <c r="A55" s="959"/>
      <c r="B55" s="960"/>
      <c r="C55" s="961"/>
      <c r="D55" s="19" t="s">
        <v>795</v>
      </c>
      <c r="E55" s="32" t="s">
        <v>188</v>
      </c>
    </row>
    <row r="56" spans="1:5" s="67" customFormat="1">
      <c r="A56" s="959"/>
      <c r="B56" s="960"/>
      <c r="C56" s="961"/>
      <c r="D56" s="19" t="s">
        <v>795</v>
      </c>
      <c r="E56" s="32" t="s">
        <v>467</v>
      </c>
    </row>
    <row r="57" spans="1:5" s="67" customFormat="1" ht="20.100000000000001" customHeight="1">
      <c r="A57" s="959">
        <v>14.34</v>
      </c>
      <c r="B57" s="960" t="s">
        <v>1659</v>
      </c>
      <c r="C57" s="961" t="s">
        <v>1436</v>
      </c>
      <c r="D57" s="19"/>
      <c r="E57" s="32" t="s">
        <v>1353</v>
      </c>
    </row>
    <row r="58" spans="1:5" s="67" customFormat="1">
      <c r="A58" s="959"/>
      <c r="B58" s="960"/>
      <c r="C58" s="961"/>
      <c r="D58" s="19" t="s">
        <v>1005</v>
      </c>
      <c r="E58" s="32" t="s">
        <v>465</v>
      </c>
    </row>
    <row r="59" spans="1:5" s="67" customFormat="1">
      <c r="A59" s="959"/>
      <c r="B59" s="960"/>
      <c r="C59" s="961"/>
      <c r="D59" s="19" t="s">
        <v>641</v>
      </c>
      <c r="E59" s="32" t="s">
        <v>466</v>
      </c>
    </row>
    <row r="60" spans="1:5" s="67" customFormat="1">
      <c r="A60" s="959"/>
      <c r="B60" s="960"/>
      <c r="C60" s="961"/>
      <c r="D60" s="19" t="s">
        <v>1727</v>
      </c>
      <c r="E60" s="32" t="s">
        <v>188</v>
      </c>
    </row>
    <row r="61" spans="1:5" s="67" customFormat="1">
      <c r="A61" s="959"/>
      <c r="B61" s="960"/>
      <c r="C61" s="961"/>
      <c r="D61" s="19" t="s">
        <v>641</v>
      </c>
      <c r="E61" s="32" t="s">
        <v>467</v>
      </c>
    </row>
    <row r="62" spans="1:5" s="67" customFormat="1" ht="20.100000000000001" customHeight="1">
      <c r="A62" s="959">
        <v>14.35</v>
      </c>
      <c r="B62" s="960" t="s">
        <v>1367</v>
      </c>
      <c r="C62" s="961" t="s">
        <v>1436</v>
      </c>
      <c r="D62" s="19"/>
      <c r="E62" s="32" t="s">
        <v>1354</v>
      </c>
    </row>
    <row r="63" spans="1:5" s="67" customFormat="1">
      <c r="A63" s="959"/>
      <c r="B63" s="960"/>
      <c r="C63" s="961"/>
      <c r="D63" s="19" t="s">
        <v>568</v>
      </c>
      <c r="E63" s="32" t="s">
        <v>465</v>
      </c>
    </row>
    <row r="64" spans="1:5" s="67" customFormat="1">
      <c r="A64" s="959"/>
      <c r="B64" s="960"/>
      <c r="C64" s="961"/>
      <c r="D64" s="19" t="s">
        <v>568</v>
      </c>
      <c r="E64" s="32" t="s">
        <v>466</v>
      </c>
    </row>
    <row r="65" spans="1:5" s="67" customFormat="1">
      <c r="A65" s="959"/>
      <c r="B65" s="960"/>
      <c r="C65" s="961"/>
      <c r="D65" s="19" t="s">
        <v>152</v>
      </c>
      <c r="E65" s="32" t="s">
        <v>188</v>
      </c>
    </row>
    <row r="66" spans="1:5" s="67" customFormat="1">
      <c r="A66" s="959"/>
      <c r="B66" s="960"/>
      <c r="C66" s="961"/>
      <c r="D66" s="19" t="s">
        <v>152</v>
      </c>
      <c r="E66" s="32" t="s">
        <v>467</v>
      </c>
    </row>
    <row r="67" spans="1:5" s="67" customFormat="1" ht="26.4">
      <c r="A67" s="959">
        <v>14.36</v>
      </c>
      <c r="B67" s="960" t="s">
        <v>1189</v>
      </c>
      <c r="C67" s="961" t="s">
        <v>1436</v>
      </c>
      <c r="D67" s="19"/>
      <c r="E67" s="32" t="s">
        <v>370</v>
      </c>
    </row>
    <row r="68" spans="1:5" s="67" customFormat="1">
      <c r="A68" s="959"/>
      <c r="B68" s="960"/>
      <c r="C68" s="961"/>
      <c r="D68" s="19" t="s">
        <v>1727</v>
      </c>
      <c r="E68" s="32" t="s">
        <v>465</v>
      </c>
    </row>
    <row r="69" spans="1:5" s="67" customFormat="1">
      <c r="A69" s="959"/>
      <c r="B69" s="960"/>
      <c r="C69" s="961"/>
      <c r="D69" s="19" t="s">
        <v>1727</v>
      </c>
      <c r="E69" s="32" t="s">
        <v>466</v>
      </c>
    </row>
    <row r="70" spans="1:5" s="67" customFormat="1">
      <c r="A70" s="959"/>
      <c r="B70" s="960"/>
      <c r="C70" s="961"/>
      <c r="D70" s="19" t="s">
        <v>795</v>
      </c>
      <c r="E70" s="32" t="s">
        <v>188</v>
      </c>
    </row>
    <row r="71" spans="1:5" s="67" customFormat="1">
      <c r="A71" s="959"/>
      <c r="B71" s="960"/>
      <c r="C71" s="961"/>
      <c r="D71" s="19" t="s">
        <v>1731</v>
      </c>
      <c r="E71" s="32" t="s">
        <v>467</v>
      </c>
    </row>
    <row r="72" spans="1:5" s="67" customFormat="1" ht="20.100000000000001" customHeight="1">
      <c r="A72" s="959">
        <v>14.37</v>
      </c>
      <c r="B72" s="960" t="s">
        <v>1368</v>
      </c>
      <c r="C72" s="961" t="s">
        <v>1436</v>
      </c>
      <c r="D72" s="19"/>
      <c r="E72" s="32" t="s">
        <v>371</v>
      </c>
    </row>
    <row r="73" spans="1:5" s="67" customFormat="1">
      <c r="A73" s="959"/>
      <c r="B73" s="960"/>
      <c r="C73" s="961"/>
      <c r="D73" s="19" t="s">
        <v>795</v>
      </c>
      <c r="E73" s="32" t="s">
        <v>465</v>
      </c>
    </row>
    <row r="74" spans="1:5" s="67" customFormat="1">
      <c r="A74" s="959"/>
      <c r="B74" s="960"/>
      <c r="C74" s="961"/>
      <c r="D74" s="19" t="s">
        <v>795</v>
      </c>
      <c r="E74" s="32" t="s">
        <v>466</v>
      </c>
    </row>
    <row r="75" spans="1:5" s="67" customFormat="1">
      <c r="A75" s="959"/>
      <c r="B75" s="960"/>
      <c r="C75" s="961"/>
      <c r="D75" s="19" t="s">
        <v>744</v>
      </c>
      <c r="E75" s="32" t="s">
        <v>188</v>
      </c>
    </row>
    <row r="76" spans="1:5" s="67" customFormat="1">
      <c r="A76" s="959"/>
      <c r="B76" s="960"/>
      <c r="C76" s="961"/>
      <c r="D76" s="19" t="s">
        <v>744</v>
      </c>
      <c r="E76" s="32" t="s">
        <v>467</v>
      </c>
    </row>
    <row r="77" spans="1:5" s="67" customFormat="1" ht="20.100000000000001" customHeight="1">
      <c r="A77" s="959">
        <v>14.38</v>
      </c>
      <c r="B77" s="960" t="s">
        <v>1369</v>
      </c>
      <c r="C77" s="961" t="s">
        <v>1436</v>
      </c>
      <c r="D77" s="19"/>
      <c r="E77" s="32" t="s">
        <v>473</v>
      </c>
    </row>
    <row r="78" spans="1:5" s="67" customFormat="1">
      <c r="A78" s="959"/>
      <c r="B78" s="960"/>
      <c r="C78" s="961"/>
      <c r="D78" s="19" t="s">
        <v>569</v>
      </c>
      <c r="E78" s="32" t="s">
        <v>465</v>
      </c>
    </row>
    <row r="79" spans="1:5" s="67" customFormat="1">
      <c r="A79" s="959"/>
      <c r="B79" s="960"/>
      <c r="C79" s="961"/>
      <c r="D79" s="19" t="s">
        <v>569</v>
      </c>
      <c r="E79" s="32" t="s">
        <v>466</v>
      </c>
    </row>
    <row r="80" spans="1:5" s="67" customFormat="1">
      <c r="A80" s="959"/>
      <c r="B80" s="960"/>
      <c r="C80" s="961"/>
      <c r="D80" s="19" t="s">
        <v>568</v>
      </c>
      <c r="E80" s="32" t="s">
        <v>188</v>
      </c>
    </row>
    <row r="81" spans="1:5" s="67" customFormat="1">
      <c r="A81" s="959"/>
      <c r="B81" s="960"/>
      <c r="C81" s="961"/>
      <c r="D81" s="19" t="s">
        <v>568</v>
      </c>
      <c r="E81" s="32" t="s">
        <v>467</v>
      </c>
    </row>
    <row r="82" spans="1:5" s="67" customFormat="1" ht="20.100000000000001" customHeight="1">
      <c r="A82" s="959">
        <v>14.39</v>
      </c>
      <c r="B82" s="960" t="s">
        <v>1370</v>
      </c>
      <c r="C82" s="961" t="s">
        <v>1436</v>
      </c>
      <c r="D82" s="19"/>
      <c r="E82" s="32" t="s">
        <v>474</v>
      </c>
    </row>
    <row r="83" spans="1:5" s="67" customFormat="1">
      <c r="A83" s="959"/>
      <c r="B83" s="960"/>
      <c r="C83" s="961"/>
      <c r="D83" s="19" t="s">
        <v>1728</v>
      </c>
      <c r="E83" s="32" t="s">
        <v>465</v>
      </c>
    </row>
    <row r="84" spans="1:5" s="67" customFormat="1">
      <c r="A84" s="959"/>
      <c r="B84" s="960"/>
      <c r="C84" s="961"/>
      <c r="D84" s="19" t="s">
        <v>152</v>
      </c>
      <c r="E84" s="32" t="s">
        <v>466</v>
      </c>
    </row>
    <row r="85" spans="1:5" s="67" customFormat="1">
      <c r="A85" s="959"/>
      <c r="B85" s="960"/>
      <c r="C85" s="961"/>
      <c r="D85" s="19" t="s">
        <v>986</v>
      </c>
      <c r="E85" s="32" t="s">
        <v>188</v>
      </c>
    </row>
    <row r="86" spans="1:5" s="67" customFormat="1">
      <c r="A86" s="959"/>
      <c r="B86" s="960"/>
      <c r="C86" s="961"/>
      <c r="D86" s="19" t="s">
        <v>685</v>
      </c>
      <c r="E86" s="32" t="s">
        <v>467</v>
      </c>
    </row>
    <row r="87" spans="1:5" s="67" customFormat="1" ht="26.4">
      <c r="A87" s="463">
        <v>14.4</v>
      </c>
      <c r="B87" s="464" t="s">
        <v>1237</v>
      </c>
      <c r="C87" s="465" t="s">
        <v>1490</v>
      </c>
      <c r="D87" s="19" t="s">
        <v>633</v>
      </c>
      <c r="E87" s="32" t="s">
        <v>475</v>
      </c>
    </row>
    <row r="88" spans="1:5" s="67" customFormat="1" ht="39.6">
      <c r="A88" s="463">
        <v>14.41</v>
      </c>
      <c r="B88" s="464" t="s">
        <v>1238</v>
      </c>
      <c r="C88" s="465" t="s">
        <v>1490</v>
      </c>
      <c r="D88" s="19" t="s">
        <v>633</v>
      </c>
      <c r="E88" s="32" t="s">
        <v>400</v>
      </c>
    </row>
    <row r="89" spans="1:5" s="67" customFormat="1" ht="39.6">
      <c r="A89" s="463">
        <v>14.42</v>
      </c>
      <c r="B89" s="464" t="s">
        <v>1239</v>
      </c>
      <c r="C89" s="465" t="s">
        <v>1490</v>
      </c>
      <c r="D89" s="19" t="s">
        <v>643</v>
      </c>
      <c r="E89" s="32" t="s">
        <v>308</v>
      </c>
    </row>
    <row r="90" spans="1:5" s="67" customFormat="1" ht="20.100000000000001" customHeight="1">
      <c r="A90" s="463">
        <v>14.43</v>
      </c>
      <c r="B90" s="464" t="s">
        <v>1240</v>
      </c>
      <c r="C90" s="465" t="s">
        <v>1490</v>
      </c>
      <c r="D90" s="19" t="s">
        <v>535</v>
      </c>
      <c r="E90" s="32" t="s">
        <v>309</v>
      </c>
    </row>
    <row r="91" spans="1:5" s="69" customFormat="1" ht="26.4">
      <c r="A91" s="463">
        <v>14.44</v>
      </c>
      <c r="B91" s="464" t="s">
        <v>1241</v>
      </c>
      <c r="C91" s="465" t="s">
        <v>1490</v>
      </c>
      <c r="D91" s="19" t="s">
        <v>1727</v>
      </c>
      <c r="E91" s="32" t="s">
        <v>0</v>
      </c>
    </row>
    <row r="92" spans="1:5" s="67" customFormat="1">
      <c r="A92" s="242"/>
      <c r="B92" s="219" t="s">
        <v>1371</v>
      </c>
      <c r="C92" s="220"/>
      <c r="D92" s="220"/>
      <c r="E92" s="243" t="s">
        <v>723</v>
      </c>
    </row>
    <row r="93" spans="1:5" s="67" customFormat="1" ht="26.4">
      <c r="A93" s="959">
        <v>14.45</v>
      </c>
      <c r="B93" s="960" t="s">
        <v>1364</v>
      </c>
      <c r="C93" s="961" t="s">
        <v>1436</v>
      </c>
      <c r="D93" s="19"/>
      <c r="E93" s="32" t="s">
        <v>367</v>
      </c>
    </row>
    <row r="94" spans="1:5" s="67" customFormat="1">
      <c r="A94" s="959"/>
      <c r="B94" s="960"/>
      <c r="C94" s="961"/>
      <c r="D94" s="19" t="s">
        <v>744</v>
      </c>
      <c r="E94" s="32" t="s">
        <v>465</v>
      </c>
    </row>
    <row r="95" spans="1:5" s="67" customFormat="1">
      <c r="A95" s="959"/>
      <c r="B95" s="960"/>
      <c r="C95" s="961"/>
      <c r="D95" s="19" t="s">
        <v>989</v>
      </c>
      <c r="E95" s="32" t="s">
        <v>188</v>
      </c>
    </row>
    <row r="96" spans="1:5" s="67" customFormat="1" ht="26.4">
      <c r="A96" s="959">
        <v>14.46</v>
      </c>
      <c r="B96" s="960" t="s">
        <v>1365</v>
      </c>
      <c r="C96" s="961" t="s">
        <v>1436</v>
      </c>
      <c r="D96" s="19"/>
      <c r="E96" s="32" t="s">
        <v>725</v>
      </c>
    </row>
    <row r="97" spans="1:5" s="67" customFormat="1">
      <c r="A97" s="959"/>
      <c r="B97" s="960"/>
      <c r="C97" s="961"/>
      <c r="D97" s="19" t="s">
        <v>686</v>
      </c>
      <c r="E97" s="32" t="s">
        <v>465</v>
      </c>
    </row>
    <row r="98" spans="1:5" s="67" customFormat="1">
      <c r="A98" s="959"/>
      <c r="B98" s="960"/>
      <c r="C98" s="961"/>
      <c r="D98" s="19" t="s">
        <v>687</v>
      </c>
      <c r="E98" s="32" t="s">
        <v>188</v>
      </c>
    </row>
    <row r="99" spans="1:5" s="67" customFormat="1" ht="26.4">
      <c r="A99" s="959">
        <v>14.47</v>
      </c>
      <c r="B99" s="960" t="s">
        <v>1366</v>
      </c>
      <c r="C99" s="961" t="s">
        <v>1436</v>
      </c>
      <c r="D99" s="19"/>
      <c r="E99" s="32" t="s">
        <v>1</v>
      </c>
    </row>
    <row r="100" spans="1:5" s="67" customFormat="1">
      <c r="A100" s="959"/>
      <c r="B100" s="960"/>
      <c r="C100" s="961"/>
      <c r="D100" s="19" t="s">
        <v>1727</v>
      </c>
      <c r="E100" s="32" t="s">
        <v>465</v>
      </c>
    </row>
    <row r="101" spans="1:5" s="67" customFormat="1">
      <c r="A101" s="959"/>
      <c r="B101" s="960"/>
      <c r="C101" s="961"/>
      <c r="D101" s="19" t="s">
        <v>795</v>
      </c>
      <c r="E101" s="32" t="s">
        <v>188</v>
      </c>
    </row>
    <row r="102" spans="1:5" s="67" customFormat="1" ht="26.4">
      <c r="A102" s="959">
        <v>14.48</v>
      </c>
      <c r="B102" s="960" t="s">
        <v>1660</v>
      </c>
      <c r="C102" s="961" t="s">
        <v>1436</v>
      </c>
      <c r="D102" s="19"/>
      <c r="E102" s="32" t="s">
        <v>468</v>
      </c>
    </row>
    <row r="103" spans="1:5" s="67" customFormat="1">
      <c r="A103" s="959"/>
      <c r="B103" s="960"/>
      <c r="C103" s="961"/>
      <c r="D103" s="19" t="s">
        <v>795</v>
      </c>
      <c r="E103" s="32" t="s">
        <v>465</v>
      </c>
    </row>
    <row r="104" spans="1:5" s="67" customFormat="1">
      <c r="A104" s="959"/>
      <c r="B104" s="960"/>
      <c r="C104" s="961"/>
      <c r="D104" s="19" t="s">
        <v>688</v>
      </c>
      <c r="E104" s="32" t="s">
        <v>188</v>
      </c>
    </row>
    <row r="105" spans="1:5" s="67" customFormat="1" ht="20.100000000000001" customHeight="1">
      <c r="A105" s="959">
        <v>14.49</v>
      </c>
      <c r="B105" s="960" t="s">
        <v>1661</v>
      </c>
      <c r="C105" s="961" t="s">
        <v>1436</v>
      </c>
      <c r="D105" s="19"/>
      <c r="E105" s="32" t="s">
        <v>2</v>
      </c>
    </row>
    <row r="106" spans="1:5" s="67" customFormat="1">
      <c r="A106" s="959"/>
      <c r="B106" s="960"/>
      <c r="C106" s="961"/>
      <c r="D106" s="19" t="s">
        <v>1727</v>
      </c>
      <c r="E106" s="32" t="s">
        <v>465</v>
      </c>
    </row>
    <row r="107" spans="1:5" s="67" customFormat="1">
      <c r="A107" s="959"/>
      <c r="B107" s="960"/>
      <c r="C107" s="961"/>
      <c r="D107" s="19" t="s">
        <v>1728</v>
      </c>
      <c r="E107" s="32" t="s">
        <v>188</v>
      </c>
    </row>
    <row r="108" spans="1:5" s="67" customFormat="1" ht="20.100000000000001" customHeight="1">
      <c r="A108" s="959">
        <v>14.5</v>
      </c>
      <c r="B108" s="960" t="s">
        <v>1367</v>
      </c>
      <c r="C108" s="961" t="s">
        <v>1436</v>
      </c>
      <c r="D108" s="19"/>
      <c r="E108" s="32" t="s">
        <v>1354</v>
      </c>
    </row>
    <row r="109" spans="1:5" s="67" customFormat="1">
      <c r="A109" s="959"/>
      <c r="B109" s="960"/>
      <c r="C109" s="961"/>
      <c r="D109" s="19" t="s">
        <v>568</v>
      </c>
      <c r="E109" s="32" t="s">
        <v>465</v>
      </c>
    </row>
    <row r="110" spans="1:5" s="67" customFormat="1">
      <c r="A110" s="959"/>
      <c r="B110" s="960"/>
      <c r="C110" s="961"/>
      <c r="D110" s="19" t="s">
        <v>152</v>
      </c>
      <c r="E110" s="32" t="s">
        <v>188</v>
      </c>
    </row>
    <row r="111" spans="1:5" s="67" customFormat="1" ht="26.4">
      <c r="A111" s="959">
        <v>14.51</v>
      </c>
      <c r="B111" s="960" t="s">
        <v>1189</v>
      </c>
      <c r="C111" s="961" t="s">
        <v>1436</v>
      </c>
      <c r="D111" s="19"/>
      <c r="E111" s="32" t="s">
        <v>370</v>
      </c>
    </row>
    <row r="112" spans="1:5" s="67" customFormat="1">
      <c r="A112" s="959"/>
      <c r="B112" s="960"/>
      <c r="C112" s="961"/>
      <c r="D112" s="19" t="s">
        <v>1727</v>
      </c>
      <c r="E112" s="32" t="s">
        <v>465</v>
      </c>
    </row>
    <row r="113" spans="1:5" s="67" customFormat="1">
      <c r="A113" s="959"/>
      <c r="B113" s="960"/>
      <c r="C113" s="961"/>
      <c r="D113" s="19" t="s">
        <v>795</v>
      </c>
      <c r="E113" s="32" t="s">
        <v>188</v>
      </c>
    </row>
    <row r="114" spans="1:5" s="67" customFormat="1" ht="20.100000000000001" customHeight="1">
      <c r="A114" s="959">
        <v>14.52</v>
      </c>
      <c r="B114" s="960" t="s">
        <v>1368</v>
      </c>
      <c r="C114" s="961" t="s">
        <v>1436</v>
      </c>
      <c r="D114" s="19"/>
      <c r="E114" s="32" t="s">
        <v>371</v>
      </c>
    </row>
    <row r="115" spans="1:5" s="67" customFormat="1">
      <c r="A115" s="959"/>
      <c r="B115" s="960"/>
      <c r="C115" s="961"/>
      <c r="D115" s="19" t="s">
        <v>688</v>
      </c>
      <c r="E115" s="32" t="s">
        <v>465</v>
      </c>
    </row>
    <row r="116" spans="1:5" s="67" customFormat="1">
      <c r="A116" s="959"/>
      <c r="B116" s="960"/>
      <c r="C116" s="961"/>
      <c r="D116" s="19" t="s">
        <v>744</v>
      </c>
      <c r="E116" s="32" t="s">
        <v>188</v>
      </c>
    </row>
    <row r="117" spans="1:5" s="67" customFormat="1" ht="20.100000000000001" customHeight="1">
      <c r="A117" s="959">
        <v>14.53</v>
      </c>
      <c r="B117" s="960" t="s">
        <v>1369</v>
      </c>
      <c r="C117" s="961" t="s">
        <v>1436</v>
      </c>
      <c r="D117" s="19"/>
      <c r="E117" s="32" t="s">
        <v>473</v>
      </c>
    </row>
    <row r="118" spans="1:5" s="67" customFormat="1">
      <c r="A118" s="959"/>
      <c r="B118" s="960"/>
      <c r="C118" s="961"/>
      <c r="D118" s="19" t="s">
        <v>569</v>
      </c>
      <c r="E118" s="32" t="s">
        <v>465</v>
      </c>
    </row>
    <row r="119" spans="1:5" s="67" customFormat="1">
      <c r="A119" s="959"/>
      <c r="B119" s="960"/>
      <c r="C119" s="961"/>
      <c r="D119" s="19" t="s">
        <v>568</v>
      </c>
      <c r="E119" s="32" t="s">
        <v>188</v>
      </c>
    </row>
    <row r="120" spans="1:5" s="67" customFormat="1" ht="20.100000000000001" customHeight="1">
      <c r="A120" s="959">
        <v>14.54</v>
      </c>
      <c r="B120" s="960" t="s">
        <v>1370</v>
      </c>
      <c r="C120" s="961" t="s">
        <v>1436</v>
      </c>
      <c r="D120" s="19"/>
      <c r="E120" s="32" t="s">
        <v>3</v>
      </c>
    </row>
    <row r="121" spans="1:5" s="67" customFormat="1">
      <c r="A121" s="959"/>
      <c r="B121" s="960"/>
      <c r="C121" s="961"/>
      <c r="D121" s="19" t="s">
        <v>1728</v>
      </c>
      <c r="E121" s="32" t="s">
        <v>465</v>
      </c>
    </row>
    <row r="122" spans="1:5" s="67" customFormat="1">
      <c r="A122" s="959"/>
      <c r="B122" s="960"/>
      <c r="C122" s="961"/>
      <c r="D122" s="19" t="s">
        <v>986</v>
      </c>
      <c r="E122" s="32" t="s">
        <v>188</v>
      </c>
    </row>
    <row r="123" spans="1:5" s="67" customFormat="1" ht="26.4">
      <c r="A123" s="463">
        <v>14.55</v>
      </c>
      <c r="B123" s="464" t="s">
        <v>1237</v>
      </c>
      <c r="C123" s="465" t="s">
        <v>1490</v>
      </c>
      <c r="D123" s="19" t="s">
        <v>1731</v>
      </c>
      <c r="E123" s="32" t="s">
        <v>4</v>
      </c>
    </row>
    <row r="124" spans="1:5" s="67" customFormat="1" ht="39.6">
      <c r="A124" s="463">
        <v>14.56</v>
      </c>
      <c r="B124" s="464" t="s">
        <v>1238</v>
      </c>
      <c r="C124" s="465" t="s">
        <v>1490</v>
      </c>
      <c r="D124" s="19" t="s">
        <v>633</v>
      </c>
      <c r="E124" s="32" t="s">
        <v>400</v>
      </c>
    </row>
    <row r="125" spans="1:5" s="67" customFormat="1" ht="39.6">
      <c r="A125" s="463">
        <v>14.57</v>
      </c>
      <c r="B125" s="464" t="s">
        <v>1239</v>
      </c>
      <c r="C125" s="465" t="s">
        <v>1490</v>
      </c>
      <c r="D125" s="19" t="s">
        <v>643</v>
      </c>
      <c r="E125" s="32" t="s">
        <v>185</v>
      </c>
    </row>
    <row r="126" spans="1:5" s="67" customFormat="1" ht="26.4">
      <c r="A126" s="463">
        <v>14.58</v>
      </c>
      <c r="B126" s="464" t="s">
        <v>1240</v>
      </c>
      <c r="C126" s="465" t="s">
        <v>1490</v>
      </c>
      <c r="D126" s="19" t="s">
        <v>1728</v>
      </c>
      <c r="E126" s="32" t="s">
        <v>186</v>
      </c>
    </row>
    <row r="127" spans="1:5" s="71" customFormat="1" ht="26.4">
      <c r="A127" s="463">
        <v>14.59</v>
      </c>
      <c r="B127" s="464" t="s">
        <v>1241</v>
      </c>
      <c r="C127" s="465" t="s">
        <v>1490</v>
      </c>
      <c r="D127" s="19" t="s">
        <v>1727</v>
      </c>
      <c r="E127" s="32" t="s">
        <v>187</v>
      </c>
    </row>
    <row r="128" spans="1:5" s="15" customFormat="1" ht="20.100000000000001" customHeight="1">
      <c r="A128" s="565"/>
      <c r="B128" s="229" t="s">
        <v>1856</v>
      </c>
      <c r="C128" s="566"/>
      <c r="D128" s="566"/>
      <c r="E128" s="567"/>
    </row>
    <row r="129" spans="1:5" s="71" customFormat="1" ht="52.8">
      <c r="A129" s="105">
        <v>14.6</v>
      </c>
      <c r="B129" s="106" t="s">
        <v>1857</v>
      </c>
      <c r="C129" s="104" t="s">
        <v>1858</v>
      </c>
      <c r="D129" s="104" t="s">
        <v>1859</v>
      </c>
      <c r="E129" s="122" t="s">
        <v>1860</v>
      </c>
    </row>
    <row r="130" spans="1:5" s="71" customFormat="1" ht="26.4">
      <c r="A130" s="105">
        <v>14.61</v>
      </c>
      <c r="B130" s="106" t="s">
        <v>1861</v>
      </c>
      <c r="C130" s="104" t="s">
        <v>1490</v>
      </c>
      <c r="D130" s="115" t="s">
        <v>1862</v>
      </c>
      <c r="E130" s="122" t="s">
        <v>2374</v>
      </c>
    </row>
    <row r="131" spans="1:5" s="15" customFormat="1" ht="20.100000000000001" customHeight="1">
      <c r="A131" s="228"/>
      <c r="B131" s="229" t="s">
        <v>1033</v>
      </c>
      <c r="C131" s="209"/>
      <c r="D131" s="209"/>
      <c r="E131" s="246"/>
    </row>
    <row r="132" spans="1:5" s="15" customFormat="1" ht="27" thickBot="1">
      <c r="A132" s="519">
        <v>14.62</v>
      </c>
      <c r="B132" s="517" t="s">
        <v>1033</v>
      </c>
      <c r="C132" s="520" t="s">
        <v>1436</v>
      </c>
      <c r="D132" s="514" t="s">
        <v>640</v>
      </c>
      <c r="E132" s="515" t="s">
        <v>724</v>
      </c>
    </row>
  </sheetData>
  <customSheetViews>
    <customSheetView guid="{4FEDB3BD-111A-4B7D-AA97-E67173A5F707}" scale="75" showPageBreaks="1" fitToPage="1" printArea="1" hiddenColumns="1" view="pageBreakPreview" showRuler="0" topLeftCell="A113">
      <selection activeCell="J127" sqref="J127"/>
      <rowBreaks count="7" manualBreakCount="7">
        <brk id="15" max="9" man="1"/>
        <brk id="27" max="9" man="1"/>
        <brk id="40" max="9" man="1"/>
        <brk id="66" max="9" man="1"/>
        <brk id="88" max="9" man="1"/>
        <brk id="107" max="9" man="1"/>
        <brk id="124" max="9" man="1"/>
      </rowBreaks>
      <pageMargins left="0.5" right="0.5" top="1" bottom="1" header="0.5" footer="0.5"/>
      <printOptions horizontalCentered="1"/>
      <pageSetup scale="98" fitToHeight="0" orientation="landscape" r:id="rId1"/>
      <headerFooter alignWithMargins="0">
        <oddHeader>&amp;C&amp;"Arial,Bold"&amp;12&amp;UProject Activity 14: Structures -Structural Steel</oddHeader>
        <oddFooter>Page &amp;P of &amp;N</oddFooter>
      </headerFooter>
    </customSheetView>
    <customSheetView guid="{D5FFA8DD-F2DB-47F2-B4D2-3681726B2E8F}" showPageBreaks="1" fitToPage="1" printArea="1" hiddenColumns="1" view="pageBreakPreview" showRuler="0" topLeftCell="A115">
      <selection activeCell="C3" sqref="C3:P3"/>
      <rowBreaks count="8" manualBreakCount="8">
        <brk id="14" max="9" man="1"/>
        <brk id="27" max="9" man="1"/>
        <brk id="41" max="9" man="1"/>
        <brk id="66" max="9" man="1"/>
        <brk id="70" max="9" man="1"/>
        <brk id="90" max="9" man="1"/>
        <brk id="111" max="9" man="1"/>
        <brk id="112" max="9" man="1"/>
      </rowBreaks>
      <pageMargins left="0.5" right="0.5" top="1" bottom="1" header="0.5" footer="0.5"/>
      <printOptions horizontalCentered="1"/>
      <pageSetup scale="96" fitToHeight="0" orientation="landscape" r:id="rId2"/>
      <headerFooter alignWithMargins="0">
        <oddHeader>&amp;C&amp;"Arial,Bold"&amp;12&amp;UProject Activity 14: Structures -Structural Steel</oddHeader>
        <oddFooter>Page &amp;P of &amp;N</oddFooter>
      </headerFooter>
    </customSheetView>
    <customSheetView guid="{EFE02F7B-3837-4B0F-9646-ADE249504E9F}" showPageBreaks="1" fitToPage="1" printArea="1" hiddenColumns="1" view="pageBreakPreview" showRuler="0">
      <selection activeCell="J5" sqref="J5"/>
      <rowBreaks count="8" manualBreakCount="8">
        <brk id="14" max="9" man="1"/>
        <brk id="27" max="9" man="1"/>
        <brk id="41" max="9" man="1"/>
        <brk id="66" max="9" man="1"/>
        <brk id="70" max="9" man="1"/>
        <brk id="90" max="9" man="1"/>
        <brk id="111" max="9" man="1"/>
        <brk id="112" max="9" man="1"/>
      </rowBreaks>
      <pageMargins left="0.5" right="0.5" top="1" bottom="1" header="0.5" footer="0.5"/>
      <printOptions horizontalCentered="1"/>
      <pageSetup scale="99" fitToHeight="0" orientation="landscape" r:id="rId3"/>
      <headerFooter alignWithMargins="0">
        <oddHeader>&amp;C&amp;"Arial,Bold"&amp;12&amp;UProject Activity 14: Structures -Structural Steel</oddHeader>
        <oddFooter>Page &amp;P of &amp;N</oddFooter>
      </headerFooter>
    </customSheetView>
    <customSheetView guid="{053BE130-58A3-4F3B-945A-C2EFB15C6264}" showPageBreaks="1" fitToPage="1" printArea="1" hiddenColumns="1" view="pageBreakPreview" showRuler="0">
      <selection activeCell="J5" sqref="J5"/>
      <rowBreaks count="8" manualBreakCount="8">
        <brk id="14" max="9" man="1"/>
        <brk id="27" max="9" man="1"/>
        <brk id="41" max="9" man="1"/>
        <brk id="66" max="9" man="1"/>
        <brk id="70" max="9" man="1"/>
        <brk id="90" max="9" man="1"/>
        <brk id="111" max="9" man="1"/>
        <brk id="112" max="9" man="1"/>
      </rowBreaks>
      <pageMargins left="0.5" right="0.5" top="1" bottom="1" header="0.5" footer="0.5"/>
      <printOptions horizontalCentered="1"/>
      <pageSetup scale="99" fitToHeight="0" orientation="landscape" r:id="rId4"/>
      <headerFooter alignWithMargins="0">
        <oddHeader>&amp;C&amp;"Arial,Bold"&amp;12&amp;UProject Activity 14: Structures -Structural Steel</oddHeader>
        <oddFooter>Page &amp;P of &amp;N</oddFooter>
      </headerFooter>
    </customSheetView>
    <customSheetView guid="{F5DBE5B9-A9E4-4030-888B-08F930ECBB74}" showPageBreaks="1" fitToPage="1" printArea="1" hiddenColumns="1" view="pageBreakPreview" showRuler="0">
      <selection activeCell="J5" sqref="J5"/>
      <rowBreaks count="8" manualBreakCount="8">
        <brk id="14" max="9" man="1"/>
        <brk id="27" max="9" man="1"/>
        <brk id="41" max="9" man="1"/>
        <brk id="66" max="9" man="1"/>
        <brk id="70" max="9" man="1"/>
        <brk id="90" max="9" man="1"/>
        <brk id="111" max="9" man="1"/>
        <brk id="112" max="9" man="1"/>
      </rowBreaks>
      <pageMargins left="0.5" right="0.5" top="1" bottom="1" header="0.5" footer="0.5"/>
      <printOptions horizontalCentered="1"/>
      <pageSetup scale="99" fitToHeight="0" orientation="landscape" r:id="rId5"/>
      <headerFooter alignWithMargins="0">
        <oddHeader>&amp;C&amp;"Arial,Bold"&amp;12&amp;UProject Activity 14: Structures -Structural Steel</oddHeader>
        <oddFooter>Page &amp;P of &amp;N</oddFooter>
      </headerFooter>
    </customSheetView>
    <customSheetView guid="{960FB4AF-B150-4523-972C-3F7C93F049F3}" scale="75" showPageBreaks="1" fitToPage="1" printArea="1" hiddenColumns="1" view="pageBreakPreview" showRuler="0" topLeftCell="A23">
      <selection activeCell="J31" sqref="J31"/>
      <rowBreaks count="7" manualBreakCount="7">
        <brk id="15" max="9" man="1"/>
        <brk id="27" max="9" man="1"/>
        <brk id="39" max="9" man="1"/>
        <brk id="65" max="9" man="1"/>
        <brk id="87" max="9" man="1"/>
        <brk id="106" max="9" man="1"/>
        <brk id="123" max="9" man="1"/>
      </rowBreaks>
      <pageMargins left="0.5" right="0.5" top="1" bottom="1" header="0.5" footer="0.5"/>
      <printOptions horizontalCentered="1"/>
      <pageSetup scale="97" fitToHeight="0" orientation="landscape" r:id="rId6"/>
      <headerFooter alignWithMargins="0">
        <oddHeader>&amp;C&amp;"Arial,Bold"&amp;12&amp;UProject Activity 14: Structures -Structural Steel</oddHeader>
        <oddFooter>Page &amp;P of &amp;N</oddFooter>
      </headerFooter>
    </customSheetView>
    <customSheetView guid="{DF3BD4C9-2986-4236-8E90-D96736404377}" scale="75" showPageBreaks="1" fitToPage="1" printArea="1" hiddenColumns="1" view="pageBreakPreview" showRuler="0" topLeftCell="A23">
      <selection activeCell="A34" sqref="A34"/>
      <rowBreaks count="8" manualBreakCount="8">
        <brk id="13" max="9" man="1"/>
        <brk id="15" max="9" man="1"/>
        <brk id="27" max="9" man="1"/>
        <brk id="39" max="9" man="1"/>
        <brk id="65" max="9" man="1"/>
        <brk id="87" max="9" man="1"/>
        <brk id="106" max="9" man="1"/>
        <brk id="123" max="9" man="1"/>
      </rowBreaks>
      <pageMargins left="0.5" right="0.5" top="1" bottom="1" header="0.5" footer="0.5"/>
      <printOptions horizontalCentered="1"/>
      <pageSetup scale="97" fitToHeight="0" orientation="landscape" r:id="rId7"/>
      <headerFooter alignWithMargins="0">
        <oddHeader>&amp;C&amp;"Arial,Bold"&amp;12&amp;UProject Activity 14: Structures -Structural Steel</oddHeader>
        <oddFooter>Page &amp;P of &amp;N</oddFooter>
      </headerFooter>
    </customSheetView>
  </customSheetViews>
  <mergeCells count="58">
    <mergeCell ref="A114:A116"/>
    <mergeCell ref="B114:B116"/>
    <mergeCell ref="C114:C116"/>
    <mergeCell ref="A111:A113"/>
    <mergeCell ref="B111:B113"/>
    <mergeCell ref="A108:A110"/>
    <mergeCell ref="B102:B104"/>
    <mergeCell ref="C111:C113"/>
    <mergeCell ref="B105:B107"/>
    <mergeCell ref="B108:B110"/>
    <mergeCell ref="C102:C104"/>
    <mergeCell ref="C105:C107"/>
    <mergeCell ref="C108:C110"/>
    <mergeCell ref="A93:A95"/>
    <mergeCell ref="B93:B95"/>
    <mergeCell ref="C93:C95"/>
    <mergeCell ref="A102:A104"/>
    <mergeCell ref="A105:A107"/>
    <mergeCell ref="A96:A98"/>
    <mergeCell ref="C96:C98"/>
    <mergeCell ref="B96:B98"/>
    <mergeCell ref="B99:B101"/>
    <mergeCell ref="A99:A101"/>
    <mergeCell ref="C72:C76"/>
    <mergeCell ref="B62:B66"/>
    <mergeCell ref="A72:A76"/>
    <mergeCell ref="B72:B76"/>
    <mergeCell ref="C117:C119"/>
    <mergeCell ref="C99:C101"/>
    <mergeCell ref="B67:B71"/>
    <mergeCell ref="C67:C71"/>
    <mergeCell ref="C62:C66"/>
    <mergeCell ref="A67:A71"/>
    <mergeCell ref="A82:A86"/>
    <mergeCell ref="B82:B86"/>
    <mergeCell ref="C82:C86"/>
    <mergeCell ref="A77:A81"/>
    <mergeCell ref="B77:B81"/>
    <mergeCell ref="C77:C81"/>
    <mergeCell ref="A120:A122"/>
    <mergeCell ref="B120:B122"/>
    <mergeCell ref="C120:C122"/>
    <mergeCell ref="A117:A119"/>
    <mergeCell ref="B117:B119"/>
    <mergeCell ref="A2:E2"/>
    <mergeCell ref="A52:A56"/>
    <mergeCell ref="B52:B56"/>
    <mergeCell ref="A62:A66"/>
    <mergeCell ref="C52:C56"/>
    <mergeCell ref="A42:A46"/>
    <mergeCell ref="B42:B46"/>
    <mergeCell ref="C42:C46"/>
    <mergeCell ref="A47:A51"/>
    <mergeCell ref="B47:B51"/>
    <mergeCell ref="C47:C51"/>
    <mergeCell ref="A57:A61"/>
    <mergeCell ref="B57:B61"/>
    <mergeCell ref="C57:C61"/>
  </mergeCells>
  <phoneticPr fontId="0" type="noConversion"/>
  <printOptions horizontalCentered="1" verticalCentered="1"/>
  <pageMargins left="0.75" right="0.75" top="1" bottom="1" header="0.5" footer="0.5"/>
  <pageSetup scale="74" fitToHeight="0" orientation="landscape" r:id="rId8"/>
  <headerFooter alignWithMargins="0"/>
  <rowBreaks count="3" manualBreakCount="3">
    <brk id="40" max="9" man="1"/>
    <brk id="66" max="16383" man="1"/>
    <brk id="127" max="9"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9"/>
  <dimension ref="A1:E96"/>
  <sheetViews>
    <sheetView showGridLines="0" zoomScale="115" zoomScaleNormal="115" zoomScaleSheetLayoutView="100" workbookViewId="0"/>
  </sheetViews>
  <sheetFormatPr defaultColWidth="9.109375" defaultRowHeight="13.2"/>
  <cols>
    <col min="1" max="1" width="6.33203125" style="24" customWidth="1"/>
    <col min="2" max="2" width="30.6640625" style="77" customWidth="1"/>
    <col min="3" max="3" width="12.6640625" style="78" customWidth="1"/>
    <col min="4" max="4" width="12.6640625" style="23" customWidth="1"/>
    <col min="5" max="5" width="100.6640625" style="23" customWidth="1"/>
    <col min="6" max="16384" width="9.109375" style="3"/>
  </cols>
  <sheetData>
    <row r="1" spans="1:5" ht="13.8" thickBot="1">
      <c r="A1" s="77" t="s">
        <v>1435</v>
      </c>
    </row>
    <row r="2" spans="1:5" s="26" customFormat="1" ht="20.100000000000001" customHeight="1" thickBot="1">
      <c r="A2" s="950" t="s">
        <v>2017</v>
      </c>
      <c r="B2" s="951"/>
      <c r="C2" s="951"/>
      <c r="D2" s="951"/>
      <c r="E2" s="952"/>
    </row>
    <row r="3" spans="1:5" s="22" customFormat="1" ht="48" customHeight="1">
      <c r="A3" s="244" t="s">
        <v>385</v>
      </c>
      <c r="B3" s="216" t="s">
        <v>844</v>
      </c>
      <c r="C3" s="216" t="s">
        <v>914</v>
      </c>
      <c r="D3" s="215" t="s">
        <v>1069</v>
      </c>
      <c r="E3" s="217" t="s">
        <v>1070</v>
      </c>
    </row>
    <row r="4" spans="1:5" s="20" customFormat="1" ht="20.100000000000001" customHeight="1">
      <c r="A4" s="228"/>
      <c r="B4" s="219" t="s">
        <v>1711</v>
      </c>
      <c r="C4" s="220"/>
      <c r="D4" s="249"/>
      <c r="E4" s="232"/>
    </row>
    <row r="5" spans="1:5" s="20" customFormat="1" ht="39.6">
      <c r="A5" s="18">
        <v>15.1</v>
      </c>
      <c r="B5" s="17" t="s">
        <v>439</v>
      </c>
      <c r="C5" s="465" t="s">
        <v>982</v>
      </c>
      <c r="D5" s="19" t="s">
        <v>858</v>
      </c>
      <c r="E5" s="32" t="s">
        <v>823</v>
      </c>
    </row>
    <row r="6" spans="1:5" s="20" customFormat="1" ht="20.100000000000001" customHeight="1">
      <c r="A6" s="18">
        <v>15.2</v>
      </c>
      <c r="B6" s="17" t="s">
        <v>440</v>
      </c>
      <c r="C6" s="465" t="s">
        <v>982</v>
      </c>
      <c r="D6" s="19" t="s">
        <v>1712</v>
      </c>
      <c r="E6" s="32" t="s">
        <v>824</v>
      </c>
    </row>
    <row r="7" spans="1:5" s="20" customFormat="1" ht="20.100000000000001" customHeight="1">
      <c r="A7" s="18">
        <v>15.3</v>
      </c>
      <c r="B7" s="17" t="s">
        <v>611</v>
      </c>
      <c r="C7" s="465" t="s">
        <v>982</v>
      </c>
      <c r="D7" s="19" t="s">
        <v>534</v>
      </c>
      <c r="E7" s="32" t="s">
        <v>825</v>
      </c>
    </row>
    <row r="8" spans="1:5" s="20" customFormat="1" ht="26.4">
      <c r="A8" s="18">
        <v>15.4</v>
      </c>
      <c r="B8" s="17" t="s">
        <v>1256</v>
      </c>
      <c r="C8" s="465" t="s">
        <v>1490</v>
      </c>
      <c r="D8" s="19" t="s">
        <v>568</v>
      </c>
      <c r="E8" s="32" t="s">
        <v>1724</v>
      </c>
    </row>
    <row r="9" spans="1:5" s="20" customFormat="1" ht="20.100000000000001" customHeight="1">
      <c r="A9" s="18">
        <v>15.5</v>
      </c>
      <c r="B9" s="17" t="s">
        <v>612</v>
      </c>
      <c r="C9" s="465" t="s">
        <v>982</v>
      </c>
      <c r="D9" s="19" t="s">
        <v>568</v>
      </c>
      <c r="E9" s="32" t="s">
        <v>1725</v>
      </c>
    </row>
    <row r="10" spans="1:5" s="15" customFormat="1" ht="26.4">
      <c r="A10" s="18">
        <v>15.6</v>
      </c>
      <c r="B10" s="17" t="s">
        <v>613</v>
      </c>
      <c r="C10" s="465" t="s">
        <v>1490</v>
      </c>
      <c r="D10" s="11" t="s">
        <v>986</v>
      </c>
      <c r="E10" s="34" t="s">
        <v>573</v>
      </c>
    </row>
    <row r="11" spans="1:5" s="15" customFormat="1" ht="26.4">
      <c r="A11" s="18">
        <v>15.7</v>
      </c>
      <c r="B11" s="16" t="s">
        <v>221</v>
      </c>
      <c r="C11" s="195" t="s">
        <v>1490</v>
      </c>
      <c r="D11" s="11" t="s">
        <v>593</v>
      </c>
      <c r="E11" s="122" t="s">
        <v>1963</v>
      </c>
    </row>
    <row r="12" spans="1:5" s="15" customFormat="1" ht="66">
      <c r="A12" s="18">
        <v>15.8</v>
      </c>
      <c r="B12" s="16" t="s">
        <v>222</v>
      </c>
      <c r="C12" s="195" t="s">
        <v>1490</v>
      </c>
      <c r="D12" s="11" t="s">
        <v>858</v>
      </c>
      <c r="E12" s="122" t="s">
        <v>1964</v>
      </c>
    </row>
    <row r="13" spans="1:5" s="22" customFormat="1" ht="20.100000000000001" customHeight="1">
      <c r="A13" s="18">
        <v>15.9</v>
      </c>
      <c r="B13" s="16" t="s">
        <v>1633</v>
      </c>
      <c r="C13" s="195" t="s">
        <v>982</v>
      </c>
      <c r="D13" s="11" t="s">
        <v>775</v>
      </c>
      <c r="E13" s="34" t="s">
        <v>1742</v>
      </c>
    </row>
    <row r="14" spans="1:5" s="22" customFormat="1" ht="20.100000000000001" customHeight="1">
      <c r="A14" s="248"/>
      <c r="B14" s="219" t="s">
        <v>223</v>
      </c>
      <c r="C14" s="220"/>
      <c r="D14" s="220"/>
      <c r="E14" s="247"/>
    </row>
    <row r="15" spans="1:5" s="22" customFormat="1" ht="26.4">
      <c r="A15" s="28">
        <v>15.1</v>
      </c>
      <c r="B15" s="17" t="s">
        <v>224</v>
      </c>
      <c r="C15" s="465" t="s">
        <v>1270</v>
      </c>
      <c r="D15" s="19" t="s">
        <v>1729</v>
      </c>
      <c r="E15" s="34" t="s">
        <v>1165</v>
      </c>
    </row>
    <row r="16" spans="1:5" s="22" customFormat="1" ht="26.4">
      <c r="A16" s="28">
        <v>15.11</v>
      </c>
      <c r="B16" s="17" t="s">
        <v>1531</v>
      </c>
      <c r="C16" s="465" t="s">
        <v>1270</v>
      </c>
      <c r="D16" s="11" t="s">
        <v>460</v>
      </c>
      <c r="E16" s="34" t="s">
        <v>1166</v>
      </c>
    </row>
    <row r="17" spans="1:5" s="22" customFormat="1" ht="26.4">
      <c r="A17" s="28">
        <v>15.12</v>
      </c>
      <c r="B17" s="17" t="s">
        <v>225</v>
      </c>
      <c r="C17" s="465" t="s">
        <v>1118</v>
      </c>
      <c r="D17" s="19" t="s">
        <v>986</v>
      </c>
      <c r="E17" s="34" t="s">
        <v>809</v>
      </c>
    </row>
    <row r="18" spans="1:5" s="22" customFormat="1" ht="20.100000000000001" customHeight="1">
      <c r="A18" s="28">
        <v>15.13</v>
      </c>
      <c r="B18" s="17" t="s">
        <v>226</v>
      </c>
      <c r="C18" s="465" t="s">
        <v>1490</v>
      </c>
      <c r="D18" s="19" t="s">
        <v>1731</v>
      </c>
      <c r="E18" s="34" t="s">
        <v>810</v>
      </c>
    </row>
    <row r="19" spans="1:5" s="22" customFormat="1" ht="20.100000000000001" customHeight="1">
      <c r="A19" s="28">
        <v>15.14</v>
      </c>
      <c r="B19" s="17" t="s">
        <v>227</v>
      </c>
      <c r="C19" s="465" t="s">
        <v>1490</v>
      </c>
      <c r="D19" s="11" t="s">
        <v>1728</v>
      </c>
      <c r="E19" s="34" t="s">
        <v>811</v>
      </c>
    </row>
    <row r="20" spans="1:5" s="20" customFormat="1" ht="20.100000000000001" customHeight="1">
      <c r="A20" s="228"/>
      <c r="B20" s="219" t="s">
        <v>871</v>
      </c>
      <c r="C20" s="220"/>
      <c r="D20" s="220"/>
      <c r="E20" s="247"/>
    </row>
    <row r="21" spans="1:5" s="15" customFormat="1" ht="26.4">
      <c r="A21" s="28">
        <v>15.15</v>
      </c>
      <c r="B21" s="17" t="s">
        <v>872</v>
      </c>
      <c r="C21" s="465" t="s">
        <v>1208</v>
      </c>
      <c r="D21" s="19" t="s">
        <v>152</v>
      </c>
      <c r="E21" s="32" t="s">
        <v>819</v>
      </c>
    </row>
    <row r="22" spans="1:5" s="20" customFormat="1" ht="26.4">
      <c r="A22" s="27">
        <v>15.16</v>
      </c>
      <c r="B22" s="16" t="s">
        <v>874</v>
      </c>
      <c r="C22" s="195" t="s">
        <v>449</v>
      </c>
      <c r="D22" s="11" t="s">
        <v>862</v>
      </c>
      <c r="E22" s="34" t="s">
        <v>681</v>
      </c>
    </row>
    <row r="23" spans="1:5" s="20" customFormat="1" ht="26.4">
      <c r="A23" s="28">
        <v>15.17</v>
      </c>
      <c r="B23" s="17" t="s">
        <v>1532</v>
      </c>
      <c r="C23" s="195" t="s">
        <v>1118</v>
      </c>
      <c r="D23" s="19" t="s">
        <v>744</v>
      </c>
      <c r="E23" s="122" t="s">
        <v>1965</v>
      </c>
    </row>
    <row r="24" spans="1:5" s="20" customFormat="1" ht="39.6">
      <c r="A24" s="27">
        <v>15.18</v>
      </c>
      <c r="B24" s="17" t="s">
        <v>875</v>
      </c>
      <c r="C24" s="465" t="s">
        <v>1118</v>
      </c>
      <c r="D24" s="19" t="s">
        <v>1227</v>
      </c>
      <c r="E24" s="122" t="s">
        <v>1966</v>
      </c>
    </row>
    <row r="25" spans="1:5" s="20" customFormat="1" ht="26.4">
      <c r="A25" s="28">
        <v>15.19</v>
      </c>
      <c r="B25" s="17" t="s">
        <v>876</v>
      </c>
      <c r="C25" s="465" t="s">
        <v>1490</v>
      </c>
      <c r="D25" s="19" t="s">
        <v>744</v>
      </c>
      <c r="E25" s="32" t="s">
        <v>1595</v>
      </c>
    </row>
    <row r="26" spans="1:5" s="22" customFormat="1" ht="39.6">
      <c r="A26" s="27">
        <v>15.2</v>
      </c>
      <c r="B26" s="17" t="s">
        <v>877</v>
      </c>
      <c r="C26" s="465" t="s">
        <v>1490</v>
      </c>
      <c r="D26" s="11" t="s">
        <v>152</v>
      </c>
      <c r="E26" s="32" t="s">
        <v>1548</v>
      </c>
    </row>
    <row r="27" spans="1:5" s="20" customFormat="1" ht="20.100000000000001" customHeight="1">
      <c r="A27" s="228"/>
      <c r="B27" s="219" t="s">
        <v>268</v>
      </c>
      <c r="C27" s="220"/>
      <c r="D27" s="220"/>
      <c r="E27" s="247"/>
    </row>
    <row r="28" spans="1:5" s="20" customFormat="1" ht="26.4">
      <c r="A28" s="28">
        <v>15.21</v>
      </c>
      <c r="B28" s="17" t="s">
        <v>903</v>
      </c>
      <c r="C28" s="195" t="s">
        <v>1490</v>
      </c>
      <c r="D28" s="11" t="s">
        <v>1731</v>
      </c>
      <c r="E28" s="34" t="s">
        <v>1254</v>
      </c>
    </row>
    <row r="29" spans="1:5" s="20" customFormat="1" ht="20.100000000000001" customHeight="1">
      <c r="A29" s="228"/>
      <c r="B29" s="219" t="s">
        <v>884</v>
      </c>
      <c r="C29" s="220"/>
      <c r="D29" s="220"/>
      <c r="E29" s="247"/>
    </row>
    <row r="30" spans="1:5" s="20" customFormat="1" ht="26.4">
      <c r="A30" s="28">
        <v>15.22</v>
      </c>
      <c r="B30" s="17" t="s">
        <v>885</v>
      </c>
      <c r="C30" s="465" t="s">
        <v>982</v>
      </c>
      <c r="D30" s="19" t="s">
        <v>1227</v>
      </c>
      <c r="E30" s="32" t="s">
        <v>827</v>
      </c>
    </row>
    <row r="31" spans="1:5" s="20" customFormat="1" ht="26.4">
      <c r="A31" s="28">
        <v>15.23</v>
      </c>
      <c r="B31" s="17" t="s">
        <v>886</v>
      </c>
      <c r="C31" s="465" t="s">
        <v>982</v>
      </c>
      <c r="D31" s="19" t="s">
        <v>1511</v>
      </c>
      <c r="E31" s="32" t="s">
        <v>828</v>
      </c>
    </row>
    <row r="32" spans="1:5" s="20" customFormat="1" ht="26.4">
      <c r="A32" s="28">
        <v>15.24</v>
      </c>
      <c r="B32" s="17" t="s">
        <v>1533</v>
      </c>
      <c r="C32" s="465" t="s">
        <v>982</v>
      </c>
      <c r="D32" s="19" t="s">
        <v>640</v>
      </c>
      <c r="E32" s="32" t="s">
        <v>1157</v>
      </c>
    </row>
    <row r="33" spans="1:5" s="20" customFormat="1" ht="26.4">
      <c r="A33" s="28">
        <v>15.25</v>
      </c>
      <c r="B33" s="17" t="s">
        <v>887</v>
      </c>
      <c r="C33" s="465" t="s">
        <v>1436</v>
      </c>
      <c r="D33" s="19" t="s">
        <v>1713</v>
      </c>
      <c r="E33" s="32" t="s">
        <v>1743</v>
      </c>
    </row>
    <row r="34" spans="1:5" s="20" customFormat="1" ht="26.4">
      <c r="A34" s="28">
        <v>15.26</v>
      </c>
      <c r="B34" s="17" t="s">
        <v>1229</v>
      </c>
      <c r="C34" s="465" t="s">
        <v>1436</v>
      </c>
      <c r="D34" s="19" t="s">
        <v>1714</v>
      </c>
      <c r="E34" s="32" t="s">
        <v>1158</v>
      </c>
    </row>
    <row r="35" spans="1:5" s="20" customFormat="1" ht="26.4">
      <c r="A35" s="28">
        <v>15.27</v>
      </c>
      <c r="B35" s="17" t="s">
        <v>1230</v>
      </c>
      <c r="C35" s="465" t="s">
        <v>1436</v>
      </c>
      <c r="D35" s="19" t="s">
        <v>1715</v>
      </c>
      <c r="E35" s="122" t="s">
        <v>1967</v>
      </c>
    </row>
    <row r="36" spans="1:5" s="20" customFormat="1" ht="26.4">
      <c r="A36" s="28">
        <v>15.28</v>
      </c>
      <c r="B36" s="17" t="s">
        <v>1231</v>
      </c>
      <c r="C36" s="465" t="s">
        <v>1436</v>
      </c>
      <c r="D36" s="19" t="s">
        <v>826</v>
      </c>
      <c r="E36" s="122" t="s">
        <v>1673</v>
      </c>
    </row>
    <row r="37" spans="1:5" s="20" customFormat="1" ht="39.6">
      <c r="A37" s="28">
        <v>15.29</v>
      </c>
      <c r="B37" s="17" t="s">
        <v>1232</v>
      </c>
      <c r="C37" s="465" t="s">
        <v>1436</v>
      </c>
      <c r="D37" s="19" t="s">
        <v>1716</v>
      </c>
      <c r="E37" s="122" t="s">
        <v>1674</v>
      </c>
    </row>
    <row r="38" spans="1:5" s="20" customFormat="1" ht="26.4">
      <c r="A38" s="28">
        <v>15.3</v>
      </c>
      <c r="B38" s="17" t="s">
        <v>1233</v>
      </c>
      <c r="C38" s="465" t="s">
        <v>1436</v>
      </c>
      <c r="D38" s="19" t="s">
        <v>1717</v>
      </c>
      <c r="E38" s="122" t="s">
        <v>1180</v>
      </c>
    </row>
    <row r="39" spans="1:5" s="20" customFormat="1" ht="20.100000000000001" customHeight="1">
      <c r="A39" s="28">
        <v>15.31</v>
      </c>
      <c r="B39" s="17" t="s">
        <v>1234</v>
      </c>
      <c r="C39" s="465" t="s">
        <v>1436</v>
      </c>
      <c r="D39" s="19" t="s">
        <v>1718</v>
      </c>
      <c r="E39" s="122" t="s">
        <v>1181</v>
      </c>
    </row>
    <row r="40" spans="1:5" s="20" customFormat="1" ht="20.100000000000001" customHeight="1">
      <c r="A40" s="28">
        <v>15.32</v>
      </c>
      <c r="B40" s="17" t="s">
        <v>1235</v>
      </c>
      <c r="C40" s="465" t="s">
        <v>1436</v>
      </c>
      <c r="D40" s="19" t="s">
        <v>1719</v>
      </c>
      <c r="E40" s="122" t="s">
        <v>1744</v>
      </c>
    </row>
    <row r="41" spans="1:5" s="22" customFormat="1" ht="39.6">
      <c r="A41" s="28">
        <v>15.33</v>
      </c>
      <c r="B41" s="17" t="s">
        <v>1236</v>
      </c>
      <c r="C41" s="465" t="s">
        <v>1436</v>
      </c>
      <c r="D41" s="19" t="s">
        <v>1717</v>
      </c>
      <c r="E41" s="122" t="s">
        <v>1968</v>
      </c>
    </row>
    <row r="42" spans="1:5" s="20" customFormat="1" ht="20.100000000000001" customHeight="1">
      <c r="A42" s="228"/>
      <c r="B42" s="219" t="s">
        <v>1534</v>
      </c>
      <c r="C42" s="220"/>
      <c r="D42" s="220"/>
      <c r="E42" s="247"/>
    </row>
    <row r="43" spans="1:5" s="20" customFormat="1" ht="26.4">
      <c r="A43" s="28">
        <v>15.34</v>
      </c>
      <c r="B43" s="17" t="s">
        <v>1232</v>
      </c>
      <c r="C43" s="465" t="s">
        <v>1438</v>
      </c>
      <c r="D43" s="104" t="s">
        <v>1228</v>
      </c>
      <c r="E43" s="122" t="s">
        <v>1969</v>
      </c>
    </row>
    <row r="44" spans="1:5" s="20" customFormat="1" ht="26.4">
      <c r="A44" s="28">
        <v>15.35</v>
      </c>
      <c r="B44" s="17" t="s">
        <v>1230</v>
      </c>
      <c r="C44" s="465" t="s">
        <v>1438</v>
      </c>
      <c r="D44" s="115" t="s">
        <v>1227</v>
      </c>
      <c r="E44" s="122" t="s">
        <v>1613</v>
      </c>
    </row>
    <row r="45" spans="1:5" s="20" customFormat="1" ht="26.4">
      <c r="A45" s="28">
        <v>15.36</v>
      </c>
      <c r="B45" s="17" t="s">
        <v>1231</v>
      </c>
      <c r="C45" s="465" t="s">
        <v>1438</v>
      </c>
      <c r="D45" s="115" t="s">
        <v>986</v>
      </c>
      <c r="E45" s="122" t="s">
        <v>1970</v>
      </c>
    </row>
    <row r="46" spans="1:5" s="20" customFormat="1" ht="26.4">
      <c r="A46" s="28">
        <v>15.37</v>
      </c>
      <c r="B46" s="17" t="s">
        <v>1233</v>
      </c>
      <c r="C46" s="465" t="s">
        <v>1438</v>
      </c>
      <c r="D46" s="115" t="s">
        <v>152</v>
      </c>
      <c r="E46" s="122" t="s">
        <v>1182</v>
      </c>
    </row>
    <row r="47" spans="1:5" s="20" customFormat="1" ht="26.4">
      <c r="A47" s="28">
        <v>15.38</v>
      </c>
      <c r="B47" s="17" t="s">
        <v>1234</v>
      </c>
      <c r="C47" s="465" t="s">
        <v>1438</v>
      </c>
      <c r="D47" s="115" t="s">
        <v>152</v>
      </c>
      <c r="E47" s="122" t="s">
        <v>1183</v>
      </c>
    </row>
    <row r="48" spans="1:5" s="22" customFormat="1" ht="26.4">
      <c r="A48" s="28">
        <v>15.39</v>
      </c>
      <c r="B48" s="17" t="s">
        <v>1236</v>
      </c>
      <c r="C48" s="465" t="s">
        <v>1438</v>
      </c>
      <c r="D48" s="115" t="s">
        <v>152</v>
      </c>
      <c r="E48" s="122" t="s">
        <v>1781</v>
      </c>
    </row>
    <row r="49" spans="1:5" s="20" customFormat="1" ht="20.100000000000001" customHeight="1">
      <c r="A49" s="248"/>
      <c r="B49" s="219" t="s">
        <v>1535</v>
      </c>
      <c r="C49" s="220"/>
      <c r="D49" s="220"/>
      <c r="E49" s="247"/>
    </row>
    <row r="50" spans="1:5" s="20" customFormat="1" ht="26.4">
      <c r="A50" s="28">
        <v>15.4</v>
      </c>
      <c r="B50" s="17" t="s">
        <v>1536</v>
      </c>
      <c r="C50" s="465" t="s">
        <v>982</v>
      </c>
      <c r="D50" s="19" t="s">
        <v>1227</v>
      </c>
      <c r="E50" s="122" t="s">
        <v>1971</v>
      </c>
    </row>
    <row r="51" spans="1:5" s="20" customFormat="1" ht="26.4">
      <c r="A51" s="28">
        <v>15.41</v>
      </c>
      <c r="B51" s="17" t="s">
        <v>1537</v>
      </c>
      <c r="C51" s="465" t="s">
        <v>428</v>
      </c>
      <c r="D51" s="19" t="s">
        <v>1720</v>
      </c>
      <c r="E51" s="32" t="s">
        <v>1668</v>
      </c>
    </row>
    <row r="52" spans="1:5" s="20" customFormat="1" ht="26.4">
      <c r="A52" s="28">
        <v>15.42</v>
      </c>
      <c r="B52" s="17" t="s">
        <v>454</v>
      </c>
      <c r="C52" s="465" t="s">
        <v>428</v>
      </c>
      <c r="D52" s="19" t="s">
        <v>1720</v>
      </c>
      <c r="E52" s="32" t="s">
        <v>1782</v>
      </c>
    </row>
    <row r="53" spans="1:5" s="20" customFormat="1" ht="26.4">
      <c r="A53" s="28">
        <v>15.43</v>
      </c>
      <c r="B53" s="17" t="s">
        <v>1538</v>
      </c>
      <c r="C53" s="465" t="s">
        <v>428</v>
      </c>
      <c r="D53" s="19" t="s">
        <v>1356</v>
      </c>
      <c r="E53" s="32" t="s">
        <v>1669</v>
      </c>
    </row>
    <row r="54" spans="1:5" s="20" customFormat="1" ht="26.4">
      <c r="A54" s="28">
        <v>15.44</v>
      </c>
      <c r="B54" s="17" t="s">
        <v>1539</v>
      </c>
      <c r="C54" s="465" t="s">
        <v>428</v>
      </c>
      <c r="D54" s="19" t="s">
        <v>866</v>
      </c>
      <c r="E54" s="32" t="s">
        <v>1670</v>
      </c>
    </row>
    <row r="55" spans="1:5" s="20" customFormat="1" ht="26.4">
      <c r="A55" s="28">
        <v>15.45</v>
      </c>
      <c r="B55" s="17" t="s">
        <v>1540</v>
      </c>
      <c r="C55" s="465" t="s">
        <v>982</v>
      </c>
      <c r="D55" s="19" t="s">
        <v>1228</v>
      </c>
      <c r="E55" s="32" t="s">
        <v>1671</v>
      </c>
    </row>
    <row r="56" spans="1:5" s="20" customFormat="1" ht="20.100000000000001" customHeight="1">
      <c r="A56" s="28">
        <v>15.46</v>
      </c>
      <c r="B56" s="17" t="s">
        <v>1246</v>
      </c>
      <c r="C56" s="465" t="s">
        <v>1265</v>
      </c>
      <c r="D56" s="19" t="s">
        <v>1721</v>
      </c>
      <c r="E56" s="32" t="s">
        <v>1783</v>
      </c>
    </row>
    <row r="57" spans="1:5" s="20" customFormat="1" ht="26.4">
      <c r="A57" s="28">
        <v>15.47</v>
      </c>
      <c r="B57" s="17" t="s">
        <v>1541</v>
      </c>
      <c r="C57" s="465" t="s">
        <v>1439</v>
      </c>
      <c r="D57" s="19" t="s">
        <v>1722</v>
      </c>
      <c r="E57" s="32" t="s">
        <v>1672</v>
      </c>
    </row>
    <row r="58" spans="1:5" s="20" customFormat="1" ht="20.100000000000001" customHeight="1">
      <c r="A58" s="228"/>
      <c r="B58" s="219" t="s">
        <v>1245</v>
      </c>
      <c r="C58" s="220"/>
      <c r="D58" s="220"/>
      <c r="E58" s="247"/>
    </row>
    <row r="59" spans="1:5" s="20" customFormat="1" ht="26.4">
      <c r="A59" s="103">
        <v>15.48</v>
      </c>
      <c r="B59" s="17" t="s">
        <v>1542</v>
      </c>
      <c r="C59" s="465" t="s">
        <v>1490</v>
      </c>
      <c r="D59" s="19" t="s">
        <v>795</v>
      </c>
      <c r="E59" s="32" t="s">
        <v>1410</v>
      </c>
    </row>
    <row r="60" spans="1:5" s="20" customFormat="1" ht="26.4">
      <c r="A60" s="103">
        <v>15.49</v>
      </c>
      <c r="B60" s="17" t="s">
        <v>1256</v>
      </c>
      <c r="C60" s="465" t="s">
        <v>1490</v>
      </c>
      <c r="D60" s="19" t="s">
        <v>795</v>
      </c>
      <c r="E60" s="32" t="s">
        <v>1411</v>
      </c>
    </row>
    <row r="61" spans="1:5" s="20" customFormat="1" ht="26.4">
      <c r="A61" s="103">
        <v>15.5</v>
      </c>
      <c r="B61" s="17" t="s">
        <v>50</v>
      </c>
      <c r="C61" s="465" t="s">
        <v>1490</v>
      </c>
      <c r="D61" s="19" t="s">
        <v>795</v>
      </c>
      <c r="E61" s="32" t="s">
        <v>1291</v>
      </c>
    </row>
    <row r="62" spans="1:5" s="20" customFormat="1" ht="26.4">
      <c r="A62" s="103">
        <v>15.51</v>
      </c>
      <c r="B62" s="17" t="s">
        <v>1543</v>
      </c>
      <c r="C62" s="465" t="s">
        <v>1490</v>
      </c>
      <c r="D62" s="19" t="s">
        <v>902</v>
      </c>
      <c r="E62" s="32" t="s">
        <v>1292</v>
      </c>
    </row>
    <row r="63" spans="1:5" s="20" customFormat="1" ht="26.4">
      <c r="A63" s="103">
        <v>15.52</v>
      </c>
      <c r="B63" s="17" t="s">
        <v>1544</v>
      </c>
      <c r="C63" s="465" t="s">
        <v>1490</v>
      </c>
      <c r="D63" s="19" t="s">
        <v>1728</v>
      </c>
      <c r="E63" s="32" t="s">
        <v>1292</v>
      </c>
    </row>
    <row r="64" spans="1:5" s="20" customFormat="1" ht="26.4">
      <c r="A64" s="103">
        <v>15.53</v>
      </c>
      <c r="B64" s="17" t="s">
        <v>1545</v>
      </c>
      <c r="C64" s="465" t="s">
        <v>1490</v>
      </c>
      <c r="D64" s="19" t="s">
        <v>447</v>
      </c>
      <c r="E64" s="32" t="s">
        <v>1292</v>
      </c>
    </row>
    <row r="65" spans="1:5" s="20" customFormat="1" ht="26.4">
      <c r="A65" s="103">
        <v>15.54</v>
      </c>
      <c r="B65" s="17" t="s">
        <v>343</v>
      </c>
      <c r="C65" s="465" t="s">
        <v>1490</v>
      </c>
      <c r="D65" s="19" t="s">
        <v>447</v>
      </c>
      <c r="E65" s="32" t="s">
        <v>1292</v>
      </c>
    </row>
    <row r="66" spans="1:5" s="20" customFormat="1" ht="26.4">
      <c r="A66" s="103">
        <v>15.55</v>
      </c>
      <c r="B66" s="17" t="s">
        <v>344</v>
      </c>
      <c r="C66" s="465" t="s">
        <v>1490</v>
      </c>
      <c r="D66" s="19" t="s">
        <v>795</v>
      </c>
      <c r="E66" s="32" t="s">
        <v>1292</v>
      </c>
    </row>
    <row r="67" spans="1:5" s="20" customFormat="1" ht="26.4">
      <c r="A67" s="103">
        <v>15.56</v>
      </c>
      <c r="B67" s="17" t="s">
        <v>345</v>
      </c>
      <c r="C67" s="465" t="s">
        <v>1490</v>
      </c>
      <c r="D67" s="19" t="s">
        <v>795</v>
      </c>
      <c r="E67" s="32" t="s">
        <v>829</v>
      </c>
    </row>
    <row r="68" spans="1:5" s="22" customFormat="1" ht="39.6">
      <c r="A68" s="103">
        <v>15.57</v>
      </c>
      <c r="B68" s="630" t="s">
        <v>2467</v>
      </c>
      <c r="C68" s="465" t="s">
        <v>1490</v>
      </c>
      <c r="D68" s="19" t="s">
        <v>1723</v>
      </c>
      <c r="E68" s="32" t="s">
        <v>830</v>
      </c>
    </row>
    <row r="69" spans="1:5" s="20" customFormat="1" ht="20.100000000000001" customHeight="1">
      <c r="A69" s="248"/>
      <c r="B69" s="219" t="s">
        <v>346</v>
      </c>
      <c r="C69" s="220"/>
      <c r="D69" s="220"/>
      <c r="E69" s="247"/>
    </row>
    <row r="70" spans="1:5" s="20" customFormat="1" ht="26.4">
      <c r="A70" s="28">
        <v>15.58</v>
      </c>
      <c r="B70" s="17" t="s">
        <v>347</v>
      </c>
      <c r="C70" s="465" t="s">
        <v>1490</v>
      </c>
      <c r="D70" s="19" t="s">
        <v>795</v>
      </c>
      <c r="E70" s="32" t="s">
        <v>1293</v>
      </c>
    </row>
    <row r="71" spans="1:5" s="20" customFormat="1" ht="26.4">
      <c r="A71" s="28">
        <v>15.59</v>
      </c>
      <c r="B71" s="17" t="s">
        <v>348</v>
      </c>
      <c r="C71" s="465" t="s">
        <v>1490</v>
      </c>
      <c r="D71" s="19" t="s">
        <v>795</v>
      </c>
      <c r="E71" s="122" t="s">
        <v>1972</v>
      </c>
    </row>
    <row r="72" spans="1:5" s="20" customFormat="1" ht="39.6">
      <c r="A72" s="28">
        <v>15.6</v>
      </c>
      <c r="B72" s="17" t="s">
        <v>349</v>
      </c>
      <c r="C72" s="465" t="s">
        <v>1490</v>
      </c>
      <c r="D72" s="19" t="s">
        <v>902</v>
      </c>
      <c r="E72" s="122" t="s">
        <v>1294</v>
      </c>
    </row>
    <row r="73" spans="1:5" s="20" customFormat="1" ht="39.6">
      <c r="A73" s="28">
        <v>15.61</v>
      </c>
      <c r="B73" s="17" t="s">
        <v>350</v>
      </c>
      <c r="C73" s="465" t="s">
        <v>1490</v>
      </c>
      <c r="D73" s="19" t="s">
        <v>795</v>
      </c>
      <c r="E73" s="122" t="s">
        <v>1973</v>
      </c>
    </row>
    <row r="74" spans="1:5" s="20" customFormat="1" ht="26.4">
      <c r="A74" s="28">
        <v>15.62</v>
      </c>
      <c r="B74" s="17" t="s">
        <v>1142</v>
      </c>
      <c r="C74" s="465" t="s">
        <v>1490</v>
      </c>
      <c r="D74" s="19" t="s">
        <v>1728</v>
      </c>
      <c r="E74" s="32" t="s">
        <v>1295</v>
      </c>
    </row>
    <row r="75" spans="1:5" s="20" customFormat="1" ht="26.4">
      <c r="A75" s="28">
        <v>15.63</v>
      </c>
      <c r="B75" s="17" t="s">
        <v>1143</v>
      </c>
      <c r="C75" s="465" t="s">
        <v>1490</v>
      </c>
      <c r="D75" s="19" t="s">
        <v>795</v>
      </c>
      <c r="E75" s="32" t="s">
        <v>1296</v>
      </c>
    </row>
    <row r="76" spans="1:5" s="20" customFormat="1" ht="26.4">
      <c r="A76" s="28">
        <v>15.64</v>
      </c>
      <c r="B76" s="17" t="s">
        <v>1144</v>
      </c>
      <c r="C76" s="465" t="s">
        <v>1490</v>
      </c>
      <c r="D76" s="19" t="s">
        <v>902</v>
      </c>
      <c r="E76" s="32" t="s">
        <v>1297</v>
      </c>
    </row>
    <row r="77" spans="1:5" s="20" customFormat="1" ht="26.4">
      <c r="A77" s="28">
        <v>15.65</v>
      </c>
      <c r="B77" s="17" t="s">
        <v>1150</v>
      </c>
      <c r="C77" s="465" t="s">
        <v>1490</v>
      </c>
      <c r="D77" s="19" t="s">
        <v>902</v>
      </c>
      <c r="E77" s="32" t="s">
        <v>1309</v>
      </c>
    </row>
    <row r="78" spans="1:5" s="20" customFormat="1" ht="39.6">
      <c r="A78" s="28">
        <v>15.66</v>
      </c>
      <c r="B78" s="17" t="s">
        <v>51</v>
      </c>
      <c r="C78" s="465" t="s">
        <v>1490</v>
      </c>
      <c r="D78" s="19" t="s">
        <v>795</v>
      </c>
      <c r="E78" s="32" t="s">
        <v>322</v>
      </c>
    </row>
    <row r="79" spans="1:5" s="20" customFormat="1" ht="20.100000000000001" customHeight="1">
      <c r="A79" s="228"/>
      <c r="B79" s="219" t="s">
        <v>222</v>
      </c>
      <c r="C79" s="220"/>
      <c r="D79" s="220"/>
      <c r="E79" s="247"/>
    </row>
    <row r="80" spans="1:5" s="20" customFormat="1" ht="20.100000000000001" customHeight="1">
      <c r="A80" s="28">
        <v>15.67</v>
      </c>
      <c r="B80" s="17" t="s">
        <v>1151</v>
      </c>
      <c r="C80" s="465" t="s">
        <v>1490</v>
      </c>
      <c r="D80" s="19" t="s">
        <v>902</v>
      </c>
      <c r="E80" s="32" t="s">
        <v>1310</v>
      </c>
    </row>
    <row r="81" spans="1:5" s="20" customFormat="1" ht="20.100000000000001" customHeight="1">
      <c r="A81" s="28">
        <v>15.68</v>
      </c>
      <c r="B81" s="17" t="s">
        <v>1152</v>
      </c>
      <c r="C81" s="465" t="s">
        <v>1490</v>
      </c>
      <c r="D81" s="19" t="s">
        <v>902</v>
      </c>
      <c r="E81" s="32" t="s">
        <v>324</v>
      </c>
    </row>
    <row r="82" spans="1:5" s="20" customFormat="1" ht="26.4">
      <c r="A82" s="28">
        <v>15.69</v>
      </c>
      <c r="B82" s="17" t="s">
        <v>1540</v>
      </c>
      <c r="C82" s="465" t="s">
        <v>1490</v>
      </c>
      <c r="D82" s="19" t="s">
        <v>902</v>
      </c>
      <c r="E82" s="32" t="s">
        <v>1749</v>
      </c>
    </row>
    <row r="83" spans="1:5" s="20" customFormat="1" ht="26.4">
      <c r="A83" s="28">
        <v>15.7</v>
      </c>
      <c r="B83" s="17" t="s">
        <v>1246</v>
      </c>
      <c r="C83" s="465" t="s">
        <v>1490</v>
      </c>
      <c r="D83" s="19" t="s">
        <v>902</v>
      </c>
      <c r="E83" s="32" t="s">
        <v>1750</v>
      </c>
    </row>
    <row r="84" spans="1:5" s="20" customFormat="1" ht="20.100000000000001" customHeight="1">
      <c r="A84" s="28">
        <v>15.71</v>
      </c>
      <c r="B84" s="17" t="s">
        <v>1153</v>
      </c>
      <c r="C84" s="465" t="s">
        <v>1490</v>
      </c>
      <c r="D84" s="19" t="s">
        <v>795</v>
      </c>
      <c r="E84" s="32" t="s">
        <v>325</v>
      </c>
    </row>
    <row r="85" spans="1:5" s="20" customFormat="1" ht="20.100000000000001" customHeight="1">
      <c r="A85" s="28">
        <v>15.72</v>
      </c>
      <c r="B85" s="17" t="s">
        <v>1154</v>
      </c>
      <c r="C85" s="465" t="s">
        <v>1490</v>
      </c>
      <c r="D85" s="19" t="s">
        <v>902</v>
      </c>
      <c r="E85" s="32" t="s">
        <v>1751</v>
      </c>
    </row>
    <row r="86" spans="1:5" s="20" customFormat="1" ht="26.4">
      <c r="A86" s="28">
        <v>15.73</v>
      </c>
      <c r="B86" s="17" t="s">
        <v>1155</v>
      </c>
      <c r="C86" s="465" t="s">
        <v>1490</v>
      </c>
      <c r="D86" s="19" t="s">
        <v>570</v>
      </c>
      <c r="E86" s="32" t="s">
        <v>1784</v>
      </c>
    </row>
    <row r="87" spans="1:5" s="20" customFormat="1" ht="26.4">
      <c r="A87" s="28">
        <v>15.74</v>
      </c>
      <c r="B87" s="17" t="s">
        <v>1156</v>
      </c>
      <c r="C87" s="465" t="s">
        <v>1490</v>
      </c>
      <c r="D87" s="19" t="s">
        <v>795</v>
      </c>
      <c r="E87" s="32" t="s">
        <v>1740</v>
      </c>
    </row>
    <row r="88" spans="1:5" s="22" customFormat="1" ht="20.100000000000001" customHeight="1">
      <c r="A88" s="28">
        <v>15.75</v>
      </c>
      <c r="B88" s="17" t="s">
        <v>1639</v>
      </c>
      <c r="C88" s="465" t="s">
        <v>1490</v>
      </c>
      <c r="D88" s="19" t="s">
        <v>902</v>
      </c>
      <c r="E88" s="32" t="s">
        <v>1741</v>
      </c>
    </row>
    <row r="89" spans="1:5" s="4" customFormat="1" ht="20.100000000000001" customHeight="1">
      <c r="A89" s="228"/>
      <c r="B89" s="219" t="s">
        <v>1259</v>
      </c>
      <c r="C89" s="220"/>
      <c r="D89" s="140"/>
      <c r="E89" s="247"/>
    </row>
    <row r="90" spans="1:5" ht="26.4">
      <c r="A90" s="28">
        <v>15.76</v>
      </c>
      <c r="B90" s="17" t="s">
        <v>52</v>
      </c>
      <c r="C90" s="465" t="s">
        <v>1490</v>
      </c>
      <c r="D90" s="19" t="s">
        <v>795</v>
      </c>
      <c r="E90" s="32" t="s">
        <v>972</v>
      </c>
    </row>
    <row r="91" spans="1:5" s="15" customFormat="1" ht="20.100000000000001" customHeight="1">
      <c r="A91" s="228"/>
      <c r="B91" s="229" t="s">
        <v>1033</v>
      </c>
      <c r="C91" s="209"/>
      <c r="D91" s="209"/>
      <c r="E91" s="246"/>
    </row>
    <row r="92" spans="1:5" s="15" customFormat="1" ht="39.6">
      <c r="A92" s="965">
        <v>15.77</v>
      </c>
      <c r="B92" s="969" t="s">
        <v>53</v>
      </c>
      <c r="C92" s="973" t="s">
        <v>1436</v>
      </c>
      <c r="D92" s="962" t="s">
        <v>323</v>
      </c>
      <c r="E92" s="521" t="s">
        <v>1516</v>
      </c>
    </row>
    <row r="93" spans="1:5" s="15" customFormat="1" ht="20.100000000000001" customHeight="1">
      <c r="A93" s="966"/>
      <c r="B93" s="970"/>
      <c r="C93" s="974"/>
      <c r="D93" s="963"/>
      <c r="E93" s="522" t="s">
        <v>1517</v>
      </c>
    </row>
    <row r="94" spans="1:5" s="15" customFormat="1" ht="20.100000000000001" customHeight="1">
      <c r="A94" s="967"/>
      <c r="B94" s="971"/>
      <c r="C94" s="963"/>
      <c r="D94" s="963"/>
      <c r="E94" s="523" t="s">
        <v>1518</v>
      </c>
    </row>
    <row r="95" spans="1:5" s="15" customFormat="1" ht="20.100000000000001" customHeight="1">
      <c r="A95" s="967"/>
      <c r="B95" s="971"/>
      <c r="C95" s="963"/>
      <c r="D95" s="963"/>
      <c r="E95" s="522" t="s">
        <v>1519</v>
      </c>
    </row>
    <row r="96" spans="1:5" s="15" customFormat="1" ht="53.4" thickBot="1">
      <c r="A96" s="968"/>
      <c r="B96" s="972"/>
      <c r="C96" s="964"/>
      <c r="D96" s="964"/>
      <c r="E96" s="524" t="s">
        <v>2179</v>
      </c>
    </row>
  </sheetData>
  <customSheetViews>
    <customSheetView guid="{4FEDB3BD-111A-4B7D-AA97-E67173A5F707}" showPageBreaks="1" printArea="1" hiddenColumns="1" view="pageBreakPreview" showRuler="0" topLeftCell="A78">
      <selection activeCell="I93" sqref="I93"/>
      <rowBreaks count="5" manualBreakCount="5">
        <brk id="18" max="9" man="1"/>
        <brk id="34" max="9" man="1"/>
        <brk id="48" max="9" man="1"/>
        <brk id="68" max="9" man="1"/>
        <brk id="84" max="9" man="1"/>
      </rowBreaks>
      <pageMargins left="0.5" right="0.5" top="1" bottom="1" header="0.5" footer="0.5"/>
      <printOptions horizontalCentered="1"/>
      <pageSetup scale="83" fitToHeight="4" orientation="landscape" r:id="rId1"/>
      <headerFooter alignWithMargins="0">
        <oddHeader>&amp;C&amp;"Arial,Bold"&amp;12&amp;UProject Activity 15: Structures- Segmental Concrete</oddHeader>
        <oddFooter>Page &amp;P of &amp;N</oddFooter>
      </headerFooter>
    </customSheetView>
    <customSheetView guid="{D5FFA8DD-F2DB-47F2-B4D2-3681726B2E8F}" showPageBreaks="1" hiddenColumns="1" view="pageBreakPreview" showRuler="0" topLeftCell="A79">
      <selection activeCell="C3" sqref="C3:P3"/>
      <pageMargins left="0.5" right="0.5" top="1" bottom="1" header="0.5" footer="0.5"/>
      <printOptions horizontalCentered="1"/>
      <pageSetup fitToHeight="4" orientation="landscape" r:id="rId2"/>
      <headerFooter alignWithMargins="0">
        <oddHeader>&amp;C&amp;"Arial,Bold"&amp;12&amp;UProject Activity 15: Structures- Segmental Concrete</oddHeader>
        <oddFooter>Page &amp;P of &amp;N</oddFooter>
      </headerFooter>
    </customSheetView>
    <customSheetView guid="{EFE02F7B-3837-4B0F-9646-ADE249504E9F}" showPageBreaks="1" hiddenColumns="1" view="pageBreakPreview" showRuler="0">
      <selection activeCell="C6" sqref="C6"/>
      <pageMargins left="0.5" right="0.5" top="1" bottom="1" header="0.5" footer="0.5"/>
      <printOptions horizontalCentered="1"/>
      <pageSetup fitToHeight="4" orientation="landscape" r:id="rId3"/>
      <headerFooter alignWithMargins="0">
        <oddHeader>&amp;C&amp;"Arial,Bold"&amp;12&amp;UProject Activity 15: Structures- Segmental Concrete</oddHeader>
        <oddFooter>Page &amp;P of &amp;N</oddFooter>
      </headerFooter>
    </customSheetView>
    <customSheetView guid="{053BE130-58A3-4F3B-945A-C2EFB15C6264}" showPageBreaks="1" hiddenColumns="1" view="pageBreakPreview" showRuler="0">
      <selection activeCell="C6" sqref="C6"/>
      <pageMargins left="0.5" right="0.5" top="1" bottom="1" header="0.5" footer="0.5"/>
      <printOptions horizontalCentered="1"/>
      <pageSetup fitToHeight="4" orientation="landscape" r:id="rId4"/>
      <headerFooter alignWithMargins="0">
        <oddHeader>&amp;C&amp;"Arial,Bold"&amp;12&amp;UProject Activity 15: Structures- Segmental Concrete</oddHeader>
        <oddFooter>Page &amp;P of &amp;N</oddFooter>
      </headerFooter>
    </customSheetView>
    <customSheetView guid="{F5DBE5B9-A9E4-4030-888B-08F930ECBB74}" showPageBreaks="1" hiddenColumns="1" view="pageBreakPreview" showRuler="0">
      <selection activeCell="C6" sqref="C6"/>
      <pageMargins left="0.5" right="0.5" top="1" bottom="1" header="0.5" footer="0.5"/>
      <printOptions horizontalCentered="1"/>
      <pageSetup fitToHeight="4" orientation="landscape" r:id="rId5"/>
      <headerFooter alignWithMargins="0">
        <oddHeader>&amp;C&amp;"Arial,Bold"&amp;12&amp;UProject Activity 15: Structures- Segmental Concrete</oddHeader>
        <oddFooter>Page &amp;P of &amp;N</oddFooter>
      </headerFooter>
    </customSheetView>
    <customSheetView guid="{960FB4AF-B150-4523-972C-3F7C93F049F3}" showPageBreaks="1" printArea="1" hiddenColumns="1" view="pageBreakPreview" showRuler="0" topLeftCell="A78">
      <selection activeCell="I93" sqref="I93"/>
      <rowBreaks count="5" manualBreakCount="5">
        <brk id="18" max="9" man="1"/>
        <brk id="34" max="9" man="1"/>
        <brk id="48" max="9" man="1"/>
        <brk id="68" max="9" man="1"/>
        <brk id="84" max="9" man="1"/>
      </rowBreaks>
      <pageMargins left="0.5" right="0.5" top="1" bottom="1" header="0.5" footer="0.5"/>
      <printOptions horizontalCentered="1"/>
      <pageSetup scale="83" fitToHeight="4" orientation="landscape" r:id="rId6"/>
      <headerFooter alignWithMargins="0">
        <oddHeader>&amp;C&amp;"Arial,Bold"&amp;12&amp;UProject Activity 15: Structures- Segmental Concrete</oddHeader>
        <oddFooter>Page &amp;P of &amp;N</oddFooter>
      </headerFooter>
    </customSheetView>
    <customSheetView guid="{DF3BD4C9-2986-4236-8E90-D96736404377}" showPageBreaks="1" printArea="1" hiddenColumns="1" view="pageBreakPreview" showRuler="0" topLeftCell="A78">
      <selection activeCell="I93" sqref="I93"/>
      <rowBreaks count="8" manualBreakCount="8">
        <brk id="16" max="9" man="1"/>
        <brk id="18" max="9" man="1"/>
        <brk id="34" max="9" man="1"/>
        <brk id="48" max="9" man="1"/>
        <brk id="66" max="9" man="1"/>
        <brk id="68" max="9" man="1"/>
        <brk id="83" max="9" man="1"/>
        <brk id="84" max="9" man="1"/>
      </rowBreaks>
      <pageMargins left="0.5" right="0.5" top="1" bottom="1" header="0.5" footer="0.5"/>
      <printOptions horizontalCentered="1"/>
      <pageSetup scale="83" fitToHeight="4" orientation="landscape" r:id="rId7"/>
      <headerFooter alignWithMargins="0">
        <oddHeader>&amp;C&amp;"Arial,Bold"&amp;12&amp;UProject Activity 15: Structures- Segmental Concrete</oddHeader>
        <oddFooter>Page &amp;P of &amp;N</oddFooter>
      </headerFooter>
    </customSheetView>
  </customSheetViews>
  <mergeCells count="5">
    <mergeCell ref="A2:E2"/>
    <mergeCell ref="D92:D96"/>
    <mergeCell ref="A92:A96"/>
    <mergeCell ref="B92:B96"/>
    <mergeCell ref="C92:C96"/>
  </mergeCells>
  <phoneticPr fontId="0" type="noConversion"/>
  <printOptions horizontalCentered="1" verticalCentered="1"/>
  <pageMargins left="0.75" right="0.75" top="1" bottom="1" header="0.5" footer="0.5"/>
  <pageSetup scale="74" fitToHeight="4" orientation="landscape" r:id="rId8"/>
  <headerFooter alignWithMargins="0"/>
  <rowBreaks count="4" manualBreakCount="4">
    <brk id="26" max="9" man="1"/>
    <brk id="68" max="9" man="1"/>
    <brk id="78" max="9" man="1"/>
    <brk id="90" max="9"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0"/>
  <dimension ref="A1:F122"/>
  <sheetViews>
    <sheetView showGridLines="0" zoomScale="90" zoomScaleNormal="90" zoomScaleSheetLayoutView="100" workbookViewId="0"/>
  </sheetViews>
  <sheetFormatPr defaultRowHeight="13.2"/>
  <cols>
    <col min="1" max="1" width="9.109375" bestFit="1" customWidth="1"/>
    <col min="2" max="2" width="31.6640625" style="76" customWidth="1"/>
    <col min="3" max="4" width="12.6640625" customWidth="1"/>
    <col min="5" max="5" width="100.6640625" customWidth="1"/>
  </cols>
  <sheetData>
    <row r="1" spans="1:6" ht="13.8" thickBot="1">
      <c r="A1" s="3" t="s">
        <v>1435</v>
      </c>
    </row>
    <row r="2" spans="1:6" s="26" customFormat="1" ht="20.100000000000001" customHeight="1">
      <c r="A2" s="950" t="s">
        <v>2018</v>
      </c>
      <c r="B2" s="951"/>
      <c r="C2" s="951"/>
      <c r="D2" s="951"/>
      <c r="E2" s="952"/>
    </row>
    <row r="3" spans="1:6" ht="48" customHeight="1">
      <c r="A3" s="245" t="s">
        <v>385</v>
      </c>
      <c r="B3" s="140" t="s">
        <v>844</v>
      </c>
      <c r="C3" s="220" t="s">
        <v>914</v>
      </c>
      <c r="D3" s="140" t="s">
        <v>1069</v>
      </c>
      <c r="E3" s="235" t="s">
        <v>1070</v>
      </c>
      <c r="F3" t="s">
        <v>596</v>
      </c>
    </row>
    <row r="4" spans="1:6" ht="20.100000000000001" customHeight="1">
      <c r="A4" s="253"/>
      <c r="B4" s="229" t="s">
        <v>1198</v>
      </c>
      <c r="C4" s="220"/>
      <c r="D4" s="254"/>
      <c r="E4" s="255"/>
    </row>
    <row r="5" spans="1:6" ht="26.4">
      <c r="A5" s="18">
        <v>16.100000000000001</v>
      </c>
      <c r="B5" s="464" t="s">
        <v>1199</v>
      </c>
      <c r="C5" s="465" t="s">
        <v>982</v>
      </c>
      <c r="D5" s="19" t="s">
        <v>989</v>
      </c>
      <c r="E5" s="73" t="s">
        <v>995</v>
      </c>
    </row>
    <row r="6" spans="1:6" ht="26.4">
      <c r="A6" s="18">
        <v>16.2</v>
      </c>
      <c r="B6" s="464" t="s">
        <v>1200</v>
      </c>
      <c r="C6" s="465" t="s">
        <v>326</v>
      </c>
      <c r="D6" s="19" t="s">
        <v>1728</v>
      </c>
      <c r="E6" s="73" t="s">
        <v>997</v>
      </c>
    </row>
    <row r="7" spans="1:6" ht="26.4">
      <c r="A7" s="18">
        <v>16.3</v>
      </c>
      <c r="B7" s="464" t="s">
        <v>1201</v>
      </c>
      <c r="C7" s="465" t="s">
        <v>982</v>
      </c>
      <c r="D7" s="19" t="s">
        <v>593</v>
      </c>
      <c r="E7" s="73" t="s">
        <v>998</v>
      </c>
    </row>
    <row r="8" spans="1:6" ht="39.6">
      <c r="A8" s="18">
        <v>16.399999999999999</v>
      </c>
      <c r="B8" s="464" t="s">
        <v>1202</v>
      </c>
      <c r="C8" s="465" t="s">
        <v>982</v>
      </c>
      <c r="D8" s="19" t="s">
        <v>1730</v>
      </c>
      <c r="E8" s="73" t="s">
        <v>999</v>
      </c>
    </row>
    <row r="9" spans="1:6" ht="39.6">
      <c r="A9" s="18">
        <v>16.5</v>
      </c>
      <c r="B9" s="464" t="s">
        <v>1203</v>
      </c>
      <c r="C9" s="465" t="s">
        <v>982</v>
      </c>
      <c r="D9" s="19" t="s">
        <v>1614</v>
      </c>
      <c r="E9" s="73" t="s">
        <v>286</v>
      </c>
    </row>
    <row r="10" spans="1:6" ht="26.4">
      <c r="A10" s="18">
        <v>16.600000000000001</v>
      </c>
      <c r="B10" s="464" t="s">
        <v>1204</v>
      </c>
      <c r="C10" s="465" t="s">
        <v>982</v>
      </c>
      <c r="D10" s="19" t="s">
        <v>1615</v>
      </c>
      <c r="E10" s="73" t="s">
        <v>287</v>
      </c>
    </row>
    <row r="11" spans="1:6" ht="26.4">
      <c r="A11" s="18">
        <v>16.7</v>
      </c>
      <c r="B11" s="464" t="s">
        <v>1205</v>
      </c>
      <c r="C11" s="465" t="s">
        <v>982</v>
      </c>
      <c r="D11" s="19" t="s">
        <v>535</v>
      </c>
      <c r="E11" s="73" t="s">
        <v>1000</v>
      </c>
    </row>
    <row r="12" spans="1:6" ht="26.4">
      <c r="A12" s="18">
        <v>16.8</v>
      </c>
      <c r="B12" s="464" t="s">
        <v>1206</v>
      </c>
      <c r="C12" s="465" t="s">
        <v>982</v>
      </c>
      <c r="D12" s="19" t="s">
        <v>152</v>
      </c>
      <c r="E12" s="73" t="s">
        <v>674</v>
      </c>
    </row>
    <row r="13" spans="1:6" ht="26.4">
      <c r="A13" s="18">
        <v>16.899999999999999</v>
      </c>
      <c r="B13" s="464" t="s">
        <v>1207</v>
      </c>
      <c r="C13" s="465" t="s">
        <v>1208</v>
      </c>
      <c r="D13" s="19" t="s">
        <v>568</v>
      </c>
      <c r="E13" s="73" t="s">
        <v>675</v>
      </c>
    </row>
    <row r="14" spans="1:6" ht="20.100000000000001" customHeight="1">
      <c r="A14" s="253"/>
      <c r="B14" s="219" t="s">
        <v>1185</v>
      </c>
      <c r="C14" s="220"/>
      <c r="D14" s="220"/>
      <c r="E14" s="247"/>
    </row>
    <row r="15" spans="1:6" ht="52.8">
      <c r="A15" s="28">
        <v>16.100000000000001</v>
      </c>
      <c r="B15" s="464" t="s">
        <v>1209</v>
      </c>
      <c r="C15" s="465" t="s">
        <v>1490</v>
      </c>
      <c r="D15" s="19" t="s">
        <v>637</v>
      </c>
      <c r="E15" s="73" t="s">
        <v>980</v>
      </c>
    </row>
    <row r="16" spans="1:6" ht="52.8">
      <c r="A16" s="28">
        <v>16.11</v>
      </c>
      <c r="B16" s="464" t="s">
        <v>1210</v>
      </c>
      <c r="C16" s="465" t="s">
        <v>1490</v>
      </c>
      <c r="D16" s="19" t="s">
        <v>1511</v>
      </c>
      <c r="E16" s="73" t="s">
        <v>981</v>
      </c>
    </row>
    <row r="17" spans="1:5" ht="52.8">
      <c r="A17" s="28">
        <v>16.12</v>
      </c>
      <c r="B17" s="464" t="s">
        <v>1211</v>
      </c>
      <c r="C17" s="465" t="s">
        <v>1490</v>
      </c>
      <c r="D17" s="19" t="s">
        <v>1511</v>
      </c>
      <c r="E17" s="73" t="s">
        <v>484</v>
      </c>
    </row>
    <row r="18" spans="1:5" ht="20.100000000000001" customHeight="1">
      <c r="A18" s="253"/>
      <c r="B18" s="229" t="s">
        <v>1212</v>
      </c>
      <c r="C18" s="220"/>
      <c r="D18" s="220"/>
      <c r="E18" s="243"/>
    </row>
    <row r="19" spans="1:5" ht="52.8">
      <c r="A19" s="28">
        <v>16.13</v>
      </c>
      <c r="B19" s="464" t="s">
        <v>1213</v>
      </c>
      <c r="C19" s="465" t="s">
        <v>1490</v>
      </c>
      <c r="D19" s="19" t="s">
        <v>1616</v>
      </c>
      <c r="E19" s="73" t="s">
        <v>1125</v>
      </c>
    </row>
    <row r="20" spans="1:5" ht="20.100000000000001" customHeight="1">
      <c r="A20" s="253"/>
      <c r="B20" s="219" t="s">
        <v>1214</v>
      </c>
      <c r="C20" s="220"/>
      <c r="D20" s="220"/>
      <c r="E20" s="243"/>
    </row>
    <row r="21" spans="1:5">
      <c r="A21" s="28">
        <v>16.14</v>
      </c>
      <c r="B21" s="464" t="s">
        <v>1215</v>
      </c>
      <c r="C21" s="465" t="s">
        <v>1490</v>
      </c>
      <c r="D21" s="19" t="s">
        <v>639</v>
      </c>
      <c r="E21" s="73" t="s">
        <v>1126</v>
      </c>
    </row>
    <row r="22" spans="1:5" ht="39.6">
      <c r="A22" s="28">
        <v>16.149999999999999</v>
      </c>
      <c r="B22" s="464" t="s">
        <v>1216</v>
      </c>
      <c r="C22" s="465" t="s">
        <v>1490</v>
      </c>
      <c r="D22" s="19" t="s">
        <v>902</v>
      </c>
      <c r="E22" s="250" t="s">
        <v>1140</v>
      </c>
    </row>
    <row r="23" spans="1:5" ht="26.4">
      <c r="A23" s="28">
        <v>16.16</v>
      </c>
      <c r="B23" s="464" t="s">
        <v>1217</v>
      </c>
      <c r="C23" s="465" t="s">
        <v>1490</v>
      </c>
      <c r="D23" s="19" t="s">
        <v>902</v>
      </c>
      <c r="E23" s="73" t="s">
        <v>1640</v>
      </c>
    </row>
    <row r="24" spans="1:5" ht="26.4">
      <c r="A24" s="28">
        <v>16.170000000000002</v>
      </c>
      <c r="B24" s="464" t="s">
        <v>1218</v>
      </c>
      <c r="C24" s="465" t="s">
        <v>1490</v>
      </c>
      <c r="D24" s="19" t="s">
        <v>643</v>
      </c>
      <c r="E24" s="73" t="s">
        <v>1641</v>
      </c>
    </row>
    <row r="25" spans="1:5" ht="26.4">
      <c r="A25" s="28">
        <v>16.18</v>
      </c>
      <c r="B25" s="464" t="s">
        <v>1219</v>
      </c>
      <c r="C25" s="465" t="s">
        <v>1490</v>
      </c>
      <c r="D25" s="19" t="s">
        <v>534</v>
      </c>
      <c r="E25" s="73" t="s">
        <v>1141</v>
      </c>
    </row>
    <row r="26" spans="1:5" ht="26.4">
      <c r="A26" s="28">
        <v>16.190000000000001</v>
      </c>
      <c r="B26" s="464" t="s">
        <v>1220</v>
      </c>
      <c r="C26" s="465" t="s">
        <v>1490</v>
      </c>
      <c r="D26" s="19" t="s">
        <v>1727</v>
      </c>
      <c r="E26" s="32" t="s">
        <v>1807</v>
      </c>
    </row>
    <row r="27" spans="1:5" ht="66">
      <c r="A27" s="28">
        <v>16.2</v>
      </c>
      <c r="B27" s="464" t="s">
        <v>222</v>
      </c>
      <c r="C27" s="465" t="s">
        <v>1490</v>
      </c>
      <c r="D27" s="19" t="s">
        <v>152</v>
      </c>
      <c r="E27" s="122" t="s">
        <v>1974</v>
      </c>
    </row>
    <row r="28" spans="1:5" ht="20.100000000000001" customHeight="1">
      <c r="A28" s="253"/>
      <c r="B28" s="229" t="s">
        <v>1221</v>
      </c>
      <c r="C28" s="220"/>
      <c r="D28" s="209"/>
      <c r="E28" s="243"/>
    </row>
    <row r="29" spans="1:5" ht="26.4">
      <c r="A29" s="28">
        <v>16.21</v>
      </c>
      <c r="B29" s="464" t="s">
        <v>1222</v>
      </c>
      <c r="C29" s="465" t="s">
        <v>982</v>
      </c>
      <c r="D29" s="19" t="s">
        <v>1617</v>
      </c>
      <c r="E29" s="32" t="s">
        <v>1806</v>
      </c>
    </row>
    <row r="30" spans="1:5" ht="20.100000000000001" customHeight="1">
      <c r="A30" s="28">
        <v>16.22</v>
      </c>
      <c r="B30" s="464" t="s">
        <v>1223</v>
      </c>
      <c r="C30" s="465" t="s">
        <v>982</v>
      </c>
      <c r="D30" s="19" t="s">
        <v>633</v>
      </c>
      <c r="E30" s="32" t="s">
        <v>1805</v>
      </c>
    </row>
    <row r="31" spans="1:5" ht="26.4">
      <c r="A31" s="28">
        <v>16.23</v>
      </c>
      <c r="B31" s="464" t="s">
        <v>1224</v>
      </c>
      <c r="C31" s="465" t="s">
        <v>982</v>
      </c>
      <c r="D31" s="19" t="s">
        <v>744</v>
      </c>
      <c r="E31" s="32" t="s">
        <v>1629</v>
      </c>
    </row>
    <row r="32" spans="1:5" ht="26.4">
      <c r="A32" s="28">
        <v>16.239999999999998</v>
      </c>
      <c r="B32" s="464" t="s">
        <v>1225</v>
      </c>
      <c r="C32" s="465" t="s">
        <v>982</v>
      </c>
      <c r="D32" s="19" t="s">
        <v>1731</v>
      </c>
      <c r="E32" s="32" t="s">
        <v>1804</v>
      </c>
    </row>
    <row r="33" spans="1:5" ht="39.6">
      <c r="A33" s="28">
        <v>16.25</v>
      </c>
      <c r="B33" s="464" t="s">
        <v>1573</v>
      </c>
      <c r="C33" s="465" t="s">
        <v>982</v>
      </c>
      <c r="D33" s="19" t="s">
        <v>1731</v>
      </c>
      <c r="E33" s="32" t="s">
        <v>1803</v>
      </c>
    </row>
    <row r="34" spans="1:5" ht="26.4">
      <c r="A34" s="28">
        <v>16.260000000000002</v>
      </c>
      <c r="B34" s="464" t="s">
        <v>1574</v>
      </c>
      <c r="C34" s="465" t="s">
        <v>982</v>
      </c>
      <c r="D34" s="19" t="s">
        <v>152</v>
      </c>
      <c r="E34" s="32" t="s">
        <v>1630</v>
      </c>
    </row>
    <row r="35" spans="1:5" ht="26.4">
      <c r="A35" s="28">
        <v>16.27</v>
      </c>
      <c r="B35" s="464" t="s">
        <v>1575</v>
      </c>
      <c r="C35" s="465" t="s">
        <v>982</v>
      </c>
      <c r="D35" s="19" t="s">
        <v>1731</v>
      </c>
      <c r="E35" s="32" t="s">
        <v>1802</v>
      </c>
    </row>
    <row r="36" spans="1:5" ht="26.4">
      <c r="A36" s="28">
        <v>16.28</v>
      </c>
      <c r="B36" s="464" t="s">
        <v>1576</v>
      </c>
      <c r="C36" s="465" t="s">
        <v>982</v>
      </c>
      <c r="D36" s="19" t="s">
        <v>1731</v>
      </c>
      <c r="E36" s="32" t="s">
        <v>1801</v>
      </c>
    </row>
    <row r="37" spans="1:5" ht="26.4">
      <c r="A37" s="28">
        <v>16.29</v>
      </c>
      <c r="B37" s="464" t="s">
        <v>1577</v>
      </c>
      <c r="C37" s="465" t="s">
        <v>982</v>
      </c>
      <c r="D37" s="19" t="s">
        <v>986</v>
      </c>
      <c r="E37" s="79" t="s">
        <v>1800</v>
      </c>
    </row>
    <row r="38" spans="1:5" ht="26.4">
      <c r="A38" s="28">
        <v>16.3</v>
      </c>
      <c r="B38" s="464" t="s">
        <v>1578</v>
      </c>
      <c r="C38" s="465" t="s">
        <v>982</v>
      </c>
      <c r="D38" s="19" t="s">
        <v>1618</v>
      </c>
      <c r="E38" s="32" t="s">
        <v>1799</v>
      </c>
    </row>
    <row r="39" spans="1:5" ht="26.4">
      <c r="A39" s="28">
        <v>16.309999999999999</v>
      </c>
      <c r="B39" s="464" t="s">
        <v>1579</v>
      </c>
      <c r="C39" s="465" t="s">
        <v>982</v>
      </c>
      <c r="D39" s="19" t="s">
        <v>634</v>
      </c>
      <c r="E39" s="32" t="s">
        <v>1798</v>
      </c>
    </row>
    <row r="40" spans="1:5" ht="26.4">
      <c r="A40" s="28">
        <v>16.32</v>
      </c>
      <c r="B40" s="464" t="s">
        <v>1580</v>
      </c>
      <c r="C40" s="465" t="s">
        <v>982</v>
      </c>
      <c r="D40" s="19" t="s">
        <v>1729</v>
      </c>
      <c r="E40" s="32" t="s">
        <v>1797</v>
      </c>
    </row>
    <row r="41" spans="1:5" ht="26.4">
      <c r="A41" s="28">
        <v>16.329999999999998</v>
      </c>
      <c r="B41" s="464" t="s">
        <v>1581</v>
      </c>
      <c r="C41" s="465" t="s">
        <v>982</v>
      </c>
      <c r="D41" s="19" t="s">
        <v>164</v>
      </c>
      <c r="E41" s="32" t="s">
        <v>1526</v>
      </c>
    </row>
    <row r="42" spans="1:5" ht="26.4">
      <c r="A42" s="28">
        <v>16.34</v>
      </c>
      <c r="B42" s="464" t="s">
        <v>1582</v>
      </c>
      <c r="C42" s="465" t="s">
        <v>982</v>
      </c>
      <c r="D42" s="19" t="s">
        <v>865</v>
      </c>
      <c r="E42" s="32" t="s">
        <v>1796</v>
      </c>
    </row>
    <row r="43" spans="1:5" ht="26.4">
      <c r="A43" s="28">
        <v>16.350000000000001</v>
      </c>
      <c r="B43" s="464" t="s">
        <v>1583</v>
      </c>
      <c r="C43" s="465" t="s">
        <v>982</v>
      </c>
      <c r="D43" s="19" t="s">
        <v>569</v>
      </c>
      <c r="E43" s="32" t="s">
        <v>1527</v>
      </c>
    </row>
    <row r="44" spans="1:5" ht="26.4">
      <c r="A44" s="28">
        <v>16.36</v>
      </c>
      <c r="B44" s="464" t="s">
        <v>1584</v>
      </c>
      <c r="C44" s="465" t="s">
        <v>982</v>
      </c>
      <c r="D44" s="19" t="s">
        <v>1511</v>
      </c>
      <c r="E44" s="32" t="s">
        <v>1795</v>
      </c>
    </row>
    <row r="45" spans="1:5" ht="26.4">
      <c r="A45" s="28">
        <v>16.37</v>
      </c>
      <c r="B45" s="464" t="s">
        <v>1585</v>
      </c>
      <c r="C45" s="465" t="s">
        <v>982</v>
      </c>
      <c r="D45" s="11" t="s">
        <v>1728</v>
      </c>
      <c r="E45" s="34" t="s">
        <v>1794</v>
      </c>
    </row>
    <row r="46" spans="1:5" ht="26.4">
      <c r="A46" s="28">
        <v>16.38</v>
      </c>
      <c r="B46" s="464" t="s">
        <v>1586</v>
      </c>
      <c r="C46" s="465" t="s">
        <v>982</v>
      </c>
      <c r="D46" s="19" t="s">
        <v>1619</v>
      </c>
      <c r="E46" s="32" t="s">
        <v>1793</v>
      </c>
    </row>
    <row r="47" spans="1:5" ht="20.100000000000001" customHeight="1">
      <c r="A47" s="253"/>
      <c r="B47" s="229" t="s">
        <v>1587</v>
      </c>
      <c r="C47" s="220"/>
      <c r="D47" s="209"/>
      <c r="E47" s="243"/>
    </row>
    <row r="48" spans="1:5" ht="26.4">
      <c r="A48" s="28">
        <v>16.39</v>
      </c>
      <c r="B48" s="464" t="s">
        <v>1588</v>
      </c>
      <c r="C48" s="465" t="s">
        <v>1490</v>
      </c>
      <c r="D48" s="19" t="s">
        <v>795</v>
      </c>
      <c r="E48" s="73" t="s">
        <v>1745</v>
      </c>
    </row>
    <row r="49" spans="1:5">
      <c r="A49" s="28">
        <v>16.399999999999999</v>
      </c>
      <c r="B49" s="464" t="s">
        <v>1589</v>
      </c>
      <c r="C49" s="465" t="s">
        <v>1490</v>
      </c>
      <c r="D49" s="19" t="s">
        <v>633</v>
      </c>
      <c r="E49" s="32" t="s">
        <v>453</v>
      </c>
    </row>
    <row r="50" spans="1:5" ht="26.4">
      <c r="A50" s="28">
        <v>16.41</v>
      </c>
      <c r="B50" s="464" t="s">
        <v>1237</v>
      </c>
      <c r="C50" s="465" t="s">
        <v>1490</v>
      </c>
      <c r="D50" s="19" t="s">
        <v>744</v>
      </c>
      <c r="E50" s="32" t="s">
        <v>1792</v>
      </c>
    </row>
    <row r="51" spans="1:5" ht="39.6">
      <c r="A51" s="28">
        <v>16.420000000000002</v>
      </c>
      <c r="B51" s="464" t="s">
        <v>1590</v>
      </c>
      <c r="C51" s="465" t="s">
        <v>1490</v>
      </c>
      <c r="D51" s="19" t="s">
        <v>1731</v>
      </c>
      <c r="E51" s="32" t="s">
        <v>1791</v>
      </c>
    </row>
    <row r="52" spans="1:5" ht="26.4">
      <c r="A52" s="28">
        <v>16.43</v>
      </c>
      <c r="B52" s="464" t="s">
        <v>1591</v>
      </c>
      <c r="C52" s="465" t="s">
        <v>1490</v>
      </c>
      <c r="D52" s="19" t="s">
        <v>795</v>
      </c>
      <c r="E52" s="32" t="s">
        <v>1790</v>
      </c>
    </row>
    <row r="53" spans="1:5" ht="26.4">
      <c r="A53" s="28">
        <v>16.440000000000001</v>
      </c>
      <c r="B53" s="464" t="s">
        <v>1238</v>
      </c>
      <c r="C53" s="465" t="s">
        <v>1490</v>
      </c>
      <c r="D53" s="19" t="s">
        <v>1620</v>
      </c>
      <c r="E53" s="32" t="s">
        <v>1789</v>
      </c>
    </row>
    <row r="54" spans="1:5" ht="26.4">
      <c r="A54" s="28">
        <v>16.45</v>
      </c>
      <c r="B54" s="464" t="s">
        <v>1592</v>
      </c>
      <c r="C54" s="465" t="s">
        <v>1490</v>
      </c>
      <c r="D54" s="19" t="s">
        <v>1621</v>
      </c>
      <c r="E54" s="32" t="s">
        <v>1313</v>
      </c>
    </row>
    <row r="55" spans="1:5" ht="26.4">
      <c r="A55" s="28">
        <v>16.46</v>
      </c>
      <c r="B55" s="464" t="s">
        <v>1593</v>
      </c>
      <c r="C55" s="465" t="s">
        <v>1490</v>
      </c>
      <c r="D55" s="19" t="s">
        <v>795</v>
      </c>
      <c r="E55" s="32" t="s">
        <v>1314</v>
      </c>
    </row>
    <row r="56" spans="1:5" ht="26.4">
      <c r="A56" s="28">
        <v>16.47</v>
      </c>
      <c r="B56" s="464" t="s">
        <v>1594</v>
      </c>
      <c r="C56" s="465" t="s">
        <v>1490</v>
      </c>
      <c r="D56" s="19" t="s">
        <v>902</v>
      </c>
      <c r="E56" s="32" t="s">
        <v>1315</v>
      </c>
    </row>
    <row r="57" spans="1:5" ht="26.4">
      <c r="A57" s="28">
        <v>16.48</v>
      </c>
      <c r="B57" s="464" t="s">
        <v>1737</v>
      </c>
      <c r="C57" s="465" t="s">
        <v>1490</v>
      </c>
      <c r="D57" s="19" t="s">
        <v>1511</v>
      </c>
      <c r="E57" s="32" t="s">
        <v>1316</v>
      </c>
    </row>
    <row r="58" spans="1:5" ht="26.4">
      <c r="A58" s="28">
        <v>16.489999999999998</v>
      </c>
      <c r="B58" s="464" t="s">
        <v>1738</v>
      </c>
      <c r="C58" s="465" t="s">
        <v>1490</v>
      </c>
      <c r="D58" s="19" t="s">
        <v>902</v>
      </c>
      <c r="E58" s="32" t="s">
        <v>1317</v>
      </c>
    </row>
    <row r="59" spans="1:5" ht="26.4">
      <c r="A59" s="28">
        <v>16.5</v>
      </c>
      <c r="B59" s="464" t="s">
        <v>1739</v>
      </c>
      <c r="C59" s="465" t="s">
        <v>1490</v>
      </c>
      <c r="D59" s="19" t="s">
        <v>902</v>
      </c>
      <c r="E59" s="32" t="s">
        <v>1318</v>
      </c>
    </row>
    <row r="60" spans="1:5" ht="26.4">
      <c r="A60" s="28">
        <v>16.510000000000002</v>
      </c>
      <c r="B60" s="464" t="s">
        <v>1552</v>
      </c>
      <c r="C60" s="465" t="s">
        <v>1490</v>
      </c>
      <c r="D60" s="19" t="s">
        <v>1620</v>
      </c>
      <c r="E60" s="32" t="s">
        <v>1412</v>
      </c>
    </row>
    <row r="61" spans="1:5" ht="26.4">
      <c r="A61" s="28">
        <v>16.52</v>
      </c>
      <c r="B61" s="464" t="s">
        <v>1553</v>
      </c>
      <c r="C61" s="465" t="s">
        <v>1490</v>
      </c>
      <c r="D61" s="19" t="s">
        <v>1620</v>
      </c>
      <c r="E61" s="32" t="s">
        <v>1413</v>
      </c>
    </row>
    <row r="62" spans="1:5" ht="26.4">
      <c r="A62" s="28">
        <v>16.53</v>
      </c>
      <c r="B62" s="464" t="s">
        <v>1554</v>
      </c>
      <c r="C62" s="465" t="s">
        <v>1490</v>
      </c>
      <c r="D62" s="19" t="s">
        <v>744</v>
      </c>
      <c r="E62" s="32" t="s">
        <v>664</v>
      </c>
    </row>
    <row r="63" spans="1:5" ht="26.4">
      <c r="A63" s="28">
        <v>16.54</v>
      </c>
      <c r="B63" s="464" t="s">
        <v>1555</v>
      </c>
      <c r="C63" s="465" t="s">
        <v>1490</v>
      </c>
      <c r="D63" s="19" t="s">
        <v>902</v>
      </c>
      <c r="E63" s="32" t="s">
        <v>676</v>
      </c>
    </row>
    <row r="64" spans="1:5" ht="26.4">
      <c r="A64" s="28">
        <v>16.55</v>
      </c>
      <c r="B64" s="106" t="s">
        <v>1556</v>
      </c>
      <c r="C64" s="465" t="s">
        <v>1490</v>
      </c>
      <c r="D64" s="19" t="s">
        <v>1731</v>
      </c>
      <c r="E64" s="122" t="s">
        <v>2432</v>
      </c>
    </row>
    <row r="65" spans="1:5" ht="26.4">
      <c r="A65" s="28">
        <v>16.559999999999999</v>
      </c>
      <c r="B65" s="464" t="s">
        <v>1557</v>
      </c>
      <c r="C65" s="465" t="s">
        <v>1490</v>
      </c>
      <c r="D65" s="19" t="s">
        <v>593</v>
      </c>
      <c r="E65" s="32" t="s">
        <v>677</v>
      </c>
    </row>
    <row r="66" spans="1:5">
      <c r="A66" s="28">
        <v>16.57</v>
      </c>
      <c r="B66" s="464" t="s">
        <v>1558</v>
      </c>
      <c r="C66" s="465" t="s">
        <v>1490</v>
      </c>
      <c r="D66" s="19" t="s">
        <v>570</v>
      </c>
      <c r="E66" s="32" t="s">
        <v>678</v>
      </c>
    </row>
    <row r="67" spans="1:5" ht="26.4">
      <c r="A67" s="28">
        <v>16.579999999999998</v>
      </c>
      <c r="B67" s="464" t="s">
        <v>1559</v>
      </c>
      <c r="C67" s="465" t="s">
        <v>1490</v>
      </c>
      <c r="D67" s="19" t="s">
        <v>795</v>
      </c>
      <c r="E67" s="32" t="s">
        <v>1788</v>
      </c>
    </row>
    <row r="68" spans="1:5" ht="26.4">
      <c r="A68" s="28">
        <v>16.59</v>
      </c>
      <c r="B68" s="464" t="s">
        <v>1560</v>
      </c>
      <c r="C68" s="465" t="s">
        <v>1490</v>
      </c>
      <c r="D68" s="19" t="s">
        <v>645</v>
      </c>
      <c r="E68" s="32" t="s">
        <v>1383</v>
      </c>
    </row>
    <row r="69" spans="1:5" ht="20.100000000000001" customHeight="1">
      <c r="A69" s="253"/>
      <c r="B69" s="229" t="s">
        <v>1561</v>
      </c>
      <c r="C69" s="220"/>
      <c r="D69" s="209"/>
      <c r="E69" s="243"/>
    </row>
    <row r="70" spans="1:5" ht="26.4">
      <c r="A70" s="28">
        <v>16.600000000000001</v>
      </c>
      <c r="B70" s="464" t="s">
        <v>1562</v>
      </c>
      <c r="C70" s="465" t="s">
        <v>982</v>
      </c>
      <c r="D70" s="19" t="s">
        <v>1731</v>
      </c>
      <c r="E70" s="32" t="s">
        <v>1384</v>
      </c>
    </row>
    <row r="71" spans="1:5" ht="26.4">
      <c r="A71" s="28">
        <v>16.61</v>
      </c>
      <c r="B71" s="464" t="s">
        <v>1563</v>
      </c>
      <c r="C71" s="465" t="s">
        <v>982</v>
      </c>
      <c r="D71" s="19" t="s">
        <v>1622</v>
      </c>
      <c r="E71" s="32" t="s">
        <v>665</v>
      </c>
    </row>
    <row r="72" spans="1:5" ht="26.4">
      <c r="A72" s="28">
        <v>16.62</v>
      </c>
      <c r="B72" s="464" t="s">
        <v>1564</v>
      </c>
      <c r="C72" s="465" t="s">
        <v>982</v>
      </c>
      <c r="D72" s="19" t="s">
        <v>1623</v>
      </c>
      <c r="E72" s="32" t="s">
        <v>1385</v>
      </c>
    </row>
    <row r="73" spans="1:5" ht="26.4">
      <c r="A73" s="28">
        <v>16.63</v>
      </c>
      <c r="B73" s="464" t="s">
        <v>1565</v>
      </c>
      <c r="C73" s="465" t="s">
        <v>982</v>
      </c>
      <c r="D73" s="19" t="s">
        <v>745</v>
      </c>
      <c r="E73" s="32" t="s">
        <v>1386</v>
      </c>
    </row>
    <row r="74" spans="1:5" ht="20.100000000000001" customHeight="1">
      <c r="A74" s="253"/>
      <c r="B74" s="229" t="s">
        <v>1566</v>
      </c>
      <c r="C74" s="220"/>
      <c r="D74" s="209"/>
      <c r="E74" s="243"/>
    </row>
    <row r="75" spans="1:5" ht="26.4">
      <c r="A75" s="28">
        <v>16.64</v>
      </c>
      <c r="B75" s="464" t="s">
        <v>1597</v>
      </c>
      <c r="C75" s="465" t="s">
        <v>982</v>
      </c>
      <c r="D75" s="19" t="s">
        <v>1723</v>
      </c>
      <c r="E75" s="32" t="s">
        <v>1387</v>
      </c>
    </row>
    <row r="76" spans="1:5" ht="26.4">
      <c r="A76" s="28">
        <v>16.649999999999999</v>
      </c>
      <c r="B76" s="464" t="s">
        <v>1598</v>
      </c>
      <c r="C76" s="465" t="s">
        <v>982</v>
      </c>
      <c r="D76" s="19" t="s">
        <v>865</v>
      </c>
      <c r="E76" s="32" t="s">
        <v>1754</v>
      </c>
    </row>
    <row r="77" spans="1:5" ht="26.4">
      <c r="A77" s="975">
        <v>16.66</v>
      </c>
      <c r="B77" s="960" t="s">
        <v>1599</v>
      </c>
      <c r="C77" s="961" t="s">
        <v>982</v>
      </c>
      <c r="D77" s="19" t="s">
        <v>644</v>
      </c>
      <c r="E77" s="32" t="s">
        <v>1787</v>
      </c>
    </row>
    <row r="78" spans="1:5" ht="39.6">
      <c r="A78" s="975"/>
      <c r="B78" s="960"/>
      <c r="C78" s="961"/>
      <c r="D78" s="19" t="s">
        <v>1330</v>
      </c>
      <c r="E78" s="32" t="s">
        <v>1304</v>
      </c>
    </row>
    <row r="79" spans="1:5" ht="26.4">
      <c r="A79" s="28">
        <v>16.670000000000002</v>
      </c>
      <c r="B79" s="464" t="s">
        <v>1600</v>
      </c>
      <c r="C79" s="465" t="s">
        <v>982</v>
      </c>
      <c r="D79" s="19" t="s">
        <v>1721</v>
      </c>
      <c r="E79" s="32" t="s">
        <v>1451</v>
      </c>
    </row>
    <row r="80" spans="1:5" ht="20.100000000000001" customHeight="1">
      <c r="A80" s="253"/>
      <c r="B80" s="229" t="s">
        <v>1601</v>
      </c>
      <c r="C80" s="220"/>
      <c r="D80" s="254"/>
      <c r="E80" s="243"/>
    </row>
    <row r="81" spans="1:5" ht="26.4">
      <c r="A81" s="28">
        <v>16.68</v>
      </c>
      <c r="B81" s="464" t="s">
        <v>1602</v>
      </c>
      <c r="C81" s="465" t="s">
        <v>982</v>
      </c>
      <c r="D81" s="19" t="s">
        <v>1624</v>
      </c>
      <c r="E81" s="32" t="s">
        <v>996</v>
      </c>
    </row>
    <row r="82" spans="1:5" ht="20.100000000000001" customHeight="1">
      <c r="A82" s="253"/>
      <c r="B82" s="229" t="s">
        <v>1603</v>
      </c>
      <c r="C82" s="220"/>
      <c r="D82" s="254"/>
      <c r="E82" s="243"/>
    </row>
    <row r="83" spans="1:5" ht="26.4">
      <c r="A83" s="28">
        <v>16.690000000000001</v>
      </c>
      <c r="B83" s="464" t="s">
        <v>1604</v>
      </c>
      <c r="C83" s="465" t="s">
        <v>1490</v>
      </c>
      <c r="D83" s="19" t="s">
        <v>647</v>
      </c>
      <c r="E83" s="32" t="s">
        <v>38</v>
      </c>
    </row>
    <row r="84" spans="1:5" ht="26.4">
      <c r="A84" s="28">
        <v>16.7</v>
      </c>
      <c r="B84" s="464" t="s">
        <v>1605</v>
      </c>
      <c r="C84" s="465" t="s">
        <v>1490</v>
      </c>
      <c r="D84" s="19" t="s">
        <v>902</v>
      </c>
      <c r="E84" s="32" t="s">
        <v>1051</v>
      </c>
    </row>
    <row r="85" spans="1:5" ht="26.4">
      <c r="A85" s="28">
        <v>16.71</v>
      </c>
      <c r="B85" s="464" t="s">
        <v>1606</v>
      </c>
      <c r="C85" s="465" t="s">
        <v>1490</v>
      </c>
      <c r="D85" s="19" t="s">
        <v>902</v>
      </c>
      <c r="E85" s="32" t="s">
        <v>1786</v>
      </c>
    </row>
    <row r="86" spans="1:5" ht="26.4">
      <c r="A86" s="28">
        <v>16.72</v>
      </c>
      <c r="B86" s="464" t="s">
        <v>1563</v>
      </c>
      <c r="C86" s="465" t="s">
        <v>1490</v>
      </c>
      <c r="D86" s="19" t="s">
        <v>647</v>
      </c>
      <c r="E86" s="32" t="s">
        <v>1052</v>
      </c>
    </row>
    <row r="87" spans="1:5" ht="26.4">
      <c r="A87" s="975">
        <v>16.73</v>
      </c>
      <c r="B87" s="960" t="s">
        <v>1607</v>
      </c>
      <c r="C87" s="961" t="s">
        <v>1490</v>
      </c>
      <c r="D87" s="19" t="s">
        <v>647</v>
      </c>
      <c r="E87" s="32" t="s">
        <v>1053</v>
      </c>
    </row>
    <row r="88" spans="1:5" ht="26.4">
      <c r="A88" s="975"/>
      <c r="B88" s="960"/>
      <c r="C88" s="961"/>
      <c r="D88" s="19" t="s">
        <v>1625</v>
      </c>
      <c r="E88" s="32" t="s">
        <v>1101</v>
      </c>
    </row>
    <row r="89" spans="1:5" ht="26.4">
      <c r="A89" s="28">
        <v>16.739999999999998</v>
      </c>
      <c r="B89" s="464" t="s">
        <v>1564</v>
      </c>
      <c r="C89" s="465" t="s">
        <v>1490</v>
      </c>
      <c r="D89" s="19" t="s">
        <v>647</v>
      </c>
      <c r="E89" s="32" t="s">
        <v>75</v>
      </c>
    </row>
    <row r="90" spans="1:5" ht="20.100000000000001" customHeight="1">
      <c r="A90" s="253"/>
      <c r="B90" s="229" t="s">
        <v>1608</v>
      </c>
      <c r="C90" s="220"/>
      <c r="D90" s="254"/>
      <c r="E90" s="243"/>
    </row>
    <row r="91" spans="1:5" ht="26.4">
      <c r="A91" s="28">
        <v>16.75</v>
      </c>
      <c r="B91" s="464" t="s">
        <v>1609</v>
      </c>
      <c r="C91" s="465" t="s">
        <v>982</v>
      </c>
      <c r="D91" s="19" t="s">
        <v>647</v>
      </c>
      <c r="E91" s="32" t="s">
        <v>76</v>
      </c>
    </row>
    <row r="92" spans="1:5" ht="26.4">
      <c r="A92" s="28">
        <v>16.760000000000002</v>
      </c>
      <c r="B92" s="464" t="s">
        <v>1610</v>
      </c>
      <c r="C92" s="465" t="s">
        <v>982</v>
      </c>
      <c r="D92" s="19" t="s">
        <v>1626</v>
      </c>
      <c r="E92" s="32" t="s">
        <v>1164</v>
      </c>
    </row>
    <row r="93" spans="1:5" ht="20.100000000000001" customHeight="1">
      <c r="A93" s="28">
        <v>16.77</v>
      </c>
      <c r="B93" s="464" t="s">
        <v>1611</v>
      </c>
      <c r="C93" s="465" t="s">
        <v>982</v>
      </c>
      <c r="D93" s="19" t="s">
        <v>989</v>
      </c>
      <c r="E93" s="32" t="s">
        <v>1100</v>
      </c>
    </row>
    <row r="94" spans="1:5" ht="20.100000000000001" customHeight="1">
      <c r="A94" s="28">
        <v>16.78</v>
      </c>
      <c r="B94" s="464" t="s">
        <v>1012</v>
      </c>
      <c r="C94" s="465" t="s">
        <v>982</v>
      </c>
      <c r="D94" s="19" t="s">
        <v>1627</v>
      </c>
      <c r="E94" s="32" t="s">
        <v>255</v>
      </c>
    </row>
    <row r="95" spans="1:5" ht="20.100000000000001" customHeight="1">
      <c r="A95" s="28">
        <v>16.79</v>
      </c>
      <c r="B95" s="464" t="s">
        <v>1013</v>
      </c>
      <c r="C95" s="465" t="s">
        <v>982</v>
      </c>
      <c r="D95" s="19" t="s">
        <v>1628</v>
      </c>
      <c r="E95" s="32" t="s">
        <v>256</v>
      </c>
    </row>
    <row r="96" spans="1:5">
      <c r="A96" s="28">
        <v>16.8</v>
      </c>
      <c r="B96" s="464" t="s">
        <v>1014</v>
      </c>
      <c r="C96" s="465" t="s">
        <v>982</v>
      </c>
      <c r="D96" s="19" t="s">
        <v>990</v>
      </c>
      <c r="E96" s="32" t="s">
        <v>542</v>
      </c>
    </row>
    <row r="97" spans="1:5" ht="26.4">
      <c r="A97" s="28">
        <v>16.809999999999999</v>
      </c>
      <c r="B97" s="464" t="s">
        <v>1015</v>
      </c>
      <c r="C97" s="465" t="s">
        <v>982</v>
      </c>
      <c r="D97" s="19" t="s">
        <v>744</v>
      </c>
      <c r="E97" s="32" t="s">
        <v>543</v>
      </c>
    </row>
    <row r="98" spans="1:5" ht="20.100000000000001" customHeight="1">
      <c r="A98" s="253"/>
      <c r="B98" s="229" t="s">
        <v>1016</v>
      </c>
      <c r="C98" s="220"/>
      <c r="D98" s="254"/>
      <c r="E98" s="243"/>
    </row>
    <row r="99" spans="1:5" ht="26.4">
      <c r="A99" s="28">
        <v>16.82</v>
      </c>
      <c r="B99" s="464" t="s">
        <v>1017</v>
      </c>
      <c r="C99" s="465" t="s">
        <v>1490</v>
      </c>
      <c r="D99" s="19" t="s">
        <v>795</v>
      </c>
      <c r="E99" s="32" t="s">
        <v>544</v>
      </c>
    </row>
    <row r="100" spans="1:5">
      <c r="A100" s="28">
        <v>16.829999999999998</v>
      </c>
      <c r="B100" s="464" t="s">
        <v>1018</v>
      </c>
      <c r="C100" s="465" t="s">
        <v>1490</v>
      </c>
      <c r="D100" s="19" t="s">
        <v>991</v>
      </c>
      <c r="E100" s="32" t="s">
        <v>74</v>
      </c>
    </row>
    <row r="101" spans="1:5" ht="26.4">
      <c r="A101" s="28">
        <v>16.84</v>
      </c>
      <c r="B101" s="464" t="s">
        <v>1019</v>
      </c>
      <c r="C101" s="465" t="s">
        <v>1490</v>
      </c>
      <c r="D101" s="19" t="s">
        <v>744</v>
      </c>
      <c r="E101" s="32" t="s">
        <v>1357</v>
      </c>
    </row>
    <row r="102" spans="1:5" ht="26.4">
      <c r="A102" s="28">
        <v>16.850000000000001</v>
      </c>
      <c r="B102" s="464" t="s">
        <v>36</v>
      </c>
      <c r="C102" s="465" t="s">
        <v>1490</v>
      </c>
      <c r="D102" s="19" t="s">
        <v>645</v>
      </c>
      <c r="E102" s="32" t="s">
        <v>1358</v>
      </c>
    </row>
    <row r="103" spans="1:5" ht="26.4">
      <c r="A103" s="28">
        <v>16.86</v>
      </c>
      <c r="B103" s="464" t="s">
        <v>1020</v>
      </c>
      <c r="C103" s="465" t="s">
        <v>1490</v>
      </c>
      <c r="D103" s="19" t="s">
        <v>992</v>
      </c>
      <c r="E103" s="32" t="s">
        <v>1359</v>
      </c>
    </row>
    <row r="104" spans="1:5" ht="20.100000000000001" customHeight="1">
      <c r="A104" s="28">
        <v>16.87</v>
      </c>
      <c r="B104" s="464" t="s">
        <v>1021</v>
      </c>
      <c r="C104" s="465" t="s">
        <v>1490</v>
      </c>
      <c r="D104" s="19" t="s">
        <v>744</v>
      </c>
      <c r="E104" s="32" t="s">
        <v>974</v>
      </c>
    </row>
    <row r="105" spans="1:5" ht="20.100000000000001" customHeight="1">
      <c r="A105" s="28">
        <v>16.88</v>
      </c>
      <c r="B105" s="464" t="s">
        <v>1022</v>
      </c>
      <c r="C105" s="465" t="s">
        <v>1490</v>
      </c>
      <c r="D105" s="19" t="s">
        <v>902</v>
      </c>
      <c r="E105" s="32" t="s">
        <v>975</v>
      </c>
    </row>
    <row r="106" spans="1:5" ht="20.100000000000001" customHeight="1">
      <c r="A106" s="28">
        <v>16.89</v>
      </c>
      <c r="B106" s="464" t="s">
        <v>1023</v>
      </c>
      <c r="C106" s="465" t="s">
        <v>1490</v>
      </c>
      <c r="D106" s="19" t="s">
        <v>902</v>
      </c>
      <c r="E106" s="32" t="s">
        <v>976</v>
      </c>
    </row>
    <row r="107" spans="1:5">
      <c r="A107" s="28">
        <v>16.899999999999999</v>
      </c>
      <c r="B107" s="464" t="s">
        <v>1024</v>
      </c>
      <c r="C107" s="465" t="s">
        <v>1490</v>
      </c>
      <c r="D107" s="19" t="s">
        <v>744</v>
      </c>
      <c r="E107" s="32" t="s">
        <v>977</v>
      </c>
    </row>
    <row r="108" spans="1:5" ht="20.100000000000001" customHeight="1">
      <c r="A108" s="28">
        <v>16.91</v>
      </c>
      <c r="B108" s="464" t="s">
        <v>1025</v>
      </c>
      <c r="C108" s="465" t="s">
        <v>1490</v>
      </c>
      <c r="D108" s="19" t="s">
        <v>570</v>
      </c>
      <c r="E108" s="32" t="s">
        <v>1785</v>
      </c>
    </row>
    <row r="109" spans="1:5" ht="26.4">
      <c r="A109" s="28">
        <v>16.920000000000002</v>
      </c>
      <c r="B109" s="464" t="s">
        <v>1026</v>
      </c>
      <c r="C109" s="465" t="s">
        <v>1490</v>
      </c>
      <c r="D109" s="19" t="s">
        <v>570</v>
      </c>
      <c r="E109" s="32" t="s">
        <v>978</v>
      </c>
    </row>
    <row r="110" spans="1:5" ht="20.100000000000001" customHeight="1">
      <c r="A110" s="28">
        <v>16.93</v>
      </c>
      <c r="B110" s="464" t="s">
        <v>1027</v>
      </c>
      <c r="C110" s="465" t="s">
        <v>1490</v>
      </c>
      <c r="D110" s="19" t="s">
        <v>795</v>
      </c>
      <c r="E110" s="32" t="s">
        <v>1746</v>
      </c>
    </row>
    <row r="111" spans="1:5" ht="20.100000000000001" customHeight="1">
      <c r="A111" s="28">
        <v>16.940000000000001</v>
      </c>
      <c r="B111" s="464" t="s">
        <v>222</v>
      </c>
      <c r="C111" s="465" t="s">
        <v>1490</v>
      </c>
      <c r="D111" s="19" t="s">
        <v>902</v>
      </c>
      <c r="E111" s="32" t="s">
        <v>1747</v>
      </c>
    </row>
    <row r="112" spans="1:5" ht="20.100000000000001" customHeight="1">
      <c r="A112" s="253"/>
      <c r="B112" s="229" t="s">
        <v>1028</v>
      </c>
      <c r="C112" s="220"/>
      <c r="D112" s="209"/>
      <c r="E112" s="243"/>
    </row>
    <row r="113" spans="1:6" ht="26.4">
      <c r="A113" s="28">
        <v>16.95</v>
      </c>
      <c r="B113" s="464" t="s">
        <v>1029</v>
      </c>
      <c r="C113" s="465" t="s">
        <v>982</v>
      </c>
      <c r="D113" s="19" t="s">
        <v>644</v>
      </c>
      <c r="E113" s="32" t="s">
        <v>1748</v>
      </c>
      <c r="F113" s="260"/>
    </row>
    <row r="114" spans="1:6" ht="26.4">
      <c r="A114" s="28">
        <v>16.96</v>
      </c>
      <c r="B114" s="464" t="s">
        <v>1156</v>
      </c>
      <c r="C114" s="465" t="s">
        <v>1490</v>
      </c>
      <c r="D114" s="19" t="s">
        <v>744</v>
      </c>
      <c r="E114" s="32" t="s">
        <v>1362</v>
      </c>
      <c r="F114" s="260"/>
    </row>
    <row r="115" spans="1:6" ht="26.4">
      <c r="A115" s="28">
        <v>16.97</v>
      </c>
      <c r="B115" s="464" t="s">
        <v>1030</v>
      </c>
      <c r="C115" s="465" t="s">
        <v>982</v>
      </c>
      <c r="D115" s="19" t="s">
        <v>993</v>
      </c>
      <c r="E115" s="32" t="s">
        <v>450</v>
      </c>
    </row>
    <row r="116" spans="1:6" ht="26.4">
      <c r="A116" s="28">
        <v>16.98</v>
      </c>
      <c r="B116" s="464" t="s">
        <v>1031</v>
      </c>
      <c r="C116" s="465" t="s">
        <v>1490</v>
      </c>
      <c r="D116" s="19" t="s">
        <v>744</v>
      </c>
      <c r="E116" s="32" t="s">
        <v>1311</v>
      </c>
    </row>
    <row r="117" spans="1:6" ht="26.4">
      <c r="A117" s="28">
        <v>16.989999999999998</v>
      </c>
      <c r="B117" s="464" t="s">
        <v>1032</v>
      </c>
      <c r="C117" s="465" t="s">
        <v>982</v>
      </c>
      <c r="D117" s="19" t="s">
        <v>990</v>
      </c>
      <c r="E117" s="32" t="s">
        <v>1312</v>
      </c>
    </row>
    <row r="118" spans="1:6" ht="26.4">
      <c r="A118" s="251">
        <v>16.100000000000001</v>
      </c>
      <c r="B118" s="464" t="s">
        <v>37</v>
      </c>
      <c r="C118" s="465" t="s">
        <v>1490</v>
      </c>
      <c r="D118" s="19" t="s">
        <v>1731</v>
      </c>
      <c r="E118" s="32" t="s">
        <v>1184</v>
      </c>
    </row>
    <row r="119" spans="1:6" ht="20.100000000000001" customHeight="1">
      <c r="A119" s="253"/>
      <c r="B119" s="229" t="s">
        <v>1259</v>
      </c>
      <c r="C119" s="220"/>
      <c r="D119" s="203"/>
      <c r="E119" s="231"/>
    </row>
    <row r="120" spans="1:6" ht="39.6">
      <c r="A120" s="252">
        <v>16.100999999999999</v>
      </c>
      <c r="B120" s="194" t="s">
        <v>290</v>
      </c>
      <c r="C120" s="195" t="s">
        <v>1490</v>
      </c>
      <c r="D120" s="11" t="s">
        <v>570</v>
      </c>
      <c r="E120" s="34" t="s">
        <v>451</v>
      </c>
    </row>
    <row r="121" spans="1:6" ht="20.100000000000001" customHeight="1">
      <c r="A121" s="253"/>
      <c r="B121" s="229" t="s">
        <v>1033</v>
      </c>
      <c r="C121" s="220"/>
      <c r="D121" s="209"/>
      <c r="E121" s="243"/>
    </row>
    <row r="122" spans="1:6" ht="27" thickBot="1">
      <c r="A122" s="525">
        <v>16.102</v>
      </c>
      <c r="B122" s="517" t="s">
        <v>1033</v>
      </c>
      <c r="C122" s="518" t="s">
        <v>982</v>
      </c>
      <c r="D122" s="520" t="s">
        <v>994</v>
      </c>
      <c r="E122" s="526" t="s">
        <v>452</v>
      </c>
    </row>
  </sheetData>
  <customSheetViews>
    <customSheetView guid="{4FEDB3BD-111A-4B7D-AA97-E67173A5F707}" showPageBreaks="1" printArea="1" hiddenColumns="1" view="pageBreakPreview" showRuler="0" topLeftCell="A107">
      <selection activeCell="J11" sqref="J11"/>
      <rowBreaks count="9" manualBreakCount="9">
        <brk id="12" max="16383" man="1"/>
        <brk id="22" max="9" man="1"/>
        <brk id="34" max="9" man="1"/>
        <brk id="45" max="16383" man="1"/>
        <brk id="58" max="9" man="1"/>
        <brk id="72" max="16383" man="1"/>
        <brk id="85" max="9" man="1"/>
        <brk id="96" max="9" man="1"/>
        <brk id="110" max="9" man="1"/>
      </rowBreaks>
      <pageMargins left="0.5" right="0.5" top="1" bottom="1" header="0.5" footer="0.5"/>
      <printOptions horizontalCentered="1"/>
      <pageSetup fitToHeight="6" orientation="landscape" r:id="rId1"/>
      <headerFooter alignWithMargins="0">
        <oddHeader>&amp;C&amp;"Arial,Bold"&amp;12&amp;UProject Activity 16: Structures- Movable Span</oddHeader>
        <oddFooter>Page &amp;P of &amp;N</oddFooter>
      </headerFooter>
    </customSheetView>
    <customSheetView guid="{D5FFA8DD-F2DB-47F2-B4D2-3681726B2E8F}" showPageBreaks="1" hiddenColumns="1" view="pageBreakPreview" showRuler="0">
      <selection activeCell="C3" sqref="C3:P3"/>
      <rowBreaks count="9" manualBreakCount="9">
        <brk id="12" max="16383" man="1"/>
        <brk id="22" max="9" man="1"/>
        <brk id="34" max="9" man="1"/>
        <brk id="45" max="16383" man="1"/>
        <brk id="58" max="9" man="1"/>
        <brk id="72" max="16383" man="1"/>
        <brk id="85" max="9" man="1"/>
        <brk id="100" max="9" man="1"/>
        <brk id="116" max="9" man="1"/>
      </rowBreaks>
      <pageMargins left="0.5" right="0.5" top="1" bottom="1" header="0.5" footer="0.5"/>
      <printOptions horizontalCentered="1"/>
      <pageSetup fitToHeight="6" orientation="landscape" r:id="rId2"/>
      <headerFooter alignWithMargins="0">
        <oddHeader>&amp;C&amp;"Arial,Bold"&amp;12&amp;UProject Activity 16: Structures- Movable Span</oddHeader>
        <oddFooter>Page &amp;P of &amp;N</oddFooter>
      </headerFooter>
    </customSheetView>
    <customSheetView guid="{EFE02F7B-3837-4B0F-9646-ADE249504E9F}" showPageBreaks="1" hiddenColumns="1" view="pageBreakPreview" showRuler="0" topLeftCell="A112">
      <selection activeCell="A73" sqref="A73"/>
      <rowBreaks count="9" manualBreakCount="9">
        <brk id="12" max="16383" man="1"/>
        <brk id="22" max="9" man="1"/>
        <brk id="34" max="9" man="1"/>
        <brk id="45" max="16383" man="1"/>
        <brk id="58" max="9" man="1"/>
        <brk id="72" max="16383" man="1"/>
        <brk id="85" max="9" man="1"/>
        <brk id="100" max="9" man="1"/>
        <brk id="116" max="9" man="1"/>
      </rowBreaks>
      <pageMargins left="0.5" right="0.5" top="1" bottom="1" header="0.5" footer="0.5"/>
      <printOptions horizontalCentered="1"/>
      <pageSetup fitToHeight="6" orientation="landscape" r:id="rId3"/>
      <headerFooter alignWithMargins="0">
        <oddHeader>&amp;C&amp;"Arial,Bold"&amp;12&amp;UProject Activity 16: Structures- Movable Span</oddHeader>
        <oddFooter>Page &amp;P of &amp;N</oddFooter>
      </headerFooter>
    </customSheetView>
    <customSheetView guid="{053BE130-58A3-4F3B-945A-C2EFB15C6264}" showPageBreaks="1" hiddenColumns="1" view="pageBreakPreview" showRuler="0" topLeftCell="A112">
      <selection activeCell="A73" sqref="A73"/>
      <rowBreaks count="9" manualBreakCount="9">
        <brk id="12" max="16383" man="1"/>
        <brk id="22" max="9" man="1"/>
        <brk id="34" max="9" man="1"/>
        <brk id="45" max="16383" man="1"/>
        <brk id="58" max="9" man="1"/>
        <brk id="72" max="16383" man="1"/>
        <brk id="85" max="9" man="1"/>
        <brk id="100" max="9" man="1"/>
        <brk id="116" max="9" man="1"/>
      </rowBreaks>
      <pageMargins left="0.5" right="0.5" top="1" bottom="1" header="0.5" footer="0.5"/>
      <printOptions horizontalCentered="1"/>
      <pageSetup fitToHeight="6" orientation="landscape" r:id="rId4"/>
      <headerFooter alignWithMargins="0">
        <oddHeader>&amp;C&amp;"Arial,Bold"&amp;12&amp;UProject Activity 16: Structures- Movable Span</oddHeader>
        <oddFooter>Page &amp;P of &amp;N</oddFooter>
      </headerFooter>
    </customSheetView>
    <customSheetView guid="{F5DBE5B9-A9E4-4030-888B-08F930ECBB74}" showPageBreaks="1" hiddenColumns="1" view="pageBreakPreview" showRuler="0" topLeftCell="A112">
      <selection activeCell="A73" sqref="A73"/>
      <rowBreaks count="9" manualBreakCount="9">
        <brk id="12" max="16383" man="1"/>
        <brk id="22" max="9" man="1"/>
        <brk id="34" max="9" man="1"/>
        <brk id="45" max="16383" man="1"/>
        <brk id="58" max="9" man="1"/>
        <brk id="72" max="16383" man="1"/>
        <brk id="85" max="9" man="1"/>
        <brk id="100" max="9" man="1"/>
        <brk id="116" max="9" man="1"/>
      </rowBreaks>
      <pageMargins left="0.5" right="0.5" top="1" bottom="1" header="0.5" footer="0.5"/>
      <printOptions horizontalCentered="1"/>
      <pageSetup fitToHeight="6" orientation="landscape" r:id="rId5"/>
      <headerFooter alignWithMargins="0">
        <oddHeader>&amp;C&amp;"Arial,Bold"&amp;12&amp;UProject Activity 16: Structures- Movable Span</oddHeader>
        <oddFooter>Page &amp;P of &amp;N</oddFooter>
      </headerFooter>
    </customSheetView>
    <customSheetView guid="{960FB4AF-B150-4523-972C-3F7C93F049F3}" showPageBreaks="1" printArea="1" hiddenColumns="1" view="pageBreakPreview" showRuler="0" topLeftCell="A107">
      <selection activeCell="J11" sqref="J11"/>
      <rowBreaks count="9" manualBreakCount="9">
        <brk id="12" max="16383" man="1"/>
        <brk id="22" max="9" man="1"/>
        <brk id="34" max="9" man="1"/>
        <brk id="45" max="16383" man="1"/>
        <brk id="58" max="9" man="1"/>
        <brk id="72" max="16383" man="1"/>
        <brk id="85" max="9" man="1"/>
        <brk id="96" max="9" man="1"/>
        <brk id="110" max="9" man="1"/>
      </rowBreaks>
      <pageMargins left="0.5" right="0.5" top="1" bottom="1" header="0.5" footer="0.5"/>
      <printOptions horizontalCentered="1"/>
      <pageSetup fitToHeight="6" orientation="landscape" r:id="rId6"/>
      <headerFooter alignWithMargins="0">
        <oddHeader>&amp;C&amp;"Arial,Bold"&amp;12&amp;UProject Activity 16: Structures- Movable Span</oddHeader>
        <oddFooter>Page &amp;P of &amp;N</oddFooter>
      </headerFooter>
    </customSheetView>
    <customSheetView guid="{DF3BD4C9-2986-4236-8E90-D96736404377}" showPageBreaks="1" printArea="1" hiddenColumns="1" view="pageBreakPreview" showRuler="0" topLeftCell="A107">
      <selection activeCell="J11" sqref="J11"/>
      <rowBreaks count="11" manualBreakCount="11">
        <brk id="12" max="16383" man="1"/>
        <brk id="20" max="9" man="1"/>
        <brk id="22" max="9" man="1"/>
        <brk id="32" max="9" man="1"/>
        <brk id="34" max="9" man="1"/>
        <brk id="45" max="16383" man="1"/>
        <brk id="58" max="9" man="1"/>
        <brk id="72" max="16383" man="1"/>
        <brk id="85" max="9" man="1"/>
        <brk id="96" max="9" man="1"/>
        <brk id="110" max="9" man="1"/>
      </rowBreaks>
      <pageMargins left="0.5" right="0.5" top="1" bottom="1" header="0.5" footer="0.5"/>
      <printOptions horizontalCentered="1"/>
      <pageSetup fitToHeight="6" orientation="landscape" r:id="rId7"/>
      <headerFooter alignWithMargins="0">
        <oddHeader>&amp;C&amp;"Arial,Bold"&amp;12&amp;UProject Activity 16: Structures- Movable Span</oddHeader>
        <oddFooter>Page &amp;P of &amp;N</oddFooter>
      </headerFooter>
    </customSheetView>
  </customSheetViews>
  <mergeCells count="7">
    <mergeCell ref="A2:E2"/>
    <mergeCell ref="A77:A78"/>
    <mergeCell ref="B77:B78"/>
    <mergeCell ref="C77:C78"/>
    <mergeCell ref="A87:A88"/>
    <mergeCell ref="B87:B88"/>
    <mergeCell ref="C87:C88"/>
  </mergeCells>
  <phoneticPr fontId="0" type="noConversion"/>
  <printOptions horizontalCentered="1" verticalCentered="1"/>
  <pageMargins left="0.75" right="0.75" top="1" bottom="1" header="0.5" footer="0.5"/>
  <pageSetup scale="74" fitToHeight="6" orientation="landscape" r:id="rId8"/>
  <headerFooter alignWithMargins="0"/>
  <rowBreaks count="1" manualBreakCount="1">
    <brk id="111" max="4"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1"/>
  <dimension ref="A1:E39"/>
  <sheetViews>
    <sheetView showGridLines="0" zoomScaleNormal="100" zoomScaleSheetLayoutView="100" workbookViewId="0"/>
  </sheetViews>
  <sheetFormatPr defaultColWidth="9.109375" defaultRowHeight="13.2"/>
  <cols>
    <col min="1" max="1" width="6.33203125" style="21" customWidth="1"/>
    <col min="2" max="2" width="30.6640625" style="21" customWidth="1"/>
    <col min="3" max="4" width="12.6640625" style="21" customWidth="1"/>
    <col min="5" max="5" width="100.6640625" style="21" customWidth="1"/>
    <col min="6" max="16384" width="9.109375" style="70"/>
  </cols>
  <sheetData>
    <row r="1" spans="1:5" ht="13.8" thickBot="1">
      <c r="A1" s="3" t="s">
        <v>1435</v>
      </c>
    </row>
    <row r="2" spans="1:5" s="26" customFormat="1" ht="20.100000000000001" customHeight="1">
      <c r="A2" s="950" t="s">
        <v>2019</v>
      </c>
      <c r="B2" s="951"/>
      <c r="C2" s="951"/>
      <c r="D2" s="951"/>
      <c r="E2" s="952"/>
    </row>
    <row r="3" spans="1:5" ht="48" customHeight="1">
      <c r="A3" s="245" t="s">
        <v>385</v>
      </c>
      <c r="B3" s="140" t="s">
        <v>844</v>
      </c>
      <c r="C3" s="140" t="s">
        <v>914</v>
      </c>
      <c r="D3" s="140" t="s">
        <v>1069</v>
      </c>
      <c r="E3" s="241" t="s">
        <v>1070</v>
      </c>
    </row>
    <row r="4" spans="1:5" s="256" customFormat="1">
      <c r="A4" s="257"/>
      <c r="B4" s="229" t="s">
        <v>956</v>
      </c>
      <c r="C4" s="229"/>
      <c r="D4" s="219"/>
      <c r="E4" s="231"/>
    </row>
    <row r="5" spans="1:5" s="33" customFormat="1" ht="52.8">
      <c r="A5" s="196">
        <v>17.100000000000001</v>
      </c>
      <c r="B5" s="194" t="s">
        <v>1484</v>
      </c>
      <c r="C5" s="195" t="s">
        <v>1490</v>
      </c>
      <c r="D5" s="11" t="s">
        <v>1731</v>
      </c>
      <c r="E5" s="34" t="s">
        <v>1077</v>
      </c>
    </row>
    <row r="6" spans="1:5" s="33" customFormat="1" ht="26.4">
      <c r="A6" s="979">
        <v>17.2</v>
      </c>
      <c r="B6" s="977" t="s">
        <v>1034</v>
      </c>
      <c r="C6" s="978" t="s">
        <v>1440</v>
      </c>
      <c r="D6" s="11" t="s">
        <v>1007</v>
      </c>
      <c r="E6" s="34" t="s">
        <v>259</v>
      </c>
    </row>
    <row r="7" spans="1:5" s="33" customFormat="1" ht="26.4">
      <c r="A7" s="979"/>
      <c r="B7" s="977"/>
      <c r="C7" s="978"/>
      <c r="D7" s="11" t="s">
        <v>1006</v>
      </c>
      <c r="E7" s="34" t="s">
        <v>260</v>
      </c>
    </row>
    <row r="8" spans="1:5" s="33" customFormat="1" ht="26.4">
      <c r="A8" s="979"/>
      <c r="B8" s="977"/>
      <c r="C8" s="978"/>
      <c r="D8" s="11" t="s">
        <v>641</v>
      </c>
      <c r="E8" s="34" t="s">
        <v>261</v>
      </c>
    </row>
    <row r="9" spans="1:5" s="256" customFormat="1" ht="20.100000000000001" customHeight="1">
      <c r="A9" s="257"/>
      <c r="B9" s="229" t="s">
        <v>1035</v>
      </c>
      <c r="C9" s="229"/>
      <c r="D9" s="219"/>
      <c r="E9" s="231"/>
    </row>
    <row r="10" spans="1:5" s="33" customFormat="1" ht="39.6">
      <c r="A10" s="979">
        <v>17.3</v>
      </c>
      <c r="B10" s="977" t="s">
        <v>1036</v>
      </c>
      <c r="C10" s="978" t="s">
        <v>1440</v>
      </c>
      <c r="D10" s="11" t="s">
        <v>460</v>
      </c>
      <c r="E10" s="34" t="s">
        <v>40</v>
      </c>
    </row>
    <row r="11" spans="1:5" s="33" customFormat="1">
      <c r="A11" s="979"/>
      <c r="B11" s="977"/>
      <c r="C11" s="978"/>
      <c r="D11" s="11" t="s">
        <v>1728</v>
      </c>
      <c r="E11" s="34" t="s">
        <v>1196</v>
      </c>
    </row>
    <row r="12" spans="1:5" s="33" customFormat="1" ht="26.4">
      <c r="A12" s="979"/>
      <c r="B12" s="977"/>
      <c r="C12" s="978"/>
      <c r="D12" s="11" t="s">
        <v>152</v>
      </c>
      <c r="E12" s="34" t="s">
        <v>1642</v>
      </c>
    </row>
    <row r="13" spans="1:5" s="33" customFormat="1" ht="26.4">
      <c r="A13" s="196">
        <v>17.399999999999999</v>
      </c>
      <c r="B13" s="72" t="s">
        <v>1037</v>
      </c>
      <c r="C13" s="195" t="s">
        <v>1490</v>
      </c>
      <c r="D13" s="11" t="s">
        <v>569</v>
      </c>
      <c r="E13" s="34" t="s">
        <v>1701</v>
      </c>
    </row>
    <row r="14" spans="1:5" s="33" customFormat="1" ht="66">
      <c r="A14" s="196">
        <v>17.5</v>
      </c>
      <c r="B14" s="72" t="s">
        <v>1038</v>
      </c>
      <c r="C14" s="195" t="s">
        <v>1490</v>
      </c>
      <c r="D14" s="11" t="s">
        <v>646</v>
      </c>
      <c r="E14" s="34" t="s">
        <v>1078</v>
      </c>
    </row>
    <row r="15" spans="1:5" s="33" customFormat="1" ht="26.4">
      <c r="A15" s="196">
        <v>17.600000000000001</v>
      </c>
      <c r="B15" s="72" t="s">
        <v>1115</v>
      </c>
      <c r="C15" s="195" t="s">
        <v>1490</v>
      </c>
      <c r="D15" s="11" t="s">
        <v>795</v>
      </c>
      <c r="E15" s="32" t="s">
        <v>1596</v>
      </c>
    </row>
    <row r="16" spans="1:5" s="256" customFormat="1" ht="20.100000000000001" customHeight="1">
      <c r="A16" s="257"/>
      <c r="B16" s="229" t="s">
        <v>1116</v>
      </c>
      <c r="C16" s="229"/>
      <c r="D16" s="219"/>
      <c r="E16" s="231"/>
    </row>
    <row r="17" spans="1:5" s="33" customFormat="1" ht="26.4">
      <c r="A17" s="979">
        <v>17.7</v>
      </c>
      <c r="B17" s="977" t="s">
        <v>1036</v>
      </c>
      <c r="C17" s="978" t="s">
        <v>1440</v>
      </c>
      <c r="D17" s="11" t="s">
        <v>780</v>
      </c>
      <c r="E17" s="34" t="s">
        <v>41</v>
      </c>
    </row>
    <row r="18" spans="1:5" s="33" customFormat="1">
      <c r="A18" s="979"/>
      <c r="B18" s="977"/>
      <c r="C18" s="978"/>
      <c r="D18" s="11" t="s">
        <v>1728</v>
      </c>
      <c r="E18" s="34" t="s">
        <v>1196</v>
      </c>
    </row>
    <row r="19" spans="1:5" s="33" customFormat="1" ht="26.4">
      <c r="A19" s="979"/>
      <c r="B19" s="977"/>
      <c r="C19" s="978"/>
      <c r="D19" s="11" t="s">
        <v>1186</v>
      </c>
      <c r="E19" s="34" t="s">
        <v>1642</v>
      </c>
    </row>
    <row r="20" spans="1:5" s="33" customFormat="1" ht="39.6">
      <c r="A20" s="196">
        <v>17.8</v>
      </c>
      <c r="B20" s="72" t="s">
        <v>1037</v>
      </c>
      <c r="C20" s="195" t="s">
        <v>1490</v>
      </c>
      <c r="D20" s="11" t="s">
        <v>569</v>
      </c>
      <c r="E20" s="34" t="s">
        <v>1188</v>
      </c>
    </row>
    <row r="21" spans="1:5" s="33" customFormat="1" ht="52.8">
      <c r="A21" s="68">
        <v>17.899999999999999</v>
      </c>
      <c r="B21" s="72" t="s">
        <v>1038</v>
      </c>
      <c r="C21" s="195" t="s">
        <v>1490</v>
      </c>
      <c r="D21" s="11" t="s">
        <v>1728</v>
      </c>
      <c r="E21" s="34" t="s">
        <v>1079</v>
      </c>
    </row>
    <row r="22" spans="1:5" s="33" customFormat="1" ht="26.4">
      <c r="A22" s="193">
        <v>17.100000000000001</v>
      </c>
      <c r="B22" s="72" t="s">
        <v>1115</v>
      </c>
      <c r="C22" s="195" t="s">
        <v>1490</v>
      </c>
      <c r="D22" s="11" t="s">
        <v>1727</v>
      </c>
      <c r="E22" s="32" t="s">
        <v>1333</v>
      </c>
    </row>
    <row r="23" spans="1:5" s="256" customFormat="1" ht="26.4">
      <c r="A23" s="257"/>
      <c r="B23" s="229" t="s">
        <v>39</v>
      </c>
      <c r="C23" s="229"/>
      <c r="D23" s="219"/>
      <c r="E23" s="568" t="s">
        <v>2340</v>
      </c>
    </row>
    <row r="24" spans="1:5" s="33" customFormat="1" ht="26.4">
      <c r="A24" s="193">
        <v>17.11</v>
      </c>
      <c r="B24" s="72" t="s">
        <v>1117</v>
      </c>
      <c r="C24" s="195" t="s">
        <v>1118</v>
      </c>
      <c r="D24" s="11" t="s">
        <v>633</v>
      </c>
      <c r="E24" s="122" t="s">
        <v>2341</v>
      </c>
    </row>
    <row r="25" spans="1:5" s="33" customFormat="1" ht="26.4">
      <c r="A25" s="976">
        <v>17.12</v>
      </c>
      <c r="B25" s="977" t="s">
        <v>1036</v>
      </c>
      <c r="C25" s="978" t="s">
        <v>1440</v>
      </c>
      <c r="D25" s="11" t="s">
        <v>641</v>
      </c>
      <c r="E25" s="34" t="s">
        <v>42</v>
      </c>
    </row>
    <row r="26" spans="1:5" s="33" customFormat="1" ht="26.4">
      <c r="A26" s="976"/>
      <c r="B26" s="977"/>
      <c r="C26" s="978"/>
      <c r="D26" s="11" t="s">
        <v>1186</v>
      </c>
      <c r="E26" s="34" t="s">
        <v>1107</v>
      </c>
    </row>
    <row r="27" spans="1:5" s="33" customFormat="1" ht="20.100000000000001" customHeight="1">
      <c r="A27" s="193">
        <v>17.13</v>
      </c>
      <c r="B27" s="72" t="s">
        <v>1119</v>
      </c>
      <c r="C27" s="195" t="s">
        <v>1490</v>
      </c>
      <c r="D27" s="11" t="s">
        <v>780</v>
      </c>
      <c r="E27" s="34" t="s">
        <v>1108</v>
      </c>
    </row>
    <row r="28" spans="1:5" s="33" customFormat="1" ht="52.8">
      <c r="A28" s="193">
        <v>17.14</v>
      </c>
      <c r="B28" s="72" t="s">
        <v>1038</v>
      </c>
      <c r="C28" s="195" t="s">
        <v>1490</v>
      </c>
      <c r="D28" s="11" t="s">
        <v>646</v>
      </c>
      <c r="E28" s="34" t="s">
        <v>1080</v>
      </c>
    </row>
    <row r="29" spans="1:5" s="33" customFormat="1" ht="20.100000000000001" customHeight="1">
      <c r="A29" s="976">
        <v>17.149999999999999</v>
      </c>
      <c r="B29" s="977" t="s">
        <v>1120</v>
      </c>
      <c r="C29" s="978" t="s">
        <v>1490</v>
      </c>
      <c r="D29" s="11" t="s">
        <v>780</v>
      </c>
      <c r="E29" s="32" t="s">
        <v>1109</v>
      </c>
    </row>
    <row r="30" spans="1:5" s="33" customFormat="1" ht="39.6">
      <c r="A30" s="976"/>
      <c r="B30" s="977"/>
      <c r="C30" s="978"/>
      <c r="D30" s="11" t="s">
        <v>1731</v>
      </c>
      <c r="E30" s="32" t="s">
        <v>88</v>
      </c>
    </row>
    <row r="31" spans="1:5" s="33" customFormat="1" ht="20.100000000000001" customHeight="1">
      <c r="A31" s="193">
        <v>17.16</v>
      </c>
      <c r="B31" s="72" t="s">
        <v>1260</v>
      </c>
      <c r="C31" s="195" t="s">
        <v>1490</v>
      </c>
      <c r="D31" s="11" t="s">
        <v>569</v>
      </c>
      <c r="E31" s="34" t="s">
        <v>89</v>
      </c>
    </row>
    <row r="32" spans="1:5" s="76" customFormat="1" ht="26.4">
      <c r="A32" s="258"/>
      <c r="B32" s="229" t="s">
        <v>659</v>
      </c>
      <c r="C32" s="229"/>
      <c r="D32" s="259"/>
      <c r="E32" s="231" t="s">
        <v>90</v>
      </c>
    </row>
    <row r="33" spans="1:5" s="33" customFormat="1" ht="39.6">
      <c r="A33" s="193">
        <v>17.170000000000002</v>
      </c>
      <c r="B33" s="72" t="s">
        <v>1117</v>
      </c>
      <c r="C33" s="195" t="s">
        <v>1118</v>
      </c>
      <c r="D33" s="11" t="s">
        <v>534</v>
      </c>
      <c r="E33" s="34" t="s">
        <v>660</v>
      </c>
    </row>
    <row r="34" spans="1:5" s="33" customFormat="1" ht="26.4">
      <c r="A34" s="976">
        <v>17.18</v>
      </c>
      <c r="B34" s="977" t="s">
        <v>1036</v>
      </c>
      <c r="C34" s="978" t="s">
        <v>1440</v>
      </c>
      <c r="D34" s="11" t="s">
        <v>583</v>
      </c>
      <c r="E34" s="34" t="s">
        <v>252</v>
      </c>
    </row>
    <row r="35" spans="1:5" s="33" customFormat="1" ht="26.4">
      <c r="A35" s="976"/>
      <c r="B35" s="977"/>
      <c r="C35" s="978"/>
      <c r="D35" s="11" t="s">
        <v>1728</v>
      </c>
      <c r="E35" s="34" t="s">
        <v>651</v>
      </c>
    </row>
    <row r="36" spans="1:5" s="33" customFormat="1" ht="26.4">
      <c r="A36" s="976"/>
      <c r="B36" s="977"/>
      <c r="C36" s="978"/>
      <c r="D36" s="11" t="s">
        <v>1186</v>
      </c>
      <c r="E36" s="34" t="s">
        <v>652</v>
      </c>
    </row>
    <row r="37" spans="1:5" s="33" customFormat="1" ht="26.4">
      <c r="A37" s="193">
        <v>17.190000000000001</v>
      </c>
      <c r="B37" s="72" t="s">
        <v>1121</v>
      </c>
      <c r="C37" s="195" t="s">
        <v>1490</v>
      </c>
      <c r="D37" s="11" t="s">
        <v>584</v>
      </c>
      <c r="E37" s="34" t="s">
        <v>653</v>
      </c>
    </row>
    <row r="38" spans="1:5" s="33" customFormat="1" ht="39.6">
      <c r="A38" s="193">
        <v>17.2</v>
      </c>
      <c r="B38" s="72" t="s">
        <v>1122</v>
      </c>
      <c r="C38" s="195" t="s">
        <v>1490</v>
      </c>
      <c r="D38" s="11" t="s">
        <v>1187</v>
      </c>
      <c r="E38" s="34" t="s">
        <v>1076</v>
      </c>
    </row>
    <row r="39" spans="1:5" s="33" customFormat="1" ht="27" thickBot="1">
      <c r="A39" s="527">
        <v>17.21</v>
      </c>
      <c r="B39" s="528" t="s">
        <v>1115</v>
      </c>
      <c r="C39" s="529" t="s">
        <v>1490</v>
      </c>
      <c r="D39" s="514" t="s">
        <v>1731</v>
      </c>
      <c r="E39" s="515" t="s">
        <v>654</v>
      </c>
    </row>
  </sheetData>
  <customSheetViews>
    <customSheetView guid="{4FEDB3BD-111A-4B7D-AA97-E67173A5F707}" showPageBreaks="1" printArea="1" hiddenColumns="1" view="pageBreakPreview" showRuler="0" topLeftCell="A29">
      <selection activeCell="J12" sqref="J12"/>
      <rowBreaks count="3" manualBreakCount="3">
        <brk id="12" max="16383" man="1"/>
        <brk id="24" max="9" man="1"/>
        <brk id="36" max="9" man="1"/>
      </rowBreaks>
      <pageMargins left="0.5" right="0.5" top="1" bottom="1" header="0.5" footer="0.5"/>
      <printOptions horizontalCentered="1"/>
      <pageSetup scale="99" fitToHeight="0" orientation="landscape" r:id="rId1"/>
      <headerFooter alignWithMargins="0">
        <oddHeader>&amp;C&amp;"Arial,Bold"&amp;12&amp;UProject Activity 17: Structures - Retaining Walls</oddHeader>
        <oddFooter>Page &amp;P of &amp;N</oddFooter>
      </headerFooter>
    </customSheetView>
    <customSheetView guid="{D5FFA8DD-F2DB-47F2-B4D2-3681726B2E8F}" showPageBreaks="1" hiddenColumns="1" view="pageBreakPreview" showRuler="0" topLeftCell="A28">
      <selection activeCell="C3" sqref="C3:P3"/>
      <rowBreaks count="3" manualBreakCount="3">
        <brk id="12" max="16383" man="1"/>
        <brk id="24" max="9" man="1"/>
        <brk id="36" max="9" man="1"/>
      </rowBreaks>
      <pageMargins left="0.5" right="0.5" top="1" bottom="1" header="0.5" footer="0.5"/>
      <printOptions horizontalCentered="1"/>
      <pageSetup fitToHeight="0" orientation="landscape" r:id="rId2"/>
      <headerFooter alignWithMargins="0">
        <oddHeader>&amp;C&amp;"Arial,Bold"&amp;12&amp;UProject Activity 17: Structures - Retaining Walls</oddHeader>
        <oddFooter>Page &amp;P of &amp;N</oddFooter>
      </headerFooter>
    </customSheetView>
    <customSheetView guid="{EFE02F7B-3837-4B0F-9646-ADE249504E9F}" showPageBreaks="1" hiddenColumns="1" view="pageBreakPreview" showRuler="0" topLeftCell="A28">
      <selection activeCell="J44" sqref="J44"/>
      <rowBreaks count="3" manualBreakCount="3">
        <brk id="12" max="16383" man="1"/>
        <brk id="24" max="9" man="1"/>
        <brk id="36" max="9" man="1"/>
      </rowBreaks>
      <pageMargins left="0.5" right="0.5" top="1" bottom="1" header="0.5" footer="0.5"/>
      <printOptions horizontalCentered="1"/>
      <pageSetup fitToHeight="0" orientation="landscape" r:id="rId3"/>
      <headerFooter alignWithMargins="0">
        <oddHeader>&amp;C&amp;"Arial,Bold"&amp;12&amp;UProject Activity 17: Structures - Retaining Walls</oddHeader>
        <oddFooter>Page &amp;P of &amp;N</oddFooter>
      </headerFooter>
    </customSheetView>
    <customSheetView guid="{053BE130-58A3-4F3B-945A-C2EFB15C6264}" showPageBreaks="1" hiddenColumns="1" view="pageBreakPreview" showRuler="0" topLeftCell="A28">
      <selection activeCell="J44" sqref="J44"/>
      <rowBreaks count="3" manualBreakCount="3">
        <brk id="12" max="16383" man="1"/>
        <brk id="24" max="9" man="1"/>
        <brk id="36" max="9" man="1"/>
      </rowBreaks>
      <pageMargins left="0.5" right="0.5" top="1" bottom="1" header="0.5" footer="0.5"/>
      <printOptions horizontalCentered="1"/>
      <pageSetup fitToHeight="0" orientation="landscape" r:id="rId4"/>
      <headerFooter alignWithMargins="0">
        <oddHeader>&amp;C&amp;"Arial,Bold"&amp;12&amp;UProject Activity 17: Structures - Retaining Walls</oddHeader>
        <oddFooter>Page &amp;P of &amp;N</oddFooter>
      </headerFooter>
    </customSheetView>
    <customSheetView guid="{F5DBE5B9-A9E4-4030-888B-08F930ECBB74}" showPageBreaks="1" hiddenColumns="1" view="pageBreakPreview" showRuler="0" topLeftCell="A28">
      <selection activeCell="J44" sqref="J44"/>
      <rowBreaks count="3" manualBreakCount="3">
        <brk id="12" max="16383" man="1"/>
        <brk id="24" max="9" man="1"/>
        <brk id="36" max="9" man="1"/>
      </rowBreaks>
      <pageMargins left="0.5" right="0.5" top="1" bottom="1" header="0.5" footer="0.5"/>
      <printOptions horizontalCentered="1"/>
      <pageSetup fitToHeight="0" orientation="landscape" r:id="rId5"/>
      <headerFooter alignWithMargins="0">
        <oddHeader>&amp;C&amp;"Arial,Bold"&amp;12&amp;UProject Activity 17: Structures - Retaining Walls</oddHeader>
        <oddFooter>Page &amp;P of &amp;N</oddFooter>
      </headerFooter>
    </customSheetView>
    <customSheetView guid="{960FB4AF-B150-4523-972C-3F7C93F049F3}" showPageBreaks="1" printArea="1" hiddenColumns="1" view="pageBreakPreview" showRuler="0" topLeftCell="A29">
      <selection activeCell="J12" sqref="J12"/>
      <rowBreaks count="3" manualBreakCount="3">
        <brk id="12" max="16383" man="1"/>
        <brk id="24" max="9" man="1"/>
        <brk id="36" max="9" man="1"/>
      </rowBreaks>
      <pageMargins left="0.5" right="0.5" top="1" bottom="1" header="0.5" footer="0.5"/>
      <printOptions horizontalCentered="1"/>
      <pageSetup scale="99" fitToHeight="0" orientation="landscape" r:id="rId6"/>
      <headerFooter alignWithMargins="0">
        <oddHeader>&amp;C&amp;"Arial,Bold"&amp;12&amp;UProject Activity 17: Structures - Retaining Walls</oddHeader>
        <oddFooter>Page &amp;P of &amp;N</oddFooter>
      </headerFooter>
    </customSheetView>
    <customSheetView guid="{DF3BD4C9-2986-4236-8E90-D96736404377}" showPageBreaks="1" printArea="1" hiddenColumns="1" view="pageBreakPreview" showRuler="0" topLeftCell="A4">
      <selection activeCell="I7" sqref="I7"/>
      <rowBreaks count="4" manualBreakCount="4">
        <brk id="12" max="16383" man="1"/>
        <brk id="21" max="9" man="1"/>
        <brk id="24" max="9" man="1"/>
        <brk id="36" max="9" man="1"/>
      </rowBreaks>
      <pageMargins left="0.5" right="0.5" top="1" bottom="1" header="0.5" footer="0.5"/>
      <printOptions horizontalCentered="1"/>
      <pageSetup scale="99" fitToHeight="0" orientation="landscape" r:id="rId7"/>
      <headerFooter alignWithMargins="0">
        <oddHeader>&amp;C&amp;"Arial,Bold"&amp;12&amp;UProject Activity 17: Structures - Retaining Walls</oddHeader>
        <oddFooter>Page &amp;P of &amp;N</oddFooter>
      </headerFooter>
    </customSheetView>
  </customSheetViews>
  <mergeCells count="19">
    <mergeCell ref="A2:E2"/>
    <mergeCell ref="A17:A19"/>
    <mergeCell ref="B17:B19"/>
    <mergeCell ref="C17:C19"/>
    <mergeCell ref="A6:A8"/>
    <mergeCell ref="B6:B8"/>
    <mergeCell ref="C6:C8"/>
    <mergeCell ref="A10:A12"/>
    <mergeCell ref="B10:B12"/>
    <mergeCell ref="C10:C12"/>
    <mergeCell ref="A34:A36"/>
    <mergeCell ref="B34:B36"/>
    <mergeCell ref="C34:C36"/>
    <mergeCell ref="A25:A26"/>
    <mergeCell ref="B25:B26"/>
    <mergeCell ref="C25:C26"/>
    <mergeCell ref="A29:A30"/>
    <mergeCell ref="B29:B30"/>
    <mergeCell ref="C29:C30"/>
  </mergeCells>
  <phoneticPr fontId="0" type="noConversion"/>
  <printOptions horizontalCentered="1" verticalCentered="1"/>
  <pageMargins left="0.75" right="0.75" top="1" bottom="1" header="0.5" footer="0.5"/>
  <pageSetup scale="74" fitToHeight="2" orientation="landscape" r:id="rId8"/>
  <headerFooter alignWithMargins="0"/>
  <rowBreaks count="1" manualBreakCount="1">
    <brk id="24" max="9"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2"/>
  <dimension ref="A1:F56"/>
  <sheetViews>
    <sheetView showGridLines="0" topLeftCell="A7" zoomScale="145" zoomScaleNormal="145" zoomScaleSheetLayoutView="115" workbookViewId="0">
      <selection activeCell="C10" sqref="C10"/>
    </sheetView>
  </sheetViews>
  <sheetFormatPr defaultColWidth="17.6640625" defaultRowHeight="13.2"/>
  <cols>
    <col min="1" max="1" width="6.6640625" style="2" customWidth="1"/>
    <col min="2" max="2" width="31.6640625" style="2" customWidth="1"/>
    <col min="3" max="4" width="12.6640625" style="2" customWidth="1"/>
    <col min="5" max="5" width="100.6640625" style="2" customWidth="1"/>
  </cols>
  <sheetData>
    <row r="1" spans="1:6" s="15" customFormat="1" ht="24.9" customHeight="1" thickBot="1">
      <c r="A1" s="278" t="s">
        <v>1435</v>
      </c>
      <c r="B1" s="13"/>
      <c r="C1" s="13"/>
      <c r="D1" s="13"/>
      <c r="E1" s="13"/>
    </row>
    <row r="2" spans="1:6" s="26" customFormat="1" ht="20.100000000000001" customHeight="1">
      <c r="A2" s="950" t="s">
        <v>2020</v>
      </c>
      <c r="B2" s="951"/>
      <c r="C2" s="951"/>
      <c r="D2" s="951"/>
      <c r="E2" s="952"/>
    </row>
    <row r="3" spans="1:6" ht="48" customHeight="1">
      <c r="A3" s="223" t="s">
        <v>385</v>
      </c>
      <c r="B3" s="182" t="s">
        <v>844</v>
      </c>
      <c r="C3" s="182" t="s">
        <v>914</v>
      </c>
      <c r="D3" s="182" t="s">
        <v>1069</v>
      </c>
      <c r="E3" s="224" t="s">
        <v>1070</v>
      </c>
      <c r="F3" t="s">
        <v>596</v>
      </c>
    </row>
    <row r="4" spans="1:6" ht="20.100000000000001" customHeight="1">
      <c r="A4" s="223"/>
      <c r="B4" s="280" t="s">
        <v>1123</v>
      </c>
      <c r="C4" s="182"/>
      <c r="D4" s="182"/>
      <c r="E4" s="224"/>
    </row>
    <row r="5" spans="1:6" s="15" customFormat="1" ht="55.2">
      <c r="A5" s="183">
        <v>18.100000000000001</v>
      </c>
      <c r="B5" s="150" t="s">
        <v>1123</v>
      </c>
      <c r="C5" s="460" t="s">
        <v>1008</v>
      </c>
      <c r="D5" s="151" t="s">
        <v>656</v>
      </c>
      <c r="E5" s="279" t="s">
        <v>2180</v>
      </c>
    </row>
    <row r="6" spans="1:6" s="15" customFormat="1" ht="69">
      <c r="A6" s="183">
        <v>18.2</v>
      </c>
      <c r="B6" s="150" t="s">
        <v>1124</v>
      </c>
      <c r="C6" s="460" t="s">
        <v>1081</v>
      </c>
      <c r="D6" s="151" t="s">
        <v>1082</v>
      </c>
      <c r="E6" s="279" t="s">
        <v>1975</v>
      </c>
    </row>
    <row r="7" spans="1:6" s="15" customFormat="1" ht="27.6">
      <c r="A7" s="183">
        <v>18.3</v>
      </c>
      <c r="B7" s="150" t="s">
        <v>2109</v>
      </c>
      <c r="C7" s="460" t="s">
        <v>1490</v>
      </c>
      <c r="D7" s="460" t="s">
        <v>1005</v>
      </c>
      <c r="E7" s="279" t="s">
        <v>2112</v>
      </c>
    </row>
    <row r="8" spans="1:6" s="15" customFormat="1" ht="30.75" customHeight="1">
      <c r="A8" s="183">
        <v>18.399999999999999</v>
      </c>
      <c r="B8" s="150" t="s">
        <v>2110</v>
      </c>
      <c r="C8" s="460" t="s">
        <v>1490</v>
      </c>
      <c r="D8" s="460" t="s">
        <v>795</v>
      </c>
      <c r="E8" s="279" t="s">
        <v>2101</v>
      </c>
    </row>
    <row r="9" spans="1:6" ht="20.100000000000001" customHeight="1">
      <c r="A9" s="223"/>
      <c r="B9" s="280" t="s">
        <v>655</v>
      </c>
      <c r="C9" s="182"/>
      <c r="D9" s="188"/>
      <c r="E9" s="477"/>
    </row>
    <row r="10" spans="1:6" s="15" customFormat="1" ht="30" customHeight="1">
      <c r="A10" s="989">
        <v>18.5</v>
      </c>
      <c r="B10" s="865" t="s">
        <v>748</v>
      </c>
      <c r="C10" s="460" t="s">
        <v>1441</v>
      </c>
      <c r="D10" s="151" t="s">
        <v>152</v>
      </c>
      <c r="E10" s="991" t="s">
        <v>1976</v>
      </c>
    </row>
    <row r="11" spans="1:6" s="15" customFormat="1" ht="30" customHeight="1">
      <c r="A11" s="989"/>
      <c r="B11" s="865"/>
      <c r="C11" s="460" t="s">
        <v>1442</v>
      </c>
      <c r="D11" s="151" t="s">
        <v>568</v>
      </c>
      <c r="E11" s="991"/>
    </row>
    <row r="12" spans="1:6" s="15" customFormat="1" ht="30" customHeight="1">
      <c r="A12" s="989">
        <v>18.600000000000001</v>
      </c>
      <c r="B12" s="865" t="s">
        <v>749</v>
      </c>
      <c r="C12" s="460" t="s">
        <v>1441</v>
      </c>
      <c r="D12" s="151" t="s">
        <v>568</v>
      </c>
      <c r="E12" s="991" t="s">
        <v>1977</v>
      </c>
    </row>
    <row r="13" spans="1:6" s="15" customFormat="1" ht="30" customHeight="1">
      <c r="A13" s="989"/>
      <c r="B13" s="865"/>
      <c r="C13" s="460" t="s">
        <v>1442</v>
      </c>
      <c r="D13" s="151" t="s">
        <v>775</v>
      </c>
      <c r="E13" s="991"/>
    </row>
    <row r="14" spans="1:6" s="15" customFormat="1" ht="27.6">
      <c r="A14" s="183">
        <v>18.7</v>
      </c>
      <c r="B14" s="150" t="s">
        <v>2102</v>
      </c>
      <c r="C14" s="460" t="s">
        <v>1490</v>
      </c>
      <c r="D14" s="460" t="s">
        <v>1005</v>
      </c>
      <c r="E14" s="279" t="s">
        <v>2111</v>
      </c>
    </row>
    <row r="15" spans="1:6" s="15" customFormat="1" ht="30.75" customHeight="1">
      <c r="A15" s="183">
        <v>18.8</v>
      </c>
      <c r="B15" s="150" t="s">
        <v>2103</v>
      </c>
      <c r="C15" s="460" t="s">
        <v>1490</v>
      </c>
      <c r="D15" s="460" t="s">
        <v>795</v>
      </c>
      <c r="E15" s="279" t="s">
        <v>2101</v>
      </c>
    </row>
    <row r="16" spans="1:6" ht="20.100000000000001" customHeight="1">
      <c r="A16" s="223"/>
      <c r="B16" s="280" t="s">
        <v>750</v>
      </c>
      <c r="C16" s="182"/>
      <c r="D16" s="188"/>
      <c r="E16" s="477"/>
    </row>
    <row r="17" spans="1:5" s="15" customFormat="1" ht="55.2">
      <c r="A17" s="183">
        <v>18.899999999999999</v>
      </c>
      <c r="B17" s="150" t="s">
        <v>750</v>
      </c>
      <c r="C17" s="460" t="s">
        <v>1118</v>
      </c>
      <c r="D17" s="151" t="s">
        <v>584</v>
      </c>
      <c r="E17" s="279" t="s">
        <v>1083</v>
      </c>
    </row>
    <row r="18" spans="1:5" s="15" customFormat="1" ht="27.6">
      <c r="A18" s="184">
        <v>18.100000000000001</v>
      </c>
      <c r="B18" s="150" t="s">
        <v>2104</v>
      </c>
      <c r="C18" s="460" t="s">
        <v>1490</v>
      </c>
      <c r="D18" s="151" t="s">
        <v>1005</v>
      </c>
      <c r="E18" s="279" t="s">
        <v>2113</v>
      </c>
    </row>
    <row r="19" spans="1:5" s="15" customFormat="1" ht="27.6">
      <c r="A19" s="183">
        <v>18.11</v>
      </c>
      <c r="B19" s="150" t="s">
        <v>2105</v>
      </c>
      <c r="C19" s="460" t="s">
        <v>1490</v>
      </c>
      <c r="D19" s="460" t="s">
        <v>795</v>
      </c>
      <c r="E19" s="279" t="s">
        <v>2101</v>
      </c>
    </row>
    <row r="20" spans="1:5" ht="31.2">
      <c r="A20" s="223"/>
      <c r="B20" s="280" t="s">
        <v>1443</v>
      </c>
      <c r="C20" s="182"/>
      <c r="D20" s="188"/>
      <c r="E20" s="477"/>
    </row>
    <row r="21" spans="1:5" s="15" customFormat="1" ht="41.4">
      <c r="A21" s="183">
        <v>18.12</v>
      </c>
      <c r="B21" s="150" t="s">
        <v>751</v>
      </c>
      <c r="C21" s="460" t="s">
        <v>1118</v>
      </c>
      <c r="D21" s="151" t="s">
        <v>1728</v>
      </c>
      <c r="E21" s="279" t="s">
        <v>1084</v>
      </c>
    </row>
    <row r="22" spans="1:5" s="15" customFormat="1" ht="41.4">
      <c r="A22" s="183">
        <v>18.13</v>
      </c>
      <c r="B22" s="150" t="s">
        <v>752</v>
      </c>
      <c r="C22" s="460" t="s">
        <v>1118</v>
      </c>
      <c r="D22" s="151" t="s">
        <v>1728</v>
      </c>
      <c r="E22" s="279" t="s">
        <v>1298</v>
      </c>
    </row>
    <row r="23" spans="1:5" s="15" customFormat="1" ht="27.6">
      <c r="A23" s="183">
        <v>18.14</v>
      </c>
      <c r="B23" s="150" t="s">
        <v>1276</v>
      </c>
      <c r="C23" s="460" t="s">
        <v>1118</v>
      </c>
      <c r="D23" s="151" t="s">
        <v>1360</v>
      </c>
      <c r="E23" s="279" t="s">
        <v>1733</v>
      </c>
    </row>
    <row r="24" spans="1:5" s="15" customFormat="1" ht="27.6">
      <c r="A24" s="183">
        <v>18.149999999999999</v>
      </c>
      <c r="B24" s="150" t="s">
        <v>753</v>
      </c>
      <c r="C24" s="460" t="s">
        <v>1118</v>
      </c>
      <c r="D24" s="151" t="s">
        <v>989</v>
      </c>
      <c r="E24" s="279" t="s">
        <v>1863</v>
      </c>
    </row>
    <row r="25" spans="1:5" s="15" customFormat="1" ht="27.6">
      <c r="A25" s="530">
        <v>18.16</v>
      </c>
      <c r="B25" s="150" t="s">
        <v>754</v>
      </c>
      <c r="C25" s="460" t="s">
        <v>1118</v>
      </c>
      <c r="D25" s="151" t="s">
        <v>657</v>
      </c>
      <c r="E25" s="279" t="s">
        <v>1632</v>
      </c>
    </row>
    <row r="26" spans="1:5" s="15" customFormat="1" ht="41.4">
      <c r="A26" s="183">
        <v>18.170000000000002</v>
      </c>
      <c r="B26" s="150" t="s">
        <v>2106</v>
      </c>
      <c r="C26" s="460" t="s">
        <v>1490</v>
      </c>
      <c r="D26" s="151" t="s">
        <v>1005</v>
      </c>
      <c r="E26" s="279" t="s">
        <v>2114</v>
      </c>
    </row>
    <row r="27" spans="1:5" s="15" customFormat="1" ht="41.4">
      <c r="A27" s="183">
        <v>18.18</v>
      </c>
      <c r="B27" s="150" t="s">
        <v>2107</v>
      </c>
      <c r="C27" s="460" t="s">
        <v>1490</v>
      </c>
      <c r="D27" s="460" t="s">
        <v>795</v>
      </c>
      <c r="E27" s="279" t="s">
        <v>2101</v>
      </c>
    </row>
    <row r="28" spans="1:5" ht="20.100000000000001" customHeight="1">
      <c r="A28" s="223"/>
      <c r="B28" s="280" t="s">
        <v>1273</v>
      </c>
      <c r="C28" s="182"/>
      <c r="D28" s="188"/>
      <c r="E28" s="477"/>
    </row>
    <row r="29" spans="1:5" s="15" customFormat="1" ht="41.4">
      <c r="A29" s="183">
        <v>18.190000000000001</v>
      </c>
      <c r="B29" s="150" t="s">
        <v>1978</v>
      </c>
      <c r="C29" s="460" t="s">
        <v>1118</v>
      </c>
      <c r="D29" s="151" t="s">
        <v>1728</v>
      </c>
      <c r="E29" s="279" t="s">
        <v>1734</v>
      </c>
    </row>
    <row r="30" spans="1:5" s="15" customFormat="1" ht="27.6">
      <c r="A30" s="184">
        <v>18.2</v>
      </c>
      <c r="B30" s="150" t="s">
        <v>2108</v>
      </c>
      <c r="C30" s="460" t="s">
        <v>1490</v>
      </c>
      <c r="D30" s="151" t="s">
        <v>1005</v>
      </c>
      <c r="E30" s="279" t="s">
        <v>2100</v>
      </c>
    </row>
    <row r="31" spans="1:5" ht="31.2">
      <c r="A31" s="223"/>
      <c r="B31" s="280" t="s">
        <v>1868</v>
      </c>
      <c r="C31" s="182"/>
      <c r="D31" s="188"/>
      <c r="E31" s="477"/>
    </row>
    <row r="32" spans="1:5" ht="27.6">
      <c r="A32" s="989">
        <v>18.21</v>
      </c>
      <c r="B32" s="865" t="s">
        <v>1034</v>
      </c>
      <c r="C32" s="990" t="s">
        <v>1440</v>
      </c>
      <c r="D32" s="151" t="s">
        <v>1007</v>
      </c>
      <c r="E32" s="279" t="s">
        <v>1735</v>
      </c>
    </row>
    <row r="33" spans="1:5" ht="27.6">
      <c r="A33" s="989"/>
      <c r="B33" s="865"/>
      <c r="C33" s="990"/>
      <c r="D33" s="151" t="s">
        <v>1006</v>
      </c>
      <c r="E33" s="279" t="s">
        <v>260</v>
      </c>
    </row>
    <row r="34" spans="1:5" s="15" customFormat="1" ht="27.6">
      <c r="A34" s="989"/>
      <c r="B34" s="865"/>
      <c r="C34" s="990"/>
      <c r="D34" s="151" t="s">
        <v>658</v>
      </c>
      <c r="E34" s="279" t="s">
        <v>261</v>
      </c>
    </row>
    <row r="35" spans="1:5" s="15" customFormat="1" ht="27.6">
      <c r="A35" s="988">
        <v>18.22</v>
      </c>
      <c r="B35" s="865" t="s">
        <v>1036</v>
      </c>
      <c r="C35" s="990" t="s">
        <v>1440</v>
      </c>
      <c r="D35" s="151" t="s">
        <v>1727</v>
      </c>
      <c r="E35" s="279" t="s">
        <v>545</v>
      </c>
    </row>
    <row r="36" spans="1:5" s="15" customFormat="1" ht="27.6">
      <c r="A36" s="989"/>
      <c r="B36" s="865"/>
      <c r="C36" s="990"/>
      <c r="D36" s="151" t="s">
        <v>1731</v>
      </c>
      <c r="E36" s="279" t="s">
        <v>546</v>
      </c>
    </row>
    <row r="37" spans="1:5" s="15" customFormat="1" ht="27.6">
      <c r="A37" s="989"/>
      <c r="B37" s="865"/>
      <c r="C37" s="990"/>
      <c r="D37" s="151" t="s">
        <v>647</v>
      </c>
      <c r="E37" s="279" t="s">
        <v>547</v>
      </c>
    </row>
    <row r="38" spans="1:5" s="15" customFormat="1" ht="27.6">
      <c r="A38" s="183">
        <v>18.23</v>
      </c>
      <c r="B38" s="154" t="s">
        <v>1512</v>
      </c>
      <c r="C38" s="460" t="s">
        <v>1490</v>
      </c>
      <c r="D38" s="151" t="s">
        <v>1728</v>
      </c>
      <c r="E38" s="279" t="s">
        <v>838</v>
      </c>
    </row>
    <row r="39" spans="1:5" s="15" customFormat="1" ht="27.6">
      <c r="A39" s="184">
        <v>18.239999999999998</v>
      </c>
      <c r="B39" s="150" t="s">
        <v>755</v>
      </c>
      <c r="C39" s="460" t="s">
        <v>1490</v>
      </c>
      <c r="D39" s="151" t="s">
        <v>1728</v>
      </c>
      <c r="E39" s="279" t="s">
        <v>2023</v>
      </c>
    </row>
    <row r="40" spans="1:5" s="15" customFormat="1" ht="27.6">
      <c r="A40" s="183">
        <v>18.25</v>
      </c>
      <c r="B40" s="154" t="s">
        <v>1979</v>
      </c>
      <c r="C40" s="460" t="s">
        <v>1118</v>
      </c>
      <c r="D40" s="151" t="s">
        <v>1727</v>
      </c>
      <c r="E40" s="279" t="s">
        <v>1299</v>
      </c>
    </row>
    <row r="41" spans="1:5" s="15" customFormat="1" ht="41.4">
      <c r="A41" s="184">
        <v>18.260000000000002</v>
      </c>
      <c r="B41" s="154" t="s">
        <v>1980</v>
      </c>
      <c r="C41" s="460" t="s">
        <v>1118</v>
      </c>
      <c r="D41" s="151" t="s">
        <v>1571</v>
      </c>
      <c r="E41" s="279" t="s">
        <v>548</v>
      </c>
    </row>
    <row r="42" spans="1:5" s="15" customFormat="1" ht="13.8">
      <c r="A42" s="183">
        <v>18.27</v>
      </c>
      <c r="B42" s="154" t="s">
        <v>756</v>
      </c>
      <c r="C42" s="460" t="s">
        <v>982</v>
      </c>
      <c r="D42" s="151" t="s">
        <v>775</v>
      </c>
      <c r="E42" s="279" t="s">
        <v>839</v>
      </c>
    </row>
    <row r="43" spans="1:5" ht="20.100000000000001" customHeight="1">
      <c r="A43" s="223"/>
      <c r="B43" s="280" t="s">
        <v>757</v>
      </c>
      <c r="C43" s="182"/>
      <c r="D43" s="182"/>
      <c r="E43" s="224"/>
    </row>
    <row r="44" spans="1:5" s="15" customFormat="1" ht="13.8">
      <c r="A44" s="184">
        <v>18.28</v>
      </c>
      <c r="B44" s="150" t="s">
        <v>1514</v>
      </c>
      <c r="C44" s="460" t="s">
        <v>982</v>
      </c>
      <c r="D44" s="266" t="s">
        <v>640</v>
      </c>
      <c r="E44" s="149" t="s">
        <v>840</v>
      </c>
    </row>
    <row r="45" spans="1:5" s="15" customFormat="1" ht="27.6">
      <c r="A45" s="184">
        <v>18.29</v>
      </c>
      <c r="B45" s="150" t="s">
        <v>1513</v>
      </c>
      <c r="C45" s="460" t="s">
        <v>982</v>
      </c>
      <c r="D45" s="266" t="s">
        <v>986</v>
      </c>
      <c r="E45" s="149" t="s">
        <v>549</v>
      </c>
    </row>
    <row r="46" spans="1:5" s="15" customFormat="1" ht="41.4">
      <c r="A46" s="184">
        <v>18.3</v>
      </c>
      <c r="B46" s="150" t="s">
        <v>757</v>
      </c>
      <c r="C46" s="460" t="s">
        <v>982</v>
      </c>
      <c r="D46" s="266" t="s">
        <v>1071</v>
      </c>
      <c r="E46" s="149" t="s">
        <v>1631</v>
      </c>
    </row>
    <row r="47" spans="1:5" s="15" customFormat="1" ht="42" thickBot="1">
      <c r="A47" s="531">
        <v>18.309999999999999</v>
      </c>
      <c r="B47" s="482" t="s">
        <v>1133</v>
      </c>
      <c r="C47" s="484" t="s">
        <v>982</v>
      </c>
      <c r="D47" s="489" t="s">
        <v>1071</v>
      </c>
      <c r="E47" s="497" t="s">
        <v>1134</v>
      </c>
    </row>
    <row r="48" spans="1:5" ht="15.6">
      <c r="A48" s="223"/>
      <c r="B48" s="280" t="s">
        <v>2305</v>
      </c>
      <c r="C48" s="182"/>
      <c r="D48" s="182"/>
      <c r="E48" s="589"/>
    </row>
    <row r="49" spans="1:5" ht="52.8">
      <c r="A49" s="590">
        <v>18.32</v>
      </c>
      <c r="B49" s="591" t="s">
        <v>2306</v>
      </c>
      <c r="C49" s="115" t="s">
        <v>2307</v>
      </c>
      <c r="D49" s="115" t="s">
        <v>780</v>
      </c>
      <c r="E49" s="592" t="s">
        <v>2308</v>
      </c>
    </row>
    <row r="50" spans="1:5" ht="39.6" customHeight="1">
      <c r="A50" s="980">
        <v>18.329999999999998</v>
      </c>
      <c r="B50" s="955" t="s">
        <v>2309</v>
      </c>
      <c r="C50" s="985" t="s">
        <v>2307</v>
      </c>
      <c r="D50" s="115" t="s">
        <v>780</v>
      </c>
      <c r="E50" s="592" t="s">
        <v>2310</v>
      </c>
    </row>
    <row r="51" spans="1:5" ht="39.6">
      <c r="A51" s="981"/>
      <c r="B51" s="983"/>
      <c r="C51" s="986"/>
      <c r="D51" s="115" t="s">
        <v>1007</v>
      </c>
      <c r="E51" s="592" t="s">
        <v>2311</v>
      </c>
    </row>
    <row r="52" spans="1:5" ht="39.6">
      <c r="A52" s="981"/>
      <c r="B52" s="983"/>
      <c r="C52" s="986"/>
      <c r="D52" s="115" t="s">
        <v>583</v>
      </c>
      <c r="E52" s="592" t="s">
        <v>2312</v>
      </c>
    </row>
    <row r="53" spans="1:5" ht="39.6">
      <c r="A53" s="981"/>
      <c r="B53" s="983"/>
      <c r="C53" s="986"/>
      <c r="D53" s="115" t="s">
        <v>775</v>
      </c>
      <c r="E53" s="592" t="s">
        <v>2313</v>
      </c>
    </row>
    <row r="54" spans="1:5" ht="39.6">
      <c r="A54" s="982"/>
      <c r="B54" s="984"/>
      <c r="C54" s="987"/>
      <c r="D54" s="115" t="s">
        <v>1007</v>
      </c>
      <c r="E54" s="592" t="s">
        <v>2314</v>
      </c>
    </row>
    <row r="55" spans="1:5" ht="52.8">
      <c r="A55" s="115">
        <v>18.34</v>
      </c>
      <c r="B55" s="591" t="s">
        <v>2315</v>
      </c>
      <c r="C55" s="115" t="s">
        <v>2307</v>
      </c>
      <c r="D55" s="593" t="s">
        <v>1071</v>
      </c>
      <c r="E55" s="592" t="s">
        <v>2316</v>
      </c>
    </row>
    <row r="56" spans="1:5" ht="13.8" thickBot="1">
      <c r="A56" s="594">
        <v>18.350000000000001</v>
      </c>
      <c r="B56" s="595" t="s">
        <v>2305</v>
      </c>
      <c r="C56" s="594" t="s">
        <v>982</v>
      </c>
      <c r="D56" s="594" t="s">
        <v>1862</v>
      </c>
      <c r="E56" s="596" t="s">
        <v>2317</v>
      </c>
    </row>
  </sheetData>
  <customSheetViews>
    <customSheetView guid="{4FEDB3BD-111A-4B7D-AA97-E67173A5F707}" showPageBreaks="1" printArea="1" hiddenColumns="1" view="pageBreakPreview" showRuler="0" topLeftCell="A22">
      <selection activeCell="J35" sqref="J35"/>
      <rowBreaks count="2" manualBreakCount="2">
        <brk id="12" max="16383" man="1"/>
        <brk id="24" max="9" man="1"/>
      </rowBreaks>
      <pageMargins left="0.5" right="0.5" top="1" bottom="1" header="0.5" footer="0.5"/>
      <printOptions horizontalCentered="1"/>
      <pageSetup orientation="landscape" r:id="rId1"/>
      <headerFooter alignWithMargins="0">
        <oddHeader>&amp;C&amp;"Arial,Bold"&amp;12&amp;UProject Activity 18: Structures - Miscellaneous</oddHeader>
        <oddFooter>&amp;CPage &amp;P of &amp;N</oddFooter>
      </headerFooter>
    </customSheetView>
    <customSheetView guid="{D5FFA8DD-F2DB-47F2-B4D2-3681726B2E8F}" showPageBreaks="1" hiddenColumns="1" view="pageBreakPreview" showRuler="0" topLeftCell="A22">
      <selection activeCell="C3" sqref="C3:P3"/>
      <rowBreaks count="2" manualBreakCount="2">
        <brk id="12" max="16383" man="1"/>
        <brk id="24" max="9" man="1"/>
      </rowBreaks>
      <pageMargins left="0.5" right="0.5" top="1" bottom="1" header="0.5" footer="0.5"/>
      <printOptions horizontalCentered="1"/>
      <pageSetup orientation="landscape" r:id="rId2"/>
      <headerFooter alignWithMargins="0">
        <oddHeader>&amp;C&amp;"Arial,Bold"&amp;12&amp;UProject Activity 18: Structures - Miscellaneous</oddHeader>
        <oddFooter>&amp;CPage &amp;P of &amp;N</oddFooter>
      </headerFooter>
    </customSheetView>
    <customSheetView guid="{EFE02F7B-3837-4B0F-9646-ADE249504E9F}" showPageBreaks="1" hiddenColumns="1" view="pageBreakPreview" showRuler="0" topLeftCell="A22">
      <selection activeCell="J34" sqref="J34"/>
      <rowBreaks count="2" manualBreakCount="2">
        <brk id="12" max="16383" man="1"/>
        <brk id="24" max="9" man="1"/>
      </rowBreaks>
      <pageMargins left="0.5" right="0.5" top="1" bottom="1" header="0.5" footer="0.5"/>
      <printOptions horizontalCentered="1"/>
      <pageSetup orientation="landscape" r:id="rId3"/>
      <headerFooter alignWithMargins="0">
        <oddHeader>&amp;C&amp;"Arial,Bold"&amp;12&amp;UProject Activity 18: Structures - Miscellaneous</oddHeader>
        <oddFooter>&amp;CPage &amp;P of &amp;N</oddFooter>
      </headerFooter>
    </customSheetView>
    <customSheetView guid="{053BE130-58A3-4F3B-945A-C2EFB15C6264}" showPageBreaks="1" hiddenColumns="1" view="pageBreakPreview" showRuler="0" topLeftCell="A22">
      <selection activeCell="B23" sqref="B23"/>
      <rowBreaks count="2" manualBreakCount="2">
        <brk id="12" max="16383" man="1"/>
        <brk id="24" max="9" man="1"/>
      </rowBreaks>
      <pageMargins left="0.5" right="0.5" top="1" bottom="1" header="0.5" footer="0.5"/>
      <printOptions horizontalCentered="1"/>
      <pageSetup orientation="landscape" r:id="rId4"/>
      <headerFooter alignWithMargins="0">
        <oddHeader>&amp;C&amp;"Arial,Bold"&amp;12&amp;UProject Activity 18: Structures - Miscellaneous</oddHeader>
        <oddFooter>&amp;CPage &amp;P of &amp;N</oddFooter>
      </headerFooter>
    </customSheetView>
    <customSheetView guid="{F5DBE5B9-A9E4-4030-888B-08F930ECBB74}" showPageBreaks="1" hiddenColumns="1" view="pageBreakPreview" showRuler="0" topLeftCell="A22">
      <selection activeCell="J34" sqref="J34"/>
      <rowBreaks count="2" manualBreakCount="2">
        <brk id="12" max="16383" man="1"/>
        <brk id="24" max="9" man="1"/>
      </rowBreaks>
      <pageMargins left="0.5" right="0.5" top="1" bottom="1" header="0.5" footer="0.5"/>
      <printOptions horizontalCentered="1"/>
      <pageSetup orientation="landscape" r:id="rId5"/>
      <headerFooter alignWithMargins="0">
        <oddHeader>&amp;C&amp;"Arial,Bold"&amp;12&amp;UProject Activity 18: Structures - Miscellaneous</oddHeader>
        <oddFooter>&amp;CPage &amp;P of &amp;N</oddFooter>
      </headerFooter>
    </customSheetView>
    <customSheetView guid="{960FB4AF-B150-4523-972C-3F7C93F049F3}" showPageBreaks="1" printArea="1" hiddenColumns="1" view="pageBreakPreview" showRuler="0" topLeftCell="A16">
      <selection activeCell="B32" sqref="B32"/>
      <rowBreaks count="2" manualBreakCount="2">
        <brk id="12" max="16383" man="1"/>
        <brk id="24" max="9" man="1"/>
      </rowBreaks>
      <pageMargins left="0.5" right="0.5" top="1" bottom="1" header="0.5" footer="0.5"/>
      <printOptions horizontalCentered="1"/>
      <pageSetup orientation="landscape" r:id="rId6"/>
      <headerFooter alignWithMargins="0">
        <oddHeader>&amp;C&amp;"Arial,Bold"&amp;12&amp;UProject Activity 18: Structures - Miscellaneous</oddHeader>
        <oddFooter>&amp;CPage &amp;P of &amp;N</oddFooter>
      </headerFooter>
    </customSheetView>
    <customSheetView guid="{DF3BD4C9-2986-4236-8E90-D96736404377}" showPageBreaks="1" printArea="1" hiddenColumns="1" view="pageBreakPreview" showRuler="0" topLeftCell="A16">
      <selection activeCell="J36" sqref="J36"/>
      <rowBreaks count="3" manualBreakCount="3">
        <brk id="12" max="16383" man="1"/>
        <brk id="24" max="9" man="1"/>
        <brk id="28" max="9" man="1"/>
      </rowBreaks>
      <pageMargins left="0.5" right="0.5" top="1" bottom="1" header="0.5" footer="0.5"/>
      <printOptions horizontalCentered="1"/>
      <pageSetup orientation="landscape" r:id="rId7"/>
      <headerFooter alignWithMargins="0">
        <oddHeader>&amp;C&amp;"Arial,Bold"&amp;12&amp;UProject Activity 18: Structures - Miscellaneous</oddHeader>
        <oddFooter>&amp;CPage &amp;P of &amp;N</oddFooter>
      </headerFooter>
    </customSheetView>
  </customSheetViews>
  <mergeCells count="16">
    <mergeCell ref="A50:A54"/>
    <mergeCell ref="B50:B54"/>
    <mergeCell ref="C50:C54"/>
    <mergeCell ref="A2:E2"/>
    <mergeCell ref="A35:A37"/>
    <mergeCell ref="B35:B37"/>
    <mergeCell ref="C35:C37"/>
    <mergeCell ref="A32:A34"/>
    <mergeCell ref="B32:B34"/>
    <mergeCell ref="C32:C34"/>
    <mergeCell ref="E10:E11"/>
    <mergeCell ref="A12:A13"/>
    <mergeCell ref="B12:B13"/>
    <mergeCell ref="E12:E13"/>
    <mergeCell ref="A10:A11"/>
    <mergeCell ref="B10:B11"/>
  </mergeCells>
  <phoneticPr fontId="0" type="noConversion"/>
  <printOptions horizontalCentered="1" verticalCentered="1"/>
  <pageMargins left="0.75" right="0.75" top="1" bottom="1" header="0.5" footer="0.5"/>
  <pageSetup scale="74" fitToHeight="3" orientation="landscape" r:id="rId8"/>
  <headerFooter alignWithMargins="0"/>
  <rowBreaks count="1" manualBreakCount="1">
    <brk id="27" max="4" man="1"/>
  </rowBreak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3"/>
  <dimension ref="A1:N22"/>
  <sheetViews>
    <sheetView view="pageBreakPreview" zoomScaleNormal="100" zoomScaleSheetLayoutView="100" workbookViewId="0"/>
  </sheetViews>
  <sheetFormatPr defaultRowHeight="13.2"/>
  <cols>
    <col min="1" max="1" width="118.33203125" style="33" customWidth="1"/>
    <col min="11" max="11" width="17.33203125" bestFit="1" customWidth="1"/>
  </cols>
  <sheetData>
    <row r="1" spans="1:14">
      <c r="A1" s="199" t="s">
        <v>329</v>
      </c>
    </row>
    <row r="2" spans="1:14">
      <c r="K2" s="114"/>
      <c r="N2" t="s">
        <v>596</v>
      </c>
    </row>
    <row r="3" spans="1:14" ht="66">
      <c r="A3" s="33" t="s">
        <v>205</v>
      </c>
    </row>
    <row r="5" spans="1:14" ht="39.6">
      <c r="A5" s="33" t="s">
        <v>206</v>
      </c>
    </row>
    <row r="7" spans="1:14">
      <c r="A7" s="200" t="s">
        <v>393</v>
      </c>
    </row>
    <row r="9" spans="1:14">
      <c r="A9" s="607" t="s">
        <v>2448</v>
      </c>
    </row>
    <row r="10" spans="1:14">
      <c r="A10" s="607" t="s">
        <v>2449</v>
      </c>
    </row>
    <row r="11" spans="1:14">
      <c r="A11" s="607" t="s">
        <v>2450</v>
      </c>
    </row>
    <row r="13" spans="1:14">
      <c r="A13" s="200" t="s">
        <v>1515</v>
      </c>
    </row>
    <row r="15" spans="1:14">
      <c r="A15" s="607" t="s">
        <v>2451</v>
      </c>
    </row>
    <row r="16" spans="1:14">
      <c r="A16" s="607" t="s">
        <v>2452</v>
      </c>
    </row>
    <row r="17" spans="1:1">
      <c r="A17" s="628" t="s">
        <v>2453</v>
      </c>
    </row>
    <row r="19" spans="1:1">
      <c r="A19" s="200" t="s">
        <v>463</v>
      </c>
    </row>
    <row r="21" spans="1:1">
      <c r="A21" s="607" t="s">
        <v>2462</v>
      </c>
    </row>
    <row r="22" spans="1:1">
      <c r="A22" s="607" t="s">
        <v>2454</v>
      </c>
    </row>
  </sheetData>
  <customSheetViews>
    <customSheetView guid="{4FEDB3BD-111A-4B7D-AA97-E67173A5F707}" showPageBreaks="1" printArea="1" showRuler="0" topLeftCell="A29">
      <selection activeCell="A44" sqref="A1:A44"/>
      <pageMargins left="0.75" right="0.75" top="1" bottom="1" header="0.5" footer="0.5"/>
      <pageSetup orientation="landscape" horizontalDpi="400" verticalDpi="400" r:id="rId1"/>
      <headerFooter alignWithMargins="0">
        <oddFooter>&amp;CPage &amp;P of &amp;N</oddFooter>
      </headerFooter>
    </customSheetView>
    <customSheetView guid="{D5FFA8DD-F2DB-47F2-B4D2-3681726B2E8F}" showPageBreaks="1" showRuler="0">
      <selection activeCell="C3" sqref="C3:P3"/>
      <pageMargins left="0.75" right="0.75" top="1" bottom="1" header="0.5" footer="0.5"/>
      <pageSetup orientation="landscape" horizontalDpi="400" verticalDpi="400" r:id="rId2"/>
      <headerFooter alignWithMargins="0">
        <oddFooter>&amp;CPage &amp;P of &amp;N</oddFooter>
      </headerFooter>
    </customSheetView>
    <customSheetView guid="{EFE02F7B-3837-4B0F-9646-ADE249504E9F}" showRuler="0" topLeftCell="A11">
      <selection activeCell="C35" sqref="C35"/>
      <pageMargins left="0.75" right="0.75" top="1" bottom="1" header="0.5" footer="0.5"/>
      <pageSetup orientation="landscape" horizontalDpi="400" verticalDpi="400" r:id="rId3"/>
      <headerFooter alignWithMargins="0">
        <oddFooter>&amp;CPage &amp;P of &amp;N</oddFooter>
      </headerFooter>
    </customSheetView>
    <customSheetView guid="{053BE130-58A3-4F3B-945A-C2EFB15C6264}" showRuler="0" topLeftCell="A11">
      <selection activeCell="C35" sqref="C35"/>
      <pageMargins left="0.75" right="0.75" top="1" bottom="1" header="0.5" footer="0.5"/>
      <pageSetup orientation="landscape" horizontalDpi="400" verticalDpi="400" r:id="rId4"/>
      <headerFooter alignWithMargins="0">
        <oddFooter>&amp;CPage &amp;P of &amp;N</oddFooter>
      </headerFooter>
    </customSheetView>
    <customSheetView guid="{F5DBE5B9-A9E4-4030-888B-08F930ECBB74}" showPageBreaks="1" showRuler="0" topLeftCell="A11">
      <selection activeCell="C35" sqref="C35"/>
      <pageMargins left="0.75" right="0.75" top="1" bottom="1" header="0.5" footer="0.5"/>
      <pageSetup orientation="landscape" horizontalDpi="400" verticalDpi="400" r:id="rId5"/>
      <headerFooter alignWithMargins="0">
        <oddFooter>&amp;CPage &amp;P of &amp;N</oddFooter>
      </headerFooter>
    </customSheetView>
    <customSheetView guid="{960FB4AF-B150-4523-972C-3F7C93F049F3}" showRuler="0" topLeftCell="A29">
      <selection activeCell="A44" sqref="A1:A44"/>
      <pageMargins left="0.75" right="0.75" top="1" bottom="1" header="0.5" footer="0.5"/>
      <pageSetup orientation="landscape" horizontalDpi="400" verticalDpi="400" r:id="rId6"/>
      <headerFooter alignWithMargins="0">
        <oddFooter>&amp;CPage &amp;P of &amp;N</oddFooter>
      </headerFooter>
    </customSheetView>
    <customSheetView guid="{DF3BD4C9-2986-4236-8E90-D96736404377}" showRuler="0" topLeftCell="A29">
      <selection activeCell="A44" sqref="A1:A44"/>
      <pageMargins left="0.75" right="0.75" top="1" bottom="1" header="0.5" footer="0.5"/>
      <pageSetup orientation="landscape" horizontalDpi="400" verticalDpi="400"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scale="85" orientation="landscape" r:id="rId8"/>
  <headerFooter alignWithMargins="0"/>
  <drawing r:id="rId9"/>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4"/>
  <dimension ref="A1:F20"/>
  <sheetViews>
    <sheetView showGridLines="0" zoomScaleNormal="100" zoomScaleSheetLayoutView="100" workbookViewId="0">
      <selection sqref="A1:E1"/>
    </sheetView>
  </sheetViews>
  <sheetFormatPr defaultColWidth="9.109375" defaultRowHeight="13.2"/>
  <cols>
    <col min="1" max="1" width="6.33203125" style="4" customWidth="1"/>
    <col min="2" max="2" width="31.33203125" style="4" customWidth="1"/>
    <col min="3" max="4" width="12.6640625" style="4" customWidth="1"/>
    <col min="5" max="5" width="100.6640625" style="4" customWidth="1"/>
    <col min="6" max="6" width="9.109375" style="88"/>
    <col min="7" max="16384" width="9.109375" style="4"/>
  </cols>
  <sheetData>
    <row r="1" spans="1:6" s="26" customFormat="1" ht="20.100000000000001" customHeight="1">
      <c r="A1" s="950" t="s">
        <v>2021</v>
      </c>
      <c r="B1" s="951"/>
      <c r="C1" s="951"/>
      <c r="D1" s="951"/>
      <c r="E1" s="952"/>
      <c r="F1" s="88"/>
    </row>
    <row r="2" spans="1:6" ht="48" customHeight="1">
      <c r="A2" s="223" t="s">
        <v>385</v>
      </c>
      <c r="B2" s="182" t="s">
        <v>844</v>
      </c>
      <c r="C2" s="142" t="s">
        <v>984</v>
      </c>
      <c r="D2" s="182" t="s">
        <v>1069</v>
      </c>
      <c r="E2" s="263" t="s">
        <v>1070</v>
      </c>
    </row>
    <row r="3" spans="1:6" s="88" customFormat="1" ht="27.6">
      <c r="A3" s="152">
        <v>19.100000000000001</v>
      </c>
      <c r="B3" s="150" t="s">
        <v>368</v>
      </c>
      <c r="C3" s="151" t="s">
        <v>982</v>
      </c>
      <c r="D3" s="266" t="s">
        <v>1007</v>
      </c>
      <c r="E3" s="267" t="s">
        <v>238</v>
      </c>
      <c r="F3" s="88" t="s">
        <v>596</v>
      </c>
    </row>
    <row r="4" spans="1:6" ht="82.8">
      <c r="A4" s="152">
        <v>19.2</v>
      </c>
      <c r="B4" s="150" t="s">
        <v>1483</v>
      </c>
      <c r="C4" s="151" t="s">
        <v>982</v>
      </c>
      <c r="D4" s="266" t="s">
        <v>1071</v>
      </c>
      <c r="E4" s="267" t="s">
        <v>2181</v>
      </c>
    </row>
    <row r="5" spans="1:6" ht="96.6">
      <c r="A5" s="152">
        <v>19.3</v>
      </c>
      <c r="B5" s="150" t="s">
        <v>2455</v>
      </c>
      <c r="C5" s="151" t="s">
        <v>982</v>
      </c>
      <c r="D5" s="266" t="s">
        <v>1071</v>
      </c>
      <c r="E5" s="629" t="s">
        <v>2456</v>
      </c>
    </row>
    <row r="6" spans="1:6" ht="27.6">
      <c r="A6" s="152">
        <v>19.399999999999999</v>
      </c>
      <c r="B6" s="150" t="s">
        <v>1277</v>
      </c>
      <c r="C6" s="151" t="s">
        <v>1008</v>
      </c>
      <c r="D6" s="266" t="s">
        <v>780</v>
      </c>
      <c r="E6" s="267" t="s">
        <v>1690</v>
      </c>
    </row>
    <row r="7" spans="1:6" ht="27.6">
      <c r="A7" s="152">
        <v>19.5</v>
      </c>
      <c r="B7" s="150" t="s">
        <v>415</v>
      </c>
      <c r="C7" s="151" t="s">
        <v>1008</v>
      </c>
      <c r="D7" s="266" t="s">
        <v>1321</v>
      </c>
      <c r="E7" s="267" t="s">
        <v>1691</v>
      </c>
    </row>
    <row r="8" spans="1:6" ht="27.6">
      <c r="A8" s="152">
        <v>19.600000000000001</v>
      </c>
      <c r="B8" s="150" t="s">
        <v>416</v>
      </c>
      <c r="C8" s="151" t="s">
        <v>1008</v>
      </c>
      <c r="D8" s="266" t="s">
        <v>768</v>
      </c>
      <c r="E8" s="267" t="s">
        <v>1692</v>
      </c>
    </row>
    <row r="9" spans="1:6" ht="165.6">
      <c r="A9" s="152">
        <v>19.7</v>
      </c>
      <c r="B9" s="150" t="s">
        <v>2683</v>
      </c>
      <c r="C9" s="151" t="s">
        <v>982</v>
      </c>
      <c r="D9" s="460" t="s">
        <v>1071</v>
      </c>
      <c r="E9" s="267" t="s">
        <v>2729</v>
      </c>
    </row>
    <row r="10" spans="1:6" s="26" customFormat="1" ht="41.4">
      <c r="A10" s="152">
        <v>19.8</v>
      </c>
      <c r="B10" s="275" t="s">
        <v>843</v>
      </c>
      <c r="C10" s="180" t="s">
        <v>982</v>
      </c>
      <c r="D10" s="266" t="s">
        <v>1071</v>
      </c>
      <c r="E10" s="267" t="s">
        <v>1666</v>
      </c>
      <c r="F10" s="88"/>
    </row>
    <row r="11" spans="1:6" ht="41.4">
      <c r="A11" s="152">
        <v>19.899999999999999</v>
      </c>
      <c r="B11" s="150" t="s">
        <v>2321</v>
      </c>
      <c r="C11" s="151" t="s">
        <v>982</v>
      </c>
      <c r="D11" s="266" t="s">
        <v>1071</v>
      </c>
      <c r="E11" s="267" t="s">
        <v>2331</v>
      </c>
    </row>
    <row r="12" spans="1:6" ht="41.4">
      <c r="A12" s="153">
        <v>19.100000000000001</v>
      </c>
      <c r="B12" s="150" t="s">
        <v>85</v>
      </c>
      <c r="C12" s="151" t="s">
        <v>982</v>
      </c>
      <c r="D12" s="266" t="s">
        <v>1071</v>
      </c>
      <c r="E12" s="149" t="s">
        <v>906</v>
      </c>
    </row>
    <row r="13" spans="1:6" s="26" customFormat="1" ht="30" customHeight="1">
      <c r="A13" s="992" t="s">
        <v>567</v>
      </c>
      <c r="B13" s="993"/>
      <c r="C13" s="993"/>
      <c r="D13" s="272"/>
      <c r="E13" s="273"/>
      <c r="F13" s="88"/>
    </row>
    <row r="14" spans="1:6" s="26" customFormat="1" ht="41.4">
      <c r="A14" s="153">
        <v>19.11</v>
      </c>
      <c r="B14" s="150" t="s">
        <v>1509</v>
      </c>
      <c r="C14" s="180" t="s">
        <v>982</v>
      </c>
      <c r="D14" s="266" t="s">
        <v>1071</v>
      </c>
      <c r="E14" s="267" t="s">
        <v>387</v>
      </c>
      <c r="F14" s="88"/>
    </row>
    <row r="15" spans="1:6" ht="41.4">
      <c r="A15" s="153">
        <v>19.12</v>
      </c>
      <c r="B15" s="150" t="s">
        <v>741</v>
      </c>
      <c r="C15" s="151" t="s">
        <v>982</v>
      </c>
      <c r="D15" s="266" t="s">
        <v>1071</v>
      </c>
      <c r="E15" s="267" t="s">
        <v>2183</v>
      </c>
    </row>
    <row r="16" spans="1:6" ht="41.4">
      <c r="A16" s="153">
        <v>19.13</v>
      </c>
      <c r="B16" s="150" t="s">
        <v>1339</v>
      </c>
      <c r="C16" s="151" t="s">
        <v>982</v>
      </c>
      <c r="D16" s="266" t="s">
        <v>1071</v>
      </c>
      <c r="E16" s="267" t="s">
        <v>900</v>
      </c>
    </row>
    <row r="17" spans="1:5" ht="41.4">
      <c r="A17" s="153">
        <v>19.14</v>
      </c>
      <c r="B17" s="181" t="s">
        <v>1482</v>
      </c>
      <c r="C17" s="180" t="s">
        <v>982</v>
      </c>
      <c r="D17" s="266" t="s">
        <v>1071</v>
      </c>
      <c r="E17" s="267" t="s">
        <v>901</v>
      </c>
    </row>
    <row r="18" spans="1:5" ht="41.4">
      <c r="A18" s="153">
        <v>19.149999999999999</v>
      </c>
      <c r="B18" s="150" t="s">
        <v>912</v>
      </c>
      <c r="C18" s="151" t="s">
        <v>982</v>
      </c>
      <c r="D18" s="266" t="s">
        <v>1071</v>
      </c>
      <c r="E18" s="267" t="s">
        <v>239</v>
      </c>
    </row>
    <row r="19" spans="1:5" ht="30" customHeight="1">
      <c r="A19" s="994" t="s">
        <v>254</v>
      </c>
      <c r="B19" s="995"/>
      <c r="C19" s="995"/>
      <c r="D19" s="272"/>
      <c r="E19" s="273"/>
    </row>
    <row r="20" spans="1:5" ht="69.599999999999994" thickBot="1">
      <c r="A20" s="532">
        <v>19.16</v>
      </c>
      <c r="B20" s="533" t="s">
        <v>384</v>
      </c>
      <c r="C20" s="534" t="s">
        <v>982</v>
      </c>
      <c r="D20" s="489" t="s">
        <v>1071</v>
      </c>
      <c r="E20" s="497" t="s">
        <v>2182</v>
      </c>
    </row>
  </sheetData>
  <customSheetViews>
    <customSheetView guid="{4FEDB3BD-111A-4B7D-AA97-E67173A5F707}" showPageBreaks="1" printArea="1" hiddenColumns="1" view="pageBreakPreview" showRuler="0" topLeftCell="A11">
      <selection activeCell="I13" sqref="I13"/>
      <pageMargins left="0.5" right="0.5" top="1" bottom="1" header="0.5" footer="0.34"/>
      <printOptions horizontalCentered="1"/>
      <pageSetup fitToHeight="0" orientation="landscape" r:id="rId1"/>
      <headerFooter alignWithMargins="0">
        <oddHeader>&amp;C&amp;"Arial,Bold"&amp;12&amp;UProject Activity 19: Signing and Pavement Marking Analysis</oddHeader>
        <oddFooter>&amp;CPage &amp;P of &amp;N</oddFooter>
      </headerFooter>
    </customSheetView>
    <customSheetView guid="{D5FFA8DD-F2DB-47F2-B4D2-3681726B2E8F}" showPageBreaks="1" printArea="1" hiddenColumns="1" view="pageBreakPreview" showRuler="0">
      <selection activeCell="C3" sqref="C3:P3"/>
      <pageMargins left="0.5" right="0.5" top="1" bottom="1" header="0.5" footer="0.34"/>
      <printOptions horizontalCentered="1"/>
      <pageSetup fitToHeight="0" orientation="landscape" r:id="rId2"/>
      <headerFooter alignWithMargins="0">
        <oddHeader>&amp;C&amp;"Arial,Bold"&amp;12&amp;UProject Activity 19: Signing and Pavement Marking Analysis</oddHeader>
        <oddFooter>&amp;CPage &amp;P of &amp;N</oddFooter>
      </headerFooter>
    </customSheetView>
    <customSheetView guid="{EFE02F7B-3837-4B0F-9646-ADE249504E9F}" showPageBreaks="1" printArea="1" hiddenColumns="1" view="pageBreakPreview" showRuler="0" topLeftCell="A11">
      <selection activeCell="I13" sqref="I13"/>
      <pageMargins left="0.5" right="0.5" top="1" bottom="1" header="0.5" footer="0.34"/>
      <printOptions horizontalCentered="1"/>
      <pageSetup fitToHeight="0" orientation="landscape" r:id="rId3"/>
      <headerFooter alignWithMargins="0">
        <oddHeader>&amp;C&amp;"Arial,Bold"&amp;12&amp;UProject Activity 19: Signing and Pavement Marking Analysis</oddHeader>
        <oddFooter>&amp;CPage &amp;P of &amp;N</oddFooter>
      </headerFooter>
    </customSheetView>
    <customSheetView guid="{053BE130-58A3-4F3B-945A-C2EFB15C6264}" showPageBreaks="1" printArea="1" hiddenColumns="1" view="pageBreakPreview" showRuler="0" topLeftCell="A10">
      <selection activeCell="I22" sqref="I22"/>
      <pageMargins left="0.5" right="0.5" top="1" bottom="1" header="0.5" footer="0.34"/>
      <printOptions horizontalCentered="1"/>
      <pageSetup fitToHeight="0" orientation="landscape" r:id="rId4"/>
      <headerFooter alignWithMargins="0">
        <oddHeader>&amp;C&amp;"Arial,Bold"&amp;12&amp;UProject Activity 19: Signing and Pavement Marking Analysis</oddHeader>
        <oddFooter>&amp;CPage &amp;P of &amp;N</oddFooter>
      </headerFooter>
    </customSheetView>
    <customSheetView guid="{F5DBE5B9-A9E4-4030-888B-08F930ECBB74}" showPageBreaks="1" printArea="1" hiddenColumns="1" view="pageBreakPreview" showRuler="0" topLeftCell="A11">
      <selection activeCell="I13" sqref="I13"/>
      <pageMargins left="0.5" right="0.5" top="1" bottom="1" header="0.5" footer="0.34"/>
      <printOptions horizontalCentered="1"/>
      <pageSetup fitToHeight="0" orientation="landscape" r:id="rId5"/>
      <headerFooter alignWithMargins="0">
        <oddHeader>&amp;C&amp;"Arial,Bold"&amp;12&amp;UProject Activity 19: Signing and Pavement Marking Analysis</oddHeader>
        <oddFooter>&amp;CPage &amp;P of &amp;N</oddFooter>
      </headerFooter>
    </customSheetView>
    <customSheetView guid="{960FB4AF-B150-4523-972C-3F7C93F049F3}" showPageBreaks="1" printArea="1" hiddenColumns="1" view="pageBreakPreview" showRuler="0" topLeftCell="A11">
      <selection activeCell="I13" sqref="I13"/>
      <pageMargins left="0.5" right="0.5" top="1" bottom="1" header="0.5" footer="0.34"/>
      <printOptions horizontalCentered="1"/>
      <pageSetup fitToHeight="0" orientation="landscape" r:id="rId6"/>
      <headerFooter alignWithMargins="0">
        <oddHeader>&amp;C&amp;"Arial,Bold"&amp;12&amp;UProject Activity 19: Signing and Pavement Marking Analysis</oddHeader>
        <oddFooter>&amp;CPage &amp;P of &amp;N</oddFooter>
      </headerFooter>
    </customSheetView>
    <customSheetView guid="{DF3BD4C9-2986-4236-8E90-D96736404377}" showPageBreaks="1" printArea="1" hiddenColumns="1" view="pageBreakPreview" showRuler="0" topLeftCell="A11">
      <selection activeCell="I13" sqref="I13"/>
      <pageMargins left="0.5" right="0.5" top="1" bottom="1" header="0.5" footer="0.34"/>
      <printOptions horizontalCentered="1"/>
      <pageSetup fitToHeight="0" orientation="landscape" r:id="rId7"/>
      <headerFooter alignWithMargins="0">
        <oddHeader>&amp;C&amp;"Arial,Bold"&amp;12&amp;UProject Activity 19: Signing and Pavement Marking Analysis</oddHeader>
        <oddFooter>&amp;CPage &amp;P of &amp;N</oddFooter>
      </headerFooter>
    </customSheetView>
  </customSheetViews>
  <mergeCells count="3">
    <mergeCell ref="A13:C13"/>
    <mergeCell ref="A19:C19"/>
    <mergeCell ref="A1:E1"/>
  </mergeCells>
  <phoneticPr fontId="0" type="noConversion"/>
  <printOptions horizontalCentered="1" verticalCentered="1"/>
  <pageMargins left="0.75" right="0.75" top="1" bottom="1" header="0.5" footer="0.5"/>
  <pageSetup scale="74" fitToHeight="0" orientation="landscape" r:id="rId8"/>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5"/>
  <dimension ref="A1:C17"/>
  <sheetViews>
    <sheetView showGridLines="0" zoomScaleNormal="100" zoomScaleSheetLayoutView="100" workbookViewId="0">
      <selection sqref="A1:C1"/>
    </sheetView>
  </sheetViews>
  <sheetFormatPr defaultColWidth="9.109375" defaultRowHeight="13.2"/>
  <cols>
    <col min="1" max="1" width="6.33203125" style="9" customWidth="1"/>
    <col min="2" max="2" width="31.33203125" style="9" customWidth="1"/>
    <col min="3" max="3" width="100.6640625" style="9" customWidth="1"/>
    <col min="4" max="16384" width="9.109375" style="9"/>
  </cols>
  <sheetData>
    <row r="1" spans="1:3" s="26" customFormat="1" ht="15.6">
      <c r="A1" s="950" t="s">
        <v>2022</v>
      </c>
      <c r="B1" s="951"/>
      <c r="C1" s="952"/>
    </row>
    <row r="2" spans="1:3" ht="46.8">
      <c r="A2" s="261" t="s">
        <v>385</v>
      </c>
      <c r="B2" s="262" t="s">
        <v>844</v>
      </c>
      <c r="C2" s="263" t="s">
        <v>2611</v>
      </c>
    </row>
    <row r="3" spans="1:3" ht="27.6">
      <c r="A3" s="152">
        <v>20.100000000000001</v>
      </c>
      <c r="B3" s="150" t="s">
        <v>2635</v>
      </c>
      <c r="C3" s="149" t="s">
        <v>2579</v>
      </c>
    </row>
    <row r="4" spans="1:3" ht="41.4">
      <c r="A4" s="152">
        <v>20.2</v>
      </c>
      <c r="B4" s="150" t="s">
        <v>92</v>
      </c>
      <c r="C4" s="149" t="s">
        <v>2684</v>
      </c>
    </row>
    <row r="5" spans="1:3" ht="41.4">
      <c r="A5" s="152">
        <v>20.3</v>
      </c>
      <c r="B5" s="150" t="s">
        <v>1485</v>
      </c>
      <c r="C5" s="149" t="s">
        <v>2685</v>
      </c>
    </row>
    <row r="6" spans="1:3" ht="69">
      <c r="A6" s="152">
        <v>20.399999999999999</v>
      </c>
      <c r="B6" s="154" t="s">
        <v>1486</v>
      </c>
      <c r="C6" s="651" t="s">
        <v>2691</v>
      </c>
    </row>
    <row r="7" spans="1:3" ht="69">
      <c r="A7" s="152">
        <v>20.5</v>
      </c>
      <c r="B7" s="154" t="s">
        <v>94</v>
      </c>
      <c r="C7" s="149" t="s">
        <v>2686</v>
      </c>
    </row>
    <row r="8" spans="1:3" ht="41.4">
      <c r="A8" s="152">
        <v>20.6</v>
      </c>
      <c r="B8" s="154" t="s">
        <v>625</v>
      </c>
      <c r="C8" s="149" t="s">
        <v>2687</v>
      </c>
    </row>
    <row r="9" spans="1:3" ht="27.6">
      <c r="A9" s="152">
        <v>20.7</v>
      </c>
      <c r="B9" s="154" t="s">
        <v>2692</v>
      </c>
      <c r="C9" s="149" t="s">
        <v>2688</v>
      </c>
    </row>
    <row r="10" spans="1:3" ht="55.2">
      <c r="A10" s="152">
        <v>20.8</v>
      </c>
      <c r="B10" s="157" t="s">
        <v>2693</v>
      </c>
      <c r="C10" s="149" t="s">
        <v>2730</v>
      </c>
    </row>
    <row r="11" spans="1:3" ht="30" customHeight="1">
      <c r="A11" s="996" t="s">
        <v>2694</v>
      </c>
      <c r="B11" s="997"/>
      <c r="C11" s="264"/>
    </row>
    <row r="12" spans="1:3" ht="27.6">
      <c r="A12" s="152">
        <v>20.9</v>
      </c>
      <c r="B12" s="150" t="s">
        <v>1339</v>
      </c>
      <c r="C12" s="149" t="s">
        <v>2689</v>
      </c>
    </row>
    <row r="13" spans="1:3" ht="28.2" thickBot="1">
      <c r="A13" s="532">
        <v>20.100000000000001</v>
      </c>
      <c r="B13" s="482" t="s">
        <v>912</v>
      </c>
      <c r="C13" s="485" t="s">
        <v>2690</v>
      </c>
    </row>
    <row r="17" spans="2:2">
      <c r="B17" s="10"/>
    </row>
  </sheetData>
  <customSheetViews>
    <customSheetView guid="{4FEDB3BD-111A-4B7D-AA97-E67173A5F707}" showPageBreaks="1" printArea="1" hiddenColumns="1" view="pageBreakPreview" showRuler="0" topLeftCell="A8">
      <selection activeCell="K17" sqref="K17"/>
      <rowBreaks count="1" manualBreakCount="1">
        <brk id="14" max="10" man="1"/>
      </rowBreaks>
      <pageMargins left="0.5" right="0.5" top="1" bottom="1" header="0.5" footer="0.34"/>
      <printOptions horizontalCentered="1"/>
      <pageSetup orientation="landscape" horizontalDpi="4294967292" r:id="rId1"/>
      <headerFooter alignWithMargins="0">
        <oddHeader>&amp;C&amp;"Arial,Bold"&amp;12&amp;UProject Activity 20: Signing and Pavement  Marking Plans</oddHeader>
        <oddFooter>&amp;CPage &amp;P of &amp;N</oddFooter>
      </headerFooter>
    </customSheetView>
    <customSheetView guid="{D5FFA8DD-F2DB-47F2-B4D2-3681726B2E8F}" showPageBreaks="1" printArea="1" hiddenColumns="1" view="pageBreakPreview" showRuler="0">
      <selection activeCell="C3" sqref="C3:P3"/>
      <pageMargins left="0.5" right="0.5" top="1" bottom="1" header="0.5" footer="0.34"/>
      <printOptions horizontalCentered="1"/>
      <pageSetup orientation="landscape" horizontalDpi="4294967292" r:id="rId2"/>
      <headerFooter alignWithMargins="0">
        <oddHeader>&amp;C&amp;"Arial,Bold"&amp;12&amp;UProject Activity 20: Signing and Pavement  Marking Plans</oddHeader>
        <oddFooter>&amp;CPage &amp;P of &amp;N</oddFooter>
      </headerFooter>
    </customSheetView>
    <customSheetView guid="{EFE02F7B-3837-4B0F-9646-ADE249504E9F}" showPageBreaks="1" printArea="1" hiddenColumns="1" view="pageBreakPreview" showRuler="0" topLeftCell="A6">
      <selection activeCell="K17" sqref="K17"/>
      <pageMargins left="0.5" right="0.5" top="1" bottom="1" header="0.5" footer="0.34"/>
      <printOptions horizontalCentered="1"/>
      <pageSetup orientation="landscape" horizontalDpi="4294967292" r:id="rId3"/>
      <headerFooter alignWithMargins="0">
        <oddHeader>&amp;C&amp;"Arial,Bold"&amp;12&amp;UProject Activity 20: Signing and Pavement  Marking Plans</oddHeader>
        <oddFooter>&amp;CPage &amp;P of &amp;N</oddFooter>
      </headerFooter>
    </customSheetView>
    <customSheetView guid="{053BE130-58A3-4F3B-945A-C2EFB15C6264}" showPageBreaks="1" printArea="1" hiddenColumns="1" view="pageBreakPreview" showRuler="0" topLeftCell="A10">
      <selection activeCell="K17" sqref="K17"/>
      <pageMargins left="0.5" right="0.5" top="1" bottom="1" header="0.5" footer="0.34"/>
      <printOptions horizontalCentered="1"/>
      <pageSetup orientation="landscape" horizontalDpi="4294967292" r:id="rId4"/>
      <headerFooter alignWithMargins="0">
        <oddHeader>&amp;C&amp;"Arial,Bold"&amp;12&amp;UProject Activity 20: Signing and Pavement  Marking Plans</oddHeader>
        <oddFooter>&amp;CPage &amp;P of &amp;N</oddFooter>
      </headerFooter>
    </customSheetView>
    <customSheetView guid="{F5DBE5B9-A9E4-4030-888B-08F930ECBB74}" showPageBreaks="1" printArea="1" hiddenColumns="1" view="pageBreakPreview" showRuler="0" topLeftCell="A6">
      <selection activeCell="K17" sqref="K17"/>
      <pageMargins left="0.5" right="0.5" top="1" bottom="1" header="0.5" footer="0.34"/>
      <printOptions horizontalCentered="1"/>
      <pageSetup orientation="landscape" horizontalDpi="4294967292" r:id="rId5"/>
      <headerFooter alignWithMargins="0">
        <oddHeader>&amp;C&amp;"Arial,Bold"&amp;12&amp;UProject Activity 20: Signing and Pavement  Marking Plans</oddHeader>
        <oddFooter>&amp;CPage &amp;P of &amp;N</oddFooter>
      </headerFooter>
    </customSheetView>
    <customSheetView guid="{960FB4AF-B150-4523-972C-3F7C93F049F3}" showPageBreaks="1" printArea="1" hiddenColumns="1" view="pageBreakPreview" showRuler="0" topLeftCell="A8">
      <selection activeCell="K17" sqref="K17"/>
      <rowBreaks count="1" manualBreakCount="1">
        <brk id="14" max="10" man="1"/>
      </rowBreaks>
      <pageMargins left="0.5" right="0.5" top="1" bottom="1" header="0.5" footer="0.34"/>
      <printOptions horizontalCentered="1"/>
      <pageSetup orientation="landscape" horizontalDpi="4294967292" r:id="rId6"/>
      <headerFooter alignWithMargins="0">
        <oddHeader>&amp;C&amp;"Arial,Bold"&amp;12&amp;UProject Activity 20: Signing and Pavement  Marking Plans</oddHeader>
        <oddFooter>&amp;CPage &amp;P of &amp;N</oddFooter>
      </headerFooter>
    </customSheetView>
    <customSheetView guid="{DF3BD4C9-2986-4236-8E90-D96736404377}" showPageBreaks="1" printArea="1" hiddenColumns="1" view="pageBreakPreview" showRuler="0" topLeftCell="A8">
      <selection activeCell="K17" sqref="K17"/>
      <rowBreaks count="1" manualBreakCount="1">
        <brk id="14" max="10" man="1"/>
      </rowBreaks>
      <pageMargins left="0.5" right="0.5" top="1" bottom="1" header="0.5" footer="0.34"/>
      <printOptions horizontalCentered="1"/>
      <pageSetup orientation="landscape" horizontalDpi="4294967292" r:id="rId7"/>
      <headerFooter alignWithMargins="0">
        <oddHeader>&amp;C&amp;"Arial,Bold"&amp;12&amp;UProject Activity 20: Signing and Pavement  Marking Plans</oddHeader>
        <oddFooter>&amp;CPage &amp;P of &amp;N</oddFooter>
      </headerFooter>
    </customSheetView>
  </customSheetViews>
  <mergeCells count="2">
    <mergeCell ref="A11:B11"/>
    <mergeCell ref="A1:C1"/>
  </mergeCells>
  <phoneticPr fontId="0" type="noConversion"/>
  <printOptions horizontalCentered="1" verticalCentered="1"/>
  <pageMargins left="0.75" right="0.75" top="1" bottom="1" header="0.5" footer="0.5"/>
  <pageSetup scale="74" orientation="landscape" r:id="rId8"/>
  <headerFooter alignWithMargins="0"/>
  <rowBreaks count="1" manualBreakCount="1">
    <brk id="10" max="4" man="1"/>
  </rowBreak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4"/>
  <dimension ref="A1:N23"/>
  <sheetViews>
    <sheetView view="pageBreakPreview" zoomScale="145" zoomScaleNormal="100" zoomScaleSheetLayoutView="145" workbookViewId="0"/>
  </sheetViews>
  <sheetFormatPr defaultRowHeight="13.2"/>
  <cols>
    <col min="1" max="1" width="118.33203125" customWidth="1"/>
    <col min="11" max="11" width="17.33203125" bestFit="1" customWidth="1"/>
  </cols>
  <sheetData>
    <row r="1" spans="1:14">
      <c r="A1" s="199" t="s">
        <v>1167</v>
      </c>
    </row>
    <row r="2" spans="1:14">
      <c r="A2" s="33"/>
      <c r="K2" s="114"/>
      <c r="N2" t="s">
        <v>596</v>
      </c>
    </row>
    <row r="3" spans="1:14" ht="66">
      <c r="A3" s="33" t="s">
        <v>205</v>
      </c>
    </row>
    <row r="4" spans="1:14">
      <c r="A4" s="33"/>
    </row>
    <row r="5" spans="1:14" ht="39.6">
      <c r="A5" s="33" t="s">
        <v>478</v>
      </c>
    </row>
    <row r="7" spans="1:14">
      <c r="A7" s="200" t="s">
        <v>393</v>
      </c>
    </row>
    <row r="9" spans="1:14">
      <c r="A9" t="s">
        <v>1063</v>
      </c>
    </row>
    <row r="10" spans="1:14">
      <c r="A10" t="s">
        <v>1453</v>
      </c>
    </row>
    <row r="11" spans="1:14">
      <c r="A11" t="s">
        <v>1163</v>
      </c>
    </row>
    <row r="12" spans="1:14">
      <c r="A12" t="s">
        <v>1452</v>
      </c>
    </row>
    <row r="14" spans="1:14">
      <c r="A14" s="200" t="s">
        <v>1515</v>
      </c>
    </row>
    <row r="16" spans="1:14">
      <c r="A16" t="s">
        <v>1066</v>
      </c>
    </row>
    <row r="17" spans="1:1">
      <c r="A17" t="s">
        <v>1064</v>
      </c>
    </row>
    <row r="18" spans="1:1">
      <c r="A18" t="s">
        <v>1065</v>
      </c>
    </row>
    <row r="20" spans="1:1">
      <c r="A20" s="200" t="s">
        <v>462</v>
      </c>
    </row>
    <row r="22" spans="1:1">
      <c r="A22" t="s">
        <v>742</v>
      </c>
    </row>
    <row r="23" spans="1:1">
      <c r="A23" t="s">
        <v>743</v>
      </c>
    </row>
  </sheetData>
  <customSheetViews>
    <customSheetView guid="{4FEDB3BD-111A-4B7D-AA97-E67173A5F707}" showPageBreaks="1" printArea="1" showRuler="0" topLeftCell="A22">
      <selection activeCell="A8" sqref="A8"/>
      <rowBreaks count="2" manualBreakCount="2">
        <brk id="24" max="16383" man="1"/>
        <brk id="61" max="16383" man="1"/>
      </rowBreaks>
      <pageMargins left="0.75" right="0.75" top="1" bottom="1" header="0.5" footer="0.5"/>
      <pageSetup orientation="landscape" horizontalDpi="400" verticalDpi="400" r:id="rId1"/>
      <headerFooter alignWithMargins="0">
        <oddFooter>&amp;CPage &amp;P of &amp;N</oddFooter>
      </headerFooter>
    </customSheetView>
    <customSheetView guid="{D5FFA8DD-F2DB-47F2-B4D2-3681726B2E8F}" showPageBreaks="1" showRuler="0">
      <selection activeCell="C3" sqref="C3:P3"/>
      <rowBreaks count="2" manualBreakCount="2">
        <brk id="24" max="16383" man="1"/>
        <brk id="61" max="16383" man="1"/>
      </rowBreaks>
      <pageMargins left="0.75" right="0.75" top="1" bottom="1" header="0.5" footer="0.5"/>
      <pageSetup orientation="landscape" horizontalDpi="400" verticalDpi="400" r:id="rId2"/>
      <headerFooter alignWithMargins="0">
        <oddFooter>&amp;CPage &amp;P of &amp;N</oddFooter>
      </headerFooter>
    </customSheetView>
    <customSheetView guid="{EFE02F7B-3837-4B0F-9646-ADE249504E9F}" showRuler="0" topLeftCell="A5">
      <selection activeCell="A29" sqref="A29"/>
      <rowBreaks count="2" manualBreakCount="2">
        <brk id="24" max="16383" man="1"/>
        <brk id="61" max="16383" man="1"/>
      </rowBreaks>
      <pageMargins left="0.75" right="0.75" top="1" bottom="1" header="0.5" footer="0.5"/>
      <pageSetup orientation="landscape" horizontalDpi="400" verticalDpi="400" r:id="rId3"/>
      <headerFooter alignWithMargins="0">
        <oddFooter>&amp;CPage &amp;P of &amp;N</oddFooter>
      </headerFooter>
    </customSheetView>
    <customSheetView guid="{053BE130-58A3-4F3B-945A-C2EFB15C6264}" showRuler="0" topLeftCell="A5">
      <selection activeCell="A29" sqref="A29"/>
      <rowBreaks count="1" manualBreakCount="1">
        <brk id="24" max="16383" man="1"/>
      </rowBreaks>
      <pageMargins left="0.75" right="0.75" top="1" bottom="1" header="0.5" footer="0.5"/>
      <pageSetup orientation="landscape" horizontalDpi="400" verticalDpi="400" r:id="rId4"/>
      <headerFooter alignWithMargins="0">
        <oddFooter>&amp;CPage &amp;P of &amp;N</oddFooter>
      </headerFooter>
    </customSheetView>
    <customSheetView guid="{F5DBE5B9-A9E4-4030-888B-08F930ECBB74}" showPageBreaks="1" showRuler="0" topLeftCell="A5">
      <selection activeCell="A29" sqref="A29"/>
      <rowBreaks count="2" manualBreakCount="2">
        <brk id="24" max="16383" man="1"/>
        <brk id="61" max="16383" man="1"/>
      </rowBreaks>
      <pageMargins left="0.75" right="0.75" top="1" bottom="1" header="0.5" footer="0.5"/>
      <pageSetup orientation="landscape" horizontalDpi="400" verticalDpi="400" r:id="rId5"/>
      <headerFooter alignWithMargins="0">
        <oddFooter>&amp;CPage &amp;P of &amp;N</oddFooter>
      </headerFooter>
    </customSheetView>
    <customSheetView guid="{960FB4AF-B150-4523-972C-3F7C93F049F3}" showRuler="0" topLeftCell="A22">
      <selection activeCell="A8" sqref="A8"/>
      <rowBreaks count="2" manualBreakCount="2">
        <brk id="24" max="16383" man="1"/>
        <brk id="61" max="16383" man="1"/>
      </rowBreaks>
      <pageMargins left="0.75" right="0.75" top="1" bottom="1" header="0.5" footer="0.5"/>
      <pageSetup orientation="landscape" horizontalDpi="400" verticalDpi="400" r:id="rId6"/>
      <headerFooter alignWithMargins="0">
        <oddFooter>&amp;CPage &amp;P of &amp;N</oddFooter>
      </headerFooter>
    </customSheetView>
    <customSheetView guid="{DF3BD4C9-2986-4236-8E90-D96736404377}" showRuler="0" topLeftCell="A22">
      <selection activeCell="A8" sqref="A8"/>
      <rowBreaks count="2" manualBreakCount="2">
        <brk id="24" max="16383" man="1"/>
        <brk id="61" max="16383" man="1"/>
      </rowBreaks>
      <pageMargins left="0.75" right="0.75" top="1" bottom="1" header="0.5" footer="0.5"/>
      <pageSetup orientation="landscape" horizontalDpi="400" verticalDpi="400"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rowBreaks count="2" manualBreakCount="2">
    <brk id="24" max="16383" man="1"/>
    <brk id="61" max="16383" man="1"/>
  </rowBreaks>
  <drawing r:id="rId9"/>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
  <dimension ref="A1:F500"/>
  <sheetViews>
    <sheetView showGridLines="0" zoomScale="145" zoomScaleNormal="145" zoomScaleSheetLayoutView="100" workbookViewId="0">
      <selection sqref="A1:E1"/>
    </sheetView>
  </sheetViews>
  <sheetFormatPr defaultColWidth="9.109375" defaultRowHeight="13.2"/>
  <cols>
    <col min="1" max="1" width="6.33203125" style="4" customWidth="1"/>
    <col min="2" max="2" width="31.33203125" style="4" customWidth="1"/>
    <col min="3" max="4" width="12.6640625" style="4" customWidth="1"/>
    <col min="5" max="5" width="100.6640625" style="4" customWidth="1"/>
    <col min="6" max="16384" width="9.109375" style="4"/>
  </cols>
  <sheetData>
    <row r="1" spans="1:6" s="26" customFormat="1" ht="20.100000000000001" customHeight="1">
      <c r="A1" s="1000" t="s">
        <v>736</v>
      </c>
      <c r="B1" s="1001"/>
      <c r="C1" s="1001"/>
      <c r="D1" s="1001"/>
      <c r="E1" s="1002"/>
    </row>
    <row r="2" spans="1:6" ht="48" customHeight="1">
      <c r="A2" s="223" t="s">
        <v>385</v>
      </c>
      <c r="B2" s="182" t="s">
        <v>844</v>
      </c>
      <c r="C2" s="142" t="s">
        <v>984</v>
      </c>
      <c r="D2" s="182" t="s">
        <v>1069</v>
      </c>
      <c r="E2" s="263" t="s">
        <v>1070</v>
      </c>
    </row>
    <row r="3" spans="1:6" ht="55.2">
      <c r="A3" s="152">
        <v>21.1</v>
      </c>
      <c r="B3" s="150" t="s">
        <v>95</v>
      </c>
      <c r="C3" s="151" t="s">
        <v>982</v>
      </c>
      <c r="D3" s="266" t="s">
        <v>1071</v>
      </c>
      <c r="E3" s="267" t="s">
        <v>132</v>
      </c>
      <c r="F3" s="4" t="s">
        <v>596</v>
      </c>
    </row>
    <row r="4" spans="1:6" ht="41.4">
      <c r="A4" s="152">
        <v>21.2</v>
      </c>
      <c r="B4" s="150" t="s">
        <v>368</v>
      </c>
      <c r="C4" s="151" t="s">
        <v>98</v>
      </c>
      <c r="D4" s="266" t="s">
        <v>242</v>
      </c>
      <c r="E4" s="267" t="s">
        <v>1753</v>
      </c>
    </row>
    <row r="5" spans="1:6" ht="41.4">
      <c r="A5" s="152">
        <v>21.3</v>
      </c>
      <c r="B5" s="150" t="s">
        <v>831</v>
      </c>
      <c r="C5" s="151" t="s">
        <v>982</v>
      </c>
      <c r="D5" s="266" t="s">
        <v>1071</v>
      </c>
      <c r="E5" s="267" t="s">
        <v>243</v>
      </c>
    </row>
    <row r="6" spans="1:6" ht="41.4">
      <c r="A6" s="152">
        <v>21.4</v>
      </c>
      <c r="B6" s="150" t="s">
        <v>96</v>
      </c>
      <c r="C6" s="151" t="s">
        <v>982</v>
      </c>
      <c r="D6" s="266" t="s">
        <v>1071</v>
      </c>
      <c r="E6" s="267" t="s">
        <v>1172</v>
      </c>
    </row>
    <row r="7" spans="1:6" ht="82.8">
      <c r="A7" s="152">
        <v>21.5</v>
      </c>
      <c r="B7" s="150" t="s">
        <v>97</v>
      </c>
      <c r="C7" s="180" t="s">
        <v>98</v>
      </c>
      <c r="D7" s="269" t="s">
        <v>1173</v>
      </c>
      <c r="E7" s="467" t="s">
        <v>2433</v>
      </c>
    </row>
    <row r="8" spans="1:6" ht="69">
      <c r="A8" s="152">
        <v>21.6</v>
      </c>
      <c r="B8" s="150" t="s">
        <v>54</v>
      </c>
      <c r="C8" s="151" t="s">
        <v>982</v>
      </c>
      <c r="D8" s="266" t="s">
        <v>1071</v>
      </c>
      <c r="E8" s="267" t="s">
        <v>5</v>
      </c>
    </row>
    <row r="9" spans="1:6" ht="27.6">
      <c r="A9" s="152">
        <v>21.7</v>
      </c>
      <c r="B9" s="150" t="s">
        <v>614</v>
      </c>
      <c r="C9" s="180" t="s">
        <v>1008</v>
      </c>
      <c r="D9" s="266" t="s">
        <v>762</v>
      </c>
      <c r="E9" s="267" t="s">
        <v>1569</v>
      </c>
    </row>
    <row r="10" spans="1:6" ht="41.4">
      <c r="A10" s="152">
        <v>21.8</v>
      </c>
      <c r="B10" s="150" t="s">
        <v>615</v>
      </c>
      <c r="C10" s="151" t="s">
        <v>982</v>
      </c>
      <c r="D10" s="266" t="s">
        <v>1071</v>
      </c>
      <c r="E10" s="267" t="s">
        <v>1570</v>
      </c>
    </row>
    <row r="11" spans="1:6" s="88" customFormat="1" ht="20.100000000000001" customHeight="1">
      <c r="A11" s="152">
        <v>21.9</v>
      </c>
      <c r="B11" s="150" t="s">
        <v>617</v>
      </c>
      <c r="C11" s="151" t="s">
        <v>982</v>
      </c>
      <c r="D11" s="266" t="s">
        <v>1571</v>
      </c>
      <c r="E11" s="267" t="s">
        <v>1572</v>
      </c>
    </row>
    <row r="12" spans="1:6" ht="69">
      <c r="A12" s="274">
        <v>21.1</v>
      </c>
      <c r="B12" s="150" t="s">
        <v>2695</v>
      </c>
      <c r="C12" s="151" t="s">
        <v>982</v>
      </c>
      <c r="D12" s="266" t="s">
        <v>1071</v>
      </c>
      <c r="E12" s="267" t="s">
        <v>2696</v>
      </c>
    </row>
    <row r="13" spans="1:6" ht="41.4">
      <c r="A13" s="153">
        <v>21.11</v>
      </c>
      <c r="B13" s="275" t="s">
        <v>843</v>
      </c>
      <c r="C13" s="180" t="s">
        <v>982</v>
      </c>
      <c r="D13" s="269" t="s">
        <v>1071</v>
      </c>
      <c r="E13" s="467" t="s">
        <v>1665</v>
      </c>
    </row>
    <row r="14" spans="1:6" ht="45.6" customHeight="1">
      <c r="A14" s="153">
        <v>21.12</v>
      </c>
      <c r="B14" s="150" t="s">
        <v>2320</v>
      </c>
      <c r="C14" s="180" t="s">
        <v>982</v>
      </c>
      <c r="D14" s="269" t="s">
        <v>1071</v>
      </c>
      <c r="E14" s="267" t="s">
        <v>2332</v>
      </c>
    </row>
    <row r="15" spans="1:6" ht="41.4">
      <c r="A15" s="153">
        <v>21.13</v>
      </c>
      <c r="B15" s="150" t="s">
        <v>406</v>
      </c>
      <c r="C15" s="180" t="s">
        <v>982</v>
      </c>
      <c r="D15" s="269" t="s">
        <v>1071</v>
      </c>
      <c r="E15" s="149" t="s">
        <v>905</v>
      </c>
    </row>
    <row r="16" spans="1:6" ht="20.100000000000001" customHeight="1">
      <c r="A16" s="998" t="s">
        <v>404</v>
      </c>
      <c r="B16" s="999"/>
      <c r="C16" s="999"/>
      <c r="D16" s="276"/>
      <c r="E16" s="277"/>
    </row>
    <row r="17" spans="1:5" s="26" customFormat="1" ht="41.4">
      <c r="A17" s="153">
        <v>21.14</v>
      </c>
      <c r="B17" s="179" t="s">
        <v>1509</v>
      </c>
      <c r="C17" s="180" t="s">
        <v>982</v>
      </c>
      <c r="D17" s="269" t="s">
        <v>1071</v>
      </c>
      <c r="E17" s="467" t="s">
        <v>836</v>
      </c>
    </row>
    <row r="18" spans="1:5" ht="41.4">
      <c r="A18" s="153">
        <v>21.15</v>
      </c>
      <c r="B18" s="150" t="s">
        <v>741</v>
      </c>
      <c r="C18" s="151" t="s">
        <v>982</v>
      </c>
      <c r="D18" s="266" t="s">
        <v>1071</v>
      </c>
      <c r="E18" s="267" t="s">
        <v>2184</v>
      </c>
    </row>
    <row r="19" spans="1:5" ht="41.4">
      <c r="A19" s="153">
        <v>21.16</v>
      </c>
      <c r="B19" s="150" t="s">
        <v>1339</v>
      </c>
      <c r="C19" s="151" t="s">
        <v>982</v>
      </c>
      <c r="D19" s="266" t="s">
        <v>1071</v>
      </c>
      <c r="E19" s="267" t="s">
        <v>181</v>
      </c>
    </row>
    <row r="20" spans="1:5" ht="41.4">
      <c r="A20" s="153">
        <v>21.17</v>
      </c>
      <c r="B20" s="181" t="s">
        <v>1482</v>
      </c>
      <c r="C20" s="180" t="s">
        <v>982</v>
      </c>
      <c r="D20" s="266" t="s">
        <v>1071</v>
      </c>
      <c r="E20" s="267" t="s">
        <v>180</v>
      </c>
    </row>
    <row r="21" spans="1:5" ht="41.4">
      <c r="A21" s="153">
        <v>21.18</v>
      </c>
      <c r="B21" s="150" t="s">
        <v>912</v>
      </c>
      <c r="C21" s="151" t="s">
        <v>982</v>
      </c>
      <c r="D21" s="266" t="s">
        <v>1071</v>
      </c>
      <c r="E21" s="267" t="s">
        <v>179</v>
      </c>
    </row>
    <row r="22" spans="1:5" ht="20.100000000000001" customHeight="1">
      <c r="A22" s="998" t="s">
        <v>405</v>
      </c>
      <c r="B22" s="999"/>
      <c r="C22" s="999"/>
      <c r="D22" s="272"/>
      <c r="E22" s="273"/>
    </row>
    <row r="23" spans="1:5" ht="83.4" thickBot="1">
      <c r="A23" s="532">
        <v>21.19</v>
      </c>
      <c r="B23" s="533" t="s">
        <v>384</v>
      </c>
      <c r="C23" s="534" t="s">
        <v>982</v>
      </c>
      <c r="D23" s="535" t="s">
        <v>1071</v>
      </c>
      <c r="E23" s="497" t="s">
        <v>2185</v>
      </c>
    </row>
    <row r="24" spans="1:5">
      <c r="E24" s="36"/>
    </row>
    <row r="25" spans="1:5">
      <c r="E25" s="36"/>
    </row>
    <row r="26" spans="1:5">
      <c r="E26" s="36"/>
    </row>
    <row r="27" spans="1:5">
      <c r="E27" s="36"/>
    </row>
    <row r="28" spans="1:5">
      <c r="E28" s="36"/>
    </row>
    <row r="29" spans="1:5">
      <c r="E29" s="36"/>
    </row>
    <row r="30" spans="1:5">
      <c r="E30" s="36"/>
    </row>
    <row r="31" spans="1:5">
      <c r="E31" s="36"/>
    </row>
    <row r="32" spans="1:5">
      <c r="E32" s="36"/>
    </row>
    <row r="33" spans="5:5">
      <c r="E33" s="36"/>
    </row>
    <row r="34" spans="5:5">
      <c r="E34" s="36"/>
    </row>
    <row r="35" spans="5:5">
      <c r="E35" s="36"/>
    </row>
    <row r="36" spans="5:5">
      <c r="E36" s="36"/>
    </row>
    <row r="37" spans="5:5">
      <c r="E37" s="36"/>
    </row>
    <row r="38" spans="5:5">
      <c r="E38" s="36"/>
    </row>
    <row r="39" spans="5:5">
      <c r="E39" s="36"/>
    </row>
    <row r="40" spans="5:5">
      <c r="E40" s="36"/>
    </row>
    <row r="41" spans="5:5">
      <c r="E41" s="36"/>
    </row>
    <row r="42" spans="5:5">
      <c r="E42" s="36"/>
    </row>
    <row r="43" spans="5:5">
      <c r="E43" s="36"/>
    </row>
    <row r="44" spans="5:5">
      <c r="E44" s="36"/>
    </row>
    <row r="45" spans="5:5">
      <c r="E45" s="36"/>
    </row>
    <row r="46" spans="5:5">
      <c r="E46" s="36"/>
    </row>
    <row r="47" spans="5:5">
      <c r="E47" s="36"/>
    </row>
    <row r="48" spans="5:5">
      <c r="E48" s="36"/>
    </row>
    <row r="49" spans="5:5">
      <c r="E49" s="36"/>
    </row>
    <row r="50" spans="5:5">
      <c r="E50" s="36"/>
    </row>
    <row r="51" spans="5:5">
      <c r="E51" s="36"/>
    </row>
    <row r="52" spans="5:5">
      <c r="E52" s="36"/>
    </row>
    <row r="53" spans="5:5">
      <c r="E53" s="36"/>
    </row>
    <row r="54" spans="5:5">
      <c r="E54" s="36"/>
    </row>
    <row r="55" spans="5:5">
      <c r="E55" s="36"/>
    </row>
    <row r="56" spans="5:5">
      <c r="E56" s="36"/>
    </row>
    <row r="57" spans="5:5">
      <c r="E57" s="36"/>
    </row>
    <row r="58" spans="5:5">
      <c r="E58" s="36"/>
    </row>
    <row r="59" spans="5:5">
      <c r="E59" s="36"/>
    </row>
    <row r="60" spans="5:5">
      <c r="E60" s="36"/>
    </row>
    <row r="61" spans="5:5">
      <c r="E61" s="36"/>
    </row>
    <row r="62" spans="5:5">
      <c r="E62" s="36"/>
    </row>
    <row r="63" spans="5:5">
      <c r="E63" s="36"/>
    </row>
    <row r="64" spans="5:5">
      <c r="E64" s="36"/>
    </row>
    <row r="65" spans="5:5">
      <c r="E65" s="36"/>
    </row>
    <row r="66" spans="5:5">
      <c r="E66" s="36"/>
    </row>
    <row r="67" spans="5:5">
      <c r="E67" s="36"/>
    </row>
    <row r="68" spans="5:5">
      <c r="E68" s="36"/>
    </row>
    <row r="69" spans="5:5">
      <c r="E69" s="36"/>
    </row>
    <row r="70" spans="5:5">
      <c r="E70" s="36"/>
    </row>
    <row r="71" spans="5:5">
      <c r="E71" s="36"/>
    </row>
    <row r="72" spans="5:5">
      <c r="E72" s="36"/>
    </row>
    <row r="73" spans="5:5">
      <c r="E73" s="36"/>
    </row>
    <row r="74" spans="5:5">
      <c r="E74" s="36"/>
    </row>
    <row r="75" spans="5:5">
      <c r="E75" s="36"/>
    </row>
    <row r="76" spans="5:5">
      <c r="E76" s="36"/>
    </row>
    <row r="77" spans="5:5">
      <c r="E77" s="36"/>
    </row>
    <row r="78" spans="5:5">
      <c r="E78" s="36"/>
    </row>
    <row r="79" spans="5:5">
      <c r="E79" s="36"/>
    </row>
    <row r="80" spans="5:5">
      <c r="E80" s="36"/>
    </row>
    <row r="81" spans="5:5">
      <c r="E81" s="36"/>
    </row>
    <row r="82" spans="5:5">
      <c r="E82" s="36"/>
    </row>
    <row r="83" spans="5:5">
      <c r="E83" s="36"/>
    </row>
    <row r="84" spans="5:5">
      <c r="E84" s="36"/>
    </row>
    <row r="85" spans="5:5">
      <c r="E85" s="36"/>
    </row>
    <row r="86" spans="5:5">
      <c r="E86" s="36"/>
    </row>
    <row r="87" spans="5:5">
      <c r="E87" s="36"/>
    </row>
    <row r="88" spans="5:5">
      <c r="E88" s="36"/>
    </row>
    <row r="89" spans="5:5">
      <c r="E89" s="36"/>
    </row>
    <row r="90" spans="5:5">
      <c r="E90" s="36"/>
    </row>
    <row r="91" spans="5:5">
      <c r="E91" s="36"/>
    </row>
    <row r="92" spans="5:5">
      <c r="E92" s="36"/>
    </row>
    <row r="93" spans="5:5">
      <c r="E93" s="36"/>
    </row>
    <row r="94" spans="5:5">
      <c r="E94" s="36"/>
    </row>
    <row r="95" spans="5:5">
      <c r="E95" s="36"/>
    </row>
    <row r="96" spans="5:5">
      <c r="E96" s="36"/>
    </row>
    <row r="97" spans="5:5">
      <c r="E97" s="36"/>
    </row>
    <row r="98" spans="5:5">
      <c r="E98" s="36"/>
    </row>
    <row r="99" spans="5:5">
      <c r="E99" s="36"/>
    </row>
    <row r="100" spans="5:5">
      <c r="E100" s="36"/>
    </row>
    <row r="101" spans="5:5">
      <c r="E101" s="36"/>
    </row>
    <row r="102" spans="5:5">
      <c r="E102" s="36"/>
    </row>
    <row r="103" spans="5:5">
      <c r="E103" s="36"/>
    </row>
    <row r="104" spans="5:5">
      <c r="E104" s="36"/>
    </row>
    <row r="105" spans="5:5">
      <c r="E105" s="36"/>
    </row>
    <row r="106" spans="5:5">
      <c r="E106" s="36"/>
    </row>
    <row r="107" spans="5:5">
      <c r="E107" s="36"/>
    </row>
    <row r="108" spans="5:5">
      <c r="E108" s="36"/>
    </row>
    <row r="109" spans="5:5">
      <c r="E109" s="36"/>
    </row>
    <row r="110" spans="5:5">
      <c r="E110" s="36"/>
    </row>
    <row r="111" spans="5:5">
      <c r="E111" s="36"/>
    </row>
    <row r="112" spans="5:5">
      <c r="E112" s="36"/>
    </row>
    <row r="113" spans="5:5">
      <c r="E113" s="36"/>
    </row>
    <row r="114" spans="5:5">
      <c r="E114" s="36"/>
    </row>
    <row r="115" spans="5:5">
      <c r="E115" s="36"/>
    </row>
    <row r="116" spans="5:5">
      <c r="E116" s="36"/>
    </row>
    <row r="117" spans="5:5">
      <c r="E117" s="36"/>
    </row>
    <row r="118" spans="5:5">
      <c r="E118" s="36"/>
    </row>
    <row r="119" spans="5:5">
      <c r="E119" s="36"/>
    </row>
    <row r="120" spans="5:5">
      <c r="E120" s="36"/>
    </row>
    <row r="121" spans="5:5">
      <c r="E121" s="36"/>
    </row>
    <row r="122" spans="5:5">
      <c r="E122" s="36"/>
    </row>
    <row r="123" spans="5:5">
      <c r="E123" s="36"/>
    </row>
    <row r="124" spans="5:5">
      <c r="E124" s="36"/>
    </row>
    <row r="125" spans="5:5">
      <c r="E125" s="36"/>
    </row>
    <row r="126" spans="5:5">
      <c r="E126" s="36"/>
    </row>
    <row r="127" spans="5:5">
      <c r="E127" s="36"/>
    </row>
    <row r="128" spans="5:5">
      <c r="E128" s="36"/>
    </row>
    <row r="129" spans="5:5">
      <c r="E129" s="36"/>
    </row>
    <row r="130" spans="5:5">
      <c r="E130" s="36"/>
    </row>
    <row r="131" spans="5:5">
      <c r="E131" s="36"/>
    </row>
    <row r="132" spans="5:5">
      <c r="E132" s="36"/>
    </row>
    <row r="133" spans="5:5">
      <c r="E133" s="36"/>
    </row>
    <row r="134" spans="5:5">
      <c r="E134" s="36"/>
    </row>
    <row r="135" spans="5:5">
      <c r="E135" s="36"/>
    </row>
    <row r="136" spans="5:5">
      <c r="E136" s="36"/>
    </row>
    <row r="137" spans="5:5">
      <c r="E137" s="36"/>
    </row>
    <row r="138" spans="5:5">
      <c r="E138" s="36"/>
    </row>
    <row r="139" spans="5:5">
      <c r="E139" s="36"/>
    </row>
    <row r="140" spans="5:5">
      <c r="E140" s="36"/>
    </row>
    <row r="141" spans="5:5">
      <c r="E141" s="36"/>
    </row>
    <row r="142" spans="5:5">
      <c r="E142" s="36"/>
    </row>
    <row r="143" spans="5:5">
      <c r="E143" s="36"/>
    </row>
    <row r="144" spans="5:5">
      <c r="E144" s="36"/>
    </row>
    <row r="145" spans="5:5">
      <c r="E145" s="36"/>
    </row>
    <row r="146" spans="5:5">
      <c r="E146" s="36"/>
    </row>
    <row r="147" spans="5:5">
      <c r="E147" s="36"/>
    </row>
    <row r="148" spans="5:5">
      <c r="E148" s="36"/>
    </row>
    <row r="149" spans="5:5">
      <c r="E149" s="36"/>
    </row>
    <row r="150" spans="5:5">
      <c r="E150" s="36"/>
    </row>
    <row r="151" spans="5:5">
      <c r="E151" s="36"/>
    </row>
    <row r="152" spans="5:5">
      <c r="E152" s="36"/>
    </row>
    <row r="153" spans="5:5">
      <c r="E153" s="36"/>
    </row>
    <row r="154" spans="5:5">
      <c r="E154" s="36"/>
    </row>
    <row r="155" spans="5:5">
      <c r="E155" s="36"/>
    </row>
    <row r="156" spans="5:5">
      <c r="E156" s="36"/>
    </row>
    <row r="157" spans="5:5">
      <c r="E157" s="36"/>
    </row>
    <row r="158" spans="5:5">
      <c r="E158" s="36"/>
    </row>
    <row r="159" spans="5:5">
      <c r="E159" s="36"/>
    </row>
    <row r="160" spans="5:5">
      <c r="E160" s="36"/>
    </row>
    <row r="161" spans="5:5">
      <c r="E161" s="36"/>
    </row>
    <row r="162" spans="5:5">
      <c r="E162" s="36"/>
    </row>
    <row r="163" spans="5:5">
      <c r="E163" s="36"/>
    </row>
    <row r="164" spans="5:5">
      <c r="E164" s="36"/>
    </row>
    <row r="165" spans="5:5">
      <c r="E165" s="36"/>
    </row>
    <row r="166" spans="5:5">
      <c r="E166" s="36"/>
    </row>
    <row r="167" spans="5:5">
      <c r="E167" s="36"/>
    </row>
    <row r="168" spans="5:5">
      <c r="E168" s="36"/>
    </row>
    <row r="169" spans="5:5">
      <c r="E169" s="36"/>
    </row>
    <row r="170" spans="5:5">
      <c r="E170" s="36"/>
    </row>
    <row r="171" spans="5:5">
      <c r="E171" s="36"/>
    </row>
    <row r="172" spans="5:5">
      <c r="E172" s="36"/>
    </row>
    <row r="173" spans="5:5">
      <c r="E173" s="36"/>
    </row>
    <row r="174" spans="5:5">
      <c r="E174" s="36"/>
    </row>
    <row r="175" spans="5:5">
      <c r="E175" s="36"/>
    </row>
    <row r="176" spans="5:5">
      <c r="E176" s="36"/>
    </row>
    <row r="177" spans="5:5">
      <c r="E177" s="36"/>
    </row>
    <row r="178" spans="5:5">
      <c r="E178" s="36"/>
    </row>
    <row r="179" spans="5:5">
      <c r="E179" s="36"/>
    </row>
    <row r="180" spans="5:5">
      <c r="E180" s="36"/>
    </row>
    <row r="181" spans="5:5">
      <c r="E181" s="36"/>
    </row>
    <row r="182" spans="5:5">
      <c r="E182" s="36"/>
    </row>
    <row r="183" spans="5:5">
      <c r="E183" s="36"/>
    </row>
    <row r="184" spans="5:5">
      <c r="E184" s="36"/>
    </row>
    <row r="185" spans="5:5">
      <c r="E185" s="36"/>
    </row>
    <row r="186" spans="5:5">
      <c r="E186" s="36"/>
    </row>
    <row r="187" spans="5:5">
      <c r="E187" s="36"/>
    </row>
    <row r="188" spans="5:5">
      <c r="E188" s="36"/>
    </row>
    <row r="189" spans="5:5">
      <c r="E189" s="36"/>
    </row>
    <row r="190" spans="5:5">
      <c r="E190" s="36"/>
    </row>
    <row r="191" spans="5:5">
      <c r="E191" s="36"/>
    </row>
    <row r="192" spans="5:5">
      <c r="E192" s="36"/>
    </row>
    <row r="193" spans="5:5">
      <c r="E193" s="36"/>
    </row>
    <row r="194" spans="5:5">
      <c r="E194" s="36"/>
    </row>
    <row r="195" spans="5:5">
      <c r="E195" s="36"/>
    </row>
    <row r="196" spans="5:5">
      <c r="E196" s="36"/>
    </row>
    <row r="197" spans="5:5">
      <c r="E197" s="36"/>
    </row>
    <row r="198" spans="5:5">
      <c r="E198" s="36"/>
    </row>
    <row r="199" spans="5:5">
      <c r="E199" s="36"/>
    </row>
    <row r="200" spans="5:5">
      <c r="E200" s="36"/>
    </row>
    <row r="201" spans="5:5">
      <c r="E201" s="36"/>
    </row>
    <row r="202" spans="5:5">
      <c r="E202" s="36"/>
    </row>
    <row r="203" spans="5:5">
      <c r="E203" s="36"/>
    </row>
    <row r="204" spans="5:5">
      <c r="E204" s="36"/>
    </row>
    <row r="205" spans="5:5">
      <c r="E205" s="36"/>
    </row>
    <row r="206" spans="5:5">
      <c r="E206" s="36"/>
    </row>
    <row r="207" spans="5:5">
      <c r="E207" s="36"/>
    </row>
    <row r="208" spans="5:5">
      <c r="E208" s="36"/>
    </row>
    <row r="209" spans="5:5">
      <c r="E209" s="36"/>
    </row>
    <row r="210" spans="5:5">
      <c r="E210" s="36"/>
    </row>
    <row r="211" spans="5:5">
      <c r="E211" s="36"/>
    </row>
    <row r="212" spans="5:5">
      <c r="E212" s="36"/>
    </row>
    <row r="213" spans="5:5">
      <c r="E213" s="36"/>
    </row>
    <row r="214" spans="5:5">
      <c r="E214" s="36"/>
    </row>
    <row r="215" spans="5:5">
      <c r="E215" s="36"/>
    </row>
    <row r="216" spans="5:5">
      <c r="E216" s="36"/>
    </row>
    <row r="217" spans="5:5">
      <c r="E217" s="36"/>
    </row>
    <row r="218" spans="5:5">
      <c r="E218" s="36"/>
    </row>
    <row r="219" spans="5:5">
      <c r="E219" s="36"/>
    </row>
    <row r="220" spans="5:5">
      <c r="E220" s="36"/>
    </row>
    <row r="221" spans="5:5">
      <c r="E221" s="36"/>
    </row>
    <row r="222" spans="5:5">
      <c r="E222" s="36"/>
    </row>
    <row r="223" spans="5:5">
      <c r="E223" s="36"/>
    </row>
    <row r="224" spans="5:5">
      <c r="E224" s="36"/>
    </row>
    <row r="225" spans="5:5">
      <c r="E225" s="36"/>
    </row>
    <row r="226" spans="5:5">
      <c r="E226" s="36"/>
    </row>
    <row r="227" spans="5:5">
      <c r="E227" s="36"/>
    </row>
    <row r="228" spans="5:5">
      <c r="E228" s="36"/>
    </row>
    <row r="229" spans="5:5">
      <c r="E229" s="36"/>
    </row>
    <row r="230" spans="5:5">
      <c r="E230" s="36"/>
    </row>
    <row r="231" spans="5:5">
      <c r="E231" s="36"/>
    </row>
    <row r="232" spans="5:5">
      <c r="E232" s="36"/>
    </row>
    <row r="233" spans="5:5">
      <c r="E233" s="36"/>
    </row>
    <row r="234" spans="5:5">
      <c r="E234" s="36"/>
    </row>
    <row r="235" spans="5:5">
      <c r="E235" s="36"/>
    </row>
    <row r="236" spans="5:5">
      <c r="E236" s="36"/>
    </row>
    <row r="237" spans="5:5">
      <c r="E237" s="36"/>
    </row>
    <row r="238" spans="5:5">
      <c r="E238" s="36"/>
    </row>
    <row r="239" spans="5:5">
      <c r="E239" s="36"/>
    </row>
    <row r="240" spans="5:5">
      <c r="E240" s="36"/>
    </row>
    <row r="241" spans="5:5">
      <c r="E241" s="36"/>
    </row>
    <row r="242" spans="5:5">
      <c r="E242" s="36"/>
    </row>
    <row r="243" spans="5:5">
      <c r="E243" s="36"/>
    </row>
    <row r="244" spans="5:5">
      <c r="E244" s="36"/>
    </row>
    <row r="245" spans="5:5">
      <c r="E245" s="36"/>
    </row>
    <row r="246" spans="5:5">
      <c r="E246" s="36"/>
    </row>
    <row r="247" spans="5:5">
      <c r="E247" s="36"/>
    </row>
    <row r="248" spans="5:5">
      <c r="E248" s="36"/>
    </row>
    <row r="249" spans="5:5">
      <c r="E249" s="36"/>
    </row>
    <row r="250" spans="5:5">
      <c r="E250" s="36"/>
    </row>
    <row r="251" spans="5:5">
      <c r="E251" s="36"/>
    </row>
    <row r="252" spans="5:5">
      <c r="E252" s="36"/>
    </row>
    <row r="253" spans="5:5">
      <c r="E253" s="36"/>
    </row>
    <row r="254" spans="5:5">
      <c r="E254" s="36"/>
    </row>
    <row r="255" spans="5:5">
      <c r="E255" s="36"/>
    </row>
    <row r="256" spans="5:5">
      <c r="E256" s="36"/>
    </row>
    <row r="257" spans="5:5">
      <c r="E257" s="36"/>
    </row>
    <row r="258" spans="5:5">
      <c r="E258" s="36"/>
    </row>
    <row r="259" spans="5:5">
      <c r="E259" s="36"/>
    </row>
    <row r="260" spans="5:5">
      <c r="E260" s="36"/>
    </row>
    <row r="261" spans="5:5">
      <c r="E261" s="36"/>
    </row>
    <row r="262" spans="5:5">
      <c r="E262" s="36"/>
    </row>
    <row r="263" spans="5:5">
      <c r="E263" s="36"/>
    </row>
    <row r="264" spans="5:5">
      <c r="E264" s="36"/>
    </row>
    <row r="265" spans="5:5">
      <c r="E265" s="36"/>
    </row>
    <row r="266" spans="5:5">
      <c r="E266" s="36"/>
    </row>
    <row r="267" spans="5:5">
      <c r="E267" s="36"/>
    </row>
    <row r="268" spans="5:5">
      <c r="E268" s="36"/>
    </row>
    <row r="269" spans="5:5">
      <c r="E269" s="36"/>
    </row>
    <row r="270" spans="5:5">
      <c r="E270" s="36"/>
    </row>
    <row r="271" spans="5:5">
      <c r="E271" s="36"/>
    </row>
    <row r="272" spans="5:5">
      <c r="E272" s="36"/>
    </row>
    <row r="273" spans="5:5">
      <c r="E273" s="36"/>
    </row>
    <row r="274" spans="5:5">
      <c r="E274" s="36"/>
    </row>
    <row r="275" spans="5:5">
      <c r="E275" s="36"/>
    </row>
    <row r="276" spans="5:5">
      <c r="E276" s="36"/>
    </row>
    <row r="277" spans="5:5">
      <c r="E277" s="36"/>
    </row>
    <row r="278" spans="5:5">
      <c r="E278" s="36"/>
    </row>
    <row r="279" spans="5:5">
      <c r="E279" s="36"/>
    </row>
    <row r="280" spans="5:5">
      <c r="E280" s="36"/>
    </row>
    <row r="281" spans="5:5">
      <c r="E281" s="36"/>
    </row>
    <row r="282" spans="5:5">
      <c r="E282" s="36"/>
    </row>
    <row r="283" spans="5:5">
      <c r="E283" s="36"/>
    </row>
    <row r="284" spans="5:5">
      <c r="E284" s="36"/>
    </row>
    <row r="285" spans="5:5">
      <c r="E285" s="36"/>
    </row>
    <row r="286" spans="5:5">
      <c r="E286" s="36"/>
    </row>
    <row r="287" spans="5:5">
      <c r="E287" s="36"/>
    </row>
    <row r="288" spans="5:5">
      <c r="E288" s="36"/>
    </row>
    <row r="289" spans="5:5">
      <c r="E289" s="36"/>
    </row>
    <row r="290" spans="5:5">
      <c r="E290" s="36"/>
    </row>
    <row r="291" spans="5:5">
      <c r="E291" s="36"/>
    </row>
    <row r="292" spans="5:5">
      <c r="E292" s="36"/>
    </row>
    <row r="293" spans="5:5">
      <c r="E293" s="36"/>
    </row>
    <row r="294" spans="5:5">
      <c r="E294" s="36"/>
    </row>
    <row r="295" spans="5:5">
      <c r="E295" s="36"/>
    </row>
    <row r="296" spans="5:5">
      <c r="E296" s="36"/>
    </row>
    <row r="297" spans="5:5">
      <c r="E297" s="36"/>
    </row>
    <row r="298" spans="5:5">
      <c r="E298" s="36"/>
    </row>
    <row r="299" spans="5:5">
      <c r="E299" s="36"/>
    </row>
    <row r="300" spans="5:5">
      <c r="E300" s="36"/>
    </row>
    <row r="301" spans="5:5">
      <c r="E301" s="36"/>
    </row>
    <row r="302" spans="5:5">
      <c r="E302" s="36"/>
    </row>
    <row r="303" spans="5:5">
      <c r="E303" s="36"/>
    </row>
    <row r="304" spans="5:5">
      <c r="E304" s="36"/>
    </row>
    <row r="305" spans="5:5">
      <c r="E305" s="36"/>
    </row>
    <row r="306" spans="5:5">
      <c r="E306" s="36"/>
    </row>
    <row r="307" spans="5:5">
      <c r="E307" s="36"/>
    </row>
    <row r="308" spans="5:5">
      <c r="E308" s="36"/>
    </row>
    <row r="309" spans="5:5">
      <c r="E309" s="36"/>
    </row>
    <row r="310" spans="5:5">
      <c r="E310" s="36"/>
    </row>
    <row r="311" spans="5:5">
      <c r="E311" s="36"/>
    </row>
    <row r="312" spans="5:5">
      <c r="E312" s="36"/>
    </row>
    <row r="313" spans="5:5">
      <c r="E313" s="36"/>
    </row>
    <row r="314" spans="5:5">
      <c r="E314" s="36"/>
    </row>
    <row r="315" spans="5:5">
      <c r="E315" s="36"/>
    </row>
    <row r="316" spans="5:5">
      <c r="E316" s="36"/>
    </row>
    <row r="317" spans="5:5">
      <c r="E317" s="36"/>
    </row>
    <row r="318" spans="5:5">
      <c r="E318" s="36"/>
    </row>
    <row r="319" spans="5:5">
      <c r="E319" s="36"/>
    </row>
    <row r="320" spans="5:5">
      <c r="E320" s="36"/>
    </row>
    <row r="321" spans="5:5">
      <c r="E321" s="36"/>
    </row>
    <row r="322" spans="5:5">
      <c r="E322" s="36"/>
    </row>
    <row r="323" spans="5:5">
      <c r="E323" s="36"/>
    </row>
    <row r="324" spans="5:5">
      <c r="E324" s="36"/>
    </row>
    <row r="325" spans="5:5">
      <c r="E325" s="36"/>
    </row>
    <row r="326" spans="5:5">
      <c r="E326" s="36"/>
    </row>
    <row r="327" spans="5:5">
      <c r="E327" s="36"/>
    </row>
    <row r="328" spans="5:5">
      <c r="E328" s="36"/>
    </row>
    <row r="329" spans="5:5">
      <c r="E329" s="36"/>
    </row>
    <row r="330" spans="5:5">
      <c r="E330" s="36"/>
    </row>
    <row r="331" spans="5:5">
      <c r="E331" s="36"/>
    </row>
    <row r="332" spans="5:5">
      <c r="E332" s="36"/>
    </row>
    <row r="333" spans="5:5">
      <c r="E333" s="36"/>
    </row>
    <row r="334" spans="5:5">
      <c r="E334" s="36"/>
    </row>
    <row r="335" spans="5:5">
      <c r="E335" s="36"/>
    </row>
    <row r="336" spans="5:5">
      <c r="E336" s="36"/>
    </row>
    <row r="337" spans="5:5">
      <c r="E337" s="36"/>
    </row>
    <row r="338" spans="5:5">
      <c r="E338" s="36"/>
    </row>
    <row r="339" spans="5:5">
      <c r="E339" s="36"/>
    </row>
    <row r="340" spans="5:5">
      <c r="E340" s="36"/>
    </row>
    <row r="341" spans="5:5">
      <c r="E341" s="36"/>
    </row>
    <row r="342" spans="5:5">
      <c r="E342" s="36"/>
    </row>
    <row r="343" spans="5:5">
      <c r="E343" s="36"/>
    </row>
    <row r="344" spans="5:5">
      <c r="E344" s="36"/>
    </row>
    <row r="345" spans="5:5">
      <c r="E345" s="36"/>
    </row>
    <row r="346" spans="5:5">
      <c r="E346" s="36"/>
    </row>
    <row r="347" spans="5:5">
      <c r="E347" s="36"/>
    </row>
    <row r="348" spans="5:5">
      <c r="E348" s="36"/>
    </row>
    <row r="349" spans="5:5">
      <c r="E349" s="36"/>
    </row>
    <row r="350" spans="5:5">
      <c r="E350" s="36"/>
    </row>
    <row r="351" spans="5:5">
      <c r="E351" s="36"/>
    </row>
    <row r="352" spans="5:5">
      <c r="E352" s="36"/>
    </row>
    <row r="353" spans="5:5">
      <c r="E353" s="36"/>
    </row>
    <row r="354" spans="5:5">
      <c r="E354" s="36"/>
    </row>
    <row r="355" spans="5:5">
      <c r="E355" s="36"/>
    </row>
    <row r="356" spans="5:5">
      <c r="E356" s="36"/>
    </row>
    <row r="357" spans="5:5">
      <c r="E357" s="36"/>
    </row>
    <row r="358" spans="5:5">
      <c r="E358" s="36"/>
    </row>
    <row r="359" spans="5:5">
      <c r="E359" s="36"/>
    </row>
    <row r="360" spans="5:5">
      <c r="E360" s="36"/>
    </row>
    <row r="361" spans="5:5">
      <c r="E361" s="36"/>
    </row>
    <row r="362" spans="5:5">
      <c r="E362" s="36"/>
    </row>
    <row r="363" spans="5:5">
      <c r="E363" s="36"/>
    </row>
    <row r="364" spans="5:5">
      <c r="E364" s="36"/>
    </row>
    <row r="365" spans="5:5">
      <c r="E365" s="36"/>
    </row>
    <row r="366" spans="5:5">
      <c r="E366" s="36"/>
    </row>
    <row r="367" spans="5:5">
      <c r="E367" s="36"/>
    </row>
    <row r="368" spans="5:5">
      <c r="E368" s="36"/>
    </row>
    <row r="369" spans="5:5">
      <c r="E369" s="36"/>
    </row>
    <row r="370" spans="5:5">
      <c r="E370" s="36"/>
    </row>
    <row r="371" spans="5:5">
      <c r="E371" s="36"/>
    </row>
    <row r="372" spans="5:5">
      <c r="E372" s="36"/>
    </row>
    <row r="373" spans="5:5">
      <c r="E373" s="36"/>
    </row>
    <row r="374" spans="5:5">
      <c r="E374" s="36"/>
    </row>
    <row r="375" spans="5:5">
      <c r="E375" s="36"/>
    </row>
    <row r="376" spans="5:5">
      <c r="E376" s="36"/>
    </row>
    <row r="377" spans="5:5">
      <c r="E377" s="36"/>
    </row>
    <row r="378" spans="5:5">
      <c r="E378" s="36"/>
    </row>
    <row r="379" spans="5:5">
      <c r="E379" s="36"/>
    </row>
    <row r="380" spans="5:5">
      <c r="E380" s="36"/>
    </row>
    <row r="381" spans="5:5">
      <c r="E381" s="36"/>
    </row>
    <row r="382" spans="5:5">
      <c r="E382" s="36"/>
    </row>
    <row r="383" spans="5:5">
      <c r="E383" s="36"/>
    </row>
    <row r="384" spans="5:5">
      <c r="E384" s="36"/>
    </row>
    <row r="385" spans="5:5">
      <c r="E385" s="36"/>
    </row>
    <row r="386" spans="5:5">
      <c r="E386" s="36"/>
    </row>
    <row r="387" spans="5:5">
      <c r="E387" s="36"/>
    </row>
    <row r="388" spans="5:5">
      <c r="E388" s="36"/>
    </row>
    <row r="389" spans="5:5">
      <c r="E389" s="36"/>
    </row>
    <row r="390" spans="5:5">
      <c r="E390" s="36"/>
    </row>
    <row r="391" spans="5:5">
      <c r="E391" s="36"/>
    </row>
    <row r="392" spans="5:5">
      <c r="E392" s="36"/>
    </row>
    <row r="393" spans="5:5">
      <c r="E393" s="36"/>
    </row>
    <row r="394" spans="5:5">
      <c r="E394" s="36"/>
    </row>
    <row r="395" spans="5:5">
      <c r="E395" s="36"/>
    </row>
    <row r="396" spans="5:5">
      <c r="E396" s="36"/>
    </row>
    <row r="397" spans="5:5">
      <c r="E397" s="36"/>
    </row>
    <row r="398" spans="5:5">
      <c r="E398" s="36"/>
    </row>
    <row r="399" spans="5:5">
      <c r="E399" s="36"/>
    </row>
    <row r="400" spans="5:5">
      <c r="E400" s="36"/>
    </row>
    <row r="401" spans="5:5">
      <c r="E401" s="36"/>
    </row>
    <row r="402" spans="5:5">
      <c r="E402" s="36"/>
    </row>
    <row r="403" spans="5:5">
      <c r="E403" s="36"/>
    </row>
    <row r="404" spans="5:5">
      <c r="E404" s="36"/>
    </row>
    <row r="405" spans="5:5">
      <c r="E405" s="36"/>
    </row>
    <row r="406" spans="5:5">
      <c r="E406" s="36"/>
    </row>
    <row r="407" spans="5:5">
      <c r="E407" s="36"/>
    </row>
    <row r="408" spans="5:5">
      <c r="E408" s="36"/>
    </row>
    <row r="409" spans="5:5">
      <c r="E409" s="36"/>
    </row>
    <row r="410" spans="5:5">
      <c r="E410" s="36"/>
    </row>
    <row r="411" spans="5:5">
      <c r="E411" s="36"/>
    </row>
    <row r="412" spans="5:5">
      <c r="E412" s="36"/>
    </row>
    <row r="413" spans="5:5">
      <c r="E413" s="36"/>
    </row>
    <row r="414" spans="5:5">
      <c r="E414" s="36"/>
    </row>
    <row r="415" spans="5:5">
      <c r="E415" s="36"/>
    </row>
    <row r="416" spans="5:5">
      <c r="E416" s="36"/>
    </row>
    <row r="417" spans="5:5">
      <c r="E417" s="36"/>
    </row>
    <row r="418" spans="5:5">
      <c r="E418" s="36"/>
    </row>
    <row r="419" spans="5:5">
      <c r="E419" s="36"/>
    </row>
    <row r="420" spans="5:5">
      <c r="E420" s="36"/>
    </row>
    <row r="421" spans="5:5">
      <c r="E421" s="36"/>
    </row>
    <row r="422" spans="5:5">
      <c r="E422" s="36"/>
    </row>
    <row r="423" spans="5:5">
      <c r="E423" s="36"/>
    </row>
    <row r="424" spans="5:5">
      <c r="E424" s="36"/>
    </row>
    <row r="425" spans="5:5">
      <c r="E425" s="36"/>
    </row>
    <row r="426" spans="5:5">
      <c r="E426" s="36"/>
    </row>
    <row r="427" spans="5:5">
      <c r="E427" s="36"/>
    </row>
    <row r="428" spans="5:5">
      <c r="E428" s="36"/>
    </row>
    <row r="429" spans="5:5">
      <c r="E429" s="36"/>
    </row>
    <row r="430" spans="5:5">
      <c r="E430" s="36"/>
    </row>
    <row r="431" spans="5:5">
      <c r="E431" s="36"/>
    </row>
    <row r="432" spans="5:5">
      <c r="E432" s="36"/>
    </row>
    <row r="433" spans="5:5">
      <c r="E433" s="36"/>
    </row>
    <row r="434" spans="5:5">
      <c r="E434" s="36"/>
    </row>
    <row r="435" spans="5:5">
      <c r="E435" s="36"/>
    </row>
    <row r="436" spans="5:5">
      <c r="E436" s="36"/>
    </row>
    <row r="437" spans="5:5">
      <c r="E437" s="36"/>
    </row>
    <row r="438" spans="5:5">
      <c r="E438" s="36"/>
    </row>
    <row r="439" spans="5:5">
      <c r="E439" s="36"/>
    </row>
    <row r="440" spans="5:5">
      <c r="E440" s="36"/>
    </row>
    <row r="441" spans="5:5">
      <c r="E441" s="36"/>
    </row>
    <row r="442" spans="5:5">
      <c r="E442" s="36"/>
    </row>
    <row r="443" spans="5:5">
      <c r="E443" s="36"/>
    </row>
    <row r="444" spans="5:5">
      <c r="E444" s="36"/>
    </row>
    <row r="445" spans="5:5">
      <c r="E445" s="36"/>
    </row>
    <row r="446" spans="5:5">
      <c r="E446" s="36"/>
    </row>
    <row r="447" spans="5:5">
      <c r="E447" s="36"/>
    </row>
    <row r="448" spans="5:5">
      <c r="E448" s="36"/>
    </row>
    <row r="449" spans="5:5">
      <c r="E449" s="36"/>
    </row>
    <row r="450" spans="5:5">
      <c r="E450" s="36"/>
    </row>
    <row r="451" spans="5:5">
      <c r="E451" s="36"/>
    </row>
    <row r="452" spans="5:5">
      <c r="E452" s="36"/>
    </row>
    <row r="453" spans="5:5">
      <c r="E453" s="36"/>
    </row>
    <row r="454" spans="5:5">
      <c r="E454" s="36"/>
    </row>
    <row r="455" spans="5:5">
      <c r="E455" s="36"/>
    </row>
    <row r="456" spans="5:5">
      <c r="E456" s="36"/>
    </row>
    <row r="457" spans="5:5">
      <c r="E457" s="36"/>
    </row>
    <row r="458" spans="5:5">
      <c r="E458" s="36"/>
    </row>
    <row r="459" spans="5:5">
      <c r="E459" s="36"/>
    </row>
    <row r="460" spans="5:5">
      <c r="E460" s="36"/>
    </row>
    <row r="461" spans="5:5">
      <c r="E461" s="36"/>
    </row>
    <row r="462" spans="5:5">
      <c r="E462" s="36"/>
    </row>
    <row r="463" spans="5:5">
      <c r="E463" s="36"/>
    </row>
    <row r="464" spans="5:5">
      <c r="E464" s="36"/>
    </row>
    <row r="465" spans="5:5">
      <c r="E465" s="36"/>
    </row>
    <row r="466" spans="5:5">
      <c r="E466" s="36"/>
    </row>
    <row r="467" spans="5:5">
      <c r="E467" s="36"/>
    </row>
    <row r="468" spans="5:5">
      <c r="E468" s="36"/>
    </row>
    <row r="469" spans="5:5">
      <c r="E469" s="36"/>
    </row>
    <row r="470" spans="5:5">
      <c r="E470" s="36"/>
    </row>
    <row r="471" spans="5:5">
      <c r="E471" s="36"/>
    </row>
    <row r="472" spans="5:5">
      <c r="E472" s="36"/>
    </row>
    <row r="473" spans="5:5">
      <c r="E473" s="36"/>
    </row>
    <row r="474" spans="5:5">
      <c r="E474" s="36"/>
    </row>
    <row r="475" spans="5:5">
      <c r="E475" s="36"/>
    </row>
    <row r="476" spans="5:5">
      <c r="E476" s="36"/>
    </row>
    <row r="477" spans="5:5">
      <c r="E477" s="36"/>
    </row>
    <row r="478" spans="5:5">
      <c r="E478" s="36"/>
    </row>
    <row r="479" spans="5:5">
      <c r="E479" s="36"/>
    </row>
    <row r="480" spans="5:5">
      <c r="E480" s="36"/>
    </row>
    <row r="481" spans="5:5">
      <c r="E481" s="36"/>
    </row>
    <row r="482" spans="5:5">
      <c r="E482" s="36"/>
    </row>
    <row r="483" spans="5:5">
      <c r="E483" s="36"/>
    </row>
    <row r="484" spans="5:5">
      <c r="E484" s="36"/>
    </row>
    <row r="485" spans="5:5">
      <c r="E485" s="36"/>
    </row>
    <row r="486" spans="5:5">
      <c r="E486" s="36"/>
    </row>
    <row r="487" spans="5:5">
      <c r="E487" s="36"/>
    </row>
    <row r="488" spans="5:5">
      <c r="E488" s="36"/>
    </row>
    <row r="489" spans="5:5">
      <c r="E489" s="36"/>
    </row>
    <row r="490" spans="5:5">
      <c r="E490" s="36"/>
    </row>
    <row r="491" spans="5:5">
      <c r="E491" s="36"/>
    </row>
    <row r="492" spans="5:5">
      <c r="E492" s="36"/>
    </row>
    <row r="493" spans="5:5">
      <c r="E493" s="36"/>
    </row>
    <row r="494" spans="5:5">
      <c r="E494" s="36"/>
    </row>
    <row r="495" spans="5:5">
      <c r="E495" s="36"/>
    </row>
    <row r="496" spans="5:5">
      <c r="E496" s="36"/>
    </row>
    <row r="497" spans="5:5">
      <c r="E497" s="36"/>
    </row>
    <row r="498" spans="5:5">
      <c r="E498" s="36"/>
    </row>
    <row r="499" spans="5:5">
      <c r="E499" s="36"/>
    </row>
    <row r="500" spans="5:5">
      <c r="E500" s="36"/>
    </row>
  </sheetData>
  <customSheetViews>
    <customSheetView guid="{4FEDB3BD-111A-4B7D-AA97-E67173A5F707}" scale="75" showPageBreaks="1" printArea="1" hiddenColumns="1" view="pageBreakPreview" showRuler="0">
      <selection activeCell="I14" sqref="I14"/>
      <pageMargins left="0.5" right="0.5" top="1" bottom="1" header="0.5" footer="0.34"/>
      <printOptions horizontalCentered="1"/>
      <pageSetup orientation="landscape" r:id="rId1"/>
      <headerFooter alignWithMargins="0">
        <oddHeader>&amp;C&amp;"Arial,Bold"&amp;12&amp;UProject Activity 21: Signalization Analysis</oddHeader>
        <oddFooter>&amp;CPage &amp;P of &amp;N</oddFooter>
      </headerFooter>
    </customSheetView>
    <customSheetView guid="{D5FFA8DD-F2DB-47F2-B4D2-3681726B2E8F}" showPageBreaks="1" printArea="1" hiddenColumns="1" view="pageBreakPreview" showRuler="0" topLeftCell="A16">
      <selection activeCell="C3" sqref="C3:P3"/>
      <pageMargins left="0.5" right="0.5" top="1" bottom="1" header="0.5" footer="0.34"/>
      <printOptions horizontalCentered="1"/>
      <pageSetup orientation="landscape" r:id="rId2"/>
      <headerFooter alignWithMargins="0">
        <oddHeader>&amp;C&amp;"Arial,Bold"&amp;12&amp;UProject Activity 21: Signalization Analysis</oddHeader>
        <oddFooter>&amp;CPage &amp;P of &amp;N</oddFooter>
      </headerFooter>
    </customSheetView>
    <customSheetView guid="{EFE02F7B-3837-4B0F-9646-ADE249504E9F}" showPageBreaks="1" printArea="1" hiddenColumns="1" view="pageBreakPreview" showRuler="0" topLeftCell="A13">
      <selection activeCell="I14" sqref="I14"/>
      <pageMargins left="0.5" right="0.5" top="1" bottom="1" header="0.5" footer="0.34"/>
      <printOptions horizontalCentered="1"/>
      <pageSetup orientation="landscape" r:id="rId3"/>
      <headerFooter alignWithMargins="0">
        <oddHeader>&amp;C&amp;"Arial,Bold"&amp;12&amp;UProject Activity 21: Signalization Analysis</oddHeader>
        <oddFooter>&amp;CPage &amp;P of &amp;N</oddFooter>
      </headerFooter>
    </customSheetView>
    <customSheetView guid="{053BE130-58A3-4F3B-945A-C2EFB15C6264}" showPageBreaks="1" printArea="1" hiddenColumns="1" view="pageBreakPreview" showRuler="0" topLeftCell="A13">
      <selection activeCell="I25" sqref="I25"/>
      <pageMargins left="0.5" right="0.5" top="1" bottom="1" header="0.5" footer="0.34"/>
      <printOptions horizontalCentered="1"/>
      <pageSetup orientation="landscape" r:id="rId4"/>
      <headerFooter alignWithMargins="0">
        <oddHeader>&amp;C&amp;"Arial,Bold"&amp;12&amp;UProject Activity 21: Signalization Analysis</oddHeader>
        <oddFooter>&amp;CPage &amp;P of &amp;N</oddFooter>
      </headerFooter>
    </customSheetView>
    <customSheetView guid="{F5DBE5B9-A9E4-4030-888B-08F930ECBB74}" showPageBreaks="1" printArea="1" hiddenColumns="1" view="pageBreakPreview" showRuler="0" topLeftCell="A13">
      <selection activeCell="I14" sqref="I14"/>
      <pageMargins left="0.5" right="0.5" top="1" bottom="1" header="0.5" footer="0.34"/>
      <printOptions horizontalCentered="1"/>
      <pageSetup orientation="landscape" r:id="rId5"/>
      <headerFooter alignWithMargins="0">
        <oddHeader>&amp;C&amp;"Arial,Bold"&amp;12&amp;UProject Activity 21: Signalization Analysis</oddHeader>
        <oddFooter>&amp;CPage &amp;P of &amp;N</oddFooter>
      </headerFooter>
    </customSheetView>
    <customSheetView guid="{960FB4AF-B150-4523-972C-3F7C93F049F3}" scale="75" showPageBreaks="1" printArea="1" hiddenColumns="1" view="pageBreakPreview" showRuler="0">
      <selection activeCell="I14" sqref="I14"/>
      <pageMargins left="0.5" right="0.5" top="1" bottom="1" header="0.5" footer="0.34"/>
      <printOptions horizontalCentered="1"/>
      <pageSetup orientation="landscape" r:id="rId6"/>
      <headerFooter alignWithMargins="0">
        <oddHeader>&amp;C&amp;"Arial,Bold"&amp;12&amp;UProject Activity 21: Signalization Analysis</oddHeader>
        <oddFooter>&amp;CPage &amp;P of &amp;N</oddFooter>
      </headerFooter>
    </customSheetView>
    <customSheetView guid="{DF3BD4C9-2986-4236-8E90-D96736404377}" scale="75" showPageBreaks="1" printArea="1" hiddenColumns="1" view="pageBreakPreview" showRuler="0">
      <selection activeCell="I14" sqref="I14"/>
      <pageMargins left="0.5" right="0.5" top="1" bottom="1" header="0.5" footer="0.34"/>
      <printOptions horizontalCentered="1"/>
      <pageSetup orientation="landscape" r:id="rId7"/>
      <headerFooter alignWithMargins="0">
        <oddHeader>&amp;C&amp;"Arial,Bold"&amp;12&amp;UProject Activity 21: Signalization Analysis</oddHeader>
        <oddFooter>&amp;CPage &amp;P of &amp;N</oddFooter>
      </headerFooter>
    </customSheetView>
  </customSheetViews>
  <mergeCells count="3">
    <mergeCell ref="A22:C22"/>
    <mergeCell ref="A16:C16"/>
    <mergeCell ref="A1:E1"/>
  </mergeCells>
  <phoneticPr fontId="0" type="noConversion"/>
  <printOptions horizontalCentered="1" verticalCentered="1"/>
  <pageMargins left="0.75" right="0.75" top="1" bottom="1" header="0.5" footer="0.5"/>
  <pageSetup scale="74" orientation="landscape" r:id="rId8"/>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9"/>
  <dimension ref="A1:C19"/>
  <sheetViews>
    <sheetView showGridLines="0" zoomScale="115" zoomScaleNormal="115" zoomScaleSheetLayoutView="100" workbookViewId="0">
      <selection sqref="A1:C1"/>
    </sheetView>
  </sheetViews>
  <sheetFormatPr defaultColWidth="9.109375" defaultRowHeight="13.2"/>
  <cols>
    <col min="1" max="1" width="6.33203125" style="88" customWidth="1"/>
    <col min="2" max="2" width="31.33203125" style="4" customWidth="1"/>
    <col min="3" max="3" width="100.6640625" style="4" customWidth="1"/>
    <col min="4" max="16384" width="9.109375" style="4"/>
  </cols>
  <sheetData>
    <row r="1" spans="1:3" s="26" customFormat="1" ht="15.6">
      <c r="A1" s="1000" t="s">
        <v>737</v>
      </c>
      <c r="B1" s="1001"/>
      <c r="C1" s="1002"/>
    </row>
    <row r="2" spans="1:3" ht="46.8">
      <c r="A2" s="666" t="s">
        <v>385</v>
      </c>
      <c r="B2" s="667" t="s">
        <v>844</v>
      </c>
      <c r="C2" s="668" t="s">
        <v>2611</v>
      </c>
    </row>
    <row r="3" spans="1:3" ht="27.6">
      <c r="A3" s="152">
        <v>22.1</v>
      </c>
      <c r="B3" s="466" t="s">
        <v>2635</v>
      </c>
      <c r="C3" s="149" t="s">
        <v>2697</v>
      </c>
    </row>
    <row r="4" spans="1:3" ht="41.4">
      <c r="A4" s="152">
        <v>22.2</v>
      </c>
      <c r="B4" s="150" t="s">
        <v>1286</v>
      </c>
      <c r="C4" s="149" t="s">
        <v>2684</v>
      </c>
    </row>
    <row r="5" spans="1:3" s="88" customFormat="1" ht="41.4">
      <c r="A5" s="152">
        <v>22.3</v>
      </c>
      <c r="B5" s="150" t="s">
        <v>2677</v>
      </c>
      <c r="C5" s="149" t="s">
        <v>2698</v>
      </c>
    </row>
    <row r="6" spans="1:3" s="88" customFormat="1" ht="41.4">
      <c r="A6" s="152">
        <v>22.4</v>
      </c>
      <c r="B6" s="150" t="s">
        <v>832</v>
      </c>
      <c r="C6" s="149" t="s">
        <v>2699</v>
      </c>
    </row>
    <row r="7" spans="1:3" s="88" customFormat="1" ht="27.6">
      <c r="A7" s="152">
        <v>22.5</v>
      </c>
      <c r="B7" s="150" t="s">
        <v>93</v>
      </c>
      <c r="C7" s="651" t="s">
        <v>2708</v>
      </c>
    </row>
    <row r="8" spans="1:3" ht="27.6">
      <c r="A8" s="152">
        <v>22.6</v>
      </c>
      <c r="B8" s="150" t="s">
        <v>2692</v>
      </c>
      <c r="C8" s="149" t="s">
        <v>2700</v>
      </c>
    </row>
    <row r="9" spans="1:3" ht="41.4">
      <c r="A9" s="152">
        <v>22.7</v>
      </c>
      <c r="B9" s="150" t="s">
        <v>94</v>
      </c>
      <c r="C9" s="651" t="s">
        <v>2709</v>
      </c>
    </row>
    <row r="10" spans="1:3" ht="55.2">
      <c r="A10" s="152">
        <v>22.8</v>
      </c>
      <c r="B10" s="150" t="s">
        <v>625</v>
      </c>
      <c r="C10" s="149" t="s">
        <v>2701</v>
      </c>
    </row>
    <row r="11" spans="1:3" ht="41.4">
      <c r="A11" s="152">
        <v>22.9</v>
      </c>
      <c r="B11" s="150" t="s">
        <v>618</v>
      </c>
      <c r="C11" s="149" t="s">
        <v>2702</v>
      </c>
    </row>
    <row r="12" spans="1:3" ht="27.6">
      <c r="A12" s="153">
        <v>22.1</v>
      </c>
      <c r="B12" s="268" t="s">
        <v>833</v>
      </c>
      <c r="C12" s="149" t="s">
        <v>2703</v>
      </c>
    </row>
    <row r="13" spans="1:3" ht="55.2">
      <c r="A13" s="153">
        <v>22.11</v>
      </c>
      <c r="B13" s="150" t="s">
        <v>2375</v>
      </c>
      <c r="C13" s="149" t="s">
        <v>2704</v>
      </c>
    </row>
    <row r="14" spans="1:3" ht="27.6">
      <c r="A14" s="153">
        <v>22.12</v>
      </c>
      <c r="B14" s="150" t="s">
        <v>619</v>
      </c>
      <c r="C14" s="149" t="s">
        <v>2705</v>
      </c>
    </row>
    <row r="15" spans="1:3" ht="30" customHeight="1">
      <c r="A15" s="877" t="s">
        <v>834</v>
      </c>
      <c r="B15" s="1003"/>
      <c r="C15" s="264"/>
    </row>
    <row r="16" spans="1:3" ht="27.6">
      <c r="A16" s="153">
        <v>22.13</v>
      </c>
      <c r="B16" s="150" t="s">
        <v>1339</v>
      </c>
      <c r="C16" s="149" t="s">
        <v>2706</v>
      </c>
    </row>
    <row r="17" spans="1:3" ht="28.2" thickBot="1">
      <c r="A17" s="665">
        <v>22.14</v>
      </c>
      <c r="B17" s="482" t="s">
        <v>912</v>
      </c>
      <c r="C17" s="485" t="s">
        <v>2707</v>
      </c>
    </row>
    <row r="18" spans="1:3">
      <c r="C18" s="42"/>
    </row>
    <row r="19" spans="1:3">
      <c r="C19" s="42"/>
    </row>
  </sheetData>
  <customSheetViews>
    <customSheetView guid="{4FEDB3BD-111A-4B7D-AA97-E67173A5F707}" showPageBreaks="1" printArea="1" hiddenColumns="1" view="pageBreakPreview" showRuler="0">
      <selection activeCell="K19" sqref="K19"/>
      <rowBreaks count="1" manualBreakCount="1">
        <brk id="13" max="10" man="1"/>
      </rowBreaks>
      <pageMargins left="0.5" right="0.5" top="1" bottom="1" header="0.5" footer="0.34"/>
      <printOptions horizontalCentered="1"/>
      <pageSetup fitToHeight="0" orientation="landscape" horizontalDpi="4294967292" r:id="rId1"/>
      <headerFooter alignWithMargins="0">
        <oddHeader>&amp;C&amp;"Arial,Bold"&amp;12&amp;UProject Activity 22: Signalization Plans</oddHeader>
        <oddFooter>&amp;CPage &amp;P of &amp;N</oddFooter>
      </headerFooter>
    </customSheetView>
    <customSheetView guid="{D5FFA8DD-F2DB-47F2-B4D2-3681726B2E8F}" showPageBreaks="1" printArea="1" hiddenColumns="1" view="pageBreakPreview" showRuler="0" topLeftCell="A10">
      <selection activeCell="C3" sqref="C3:P3"/>
      <pageMargins left="0.5" right="0.5" top="1" bottom="1" header="0.5" footer="0.34"/>
      <printOptions horizontalCentered="1"/>
      <pageSetup fitToHeight="0" orientation="landscape" horizontalDpi="4294967292" r:id="rId2"/>
      <headerFooter alignWithMargins="0">
        <oddHeader>&amp;C&amp;"Arial,Bold"&amp;12&amp;UProject Activity 22: Signalization Plans</oddHeader>
        <oddFooter>&amp;CPage &amp;P of &amp;N</oddFooter>
      </headerFooter>
    </customSheetView>
    <customSheetView guid="{EFE02F7B-3837-4B0F-9646-ADE249504E9F}" showPageBreaks="1" printArea="1" hiddenColumns="1" view="pageBreakPreview" showRuler="0" topLeftCell="A9">
      <selection activeCell="K19" sqref="K19"/>
      <pageMargins left="0.5" right="0.5" top="1" bottom="1" header="0.5" footer="0.34"/>
      <printOptions horizontalCentered="1"/>
      <pageSetup fitToHeight="0" orientation="landscape" horizontalDpi="4294967292" r:id="rId3"/>
      <headerFooter alignWithMargins="0">
        <oddHeader>&amp;C&amp;"Arial,Bold"&amp;12&amp;UProject Activity 22: Signalization Plans</oddHeader>
        <oddFooter>&amp;CPage &amp;P of &amp;N</oddFooter>
      </headerFooter>
    </customSheetView>
    <customSheetView guid="{053BE130-58A3-4F3B-945A-C2EFB15C6264}" showPageBreaks="1" printArea="1" hiddenColumns="1" view="pageBreakPreview" showRuler="0" topLeftCell="A9">
      <selection activeCell="K19" sqref="K19"/>
      <pageMargins left="0.5" right="0.5" top="1" bottom="1" header="0.5" footer="0.34"/>
      <printOptions horizontalCentered="1"/>
      <pageSetup fitToHeight="0" orientation="landscape" horizontalDpi="4294967292" r:id="rId4"/>
      <headerFooter alignWithMargins="0">
        <oddHeader>&amp;C&amp;"Arial,Bold"&amp;12&amp;UProject Activity 22: Signalization Plans</oddHeader>
        <oddFooter>&amp;CPage &amp;P of &amp;N</oddFooter>
      </headerFooter>
    </customSheetView>
    <customSheetView guid="{F5DBE5B9-A9E4-4030-888B-08F930ECBB74}" showPageBreaks="1" printArea="1" hiddenColumns="1" view="pageBreakPreview" showRuler="0" topLeftCell="A9">
      <selection activeCell="K19" sqref="K19"/>
      <pageMargins left="0.5" right="0.5" top="1" bottom="1" header="0.5" footer="0.34"/>
      <printOptions horizontalCentered="1"/>
      <pageSetup fitToHeight="0" orientation="landscape" horizontalDpi="4294967292" r:id="rId5"/>
      <headerFooter alignWithMargins="0">
        <oddHeader>&amp;C&amp;"Arial,Bold"&amp;12&amp;UProject Activity 22: Signalization Plans</oddHeader>
        <oddFooter>&amp;CPage &amp;P of &amp;N</oddFooter>
      </headerFooter>
    </customSheetView>
    <customSheetView guid="{960FB4AF-B150-4523-972C-3F7C93F049F3}" showPageBreaks="1" printArea="1" hiddenColumns="1" view="pageBreakPreview" showRuler="0">
      <selection activeCell="K19" sqref="K19"/>
      <rowBreaks count="1" manualBreakCount="1">
        <brk id="13" max="10" man="1"/>
      </rowBreaks>
      <pageMargins left="0.5" right="0.5" top="1" bottom="1" header="0.5" footer="0.34"/>
      <printOptions horizontalCentered="1"/>
      <pageSetup fitToHeight="0" orientation="landscape" horizontalDpi="4294967292" r:id="rId6"/>
      <headerFooter alignWithMargins="0">
        <oddHeader>&amp;C&amp;"Arial,Bold"&amp;12&amp;UProject Activity 22: Signalization Plans</oddHeader>
        <oddFooter>&amp;CPage &amp;P of &amp;N</oddFooter>
      </headerFooter>
    </customSheetView>
    <customSheetView guid="{DF3BD4C9-2986-4236-8E90-D96736404377}" showPageBreaks="1" printArea="1" hiddenColumns="1" view="pageBreakPreview" showRuler="0">
      <selection activeCell="K19" sqref="K19"/>
      <rowBreaks count="1" manualBreakCount="1">
        <brk id="13" max="10" man="1"/>
      </rowBreaks>
      <pageMargins left="0.5" right="0.5" top="1" bottom="1" header="0.5" footer="0.34"/>
      <printOptions horizontalCentered="1"/>
      <pageSetup fitToHeight="0" orientation="landscape" horizontalDpi="4294967292" r:id="rId7"/>
      <headerFooter alignWithMargins="0">
        <oddHeader>&amp;C&amp;"Arial,Bold"&amp;12&amp;UProject Activity 22: Signalization Plans</oddHeader>
        <oddFooter>&amp;CPage &amp;P of &amp;N</oddFooter>
      </headerFooter>
    </customSheetView>
  </customSheetViews>
  <mergeCells count="2">
    <mergeCell ref="A15:B15"/>
    <mergeCell ref="A1:C1"/>
  </mergeCells>
  <phoneticPr fontId="0" type="noConversion"/>
  <printOptions horizontalCentered="1" verticalCentered="1"/>
  <pageMargins left="0.75" right="0.75" top="1" bottom="1" header="0.5" footer="0.5"/>
  <pageSetup scale="73" fitToHeight="0" orientation="landscape" r:id="rId8"/>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dimension ref="A1:N21"/>
  <sheetViews>
    <sheetView view="pageBreakPreview" zoomScaleNormal="100" workbookViewId="0"/>
  </sheetViews>
  <sheetFormatPr defaultRowHeight="13.2"/>
  <cols>
    <col min="1" max="1" width="118.33203125" customWidth="1"/>
  </cols>
  <sheetData>
    <row r="1" spans="1:14">
      <c r="A1" s="199" t="s">
        <v>330</v>
      </c>
    </row>
    <row r="2" spans="1:14">
      <c r="A2" s="33"/>
      <c r="N2" t="s">
        <v>596</v>
      </c>
    </row>
    <row r="3" spans="1:14" ht="66">
      <c r="A3" s="33" t="s">
        <v>205</v>
      </c>
    </row>
    <row r="4" spans="1:14">
      <c r="A4" s="33"/>
    </row>
    <row r="5" spans="1:14" ht="39.6">
      <c r="A5" s="33" t="s">
        <v>478</v>
      </c>
    </row>
    <row r="7" spans="1:14">
      <c r="A7" s="200" t="s">
        <v>393</v>
      </c>
    </row>
    <row r="9" spans="1:14">
      <c r="A9" t="s">
        <v>2297</v>
      </c>
    </row>
    <row r="10" spans="1:14">
      <c r="A10" t="s">
        <v>2296</v>
      </c>
    </row>
    <row r="12" spans="1:14">
      <c r="A12" s="200" t="s">
        <v>1515</v>
      </c>
    </row>
    <row r="14" spans="1:14">
      <c r="A14" t="s">
        <v>2298</v>
      </c>
    </row>
    <row r="15" spans="1:14">
      <c r="A15" t="s">
        <v>2299</v>
      </c>
    </row>
    <row r="16" spans="1:14">
      <c r="A16" t="s">
        <v>2300</v>
      </c>
    </row>
    <row r="18" spans="1:1">
      <c r="A18" s="200" t="s">
        <v>462</v>
      </c>
    </row>
    <row r="20" spans="1:1">
      <c r="A20" t="s">
        <v>2301</v>
      </c>
    </row>
    <row r="21" spans="1:1">
      <c r="A21" t="s">
        <v>2302</v>
      </c>
    </row>
  </sheetData>
  <customSheetViews>
    <customSheetView guid="{4FEDB3BD-111A-4B7D-AA97-E67173A5F707}" showPageBreaks="1" printArea="1" view="pageBreakPreview" showRuler="0">
      <selection activeCell="A39" sqref="A1:A39"/>
      <rowBreaks count="2" manualBreakCount="2">
        <brk id="25" max="16383" man="1"/>
        <brk id="62" max="16383" man="1"/>
      </rowBreaks>
      <pageMargins left="0.75" right="0.75" top="1" bottom="1" header="0.5" footer="0.5"/>
      <pageSetup orientation="landscape" horizontalDpi="400" verticalDpi="400" r:id="rId1"/>
      <headerFooter alignWithMargins="0">
        <oddFooter>&amp;CPage &amp;P of &amp;N</oddFooter>
      </headerFooter>
    </customSheetView>
    <customSheetView guid="{D5FFA8DD-F2DB-47F2-B4D2-3681726B2E8F}" showPageBreaks="1" showRuler="0" topLeftCell="A43">
      <selection activeCell="C3" sqref="C3:P3"/>
      <rowBreaks count="3" manualBreakCount="3">
        <brk id="25" max="16383" man="1"/>
        <brk id="62" max="16383" man="1"/>
        <brk id="99" max="16383" man="1"/>
      </rowBreaks>
      <pageMargins left="0.75" right="0.75" top="1" bottom="1" header="0.5" footer="0.5"/>
      <pageSetup orientation="landscape" horizontalDpi="400" verticalDpi="400" r:id="rId2"/>
      <headerFooter alignWithMargins="0">
        <oddFooter>&amp;CPage &amp;P of &amp;N</oddFooter>
      </headerFooter>
    </customSheetView>
    <customSheetView guid="{EFE02F7B-3837-4B0F-9646-ADE249504E9F}" showRuler="0" topLeftCell="A5">
      <selection activeCell="A30" sqref="A30"/>
      <rowBreaks count="2" manualBreakCount="2">
        <brk id="25" max="16383" man="1"/>
        <brk id="62" max="16383" man="1"/>
      </rowBreaks>
      <pageMargins left="0.75" right="0.75" top="1" bottom="1" header="0.5" footer="0.5"/>
      <pageSetup orientation="landscape" horizontalDpi="400" verticalDpi="400" r:id="rId3"/>
      <headerFooter alignWithMargins="0">
        <oddFooter>&amp;CPage &amp;P of &amp;N</oddFooter>
      </headerFooter>
    </customSheetView>
    <customSheetView guid="{053BE130-58A3-4F3B-945A-C2EFB15C6264}" showRuler="0" topLeftCell="A5">
      <selection activeCell="A30" sqref="A30"/>
      <rowBreaks count="1" manualBreakCount="1">
        <brk id="25" max="16383" man="1"/>
      </rowBreaks>
      <pageMargins left="0.75" right="0.75" top="1" bottom="1" header="0.5" footer="0.5"/>
      <pageSetup orientation="landscape" horizontalDpi="400" verticalDpi="400" r:id="rId4"/>
      <headerFooter alignWithMargins="0">
        <oddFooter>&amp;CPage &amp;P of &amp;N</oddFooter>
      </headerFooter>
    </customSheetView>
    <customSheetView guid="{F5DBE5B9-A9E4-4030-888B-08F930ECBB74}" showPageBreaks="1" showRuler="0" topLeftCell="A5">
      <selection activeCell="A30" sqref="A30"/>
      <rowBreaks count="2" manualBreakCount="2">
        <brk id="25" max="16383" man="1"/>
        <brk id="62" max="16383" man="1"/>
      </rowBreaks>
      <pageMargins left="0.75" right="0.75" top="1" bottom="1" header="0.5" footer="0.5"/>
      <pageSetup orientation="landscape" horizontalDpi="400" verticalDpi="400" r:id="rId5"/>
      <headerFooter alignWithMargins="0">
        <oddFooter>&amp;CPage &amp;P of &amp;N</oddFooter>
      </headerFooter>
    </customSheetView>
    <customSheetView guid="{960FB4AF-B150-4523-972C-3F7C93F049F3}" showPageBreaks="1" printArea="1" view="pageBreakPreview" showRuler="0">
      <selection activeCell="A39" sqref="A1:A39"/>
      <rowBreaks count="2" manualBreakCount="2">
        <brk id="25" max="16383" man="1"/>
        <brk id="62" max="16383" man="1"/>
      </rowBreaks>
      <pageMargins left="0.75" right="0.75" top="1" bottom="1" header="0.5" footer="0.5"/>
      <pageSetup orientation="landscape" horizontalDpi="400" verticalDpi="400" r:id="rId6"/>
      <headerFooter alignWithMargins="0">
        <oddFooter>&amp;CPage &amp;P of &amp;N</oddFooter>
      </headerFooter>
    </customSheetView>
    <customSheetView guid="{DF3BD4C9-2986-4236-8E90-D96736404377}" showPageBreaks="1" printArea="1" view="pageBreakPreview" showRuler="0">
      <selection activeCell="A39" sqref="A1:A39"/>
      <rowBreaks count="2" manualBreakCount="2">
        <brk id="25" max="16383" man="1"/>
        <brk id="62" max="16383" man="1"/>
      </rowBreaks>
      <pageMargins left="0.75" right="0.75" top="1" bottom="1" header="0.5" footer="0.5"/>
      <pageSetup orientation="landscape" horizontalDpi="400" verticalDpi="400"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rowBreaks count="2" manualBreakCount="2">
    <brk id="22" max="16383" man="1"/>
    <brk id="59" max="16383" man="1"/>
  </rowBreaks>
  <drawing r:id="rId9"/>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1"/>
  <dimension ref="A1:F1708"/>
  <sheetViews>
    <sheetView showGridLines="0" zoomScaleNormal="100" zoomScaleSheetLayoutView="100" workbookViewId="0">
      <selection sqref="A1:E1"/>
    </sheetView>
  </sheetViews>
  <sheetFormatPr defaultColWidth="9.109375" defaultRowHeight="13.2"/>
  <cols>
    <col min="1" max="1" width="6.33203125" style="4" customWidth="1"/>
    <col min="2" max="2" width="31.33203125" style="4" customWidth="1"/>
    <col min="3" max="4" width="12.6640625" style="4" customWidth="1"/>
    <col min="5" max="5" width="100.6640625" style="4" customWidth="1"/>
    <col min="6" max="16384" width="9.109375" style="4"/>
  </cols>
  <sheetData>
    <row r="1" spans="1:6" s="26" customFormat="1" ht="20.100000000000001" customHeight="1">
      <c r="A1" s="950" t="s">
        <v>738</v>
      </c>
      <c r="B1" s="951"/>
      <c r="C1" s="951"/>
      <c r="D1" s="951"/>
      <c r="E1" s="952"/>
    </row>
    <row r="2" spans="1:6" s="86" customFormat="1" ht="48" customHeight="1">
      <c r="A2" s="223" t="s">
        <v>385</v>
      </c>
      <c r="B2" s="182" t="s">
        <v>844</v>
      </c>
      <c r="C2" s="142" t="s">
        <v>984</v>
      </c>
      <c r="D2" s="182" t="s">
        <v>1069</v>
      </c>
      <c r="E2" s="263" t="s">
        <v>1070</v>
      </c>
    </row>
    <row r="3" spans="1:6" ht="41.4">
      <c r="A3" s="152">
        <v>23.1</v>
      </c>
      <c r="B3" s="150" t="s">
        <v>620</v>
      </c>
      <c r="C3" s="151" t="s">
        <v>982</v>
      </c>
      <c r="D3" s="266" t="s">
        <v>744</v>
      </c>
      <c r="E3" s="267" t="s">
        <v>1226</v>
      </c>
      <c r="F3" s="4" t="s">
        <v>596</v>
      </c>
    </row>
    <row r="4" spans="1:6" ht="55.2">
      <c r="A4" s="152">
        <v>23.2</v>
      </c>
      <c r="B4" s="150" t="s">
        <v>2457</v>
      </c>
      <c r="C4" s="151" t="s">
        <v>982</v>
      </c>
      <c r="D4" s="266" t="s">
        <v>1071</v>
      </c>
      <c r="E4" s="267" t="s">
        <v>2458</v>
      </c>
    </row>
    <row r="5" spans="1:6" ht="32.25" customHeight="1">
      <c r="A5" s="152">
        <v>23.3</v>
      </c>
      <c r="B5" s="150" t="s">
        <v>622</v>
      </c>
      <c r="C5" s="151" t="s">
        <v>1008</v>
      </c>
      <c r="D5" s="266" t="s">
        <v>1449</v>
      </c>
      <c r="E5" s="267" t="s">
        <v>2303</v>
      </c>
    </row>
    <row r="6" spans="1:6" ht="32.25" customHeight="1">
      <c r="A6" s="152">
        <v>23.4</v>
      </c>
      <c r="B6" s="150" t="s">
        <v>2441</v>
      </c>
      <c r="C6" s="151" t="s">
        <v>982</v>
      </c>
      <c r="D6" s="266" t="s">
        <v>745</v>
      </c>
      <c r="E6" s="267" t="s">
        <v>2442</v>
      </c>
    </row>
    <row r="7" spans="1:6" ht="124.2">
      <c r="A7" s="152">
        <v>23.5</v>
      </c>
      <c r="B7" s="150" t="s">
        <v>623</v>
      </c>
      <c r="C7" s="151" t="s">
        <v>982</v>
      </c>
      <c r="D7" s="266" t="s">
        <v>1071</v>
      </c>
      <c r="E7" s="267" t="s">
        <v>2304</v>
      </c>
    </row>
    <row r="8" spans="1:6" ht="69">
      <c r="A8" s="152">
        <v>23.6</v>
      </c>
      <c r="B8" s="150" t="s">
        <v>2459</v>
      </c>
      <c r="C8" s="151" t="s">
        <v>982</v>
      </c>
      <c r="D8" s="266" t="s">
        <v>1071</v>
      </c>
      <c r="E8" s="267" t="s">
        <v>2460</v>
      </c>
    </row>
    <row r="9" spans="1:6" ht="13.8">
      <c r="A9" s="152">
        <v>23.7</v>
      </c>
      <c r="B9" s="150" t="s">
        <v>616</v>
      </c>
      <c r="C9" s="151" t="s">
        <v>982</v>
      </c>
      <c r="D9" s="266" t="s">
        <v>568</v>
      </c>
      <c r="E9" s="267" t="s">
        <v>2570</v>
      </c>
    </row>
    <row r="10" spans="1:6" ht="69">
      <c r="A10" s="152">
        <v>23.8</v>
      </c>
      <c r="B10" s="150" t="s">
        <v>2710</v>
      </c>
      <c r="C10" s="151" t="s">
        <v>982</v>
      </c>
      <c r="D10" s="266" t="s">
        <v>1071</v>
      </c>
      <c r="E10" s="267" t="s">
        <v>2711</v>
      </c>
    </row>
    <row r="11" spans="1:6" s="88" customFormat="1" ht="41.4">
      <c r="A11" s="152">
        <v>23.9</v>
      </c>
      <c r="B11" s="268" t="s">
        <v>843</v>
      </c>
      <c r="C11" s="151" t="s">
        <v>982</v>
      </c>
      <c r="D11" s="266" t="s">
        <v>1071</v>
      </c>
      <c r="E11" s="267" t="s">
        <v>818</v>
      </c>
    </row>
    <row r="12" spans="1:6" ht="41.4">
      <c r="A12" s="153">
        <v>23.1</v>
      </c>
      <c r="B12" s="150" t="s">
        <v>2320</v>
      </c>
      <c r="C12" s="151" t="s">
        <v>982</v>
      </c>
      <c r="D12" s="266" t="s">
        <v>1071</v>
      </c>
      <c r="E12" s="267" t="s">
        <v>2333</v>
      </c>
    </row>
    <row r="13" spans="1:6" ht="41.4">
      <c r="A13" s="153">
        <v>23.11</v>
      </c>
      <c r="B13" s="150" t="s">
        <v>6</v>
      </c>
      <c r="C13" s="151" t="s">
        <v>982</v>
      </c>
      <c r="D13" s="266" t="s">
        <v>1071</v>
      </c>
      <c r="E13" s="149" t="s">
        <v>907</v>
      </c>
    </row>
    <row r="14" spans="1:6" ht="20.100000000000001" customHeight="1">
      <c r="A14" s="996" t="s">
        <v>1337</v>
      </c>
      <c r="B14" s="997"/>
      <c r="C14" s="997"/>
      <c r="D14" s="270"/>
      <c r="E14" s="271"/>
    </row>
    <row r="15" spans="1:6" ht="41.4">
      <c r="A15" s="153">
        <v>23.12</v>
      </c>
      <c r="B15" s="179" t="s">
        <v>1509</v>
      </c>
      <c r="C15" s="180" t="s">
        <v>982</v>
      </c>
      <c r="D15" s="269" t="s">
        <v>1071</v>
      </c>
      <c r="E15" s="467" t="s">
        <v>1530</v>
      </c>
    </row>
    <row r="16" spans="1:6" ht="41.4">
      <c r="A16" s="153">
        <v>23.13</v>
      </c>
      <c r="B16" s="150" t="s">
        <v>741</v>
      </c>
      <c r="C16" s="151" t="s">
        <v>982</v>
      </c>
      <c r="D16" s="266" t="s">
        <v>1071</v>
      </c>
      <c r="E16" s="267" t="s">
        <v>2186</v>
      </c>
    </row>
    <row r="17" spans="1:5" ht="41.4">
      <c r="A17" s="153">
        <v>23.14</v>
      </c>
      <c r="B17" s="150" t="s">
        <v>1339</v>
      </c>
      <c r="C17" s="151" t="s">
        <v>982</v>
      </c>
      <c r="D17" s="266" t="s">
        <v>1071</v>
      </c>
      <c r="E17" s="267" t="s">
        <v>2292</v>
      </c>
    </row>
    <row r="18" spans="1:5" ht="41.4">
      <c r="A18" s="153">
        <v>23.15</v>
      </c>
      <c r="B18" s="181" t="s">
        <v>1482</v>
      </c>
      <c r="C18" s="180" t="s">
        <v>982</v>
      </c>
      <c r="D18" s="266" t="s">
        <v>1071</v>
      </c>
      <c r="E18" s="267" t="s">
        <v>476</v>
      </c>
    </row>
    <row r="19" spans="1:5" ht="41.4">
      <c r="A19" s="153">
        <v>23.16</v>
      </c>
      <c r="B19" s="150" t="s">
        <v>912</v>
      </c>
      <c r="C19" s="151" t="s">
        <v>982</v>
      </c>
      <c r="D19" s="266" t="s">
        <v>1071</v>
      </c>
      <c r="E19" s="267" t="s">
        <v>477</v>
      </c>
    </row>
    <row r="20" spans="1:5" ht="20.100000000000001" customHeight="1">
      <c r="A20" s="998" t="s">
        <v>835</v>
      </c>
      <c r="B20" s="999"/>
      <c r="C20" s="999"/>
      <c r="D20" s="272"/>
      <c r="E20" s="273"/>
    </row>
    <row r="21" spans="1:5" ht="69.599999999999994" thickBot="1">
      <c r="A21" s="532">
        <v>23.17</v>
      </c>
      <c r="B21" s="533" t="s">
        <v>384</v>
      </c>
      <c r="C21" s="534" t="s">
        <v>982</v>
      </c>
      <c r="D21" s="489" t="s">
        <v>1071</v>
      </c>
      <c r="E21" s="497" t="s">
        <v>2187</v>
      </c>
    </row>
    <row r="22" spans="1:5">
      <c r="D22" s="42"/>
      <c r="E22" s="51"/>
    </row>
    <row r="23" spans="1:5">
      <c r="D23" s="42"/>
      <c r="E23" s="51"/>
    </row>
    <row r="24" spans="1:5">
      <c r="D24" s="42"/>
      <c r="E24" s="51"/>
    </row>
    <row r="25" spans="1:5">
      <c r="D25" s="42"/>
      <c r="E25" s="51"/>
    </row>
    <row r="26" spans="1:5">
      <c r="D26" s="42"/>
      <c r="E26" s="51"/>
    </row>
    <row r="27" spans="1:5">
      <c r="D27" s="42"/>
      <c r="E27" s="51"/>
    </row>
    <row r="28" spans="1:5">
      <c r="D28" s="42"/>
      <c r="E28" s="51"/>
    </row>
    <row r="29" spans="1:5">
      <c r="D29" s="42"/>
      <c r="E29" s="51"/>
    </row>
    <row r="30" spans="1:5">
      <c r="D30" s="42"/>
      <c r="E30" s="51"/>
    </row>
    <row r="31" spans="1:5">
      <c r="D31" s="42"/>
      <c r="E31" s="51"/>
    </row>
    <row r="32" spans="1:5">
      <c r="D32" s="42"/>
      <c r="E32" s="51"/>
    </row>
    <row r="33" spans="4:5">
      <c r="D33" s="42"/>
      <c r="E33" s="51"/>
    </row>
    <row r="34" spans="4:5">
      <c r="D34" s="42"/>
      <c r="E34" s="51"/>
    </row>
    <row r="35" spans="4:5">
      <c r="D35" s="42"/>
      <c r="E35" s="51"/>
    </row>
    <row r="36" spans="4:5">
      <c r="E36" s="51"/>
    </row>
    <row r="37" spans="4:5">
      <c r="E37" s="51"/>
    </row>
    <row r="38" spans="4:5">
      <c r="E38" s="51"/>
    </row>
    <row r="39" spans="4:5">
      <c r="E39" s="51"/>
    </row>
    <row r="40" spans="4:5">
      <c r="E40" s="51"/>
    </row>
    <row r="41" spans="4:5">
      <c r="E41" s="51"/>
    </row>
    <row r="42" spans="4:5">
      <c r="E42" s="51"/>
    </row>
    <row r="43" spans="4:5">
      <c r="E43" s="51"/>
    </row>
    <row r="44" spans="4:5">
      <c r="E44" s="51"/>
    </row>
    <row r="45" spans="4:5">
      <c r="E45" s="51"/>
    </row>
    <row r="46" spans="4:5">
      <c r="E46" s="51"/>
    </row>
    <row r="47" spans="4:5">
      <c r="E47" s="51"/>
    </row>
    <row r="48" spans="4:5">
      <c r="E48" s="51"/>
    </row>
    <row r="49" spans="5:5">
      <c r="E49" s="51"/>
    </row>
    <row r="50" spans="5:5">
      <c r="E50" s="51"/>
    </row>
    <row r="51" spans="5:5">
      <c r="E51" s="51"/>
    </row>
    <row r="52" spans="5:5">
      <c r="E52" s="51"/>
    </row>
    <row r="53" spans="5:5">
      <c r="E53" s="51"/>
    </row>
    <row r="54" spans="5:5">
      <c r="E54" s="51"/>
    </row>
    <row r="55" spans="5:5">
      <c r="E55" s="51"/>
    </row>
    <row r="56" spans="5:5">
      <c r="E56" s="51"/>
    </row>
    <row r="57" spans="5:5">
      <c r="E57" s="51"/>
    </row>
    <row r="58" spans="5:5">
      <c r="E58" s="51"/>
    </row>
    <row r="59" spans="5:5">
      <c r="E59" s="51"/>
    </row>
    <row r="60" spans="5:5">
      <c r="E60" s="51"/>
    </row>
    <row r="61" spans="5:5">
      <c r="E61" s="51"/>
    </row>
    <row r="62" spans="5:5">
      <c r="E62" s="51"/>
    </row>
    <row r="63" spans="5:5">
      <c r="E63" s="51"/>
    </row>
    <row r="64" spans="5:5">
      <c r="E64" s="51"/>
    </row>
    <row r="65" spans="5:5">
      <c r="E65" s="51"/>
    </row>
    <row r="66" spans="5:5">
      <c r="E66" s="51"/>
    </row>
    <row r="67" spans="5:5">
      <c r="E67" s="51"/>
    </row>
    <row r="68" spans="5:5">
      <c r="E68" s="51"/>
    </row>
    <row r="69" spans="5:5">
      <c r="E69" s="51"/>
    </row>
    <row r="70" spans="5:5">
      <c r="E70" s="51"/>
    </row>
    <row r="71" spans="5:5">
      <c r="E71" s="51"/>
    </row>
    <row r="72" spans="5:5">
      <c r="E72" s="51"/>
    </row>
    <row r="73" spans="5:5">
      <c r="E73" s="51"/>
    </row>
    <row r="74" spans="5:5">
      <c r="E74" s="51"/>
    </row>
    <row r="75" spans="5:5">
      <c r="E75" s="51"/>
    </row>
    <row r="76" spans="5:5">
      <c r="E76" s="51"/>
    </row>
    <row r="77" spans="5:5">
      <c r="E77" s="51"/>
    </row>
    <row r="78" spans="5:5">
      <c r="E78" s="51"/>
    </row>
    <row r="79" spans="5:5">
      <c r="E79" s="51"/>
    </row>
    <row r="80" spans="5:5">
      <c r="E80" s="51"/>
    </row>
    <row r="81" spans="5:5">
      <c r="E81" s="51"/>
    </row>
    <row r="82" spans="5:5">
      <c r="E82" s="51"/>
    </row>
    <row r="83" spans="5:5">
      <c r="E83" s="51"/>
    </row>
    <row r="84" spans="5:5">
      <c r="E84" s="51"/>
    </row>
    <row r="85" spans="5:5">
      <c r="E85" s="51"/>
    </row>
    <row r="86" spans="5:5">
      <c r="E86" s="51"/>
    </row>
    <row r="87" spans="5:5">
      <c r="E87" s="51"/>
    </row>
    <row r="88" spans="5:5">
      <c r="E88" s="51"/>
    </row>
    <row r="89" spans="5:5">
      <c r="E89" s="51"/>
    </row>
    <row r="90" spans="5:5">
      <c r="E90" s="51"/>
    </row>
    <row r="91" spans="5:5">
      <c r="E91" s="51"/>
    </row>
    <row r="92" spans="5:5">
      <c r="E92" s="51"/>
    </row>
    <row r="93" spans="5:5">
      <c r="E93" s="51"/>
    </row>
    <row r="94" spans="5:5">
      <c r="E94" s="51"/>
    </row>
    <row r="95" spans="5:5">
      <c r="E95" s="51"/>
    </row>
    <row r="96" spans="5:5">
      <c r="E96" s="51"/>
    </row>
    <row r="97" spans="5:5">
      <c r="E97" s="51"/>
    </row>
    <row r="98" spans="5:5">
      <c r="E98" s="51"/>
    </row>
    <row r="99" spans="5:5">
      <c r="E99" s="51"/>
    </row>
    <row r="100" spans="5:5">
      <c r="E100" s="51"/>
    </row>
    <row r="101" spans="5:5">
      <c r="E101" s="51"/>
    </row>
    <row r="102" spans="5:5">
      <c r="E102" s="51"/>
    </row>
    <row r="103" spans="5:5">
      <c r="E103" s="51"/>
    </row>
    <row r="104" spans="5:5">
      <c r="E104" s="51"/>
    </row>
    <row r="105" spans="5:5">
      <c r="E105" s="51"/>
    </row>
    <row r="106" spans="5:5">
      <c r="E106" s="51"/>
    </row>
    <row r="107" spans="5:5">
      <c r="E107" s="51"/>
    </row>
    <row r="108" spans="5:5">
      <c r="E108" s="51"/>
    </row>
    <row r="109" spans="5:5">
      <c r="E109" s="51"/>
    </row>
    <row r="110" spans="5:5">
      <c r="E110" s="51"/>
    </row>
    <row r="111" spans="5:5">
      <c r="E111" s="51"/>
    </row>
    <row r="112" spans="5:5">
      <c r="E112" s="51"/>
    </row>
    <row r="113" spans="5:5">
      <c r="E113" s="51"/>
    </row>
    <row r="114" spans="5:5">
      <c r="E114" s="51"/>
    </row>
    <row r="115" spans="5:5">
      <c r="E115" s="51"/>
    </row>
    <row r="116" spans="5:5">
      <c r="E116" s="51"/>
    </row>
    <row r="117" spans="5:5">
      <c r="E117" s="51"/>
    </row>
    <row r="118" spans="5:5">
      <c r="E118" s="51"/>
    </row>
    <row r="119" spans="5:5">
      <c r="E119" s="51"/>
    </row>
    <row r="120" spans="5:5">
      <c r="E120" s="51"/>
    </row>
    <row r="121" spans="5:5">
      <c r="E121" s="51"/>
    </row>
    <row r="122" spans="5:5">
      <c r="E122" s="51"/>
    </row>
    <row r="123" spans="5:5">
      <c r="E123" s="51"/>
    </row>
    <row r="124" spans="5:5">
      <c r="E124" s="51"/>
    </row>
    <row r="125" spans="5:5">
      <c r="E125" s="51"/>
    </row>
    <row r="126" spans="5:5">
      <c r="E126" s="51"/>
    </row>
    <row r="127" spans="5:5">
      <c r="E127" s="51"/>
    </row>
    <row r="128" spans="5:5">
      <c r="E128" s="51"/>
    </row>
    <row r="129" spans="5:5">
      <c r="E129" s="51"/>
    </row>
    <row r="130" spans="5:5">
      <c r="E130" s="51"/>
    </row>
    <row r="131" spans="5:5">
      <c r="E131" s="51"/>
    </row>
    <row r="132" spans="5:5">
      <c r="E132" s="51"/>
    </row>
    <row r="133" spans="5:5">
      <c r="E133" s="51"/>
    </row>
    <row r="134" spans="5:5">
      <c r="E134" s="51"/>
    </row>
    <row r="135" spans="5:5">
      <c r="E135" s="51"/>
    </row>
    <row r="136" spans="5:5">
      <c r="E136" s="51"/>
    </row>
    <row r="137" spans="5:5">
      <c r="E137" s="51"/>
    </row>
    <row r="138" spans="5:5">
      <c r="E138" s="51"/>
    </row>
    <row r="139" spans="5:5">
      <c r="E139" s="51"/>
    </row>
    <row r="140" spans="5:5">
      <c r="E140" s="51"/>
    </row>
    <row r="141" spans="5:5">
      <c r="E141" s="51"/>
    </row>
    <row r="142" spans="5:5">
      <c r="E142" s="51"/>
    </row>
    <row r="143" spans="5:5">
      <c r="E143" s="51"/>
    </row>
    <row r="144" spans="5:5">
      <c r="E144" s="51"/>
    </row>
    <row r="145" spans="5:5">
      <c r="E145" s="51"/>
    </row>
    <row r="146" spans="5:5">
      <c r="E146" s="51"/>
    </row>
    <row r="147" spans="5:5">
      <c r="E147" s="51"/>
    </row>
    <row r="148" spans="5:5">
      <c r="E148" s="51"/>
    </row>
    <row r="149" spans="5:5">
      <c r="E149" s="51"/>
    </row>
    <row r="150" spans="5:5">
      <c r="E150" s="51"/>
    </row>
    <row r="151" spans="5:5">
      <c r="E151" s="51"/>
    </row>
    <row r="152" spans="5:5">
      <c r="E152" s="51"/>
    </row>
    <row r="153" spans="5:5">
      <c r="E153" s="51"/>
    </row>
    <row r="154" spans="5:5">
      <c r="E154" s="51"/>
    </row>
    <row r="155" spans="5:5">
      <c r="E155" s="51"/>
    </row>
    <row r="156" spans="5:5">
      <c r="E156" s="51"/>
    </row>
    <row r="157" spans="5:5">
      <c r="E157" s="51"/>
    </row>
    <row r="158" spans="5:5">
      <c r="E158" s="51"/>
    </row>
    <row r="159" spans="5:5">
      <c r="E159" s="51"/>
    </row>
    <row r="160" spans="5:5">
      <c r="E160" s="51"/>
    </row>
    <row r="161" spans="5:5">
      <c r="E161" s="51"/>
    </row>
    <row r="162" spans="5:5">
      <c r="E162" s="51"/>
    </row>
    <row r="163" spans="5:5">
      <c r="E163" s="51"/>
    </row>
    <row r="164" spans="5:5">
      <c r="E164" s="51"/>
    </row>
    <row r="165" spans="5:5">
      <c r="E165" s="51"/>
    </row>
    <row r="166" spans="5:5">
      <c r="E166" s="51"/>
    </row>
    <row r="167" spans="5:5">
      <c r="E167" s="51"/>
    </row>
    <row r="168" spans="5:5">
      <c r="E168" s="51"/>
    </row>
    <row r="169" spans="5:5">
      <c r="E169" s="51"/>
    </row>
    <row r="170" spans="5:5">
      <c r="E170" s="51"/>
    </row>
    <row r="171" spans="5:5">
      <c r="E171" s="51"/>
    </row>
    <row r="172" spans="5:5">
      <c r="E172" s="51"/>
    </row>
    <row r="173" spans="5:5">
      <c r="E173" s="51"/>
    </row>
    <row r="174" spans="5:5">
      <c r="E174" s="51"/>
    </row>
    <row r="175" spans="5:5">
      <c r="E175" s="51"/>
    </row>
    <row r="176" spans="5:5">
      <c r="E176" s="51"/>
    </row>
    <row r="177" spans="5:5">
      <c r="E177" s="51"/>
    </row>
    <row r="178" spans="5:5">
      <c r="E178" s="51"/>
    </row>
    <row r="179" spans="5:5">
      <c r="E179" s="51"/>
    </row>
    <row r="180" spans="5:5">
      <c r="E180" s="51"/>
    </row>
    <row r="181" spans="5:5">
      <c r="E181" s="51"/>
    </row>
    <row r="182" spans="5:5">
      <c r="E182" s="51"/>
    </row>
    <row r="183" spans="5:5">
      <c r="E183" s="51"/>
    </row>
    <row r="184" spans="5:5">
      <c r="E184" s="51"/>
    </row>
    <row r="185" spans="5:5">
      <c r="E185" s="51"/>
    </row>
    <row r="186" spans="5:5">
      <c r="E186" s="51"/>
    </row>
    <row r="187" spans="5:5">
      <c r="E187" s="51"/>
    </row>
    <row r="188" spans="5:5">
      <c r="E188" s="51"/>
    </row>
    <row r="189" spans="5:5">
      <c r="E189" s="51"/>
    </row>
    <row r="190" spans="5:5">
      <c r="E190" s="51"/>
    </row>
    <row r="191" spans="5:5">
      <c r="E191" s="51"/>
    </row>
    <row r="192" spans="5:5">
      <c r="E192" s="51"/>
    </row>
    <row r="193" spans="5:5">
      <c r="E193" s="51"/>
    </row>
    <row r="194" spans="5:5">
      <c r="E194" s="51"/>
    </row>
    <row r="195" spans="5:5">
      <c r="E195" s="51"/>
    </row>
    <row r="196" spans="5:5">
      <c r="E196" s="51"/>
    </row>
    <row r="197" spans="5:5">
      <c r="E197" s="51"/>
    </row>
    <row r="198" spans="5:5">
      <c r="E198" s="51"/>
    </row>
    <row r="199" spans="5:5">
      <c r="E199" s="51"/>
    </row>
    <row r="200" spans="5:5">
      <c r="E200" s="51"/>
    </row>
    <row r="201" spans="5:5">
      <c r="E201" s="51"/>
    </row>
    <row r="202" spans="5:5">
      <c r="E202" s="51"/>
    </row>
    <row r="203" spans="5:5">
      <c r="E203" s="51"/>
    </row>
    <row r="204" spans="5:5">
      <c r="E204" s="51"/>
    </row>
    <row r="205" spans="5:5">
      <c r="E205" s="51"/>
    </row>
    <row r="206" spans="5:5">
      <c r="E206" s="51"/>
    </row>
    <row r="207" spans="5:5">
      <c r="E207" s="51"/>
    </row>
    <row r="208" spans="5:5">
      <c r="E208" s="51"/>
    </row>
    <row r="209" spans="5:5">
      <c r="E209" s="51"/>
    </row>
    <row r="210" spans="5:5">
      <c r="E210" s="51"/>
    </row>
    <row r="211" spans="5:5">
      <c r="E211" s="51"/>
    </row>
    <row r="212" spans="5:5">
      <c r="E212" s="51"/>
    </row>
    <row r="213" spans="5:5">
      <c r="E213" s="51"/>
    </row>
    <row r="214" spans="5:5">
      <c r="E214" s="51"/>
    </row>
    <row r="215" spans="5:5">
      <c r="E215" s="51"/>
    </row>
    <row r="216" spans="5:5">
      <c r="E216" s="51"/>
    </row>
    <row r="217" spans="5:5">
      <c r="E217" s="51"/>
    </row>
    <row r="218" spans="5:5">
      <c r="E218" s="51"/>
    </row>
    <row r="219" spans="5:5">
      <c r="E219" s="51"/>
    </row>
    <row r="220" spans="5:5">
      <c r="E220" s="51"/>
    </row>
    <row r="221" spans="5:5">
      <c r="E221" s="51"/>
    </row>
    <row r="222" spans="5:5">
      <c r="E222" s="51"/>
    </row>
    <row r="223" spans="5:5">
      <c r="E223" s="51"/>
    </row>
    <row r="224" spans="5:5">
      <c r="E224" s="51"/>
    </row>
    <row r="225" spans="5:5">
      <c r="E225" s="51"/>
    </row>
    <row r="226" spans="5:5">
      <c r="E226" s="51"/>
    </row>
    <row r="227" spans="5:5">
      <c r="E227" s="51"/>
    </row>
    <row r="228" spans="5:5">
      <c r="E228" s="51"/>
    </row>
    <row r="229" spans="5:5">
      <c r="E229" s="51"/>
    </row>
    <row r="230" spans="5:5">
      <c r="E230" s="51"/>
    </row>
    <row r="231" spans="5:5">
      <c r="E231" s="51"/>
    </row>
    <row r="232" spans="5:5">
      <c r="E232" s="51"/>
    </row>
    <row r="233" spans="5:5">
      <c r="E233" s="51"/>
    </row>
    <row r="234" spans="5:5">
      <c r="E234" s="51"/>
    </row>
    <row r="235" spans="5:5">
      <c r="E235" s="51"/>
    </row>
    <row r="236" spans="5:5">
      <c r="E236" s="51"/>
    </row>
    <row r="237" spans="5:5">
      <c r="E237" s="51"/>
    </row>
    <row r="238" spans="5:5">
      <c r="E238" s="51"/>
    </row>
    <row r="239" spans="5:5">
      <c r="E239" s="51"/>
    </row>
    <row r="240" spans="5:5">
      <c r="E240" s="51"/>
    </row>
    <row r="241" spans="5:5">
      <c r="E241" s="51"/>
    </row>
    <row r="242" spans="5:5">
      <c r="E242" s="51"/>
    </row>
    <row r="243" spans="5:5">
      <c r="E243" s="51"/>
    </row>
    <row r="244" spans="5:5">
      <c r="E244" s="51"/>
    </row>
    <row r="245" spans="5:5">
      <c r="E245" s="51"/>
    </row>
    <row r="246" spans="5:5">
      <c r="E246" s="51"/>
    </row>
    <row r="247" spans="5:5">
      <c r="E247" s="51"/>
    </row>
    <row r="248" spans="5:5">
      <c r="E248" s="51"/>
    </row>
    <row r="249" spans="5:5">
      <c r="E249" s="51"/>
    </row>
    <row r="250" spans="5:5">
      <c r="E250" s="51"/>
    </row>
    <row r="251" spans="5:5">
      <c r="E251" s="51"/>
    </row>
    <row r="252" spans="5:5">
      <c r="E252" s="51"/>
    </row>
    <row r="253" spans="5:5">
      <c r="E253" s="51"/>
    </row>
    <row r="254" spans="5:5">
      <c r="E254" s="51"/>
    </row>
    <row r="255" spans="5:5">
      <c r="E255" s="51"/>
    </row>
    <row r="256" spans="5:5">
      <c r="E256" s="51"/>
    </row>
    <row r="257" spans="5:5">
      <c r="E257" s="51"/>
    </row>
    <row r="258" spans="5:5">
      <c r="E258" s="51"/>
    </row>
    <row r="259" spans="5:5">
      <c r="E259" s="51"/>
    </row>
    <row r="260" spans="5:5">
      <c r="E260" s="51"/>
    </row>
    <row r="261" spans="5:5">
      <c r="E261" s="51"/>
    </row>
    <row r="262" spans="5:5">
      <c r="E262" s="51"/>
    </row>
    <row r="263" spans="5:5">
      <c r="E263" s="51"/>
    </row>
    <row r="264" spans="5:5">
      <c r="E264" s="51"/>
    </row>
    <row r="265" spans="5:5">
      <c r="E265" s="51"/>
    </row>
    <row r="266" spans="5:5">
      <c r="E266" s="51"/>
    </row>
    <row r="267" spans="5:5">
      <c r="E267" s="51"/>
    </row>
    <row r="268" spans="5:5">
      <c r="E268" s="51"/>
    </row>
    <row r="269" spans="5:5">
      <c r="E269" s="51"/>
    </row>
    <row r="270" spans="5:5">
      <c r="E270" s="51"/>
    </row>
    <row r="271" spans="5:5">
      <c r="E271" s="51"/>
    </row>
    <row r="272" spans="5:5">
      <c r="E272" s="51"/>
    </row>
    <row r="273" spans="5:5">
      <c r="E273" s="51"/>
    </row>
    <row r="274" spans="5:5">
      <c r="E274" s="51"/>
    </row>
    <row r="275" spans="5:5">
      <c r="E275" s="51"/>
    </row>
    <row r="276" spans="5:5">
      <c r="E276" s="51"/>
    </row>
    <row r="277" spans="5:5">
      <c r="E277" s="51"/>
    </row>
    <row r="278" spans="5:5">
      <c r="E278" s="51"/>
    </row>
    <row r="279" spans="5:5">
      <c r="E279" s="51"/>
    </row>
    <row r="280" spans="5:5">
      <c r="E280" s="51"/>
    </row>
    <row r="281" spans="5:5">
      <c r="E281" s="51"/>
    </row>
    <row r="282" spans="5:5">
      <c r="E282" s="51"/>
    </row>
    <row r="283" spans="5:5">
      <c r="E283" s="51"/>
    </row>
    <row r="284" spans="5:5">
      <c r="E284" s="51"/>
    </row>
    <row r="285" spans="5:5">
      <c r="E285" s="51"/>
    </row>
    <row r="286" spans="5:5">
      <c r="E286" s="51"/>
    </row>
    <row r="287" spans="5:5">
      <c r="E287" s="51"/>
    </row>
    <row r="288" spans="5:5">
      <c r="E288" s="51"/>
    </row>
    <row r="289" spans="5:5">
      <c r="E289" s="51"/>
    </row>
    <row r="290" spans="5:5">
      <c r="E290" s="51"/>
    </row>
    <row r="291" spans="5:5">
      <c r="E291" s="51"/>
    </row>
    <row r="292" spans="5:5">
      <c r="E292" s="51"/>
    </row>
    <row r="293" spans="5:5">
      <c r="E293" s="51"/>
    </row>
    <row r="294" spans="5:5">
      <c r="E294" s="51"/>
    </row>
    <row r="295" spans="5:5">
      <c r="E295" s="51"/>
    </row>
    <row r="296" spans="5:5">
      <c r="E296" s="51"/>
    </row>
    <row r="297" spans="5:5">
      <c r="E297" s="51"/>
    </row>
    <row r="298" spans="5:5">
      <c r="E298" s="51"/>
    </row>
    <row r="299" spans="5:5">
      <c r="E299" s="51"/>
    </row>
    <row r="300" spans="5:5">
      <c r="E300" s="51"/>
    </row>
    <row r="301" spans="5:5">
      <c r="E301" s="51"/>
    </row>
    <row r="302" spans="5:5">
      <c r="E302" s="51"/>
    </row>
    <row r="303" spans="5:5">
      <c r="E303" s="51"/>
    </row>
    <row r="304" spans="5:5">
      <c r="E304" s="51"/>
    </row>
    <row r="305" spans="5:5">
      <c r="E305" s="51"/>
    </row>
    <row r="306" spans="5:5">
      <c r="E306" s="51"/>
    </row>
    <row r="307" spans="5:5">
      <c r="E307" s="51"/>
    </row>
    <row r="308" spans="5:5">
      <c r="E308" s="51"/>
    </row>
    <row r="309" spans="5:5">
      <c r="E309" s="51"/>
    </row>
    <row r="310" spans="5:5">
      <c r="E310" s="51"/>
    </row>
    <row r="311" spans="5:5">
      <c r="E311" s="51"/>
    </row>
    <row r="312" spans="5:5">
      <c r="E312" s="51"/>
    </row>
    <row r="313" spans="5:5">
      <c r="E313" s="51"/>
    </row>
    <row r="314" spans="5:5">
      <c r="E314" s="51"/>
    </row>
    <row r="315" spans="5:5">
      <c r="E315" s="51"/>
    </row>
    <row r="316" spans="5:5">
      <c r="E316" s="51"/>
    </row>
    <row r="317" spans="5:5">
      <c r="E317" s="51"/>
    </row>
    <row r="318" spans="5:5">
      <c r="E318" s="51"/>
    </row>
    <row r="319" spans="5:5">
      <c r="E319" s="51"/>
    </row>
    <row r="320" spans="5:5">
      <c r="E320" s="51"/>
    </row>
    <row r="321" spans="5:5">
      <c r="E321" s="51"/>
    </row>
    <row r="322" spans="5:5">
      <c r="E322" s="51"/>
    </row>
    <row r="323" spans="5:5">
      <c r="E323" s="51"/>
    </row>
    <row r="324" spans="5:5">
      <c r="E324" s="51"/>
    </row>
    <row r="325" spans="5:5">
      <c r="E325" s="51"/>
    </row>
    <row r="326" spans="5:5">
      <c r="E326" s="51"/>
    </row>
    <row r="327" spans="5:5">
      <c r="E327" s="51"/>
    </row>
    <row r="328" spans="5:5">
      <c r="E328" s="51"/>
    </row>
    <row r="329" spans="5:5">
      <c r="E329" s="51"/>
    </row>
    <row r="330" spans="5:5">
      <c r="E330" s="51"/>
    </row>
    <row r="331" spans="5:5">
      <c r="E331" s="51"/>
    </row>
    <row r="332" spans="5:5">
      <c r="E332" s="51"/>
    </row>
    <row r="333" spans="5:5">
      <c r="E333" s="51"/>
    </row>
    <row r="334" spans="5:5">
      <c r="E334" s="51"/>
    </row>
    <row r="335" spans="5:5">
      <c r="E335" s="51"/>
    </row>
    <row r="336" spans="5:5">
      <c r="E336" s="51"/>
    </row>
    <row r="337" spans="5:5">
      <c r="E337" s="51"/>
    </row>
    <row r="338" spans="5:5">
      <c r="E338" s="51"/>
    </row>
    <row r="339" spans="5:5">
      <c r="E339" s="51"/>
    </row>
    <row r="340" spans="5:5">
      <c r="E340" s="51"/>
    </row>
    <row r="341" spans="5:5">
      <c r="E341" s="51"/>
    </row>
    <row r="342" spans="5:5">
      <c r="E342" s="51"/>
    </row>
    <row r="343" spans="5:5">
      <c r="E343" s="51"/>
    </row>
    <row r="344" spans="5:5">
      <c r="E344" s="51"/>
    </row>
    <row r="345" spans="5:5">
      <c r="E345" s="51"/>
    </row>
    <row r="346" spans="5:5">
      <c r="E346" s="51"/>
    </row>
    <row r="347" spans="5:5">
      <c r="E347" s="51"/>
    </row>
    <row r="348" spans="5:5">
      <c r="E348" s="51"/>
    </row>
    <row r="349" spans="5:5">
      <c r="E349" s="51"/>
    </row>
    <row r="350" spans="5:5">
      <c r="E350" s="51"/>
    </row>
    <row r="351" spans="5:5">
      <c r="E351" s="51"/>
    </row>
    <row r="352" spans="5:5">
      <c r="E352" s="51"/>
    </row>
    <row r="353" spans="5:5">
      <c r="E353" s="51"/>
    </row>
    <row r="354" spans="5:5">
      <c r="E354" s="51"/>
    </row>
    <row r="355" spans="5:5">
      <c r="E355" s="51"/>
    </row>
    <row r="356" spans="5:5">
      <c r="E356" s="51"/>
    </row>
    <row r="357" spans="5:5">
      <c r="E357" s="51"/>
    </row>
    <row r="358" spans="5:5">
      <c r="E358" s="51"/>
    </row>
    <row r="359" spans="5:5">
      <c r="E359" s="51"/>
    </row>
    <row r="360" spans="5:5">
      <c r="E360" s="51"/>
    </row>
    <row r="361" spans="5:5">
      <c r="E361" s="51"/>
    </row>
    <row r="362" spans="5:5">
      <c r="E362" s="51"/>
    </row>
    <row r="363" spans="5:5">
      <c r="E363" s="51"/>
    </row>
    <row r="364" spans="5:5">
      <c r="E364" s="51"/>
    </row>
    <row r="365" spans="5:5">
      <c r="E365" s="51"/>
    </row>
    <row r="366" spans="5:5">
      <c r="E366" s="51"/>
    </row>
    <row r="367" spans="5:5">
      <c r="E367" s="51"/>
    </row>
    <row r="368" spans="5:5">
      <c r="E368" s="51"/>
    </row>
    <row r="369" spans="5:5">
      <c r="E369" s="51"/>
    </row>
    <row r="370" spans="5:5">
      <c r="E370" s="51"/>
    </row>
    <row r="371" spans="5:5">
      <c r="E371" s="51"/>
    </row>
    <row r="372" spans="5:5">
      <c r="E372" s="51"/>
    </row>
    <row r="373" spans="5:5">
      <c r="E373" s="51"/>
    </row>
    <row r="374" spans="5:5">
      <c r="E374" s="51"/>
    </row>
    <row r="375" spans="5:5">
      <c r="E375" s="51"/>
    </row>
    <row r="376" spans="5:5">
      <c r="E376" s="51"/>
    </row>
    <row r="377" spans="5:5">
      <c r="E377" s="51"/>
    </row>
    <row r="378" spans="5:5">
      <c r="E378" s="51"/>
    </row>
    <row r="379" spans="5:5">
      <c r="E379" s="51"/>
    </row>
    <row r="380" spans="5:5">
      <c r="E380" s="51"/>
    </row>
    <row r="381" spans="5:5">
      <c r="E381" s="51"/>
    </row>
    <row r="382" spans="5:5">
      <c r="E382" s="51"/>
    </row>
    <row r="383" spans="5:5">
      <c r="E383" s="51"/>
    </row>
    <row r="384" spans="5:5">
      <c r="E384" s="51"/>
    </row>
    <row r="385" spans="5:5">
      <c r="E385" s="51"/>
    </row>
    <row r="386" spans="5:5">
      <c r="E386" s="51"/>
    </row>
    <row r="387" spans="5:5">
      <c r="E387" s="51"/>
    </row>
    <row r="388" spans="5:5">
      <c r="E388" s="51"/>
    </row>
    <row r="389" spans="5:5">
      <c r="E389" s="51"/>
    </row>
    <row r="390" spans="5:5">
      <c r="E390" s="51"/>
    </row>
    <row r="391" spans="5:5">
      <c r="E391" s="51"/>
    </row>
    <row r="392" spans="5:5">
      <c r="E392" s="51"/>
    </row>
    <row r="393" spans="5:5">
      <c r="E393" s="51"/>
    </row>
    <row r="394" spans="5:5">
      <c r="E394" s="51"/>
    </row>
    <row r="395" spans="5:5">
      <c r="E395" s="51"/>
    </row>
    <row r="396" spans="5:5">
      <c r="E396" s="51"/>
    </row>
    <row r="397" spans="5:5">
      <c r="E397" s="51"/>
    </row>
    <row r="398" spans="5:5">
      <c r="E398" s="51"/>
    </row>
    <row r="399" spans="5:5">
      <c r="E399" s="51"/>
    </row>
    <row r="400" spans="5:5">
      <c r="E400" s="51"/>
    </row>
    <row r="401" spans="5:5">
      <c r="E401" s="51"/>
    </row>
    <row r="402" spans="5:5">
      <c r="E402" s="51"/>
    </row>
    <row r="403" spans="5:5">
      <c r="E403" s="51"/>
    </row>
    <row r="404" spans="5:5">
      <c r="E404" s="51"/>
    </row>
    <row r="405" spans="5:5">
      <c r="E405" s="51"/>
    </row>
    <row r="406" spans="5:5">
      <c r="E406" s="51"/>
    </row>
    <row r="407" spans="5:5">
      <c r="E407" s="51"/>
    </row>
    <row r="408" spans="5:5">
      <c r="E408" s="51"/>
    </row>
    <row r="409" spans="5:5">
      <c r="E409" s="51"/>
    </row>
    <row r="410" spans="5:5">
      <c r="E410" s="51"/>
    </row>
    <row r="411" spans="5:5">
      <c r="E411" s="51"/>
    </row>
    <row r="412" spans="5:5">
      <c r="E412" s="51"/>
    </row>
    <row r="413" spans="5:5">
      <c r="E413" s="51"/>
    </row>
    <row r="414" spans="5:5">
      <c r="E414" s="51"/>
    </row>
    <row r="415" spans="5:5">
      <c r="E415" s="51"/>
    </row>
    <row r="416" spans="5:5">
      <c r="E416" s="51"/>
    </row>
    <row r="417" spans="5:5">
      <c r="E417" s="51"/>
    </row>
    <row r="418" spans="5:5">
      <c r="E418" s="51"/>
    </row>
    <row r="419" spans="5:5">
      <c r="E419" s="51"/>
    </row>
    <row r="420" spans="5:5">
      <c r="E420" s="51"/>
    </row>
    <row r="421" spans="5:5">
      <c r="E421" s="51"/>
    </row>
    <row r="422" spans="5:5">
      <c r="E422" s="51"/>
    </row>
    <row r="423" spans="5:5">
      <c r="E423" s="51"/>
    </row>
    <row r="424" spans="5:5">
      <c r="E424" s="51"/>
    </row>
    <row r="425" spans="5:5">
      <c r="E425" s="51"/>
    </row>
    <row r="426" spans="5:5">
      <c r="E426" s="51"/>
    </row>
    <row r="427" spans="5:5">
      <c r="E427" s="51"/>
    </row>
    <row r="428" spans="5:5">
      <c r="E428" s="51"/>
    </row>
    <row r="429" spans="5:5">
      <c r="E429" s="51"/>
    </row>
    <row r="430" spans="5:5">
      <c r="E430" s="51"/>
    </row>
    <row r="431" spans="5:5">
      <c r="E431" s="51"/>
    </row>
    <row r="432" spans="5:5">
      <c r="E432" s="51"/>
    </row>
    <row r="433" spans="5:5">
      <c r="E433" s="51"/>
    </row>
    <row r="434" spans="5:5">
      <c r="E434" s="51"/>
    </row>
    <row r="435" spans="5:5">
      <c r="E435" s="51"/>
    </row>
    <row r="436" spans="5:5">
      <c r="E436" s="51"/>
    </row>
    <row r="437" spans="5:5">
      <c r="E437" s="51"/>
    </row>
    <row r="438" spans="5:5">
      <c r="E438" s="51"/>
    </row>
    <row r="439" spans="5:5">
      <c r="E439" s="51"/>
    </row>
    <row r="440" spans="5:5">
      <c r="E440" s="51"/>
    </row>
    <row r="441" spans="5:5">
      <c r="E441" s="51"/>
    </row>
    <row r="442" spans="5:5">
      <c r="E442" s="51"/>
    </row>
    <row r="443" spans="5:5">
      <c r="E443" s="51"/>
    </row>
    <row r="444" spans="5:5">
      <c r="E444" s="51"/>
    </row>
    <row r="445" spans="5:5">
      <c r="E445" s="51"/>
    </row>
    <row r="446" spans="5:5">
      <c r="E446" s="51"/>
    </row>
    <row r="447" spans="5:5">
      <c r="E447" s="51"/>
    </row>
    <row r="448" spans="5:5">
      <c r="E448" s="51"/>
    </row>
    <row r="449" spans="5:5">
      <c r="E449" s="51"/>
    </row>
    <row r="450" spans="5:5">
      <c r="E450" s="51"/>
    </row>
    <row r="451" spans="5:5">
      <c r="E451" s="51"/>
    </row>
    <row r="452" spans="5:5">
      <c r="E452" s="51"/>
    </row>
    <row r="453" spans="5:5">
      <c r="E453" s="51"/>
    </row>
    <row r="454" spans="5:5">
      <c r="E454" s="51"/>
    </row>
    <row r="455" spans="5:5">
      <c r="E455" s="51"/>
    </row>
    <row r="456" spans="5:5">
      <c r="E456" s="51"/>
    </row>
    <row r="457" spans="5:5">
      <c r="E457" s="51"/>
    </row>
    <row r="458" spans="5:5">
      <c r="E458" s="51"/>
    </row>
    <row r="459" spans="5:5">
      <c r="E459" s="51"/>
    </row>
    <row r="460" spans="5:5">
      <c r="E460" s="51"/>
    </row>
    <row r="461" spans="5:5">
      <c r="E461" s="51"/>
    </row>
    <row r="462" spans="5:5">
      <c r="E462" s="51"/>
    </row>
    <row r="463" spans="5:5">
      <c r="E463" s="51"/>
    </row>
    <row r="464" spans="5:5">
      <c r="E464" s="51"/>
    </row>
    <row r="465" spans="5:5">
      <c r="E465" s="51"/>
    </row>
    <row r="466" spans="5:5">
      <c r="E466" s="51"/>
    </row>
    <row r="467" spans="5:5">
      <c r="E467" s="51"/>
    </row>
    <row r="468" spans="5:5">
      <c r="E468" s="51"/>
    </row>
    <row r="469" spans="5:5">
      <c r="E469" s="51"/>
    </row>
    <row r="470" spans="5:5">
      <c r="E470" s="51"/>
    </row>
    <row r="471" spans="5:5">
      <c r="E471" s="51"/>
    </row>
    <row r="472" spans="5:5">
      <c r="E472" s="51"/>
    </row>
    <row r="473" spans="5:5">
      <c r="E473" s="51"/>
    </row>
    <row r="474" spans="5:5">
      <c r="E474" s="51"/>
    </row>
    <row r="475" spans="5:5">
      <c r="E475" s="51"/>
    </row>
    <row r="476" spans="5:5">
      <c r="E476" s="51"/>
    </row>
    <row r="477" spans="5:5">
      <c r="E477" s="51"/>
    </row>
    <row r="478" spans="5:5">
      <c r="E478" s="51"/>
    </row>
    <row r="479" spans="5:5">
      <c r="E479" s="51"/>
    </row>
    <row r="480" spans="5:5">
      <c r="E480" s="51"/>
    </row>
    <row r="481" spans="5:5">
      <c r="E481" s="51"/>
    </row>
    <row r="482" spans="5:5">
      <c r="E482" s="51"/>
    </row>
    <row r="483" spans="5:5">
      <c r="E483" s="51"/>
    </row>
    <row r="484" spans="5:5">
      <c r="E484" s="51"/>
    </row>
    <row r="485" spans="5:5">
      <c r="E485" s="51"/>
    </row>
    <row r="486" spans="5:5">
      <c r="E486" s="51"/>
    </row>
    <row r="487" spans="5:5">
      <c r="E487" s="51"/>
    </row>
    <row r="488" spans="5:5">
      <c r="E488" s="42"/>
    </row>
    <row r="489" spans="5:5">
      <c r="E489" s="42"/>
    </row>
    <row r="490" spans="5:5">
      <c r="E490" s="42"/>
    </row>
    <row r="491" spans="5:5">
      <c r="E491" s="42"/>
    </row>
    <row r="492" spans="5:5">
      <c r="E492" s="42"/>
    </row>
    <row r="493" spans="5:5">
      <c r="E493" s="42"/>
    </row>
    <row r="494" spans="5:5">
      <c r="E494" s="42"/>
    </row>
    <row r="495" spans="5:5">
      <c r="E495" s="42"/>
    </row>
    <row r="496" spans="5:5">
      <c r="E496" s="42"/>
    </row>
    <row r="497" spans="5:5">
      <c r="E497" s="42"/>
    </row>
    <row r="498" spans="5:5">
      <c r="E498" s="42"/>
    </row>
    <row r="499" spans="5:5">
      <c r="E499" s="42"/>
    </row>
    <row r="500" spans="5:5">
      <c r="E500" s="42"/>
    </row>
    <row r="501" spans="5:5">
      <c r="E501" s="42"/>
    </row>
    <row r="502" spans="5:5">
      <c r="E502" s="42"/>
    </row>
    <row r="503" spans="5:5">
      <c r="E503" s="42"/>
    </row>
    <row r="504" spans="5:5">
      <c r="E504" s="42"/>
    </row>
    <row r="505" spans="5:5">
      <c r="E505" s="42"/>
    </row>
    <row r="506" spans="5:5">
      <c r="E506" s="42"/>
    </row>
    <row r="507" spans="5:5">
      <c r="E507" s="42"/>
    </row>
    <row r="508" spans="5:5">
      <c r="E508" s="42"/>
    </row>
    <row r="509" spans="5:5">
      <c r="E509" s="42"/>
    </row>
    <row r="510" spans="5:5">
      <c r="E510" s="42"/>
    </row>
    <row r="511" spans="5:5">
      <c r="E511" s="42"/>
    </row>
    <row r="512" spans="5:5">
      <c r="E512" s="42"/>
    </row>
    <row r="513" spans="5:5">
      <c r="E513" s="42"/>
    </row>
    <row r="514" spans="5:5">
      <c r="E514" s="42"/>
    </row>
    <row r="515" spans="5:5">
      <c r="E515" s="42"/>
    </row>
    <row r="516" spans="5:5">
      <c r="E516" s="42"/>
    </row>
    <row r="517" spans="5:5">
      <c r="E517" s="42"/>
    </row>
    <row r="518" spans="5:5">
      <c r="E518" s="42"/>
    </row>
    <row r="519" spans="5:5">
      <c r="E519" s="42"/>
    </row>
    <row r="520" spans="5:5">
      <c r="E520" s="42"/>
    </row>
    <row r="521" spans="5:5">
      <c r="E521" s="42"/>
    </row>
    <row r="522" spans="5:5">
      <c r="E522" s="42"/>
    </row>
    <row r="523" spans="5:5">
      <c r="E523" s="42"/>
    </row>
    <row r="524" spans="5:5">
      <c r="E524" s="42"/>
    </row>
    <row r="525" spans="5:5">
      <c r="E525" s="42"/>
    </row>
    <row r="526" spans="5:5">
      <c r="E526" s="42"/>
    </row>
    <row r="527" spans="5:5">
      <c r="E527" s="42"/>
    </row>
    <row r="528" spans="5:5">
      <c r="E528" s="42"/>
    </row>
    <row r="529" spans="5:5">
      <c r="E529" s="42"/>
    </row>
    <row r="530" spans="5:5">
      <c r="E530" s="42"/>
    </row>
    <row r="531" spans="5:5">
      <c r="E531" s="42"/>
    </row>
    <row r="532" spans="5:5">
      <c r="E532" s="42"/>
    </row>
    <row r="533" spans="5:5">
      <c r="E533" s="42"/>
    </row>
    <row r="534" spans="5:5">
      <c r="E534" s="42"/>
    </row>
    <row r="535" spans="5:5">
      <c r="E535" s="42"/>
    </row>
    <row r="536" spans="5:5">
      <c r="E536" s="42"/>
    </row>
    <row r="537" spans="5:5">
      <c r="E537" s="42"/>
    </row>
    <row r="538" spans="5:5">
      <c r="E538" s="42"/>
    </row>
    <row r="539" spans="5:5">
      <c r="E539" s="42"/>
    </row>
    <row r="540" spans="5:5">
      <c r="E540" s="42"/>
    </row>
    <row r="541" spans="5:5">
      <c r="E541" s="42"/>
    </row>
    <row r="542" spans="5:5">
      <c r="E542" s="42"/>
    </row>
    <row r="543" spans="5:5">
      <c r="E543" s="42"/>
    </row>
    <row r="544" spans="5:5">
      <c r="E544" s="42"/>
    </row>
    <row r="545" spans="5:5">
      <c r="E545" s="42"/>
    </row>
    <row r="546" spans="5:5">
      <c r="E546" s="42"/>
    </row>
    <row r="547" spans="5:5">
      <c r="E547" s="42"/>
    </row>
    <row r="548" spans="5:5">
      <c r="E548" s="42"/>
    </row>
    <row r="549" spans="5:5">
      <c r="E549" s="42"/>
    </row>
    <row r="550" spans="5:5">
      <c r="E550" s="42"/>
    </row>
    <row r="551" spans="5:5">
      <c r="E551" s="42"/>
    </row>
    <row r="552" spans="5:5">
      <c r="E552" s="42"/>
    </row>
    <row r="553" spans="5:5">
      <c r="E553" s="42"/>
    </row>
    <row r="554" spans="5:5">
      <c r="E554" s="42"/>
    </row>
    <row r="555" spans="5:5">
      <c r="E555" s="42"/>
    </row>
    <row r="556" spans="5:5">
      <c r="E556" s="42"/>
    </row>
    <row r="557" spans="5:5">
      <c r="E557" s="42"/>
    </row>
    <row r="558" spans="5:5">
      <c r="E558" s="42"/>
    </row>
    <row r="559" spans="5:5">
      <c r="E559" s="42"/>
    </row>
    <row r="560" spans="5:5">
      <c r="E560" s="42"/>
    </row>
    <row r="561" spans="5:5">
      <c r="E561" s="42"/>
    </row>
    <row r="562" spans="5:5">
      <c r="E562" s="42"/>
    </row>
    <row r="563" spans="5:5">
      <c r="E563" s="42"/>
    </row>
    <row r="564" spans="5:5">
      <c r="E564" s="42"/>
    </row>
    <row r="565" spans="5:5">
      <c r="E565" s="42"/>
    </row>
    <row r="566" spans="5:5">
      <c r="E566" s="42"/>
    </row>
    <row r="567" spans="5:5">
      <c r="E567" s="42"/>
    </row>
    <row r="568" spans="5:5">
      <c r="E568" s="42"/>
    </row>
    <row r="569" spans="5:5">
      <c r="E569" s="42"/>
    </row>
    <row r="570" spans="5:5">
      <c r="E570" s="42"/>
    </row>
    <row r="571" spans="5:5">
      <c r="E571" s="42"/>
    </row>
    <row r="572" spans="5:5">
      <c r="E572" s="42"/>
    </row>
    <row r="573" spans="5:5">
      <c r="E573" s="42"/>
    </row>
    <row r="574" spans="5:5">
      <c r="E574" s="42"/>
    </row>
    <row r="575" spans="5:5">
      <c r="E575" s="42"/>
    </row>
    <row r="576" spans="5:5">
      <c r="E576" s="42"/>
    </row>
    <row r="577" spans="5:5">
      <c r="E577" s="42"/>
    </row>
    <row r="578" spans="5:5">
      <c r="E578" s="42"/>
    </row>
    <row r="579" spans="5:5">
      <c r="E579" s="42"/>
    </row>
    <row r="580" spans="5:5">
      <c r="E580" s="42"/>
    </row>
    <row r="581" spans="5:5">
      <c r="E581" s="42"/>
    </row>
    <row r="582" spans="5:5">
      <c r="E582" s="42"/>
    </row>
    <row r="583" spans="5:5">
      <c r="E583" s="42"/>
    </row>
    <row r="584" spans="5:5">
      <c r="E584" s="42"/>
    </row>
    <row r="585" spans="5:5">
      <c r="E585" s="42"/>
    </row>
    <row r="586" spans="5:5">
      <c r="E586" s="42"/>
    </row>
    <row r="587" spans="5:5">
      <c r="E587" s="42"/>
    </row>
    <row r="588" spans="5:5">
      <c r="E588" s="42"/>
    </row>
    <row r="589" spans="5:5">
      <c r="E589" s="42"/>
    </row>
    <row r="590" spans="5:5">
      <c r="E590" s="42"/>
    </row>
    <row r="591" spans="5:5">
      <c r="E591" s="42"/>
    </row>
    <row r="592" spans="5:5">
      <c r="E592" s="42"/>
    </row>
    <row r="593" spans="5:5">
      <c r="E593" s="42"/>
    </row>
    <row r="594" spans="5:5">
      <c r="E594" s="42"/>
    </row>
    <row r="595" spans="5:5">
      <c r="E595" s="42"/>
    </row>
    <row r="596" spans="5:5">
      <c r="E596" s="42"/>
    </row>
    <row r="597" spans="5:5">
      <c r="E597" s="42"/>
    </row>
    <row r="598" spans="5:5">
      <c r="E598" s="42"/>
    </row>
    <row r="599" spans="5:5">
      <c r="E599" s="42"/>
    </row>
    <row r="600" spans="5:5">
      <c r="E600" s="42"/>
    </row>
    <row r="601" spans="5:5">
      <c r="E601" s="42"/>
    </row>
    <row r="602" spans="5:5">
      <c r="E602" s="42"/>
    </row>
    <row r="603" spans="5:5">
      <c r="E603" s="42"/>
    </row>
    <row r="604" spans="5:5">
      <c r="E604" s="42"/>
    </row>
    <row r="605" spans="5:5">
      <c r="E605" s="42"/>
    </row>
    <row r="606" spans="5:5">
      <c r="E606" s="42"/>
    </row>
    <row r="607" spans="5:5">
      <c r="E607" s="42"/>
    </row>
    <row r="608" spans="5:5">
      <c r="E608" s="42"/>
    </row>
    <row r="609" spans="5:5">
      <c r="E609" s="42"/>
    </row>
    <row r="610" spans="5:5">
      <c r="E610" s="42"/>
    </row>
    <row r="611" spans="5:5">
      <c r="E611" s="42"/>
    </row>
    <row r="612" spans="5:5">
      <c r="E612" s="42"/>
    </row>
    <row r="613" spans="5:5">
      <c r="E613" s="42"/>
    </row>
    <row r="614" spans="5:5">
      <c r="E614" s="42"/>
    </row>
    <row r="615" spans="5:5">
      <c r="E615" s="42"/>
    </row>
    <row r="616" spans="5:5">
      <c r="E616" s="42"/>
    </row>
    <row r="617" spans="5:5">
      <c r="E617" s="42"/>
    </row>
    <row r="618" spans="5:5">
      <c r="E618" s="42"/>
    </row>
    <row r="619" spans="5:5">
      <c r="E619" s="42"/>
    </row>
    <row r="620" spans="5:5">
      <c r="E620" s="42"/>
    </row>
    <row r="621" spans="5:5">
      <c r="E621" s="42"/>
    </row>
    <row r="622" spans="5:5">
      <c r="E622" s="42"/>
    </row>
    <row r="623" spans="5:5">
      <c r="E623" s="42"/>
    </row>
    <row r="624" spans="5:5">
      <c r="E624" s="42"/>
    </row>
    <row r="625" spans="5:5">
      <c r="E625" s="42"/>
    </row>
    <row r="626" spans="5:5">
      <c r="E626" s="42"/>
    </row>
    <row r="627" spans="5:5">
      <c r="E627" s="42"/>
    </row>
    <row r="628" spans="5:5">
      <c r="E628" s="42"/>
    </row>
    <row r="629" spans="5:5">
      <c r="E629" s="42"/>
    </row>
    <row r="630" spans="5:5">
      <c r="E630" s="42"/>
    </row>
    <row r="631" spans="5:5">
      <c r="E631" s="42"/>
    </row>
    <row r="632" spans="5:5">
      <c r="E632" s="42"/>
    </row>
    <row r="633" spans="5:5">
      <c r="E633" s="42"/>
    </row>
    <row r="634" spans="5:5">
      <c r="E634" s="42"/>
    </row>
    <row r="635" spans="5:5">
      <c r="E635" s="42"/>
    </row>
    <row r="636" spans="5:5">
      <c r="E636" s="42"/>
    </row>
    <row r="637" spans="5:5">
      <c r="E637" s="42"/>
    </row>
    <row r="638" spans="5:5">
      <c r="E638" s="42"/>
    </row>
    <row r="639" spans="5:5">
      <c r="E639" s="42"/>
    </row>
    <row r="640" spans="5:5">
      <c r="E640" s="42"/>
    </row>
    <row r="641" spans="5:5">
      <c r="E641" s="42"/>
    </row>
    <row r="642" spans="5:5">
      <c r="E642" s="42"/>
    </row>
    <row r="643" spans="5:5">
      <c r="E643" s="42"/>
    </row>
    <row r="644" spans="5:5">
      <c r="E644" s="42"/>
    </row>
    <row r="645" spans="5:5">
      <c r="E645" s="42"/>
    </row>
    <row r="646" spans="5:5">
      <c r="E646" s="42"/>
    </row>
    <row r="647" spans="5:5">
      <c r="E647" s="42"/>
    </row>
    <row r="648" spans="5:5">
      <c r="E648" s="42"/>
    </row>
    <row r="649" spans="5:5">
      <c r="E649" s="42"/>
    </row>
    <row r="650" spans="5:5">
      <c r="E650" s="42"/>
    </row>
    <row r="651" spans="5:5">
      <c r="E651" s="42"/>
    </row>
    <row r="652" spans="5:5">
      <c r="E652" s="42"/>
    </row>
    <row r="653" spans="5:5">
      <c r="E653" s="42"/>
    </row>
    <row r="654" spans="5:5">
      <c r="E654" s="42"/>
    </row>
    <row r="655" spans="5:5">
      <c r="E655" s="42"/>
    </row>
    <row r="656" spans="5:5">
      <c r="E656" s="42"/>
    </row>
    <row r="657" spans="5:5">
      <c r="E657" s="42"/>
    </row>
    <row r="658" spans="5:5">
      <c r="E658" s="42"/>
    </row>
    <row r="659" spans="5:5">
      <c r="E659" s="42"/>
    </row>
    <row r="660" spans="5:5">
      <c r="E660" s="42"/>
    </row>
    <row r="661" spans="5:5">
      <c r="E661" s="42"/>
    </row>
    <row r="662" spans="5:5">
      <c r="E662" s="42"/>
    </row>
    <row r="663" spans="5:5">
      <c r="E663" s="42"/>
    </row>
    <row r="664" spans="5:5">
      <c r="E664" s="42"/>
    </row>
    <row r="665" spans="5:5">
      <c r="E665" s="42"/>
    </row>
    <row r="666" spans="5:5">
      <c r="E666" s="42"/>
    </row>
    <row r="667" spans="5:5">
      <c r="E667" s="42"/>
    </row>
    <row r="668" spans="5:5">
      <c r="E668" s="42"/>
    </row>
    <row r="669" spans="5:5">
      <c r="E669" s="42"/>
    </row>
    <row r="670" spans="5:5">
      <c r="E670" s="42"/>
    </row>
    <row r="671" spans="5:5">
      <c r="E671" s="42"/>
    </row>
    <row r="672" spans="5:5">
      <c r="E672" s="42"/>
    </row>
    <row r="673" spans="5:5">
      <c r="E673" s="42"/>
    </row>
    <row r="674" spans="5:5">
      <c r="E674" s="42"/>
    </row>
    <row r="675" spans="5:5">
      <c r="E675" s="42"/>
    </row>
    <row r="676" spans="5:5">
      <c r="E676" s="42"/>
    </row>
    <row r="677" spans="5:5">
      <c r="E677" s="42"/>
    </row>
    <row r="678" spans="5:5">
      <c r="E678" s="42"/>
    </row>
    <row r="679" spans="5:5">
      <c r="E679" s="42"/>
    </row>
    <row r="680" spans="5:5">
      <c r="E680" s="42"/>
    </row>
    <row r="681" spans="5:5">
      <c r="E681" s="42"/>
    </row>
    <row r="682" spans="5:5">
      <c r="E682" s="42"/>
    </row>
    <row r="683" spans="5:5">
      <c r="E683" s="42"/>
    </row>
    <row r="684" spans="5:5">
      <c r="E684" s="42"/>
    </row>
    <row r="685" spans="5:5">
      <c r="E685" s="42"/>
    </row>
    <row r="686" spans="5:5">
      <c r="E686" s="42"/>
    </row>
    <row r="687" spans="5:5">
      <c r="E687" s="42"/>
    </row>
    <row r="688" spans="5:5">
      <c r="E688" s="42"/>
    </row>
    <row r="689" spans="5:5">
      <c r="E689" s="42"/>
    </row>
    <row r="690" spans="5:5">
      <c r="E690" s="42"/>
    </row>
    <row r="691" spans="5:5">
      <c r="E691" s="42"/>
    </row>
    <row r="692" spans="5:5">
      <c r="E692" s="42"/>
    </row>
    <row r="693" spans="5:5">
      <c r="E693" s="42"/>
    </row>
    <row r="694" spans="5:5">
      <c r="E694" s="42"/>
    </row>
    <row r="695" spans="5:5">
      <c r="E695" s="42"/>
    </row>
    <row r="696" spans="5:5">
      <c r="E696" s="42"/>
    </row>
    <row r="697" spans="5:5">
      <c r="E697" s="42"/>
    </row>
    <row r="698" spans="5:5">
      <c r="E698" s="42"/>
    </row>
    <row r="699" spans="5:5">
      <c r="E699" s="42"/>
    </row>
    <row r="700" spans="5:5">
      <c r="E700" s="42"/>
    </row>
    <row r="701" spans="5:5">
      <c r="E701" s="42"/>
    </row>
    <row r="702" spans="5:5">
      <c r="E702" s="42"/>
    </row>
    <row r="703" spans="5:5">
      <c r="E703" s="42"/>
    </row>
    <row r="704" spans="5:5">
      <c r="E704" s="42"/>
    </row>
    <row r="705" spans="5:5">
      <c r="E705" s="42"/>
    </row>
    <row r="706" spans="5:5">
      <c r="E706" s="42"/>
    </row>
    <row r="707" spans="5:5">
      <c r="E707" s="42"/>
    </row>
    <row r="708" spans="5:5">
      <c r="E708" s="42"/>
    </row>
    <row r="709" spans="5:5">
      <c r="E709" s="42"/>
    </row>
    <row r="710" spans="5:5">
      <c r="E710" s="42"/>
    </row>
    <row r="711" spans="5:5">
      <c r="E711" s="42"/>
    </row>
    <row r="712" spans="5:5">
      <c r="E712" s="42"/>
    </row>
    <row r="713" spans="5:5">
      <c r="E713" s="42"/>
    </row>
    <row r="714" spans="5:5">
      <c r="E714" s="42"/>
    </row>
    <row r="715" spans="5:5">
      <c r="E715" s="42"/>
    </row>
    <row r="716" spans="5:5">
      <c r="E716" s="42"/>
    </row>
    <row r="717" spans="5:5">
      <c r="E717" s="42"/>
    </row>
    <row r="718" spans="5:5">
      <c r="E718" s="42"/>
    </row>
    <row r="719" spans="5:5">
      <c r="E719" s="42"/>
    </row>
    <row r="720" spans="5:5">
      <c r="E720" s="42"/>
    </row>
    <row r="721" spans="5:5">
      <c r="E721" s="42"/>
    </row>
    <row r="722" spans="5:5">
      <c r="E722" s="42"/>
    </row>
    <row r="723" spans="5:5">
      <c r="E723" s="42"/>
    </row>
    <row r="724" spans="5:5">
      <c r="E724" s="42"/>
    </row>
    <row r="725" spans="5:5">
      <c r="E725" s="42"/>
    </row>
    <row r="726" spans="5:5">
      <c r="E726" s="42"/>
    </row>
    <row r="727" spans="5:5">
      <c r="E727" s="42"/>
    </row>
    <row r="728" spans="5:5">
      <c r="E728" s="42"/>
    </row>
    <row r="729" spans="5:5">
      <c r="E729" s="42"/>
    </row>
    <row r="730" spans="5:5">
      <c r="E730" s="42"/>
    </row>
    <row r="731" spans="5:5">
      <c r="E731" s="42"/>
    </row>
    <row r="732" spans="5:5">
      <c r="E732" s="42"/>
    </row>
    <row r="733" spans="5:5">
      <c r="E733" s="42"/>
    </row>
    <row r="734" spans="5:5">
      <c r="E734" s="42"/>
    </row>
    <row r="735" spans="5:5">
      <c r="E735" s="42"/>
    </row>
    <row r="736" spans="5:5">
      <c r="E736" s="42"/>
    </row>
    <row r="737" spans="5:5">
      <c r="E737" s="42"/>
    </row>
    <row r="738" spans="5:5">
      <c r="E738" s="42"/>
    </row>
    <row r="739" spans="5:5">
      <c r="E739" s="42"/>
    </row>
    <row r="740" spans="5:5">
      <c r="E740" s="42"/>
    </row>
    <row r="741" spans="5:5">
      <c r="E741" s="42"/>
    </row>
    <row r="742" spans="5:5">
      <c r="E742" s="42"/>
    </row>
    <row r="743" spans="5:5">
      <c r="E743" s="42"/>
    </row>
    <row r="744" spans="5:5">
      <c r="E744" s="42"/>
    </row>
    <row r="745" spans="5:5">
      <c r="E745" s="42"/>
    </row>
    <row r="746" spans="5:5">
      <c r="E746" s="42"/>
    </row>
    <row r="747" spans="5:5">
      <c r="E747" s="42"/>
    </row>
    <row r="748" spans="5:5">
      <c r="E748" s="42"/>
    </row>
    <row r="749" spans="5:5">
      <c r="E749" s="42"/>
    </row>
    <row r="750" spans="5:5">
      <c r="E750" s="42"/>
    </row>
    <row r="751" spans="5:5">
      <c r="E751" s="42"/>
    </row>
    <row r="752" spans="5:5">
      <c r="E752" s="42"/>
    </row>
    <row r="753" spans="5:5">
      <c r="E753" s="42"/>
    </row>
    <row r="754" spans="5:5">
      <c r="E754" s="42"/>
    </row>
    <row r="755" spans="5:5">
      <c r="E755" s="42"/>
    </row>
    <row r="756" spans="5:5">
      <c r="E756" s="42"/>
    </row>
    <row r="757" spans="5:5">
      <c r="E757" s="42"/>
    </row>
    <row r="758" spans="5:5">
      <c r="E758" s="42"/>
    </row>
    <row r="759" spans="5:5">
      <c r="E759" s="42"/>
    </row>
    <row r="760" spans="5:5">
      <c r="E760" s="42"/>
    </row>
    <row r="761" spans="5:5">
      <c r="E761" s="42"/>
    </row>
    <row r="762" spans="5:5">
      <c r="E762" s="42"/>
    </row>
    <row r="763" spans="5:5">
      <c r="E763" s="42"/>
    </row>
    <row r="764" spans="5:5">
      <c r="E764" s="42"/>
    </row>
    <row r="765" spans="5:5">
      <c r="E765" s="42"/>
    </row>
    <row r="766" spans="5:5">
      <c r="E766" s="42"/>
    </row>
    <row r="767" spans="5:5">
      <c r="E767" s="42"/>
    </row>
    <row r="768" spans="5:5">
      <c r="E768" s="42"/>
    </row>
    <row r="769" spans="5:5">
      <c r="E769" s="42"/>
    </row>
    <row r="770" spans="5:5">
      <c r="E770" s="42"/>
    </row>
    <row r="771" spans="5:5">
      <c r="E771" s="42"/>
    </row>
    <row r="772" spans="5:5">
      <c r="E772" s="42"/>
    </row>
    <row r="773" spans="5:5">
      <c r="E773" s="42"/>
    </row>
    <row r="774" spans="5:5">
      <c r="E774" s="42"/>
    </row>
    <row r="775" spans="5:5">
      <c r="E775" s="42"/>
    </row>
    <row r="776" spans="5:5">
      <c r="E776" s="42"/>
    </row>
    <row r="777" spans="5:5">
      <c r="E777" s="42"/>
    </row>
    <row r="778" spans="5:5">
      <c r="E778" s="42"/>
    </row>
    <row r="779" spans="5:5">
      <c r="E779" s="42"/>
    </row>
    <row r="780" spans="5:5">
      <c r="E780" s="42"/>
    </row>
    <row r="781" spans="5:5">
      <c r="E781" s="42"/>
    </row>
    <row r="782" spans="5:5">
      <c r="E782" s="42"/>
    </row>
    <row r="783" spans="5:5">
      <c r="E783" s="42"/>
    </row>
    <row r="784" spans="5:5">
      <c r="E784" s="42"/>
    </row>
    <row r="785" spans="5:5">
      <c r="E785" s="42"/>
    </row>
    <row r="786" spans="5:5">
      <c r="E786" s="42"/>
    </row>
    <row r="787" spans="5:5">
      <c r="E787" s="42"/>
    </row>
    <row r="788" spans="5:5">
      <c r="E788" s="42"/>
    </row>
    <row r="789" spans="5:5">
      <c r="E789" s="42"/>
    </row>
    <row r="790" spans="5:5">
      <c r="E790" s="42"/>
    </row>
    <row r="791" spans="5:5">
      <c r="E791" s="42"/>
    </row>
    <row r="792" spans="5:5">
      <c r="E792" s="42"/>
    </row>
    <row r="793" spans="5:5">
      <c r="E793" s="42"/>
    </row>
    <row r="794" spans="5:5">
      <c r="E794" s="42"/>
    </row>
    <row r="795" spans="5:5">
      <c r="E795" s="42"/>
    </row>
    <row r="796" spans="5:5">
      <c r="E796" s="42"/>
    </row>
    <row r="797" spans="5:5">
      <c r="E797" s="42"/>
    </row>
    <row r="798" spans="5:5">
      <c r="E798" s="42"/>
    </row>
    <row r="799" spans="5:5">
      <c r="E799" s="42"/>
    </row>
    <row r="800" spans="5:5">
      <c r="E800" s="42"/>
    </row>
    <row r="801" spans="5:5">
      <c r="E801" s="42"/>
    </row>
    <row r="802" spans="5:5">
      <c r="E802" s="42"/>
    </row>
    <row r="803" spans="5:5">
      <c r="E803" s="42"/>
    </row>
    <row r="804" spans="5:5">
      <c r="E804" s="42"/>
    </row>
    <row r="805" spans="5:5">
      <c r="E805" s="42"/>
    </row>
    <row r="806" spans="5:5">
      <c r="E806" s="42"/>
    </row>
    <row r="807" spans="5:5">
      <c r="E807" s="42"/>
    </row>
    <row r="808" spans="5:5">
      <c r="E808" s="42"/>
    </row>
    <row r="809" spans="5:5">
      <c r="E809" s="42"/>
    </row>
    <row r="810" spans="5:5">
      <c r="E810" s="42"/>
    </row>
    <row r="811" spans="5:5">
      <c r="E811" s="42"/>
    </row>
    <row r="812" spans="5:5">
      <c r="E812" s="42"/>
    </row>
    <row r="813" spans="5:5">
      <c r="E813" s="42"/>
    </row>
    <row r="814" spans="5:5">
      <c r="E814" s="42"/>
    </row>
    <row r="815" spans="5:5">
      <c r="E815" s="42"/>
    </row>
    <row r="816" spans="5:5">
      <c r="E816" s="42"/>
    </row>
    <row r="817" spans="5:5">
      <c r="E817" s="42"/>
    </row>
    <row r="818" spans="5:5">
      <c r="E818" s="42"/>
    </row>
    <row r="819" spans="5:5">
      <c r="E819" s="42"/>
    </row>
    <row r="820" spans="5:5">
      <c r="E820" s="42"/>
    </row>
    <row r="821" spans="5:5">
      <c r="E821" s="42"/>
    </row>
    <row r="822" spans="5:5">
      <c r="E822" s="42"/>
    </row>
    <row r="823" spans="5:5">
      <c r="E823" s="42"/>
    </row>
    <row r="824" spans="5:5">
      <c r="E824" s="42"/>
    </row>
    <row r="825" spans="5:5">
      <c r="E825" s="42"/>
    </row>
    <row r="826" spans="5:5">
      <c r="E826" s="42"/>
    </row>
    <row r="827" spans="5:5">
      <c r="E827" s="42"/>
    </row>
    <row r="828" spans="5:5">
      <c r="E828" s="42"/>
    </row>
    <row r="829" spans="5:5">
      <c r="E829" s="42"/>
    </row>
    <row r="830" spans="5:5">
      <c r="E830" s="42"/>
    </row>
    <row r="831" spans="5:5">
      <c r="E831" s="42"/>
    </row>
    <row r="832" spans="5:5">
      <c r="E832" s="42"/>
    </row>
    <row r="833" spans="5:5">
      <c r="E833" s="42"/>
    </row>
    <row r="834" spans="5:5">
      <c r="E834" s="42"/>
    </row>
    <row r="835" spans="5:5">
      <c r="E835" s="42"/>
    </row>
    <row r="836" spans="5:5">
      <c r="E836" s="42"/>
    </row>
    <row r="837" spans="5:5">
      <c r="E837" s="42"/>
    </row>
    <row r="838" spans="5:5">
      <c r="E838" s="42"/>
    </row>
    <row r="839" spans="5:5">
      <c r="E839" s="42"/>
    </row>
    <row r="840" spans="5:5">
      <c r="E840" s="42"/>
    </row>
    <row r="841" spans="5:5">
      <c r="E841" s="42"/>
    </row>
    <row r="842" spans="5:5">
      <c r="E842" s="42"/>
    </row>
    <row r="843" spans="5:5">
      <c r="E843" s="42"/>
    </row>
    <row r="844" spans="5:5">
      <c r="E844" s="42"/>
    </row>
    <row r="845" spans="5:5">
      <c r="E845" s="42"/>
    </row>
    <row r="846" spans="5:5">
      <c r="E846" s="42"/>
    </row>
    <row r="847" spans="5:5">
      <c r="E847" s="42"/>
    </row>
    <row r="848" spans="5:5">
      <c r="E848" s="42"/>
    </row>
    <row r="849" spans="5:5">
      <c r="E849" s="42"/>
    </row>
    <row r="850" spans="5:5">
      <c r="E850" s="42"/>
    </row>
    <row r="851" spans="5:5">
      <c r="E851" s="42"/>
    </row>
    <row r="852" spans="5:5">
      <c r="E852" s="42"/>
    </row>
    <row r="853" spans="5:5">
      <c r="E853" s="42"/>
    </row>
    <row r="854" spans="5:5">
      <c r="E854" s="42"/>
    </row>
    <row r="855" spans="5:5">
      <c r="E855" s="42"/>
    </row>
    <row r="856" spans="5:5">
      <c r="E856" s="42"/>
    </row>
    <row r="857" spans="5:5">
      <c r="E857" s="42"/>
    </row>
    <row r="858" spans="5:5">
      <c r="E858" s="42"/>
    </row>
    <row r="859" spans="5:5">
      <c r="E859" s="42"/>
    </row>
    <row r="860" spans="5:5">
      <c r="E860" s="42"/>
    </row>
    <row r="861" spans="5:5">
      <c r="E861" s="42"/>
    </row>
    <row r="862" spans="5:5">
      <c r="E862" s="42"/>
    </row>
    <row r="863" spans="5:5">
      <c r="E863" s="42"/>
    </row>
    <row r="864" spans="5:5">
      <c r="E864" s="42"/>
    </row>
    <row r="865" spans="5:5">
      <c r="E865" s="42"/>
    </row>
    <row r="866" spans="5:5">
      <c r="E866" s="42"/>
    </row>
    <row r="867" spans="5:5">
      <c r="E867" s="42"/>
    </row>
    <row r="868" spans="5:5">
      <c r="E868" s="42"/>
    </row>
    <row r="869" spans="5:5">
      <c r="E869" s="42"/>
    </row>
    <row r="870" spans="5:5">
      <c r="E870" s="42"/>
    </row>
    <row r="871" spans="5:5">
      <c r="E871" s="42"/>
    </row>
    <row r="872" spans="5:5">
      <c r="E872" s="42"/>
    </row>
    <row r="873" spans="5:5">
      <c r="E873" s="42"/>
    </row>
    <row r="874" spans="5:5">
      <c r="E874" s="42"/>
    </row>
    <row r="875" spans="5:5">
      <c r="E875" s="42"/>
    </row>
    <row r="876" spans="5:5">
      <c r="E876" s="42"/>
    </row>
    <row r="877" spans="5:5">
      <c r="E877" s="42"/>
    </row>
    <row r="878" spans="5:5">
      <c r="E878" s="42"/>
    </row>
    <row r="879" spans="5:5">
      <c r="E879" s="42"/>
    </row>
    <row r="880" spans="5:5">
      <c r="E880" s="42"/>
    </row>
    <row r="881" spans="5:5">
      <c r="E881" s="42"/>
    </row>
    <row r="882" spans="5:5">
      <c r="E882" s="42"/>
    </row>
    <row r="883" spans="5:5">
      <c r="E883" s="42"/>
    </row>
    <row r="884" spans="5:5">
      <c r="E884" s="42"/>
    </row>
    <row r="885" spans="5:5">
      <c r="E885" s="42"/>
    </row>
    <row r="886" spans="5:5">
      <c r="E886" s="42"/>
    </row>
    <row r="887" spans="5:5">
      <c r="E887" s="42"/>
    </row>
    <row r="888" spans="5:5">
      <c r="E888" s="42"/>
    </row>
    <row r="889" spans="5:5">
      <c r="E889" s="42"/>
    </row>
    <row r="890" spans="5:5">
      <c r="E890" s="42"/>
    </row>
    <row r="891" spans="5:5">
      <c r="E891" s="42"/>
    </row>
    <row r="892" spans="5:5">
      <c r="E892" s="42"/>
    </row>
    <row r="893" spans="5:5">
      <c r="E893" s="42"/>
    </row>
    <row r="894" spans="5:5">
      <c r="E894" s="42"/>
    </row>
    <row r="895" spans="5:5">
      <c r="E895" s="42"/>
    </row>
    <row r="896" spans="5:5">
      <c r="E896" s="42"/>
    </row>
    <row r="897" spans="5:5">
      <c r="E897" s="42"/>
    </row>
    <row r="898" spans="5:5">
      <c r="E898" s="42"/>
    </row>
    <row r="899" spans="5:5">
      <c r="E899" s="42"/>
    </row>
    <row r="900" spans="5:5">
      <c r="E900" s="42"/>
    </row>
    <row r="901" spans="5:5">
      <c r="E901" s="42"/>
    </row>
    <row r="902" spans="5:5">
      <c r="E902" s="42"/>
    </row>
    <row r="903" spans="5:5">
      <c r="E903" s="42"/>
    </row>
    <row r="904" spans="5:5">
      <c r="E904" s="42"/>
    </row>
    <row r="905" spans="5:5">
      <c r="E905" s="42"/>
    </row>
    <row r="906" spans="5:5">
      <c r="E906" s="42"/>
    </row>
    <row r="907" spans="5:5">
      <c r="E907" s="42"/>
    </row>
    <row r="908" spans="5:5">
      <c r="E908" s="42"/>
    </row>
    <row r="909" spans="5:5">
      <c r="E909" s="42"/>
    </row>
    <row r="910" spans="5:5">
      <c r="E910" s="42"/>
    </row>
    <row r="911" spans="5:5">
      <c r="E911" s="42"/>
    </row>
    <row r="912" spans="5:5">
      <c r="E912" s="42"/>
    </row>
    <row r="913" spans="5:5">
      <c r="E913" s="42"/>
    </row>
    <row r="914" spans="5:5">
      <c r="E914" s="42"/>
    </row>
    <row r="915" spans="5:5">
      <c r="E915" s="42"/>
    </row>
    <row r="916" spans="5:5">
      <c r="E916" s="42"/>
    </row>
    <row r="917" spans="5:5">
      <c r="E917" s="42"/>
    </row>
    <row r="918" spans="5:5">
      <c r="E918" s="42"/>
    </row>
    <row r="919" spans="5:5">
      <c r="E919" s="42"/>
    </row>
    <row r="920" spans="5:5">
      <c r="E920" s="42"/>
    </row>
    <row r="921" spans="5:5">
      <c r="E921" s="42"/>
    </row>
    <row r="922" spans="5:5">
      <c r="E922" s="42"/>
    </row>
    <row r="923" spans="5:5">
      <c r="E923" s="42"/>
    </row>
    <row r="924" spans="5:5">
      <c r="E924" s="42"/>
    </row>
    <row r="925" spans="5:5">
      <c r="E925" s="42"/>
    </row>
    <row r="926" spans="5:5">
      <c r="E926" s="42"/>
    </row>
    <row r="927" spans="5:5">
      <c r="E927" s="42"/>
    </row>
    <row r="928" spans="5:5">
      <c r="E928" s="42"/>
    </row>
    <row r="929" spans="5:5">
      <c r="E929" s="42"/>
    </row>
    <row r="930" spans="5:5">
      <c r="E930" s="42"/>
    </row>
    <row r="931" spans="5:5">
      <c r="E931" s="42"/>
    </row>
    <row r="932" spans="5:5">
      <c r="E932" s="42"/>
    </row>
    <row r="933" spans="5:5">
      <c r="E933" s="42"/>
    </row>
    <row r="934" spans="5:5">
      <c r="E934" s="42"/>
    </row>
    <row r="935" spans="5:5">
      <c r="E935" s="42"/>
    </row>
    <row r="936" spans="5:5">
      <c r="E936" s="42"/>
    </row>
    <row r="937" spans="5:5">
      <c r="E937" s="42"/>
    </row>
    <row r="938" spans="5:5">
      <c r="E938" s="42"/>
    </row>
    <row r="939" spans="5:5">
      <c r="E939" s="42"/>
    </row>
    <row r="940" spans="5:5">
      <c r="E940" s="42"/>
    </row>
    <row r="941" spans="5:5">
      <c r="E941" s="42"/>
    </row>
    <row r="942" spans="5:5">
      <c r="E942" s="42"/>
    </row>
    <row r="943" spans="5:5">
      <c r="E943" s="42"/>
    </row>
    <row r="944" spans="5:5">
      <c r="E944" s="42"/>
    </row>
    <row r="945" spans="5:5">
      <c r="E945" s="42"/>
    </row>
    <row r="946" spans="5:5">
      <c r="E946" s="42"/>
    </row>
    <row r="947" spans="5:5">
      <c r="E947" s="42"/>
    </row>
    <row r="948" spans="5:5">
      <c r="E948" s="42"/>
    </row>
    <row r="949" spans="5:5">
      <c r="E949" s="42"/>
    </row>
    <row r="950" spans="5:5">
      <c r="E950" s="42"/>
    </row>
    <row r="951" spans="5:5">
      <c r="E951" s="42"/>
    </row>
    <row r="952" spans="5:5">
      <c r="E952" s="42"/>
    </row>
    <row r="953" spans="5:5">
      <c r="E953" s="42"/>
    </row>
    <row r="954" spans="5:5">
      <c r="E954" s="42"/>
    </row>
    <row r="955" spans="5:5">
      <c r="E955" s="42"/>
    </row>
    <row r="956" spans="5:5">
      <c r="E956" s="42"/>
    </row>
    <row r="957" spans="5:5">
      <c r="E957" s="42"/>
    </row>
    <row r="958" spans="5:5">
      <c r="E958" s="42"/>
    </row>
    <row r="959" spans="5:5">
      <c r="E959" s="42"/>
    </row>
    <row r="960" spans="5:5">
      <c r="E960" s="42"/>
    </row>
    <row r="961" spans="5:5">
      <c r="E961" s="42"/>
    </row>
    <row r="962" spans="5:5">
      <c r="E962" s="42"/>
    </row>
    <row r="963" spans="5:5">
      <c r="E963" s="42"/>
    </row>
    <row r="964" spans="5:5">
      <c r="E964" s="42"/>
    </row>
    <row r="965" spans="5:5">
      <c r="E965" s="42"/>
    </row>
    <row r="966" spans="5:5">
      <c r="E966" s="42"/>
    </row>
    <row r="967" spans="5:5">
      <c r="E967" s="42"/>
    </row>
    <row r="968" spans="5:5">
      <c r="E968" s="42"/>
    </row>
    <row r="969" spans="5:5">
      <c r="E969" s="42"/>
    </row>
    <row r="970" spans="5:5">
      <c r="E970" s="42"/>
    </row>
    <row r="971" spans="5:5">
      <c r="E971" s="42"/>
    </row>
    <row r="972" spans="5:5">
      <c r="E972" s="42"/>
    </row>
    <row r="973" spans="5:5">
      <c r="E973" s="42"/>
    </row>
    <row r="974" spans="5:5">
      <c r="E974" s="42"/>
    </row>
    <row r="975" spans="5:5">
      <c r="E975" s="42"/>
    </row>
    <row r="976" spans="5:5">
      <c r="E976" s="42"/>
    </row>
    <row r="977" spans="5:5">
      <c r="E977" s="42"/>
    </row>
    <row r="978" spans="5:5">
      <c r="E978" s="42"/>
    </row>
    <row r="979" spans="5:5">
      <c r="E979" s="42"/>
    </row>
    <row r="980" spans="5:5">
      <c r="E980" s="42"/>
    </row>
    <row r="981" spans="5:5">
      <c r="E981" s="42"/>
    </row>
    <row r="982" spans="5:5">
      <c r="E982" s="42"/>
    </row>
    <row r="983" spans="5:5">
      <c r="E983" s="42"/>
    </row>
    <row r="984" spans="5:5">
      <c r="E984" s="42"/>
    </row>
    <row r="985" spans="5:5">
      <c r="E985" s="42"/>
    </row>
    <row r="986" spans="5:5">
      <c r="E986" s="42"/>
    </row>
    <row r="987" spans="5:5">
      <c r="E987" s="42"/>
    </row>
    <row r="988" spans="5:5">
      <c r="E988" s="42"/>
    </row>
    <row r="989" spans="5:5">
      <c r="E989" s="42"/>
    </row>
    <row r="990" spans="5:5">
      <c r="E990" s="42"/>
    </row>
    <row r="991" spans="5:5">
      <c r="E991" s="42"/>
    </row>
    <row r="992" spans="5:5">
      <c r="E992" s="42"/>
    </row>
    <row r="993" spans="5:5">
      <c r="E993" s="42"/>
    </row>
    <row r="994" spans="5:5">
      <c r="E994" s="42"/>
    </row>
    <row r="995" spans="5:5">
      <c r="E995" s="42"/>
    </row>
    <row r="996" spans="5:5">
      <c r="E996" s="42"/>
    </row>
    <row r="997" spans="5:5">
      <c r="E997" s="42"/>
    </row>
    <row r="998" spans="5:5">
      <c r="E998" s="42"/>
    </row>
    <row r="999" spans="5:5">
      <c r="E999" s="42"/>
    </row>
    <row r="1000" spans="5:5">
      <c r="E1000" s="42"/>
    </row>
    <row r="1001" spans="5:5">
      <c r="E1001" s="42"/>
    </row>
    <row r="1002" spans="5:5">
      <c r="E1002" s="42"/>
    </row>
    <row r="1003" spans="5:5">
      <c r="E1003" s="42"/>
    </row>
    <row r="1004" spans="5:5">
      <c r="E1004" s="42"/>
    </row>
    <row r="1005" spans="5:5">
      <c r="E1005" s="42"/>
    </row>
    <row r="1006" spans="5:5">
      <c r="E1006" s="42"/>
    </row>
    <row r="1007" spans="5:5">
      <c r="E1007" s="42"/>
    </row>
    <row r="1008" spans="5:5">
      <c r="E1008" s="42"/>
    </row>
    <row r="1009" spans="5:5">
      <c r="E1009" s="42"/>
    </row>
    <row r="1010" spans="5:5">
      <c r="E1010" s="42"/>
    </row>
    <row r="1011" spans="5:5">
      <c r="E1011" s="42"/>
    </row>
    <row r="1012" spans="5:5">
      <c r="E1012" s="42"/>
    </row>
    <row r="1013" spans="5:5">
      <c r="E1013" s="42"/>
    </row>
    <row r="1014" spans="5:5">
      <c r="E1014" s="42"/>
    </row>
    <row r="1015" spans="5:5">
      <c r="E1015" s="42"/>
    </row>
    <row r="1016" spans="5:5">
      <c r="E1016" s="42"/>
    </row>
    <row r="1017" spans="5:5">
      <c r="E1017" s="42"/>
    </row>
    <row r="1018" spans="5:5">
      <c r="E1018" s="42"/>
    </row>
    <row r="1019" spans="5:5">
      <c r="E1019" s="42"/>
    </row>
    <row r="1020" spans="5:5">
      <c r="E1020" s="42"/>
    </row>
    <row r="1021" spans="5:5">
      <c r="E1021" s="42"/>
    </row>
    <row r="1022" spans="5:5">
      <c r="E1022" s="42"/>
    </row>
    <row r="1023" spans="5:5">
      <c r="E1023" s="42"/>
    </row>
    <row r="1024" spans="5:5">
      <c r="E1024" s="42"/>
    </row>
    <row r="1025" spans="5:5">
      <c r="E1025" s="42"/>
    </row>
    <row r="1026" spans="5:5">
      <c r="E1026" s="42"/>
    </row>
    <row r="1027" spans="5:5">
      <c r="E1027" s="42"/>
    </row>
    <row r="1028" spans="5:5">
      <c r="E1028" s="42"/>
    </row>
    <row r="1029" spans="5:5">
      <c r="E1029" s="42"/>
    </row>
    <row r="1030" spans="5:5">
      <c r="E1030" s="42"/>
    </row>
    <row r="1031" spans="5:5">
      <c r="E1031" s="42"/>
    </row>
    <row r="1032" spans="5:5">
      <c r="E1032" s="42"/>
    </row>
    <row r="1033" spans="5:5">
      <c r="E1033" s="42"/>
    </row>
    <row r="1034" spans="5:5">
      <c r="E1034" s="42"/>
    </row>
    <row r="1035" spans="5:5">
      <c r="E1035" s="42"/>
    </row>
    <row r="1036" spans="5:5">
      <c r="E1036" s="42"/>
    </row>
    <row r="1037" spans="5:5">
      <c r="E1037" s="42"/>
    </row>
    <row r="1038" spans="5:5">
      <c r="E1038" s="42"/>
    </row>
    <row r="1039" spans="5:5">
      <c r="E1039" s="42"/>
    </row>
    <row r="1040" spans="5:5">
      <c r="E1040" s="42"/>
    </row>
    <row r="1041" spans="5:5">
      <c r="E1041" s="42"/>
    </row>
    <row r="1042" spans="5:5">
      <c r="E1042" s="42"/>
    </row>
    <row r="1043" spans="5:5">
      <c r="E1043" s="42"/>
    </row>
    <row r="1044" spans="5:5">
      <c r="E1044" s="42"/>
    </row>
    <row r="1045" spans="5:5">
      <c r="E1045" s="42"/>
    </row>
    <row r="1046" spans="5:5">
      <c r="E1046" s="42"/>
    </row>
    <row r="1047" spans="5:5">
      <c r="E1047" s="42"/>
    </row>
    <row r="1048" spans="5:5">
      <c r="E1048" s="42"/>
    </row>
    <row r="1049" spans="5:5">
      <c r="E1049" s="42"/>
    </row>
    <row r="1050" spans="5:5">
      <c r="E1050" s="42"/>
    </row>
    <row r="1051" spans="5:5">
      <c r="E1051" s="42"/>
    </row>
    <row r="1052" spans="5:5">
      <c r="E1052" s="42"/>
    </row>
    <row r="1053" spans="5:5">
      <c r="E1053" s="42"/>
    </row>
    <row r="1054" spans="5:5">
      <c r="E1054" s="42"/>
    </row>
    <row r="1055" spans="5:5">
      <c r="E1055" s="42"/>
    </row>
    <row r="1056" spans="5:5">
      <c r="E1056" s="42"/>
    </row>
    <row r="1057" spans="5:5">
      <c r="E1057" s="42"/>
    </row>
    <row r="1058" spans="5:5">
      <c r="E1058" s="42"/>
    </row>
    <row r="1059" spans="5:5">
      <c r="E1059" s="42"/>
    </row>
    <row r="1060" spans="5:5">
      <c r="E1060" s="42"/>
    </row>
    <row r="1061" spans="5:5">
      <c r="E1061" s="42"/>
    </row>
    <row r="1062" spans="5:5">
      <c r="E1062" s="42"/>
    </row>
    <row r="1063" spans="5:5">
      <c r="E1063" s="42"/>
    </row>
    <row r="1064" spans="5:5">
      <c r="E1064" s="42"/>
    </row>
    <row r="1065" spans="5:5">
      <c r="E1065" s="42"/>
    </row>
    <row r="1066" spans="5:5">
      <c r="E1066" s="42"/>
    </row>
    <row r="1067" spans="5:5">
      <c r="E1067" s="42"/>
    </row>
    <row r="1068" spans="5:5">
      <c r="E1068" s="42"/>
    </row>
    <row r="1069" spans="5:5">
      <c r="E1069" s="42"/>
    </row>
    <row r="1070" spans="5:5">
      <c r="E1070" s="42"/>
    </row>
    <row r="1071" spans="5:5">
      <c r="E1071" s="42"/>
    </row>
    <row r="1072" spans="5:5">
      <c r="E1072" s="42"/>
    </row>
    <row r="1073" spans="5:5">
      <c r="E1073" s="42"/>
    </row>
    <row r="1074" spans="5:5">
      <c r="E1074" s="42"/>
    </row>
    <row r="1075" spans="5:5">
      <c r="E1075" s="42"/>
    </row>
    <row r="1076" spans="5:5">
      <c r="E1076" s="42"/>
    </row>
    <row r="1077" spans="5:5">
      <c r="E1077" s="42"/>
    </row>
    <row r="1078" spans="5:5">
      <c r="E1078" s="42"/>
    </row>
    <row r="1079" spans="5:5">
      <c r="E1079" s="42"/>
    </row>
    <row r="1080" spans="5:5">
      <c r="E1080" s="42"/>
    </row>
    <row r="1081" spans="5:5">
      <c r="E1081" s="42"/>
    </row>
    <row r="1082" spans="5:5">
      <c r="E1082" s="42"/>
    </row>
    <row r="1083" spans="5:5">
      <c r="E1083" s="42"/>
    </row>
    <row r="1084" spans="5:5">
      <c r="E1084" s="42"/>
    </row>
    <row r="1085" spans="5:5">
      <c r="E1085" s="42"/>
    </row>
    <row r="1086" spans="5:5">
      <c r="E1086" s="42"/>
    </row>
    <row r="1087" spans="5:5">
      <c r="E1087" s="42"/>
    </row>
    <row r="1088" spans="5:5">
      <c r="E1088" s="42"/>
    </row>
    <row r="1089" spans="5:5">
      <c r="E1089" s="42"/>
    </row>
    <row r="1090" spans="5:5">
      <c r="E1090" s="42"/>
    </row>
    <row r="1091" spans="5:5">
      <c r="E1091" s="42"/>
    </row>
    <row r="1092" spans="5:5">
      <c r="E1092" s="42"/>
    </row>
    <row r="1093" spans="5:5">
      <c r="E1093" s="42"/>
    </row>
    <row r="1094" spans="5:5">
      <c r="E1094" s="42"/>
    </row>
    <row r="1095" spans="5:5">
      <c r="E1095" s="42"/>
    </row>
    <row r="1096" spans="5:5">
      <c r="E1096" s="42"/>
    </row>
    <row r="1097" spans="5:5">
      <c r="E1097" s="42"/>
    </row>
    <row r="1098" spans="5:5">
      <c r="E1098" s="42"/>
    </row>
    <row r="1099" spans="5:5">
      <c r="E1099" s="42"/>
    </row>
    <row r="1100" spans="5:5">
      <c r="E1100" s="42"/>
    </row>
    <row r="1101" spans="5:5">
      <c r="E1101" s="42"/>
    </row>
    <row r="1102" spans="5:5">
      <c r="E1102" s="42"/>
    </row>
    <row r="1103" spans="5:5">
      <c r="E1103" s="42"/>
    </row>
    <row r="1104" spans="5:5">
      <c r="E1104" s="42"/>
    </row>
    <row r="1105" spans="5:5">
      <c r="E1105" s="42"/>
    </row>
    <row r="1106" spans="5:5">
      <c r="E1106" s="42"/>
    </row>
    <row r="1107" spans="5:5">
      <c r="E1107" s="42"/>
    </row>
    <row r="1108" spans="5:5">
      <c r="E1108" s="42"/>
    </row>
    <row r="1109" spans="5:5">
      <c r="E1109" s="42"/>
    </row>
    <row r="1110" spans="5:5">
      <c r="E1110" s="42"/>
    </row>
    <row r="1111" spans="5:5">
      <c r="E1111" s="42"/>
    </row>
    <row r="1112" spans="5:5">
      <c r="E1112" s="42"/>
    </row>
    <row r="1113" spans="5:5">
      <c r="E1113" s="42"/>
    </row>
    <row r="1114" spans="5:5">
      <c r="E1114" s="42"/>
    </row>
    <row r="1115" spans="5:5">
      <c r="E1115" s="42"/>
    </row>
    <row r="1116" spans="5:5">
      <c r="E1116" s="42"/>
    </row>
    <row r="1117" spans="5:5">
      <c r="E1117" s="42"/>
    </row>
    <row r="1118" spans="5:5">
      <c r="E1118" s="42"/>
    </row>
    <row r="1119" spans="5:5">
      <c r="E1119" s="42"/>
    </row>
    <row r="1120" spans="5:5">
      <c r="E1120" s="42"/>
    </row>
    <row r="1121" spans="5:5">
      <c r="E1121" s="42"/>
    </row>
    <row r="1122" spans="5:5">
      <c r="E1122" s="42"/>
    </row>
    <row r="1123" spans="5:5">
      <c r="E1123" s="42"/>
    </row>
    <row r="1124" spans="5:5">
      <c r="E1124" s="42"/>
    </row>
    <row r="1125" spans="5:5">
      <c r="E1125" s="42"/>
    </row>
    <row r="1126" spans="5:5">
      <c r="E1126" s="42"/>
    </row>
    <row r="1127" spans="5:5">
      <c r="E1127" s="42"/>
    </row>
    <row r="1128" spans="5:5">
      <c r="E1128" s="42"/>
    </row>
    <row r="1129" spans="5:5">
      <c r="E1129" s="42"/>
    </row>
    <row r="1130" spans="5:5">
      <c r="E1130" s="42"/>
    </row>
    <row r="1131" spans="5:5">
      <c r="E1131" s="42"/>
    </row>
    <row r="1132" spans="5:5">
      <c r="E1132" s="42"/>
    </row>
    <row r="1133" spans="5:5">
      <c r="E1133" s="42"/>
    </row>
    <row r="1134" spans="5:5">
      <c r="E1134" s="42"/>
    </row>
    <row r="1135" spans="5:5">
      <c r="E1135" s="42"/>
    </row>
    <row r="1136" spans="5:5">
      <c r="E1136" s="42"/>
    </row>
    <row r="1137" spans="5:5">
      <c r="E1137" s="42"/>
    </row>
    <row r="1138" spans="5:5">
      <c r="E1138" s="42"/>
    </row>
    <row r="1139" spans="5:5">
      <c r="E1139" s="42"/>
    </row>
    <row r="1140" spans="5:5">
      <c r="E1140" s="42"/>
    </row>
    <row r="1141" spans="5:5">
      <c r="E1141" s="42"/>
    </row>
    <row r="1142" spans="5:5">
      <c r="E1142" s="42"/>
    </row>
    <row r="1143" spans="5:5">
      <c r="E1143" s="42"/>
    </row>
    <row r="1144" spans="5:5">
      <c r="E1144" s="42"/>
    </row>
    <row r="1145" spans="5:5">
      <c r="E1145" s="42"/>
    </row>
    <row r="1146" spans="5:5">
      <c r="E1146" s="42"/>
    </row>
    <row r="1147" spans="5:5">
      <c r="E1147" s="42"/>
    </row>
    <row r="1148" spans="5:5">
      <c r="E1148" s="42"/>
    </row>
    <row r="1149" spans="5:5">
      <c r="E1149" s="42"/>
    </row>
    <row r="1150" spans="5:5">
      <c r="E1150" s="42"/>
    </row>
    <row r="1151" spans="5:5">
      <c r="E1151" s="42"/>
    </row>
    <row r="1152" spans="5:5">
      <c r="E1152" s="42"/>
    </row>
    <row r="1153" spans="5:5">
      <c r="E1153" s="42"/>
    </row>
    <row r="1154" spans="5:5">
      <c r="E1154" s="42"/>
    </row>
    <row r="1155" spans="5:5">
      <c r="E1155" s="42"/>
    </row>
    <row r="1156" spans="5:5">
      <c r="E1156" s="42"/>
    </row>
    <row r="1157" spans="5:5">
      <c r="E1157" s="42"/>
    </row>
    <row r="1158" spans="5:5">
      <c r="E1158" s="42"/>
    </row>
    <row r="1159" spans="5:5">
      <c r="E1159" s="42"/>
    </row>
    <row r="1160" spans="5:5">
      <c r="E1160" s="42"/>
    </row>
    <row r="1161" spans="5:5">
      <c r="E1161" s="42"/>
    </row>
    <row r="1162" spans="5:5">
      <c r="E1162" s="42"/>
    </row>
    <row r="1163" spans="5:5">
      <c r="E1163" s="42"/>
    </row>
    <row r="1164" spans="5:5">
      <c r="E1164" s="42"/>
    </row>
    <row r="1165" spans="5:5">
      <c r="E1165" s="42"/>
    </row>
    <row r="1166" spans="5:5">
      <c r="E1166" s="42"/>
    </row>
    <row r="1167" spans="5:5">
      <c r="E1167" s="42"/>
    </row>
    <row r="1168" spans="5:5">
      <c r="E1168" s="42"/>
    </row>
    <row r="1169" spans="5:5">
      <c r="E1169" s="42"/>
    </row>
    <row r="1170" spans="5:5">
      <c r="E1170" s="42"/>
    </row>
    <row r="1171" spans="5:5">
      <c r="E1171" s="42"/>
    </row>
    <row r="1172" spans="5:5">
      <c r="E1172" s="42"/>
    </row>
    <row r="1173" spans="5:5">
      <c r="E1173" s="42"/>
    </row>
    <row r="1174" spans="5:5">
      <c r="E1174" s="42"/>
    </row>
    <row r="1175" spans="5:5">
      <c r="E1175" s="42"/>
    </row>
    <row r="1176" spans="5:5">
      <c r="E1176" s="42"/>
    </row>
    <row r="1177" spans="5:5">
      <c r="E1177" s="42"/>
    </row>
    <row r="1178" spans="5:5">
      <c r="E1178" s="42"/>
    </row>
    <row r="1179" spans="5:5">
      <c r="E1179" s="42"/>
    </row>
    <row r="1180" spans="5:5">
      <c r="E1180" s="42"/>
    </row>
    <row r="1181" spans="5:5">
      <c r="E1181" s="42"/>
    </row>
    <row r="1182" spans="5:5">
      <c r="E1182" s="42"/>
    </row>
    <row r="1183" spans="5:5">
      <c r="E1183" s="42"/>
    </row>
    <row r="1184" spans="5:5">
      <c r="E1184" s="42"/>
    </row>
    <row r="1185" spans="5:5">
      <c r="E1185" s="42"/>
    </row>
    <row r="1186" spans="5:5">
      <c r="E1186" s="42"/>
    </row>
    <row r="1187" spans="5:5">
      <c r="E1187" s="42"/>
    </row>
    <row r="1188" spans="5:5">
      <c r="E1188" s="42"/>
    </row>
    <row r="1189" spans="5:5">
      <c r="E1189" s="42"/>
    </row>
    <row r="1190" spans="5:5">
      <c r="E1190" s="42"/>
    </row>
    <row r="1191" spans="5:5">
      <c r="E1191" s="42"/>
    </row>
    <row r="1192" spans="5:5">
      <c r="E1192" s="42"/>
    </row>
    <row r="1193" spans="5:5">
      <c r="E1193" s="42"/>
    </row>
    <row r="1194" spans="5:5">
      <c r="E1194" s="42"/>
    </row>
    <row r="1195" spans="5:5">
      <c r="E1195" s="42"/>
    </row>
    <row r="1196" spans="5:5">
      <c r="E1196" s="42"/>
    </row>
    <row r="1197" spans="5:5">
      <c r="E1197" s="42"/>
    </row>
    <row r="1198" spans="5:5">
      <c r="E1198" s="42"/>
    </row>
    <row r="1199" spans="5:5">
      <c r="E1199" s="42"/>
    </row>
    <row r="1200" spans="5:5">
      <c r="E1200" s="42"/>
    </row>
    <row r="1201" spans="5:5">
      <c r="E1201" s="42"/>
    </row>
    <row r="1202" spans="5:5">
      <c r="E1202" s="42"/>
    </row>
    <row r="1203" spans="5:5">
      <c r="E1203" s="42"/>
    </row>
    <row r="1204" spans="5:5">
      <c r="E1204" s="42"/>
    </row>
    <row r="1205" spans="5:5">
      <c r="E1205" s="42"/>
    </row>
    <row r="1206" spans="5:5">
      <c r="E1206" s="42"/>
    </row>
    <row r="1207" spans="5:5">
      <c r="E1207" s="42"/>
    </row>
    <row r="1208" spans="5:5">
      <c r="E1208" s="42"/>
    </row>
    <row r="1209" spans="5:5">
      <c r="E1209" s="42"/>
    </row>
    <row r="1210" spans="5:5">
      <c r="E1210" s="42"/>
    </row>
    <row r="1211" spans="5:5">
      <c r="E1211" s="42"/>
    </row>
    <row r="1212" spans="5:5">
      <c r="E1212" s="42"/>
    </row>
    <row r="1213" spans="5:5">
      <c r="E1213" s="42"/>
    </row>
    <row r="1214" spans="5:5">
      <c r="E1214" s="42"/>
    </row>
    <row r="1215" spans="5:5">
      <c r="E1215" s="42"/>
    </row>
    <row r="1216" spans="5:5">
      <c r="E1216" s="42"/>
    </row>
    <row r="1217" spans="5:5">
      <c r="E1217" s="42"/>
    </row>
    <row r="1218" spans="5:5">
      <c r="E1218" s="42"/>
    </row>
    <row r="1219" spans="5:5">
      <c r="E1219" s="42"/>
    </row>
    <row r="1220" spans="5:5">
      <c r="E1220" s="42"/>
    </row>
    <row r="1221" spans="5:5">
      <c r="E1221" s="42"/>
    </row>
    <row r="1222" spans="5:5">
      <c r="E1222" s="42"/>
    </row>
    <row r="1223" spans="5:5">
      <c r="E1223" s="42"/>
    </row>
    <row r="1224" spans="5:5">
      <c r="E1224" s="42"/>
    </row>
    <row r="1225" spans="5:5">
      <c r="E1225" s="42"/>
    </row>
    <row r="1226" spans="5:5">
      <c r="E1226" s="42"/>
    </row>
    <row r="1227" spans="5:5">
      <c r="E1227" s="42"/>
    </row>
    <row r="1228" spans="5:5">
      <c r="E1228" s="42"/>
    </row>
    <row r="1229" spans="5:5">
      <c r="E1229" s="42"/>
    </row>
    <row r="1230" spans="5:5">
      <c r="E1230" s="42"/>
    </row>
    <row r="1231" spans="5:5">
      <c r="E1231" s="42"/>
    </row>
    <row r="1232" spans="5:5">
      <c r="E1232" s="42"/>
    </row>
    <row r="1233" spans="5:5">
      <c r="E1233" s="42"/>
    </row>
    <row r="1234" spans="5:5">
      <c r="E1234" s="42"/>
    </row>
    <row r="1235" spans="5:5">
      <c r="E1235" s="42"/>
    </row>
    <row r="1236" spans="5:5">
      <c r="E1236" s="42"/>
    </row>
    <row r="1237" spans="5:5">
      <c r="E1237" s="42"/>
    </row>
    <row r="1238" spans="5:5">
      <c r="E1238" s="42"/>
    </row>
    <row r="1239" spans="5:5">
      <c r="E1239" s="42"/>
    </row>
    <row r="1240" spans="5:5">
      <c r="E1240" s="42"/>
    </row>
    <row r="1241" spans="5:5">
      <c r="E1241" s="42"/>
    </row>
    <row r="1242" spans="5:5">
      <c r="E1242" s="42"/>
    </row>
    <row r="1243" spans="5:5">
      <c r="E1243" s="42"/>
    </row>
    <row r="1244" spans="5:5">
      <c r="E1244" s="42"/>
    </row>
    <row r="1245" spans="5:5">
      <c r="E1245" s="42"/>
    </row>
    <row r="1246" spans="5:5">
      <c r="E1246" s="42"/>
    </row>
    <row r="1247" spans="5:5">
      <c r="E1247" s="42"/>
    </row>
    <row r="1248" spans="5:5">
      <c r="E1248" s="42"/>
    </row>
    <row r="1249" spans="5:5">
      <c r="E1249" s="42"/>
    </row>
    <row r="1250" spans="5:5">
      <c r="E1250" s="42"/>
    </row>
    <row r="1251" spans="5:5">
      <c r="E1251" s="42"/>
    </row>
    <row r="1252" spans="5:5">
      <c r="E1252" s="42"/>
    </row>
    <row r="1253" spans="5:5">
      <c r="E1253" s="42"/>
    </row>
    <row r="1254" spans="5:5">
      <c r="E1254" s="42"/>
    </row>
    <row r="1255" spans="5:5">
      <c r="E1255" s="42"/>
    </row>
    <row r="1256" spans="5:5">
      <c r="E1256" s="42"/>
    </row>
    <row r="1257" spans="5:5">
      <c r="E1257" s="42"/>
    </row>
    <row r="1258" spans="5:5">
      <c r="E1258" s="42"/>
    </row>
    <row r="1259" spans="5:5">
      <c r="E1259" s="42"/>
    </row>
    <row r="1260" spans="5:5">
      <c r="E1260" s="42"/>
    </row>
    <row r="1261" spans="5:5">
      <c r="E1261" s="42"/>
    </row>
    <row r="1262" spans="5:5">
      <c r="E1262" s="42"/>
    </row>
    <row r="1263" spans="5:5">
      <c r="E1263" s="42"/>
    </row>
    <row r="1264" spans="5:5">
      <c r="E1264" s="42"/>
    </row>
    <row r="1265" spans="5:5">
      <c r="E1265" s="42"/>
    </row>
    <row r="1266" spans="5:5">
      <c r="E1266" s="42"/>
    </row>
    <row r="1267" spans="5:5">
      <c r="E1267" s="42"/>
    </row>
    <row r="1268" spans="5:5">
      <c r="E1268" s="42"/>
    </row>
    <row r="1269" spans="5:5">
      <c r="E1269" s="42"/>
    </row>
    <row r="1270" spans="5:5">
      <c r="E1270" s="42"/>
    </row>
    <row r="1271" spans="5:5">
      <c r="E1271" s="42"/>
    </row>
    <row r="1272" spans="5:5">
      <c r="E1272" s="42"/>
    </row>
    <row r="1273" spans="5:5">
      <c r="E1273" s="42"/>
    </row>
    <row r="1274" spans="5:5">
      <c r="E1274" s="42"/>
    </row>
    <row r="1275" spans="5:5">
      <c r="E1275" s="42"/>
    </row>
    <row r="1276" spans="5:5">
      <c r="E1276" s="42"/>
    </row>
    <row r="1277" spans="5:5">
      <c r="E1277" s="42"/>
    </row>
    <row r="1278" spans="5:5">
      <c r="E1278" s="42"/>
    </row>
    <row r="1279" spans="5:5">
      <c r="E1279" s="42"/>
    </row>
    <row r="1280" spans="5:5">
      <c r="E1280" s="42"/>
    </row>
    <row r="1281" spans="5:5">
      <c r="E1281" s="42"/>
    </row>
    <row r="1282" spans="5:5">
      <c r="E1282" s="42"/>
    </row>
    <row r="1283" spans="5:5">
      <c r="E1283" s="42"/>
    </row>
    <row r="1284" spans="5:5">
      <c r="E1284" s="42"/>
    </row>
    <row r="1285" spans="5:5">
      <c r="E1285" s="42"/>
    </row>
    <row r="1286" spans="5:5">
      <c r="E1286" s="42"/>
    </row>
    <row r="1287" spans="5:5">
      <c r="E1287" s="42"/>
    </row>
    <row r="1288" spans="5:5">
      <c r="E1288" s="42"/>
    </row>
    <row r="1289" spans="5:5">
      <c r="E1289" s="42"/>
    </row>
    <row r="1290" spans="5:5">
      <c r="E1290" s="42"/>
    </row>
    <row r="1291" spans="5:5">
      <c r="E1291" s="42"/>
    </row>
    <row r="1292" spans="5:5">
      <c r="E1292" s="42"/>
    </row>
    <row r="1293" spans="5:5">
      <c r="E1293" s="42"/>
    </row>
    <row r="1294" spans="5:5">
      <c r="E1294" s="42"/>
    </row>
    <row r="1295" spans="5:5">
      <c r="E1295" s="42"/>
    </row>
    <row r="1296" spans="5:5">
      <c r="E1296" s="42"/>
    </row>
    <row r="1297" spans="5:5">
      <c r="E1297" s="42"/>
    </row>
    <row r="1298" spans="5:5">
      <c r="E1298" s="42"/>
    </row>
    <row r="1299" spans="5:5">
      <c r="E1299" s="42"/>
    </row>
    <row r="1300" spans="5:5">
      <c r="E1300" s="42"/>
    </row>
    <row r="1301" spans="5:5">
      <c r="E1301" s="42"/>
    </row>
    <row r="1302" spans="5:5">
      <c r="E1302" s="42"/>
    </row>
    <row r="1303" spans="5:5">
      <c r="E1303" s="42"/>
    </row>
    <row r="1304" spans="5:5">
      <c r="E1304" s="42"/>
    </row>
    <row r="1305" spans="5:5">
      <c r="E1305" s="42"/>
    </row>
    <row r="1306" spans="5:5">
      <c r="E1306" s="42"/>
    </row>
    <row r="1307" spans="5:5">
      <c r="E1307" s="42"/>
    </row>
    <row r="1308" spans="5:5">
      <c r="E1308" s="42"/>
    </row>
    <row r="1309" spans="5:5">
      <c r="E1309" s="42"/>
    </row>
    <row r="1310" spans="5:5">
      <c r="E1310" s="42"/>
    </row>
    <row r="1311" spans="5:5">
      <c r="E1311" s="42"/>
    </row>
    <row r="1312" spans="5:5">
      <c r="E1312" s="42"/>
    </row>
    <row r="1313" spans="5:5">
      <c r="E1313" s="42"/>
    </row>
    <row r="1314" spans="5:5">
      <c r="E1314" s="42"/>
    </row>
    <row r="1315" spans="5:5">
      <c r="E1315" s="42"/>
    </row>
    <row r="1316" spans="5:5">
      <c r="E1316" s="42"/>
    </row>
    <row r="1317" spans="5:5">
      <c r="E1317" s="42"/>
    </row>
    <row r="1318" spans="5:5">
      <c r="E1318" s="42"/>
    </row>
    <row r="1319" spans="5:5">
      <c r="E1319" s="42"/>
    </row>
    <row r="1320" spans="5:5">
      <c r="E1320" s="42"/>
    </row>
    <row r="1321" spans="5:5">
      <c r="E1321" s="42"/>
    </row>
    <row r="1322" spans="5:5">
      <c r="E1322" s="42"/>
    </row>
    <row r="1323" spans="5:5">
      <c r="E1323" s="42"/>
    </row>
    <row r="1324" spans="5:5">
      <c r="E1324" s="42"/>
    </row>
    <row r="1325" spans="5:5">
      <c r="E1325" s="42"/>
    </row>
    <row r="1326" spans="5:5">
      <c r="E1326" s="42"/>
    </row>
    <row r="1327" spans="5:5">
      <c r="E1327" s="42"/>
    </row>
    <row r="1328" spans="5:5">
      <c r="E1328" s="42"/>
    </row>
    <row r="1329" spans="5:5">
      <c r="E1329" s="42"/>
    </row>
    <row r="1330" spans="5:5">
      <c r="E1330" s="42"/>
    </row>
    <row r="1331" spans="5:5">
      <c r="E1331" s="42"/>
    </row>
    <row r="1332" spans="5:5">
      <c r="E1332" s="42"/>
    </row>
    <row r="1333" spans="5:5">
      <c r="E1333" s="42"/>
    </row>
    <row r="1334" spans="5:5">
      <c r="E1334" s="42"/>
    </row>
    <row r="1335" spans="5:5">
      <c r="E1335" s="42"/>
    </row>
    <row r="1336" spans="5:5">
      <c r="E1336" s="42"/>
    </row>
    <row r="1337" spans="5:5">
      <c r="E1337" s="42"/>
    </row>
    <row r="1338" spans="5:5">
      <c r="E1338" s="42"/>
    </row>
    <row r="1339" spans="5:5">
      <c r="E1339" s="42"/>
    </row>
    <row r="1340" spans="5:5">
      <c r="E1340" s="42"/>
    </row>
    <row r="1341" spans="5:5">
      <c r="E1341" s="42"/>
    </row>
    <row r="1342" spans="5:5">
      <c r="E1342" s="42"/>
    </row>
    <row r="1343" spans="5:5">
      <c r="E1343" s="42"/>
    </row>
    <row r="1344" spans="5:5">
      <c r="E1344" s="42"/>
    </row>
    <row r="1345" spans="5:5">
      <c r="E1345" s="42"/>
    </row>
    <row r="1346" spans="5:5">
      <c r="E1346" s="42"/>
    </row>
    <row r="1347" spans="5:5">
      <c r="E1347" s="42"/>
    </row>
    <row r="1348" spans="5:5">
      <c r="E1348" s="42"/>
    </row>
    <row r="1349" spans="5:5">
      <c r="E1349" s="42"/>
    </row>
    <row r="1350" spans="5:5">
      <c r="E1350" s="42"/>
    </row>
    <row r="1351" spans="5:5">
      <c r="E1351" s="42"/>
    </row>
    <row r="1352" spans="5:5">
      <c r="E1352" s="42"/>
    </row>
    <row r="1353" spans="5:5">
      <c r="E1353" s="42"/>
    </row>
    <row r="1354" spans="5:5">
      <c r="E1354" s="42"/>
    </row>
    <row r="1355" spans="5:5">
      <c r="E1355" s="42"/>
    </row>
    <row r="1356" spans="5:5">
      <c r="E1356" s="42"/>
    </row>
    <row r="1357" spans="5:5">
      <c r="E1357" s="42"/>
    </row>
    <row r="1358" spans="5:5">
      <c r="E1358" s="42"/>
    </row>
    <row r="1359" spans="5:5">
      <c r="E1359" s="42"/>
    </row>
    <row r="1360" spans="5:5">
      <c r="E1360" s="42"/>
    </row>
    <row r="1361" spans="5:5">
      <c r="E1361" s="42"/>
    </row>
    <row r="1362" spans="5:5">
      <c r="E1362" s="42"/>
    </row>
    <row r="1363" spans="5:5">
      <c r="E1363" s="42"/>
    </row>
    <row r="1364" spans="5:5">
      <c r="E1364" s="42"/>
    </row>
    <row r="1365" spans="5:5">
      <c r="E1365" s="42"/>
    </row>
    <row r="1366" spans="5:5">
      <c r="E1366" s="42"/>
    </row>
    <row r="1367" spans="5:5">
      <c r="E1367" s="42"/>
    </row>
    <row r="1368" spans="5:5">
      <c r="E1368" s="42"/>
    </row>
    <row r="1369" spans="5:5">
      <c r="E1369" s="42"/>
    </row>
    <row r="1370" spans="5:5">
      <c r="E1370" s="42"/>
    </row>
    <row r="1371" spans="5:5">
      <c r="E1371" s="42"/>
    </row>
    <row r="1372" spans="5:5">
      <c r="E1372" s="42"/>
    </row>
    <row r="1373" spans="5:5">
      <c r="E1373" s="42"/>
    </row>
    <row r="1374" spans="5:5">
      <c r="E1374" s="42"/>
    </row>
    <row r="1375" spans="5:5">
      <c r="E1375" s="42"/>
    </row>
    <row r="1376" spans="5:5">
      <c r="E1376" s="42"/>
    </row>
    <row r="1377" spans="5:5">
      <c r="E1377" s="42"/>
    </row>
    <row r="1378" spans="5:5">
      <c r="E1378" s="42"/>
    </row>
    <row r="1379" spans="5:5">
      <c r="E1379" s="42"/>
    </row>
    <row r="1380" spans="5:5">
      <c r="E1380" s="42"/>
    </row>
    <row r="1381" spans="5:5">
      <c r="E1381" s="42"/>
    </row>
    <row r="1382" spans="5:5">
      <c r="E1382" s="42"/>
    </row>
    <row r="1383" spans="5:5">
      <c r="E1383" s="42"/>
    </row>
    <row r="1384" spans="5:5">
      <c r="E1384" s="42"/>
    </row>
    <row r="1385" spans="5:5">
      <c r="E1385" s="42"/>
    </row>
    <row r="1386" spans="5:5">
      <c r="E1386" s="42"/>
    </row>
    <row r="1387" spans="5:5">
      <c r="E1387" s="42"/>
    </row>
    <row r="1388" spans="5:5">
      <c r="E1388" s="42"/>
    </row>
    <row r="1389" spans="5:5">
      <c r="E1389" s="42"/>
    </row>
    <row r="1390" spans="5:5">
      <c r="E1390" s="42"/>
    </row>
    <row r="1391" spans="5:5">
      <c r="E1391" s="42"/>
    </row>
    <row r="1392" spans="5:5">
      <c r="E1392" s="42"/>
    </row>
    <row r="1393" spans="5:5">
      <c r="E1393" s="42"/>
    </row>
    <row r="1394" spans="5:5">
      <c r="E1394" s="42"/>
    </row>
    <row r="1395" spans="5:5">
      <c r="E1395" s="42"/>
    </row>
    <row r="1396" spans="5:5">
      <c r="E1396" s="42"/>
    </row>
    <row r="1397" spans="5:5">
      <c r="E1397" s="42"/>
    </row>
    <row r="1398" spans="5:5">
      <c r="E1398" s="42"/>
    </row>
    <row r="1399" spans="5:5">
      <c r="E1399" s="42"/>
    </row>
    <row r="1400" spans="5:5">
      <c r="E1400" s="42"/>
    </row>
    <row r="1401" spans="5:5">
      <c r="E1401" s="42"/>
    </row>
    <row r="1402" spans="5:5">
      <c r="E1402" s="42"/>
    </row>
    <row r="1403" spans="5:5">
      <c r="E1403" s="42"/>
    </row>
    <row r="1404" spans="5:5">
      <c r="E1404" s="42"/>
    </row>
    <row r="1405" spans="5:5">
      <c r="E1405" s="42"/>
    </row>
    <row r="1406" spans="5:5">
      <c r="E1406" s="42"/>
    </row>
    <row r="1407" spans="5:5">
      <c r="E1407" s="42"/>
    </row>
    <row r="1408" spans="5:5">
      <c r="E1408" s="42"/>
    </row>
    <row r="1409" spans="5:5">
      <c r="E1409" s="42"/>
    </row>
    <row r="1410" spans="5:5">
      <c r="E1410" s="42"/>
    </row>
    <row r="1411" spans="5:5">
      <c r="E1411" s="42"/>
    </row>
    <row r="1412" spans="5:5">
      <c r="E1412" s="42"/>
    </row>
    <row r="1413" spans="5:5">
      <c r="E1413" s="42"/>
    </row>
    <row r="1414" spans="5:5">
      <c r="E1414" s="42"/>
    </row>
    <row r="1415" spans="5:5">
      <c r="E1415" s="42"/>
    </row>
    <row r="1416" spans="5:5">
      <c r="E1416" s="42"/>
    </row>
    <row r="1417" spans="5:5">
      <c r="E1417" s="42"/>
    </row>
    <row r="1418" spans="5:5">
      <c r="E1418" s="42"/>
    </row>
    <row r="1419" spans="5:5">
      <c r="E1419" s="42"/>
    </row>
    <row r="1420" spans="5:5">
      <c r="E1420" s="42"/>
    </row>
    <row r="1421" spans="5:5">
      <c r="E1421" s="42"/>
    </row>
    <row r="1422" spans="5:5">
      <c r="E1422" s="42"/>
    </row>
    <row r="1423" spans="5:5">
      <c r="E1423" s="42"/>
    </row>
    <row r="1424" spans="5:5">
      <c r="E1424" s="42"/>
    </row>
    <row r="1425" spans="5:5">
      <c r="E1425" s="42"/>
    </row>
    <row r="1426" spans="5:5">
      <c r="E1426" s="42"/>
    </row>
    <row r="1427" spans="5:5">
      <c r="E1427" s="42"/>
    </row>
    <row r="1428" spans="5:5">
      <c r="E1428" s="42"/>
    </row>
    <row r="1429" spans="5:5">
      <c r="E1429" s="42"/>
    </row>
    <row r="1430" spans="5:5">
      <c r="E1430" s="42"/>
    </row>
    <row r="1431" spans="5:5">
      <c r="E1431" s="42"/>
    </row>
    <row r="1432" spans="5:5">
      <c r="E1432" s="42"/>
    </row>
    <row r="1433" spans="5:5">
      <c r="E1433" s="42"/>
    </row>
    <row r="1434" spans="5:5">
      <c r="E1434" s="42"/>
    </row>
    <row r="1435" spans="5:5">
      <c r="E1435" s="42"/>
    </row>
    <row r="1436" spans="5:5">
      <c r="E1436" s="42"/>
    </row>
    <row r="1437" spans="5:5">
      <c r="E1437" s="42"/>
    </row>
    <row r="1438" spans="5:5">
      <c r="E1438" s="42"/>
    </row>
    <row r="1439" spans="5:5">
      <c r="E1439" s="42"/>
    </row>
    <row r="1440" spans="5:5">
      <c r="E1440" s="42"/>
    </row>
    <row r="1441" spans="5:5">
      <c r="E1441" s="42"/>
    </row>
    <row r="1442" spans="5:5">
      <c r="E1442" s="42"/>
    </row>
    <row r="1443" spans="5:5">
      <c r="E1443" s="42"/>
    </row>
    <row r="1444" spans="5:5">
      <c r="E1444" s="42"/>
    </row>
    <row r="1445" spans="5:5">
      <c r="E1445" s="42"/>
    </row>
    <row r="1446" spans="5:5">
      <c r="E1446" s="42"/>
    </row>
    <row r="1447" spans="5:5">
      <c r="E1447" s="42"/>
    </row>
    <row r="1448" spans="5:5">
      <c r="E1448" s="42"/>
    </row>
    <row r="1449" spans="5:5">
      <c r="E1449" s="42"/>
    </row>
    <row r="1450" spans="5:5">
      <c r="E1450" s="42"/>
    </row>
    <row r="1451" spans="5:5">
      <c r="E1451" s="42"/>
    </row>
    <row r="1452" spans="5:5">
      <c r="E1452" s="42"/>
    </row>
    <row r="1453" spans="5:5">
      <c r="E1453" s="42"/>
    </row>
    <row r="1454" spans="5:5">
      <c r="E1454" s="42"/>
    </row>
    <row r="1455" spans="5:5">
      <c r="E1455" s="42"/>
    </row>
    <row r="1456" spans="5:5">
      <c r="E1456" s="42"/>
    </row>
    <row r="1457" spans="5:5">
      <c r="E1457" s="42"/>
    </row>
    <row r="1458" spans="5:5">
      <c r="E1458" s="42"/>
    </row>
    <row r="1459" spans="5:5">
      <c r="E1459" s="42"/>
    </row>
    <row r="1460" spans="5:5">
      <c r="E1460" s="42"/>
    </row>
    <row r="1461" spans="5:5">
      <c r="E1461" s="42"/>
    </row>
    <row r="1462" spans="5:5">
      <c r="E1462" s="42"/>
    </row>
    <row r="1463" spans="5:5">
      <c r="E1463" s="42"/>
    </row>
    <row r="1464" spans="5:5">
      <c r="E1464" s="42"/>
    </row>
    <row r="1465" spans="5:5">
      <c r="E1465" s="42"/>
    </row>
    <row r="1466" spans="5:5">
      <c r="E1466" s="42"/>
    </row>
    <row r="1467" spans="5:5">
      <c r="E1467" s="42"/>
    </row>
    <row r="1468" spans="5:5">
      <c r="E1468" s="42"/>
    </row>
    <row r="1469" spans="5:5">
      <c r="E1469" s="42"/>
    </row>
    <row r="1470" spans="5:5">
      <c r="E1470" s="42"/>
    </row>
    <row r="1471" spans="5:5">
      <c r="E1471" s="42"/>
    </row>
    <row r="1472" spans="5:5">
      <c r="E1472" s="42"/>
    </row>
    <row r="1473" spans="5:5">
      <c r="E1473" s="42"/>
    </row>
    <row r="1474" spans="5:5">
      <c r="E1474" s="42"/>
    </row>
    <row r="1475" spans="5:5">
      <c r="E1475" s="42"/>
    </row>
    <row r="1476" spans="5:5">
      <c r="E1476" s="42"/>
    </row>
    <row r="1477" spans="5:5">
      <c r="E1477" s="42"/>
    </row>
    <row r="1478" spans="5:5">
      <c r="E1478" s="42"/>
    </row>
    <row r="1479" spans="5:5">
      <c r="E1479" s="42"/>
    </row>
    <row r="1480" spans="5:5">
      <c r="E1480" s="42"/>
    </row>
    <row r="1481" spans="5:5">
      <c r="E1481" s="42"/>
    </row>
    <row r="1482" spans="5:5">
      <c r="E1482" s="42"/>
    </row>
    <row r="1483" spans="5:5">
      <c r="E1483" s="42"/>
    </row>
    <row r="1484" spans="5:5">
      <c r="E1484" s="42"/>
    </row>
    <row r="1485" spans="5:5">
      <c r="E1485" s="42"/>
    </row>
    <row r="1486" spans="5:5">
      <c r="E1486" s="42"/>
    </row>
    <row r="1487" spans="5:5">
      <c r="E1487" s="42"/>
    </row>
    <row r="1488" spans="5:5">
      <c r="E1488" s="42"/>
    </row>
    <row r="1489" spans="5:5">
      <c r="E1489" s="42"/>
    </row>
    <row r="1490" spans="5:5">
      <c r="E1490" s="42"/>
    </row>
    <row r="1491" spans="5:5">
      <c r="E1491" s="42"/>
    </row>
    <row r="1492" spans="5:5">
      <c r="E1492" s="42"/>
    </row>
    <row r="1493" spans="5:5">
      <c r="E1493" s="42"/>
    </row>
    <row r="1494" spans="5:5">
      <c r="E1494" s="42"/>
    </row>
    <row r="1495" spans="5:5">
      <c r="E1495" s="42"/>
    </row>
    <row r="1496" spans="5:5">
      <c r="E1496" s="42"/>
    </row>
    <row r="1497" spans="5:5">
      <c r="E1497" s="42"/>
    </row>
    <row r="1498" spans="5:5">
      <c r="E1498" s="42"/>
    </row>
    <row r="1499" spans="5:5">
      <c r="E1499" s="42"/>
    </row>
    <row r="1500" spans="5:5">
      <c r="E1500" s="42"/>
    </row>
    <row r="1501" spans="5:5">
      <c r="E1501" s="42"/>
    </row>
    <row r="1502" spans="5:5">
      <c r="E1502" s="42"/>
    </row>
    <row r="1503" spans="5:5">
      <c r="E1503" s="42"/>
    </row>
    <row r="1504" spans="5:5">
      <c r="E1504" s="42"/>
    </row>
    <row r="1505" spans="5:5">
      <c r="E1505" s="42"/>
    </row>
    <row r="1506" spans="5:5">
      <c r="E1506" s="42"/>
    </row>
    <row r="1507" spans="5:5">
      <c r="E1507" s="42"/>
    </row>
    <row r="1508" spans="5:5">
      <c r="E1508" s="42"/>
    </row>
    <row r="1509" spans="5:5">
      <c r="E1509" s="42"/>
    </row>
    <row r="1510" spans="5:5">
      <c r="E1510" s="42"/>
    </row>
    <row r="1511" spans="5:5">
      <c r="E1511" s="42"/>
    </row>
    <row r="1512" spans="5:5">
      <c r="E1512" s="42"/>
    </row>
    <row r="1513" spans="5:5">
      <c r="E1513" s="42"/>
    </row>
    <row r="1514" spans="5:5">
      <c r="E1514" s="42"/>
    </row>
    <row r="1515" spans="5:5">
      <c r="E1515" s="42"/>
    </row>
    <row r="1516" spans="5:5">
      <c r="E1516" s="42"/>
    </row>
    <row r="1517" spans="5:5">
      <c r="E1517" s="42"/>
    </row>
    <row r="1518" spans="5:5">
      <c r="E1518" s="42"/>
    </row>
    <row r="1519" spans="5:5">
      <c r="E1519" s="42"/>
    </row>
    <row r="1520" spans="5:5">
      <c r="E1520" s="42"/>
    </row>
    <row r="1521" spans="5:5">
      <c r="E1521" s="42"/>
    </row>
    <row r="1522" spans="5:5">
      <c r="E1522" s="42"/>
    </row>
    <row r="1523" spans="5:5">
      <c r="E1523" s="42"/>
    </row>
    <row r="1524" spans="5:5">
      <c r="E1524" s="42"/>
    </row>
    <row r="1525" spans="5:5">
      <c r="E1525" s="42"/>
    </row>
    <row r="1526" spans="5:5">
      <c r="E1526" s="42"/>
    </row>
    <row r="1527" spans="5:5">
      <c r="E1527" s="42"/>
    </row>
    <row r="1528" spans="5:5">
      <c r="E1528" s="42"/>
    </row>
    <row r="1529" spans="5:5">
      <c r="E1529" s="42"/>
    </row>
    <row r="1530" spans="5:5">
      <c r="E1530" s="42"/>
    </row>
    <row r="1531" spans="5:5">
      <c r="E1531" s="42"/>
    </row>
    <row r="1532" spans="5:5">
      <c r="E1532" s="42"/>
    </row>
    <row r="1533" spans="5:5">
      <c r="E1533" s="42"/>
    </row>
    <row r="1534" spans="5:5">
      <c r="E1534" s="42"/>
    </row>
    <row r="1535" spans="5:5">
      <c r="E1535" s="42"/>
    </row>
    <row r="1536" spans="5:5">
      <c r="E1536" s="42"/>
    </row>
    <row r="1537" spans="5:5">
      <c r="E1537" s="42"/>
    </row>
    <row r="1538" spans="5:5">
      <c r="E1538" s="42"/>
    </row>
    <row r="1539" spans="5:5">
      <c r="E1539" s="42"/>
    </row>
    <row r="1540" spans="5:5">
      <c r="E1540" s="42"/>
    </row>
    <row r="1541" spans="5:5">
      <c r="E1541" s="42"/>
    </row>
    <row r="1542" spans="5:5">
      <c r="E1542" s="42"/>
    </row>
    <row r="1543" spans="5:5">
      <c r="E1543" s="42"/>
    </row>
    <row r="1544" spans="5:5">
      <c r="E1544" s="42"/>
    </row>
    <row r="1545" spans="5:5">
      <c r="E1545" s="42"/>
    </row>
    <row r="1546" spans="5:5">
      <c r="E1546" s="42"/>
    </row>
    <row r="1547" spans="5:5">
      <c r="E1547" s="42"/>
    </row>
    <row r="1548" spans="5:5">
      <c r="E1548" s="42"/>
    </row>
    <row r="1549" spans="5:5">
      <c r="E1549" s="42"/>
    </row>
    <row r="1550" spans="5:5">
      <c r="E1550" s="42"/>
    </row>
    <row r="1551" spans="5:5">
      <c r="E1551" s="42"/>
    </row>
    <row r="1552" spans="5:5">
      <c r="E1552" s="42"/>
    </row>
    <row r="1553" spans="5:5">
      <c r="E1553" s="42"/>
    </row>
    <row r="1554" spans="5:5">
      <c r="E1554" s="42"/>
    </row>
    <row r="1555" spans="5:5">
      <c r="E1555" s="42"/>
    </row>
    <row r="1556" spans="5:5">
      <c r="E1556" s="42"/>
    </row>
    <row r="1557" spans="5:5">
      <c r="E1557" s="42"/>
    </row>
    <row r="1558" spans="5:5">
      <c r="E1558" s="42"/>
    </row>
    <row r="1559" spans="5:5">
      <c r="E1559" s="42"/>
    </row>
    <row r="1560" spans="5:5">
      <c r="E1560" s="42"/>
    </row>
    <row r="1561" spans="5:5">
      <c r="E1561" s="42"/>
    </row>
    <row r="1562" spans="5:5">
      <c r="E1562" s="42"/>
    </row>
    <row r="1563" spans="5:5">
      <c r="E1563" s="42"/>
    </row>
    <row r="1564" spans="5:5">
      <c r="E1564" s="42"/>
    </row>
    <row r="1565" spans="5:5">
      <c r="E1565" s="42"/>
    </row>
    <row r="1566" spans="5:5">
      <c r="E1566" s="42"/>
    </row>
    <row r="1567" spans="5:5">
      <c r="E1567" s="42"/>
    </row>
    <row r="1568" spans="5:5">
      <c r="E1568" s="42"/>
    </row>
    <row r="1569" spans="5:5">
      <c r="E1569" s="42"/>
    </row>
    <row r="1570" spans="5:5">
      <c r="E1570" s="42"/>
    </row>
    <row r="1571" spans="5:5">
      <c r="E1571" s="42"/>
    </row>
    <row r="1572" spans="5:5">
      <c r="E1572" s="42"/>
    </row>
    <row r="1573" spans="5:5">
      <c r="E1573" s="42"/>
    </row>
    <row r="1574" spans="5:5">
      <c r="E1574" s="42"/>
    </row>
    <row r="1575" spans="5:5">
      <c r="E1575" s="42"/>
    </row>
    <row r="1576" spans="5:5">
      <c r="E1576" s="42"/>
    </row>
    <row r="1577" spans="5:5">
      <c r="E1577" s="42"/>
    </row>
    <row r="1578" spans="5:5">
      <c r="E1578" s="42"/>
    </row>
    <row r="1579" spans="5:5">
      <c r="E1579" s="42"/>
    </row>
    <row r="1580" spans="5:5">
      <c r="E1580" s="42"/>
    </row>
    <row r="1581" spans="5:5">
      <c r="E1581" s="42"/>
    </row>
    <row r="1582" spans="5:5">
      <c r="E1582" s="42"/>
    </row>
    <row r="1583" spans="5:5">
      <c r="E1583" s="42"/>
    </row>
    <row r="1584" spans="5:5">
      <c r="E1584" s="42"/>
    </row>
    <row r="1585" spans="5:5">
      <c r="E1585" s="42"/>
    </row>
    <row r="1586" spans="5:5">
      <c r="E1586" s="42"/>
    </row>
    <row r="1587" spans="5:5">
      <c r="E1587" s="42"/>
    </row>
    <row r="1588" spans="5:5">
      <c r="E1588" s="42"/>
    </row>
    <row r="1589" spans="5:5">
      <c r="E1589" s="42"/>
    </row>
    <row r="1590" spans="5:5">
      <c r="E1590" s="42"/>
    </row>
    <row r="1591" spans="5:5">
      <c r="E1591" s="42"/>
    </row>
    <row r="1592" spans="5:5">
      <c r="E1592" s="42"/>
    </row>
    <row r="1593" spans="5:5">
      <c r="E1593" s="42"/>
    </row>
    <row r="1594" spans="5:5">
      <c r="E1594" s="42"/>
    </row>
    <row r="1595" spans="5:5">
      <c r="E1595" s="42"/>
    </row>
    <row r="1596" spans="5:5">
      <c r="E1596" s="42"/>
    </row>
    <row r="1597" spans="5:5">
      <c r="E1597" s="42"/>
    </row>
    <row r="1598" spans="5:5">
      <c r="E1598" s="42"/>
    </row>
    <row r="1599" spans="5:5">
      <c r="E1599" s="42"/>
    </row>
    <row r="1600" spans="5:5">
      <c r="E1600" s="42"/>
    </row>
    <row r="1601" spans="5:5">
      <c r="E1601" s="42"/>
    </row>
    <row r="1602" spans="5:5">
      <c r="E1602" s="42"/>
    </row>
    <row r="1603" spans="5:5">
      <c r="E1603" s="42"/>
    </row>
    <row r="1604" spans="5:5">
      <c r="E1604" s="42"/>
    </row>
    <row r="1605" spans="5:5">
      <c r="E1605" s="42"/>
    </row>
    <row r="1606" spans="5:5">
      <c r="E1606" s="42"/>
    </row>
    <row r="1607" spans="5:5">
      <c r="E1607" s="42"/>
    </row>
    <row r="1608" spans="5:5">
      <c r="E1608" s="42"/>
    </row>
    <row r="1609" spans="5:5">
      <c r="E1609" s="42"/>
    </row>
    <row r="1610" spans="5:5">
      <c r="E1610" s="42"/>
    </row>
    <row r="1611" spans="5:5">
      <c r="E1611" s="42"/>
    </row>
    <row r="1612" spans="5:5">
      <c r="E1612" s="42"/>
    </row>
    <row r="1613" spans="5:5">
      <c r="E1613" s="42"/>
    </row>
    <row r="1614" spans="5:5">
      <c r="E1614" s="42"/>
    </row>
    <row r="1615" spans="5:5">
      <c r="E1615" s="42"/>
    </row>
    <row r="1616" spans="5:5">
      <c r="E1616" s="42"/>
    </row>
    <row r="1617" spans="5:5">
      <c r="E1617" s="42"/>
    </row>
    <row r="1618" spans="5:5">
      <c r="E1618" s="42"/>
    </row>
    <row r="1619" spans="5:5">
      <c r="E1619" s="42"/>
    </row>
    <row r="1620" spans="5:5">
      <c r="E1620" s="42"/>
    </row>
    <row r="1621" spans="5:5">
      <c r="E1621" s="42"/>
    </row>
    <row r="1622" spans="5:5">
      <c r="E1622" s="42"/>
    </row>
    <row r="1623" spans="5:5">
      <c r="E1623" s="42"/>
    </row>
    <row r="1624" spans="5:5">
      <c r="E1624" s="42"/>
    </row>
    <row r="1625" spans="5:5">
      <c r="E1625" s="42"/>
    </row>
    <row r="1626" spans="5:5">
      <c r="E1626" s="42"/>
    </row>
    <row r="1627" spans="5:5">
      <c r="E1627" s="42"/>
    </row>
    <row r="1628" spans="5:5">
      <c r="E1628" s="42"/>
    </row>
    <row r="1629" spans="5:5">
      <c r="E1629" s="42"/>
    </row>
    <row r="1630" spans="5:5">
      <c r="E1630" s="42"/>
    </row>
    <row r="1631" spans="5:5">
      <c r="E1631" s="42"/>
    </row>
    <row r="1632" spans="5:5">
      <c r="E1632" s="42"/>
    </row>
    <row r="1633" spans="5:5">
      <c r="E1633" s="42"/>
    </row>
    <row r="1634" spans="5:5">
      <c r="E1634" s="42"/>
    </row>
    <row r="1635" spans="5:5">
      <c r="E1635" s="42"/>
    </row>
    <row r="1636" spans="5:5">
      <c r="E1636" s="42"/>
    </row>
    <row r="1637" spans="5:5">
      <c r="E1637" s="42"/>
    </row>
    <row r="1638" spans="5:5">
      <c r="E1638" s="42"/>
    </row>
    <row r="1639" spans="5:5">
      <c r="E1639" s="42"/>
    </row>
    <row r="1640" spans="5:5">
      <c r="E1640" s="42"/>
    </row>
    <row r="1641" spans="5:5">
      <c r="E1641" s="42"/>
    </row>
    <row r="1642" spans="5:5">
      <c r="E1642" s="42"/>
    </row>
    <row r="1643" spans="5:5">
      <c r="E1643" s="42"/>
    </row>
    <row r="1644" spans="5:5">
      <c r="E1644" s="42"/>
    </row>
    <row r="1645" spans="5:5">
      <c r="E1645" s="42"/>
    </row>
    <row r="1646" spans="5:5">
      <c r="E1646" s="42"/>
    </row>
    <row r="1647" spans="5:5">
      <c r="E1647" s="42"/>
    </row>
    <row r="1648" spans="5:5">
      <c r="E1648" s="42"/>
    </row>
    <row r="1649" spans="5:5">
      <c r="E1649" s="42"/>
    </row>
    <row r="1650" spans="5:5">
      <c r="E1650" s="42"/>
    </row>
    <row r="1651" spans="5:5">
      <c r="E1651" s="42"/>
    </row>
    <row r="1652" spans="5:5">
      <c r="E1652" s="42"/>
    </row>
    <row r="1653" spans="5:5">
      <c r="E1653" s="42"/>
    </row>
    <row r="1654" spans="5:5">
      <c r="E1654" s="42"/>
    </row>
    <row r="1655" spans="5:5">
      <c r="E1655" s="42"/>
    </row>
    <row r="1656" spans="5:5">
      <c r="E1656" s="42"/>
    </row>
    <row r="1657" spans="5:5">
      <c r="E1657" s="42"/>
    </row>
    <row r="1658" spans="5:5">
      <c r="E1658" s="42"/>
    </row>
    <row r="1659" spans="5:5">
      <c r="E1659" s="42"/>
    </row>
    <row r="1660" spans="5:5">
      <c r="E1660" s="42"/>
    </row>
    <row r="1661" spans="5:5">
      <c r="E1661" s="42"/>
    </row>
    <row r="1662" spans="5:5">
      <c r="E1662" s="42"/>
    </row>
    <row r="1663" spans="5:5">
      <c r="E1663" s="42"/>
    </row>
    <row r="1664" spans="5:5">
      <c r="E1664" s="42"/>
    </row>
    <row r="1665" spans="5:5">
      <c r="E1665" s="42"/>
    </row>
    <row r="1666" spans="5:5">
      <c r="E1666" s="42"/>
    </row>
    <row r="1667" spans="5:5">
      <c r="E1667" s="42"/>
    </row>
    <row r="1668" spans="5:5">
      <c r="E1668" s="42"/>
    </row>
    <row r="1669" spans="5:5">
      <c r="E1669" s="42"/>
    </row>
    <row r="1670" spans="5:5">
      <c r="E1670" s="42"/>
    </row>
    <row r="1671" spans="5:5">
      <c r="E1671" s="42"/>
    </row>
    <row r="1672" spans="5:5">
      <c r="E1672" s="42"/>
    </row>
    <row r="1673" spans="5:5">
      <c r="E1673" s="42"/>
    </row>
    <row r="1674" spans="5:5">
      <c r="E1674" s="42"/>
    </row>
    <row r="1675" spans="5:5">
      <c r="E1675" s="42"/>
    </row>
    <row r="1676" spans="5:5">
      <c r="E1676" s="42"/>
    </row>
    <row r="1677" spans="5:5">
      <c r="E1677" s="42"/>
    </row>
    <row r="1678" spans="5:5">
      <c r="E1678" s="42"/>
    </row>
    <row r="1679" spans="5:5">
      <c r="E1679" s="42"/>
    </row>
    <row r="1680" spans="5:5">
      <c r="E1680" s="42"/>
    </row>
    <row r="1681" spans="5:5">
      <c r="E1681" s="42"/>
    </row>
    <row r="1682" spans="5:5">
      <c r="E1682" s="42"/>
    </row>
    <row r="1683" spans="5:5">
      <c r="E1683" s="42"/>
    </row>
    <row r="1684" spans="5:5">
      <c r="E1684" s="42"/>
    </row>
    <row r="1685" spans="5:5">
      <c r="E1685" s="42"/>
    </row>
    <row r="1686" spans="5:5">
      <c r="E1686" s="42"/>
    </row>
    <row r="1687" spans="5:5">
      <c r="E1687" s="42"/>
    </row>
    <row r="1688" spans="5:5">
      <c r="E1688" s="42"/>
    </row>
    <row r="1689" spans="5:5">
      <c r="E1689" s="42"/>
    </row>
    <row r="1690" spans="5:5">
      <c r="E1690" s="42"/>
    </row>
    <row r="1691" spans="5:5">
      <c r="E1691" s="42"/>
    </row>
    <row r="1692" spans="5:5">
      <c r="E1692" s="42"/>
    </row>
    <row r="1693" spans="5:5">
      <c r="E1693" s="42"/>
    </row>
    <row r="1694" spans="5:5">
      <c r="E1694" s="42"/>
    </row>
    <row r="1695" spans="5:5">
      <c r="E1695" s="42"/>
    </row>
    <row r="1696" spans="5:5">
      <c r="E1696" s="42"/>
    </row>
    <row r="1697" spans="5:5">
      <c r="E1697" s="42"/>
    </row>
    <row r="1698" spans="5:5">
      <c r="E1698" s="42"/>
    </row>
    <row r="1699" spans="5:5">
      <c r="E1699" s="42"/>
    </row>
    <row r="1700" spans="5:5">
      <c r="E1700" s="42"/>
    </row>
    <row r="1701" spans="5:5">
      <c r="E1701" s="42"/>
    </row>
    <row r="1702" spans="5:5">
      <c r="E1702" s="42"/>
    </row>
    <row r="1703" spans="5:5">
      <c r="E1703" s="42"/>
    </row>
    <row r="1704" spans="5:5">
      <c r="E1704" s="42"/>
    </row>
    <row r="1705" spans="5:5">
      <c r="E1705" s="42"/>
    </row>
    <row r="1706" spans="5:5">
      <c r="E1706" s="42"/>
    </row>
    <row r="1707" spans="5:5">
      <c r="E1707" s="42"/>
    </row>
    <row r="1708" spans="5:5">
      <c r="E1708" s="42"/>
    </row>
  </sheetData>
  <customSheetViews>
    <customSheetView guid="{4FEDB3BD-111A-4B7D-AA97-E67173A5F707}" showPageBreaks="1" printArea="1" hiddenColumns="1" view="pageBreakPreview" showRuler="0" topLeftCell="A12">
      <selection activeCell="I13" sqref="I13"/>
      <rowBreaks count="2" manualBreakCount="2">
        <brk id="6" max="8" man="1"/>
        <brk id="14" max="8" man="1"/>
      </rowBreaks>
      <pageMargins left="0.5" right="0.5" top="1" bottom="1" header="0.5" footer="0.34"/>
      <printOptions horizontalCentered="1"/>
      <pageSetup fitToHeight="3" orientation="landscape" r:id="rId1"/>
      <headerFooter alignWithMargins="0">
        <oddHeader>&amp;C&amp;"Arial,Bold"&amp;12&amp;UProject Activity 23: Lighting Analysis</oddHeader>
        <oddFooter>&amp;CPage &amp;P of &amp;N</oddFooter>
      </headerFooter>
    </customSheetView>
    <customSheetView guid="{D5FFA8DD-F2DB-47F2-B4D2-3681726B2E8F}" showPageBreaks="1" printArea="1" hiddenColumns="1" view="pageBreakPreview" showRuler="0" topLeftCell="A22">
      <selection activeCell="C3" sqref="C3:P3"/>
      <pageMargins left="0.5" right="0.5" top="1" bottom="1" header="0.5" footer="0.34"/>
      <printOptions horizontalCentered="1"/>
      <pageSetup fitToHeight="3" orientation="landscape" r:id="rId2"/>
      <headerFooter alignWithMargins="0">
        <oddHeader>&amp;C&amp;"Arial,Bold"&amp;12&amp;UProject Activity 23: Lighting Analysis</oddHeader>
        <oddFooter>&amp;CPage &amp;P of &amp;N</oddFooter>
      </headerFooter>
    </customSheetView>
    <customSheetView guid="{EFE02F7B-3837-4B0F-9646-ADE249504E9F}" showPageBreaks="1" printArea="1" hiddenColumns="1" view="pageBreakPreview" showRuler="0" topLeftCell="A12">
      <selection activeCell="I13" sqref="I13"/>
      <pageMargins left="0.5" right="0.5" top="1" bottom="1" header="0.5" footer="0.34"/>
      <printOptions horizontalCentered="1"/>
      <pageSetup fitToHeight="3" orientation="landscape" r:id="rId3"/>
      <headerFooter alignWithMargins="0">
        <oddHeader>&amp;C&amp;"Arial,Bold"&amp;12&amp;UProject Activity 23: Lighting Analysis</oddHeader>
        <oddFooter>&amp;CPage &amp;P of &amp;N</oddFooter>
      </headerFooter>
    </customSheetView>
    <customSheetView guid="{053BE130-58A3-4F3B-945A-C2EFB15C6264}" showPageBreaks="1" printArea="1" hiddenColumns="1" view="pageBreakPreview" showRuler="0">
      <selection activeCell="I28" sqref="I28"/>
      <pageMargins left="0.5" right="0.5" top="1" bottom="1" header="0.5" footer="0.34"/>
      <printOptions horizontalCentered="1"/>
      <pageSetup fitToHeight="3" orientation="landscape" r:id="rId4"/>
      <headerFooter alignWithMargins="0">
        <oddHeader>&amp;C&amp;"Arial,Bold"&amp;12&amp;UProject Activity 23: Lighting Analysis</oddHeader>
        <oddFooter>&amp;CPage &amp;P of &amp;N</oddFooter>
      </headerFooter>
    </customSheetView>
    <customSheetView guid="{F5DBE5B9-A9E4-4030-888B-08F930ECBB74}" showPageBreaks="1" printArea="1" hiddenColumns="1" view="pageBreakPreview" showRuler="0" topLeftCell="A12">
      <selection activeCell="I13" sqref="I13"/>
      <pageMargins left="0.5" right="0.5" top="1" bottom="1" header="0.5" footer="0.34"/>
      <printOptions horizontalCentered="1"/>
      <pageSetup fitToHeight="3" orientation="landscape" r:id="rId5"/>
      <headerFooter alignWithMargins="0">
        <oddHeader>&amp;C&amp;"Arial,Bold"&amp;12&amp;UProject Activity 23: Lighting Analysis</oddHeader>
        <oddFooter>&amp;CPage &amp;P of &amp;N</oddFooter>
      </headerFooter>
    </customSheetView>
    <customSheetView guid="{960FB4AF-B150-4523-972C-3F7C93F049F3}" showPageBreaks="1" printArea="1" hiddenColumns="1" view="pageBreakPreview" showRuler="0" topLeftCell="A12">
      <selection activeCell="I13" sqref="I13"/>
      <rowBreaks count="2" manualBreakCount="2">
        <brk id="6" max="8" man="1"/>
        <brk id="14" max="8" man="1"/>
      </rowBreaks>
      <pageMargins left="0.5" right="0.5" top="1" bottom="1" header="0.5" footer="0.34"/>
      <printOptions horizontalCentered="1"/>
      <pageSetup fitToHeight="3" orientation="landscape" r:id="rId6"/>
      <headerFooter alignWithMargins="0">
        <oddHeader>&amp;C&amp;"Arial,Bold"&amp;12&amp;UProject Activity 23: Lighting Analysis</oddHeader>
        <oddFooter>&amp;CPage &amp;P of &amp;N</oddFooter>
      </headerFooter>
    </customSheetView>
    <customSheetView guid="{DF3BD4C9-2986-4236-8E90-D96736404377}" showPageBreaks="1" printArea="1" hiddenColumns="1" view="pageBreakPreview" showRuler="0" topLeftCell="A12">
      <selection activeCell="I13" sqref="I13"/>
      <rowBreaks count="2" manualBreakCount="2">
        <brk id="6" max="8" man="1"/>
        <brk id="14" max="8" man="1"/>
      </rowBreaks>
      <pageMargins left="0.5" right="0.5" top="1" bottom="1" header="0.5" footer="0.34"/>
      <printOptions horizontalCentered="1"/>
      <pageSetup fitToHeight="3" orientation="landscape" r:id="rId7"/>
      <headerFooter alignWithMargins="0">
        <oddHeader>&amp;C&amp;"Arial,Bold"&amp;12&amp;UProject Activity 23: Lighting Analysis</oddHeader>
        <oddFooter>&amp;CPage &amp;P of &amp;N</oddFooter>
      </headerFooter>
    </customSheetView>
  </customSheetViews>
  <mergeCells count="3">
    <mergeCell ref="A14:C14"/>
    <mergeCell ref="A20:C20"/>
    <mergeCell ref="A1:E1"/>
  </mergeCells>
  <phoneticPr fontId="0" type="noConversion"/>
  <printOptions horizontalCentered="1" verticalCentered="1"/>
  <pageMargins left="0.75" right="0.75" top="1" bottom="1" header="0.5" footer="0.5"/>
  <pageSetup scale="74" fitToHeight="2" orientation="landscape" r:id="rId8"/>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2"/>
  <dimension ref="A1:D56"/>
  <sheetViews>
    <sheetView showGridLines="0" zoomScaleNormal="100" zoomScaleSheetLayoutView="100" workbookViewId="0">
      <selection sqref="A1:C1"/>
    </sheetView>
  </sheetViews>
  <sheetFormatPr defaultColWidth="9.109375" defaultRowHeight="13.2"/>
  <cols>
    <col min="1" max="1" width="6.33203125" style="4" customWidth="1"/>
    <col min="2" max="2" width="30.6640625" style="4" customWidth="1"/>
    <col min="3" max="3" width="100.6640625" style="4" customWidth="1"/>
    <col min="4" max="16384" width="9.109375" style="4"/>
  </cols>
  <sheetData>
    <row r="1" spans="1:4" s="26" customFormat="1" ht="15.6">
      <c r="A1" s="950" t="s">
        <v>739</v>
      </c>
      <c r="B1" s="951"/>
      <c r="C1" s="952"/>
    </row>
    <row r="2" spans="1:4" ht="46.8">
      <c r="A2" s="261" t="s">
        <v>385</v>
      </c>
      <c r="B2" s="262" t="s">
        <v>844</v>
      </c>
      <c r="C2" s="263" t="s">
        <v>2611</v>
      </c>
    </row>
    <row r="3" spans="1:4" ht="27.6">
      <c r="A3" s="152">
        <v>24.1</v>
      </c>
      <c r="B3" s="150" t="s">
        <v>2635</v>
      </c>
      <c r="C3" s="149" t="s">
        <v>2579</v>
      </c>
      <c r="D3" s="4" t="s">
        <v>596</v>
      </c>
    </row>
    <row r="4" spans="1:4" ht="41.4">
      <c r="A4" s="152">
        <v>24.2</v>
      </c>
      <c r="B4" s="150" t="s">
        <v>1286</v>
      </c>
      <c r="C4" s="149" t="s">
        <v>2684</v>
      </c>
    </row>
    <row r="5" spans="1:4" ht="55.2">
      <c r="A5" s="152">
        <v>24.3</v>
      </c>
      <c r="B5" s="150" t="s">
        <v>624</v>
      </c>
      <c r="C5" s="149" t="s">
        <v>2712</v>
      </c>
    </row>
    <row r="6" spans="1:4" ht="41.4">
      <c r="A6" s="152">
        <v>24.4</v>
      </c>
      <c r="B6" s="150" t="s">
        <v>1485</v>
      </c>
      <c r="C6" s="149" t="s">
        <v>2713</v>
      </c>
    </row>
    <row r="7" spans="1:4" ht="41.4">
      <c r="A7" s="1004">
        <v>24.5</v>
      </c>
      <c r="B7" s="653" t="s">
        <v>2720</v>
      </c>
      <c r="C7" s="149" t="s">
        <v>2714</v>
      </c>
    </row>
    <row r="8" spans="1:4" ht="41.4">
      <c r="A8" s="1005"/>
      <c r="B8" s="653" t="s">
        <v>2721</v>
      </c>
      <c r="C8" s="149" t="s">
        <v>2676</v>
      </c>
    </row>
    <row r="9" spans="1:4" ht="82.8">
      <c r="A9" s="152">
        <v>24.6</v>
      </c>
      <c r="B9" s="150" t="s">
        <v>94</v>
      </c>
      <c r="C9" s="149" t="s">
        <v>2715</v>
      </c>
    </row>
    <row r="10" spans="1:4" ht="69">
      <c r="A10" s="152" t="s">
        <v>2722</v>
      </c>
      <c r="B10" s="150" t="s">
        <v>625</v>
      </c>
      <c r="C10" s="149" t="s">
        <v>2716</v>
      </c>
    </row>
    <row r="11" spans="1:4" ht="41.4">
      <c r="A11" s="152">
        <v>24.8</v>
      </c>
      <c r="B11" s="150" t="s">
        <v>2461</v>
      </c>
      <c r="C11" s="149" t="s">
        <v>2717</v>
      </c>
    </row>
    <row r="12" spans="1:4" ht="15.6">
      <c r="A12" s="996" t="s">
        <v>1338</v>
      </c>
      <c r="B12" s="997"/>
      <c r="C12" s="264"/>
    </row>
    <row r="13" spans="1:4" ht="27.6">
      <c r="A13" s="152">
        <v>24.9</v>
      </c>
      <c r="B13" s="150" t="s">
        <v>1339</v>
      </c>
      <c r="C13" s="149" t="s">
        <v>2718</v>
      </c>
    </row>
    <row r="14" spans="1:4" ht="28.2" thickBot="1">
      <c r="A14" s="532">
        <v>24.1</v>
      </c>
      <c r="B14" s="482" t="s">
        <v>912</v>
      </c>
      <c r="C14" s="669" t="s">
        <v>2719</v>
      </c>
    </row>
    <row r="15" spans="1:4">
      <c r="C15" s="36"/>
    </row>
    <row r="16" spans="1:4">
      <c r="C16" s="36"/>
    </row>
    <row r="17" spans="3:3">
      <c r="C17" s="36"/>
    </row>
    <row r="18" spans="3:3">
      <c r="C18" s="36"/>
    </row>
    <row r="19" spans="3:3">
      <c r="C19" s="36"/>
    </row>
    <row r="20" spans="3:3">
      <c r="C20" s="36"/>
    </row>
    <row r="21" spans="3:3">
      <c r="C21" s="36"/>
    </row>
    <row r="22" spans="3:3">
      <c r="C22" s="36"/>
    </row>
    <row r="23" spans="3:3">
      <c r="C23" s="36"/>
    </row>
    <row r="24" spans="3:3">
      <c r="C24" s="36"/>
    </row>
    <row r="25" spans="3:3">
      <c r="C25" s="36"/>
    </row>
    <row r="26" spans="3:3">
      <c r="C26" s="36"/>
    </row>
    <row r="27" spans="3:3">
      <c r="C27" s="36"/>
    </row>
    <row r="28" spans="3:3">
      <c r="C28" s="36"/>
    </row>
    <row r="29" spans="3:3">
      <c r="C29" s="36"/>
    </row>
    <row r="30" spans="3:3">
      <c r="C30" s="36"/>
    </row>
    <row r="31" spans="3:3">
      <c r="C31" s="36"/>
    </row>
    <row r="32" spans="3:3">
      <c r="C32" s="36"/>
    </row>
    <row r="33" spans="3:3">
      <c r="C33" s="36"/>
    </row>
    <row r="34" spans="3:3">
      <c r="C34" s="36"/>
    </row>
    <row r="35" spans="3:3">
      <c r="C35" s="36"/>
    </row>
    <row r="36" spans="3:3">
      <c r="C36" s="36"/>
    </row>
    <row r="37" spans="3:3">
      <c r="C37" s="36"/>
    </row>
    <row r="38" spans="3:3">
      <c r="C38" s="36"/>
    </row>
    <row r="39" spans="3:3">
      <c r="C39" s="36"/>
    </row>
    <row r="40" spans="3:3">
      <c r="C40" s="36"/>
    </row>
    <row r="41" spans="3:3">
      <c r="C41" s="36"/>
    </row>
    <row r="42" spans="3:3">
      <c r="C42" s="36"/>
    </row>
    <row r="43" spans="3:3">
      <c r="C43" s="36"/>
    </row>
    <row r="44" spans="3:3">
      <c r="C44" s="36"/>
    </row>
    <row r="45" spans="3:3">
      <c r="C45" s="36"/>
    </row>
    <row r="46" spans="3:3">
      <c r="C46" s="36"/>
    </row>
    <row r="47" spans="3:3">
      <c r="C47" s="36"/>
    </row>
    <row r="48" spans="3:3">
      <c r="C48" s="36"/>
    </row>
    <row r="49" spans="3:3">
      <c r="C49" s="36"/>
    </row>
    <row r="50" spans="3:3">
      <c r="C50" s="36"/>
    </row>
    <row r="51" spans="3:3">
      <c r="C51" s="36"/>
    </row>
    <row r="52" spans="3:3">
      <c r="C52" s="36"/>
    </row>
    <row r="53" spans="3:3">
      <c r="C53" s="36"/>
    </row>
    <row r="54" spans="3:3">
      <c r="C54" s="36"/>
    </row>
    <row r="55" spans="3:3">
      <c r="C55" s="36"/>
    </row>
    <row r="56" spans="3:3">
      <c r="C56" s="36"/>
    </row>
  </sheetData>
  <customSheetViews>
    <customSheetView guid="{4FEDB3BD-111A-4B7D-AA97-E67173A5F707}" showPageBreaks="1" printArea="1" hiddenColumns="1" view="pageBreakPreview" showRuler="0" topLeftCell="A8">
      <selection activeCell="K17" sqref="K17"/>
      <rowBreaks count="1" manualBreakCount="1">
        <brk id="14" max="10" man="1"/>
      </rowBreaks>
      <pageMargins left="0.5" right="0.5" top="1" bottom="1" header="0.5" footer="0.34"/>
      <printOptions horizontalCentered="1"/>
      <pageSetup fitToHeight="0" orientation="landscape" r:id="rId1"/>
      <headerFooter alignWithMargins="0">
        <oddHeader>&amp;C&amp;"Arial,Bold"&amp;12&amp;UProject Activity 24: Lighting Plans</oddHeader>
        <oddFooter>&amp;CPage &amp;P of &amp;N</oddFooter>
      </headerFooter>
    </customSheetView>
    <customSheetView guid="{D5FFA8DD-F2DB-47F2-B4D2-3681726B2E8F}" showPageBreaks="1" printArea="1" hiddenColumns="1" view="pageBreakPreview" showRuler="0">
      <selection activeCell="C3" sqref="C3:P3"/>
      <pageMargins left="0.5" right="0.5" top="1" bottom="1" header="0.5" footer="0.34"/>
      <printOptions horizontalCentered="1"/>
      <pageSetup fitToHeight="0" orientation="landscape" r:id="rId2"/>
      <headerFooter alignWithMargins="0">
        <oddHeader>&amp;C&amp;"Arial,Bold"&amp;12&amp;UProject Activity 24: Lighting Plans</oddHeader>
        <oddFooter>&amp;CPage &amp;P of &amp;N</oddFooter>
      </headerFooter>
    </customSheetView>
    <customSheetView guid="{EFE02F7B-3837-4B0F-9646-ADE249504E9F}" showPageBreaks="1" printArea="1" hiddenColumns="1" view="pageBreakPreview" showRuler="0" topLeftCell="A9">
      <selection activeCell="K18" sqref="K18"/>
      <pageMargins left="0.5" right="0.5" top="1" bottom="1" header="0.5" footer="0.34"/>
      <printOptions horizontalCentered="1"/>
      <pageSetup fitToHeight="0" orientation="landscape" r:id="rId3"/>
      <headerFooter alignWithMargins="0">
        <oddHeader>&amp;C&amp;"Arial,Bold"&amp;12&amp;UProject Activity 24: Lighting Plans</oddHeader>
        <oddFooter>&amp;CPage &amp;P of &amp;N</oddFooter>
      </headerFooter>
    </customSheetView>
    <customSheetView guid="{053BE130-58A3-4F3B-945A-C2EFB15C6264}" showPageBreaks="1" printArea="1" hiddenColumns="1" view="pageBreakPreview" showRuler="0" topLeftCell="A9">
      <selection activeCell="K18" sqref="K18"/>
      <pageMargins left="0.5" right="0.5" top="1" bottom="1" header="0.5" footer="0.34"/>
      <printOptions horizontalCentered="1"/>
      <pageSetup fitToHeight="0" orientation="landscape" r:id="rId4"/>
      <headerFooter alignWithMargins="0">
        <oddHeader>&amp;C&amp;"Arial,Bold"&amp;12&amp;UProject Activity 24: Lighting Plans</oddHeader>
        <oddFooter>&amp;CPage &amp;P of &amp;N</oddFooter>
      </headerFooter>
    </customSheetView>
    <customSheetView guid="{F5DBE5B9-A9E4-4030-888B-08F930ECBB74}" showPageBreaks="1" printArea="1" hiddenColumns="1" view="pageBreakPreview" showRuler="0" topLeftCell="A9">
      <selection activeCell="K18" sqref="K18"/>
      <pageMargins left="0.5" right="0.5" top="1" bottom="1" header="0.5" footer="0.34"/>
      <printOptions horizontalCentered="1"/>
      <pageSetup fitToHeight="0" orientation="landscape" r:id="rId5"/>
      <headerFooter alignWithMargins="0">
        <oddHeader>&amp;C&amp;"Arial,Bold"&amp;12&amp;UProject Activity 24: Lighting Plans</oddHeader>
        <oddFooter>&amp;CPage &amp;P of &amp;N</oddFooter>
      </headerFooter>
    </customSheetView>
    <customSheetView guid="{960FB4AF-B150-4523-972C-3F7C93F049F3}" showPageBreaks="1" printArea="1" hiddenColumns="1" view="pageBreakPreview" showRuler="0" topLeftCell="A8">
      <selection activeCell="K17" sqref="K17"/>
      <rowBreaks count="1" manualBreakCount="1">
        <brk id="14" max="10" man="1"/>
      </rowBreaks>
      <pageMargins left="0.5" right="0.5" top="1" bottom="1" header="0.5" footer="0.34"/>
      <printOptions horizontalCentered="1"/>
      <pageSetup fitToHeight="0" orientation="landscape" r:id="rId6"/>
      <headerFooter alignWithMargins="0">
        <oddHeader>&amp;C&amp;"Arial,Bold"&amp;12&amp;UProject Activity 24: Lighting Plans</oddHeader>
        <oddFooter>&amp;CPage &amp;P of &amp;N</oddFooter>
      </headerFooter>
    </customSheetView>
    <customSheetView guid="{DF3BD4C9-2986-4236-8E90-D96736404377}" showPageBreaks="1" printArea="1" hiddenColumns="1" view="pageBreakPreview" showRuler="0" topLeftCell="A8">
      <selection activeCell="K17" sqref="K17"/>
      <rowBreaks count="1" manualBreakCount="1">
        <brk id="14" max="10" man="1"/>
      </rowBreaks>
      <pageMargins left="0.5" right="0.5" top="1" bottom="1" header="0.5" footer="0.34"/>
      <printOptions horizontalCentered="1"/>
      <pageSetup fitToHeight="0" orientation="landscape" r:id="rId7"/>
      <headerFooter alignWithMargins="0">
        <oddHeader>&amp;C&amp;"Arial,Bold"&amp;12&amp;UProject Activity 24: Lighting Plans</oddHeader>
        <oddFooter>&amp;CPage &amp;P of &amp;N</oddFooter>
      </headerFooter>
    </customSheetView>
  </customSheetViews>
  <mergeCells count="3">
    <mergeCell ref="A12:B12"/>
    <mergeCell ref="A1:C1"/>
    <mergeCell ref="A7:A8"/>
  </mergeCells>
  <phoneticPr fontId="0" type="noConversion"/>
  <printOptions horizontalCentered="1" verticalCentered="1"/>
  <pageMargins left="0.75" right="0.75" top="1" bottom="1" header="0.5" footer="0.5"/>
  <pageSetup scale="74" orientation="landscape" r:id="rId8"/>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F0A2C1-BDF7-4171-A804-18E5CAC3C063}">
  <dimension ref="A1:L27"/>
  <sheetViews>
    <sheetView showGridLines="0" zoomScaleNormal="100" workbookViewId="0">
      <selection sqref="A1:G1"/>
    </sheetView>
  </sheetViews>
  <sheetFormatPr defaultColWidth="8.88671875" defaultRowHeight="13.8"/>
  <cols>
    <col min="1" max="1" width="33.109375" style="683" customWidth="1"/>
    <col min="2" max="2" width="12.6640625" style="683" customWidth="1"/>
    <col min="3" max="3" width="69.77734375" style="683" customWidth="1"/>
    <col min="4" max="5" width="13.88671875" style="683" customWidth="1"/>
    <col min="6" max="6" width="36.6640625" style="683" customWidth="1"/>
    <col min="7" max="7" width="17.33203125" style="683" customWidth="1"/>
    <col min="8" max="8" width="8.88671875" style="683"/>
    <col min="9" max="12" width="0" style="683" hidden="1" customWidth="1"/>
    <col min="13" max="16384" width="8.88671875" style="683"/>
  </cols>
  <sheetData>
    <row r="1" spans="1:12" ht="26.25" customHeight="1">
      <c r="A1" s="882" t="s">
        <v>2443</v>
      </c>
      <c r="B1" s="882"/>
      <c r="C1" s="882"/>
      <c r="D1" s="882"/>
      <c r="E1" s="882"/>
      <c r="F1" s="882"/>
      <c r="G1" s="883"/>
    </row>
    <row r="2" spans="1:12" ht="33" customHeight="1" thickBot="1">
      <c r="A2" s="884" t="s">
        <v>2901</v>
      </c>
      <c r="B2" s="884"/>
      <c r="C2" s="884"/>
      <c r="D2" s="884"/>
      <c r="E2" s="884"/>
      <c r="F2" s="884"/>
      <c r="G2" s="884"/>
    </row>
    <row r="3" spans="1:12" ht="30" customHeight="1" thickBot="1">
      <c r="A3" s="684" t="s">
        <v>2830</v>
      </c>
      <c r="B3" s="885" t="s">
        <v>2831</v>
      </c>
      <c r="C3" s="885"/>
      <c r="D3" s="701" t="s">
        <v>2832</v>
      </c>
      <c r="E3" s="685" t="s">
        <v>2833</v>
      </c>
      <c r="F3" s="886" t="s">
        <v>2834</v>
      </c>
      <c r="G3" s="887"/>
      <c r="I3" s="683" t="s">
        <v>2835</v>
      </c>
      <c r="J3" s="683" t="s">
        <v>2836</v>
      </c>
      <c r="K3" s="683" t="s">
        <v>2837</v>
      </c>
      <c r="L3" s="683" t="s">
        <v>2838</v>
      </c>
    </row>
    <row r="4" spans="1:12" ht="20.100000000000001" customHeight="1">
      <c r="A4" s="888" t="s">
        <v>2902</v>
      </c>
      <c r="B4" s="686" t="s">
        <v>2840</v>
      </c>
      <c r="C4" s="687" t="s">
        <v>2903</v>
      </c>
      <c r="D4" s="891"/>
      <c r="E4" s="894">
        <f>IF(D4="N/A",0,IF(D4="Simple",1,IF(D4="Standard",2,IF(D4="Complex",3,0))))</f>
        <v>0</v>
      </c>
      <c r="F4" s="897"/>
      <c r="G4" s="898"/>
    </row>
    <row r="5" spans="1:12" ht="20.100000000000001" customHeight="1">
      <c r="A5" s="889"/>
      <c r="B5" s="686" t="s">
        <v>2841</v>
      </c>
      <c r="C5" s="687" t="s">
        <v>2904</v>
      </c>
      <c r="D5" s="892"/>
      <c r="E5" s="895"/>
      <c r="F5" s="897"/>
      <c r="G5" s="898"/>
    </row>
    <row r="6" spans="1:12">
      <c r="A6" s="890"/>
      <c r="B6" s="686" t="s">
        <v>2843</v>
      </c>
      <c r="C6" s="687" t="s">
        <v>2905</v>
      </c>
      <c r="D6" s="893"/>
      <c r="E6" s="896"/>
      <c r="F6" s="899"/>
      <c r="G6" s="900"/>
    </row>
    <row r="7" spans="1:12" ht="20.100000000000001" customHeight="1">
      <c r="A7" s="901" t="s">
        <v>210</v>
      </c>
      <c r="B7" s="689" t="s">
        <v>2840</v>
      </c>
      <c r="C7" s="690" t="s">
        <v>207</v>
      </c>
      <c r="D7" s="904"/>
      <c r="E7" s="905">
        <f>IF(D7="N/A",0,IF(D7="Simple",1,IF(D7="Standard",2,IF(D7="Complex",3,0))))</f>
        <v>0</v>
      </c>
      <c r="F7" s="907"/>
      <c r="G7" s="908"/>
    </row>
    <row r="8" spans="1:12" ht="20.100000000000001" customHeight="1">
      <c r="A8" s="902"/>
      <c r="B8" s="689" t="s">
        <v>2841</v>
      </c>
      <c r="C8" s="690" t="s">
        <v>208</v>
      </c>
      <c r="D8" s="892"/>
      <c r="E8" s="905"/>
      <c r="F8" s="909"/>
      <c r="G8" s="910"/>
    </row>
    <row r="9" spans="1:12" ht="20.100000000000001" customHeight="1">
      <c r="A9" s="903"/>
      <c r="B9" s="689" t="s">
        <v>2843</v>
      </c>
      <c r="C9" s="690" t="s">
        <v>2906</v>
      </c>
      <c r="D9" s="893"/>
      <c r="E9" s="906"/>
      <c r="F9" s="911"/>
      <c r="G9" s="912"/>
    </row>
    <row r="10" spans="1:12" ht="20.100000000000001" customHeight="1">
      <c r="A10" s="913" t="s">
        <v>211</v>
      </c>
      <c r="B10" s="686" t="s">
        <v>2840</v>
      </c>
      <c r="C10" s="687" t="s">
        <v>209</v>
      </c>
      <c r="D10" s="904"/>
      <c r="E10" s="894">
        <f>IF(D10="N/A",0,IF(D10="Simple",1,IF(D10="Standard",2,IF(D10="Complex",3,0))))</f>
        <v>0</v>
      </c>
      <c r="F10" s="916"/>
      <c r="G10" s="917"/>
    </row>
    <row r="11" spans="1:12" ht="20.100000000000001" customHeight="1">
      <c r="A11" s="914"/>
      <c r="B11" s="686" t="s">
        <v>2841</v>
      </c>
      <c r="C11" s="687" t="s">
        <v>2416</v>
      </c>
      <c r="D11" s="892"/>
      <c r="E11" s="895"/>
      <c r="F11" s="897"/>
      <c r="G11" s="898"/>
    </row>
    <row r="12" spans="1:12" ht="20.100000000000001" customHeight="1">
      <c r="A12" s="915"/>
      <c r="B12" s="686" t="s">
        <v>2843</v>
      </c>
      <c r="C12" s="688" t="s">
        <v>2417</v>
      </c>
      <c r="D12" s="893"/>
      <c r="E12" s="896"/>
      <c r="F12" s="899"/>
      <c r="G12" s="900"/>
    </row>
    <row r="13" spans="1:12" ht="20.100000000000001" customHeight="1">
      <c r="A13" s="918" t="s">
        <v>2907</v>
      </c>
      <c r="B13" s="689" t="s">
        <v>2840</v>
      </c>
      <c r="C13" s="690" t="s">
        <v>2908</v>
      </c>
      <c r="D13" s="904"/>
      <c r="E13" s="905">
        <f>IF(D13="N/A",0,IF(D13="Simple",1,IF(D13="Standard",2,IF(D13="Complex",3,0))))</f>
        <v>0</v>
      </c>
      <c r="F13" s="907"/>
      <c r="G13" s="908"/>
    </row>
    <row r="14" spans="1:12" ht="20.100000000000001" customHeight="1">
      <c r="A14" s="919"/>
      <c r="B14" s="689" t="s">
        <v>2841</v>
      </c>
      <c r="C14" s="690" t="s">
        <v>2909</v>
      </c>
      <c r="D14" s="892"/>
      <c r="E14" s="905"/>
      <c r="F14" s="909"/>
      <c r="G14" s="910"/>
    </row>
    <row r="15" spans="1:12" ht="20.100000000000001" customHeight="1">
      <c r="A15" s="920"/>
      <c r="B15" s="689" t="s">
        <v>2843</v>
      </c>
      <c r="C15" s="690" t="s">
        <v>2910</v>
      </c>
      <c r="D15" s="893"/>
      <c r="E15" s="906"/>
      <c r="F15" s="911"/>
      <c r="G15" s="912"/>
    </row>
    <row r="16" spans="1:12" ht="20.100000000000001" customHeight="1">
      <c r="A16" s="913" t="s">
        <v>212</v>
      </c>
      <c r="B16" s="686" t="s">
        <v>2840</v>
      </c>
      <c r="C16" s="687" t="s">
        <v>2911</v>
      </c>
      <c r="D16" s="904"/>
      <c r="E16" s="894">
        <f>IF(D16="N/A",0,IF(D16="Simple",1,IF(D16="Standard",2,IF(D16="Complex",3,0))))</f>
        <v>0</v>
      </c>
      <c r="F16" s="916"/>
      <c r="G16" s="917"/>
    </row>
    <row r="17" spans="1:7" ht="20.100000000000001" customHeight="1">
      <c r="A17" s="914"/>
      <c r="B17" s="686" t="s">
        <v>2841</v>
      </c>
      <c r="C17" s="687" t="s">
        <v>2912</v>
      </c>
      <c r="D17" s="892"/>
      <c r="E17" s="895"/>
      <c r="F17" s="897"/>
      <c r="G17" s="898"/>
    </row>
    <row r="18" spans="1:7" ht="20.100000000000001" customHeight="1">
      <c r="A18" s="915"/>
      <c r="B18" s="686" t="s">
        <v>2843</v>
      </c>
      <c r="C18" s="688" t="s">
        <v>2913</v>
      </c>
      <c r="D18" s="893"/>
      <c r="E18" s="896"/>
      <c r="F18" s="899"/>
      <c r="G18" s="900"/>
    </row>
    <row r="19" spans="1:7" ht="20.100000000000001" customHeight="1">
      <c r="A19" s="918" t="s">
        <v>1405</v>
      </c>
      <c r="B19" s="689" t="s">
        <v>2840</v>
      </c>
      <c r="C19" s="690" t="s">
        <v>2444</v>
      </c>
      <c r="D19" s="904"/>
      <c r="E19" s="905">
        <f>IF(D19="N/A",0,IF(D19="Simple",1,IF(D19="Standard",2,IF(D19="Complex",3,0))))</f>
        <v>0</v>
      </c>
      <c r="F19" s="907"/>
      <c r="G19" s="908"/>
    </row>
    <row r="20" spans="1:7" ht="20.100000000000001" customHeight="1">
      <c r="A20" s="919"/>
      <c r="B20" s="689" t="s">
        <v>2841</v>
      </c>
      <c r="C20" s="690" t="s">
        <v>2445</v>
      </c>
      <c r="D20" s="892"/>
      <c r="E20" s="905"/>
      <c r="F20" s="909"/>
      <c r="G20" s="910"/>
    </row>
    <row r="21" spans="1:7" ht="20.100000000000001" customHeight="1" thickBot="1">
      <c r="A21" s="1006"/>
      <c r="B21" s="702" t="s">
        <v>2843</v>
      </c>
      <c r="C21" s="703" t="s">
        <v>2446</v>
      </c>
      <c r="D21" s="1007"/>
      <c r="E21" s="1008"/>
      <c r="F21" s="1009"/>
      <c r="G21" s="1010"/>
    </row>
    <row r="22" spans="1:7" ht="33.75" customHeight="1" thickBot="1">
      <c r="A22" s="1011" t="s">
        <v>2867</v>
      </c>
      <c r="B22" s="1012"/>
      <c r="C22" s="1012"/>
      <c r="D22" s="1012"/>
      <c r="E22" s="705">
        <f>SUM(E4:E21)</f>
        <v>0</v>
      </c>
      <c r="F22" s="704" t="s">
        <v>2914</v>
      </c>
      <c r="G22" s="706" t="str">
        <f>IF(E22=0,"N/A",IF(E22&lt;=6,"Low",IF(E22&lt;=12,"Mid",IF(E22&gt;12,"High","N/A"))))</f>
        <v>N/A</v>
      </c>
    </row>
    <row r="23" spans="1:7">
      <c r="A23" s="694"/>
      <c r="B23" s="694"/>
      <c r="C23" s="694"/>
      <c r="D23" s="694"/>
      <c r="E23" s="694"/>
      <c r="F23" s="694"/>
      <c r="G23" s="694"/>
    </row>
    <row r="24" spans="1:7">
      <c r="A24" s="694"/>
      <c r="B24" s="694"/>
      <c r="C24" s="694"/>
      <c r="D24" s="694"/>
      <c r="E24" s="694"/>
      <c r="F24" s="707" t="s">
        <v>2915</v>
      </c>
      <c r="G24" s="696" t="s">
        <v>2916</v>
      </c>
    </row>
    <row r="25" spans="1:7">
      <c r="A25" s="694"/>
      <c r="B25" s="694"/>
      <c r="C25" s="694"/>
      <c r="D25" s="694"/>
      <c r="E25" s="694"/>
      <c r="F25" s="708" t="s">
        <v>2917</v>
      </c>
      <c r="G25" s="698" t="s">
        <v>2918</v>
      </c>
    </row>
    <row r="26" spans="1:7">
      <c r="A26" s="694"/>
      <c r="B26" s="694"/>
      <c r="C26" s="694"/>
      <c r="D26" s="694"/>
      <c r="E26" s="694"/>
      <c r="F26" s="709" t="s">
        <v>2919</v>
      </c>
      <c r="G26" s="700" t="s">
        <v>2920</v>
      </c>
    </row>
    <row r="27" spans="1:7">
      <c r="A27" s="694"/>
      <c r="B27" s="694"/>
      <c r="C27" s="694"/>
      <c r="D27" s="694"/>
      <c r="E27" s="694"/>
      <c r="F27" s="694"/>
      <c r="G27" s="694"/>
    </row>
  </sheetData>
  <mergeCells count="29">
    <mergeCell ref="A19:A21"/>
    <mergeCell ref="D19:D21"/>
    <mergeCell ref="E19:E21"/>
    <mergeCell ref="F19:G21"/>
    <mergeCell ref="A22:D22"/>
    <mergeCell ref="A13:A15"/>
    <mergeCell ref="D13:D15"/>
    <mergeCell ref="E13:E15"/>
    <mergeCell ref="F13:G15"/>
    <mergeCell ref="A16:A18"/>
    <mergeCell ref="D16:D18"/>
    <mergeCell ref="E16:E18"/>
    <mergeCell ref="F16:G18"/>
    <mergeCell ref="A7:A9"/>
    <mergeCell ref="D7:D9"/>
    <mergeCell ref="E7:E9"/>
    <mergeCell ref="F7:G9"/>
    <mergeCell ref="A10:A12"/>
    <mergeCell ref="D10:D12"/>
    <mergeCell ref="E10:E12"/>
    <mergeCell ref="F10:G12"/>
    <mergeCell ref="A1:G1"/>
    <mergeCell ref="A2:G2"/>
    <mergeCell ref="B3:C3"/>
    <mergeCell ref="F3:G3"/>
    <mergeCell ref="A4:A6"/>
    <mergeCell ref="D4:D6"/>
    <mergeCell ref="E4:E6"/>
    <mergeCell ref="F4:G6"/>
  </mergeCells>
  <dataValidations count="1">
    <dataValidation type="list" allowBlank="1" showInputMessage="1" showErrorMessage="1" sqref="D4:D21" xr:uid="{CBD863F8-6DAF-45A8-895F-8952ED7E1036}">
      <formula1>$I$3:$L$3</formula1>
    </dataValidation>
  </dataValidation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6"/>
  <dimension ref="A1:C24"/>
  <sheetViews>
    <sheetView showGridLines="0" zoomScale="115" zoomScaleNormal="115" zoomScaleSheetLayoutView="100" workbookViewId="0">
      <selection sqref="A1:C1"/>
    </sheetView>
  </sheetViews>
  <sheetFormatPr defaultColWidth="9.109375" defaultRowHeight="13.8"/>
  <cols>
    <col min="1" max="1" width="7.88671875" style="620" customWidth="1"/>
    <col min="2" max="2" width="30.6640625" style="119" customWidth="1"/>
    <col min="3" max="3" width="100.6640625" style="606" customWidth="1"/>
    <col min="4" max="16384" width="9.109375" style="608"/>
  </cols>
  <sheetData>
    <row r="1" spans="1:3" ht="33" customHeight="1">
      <c r="A1" s="803" t="s">
        <v>2434</v>
      </c>
      <c r="B1" s="804"/>
      <c r="C1" s="805"/>
    </row>
    <row r="2" spans="1:3" s="25" customFormat="1" ht="48" customHeight="1">
      <c r="A2" s="670" t="s">
        <v>385</v>
      </c>
      <c r="B2" s="182" t="s">
        <v>844</v>
      </c>
      <c r="C2" s="671" t="s">
        <v>1070</v>
      </c>
    </row>
    <row r="3" spans="1:3" s="599" customFormat="1" ht="55.2">
      <c r="A3" s="177">
        <v>25.1</v>
      </c>
      <c r="B3" s="466" t="s">
        <v>758</v>
      </c>
      <c r="C3" s="301" t="s">
        <v>3097</v>
      </c>
    </row>
    <row r="4" spans="1:3" s="599" customFormat="1" ht="55.2">
      <c r="A4" s="409" t="s">
        <v>3098</v>
      </c>
      <c r="B4" s="150" t="s">
        <v>3099</v>
      </c>
      <c r="C4" s="149" t="s">
        <v>3100</v>
      </c>
    </row>
    <row r="5" spans="1:3" s="599" customFormat="1" ht="96.6">
      <c r="A5" s="409" t="s">
        <v>2387</v>
      </c>
      <c r="B5" s="150" t="s">
        <v>3101</v>
      </c>
      <c r="C5" s="149" t="s">
        <v>3215</v>
      </c>
    </row>
    <row r="6" spans="1:3" s="599" customFormat="1" ht="96.6">
      <c r="A6" s="409" t="s">
        <v>2390</v>
      </c>
      <c r="B6" s="150" t="s">
        <v>3216</v>
      </c>
      <c r="C6" s="149" t="s">
        <v>3102</v>
      </c>
    </row>
    <row r="7" spans="1:3" s="599" customFormat="1" ht="96.6">
      <c r="A7" s="409" t="s">
        <v>2386</v>
      </c>
      <c r="B7" s="150" t="s">
        <v>3094</v>
      </c>
      <c r="C7" s="149" t="s">
        <v>3095</v>
      </c>
    </row>
    <row r="8" spans="1:3" s="599" customFormat="1" ht="151.80000000000001">
      <c r="A8" s="409" t="s">
        <v>3103</v>
      </c>
      <c r="B8" s="150" t="s">
        <v>2388</v>
      </c>
      <c r="C8" s="149" t="s">
        <v>3104</v>
      </c>
    </row>
    <row r="9" spans="1:3" s="599" customFormat="1" ht="110.4">
      <c r="A9" s="409" t="s">
        <v>3105</v>
      </c>
      <c r="B9" s="150" t="s">
        <v>2389</v>
      </c>
      <c r="C9" s="149" t="s">
        <v>3106</v>
      </c>
    </row>
    <row r="10" spans="1:3" s="599" customFormat="1" ht="151.80000000000001">
      <c r="A10" s="409" t="s">
        <v>3107</v>
      </c>
      <c r="B10" s="150" t="s">
        <v>2391</v>
      </c>
      <c r="C10" s="149" t="s">
        <v>3108</v>
      </c>
    </row>
    <row r="11" spans="1:3" s="599" customFormat="1" ht="124.2">
      <c r="A11" s="409" t="s">
        <v>3109</v>
      </c>
      <c r="B11" s="150" t="s">
        <v>2392</v>
      </c>
      <c r="C11" s="149" t="s">
        <v>3110</v>
      </c>
    </row>
    <row r="12" spans="1:3" s="599" customFormat="1" ht="96.6">
      <c r="A12" s="409" t="s">
        <v>2395</v>
      </c>
      <c r="B12" s="150" t="s">
        <v>2393</v>
      </c>
      <c r="C12" s="149" t="s">
        <v>3111</v>
      </c>
    </row>
    <row r="13" spans="1:3" s="599" customFormat="1" ht="69">
      <c r="A13" s="409" t="s">
        <v>3112</v>
      </c>
      <c r="B13" s="150" t="s">
        <v>2394</v>
      </c>
      <c r="C13" s="149" t="s">
        <v>3113</v>
      </c>
    </row>
    <row r="14" spans="1:3" s="599" customFormat="1" ht="84.6" customHeight="1">
      <c r="A14" s="409" t="s">
        <v>3114</v>
      </c>
      <c r="B14" s="150" t="s">
        <v>2723</v>
      </c>
      <c r="C14" s="149" t="s">
        <v>3115</v>
      </c>
    </row>
    <row r="15" spans="1:3" s="599" customFormat="1" ht="69">
      <c r="A15" s="409" t="s">
        <v>1406</v>
      </c>
      <c r="B15" s="150" t="s">
        <v>2523</v>
      </c>
      <c r="C15" s="149" t="s">
        <v>3116</v>
      </c>
    </row>
    <row r="16" spans="1:3" s="599" customFormat="1" ht="41.4">
      <c r="A16" s="409" t="s">
        <v>1407</v>
      </c>
      <c r="B16" s="150" t="s">
        <v>3117</v>
      </c>
      <c r="C16" s="149" t="s">
        <v>2946</v>
      </c>
    </row>
    <row r="17" spans="1:3" s="599" customFormat="1" ht="56.4" customHeight="1">
      <c r="A17" s="409" t="s">
        <v>1408</v>
      </c>
      <c r="B17" s="150" t="s">
        <v>2409</v>
      </c>
      <c r="C17" s="149" t="s">
        <v>2921</v>
      </c>
    </row>
    <row r="18" spans="1:3" s="599" customFormat="1" ht="15.6" customHeight="1">
      <c r="A18" s="1013" t="s">
        <v>2405</v>
      </c>
      <c r="B18" s="850"/>
      <c r="C18" s="581"/>
    </row>
    <row r="19" spans="1:3" s="599" customFormat="1" ht="27.6">
      <c r="A19" s="657" t="s">
        <v>1409</v>
      </c>
      <c r="B19" s="150" t="s">
        <v>1339</v>
      </c>
      <c r="C19" s="149" t="s">
        <v>3118</v>
      </c>
    </row>
    <row r="20" spans="1:3" s="599" customFormat="1">
      <c r="A20" s="657" t="s">
        <v>2009</v>
      </c>
      <c r="B20" s="150" t="s">
        <v>912</v>
      </c>
      <c r="C20" s="149" t="s">
        <v>3119</v>
      </c>
    </row>
    <row r="21" spans="1:3" s="599" customFormat="1" ht="69">
      <c r="A21" s="657" t="s">
        <v>2385</v>
      </c>
      <c r="B21" s="150" t="s">
        <v>3120</v>
      </c>
      <c r="C21" s="149" t="s">
        <v>3121</v>
      </c>
    </row>
    <row r="22" spans="1:3" s="599" customFormat="1" ht="55.2">
      <c r="A22" s="657" t="s">
        <v>2577</v>
      </c>
      <c r="B22" s="285" t="s">
        <v>1509</v>
      </c>
      <c r="C22" s="149" t="s">
        <v>3122</v>
      </c>
    </row>
    <row r="23" spans="1:3" s="599" customFormat="1" ht="15.6" customHeight="1">
      <c r="A23" s="870" t="s">
        <v>2406</v>
      </c>
      <c r="B23" s="871"/>
      <c r="C23" s="581"/>
    </row>
    <row r="24" spans="1:3" ht="55.8" thickBot="1">
      <c r="A24" s="488" t="s">
        <v>3123</v>
      </c>
      <c r="B24" s="482" t="s">
        <v>384</v>
      </c>
      <c r="C24" s="485" t="s">
        <v>3096</v>
      </c>
    </row>
  </sheetData>
  <customSheetViews>
    <customSheetView guid="{4FEDB3BD-111A-4B7D-AA97-E67173A5F707}" showPageBreaks="1" showGridLines="0" printArea="1" hiddenColumns="1" view="pageBreakPreview" showRuler="0" topLeftCell="A12">
      <selection activeCell="I14" sqref="I14"/>
      <rowBreaks count="3" manualBreakCount="3">
        <brk id="5" max="16383" man="1"/>
        <brk id="10" max="8" man="1"/>
        <brk id="22" max="8" man="1"/>
      </rowBreaks>
      <pageMargins left="0.5" right="0.5" top="1" bottom="1" header="0.5" footer="0.5"/>
      <printOptions horizontalCentered="1"/>
      <pageSetup scale="94" orientation="landscape" r:id="rId1"/>
      <headerFooter alignWithMargins="0">
        <oddHeader>&amp;C&amp;"Arial,Bold"&amp;12&amp;UProject Activity 25: Landscape Architecture Analysis</oddHeader>
        <oddFooter>Page &amp;P of &amp;N</oddFooter>
      </headerFooter>
    </customSheetView>
    <customSheetView guid="{D5FFA8DD-F2DB-47F2-B4D2-3681726B2E8F}" showPageBreaks="1" showGridLines="0" printArea="1" hiddenColumns="1" view="pageBreakPreview" showRuler="0" topLeftCell="A19">
      <selection activeCell="C3" sqref="C3:P3"/>
      <rowBreaks count="3" manualBreakCount="3">
        <brk id="5" max="16383" man="1"/>
        <brk id="10" max="8" man="1"/>
        <brk id="21" max="8" man="1"/>
      </rowBreaks>
      <pageMargins left="0.5" right="0.5" top="1" bottom="1" header="0.5" footer="0.5"/>
      <printOptions horizontalCentered="1"/>
      <pageSetup scale="97" orientation="landscape" r:id="rId2"/>
      <headerFooter alignWithMargins="0">
        <oddHeader>&amp;C&amp;"Arial,Bold"&amp;12&amp;UProject Activity 25: Landscape Architecture Analysis</oddHeader>
        <oddFooter>Page &amp;P of &amp;N</oddFooter>
      </headerFooter>
    </customSheetView>
    <customSheetView guid="{EFE02F7B-3837-4B0F-9646-ADE249504E9F}" showPageBreaks="1" showGridLines="0" printArea="1" hiddenColumns="1" view="pageBreakPreview" showRuler="0" topLeftCell="A13">
      <selection activeCell="I14" sqref="I14"/>
      <rowBreaks count="3" manualBreakCount="3">
        <brk id="5" max="16383" man="1"/>
        <brk id="10" max="8" man="1"/>
        <brk id="21" max="8" man="1"/>
      </rowBreaks>
      <pageMargins left="0.5" right="0.5" top="1" bottom="1" header="0.5" footer="0.5"/>
      <printOptions horizontalCentered="1"/>
      <pageSetup scale="97" orientation="landscape" r:id="rId3"/>
      <headerFooter alignWithMargins="0">
        <oddHeader>&amp;C&amp;"Arial,Bold"&amp;12&amp;UProject Activity 25: Landscape Architecture Analysis</oddHeader>
        <oddFooter>Page &amp;P of &amp;N</oddFooter>
      </headerFooter>
    </customSheetView>
    <customSheetView guid="{053BE130-58A3-4F3B-945A-C2EFB15C6264}" showPageBreaks="1" showGridLines="0" printArea="1" hiddenColumns="1" view="pageBreakPreview" showRuler="0">
      <selection activeCell="H3" sqref="H3"/>
      <rowBreaks count="2" manualBreakCount="2">
        <brk id="5" max="16383" man="1"/>
        <brk id="10" max="8" man="1"/>
      </rowBreaks>
      <pageMargins left="0.5" right="0.5" top="1" bottom="1" header="0.5" footer="0.5"/>
      <printOptions horizontalCentered="1"/>
      <pageSetup scale="97" orientation="landscape" r:id="rId4"/>
      <headerFooter alignWithMargins="0">
        <oddHeader>&amp;C&amp;"Arial,Bold"&amp;12&amp;UProject Activity 25: Landscape Architecture Analysis</oddHeader>
        <oddFooter>Page &amp;P of &amp;N</oddFooter>
      </headerFooter>
    </customSheetView>
    <customSheetView guid="{F5DBE5B9-A9E4-4030-888B-08F930ECBB74}" showPageBreaks="1" showGridLines="0" printArea="1" hiddenColumns="1" view="pageBreakPreview" showRuler="0" topLeftCell="A13">
      <selection activeCell="I14" sqref="I14"/>
      <rowBreaks count="3" manualBreakCount="3">
        <brk id="5" max="16383" man="1"/>
        <brk id="10" max="8" man="1"/>
        <brk id="21" max="8" man="1"/>
      </rowBreaks>
      <pageMargins left="0.5" right="0.5" top="1" bottom="1" header="0.5" footer="0.5"/>
      <printOptions horizontalCentered="1"/>
      <pageSetup scale="97" orientation="landscape" r:id="rId5"/>
      <headerFooter alignWithMargins="0">
        <oddHeader>&amp;C&amp;"Arial,Bold"&amp;12&amp;UProject Activity 25: Landscape Architecture Analysis</oddHeader>
        <oddFooter>Page &amp;P of &amp;N</oddFooter>
      </headerFooter>
    </customSheetView>
    <customSheetView guid="{960FB4AF-B150-4523-972C-3F7C93F049F3}" showPageBreaks="1" showGridLines="0" printArea="1" hiddenColumns="1" view="pageBreakPreview" showRuler="0" topLeftCell="A12">
      <selection activeCell="I14" sqref="I14"/>
      <rowBreaks count="2" manualBreakCount="2">
        <brk id="5" max="16383" man="1"/>
        <brk id="10" max="8" man="1"/>
      </rowBreaks>
      <pageMargins left="0.5" right="0.5" top="1" bottom="1" header="0.5" footer="0.5"/>
      <printOptions horizontalCentered="1"/>
      <pageSetup scale="94" orientation="landscape" r:id="rId6"/>
      <headerFooter alignWithMargins="0">
        <oddHeader>&amp;C&amp;"Arial,Bold"&amp;12&amp;UProject Activity 25: Landscape Architecture Analysis</oddHeader>
        <oddFooter>Page &amp;P of &amp;N</oddFooter>
      </headerFooter>
    </customSheetView>
    <customSheetView guid="{DF3BD4C9-2986-4236-8E90-D96736404377}" showPageBreaks="1" showGridLines="0" printArea="1" hiddenColumns="1" view="pageBreakPreview" showRuler="0" topLeftCell="A12">
      <selection activeCell="I14" sqref="I14"/>
      <rowBreaks count="2" manualBreakCount="2">
        <brk id="5" max="16383" man="1"/>
        <brk id="10" max="8" man="1"/>
      </rowBreaks>
      <pageMargins left="0.5" right="0.5" top="1" bottom="1" header="0.5" footer="0.5"/>
      <printOptions horizontalCentered="1"/>
      <pageSetup scale="94" orientation="landscape" r:id="rId7"/>
      <headerFooter alignWithMargins="0">
        <oddHeader>&amp;C&amp;"Arial,Bold"&amp;12&amp;UProject Activity 25: Landscape Architecture Analysis</oddHeader>
        <oddFooter>Page &amp;P of &amp;N</oddFooter>
      </headerFooter>
    </customSheetView>
  </customSheetViews>
  <mergeCells count="3">
    <mergeCell ref="A23:B23"/>
    <mergeCell ref="A1:C1"/>
    <mergeCell ref="A18:B18"/>
  </mergeCells>
  <phoneticPr fontId="0" type="noConversion"/>
  <printOptions horizontalCentered="1" verticalCentered="1"/>
  <pageMargins left="0.75" right="0.75" top="1" bottom="1" header="0.5" footer="0.5"/>
  <pageSetup scale="50" orientation="landscape" r:id="rId8"/>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37"/>
  <dimension ref="A1:C16"/>
  <sheetViews>
    <sheetView showGridLines="0" zoomScale="145" zoomScaleNormal="145" zoomScaleSheetLayoutView="100" workbookViewId="0">
      <selection sqref="A1:C1"/>
    </sheetView>
  </sheetViews>
  <sheetFormatPr defaultColWidth="9.109375" defaultRowHeight="13.2"/>
  <cols>
    <col min="1" max="1" width="7.109375" style="621" customWidth="1"/>
    <col min="2" max="2" width="31.33203125" style="119" customWidth="1"/>
    <col min="3" max="3" width="100.6640625" style="608" customWidth="1"/>
    <col min="4" max="16384" width="9.109375" style="608"/>
  </cols>
  <sheetData>
    <row r="1" spans="1:3" ht="33" customHeight="1">
      <c r="A1" s="803" t="s">
        <v>2435</v>
      </c>
      <c r="B1" s="804"/>
      <c r="C1" s="805"/>
    </row>
    <row r="2" spans="1:3" s="599" customFormat="1" ht="48" customHeight="1">
      <c r="A2" s="223" t="s">
        <v>385</v>
      </c>
      <c r="B2" s="182" t="s">
        <v>844</v>
      </c>
      <c r="C2" s="224" t="s">
        <v>1070</v>
      </c>
    </row>
    <row r="3" spans="1:3" ht="27.6">
      <c r="A3" s="185">
        <v>26.1</v>
      </c>
      <c r="B3" s="186" t="s">
        <v>2635</v>
      </c>
      <c r="C3" s="301" t="s">
        <v>2794</v>
      </c>
    </row>
    <row r="4" spans="1:3" ht="13.8">
      <c r="A4" s="183">
        <v>26.2</v>
      </c>
      <c r="B4" s="154" t="s">
        <v>2571</v>
      </c>
      <c r="C4" s="149" t="s">
        <v>2724</v>
      </c>
    </row>
    <row r="5" spans="1:3" ht="41.4">
      <c r="A5" s="183">
        <v>26.3</v>
      </c>
      <c r="B5" s="154" t="s">
        <v>1286</v>
      </c>
      <c r="C5" s="655" t="s">
        <v>2927</v>
      </c>
    </row>
    <row r="6" spans="1:3" ht="41.4">
      <c r="A6" s="183">
        <v>26.4</v>
      </c>
      <c r="B6" s="154" t="s">
        <v>2636</v>
      </c>
      <c r="C6" s="149" t="s">
        <v>3124</v>
      </c>
    </row>
    <row r="7" spans="1:3" ht="55.2">
      <c r="A7" s="183">
        <v>26.5</v>
      </c>
      <c r="B7" s="154" t="s">
        <v>2637</v>
      </c>
      <c r="C7" s="149" t="s">
        <v>3125</v>
      </c>
    </row>
    <row r="8" spans="1:3" ht="41.4">
      <c r="A8" s="183">
        <v>26.6</v>
      </c>
      <c r="B8" s="154" t="s">
        <v>2731</v>
      </c>
      <c r="C8" s="149" t="s">
        <v>2926</v>
      </c>
    </row>
    <row r="9" spans="1:3" ht="41.4">
      <c r="A9" s="183">
        <v>26.7</v>
      </c>
      <c r="B9" s="154" t="s">
        <v>2638</v>
      </c>
      <c r="C9" s="149" t="s">
        <v>3126</v>
      </c>
    </row>
    <row r="10" spans="1:3" ht="55.2">
      <c r="A10" s="183">
        <v>26.8</v>
      </c>
      <c r="B10" s="154" t="s">
        <v>2639</v>
      </c>
      <c r="C10" s="149" t="s">
        <v>3127</v>
      </c>
    </row>
    <row r="11" spans="1:3" ht="69">
      <c r="A11" s="656">
        <v>26.9</v>
      </c>
      <c r="B11" s="154" t="s">
        <v>2732</v>
      </c>
      <c r="C11" s="149" t="s">
        <v>2925</v>
      </c>
    </row>
    <row r="12" spans="1:3" s="54" customFormat="1" ht="55.2">
      <c r="A12" s="184">
        <v>26.1</v>
      </c>
      <c r="B12" s="154" t="s">
        <v>2733</v>
      </c>
      <c r="C12" s="149" t="s">
        <v>2924</v>
      </c>
    </row>
    <row r="13" spans="1:3" s="54" customFormat="1" ht="69">
      <c r="A13" s="650">
        <v>26.111999999999998</v>
      </c>
      <c r="B13" s="600" t="s">
        <v>1675</v>
      </c>
      <c r="C13" s="601" t="s">
        <v>3128</v>
      </c>
    </row>
    <row r="14" spans="1:3" ht="30" customHeight="1">
      <c r="A14" s="877" t="s">
        <v>2407</v>
      </c>
      <c r="B14" s="878"/>
      <c r="C14" s="264"/>
    </row>
    <row r="15" spans="1:3" ht="27.6">
      <c r="A15" s="184">
        <v>26.12</v>
      </c>
      <c r="B15" s="154" t="s">
        <v>1339</v>
      </c>
      <c r="C15" s="149" t="s">
        <v>2923</v>
      </c>
    </row>
    <row r="16" spans="1:3" ht="28.2" thickBot="1">
      <c r="A16" s="531">
        <v>26.13</v>
      </c>
      <c r="B16" s="536" t="s">
        <v>912</v>
      </c>
      <c r="C16" s="485" t="s">
        <v>2922</v>
      </c>
    </row>
  </sheetData>
  <customSheetViews>
    <customSheetView guid="{4FEDB3BD-111A-4B7D-AA97-E67173A5F707}" showPageBreaks="1" showGridLines="0" fitToPage="1" printArea="1" hiddenColumns="1" view="pageBreakPreview" showRuler="0" topLeftCell="A11">
      <selection activeCell="K16" sqref="K16"/>
      <pageMargins left="0.5" right="0.5" top="1" bottom="1" header="0.5" footer="0.5"/>
      <printOptions horizontalCentered="1"/>
      <pageSetup fitToHeight="0" orientation="landscape" r:id="rId1"/>
      <headerFooter alignWithMargins="0">
        <oddHeader>&amp;C&amp;"Arial,Bold"&amp;12&amp;UProject Activity 26: Landscape Architecture Plans</oddHeader>
        <oddFooter>Page &amp;P of &amp;N</oddFooter>
      </headerFooter>
    </customSheetView>
    <customSheetView guid="{D5FFA8DD-F2DB-47F2-B4D2-3681726B2E8F}" showPageBreaks="1" showGridLines="0" fitToPage="1" printArea="1" hiddenColumns="1" view="pageBreakPreview" showRuler="0" topLeftCell="A13">
      <selection activeCell="C3" sqref="C3:P3"/>
      <pageMargins left="0.5" right="0.5" top="1" bottom="1" header="0.5" footer="0.5"/>
      <printOptions horizontalCentered="1"/>
      <pageSetup fitToHeight="0" orientation="landscape" r:id="rId2"/>
      <headerFooter alignWithMargins="0">
        <oddHeader>&amp;C&amp;"Arial,Bold"&amp;12&amp;UProject Activity 26: Landscape Architecture Plans</oddHeader>
        <oddFooter>Page &amp;P of &amp;N</oddFooter>
      </headerFooter>
    </customSheetView>
    <customSheetView guid="{EFE02F7B-3837-4B0F-9646-ADE249504E9F}" showPageBreaks="1" showGridLines="0" fitToPage="1" printArea="1" hiddenColumns="1" view="pageBreakPreview" showRuler="0" topLeftCell="A6">
      <selection activeCell="K16" sqref="K16"/>
      <pageMargins left="0.5" right="0.5" top="1" bottom="1" header="0.5" footer="0.5"/>
      <printOptions horizontalCentered="1"/>
      <pageSetup fitToHeight="0" orientation="landscape" r:id="rId3"/>
      <headerFooter alignWithMargins="0">
        <oddHeader>&amp;C&amp;"Arial,Bold"&amp;12&amp;UProject Activity 26: Landscape Architecture Plans</oddHeader>
        <oddFooter>Page &amp;P of &amp;N</oddFooter>
      </headerFooter>
    </customSheetView>
    <customSheetView guid="{053BE130-58A3-4F3B-945A-C2EFB15C6264}" showPageBreaks="1" showGridLines="0" fitToPage="1" printArea="1" hiddenColumns="1" view="pageBreakPreview" showRuler="0" topLeftCell="A11">
      <selection activeCell="K16" sqref="K16"/>
      <pageMargins left="0.5" right="0.5" top="1" bottom="1" header="0.5" footer="0.5"/>
      <printOptions horizontalCentered="1"/>
      <pageSetup fitToHeight="0" orientation="landscape" r:id="rId4"/>
      <headerFooter alignWithMargins="0">
        <oddHeader>&amp;C&amp;"Arial,Bold"&amp;12&amp;UProject Activity 26: Landscape Architecture Plans</oddHeader>
        <oddFooter>Page &amp;P of &amp;N</oddFooter>
      </headerFooter>
    </customSheetView>
    <customSheetView guid="{F5DBE5B9-A9E4-4030-888B-08F930ECBB74}" showPageBreaks="1" showGridLines="0" fitToPage="1" printArea="1" hiddenColumns="1" view="pageBreakPreview" showRuler="0" topLeftCell="A6">
      <selection activeCell="K16" sqref="K16"/>
      <pageMargins left="0.5" right="0.5" top="1" bottom="1" header="0.5" footer="0.5"/>
      <printOptions horizontalCentered="1"/>
      <pageSetup fitToHeight="0" orientation="landscape" r:id="rId5"/>
      <headerFooter alignWithMargins="0">
        <oddHeader>&amp;C&amp;"Arial,Bold"&amp;12&amp;UProject Activity 26: Landscape Architecture Plans</oddHeader>
        <oddFooter>Page &amp;P of &amp;N</oddFooter>
      </headerFooter>
    </customSheetView>
    <customSheetView guid="{960FB4AF-B150-4523-972C-3F7C93F049F3}" showPageBreaks="1" showGridLines="0" fitToPage="1" printArea="1" hiddenColumns="1" view="pageBreakPreview" showRuler="0" topLeftCell="A11">
      <selection activeCell="K16" sqref="K16"/>
      <pageMargins left="0.5" right="0.5" top="1" bottom="1" header="0.5" footer="0.5"/>
      <printOptions horizontalCentered="1"/>
      <pageSetup fitToHeight="0" orientation="landscape" r:id="rId6"/>
      <headerFooter alignWithMargins="0">
        <oddHeader>&amp;C&amp;"Arial,Bold"&amp;12&amp;UProject Activity 26: Landscape Architecture Plans</oddHeader>
        <oddFooter>Page &amp;P of &amp;N</oddFooter>
      </headerFooter>
    </customSheetView>
    <customSheetView guid="{DF3BD4C9-2986-4236-8E90-D96736404377}" showPageBreaks="1" showGridLines="0" fitToPage="1" printArea="1" hiddenColumns="1" view="pageBreakPreview" showRuler="0" topLeftCell="A11">
      <selection activeCell="K16" sqref="K16"/>
      <pageMargins left="0.5" right="0.5" top="1" bottom="1" header="0.5" footer="0.5"/>
      <printOptions horizontalCentered="1"/>
      <pageSetup fitToHeight="0" orientation="landscape" r:id="rId7"/>
      <headerFooter alignWithMargins="0">
        <oddHeader>&amp;C&amp;"Arial,Bold"&amp;12&amp;UProject Activity 26: Landscape Architecture Plans</oddHeader>
        <oddFooter>Page &amp;P of &amp;N</oddFooter>
      </headerFooter>
    </customSheetView>
  </customSheetViews>
  <mergeCells count="2">
    <mergeCell ref="A14:B14"/>
    <mergeCell ref="A1:C1"/>
  </mergeCells>
  <phoneticPr fontId="0" type="noConversion"/>
  <printOptions horizontalCentered="1" verticalCentered="1"/>
  <pageMargins left="0.75" right="0.75" top="1" bottom="1" header="0.5" footer="0.5"/>
  <pageSetup scale="56" fitToHeight="0" orientation="landscape" r:id="rId8"/>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81"/>
  <dimension ref="A1:N47"/>
  <sheetViews>
    <sheetView showGridLines="0" view="pageBreakPreview" zoomScaleNormal="100" zoomScaleSheetLayoutView="100" workbookViewId="0"/>
  </sheetViews>
  <sheetFormatPr defaultColWidth="9.109375" defaultRowHeight="13.2"/>
  <cols>
    <col min="1" max="1" width="118.33203125" style="119" customWidth="1"/>
    <col min="2" max="2" width="118.33203125" style="452" customWidth="1"/>
    <col min="3" max="16384" width="9.109375" style="88"/>
  </cols>
  <sheetData>
    <row r="1" spans="1:14" ht="26.4">
      <c r="A1" s="139" t="s">
        <v>3186</v>
      </c>
    </row>
    <row r="2" spans="1:14" ht="13.8" thickBot="1">
      <c r="N2" s="88" t="s">
        <v>596</v>
      </c>
    </row>
    <row r="3" spans="1:14" ht="26.4">
      <c r="A3" s="571" t="s">
        <v>2122</v>
      </c>
    </row>
    <row r="4" spans="1:14">
      <c r="A4" s="572"/>
    </row>
    <row r="5" spans="1:14" ht="39.6">
      <c r="A5" s="572" t="s">
        <v>2125</v>
      </c>
    </row>
    <row r="6" spans="1:14">
      <c r="A6" s="572"/>
    </row>
    <row r="7" spans="1:14" ht="79.2">
      <c r="A7" s="572" t="s">
        <v>2201</v>
      </c>
      <c r="B7" s="119"/>
    </row>
    <row r="8" spans="1:14">
      <c r="A8" s="572"/>
    </row>
    <row r="9" spans="1:14" ht="39.6">
      <c r="A9" s="572" t="s">
        <v>1054</v>
      </c>
      <c r="B9" s="448"/>
    </row>
    <row r="10" spans="1:14">
      <c r="A10" s="572"/>
    </row>
    <row r="11" spans="1:14">
      <c r="A11" s="598" t="s">
        <v>3187</v>
      </c>
    </row>
    <row r="12" spans="1:14">
      <c r="A12" s="572"/>
    </row>
    <row r="13" spans="1:14" ht="14.4">
      <c r="A13" s="572" t="s">
        <v>649</v>
      </c>
      <c r="B13" s="453"/>
    </row>
    <row r="14" spans="1:14" s="455" customFormat="1">
      <c r="A14" s="572"/>
      <c r="B14" s="454"/>
    </row>
    <row r="15" spans="1:14" ht="14.4">
      <c r="A15" s="572" t="s">
        <v>891</v>
      </c>
      <c r="B15" s="456"/>
    </row>
    <row r="16" spans="1:14" ht="14.4">
      <c r="A16" s="572" t="s">
        <v>1168</v>
      </c>
      <c r="B16" s="456"/>
    </row>
    <row r="17" spans="1:2" ht="14.4">
      <c r="A17" s="572" t="s">
        <v>1169</v>
      </c>
      <c r="B17" s="456"/>
    </row>
    <row r="18" spans="1:2" ht="14.4">
      <c r="A18" s="572" t="s">
        <v>1170</v>
      </c>
      <c r="B18" s="456"/>
    </row>
    <row r="19" spans="1:2" ht="14.4">
      <c r="A19" s="572" t="s">
        <v>1171</v>
      </c>
      <c r="B19" s="456"/>
    </row>
    <row r="20" spans="1:2">
      <c r="A20" s="572"/>
    </row>
    <row r="21" spans="1:2" ht="14.4">
      <c r="A21" s="572" t="s">
        <v>650</v>
      </c>
      <c r="B21" s="456"/>
    </row>
    <row r="22" spans="1:2">
      <c r="A22" s="572"/>
    </row>
    <row r="23" spans="1:2" ht="14.4">
      <c r="A23" s="572" t="s">
        <v>1567</v>
      </c>
      <c r="B23" s="457"/>
    </row>
    <row r="24" spans="1:2" ht="14.4">
      <c r="A24" s="572" t="s">
        <v>1568</v>
      </c>
      <c r="B24" s="457"/>
    </row>
    <row r="25" spans="1:2" ht="14.4">
      <c r="A25" s="572" t="s">
        <v>1160</v>
      </c>
      <c r="B25" s="457"/>
    </row>
    <row r="26" spans="1:2" ht="14.4">
      <c r="A26" s="572" t="s">
        <v>1161</v>
      </c>
      <c r="B26" s="457"/>
    </row>
    <row r="27" spans="1:2" ht="14.4">
      <c r="A27" s="572" t="s">
        <v>2188</v>
      </c>
      <c r="B27" s="457"/>
    </row>
    <row r="28" spans="1:2" ht="26.4">
      <c r="A28" s="572" t="s">
        <v>2189</v>
      </c>
      <c r="B28" s="457"/>
    </row>
    <row r="29" spans="1:2" ht="26.4">
      <c r="A29" s="572" t="s">
        <v>2123</v>
      </c>
      <c r="B29" s="457"/>
    </row>
    <row r="30" spans="1:2" ht="14.4">
      <c r="A30" s="572" t="s">
        <v>2190</v>
      </c>
      <c r="B30" s="457"/>
    </row>
    <row r="31" spans="1:2" ht="14.4">
      <c r="A31" s="572" t="s">
        <v>2124</v>
      </c>
      <c r="B31" s="457"/>
    </row>
    <row r="32" spans="1:2" ht="26.4">
      <c r="A32" s="572" t="s">
        <v>2191</v>
      </c>
      <c r="B32" s="457"/>
    </row>
    <row r="33" spans="1:2">
      <c r="A33" s="572"/>
    </row>
    <row r="34" spans="1:2" ht="14.4">
      <c r="A34" s="572" t="s">
        <v>790</v>
      </c>
      <c r="B34" s="458"/>
    </row>
    <row r="35" spans="1:2">
      <c r="A35" s="572"/>
      <c r="B35" s="88"/>
    </row>
    <row r="36" spans="1:2" ht="26.4">
      <c r="A36" s="572" t="s">
        <v>2192</v>
      </c>
      <c r="B36" s="459"/>
    </row>
    <row r="37" spans="1:2" ht="26.4">
      <c r="A37" s="572" t="s">
        <v>2193</v>
      </c>
      <c r="B37" s="459"/>
    </row>
    <row r="38" spans="1:2" ht="26.4">
      <c r="A38" s="572" t="s">
        <v>2194</v>
      </c>
      <c r="B38" s="459"/>
    </row>
    <row r="39" spans="1:2" ht="26.4">
      <c r="A39" s="572" t="s">
        <v>2195</v>
      </c>
      <c r="B39" s="459"/>
    </row>
    <row r="40" spans="1:2" ht="26.4">
      <c r="A40" s="572" t="s">
        <v>2196</v>
      </c>
      <c r="B40" s="459"/>
    </row>
    <row r="41" spans="1:2" ht="26.4">
      <c r="A41" s="572" t="s">
        <v>2197</v>
      </c>
      <c r="B41" s="459"/>
    </row>
    <row r="42" spans="1:2">
      <c r="A42" s="572"/>
    </row>
    <row r="43" spans="1:2" ht="15" thickBot="1">
      <c r="A43" s="573" t="s">
        <v>1520</v>
      </c>
      <c r="B43" s="458"/>
    </row>
    <row r="44" spans="1:2">
      <c r="A44" s="571"/>
      <c r="B44" s="88"/>
    </row>
    <row r="45" spans="1:2" ht="26.4">
      <c r="A45" s="572" t="s">
        <v>2198</v>
      </c>
      <c r="B45" s="459"/>
    </row>
    <row r="46" spans="1:2" ht="14.4">
      <c r="A46" s="572" t="s">
        <v>2199</v>
      </c>
      <c r="B46" s="459"/>
    </row>
    <row r="47" spans="1:2" ht="26.4">
      <c r="A47" s="572" t="s">
        <v>2200</v>
      </c>
      <c r="B47" s="459"/>
    </row>
  </sheetData>
  <customSheetViews>
    <customSheetView guid="{4FEDB3BD-111A-4B7D-AA97-E67173A5F707}" showPageBreaks="1" printArea="1" view="pageBreakPreview" showRuler="0" topLeftCell="A16">
      <selection activeCell="A49" sqref="A1:A49"/>
      <rowBreaks count="1" manualBreakCount="1">
        <brk id="17" man="1"/>
      </rowBreaks>
      <pageMargins left="0.75" right="0.75" top="1" bottom="1" header="0.5" footer="0.5"/>
      <pageSetup orientation="landscape" r:id="rId1"/>
      <headerFooter alignWithMargins="0">
        <oddFooter>&amp;CPage &amp;P of &amp;N</oddFooter>
      </headerFooter>
    </customSheetView>
    <customSheetView guid="{D5FFA8DD-F2DB-47F2-B4D2-3681726B2E8F}" showPageBreaks="1" showRuler="0">
      <selection activeCell="C3" sqref="C3:P3"/>
      <rowBreaks count="2" manualBreakCount="2">
        <brk id="25" max="16383" man="1"/>
        <brk id="62" max="16383" man="1"/>
      </rowBreaks>
      <pageMargins left="0.75" right="0.75" top="1" bottom="1" header="0.5" footer="0.5"/>
      <pageSetup orientation="landscape" r:id="rId2"/>
      <headerFooter alignWithMargins="0">
        <oddFooter>&amp;CPage &amp;P of &amp;N</oddFooter>
      </headerFooter>
    </customSheetView>
    <customSheetView guid="{EFE02F7B-3837-4B0F-9646-ADE249504E9F}" showRuler="0">
      <selection activeCell="A21" sqref="A21"/>
      <rowBreaks count="1" manualBreakCount="1">
        <brk id="25" max="16383" man="1"/>
      </rowBreaks>
      <pageMargins left="0.75" right="0.75" top="1" bottom="1" header="0.5" footer="0.5"/>
      <pageSetup orientation="landscape" r:id="rId3"/>
      <headerFooter alignWithMargins="0">
        <oddFooter>&amp;CPage &amp;P of &amp;N</oddFooter>
      </headerFooter>
    </customSheetView>
    <customSheetView guid="{053BE130-58A3-4F3B-945A-C2EFB15C6264}" showRuler="0">
      <selection activeCell="A21" sqref="A21"/>
      <rowBreaks count="1" manualBreakCount="1">
        <brk id="25" max="16383" man="1"/>
      </rowBreaks>
      <pageMargins left="0.75" right="0.75" top="1" bottom="1" header="0.5" footer="0.5"/>
      <pageSetup orientation="landscape" r:id="rId4"/>
      <headerFooter alignWithMargins="0">
        <oddFooter>&amp;CPage &amp;P of &amp;N</oddFooter>
      </headerFooter>
    </customSheetView>
    <customSheetView guid="{F5DBE5B9-A9E4-4030-888B-08F930ECBB74}" showPageBreaks="1" showRuler="0">
      <selection activeCell="A21" sqref="A21"/>
      <rowBreaks count="1" manualBreakCount="1">
        <brk id="25" max="16383" man="1"/>
      </rowBreaks>
      <pageMargins left="0.75" right="0.75" top="1" bottom="1" header="0.5" footer="0.5"/>
      <pageSetup orientation="landscape" r:id="rId5"/>
      <headerFooter alignWithMargins="0">
        <oddFooter>&amp;CPage &amp;P of &amp;N</oddFooter>
      </headerFooter>
    </customSheetView>
    <customSheetView guid="{960FB4AF-B150-4523-972C-3F7C93F049F3}" showPageBreaks="1" printArea="1" view="pageBreakPreview" showRuler="0" topLeftCell="A16">
      <selection activeCell="A49" sqref="A1:A49"/>
      <rowBreaks count="1" manualBreakCount="1">
        <brk id="17" man="1"/>
      </rowBreaks>
      <pageMargins left="0.75" right="0.75" top="1" bottom="1" header="0.5" footer="0.5"/>
      <pageSetup orientation="landscape" r:id="rId6"/>
      <headerFooter alignWithMargins="0">
        <oddFooter>&amp;CPage &amp;P of &amp;N</oddFooter>
      </headerFooter>
    </customSheetView>
    <customSheetView guid="{DF3BD4C9-2986-4236-8E90-D96736404377}" showPageBreaks="1" printArea="1" view="pageBreakPreview" showRuler="0" topLeftCell="A16">
      <selection activeCell="A42" sqref="A42"/>
      <rowBreaks count="1" manualBreakCount="1">
        <brk id="17" man="1"/>
      </rowBreaks>
      <pageMargins left="0.75" right="0.75" top="1" bottom="1" header="0.5" footer="0.5"/>
      <pageSetup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scale="90" orientation="landscape" r:id="rId8"/>
  <headerFooter alignWithMargins="0"/>
  <rowBreaks count="2" manualBreakCount="2">
    <brk id="20" man="1"/>
    <brk id="47" man="1"/>
  </rowBreak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391"/>
  <dimension ref="A1:E652"/>
  <sheetViews>
    <sheetView showGridLines="0" zoomScaleNormal="100" zoomScaleSheetLayoutView="100" workbookViewId="0">
      <selection sqref="A1:E1"/>
    </sheetView>
  </sheetViews>
  <sheetFormatPr defaultColWidth="9.109375" defaultRowHeight="13.2"/>
  <cols>
    <col min="1" max="1" width="6.6640625" style="172" customWidth="1"/>
    <col min="2" max="2" width="31.33203125" style="607" customWidth="1"/>
    <col min="3" max="3" width="11.5546875" style="172" bestFit="1" customWidth="1"/>
    <col min="4" max="4" width="19.5546875" style="627" customWidth="1"/>
    <col min="5" max="5" width="100.6640625" style="627" customWidth="1"/>
    <col min="6" max="16384" width="9.109375" style="172"/>
  </cols>
  <sheetData>
    <row r="1" spans="1:5" s="607" customFormat="1" ht="33" customHeight="1">
      <c r="A1" s="803" t="s">
        <v>770</v>
      </c>
      <c r="B1" s="804"/>
      <c r="C1" s="804"/>
      <c r="D1" s="804"/>
      <c r="E1" s="805"/>
    </row>
    <row r="2" spans="1:5" ht="48" customHeight="1">
      <c r="A2" s="286" t="s">
        <v>385</v>
      </c>
      <c r="B2" s="265" t="s">
        <v>844</v>
      </c>
      <c r="C2" s="265" t="s">
        <v>984</v>
      </c>
      <c r="D2" s="162" t="s">
        <v>1069</v>
      </c>
      <c r="E2" s="287" t="s">
        <v>1070</v>
      </c>
    </row>
    <row r="3" spans="1:5" ht="27.6" customHeight="1">
      <c r="A3" s="1050">
        <v>27.1</v>
      </c>
      <c r="B3" s="150" t="s">
        <v>1467</v>
      </c>
      <c r="C3" s="151" t="s">
        <v>1336</v>
      </c>
      <c r="D3" s="266" t="s">
        <v>1349</v>
      </c>
      <c r="E3" s="1028" t="s">
        <v>2436</v>
      </c>
    </row>
    <row r="4" spans="1:5" ht="20.100000000000001" customHeight="1">
      <c r="A4" s="1051"/>
      <c r="B4" s="150" t="s">
        <v>1444</v>
      </c>
      <c r="C4" s="151"/>
      <c r="D4" s="266" t="s">
        <v>1350</v>
      </c>
      <c r="E4" s="1028"/>
    </row>
    <row r="5" spans="1:5" ht="20.100000000000001" customHeight="1">
      <c r="A5" s="1051"/>
      <c r="B5" s="150" t="s">
        <v>1446</v>
      </c>
      <c r="C5" s="151"/>
      <c r="D5" s="266" t="s">
        <v>1351</v>
      </c>
      <c r="E5" s="1028"/>
    </row>
    <row r="6" spans="1:5" ht="20.100000000000001" customHeight="1" thickBot="1">
      <c r="A6" s="1052"/>
      <c r="B6" s="614" t="s">
        <v>1447</v>
      </c>
      <c r="C6" s="469"/>
      <c r="D6" s="289"/>
      <c r="E6" s="1029"/>
    </row>
    <row r="7" spans="1:5" ht="28.2" customHeight="1" thickTop="1">
      <c r="A7" s="1047">
        <v>27.2</v>
      </c>
      <c r="B7" s="150" t="s">
        <v>1778</v>
      </c>
      <c r="C7" s="151" t="s">
        <v>1336</v>
      </c>
      <c r="D7" s="266" t="s">
        <v>1349</v>
      </c>
      <c r="E7" s="1028" t="s">
        <v>1779</v>
      </c>
    </row>
    <row r="8" spans="1:5" ht="20.100000000000001" customHeight="1">
      <c r="A8" s="1048"/>
      <c r="B8" s="150" t="s">
        <v>1444</v>
      </c>
      <c r="C8" s="151"/>
      <c r="D8" s="281" t="s">
        <v>895</v>
      </c>
      <c r="E8" s="1053"/>
    </row>
    <row r="9" spans="1:5" ht="20.100000000000001" customHeight="1">
      <c r="A9" s="1048"/>
      <c r="B9" s="150" t="s">
        <v>1446</v>
      </c>
      <c r="C9" s="151"/>
      <c r="D9" s="281" t="s">
        <v>896</v>
      </c>
      <c r="E9" s="1053"/>
    </row>
    <row r="10" spans="1:5" ht="20.100000000000001" customHeight="1" thickBot="1">
      <c r="A10" s="1049"/>
      <c r="B10" s="614" t="s">
        <v>1447</v>
      </c>
      <c r="C10" s="469"/>
      <c r="D10" s="288"/>
      <c r="E10" s="1054"/>
    </row>
    <row r="11" spans="1:5" ht="24.9" customHeight="1" thickTop="1">
      <c r="A11" s="1030">
        <v>27.3</v>
      </c>
      <c r="B11" s="865" t="s">
        <v>1448</v>
      </c>
      <c r="C11" s="1015" t="s">
        <v>1336</v>
      </c>
      <c r="D11" s="266" t="s">
        <v>661</v>
      </c>
      <c r="E11" s="1028" t="s">
        <v>897</v>
      </c>
    </row>
    <row r="12" spans="1:5" ht="24.9" customHeight="1">
      <c r="A12" s="1031"/>
      <c r="B12" s="865"/>
      <c r="C12" s="1015"/>
      <c r="D12" s="266" t="s">
        <v>662</v>
      </c>
      <c r="E12" s="1028"/>
    </row>
    <row r="13" spans="1:5" ht="24.9" customHeight="1" thickBot="1">
      <c r="A13" s="1032"/>
      <c r="B13" s="1018"/>
      <c r="C13" s="1016"/>
      <c r="D13" s="289" t="s">
        <v>1351</v>
      </c>
      <c r="E13" s="1029"/>
    </row>
    <row r="14" spans="1:5" ht="28.2" thickTop="1">
      <c r="A14" s="1047">
        <v>27.4</v>
      </c>
      <c r="B14" s="292" t="s">
        <v>1450</v>
      </c>
      <c r="C14" s="293"/>
      <c r="D14" s="622" t="s">
        <v>1349</v>
      </c>
      <c r="E14" s="1044" t="s">
        <v>558</v>
      </c>
    </row>
    <row r="15" spans="1:5" ht="28.5" customHeight="1">
      <c r="A15" s="1048"/>
      <c r="B15" s="150" t="s">
        <v>1444</v>
      </c>
      <c r="C15" s="151" t="s">
        <v>1008</v>
      </c>
      <c r="D15" s="266" t="s">
        <v>1468</v>
      </c>
      <c r="E15" s="1028"/>
    </row>
    <row r="16" spans="1:5" ht="28.5" customHeight="1">
      <c r="A16" s="1048"/>
      <c r="B16" s="150" t="s">
        <v>1446</v>
      </c>
      <c r="C16" s="151" t="s">
        <v>1008</v>
      </c>
      <c r="D16" s="266" t="s">
        <v>1469</v>
      </c>
      <c r="E16" s="1028"/>
    </row>
    <row r="17" spans="1:5" ht="28.5" customHeight="1" thickBot="1">
      <c r="A17" s="1049"/>
      <c r="B17" s="614" t="s">
        <v>1447</v>
      </c>
      <c r="C17" s="469" t="s">
        <v>1008</v>
      </c>
      <c r="D17" s="289" t="s">
        <v>899</v>
      </c>
      <c r="E17" s="1029"/>
    </row>
    <row r="18" spans="1:5" ht="15" customHeight="1" thickTop="1">
      <c r="A18" s="1047">
        <v>27.5</v>
      </c>
      <c r="B18" s="291" t="s">
        <v>761</v>
      </c>
      <c r="C18" s="148"/>
      <c r="D18" s="609" t="s">
        <v>1471</v>
      </c>
      <c r="E18" s="1027" t="s">
        <v>1093</v>
      </c>
    </row>
    <row r="19" spans="1:5" ht="15" customHeight="1">
      <c r="A19" s="1048"/>
      <c r="B19" s="290" t="s">
        <v>1470</v>
      </c>
      <c r="C19" s="151"/>
      <c r="D19" s="266"/>
      <c r="E19" s="1028"/>
    </row>
    <row r="20" spans="1:5" ht="15" customHeight="1">
      <c r="A20" s="1048"/>
      <c r="B20" s="150" t="s">
        <v>1444</v>
      </c>
      <c r="C20" s="151" t="s">
        <v>1008</v>
      </c>
      <c r="D20" s="266" t="s">
        <v>898</v>
      </c>
      <c r="E20" s="1028"/>
    </row>
    <row r="21" spans="1:5" ht="15" customHeight="1">
      <c r="A21" s="1048"/>
      <c r="B21" s="150" t="s">
        <v>1446</v>
      </c>
      <c r="C21" s="151" t="s">
        <v>1008</v>
      </c>
      <c r="D21" s="266" t="s">
        <v>395</v>
      </c>
      <c r="E21" s="1028"/>
    </row>
    <row r="22" spans="1:5" ht="15" customHeight="1">
      <c r="A22" s="1048"/>
      <c r="B22" s="150" t="s">
        <v>1447</v>
      </c>
      <c r="C22" s="151" t="s">
        <v>1008</v>
      </c>
      <c r="D22" s="266"/>
      <c r="E22" s="1028"/>
    </row>
    <row r="23" spans="1:5" ht="9.9" customHeight="1">
      <c r="A23" s="1048"/>
      <c r="B23" s="150"/>
      <c r="C23" s="151"/>
      <c r="D23" s="266"/>
      <c r="E23" s="267"/>
    </row>
    <row r="24" spans="1:5" ht="15" customHeight="1">
      <c r="A24" s="1048"/>
      <c r="B24" s="290" t="s">
        <v>761</v>
      </c>
      <c r="C24" s="151"/>
      <c r="D24" s="266" t="s">
        <v>663</v>
      </c>
      <c r="E24" s="1028" t="s">
        <v>1775</v>
      </c>
    </row>
    <row r="25" spans="1:5" ht="15" customHeight="1">
      <c r="A25" s="1048"/>
      <c r="B25" s="290" t="s">
        <v>1776</v>
      </c>
      <c r="C25" s="151"/>
      <c r="D25" s="266"/>
      <c r="E25" s="1028"/>
    </row>
    <row r="26" spans="1:5" ht="15" customHeight="1">
      <c r="A26" s="1048"/>
      <c r="B26" s="150" t="s">
        <v>1444</v>
      </c>
      <c r="C26" s="151" t="s">
        <v>1008</v>
      </c>
      <c r="D26" s="266" t="s">
        <v>898</v>
      </c>
      <c r="E26" s="1028"/>
    </row>
    <row r="27" spans="1:5" ht="15" customHeight="1">
      <c r="A27" s="1048"/>
      <c r="B27" s="150" t="s">
        <v>1446</v>
      </c>
      <c r="C27" s="151" t="s">
        <v>1008</v>
      </c>
      <c r="D27" s="266" t="s">
        <v>395</v>
      </c>
      <c r="E27" s="1028"/>
    </row>
    <row r="28" spans="1:5" ht="15" customHeight="1" thickBot="1">
      <c r="A28" s="1049"/>
      <c r="B28" s="614" t="s">
        <v>1447</v>
      </c>
      <c r="C28" s="469" t="s">
        <v>1008</v>
      </c>
      <c r="D28" s="289"/>
      <c r="E28" s="1029"/>
    </row>
    <row r="29" spans="1:5" ht="24.9" customHeight="1" thickTop="1">
      <c r="A29" s="1005">
        <v>27.6</v>
      </c>
      <c r="B29" s="1023" t="s">
        <v>213</v>
      </c>
      <c r="C29" s="1026" t="s">
        <v>1336</v>
      </c>
      <c r="D29" s="609" t="s">
        <v>398</v>
      </c>
      <c r="E29" s="1027" t="s">
        <v>554</v>
      </c>
    </row>
    <row r="30" spans="1:5" ht="24.9" customHeight="1">
      <c r="A30" s="1030"/>
      <c r="B30" s="1034"/>
      <c r="C30" s="1036"/>
      <c r="D30" s="266" t="s">
        <v>898</v>
      </c>
      <c r="E30" s="1028"/>
    </row>
    <row r="31" spans="1:5" ht="24.9" customHeight="1" thickBot="1">
      <c r="A31" s="1033"/>
      <c r="B31" s="1035"/>
      <c r="C31" s="1037"/>
      <c r="D31" s="289" t="s">
        <v>1351</v>
      </c>
      <c r="E31" s="1029"/>
    </row>
    <row r="32" spans="1:5" ht="15" customHeight="1" thickTop="1">
      <c r="A32" s="1005">
        <v>27.7</v>
      </c>
      <c r="B32" s="1023" t="s">
        <v>1094</v>
      </c>
      <c r="C32" s="1026" t="s">
        <v>1336</v>
      </c>
      <c r="D32" s="609" t="s">
        <v>396</v>
      </c>
      <c r="E32" s="1027" t="s">
        <v>1095</v>
      </c>
    </row>
    <row r="33" spans="1:5" ht="15" customHeight="1">
      <c r="A33" s="1030"/>
      <c r="B33" s="865"/>
      <c r="C33" s="1015"/>
      <c r="D33" s="266" t="s">
        <v>898</v>
      </c>
      <c r="E33" s="1028"/>
    </row>
    <row r="34" spans="1:5" ht="15" customHeight="1" thickBot="1">
      <c r="A34" s="1033"/>
      <c r="B34" s="1018"/>
      <c r="C34" s="1016"/>
      <c r="D34" s="289" t="s">
        <v>397</v>
      </c>
      <c r="E34" s="1029"/>
    </row>
    <row r="35" spans="1:5" ht="15" customHeight="1" thickTop="1">
      <c r="A35" s="1005">
        <v>27.8</v>
      </c>
      <c r="B35" s="1038" t="s">
        <v>764</v>
      </c>
      <c r="C35" s="1026" t="s">
        <v>1336</v>
      </c>
      <c r="D35" s="609" t="s">
        <v>394</v>
      </c>
      <c r="E35" s="1027" t="s">
        <v>1096</v>
      </c>
    </row>
    <row r="36" spans="1:5" ht="15" customHeight="1">
      <c r="A36" s="1030"/>
      <c r="B36" s="865"/>
      <c r="C36" s="1015"/>
      <c r="D36" s="266" t="s">
        <v>898</v>
      </c>
      <c r="E36" s="1028"/>
    </row>
    <row r="37" spans="1:5" ht="15" customHeight="1" thickBot="1">
      <c r="A37" s="1033"/>
      <c r="B37" s="1018"/>
      <c r="C37" s="1016"/>
      <c r="D37" s="289" t="s">
        <v>388</v>
      </c>
      <c r="E37" s="1029"/>
    </row>
    <row r="38" spans="1:5" ht="20.100000000000001" customHeight="1" thickTop="1">
      <c r="A38" s="611">
        <v>27.9</v>
      </c>
      <c r="B38" s="612" t="s">
        <v>765</v>
      </c>
      <c r="C38" s="470" t="s">
        <v>1336</v>
      </c>
      <c r="D38" s="609"/>
      <c r="E38" s="623" t="s">
        <v>805</v>
      </c>
    </row>
    <row r="39" spans="1:5" ht="15" customHeight="1">
      <c r="A39" s="1039">
        <v>27.1</v>
      </c>
      <c r="B39" s="613" t="s">
        <v>766</v>
      </c>
      <c r="C39" s="299"/>
      <c r="D39" s="266"/>
      <c r="E39" s="1028" t="s">
        <v>2437</v>
      </c>
    </row>
    <row r="40" spans="1:5" ht="15" customHeight="1">
      <c r="A40" s="1040"/>
      <c r="B40" s="150" t="s">
        <v>767</v>
      </c>
      <c r="C40" s="151" t="s">
        <v>1777</v>
      </c>
      <c r="D40" s="266" t="s">
        <v>806</v>
      </c>
      <c r="E40" s="1028"/>
    </row>
    <row r="41" spans="1:5" ht="15" customHeight="1">
      <c r="A41" s="1040"/>
      <c r="B41" s="150"/>
      <c r="C41" s="151"/>
      <c r="D41" s="266" t="s">
        <v>898</v>
      </c>
      <c r="E41" s="1028"/>
    </row>
    <row r="42" spans="1:5" ht="15" customHeight="1">
      <c r="A42" s="1040"/>
      <c r="B42" s="150"/>
      <c r="C42" s="151"/>
      <c r="D42" s="266" t="s">
        <v>397</v>
      </c>
      <c r="E42" s="1028"/>
    </row>
    <row r="43" spans="1:5" ht="27.6">
      <c r="A43" s="1040"/>
      <c r="B43" s="150" t="s">
        <v>769</v>
      </c>
      <c r="C43" s="151" t="s">
        <v>272</v>
      </c>
      <c r="D43" s="266" t="s">
        <v>1349</v>
      </c>
      <c r="E43" s="1028"/>
    </row>
    <row r="44" spans="1:5" ht="15" customHeight="1">
      <c r="A44" s="1040"/>
      <c r="B44" s="150"/>
      <c r="C44" s="151"/>
      <c r="D44" s="266" t="s">
        <v>895</v>
      </c>
      <c r="E44" s="1028" t="s">
        <v>2438</v>
      </c>
    </row>
    <row r="45" spans="1:5" ht="15" customHeight="1">
      <c r="A45" s="1040"/>
      <c r="B45" s="150"/>
      <c r="C45" s="151"/>
      <c r="D45" s="266" t="s">
        <v>807</v>
      </c>
      <c r="E45" s="1028"/>
    </row>
    <row r="46" spans="1:5" ht="27.6">
      <c r="A46" s="1040"/>
      <c r="B46" s="150" t="s">
        <v>770</v>
      </c>
      <c r="C46" s="151" t="s">
        <v>982</v>
      </c>
      <c r="D46" s="266" t="s">
        <v>1349</v>
      </c>
      <c r="E46" s="1028"/>
    </row>
    <row r="47" spans="1:5" ht="15" customHeight="1">
      <c r="A47" s="1040"/>
      <c r="B47" s="150"/>
      <c r="C47" s="151"/>
      <c r="D47" s="266" t="s">
        <v>898</v>
      </c>
      <c r="E47" s="1028"/>
    </row>
    <row r="48" spans="1:5" ht="15" customHeight="1" thickBot="1">
      <c r="A48" s="1041"/>
      <c r="B48" s="614"/>
      <c r="C48" s="469"/>
      <c r="D48" s="289" t="s">
        <v>399</v>
      </c>
      <c r="E48" s="1029"/>
    </row>
    <row r="49" spans="1:5" ht="20.100000000000001" customHeight="1" thickTop="1">
      <c r="A49" s="1022">
        <v>27.11</v>
      </c>
      <c r="B49" s="1023" t="s">
        <v>771</v>
      </c>
      <c r="C49" s="1026" t="s">
        <v>1336</v>
      </c>
      <c r="D49" s="609" t="s">
        <v>808</v>
      </c>
      <c r="E49" s="1027" t="s">
        <v>648</v>
      </c>
    </row>
    <row r="50" spans="1:5" ht="20.100000000000001" customHeight="1">
      <c r="A50" s="1020"/>
      <c r="B50" s="865"/>
      <c r="C50" s="1015"/>
      <c r="D50" s="266" t="s">
        <v>898</v>
      </c>
      <c r="E50" s="1028"/>
    </row>
    <row r="51" spans="1:5" ht="20.100000000000001" customHeight="1" thickBot="1">
      <c r="A51" s="1021"/>
      <c r="B51" s="1018"/>
      <c r="C51" s="1016"/>
      <c r="D51" s="289" t="s">
        <v>399</v>
      </c>
      <c r="E51" s="1029"/>
    </row>
    <row r="52" spans="1:5" ht="33" customHeight="1" thickTop="1">
      <c r="A52" s="1022">
        <v>27.12</v>
      </c>
      <c r="B52" s="1023" t="s">
        <v>772</v>
      </c>
      <c r="C52" s="1026" t="s">
        <v>1008</v>
      </c>
      <c r="D52" s="609" t="s">
        <v>1349</v>
      </c>
      <c r="E52" s="1027" t="s">
        <v>1097</v>
      </c>
    </row>
    <row r="53" spans="1:5" ht="15" customHeight="1">
      <c r="A53" s="1020"/>
      <c r="B53" s="865"/>
      <c r="C53" s="1015"/>
      <c r="D53" s="266" t="s">
        <v>898</v>
      </c>
      <c r="E53" s="1028"/>
    </row>
    <row r="54" spans="1:5" ht="15" customHeight="1" thickBot="1">
      <c r="A54" s="1021"/>
      <c r="B54" s="1018"/>
      <c r="C54" s="1016"/>
      <c r="D54" s="289" t="s">
        <v>841</v>
      </c>
      <c r="E54" s="1029"/>
    </row>
    <row r="55" spans="1:5" ht="24.9" customHeight="1" thickTop="1">
      <c r="A55" s="1022">
        <v>27.13</v>
      </c>
      <c r="B55" s="1023" t="s">
        <v>696</v>
      </c>
      <c r="C55" s="1026" t="s">
        <v>1008</v>
      </c>
      <c r="D55" s="609" t="s">
        <v>394</v>
      </c>
      <c r="E55" s="1027" t="s">
        <v>852</v>
      </c>
    </row>
    <row r="56" spans="1:5" ht="24.9" customHeight="1">
      <c r="A56" s="1020"/>
      <c r="B56" s="865"/>
      <c r="C56" s="1015"/>
      <c r="D56" s="266" t="s">
        <v>898</v>
      </c>
      <c r="E56" s="1028"/>
    </row>
    <row r="57" spans="1:5" ht="24.9" customHeight="1" thickBot="1">
      <c r="A57" s="1021"/>
      <c r="B57" s="1018"/>
      <c r="C57" s="1016"/>
      <c r="D57" s="289" t="s">
        <v>841</v>
      </c>
      <c r="E57" s="1029"/>
    </row>
    <row r="58" spans="1:5" ht="20.100000000000001" customHeight="1" thickTop="1">
      <c r="A58" s="1022">
        <v>27.14</v>
      </c>
      <c r="B58" s="1023" t="s">
        <v>773</v>
      </c>
      <c r="C58" s="1026" t="s">
        <v>1008</v>
      </c>
      <c r="D58" s="609" t="s">
        <v>853</v>
      </c>
      <c r="E58" s="1027" t="s">
        <v>845</v>
      </c>
    </row>
    <row r="59" spans="1:5" ht="20.100000000000001" customHeight="1">
      <c r="A59" s="1020"/>
      <c r="B59" s="865"/>
      <c r="C59" s="1015"/>
      <c r="D59" s="266" t="s">
        <v>898</v>
      </c>
      <c r="E59" s="1028"/>
    </row>
    <row r="60" spans="1:5" ht="20.100000000000001" customHeight="1" thickBot="1">
      <c r="A60" s="1021"/>
      <c r="B60" s="1018"/>
      <c r="C60" s="1016"/>
      <c r="D60" s="289" t="s">
        <v>399</v>
      </c>
      <c r="E60" s="1029"/>
    </row>
    <row r="61" spans="1:5" ht="15" customHeight="1" thickTop="1">
      <c r="A61" s="1022">
        <v>27.15</v>
      </c>
      <c r="B61" s="1023" t="s">
        <v>774</v>
      </c>
      <c r="C61" s="1026" t="s">
        <v>1008</v>
      </c>
      <c r="D61" s="609" t="s">
        <v>1099</v>
      </c>
      <c r="E61" s="1027" t="s">
        <v>1098</v>
      </c>
    </row>
    <row r="62" spans="1:5" ht="15" customHeight="1">
      <c r="A62" s="1020"/>
      <c r="B62" s="865"/>
      <c r="C62" s="1015"/>
      <c r="D62" s="266" t="s">
        <v>898</v>
      </c>
      <c r="E62" s="1028"/>
    </row>
    <row r="63" spans="1:5" ht="15" customHeight="1" thickBot="1">
      <c r="A63" s="1021"/>
      <c r="B63" s="1018"/>
      <c r="C63" s="1016"/>
      <c r="D63" s="289" t="s">
        <v>899</v>
      </c>
      <c r="E63" s="1029"/>
    </row>
    <row r="64" spans="1:5" ht="15" customHeight="1" thickTop="1">
      <c r="A64" s="1022">
        <v>27.16</v>
      </c>
      <c r="B64" s="1023" t="s">
        <v>776</v>
      </c>
      <c r="C64" s="1026" t="s">
        <v>1336</v>
      </c>
      <c r="D64" s="609" t="s">
        <v>394</v>
      </c>
      <c r="E64" s="1027" t="s">
        <v>519</v>
      </c>
    </row>
    <row r="65" spans="1:5" ht="15" customHeight="1">
      <c r="A65" s="1020"/>
      <c r="B65" s="865"/>
      <c r="C65" s="1015"/>
      <c r="D65" s="266" t="s">
        <v>898</v>
      </c>
      <c r="E65" s="1028"/>
    </row>
    <row r="66" spans="1:5" ht="15" customHeight="1" thickBot="1">
      <c r="A66" s="1021"/>
      <c r="B66" s="1018"/>
      <c r="C66" s="1016"/>
      <c r="D66" s="289" t="s">
        <v>399</v>
      </c>
      <c r="E66" s="1029"/>
    </row>
    <row r="67" spans="1:5" ht="15" customHeight="1" thickTop="1">
      <c r="A67" s="1022">
        <v>27.17</v>
      </c>
      <c r="B67" s="1023" t="s">
        <v>777</v>
      </c>
      <c r="C67" s="1026" t="s">
        <v>1336</v>
      </c>
      <c r="D67" s="609" t="s">
        <v>394</v>
      </c>
      <c r="E67" s="1027" t="s">
        <v>521</v>
      </c>
    </row>
    <row r="68" spans="1:5" ht="15" customHeight="1">
      <c r="A68" s="1020"/>
      <c r="B68" s="865"/>
      <c r="C68" s="1015"/>
      <c r="D68" s="266" t="s">
        <v>520</v>
      </c>
      <c r="E68" s="1028"/>
    </row>
    <row r="69" spans="1:5" ht="15" customHeight="1" thickBot="1">
      <c r="A69" s="1021"/>
      <c r="B69" s="1018"/>
      <c r="C69" s="1016"/>
      <c r="D69" s="289" t="s">
        <v>1351</v>
      </c>
      <c r="E69" s="1029"/>
    </row>
    <row r="70" spans="1:5" ht="28.2" customHeight="1" thickTop="1">
      <c r="A70" s="1022">
        <v>27.18</v>
      </c>
      <c r="B70" s="1023" t="s">
        <v>778</v>
      </c>
      <c r="C70" s="1026" t="s">
        <v>1008</v>
      </c>
      <c r="D70" s="609" t="s">
        <v>1349</v>
      </c>
      <c r="E70" s="1027" t="s">
        <v>214</v>
      </c>
    </row>
    <row r="71" spans="1:5" ht="15" customHeight="1">
      <c r="A71" s="1020"/>
      <c r="B71" s="865"/>
      <c r="C71" s="1015"/>
      <c r="D71" s="266" t="s">
        <v>895</v>
      </c>
      <c r="E71" s="1028"/>
    </row>
    <row r="72" spans="1:5" ht="15" customHeight="1" thickBot="1">
      <c r="A72" s="1021"/>
      <c r="B72" s="1018"/>
      <c r="C72" s="1016"/>
      <c r="D72" s="289" t="s">
        <v>397</v>
      </c>
      <c r="E72" s="1029"/>
    </row>
    <row r="73" spans="1:5" ht="20.100000000000001" customHeight="1" thickTop="1">
      <c r="A73" s="1022">
        <v>27.19</v>
      </c>
      <c r="B73" s="1023" t="s">
        <v>779</v>
      </c>
      <c r="C73" s="1045" t="s">
        <v>555</v>
      </c>
      <c r="D73" s="609" t="s">
        <v>806</v>
      </c>
      <c r="E73" s="1027" t="s">
        <v>402</v>
      </c>
    </row>
    <row r="74" spans="1:5" ht="20.100000000000001" customHeight="1">
      <c r="A74" s="1020"/>
      <c r="B74" s="865"/>
      <c r="C74" s="990"/>
      <c r="D74" s="266" t="s">
        <v>662</v>
      </c>
      <c r="E74" s="1028"/>
    </row>
    <row r="75" spans="1:5" ht="20.100000000000001" customHeight="1" thickBot="1">
      <c r="A75" s="1021"/>
      <c r="B75" s="1018"/>
      <c r="C75" s="1046"/>
      <c r="D75" s="289" t="s">
        <v>1351</v>
      </c>
      <c r="E75" s="1029"/>
    </row>
    <row r="76" spans="1:5" ht="30" customHeight="1" thickTop="1">
      <c r="A76" s="1022">
        <v>27.2</v>
      </c>
      <c r="B76" s="1023" t="s">
        <v>781</v>
      </c>
      <c r="C76" s="1026" t="s">
        <v>1306</v>
      </c>
      <c r="D76" s="609" t="s">
        <v>556</v>
      </c>
      <c r="E76" s="1027" t="s">
        <v>692</v>
      </c>
    </row>
    <row r="77" spans="1:5" ht="30" customHeight="1">
      <c r="A77" s="1020"/>
      <c r="B77" s="865"/>
      <c r="C77" s="1015"/>
      <c r="D77" s="266" t="s">
        <v>662</v>
      </c>
      <c r="E77" s="1028"/>
    </row>
    <row r="78" spans="1:5" ht="30" customHeight="1" thickBot="1">
      <c r="A78" s="1021"/>
      <c r="B78" s="1018"/>
      <c r="C78" s="1016"/>
      <c r="D78" s="289" t="s">
        <v>401</v>
      </c>
      <c r="E78" s="1029"/>
    </row>
    <row r="79" spans="1:5" ht="14.4" customHeight="1" thickTop="1">
      <c r="A79" s="1022">
        <v>27.21</v>
      </c>
      <c r="B79" s="1023" t="s">
        <v>782</v>
      </c>
      <c r="C79" s="1026" t="s">
        <v>1336</v>
      </c>
      <c r="D79" s="609" t="s">
        <v>693</v>
      </c>
      <c r="E79" s="1027" t="s">
        <v>695</v>
      </c>
    </row>
    <row r="80" spans="1:5" ht="13.8">
      <c r="A80" s="1020"/>
      <c r="B80" s="865"/>
      <c r="C80" s="1015"/>
      <c r="D80" s="266" t="s">
        <v>662</v>
      </c>
      <c r="E80" s="1028"/>
    </row>
    <row r="81" spans="1:5" ht="14.4" thickBot="1">
      <c r="A81" s="1021"/>
      <c r="B81" s="1018"/>
      <c r="C81" s="1016"/>
      <c r="D81" s="289" t="s">
        <v>399</v>
      </c>
      <c r="E81" s="1029"/>
    </row>
    <row r="82" spans="1:5" ht="17.100000000000001" customHeight="1" thickTop="1">
      <c r="A82" s="1019">
        <v>27.22</v>
      </c>
      <c r="B82" s="1017" t="s">
        <v>783</v>
      </c>
      <c r="C82" s="1014" t="s">
        <v>1008</v>
      </c>
      <c r="D82" s="622" t="s">
        <v>808</v>
      </c>
      <c r="E82" s="1044" t="s">
        <v>2274</v>
      </c>
    </row>
    <row r="83" spans="1:5" ht="17.100000000000001" customHeight="1">
      <c r="A83" s="1020"/>
      <c r="B83" s="865"/>
      <c r="C83" s="1015"/>
      <c r="D83" s="266" t="s">
        <v>662</v>
      </c>
      <c r="E83" s="1028"/>
    </row>
    <row r="84" spans="1:5" ht="17.100000000000001" customHeight="1" thickBot="1">
      <c r="A84" s="1021"/>
      <c r="B84" s="1018"/>
      <c r="C84" s="1016"/>
      <c r="D84" s="289" t="s">
        <v>401</v>
      </c>
      <c r="E84" s="1029"/>
    </row>
    <row r="85" spans="1:5" ht="24.9" customHeight="1" thickTop="1">
      <c r="A85" s="1019">
        <v>27.23</v>
      </c>
      <c r="B85" s="1017" t="s">
        <v>784</v>
      </c>
      <c r="C85" s="1014" t="s">
        <v>1008</v>
      </c>
      <c r="D85" s="622" t="s">
        <v>808</v>
      </c>
      <c r="E85" s="1044" t="s">
        <v>2275</v>
      </c>
    </row>
    <row r="86" spans="1:5" ht="24.9" customHeight="1">
      <c r="A86" s="1020"/>
      <c r="B86" s="865"/>
      <c r="C86" s="1015"/>
      <c r="D86" s="266" t="s">
        <v>662</v>
      </c>
      <c r="E86" s="1028"/>
    </row>
    <row r="87" spans="1:5" ht="24.9" customHeight="1" thickBot="1">
      <c r="A87" s="1021"/>
      <c r="B87" s="1018"/>
      <c r="C87" s="1016"/>
      <c r="D87" s="289" t="s">
        <v>401</v>
      </c>
      <c r="E87" s="1029"/>
    </row>
    <row r="88" spans="1:5" ht="14.4" customHeight="1" thickTop="1">
      <c r="A88" s="1022">
        <v>27.24</v>
      </c>
      <c r="B88" s="1023" t="s">
        <v>697</v>
      </c>
      <c r="C88" s="1026" t="s">
        <v>1003</v>
      </c>
      <c r="D88" s="609" t="s">
        <v>394</v>
      </c>
      <c r="E88" s="1027" t="s">
        <v>250</v>
      </c>
    </row>
    <row r="89" spans="1:5" ht="27.6">
      <c r="A89" s="1020"/>
      <c r="B89" s="1024"/>
      <c r="C89" s="1015"/>
      <c r="D89" s="266" t="s">
        <v>320</v>
      </c>
      <c r="E89" s="1028"/>
    </row>
    <row r="90" spans="1:5" ht="28.2" thickBot="1">
      <c r="A90" s="1021"/>
      <c r="B90" s="1025"/>
      <c r="C90" s="1016"/>
      <c r="D90" s="289" t="s">
        <v>67</v>
      </c>
      <c r="E90" s="1029"/>
    </row>
    <row r="91" spans="1:5" ht="28.2" customHeight="1" thickTop="1">
      <c r="A91" s="1019">
        <v>27.25</v>
      </c>
      <c r="B91" s="1017" t="s">
        <v>785</v>
      </c>
      <c r="C91" s="1014" t="s">
        <v>296</v>
      </c>
      <c r="D91" s="622" t="s">
        <v>1349</v>
      </c>
      <c r="E91" s="1044" t="s">
        <v>251</v>
      </c>
    </row>
    <row r="92" spans="1:5" ht="15" customHeight="1">
      <c r="A92" s="1020"/>
      <c r="B92" s="1024"/>
      <c r="C92" s="1015"/>
      <c r="D92" s="266" t="s">
        <v>694</v>
      </c>
      <c r="E92" s="1028"/>
    </row>
    <row r="93" spans="1:5" ht="15" customHeight="1" thickBot="1">
      <c r="A93" s="1021"/>
      <c r="B93" s="1025"/>
      <c r="C93" s="1016"/>
      <c r="D93" s="289" t="s">
        <v>399</v>
      </c>
      <c r="E93" s="1029"/>
    </row>
    <row r="94" spans="1:5" ht="28.2" thickTop="1">
      <c r="A94" s="295">
        <v>27.26</v>
      </c>
      <c r="B94" s="296" t="s">
        <v>786</v>
      </c>
      <c r="C94" s="470" t="s">
        <v>1336</v>
      </c>
      <c r="D94" s="609" t="s">
        <v>557</v>
      </c>
      <c r="E94" s="624" t="s">
        <v>820</v>
      </c>
    </row>
    <row r="95" spans="1:5" ht="41.4">
      <c r="A95" s="153">
        <v>27.27</v>
      </c>
      <c r="B95" s="613" t="s">
        <v>787</v>
      </c>
      <c r="C95" s="299"/>
      <c r="D95" s="266" t="s">
        <v>1349</v>
      </c>
      <c r="E95" s="267" t="s">
        <v>2339</v>
      </c>
    </row>
    <row r="96" spans="1:5" ht="38.4" customHeight="1">
      <c r="A96" s="153">
        <v>27.28</v>
      </c>
      <c r="B96" s="613" t="s">
        <v>2383</v>
      </c>
      <c r="C96" s="299" t="s">
        <v>982</v>
      </c>
      <c r="D96" s="266" t="s">
        <v>1349</v>
      </c>
      <c r="E96" s="267" t="s">
        <v>2410</v>
      </c>
    </row>
    <row r="97" spans="1:5" ht="82.8" customHeight="1">
      <c r="A97" s="153">
        <v>27.29</v>
      </c>
      <c r="B97" s="613" t="s">
        <v>2384</v>
      </c>
      <c r="C97" s="299" t="s">
        <v>982</v>
      </c>
      <c r="D97" s="266" t="s">
        <v>1349</v>
      </c>
      <c r="E97" s="267" t="s">
        <v>2411</v>
      </c>
    </row>
    <row r="98" spans="1:5" ht="41.4">
      <c r="A98" s="153">
        <v>27.3</v>
      </c>
      <c r="B98" s="613" t="s">
        <v>788</v>
      </c>
      <c r="C98" s="282"/>
      <c r="D98" s="266" t="s">
        <v>821</v>
      </c>
      <c r="E98" s="267" t="s">
        <v>86</v>
      </c>
    </row>
    <row r="99" spans="1:5" ht="20.100000000000001" customHeight="1">
      <c r="A99" s="1042" t="s">
        <v>1110</v>
      </c>
      <c r="B99" s="1043"/>
      <c r="C99" s="1043"/>
      <c r="D99" s="165"/>
      <c r="E99" s="625"/>
    </row>
    <row r="100" spans="1:5" ht="41.4">
      <c r="A100" s="153">
        <v>27.31</v>
      </c>
      <c r="B100" s="613" t="s">
        <v>488</v>
      </c>
      <c r="C100" s="282"/>
      <c r="D100" s="266" t="s">
        <v>821</v>
      </c>
      <c r="E100" s="267" t="s">
        <v>2412</v>
      </c>
    </row>
    <row r="101" spans="1:5" ht="41.4">
      <c r="A101" s="153">
        <v>27.32</v>
      </c>
      <c r="B101" s="613" t="s">
        <v>383</v>
      </c>
      <c r="C101" s="282" t="s">
        <v>984</v>
      </c>
      <c r="D101" s="266" t="s">
        <v>67</v>
      </c>
      <c r="E101" s="267" t="s">
        <v>91</v>
      </c>
    </row>
    <row r="102" spans="1:5" ht="41.4">
      <c r="A102" s="153">
        <v>27.33</v>
      </c>
      <c r="B102" s="284" t="s">
        <v>1509</v>
      </c>
      <c r="C102" s="299" t="s">
        <v>984</v>
      </c>
      <c r="D102" s="266" t="s">
        <v>67</v>
      </c>
      <c r="E102" s="267" t="s">
        <v>2439</v>
      </c>
    </row>
    <row r="103" spans="1:5" ht="27.6">
      <c r="A103" s="153">
        <v>27.34</v>
      </c>
      <c r="B103" s="284" t="s">
        <v>1044</v>
      </c>
      <c r="C103" s="299" t="s">
        <v>982</v>
      </c>
      <c r="D103" s="266" t="s">
        <v>67</v>
      </c>
      <c r="E103" s="267" t="s">
        <v>1655</v>
      </c>
    </row>
    <row r="104" spans="1:5" ht="41.4">
      <c r="A104" s="153">
        <v>27.35</v>
      </c>
      <c r="B104" s="284" t="s">
        <v>1111</v>
      </c>
      <c r="C104" s="299" t="s">
        <v>982</v>
      </c>
      <c r="D104" s="266" t="s">
        <v>67</v>
      </c>
      <c r="E104" s="267" t="s">
        <v>2413</v>
      </c>
    </row>
    <row r="105" spans="1:5" ht="41.4">
      <c r="A105" s="153">
        <v>27.36</v>
      </c>
      <c r="B105" s="284" t="s">
        <v>912</v>
      </c>
      <c r="C105" s="299" t="s">
        <v>982</v>
      </c>
      <c r="D105" s="266" t="s">
        <v>67</v>
      </c>
      <c r="E105" s="267" t="s">
        <v>2415</v>
      </c>
    </row>
    <row r="106" spans="1:5" ht="42" thickBot="1">
      <c r="A106" s="532">
        <v>27.37</v>
      </c>
      <c r="B106" s="537" t="s">
        <v>384</v>
      </c>
      <c r="C106" s="538" t="s">
        <v>982</v>
      </c>
      <c r="D106" s="489" t="s">
        <v>67</v>
      </c>
      <c r="E106" s="497" t="s">
        <v>2414</v>
      </c>
    </row>
    <row r="107" spans="1:5">
      <c r="B107" s="626"/>
    </row>
    <row r="108" spans="1:5">
      <c r="B108" s="626"/>
    </row>
    <row r="109" spans="1:5">
      <c r="B109" s="626"/>
    </row>
    <row r="110" spans="1:5">
      <c r="B110" s="626"/>
    </row>
    <row r="111" spans="1:5">
      <c r="B111" s="626"/>
    </row>
    <row r="112" spans="1:5">
      <c r="B112" s="626"/>
    </row>
    <row r="113" spans="2:2">
      <c r="B113" s="626"/>
    </row>
    <row r="114" spans="2:2">
      <c r="B114" s="626"/>
    </row>
    <row r="115" spans="2:2">
      <c r="B115" s="626"/>
    </row>
    <row r="116" spans="2:2">
      <c r="B116" s="626"/>
    </row>
    <row r="117" spans="2:2">
      <c r="B117" s="626"/>
    </row>
    <row r="118" spans="2:2">
      <c r="B118" s="626"/>
    </row>
    <row r="119" spans="2:2">
      <c r="B119" s="626"/>
    </row>
    <row r="120" spans="2:2">
      <c r="B120" s="626"/>
    </row>
    <row r="121" spans="2:2">
      <c r="B121" s="626"/>
    </row>
    <row r="122" spans="2:2">
      <c r="B122" s="626"/>
    </row>
    <row r="123" spans="2:2">
      <c r="B123" s="626"/>
    </row>
    <row r="124" spans="2:2">
      <c r="B124" s="626"/>
    </row>
    <row r="125" spans="2:2">
      <c r="B125" s="626"/>
    </row>
    <row r="126" spans="2:2">
      <c r="B126" s="626"/>
    </row>
    <row r="127" spans="2:2">
      <c r="B127" s="626"/>
    </row>
    <row r="128" spans="2:2">
      <c r="B128" s="626"/>
    </row>
    <row r="129" spans="2:2">
      <c r="B129" s="626"/>
    </row>
    <row r="130" spans="2:2">
      <c r="B130" s="626"/>
    </row>
    <row r="131" spans="2:2">
      <c r="B131" s="626"/>
    </row>
    <row r="132" spans="2:2">
      <c r="B132" s="626"/>
    </row>
    <row r="133" spans="2:2">
      <c r="B133" s="626"/>
    </row>
    <row r="134" spans="2:2">
      <c r="B134" s="626"/>
    </row>
    <row r="135" spans="2:2">
      <c r="B135" s="626"/>
    </row>
    <row r="136" spans="2:2">
      <c r="B136" s="626"/>
    </row>
    <row r="137" spans="2:2">
      <c r="B137" s="626"/>
    </row>
    <row r="138" spans="2:2">
      <c r="B138" s="626"/>
    </row>
    <row r="139" spans="2:2">
      <c r="B139" s="626"/>
    </row>
    <row r="140" spans="2:2">
      <c r="B140" s="626"/>
    </row>
    <row r="141" spans="2:2">
      <c r="B141" s="626"/>
    </row>
    <row r="142" spans="2:2">
      <c r="B142" s="626"/>
    </row>
    <row r="143" spans="2:2">
      <c r="B143" s="626"/>
    </row>
    <row r="144" spans="2:2">
      <c r="B144" s="626"/>
    </row>
    <row r="145" spans="2:2">
      <c r="B145" s="626"/>
    </row>
    <row r="146" spans="2:2">
      <c r="B146" s="626"/>
    </row>
    <row r="147" spans="2:2">
      <c r="B147" s="626"/>
    </row>
    <row r="148" spans="2:2">
      <c r="B148" s="626"/>
    </row>
    <row r="149" spans="2:2">
      <c r="B149" s="626"/>
    </row>
    <row r="150" spans="2:2">
      <c r="B150" s="626"/>
    </row>
    <row r="151" spans="2:2">
      <c r="B151" s="626"/>
    </row>
    <row r="152" spans="2:2">
      <c r="B152" s="626"/>
    </row>
    <row r="153" spans="2:2">
      <c r="B153" s="626"/>
    </row>
    <row r="154" spans="2:2">
      <c r="B154" s="626"/>
    </row>
    <row r="155" spans="2:2">
      <c r="B155" s="626"/>
    </row>
    <row r="156" spans="2:2">
      <c r="B156" s="626"/>
    </row>
    <row r="157" spans="2:2">
      <c r="B157" s="626"/>
    </row>
    <row r="158" spans="2:2">
      <c r="B158" s="626"/>
    </row>
    <row r="159" spans="2:2">
      <c r="B159" s="626"/>
    </row>
    <row r="160" spans="2:2">
      <c r="B160" s="626"/>
    </row>
    <row r="161" spans="2:2">
      <c r="B161" s="626"/>
    </row>
    <row r="162" spans="2:2">
      <c r="B162" s="626"/>
    </row>
    <row r="163" spans="2:2">
      <c r="B163" s="626"/>
    </row>
    <row r="164" spans="2:2">
      <c r="B164" s="626"/>
    </row>
    <row r="165" spans="2:2">
      <c r="B165" s="626"/>
    </row>
    <row r="166" spans="2:2">
      <c r="B166" s="626"/>
    </row>
    <row r="167" spans="2:2">
      <c r="B167" s="626"/>
    </row>
    <row r="168" spans="2:2">
      <c r="B168" s="626"/>
    </row>
    <row r="169" spans="2:2">
      <c r="B169" s="626"/>
    </row>
    <row r="170" spans="2:2">
      <c r="B170" s="626"/>
    </row>
    <row r="171" spans="2:2">
      <c r="B171" s="626"/>
    </row>
    <row r="172" spans="2:2">
      <c r="B172" s="626"/>
    </row>
    <row r="173" spans="2:2">
      <c r="B173" s="626"/>
    </row>
    <row r="174" spans="2:2">
      <c r="B174" s="626"/>
    </row>
    <row r="175" spans="2:2">
      <c r="B175" s="626"/>
    </row>
    <row r="176" spans="2:2">
      <c r="B176" s="626"/>
    </row>
    <row r="177" spans="2:2">
      <c r="B177" s="626"/>
    </row>
    <row r="178" spans="2:2">
      <c r="B178" s="626"/>
    </row>
    <row r="179" spans="2:2">
      <c r="B179" s="626"/>
    </row>
    <row r="180" spans="2:2">
      <c r="B180" s="626"/>
    </row>
    <row r="181" spans="2:2">
      <c r="B181" s="626"/>
    </row>
    <row r="182" spans="2:2">
      <c r="B182" s="626"/>
    </row>
    <row r="183" spans="2:2">
      <c r="B183" s="626"/>
    </row>
    <row r="184" spans="2:2">
      <c r="B184" s="626"/>
    </row>
    <row r="185" spans="2:2">
      <c r="B185" s="626"/>
    </row>
    <row r="186" spans="2:2">
      <c r="B186" s="626"/>
    </row>
    <row r="187" spans="2:2">
      <c r="B187" s="626"/>
    </row>
    <row r="188" spans="2:2">
      <c r="B188" s="626"/>
    </row>
    <row r="189" spans="2:2">
      <c r="B189" s="626"/>
    </row>
    <row r="190" spans="2:2">
      <c r="B190" s="626"/>
    </row>
    <row r="191" spans="2:2">
      <c r="B191" s="626"/>
    </row>
    <row r="192" spans="2:2">
      <c r="B192" s="626"/>
    </row>
    <row r="193" spans="2:2">
      <c r="B193" s="626"/>
    </row>
    <row r="194" spans="2:2">
      <c r="B194" s="626"/>
    </row>
    <row r="195" spans="2:2">
      <c r="B195" s="626"/>
    </row>
    <row r="196" spans="2:2">
      <c r="B196" s="626"/>
    </row>
    <row r="197" spans="2:2">
      <c r="B197" s="626"/>
    </row>
    <row r="198" spans="2:2">
      <c r="B198" s="626"/>
    </row>
    <row r="199" spans="2:2">
      <c r="B199" s="626"/>
    </row>
    <row r="200" spans="2:2">
      <c r="B200" s="626"/>
    </row>
    <row r="201" spans="2:2">
      <c r="B201" s="626"/>
    </row>
    <row r="202" spans="2:2">
      <c r="B202" s="626"/>
    </row>
    <row r="203" spans="2:2">
      <c r="B203" s="626"/>
    </row>
    <row r="204" spans="2:2">
      <c r="B204" s="626"/>
    </row>
    <row r="205" spans="2:2">
      <c r="B205" s="626"/>
    </row>
    <row r="206" spans="2:2">
      <c r="B206" s="626"/>
    </row>
    <row r="207" spans="2:2">
      <c r="B207" s="626"/>
    </row>
    <row r="208" spans="2:2">
      <c r="B208" s="626"/>
    </row>
    <row r="209" spans="2:2">
      <c r="B209" s="626"/>
    </row>
    <row r="210" spans="2:2">
      <c r="B210" s="626"/>
    </row>
    <row r="211" spans="2:2">
      <c r="B211" s="626"/>
    </row>
    <row r="212" spans="2:2">
      <c r="B212" s="626"/>
    </row>
    <row r="213" spans="2:2">
      <c r="B213" s="626"/>
    </row>
    <row r="214" spans="2:2">
      <c r="B214" s="626"/>
    </row>
    <row r="215" spans="2:2">
      <c r="B215" s="626"/>
    </row>
    <row r="216" spans="2:2">
      <c r="B216" s="626"/>
    </row>
    <row r="217" spans="2:2">
      <c r="B217" s="626"/>
    </row>
    <row r="218" spans="2:2">
      <c r="B218" s="626"/>
    </row>
    <row r="219" spans="2:2">
      <c r="B219" s="626"/>
    </row>
    <row r="220" spans="2:2">
      <c r="B220" s="626"/>
    </row>
    <row r="221" spans="2:2">
      <c r="B221" s="626"/>
    </row>
    <row r="222" spans="2:2">
      <c r="B222" s="626"/>
    </row>
    <row r="223" spans="2:2">
      <c r="B223" s="626"/>
    </row>
    <row r="224" spans="2:2">
      <c r="B224" s="626"/>
    </row>
    <row r="225" spans="2:2">
      <c r="B225" s="626"/>
    </row>
    <row r="226" spans="2:2">
      <c r="B226" s="626"/>
    </row>
    <row r="227" spans="2:2">
      <c r="B227" s="626"/>
    </row>
    <row r="228" spans="2:2">
      <c r="B228" s="626"/>
    </row>
    <row r="229" spans="2:2">
      <c r="B229" s="626"/>
    </row>
    <row r="230" spans="2:2">
      <c r="B230" s="626"/>
    </row>
    <row r="231" spans="2:2">
      <c r="B231" s="626"/>
    </row>
    <row r="232" spans="2:2">
      <c r="B232" s="626"/>
    </row>
    <row r="233" spans="2:2">
      <c r="B233" s="626"/>
    </row>
    <row r="234" spans="2:2">
      <c r="B234" s="626"/>
    </row>
    <row r="235" spans="2:2">
      <c r="B235" s="626"/>
    </row>
    <row r="236" spans="2:2">
      <c r="B236" s="626"/>
    </row>
    <row r="237" spans="2:2">
      <c r="B237" s="626"/>
    </row>
    <row r="238" spans="2:2">
      <c r="B238" s="626"/>
    </row>
    <row r="239" spans="2:2">
      <c r="B239" s="626"/>
    </row>
    <row r="240" spans="2:2">
      <c r="B240" s="626"/>
    </row>
    <row r="241" spans="2:2">
      <c r="B241" s="626"/>
    </row>
    <row r="242" spans="2:2">
      <c r="B242" s="626"/>
    </row>
    <row r="243" spans="2:2">
      <c r="B243" s="626"/>
    </row>
    <row r="244" spans="2:2">
      <c r="B244" s="626"/>
    </row>
    <row r="245" spans="2:2">
      <c r="B245" s="626"/>
    </row>
    <row r="246" spans="2:2">
      <c r="B246" s="626"/>
    </row>
    <row r="247" spans="2:2">
      <c r="B247" s="626"/>
    </row>
    <row r="248" spans="2:2">
      <c r="B248" s="626"/>
    </row>
    <row r="249" spans="2:2">
      <c r="B249" s="626"/>
    </row>
    <row r="250" spans="2:2">
      <c r="B250" s="626"/>
    </row>
    <row r="251" spans="2:2">
      <c r="B251" s="626"/>
    </row>
    <row r="252" spans="2:2">
      <c r="B252" s="626"/>
    </row>
    <row r="253" spans="2:2">
      <c r="B253" s="626"/>
    </row>
    <row r="254" spans="2:2">
      <c r="B254" s="626"/>
    </row>
    <row r="255" spans="2:2">
      <c r="B255" s="626"/>
    </row>
    <row r="256" spans="2:2">
      <c r="B256" s="626"/>
    </row>
    <row r="257" spans="2:2">
      <c r="B257" s="626"/>
    </row>
    <row r="258" spans="2:2">
      <c r="B258" s="626"/>
    </row>
    <row r="259" spans="2:2">
      <c r="B259" s="626"/>
    </row>
    <row r="260" spans="2:2">
      <c r="B260" s="626"/>
    </row>
    <row r="261" spans="2:2">
      <c r="B261" s="626"/>
    </row>
    <row r="262" spans="2:2">
      <c r="B262" s="626"/>
    </row>
    <row r="263" spans="2:2">
      <c r="B263" s="626"/>
    </row>
    <row r="264" spans="2:2">
      <c r="B264" s="626"/>
    </row>
    <row r="265" spans="2:2">
      <c r="B265" s="626"/>
    </row>
    <row r="266" spans="2:2">
      <c r="B266" s="626"/>
    </row>
    <row r="267" spans="2:2">
      <c r="B267" s="626"/>
    </row>
    <row r="268" spans="2:2">
      <c r="B268" s="626"/>
    </row>
    <row r="269" spans="2:2">
      <c r="B269" s="626"/>
    </row>
    <row r="270" spans="2:2">
      <c r="B270" s="626"/>
    </row>
    <row r="271" spans="2:2">
      <c r="B271" s="626"/>
    </row>
    <row r="272" spans="2:2">
      <c r="B272" s="626"/>
    </row>
    <row r="273" spans="2:2">
      <c r="B273" s="626"/>
    </row>
    <row r="274" spans="2:2">
      <c r="B274" s="626"/>
    </row>
    <row r="275" spans="2:2">
      <c r="B275" s="626"/>
    </row>
    <row r="276" spans="2:2">
      <c r="B276" s="626"/>
    </row>
    <row r="277" spans="2:2">
      <c r="B277" s="626"/>
    </row>
    <row r="278" spans="2:2">
      <c r="B278" s="626"/>
    </row>
    <row r="279" spans="2:2">
      <c r="B279" s="626"/>
    </row>
    <row r="280" spans="2:2">
      <c r="B280" s="626"/>
    </row>
    <row r="281" spans="2:2">
      <c r="B281" s="626"/>
    </row>
    <row r="282" spans="2:2">
      <c r="B282" s="626"/>
    </row>
    <row r="283" spans="2:2">
      <c r="B283" s="626"/>
    </row>
    <row r="284" spans="2:2">
      <c r="B284" s="626"/>
    </row>
    <row r="285" spans="2:2">
      <c r="B285" s="626"/>
    </row>
    <row r="286" spans="2:2">
      <c r="B286" s="626"/>
    </row>
    <row r="287" spans="2:2">
      <c r="B287" s="626"/>
    </row>
    <row r="288" spans="2:2">
      <c r="B288" s="626"/>
    </row>
    <row r="289" spans="2:2">
      <c r="B289" s="626"/>
    </row>
    <row r="290" spans="2:2">
      <c r="B290" s="626"/>
    </row>
    <row r="291" spans="2:2">
      <c r="B291" s="626"/>
    </row>
    <row r="292" spans="2:2">
      <c r="B292" s="626"/>
    </row>
    <row r="293" spans="2:2">
      <c r="B293" s="626"/>
    </row>
    <row r="294" spans="2:2">
      <c r="B294" s="626"/>
    </row>
    <row r="295" spans="2:2">
      <c r="B295" s="626"/>
    </row>
    <row r="296" spans="2:2">
      <c r="B296" s="626"/>
    </row>
    <row r="297" spans="2:2">
      <c r="B297" s="626"/>
    </row>
    <row r="298" spans="2:2">
      <c r="B298" s="626"/>
    </row>
    <row r="299" spans="2:2">
      <c r="B299" s="626"/>
    </row>
    <row r="300" spans="2:2">
      <c r="B300" s="626"/>
    </row>
    <row r="301" spans="2:2">
      <c r="B301" s="626"/>
    </row>
    <row r="302" spans="2:2">
      <c r="B302" s="626"/>
    </row>
    <row r="303" spans="2:2">
      <c r="B303" s="626"/>
    </row>
    <row r="304" spans="2:2">
      <c r="B304" s="626"/>
    </row>
    <row r="305" spans="2:2">
      <c r="B305" s="626"/>
    </row>
    <row r="306" spans="2:2">
      <c r="B306" s="626"/>
    </row>
    <row r="307" spans="2:2">
      <c r="B307" s="626"/>
    </row>
    <row r="308" spans="2:2">
      <c r="B308" s="626"/>
    </row>
    <row r="309" spans="2:2">
      <c r="B309" s="626"/>
    </row>
    <row r="310" spans="2:2">
      <c r="B310" s="626"/>
    </row>
    <row r="311" spans="2:2">
      <c r="B311" s="626"/>
    </row>
    <row r="312" spans="2:2">
      <c r="B312" s="626"/>
    </row>
    <row r="313" spans="2:2">
      <c r="B313" s="626"/>
    </row>
    <row r="314" spans="2:2">
      <c r="B314" s="626"/>
    </row>
    <row r="315" spans="2:2">
      <c r="B315" s="626"/>
    </row>
    <row r="316" spans="2:2">
      <c r="B316" s="626"/>
    </row>
    <row r="317" spans="2:2">
      <c r="B317" s="626"/>
    </row>
    <row r="318" spans="2:2">
      <c r="B318" s="626"/>
    </row>
    <row r="319" spans="2:2">
      <c r="B319" s="626"/>
    </row>
    <row r="320" spans="2:2">
      <c r="B320" s="626"/>
    </row>
    <row r="321" spans="2:2">
      <c r="B321" s="626"/>
    </row>
    <row r="322" spans="2:2">
      <c r="B322" s="626"/>
    </row>
    <row r="323" spans="2:2">
      <c r="B323" s="626"/>
    </row>
    <row r="324" spans="2:2">
      <c r="B324" s="626"/>
    </row>
    <row r="325" spans="2:2">
      <c r="B325" s="626"/>
    </row>
    <row r="326" spans="2:2">
      <c r="B326" s="626"/>
    </row>
    <row r="327" spans="2:2">
      <c r="B327" s="626"/>
    </row>
    <row r="328" spans="2:2">
      <c r="B328" s="626"/>
    </row>
    <row r="329" spans="2:2">
      <c r="B329" s="626"/>
    </row>
    <row r="330" spans="2:2">
      <c r="B330" s="626"/>
    </row>
    <row r="331" spans="2:2">
      <c r="B331" s="626"/>
    </row>
    <row r="332" spans="2:2">
      <c r="B332" s="626"/>
    </row>
    <row r="333" spans="2:2">
      <c r="B333" s="626"/>
    </row>
    <row r="334" spans="2:2">
      <c r="B334" s="626"/>
    </row>
    <row r="335" spans="2:2">
      <c r="B335" s="626"/>
    </row>
    <row r="336" spans="2:2">
      <c r="B336" s="626"/>
    </row>
    <row r="337" spans="2:2">
      <c r="B337" s="626"/>
    </row>
    <row r="338" spans="2:2">
      <c r="B338" s="626"/>
    </row>
    <row r="339" spans="2:2">
      <c r="B339" s="626"/>
    </row>
    <row r="340" spans="2:2">
      <c r="B340" s="626"/>
    </row>
    <row r="341" spans="2:2">
      <c r="B341" s="626"/>
    </row>
    <row r="342" spans="2:2">
      <c r="B342" s="626"/>
    </row>
    <row r="343" spans="2:2">
      <c r="B343" s="626"/>
    </row>
    <row r="344" spans="2:2">
      <c r="B344" s="626"/>
    </row>
    <row r="345" spans="2:2">
      <c r="B345" s="626"/>
    </row>
    <row r="346" spans="2:2">
      <c r="B346" s="626"/>
    </row>
    <row r="347" spans="2:2">
      <c r="B347" s="626"/>
    </row>
    <row r="348" spans="2:2">
      <c r="B348" s="626"/>
    </row>
    <row r="349" spans="2:2">
      <c r="B349" s="626"/>
    </row>
    <row r="350" spans="2:2">
      <c r="B350" s="626"/>
    </row>
    <row r="351" spans="2:2">
      <c r="B351" s="626"/>
    </row>
    <row r="352" spans="2:2">
      <c r="B352" s="626"/>
    </row>
    <row r="353" spans="2:2">
      <c r="B353" s="626"/>
    </row>
    <row r="354" spans="2:2">
      <c r="B354" s="626"/>
    </row>
    <row r="355" spans="2:2">
      <c r="B355" s="626"/>
    </row>
    <row r="356" spans="2:2">
      <c r="B356" s="626"/>
    </row>
    <row r="357" spans="2:2">
      <c r="B357" s="626"/>
    </row>
    <row r="358" spans="2:2">
      <c r="B358" s="626"/>
    </row>
    <row r="359" spans="2:2">
      <c r="B359" s="626"/>
    </row>
    <row r="360" spans="2:2">
      <c r="B360" s="626"/>
    </row>
    <row r="361" spans="2:2">
      <c r="B361" s="626"/>
    </row>
    <row r="362" spans="2:2">
      <c r="B362" s="626"/>
    </row>
    <row r="363" spans="2:2">
      <c r="B363" s="626"/>
    </row>
    <row r="364" spans="2:2">
      <c r="B364" s="626"/>
    </row>
    <row r="365" spans="2:2">
      <c r="B365" s="626"/>
    </row>
    <row r="366" spans="2:2">
      <c r="B366" s="626"/>
    </row>
    <row r="367" spans="2:2">
      <c r="B367" s="626"/>
    </row>
    <row r="368" spans="2:2">
      <c r="B368" s="626"/>
    </row>
    <row r="369" spans="2:2">
      <c r="B369" s="626"/>
    </row>
    <row r="370" spans="2:2">
      <c r="B370" s="626"/>
    </row>
    <row r="371" spans="2:2">
      <c r="B371" s="626"/>
    </row>
    <row r="372" spans="2:2">
      <c r="B372" s="626"/>
    </row>
    <row r="373" spans="2:2">
      <c r="B373" s="626"/>
    </row>
    <row r="374" spans="2:2">
      <c r="B374" s="626"/>
    </row>
    <row r="375" spans="2:2">
      <c r="B375" s="626"/>
    </row>
    <row r="376" spans="2:2">
      <c r="B376" s="626"/>
    </row>
    <row r="377" spans="2:2">
      <c r="B377" s="626"/>
    </row>
    <row r="378" spans="2:2">
      <c r="B378" s="626"/>
    </row>
    <row r="379" spans="2:2">
      <c r="B379" s="626"/>
    </row>
    <row r="380" spans="2:2">
      <c r="B380" s="626"/>
    </row>
    <row r="381" spans="2:2">
      <c r="B381" s="626"/>
    </row>
    <row r="382" spans="2:2">
      <c r="B382" s="626"/>
    </row>
    <row r="383" spans="2:2">
      <c r="B383" s="626"/>
    </row>
    <row r="384" spans="2:2">
      <c r="B384" s="626"/>
    </row>
    <row r="385" spans="2:2">
      <c r="B385" s="626"/>
    </row>
    <row r="386" spans="2:2">
      <c r="B386" s="626"/>
    </row>
    <row r="387" spans="2:2">
      <c r="B387" s="626"/>
    </row>
    <row r="388" spans="2:2">
      <c r="B388" s="626"/>
    </row>
    <row r="389" spans="2:2">
      <c r="B389" s="626"/>
    </row>
    <row r="390" spans="2:2">
      <c r="B390" s="626"/>
    </row>
    <row r="391" spans="2:2">
      <c r="B391" s="626"/>
    </row>
    <row r="392" spans="2:2">
      <c r="B392" s="626"/>
    </row>
    <row r="393" spans="2:2">
      <c r="B393" s="626"/>
    </row>
    <row r="394" spans="2:2">
      <c r="B394" s="626"/>
    </row>
    <row r="395" spans="2:2">
      <c r="B395" s="626"/>
    </row>
    <row r="396" spans="2:2">
      <c r="B396" s="626"/>
    </row>
    <row r="397" spans="2:2">
      <c r="B397" s="626"/>
    </row>
    <row r="398" spans="2:2">
      <c r="B398" s="626"/>
    </row>
    <row r="399" spans="2:2">
      <c r="B399" s="626"/>
    </row>
    <row r="400" spans="2:2">
      <c r="B400" s="626"/>
    </row>
    <row r="401" spans="2:2">
      <c r="B401" s="626"/>
    </row>
    <row r="402" spans="2:2">
      <c r="B402" s="626"/>
    </row>
    <row r="403" spans="2:2">
      <c r="B403" s="626"/>
    </row>
    <row r="404" spans="2:2">
      <c r="B404" s="626"/>
    </row>
    <row r="405" spans="2:2">
      <c r="B405" s="626"/>
    </row>
    <row r="406" spans="2:2">
      <c r="B406" s="626"/>
    </row>
    <row r="407" spans="2:2">
      <c r="B407" s="626"/>
    </row>
    <row r="408" spans="2:2">
      <c r="B408" s="626"/>
    </row>
    <row r="409" spans="2:2">
      <c r="B409" s="626"/>
    </row>
    <row r="410" spans="2:2">
      <c r="B410" s="626"/>
    </row>
    <row r="411" spans="2:2">
      <c r="B411" s="626"/>
    </row>
    <row r="412" spans="2:2">
      <c r="B412" s="626"/>
    </row>
    <row r="413" spans="2:2">
      <c r="B413" s="626"/>
    </row>
    <row r="414" spans="2:2">
      <c r="B414" s="626"/>
    </row>
    <row r="415" spans="2:2">
      <c r="B415" s="626"/>
    </row>
    <row r="416" spans="2:2">
      <c r="B416" s="626"/>
    </row>
    <row r="417" spans="2:2">
      <c r="B417" s="626"/>
    </row>
    <row r="418" spans="2:2">
      <c r="B418" s="626"/>
    </row>
    <row r="419" spans="2:2">
      <c r="B419" s="626"/>
    </row>
    <row r="420" spans="2:2">
      <c r="B420" s="626"/>
    </row>
    <row r="421" spans="2:2">
      <c r="B421" s="626"/>
    </row>
    <row r="422" spans="2:2">
      <c r="B422" s="626"/>
    </row>
    <row r="423" spans="2:2">
      <c r="B423" s="626"/>
    </row>
    <row r="424" spans="2:2">
      <c r="B424" s="626"/>
    </row>
    <row r="425" spans="2:2">
      <c r="B425" s="626"/>
    </row>
    <row r="426" spans="2:2">
      <c r="B426" s="626"/>
    </row>
    <row r="427" spans="2:2">
      <c r="B427" s="626"/>
    </row>
    <row r="428" spans="2:2">
      <c r="B428" s="626"/>
    </row>
    <row r="429" spans="2:2">
      <c r="B429" s="626"/>
    </row>
    <row r="430" spans="2:2">
      <c r="B430" s="626"/>
    </row>
    <row r="431" spans="2:2">
      <c r="B431" s="626"/>
    </row>
    <row r="432" spans="2:2">
      <c r="B432" s="626"/>
    </row>
    <row r="433" spans="2:2">
      <c r="B433" s="626"/>
    </row>
    <row r="434" spans="2:2">
      <c r="B434" s="626"/>
    </row>
    <row r="435" spans="2:2">
      <c r="B435" s="626"/>
    </row>
    <row r="436" spans="2:2">
      <c r="B436" s="626"/>
    </row>
    <row r="437" spans="2:2">
      <c r="B437" s="626"/>
    </row>
    <row r="438" spans="2:2">
      <c r="B438" s="626"/>
    </row>
    <row r="439" spans="2:2">
      <c r="B439" s="626"/>
    </row>
    <row r="440" spans="2:2">
      <c r="B440" s="626"/>
    </row>
    <row r="441" spans="2:2">
      <c r="B441" s="626"/>
    </row>
    <row r="442" spans="2:2">
      <c r="B442" s="626"/>
    </row>
    <row r="443" spans="2:2">
      <c r="B443" s="626"/>
    </row>
    <row r="444" spans="2:2">
      <c r="B444" s="626"/>
    </row>
    <row r="445" spans="2:2">
      <c r="B445" s="626"/>
    </row>
    <row r="446" spans="2:2">
      <c r="B446" s="626"/>
    </row>
    <row r="447" spans="2:2">
      <c r="B447" s="626"/>
    </row>
    <row r="448" spans="2:2">
      <c r="B448" s="626"/>
    </row>
    <row r="449" spans="2:2">
      <c r="B449" s="626"/>
    </row>
    <row r="450" spans="2:2">
      <c r="B450" s="626"/>
    </row>
    <row r="451" spans="2:2">
      <c r="B451" s="626"/>
    </row>
    <row r="452" spans="2:2">
      <c r="B452" s="626"/>
    </row>
    <row r="453" spans="2:2">
      <c r="B453" s="626"/>
    </row>
    <row r="454" spans="2:2">
      <c r="B454" s="626"/>
    </row>
    <row r="455" spans="2:2">
      <c r="B455" s="626"/>
    </row>
    <row r="456" spans="2:2">
      <c r="B456" s="626"/>
    </row>
    <row r="457" spans="2:2">
      <c r="B457" s="626"/>
    </row>
    <row r="458" spans="2:2">
      <c r="B458" s="626"/>
    </row>
    <row r="459" spans="2:2">
      <c r="B459" s="626"/>
    </row>
    <row r="460" spans="2:2">
      <c r="B460" s="626"/>
    </row>
    <row r="461" spans="2:2">
      <c r="B461" s="626"/>
    </row>
    <row r="462" spans="2:2">
      <c r="B462" s="626"/>
    </row>
    <row r="463" spans="2:2">
      <c r="B463" s="626"/>
    </row>
    <row r="464" spans="2:2">
      <c r="B464" s="626"/>
    </row>
    <row r="465" spans="2:2">
      <c r="B465" s="626"/>
    </row>
    <row r="466" spans="2:2">
      <c r="B466" s="626"/>
    </row>
    <row r="467" spans="2:2">
      <c r="B467" s="626"/>
    </row>
    <row r="468" spans="2:2">
      <c r="B468" s="626"/>
    </row>
    <row r="469" spans="2:2">
      <c r="B469" s="626"/>
    </row>
    <row r="470" spans="2:2">
      <c r="B470" s="626"/>
    </row>
    <row r="471" spans="2:2">
      <c r="B471" s="626"/>
    </row>
    <row r="472" spans="2:2">
      <c r="B472" s="626"/>
    </row>
    <row r="473" spans="2:2">
      <c r="B473" s="626"/>
    </row>
    <row r="474" spans="2:2">
      <c r="B474" s="626"/>
    </row>
    <row r="475" spans="2:2">
      <c r="B475" s="626"/>
    </row>
    <row r="476" spans="2:2">
      <c r="B476" s="626"/>
    </row>
    <row r="477" spans="2:2">
      <c r="B477" s="626"/>
    </row>
    <row r="478" spans="2:2">
      <c r="B478" s="626"/>
    </row>
    <row r="479" spans="2:2">
      <c r="B479" s="626"/>
    </row>
    <row r="480" spans="2:2">
      <c r="B480" s="626"/>
    </row>
    <row r="481" spans="2:2">
      <c r="B481" s="626"/>
    </row>
    <row r="482" spans="2:2">
      <c r="B482" s="626"/>
    </row>
    <row r="483" spans="2:2">
      <c r="B483" s="626"/>
    </row>
    <row r="484" spans="2:2">
      <c r="B484" s="626"/>
    </row>
    <row r="485" spans="2:2">
      <c r="B485" s="626"/>
    </row>
    <row r="486" spans="2:2">
      <c r="B486" s="626"/>
    </row>
    <row r="487" spans="2:2">
      <c r="B487" s="626"/>
    </row>
    <row r="488" spans="2:2">
      <c r="B488" s="626"/>
    </row>
    <row r="489" spans="2:2">
      <c r="B489" s="626"/>
    </row>
    <row r="490" spans="2:2">
      <c r="B490" s="626"/>
    </row>
    <row r="491" spans="2:2">
      <c r="B491" s="626"/>
    </row>
    <row r="492" spans="2:2">
      <c r="B492" s="626"/>
    </row>
    <row r="493" spans="2:2">
      <c r="B493" s="626"/>
    </row>
    <row r="494" spans="2:2">
      <c r="B494" s="626"/>
    </row>
    <row r="495" spans="2:2">
      <c r="B495" s="626"/>
    </row>
    <row r="496" spans="2:2">
      <c r="B496" s="626"/>
    </row>
    <row r="497" spans="2:2">
      <c r="B497" s="626"/>
    </row>
    <row r="498" spans="2:2">
      <c r="B498" s="626"/>
    </row>
    <row r="499" spans="2:2">
      <c r="B499" s="626"/>
    </row>
    <row r="500" spans="2:2">
      <c r="B500" s="626"/>
    </row>
    <row r="501" spans="2:2">
      <c r="B501" s="626"/>
    </row>
    <row r="502" spans="2:2">
      <c r="B502" s="626"/>
    </row>
    <row r="503" spans="2:2">
      <c r="B503" s="626"/>
    </row>
    <row r="504" spans="2:2">
      <c r="B504" s="626"/>
    </row>
    <row r="505" spans="2:2">
      <c r="B505" s="626"/>
    </row>
    <row r="506" spans="2:2">
      <c r="B506" s="626"/>
    </row>
    <row r="507" spans="2:2">
      <c r="B507" s="626"/>
    </row>
    <row r="508" spans="2:2">
      <c r="B508" s="626"/>
    </row>
    <row r="509" spans="2:2">
      <c r="B509" s="626"/>
    </row>
    <row r="510" spans="2:2">
      <c r="B510" s="626"/>
    </row>
    <row r="511" spans="2:2">
      <c r="B511" s="626"/>
    </row>
    <row r="512" spans="2:2">
      <c r="B512" s="626"/>
    </row>
    <row r="513" spans="2:2">
      <c r="B513" s="626"/>
    </row>
    <row r="514" spans="2:2">
      <c r="B514" s="626"/>
    </row>
    <row r="515" spans="2:2">
      <c r="B515" s="626"/>
    </row>
    <row r="516" spans="2:2">
      <c r="B516" s="626"/>
    </row>
    <row r="517" spans="2:2">
      <c r="B517" s="626"/>
    </row>
    <row r="518" spans="2:2">
      <c r="B518" s="626"/>
    </row>
    <row r="519" spans="2:2">
      <c r="B519" s="626"/>
    </row>
    <row r="520" spans="2:2">
      <c r="B520" s="626"/>
    </row>
    <row r="521" spans="2:2">
      <c r="B521" s="626"/>
    </row>
    <row r="522" spans="2:2">
      <c r="B522" s="626"/>
    </row>
    <row r="523" spans="2:2">
      <c r="B523" s="626"/>
    </row>
    <row r="524" spans="2:2">
      <c r="B524" s="626"/>
    </row>
    <row r="525" spans="2:2">
      <c r="B525" s="626"/>
    </row>
    <row r="526" spans="2:2">
      <c r="B526" s="626"/>
    </row>
    <row r="527" spans="2:2">
      <c r="B527" s="626"/>
    </row>
    <row r="528" spans="2:2">
      <c r="B528" s="626"/>
    </row>
    <row r="529" spans="2:2">
      <c r="B529" s="626"/>
    </row>
    <row r="530" spans="2:2">
      <c r="B530" s="626"/>
    </row>
    <row r="531" spans="2:2">
      <c r="B531" s="626"/>
    </row>
    <row r="532" spans="2:2">
      <c r="B532" s="626"/>
    </row>
    <row r="533" spans="2:2">
      <c r="B533" s="626"/>
    </row>
    <row r="534" spans="2:2">
      <c r="B534" s="626"/>
    </row>
    <row r="535" spans="2:2">
      <c r="B535" s="626"/>
    </row>
    <row r="536" spans="2:2">
      <c r="B536" s="626"/>
    </row>
    <row r="537" spans="2:2">
      <c r="B537" s="626"/>
    </row>
    <row r="538" spans="2:2">
      <c r="B538" s="626"/>
    </row>
    <row r="539" spans="2:2">
      <c r="B539" s="626"/>
    </row>
    <row r="540" spans="2:2">
      <c r="B540" s="626"/>
    </row>
    <row r="541" spans="2:2">
      <c r="B541" s="626"/>
    </row>
    <row r="542" spans="2:2">
      <c r="B542" s="626"/>
    </row>
    <row r="543" spans="2:2">
      <c r="B543" s="626"/>
    </row>
    <row r="544" spans="2:2">
      <c r="B544" s="626"/>
    </row>
    <row r="545" spans="2:2">
      <c r="B545" s="626"/>
    </row>
    <row r="546" spans="2:2">
      <c r="B546" s="626"/>
    </row>
    <row r="547" spans="2:2">
      <c r="B547" s="626"/>
    </row>
    <row r="548" spans="2:2">
      <c r="B548" s="626"/>
    </row>
    <row r="549" spans="2:2">
      <c r="B549" s="626"/>
    </row>
    <row r="550" spans="2:2">
      <c r="B550" s="626"/>
    </row>
    <row r="551" spans="2:2">
      <c r="B551" s="626"/>
    </row>
    <row r="552" spans="2:2">
      <c r="B552" s="626"/>
    </row>
    <row r="553" spans="2:2">
      <c r="B553" s="626"/>
    </row>
    <row r="554" spans="2:2">
      <c r="B554" s="626"/>
    </row>
    <row r="555" spans="2:2">
      <c r="B555" s="626"/>
    </row>
    <row r="556" spans="2:2">
      <c r="B556" s="626"/>
    </row>
    <row r="557" spans="2:2">
      <c r="B557" s="626"/>
    </row>
    <row r="558" spans="2:2">
      <c r="B558" s="626"/>
    </row>
    <row r="559" spans="2:2">
      <c r="B559" s="626"/>
    </row>
    <row r="560" spans="2:2">
      <c r="B560" s="626"/>
    </row>
    <row r="561" spans="2:2">
      <c r="B561" s="626"/>
    </row>
    <row r="562" spans="2:2">
      <c r="B562" s="626"/>
    </row>
    <row r="563" spans="2:2">
      <c r="B563" s="626"/>
    </row>
    <row r="564" spans="2:2">
      <c r="B564" s="626"/>
    </row>
    <row r="565" spans="2:2">
      <c r="B565" s="626"/>
    </row>
    <row r="566" spans="2:2">
      <c r="B566" s="626"/>
    </row>
    <row r="567" spans="2:2">
      <c r="B567" s="626"/>
    </row>
    <row r="568" spans="2:2">
      <c r="B568" s="626"/>
    </row>
    <row r="569" spans="2:2">
      <c r="B569" s="626"/>
    </row>
    <row r="570" spans="2:2">
      <c r="B570" s="626"/>
    </row>
    <row r="571" spans="2:2">
      <c r="B571" s="626"/>
    </row>
    <row r="572" spans="2:2">
      <c r="B572" s="626"/>
    </row>
    <row r="573" spans="2:2">
      <c r="B573" s="626"/>
    </row>
    <row r="574" spans="2:2">
      <c r="B574" s="626"/>
    </row>
    <row r="575" spans="2:2">
      <c r="B575" s="626"/>
    </row>
    <row r="576" spans="2:2">
      <c r="B576" s="626"/>
    </row>
    <row r="577" spans="2:2">
      <c r="B577" s="626"/>
    </row>
    <row r="578" spans="2:2">
      <c r="B578" s="626"/>
    </row>
    <row r="579" spans="2:2">
      <c r="B579" s="626"/>
    </row>
    <row r="580" spans="2:2">
      <c r="B580" s="626"/>
    </row>
    <row r="581" spans="2:2">
      <c r="B581" s="626"/>
    </row>
    <row r="582" spans="2:2">
      <c r="B582" s="626"/>
    </row>
    <row r="583" spans="2:2">
      <c r="B583" s="626"/>
    </row>
    <row r="584" spans="2:2">
      <c r="B584" s="626"/>
    </row>
    <row r="585" spans="2:2">
      <c r="B585" s="626"/>
    </row>
    <row r="586" spans="2:2">
      <c r="B586" s="626"/>
    </row>
    <row r="587" spans="2:2">
      <c r="B587" s="626"/>
    </row>
    <row r="588" spans="2:2">
      <c r="B588" s="626"/>
    </row>
    <row r="589" spans="2:2">
      <c r="B589" s="626"/>
    </row>
    <row r="590" spans="2:2">
      <c r="B590" s="626"/>
    </row>
    <row r="591" spans="2:2">
      <c r="B591" s="626"/>
    </row>
    <row r="592" spans="2:2">
      <c r="B592" s="626"/>
    </row>
    <row r="593" spans="2:2">
      <c r="B593" s="626"/>
    </row>
    <row r="594" spans="2:2">
      <c r="B594" s="626"/>
    </row>
    <row r="595" spans="2:2">
      <c r="B595" s="626"/>
    </row>
    <row r="596" spans="2:2">
      <c r="B596" s="626"/>
    </row>
    <row r="597" spans="2:2">
      <c r="B597" s="626"/>
    </row>
    <row r="598" spans="2:2">
      <c r="B598" s="626"/>
    </row>
    <row r="599" spans="2:2">
      <c r="B599" s="626"/>
    </row>
    <row r="600" spans="2:2">
      <c r="B600" s="626"/>
    </row>
    <row r="601" spans="2:2">
      <c r="B601" s="626"/>
    </row>
    <row r="602" spans="2:2">
      <c r="B602" s="626"/>
    </row>
    <row r="603" spans="2:2">
      <c r="B603" s="626"/>
    </row>
    <row r="604" spans="2:2">
      <c r="B604" s="626"/>
    </row>
    <row r="605" spans="2:2">
      <c r="B605" s="626"/>
    </row>
    <row r="606" spans="2:2">
      <c r="B606" s="626"/>
    </row>
    <row r="607" spans="2:2">
      <c r="B607" s="626"/>
    </row>
    <row r="608" spans="2:2">
      <c r="B608" s="626"/>
    </row>
    <row r="609" spans="2:2">
      <c r="B609" s="626"/>
    </row>
    <row r="610" spans="2:2">
      <c r="B610" s="626"/>
    </row>
    <row r="611" spans="2:2">
      <c r="B611" s="626"/>
    </row>
    <row r="612" spans="2:2">
      <c r="B612" s="626"/>
    </row>
    <row r="613" spans="2:2">
      <c r="B613" s="626"/>
    </row>
    <row r="614" spans="2:2">
      <c r="B614" s="626"/>
    </row>
    <row r="615" spans="2:2">
      <c r="B615" s="626"/>
    </row>
    <row r="616" spans="2:2">
      <c r="B616" s="626"/>
    </row>
    <row r="617" spans="2:2">
      <c r="B617" s="626"/>
    </row>
    <row r="618" spans="2:2">
      <c r="B618" s="626"/>
    </row>
    <row r="619" spans="2:2">
      <c r="B619" s="626"/>
    </row>
    <row r="620" spans="2:2">
      <c r="B620" s="626"/>
    </row>
    <row r="621" spans="2:2">
      <c r="B621" s="626"/>
    </row>
    <row r="622" spans="2:2">
      <c r="B622" s="626"/>
    </row>
    <row r="623" spans="2:2">
      <c r="B623" s="626"/>
    </row>
    <row r="624" spans="2:2">
      <c r="B624" s="626"/>
    </row>
    <row r="625" spans="2:2">
      <c r="B625" s="626"/>
    </row>
    <row r="626" spans="2:2">
      <c r="B626" s="626"/>
    </row>
    <row r="627" spans="2:2">
      <c r="B627" s="626"/>
    </row>
    <row r="628" spans="2:2">
      <c r="B628" s="626"/>
    </row>
    <row r="629" spans="2:2">
      <c r="B629" s="626"/>
    </row>
    <row r="630" spans="2:2">
      <c r="B630" s="626"/>
    </row>
    <row r="631" spans="2:2">
      <c r="B631" s="626"/>
    </row>
    <row r="632" spans="2:2">
      <c r="B632" s="626"/>
    </row>
    <row r="633" spans="2:2">
      <c r="B633" s="626"/>
    </row>
    <row r="634" spans="2:2">
      <c r="B634" s="626"/>
    </row>
    <row r="635" spans="2:2">
      <c r="B635" s="626"/>
    </row>
    <row r="636" spans="2:2">
      <c r="B636" s="626"/>
    </row>
    <row r="637" spans="2:2">
      <c r="B637" s="626"/>
    </row>
    <row r="638" spans="2:2">
      <c r="B638" s="626"/>
    </row>
    <row r="639" spans="2:2">
      <c r="B639" s="626"/>
    </row>
    <row r="640" spans="2:2">
      <c r="B640" s="626"/>
    </row>
    <row r="641" spans="2:2">
      <c r="B641" s="626"/>
    </row>
    <row r="642" spans="2:2">
      <c r="B642" s="626"/>
    </row>
    <row r="643" spans="2:2">
      <c r="B643" s="626"/>
    </row>
    <row r="644" spans="2:2">
      <c r="B644" s="626"/>
    </row>
    <row r="645" spans="2:2">
      <c r="B645" s="626"/>
    </row>
    <row r="646" spans="2:2">
      <c r="B646" s="626"/>
    </row>
    <row r="647" spans="2:2">
      <c r="B647" s="626"/>
    </row>
    <row r="648" spans="2:2">
      <c r="B648" s="626"/>
    </row>
    <row r="649" spans="2:2">
      <c r="B649" s="626"/>
    </row>
    <row r="650" spans="2:2">
      <c r="B650" s="626"/>
    </row>
    <row r="651" spans="2:2">
      <c r="B651" s="626"/>
    </row>
    <row r="652" spans="2:2">
      <c r="B652" s="626"/>
    </row>
  </sheetData>
  <customSheetViews>
    <customSheetView guid="{4FEDB3BD-111A-4B7D-AA97-E67173A5F707}" showPageBreaks="1" fitToPage="1" printArea="1" hiddenColumns="1" view="pageBreakPreview" showRuler="0" topLeftCell="A88">
      <selection activeCell="V65" sqref="V65:V67"/>
      <rowBreaks count="6" manualBreakCount="6">
        <brk id="20" max="21" man="1"/>
        <brk id="40" max="21" man="1"/>
        <brk id="60" max="21" man="1"/>
        <brk id="61" max="21" man="1"/>
        <brk id="79" max="16383" man="1"/>
        <brk id="91" max="21" man="1"/>
      </rowBreaks>
      <pageMargins left="0.5" right="0.5" top="1" bottom="1" header="0.5" footer="0.34"/>
      <printOptions horizontalCentered="1"/>
      <pageSetup fitToHeight="0" orientation="landscape" r:id="rId1"/>
      <headerFooter alignWithMargins="0">
        <oddHeader>&amp;C&amp;"Arial,Bold"&amp;12&amp;UProject Activity 27: Survey</oddHeader>
        <oddFooter>Page &amp;P of &amp;N</oddFooter>
      </headerFooter>
    </customSheetView>
    <customSheetView guid="{D5FFA8DD-F2DB-47F2-B4D2-3681726B2E8F}" showPageBreaks="1" fitToPage="1" printArea="1" hiddenColumns="1" view="pageBreakPreview" showRuler="0" topLeftCell="A13">
      <selection activeCell="C3" sqref="C3:P3"/>
      <rowBreaks count="6" manualBreakCount="6">
        <brk id="20" max="21" man="1"/>
        <brk id="40" max="21" man="1"/>
        <brk id="60" max="21" man="1"/>
        <brk id="78" max="21" man="1"/>
        <brk id="79" max="16383" man="1"/>
        <brk id="93" max="21" man="1"/>
      </rowBreaks>
      <pageMargins left="0.5" right="0.5" top="1" bottom="1" header="0.5" footer="0.34"/>
      <printOptions horizontalCentered="1"/>
      <pageSetup fitToHeight="0" orientation="landscape" r:id="rId2"/>
      <headerFooter alignWithMargins="0">
        <oddHeader>&amp;C&amp;"Arial,Bold"&amp;12&amp;UProject Activity 27: Survey</oddHeader>
        <oddFooter>Page &amp;P of &amp;N</oddFooter>
      </headerFooter>
    </customSheetView>
    <customSheetView guid="{EFE02F7B-3837-4B0F-9646-ADE249504E9F}" showPageBreaks="1" fitToPage="1" printArea="1" hiddenColumns="1" view="pageBreakPreview" showRuler="0" topLeftCell="A91">
      <selection activeCell="V65" sqref="V65:V67"/>
      <rowBreaks count="6" manualBreakCount="6">
        <brk id="20" max="21" man="1"/>
        <brk id="40" max="21" man="1"/>
        <brk id="60" max="21" man="1"/>
        <brk id="78" max="21" man="1"/>
        <brk id="79" max="16383" man="1"/>
        <brk id="93" max="21" man="1"/>
      </rowBreaks>
      <pageMargins left="0.5" right="0.5" top="1" bottom="1" header="0.5" footer="0.34"/>
      <printOptions horizontalCentered="1"/>
      <pageSetup fitToHeight="0" orientation="landscape" r:id="rId3"/>
      <headerFooter alignWithMargins="0">
        <oddHeader>&amp;C&amp;"Arial,Bold"&amp;12&amp;UProject Activity 27: Survey</oddHeader>
        <oddFooter>Page &amp;P of &amp;N</oddFooter>
      </headerFooter>
    </customSheetView>
    <customSheetView guid="{053BE130-58A3-4F3B-945A-C2EFB15C6264}" showPageBreaks="1" fitToPage="1" printArea="1" hiddenColumns="1" view="pageBreakPreview" showRuler="0">
      <selection activeCell="V65" sqref="V65:V67"/>
      <rowBreaks count="6" manualBreakCount="6">
        <brk id="20" max="21" man="1"/>
        <brk id="40" max="21" man="1"/>
        <brk id="60" max="21" man="1"/>
        <brk id="78" max="21" man="1"/>
        <brk id="79" max="16383" man="1"/>
        <brk id="93" max="21" man="1"/>
      </rowBreaks>
      <pageMargins left="0.5" right="0.5" top="1" bottom="1" header="0.5" footer="0.34"/>
      <printOptions horizontalCentered="1"/>
      <pageSetup fitToHeight="0" orientation="landscape" r:id="rId4"/>
      <headerFooter alignWithMargins="0">
        <oddHeader>&amp;C&amp;"Arial,Bold"&amp;12&amp;UProject Activity 27: Survey</oddHeader>
        <oddFooter>Page &amp;P of &amp;N</oddFooter>
      </headerFooter>
    </customSheetView>
    <customSheetView guid="{F5DBE5B9-A9E4-4030-888B-08F930ECBB74}" showPageBreaks="1" fitToPage="1" printArea="1" hiddenColumns="1" view="pageBreakPreview" showRuler="0" topLeftCell="A91">
      <selection activeCell="V65" sqref="V65:V67"/>
      <rowBreaks count="6" manualBreakCount="6">
        <brk id="20" max="21" man="1"/>
        <brk id="40" max="21" man="1"/>
        <brk id="60" max="21" man="1"/>
        <brk id="78" max="21" man="1"/>
        <brk id="79" max="16383" man="1"/>
        <brk id="93" max="21" man="1"/>
      </rowBreaks>
      <pageMargins left="0.5" right="0.5" top="1" bottom="1" header="0.5" footer="0.34"/>
      <printOptions horizontalCentered="1"/>
      <pageSetup fitToHeight="0" orientation="landscape" r:id="rId5"/>
      <headerFooter alignWithMargins="0">
        <oddHeader>&amp;C&amp;"Arial,Bold"&amp;12&amp;UProject Activity 27: Survey</oddHeader>
        <oddFooter>Page &amp;P of &amp;N</oddFooter>
      </headerFooter>
    </customSheetView>
    <customSheetView guid="{960FB4AF-B150-4523-972C-3F7C93F049F3}" showPageBreaks="1" fitToPage="1" printArea="1" hiddenColumns="1" view="pageBreakPreview" showRuler="0" topLeftCell="A88">
      <selection activeCell="V65" sqref="V65:V67"/>
      <rowBreaks count="5" manualBreakCount="5">
        <brk id="20" max="21" man="1"/>
        <brk id="40" max="21" man="1"/>
        <brk id="61" max="21" man="1"/>
        <brk id="79" max="16383" man="1"/>
        <brk id="91" max="21" man="1"/>
      </rowBreaks>
      <pageMargins left="0.5" right="0.5" top="1" bottom="1" header="0.5" footer="0.34"/>
      <printOptions horizontalCentered="1"/>
      <pageSetup fitToHeight="0" orientation="landscape" r:id="rId6"/>
      <headerFooter alignWithMargins="0">
        <oddHeader>&amp;C&amp;"Arial,Bold"&amp;12&amp;UProject Activity 27: Survey</oddHeader>
        <oddFooter>Page &amp;P of &amp;N</oddFooter>
      </headerFooter>
    </customSheetView>
    <customSheetView guid="{DF3BD4C9-2986-4236-8E90-D96736404377}" showPageBreaks="1" fitToPage="1" printArea="1" hiddenColumns="1" view="pageBreakPreview" showRuler="0" topLeftCell="A55">
      <selection activeCell="V62" sqref="V62:V64"/>
      <rowBreaks count="5" manualBreakCount="5">
        <brk id="20" max="21" man="1"/>
        <brk id="40" max="21" man="1"/>
        <brk id="61" max="21" man="1"/>
        <brk id="79" max="16383" man="1"/>
        <brk id="91" max="21" man="1"/>
      </rowBreaks>
      <pageMargins left="0.5" right="0.5" top="1" bottom="1" header="0.5" footer="0.34"/>
      <printOptions horizontalCentered="1"/>
      <pageSetup fitToHeight="0" orientation="landscape" r:id="rId7"/>
      <headerFooter alignWithMargins="0">
        <oddHeader>&amp;C&amp;"Arial,Bold"&amp;12&amp;UProject Activity 27: Survey</oddHeader>
        <oddFooter>Page &amp;P of &amp;N</oddFooter>
      </headerFooter>
    </customSheetView>
  </customSheetViews>
  <mergeCells count="90">
    <mergeCell ref="A1:E1"/>
    <mergeCell ref="A14:A17"/>
    <mergeCell ref="A7:A10"/>
    <mergeCell ref="A3:A6"/>
    <mergeCell ref="A18:A28"/>
    <mergeCell ref="E3:E6"/>
    <mergeCell ref="E7:E10"/>
    <mergeCell ref="E11:E13"/>
    <mergeCell ref="E14:E17"/>
    <mergeCell ref="E18:E22"/>
    <mergeCell ref="A39:A48"/>
    <mergeCell ref="A99:C99"/>
    <mergeCell ref="E44:E48"/>
    <mergeCell ref="E32:E34"/>
    <mergeCell ref="E82:E84"/>
    <mergeCell ref="E70:E72"/>
    <mergeCell ref="E73:E75"/>
    <mergeCell ref="E76:E78"/>
    <mergeCell ref="E79:E81"/>
    <mergeCell ref="E85:E87"/>
    <mergeCell ref="E88:E90"/>
    <mergeCell ref="E91:E93"/>
    <mergeCell ref="E64:E66"/>
    <mergeCell ref="E67:E69"/>
    <mergeCell ref="C73:C75"/>
    <mergeCell ref="A61:A63"/>
    <mergeCell ref="E29:E31"/>
    <mergeCell ref="E39:E43"/>
    <mergeCell ref="A11:A13"/>
    <mergeCell ref="B11:B13"/>
    <mergeCell ref="C11:C13"/>
    <mergeCell ref="A29:A31"/>
    <mergeCell ref="B29:B31"/>
    <mergeCell ref="C29:C31"/>
    <mergeCell ref="A35:A37"/>
    <mergeCell ref="B35:B37"/>
    <mergeCell ref="A32:A34"/>
    <mergeCell ref="B32:B34"/>
    <mergeCell ref="C32:C34"/>
    <mergeCell ref="E24:E28"/>
    <mergeCell ref="C35:C37"/>
    <mergeCell ref="E35:E37"/>
    <mergeCell ref="B61:B63"/>
    <mergeCell ref="C61:C63"/>
    <mergeCell ref="C64:C66"/>
    <mergeCell ref="B64:B66"/>
    <mergeCell ref="A64:A66"/>
    <mergeCell ref="A55:A57"/>
    <mergeCell ref="B55:B57"/>
    <mergeCell ref="C55:C57"/>
    <mergeCell ref="A58:A60"/>
    <mergeCell ref="B58:B60"/>
    <mergeCell ref="C58:C60"/>
    <mergeCell ref="A49:A51"/>
    <mergeCell ref="B49:B51"/>
    <mergeCell ref="C49:C51"/>
    <mergeCell ref="A52:A54"/>
    <mergeCell ref="B52:B54"/>
    <mergeCell ref="C52:C54"/>
    <mergeCell ref="A79:A81"/>
    <mergeCell ref="A67:A69"/>
    <mergeCell ref="B67:B69"/>
    <mergeCell ref="C67:C69"/>
    <mergeCell ref="C70:C72"/>
    <mergeCell ref="B70:B72"/>
    <mergeCell ref="A70:A72"/>
    <mergeCell ref="B73:B75"/>
    <mergeCell ref="A73:A75"/>
    <mergeCell ref="A76:A78"/>
    <mergeCell ref="B76:B78"/>
    <mergeCell ref="C79:C81"/>
    <mergeCell ref="B79:B81"/>
    <mergeCell ref="C76:C78"/>
    <mergeCell ref="E49:E51"/>
    <mergeCell ref="E52:E54"/>
    <mergeCell ref="E55:E57"/>
    <mergeCell ref="E58:E60"/>
    <mergeCell ref="E61:E63"/>
    <mergeCell ref="A88:A90"/>
    <mergeCell ref="B88:B90"/>
    <mergeCell ref="C88:C90"/>
    <mergeCell ref="A91:A93"/>
    <mergeCell ref="B91:B93"/>
    <mergeCell ref="C91:C93"/>
    <mergeCell ref="C82:C84"/>
    <mergeCell ref="B82:B84"/>
    <mergeCell ref="A82:A84"/>
    <mergeCell ref="A85:A87"/>
    <mergeCell ref="B85:B87"/>
    <mergeCell ref="C85:C87"/>
  </mergeCells>
  <phoneticPr fontId="0" type="noConversion"/>
  <printOptions horizontalCentered="1" verticalCentered="1"/>
  <pageMargins left="0.75" right="0.75" top="1" bottom="1" header="0.5" footer="0.5"/>
  <pageSetup scale="72" fitToHeight="5" orientation="landscape" r:id="rId8"/>
  <headerFooter alignWithMargins="0"/>
  <rowBreaks count="2" manualBreakCount="2">
    <brk id="28" max="16383" man="1"/>
    <brk id="90" max="16383" man="1"/>
  </rowBreak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11"/>
  <dimension ref="A1:F568"/>
  <sheetViews>
    <sheetView showGridLines="0" zoomScaleNormal="100" zoomScaleSheetLayoutView="100" workbookViewId="0">
      <selection sqref="A1:E1"/>
    </sheetView>
  </sheetViews>
  <sheetFormatPr defaultColWidth="9.109375" defaultRowHeight="13.2"/>
  <cols>
    <col min="1" max="1" width="6.33203125" style="40" customWidth="1"/>
    <col min="2" max="2" width="29.33203125" style="4" customWidth="1"/>
    <col min="3" max="3" width="12.6640625" style="4" customWidth="1"/>
    <col min="4" max="4" width="17.88671875" style="4" customWidth="1"/>
    <col min="5" max="5" width="100.6640625" style="4" customWidth="1"/>
    <col min="6" max="16384" width="9.109375" style="4"/>
  </cols>
  <sheetData>
    <row r="1" spans="1:6" s="67" customFormat="1" ht="33" customHeight="1">
      <c r="A1" s="803" t="s">
        <v>1477</v>
      </c>
      <c r="B1" s="804"/>
      <c r="C1" s="804"/>
      <c r="D1" s="804"/>
      <c r="E1" s="805"/>
    </row>
    <row r="2" spans="1:6" ht="48" customHeight="1">
      <c r="A2" s="305" t="s">
        <v>385</v>
      </c>
      <c r="B2" s="262" t="s">
        <v>844</v>
      </c>
      <c r="C2" s="182" t="s">
        <v>984</v>
      </c>
      <c r="D2" s="182" t="s">
        <v>1069</v>
      </c>
      <c r="E2" s="263" t="s">
        <v>1070</v>
      </c>
    </row>
    <row r="3" spans="1:6" ht="42" thickBot="1">
      <c r="A3" s="304">
        <v>28.1</v>
      </c>
      <c r="B3" s="302" t="s">
        <v>258</v>
      </c>
      <c r="C3" s="469" t="s">
        <v>295</v>
      </c>
      <c r="D3" s="294" t="s">
        <v>391</v>
      </c>
      <c r="E3" s="471" t="s">
        <v>422</v>
      </c>
      <c r="F3" s="4" t="s">
        <v>596</v>
      </c>
    </row>
    <row r="4" spans="1:6" ht="20.100000000000001" customHeight="1" thickTop="1">
      <c r="A4" s="1055">
        <v>28.2</v>
      </c>
      <c r="B4" s="186" t="s">
        <v>423</v>
      </c>
      <c r="C4" s="1068" t="s">
        <v>296</v>
      </c>
      <c r="D4" s="1061" t="s">
        <v>392</v>
      </c>
      <c r="E4" s="1062" t="s">
        <v>563</v>
      </c>
    </row>
    <row r="5" spans="1:6" ht="20.100000000000001" customHeight="1" thickBot="1">
      <c r="A5" s="1056"/>
      <c r="B5" s="302" t="s">
        <v>380</v>
      </c>
      <c r="C5" s="1069"/>
      <c r="D5" s="1046"/>
      <c r="E5" s="1063"/>
    </row>
    <row r="6" spans="1:6" ht="20.100000000000001" customHeight="1" thickTop="1">
      <c r="A6" s="1057">
        <v>28.3</v>
      </c>
      <c r="B6" s="154" t="s">
        <v>1644</v>
      </c>
      <c r="C6" s="151"/>
      <c r="D6" s="460"/>
      <c r="E6" s="1064" t="s">
        <v>727</v>
      </c>
    </row>
    <row r="7" spans="1:6" ht="20.100000000000001" customHeight="1">
      <c r="A7" s="1055"/>
      <c r="B7" s="298" t="s">
        <v>1521</v>
      </c>
      <c r="C7" s="148" t="s">
        <v>1523</v>
      </c>
      <c r="D7" s="460" t="s">
        <v>1524</v>
      </c>
      <c r="E7" s="1065"/>
    </row>
    <row r="8" spans="1:6" ht="20.100000000000001" customHeight="1" thickBot="1">
      <c r="A8" s="1056"/>
      <c r="B8" s="303" t="s">
        <v>1522</v>
      </c>
      <c r="C8" s="472" t="s">
        <v>1523</v>
      </c>
      <c r="D8" s="294" t="s">
        <v>1525</v>
      </c>
      <c r="E8" s="1066"/>
    </row>
    <row r="9" spans="1:6" ht="20.100000000000001" customHeight="1" thickTop="1">
      <c r="A9" s="1058" t="s">
        <v>47</v>
      </c>
      <c r="B9" s="154" t="s">
        <v>1645</v>
      </c>
      <c r="C9" s="151"/>
      <c r="D9" s="460"/>
      <c r="E9" s="1064" t="s">
        <v>390</v>
      </c>
    </row>
    <row r="10" spans="1:6" ht="27.6">
      <c r="A10" s="1059"/>
      <c r="B10" s="298" t="s">
        <v>1521</v>
      </c>
      <c r="C10" s="148" t="s">
        <v>1336</v>
      </c>
      <c r="D10" s="460" t="s">
        <v>594</v>
      </c>
      <c r="E10" s="1065"/>
    </row>
    <row r="11" spans="1:6" ht="28.2" thickBot="1">
      <c r="A11" s="1060"/>
      <c r="B11" s="303" t="s">
        <v>1522</v>
      </c>
      <c r="C11" s="472" t="s">
        <v>1336</v>
      </c>
      <c r="D11" s="294" t="s">
        <v>594</v>
      </c>
      <c r="E11" s="1066"/>
    </row>
    <row r="12" spans="1:6" ht="28.2" thickTop="1">
      <c r="A12" s="155" t="s">
        <v>2586</v>
      </c>
      <c r="B12" s="154" t="s">
        <v>381</v>
      </c>
      <c r="C12" s="151" t="s">
        <v>1490</v>
      </c>
      <c r="D12" s="460" t="s">
        <v>382</v>
      </c>
      <c r="E12" s="149" t="s">
        <v>1127</v>
      </c>
    </row>
    <row r="13" spans="1:6" s="88" customFormat="1" ht="28.2" thickBot="1">
      <c r="A13" s="652">
        <v>28.6</v>
      </c>
      <c r="B13" s="302" t="s">
        <v>1920</v>
      </c>
      <c r="C13" s="469" t="s">
        <v>1336</v>
      </c>
      <c r="D13" s="294" t="s">
        <v>1921</v>
      </c>
      <c r="E13" s="471" t="s">
        <v>1922</v>
      </c>
    </row>
    <row r="14" spans="1:6" ht="20.100000000000001" customHeight="1" thickTop="1">
      <c r="A14" s="1058" t="s">
        <v>2587</v>
      </c>
      <c r="B14" s="154" t="s">
        <v>407</v>
      </c>
      <c r="C14" s="1072" t="s">
        <v>295</v>
      </c>
      <c r="D14" s="460"/>
      <c r="E14" s="866" t="s">
        <v>1128</v>
      </c>
    </row>
    <row r="15" spans="1:6" ht="20.100000000000001" customHeight="1">
      <c r="A15" s="1059"/>
      <c r="B15" s="154" t="s">
        <v>1129</v>
      </c>
      <c r="C15" s="1068"/>
      <c r="D15" s="460" t="s">
        <v>1130</v>
      </c>
      <c r="E15" s="866"/>
    </row>
    <row r="16" spans="1:6" ht="20.100000000000001" customHeight="1" thickBot="1">
      <c r="A16" s="1060"/>
      <c r="B16" s="302" t="s">
        <v>1131</v>
      </c>
      <c r="C16" s="1069"/>
      <c r="D16" s="294" t="s">
        <v>768</v>
      </c>
      <c r="E16" s="1063"/>
    </row>
    <row r="17" spans="1:5" ht="20.100000000000001" customHeight="1" thickTop="1">
      <c r="A17" s="1004">
        <v>28.8</v>
      </c>
      <c r="B17" s="154" t="s">
        <v>126</v>
      </c>
      <c r="C17" s="1072" t="s">
        <v>1002</v>
      </c>
      <c r="D17" s="460"/>
      <c r="E17" s="866" t="s">
        <v>117</v>
      </c>
    </row>
    <row r="18" spans="1:5" ht="20.100000000000001" customHeight="1">
      <c r="A18" s="1048"/>
      <c r="B18" s="283" t="s">
        <v>118</v>
      </c>
      <c r="C18" s="1068"/>
      <c r="D18" s="945" t="s">
        <v>130</v>
      </c>
      <c r="E18" s="866"/>
    </row>
    <row r="19" spans="1:5" ht="20.100000000000001" customHeight="1" thickBot="1">
      <c r="A19" s="1049"/>
      <c r="B19" s="302" t="s">
        <v>119</v>
      </c>
      <c r="C19" s="1069"/>
      <c r="D19" s="1067"/>
      <c r="E19" s="1063"/>
    </row>
    <row r="20" spans="1:5" ht="28.2" thickTop="1">
      <c r="A20" s="611">
        <v>28.9</v>
      </c>
      <c r="B20" s="297" t="s">
        <v>124</v>
      </c>
      <c r="C20" s="470" t="s">
        <v>297</v>
      </c>
      <c r="D20" s="178" t="s">
        <v>780</v>
      </c>
      <c r="E20" s="301" t="s">
        <v>848</v>
      </c>
    </row>
    <row r="21" spans="1:5" ht="27.6">
      <c r="A21" s="657" t="s">
        <v>2588</v>
      </c>
      <c r="B21" s="154" t="s">
        <v>849</v>
      </c>
      <c r="C21" s="299" t="s">
        <v>297</v>
      </c>
      <c r="D21" s="460" t="s">
        <v>763</v>
      </c>
      <c r="E21" s="149" t="s">
        <v>848</v>
      </c>
    </row>
    <row r="22" spans="1:5" ht="27.6">
      <c r="A22" s="657" t="s">
        <v>2589</v>
      </c>
      <c r="B22" s="154" t="s">
        <v>850</v>
      </c>
      <c r="C22" s="299" t="s">
        <v>297</v>
      </c>
      <c r="D22" s="460" t="s">
        <v>490</v>
      </c>
      <c r="E22" s="149" t="s">
        <v>491</v>
      </c>
    </row>
    <row r="23" spans="1:5" ht="20.100000000000001" customHeight="1">
      <c r="A23" s="657" t="s">
        <v>1319</v>
      </c>
      <c r="B23" s="154" t="s">
        <v>492</v>
      </c>
      <c r="C23" s="151" t="s">
        <v>1490</v>
      </c>
      <c r="D23" s="460" t="s">
        <v>1449</v>
      </c>
      <c r="E23" s="149" t="s">
        <v>602</v>
      </c>
    </row>
    <row r="24" spans="1:5" ht="27.6">
      <c r="A24" s="153">
        <v>28.13</v>
      </c>
      <c r="B24" s="283" t="s">
        <v>120</v>
      </c>
      <c r="C24" s="151" t="s">
        <v>1002</v>
      </c>
      <c r="D24" s="460" t="s">
        <v>121</v>
      </c>
      <c r="E24" s="149" t="s">
        <v>122</v>
      </c>
    </row>
    <row r="25" spans="1:5" ht="20.100000000000001" customHeight="1">
      <c r="A25" s="657" t="s">
        <v>1923</v>
      </c>
      <c r="B25" s="283" t="s">
        <v>603</v>
      </c>
      <c r="C25" s="151" t="s">
        <v>1002</v>
      </c>
      <c r="D25" s="460" t="s">
        <v>847</v>
      </c>
      <c r="E25" s="149" t="s">
        <v>604</v>
      </c>
    </row>
    <row r="26" spans="1:5" ht="20.100000000000001" customHeight="1">
      <c r="A26" s="153">
        <v>28.15</v>
      </c>
      <c r="B26" s="284" t="s">
        <v>125</v>
      </c>
      <c r="C26" s="299" t="s">
        <v>1490</v>
      </c>
      <c r="D26" s="460" t="s">
        <v>1449</v>
      </c>
      <c r="E26" s="149" t="s">
        <v>131</v>
      </c>
    </row>
    <row r="27" spans="1:5" ht="55.8">
      <c r="A27" s="657" t="s">
        <v>1924</v>
      </c>
      <c r="B27" s="283" t="s">
        <v>605</v>
      </c>
      <c r="C27" s="299" t="s">
        <v>982</v>
      </c>
      <c r="D27" s="460" t="s">
        <v>594</v>
      </c>
      <c r="E27" s="149" t="s">
        <v>2024</v>
      </c>
    </row>
    <row r="28" spans="1:5" ht="41.4">
      <c r="A28" s="657" t="s">
        <v>2590</v>
      </c>
      <c r="B28" s="154" t="s">
        <v>606</v>
      </c>
      <c r="C28" s="151" t="s">
        <v>1002</v>
      </c>
      <c r="D28" s="460" t="s">
        <v>607</v>
      </c>
      <c r="E28" s="149" t="s">
        <v>608</v>
      </c>
    </row>
    <row r="29" spans="1:5" ht="27.6">
      <c r="A29" s="153">
        <v>28.18</v>
      </c>
      <c r="B29" s="154" t="s">
        <v>496</v>
      </c>
      <c r="C29" s="299" t="s">
        <v>982</v>
      </c>
      <c r="D29" s="460" t="s">
        <v>594</v>
      </c>
      <c r="E29" s="539" t="s">
        <v>123</v>
      </c>
    </row>
    <row r="30" spans="1:5" ht="20.100000000000001" customHeight="1">
      <c r="A30" s="877" t="s">
        <v>298</v>
      </c>
      <c r="B30" s="878"/>
      <c r="C30" s="878"/>
      <c r="D30" s="272"/>
      <c r="E30" s="540"/>
    </row>
    <row r="31" spans="1:5" ht="41.4">
      <c r="A31" s="657" t="s">
        <v>1925</v>
      </c>
      <c r="B31" s="154" t="s">
        <v>1509</v>
      </c>
      <c r="C31" s="299" t="s">
        <v>982</v>
      </c>
      <c r="D31" s="460" t="s">
        <v>594</v>
      </c>
      <c r="E31" s="149" t="s">
        <v>215</v>
      </c>
    </row>
    <row r="32" spans="1:5" ht="27.6">
      <c r="A32" s="657" t="s">
        <v>2591</v>
      </c>
      <c r="B32" s="154" t="s">
        <v>1044</v>
      </c>
      <c r="C32" s="299" t="s">
        <v>982</v>
      </c>
      <c r="D32" s="460" t="s">
        <v>594</v>
      </c>
      <c r="E32" s="149" t="s">
        <v>253</v>
      </c>
    </row>
    <row r="33" spans="1:5" ht="27.6">
      <c r="A33" s="657" t="s">
        <v>127</v>
      </c>
      <c r="B33" s="154" t="s">
        <v>1339</v>
      </c>
      <c r="C33" s="299" t="s">
        <v>982</v>
      </c>
      <c r="D33" s="460" t="s">
        <v>594</v>
      </c>
      <c r="E33" s="149" t="s">
        <v>1329</v>
      </c>
    </row>
    <row r="34" spans="1:5" ht="55.2">
      <c r="A34" s="657" t="s">
        <v>128</v>
      </c>
      <c r="B34" s="154" t="s">
        <v>912</v>
      </c>
      <c r="C34" s="299" t="s">
        <v>982</v>
      </c>
      <c r="D34" s="460" t="s">
        <v>594</v>
      </c>
      <c r="E34" s="149" t="s">
        <v>1472</v>
      </c>
    </row>
    <row r="35" spans="1:5" ht="20.100000000000001" customHeight="1">
      <c r="A35" s="1070" t="s">
        <v>299</v>
      </c>
      <c r="B35" s="1071"/>
      <c r="C35" s="1071"/>
      <c r="D35" s="270"/>
      <c r="E35" s="300"/>
    </row>
    <row r="36" spans="1:5" ht="55.8" thickBot="1">
      <c r="A36" s="488" t="s">
        <v>129</v>
      </c>
      <c r="B36" s="536" t="s">
        <v>384</v>
      </c>
      <c r="C36" s="538" t="s">
        <v>982</v>
      </c>
      <c r="D36" s="484" t="s">
        <v>594</v>
      </c>
      <c r="E36" s="485" t="s">
        <v>1104</v>
      </c>
    </row>
    <row r="37" spans="1:5">
      <c r="B37" s="36"/>
    </row>
    <row r="38" spans="1:5">
      <c r="B38" s="36"/>
    </row>
    <row r="39" spans="1:5">
      <c r="B39" s="36"/>
    </row>
    <row r="40" spans="1:5">
      <c r="B40" s="36"/>
    </row>
    <row r="41" spans="1:5">
      <c r="B41" s="36"/>
    </row>
    <row r="42" spans="1:5">
      <c r="B42" s="36"/>
    </row>
    <row r="43" spans="1:5">
      <c r="B43" s="36"/>
    </row>
    <row r="44" spans="1:5">
      <c r="B44" s="36"/>
    </row>
    <row r="45" spans="1:5">
      <c r="B45" s="36"/>
    </row>
    <row r="46" spans="1:5">
      <c r="B46" s="36"/>
    </row>
    <row r="47" spans="1:5">
      <c r="B47" s="36"/>
    </row>
    <row r="48" spans="1:5">
      <c r="B48" s="36"/>
    </row>
    <row r="49" spans="2:2">
      <c r="B49" s="36"/>
    </row>
    <row r="50" spans="2:2">
      <c r="B50" s="36"/>
    </row>
    <row r="51" spans="2:2">
      <c r="B51" s="36"/>
    </row>
    <row r="52" spans="2:2">
      <c r="B52" s="36"/>
    </row>
    <row r="53" spans="2:2">
      <c r="B53" s="36"/>
    </row>
    <row r="54" spans="2:2">
      <c r="B54" s="36"/>
    </row>
    <row r="55" spans="2:2">
      <c r="B55" s="36"/>
    </row>
    <row r="56" spans="2:2">
      <c r="B56" s="36"/>
    </row>
    <row r="57" spans="2:2">
      <c r="B57" s="36"/>
    </row>
    <row r="58" spans="2:2">
      <c r="B58" s="36"/>
    </row>
    <row r="59" spans="2:2">
      <c r="B59" s="36"/>
    </row>
    <row r="60" spans="2:2">
      <c r="B60" s="36"/>
    </row>
    <row r="61" spans="2:2">
      <c r="B61" s="36"/>
    </row>
    <row r="62" spans="2:2">
      <c r="B62" s="36"/>
    </row>
    <row r="63" spans="2:2">
      <c r="B63" s="36"/>
    </row>
    <row r="64" spans="2:2">
      <c r="B64" s="36"/>
    </row>
    <row r="65" spans="2:2">
      <c r="B65" s="36"/>
    </row>
    <row r="66" spans="2:2">
      <c r="B66" s="36"/>
    </row>
    <row r="67" spans="2:2">
      <c r="B67" s="36"/>
    </row>
    <row r="68" spans="2:2">
      <c r="B68" s="36"/>
    </row>
    <row r="69" spans="2:2">
      <c r="B69" s="36"/>
    </row>
    <row r="70" spans="2:2">
      <c r="B70" s="36"/>
    </row>
    <row r="71" spans="2:2">
      <c r="B71" s="36"/>
    </row>
    <row r="72" spans="2:2">
      <c r="B72" s="36"/>
    </row>
    <row r="73" spans="2:2">
      <c r="B73" s="36"/>
    </row>
    <row r="74" spans="2:2">
      <c r="B74" s="36"/>
    </row>
    <row r="75" spans="2:2">
      <c r="B75" s="36"/>
    </row>
    <row r="76" spans="2:2">
      <c r="B76" s="36"/>
    </row>
    <row r="77" spans="2:2">
      <c r="B77" s="36"/>
    </row>
    <row r="78" spans="2:2">
      <c r="B78" s="36"/>
    </row>
    <row r="79" spans="2:2">
      <c r="B79" s="36"/>
    </row>
    <row r="80" spans="2:2">
      <c r="B80" s="36"/>
    </row>
    <row r="81" spans="2:2">
      <c r="B81" s="36"/>
    </row>
    <row r="82" spans="2:2">
      <c r="B82" s="36"/>
    </row>
    <row r="83" spans="2:2">
      <c r="B83" s="36"/>
    </row>
    <row r="84" spans="2:2">
      <c r="B84" s="36"/>
    </row>
    <row r="85" spans="2:2">
      <c r="B85" s="36"/>
    </row>
    <row r="86" spans="2:2">
      <c r="B86" s="36"/>
    </row>
    <row r="87" spans="2:2">
      <c r="B87" s="36"/>
    </row>
    <row r="88" spans="2:2">
      <c r="B88" s="36"/>
    </row>
    <row r="89" spans="2:2">
      <c r="B89" s="36"/>
    </row>
    <row r="90" spans="2:2">
      <c r="B90" s="36"/>
    </row>
    <row r="91" spans="2:2">
      <c r="B91" s="36"/>
    </row>
    <row r="92" spans="2:2">
      <c r="B92" s="36"/>
    </row>
    <row r="93" spans="2:2">
      <c r="B93" s="36"/>
    </row>
    <row r="94" spans="2:2">
      <c r="B94" s="36"/>
    </row>
    <row r="95" spans="2:2">
      <c r="B95" s="36"/>
    </row>
    <row r="96" spans="2:2">
      <c r="B96" s="36"/>
    </row>
    <row r="97" spans="2:2">
      <c r="B97" s="36"/>
    </row>
    <row r="98" spans="2:2">
      <c r="B98" s="36"/>
    </row>
    <row r="99" spans="2:2">
      <c r="B99" s="36"/>
    </row>
    <row r="100" spans="2:2">
      <c r="B100" s="36"/>
    </row>
    <row r="101" spans="2:2">
      <c r="B101" s="36"/>
    </row>
    <row r="102" spans="2:2">
      <c r="B102" s="36"/>
    </row>
    <row r="103" spans="2:2">
      <c r="B103" s="36"/>
    </row>
    <row r="104" spans="2:2">
      <c r="B104" s="36"/>
    </row>
    <row r="105" spans="2:2">
      <c r="B105" s="36"/>
    </row>
    <row r="106" spans="2:2">
      <c r="B106" s="36"/>
    </row>
    <row r="107" spans="2:2">
      <c r="B107" s="36"/>
    </row>
    <row r="108" spans="2:2">
      <c r="B108" s="36"/>
    </row>
    <row r="109" spans="2:2">
      <c r="B109" s="36"/>
    </row>
    <row r="110" spans="2:2">
      <c r="B110" s="36"/>
    </row>
    <row r="111" spans="2:2">
      <c r="B111" s="36"/>
    </row>
    <row r="112" spans="2:2">
      <c r="B112" s="36"/>
    </row>
    <row r="113" spans="2:2">
      <c r="B113" s="36"/>
    </row>
    <row r="114" spans="2:2">
      <c r="B114" s="36"/>
    </row>
    <row r="115" spans="2:2">
      <c r="B115" s="36"/>
    </row>
    <row r="116" spans="2:2">
      <c r="B116" s="36"/>
    </row>
    <row r="117" spans="2:2">
      <c r="B117" s="36"/>
    </row>
    <row r="118" spans="2:2">
      <c r="B118" s="36"/>
    </row>
    <row r="119" spans="2:2">
      <c r="B119" s="36"/>
    </row>
    <row r="120" spans="2:2">
      <c r="B120" s="36"/>
    </row>
    <row r="121" spans="2:2">
      <c r="B121" s="36"/>
    </row>
    <row r="122" spans="2:2">
      <c r="B122" s="36"/>
    </row>
    <row r="123" spans="2:2">
      <c r="B123" s="36"/>
    </row>
    <row r="124" spans="2:2">
      <c r="B124" s="36"/>
    </row>
    <row r="125" spans="2:2">
      <c r="B125" s="36"/>
    </row>
    <row r="126" spans="2:2">
      <c r="B126" s="36"/>
    </row>
    <row r="127" spans="2:2">
      <c r="B127" s="36"/>
    </row>
    <row r="128" spans="2:2">
      <c r="B128" s="36"/>
    </row>
    <row r="129" spans="2:2">
      <c r="B129" s="36"/>
    </row>
    <row r="130" spans="2:2">
      <c r="B130" s="36"/>
    </row>
    <row r="131" spans="2:2">
      <c r="B131" s="36"/>
    </row>
    <row r="132" spans="2:2">
      <c r="B132" s="36"/>
    </row>
    <row r="133" spans="2:2">
      <c r="B133" s="36"/>
    </row>
    <row r="134" spans="2:2">
      <c r="B134" s="36"/>
    </row>
    <row r="135" spans="2:2">
      <c r="B135" s="36"/>
    </row>
    <row r="136" spans="2:2">
      <c r="B136" s="36"/>
    </row>
    <row r="137" spans="2:2">
      <c r="B137" s="36"/>
    </row>
    <row r="138" spans="2:2">
      <c r="B138" s="36"/>
    </row>
    <row r="139" spans="2:2">
      <c r="B139" s="36"/>
    </row>
    <row r="140" spans="2:2">
      <c r="B140" s="36"/>
    </row>
    <row r="141" spans="2:2">
      <c r="B141" s="36"/>
    </row>
    <row r="142" spans="2:2">
      <c r="B142" s="36"/>
    </row>
    <row r="143" spans="2:2">
      <c r="B143" s="36"/>
    </row>
    <row r="144" spans="2:2">
      <c r="B144" s="36"/>
    </row>
    <row r="145" spans="2:2">
      <c r="B145" s="36"/>
    </row>
    <row r="146" spans="2:2">
      <c r="B146" s="36"/>
    </row>
    <row r="147" spans="2:2">
      <c r="B147" s="36"/>
    </row>
    <row r="148" spans="2:2">
      <c r="B148" s="36"/>
    </row>
    <row r="149" spans="2:2">
      <c r="B149" s="36"/>
    </row>
    <row r="150" spans="2:2">
      <c r="B150" s="36"/>
    </row>
    <row r="151" spans="2:2">
      <c r="B151" s="36"/>
    </row>
    <row r="152" spans="2:2">
      <c r="B152" s="36"/>
    </row>
    <row r="153" spans="2:2">
      <c r="B153" s="36"/>
    </row>
    <row r="154" spans="2:2">
      <c r="B154" s="36"/>
    </row>
    <row r="155" spans="2:2">
      <c r="B155" s="36"/>
    </row>
    <row r="156" spans="2:2">
      <c r="B156" s="36"/>
    </row>
    <row r="157" spans="2:2">
      <c r="B157" s="36"/>
    </row>
    <row r="158" spans="2:2">
      <c r="B158" s="36"/>
    </row>
    <row r="159" spans="2:2">
      <c r="B159" s="36"/>
    </row>
    <row r="160" spans="2:2">
      <c r="B160" s="36"/>
    </row>
    <row r="161" spans="2:2">
      <c r="B161" s="36"/>
    </row>
    <row r="162" spans="2:2">
      <c r="B162" s="36"/>
    </row>
    <row r="163" spans="2:2">
      <c r="B163" s="36"/>
    </row>
    <row r="164" spans="2:2">
      <c r="B164" s="36"/>
    </row>
    <row r="165" spans="2:2">
      <c r="B165" s="36"/>
    </row>
    <row r="166" spans="2:2">
      <c r="B166" s="36"/>
    </row>
    <row r="167" spans="2:2">
      <c r="B167" s="36"/>
    </row>
    <row r="168" spans="2:2">
      <c r="B168" s="36"/>
    </row>
    <row r="169" spans="2:2">
      <c r="B169" s="36"/>
    </row>
    <row r="170" spans="2:2">
      <c r="B170" s="36"/>
    </row>
    <row r="171" spans="2:2">
      <c r="B171" s="36"/>
    </row>
    <row r="172" spans="2:2">
      <c r="B172" s="36"/>
    </row>
    <row r="173" spans="2:2">
      <c r="B173" s="36"/>
    </row>
    <row r="174" spans="2:2">
      <c r="B174" s="36"/>
    </row>
    <row r="175" spans="2:2">
      <c r="B175" s="36"/>
    </row>
    <row r="176" spans="2:2">
      <c r="B176" s="36"/>
    </row>
    <row r="177" spans="2:2">
      <c r="B177" s="36"/>
    </row>
    <row r="178" spans="2:2">
      <c r="B178" s="36"/>
    </row>
    <row r="179" spans="2:2">
      <c r="B179" s="36"/>
    </row>
    <row r="180" spans="2:2">
      <c r="B180" s="36"/>
    </row>
    <row r="181" spans="2:2">
      <c r="B181" s="36"/>
    </row>
    <row r="182" spans="2:2">
      <c r="B182" s="36"/>
    </row>
    <row r="183" spans="2:2">
      <c r="B183" s="36"/>
    </row>
    <row r="184" spans="2:2">
      <c r="B184" s="36"/>
    </row>
    <row r="185" spans="2:2">
      <c r="B185" s="36"/>
    </row>
    <row r="186" spans="2:2">
      <c r="B186" s="36"/>
    </row>
    <row r="187" spans="2:2">
      <c r="B187" s="36"/>
    </row>
    <row r="188" spans="2:2">
      <c r="B188" s="36"/>
    </row>
    <row r="189" spans="2:2">
      <c r="B189" s="36"/>
    </row>
    <row r="190" spans="2:2">
      <c r="B190" s="36"/>
    </row>
    <row r="191" spans="2:2">
      <c r="B191" s="36"/>
    </row>
    <row r="192" spans="2:2">
      <c r="B192" s="36"/>
    </row>
    <row r="193" spans="2:2">
      <c r="B193" s="36"/>
    </row>
    <row r="194" spans="2:2">
      <c r="B194" s="36"/>
    </row>
    <row r="195" spans="2:2">
      <c r="B195" s="36"/>
    </row>
    <row r="196" spans="2:2">
      <c r="B196" s="36"/>
    </row>
    <row r="197" spans="2:2">
      <c r="B197" s="36"/>
    </row>
    <row r="198" spans="2:2">
      <c r="B198" s="36"/>
    </row>
    <row r="199" spans="2:2">
      <c r="B199" s="36"/>
    </row>
    <row r="200" spans="2:2">
      <c r="B200" s="36"/>
    </row>
    <row r="201" spans="2:2">
      <c r="B201" s="36"/>
    </row>
    <row r="202" spans="2:2">
      <c r="B202" s="36"/>
    </row>
    <row r="203" spans="2:2">
      <c r="B203" s="36"/>
    </row>
    <row r="204" spans="2:2">
      <c r="B204" s="36"/>
    </row>
    <row r="205" spans="2:2">
      <c r="B205" s="36"/>
    </row>
    <row r="206" spans="2:2">
      <c r="B206" s="36"/>
    </row>
    <row r="207" spans="2:2">
      <c r="B207" s="36"/>
    </row>
    <row r="208" spans="2:2">
      <c r="B208" s="36"/>
    </row>
    <row r="209" spans="2:2">
      <c r="B209" s="36"/>
    </row>
    <row r="210" spans="2:2">
      <c r="B210" s="36"/>
    </row>
    <row r="211" spans="2:2">
      <c r="B211" s="36"/>
    </row>
    <row r="212" spans="2:2">
      <c r="B212" s="36"/>
    </row>
    <row r="213" spans="2:2">
      <c r="B213" s="36"/>
    </row>
    <row r="214" spans="2:2">
      <c r="B214" s="36"/>
    </row>
    <row r="215" spans="2:2">
      <c r="B215" s="36"/>
    </row>
    <row r="216" spans="2:2">
      <c r="B216" s="36"/>
    </row>
    <row r="217" spans="2:2">
      <c r="B217" s="36"/>
    </row>
    <row r="218" spans="2:2">
      <c r="B218" s="36"/>
    </row>
    <row r="219" spans="2:2">
      <c r="B219" s="36"/>
    </row>
    <row r="220" spans="2:2">
      <c r="B220" s="36"/>
    </row>
    <row r="221" spans="2:2">
      <c r="B221" s="36"/>
    </row>
    <row r="222" spans="2:2">
      <c r="B222" s="36"/>
    </row>
    <row r="223" spans="2:2">
      <c r="B223" s="36"/>
    </row>
    <row r="224" spans="2:2">
      <c r="B224" s="36"/>
    </row>
    <row r="225" spans="2:2">
      <c r="B225" s="36"/>
    </row>
    <row r="226" spans="2:2">
      <c r="B226" s="36"/>
    </row>
    <row r="227" spans="2:2">
      <c r="B227" s="36"/>
    </row>
    <row r="228" spans="2:2">
      <c r="B228" s="36"/>
    </row>
    <row r="229" spans="2:2">
      <c r="B229" s="36"/>
    </row>
    <row r="230" spans="2:2">
      <c r="B230" s="36"/>
    </row>
    <row r="231" spans="2:2">
      <c r="B231" s="36"/>
    </row>
    <row r="232" spans="2:2">
      <c r="B232" s="36"/>
    </row>
    <row r="233" spans="2:2">
      <c r="B233" s="36"/>
    </row>
    <row r="234" spans="2:2">
      <c r="B234" s="36"/>
    </row>
    <row r="235" spans="2:2">
      <c r="B235" s="36"/>
    </row>
    <row r="236" spans="2:2">
      <c r="B236" s="36"/>
    </row>
    <row r="237" spans="2:2">
      <c r="B237" s="36"/>
    </row>
    <row r="238" spans="2:2">
      <c r="B238" s="36"/>
    </row>
    <row r="239" spans="2:2">
      <c r="B239" s="36"/>
    </row>
    <row r="240" spans="2:2">
      <c r="B240" s="36"/>
    </row>
    <row r="241" spans="2:2">
      <c r="B241" s="36"/>
    </row>
    <row r="242" spans="2:2">
      <c r="B242" s="36"/>
    </row>
    <row r="243" spans="2:2">
      <c r="B243" s="36"/>
    </row>
    <row r="244" spans="2:2">
      <c r="B244" s="36"/>
    </row>
    <row r="245" spans="2:2">
      <c r="B245" s="36"/>
    </row>
    <row r="246" spans="2:2">
      <c r="B246" s="36"/>
    </row>
    <row r="247" spans="2:2">
      <c r="B247" s="36"/>
    </row>
    <row r="248" spans="2:2">
      <c r="B248" s="36"/>
    </row>
    <row r="249" spans="2:2">
      <c r="B249" s="36"/>
    </row>
    <row r="250" spans="2:2">
      <c r="B250" s="36"/>
    </row>
    <row r="251" spans="2:2">
      <c r="B251" s="36"/>
    </row>
    <row r="252" spans="2:2">
      <c r="B252" s="36"/>
    </row>
    <row r="253" spans="2:2">
      <c r="B253" s="36"/>
    </row>
    <row r="254" spans="2:2">
      <c r="B254" s="36"/>
    </row>
    <row r="255" spans="2:2">
      <c r="B255" s="36"/>
    </row>
    <row r="256" spans="2:2">
      <c r="B256" s="36"/>
    </row>
    <row r="257" spans="2:2">
      <c r="B257" s="36"/>
    </row>
    <row r="258" spans="2:2">
      <c r="B258" s="36"/>
    </row>
    <row r="259" spans="2:2">
      <c r="B259" s="36"/>
    </row>
    <row r="260" spans="2:2">
      <c r="B260" s="36"/>
    </row>
    <row r="261" spans="2:2">
      <c r="B261" s="36"/>
    </row>
    <row r="262" spans="2:2">
      <c r="B262" s="36"/>
    </row>
    <row r="263" spans="2:2">
      <c r="B263" s="36"/>
    </row>
    <row r="264" spans="2:2">
      <c r="B264" s="36"/>
    </row>
    <row r="265" spans="2:2">
      <c r="B265" s="36"/>
    </row>
    <row r="266" spans="2:2">
      <c r="B266" s="36"/>
    </row>
    <row r="267" spans="2:2">
      <c r="B267" s="36"/>
    </row>
    <row r="268" spans="2:2">
      <c r="B268" s="36"/>
    </row>
    <row r="269" spans="2:2">
      <c r="B269" s="36"/>
    </row>
    <row r="270" spans="2:2">
      <c r="B270" s="36"/>
    </row>
    <row r="271" spans="2:2">
      <c r="B271" s="36"/>
    </row>
    <row r="272" spans="2:2">
      <c r="B272" s="36"/>
    </row>
    <row r="273" spans="2:2">
      <c r="B273" s="36"/>
    </row>
    <row r="274" spans="2:2">
      <c r="B274" s="36"/>
    </row>
    <row r="275" spans="2:2">
      <c r="B275" s="36"/>
    </row>
    <row r="276" spans="2:2">
      <c r="B276" s="36"/>
    </row>
    <row r="277" spans="2:2">
      <c r="B277" s="36"/>
    </row>
    <row r="278" spans="2:2">
      <c r="B278" s="36"/>
    </row>
    <row r="279" spans="2:2">
      <c r="B279" s="36"/>
    </row>
    <row r="280" spans="2:2">
      <c r="B280" s="36"/>
    </row>
    <row r="281" spans="2:2">
      <c r="B281" s="36"/>
    </row>
    <row r="282" spans="2:2">
      <c r="B282" s="36"/>
    </row>
    <row r="283" spans="2:2">
      <c r="B283" s="36"/>
    </row>
    <row r="284" spans="2:2">
      <c r="B284" s="36"/>
    </row>
    <row r="285" spans="2:2">
      <c r="B285" s="36"/>
    </row>
    <row r="286" spans="2:2">
      <c r="B286" s="36"/>
    </row>
    <row r="287" spans="2:2">
      <c r="B287" s="36"/>
    </row>
    <row r="288" spans="2:2">
      <c r="B288" s="36"/>
    </row>
    <row r="289" spans="2:2">
      <c r="B289" s="36"/>
    </row>
    <row r="290" spans="2:2">
      <c r="B290" s="36"/>
    </row>
    <row r="291" spans="2:2">
      <c r="B291" s="36"/>
    </row>
    <row r="292" spans="2:2">
      <c r="B292" s="36"/>
    </row>
    <row r="293" spans="2:2">
      <c r="B293" s="36"/>
    </row>
    <row r="294" spans="2:2">
      <c r="B294" s="36"/>
    </row>
    <row r="295" spans="2:2">
      <c r="B295" s="36"/>
    </row>
    <row r="296" spans="2:2">
      <c r="B296" s="36"/>
    </row>
    <row r="297" spans="2:2">
      <c r="B297" s="36"/>
    </row>
    <row r="298" spans="2:2">
      <c r="B298" s="36"/>
    </row>
    <row r="299" spans="2:2">
      <c r="B299" s="36"/>
    </row>
    <row r="300" spans="2:2">
      <c r="B300" s="36"/>
    </row>
    <row r="301" spans="2:2">
      <c r="B301" s="36"/>
    </row>
    <row r="302" spans="2:2">
      <c r="B302" s="36"/>
    </row>
    <row r="303" spans="2:2">
      <c r="B303" s="36"/>
    </row>
    <row r="304" spans="2:2">
      <c r="B304" s="36"/>
    </row>
    <row r="305" spans="2:2">
      <c r="B305" s="36"/>
    </row>
    <row r="306" spans="2:2">
      <c r="B306" s="36"/>
    </row>
    <row r="307" spans="2:2">
      <c r="B307" s="36"/>
    </row>
    <row r="308" spans="2:2">
      <c r="B308" s="36"/>
    </row>
    <row r="309" spans="2:2">
      <c r="B309" s="36"/>
    </row>
    <row r="310" spans="2:2">
      <c r="B310" s="36"/>
    </row>
    <row r="311" spans="2:2">
      <c r="B311" s="36"/>
    </row>
    <row r="312" spans="2:2">
      <c r="B312" s="36"/>
    </row>
    <row r="313" spans="2:2">
      <c r="B313" s="36"/>
    </row>
    <row r="314" spans="2:2">
      <c r="B314" s="36"/>
    </row>
    <row r="315" spans="2:2">
      <c r="B315" s="36"/>
    </row>
    <row r="316" spans="2:2">
      <c r="B316" s="36"/>
    </row>
    <row r="317" spans="2:2">
      <c r="B317" s="36"/>
    </row>
    <row r="318" spans="2:2">
      <c r="B318" s="36"/>
    </row>
    <row r="319" spans="2:2">
      <c r="B319" s="36"/>
    </row>
    <row r="320" spans="2:2">
      <c r="B320" s="36"/>
    </row>
    <row r="321" spans="2:2">
      <c r="B321" s="36"/>
    </row>
    <row r="322" spans="2:2">
      <c r="B322" s="36"/>
    </row>
    <row r="323" spans="2:2">
      <c r="B323" s="36"/>
    </row>
    <row r="324" spans="2:2">
      <c r="B324" s="36"/>
    </row>
    <row r="325" spans="2:2">
      <c r="B325" s="36"/>
    </row>
    <row r="326" spans="2:2">
      <c r="B326" s="36"/>
    </row>
    <row r="327" spans="2:2">
      <c r="B327" s="36"/>
    </row>
    <row r="328" spans="2:2">
      <c r="B328" s="36"/>
    </row>
    <row r="329" spans="2:2">
      <c r="B329" s="36"/>
    </row>
    <row r="330" spans="2:2">
      <c r="B330" s="36"/>
    </row>
    <row r="331" spans="2:2">
      <c r="B331" s="36"/>
    </row>
    <row r="332" spans="2:2">
      <c r="B332" s="36"/>
    </row>
    <row r="333" spans="2:2">
      <c r="B333" s="36"/>
    </row>
    <row r="334" spans="2:2">
      <c r="B334" s="36"/>
    </row>
    <row r="335" spans="2:2">
      <c r="B335" s="36"/>
    </row>
    <row r="336" spans="2:2">
      <c r="B336" s="36"/>
    </row>
    <row r="337" spans="2:2">
      <c r="B337" s="36"/>
    </row>
    <row r="338" spans="2:2">
      <c r="B338" s="36"/>
    </row>
    <row r="339" spans="2:2">
      <c r="B339" s="36"/>
    </row>
    <row r="340" spans="2:2">
      <c r="B340" s="36"/>
    </row>
    <row r="341" spans="2:2">
      <c r="B341" s="36"/>
    </row>
    <row r="342" spans="2:2">
      <c r="B342" s="36"/>
    </row>
    <row r="343" spans="2:2">
      <c r="B343" s="36"/>
    </row>
    <row r="344" spans="2:2">
      <c r="B344" s="36"/>
    </row>
    <row r="345" spans="2:2">
      <c r="B345" s="36"/>
    </row>
    <row r="346" spans="2:2">
      <c r="B346" s="36"/>
    </row>
    <row r="347" spans="2:2">
      <c r="B347" s="36"/>
    </row>
    <row r="348" spans="2:2">
      <c r="B348" s="36"/>
    </row>
    <row r="349" spans="2:2">
      <c r="B349" s="36"/>
    </row>
    <row r="350" spans="2:2">
      <c r="B350" s="36"/>
    </row>
    <row r="351" spans="2:2">
      <c r="B351" s="36"/>
    </row>
    <row r="352" spans="2:2">
      <c r="B352" s="36"/>
    </row>
    <row r="353" spans="2:2">
      <c r="B353" s="36"/>
    </row>
    <row r="354" spans="2:2">
      <c r="B354" s="36"/>
    </row>
    <row r="355" spans="2:2">
      <c r="B355" s="36"/>
    </row>
    <row r="356" spans="2:2">
      <c r="B356" s="36"/>
    </row>
    <row r="357" spans="2:2">
      <c r="B357" s="36"/>
    </row>
    <row r="358" spans="2:2">
      <c r="B358" s="36"/>
    </row>
    <row r="359" spans="2:2">
      <c r="B359" s="36"/>
    </row>
    <row r="360" spans="2:2">
      <c r="B360" s="36"/>
    </row>
    <row r="361" spans="2:2">
      <c r="B361" s="36"/>
    </row>
    <row r="362" spans="2:2">
      <c r="B362" s="36"/>
    </row>
    <row r="363" spans="2:2">
      <c r="B363" s="36"/>
    </row>
    <row r="364" spans="2:2">
      <c r="B364" s="36"/>
    </row>
    <row r="365" spans="2:2">
      <c r="B365" s="36"/>
    </row>
    <row r="366" spans="2:2">
      <c r="B366" s="36"/>
    </row>
    <row r="367" spans="2:2">
      <c r="B367" s="36"/>
    </row>
    <row r="368" spans="2:2">
      <c r="B368" s="36"/>
    </row>
    <row r="369" spans="2:2">
      <c r="B369" s="36"/>
    </row>
    <row r="370" spans="2:2">
      <c r="B370" s="36"/>
    </row>
    <row r="371" spans="2:2">
      <c r="B371" s="36"/>
    </row>
    <row r="372" spans="2:2">
      <c r="B372" s="36"/>
    </row>
    <row r="373" spans="2:2">
      <c r="B373" s="36"/>
    </row>
    <row r="374" spans="2:2">
      <c r="B374" s="36"/>
    </row>
    <row r="375" spans="2:2">
      <c r="B375" s="36"/>
    </row>
    <row r="376" spans="2:2">
      <c r="B376" s="36"/>
    </row>
    <row r="377" spans="2:2">
      <c r="B377" s="36"/>
    </row>
    <row r="378" spans="2:2">
      <c r="B378" s="36"/>
    </row>
    <row r="379" spans="2:2">
      <c r="B379" s="36"/>
    </row>
    <row r="380" spans="2:2">
      <c r="B380" s="36"/>
    </row>
    <row r="381" spans="2:2">
      <c r="B381" s="36"/>
    </row>
    <row r="382" spans="2:2">
      <c r="B382" s="36"/>
    </row>
    <row r="383" spans="2:2">
      <c r="B383" s="36"/>
    </row>
    <row r="384" spans="2:2">
      <c r="B384" s="36"/>
    </row>
    <row r="385" spans="2:2">
      <c r="B385" s="36"/>
    </row>
    <row r="386" spans="2:2">
      <c r="B386" s="36"/>
    </row>
    <row r="387" spans="2:2">
      <c r="B387" s="36"/>
    </row>
    <row r="388" spans="2:2">
      <c r="B388" s="36"/>
    </row>
    <row r="389" spans="2:2">
      <c r="B389" s="36"/>
    </row>
    <row r="390" spans="2:2">
      <c r="B390" s="36"/>
    </row>
    <row r="391" spans="2:2">
      <c r="B391" s="36"/>
    </row>
    <row r="392" spans="2:2">
      <c r="B392" s="36"/>
    </row>
    <row r="393" spans="2:2">
      <c r="B393" s="36"/>
    </row>
    <row r="394" spans="2:2">
      <c r="B394" s="36"/>
    </row>
    <row r="395" spans="2:2">
      <c r="B395" s="36"/>
    </row>
    <row r="396" spans="2:2">
      <c r="B396" s="36"/>
    </row>
    <row r="397" spans="2:2">
      <c r="B397" s="36"/>
    </row>
    <row r="398" spans="2:2">
      <c r="B398" s="36"/>
    </row>
    <row r="399" spans="2:2">
      <c r="B399" s="36"/>
    </row>
    <row r="400" spans="2:2">
      <c r="B400" s="36"/>
    </row>
    <row r="401" spans="2:2">
      <c r="B401" s="36"/>
    </row>
    <row r="402" spans="2:2">
      <c r="B402" s="36"/>
    </row>
    <row r="403" spans="2:2">
      <c r="B403" s="36"/>
    </row>
    <row r="404" spans="2:2">
      <c r="B404" s="36"/>
    </row>
    <row r="405" spans="2:2">
      <c r="B405" s="36"/>
    </row>
    <row r="406" spans="2:2">
      <c r="B406" s="36"/>
    </row>
    <row r="407" spans="2:2">
      <c r="B407" s="36"/>
    </row>
    <row r="408" spans="2:2">
      <c r="B408" s="36"/>
    </row>
    <row r="409" spans="2:2">
      <c r="B409" s="36"/>
    </row>
    <row r="410" spans="2:2">
      <c r="B410" s="36"/>
    </row>
    <row r="411" spans="2:2">
      <c r="B411" s="36"/>
    </row>
    <row r="412" spans="2:2">
      <c r="B412" s="36"/>
    </row>
    <row r="413" spans="2:2">
      <c r="B413" s="36"/>
    </row>
    <row r="414" spans="2:2">
      <c r="B414" s="36"/>
    </row>
    <row r="415" spans="2:2">
      <c r="B415" s="36"/>
    </row>
    <row r="416" spans="2:2">
      <c r="B416" s="36"/>
    </row>
    <row r="417" spans="2:2">
      <c r="B417" s="36"/>
    </row>
    <row r="418" spans="2:2">
      <c r="B418" s="36"/>
    </row>
    <row r="419" spans="2:2">
      <c r="B419" s="36"/>
    </row>
    <row r="420" spans="2:2">
      <c r="B420" s="36"/>
    </row>
    <row r="421" spans="2:2">
      <c r="B421" s="36"/>
    </row>
    <row r="422" spans="2:2">
      <c r="B422" s="36"/>
    </row>
    <row r="423" spans="2:2">
      <c r="B423" s="36"/>
    </row>
    <row r="424" spans="2:2">
      <c r="B424" s="36"/>
    </row>
    <row r="425" spans="2:2">
      <c r="B425" s="36"/>
    </row>
    <row r="426" spans="2:2">
      <c r="B426" s="36"/>
    </row>
    <row r="427" spans="2:2">
      <c r="B427" s="36"/>
    </row>
    <row r="428" spans="2:2">
      <c r="B428" s="36"/>
    </row>
    <row r="429" spans="2:2">
      <c r="B429" s="36"/>
    </row>
    <row r="430" spans="2:2">
      <c r="B430" s="36"/>
    </row>
    <row r="431" spans="2:2">
      <c r="B431" s="36"/>
    </row>
    <row r="432" spans="2:2">
      <c r="B432" s="36"/>
    </row>
    <row r="433" spans="2:2">
      <c r="B433" s="36"/>
    </row>
    <row r="434" spans="2:2">
      <c r="B434" s="36"/>
    </row>
    <row r="435" spans="2:2">
      <c r="B435" s="36"/>
    </row>
    <row r="436" spans="2:2">
      <c r="B436" s="36"/>
    </row>
    <row r="437" spans="2:2">
      <c r="B437" s="36"/>
    </row>
    <row r="438" spans="2:2">
      <c r="B438" s="36"/>
    </row>
    <row r="439" spans="2:2">
      <c r="B439" s="36"/>
    </row>
    <row r="440" spans="2:2">
      <c r="B440" s="36"/>
    </row>
    <row r="441" spans="2:2">
      <c r="B441" s="36"/>
    </row>
    <row r="442" spans="2:2">
      <c r="B442" s="36"/>
    </row>
    <row r="443" spans="2:2">
      <c r="B443" s="36"/>
    </row>
    <row r="444" spans="2:2">
      <c r="B444" s="36"/>
    </row>
    <row r="445" spans="2:2">
      <c r="B445" s="36"/>
    </row>
    <row r="446" spans="2:2">
      <c r="B446" s="36"/>
    </row>
    <row r="447" spans="2:2">
      <c r="B447" s="36"/>
    </row>
    <row r="448" spans="2:2">
      <c r="B448" s="36"/>
    </row>
    <row r="449" spans="2:2">
      <c r="B449" s="36"/>
    </row>
    <row r="450" spans="2:2">
      <c r="B450" s="36"/>
    </row>
    <row r="451" spans="2:2">
      <c r="B451" s="36"/>
    </row>
    <row r="452" spans="2:2">
      <c r="B452" s="36"/>
    </row>
    <row r="453" spans="2:2">
      <c r="B453" s="36"/>
    </row>
    <row r="454" spans="2:2">
      <c r="B454" s="36"/>
    </row>
    <row r="455" spans="2:2">
      <c r="B455" s="36"/>
    </row>
    <row r="456" spans="2:2">
      <c r="B456" s="36"/>
    </row>
    <row r="457" spans="2:2">
      <c r="B457" s="36"/>
    </row>
    <row r="458" spans="2:2">
      <c r="B458" s="36"/>
    </row>
    <row r="459" spans="2:2">
      <c r="B459" s="36"/>
    </row>
    <row r="460" spans="2:2">
      <c r="B460" s="36"/>
    </row>
    <row r="461" spans="2:2">
      <c r="B461" s="36"/>
    </row>
    <row r="462" spans="2:2">
      <c r="B462" s="36"/>
    </row>
    <row r="463" spans="2:2">
      <c r="B463" s="36"/>
    </row>
    <row r="464" spans="2:2">
      <c r="B464" s="36"/>
    </row>
    <row r="465" spans="2:2">
      <c r="B465" s="36"/>
    </row>
    <row r="466" spans="2:2">
      <c r="B466" s="36"/>
    </row>
    <row r="467" spans="2:2">
      <c r="B467" s="36"/>
    </row>
    <row r="468" spans="2:2">
      <c r="B468" s="36"/>
    </row>
    <row r="469" spans="2:2">
      <c r="B469" s="36"/>
    </row>
    <row r="470" spans="2:2">
      <c r="B470" s="36"/>
    </row>
    <row r="471" spans="2:2">
      <c r="B471" s="36"/>
    </row>
    <row r="472" spans="2:2">
      <c r="B472" s="36"/>
    </row>
    <row r="473" spans="2:2">
      <c r="B473" s="36"/>
    </row>
    <row r="474" spans="2:2">
      <c r="B474" s="36"/>
    </row>
    <row r="475" spans="2:2">
      <c r="B475" s="36"/>
    </row>
    <row r="476" spans="2:2">
      <c r="B476" s="36"/>
    </row>
    <row r="477" spans="2:2">
      <c r="B477" s="36"/>
    </row>
    <row r="478" spans="2:2">
      <c r="B478" s="36"/>
    </row>
    <row r="479" spans="2:2">
      <c r="B479" s="36"/>
    </row>
    <row r="480" spans="2:2">
      <c r="B480" s="36"/>
    </row>
    <row r="481" spans="2:2">
      <c r="B481" s="36"/>
    </row>
    <row r="482" spans="2:2">
      <c r="B482" s="36"/>
    </row>
    <row r="483" spans="2:2">
      <c r="B483" s="36"/>
    </row>
    <row r="484" spans="2:2">
      <c r="B484" s="36"/>
    </row>
    <row r="485" spans="2:2">
      <c r="B485" s="36"/>
    </row>
    <row r="486" spans="2:2">
      <c r="B486" s="36"/>
    </row>
    <row r="487" spans="2:2">
      <c r="B487" s="36"/>
    </row>
    <row r="488" spans="2:2">
      <c r="B488" s="36"/>
    </row>
    <row r="489" spans="2:2">
      <c r="B489" s="36"/>
    </row>
    <row r="490" spans="2:2">
      <c r="B490" s="36"/>
    </row>
    <row r="491" spans="2:2">
      <c r="B491" s="36"/>
    </row>
    <row r="492" spans="2:2">
      <c r="B492" s="36"/>
    </row>
    <row r="493" spans="2:2">
      <c r="B493" s="36"/>
    </row>
    <row r="494" spans="2:2">
      <c r="B494" s="36"/>
    </row>
    <row r="495" spans="2:2">
      <c r="B495" s="36"/>
    </row>
    <row r="496" spans="2:2">
      <c r="B496" s="36"/>
    </row>
    <row r="497" spans="2:2">
      <c r="B497" s="36"/>
    </row>
    <row r="498" spans="2:2">
      <c r="B498" s="36"/>
    </row>
    <row r="499" spans="2:2">
      <c r="B499" s="36"/>
    </row>
    <row r="500" spans="2:2">
      <c r="B500" s="36"/>
    </row>
    <row r="501" spans="2:2">
      <c r="B501" s="36"/>
    </row>
    <row r="502" spans="2:2">
      <c r="B502" s="36"/>
    </row>
    <row r="503" spans="2:2">
      <c r="B503" s="36"/>
    </row>
    <row r="504" spans="2:2">
      <c r="B504" s="36"/>
    </row>
    <row r="505" spans="2:2">
      <c r="B505" s="36"/>
    </row>
    <row r="506" spans="2:2">
      <c r="B506" s="36"/>
    </row>
    <row r="507" spans="2:2">
      <c r="B507" s="36"/>
    </row>
    <row r="508" spans="2:2">
      <c r="B508" s="36"/>
    </row>
    <row r="509" spans="2:2">
      <c r="B509" s="36"/>
    </row>
    <row r="510" spans="2:2">
      <c r="B510" s="36"/>
    </row>
    <row r="511" spans="2:2">
      <c r="B511" s="36"/>
    </row>
    <row r="512" spans="2:2">
      <c r="B512" s="36"/>
    </row>
    <row r="513" spans="2:2">
      <c r="B513" s="36"/>
    </row>
    <row r="514" spans="2:2">
      <c r="B514" s="36"/>
    </row>
    <row r="515" spans="2:2">
      <c r="B515" s="36"/>
    </row>
    <row r="516" spans="2:2">
      <c r="B516" s="36"/>
    </row>
    <row r="517" spans="2:2">
      <c r="B517" s="36"/>
    </row>
    <row r="518" spans="2:2">
      <c r="B518" s="36"/>
    </row>
    <row r="519" spans="2:2">
      <c r="B519" s="36"/>
    </row>
    <row r="520" spans="2:2">
      <c r="B520" s="36"/>
    </row>
    <row r="521" spans="2:2">
      <c r="B521" s="36"/>
    </row>
    <row r="522" spans="2:2">
      <c r="B522" s="36"/>
    </row>
    <row r="523" spans="2:2">
      <c r="B523" s="36"/>
    </row>
    <row r="524" spans="2:2">
      <c r="B524" s="36"/>
    </row>
    <row r="525" spans="2:2">
      <c r="B525" s="36"/>
    </row>
    <row r="526" spans="2:2">
      <c r="B526" s="36"/>
    </row>
    <row r="527" spans="2:2">
      <c r="B527" s="36"/>
    </row>
    <row r="528" spans="2:2">
      <c r="B528" s="36"/>
    </row>
    <row r="529" spans="2:2">
      <c r="B529" s="36"/>
    </row>
    <row r="530" spans="2:2">
      <c r="B530" s="36"/>
    </row>
    <row r="531" spans="2:2">
      <c r="B531" s="36"/>
    </row>
    <row r="532" spans="2:2">
      <c r="B532" s="36"/>
    </row>
    <row r="533" spans="2:2">
      <c r="B533" s="36"/>
    </row>
    <row r="534" spans="2:2">
      <c r="B534" s="36"/>
    </row>
    <row r="535" spans="2:2">
      <c r="B535" s="36"/>
    </row>
    <row r="536" spans="2:2">
      <c r="B536" s="36"/>
    </row>
    <row r="537" spans="2:2">
      <c r="B537" s="36"/>
    </row>
    <row r="538" spans="2:2">
      <c r="B538" s="36"/>
    </row>
    <row r="539" spans="2:2">
      <c r="B539" s="36"/>
    </row>
    <row r="540" spans="2:2">
      <c r="B540" s="36"/>
    </row>
    <row r="541" spans="2:2">
      <c r="B541" s="36"/>
    </row>
    <row r="542" spans="2:2">
      <c r="B542" s="36"/>
    </row>
    <row r="543" spans="2:2">
      <c r="B543" s="36"/>
    </row>
    <row r="544" spans="2:2">
      <c r="B544" s="36"/>
    </row>
    <row r="545" spans="2:2">
      <c r="B545" s="36"/>
    </row>
    <row r="546" spans="2:2">
      <c r="B546" s="36"/>
    </row>
    <row r="547" spans="2:2">
      <c r="B547" s="36"/>
    </row>
    <row r="548" spans="2:2">
      <c r="B548" s="36"/>
    </row>
    <row r="549" spans="2:2">
      <c r="B549" s="36"/>
    </row>
    <row r="550" spans="2:2">
      <c r="B550" s="36"/>
    </row>
    <row r="551" spans="2:2">
      <c r="B551" s="36"/>
    </row>
    <row r="552" spans="2:2">
      <c r="B552" s="36"/>
    </row>
    <row r="553" spans="2:2">
      <c r="B553" s="36"/>
    </row>
    <row r="554" spans="2:2">
      <c r="B554" s="36"/>
    </row>
    <row r="555" spans="2:2">
      <c r="B555" s="36"/>
    </row>
    <row r="556" spans="2:2">
      <c r="B556" s="36"/>
    </row>
    <row r="557" spans="2:2">
      <c r="B557" s="36"/>
    </row>
    <row r="558" spans="2:2">
      <c r="B558" s="36"/>
    </row>
    <row r="559" spans="2:2">
      <c r="B559" s="36"/>
    </row>
    <row r="560" spans="2:2">
      <c r="B560" s="36"/>
    </row>
    <row r="561" spans="2:2">
      <c r="B561" s="36"/>
    </row>
    <row r="562" spans="2:2">
      <c r="B562" s="36"/>
    </row>
    <row r="563" spans="2:2">
      <c r="B563" s="36"/>
    </row>
    <row r="564" spans="2:2">
      <c r="B564" s="36"/>
    </row>
    <row r="565" spans="2:2">
      <c r="B565" s="36"/>
    </row>
    <row r="566" spans="2:2">
      <c r="B566" s="36"/>
    </row>
    <row r="567" spans="2:2">
      <c r="B567" s="36"/>
    </row>
    <row r="568" spans="2:2">
      <c r="B568" s="36"/>
    </row>
  </sheetData>
  <customSheetViews>
    <customSheetView guid="{4FEDB3BD-111A-4B7D-AA97-E67173A5F707}" showPageBreaks="1" printArea="1" hiddenColumns="1" view="pageBreakPreview" showRuler="0" topLeftCell="A11">
      <selection activeCell="J22" sqref="J22"/>
      <pageMargins left="0.5" right="0.5" top="1" bottom="1" header="0.5" footer="0.5"/>
      <printOptions horizontalCentered="1"/>
      <pageSetup orientation="landscape" r:id="rId1"/>
      <headerFooter alignWithMargins="0">
        <oddHeader>&amp;C&amp;"Arial,Bold"&amp;12&amp;UProject Activity 28: Photogrammetry</oddHeader>
        <oddFooter>&amp;CPage &amp;P of &amp;N</oddFooter>
      </headerFooter>
    </customSheetView>
    <customSheetView guid="{D5FFA8DD-F2DB-47F2-B4D2-3681726B2E8F}" showPageBreaks="1" printArea="1" hiddenColumns="1" view="pageBreakPreview" showRuler="0">
      <selection activeCell="C3" sqref="C3:P3"/>
      <pageMargins left="0.5" right="0.5" top="1" bottom="1" header="0.5" footer="0.5"/>
      <printOptions horizontalCentered="1"/>
      <pageSetup orientation="landscape" r:id="rId2"/>
      <headerFooter alignWithMargins="0">
        <oddHeader>&amp;C&amp;"Arial,Bold"&amp;12&amp;UProject Activity 28: Photogrammetry</oddHeader>
        <oddFooter>&amp;CPage &amp;P of &amp;N</oddFooter>
      </headerFooter>
    </customSheetView>
    <customSheetView guid="{EFE02F7B-3837-4B0F-9646-ADE249504E9F}" showPageBreaks="1" printArea="1" hiddenColumns="1" view="pageBreakPreview" showRuler="0" topLeftCell="A20">
      <selection activeCell="J29" sqref="J29"/>
      <pageMargins left="0.5" right="0.5" top="1" bottom="1" header="0.5" footer="0.5"/>
      <printOptions horizontalCentered="1"/>
      <pageSetup orientation="landscape" r:id="rId3"/>
      <headerFooter alignWithMargins="0">
        <oddHeader>&amp;C&amp;"Arial,Bold"&amp;12&amp;UProject Activity 28: Photogrammetry</oddHeader>
        <oddFooter>&amp;CPage &amp;P of &amp;N</oddFooter>
      </headerFooter>
    </customSheetView>
    <customSheetView guid="{053BE130-58A3-4F3B-945A-C2EFB15C6264}" scale="150" showPageBreaks="1" printArea="1" hiddenColumns="1" view="pageBreakPreview" showRuler="0">
      <selection activeCell="I11" sqref="I11"/>
      <pageMargins left="0.5" right="0.5" top="1" bottom="1" header="0.5" footer="0.5"/>
      <printOptions horizontalCentered="1"/>
      <pageSetup orientation="landscape" r:id="rId4"/>
      <headerFooter alignWithMargins="0">
        <oddHeader>&amp;C&amp;"Arial,Bold"&amp;12&amp;UProject Activity 28: Photogrammetry</oddHeader>
        <oddFooter>&amp;CPage &amp;P of &amp;N</oddFooter>
      </headerFooter>
    </customSheetView>
    <customSheetView guid="{F5DBE5B9-A9E4-4030-888B-08F930ECBB74}" scale="150" showPageBreaks="1" printArea="1" hiddenColumns="1" view="pageBreakPreview" showRuler="0">
      <selection activeCell="I11" sqref="I11"/>
      <pageMargins left="0.5" right="0.5" top="1" bottom="1" header="0.5" footer="0.5"/>
      <printOptions horizontalCentered="1"/>
      <pageSetup orientation="landscape" r:id="rId5"/>
      <headerFooter alignWithMargins="0">
        <oddHeader>&amp;C&amp;"Arial,Bold"&amp;12&amp;UProject Activity 28: Photogrammetry</oddHeader>
        <oddFooter>&amp;CPage &amp;P of &amp;N</oddFooter>
      </headerFooter>
    </customSheetView>
    <customSheetView guid="{960FB4AF-B150-4523-972C-3F7C93F049F3}" showPageBreaks="1" printArea="1" hiddenColumns="1" view="pageBreakPreview" showRuler="0" topLeftCell="A11">
      <selection activeCell="J22" sqref="J22"/>
      <pageMargins left="0.5" right="0.5" top="1" bottom="1" header="0.5" footer="0.5"/>
      <printOptions horizontalCentered="1"/>
      <pageSetup orientation="landscape" r:id="rId6"/>
      <headerFooter alignWithMargins="0">
        <oddHeader>&amp;C&amp;"Arial,Bold"&amp;12&amp;UProject Activity 28: Photogrammetry</oddHeader>
        <oddFooter>&amp;CPage &amp;P of &amp;N</oddFooter>
      </headerFooter>
    </customSheetView>
    <customSheetView guid="{DF3BD4C9-2986-4236-8E90-D96736404377}" showPageBreaks="1" printArea="1" hiddenColumns="1" view="pageBreakPreview" showRuler="0" topLeftCell="A16">
      <selection activeCell="J27" sqref="J27"/>
      <pageMargins left="0.5" right="0.5" top="1" bottom="1" header="0.5" footer="0.5"/>
      <printOptions horizontalCentered="1"/>
      <pageSetup orientation="landscape" r:id="rId7"/>
      <headerFooter alignWithMargins="0">
        <oddHeader>&amp;C&amp;"Arial,Bold"&amp;12&amp;UProject Activity 28: Photogrammetry</oddHeader>
        <oddFooter>&amp;CPage &amp;P of &amp;N</oddFooter>
      </headerFooter>
    </customSheetView>
  </customSheetViews>
  <mergeCells count="18">
    <mergeCell ref="A35:C35"/>
    <mergeCell ref="A30:C30"/>
    <mergeCell ref="C14:C16"/>
    <mergeCell ref="C17:C19"/>
    <mergeCell ref="A1:E1"/>
    <mergeCell ref="A4:A5"/>
    <mergeCell ref="A6:A8"/>
    <mergeCell ref="A17:A19"/>
    <mergeCell ref="A14:A16"/>
    <mergeCell ref="A9:A11"/>
    <mergeCell ref="D4:D5"/>
    <mergeCell ref="E4:E5"/>
    <mergeCell ref="E14:E16"/>
    <mergeCell ref="E6:E8"/>
    <mergeCell ref="E9:E11"/>
    <mergeCell ref="D18:D19"/>
    <mergeCell ref="E17:E19"/>
    <mergeCell ref="C4:C5"/>
  </mergeCells>
  <phoneticPr fontId="0" type="noConversion"/>
  <printOptions horizontalCentered="1" verticalCentered="1"/>
  <pageMargins left="0.75" right="0.75" top="1" bottom="1" header="0.5" footer="0.5"/>
  <pageSetup scale="74" fitToHeight="2" orientation="landscape" r:id="rId8"/>
  <headerFooter alignWithMargins="0"/>
  <rowBreaks count="1" manualBreakCount="1">
    <brk id="32" max="4" man="1"/>
  </rowBreak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2"/>
  <dimension ref="A1:C847"/>
  <sheetViews>
    <sheetView showGridLines="0" zoomScaleNormal="100" zoomScaleSheetLayoutView="100" workbookViewId="0">
      <selection sqref="A1:C1"/>
    </sheetView>
  </sheetViews>
  <sheetFormatPr defaultRowHeight="13.2"/>
  <cols>
    <col min="1" max="1" width="6.6640625" bestFit="1" customWidth="1"/>
    <col min="2" max="2" width="30.6640625" customWidth="1"/>
    <col min="3" max="3" width="100.6640625" style="20" customWidth="1"/>
  </cols>
  <sheetData>
    <row r="1" spans="1:3" s="67" customFormat="1" ht="33" customHeight="1">
      <c r="A1" s="803" t="s">
        <v>740</v>
      </c>
      <c r="B1" s="804"/>
      <c r="C1" s="805"/>
    </row>
    <row r="2" spans="1:3" ht="48" customHeight="1">
      <c r="A2" s="223" t="s">
        <v>385</v>
      </c>
      <c r="B2" s="142" t="s">
        <v>844</v>
      </c>
      <c r="C2" s="224" t="s">
        <v>1070</v>
      </c>
    </row>
    <row r="3" spans="1:3" ht="20.100000000000001" customHeight="1">
      <c r="A3" s="312"/>
      <c r="B3" s="313" t="s">
        <v>1162</v>
      </c>
      <c r="C3" s="314"/>
    </row>
    <row r="4" spans="1:3" ht="55.2">
      <c r="A4" s="308">
        <v>29.1</v>
      </c>
      <c r="B4" s="285" t="s">
        <v>500</v>
      </c>
      <c r="C4" s="149" t="s">
        <v>3129</v>
      </c>
    </row>
    <row r="5" spans="1:3" ht="55.2">
      <c r="A5" s="308">
        <v>29.2</v>
      </c>
      <c r="B5" s="285" t="s">
        <v>1344</v>
      </c>
      <c r="C5" s="149" t="s">
        <v>3130</v>
      </c>
    </row>
    <row r="6" spans="1:3" ht="55.2">
      <c r="A6" s="308">
        <v>29.3</v>
      </c>
      <c r="B6" s="285" t="s">
        <v>3131</v>
      </c>
      <c r="C6" s="149" t="s">
        <v>3132</v>
      </c>
    </row>
    <row r="7" spans="1:3" ht="69">
      <c r="A7" s="308">
        <v>29.4</v>
      </c>
      <c r="B7" s="285" t="s">
        <v>2928</v>
      </c>
      <c r="C7" s="149" t="s">
        <v>2929</v>
      </c>
    </row>
    <row r="8" spans="1:3" ht="124.2">
      <c r="A8" s="308">
        <v>29.5</v>
      </c>
      <c r="B8" s="285" t="s">
        <v>501</v>
      </c>
      <c r="C8" s="149" t="s">
        <v>3133</v>
      </c>
    </row>
    <row r="9" spans="1:3" ht="41.4">
      <c r="A9" s="308">
        <v>29.6</v>
      </c>
      <c r="B9" s="285" t="s">
        <v>1345</v>
      </c>
      <c r="C9" s="149" t="s">
        <v>3134</v>
      </c>
    </row>
    <row r="10" spans="1:3" ht="82.8">
      <c r="A10" s="308">
        <v>29.7</v>
      </c>
      <c r="B10" s="154" t="s">
        <v>493</v>
      </c>
      <c r="C10" s="149" t="s">
        <v>3135</v>
      </c>
    </row>
    <row r="11" spans="1:3" ht="96.6">
      <c r="A11" s="308">
        <v>29.8</v>
      </c>
      <c r="B11" s="285" t="s">
        <v>494</v>
      </c>
      <c r="C11" s="149" t="s">
        <v>3136</v>
      </c>
    </row>
    <row r="12" spans="1:3" ht="55.2">
      <c r="A12" s="308">
        <v>29.9</v>
      </c>
      <c r="B12" s="285" t="s">
        <v>495</v>
      </c>
      <c r="C12" s="149" t="s">
        <v>3137</v>
      </c>
    </row>
    <row r="13" spans="1:3" ht="55.2">
      <c r="A13" s="311">
        <v>29.1</v>
      </c>
      <c r="B13" s="285" t="s">
        <v>1343</v>
      </c>
      <c r="C13" s="149" t="s">
        <v>3138</v>
      </c>
    </row>
    <row r="14" spans="1:3" ht="20.100000000000001" customHeight="1">
      <c r="A14" s="306"/>
      <c r="B14" s="309" t="s">
        <v>1334</v>
      </c>
      <c r="C14" s="310"/>
    </row>
    <row r="15" spans="1:3" ht="13.8">
      <c r="A15" s="311">
        <v>29.11</v>
      </c>
      <c r="B15" s="285" t="s">
        <v>502</v>
      </c>
      <c r="C15" s="149" t="s">
        <v>3139</v>
      </c>
    </row>
    <row r="16" spans="1:3" ht="69">
      <c r="A16" s="311">
        <v>29.12</v>
      </c>
      <c r="B16" s="285" t="s">
        <v>503</v>
      </c>
      <c r="C16" s="149" t="s">
        <v>3140</v>
      </c>
    </row>
    <row r="17" spans="1:3" ht="69">
      <c r="A17" s="311">
        <v>29.13</v>
      </c>
      <c r="B17" s="285" t="s">
        <v>504</v>
      </c>
      <c r="C17" s="149" t="s">
        <v>3141</v>
      </c>
    </row>
    <row r="18" spans="1:3" ht="13.8">
      <c r="A18" s="311">
        <v>29.14</v>
      </c>
      <c r="B18" s="285" t="s">
        <v>505</v>
      </c>
      <c r="C18" s="149" t="s">
        <v>3142</v>
      </c>
    </row>
    <row r="19" spans="1:3" ht="82.8">
      <c r="A19" s="311">
        <v>29.15</v>
      </c>
      <c r="B19" s="285" t="s">
        <v>506</v>
      </c>
      <c r="C19" s="149" t="s">
        <v>3143</v>
      </c>
    </row>
    <row r="20" spans="1:3" ht="69">
      <c r="A20" s="311">
        <v>29.16</v>
      </c>
      <c r="B20" s="285" t="s">
        <v>507</v>
      </c>
      <c r="C20" s="149" t="s">
        <v>3144</v>
      </c>
    </row>
    <row r="21" spans="1:3" ht="13.8">
      <c r="A21" s="311">
        <v>29.17</v>
      </c>
      <c r="B21" s="285" t="s">
        <v>80</v>
      </c>
      <c r="C21" s="149" t="s">
        <v>3145</v>
      </c>
    </row>
    <row r="22" spans="1:3" ht="82.8">
      <c r="A22" s="311">
        <v>29.18</v>
      </c>
      <c r="B22" s="285" t="s">
        <v>79</v>
      </c>
      <c r="C22" s="149" t="s">
        <v>3146</v>
      </c>
    </row>
    <row r="23" spans="1:3" ht="69">
      <c r="A23" s="311">
        <v>29.19</v>
      </c>
      <c r="B23" s="285" t="s">
        <v>81</v>
      </c>
      <c r="C23" s="149" t="s">
        <v>3147</v>
      </c>
    </row>
    <row r="24" spans="1:3" ht="41.4">
      <c r="A24" s="311">
        <v>29.2</v>
      </c>
      <c r="B24" s="285" t="s">
        <v>508</v>
      </c>
      <c r="C24" s="149" t="s">
        <v>3148</v>
      </c>
    </row>
    <row r="25" spans="1:3" ht="69">
      <c r="A25" s="311">
        <v>29.21</v>
      </c>
      <c r="B25" s="285" t="s">
        <v>2463</v>
      </c>
      <c r="C25" s="149" t="s">
        <v>3149</v>
      </c>
    </row>
    <row r="26" spans="1:3" ht="41.4">
      <c r="A26" s="311">
        <v>29.22</v>
      </c>
      <c r="B26" s="285" t="s">
        <v>509</v>
      </c>
      <c r="C26" s="149" t="s">
        <v>3150</v>
      </c>
    </row>
    <row r="27" spans="1:3" ht="20.100000000000001" customHeight="1">
      <c r="A27" s="307"/>
      <c r="B27" s="713" t="s">
        <v>216</v>
      </c>
      <c r="C27" s="310"/>
    </row>
    <row r="28" spans="1:3" ht="41.4">
      <c r="A28" s="311">
        <v>29.23</v>
      </c>
      <c r="B28" s="285" t="s">
        <v>510</v>
      </c>
      <c r="C28" s="149" t="s">
        <v>3151</v>
      </c>
    </row>
    <row r="29" spans="1:3" ht="41.4">
      <c r="A29" s="311">
        <v>29.24</v>
      </c>
      <c r="B29" s="285" t="s">
        <v>511</v>
      </c>
      <c r="C29" s="149" t="s">
        <v>3152</v>
      </c>
    </row>
    <row r="30" spans="1:3" ht="41.4">
      <c r="A30" s="311">
        <v>29.25</v>
      </c>
      <c r="B30" s="285" t="s">
        <v>217</v>
      </c>
      <c r="C30" s="149" t="s">
        <v>3153</v>
      </c>
    </row>
    <row r="31" spans="1:3" ht="27.6">
      <c r="A31" s="311">
        <v>29.26</v>
      </c>
      <c r="B31" s="285" t="s">
        <v>512</v>
      </c>
      <c r="C31" s="149" t="s">
        <v>3154</v>
      </c>
    </row>
    <row r="32" spans="1:3" ht="96.6">
      <c r="A32" s="311">
        <v>29.27</v>
      </c>
      <c r="B32" s="285" t="s">
        <v>513</v>
      </c>
      <c r="C32" s="149" t="s">
        <v>3217</v>
      </c>
    </row>
    <row r="33" spans="1:3" ht="55.2">
      <c r="A33" s="311">
        <v>29.28</v>
      </c>
      <c r="B33" s="285" t="s">
        <v>497</v>
      </c>
      <c r="C33" s="149" t="s">
        <v>3155</v>
      </c>
    </row>
    <row r="34" spans="1:3" ht="27.6">
      <c r="A34" s="311">
        <v>29.29</v>
      </c>
      <c r="B34" s="285" t="s">
        <v>498</v>
      </c>
      <c r="C34" s="149" t="s">
        <v>3156</v>
      </c>
    </row>
    <row r="35" spans="1:3" ht="41.4">
      <c r="A35" s="311">
        <v>29.3</v>
      </c>
      <c r="B35" s="285" t="s">
        <v>499</v>
      </c>
      <c r="C35" s="149" t="s">
        <v>3218</v>
      </c>
    </row>
    <row r="36" spans="1:3" ht="20.100000000000001" customHeight="1">
      <c r="A36" s="1073" t="s">
        <v>1193</v>
      </c>
      <c r="B36" s="1074"/>
      <c r="C36" s="300"/>
    </row>
    <row r="37" spans="1:3" ht="27.6">
      <c r="A37" s="311">
        <v>29.31</v>
      </c>
      <c r="B37" s="154" t="s">
        <v>1339</v>
      </c>
      <c r="C37" s="149" t="s">
        <v>3157</v>
      </c>
    </row>
    <row r="38" spans="1:3" ht="13.8">
      <c r="A38" s="311">
        <v>29.32</v>
      </c>
      <c r="B38" s="285" t="s">
        <v>912</v>
      </c>
      <c r="C38" s="149" t="s">
        <v>3158</v>
      </c>
    </row>
    <row r="39" spans="1:3" ht="13.8">
      <c r="A39" s="311">
        <v>29.33</v>
      </c>
      <c r="B39" s="285" t="s">
        <v>3162</v>
      </c>
      <c r="C39" s="149" t="s">
        <v>3159</v>
      </c>
    </row>
    <row r="40" spans="1:3" ht="27.6">
      <c r="A40" s="311">
        <v>29.34</v>
      </c>
      <c r="B40" s="285" t="s">
        <v>1509</v>
      </c>
      <c r="C40" s="149" t="s">
        <v>3160</v>
      </c>
    </row>
    <row r="41" spans="1:3" ht="20.100000000000001" customHeight="1">
      <c r="A41" s="1073" t="s">
        <v>1194</v>
      </c>
      <c r="B41" s="1074"/>
      <c r="C41" s="300"/>
    </row>
    <row r="42" spans="1:3" ht="27.6">
      <c r="A42" s="191">
        <v>29.35</v>
      </c>
      <c r="B42" s="268" t="s">
        <v>384</v>
      </c>
      <c r="C42" s="149" t="s">
        <v>3163</v>
      </c>
    </row>
    <row r="43" spans="1:3" ht="69.599999999999994" thickBot="1">
      <c r="A43" s="541">
        <v>29.36</v>
      </c>
      <c r="B43" s="542" t="s">
        <v>218</v>
      </c>
      <c r="C43" s="485" t="s">
        <v>3161</v>
      </c>
    </row>
    <row r="45" spans="1:3">
      <c r="A45" s="12"/>
    </row>
    <row r="46" spans="1:3">
      <c r="A46" s="12"/>
    </row>
    <row r="47" spans="1:3">
      <c r="A47" s="12"/>
    </row>
    <row r="48" spans="1:3">
      <c r="A48" s="12"/>
    </row>
    <row r="49" spans="1:1">
      <c r="A49" s="12"/>
    </row>
    <row r="50" spans="1:1">
      <c r="A50" s="12"/>
    </row>
    <row r="51" spans="1:1">
      <c r="A51" s="12"/>
    </row>
    <row r="52" spans="1:1">
      <c r="A52" s="12"/>
    </row>
    <row r="53" spans="1:1">
      <c r="A53" s="12"/>
    </row>
    <row r="54" spans="1:1">
      <c r="A54" s="12"/>
    </row>
    <row r="55" spans="1:1">
      <c r="A55" s="12"/>
    </row>
    <row r="56" spans="1:1">
      <c r="A56" s="12"/>
    </row>
    <row r="57" spans="1:1">
      <c r="A57" s="12"/>
    </row>
    <row r="58" spans="1:1">
      <c r="A58" s="12"/>
    </row>
    <row r="59" spans="1:1">
      <c r="A59" s="12"/>
    </row>
    <row r="60" spans="1:1">
      <c r="A60" s="12"/>
    </row>
    <row r="61" spans="1:1">
      <c r="A61" s="12"/>
    </row>
    <row r="62" spans="1:1">
      <c r="A62" s="12"/>
    </row>
    <row r="63" spans="1:1">
      <c r="A63" s="12"/>
    </row>
    <row r="64" spans="1:1">
      <c r="A64" s="12"/>
    </row>
    <row r="65" spans="1:1">
      <c r="A65" s="12"/>
    </row>
    <row r="66" spans="1:1">
      <c r="A66" s="12"/>
    </row>
    <row r="67" spans="1:1">
      <c r="A67" s="14"/>
    </row>
    <row r="68" spans="1:1">
      <c r="A68" s="14"/>
    </row>
    <row r="69" spans="1:1">
      <c r="A69" s="14"/>
    </row>
    <row r="70" spans="1:1">
      <c r="A70" s="14"/>
    </row>
    <row r="71" spans="1:1">
      <c r="A71" s="14"/>
    </row>
    <row r="72" spans="1:1">
      <c r="A72" s="14"/>
    </row>
    <row r="73" spans="1:1">
      <c r="A73" s="14"/>
    </row>
    <row r="74" spans="1:1">
      <c r="A74" s="14"/>
    </row>
    <row r="75" spans="1:1">
      <c r="A75" s="14"/>
    </row>
    <row r="76" spans="1:1">
      <c r="A76" s="14"/>
    </row>
    <row r="77" spans="1:1">
      <c r="A77" s="14"/>
    </row>
    <row r="78" spans="1:1">
      <c r="A78" s="14"/>
    </row>
    <row r="79" spans="1:1">
      <c r="A79" s="14"/>
    </row>
    <row r="80" spans="1:1">
      <c r="A80" s="14"/>
    </row>
    <row r="81" spans="1:1">
      <c r="A81" s="14"/>
    </row>
    <row r="82" spans="1:1">
      <c r="A82" s="14"/>
    </row>
    <row r="83" spans="1:1">
      <c r="A83" s="14"/>
    </row>
    <row r="84" spans="1:1">
      <c r="A84" s="14"/>
    </row>
    <row r="85" spans="1:1">
      <c r="A85" s="14"/>
    </row>
    <row r="86" spans="1:1">
      <c r="A86" s="14"/>
    </row>
    <row r="87" spans="1:1">
      <c r="A87" s="14"/>
    </row>
    <row r="88" spans="1:1">
      <c r="A88" s="14"/>
    </row>
    <row r="89" spans="1:1">
      <c r="A89" s="14"/>
    </row>
    <row r="90" spans="1:1">
      <c r="A90" s="14"/>
    </row>
    <row r="91" spans="1:1">
      <c r="A91" s="14"/>
    </row>
    <row r="92" spans="1:1">
      <c r="A92" s="14"/>
    </row>
    <row r="93" spans="1:1">
      <c r="A93" s="14"/>
    </row>
    <row r="94" spans="1:1">
      <c r="A94" s="14"/>
    </row>
    <row r="95" spans="1:1">
      <c r="A95" s="14"/>
    </row>
    <row r="96" spans="1:1">
      <c r="A96" s="14"/>
    </row>
    <row r="97" spans="1:1">
      <c r="A97" s="14"/>
    </row>
    <row r="98" spans="1:1">
      <c r="A98" s="14"/>
    </row>
    <row r="99" spans="1:1">
      <c r="A99" s="14"/>
    </row>
    <row r="100" spans="1:1">
      <c r="A100" s="14"/>
    </row>
    <row r="101" spans="1:1">
      <c r="A101" s="14"/>
    </row>
    <row r="102" spans="1:1">
      <c r="A102" s="14"/>
    </row>
    <row r="103" spans="1:1">
      <c r="A103" s="14"/>
    </row>
    <row r="104" spans="1:1">
      <c r="A104" s="14"/>
    </row>
    <row r="105" spans="1:1">
      <c r="A105" s="14"/>
    </row>
    <row r="106" spans="1:1">
      <c r="A106" s="14"/>
    </row>
    <row r="107" spans="1:1">
      <c r="A107" s="14"/>
    </row>
    <row r="108" spans="1:1">
      <c r="A108" s="14"/>
    </row>
    <row r="109" spans="1:1">
      <c r="A109" s="14"/>
    </row>
    <row r="110" spans="1:1">
      <c r="A110" s="14"/>
    </row>
    <row r="111" spans="1:1">
      <c r="A111" s="14"/>
    </row>
    <row r="112" spans="1:1">
      <c r="A112" s="14"/>
    </row>
    <row r="113" spans="1:1">
      <c r="A113" s="14"/>
    </row>
    <row r="114" spans="1:1">
      <c r="A114" s="14"/>
    </row>
    <row r="115" spans="1:1">
      <c r="A115" s="14"/>
    </row>
    <row r="116" spans="1:1">
      <c r="A116" s="14"/>
    </row>
    <row r="117" spans="1:1">
      <c r="A117" s="14"/>
    </row>
    <row r="118" spans="1:1">
      <c r="A118" s="14"/>
    </row>
    <row r="119" spans="1:1">
      <c r="A119" s="14"/>
    </row>
    <row r="120" spans="1:1">
      <c r="A120" s="14"/>
    </row>
    <row r="121" spans="1:1">
      <c r="A121" s="14"/>
    </row>
    <row r="122" spans="1:1">
      <c r="A122" s="14"/>
    </row>
    <row r="123" spans="1:1">
      <c r="A123" s="14"/>
    </row>
    <row r="124" spans="1:1">
      <c r="A124" s="14"/>
    </row>
    <row r="125" spans="1:1">
      <c r="A125" s="14"/>
    </row>
    <row r="126" spans="1:1">
      <c r="A126" s="14"/>
    </row>
    <row r="127" spans="1:1">
      <c r="A127" s="14"/>
    </row>
    <row r="128" spans="1:1">
      <c r="A128" s="14"/>
    </row>
    <row r="129" spans="1:1">
      <c r="A129" s="14"/>
    </row>
    <row r="130" spans="1:1">
      <c r="A130" s="14"/>
    </row>
    <row r="131" spans="1:1">
      <c r="A131" s="14"/>
    </row>
    <row r="132" spans="1:1">
      <c r="A132" s="14"/>
    </row>
    <row r="133" spans="1:1">
      <c r="A133" s="14"/>
    </row>
    <row r="134" spans="1:1">
      <c r="A134" s="14"/>
    </row>
    <row r="135" spans="1:1">
      <c r="A135" s="14"/>
    </row>
    <row r="136" spans="1:1">
      <c r="A136" s="14"/>
    </row>
    <row r="137" spans="1:1">
      <c r="A137" s="14"/>
    </row>
    <row r="138" spans="1:1">
      <c r="A138" s="14"/>
    </row>
    <row r="139" spans="1:1">
      <c r="A139" s="14"/>
    </row>
    <row r="140" spans="1:1">
      <c r="A140" s="14"/>
    </row>
    <row r="141" spans="1:1">
      <c r="A141" s="14"/>
    </row>
    <row r="142" spans="1:1">
      <c r="A142" s="14"/>
    </row>
    <row r="143" spans="1:1">
      <c r="A143" s="14"/>
    </row>
    <row r="144" spans="1:1">
      <c r="A144" s="14"/>
    </row>
    <row r="145" spans="1:1">
      <c r="A145" s="14"/>
    </row>
    <row r="146" spans="1:1">
      <c r="A146" s="14"/>
    </row>
    <row r="147" spans="1:1">
      <c r="A147" s="14"/>
    </row>
    <row r="148" spans="1:1">
      <c r="A148" s="14"/>
    </row>
    <row r="149" spans="1:1">
      <c r="A149" s="14"/>
    </row>
    <row r="150" spans="1:1">
      <c r="A150" s="14"/>
    </row>
    <row r="151" spans="1:1">
      <c r="A151" s="14"/>
    </row>
    <row r="152" spans="1:1">
      <c r="A152" s="14"/>
    </row>
    <row r="153" spans="1:1">
      <c r="A153" s="14"/>
    </row>
    <row r="154" spans="1:1">
      <c r="A154" s="14"/>
    </row>
    <row r="155" spans="1:1">
      <c r="A155" s="14"/>
    </row>
    <row r="156" spans="1:1">
      <c r="A156" s="14"/>
    </row>
    <row r="157" spans="1:1">
      <c r="A157" s="14"/>
    </row>
    <row r="158" spans="1:1">
      <c r="A158" s="14"/>
    </row>
    <row r="159" spans="1:1">
      <c r="A159" s="14"/>
    </row>
    <row r="160" spans="1:1">
      <c r="A160" s="14"/>
    </row>
    <row r="161" spans="1:1">
      <c r="A161" s="14"/>
    </row>
    <row r="162" spans="1:1">
      <c r="A162" s="14"/>
    </row>
    <row r="163" spans="1:1">
      <c r="A163" s="14"/>
    </row>
    <row r="164" spans="1:1">
      <c r="A164" s="14"/>
    </row>
    <row r="165" spans="1:1">
      <c r="A165" s="14"/>
    </row>
    <row r="166" spans="1:1">
      <c r="A166" s="14"/>
    </row>
    <row r="167" spans="1:1">
      <c r="A167" s="14"/>
    </row>
    <row r="168" spans="1:1">
      <c r="A168" s="14"/>
    </row>
    <row r="169" spans="1:1">
      <c r="A169" s="14"/>
    </row>
    <row r="170" spans="1:1">
      <c r="A170" s="14"/>
    </row>
    <row r="171" spans="1:1">
      <c r="A171" s="14"/>
    </row>
    <row r="172" spans="1:1">
      <c r="A172" s="14"/>
    </row>
    <row r="173" spans="1:1">
      <c r="A173" s="14"/>
    </row>
    <row r="174" spans="1:1">
      <c r="A174" s="14"/>
    </row>
    <row r="175" spans="1:1">
      <c r="A175" s="14"/>
    </row>
    <row r="176" spans="1:1">
      <c r="A176" s="14"/>
    </row>
    <row r="177" spans="1:1">
      <c r="A177" s="14"/>
    </row>
    <row r="178" spans="1:1">
      <c r="A178" s="14"/>
    </row>
    <row r="179" spans="1:1">
      <c r="A179" s="14"/>
    </row>
    <row r="180" spans="1:1">
      <c r="A180" s="14"/>
    </row>
    <row r="181" spans="1:1">
      <c r="A181" s="14"/>
    </row>
    <row r="182" spans="1:1">
      <c r="A182" s="14"/>
    </row>
    <row r="183" spans="1:1">
      <c r="A183" s="14"/>
    </row>
    <row r="184" spans="1:1">
      <c r="A184" s="14"/>
    </row>
    <row r="185" spans="1:1">
      <c r="A185" s="14"/>
    </row>
    <row r="186" spans="1:1">
      <c r="A186" s="14"/>
    </row>
    <row r="187" spans="1:1">
      <c r="A187" s="14"/>
    </row>
    <row r="188" spans="1:1">
      <c r="A188" s="14"/>
    </row>
    <row r="189" spans="1:1">
      <c r="A189" s="14"/>
    </row>
    <row r="190" spans="1:1">
      <c r="A190" s="14"/>
    </row>
    <row r="191" spans="1:1">
      <c r="A191" s="14"/>
    </row>
    <row r="192" spans="1:1">
      <c r="A192" s="14"/>
    </row>
    <row r="193" spans="1:1">
      <c r="A193" s="14"/>
    </row>
    <row r="194" spans="1:1">
      <c r="A194" s="14"/>
    </row>
    <row r="195" spans="1:1">
      <c r="A195" s="14"/>
    </row>
    <row r="196" spans="1:1">
      <c r="A196" s="14"/>
    </row>
    <row r="197" spans="1:1">
      <c r="A197" s="14"/>
    </row>
    <row r="198" spans="1:1">
      <c r="A198" s="14"/>
    </row>
    <row r="199" spans="1:1">
      <c r="A199" s="14"/>
    </row>
    <row r="200" spans="1:1">
      <c r="A200" s="14"/>
    </row>
    <row r="201" spans="1:1">
      <c r="A201" s="14"/>
    </row>
    <row r="202" spans="1:1">
      <c r="A202" s="14"/>
    </row>
    <row r="203" spans="1:1">
      <c r="A203" s="14"/>
    </row>
    <row r="204" spans="1:1">
      <c r="A204" s="14"/>
    </row>
    <row r="205" spans="1:1">
      <c r="A205" s="14"/>
    </row>
    <row r="206" spans="1:1">
      <c r="A206" s="14"/>
    </row>
    <row r="207" spans="1:1">
      <c r="A207" s="14"/>
    </row>
    <row r="208" spans="1:1">
      <c r="A208" s="14"/>
    </row>
    <row r="209" spans="1:1">
      <c r="A209" s="14"/>
    </row>
    <row r="210" spans="1:1">
      <c r="A210" s="14"/>
    </row>
    <row r="211" spans="1:1">
      <c r="A211" s="14"/>
    </row>
    <row r="212" spans="1:1">
      <c r="A212" s="14"/>
    </row>
    <row r="213" spans="1:1">
      <c r="A213" s="14"/>
    </row>
    <row r="214" spans="1:1">
      <c r="A214" s="14"/>
    </row>
    <row r="215" spans="1:1">
      <c r="A215" s="14"/>
    </row>
    <row r="216" spans="1:1">
      <c r="A216" s="14"/>
    </row>
    <row r="217" spans="1:1">
      <c r="A217" s="14"/>
    </row>
    <row r="218" spans="1:1">
      <c r="A218" s="14"/>
    </row>
    <row r="219" spans="1:1">
      <c r="A219" s="14"/>
    </row>
    <row r="220" spans="1:1">
      <c r="A220" s="14"/>
    </row>
    <row r="221" spans="1:1">
      <c r="A221" s="14"/>
    </row>
    <row r="222" spans="1:1">
      <c r="A222" s="14"/>
    </row>
    <row r="223" spans="1:1">
      <c r="A223" s="14"/>
    </row>
    <row r="224" spans="1:1">
      <c r="A224" s="14"/>
    </row>
    <row r="225" spans="1:1">
      <c r="A225" s="14"/>
    </row>
    <row r="226" spans="1:1">
      <c r="A226" s="14"/>
    </row>
    <row r="227" spans="1:1">
      <c r="A227" s="14"/>
    </row>
    <row r="228" spans="1:1">
      <c r="A228" s="14"/>
    </row>
    <row r="229" spans="1:1">
      <c r="A229" s="14"/>
    </row>
    <row r="230" spans="1:1">
      <c r="A230" s="14"/>
    </row>
    <row r="231" spans="1:1">
      <c r="A231" s="14"/>
    </row>
    <row r="232" spans="1:1">
      <c r="A232" s="14"/>
    </row>
    <row r="233" spans="1:1">
      <c r="A233" s="14"/>
    </row>
    <row r="234" spans="1:1">
      <c r="A234" s="14"/>
    </row>
    <row r="235" spans="1:1">
      <c r="A235" s="14"/>
    </row>
    <row r="236" spans="1:1">
      <c r="A236" s="14"/>
    </row>
    <row r="237" spans="1:1">
      <c r="A237" s="14"/>
    </row>
    <row r="238" spans="1:1">
      <c r="A238" s="14"/>
    </row>
    <row r="239" spans="1:1">
      <c r="A239" s="14"/>
    </row>
    <row r="240" spans="1:1">
      <c r="A240" s="14"/>
    </row>
    <row r="241" spans="1:1">
      <c r="A241" s="14"/>
    </row>
    <row r="242" spans="1:1">
      <c r="A242" s="14"/>
    </row>
    <row r="243" spans="1:1">
      <c r="A243" s="14"/>
    </row>
    <row r="244" spans="1:1">
      <c r="A244" s="14"/>
    </row>
    <row r="245" spans="1:1">
      <c r="A245" s="14"/>
    </row>
    <row r="246" spans="1:1">
      <c r="A246" s="14"/>
    </row>
    <row r="247" spans="1:1">
      <c r="A247" s="14"/>
    </row>
    <row r="248" spans="1:1">
      <c r="A248" s="14"/>
    </row>
    <row r="249" spans="1:1">
      <c r="A249" s="14"/>
    </row>
    <row r="250" spans="1:1">
      <c r="A250" s="14"/>
    </row>
    <row r="251" spans="1:1">
      <c r="A251" s="14"/>
    </row>
    <row r="252" spans="1:1">
      <c r="A252" s="14"/>
    </row>
    <row r="253" spans="1:1">
      <c r="A253" s="14"/>
    </row>
    <row r="254" spans="1:1">
      <c r="A254" s="14"/>
    </row>
    <row r="255" spans="1:1">
      <c r="A255" s="14"/>
    </row>
    <row r="256" spans="1:1">
      <c r="A256" s="14"/>
    </row>
    <row r="257" spans="1:1">
      <c r="A257" s="14"/>
    </row>
    <row r="258" spans="1:1">
      <c r="A258" s="14"/>
    </row>
    <row r="259" spans="1:1">
      <c r="A259" s="14"/>
    </row>
    <row r="260" spans="1:1">
      <c r="A260" s="14"/>
    </row>
    <row r="261" spans="1:1">
      <c r="A261" s="14"/>
    </row>
    <row r="262" spans="1:1">
      <c r="A262" s="14"/>
    </row>
    <row r="263" spans="1:1">
      <c r="A263" s="14"/>
    </row>
    <row r="264" spans="1:1">
      <c r="A264" s="14"/>
    </row>
    <row r="265" spans="1:1">
      <c r="A265" s="14"/>
    </row>
    <row r="266" spans="1:1">
      <c r="A266" s="14"/>
    </row>
    <row r="267" spans="1:1">
      <c r="A267" s="14"/>
    </row>
    <row r="268" spans="1:1">
      <c r="A268" s="14"/>
    </row>
    <row r="269" spans="1:1">
      <c r="A269" s="14"/>
    </row>
    <row r="270" spans="1:1">
      <c r="A270" s="14"/>
    </row>
    <row r="271" spans="1:1">
      <c r="A271" s="14"/>
    </row>
    <row r="272" spans="1:1">
      <c r="A272" s="14"/>
    </row>
    <row r="273" spans="1:1">
      <c r="A273" s="14"/>
    </row>
    <row r="274" spans="1:1">
      <c r="A274" s="14"/>
    </row>
    <row r="275" spans="1:1">
      <c r="A275" s="14"/>
    </row>
    <row r="276" spans="1:1">
      <c r="A276" s="14"/>
    </row>
    <row r="277" spans="1:1">
      <c r="A277" s="14"/>
    </row>
    <row r="278" spans="1:1">
      <c r="A278" s="14"/>
    </row>
    <row r="279" spans="1:1">
      <c r="A279" s="14"/>
    </row>
    <row r="280" spans="1:1">
      <c r="A280" s="14"/>
    </row>
    <row r="281" spans="1:1">
      <c r="A281" s="14"/>
    </row>
    <row r="282" spans="1:1">
      <c r="A282" s="14"/>
    </row>
    <row r="283" spans="1:1">
      <c r="A283" s="14"/>
    </row>
    <row r="284" spans="1:1">
      <c r="A284" s="14"/>
    </row>
    <row r="285" spans="1:1">
      <c r="A285" s="14"/>
    </row>
    <row r="286" spans="1:1">
      <c r="A286" s="14"/>
    </row>
    <row r="287" spans="1:1">
      <c r="A287" s="14"/>
    </row>
    <row r="288" spans="1:1">
      <c r="A288" s="14"/>
    </row>
    <row r="289" spans="1:1">
      <c r="A289" s="14"/>
    </row>
    <row r="290" spans="1:1">
      <c r="A290" s="14"/>
    </row>
    <row r="291" spans="1:1">
      <c r="A291" s="14"/>
    </row>
    <row r="292" spans="1:1">
      <c r="A292" s="14"/>
    </row>
    <row r="293" spans="1:1">
      <c r="A293" s="14"/>
    </row>
    <row r="294" spans="1:1">
      <c r="A294" s="14"/>
    </row>
    <row r="295" spans="1:1">
      <c r="A295" s="14"/>
    </row>
    <row r="296" spans="1:1">
      <c r="A296" s="14"/>
    </row>
    <row r="297" spans="1:1">
      <c r="A297" s="14"/>
    </row>
    <row r="298" spans="1:1">
      <c r="A298" s="14"/>
    </row>
    <row r="299" spans="1:1">
      <c r="A299" s="14"/>
    </row>
    <row r="300" spans="1:1">
      <c r="A300" s="14"/>
    </row>
    <row r="301" spans="1:1">
      <c r="A301" s="14"/>
    </row>
    <row r="302" spans="1:1">
      <c r="A302" s="14"/>
    </row>
    <row r="303" spans="1:1">
      <c r="A303" s="14"/>
    </row>
    <row r="304" spans="1:1">
      <c r="A304" s="14"/>
    </row>
    <row r="305" spans="1:1">
      <c r="A305" s="14"/>
    </row>
    <row r="306" spans="1:1">
      <c r="A306" s="14"/>
    </row>
    <row r="307" spans="1:1">
      <c r="A307" s="14"/>
    </row>
    <row r="308" spans="1:1">
      <c r="A308" s="14"/>
    </row>
    <row r="309" spans="1:1">
      <c r="A309" s="14"/>
    </row>
    <row r="310" spans="1:1">
      <c r="A310" s="14"/>
    </row>
    <row r="311" spans="1:1">
      <c r="A311" s="14"/>
    </row>
    <row r="312" spans="1:1">
      <c r="A312" s="14"/>
    </row>
    <row r="313" spans="1:1">
      <c r="A313" s="14"/>
    </row>
    <row r="314" spans="1:1">
      <c r="A314" s="14"/>
    </row>
    <row r="315" spans="1:1">
      <c r="A315" s="14"/>
    </row>
    <row r="316" spans="1:1">
      <c r="A316" s="14"/>
    </row>
    <row r="317" spans="1:1">
      <c r="A317" s="14"/>
    </row>
    <row r="318" spans="1:1">
      <c r="A318" s="14"/>
    </row>
    <row r="319" spans="1:1">
      <c r="A319" s="14"/>
    </row>
    <row r="320" spans="1:1">
      <c r="A320" s="14"/>
    </row>
    <row r="321" spans="1:1">
      <c r="A321" s="14"/>
    </row>
    <row r="322" spans="1:1">
      <c r="A322" s="14"/>
    </row>
    <row r="323" spans="1:1">
      <c r="A323" s="14"/>
    </row>
    <row r="324" spans="1:1">
      <c r="A324" s="14"/>
    </row>
    <row r="325" spans="1:1">
      <c r="A325" s="14"/>
    </row>
    <row r="326" spans="1:1">
      <c r="A326" s="14"/>
    </row>
    <row r="327" spans="1:1">
      <c r="A327" s="14"/>
    </row>
    <row r="328" spans="1:1">
      <c r="A328" s="14"/>
    </row>
    <row r="329" spans="1:1">
      <c r="A329" s="14"/>
    </row>
    <row r="330" spans="1:1">
      <c r="A330" s="14"/>
    </row>
    <row r="331" spans="1:1">
      <c r="A331" s="14"/>
    </row>
    <row r="332" spans="1:1">
      <c r="A332" s="14"/>
    </row>
    <row r="333" spans="1:1">
      <c r="A333" s="14"/>
    </row>
    <row r="334" spans="1:1">
      <c r="A334" s="14"/>
    </row>
    <row r="335" spans="1:1">
      <c r="A335" s="14"/>
    </row>
    <row r="336" spans="1:1">
      <c r="A336" s="14"/>
    </row>
    <row r="337" spans="1:1">
      <c r="A337" s="14"/>
    </row>
    <row r="338" spans="1:1">
      <c r="A338" s="14"/>
    </row>
    <row r="339" spans="1:1">
      <c r="A339" s="14"/>
    </row>
    <row r="340" spans="1:1">
      <c r="A340" s="14"/>
    </row>
    <row r="341" spans="1:1">
      <c r="A341" s="14"/>
    </row>
    <row r="342" spans="1:1">
      <c r="A342" s="14"/>
    </row>
    <row r="343" spans="1:1">
      <c r="A343" s="14"/>
    </row>
    <row r="344" spans="1:1">
      <c r="A344" s="14"/>
    </row>
    <row r="345" spans="1:1">
      <c r="A345" s="14"/>
    </row>
    <row r="346" spans="1:1">
      <c r="A346" s="14"/>
    </row>
    <row r="347" spans="1:1">
      <c r="A347" s="14"/>
    </row>
    <row r="348" spans="1:1">
      <c r="A348" s="14"/>
    </row>
    <row r="349" spans="1:1">
      <c r="A349" s="14"/>
    </row>
    <row r="350" spans="1:1">
      <c r="A350" s="14"/>
    </row>
    <row r="351" spans="1:1">
      <c r="A351" s="14"/>
    </row>
    <row r="352" spans="1:1">
      <c r="A352" s="14"/>
    </row>
    <row r="353" spans="1:1">
      <c r="A353" s="14"/>
    </row>
    <row r="354" spans="1:1">
      <c r="A354" s="14"/>
    </row>
    <row r="355" spans="1:1">
      <c r="A355" s="14"/>
    </row>
    <row r="356" spans="1:1">
      <c r="A356" s="14"/>
    </row>
    <row r="357" spans="1:1">
      <c r="A357" s="14"/>
    </row>
    <row r="358" spans="1:1">
      <c r="A358" s="14"/>
    </row>
    <row r="359" spans="1:1">
      <c r="A359" s="14"/>
    </row>
    <row r="360" spans="1:1">
      <c r="A360" s="14"/>
    </row>
    <row r="361" spans="1:1">
      <c r="A361" s="14"/>
    </row>
    <row r="362" spans="1:1">
      <c r="A362" s="14"/>
    </row>
    <row r="363" spans="1:1">
      <c r="A363" s="14"/>
    </row>
    <row r="364" spans="1:1">
      <c r="A364" s="14"/>
    </row>
    <row r="365" spans="1:1">
      <c r="A365" s="14"/>
    </row>
    <row r="366" spans="1:1">
      <c r="A366" s="14"/>
    </row>
    <row r="367" spans="1:1">
      <c r="A367" s="14"/>
    </row>
    <row r="368" spans="1:1">
      <c r="A368" s="14"/>
    </row>
    <row r="369" spans="1:1">
      <c r="A369" s="14"/>
    </row>
    <row r="370" spans="1:1">
      <c r="A370" s="14"/>
    </row>
    <row r="371" spans="1:1">
      <c r="A371" s="14"/>
    </row>
    <row r="372" spans="1:1">
      <c r="A372" s="14"/>
    </row>
    <row r="373" spans="1:1">
      <c r="A373" s="14"/>
    </row>
    <row r="374" spans="1:1">
      <c r="A374" s="14"/>
    </row>
    <row r="375" spans="1:1">
      <c r="A375" s="14"/>
    </row>
    <row r="376" spans="1:1">
      <c r="A376" s="14"/>
    </row>
    <row r="377" spans="1:1">
      <c r="A377" s="14"/>
    </row>
    <row r="378" spans="1:1">
      <c r="A378" s="14"/>
    </row>
    <row r="379" spans="1:1">
      <c r="A379" s="14"/>
    </row>
    <row r="380" spans="1:1">
      <c r="A380" s="14"/>
    </row>
    <row r="381" spans="1:1">
      <c r="A381" s="14"/>
    </row>
    <row r="382" spans="1:1">
      <c r="A382" s="14"/>
    </row>
    <row r="383" spans="1:1">
      <c r="A383" s="14"/>
    </row>
    <row r="384" spans="1:1">
      <c r="A384" s="14"/>
    </row>
    <row r="385" spans="1:1">
      <c r="A385" s="14"/>
    </row>
    <row r="386" spans="1:1">
      <c r="A386" s="14"/>
    </row>
    <row r="387" spans="1:1">
      <c r="A387" s="14"/>
    </row>
    <row r="388" spans="1:1">
      <c r="A388" s="14"/>
    </row>
    <row r="389" spans="1:1">
      <c r="A389" s="14"/>
    </row>
    <row r="390" spans="1:1">
      <c r="A390" s="14"/>
    </row>
    <row r="391" spans="1:1">
      <c r="A391" s="14"/>
    </row>
    <row r="392" spans="1:1">
      <c r="A392" s="14"/>
    </row>
    <row r="393" spans="1:1">
      <c r="A393" s="14"/>
    </row>
    <row r="394" spans="1:1">
      <c r="A394" s="14"/>
    </row>
    <row r="395" spans="1:1">
      <c r="A395" s="14"/>
    </row>
    <row r="396" spans="1:1">
      <c r="A396" s="14"/>
    </row>
    <row r="397" spans="1:1">
      <c r="A397" s="14"/>
    </row>
    <row r="398" spans="1:1">
      <c r="A398" s="14"/>
    </row>
    <row r="399" spans="1:1">
      <c r="A399" s="14"/>
    </row>
    <row r="400" spans="1:1">
      <c r="A400" s="14"/>
    </row>
    <row r="401" spans="1:1">
      <c r="A401" s="14"/>
    </row>
    <row r="402" spans="1:1">
      <c r="A402" s="14"/>
    </row>
    <row r="403" spans="1:1">
      <c r="A403" s="14"/>
    </row>
    <row r="404" spans="1:1">
      <c r="A404" s="14"/>
    </row>
    <row r="405" spans="1:1">
      <c r="A405" s="14"/>
    </row>
    <row r="406" spans="1:1">
      <c r="A406" s="14"/>
    </row>
    <row r="407" spans="1:1">
      <c r="A407" s="14"/>
    </row>
    <row r="408" spans="1:1">
      <c r="A408" s="14"/>
    </row>
    <row r="409" spans="1:1">
      <c r="A409" s="14"/>
    </row>
    <row r="410" spans="1:1">
      <c r="A410" s="14"/>
    </row>
    <row r="411" spans="1:1">
      <c r="A411" s="14"/>
    </row>
    <row r="412" spans="1:1">
      <c r="A412" s="14"/>
    </row>
    <row r="413" spans="1:1">
      <c r="A413" s="14"/>
    </row>
    <row r="414" spans="1:1">
      <c r="A414" s="14"/>
    </row>
    <row r="415" spans="1:1">
      <c r="A415" s="14"/>
    </row>
    <row r="416" spans="1:1">
      <c r="A416" s="14"/>
    </row>
    <row r="417" spans="1:1">
      <c r="A417" s="14"/>
    </row>
    <row r="418" spans="1:1">
      <c r="A418" s="14"/>
    </row>
    <row r="419" spans="1:1">
      <c r="A419" s="14"/>
    </row>
    <row r="420" spans="1:1">
      <c r="A420" s="14"/>
    </row>
    <row r="421" spans="1:1">
      <c r="A421" s="14"/>
    </row>
    <row r="422" spans="1:1">
      <c r="A422" s="14"/>
    </row>
    <row r="423" spans="1:1">
      <c r="A423" s="14"/>
    </row>
    <row r="424" spans="1:1">
      <c r="A424" s="14"/>
    </row>
    <row r="425" spans="1:1">
      <c r="A425" s="14"/>
    </row>
    <row r="426" spans="1:1">
      <c r="A426" s="14"/>
    </row>
    <row r="427" spans="1:1">
      <c r="A427" s="14"/>
    </row>
    <row r="428" spans="1:1">
      <c r="A428" s="14"/>
    </row>
    <row r="429" spans="1:1">
      <c r="A429" s="14"/>
    </row>
    <row r="430" spans="1:1">
      <c r="A430" s="14"/>
    </row>
    <row r="431" spans="1:1">
      <c r="A431" s="14"/>
    </row>
    <row r="432" spans="1:1">
      <c r="A432" s="14"/>
    </row>
    <row r="433" spans="1:1">
      <c r="A433" s="14"/>
    </row>
    <row r="434" spans="1:1">
      <c r="A434" s="14"/>
    </row>
    <row r="435" spans="1:1">
      <c r="A435" s="14"/>
    </row>
    <row r="436" spans="1:1">
      <c r="A436" s="14"/>
    </row>
    <row r="437" spans="1:1">
      <c r="A437" s="14"/>
    </row>
    <row r="438" spans="1:1">
      <c r="A438" s="14"/>
    </row>
    <row r="439" spans="1:1">
      <c r="A439" s="14"/>
    </row>
    <row r="440" spans="1:1">
      <c r="A440" s="14"/>
    </row>
    <row r="441" spans="1:1">
      <c r="A441" s="14"/>
    </row>
    <row r="442" spans="1:1">
      <c r="A442" s="14"/>
    </row>
    <row r="443" spans="1:1">
      <c r="A443" s="14"/>
    </row>
    <row r="444" spans="1:1">
      <c r="A444" s="14"/>
    </row>
    <row r="445" spans="1:1">
      <c r="A445" s="14"/>
    </row>
    <row r="446" spans="1:1">
      <c r="A446" s="14"/>
    </row>
    <row r="447" spans="1:1">
      <c r="A447" s="14"/>
    </row>
    <row r="448" spans="1:1">
      <c r="A448" s="14"/>
    </row>
    <row r="449" spans="1:1">
      <c r="A449" s="14"/>
    </row>
    <row r="450" spans="1:1">
      <c r="A450" s="14"/>
    </row>
    <row r="451" spans="1:1">
      <c r="A451" s="14"/>
    </row>
    <row r="452" spans="1:1">
      <c r="A452" s="14"/>
    </row>
    <row r="453" spans="1:1">
      <c r="A453" s="14"/>
    </row>
    <row r="454" spans="1:1">
      <c r="A454" s="14"/>
    </row>
    <row r="455" spans="1:1">
      <c r="A455" s="14"/>
    </row>
    <row r="456" spans="1:1">
      <c r="A456" s="14"/>
    </row>
    <row r="457" spans="1:1">
      <c r="A457" s="14"/>
    </row>
    <row r="458" spans="1:1">
      <c r="A458" s="14"/>
    </row>
    <row r="459" spans="1:1">
      <c r="A459" s="14"/>
    </row>
    <row r="460" spans="1:1">
      <c r="A460" s="14"/>
    </row>
    <row r="461" spans="1:1">
      <c r="A461" s="14"/>
    </row>
    <row r="462" spans="1:1">
      <c r="A462" s="14"/>
    </row>
    <row r="463" spans="1:1">
      <c r="A463" s="14"/>
    </row>
    <row r="464" spans="1:1">
      <c r="A464" s="14"/>
    </row>
    <row r="465" spans="1:1">
      <c r="A465" s="14"/>
    </row>
    <row r="466" spans="1:1">
      <c r="A466" s="14"/>
    </row>
    <row r="467" spans="1:1">
      <c r="A467" s="14"/>
    </row>
    <row r="468" spans="1:1">
      <c r="A468" s="14"/>
    </row>
    <row r="469" spans="1:1">
      <c r="A469" s="14"/>
    </row>
    <row r="470" spans="1:1">
      <c r="A470" s="14"/>
    </row>
    <row r="471" spans="1:1">
      <c r="A471" s="14"/>
    </row>
    <row r="472" spans="1:1">
      <c r="A472" s="14"/>
    </row>
    <row r="473" spans="1:1">
      <c r="A473" s="14"/>
    </row>
    <row r="474" spans="1:1">
      <c r="A474" s="14"/>
    </row>
    <row r="475" spans="1:1">
      <c r="A475" s="14"/>
    </row>
    <row r="476" spans="1:1">
      <c r="A476" s="14"/>
    </row>
    <row r="477" spans="1:1">
      <c r="A477" s="14"/>
    </row>
    <row r="478" spans="1:1">
      <c r="A478" s="14"/>
    </row>
    <row r="479" spans="1:1">
      <c r="A479" s="14"/>
    </row>
    <row r="480" spans="1:1">
      <c r="A480" s="14"/>
    </row>
    <row r="481" spans="1:1">
      <c r="A481" s="14"/>
    </row>
    <row r="482" spans="1:1">
      <c r="A482" s="14"/>
    </row>
    <row r="483" spans="1:1">
      <c r="A483" s="14"/>
    </row>
    <row r="484" spans="1:1">
      <c r="A484" s="14"/>
    </row>
    <row r="485" spans="1:1">
      <c r="A485" s="14"/>
    </row>
    <row r="486" spans="1:1">
      <c r="A486" s="14"/>
    </row>
    <row r="487" spans="1:1">
      <c r="A487" s="14"/>
    </row>
    <row r="488" spans="1:1">
      <c r="A488" s="14"/>
    </row>
    <row r="489" spans="1:1">
      <c r="A489" s="14"/>
    </row>
    <row r="490" spans="1:1">
      <c r="A490" s="14"/>
    </row>
    <row r="491" spans="1:1">
      <c r="A491" s="14"/>
    </row>
    <row r="492" spans="1:1">
      <c r="A492" s="14"/>
    </row>
    <row r="493" spans="1:1">
      <c r="A493" s="14"/>
    </row>
    <row r="494" spans="1:1">
      <c r="A494" s="14"/>
    </row>
    <row r="495" spans="1:1">
      <c r="A495" s="14"/>
    </row>
    <row r="496" spans="1:1">
      <c r="A496" s="14"/>
    </row>
    <row r="497" spans="1:1">
      <c r="A497" s="14"/>
    </row>
    <row r="498" spans="1:1">
      <c r="A498" s="14"/>
    </row>
    <row r="499" spans="1:1">
      <c r="A499" s="14"/>
    </row>
    <row r="500" spans="1:1">
      <c r="A500" s="14"/>
    </row>
    <row r="501" spans="1:1">
      <c r="A501" s="14"/>
    </row>
    <row r="502" spans="1:1">
      <c r="A502" s="14"/>
    </row>
    <row r="503" spans="1:1">
      <c r="A503" s="14"/>
    </row>
    <row r="504" spans="1:1">
      <c r="A504" s="14"/>
    </row>
    <row r="505" spans="1:1">
      <c r="A505" s="14"/>
    </row>
    <row r="506" spans="1:1">
      <c r="A506" s="14"/>
    </row>
    <row r="507" spans="1:1">
      <c r="A507" s="14"/>
    </row>
    <row r="508" spans="1:1">
      <c r="A508" s="14"/>
    </row>
    <row r="509" spans="1:1">
      <c r="A509" s="14"/>
    </row>
    <row r="510" spans="1:1">
      <c r="A510" s="14"/>
    </row>
    <row r="511" spans="1:1">
      <c r="A511" s="14"/>
    </row>
    <row r="512" spans="1:1">
      <c r="A512" s="14"/>
    </row>
    <row r="513" spans="1:1">
      <c r="A513" s="14"/>
    </row>
    <row r="514" spans="1:1">
      <c r="A514" s="14"/>
    </row>
    <row r="515" spans="1:1">
      <c r="A515" s="14"/>
    </row>
    <row r="516" spans="1:1">
      <c r="A516" s="14"/>
    </row>
    <row r="517" spans="1:1">
      <c r="A517" s="14"/>
    </row>
    <row r="518" spans="1:1">
      <c r="A518" s="14"/>
    </row>
    <row r="519" spans="1:1">
      <c r="A519" s="14"/>
    </row>
    <row r="520" spans="1:1">
      <c r="A520" s="14"/>
    </row>
    <row r="521" spans="1:1">
      <c r="A521" s="14"/>
    </row>
    <row r="522" spans="1:1">
      <c r="A522" s="14"/>
    </row>
    <row r="523" spans="1:1">
      <c r="A523" s="14"/>
    </row>
    <row r="524" spans="1:1">
      <c r="A524" s="14"/>
    </row>
    <row r="525" spans="1:1">
      <c r="A525" s="14"/>
    </row>
    <row r="526" spans="1:1">
      <c r="A526" s="14"/>
    </row>
    <row r="527" spans="1:1">
      <c r="A527" s="14"/>
    </row>
    <row r="528" spans="1:1">
      <c r="A528" s="14"/>
    </row>
    <row r="529" spans="1:1">
      <c r="A529" s="14"/>
    </row>
    <row r="530" spans="1:1">
      <c r="A530" s="14"/>
    </row>
    <row r="531" spans="1:1">
      <c r="A531" s="14"/>
    </row>
    <row r="532" spans="1:1">
      <c r="A532" s="14"/>
    </row>
    <row r="533" spans="1:1">
      <c r="A533" s="14"/>
    </row>
    <row r="534" spans="1:1">
      <c r="A534" s="14"/>
    </row>
    <row r="535" spans="1:1">
      <c r="A535" s="14"/>
    </row>
    <row r="536" spans="1:1">
      <c r="A536" s="14"/>
    </row>
    <row r="537" spans="1:1">
      <c r="A537" s="14"/>
    </row>
    <row r="538" spans="1:1">
      <c r="A538" s="14"/>
    </row>
    <row r="539" spans="1:1">
      <c r="A539" s="14"/>
    </row>
    <row r="540" spans="1:1">
      <c r="A540" s="14"/>
    </row>
    <row r="541" spans="1:1">
      <c r="A541" s="14"/>
    </row>
    <row r="542" spans="1:1">
      <c r="A542" s="14"/>
    </row>
    <row r="543" spans="1:1">
      <c r="A543" s="14"/>
    </row>
    <row r="544" spans="1:1">
      <c r="A544" s="14"/>
    </row>
    <row r="545" spans="1:1">
      <c r="A545" s="14"/>
    </row>
    <row r="546" spans="1:1">
      <c r="A546" s="14"/>
    </row>
    <row r="547" spans="1:1">
      <c r="A547" s="14"/>
    </row>
    <row r="548" spans="1:1">
      <c r="A548" s="14"/>
    </row>
    <row r="549" spans="1:1">
      <c r="A549" s="14"/>
    </row>
    <row r="550" spans="1:1">
      <c r="A550" s="14"/>
    </row>
    <row r="551" spans="1:1">
      <c r="A551" s="14"/>
    </row>
    <row r="552" spans="1:1">
      <c r="A552" s="14"/>
    </row>
    <row r="553" spans="1:1">
      <c r="A553" s="14"/>
    </row>
    <row r="554" spans="1:1">
      <c r="A554" s="14"/>
    </row>
    <row r="555" spans="1:1">
      <c r="A555" s="14"/>
    </row>
    <row r="556" spans="1:1">
      <c r="A556" s="14"/>
    </row>
    <row r="557" spans="1:1">
      <c r="A557" s="14"/>
    </row>
    <row r="558" spans="1:1">
      <c r="A558" s="14"/>
    </row>
    <row r="559" spans="1:1">
      <c r="A559" s="14"/>
    </row>
    <row r="560" spans="1:1">
      <c r="A560" s="14"/>
    </row>
    <row r="561" spans="1:1">
      <c r="A561" s="14"/>
    </row>
    <row r="562" spans="1:1">
      <c r="A562" s="14"/>
    </row>
    <row r="563" spans="1:1">
      <c r="A563" s="14"/>
    </row>
    <row r="564" spans="1:1">
      <c r="A564" s="14"/>
    </row>
    <row r="565" spans="1:1">
      <c r="A565" s="14"/>
    </row>
    <row r="566" spans="1:1">
      <c r="A566" s="14"/>
    </row>
    <row r="567" spans="1:1">
      <c r="A567" s="14"/>
    </row>
    <row r="568" spans="1:1">
      <c r="A568" s="14"/>
    </row>
    <row r="569" spans="1:1">
      <c r="A569" s="14"/>
    </row>
    <row r="570" spans="1:1">
      <c r="A570" s="14"/>
    </row>
    <row r="571" spans="1:1">
      <c r="A571" s="14"/>
    </row>
    <row r="572" spans="1:1">
      <c r="A572" s="14"/>
    </row>
    <row r="573" spans="1:1">
      <c r="A573" s="14"/>
    </row>
    <row r="574" spans="1:1">
      <c r="A574" s="14"/>
    </row>
    <row r="575" spans="1:1">
      <c r="A575" s="14"/>
    </row>
    <row r="576" spans="1:1">
      <c r="A576" s="14"/>
    </row>
    <row r="577" spans="1:1">
      <c r="A577" s="14"/>
    </row>
    <row r="578" spans="1:1">
      <c r="A578" s="14"/>
    </row>
    <row r="579" spans="1:1">
      <c r="A579" s="14"/>
    </row>
    <row r="580" spans="1:1">
      <c r="A580" s="14"/>
    </row>
    <row r="581" spans="1:1">
      <c r="A581" s="14"/>
    </row>
    <row r="582" spans="1:1">
      <c r="A582" s="14"/>
    </row>
    <row r="583" spans="1:1">
      <c r="A583" s="14"/>
    </row>
    <row r="584" spans="1:1">
      <c r="A584" s="14"/>
    </row>
    <row r="585" spans="1:1">
      <c r="A585" s="14"/>
    </row>
    <row r="586" spans="1:1">
      <c r="A586" s="14"/>
    </row>
    <row r="587" spans="1:1">
      <c r="A587" s="14"/>
    </row>
    <row r="588" spans="1:1">
      <c r="A588" s="14"/>
    </row>
    <row r="589" spans="1:1">
      <c r="A589" s="14"/>
    </row>
    <row r="590" spans="1:1">
      <c r="A590" s="14"/>
    </row>
    <row r="591" spans="1:1">
      <c r="A591" s="14"/>
    </row>
    <row r="592" spans="1:1">
      <c r="A592" s="14"/>
    </row>
    <row r="593" spans="1:1">
      <c r="A593" s="14"/>
    </row>
    <row r="594" spans="1:1">
      <c r="A594" s="14"/>
    </row>
    <row r="595" spans="1:1">
      <c r="A595" s="14"/>
    </row>
    <row r="596" spans="1:1">
      <c r="A596" s="14"/>
    </row>
    <row r="597" spans="1:1">
      <c r="A597" s="14"/>
    </row>
    <row r="598" spans="1:1">
      <c r="A598" s="14"/>
    </row>
    <row r="599" spans="1:1">
      <c r="A599" s="14"/>
    </row>
    <row r="600" spans="1:1">
      <c r="A600" s="14"/>
    </row>
    <row r="601" spans="1:1">
      <c r="A601" s="14"/>
    </row>
    <row r="602" spans="1:1">
      <c r="A602" s="14"/>
    </row>
    <row r="603" spans="1:1">
      <c r="A603" s="14"/>
    </row>
    <row r="604" spans="1:1">
      <c r="A604" s="14"/>
    </row>
    <row r="605" spans="1:1">
      <c r="A605" s="14"/>
    </row>
    <row r="606" spans="1:1">
      <c r="A606" s="14"/>
    </row>
    <row r="607" spans="1:1">
      <c r="A607" s="14"/>
    </row>
    <row r="608" spans="1:1">
      <c r="A608" s="14"/>
    </row>
    <row r="609" spans="1:1">
      <c r="A609" s="14"/>
    </row>
    <row r="610" spans="1:1">
      <c r="A610" s="14"/>
    </row>
    <row r="611" spans="1:1">
      <c r="A611" s="14"/>
    </row>
    <row r="612" spans="1:1">
      <c r="A612" s="14"/>
    </row>
    <row r="613" spans="1:1">
      <c r="A613" s="14"/>
    </row>
    <row r="614" spans="1:1">
      <c r="A614" s="14"/>
    </row>
    <row r="615" spans="1:1">
      <c r="A615" s="14"/>
    </row>
    <row r="616" spans="1:1">
      <c r="A616" s="14"/>
    </row>
    <row r="617" spans="1:1">
      <c r="A617" s="14"/>
    </row>
    <row r="618" spans="1:1">
      <c r="A618" s="14"/>
    </row>
    <row r="619" spans="1:1">
      <c r="A619" s="14"/>
    </row>
    <row r="620" spans="1:1">
      <c r="A620" s="14"/>
    </row>
    <row r="621" spans="1:1">
      <c r="A621" s="14"/>
    </row>
    <row r="622" spans="1:1">
      <c r="A622" s="14"/>
    </row>
    <row r="623" spans="1:1">
      <c r="A623" s="14"/>
    </row>
    <row r="624" spans="1:1">
      <c r="A624" s="14"/>
    </row>
    <row r="625" spans="1:1">
      <c r="A625" s="14"/>
    </row>
    <row r="626" spans="1:1">
      <c r="A626" s="14"/>
    </row>
    <row r="627" spans="1:1">
      <c r="A627" s="14"/>
    </row>
    <row r="628" spans="1:1">
      <c r="A628" s="14"/>
    </row>
    <row r="629" spans="1:1">
      <c r="A629" s="14"/>
    </row>
    <row r="630" spans="1:1">
      <c r="A630" s="14"/>
    </row>
    <row r="631" spans="1:1">
      <c r="A631" s="14"/>
    </row>
    <row r="632" spans="1:1">
      <c r="A632" s="14"/>
    </row>
    <row r="633" spans="1:1">
      <c r="A633" s="14"/>
    </row>
    <row r="634" spans="1:1">
      <c r="A634" s="14"/>
    </row>
    <row r="635" spans="1:1">
      <c r="A635" s="14"/>
    </row>
    <row r="636" spans="1:1">
      <c r="A636" s="14"/>
    </row>
    <row r="637" spans="1:1">
      <c r="A637" s="14"/>
    </row>
    <row r="638" spans="1:1">
      <c r="A638" s="14"/>
    </row>
    <row r="639" spans="1:1">
      <c r="A639" s="14"/>
    </row>
    <row r="640" spans="1:1">
      <c r="A640" s="14"/>
    </row>
    <row r="641" spans="1:1">
      <c r="A641" s="14"/>
    </row>
    <row r="642" spans="1:1">
      <c r="A642" s="14"/>
    </row>
    <row r="643" spans="1:1">
      <c r="A643" s="14"/>
    </row>
    <row r="644" spans="1:1">
      <c r="A644" s="14"/>
    </row>
    <row r="645" spans="1:1">
      <c r="A645" s="14"/>
    </row>
    <row r="646" spans="1:1">
      <c r="A646" s="14"/>
    </row>
    <row r="647" spans="1:1">
      <c r="A647" s="14"/>
    </row>
    <row r="648" spans="1:1">
      <c r="A648" s="14"/>
    </row>
    <row r="649" spans="1:1">
      <c r="A649" s="14"/>
    </row>
    <row r="650" spans="1:1">
      <c r="A650" s="14"/>
    </row>
    <row r="651" spans="1:1">
      <c r="A651" s="14"/>
    </row>
    <row r="652" spans="1:1">
      <c r="A652" s="14"/>
    </row>
    <row r="653" spans="1:1">
      <c r="A653" s="14"/>
    </row>
    <row r="654" spans="1:1">
      <c r="A654" s="14"/>
    </row>
    <row r="655" spans="1:1">
      <c r="A655" s="14"/>
    </row>
    <row r="656" spans="1:1">
      <c r="A656" s="14"/>
    </row>
    <row r="657" spans="1:1">
      <c r="A657" s="14"/>
    </row>
    <row r="658" spans="1:1">
      <c r="A658" s="14"/>
    </row>
    <row r="659" spans="1:1">
      <c r="A659" s="14"/>
    </row>
    <row r="660" spans="1:1">
      <c r="A660" s="14"/>
    </row>
    <row r="661" spans="1:1">
      <c r="A661" s="14"/>
    </row>
    <row r="662" spans="1:1">
      <c r="A662" s="14"/>
    </row>
    <row r="663" spans="1:1">
      <c r="A663" s="14"/>
    </row>
    <row r="664" spans="1:1">
      <c r="A664" s="14"/>
    </row>
    <row r="665" spans="1:1">
      <c r="A665" s="14"/>
    </row>
    <row r="666" spans="1:1">
      <c r="A666" s="14"/>
    </row>
    <row r="667" spans="1:1">
      <c r="A667" s="14"/>
    </row>
    <row r="668" spans="1:1">
      <c r="A668" s="14"/>
    </row>
    <row r="669" spans="1:1">
      <c r="A669" s="14"/>
    </row>
    <row r="670" spans="1:1">
      <c r="A670" s="14"/>
    </row>
    <row r="671" spans="1:1">
      <c r="A671" s="14"/>
    </row>
    <row r="672" spans="1:1">
      <c r="A672" s="14"/>
    </row>
    <row r="673" spans="1:1">
      <c r="A673" s="14"/>
    </row>
    <row r="674" spans="1:1">
      <c r="A674" s="14"/>
    </row>
    <row r="675" spans="1:1">
      <c r="A675" s="14"/>
    </row>
    <row r="676" spans="1:1">
      <c r="A676" s="14"/>
    </row>
    <row r="677" spans="1:1">
      <c r="A677" s="14"/>
    </row>
    <row r="678" spans="1:1">
      <c r="A678" s="14"/>
    </row>
    <row r="679" spans="1:1">
      <c r="A679" s="14"/>
    </row>
    <row r="680" spans="1:1">
      <c r="A680" s="14"/>
    </row>
    <row r="681" spans="1:1">
      <c r="A681" s="14"/>
    </row>
    <row r="682" spans="1:1">
      <c r="A682" s="14"/>
    </row>
    <row r="683" spans="1:1">
      <c r="A683" s="14"/>
    </row>
    <row r="684" spans="1:1">
      <c r="A684" s="14"/>
    </row>
    <row r="685" spans="1:1">
      <c r="A685" s="14"/>
    </row>
    <row r="686" spans="1:1">
      <c r="A686" s="14"/>
    </row>
    <row r="687" spans="1:1">
      <c r="A687" s="14"/>
    </row>
    <row r="688" spans="1:1">
      <c r="A688" s="14"/>
    </row>
    <row r="689" spans="1:1">
      <c r="A689" s="14"/>
    </row>
    <row r="690" spans="1:1">
      <c r="A690" s="14"/>
    </row>
    <row r="691" spans="1:1">
      <c r="A691" s="14"/>
    </row>
    <row r="692" spans="1:1">
      <c r="A692" s="14"/>
    </row>
    <row r="693" spans="1:1">
      <c r="A693" s="14"/>
    </row>
    <row r="694" spans="1:1">
      <c r="A694" s="14"/>
    </row>
    <row r="695" spans="1:1">
      <c r="A695" s="14"/>
    </row>
    <row r="696" spans="1:1">
      <c r="A696" s="14"/>
    </row>
    <row r="697" spans="1:1">
      <c r="A697" s="14"/>
    </row>
    <row r="698" spans="1:1">
      <c r="A698" s="14"/>
    </row>
    <row r="699" spans="1:1">
      <c r="A699" s="14"/>
    </row>
    <row r="700" spans="1:1">
      <c r="A700" s="14"/>
    </row>
    <row r="701" spans="1:1">
      <c r="A701" s="14"/>
    </row>
    <row r="702" spans="1:1">
      <c r="A702" s="14"/>
    </row>
    <row r="703" spans="1:1">
      <c r="A703" s="14"/>
    </row>
    <row r="704" spans="1:1">
      <c r="A704" s="14"/>
    </row>
    <row r="705" spans="1:1">
      <c r="A705" s="14"/>
    </row>
    <row r="706" spans="1:1">
      <c r="A706" s="14"/>
    </row>
    <row r="707" spans="1:1">
      <c r="A707" s="14"/>
    </row>
    <row r="708" spans="1:1">
      <c r="A708" s="14"/>
    </row>
    <row r="709" spans="1:1">
      <c r="A709" s="14"/>
    </row>
    <row r="710" spans="1:1">
      <c r="A710" s="14"/>
    </row>
    <row r="711" spans="1:1">
      <c r="A711" s="14"/>
    </row>
    <row r="712" spans="1:1">
      <c r="A712" s="14"/>
    </row>
    <row r="713" spans="1:1">
      <c r="A713" s="14"/>
    </row>
    <row r="714" spans="1:1">
      <c r="A714" s="14"/>
    </row>
    <row r="715" spans="1:1">
      <c r="A715" s="14"/>
    </row>
    <row r="716" spans="1:1">
      <c r="A716" s="14"/>
    </row>
    <row r="717" spans="1:1">
      <c r="A717" s="14"/>
    </row>
    <row r="718" spans="1:1">
      <c r="A718" s="14"/>
    </row>
    <row r="719" spans="1:1">
      <c r="A719" s="14"/>
    </row>
    <row r="720" spans="1:1">
      <c r="A720" s="14"/>
    </row>
    <row r="721" spans="1:1">
      <c r="A721" s="14"/>
    </row>
    <row r="722" spans="1:1">
      <c r="A722" s="14"/>
    </row>
    <row r="723" spans="1:1">
      <c r="A723" s="14"/>
    </row>
    <row r="724" spans="1:1">
      <c r="A724" s="14"/>
    </row>
    <row r="725" spans="1:1">
      <c r="A725" s="14"/>
    </row>
    <row r="726" spans="1:1">
      <c r="A726" s="14"/>
    </row>
    <row r="727" spans="1:1">
      <c r="A727" s="14"/>
    </row>
    <row r="728" spans="1:1">
      <c r="A728" s="14"/>
    </row>
    <row r="729" spans="1:1">
      <c r="A729" s="14"/>
    </row>
    <row r="730" spans="1:1">
      <c r="A730" s="14"/>
    </row>
    <row r="731" spans="1:1">
      <c r="A731" s="14"/>
    </row>
    <row r="732" spans="1:1">
      <c r="A732" s="14"/>
    </row>
    <row r="733" spans="1:1">
      <c r="A733" s="14"/>
    </row>
    <row r="734" spans="1:1">
      <c r="A734" s="14"/>
    </row>
    <row r="735" spans="1:1">
      <c r="A735" s="14"/>
    </row>
    <row r="736" spans="1:1">
      <c r="A736" s="14"/>
    </row>
    <row r="737" spans="1:1">
      <c r="A737" s="14"/>
    </row>
    <row r="738" spans="1:1">
      <c r="A738" s="14"/>
    </row>
    <row r="739" spans="1:1">
      <c r="A739" s="14"/>
    </row>
    <row r="740" spans="1:1">
      <c r="A740" s="14"/>
    </row>
    <row r="741" spans="1:1">
      <c r="A741" s="14"/>
    </row>
    <row r="742" spans="1:1">
      <c r="A742" s="14"/>
    </row>
    <row r="743" spans="1:1">
      <c r="A743" s="14"/>
    </row>
    <row r="744" spans="1:1">
      <c r="A744" s="14"/>
    </row>
    <row r="745" spans="1:1">
      <c r="A745" s="14"/>
    </row>
    <row r="746" spans="1:1">
      <c r="A746" s="14"/>
    </row>
    <row r="747" spans="1:1">
      <c r="A747" s="14"/>
    </row>
    <row r="748" spans="1:1">
      <c r="A748" s="14"/>
    </row>
    <row r="749" spans="1:1">
      <c r="A749" s="14"/>
    </row>
    <row r="750" spans="1:1">
      <c r="A750" s="14"/>
    </row>
    <row r="751" spans="1:1">
      <c r="A751" s="14"/>
    </row>
    <row r="752" spans="1:1">
      <c r="A752" s="14"/>
    </row>
    <row r="753" spans="1:1">
      <c r="A753" s="14"/>
    </row>
    <row r="754" spans="1:1">
      <c r="A754" s="14"/>
    </row>
    <row r="755" spans="1:1">
      <c r="A755" s="14"/>
    </row>
    <row r="756" spans="1:1">
      <c r="A756" s="14"/>
    </row>
    <row r="757" spans="1:1">
      <c r="A757" s="14"/>
    </row>
    <row r="758" spans="1:1">
      <c r="A758" s="14"/>
    </row>
    <row r="759" spans="1:1">
      <c r="A759" s="14"/>
    </row>
    <row r="760" spans="1:1">
      <c r="A760" s="14"/>
    </row>
    <row r="761" spans="1:1">
      <c r="A761" s="14"/>
    </row>
    <row r="762" spans="1:1">
      <c r="A762" s="14"/>
    </row>
    <row r="763" spans="1:1">
      <c r="A763" s="14"/>
    </row>
    <row r="764" spans="1:1">
      <c r="A764" s="14"/>
    </row>
    <row r="765" spans="1:1">
      <c r="A765" s="14"/>
    </row>
    <row r="766" spans="1:1">
      <c r="A766" s="14"/>
    </row>
    <row r="767" spans="1:1">
      <c r="A767" s="14"/>
    </row>
    <row r="768" spans="1:1">
      <c r="A768" s="14"/>
    </row>
    <row r="769" spans="1:1">
      <c r="A769" s="14"/>
    </row>
    <row r="770" spans="1:1">
      <c r="A770" s="14"/>
    </row>
    <row r="771" spans="1:1">
      <c r="A771" s="14"/>
    </row>
    <row r="772" spans="1:1">
      <c r="A772" s="14"/>
    </row>
    <row r="773" spans="1:1">
      <c r="A773" s="14"/>
    </row>
    <row r="774" spans="1:1">
      <c r="A774" s="14"/>
    </row>
    <row r="775" spans="1:1">
      <c r="A775" s="14"/>
    </row>
    <row r="776" spans="1:1">
      <c r="A776" s="14"/>
    </row>
    <row r="777" spans="1:1">
      <c r="A777" s="14"/>
    </row>
    <row r="778" spans="1:1">
      <c r="A778" s="14"/>
    </row>
    <row r="779" spans="1:1">
      <c r="A779" s="14"/>
    </row>
    <row r="780" spans="1:1">
      <c r="A780" s="14"/>
    </row>
    <row r="781" spans="1:1">
      <c r="A781" s="14"/>
    </row>
    <row r="782" spans="1:1">
      <c r="A782" s="14"/>
    </row>
    <row r="783" spans="1:1">
      <c r="A783" s="14"/>
    </row>
    <row r="784" spans="1:1">
      <c r="A784" s="14"/>
    </row>
    <row r="785" spans="1:1">
      <c r="A785" s="14"/>
    </row>
    <row r="786" spans="1:1">
      <c r="A786" s="14"/>
    </row>
    <row r="787" spans="1:1">
      <c r="A787" s="14"/>
    </row>
    <row r="788" spans="1:1">
      <c r="A788" s="14"/>
    </row>
    <row r="789" spans="1:1">
      <c r="A789" s="14"/>
    </row>
    <row r="790" spans="1:1">
      <c r="A790" s="14"/>
    </row>
    <row r="791" spans="1:1">
      <c r="A791" s="14"/>
    </row>
    <row r="792" spans="1:1">
      <c r="A792" s="14"/>
    </row>
    <row r="793" spans="1:1">
      <c r="A793" s="14"/>
    </row>
    <row r="794" spans="1:1">
      <c r="A794" s="14"/>
    </row>
    <row r="795" spans="1:1">
      <c r="A795" s="14"/>
    </row>
    <row r="796" spans="1:1">
      <c r="A796" s="14"/>
    </row>
    <row r="797" spans="1:1">
      <c r="A797" s="14"/>
    </row>
    <row r="798" spans="1:1">
      <c r="A798" s="14"/>
    </row>
    <row r="799" spans="1:1">
      <c r="A799" s="14"/>
    </row>
    <row r="800" spans="1:1">
      <c r="A800" s="14"/>
    </row>
    <row r="801" spans="1:1">
      <c r="A801" s="14"/>
    </row>
    <row r="802" spans="1:1">
      <c r="A802" s="14"/>
    </row>
    <row r="803" spans="1:1">
      <c r="A803" s="14"/>
    </row>
    <row r="804" spans="1:1">
      <c r="A804" s="14"/>
    </row>
    <row r="805" spans="1:1">
      <c r="A805" s="14"/>
    </row>
    <row r="806" spans="1:1">
      <c r="A806" s="14"/>
    </row>
    <row r="807" spans="1:1">
      <c r="A807" s="14"/>
    </row>
    <row r="808" spans="1:1">
      <c r="A808" s="14"/>
    </row>
    <row r="809" spans="1:1">
      <c r="A809" s="14"/>
    </row>
    <row r="810" spans="1:1">
      <c r="A810" s="14"/>
    </row>
    <row r="811" spans="1:1">
      <c r="A811" s="14"/>
    </row>
    <row r="812" spans="1:1">
      <c r="A812" s="14"/>
    </row>
    <row r="813" spans="1:1">
      <c r="A813" s="14"/>
    </row>
    <row r="814" spans="1:1">
      <c r="A814" s="14"/>
    </row>
    <row r="815" spans="1:1">
      <c r="A815" s="14"/>
    </row>
    <row r="816" spans="1:1">
      <c r="A816" s="14"/>
    </row>
    <row r="817" spans="1:1">
      <c r="A817" s="14"/>
    </row>
    <row r="818" spans="1:1">
      <c r="A818" s="14"/>
    </row>
    <row r="819" spans="1:1">
      <c r="A819" s="14"/>
    </row>
    <row r="820" spans="1:1">
      <c r="A820" s="14"/>
    </row>
    <row r="821" spans="1:1">
      <c r="A821" s="14"/>
    </row>
    <row r="822" spans="1:1">
      <c r="A822" s="14"/>
    </row>
    <row r="823" spans="1:1">
      <c r="A823" s="14"/>
    </row>
    <row r="824" spans="1:1">
      <c r="A824" s="14"/>
    </row>
    <row r="825" spans="1:1">
      <c r="A825" s="14"/>
    </row>
    <row r="826" spans="1:1">
      <c r="A826" s="14"/>
    </row>
    <row r="827" spans="1:1">
      <c r="A827" s="14"/>
    </row>
    <row r="828" spans="1:1">
      <c r="A828" s="14"/>
    </row>
    <row r="829" spans="1:1">
      <c r="A829" s="14"/>
    </row>
    <row r="830" spans="1:1">
      <c r="A830" s="14"/>
    </row>
    <row r="831" spans="1:1">
      <c r="A831" s="14"/>
    </row>
    <row r="832" spans="1:1">
      <c r="A832" s="14"/>
    </row>
    <row r="833" spans="1:1">
      <c r="A833" s="14"/>
    </row>
    <row r="834" spans="1:1">
      <c r="A834" s="14"/>
    </row>
    <row r="835" spans="1:1">
      <c r="A835" s="14"/>
    </row>
    <row r="836" spans="1:1">
      <c r="A836" s="14"/>
    </row>
    <row r="837" spans="1:1">
      <c r="A837" s="14"/>
    </row>
    <row r="838" spans="1:1">
      <c r="A838" s="14"/>
    </row>
    <row r="839" spans="1:1">
      <c r="A839" s="14"/>
    </row>
    <row r="840" spans="1:1">
      <c r="A840" s="14"/>
    </row>
    <row r="841" spans="1:1">
      <c r="A841" s="14"/>
    </row>
    <row r="842" spans="1:1">
      <c r="A842" s="14"/>
    </row>
    <row r="843" spans="1:1">
      <c r="A843" s="14"/>
    </row>
    <row r="844" spans="1:1">
      <c r="A844" s="14"/>
    </row>
    <row r="845" spans="1:1">
      <c r="A845" s="14"/>
    </row>
    <row r="846" spans="1:1">
      <c r="A846" s="14"/>
    </row>
    <row r="847" spans="1:1">
      <c r="A847" s="14"/>
    </row>
  </sheetData>
  <customSheetViews>
    <customSheetView guid="{4FEDB3BD-111A-4B7D-AA97-E67173A5F707}" scale="50" showPageBreaks="1" printArea="1" hiddenColumns="1" view="pageBreakPreview" showRuler="0" topLeftCell="A22">
      <selection activeCell="K24" sqref="K24"/>
      <rowBreaks count="5" manualBreakCount="5">
        <brk id="7" max="10" man="1"/>
        <brk id="14" max="10" man="1"/>
        <brk id="21" max="10" man="1"/>
        <brk id="34" max="10" man="1"/>
        <brk id="35" max="10" man="1"/>
      </rowBreaks>
      <pageMargins left="0.5" right="0.5" top="1" bottom="1" header="0.5" footer="0.5"/>
      <printOptions horizontalCentered="1"/>
      <pageSetup scale="74" fitToHeight="0" orientation="landscape" r:id="rId1"/>
      <headerFooter alignWithMargins="0">
        <oddHeader>&amp;C&amp;"Arial,Bold"&amp;12&amp;UProject Activity 29: Mapping</oddHeader>
        <oddFooter>Page &amp;P of &amp;N</oddFooter>
      </headerFooter>
    </customSheetView>
    <customSheetView guid="{D5FFA8DD-F2DB-47F2-B4D2-3681726B2E8F}" showPageBreaks="1" printArea="1" hiddenColumns="1" view="pageBreakPreview" showRuler="0">
      <selection activeCell="C3" sqref="C3:P3"/>
      <rowBreaks count="5" manualBreakCount="5">
        <brk id="7" max="10" man="1"/>
        <brk id="13" max="10" man="1"/>
        <brk id="18" max="10" man="1"/>
        <brk id="24" max="10" man="1"/>
        <brk id="34" max="10" man="1"/>
      </rowBreaks>
      <pageMargins left="0.5" right="0.5" top="1" bottom="1" header="0.5" footer="0.5"/>
      <printOptions horizontalCentered="1"/>
      <pageSetup fitToHeight="0" orientation="landscape" r:id="rId2"/>
      <headerFooter alignWithMargins="0">
        <oddHeader>&amp;C&amp;"Arial,Bold"&amp;12&amp;UProject Activity 29: Mapping</oddHeader>
        <oddFooter>Page &amp;P of &amp;N</oddFooter>
      </headerFooter>
    </customSheetView>
    <customSheetView guid="{EFE02F7B-3837-4B0F-9646-ADE249504E9F}" showPageBreaks="1" printArea="1" hiddenColumns="1" view="pageBreakPreview" showRuler="0">
      <selection activeCell="K3" sqref="K3"/>
      <rowBreaks count="5" manualBreakCount="5">
        <brk id="7" max="10" man="1"/>
        <brk id="13" max="10" man="1"/>
        <brk id="18" max="10" man="1"/>
        <brk id="24" max="10" man="1"/>
        <brk id="34" max="10" man="1"/>
      </rowBreaks>
      <pageMargins left="0.5" right="0.5" top="1" bottom="1" header="0.5" footer="0.5"/>
      <printOptions horizontalCentered="1"/>
      <pageSetup fitToHeight="0" orientation="landscape" r:id="rId3"/>
      <headerFooter alignWithMargins="0">
        <oddHeader>&amp;C&amp;"Arial,Bold"&amp;12&amp;UProject Activity 29: Mapping</oddHeader>
        <oddFooter>Page &amp;P of &amp;N</oddFooter>
      </headerFooter>
    </customSheetView>
    <customSheetView guid="{053BE130-58A3-4F3B-945A-C2EFB15C6264}" showPageBreaks="1" printArea="1" hiddenColumns="1" view="pageBreakPreview" showRuler="0">
      <selection activeCell="J6" sqref="J6"/>
      <rowBreaks count="5" manualBreakCount="5">
        <brk id="7" max="10" man="1"/>
        <brk id="13" max="10" man="1"/>
        <brk id="18" max="10" man="1"/>
        <brk id="24" max="10" man="1"/>
        <brk id="34" max="10" man="1"/>
      </rowBreaks>
      <pageMargins left="0.5" right="0.5" top="1" bottom="1" header="0.5" footer="0.5"/>
      <printOptions horizontalCentered="1"/>
      <pageSetup fitToHeight="0" orientation="landscape" r:id="rId4"/>
      <headerFooter alignWithMargins="0">
        <oddHeader>&amp;C&amp;"Arial,Bold"&amp;12&amp;UProject Activity 29: Mapping</oddHeader>
        <oddFooter>Page &amp;P of &amp;N</oddFooter>
      </headerFooter>
    </customSheetView>
    <customSheetView guid="{F5DBE5B9-A9E4-4030-888B-08F930ECBB74}" showPageBreaks="1" printArea="1" hiddenColumns="1" view="pageBreakPreview" showRuler="0">
      <selection activeCell="J6" sqref="J6"/>
      <rowBreaks count="5" manualBreakCount="5">
        <brk id="7" max="10" man="1"/>
        <brk id="13" max="10" man="1"/>
        <brk id="18" max="10" man="1"/>
        <brk id="24" max="10" man="1"/>
        <brk id="34" max="10" man="1"/>
      </rowBreaks>
      <pageMargins left="0.5" right="0.5" top="1" bottom="1" header="0.5" footer="0.5"/>
      <printOptions horizontalCentered="1"/>
      <pageSetup fitToHeight="0" orientation="landscape" r:id="rId5"/>
      <headerFooter alignWithMargins="0">
        <oddHeader>&amp;C&amp;"Arial,Bold"&amp;12&amp;UProject Activity 29: Mapping</oddHeader>
        <oddFooter>Page &amp;P of &amp;N</oddFooter>
      </headerFooter>
    </customSheetView>
    <customSheetView guid="{960FB4AF-B150-4523-972C-3F7C93F049F3}" scale="50" showPageBreaks="1" printArea="1" hiddenColumns="1" view="pageBreakPreview" showRuler="0" topLeftCell="A22">
      <selection activeCell="K24" sqref="K24"/>
      <rowBreaks count="5" manualBreakCount="5">
        <brk id="7" max="10" man="1"/>
        <brk id="14" max="10" man="1"/>
        <brk id="21" max="10" man="1"/>
        <brk id="34" max="10" man="1"/>
        <brk id="35" max="10" man="1"/>
      </rowBreaks>
      <pageMargins left="0.5" right="0.5" top="1" bottom="1" header="0.5" footer="0.5"/>
      <printOptions horizontalCentered="1"/>
      <pageSetup scale="74" fitToHeight="0" orientation="landscape" r:id="rId6"/>
      <headerFooter alignWithMargins="0">
        <oddHeader>&amp;C&amp;"Arial,Bold"&amp;12&amp;UProject Activity 29: Mapping</oddHeader>
        <oddFooter>Page &amp;P of &amp;N</oddFooter>
      </headerFooter>
    </customSheetView>
    <customSheetView guid="{DF3BD4C9-2986-4236-8E90-D96736404377}" scale="50" showPageBreaks="1" printArea="1" hiddenColumns="1" view="pageBreakPreview" showRuler="0" topLeftCell="A22">
      <selection activeCell="K24" sqref="K24"/>
      <rowBreaks count="5" manualBreakCount="5">
        <brk id="7" max="10" man="1"/>
        <brk id="14" max="10" man="1"/>
        <brk id="21" max="10" man="1"/>
        <brk id="34" max="10" man="1"/>
        <brk id="35" max="10" man="1"/>
      </rowBreaks>
      <pageMargins left="0.5" right="0.5" top="1" bottom="1" header="0.5" footer="0.5"/>
      <printOptions horizontalCentered="1"/>
      <pageSetup scale="74" fitToHeight="0" orientation="landscape" r:id="rId7"/>
      <headerFooter alignWithMargins="0">
        <oddHeader>&amp;C&amp;"Arial,Bold"&amp;12&amp;UProject Activity 29: Mapping</oddHeader>
        <oddFooter>Page &amp;P of &amp;N</oddFooter>
      </headerFooter>
    </customSheetView>
  </customSheetViews>
  <mergeCells count="3">
    <mergeCell ref="A41:B41"/>
    <mergeCell ref="A36:B36"/>
    <mergeCell ref="A1:C1"/>
  </mergeCells>
  <phoneticPr fontId="0" type="noConversion"/>
  <printOptions horizontalCentered="1" verticalCentered="1"/>
  <pageMargins left="0.75" right="0.75" top="1" bottom="1" header="0.5" footer="0.5"/>
  <pageSetup scale="74" fitToHeight="0" orientation="landscape" r:id="rId8"/>
  <headerFooter alignWithMargins="0"/>
  <rowBreaks count="1" manualBreakCount="1">
    <brk id="31" max="4" man="1"/>
  </rowBreak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N58"/>
  <sheetViews>
    <sheetView showGridLines="0" zoomScaleNormal="100" zoomScaleSheetLayoutView="100" zoomScalePageLayoutView="70" workbookViewId="0">
      <selection sqref="A1:N1"/>
    </sheetView>
  </sheetViews>
  <sheetFormatPr defaultColWidth="9.109375" defaultRowHeight="13.2"/>
  <cols>
    <col min="1" max="1" width="7" style="130" customWidth="1"/>
    <col min="2" max="2" width="30.6640625" customWidth="1"/>
    <col min="3" max="3" width="12.44140625" style="323" bestFit="1" customWidth="1"/>
    <col min="4" max="4" width="28.6640625" style="2" bestFit="1" customWidth="1"/>
    <col min="5" max="5" width="4.6640625" style="14" bestFit="1" customWidth="1"/>
    <col min="6" max="6" width="1.88671875" style="319" bestFit="1" customWidth="1"/>
    <col min="7" max="7" width="5.6640625" style="320" bestFit="1" customWidth="1"/>
    <col min="8" max="8" width="4.6640625" style="320" bestFit="1" customWidth="1"/>
    <col min="9" max="9" width="1.88671875" style="321" bestFit="1" customWidth="1"/>
    <col min="10" max="10" width="5.6640625" style="320" customWidth="1"/>
    <col min="11" max="11" width="4.6640625" style="320" bestFit="1" customWidth="1"/>
    <col min="12" max="12" width="1.88671875" style="321" bestFit="1" customWidth="1"/>
    <col min="13" max="13" width="5.6640625" style="320" customWidth="1"/>
    <col min="14" max="14" width="100.6640625" customWidth="1"/>
    <col min="15" max="15" width="11.109375" customWidth="1"/>
    <col min="16" max="16" width="12.5546875" customWidth="1"/>
    <col min="17" max="17" width="11.44140625" customWidth="1"/>
  </cols>
  <sheetData>
    <row r="1" spans="1:14" s="67" customFormat="1" ht="33" customHeight="1">
      <c r="A1" s="1076" t="s">
        <v>2032</v>
      </c>
      <c r="B1" s="1077"/>
      <c r="C1" s="1077"/>
      <c r="D1" s="1077"/>
      <c r="E1" s="1077"/>
      <c r="F1" s="1077"/>
      <c r="G1" s="1077"/>
      <c r="H1" s="1077"/>
      <c r="I1" s="1077"/>
      <c r="J1" s="1077"/>
      <c r="K1" s="1077"/>
      <c r="L1" s="1077"/>
      <c r="M1" s="1077"/>
      <c r="N1" s="1078"/>
    </row>
    <row r="2" spans="1:14" s="86" customFormat="1" ht="24" customHeight="1">
      <c r="A2" s="1093" t="s">
        <v>385</v>
      </c>
      <c r="B2" s="1081" t="s">
        <v>844</v>
      </c>
      <c r="C2" s="1081" t="s">
        <v>984</v>
      </c>
      <c r="D2" s="1081" t="s">
        <v>2030</v>
      </c>
      <c r="E2" s="1081" t="s">
        <v>1918</v>
      </c>
      <c r="F2" s="1081"/>
      <c r="G2" s="1081"/>
      <c r="H2" s="1081"/>
      <c r="I2" s="1081"/>
      <c r="J2" s="1081"/>
      <c r="K2" s="1081"/>
      <c r="L2" s="1081"/>
      <c r="M2" s="1081"/>
      <c r="N2" s="1075" t="s">
        <v>1876</v>
      </c>
    </row>
    <row r="3" spans="1:14" s="86" customFormat="1" ht="24" customHeight="1">
      <c r="A3" s="1093"/>
      <c r="B3" s="1081"/>
      <c r="C3" s="1081"/>
      <c r="D3" s="1081"/>
      <c r="E3" s="1082" t="s">
        <v>1444</v>
      </c>
      <c r="F3" s="1083"/>
      <c r="G3" s="1083"/>
      <c r="H3" s="1082" t="s">
        <v>1878</v>
      </c>
      <c r="I3" s="1083"/>
      <c r="J3" s="1083"/>
      <c r="K3" s="1082" t="s">
        <v>184</v>
      </c>
      <c r="L3" s="1083"/>
      <c r="M3" s="1083"/>
      <c r="N3" s="1075"/>
    </row>
    <row r="4" spans="1:14" ht="18.75" customHeight="1">
      <c r="A4" s="1084">
        <v>30.1</v>
      </c>
      <c r="B4" s="1105" t="s">
        <v>1877</v>
      </c>
      <c r="C4" s="1102" t="s">
        <v>1879</v>
      </c>
      <c r="D4" s="315" t="s">
        <v>1880</v>
      </c>
      <c r="E4" s="339">
        <v>0</v>
      </c>
      <c r="F4" s="340" t="s">
        <v>1881</v>
      </c>
      <c r="G4" s="339">
        <v>0.1</v>
      </c>
      <c r="H4" s="339">
        <v>0</v>
      </c>
      <c r="I4" s="340" t="s">
        <v>1881</v>
      </c>
      <c r="J4" s="339">
        <v>0.15</v>
      </c>
      <c r="K4" s="339">
        <v>0</v>
      </c>
      <c r="L4" s="340" t="s">
        <v>1881</v>
      </c>
      <c r="M4" s="339">
        <v>0.4</v>
      </c>
      <c r="N4" s="1094" t="s">
        <v>1882</v>
      </c>
    </row>
    <row r="5" spans="1:14" ht="18.75" customHeight="1">
      <c r="A5" s="1085"/>
      <c r="B5" s="1106"/>
      <c r="C5" s="1103"/>
      <c r="D5" s="315" t="s">
        <v>1883</v>
      </c>
      <c r="E5" s="339">
        <v>0</v>
      </c>
      <c r="F5" s="340" t="s">
        <v>1881</v>
      </c>
      <c r="G5" s="339">
        <v>0.5</v>
      </c>
      <c r="H5" s="339">
        <v>0</v>
      </c>
      <c r="I5" s="340" t="s">
        <v>1881</v>
      </c>
      <c r="J5" s="339">
        <v>0.8</v>
      </c>
      <c r="K5" s="339">
        <v>0</v>
      </c>
      <c r="L5" s="340" t="s">
        <v>1881</v>
      </c>
      <c r="M5" s="339">
        <v>1</v>
      </c>
      <c r="N5" s="1095"/>
    </row>
    <row r="6" spans="1:14" ht="18" customHeight="1" thickBot="1">
      <c r="A6" s="1086"/>
      <c r="B6" s="1107"/>
      <c r="C6" s="1104"/>
      <c r="D6" s="334" t="s">
        <v>1884</v>
      </c>
      <c r="E6" s="342">
        <v>0</v>
      </c>
      <c r="F6" s="343" t="s">
        <v>1881</v>
      </c>
      <c r="G6" s="342">
        <v>0.5</v>
      </c>
      <c r="H6" s="342">
        <v>0</v>
      </c>
      <c r="I6" s="343" t="s">
        <v>1881</v>
      </c>
      <c r="J6" s="342">
        <v>0.8</v>
      </c>
      <c r="K6" s="342">
        <v>0</v>
      </c>
      <c r="L6" s="343" t="s">
        <v>1881</v>
      </c>
      <c r="M6" s="342">
        <v>1</v>
      </c>
      <c r="N6" s="1096"/>
    </row>
    <row r="7" spans="1:14" ht="20.25" customHeight="1" thickTop="1">
      <c r="A7" s="1090">
        <v>30.2</v>
      </c>
      <c r="B7" s="1087" t="s">
        <v>1885</v>
      </c>
      <c r="C7" s="1100" t="s">
        <v>296</v>
      </c>
      <c r="D7" s="335" t="s">
        <v>1880</v>
      </c>
      <c r="E7" s="336">
        <v>0</v>
      </c>
      <c r="F7" s="337" t="s">
        <v>1881</v>
      </c>
      <c r="G7" s="336">
        <v>0.02</v>
      </c>
      <c r="H7" s="336">
        <v>0</v>
      </c>
      <c r="I7" s="337" t="s">
        <v>1881</v>
      </c>
      <c r="J7" s="336">
        <v>0.05</v>
      </c>
      <c r="K7" s="336">
        <v>0</v>
      </c>
      <c r="L7" s="337" t="s">
        <v>1881</v>
      </c>
      <c r="M7" s="336">
        <v>0.1</v>
      </c>
      <c r="N7" s="1097" t="s">
        <v>2202</v>
      </c>
    </row>
    <row r="8" spans="1:14" ht="18.75" customHeight="1">
      <c r="A8" s="1091"/>
      <c r="B8" s="1088"/>
      <c r="C8" s="1100"/>
      <c r="D8" s="338" t="s">
        <v>1883</v>
      </c>
      <c r="E8" s="339">
        <v>0</v>
      </c>
      <c r="F8" s="340" t="s">
        <v>1881</v>
      </c>
      <c r="G8" s="339">
        <v>0.04</v>
      </c>
      <c r="H8" s="339">
        <v>0</v>
      </c>
      <c r="I8" s="340" t="s">
        <v>1881</v>
      </c>
      <c r="J8" s="339">
        <v>0.08</v>
      </c>
      <c r="K8" s="339">
        <v>0</v>
      </c>
      <c r="L8" s="340" t="s">
        <v>1881</v>
      </c>
      <c r="M8" s="339">
        <v>0.2</v>
      </c>
      <c r="N8" s="1098"/>
    </row>
    <row r="9" spans="1:14" ht="18.75" customHeight="1" thickBot="1">
      <c r="A9" s="1092"/>
      <c r="B9" s="1089"/>
      <c r="C9" s="1101"/>
      <c r="D9" s="341" t="s">
        <v>1884</v>
      </c>
      <c r="E9" s="342">
        <v>0</v>
      </c>
      <c r="F9" s="343" t="s">
        <v>1881</v>
      </c>
      <c r="G9" s="342">
        <v>0.04</v>
      </c>
      <c r="H9" s="342">
        <v>0</v>
      </c>
      <c r="I9" s="343" t="s">
        <v>1881</v>
      </c>
      <c r="J9" s="342">
        <v>0.08</v>
      </c>
      <c r="K9" s="342">
        <v>0</v>
      </c>
      <c r="L9" s="343" t="s">
        <v>1881</v>
      </c>
      <c r="M9" s="342">
        <v>0.2</v>
      </c>
      <c r="N9" s="1099"/>
    </row>
    <row r="10" spans="1:14" ht="20.25" customHeight="1" thickTop="1">
      <c r="A10" s="1114">
        <v>30.3</v>
      </c>
      <c r="B10" s="1112" t="s">
        <v>1886</v>
      </c>
      <c r="C10" s="1118" t="s">
        <v>1887</v>
      </c>
      <c r="D10" s="335" t="s">
        <v>1888</v>
      </c>
      <c r="E10" s="336"/>
      <c r="F10" s="348"/>
      <c r="G10" s="336"/>
      <c r="H10" s="336"/>
      <c r="I10" s="348"/>
      <c r="J10" s="336"/>
      <c r="K10" s="336"/>
      <c r="L10" s="348"/>
      <c r="M10" s="336"/>
      <c r="N10" s="1116" t="s">
        <v>2025</v>
      </c>
    </row>
    <row r="11" spans="1:14" ht="20.25" customHeight="1" thickBot="1">
      <c r="A11" s="1115"/>
      <c r="B11" s="1113"/>
      <c r="C11" s="1101"/>
      <c r="D11" s="341" t="s">
        <v>1889</v>
      </c>
      <c r="E11" s="342"/>
      <c r="F11" s="349"/>
      <c r="G11" s="342"/>
      <c r="H11" s="342"/>
      <c r="I11" s="349"/>
      <c r="J11" s="342"/>
      <c r="K11" s="342"/>
      <c r="L11" s="349"/>
      <c r="M11" s="342"/>
      <c r="N11" s="1117"/>
    </row>
    <row r="12" spans="1:14" ht="21" customHeight="1" thickTop="1">
      <c r="A12" s="1114">
        <v>30.4</v>
      </c>
      <c r="B12" s="1112" t="s">
        <v>1890</v>
      </c>
      <c r="C12" s="1110" t="s">
        <v>1879</v>
      </c>
      <c r="D12" s="344" t="s">
        <v>1891</v>
      </c>
      <c r="E12" s="336">
        <v>0</v>
      </c>
      <c r="F12" s="337" t="s">
        <v>1881</v>
      </c>
      <c r="G12" s="336">
        <v>0.2</v>
      </c>
      <c r="H12" s="336">
        <v>0</v>
      </c>
      <c r="I12" s="337" t="s">
        <v>1881</v>
      </c>
      <c r="J12" s="336">
        <v>0.3</v>
      </c>
      <c r="K12" s="336">
        <v>0</v>
      </c>
      <c r="L12" s="337" t="s">
        <v>1881</v>
      </c>
      <c r="M12" s="336">
        <v>0.4</v>
      </c>
      <c r="N12" s="1108" t="s">
        <v>1892</v>
      </c>
    </row>
    <row r="13" spans="1:14" ht="28.5" customHeight="1" thickBot="1">
      <c r="A13" s="1115"/>
      <c r="B13" s="1113"/>
      <c r="C13" s="1111"/>
      <c r="D13" s="345" t="s">
        <v>2031</v>
      </c>
      <c r="E13" s="342">
        <v>0</v>
      </c>
      <c r="F13" s="343" t="s">
        <v>1881</v>
      </c>
      <c r="G13" s="342">
        <v>0.2</v>
      </c>
      <c r="H13" s="342">
        <v>0</v>
      </c>
      <c r="I13" s="343" t="s">
        <v>1881</v>
      </c>
      <c r="J13" s="342">
        <v>0.3</v>
      </c>
      <c r="K13" s="342">
        <v>0</v>
      </c>
      <c r="L13" s="343" t="s">
        <v>1881</v>
      </c>
      <c r="M13" s="342">
        <v>0.4</v>
      </c>
      <c r="N13" s="1109"/>
    </row>
    <row r="14" spans="1:14" ht="21" customHeight="1" thickTop="1">
      <c r="A14" s="1114">
        <v>30.5</v>
      </c>
      <c r="B14" s="1112" t="s">
        <v>1893</v>
      </c>
      <c r="C14" s="1110" t="s">
        <v>1879</v>
      </c>
      <c r="D14" s="335" t="s">
        <v>1880</v>
      </c>
      <c r="E14" s="336">
        <v>0</v>
      </c>
      <c r="F14" s="337" t="s">
        <v>1881</v>
      </c>
      <c r="G14" s="336">
        <v>0.1</v>
      </c>
      <c r="H14" s="336">
        <v>0</v>
      </c>
      <c r="I14" s="337" t="s">
        <v>1881</v>
      </c>
      <c r="J14" s="336">
        <v>0.1</v>
      </c>
      <c r="K14" s="336">
        <v>0</v>
      </c>
      <c r="L14" s="337" t="s">
        <v>1881</v>
      </c>
      <c r="M14" s="336">
        <v>0.2</v>
      </c>
      <c r="N14" s="1108" t="s">
        <v>1894</v>
      </c>
    </row>
    <row r="15" spans="1:14" ht="20.25" customHeight="1">
      <c r="A15" s="1122"/>
      <c r="B15" s="1121"/>
      <c r="C15" s="1120"/>
      <c r="D15" s="338" t="s">
        <v>1883</v>
      </c>
      <c r="E15" s="339">
        <v>0</v>
      </c>
      <c r="F15" s="340" t="s">
        <v>1881</v>
      </c>
      <c r="G15" s="339">
        <v>0.4</v>
      </c>
      <c r="H15" s="339">
        <v>0</v>
      </c>
      <c r="I15" s="340" t="s">
        <v>1881</v>
      </c>
      <c r="J15" s="339">
        <v>1</v>
      </c>
      <c r="K15" s="339">
        <v>0</v>
      </c>
      <c r="L15" s="340" t="s">
        <v>1881</v>
      </c>
      <c r="M15" s="339">
        <v>0.5</v>
      </c>
      <c r="N15" s="1119"/>
    </row>
    <row r="16" spans="1:14" ht="21.75" customHeight="1" thickBot="1">
      <c r="A16" s="1115"/>
      <c r="B16" s="1113"/>
      <c r="C16" s="1111"/>
      <c r="D16" s="341" t="s">
        <v>1875</v>
      </c>
      <c r="E16" s="342">
        <v>0</v>
      </c>
      <c r="F16" s="343" t="s">
        <v>1881</v>
      </c>
      <c r="G16" s="342">
        <v>0.6</v>
      </c>
      <c r="H16" s="342">
        <v>0</v>
      </c>
      <c r="I16" s="343" t="s">
        <v>1881</v>
      </c>
      <c r="J16" s="342">
        <v>0.7</v>
      </c>
      <c r="K16" s="342">
        <v>0</v>
      </c>
      <c r="L16" s="343" t="s">
        <v>1881</v>
      </c>
      <c r="M16" s="342">
        <v>0.8</v>
      </c>
      <c r="N16" s="1109"/>
    </row>
    <row r="17" spans="1:14" ht="18.75" customHeight="1" thickTop="1">
      <c r="A17" s="1114">
        <v>30.6</v>
      </c>
      <c r="B17" s="1112" t="s">
        <v>1895</v>
      </c>
      <c r="C17" s="1110" t="s">
        <v>1879</v>
      </c>
      <c r="D17" s="335" t="s">
        <v>1880</v>
      </c>
      <c r="E17" s="336">
        <v>0</v>
      </c>
      <c r="F17" s="337" t="s">
        <v>1881</v>
      </c>
      <c r="G17" s="336">
        <v>0.03</v>
      </c>
      <c r="H17" s="336">
        <v>0</v>
      </c>
      <c r="I17" s="337" t="s">
        <v>1881</v>
      </c>
      <c r="J17" s="350">
        <v>0.04</v>
      </c>
      <c r="K17" s="336">
        <v>0</v>
      </c>
      <c r="L17" s="337" t="s">
        <v>1881</v>
      </c>
      <c r="M17" s="350">
        <v>0.06</v>
      </c>
      <c r="N17" s="1108" t="s">
        <v>1896</v>
      </c>
    </row>
    <row r="18" spans="1:14" ht="18" customHeight="1">
      <c r="A18" s="1122"/>
      <c r="B18" s="1121"/>
      <c r="C18" s="1120"/>
      <c r="D18" s="338" t="s">
        <v>1883</v>
      </c>
      <c r="E18" s="339">
        <v>0</v>
      </c>
      <c r="F18" s="340" t="s">
        <v>1881</v>
      </c>
      <c r="G18" s="351">
        <v>0.1</v>
      </c>
      <c r="H18" s="339">
        <v>0</v>
      </c>
      <c r="I18" s="340" t="s">
        <v>1881</v>
      </c>
      <c r="J18" s="351">
        <v>0.2</v>
      </c>
      <c r="K18" s="339">
        <v>0</v>
      </c>
      <c r="L18" s="340" t="s">
        <v>1881</v>
      </c>
      <c r="M18" s="351">
        <v>0.3</v>
      </c>
      <c r="N18" s="1119"/>
    </row>
    <row r="19" spans="1:14" ht="18.75" customHeight="1" thickBot="1">
      <c r="A19" s="1115"/>
      <c r="B19" s="1113"/>
      <c r="C19" s="1111"/>
      <c r="D19" s="341" t="s">
        <v>1884</v>
      </c>
      <c r="E19" s="342">
        <v>0</v>
      </c>
      <c r="F19" s="343" t="s">
        <v>1881</v>
      </c>
      <c r="G19" s="346">
        <v>0.5</v>
      </c>
      <c r="H19" s="342">
        <v>0</v>
      </c>
      <c r="I19" s="343" t="s">
        <v>1881</v>
      </c>
      <c r="J19" s="346">
        <v>1</v>
      </c>
      <c r="K19" s="342">
        <v>0</v>
      </c>
      <c r="L19" s="343" t="s">
        <v>1881</v>
      </c>
      <c r="M19" s="346">
        <v>2</v>
      </c>
      <c r="N19" s="1109"/>
    </row>
    <row r="20" spans="1:14" ht="21" customHeight="1" thickTop="1">
      <c r="A20" s="1114">
        <v>30.7</v>
      </c>
      <c r="B20" s="1112" t="s">
        <v>1897</v>
      </c>
      <c r="C20" s="1110" t="s">
        <v>1879</v>
      </c>
      <c r="D20" s="335" t="s">
        <v>1880</v>
      </c>
      <c r="E20" s="336">
        <v>0</v>
      </c>
      <c r="F20" s="337" t="s">
        <v>1881</v>
      </c>
      <c r="G20" s="336">
        <v>0.4</v>
      </c>
      <c r="H20" s="336">
        <v>0</v>
      </c>
      <c r="I20" s="337" t="s">
        <v>1881</v>
      </c>
      <c r="J20" s="336">
        <v>0.6</v>
      </c>
      <c r="K20" s="336">
        <v>0</v>
      </c>
      <c r="L20" s="337" t="s">
        <v>1881</v>
      </c>
      <c r="M20" s="336">
        <v>1</v>
      </c>
      <c r="N20" s="1108" t="s">
        <v>1898</v>
      </c>
    </row>
    <row r="21" spans="1:14" ht="21.75" customHeight="1">
      <c r="A21" s="1122"/>
      <c r="B21" s="1121"/>
      <c r="C21" s="1120"/>
      <c r="D21" s="338" t="s">
        <v>1883</v>
      </c>
      <c r="E21" s="339">
        <v>0</v>
      </c>
      <c r="F21" s="340" t="s">
        <v>1881</v>
      </c>
      <c r="G21" s="339">
        <v>1</v>
      </c>
      <c r="H21" s="339">
        <v>0</v>
      </c>
      <c r="I21" s="340" t="s">
        <v>1881</v>
      </c>
      <c r="J21" s="339">
        <v>1.5</v>
      </c>
      <c r="K21" s="339">
        <v>0</v>
      </c>
      <c r="L21" s="340" t="s">
        <v>1881</v>
      </c>
      <c r="M21" s="339">
        <v>2</v>
      </c>
      <c r="N21" s="1119"/>
    </row>
    <row r="22" spans="1:14" ht="24" customHeight="1" thickBot="1">
      <c r="A22" s="1115"/>
      <c r="B22" s="1113"/>
      <c r="C22" s="1111"/>
      <c r="D22" s="341" t="s">
        <v>1884</v>
      </c>
      <c r="E22" s="342"/>
      <c r="F22" s="343" t="s">
        <v>1881</v>
      </c>
      <c r="G22" s="342"/>
      <c r="H22" s="342"/>
      <c r="I22" s="343" t="s">
        <v>1881</v>
      </c>
      <c r="J22" s="342"/>
      <c r="K22" s="342"/>
      <c r="L22" s="343" t="s">
        <v>1881</v>
      </c>
      <c r="M22" s="342"/>
      <c r="N22" s="1109"/>
    </row>
    <row r="23" spans="1:14" ht="21.75" customHeight="1" thickTop="1">
      <c r="A23" s="1114">
        <v>30.8</v>
      </c>
      <c r="B23" s="1123" t="s">
        <v>1899</v>
      </c>
      <c r="C23" s="1118" t="s">
        <v>1900</v>
      </c>
      <c r="D23" s="335" t="s">
        <v>1880</v>
      </c>
      <c r="E23" s="336">
        <v>0</v>
      </c>
      <c r="F23" s="337" t="s">
        <v>1881</v>
      </c>
      <c r="G23" s="336">
        <v>0.4</v>
      </c>
      <c r="H23" s="336">
        <v>0</v>
      </c>
      <c r="I23" s="337" t="s">
        <v>1881</v>
      </c>
      <c r="J23" s="336">
        <v>0.6</v>
      </c>
      <c r="K23" s="336">
        <v>0</v>
      </c>
      <c r="L23" s="337" t="s">
        <v>1881</v>
      </c>
      <c r="M23" s="336">
        <v>0.8</v>
      </c>
      <c r="N23" s="1108" t="s">
        <v>1901</v>
      </c>
    </row>
    <row r="24" spans="1:14" ht="22.5" customHeight="1">
      <c r="A24" s="1122"/>
      <c r="B24" s="1124"/>
      <c r="C24" s="1100"/>
      <c r="D24" s="338" t="s">
        <v>1883</v>
      </c>
      <c r="E24" s="339">
        <v>0</v>
      </c>
      <c r="F24" s="340" t="s">
        <v>1881</v>
      </c>
      <c r="G24" s="339">
        <v>2</v>
      </c>
      <c r="H24" s="339">
        <v>0</v>
      </c>
      <c r="I24" s="340" t="s">
        <v>1881</v>
      </c>
      <c r="J24" s="339">
        <v>5</v>
      </c>
      <c r="K24" s="339">
        <v>0</v>
      </c>
      <c r="L24" s="340" t="s">
        <v>1881</v>
      </c>
      <c r="M24" s="339">
        <v>5</v>
      </c>
      <c r="N24" s="1119"/>
    </row>
    <row r="25" spans="1:14" ht="20.25" customHeight="1" thickBot="1">
      <c r="A25" s="1115"/>
      <c r="B25" s="1125"/>
      <c r="C25" s="1101"/>
      <c r="D25" s="341" t="s">
        <v>1884</v>
      </c>
      <c r="E25" s="342">
        <v>0</v>
      </c>
      <c r="F25" s="343" t="s">
        <v>1881</v>
      </c>
      <c r="G25" s="342">
        <v>2</v>
      </c>
      <c r="H25" s="342">
        <v>0</v>
      </c>
      <c r="I25" s="343" t="s">
        <v>1881</v>
      </c>
      <c r="J25" s="342">
        <v>5</v>
      </c>
      <c r="K25" s="346">
        <v>0</v>
      </c>
      <c r="L25" s="347" t="s">
        <v>1881</v>
      </c>
      <c r="M25" s="346">
        <v>10</v>
      </c>
      <c r="N25" s="1109"/>
    </row>
    <row r="26" spans="1:14" ht="17.25" customHeight="1" thickTop="1">
      <c r="A26" s="1114">
        <v>30.9</v>
      </c>
      <c r="B26" s="1123" t="s">
        <v>1902</v>
      </c>
      <c r="C26" s="1118" t="s">
        <v>1900</v>
      </c>
      <c r="D26" s="335" t="s">
        <v>1880</v>
      </c>
      <c r="E26" s="336">
        <v>0</v>
      </c>
      <c r="F26" s="337" t="s">
        <v>1881</v>
      </c>
      <c r="G26" s="336">
        <v>0.2</v>
      </c>
      <c r="H26" s="336">
        <v>0</v>
      </c>
      <c r="I26" s="337" t="s">
        <v>1881</v>
      </c>
      <c r="J26" s="336">
        <v>0.4</v>
      </c>
      <c r="K26" s="336">
        <v>0</v>
      </c>
      <c r="L26" s="337" t="s">
        <v>1881</v>
      </c>
      <c r="M26" s="336">
        <v>0.5</v>
      </c>
      <c r="N26" s="1108" t="s">
        <v>2026</v>
      </c>
    </row>
    <row r="27" spans="1:14" ht="17.25" customHeight="1">
      <c r="A27" s="1122"/>
      <c r="B27" s="1124"/>
      <c r="C27" s="1100"/>
      <c r="D27" s="338" t="s">
        <v>1883</v>
      </c>
      <c r="E27" s="339">
        <v>0</v>
      </c>
      <c r="F27" s="340" t="s">
        <v>1881</v>
      </c>
      <c r="G27" s="339">
        <v>1</v>
      </c>
      <c r="H27" s="339">
        <v>0</v>
      </c>
      <c r="I27" s="340" t="s">
        <v>1881</v>
      </c>
      <c r="J27" s="339">
        <v>2</v>
      </c>
      <c r="K27" s="339">
        <v>0</v>
      </c>
      <c r="L27" s="340" t="s">
        <v>1881</v>
      </c>
      <c r="M27" s="339">
        <v>5</v>
      </c>
      <c r="N27" s="1119"/>
    </row>
    <row r="28" spans="1:14" ht="18" customHeight="1" thickBot="1">
      <c r="A28" s="1115"/>
      <c r="B28" s="1125"/>
      <c r="C28" s="1101"/>
      <c r="D28" s="341" t="s">
        <v>1884</v>
      </c>
      <c r="E28" s="346">
        <v>0</v>
      </c>
      <c r="F28" s="343" t="s">
        <v>1881</v>
      </c>
      <c r="G28" s="346">
        <v>2</v>
      </c>
      <c r="H28" s="346">
        <v>0</v>
      </c>
      <c r="I28" s="343" t="s">
        <v>1881</v>
      </c>
      <c r="J28" s="346">
        <v>3</v>
      </c>
      <c r="K28" s="346">
        <v>0</v>
      </c>
      <c r="L28" s="343" t="s">
        <v>1881</v>
      </c>
      <c r="M28" s="346">
        <v>10</v>
      </c>
      <c r="N28" s="1109"/>
    </row>
    <row r="29" spans="1:14" ht="18.75" customHeight="1" thickTop="1">
      <c r="A29" s="1128">
        <v>30.1</v>
      </c>
      <c r="B29" s="1123" t="s">
        <v>1903</v>
      </c>
      <c r="C29" s="1118" t="s">
        <v>1900</v>
      </c>
      <c r="D29" s="335" t="s">
        <v>1880</v>
      </c>
      <c r="E29" s="336">
        <v>0</v>
      </c>
      <c r="F29" s="337" t="s">
        <v>1881</v>
      </c>
      <c r="G29" s="336">
        <v>0.3</v>
      </c>
      <c r="H29" s="336">
        <v>0</v>
      </c>
      <c r="I29" s="337" t="s">
        <v>1881</v>
      </c>
      <c r="J29" s="336">
        <v>0.5</v>
      </c>
      <c r="K29" s="336">
        <v>0</v>
      </c>
      <c r="L29" s="337" t="s">
        <v>1881</v>
      </c>
      <c r="M29" s="336">
        <v>1</v>
      </c>
      <c r="N29" s="1108" t="s">
        <v>2027</v>
      </c>
    </row>
    <row r="30" spans="1:14" ht="18" customHeight="1">
      <c r="A30" s="1129"/>
      <c r="B30" s="1124"/>
      <c r="C30" s="1100"/>
      <c r="D30" s="338" t="s">
        <v>1883</v>
      </c>
      <c r="E30" s="339">
        <v>0</v>
      </c>
      <c r="F30" s="340" t="s">
        <v>1881</v>
      </c>
      <c r="G30" s="339">
        <v>15</v>
      </c>
      <c r="H30" s="339">
        <v>0</v>
      </c>
      <c r="I30" s="340" t="s">
        <v>1881</v>
      </c>
      <c r="J30" s="339">
        <v>20</v>
      </c>
      <c r="K30" s="339">
        <v>0</v>
      </c>
      <c r="L30" s="340" t="s">
        <v>1881</v>
      </c>
      <c r="M30" s="339">
        <v>30</v>
      </c>
      <c r="N30" s="1119"/>
    </row>
    <row r="31" spans="1:14" ht="18" customHeight="1" thickBot="1">
      <c r="A31" s="1130"/>
      <c r="B31" s="1125"/>
      <c r="C31" s="1101"/>
      <c r="D31" s="341" t="s">
        <v>1884</v>
      </c>
      <c r="E31" s="342">
        <v>0</v>
      </c>
      <c r="F31" s="343" t="s">
        <v>1881</v>
      </c>
      <c r="G31" s="342">
        <v>25</v>
      </c>
      <c r="H31" s="342">
        <v>0</v>
      </c>
      <c r="I31" s="343" t="s">
        <v>1881</v>
      </c>
      <c r="J31" s="342">
        <v>30</v>
      </c>
      <c r="K31" s="342">
        <v>0</v>
      </c>
      <c r="L31" s="343" t="s">
        <v>1881</v>
      </c>
      <c r="M31" s="342">
        <v>40</v>
      </c>
      <c r="N31" s="1109"/>
    </row>
    <row r="32" spans="1:14" ht="18" customHeight="1" thickTop="1">
      <c r="A32" s="1128">
        <v>30.11</v>
      </c>
      <c r="B32" s="1123" t="s">
        <v>1904</v>
      </c>
      <c r="C32" s="1118" t="s">
        <v>1900</v>
      </c>
      <c r="D32" s="335" t="s">
        <v>1880</v>
      </c>
      <c r="E32" s="336">
        <v>0</v>
      </c>
      <c r="F32" s="337" t="s">
        <v>1881</v>
      </c>
      <c r="G32" s="336">
        <v>0.3</v>
      </c>
      <c r="H32" s="336">
        <v>0</v>
      </c>
      <c r="I32" s="337" t="s">
        <v>1881</v>
      </c>
      <c r="J32" s="336">
        <v>0.4</v>
      </c>
      <c r="K32" s="336">
        <v>0</v>
      </c>
      <c r="L32" s="337" t="s">
        <v>1881</v>
      </c>
      <c r="M32" s="336">
        <v>0.6</v>
      </c>
      <c r="N32" s="1108" t="s">
        <v>2028</v>
      </c>
    </row>
    <row r="33" spans="1:14" ht="17.25" customHeight="1">
      <c r="A33" s="1129"/>
      <c r="B33" s="1124"/>
      <c r="C33" s="1100"/>
      <c r="D33" s="338" t="s">
        <v>1883</v>
      </c>
      <c r="E33" s="339">
        <v>0</v>
      </c>
      <c r="F33" s="340" t="s">
        <v>1881</v>
      </c>
      <c r="G33" s="339">
        <v>0.5</v>
      </c>
      <c r="H33" s="339">
        <v>0</v>
      </c>
      <c r="I33" s="340" t="s">
        <v>1881</v>
      </c>
      <c r="J33" s="339">
        <v>0.6</v>
      </c>
      <c r="K33" s="339">
        <v>0</v>
      </c>
      <c r="L33" s="340" t="s">
        <v>1881</v>
      </c>
      <c r="M33" s="339">
        <v>0.8</v>
      </c>
      <c r="N33" s="1119"/>
    </row>
    <row r="34" spans="1:14" ht="17.25" customHeight="1" thickBot="1">
      <c r="A34" s="1130"/>
      <c r="B34" s="1125"/>
      <c r="C34" s="1101"/>
      <c r="D34" s="341" t="s">
        <v>1884</v>
      </c>
      <c r="E34" s="342">
        <v>0</v>
      </c>
      <c r="F34" s="343" t="s">
        <v>1881</v>
      </c>
      <c r="G34" s="342">
        <v>3</v>
      </c>
      <c r="H34" s="342">
        <v>0</v>
      </c>
      <c r="I34" s="343" t="s">
        <v>1881</v>
      </c>
      <c r="J34" s="342">
        <v>5</v>
      </c>
      <c r="K34" s="342">
        <v>0</v>
      </c>
      <c r="L34" s="343" t="s">
        <v>1881</v>
      </c>
      <c r="M34" s="342">
        <v>6</v>
      </c>
      <c r="N34" s="1109"/>
    </row>
    <row r="35" spans="1:14" ht="15" customHeight="1" thickTop="1">
      <c r="A35" s="1128">
        <v>30.12</v>
      </c>
      <c r="B35" s="1123" t="s">
        <v>1905</v>
      </c>
      <c r="C35" s="1118" t="s">
        <v>1900</v>
      </c>
      <c r="D35" s="335" t="s">
        <v>1880</v>
      </c>
      <c r="E35" s="336">
        <v>0</v>
      </c>
      <c r="F35" s="337" t="s">
        <v>1881</v>
      </c>
      <c r="G35" s="336">
        <v>0.2</v>
      </c>
      <c r="H35" s="336">
        <v>0</v>
      </c>
      <c r="I35" s="337" t="s">
        <v>1881</v>
      </c>
      <c r="J35" s="336">
        <v>0.4</v>
      </c>
      <c r="K35" s="336">
        <v>0</v>
      </c>
      <c r="L35" s="337" t="s">
        <v>1881</v>
      </c>
      <c r="M35" s="336">
        <v>0.5</v>
      </c>
      <c r="N35" s="1108" t="s">
        <v>1906</v>
      </c>
    </row>
    <row r="36" spans="1:14" ht="15" customHeight="1">
      <c r="A36" s="1129"/>
      <c r="B36" s="1124"/>
      <c r="C36" s="1100"/>
      <c r="D36" s="338" t="s">
        <v>1883</v>
      </c>
      <c r="E36" s="339">
        <v>0</v>
      </c>
      <c r="F36" s="340" t="s">
        <v>1881</v>
      </c>
      <c r="G36" s="339">
        <v>0.5</v>
      </c>
      <c r="H36" s="339">
        <v>0</v>
      </c>
      <c r="I36" s="340" t="s">
        <v>1881</v>
      </c>
      <c r="J36" s="339">
        <v>1</v>
      </c>
      <c r="K36" s="339">
        <v>0</v>
      </c>
      <c r="L36" s="340" t="s">
        <v>1881</v>
      </c>
      <c r="M36" s="339">
        <v>1</v>
      </c>
      <c r="N36" s="1119"/>
    </row>
    <row r="37" spans="1:14" ht="15" customHeight="1" thickBot="1">
      <c r="A37" s="1130"/>
      <c r="B37" s="1125"/>
      <c r="C37" s="1101"/>
      <c r="D37" s="341" t="s">
        <v>1884</v>
      </c>
      <c r="E37" s="342">
        <v>0</v>
      </c>
      <c r="F37" s="343" t="s">
        <v>1881</v>
      </c>
      <c r="G37" s="342">
        <v>2</v>
      </c>
      <c r="H37" s="342">
        <v>0</v>
      </c>
      <c r="I37" s="343" t="s">
        <v>1881</v>
      </c>
      <c r="J37" s="342">
        <v>4</v>
      </c>
      <c r="K37" s="342">
        <v>0</v>
      </c>
      <c r="L37" s="343" t="s">
        <v>1881</v>
      </c>
      <c r="M37" s="342">
        <v>6</v>
      </c>
      <c r="N37" s="1109"/>
    </row>
    <row r="38" spans="1:14" ht="18" customHeight="1" thickTop="1">
      <c r="A38" s="1128">
        <v>30.13</v>
      </c>
      <c r="B38" s="1123" t="s">
        <v>606</v>
      </c>
      <c r="C38" s="1118" t="s">
        <v>1900</v>
      </c>
      <c r="D38" s="335" t="s">
        <v>1880</v>
      </c>
      <c r="E38" s="336">
        <v>0</v>
      </c>
      <c r="F38" s="337" t="s">
        <v>1881</v>
      </c>
      <c r="G38" s="336">
        <v>0.2</v>
      </c>
      <c r="H38" s="336">
        <v>0</v>
      </c>
      <c r="I38" s="337" t="s">
        <v>1881</v>
      </c>
      <c r="J38" s="336">
        <v>0.4</v>
      </c>
      <c r="K38" s="336">
        <v>0</v>
      </c>
      <c r="L38" s="337" t="s">
        <v>1881</v>
      </c>
      <c r="M38" s="336">
        <v>0.5</v>
      </c>
      <c r="N38" s="1108" t="s">
        <v>1907</v>
      </c>
    </row>
    <row r="39" spans="1:14" ht="17.25" customHeight="1">
      <c r="A39" s="1129"/>
      <c r="B39" s="1124"/>
      <c r="C39" s="1100"/>
      <c r="D39" s="338" t="s">
        <v>1883</v>
      </c>
      <c r="E39" s="339">
        <v>0</v>
      </c>
      <c r="F39" s="340" t="s">
        <v>1881</v>
      </c>
      <c r="G39" s="339">
        <v>0.5</v>
      </c>
      <c r="H39" s="339">
        <v>0</v>
      </c>
      <c r="I39" s="340" t="s">
        <v>1881</v>
      </c>
      <c r="J39" s="339">
        <v>1</v>
      </c>
      <c r="K39" s="339">
        <v>0</v>
      </c>
      <c r="L39" s="340" t="s">
        <v>1881</v>
      </c>
      <c r="M39" s="339">
        <v>1</v>
      </c>
      <c r="N39" s="1119"/>
    </row>
    <row r="40" spans="1:14" ht="16.5" customHeight="1" thickBot="1">
      <c r="A40" s="1130"/>
      <c r="B40" s="1125"/>
      <c r="C40" s="1101"/>
      <c r="D40" s="341" t="s">
        <v>1884</v>
      </c>
      <c r="E40" s="342">
        <v>0</v>
      </c>
      <c r="F40" s="343" t="s">
        <v>1881</v>
      </c>
      <c r="G40" s="342">
        <v>1</v>
      </c>
      <c r="H40" s="342">
        <v>0</v>
      </c>
      <c r="I40" s="343" t="s">
        <v>1881</v>
      </c>
      <c r="J40" s="342">
        <v>2</v>
      </c>
      <c r="K40" s="342">
        <v>0</v>
      </c>
      <c r="L40" s="343" t="s">
        <v>1881</v>
      </c>
      <c r="M40" s="346">
        <v>7</v>
      </c>
      <c r="N40" s="1109"/>
    </row>
    <row r="41" spans="1:14" ht="18" customHeight="1" thickTop="1">
      <c r="A41" s="1126">
        <v>30.14</v>
      </c>
      <c r="B41" s="353" t="s">
        <v>496</v>
      </c>
      <c r="C41" s="354"/>
      <c r="D41" s="354"/>
      <c r="E41" s="360"/>
      <c r="F41" s="361"/>
      <c r="G41" s="362"/>
      <c r="H41" s="362"/>
      <c r="I41" s="363"/>
      <c r="J41" s="362"/>
      <c r="K41" s="362"/>
      <c r="L41" s="363"/>
      <c r="M41" s="364"/>
      <c r="N41" s="1079" t="s">
        <v>2029</v>
      </c>
    </row>
    <row r="42" spans="1:14" ht="12.75" customHeight="1">
      <c r="A42" s="1126"/>
      <c r="B42" s="316" t="s">
        <v>1908</v>
      </c>
      <c r="C42" s="473" t="s">
        <v>982</v>
      </c>
      <c r="D42" s="315" t="s">
        <v>1880</v>
      </c>
      <c r="E42" s="355"/>
      <c r="F42" s="356"/>
      <c r="G42" s="357"/>
      <c r="H42" s="357"/>
      <c r="I42" s="356"/>
      <c r="J42" s="357"/>
      <c r="K42" s="357"/>
      <c r="L42" s="356"/>
      <c r="M42" s="358"/>
      <c r="N42" s="1080"/>
    </row>
    <row r="43" spans="1:14">
      <c r="A43" s="1126"/>
      <c r="B43" s="316"/>
      <c r="C43" s="473" t="s">
        <v>982</v>
      </c>
      <c r="D43" s="315" t="s">
        <v>1883</v>
      </c>
      <c r="E43" s="355"/>
      <c r="F43" s="356"/>
      <c r="G43" s="357"/>
      <c r="H43" s="357"/>
      <c r="I43" s="356"/>
      <c r="J43" s="357"/>
      <c r="K43" s="357"/>
      <c r="L43" s="356"/>
      <c r="M43" s="358"/>
      <c r="N43" s="1080"/>
    </row>
    <row r="44" spans="1:14">
      <c r="A44" s="1126"/>
      <c r="B44" s="317"/>
      <c r="C44" s="473" t="s">
        <v>982</v>
      </c>
      <c r="D44" s="315" t="s">
        <v>1909</v>
      </c>
      <c r="E44" s="355"/>
      <c r="F44" s="356"/>
      <c r="G44" s="357"/>
      <c r="H44" s="357"/>
      <c r="I44" s="356"/>
      <c r="J44" s="357"/>
      <c r="K44" s="357"/>
      <c r="L44" s="356"/>
      <c r="M44" s="358"/>
      <c r="N44" s="1080"/>
    </row>
    <row r="45" spans="1:14">
      <c r="A45" s="1126"/>
      <c r="B45" s="316"/>
      <c r="C45" s="473" t="s">
        <v>982</v>
      </c>
      <c r="D45" s="315" t="s">
        <v>1888</v>
      </c>
      <c r="E45" s="355"/>
      <c r="F45" s="356"/>
      <c r="G45" s="357"/>
      <c r="H45" s="357"/>
      <c r="I45" s="356"/>
      <c r="J45" s="357"/>
      <c r="K45" s="357"/>
      <c r="L45" s="356"/>
      <c r="M45" s="358"/>
      <c r="N45" s="1080"/>
    </row>
    <row r="46" spans="1:14">
      <c r="A46" s="1127"/>
      <c r="B46" s="317"/>
      <c r="C46" s="474" t="s">
        <v>982</v>
      </c>
      <c r="D46" s="359" t="s">
        <v>1889</v>
      </c>
      <c r="E46" s="355"/>
      <c r="F46" s="356"/>
      <c r="G46" s="357"/>
      <c r="H46" s="357"/>
      <c r="I46" s="356"/>
      <c r="J46" s="357"/>
      <c r="K46" s="357"/>
      <c r="L46" s="356"/>
      <c r="M46" s="358"/>
      <c r="N46" s="1080"/>
    </row>
    <row r="47" spans="1:14" ht="23.25" customHeight="1">
      <c r="A47" s="324" t="s">
        <v>2033</v>
      </c>
      <c r="B47" s="332"/>
      <c r="C47" s="333"/>
      <c r="D47" s="327"/>
      <c r="E47" s="328"/>
      <c r="F47" s="329"/>
      <c r="G47" s="330"/>
      <c r="H47" s="330"/>
      <c r="I47" s="329"/>
      <c r="J47" s="330"/>
      <c r="K47" s="330"/>
      <c r="L47" s="329"/>
      <c r="M47" s="331"/>
      <c r="N47" s="352"/>
    </row>
    <row r="48" spans="1:14" ht="26.4">
      <c r="A48" s="371">
        <v>30.15</v>
      </c>
      <c r="B48" s="372" t="s">
        <v>1509</v>
      </c>
      <c r="C48" s="473" t="s">
        <v>982</v>
      </c>
      <c r="D48" s="373"/>
      <c r="E48" s="365"/>
      <c r="F48" s="366"/>
      <c r="G48" s="367"/>
      <c r="H48" s="367"/>
      <c r="I48" s="368"/>
      <c r="J48" s="367"/>
      <c r="K48" s="367"/>
      <c r="L48" s="368"/>
      <c r="M48" s="369"/>
      <c r="N48" s="561" t="s">
        <v>1910</v>
      </c>
    </row>
    <row r="49" spans="1:14" ht="26.4">
      <c r="A49" s="371">
        <v>30.16</v>
      </c>
      <c r="B49" s="372" t="s">
        <v>1044</v>
      </c>
      <c r="C49" s="473" t="s">
        <v>982</v>
      </c>
      <c r="D49" s="543"/>
      <c r="E49" s="370"/>
      <c r="F49" s="366"/>
      <c r="G49" s="367"/>
      <c r="H49" s="367"/>
      <c r="I49" s="368"/>
      <c r="J49" s="367"/>
      <c r="K49" s="367"/>
      <c r="L49" s="368"/>
      <c r="M49" s="369"/>
      <c r="N49" s="562" t="s">
        <v>253</v>
      </c>
    </row>
    <row r="50" spans="1:14" ht="26.4">
      <c r="A50" s="371">
        <v>30.17</v>
      </c>
      <c r="B50" s="372" t="s">
        <v>1111</v>
      </c>
      <c r="C50" s="473" t="s">
        <v>982</v>
      </c>
      <c r="D50" s="373"/>
      <c r="E50" s="370"/>
      <c r="F50" s="366"/>
      <c r="G50" s="367"/>
      <c r="H50" s="367"/>
      <c r="I50" s="368"/>
      <c r="J50" s="367"/>
      <c r="K50" s="367"/>
      <c r="L50" s="368"/>
      <c r="M50" s="369"/>
      <c r="N50" s="562" t="s">
        <v>2268</v>
      </c>
    </row>
    <row r="51" spans="1:14" ht="26.4">
      <c r="A51" s="371">
        <v>30.18</v>
      </c>
      <c r="B51" s="372" t="s">
        <v>912</v>
      </c>
      <c r="C51" s="473" t="s">
        <v>982</v>
      </c>
      <c r="D51" s="373"/>
      <c r="E51" s="370"/>
      <c r="F51" s="366"/>
      <c r="G51" s="367"/>
      <c r="H51" s="367"/>
      <c r="I51" s="368"/>
      <c r="J51" s="367"/>
      <c r="K51" s="367"/>
      <c r="L51" s="368"/>
      <c r="M51" s="369"/>
      <c r="N51" s="563" t="s">
        <v>2269</v>
      </c>
    </row>
    <row r="52" spans="1:14" ht="21" customHeight="1">
      <c r="A52" s="324" t="s">
        <v>2034</v>
      </c>
      <c r="B52" s="325"/>
      <c r="C52" s="326"/>
      <c r="D52" s="327"/>
      <c r="E52" s="328"/>
      <c r="F52" s="329"/>
      <c r="G52" s="330"/>
      <c r="H52" s="330"/>
      <c r="I52" s="329"/>
      <c r="J52" s="330"/>
      <c r="K52" s="330"/>
      <c r="L52" s="329"/>
      <c r="M52" s="331"/>
      <c r="N52" s="544"/>
    </row>
    <row r="53" spans="1:14" ht="40.200000000000003" thickBot="1">
      <c r="A53" s="545">
        <v>30.19</v>
      </c>
      <c r="B53" s="546" t="s">
        <v>384</v>
      </c>
      <c r="C53" s="547" t="s">
        <v>982</v>
      </c>
      <c r="D53" s="548"/>
      <c r="E53" s="549"/>
      <c r="F53" s="550"/>
      <c r="G53" s="551"/>
      <c r="H53" s="551"/>
      <c r="I53" s="552"/>
      <c r="J53" s="551"/>
      <c r="K53" s="551"/>
      <c r="L53" s="552"/>
      <c r="M53" s="553"/>
      <c r="N53" s="564" t="s">
        <v>2270</v>
      </c>
    </row>
    <row r="54" spans="1:14" ht="13.8">
      <c r="A54" s="126"/>
      <c r="B54" s="128" t="s">
        <v>1911</v>
      </c>
      <c r="C54" s="128"/>
      <c r="D54" s="128"/>
      <c r="E54" s="318"/>
      <c r="N54" s="127"/>
    </row>
    <row r="55" spans="1:14" ht="13.8">
      <c r="A55" s="126"/>
      <c r="B55" s="128"/>
      <c r="C55" s="322"/>
      <c r="D55" s="129"/>
    </row>
    <row r="56" spans="1:14" ht="13.8">
      <c r="A56" s="126"/>
      <c r="B56" s="128"/>
      <c r="C56" s="322"/>
      <c r="D56" s="129"/>
    </row>
    <row r="57" spans="1:14" ht="13.8">
      <c r="A57" s="126"/>
      <c r="B57" s="128"/>
      <c r="C57" s="322"/>
      <c r="D57" s="129"/>
    </row>
    <row r="58" spans="1:14" ht="13.8">
      <c r="A58" s="126"/>
      <c r="B58" s="128"/>
      <c r="C58" s="322"/>
      <c r="D58" s="129"/>
    </row>
  </sheetData>
  <mergeCells count="64">
    <mergeCell ref="A41:A46"/>
    <mergeCell ref="A26:A28"/>
    <mergeCell ref="B29:B31"/>
    <mergeCell ref="A29:A31"/>
    <mergeCell ref="B32:B34"/>
    <mergeCell ref="A32:A34"/>
    <mergeCell ref="B35:B37"/>
    <mergeCell ref="A35:A37"/>
    <mergeCell ref="A38:A40"/>
    <mergeCell ref="B23:B25"/>
    <mergeCell ref="A23:A25"/>
    <mergeCell ref="B26:B28"/>
    <mergeCell ref="N38:N40"/>
    <mergeCell ref="C38:C40"/>
    <mergeCell ref="B38:B40"/>
    <mergeCell ref="N32:N34"/>
    <mergeCell ref="N35:N37"/>
    <mergeCell ref="C32:C34"/>
    <mergeCell ref="C35:C37"/>
    <mergeCell ref="N29:N31"/>
    <mergeCell ref="C29:C31"/>
    <mergeCell ref="N23:N25"/>
    <mergeCell ref="N26:N28"/>
    <mergeCell ref="C23:C25"/>
    <mergeCell ref="C26:C28"/>
    <mergeCell ref="N20:N22"/>
    <mergeCell ref="C20:C22"/>
    <mergeCell ref="B20:B22"/>
    <mergeCell ref="A17:A19"/>
    <mergeCell ref="N14:N16"/>
    <mergeCell ref="N17:N19"/>
    <mergeCell ref="C14:C16"/>
    <mergeCell ref="C17:C19"/>
    <mergeCell ref="A20:A22"/>
    <mergeCell ref="B17:B19"/>
    <mergeCell ref="B14:B16"/>
    <mergeCell ref="A14:A16"/>
    <mergeCell ref="A12:A13"/>
    <mergeCell ref="N10:N11"/>
    <mergeCell ref="C10:C11"/>
    <mergeCell ref="B10:B11"/>
    <mergeCell ref="A10:A11"/>
    <mergeCell ref="C7:C9"/>
    <mergeCell ref="C4:C6"/>
    <mergeCell ref="B4:B6"/>
    <mergeCell ref="N12:N13"/>
    <mergeCell ref="C12:C13"/>
    <mergeCell ref="B12:B13"/>
    <mergeCell ref="N2:N3"/>
    <mergeCell ref="A1:N1"/>
    <mergeCell ref="N41:N46"/>
    <mergeCell ref="D2:D3"/>
    <mergeCell ref="C2:C3"/>
    <mergeCell ref="E2:M2"/>
    <mergeCell ref="E3:G3"/>
    <mergeCell ref="H3:J3"/>
    <mergeCell ref="K3:M3"/>
    <mergeCell ref="A4:A6"/>
    <mergeCell ref="B7:B9"/>
    <mergeCell ref="A7:A9"/>
    <mergeCell ref="A2:A3"/>
    <mergeCell ref="B2:B3"/>
    <mergeCell ref="N4:N6"/>
    <mergeCell ref="N7:N9"/>
  </mergeCells>
  <printOptions horizontalCentered="1" verticalCentered="1"/>
  <pageMargins left="0.75" right="0.75" top="1" bottom="1" header="0.5" footer="0.5"/>
  <pageSetup scale="56" fitToHeight="2" orientation="landscape" r:id="rId1"/>
  <headerFooter alignWithMargins="0"/>
  <rowBreaks count="2" manualBreakCount="2">
    <brk id="37" max="16383" man="1"/>
    <brk id="49" max="16383" man="1"/>
  </rowBreak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5"/>
  <dimension ref="A1:N55"/>
  <sheetViews>
    <sheetView view="pageBreakPreview" zoomScaleNormal="100" zoomScaleSheetLayoutView="100" workbookViewId="0"/>
  </sheetViews>
  <sheetFormatPr defaultColWidth="9.109375" defaultRowHeight="13.2"/>
  <cols>
    <col min="1" max="1" width="118.33203125" style="46" customWidth="1"/>
    <col min="2" max="2" width="20.5546875" style="4" customWidth="1"/>
    <col min="3" max="16384" width="9.109375" style="4"/>
  </cols>
  <sheetData>
    <row r="1" spans="1:14">
      <c r="A1" s="139" t="s">
        <v>219</v>
      </c>
    </row>
    <row r="2" spans="1:14" s="88" customFormat="1">
      <c r="A2" s="119"/>
      <c r="N2" s="88" t="s">
        <v>596</v>
      </c>
    </row>
    <row r="3" spans="1:14" ht="54" customHeight="1">
      <c r="A3" s="46" t="s">
        <v>1346</v>
      </c>
    </row>
    <row r="5" spans="1:14">
      <c r="A5" s="46" t="s">
        <v>1347</v>
      </c>
    </row>
    <row r="6" spans="1:14">
      <c r="A6" s="49" t="s">
        <v>140</v>
      </c>
    </row>
    <row r="7" spans="1:14">
      <c r="A7" s="49" t="s">
        <v>141</v>
      </c>
      <c r="C7" s="49"/>
    </row>
    <row r="8" spans="1:14">
      <c r="A8" s="49" t="s">
        <v>142</v>
      </c>
      <c r="C8" s="50"/>
    </row>
    <row r="9" spans="1:14">
      <c r="A9" s="49" t="s">
        <v>143</v>
      </c>
    </row>
    <row r="10" spans="1:14">
      <c r="A10" s="49" t="s">
        <v>144</v>
      </c>
    </row>
    <row r="11" spans="1:14">
      <c r="A11" s="49" t="s">
        <v>145</v>
      </c>
    </row>
    <row r="13" spans="1:14">
      <c r="A13" s="46" t="s">
        <v>1348</v>
      </c>
    </row>
    <row r="14" spans="1:14">
      <c r="A14" s="49" t="s">
        <v>142</v>
      </c>
    </row>
    <row r="15" spans="1:14">
      <c r="A15" s="49" t="s">
        <v>146</v>
      </c>
    </row>
    <row r="16" spans="1:14">
      <c r="A16" s="49" t="s">
        <v>147</v>
      </c>
    </row>
    <row r="17" spans="1:1">
      <c r="A17" s="49" t="s">
        <v>148</v>
      </c>
    </row>
    <row r="18" spans="1:1">
      <c r="A18" s="49" t="s">
        <v>149</v>
      </c>
    </row>
    <row r="19" spans="1:1">
      <c r="A19" s="49" t="s">
        <v>150</v>
      </c>
    </row>
    <row r="20" spans="1:1">
      <c r="A20" s="49" t="s">
        <v>151</v>
      </c>
    </row>
    <row r="21" spans="1:1">
      <c r="A21" s="49" t="s">
        <v>988</v>
      </c>
    </row>
    <row r="23" spans="1:1" ht="39.6">
      <c r="A23" s="46" t="s">
        <v>559</v>
      </c>
    </row>
    <row r="25" spans="1:1" ht="26.4">
      <c r="A25" s="46" t="s">
        <v>560</v>
      </c>
    </row>
    <row r="26" spans="1:1" ht="12.75" customHeight="1">
      <c r="A26" s="50" t="s">
        <v>1529</v>
      </c>
    </row>
    <row r="27" spans="1:1">
      <c r="A27" s="50" t="s">
        <v>1067</v>
      </c>
    </row>
    <row r="28" spans="1:1">
      <c r="A28" s="50" t="s">
        <v>1068</v>
      </c>
    </row>
    <row r="29" spans="1:1">
      <c r="A29" s="50" t="s">
        <v>63</v>
      </c>
    </row>
    <row r="30" spans="1:1">
      <c r="A30" s="50" t="s">
        <v>1307</v>
      </c>
    </row>
    <row r="31" spans="1:1">
      <c r="A31" s="74" t="s">
        <v>1308</v>
      </c>
    </row>
    <row r="32" spans="1:1">
      <c r="A32" s="50" t="s">
        <v>441</v>
      </c>
    </row>
    <row r="33" spans="1:1">
      <c r="A33" s="50" t="s">
        <v>689</v>
      </c>
    </row>
    <row r="34" spans="1:1">
      <c r="A34" s="74" t="s">
        <v>690</v>
      </c>
    </row>
    <row r="35" spans="1:1">
      <c r="A35" s="74" t="s">
        <v>691</v>
      </c>
    </row>
    <row r="37" spans="1:1">
      <c r="A37" s="119" t="s">
        <v>1981</v>
      </c>
    </row>
    <row r="39" spans="1:1">
      <c r="A39" s="49" t="s">
        <v>442</v>
      </c>
    </row>
    <row r="40" spans="1:1">
      <c r="A40" s="131" t="s">
        <v>1982</v>
      </c>
    </row>
    <row r="41" spans="1:1">
      <c r="A41" s="50" t="s">
        <v>666</v>
      </c>
    </row>
    <row r="42" spans="1:1">
      <c r="A42" s="49" t="s">
        <v>443</v>
      </c>
    </row>
    <row r="43" spans="1:1" ht="26.4">
      <c r="A43" s="131" t="s">
        <v>1983</v>
      </c>
    </row>
    <row r="44" spans="1:1">
      <c r="A44" s="131"/>
    </row>
    <row r="45" spans="1:1">
      <c r="A45" s="49" t="s">
        <v>2592</v>
      </c>
    </row>
    <row r="46" spans="1:1">
      <c r="A46" s="131" t="s">
        <v>2593</v>
      </c>
    </row>
    <row r="47" spans="1:1">
      <c r="A47" s="131"/>
    </row>
    <row r="48" spans="1:1">
      <c r="A48" s="49" t="s">
        <v>2640</v>
      </c>
    </row>
    <row r="49" spans="1:2">
      <c r="A49" s="131" t="s">
        <v>133</v>
      </c>
    </row>
    <row r="50" spans="1:2">
      <c r="A50" s="499"/>
    </row>
    <row r="51" spans="1:2">
      <c r="A51" s="49" t="s">
        <v>2641</v>
      </c>
    </row>
    <row r="52" spans="1:2">
      <c r="A52" s="131" t="s">
        <v>1919</v>
      </c>
      <c r="B52" s="60"/>
    </row>
    <row r="53" spans="1:2">
      <c r="A53" s="119"/>
    </row>
    <row r="54" spans="1:2">
      <c r="A54" s="49" t="s">
        <v>2642</v>
      </c>
      <c r="B54" s="61"/>
    </row>
    <row r="55" spans="1:2">
      <c r="A55" s="131" t="s">
        <v>1528</v>
      </c>
    </row>
  </sheetData>
  <customSheetViews>
    <customSheetView guid="{4FEDB3BD-111A-4B7D-AA97-E67173A5F707}" showPageBreaks="1" printArea="1" showRuler="0" topLeftCell="A43">
      <selection activeCell="A57" sqref="A1:A57"/>
      <pageMargins left="0.75" right="0.75" top="1" bottom="1" header="0.5" footer="0.5"/>
      <pageSetup orientation="landscape" r:id="rId1"/>
      <headerFooter alignWithMargins="0">
        <oddFooter>&amp;CPage &amp;P of &amp;N</oddFooter>
      </headerFooter>
    </customSheetView>
    <customSheetView guid="{D5FFA8DD-F2DB-47F2-B4D2-3681726B2E8F}" showPageBreaks="1" showRuler="0" topLeftCell="A39">
      <selection activeCell="C3" sqref="C3:P3"/>
      <pageMargins left="0.75" right="0.75" top="1" bottom="1" header="0.5" footer="0.5"/>
      <pageSetup orientation="landscape" r:id="rId2"/>
      <headerFooter alignWithMargins="0">
        <oddFooter>&amp;CPage &amp;P of &amp;N</oddFooter>
      </headerFooter>
    </customSheetView>
    <customSheetView guid="{EFE02F7B-3837-4B0F-9646-ADE249504E9F}" showRuler="0">
      <selection activeCell="A60" sqref="A60"/>
      <pageMargins left="0.75" right="0.75" top="1" bottom="1" header="0.5" footer="0.5"/>
      <pageSetup orientation="landscape" r:id="rId3"/>
      <headerFooter alignWithMargins="0">
        <oddFooter>&amp;CPage &amp;P of &amp;N</oddFooter>
      </headerFooter>
    </customSheetView>
    <customSheetView guid="{053BE130-58A3-4F3B-945A-C2EFB15C6264}" showRuler="0">
      <selection activeCell="A60" sqref="A60"/>
      <pageMargins left="0.75" right="0.75" top="1" bottom="1" header="0.5" footer="0.5"/>
      <pageSetup orientation="landscape" r:id="rId4"/>
      <headerFooter alignWithMargins="0">
        <oddFooter>&amp;CPage &amp;P of &amp;N</oddFooter>
      </headerFooter>
    </customSheetView>
    <customSheetView guid="{F5DBE5B9-A9E4-4030-888B-08F930ECBB74}" showPageBreaks="1" showRuler="0">
      <selection activeCell="A60" sqref="A60"/>
      <pageMargins left="0.75" right="0.75" top="1" bottom="1" header="0.5" footer="0.5"/>
      <pageSetup orientation="landscape" r:id="rId5"/>
      <headerFooter alignWithMargins="0">
        <oddFooter>&amp;CPage &amp;P of &amp;N</oddFooter>
      </headerFooter>
    </customSheetView>
    <customSheetView guid="{960FB4AF-B150-4523-972C-3F7C93F049F3}" showRuler="0" topLeftCell="A43">
      <selection activeCell="A57" sqref="A1:A57"/>
      <pageMargins left="0.75" right="0.75" top="1" bottom="1" header="0.5" footer="0.5"/>
      <pageSetup orientation="landscape" r:id="rId6"/>
      <headerFooter alignWithMargins="0">
        <oddFooter>&amp;CPage &amp;P of &amp;N</oddFooter>
      </headerFooter>
    </customSheetView>
    <customSheetView guid="{DF3BD4C9-2986-4236-8E90-D96736404377}" showRuler="0" topLeftCell="A43">
      <selection activeCell="A57" sqref="A1:A57"/>
      <pageMargins left="0.75" right="0.75" top="1" bottom="1" header="0.5" footer="0.5"/>
      <pageSetup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E3802"/>
  <sheetViews>
    <sheetView showGridLines="0" zoomScaleNormal="100" zoomScaleSheetLayoutView="100" workbookViewId="0">
      <selection sqref="A1:E1"/>
    </sheetView>
  </sheetViews>
  <sheetFormatPr defaultColWidth="9.109375" defaultRowHeight="13.2"/>
  <cols>
    <col min="1" max="1" width="8" style="390" customWidth="1"/>
    <col min="2" max="2" width="31.33203125" style="390" customWidth="1"/>
    <col min="3" max="3" width="12.6640625" style="390" customWidth="1"/>
    <col min="4" max="4" width="12.6640625" style="117" customWidth="1"/>
    <col min="5" max="5" width="100.6640625" style="390" customWidth="1"/>
    <col min="6" max="16384" width="9.109375" style="390"/>
  </cols>
  <sheetData>
    <row r="1" spans="1:5" s="67" customFormat="1" ht="33" customHeight="1">
      <c r="A1" s="803" t="s">
        <v>1766</v>
      </c>
      <c r="B1" s="804"/>
      <c r="C1" s="804"/>
      <c r="D1" s="804"/>
      <c r="E1" s="805"/>
    </row>
    <row r="2" spans="1:5" ht="48" customHeight="1">
      <c r="A2" s="394" t="s">
        <v>385</v>
      </c>
      <c r="B2" s="392" t="s">
        <v>844</v>
      </c>
      <c r="C2" s="393" t="s">
        <v>984</v>
      </c>
      <c r="D2" s="393" t="s">
        <v>1069</v>
      </c>
      <c r="E2" s="395" t="s">
        <v>1070</v>
      </c>
    </row>
    <row r="3" spans="1:5" ht="20.100000000000001" customHeight="1">
      <c r="A3" s="396"/>
      <c r="B3" s="1135" t="s">
        <v>55</v>
      </c>
      <c r="C3" s="1137"/>
      <c r="D3" s="476"/>
      <c r="E3" s="387"/>
    </row>
    <row r="4" spans="1:5" ht="151.80000000000001">
      <c r="A4" s="374">
        <v>31.1</v>
      </c>
      <c r="B4" s="379" t="s">
        <v>2203</v>
      </c>
      <c r="C4" s="378" t="s">
        <v>1817</v>
      </c>
      <c r="D4" s="378" t="s">
        <v>1731</v>
      </c>
      <c r="E4" s="376" t="s">
        <v>2643</v>
      </c>
    </row>
    <row r="5" spans="1:5" ht="41.4">
      <c r="A5" s="374">
        <v>31.2</v>
      </c>
      <c r="B5" s="375" t="s">
        <v>915</v>
      </c>
      <c r="C5" s="377" t="s">
        <v>1490</v>
      </c>
      <c r="D5" s="378" t="s">
        <v>1984</v>
      </c>
      <c r="E5" s="376" t="s">
        <v>1985</v>
      </c>
    </row>
    <row r="6" spans="1:5" ht="41.4">
      <c r="A6" s="374">
        <v>31.3</v>
      </c>
      <c r="B6" s="379" t="s">
        <v>273</v>
      </c>
      <c r="C6" s="377" t="s">
        <v>1490</v>
      </c>
      <c r="D6" s="378" t="s">
        <v>1872</v>
      </c>
      <c r="E6" s="376" t="s">
        <v>2644</v>
      </c>
    </row>
    <row r="7" spans="1:5" ht="55.2">
      <c r="A7" s="374">
        <v>31.4</v>
      </c>
      <c r="B7" s="375" t="s">
        <v>2468</v>
      </c>
      <c r="C7" s="377" t="s">
        <v>1490</v>
      </c>
      <c r="D7" s="378" t="s">
        <v>152</v>
      </c>
      <c r="E7" s="376" t="s">
        <v>1986</v>
      </c>
    </row>
    <row r="8" spans="1:5" ht="41.4">
      <c r="A8" s="374">
        <v>31.5</v>
      </c>
      <c r="B8" s="375" t="s">
        <v>2469</v>
      </c>
      <c r="C8" s="377" t="s">
        <v>1490</v>
      </c>
      <c r="D8" s="378" t="s">
        <v>1571</v>
      </c>
      <c r="E8" s="376" t="s">
        <v>2645</v>
      </c>
    </row>
    <row r="9" spans="1:5" ht="27.6">
      <c r="A9" s="374">
        <v>31.6</v>
      </c>
      <c r="B9" s="375" t="s">
        <v>2470</v>
      </c>
      <c r="C9" s="377" t="s">
        <v>1490</v>
      </c>
      <c r="D9" s="378" t="s">
        <v>1823</v>
      </c>
      <c r="E9" s="376" t="s">
        <v>357</v>
      </c>
    </row>
    <row r="10" spans="1:5" ht="27.6">
      <c r="A10" s="374">
        <v>31.7</v>
      </c>
      <c r="B10" s="375" t="s">
        <v>2471</v>
      </c>
      <c r="C10" s="377" t="s">
        <v>1490</v>
      </c>
      <c r="D10" s="378" t="s">
        <v>1824</v>
      </c>
      <c r="E10" s="376" t="s">
        <v>358</v>
      </c>
    </row>
    <row r="11" spans="1:5" ht="27.6">
      <c r="A11" s="374">
        <v>31.8</v>
      </c>
      <c r="B11" s="375" t="s">
        <v>2472</v>
      </c>
      <c r="C11" s="377" t="s">
        <v>1490</v>
      </c>
      <c r="D11" s="378" t="s">
        <v>1823</v>
      </c>
      <c r="E11" s="376" t="s">
        <v>837</v>
      </c>
    </row>
    <row r="12" spans="1:5" ht="82.8">
      <c r="A12" s="374">
        <v>31.9</v>
      </c>
      <c r="B12" s="375" t="s">
        <v>2473</v>
      </c>
      <c r="C12" s="377" t="s">
        <v>1490</v>
      </c>
      <c r="D12" s="378" t="s">
        <v>152</v>
      </c>
      <c r="E12" s="376" t="s">
        <v>1987</v>
      </c>
    </row>
    <row r="13" spans="1:5" ht="27.6">
      <c r="A13" s="380">
        <v>31.1</v>
      </c>
      <c r="B13" s="375" t="s">
        <v>1248</v>
      </c>
      <c r="C13" s="377" t="s">
        <v>1490</v>
      </c>
      <c r="D13" s="378" t="s">
        <v>1825</v>
      </c>
      <c r="E13" s="376" t="s">
        <v>456</v>
      </c>
    </row>
    <row r="14" spans="1:5" ht="41.4">
      <c r="A14" s="380">
        <v>31.11</v>
      </c>
      <c r="B14" s="375" t="s">
        <v>2474</v>
      </c>
      <c r="C14" s="377" t="s">
        <v>1490</v>
      </c>
      <c r="D14" s="378" t="s">
        <v>1826</v>
      </c>
      <c r="E14" s="376" t="s">
        <v>1818</v>
      </c>
    </row>
    <row r="15" spans="1:5" ht="41.4">
      <c r="A15" s="380">
        <v>31.12</v>
      </c>
      <c r="B15" s="375" t="s">
        <v>2475</v>
      </c>
      <c r="C15" s="377" t="s">
        <v>1490</v>
      </c>
      <c r="D15" s="378" t="s">
        <v>801</v>
      </c>
      <c r="E15" s="376" t="s">
        <v>1819</v>
      </c>
    </row>
    <row r="16" spans="1:5" ht="41.4">
      <c r="A16" s="380">
        <v>31.13</v>
      </c>
      <c r="B16" s="375" t="s">
        <v>2476</v>
      </c>
      <c r="C16" s="377" t="s">
        <v>1490</v>
      </c>
      <c r="D16" s="378" t="s">
        <v>1827</v>
      </c>
      <c r="E16" s="376" t="s">
        <v>1988</v>
      </c>
    </row>
    <row r="17" spans="1:5" ht="55.2">
      <c r="A17" s="380">
        <v>31.14</v>
      </c>
      <c r="B17" s="375" t="s">
        <v>2477</v>
      </c>
      <c r="C17" s="377" t="s">
        <v>1490</v>
      </c>
      <c r="D17" s="378" t="s">
        <v>1864</v>
      </c>
      <c r="E17" s="376" t="s">
        <v>1989</v>
      </c>
    </row>
    <row r="18" spans="1:5" ht="27.6">
      <c r="A18" s="380">
        <v>31.15</v>
      </c>
      <c r="B18" s="379" t="s">
        <v>1820</v>
      </c>
      <c r="C18" s="377" t="s">
        <v>1490</v>
      </c>
      <c r="D18" s="378" t="s">
        <v>1821</v>
      </c>
      <c r="E18" s="376" t="s">
        <v>1822</v>
      </c>
    </row>
    <row r="19" spans="1:5" ht="27.6">
      <c r="A19" s="380">
        <v>31.16</v>
      </c>
      <c r="B19" s="375" t="s">
        <v>2478</v>
      </c>
      <c r="C19" s="377" t="s">
        <v>1490</v>
      </c>
      <c r="D19" s="378" t="s">
        <v>802</v>
      </c>
      <c r="E19" s="376" t="s">
        <v>1873</v>
      </c>
    </row>
    <row r="20" spans="1:5" ht="27.6">
      <c r="A20" s="380">
        <v>31.17</v>
      </c>
      <c r="B20" s="379" t="s">
        <v>1990</v>
      </c>
      <c r="C20" s="377" t="s">
        <v>1490</v>
      </c>
      <c r="D20" s="378" t="s">
        <v>1731</v>
      </c>
      <c r="E20" s="376" t="s">
        <v>1991</v>
      </c>
    </row>
    <row r="21" spans="1:5" ht="20.100000000000001" customHeight="1">
      <c r="A21" s="380">
        <v>31.18</v>
      </c>
      <c r="B21" s="375" t="s">
        <v>1992</v>
      </c>
      <c r="C21" s="377" t="s">
        <v>1490</v>
      </c>
      <c r="D21" s="378" t="s">
        <v>1727</v>
      </c>
      <c r="E21" s="376" t="s">
        <v>1828</v>
      </c>
    </row>
    <row r="22" spans="1:5" ht="27.6">
      <c r="A22" s="380">
        <v>31.19</v>
      </c>
      <c r="B22" s="379" t="s">
        <v>2479</v>
      </c>
      <c r="C22" s="377" t="s">
        <v>1490</v>
      </c>
      <c r="D22" s="378" t="s">
        <v>1571</v>
      </c>
      <c r="E22" s="376" t="s">
        <v>1993</v>
      </c>
    </row>
    <row r="23" spans="1:5" ht="41.4">
      <c r="A23" s="380">
        <v>31.2</v>
      </c>
      <c r="B23" s="375" t="s">
        <v>2480</v>
      </c>
      <c r="C23" s="377" t="s">
        <v>1490</v>
      </c>
      <c r="D23" s="378" t="s">
        <v>799</v>
      </c>
      <c r="E23" s="376" t="s">
        <v>1994</v>
      </c>
    </row>
    <row r="24" spans="1:5" ht="41.4">
      <c r="A24" s="380">
        <v>31.21</v>
      </c>
      <c r="B24" s="375" t="s">
        <v>2481</v>
      </c>
      <c r="C24" s="377" t="s">
        <v>1490</v>
      </c>
      <c r="D24" s="378" t="s">
        <v>803</v>
      </c>
      <c r="E24" s="376" t="s">
        <v>1085</v>
      </c>
    </row>
    <row r="25" spans="1:5" ht="27.6">
      <c r="A25" s="380">
        <v>31.22</v>
      </c>
      <c r="B25" s="375" t="s">
        <v>2482</v>
      </c>
      <c r="C25" s="377" t="s">
        <v>1490</v>
      </c>
      <c r="D25" s="378" t="s">
        <v>804</v>
      </c>
      <c r="E25" s="376" t="s">
        <v>1086</v>
      </c>
    </row>
    <row r="26" spans="1:5" ht="27.6">
      <c r="A26" s="380">
        <v>31.23</v>
      </c>
      <c r="B26" s="375" t="s">
        <v>2483</v>
      </c>
      <c r="C26" s="377" t="s">
        <v>1490</v>
      </c>
      <c r="D26" s="378" t="s">
        <v>138</v>
      </c>
      <c r="E26" s="376" t="s">
        <v>134</v>
      </c>
    </row>
    <row r="27" spans="1:5" ht="27.6">
      <c r="A27" s="380">
        <v>31.24</v>
      </c>
      <c r="B27" s="375" t="s">
        <v>1662</v>
      </c>
      <c r="C27" s="377" t="s">
        <v>1490</v>
      </c>
      <c r="D27" s="378" t="s">
        <v>541</v>
      </c>
      <c r="E27" s="376" t="s">
        <v>135</v>
      </c>
    </row>
    <row r="28" spans="1:5" ht="27.6">
      <c r="A28" s="380">
        <v>31.25</v>
      </c>
      <c r="B28" s="375" t="s">
        <v>2484</v>
      </c>
      <c r="C28" s="377" t="s">
        <v>1490</v>
      </c>
      <c r="D28" s="378" t="s">
        <v>138</v>
      </c>
      <c r="E28" s="376" t="s">
        <v>1995</v>
      </c>
    </row>
    <row r="29" spans="1:5" ht="41.4">
      <c r="A29" s="380">
        <v>31.26</v>
      </c>
      <c r="B29" s="375" t="s">
        <v>222</v>
      </c>
      <c r="C29" s="377" t="s">
        <v>1490</v>
      </c>
      <c r="D29" s="378" t="s">
        <v>1071</v>
      </c>
      <c r="E29" s="376" t="s">
        <v>2052</v>
      </c>
    </row>
    <row r="30" spans="1:5" ht="27.6">
      <c r="A30" s="380">
        <v>31.27</v>
      </c>
      <c r="B30" s="375" t="s">
        <v>910</v>
      </c>
      <c r="C30" s="377" t="s">
        <v>1490</v>
      </c>
      <c r="D30" s="378" t="s">
        <v>760</v>
      </c>
      <c r="E30" s="376" t="s">
        <v>1736</v>
      </c>
    </row>
    <row r="31" spans="1:5" ht="41.4">
      <c r="A31" s="380">
        <v>31.28</v>
      </c>
      <c r="B31" s="375" t="s">
        <v>1663</v>
      </c>
      <c r="C31" s="377" t="s">
        <v>982</v>
      </c>
      <c r="D31" s="378" t="s">
        <v>139</v>
      </c>
      <c r="E31" s="376" t="s">
        <v>1549</v>
      </c>
    </row>
    <row r="32" spans="1:5" ht="41.4">
      <c r="A32" s="380">
        <v>31.29</v>
      </c>
      <c r="B32" s="375" t="s">
        <v>274</v>
      </c>
      <c r="C32" s="377" t="s">
        <v>982</v>
      </c>
      <c r="D32" s="378" t="s">
        <v>1071</v>
      </c>
      <c r="E32" s="376" t="s">
        <v>1551</v>
      </c>
    </row>
    <row r="33" spans="1:5" ht="41.4">
      <c r="A33" s="380">
        <v>31.3</v>
      </c>
      <c r="B33" s="379" t="s">
        <v>911</v>
      </c>
      <c r="C33" s="377" t="s">
        <v>982</v>
      </c>
      <c r="D33" s="378" t="s">
        <v>1071</v>
      </c>
      <c r="E33" s="376" t="s">
        <v>1996</v>
      </c>
    </row>
    <row r="34" spans="1:5" ht="55.2">
      <c r="A34" s="380">
        <v>31.31</v>
      </c>
      <c r="B34" s="375" t="s">
        <v>843</v>
      </c>
      <c r="C34" s="377" t="s">
        <v>982</v>
      </c>
      <c r="D34" s="643" t="s">
        <v>2562</v>
      </c>
      <c r="E34" s="376" t="s">
        <v>2561</v>
      </c>
    </row>
    <row r="35" spans="1:5" ht="69">
      <c r="A35" s="380">
        <v>31.32</v>
      </c>
      <c r="B35" s="379" t="s">
        <v>2322</v>
      </c>
      <c r="C35" s="377" t="s">
        <v>982</v>
      </c>
      <c r="D35" s="378" t="s">
        <v>644</v>
      </c>
      <c r="E35" s="376" t="s">
        <v>2646</v>
      </c>
    </row>
    <row r="36" spans="1:5" ht="20.100000000000001" customHeight="1">
      <c r="A36" s="1131" t="s">
        <v>61</v>
      </c>
      <c r="B36" s="1132"/>
      <c r="C36" s="1132"/>
      <c r="D36" s="386"/>
      <c r="E36" s="387"/>
    </row>
    <row r="37" spans="1:5" ht="41.4">
      <c r="A37" s="380">
        <v>31.33</v>
      </c>
      <c r="B37" s="375" t="s">
        <v>1509</v>
      </c>
      <c r="C37" s="377" t="s">
        <v>982</v>
      </c>
      <c r="D37" s="378" t="s">
        <v>1071</v>
      </c>
      <c r="E37" s="376" t="s">
        <v>1091</v>
      </c>
    </row>
    <row r="38" spans="1:5" ht="153">
      <c r="A38" s="380">
        <v>31.34</v>
      </c>
      <c r="B38" s="379" t="s">
        <v>741</v>
      </c>
      <c r="C38" s="377" t="s">
        <v>982</v>
      </c>
      <c r="D38" s="378" t="s">
        <v>1071</v>
      </c>
      <c r="E38" s="381" t="s">
        <v>2053</v>
      </c>
    </row>
    <row r="39" spans="1:5" ht="27.6">
      <c r="A39" s="380">
        <v>31.35</v>
      </c>
      <c r="B39" s="379" t="s">
        <v>1339</v>
      </c>
      <c r="C39" s="377" t="s">
        <v>982</v>
      </c>
      <c r="D39" s="378" t="s">
        <v>796</v>
      </c>
      <c r="E39" s="376" t="s">
        <v>1997</v>
      </c>
    </row>
    <row r="40" spans="1:5" ht="41.4">
      <c r="A40" s="380">
        <v>31.36</v>
      </c>
      <c r="B40" s="379" t="s">
        <v>1998</v>
      </c>
      <c r="C40" s="377" t="s">
        <v>982</v>
      </c>
      <c r="D40" s="378" t="s">
        <v>1071</v>
      </c>
      <c r="E40" s="376" t="s">
        <v>1999</v>
      </c>
    </row>
    <row r="41" spans="1:5" ht="20.100000000000001" customHeight="1">
      <c r="A41" s="380">
        <v>31.37</v>
      </c>
      <c r="B41" s="379" t="s">
        <v>912</v>
      </c>
      <c r="C41" s="377" t="s">
        <v>982</v>
      </c>
      <c r="D41" s="378" t="s">
        <v>797</v>
      </c>
      <c r="E41" s="376" t="s">
        <v>23</v>
      </c>
    </row>
    <row r="42" spans="1:5" ht="20.100000000000001" customHeight="1">
      <c r="A42" s="1131" t="s">
        <v>916</v>
      </c>
      <c r="B42" s="1132"/>
      <c r="C42" s="1132"/>
      <c r="D42" s="386"/>
      <c r="E42" s="388"/>
    </row>
    <row r="43" spans="1:5" ht="12" customHeight="1">
      <c r="A43" s="1133"/>
      <c r="B43" s="1134"/>
      <c r="C43" s="1134"/>
      <c r="D43" s="378"/>
      <c r="E43" s="397"/>
    </row>
    <row r="44" spans="1:5" ht="20.100000000000001" customHeight="1">
      <c r="A44" s="396"/>
      <c r="B44" s="1135" t="s">
        <v>56</v>
      </c>
      <c r="C44" s="1137"/>
      <c r="D44" s="391"/>
      <c r="E44" s="387"/>
    </row>
    <row r="45" spans="1:5" ht="41.4">
      <c r="A45" s="380">
        <v>31.38</v>
      </c>
      <c r="B45" s="379" t="s">
        <v>273</v>
      </c>
      <c r="C45" s="378" t="s">
        <v>1490</v>
      </c>
      <c r="D45" s="378" t="s">
        <v>99</v>
      </c>
      <c r="E45" s="376" t="s">
        <v>1664</v>
      </c>
    </row>
    <row r="46" spans="1:5" ht="41.4">
      <c r="A46" s="380">
        <v>31.39</v>
      </c>
      <c r="B46" s="375" t="s">
        <v>2485</v>
      </c>
      <c r="C46" s="377" t="s">
        <v>1490</v>
      </c>
      <c r="D46" s="378" t="s">
        <v>100</v>
      </c>
      <c r="E46" s="376" t="s">
        <v>924</v>
      </c>
    </row>
    <row r="47" spans="1:5" ht="41.4">
      <c r="A47" s="380">
        <v>31.4</v>
      </c>
      <c r="B47" s="375" t="s">
        <v>2486</v>
      </c>
      <c r="C47" s="377" t="s">
        <v>1490</v>
      </c>
      <c r="D47" s="378" t="s">
        <v>101</v>
      </c>
      <c r="E47" s="376" t="s">
        <v>925</v>
      </c>
    </row>
    <row r="48" spans="1:5" ht="41.4">
      <c r="A48" s="380">
        <v>31.41</v>
      </c>
      <c r="B48" s="375" t="s">
        <v>2487</v>
      </c>
      <c r="C48" s="377" t="s">
        <v>1490</v>
      </c>
      <c r="D48" s="378" t="s">
        <v>102</v>
      </c>
      <c r="E48" s="376" t="s">
        <v>926</v>
      </c>
    </row>
    <row r="49" spans="1:5" ht="62.4" customHeight="1">
      <c r="A49" s="380">
        <v>31.42</v>
      </c>
      <c r="B49" s="375" t="s">
        <v>2488</v>
      </c>
      <c r="C49" s="377" t="s">
        <v>1490</v>
      </c>
      <c r="D49" s="378" t="s">
        <v>101</v>
      </c>
      <c r="E49" s="376" t="s">
        <v>136</v>
      </c>
    </row>
    <row r="50" spans="1:5" ht="20.100000000000001" customHeight="1">
      <c r="A50" s="380">
        <v>31.43</v>
      </c>
      <c r="B50" s="375" t="s">
        <v>2489</v>
      </c>
      <c r="C50" s="377" t="s">
        <v>1490</v>
      </c>
      <c r="D50" s="378" t="s">
        <v>64</v>
      </c>
      <c r="E50" s="376" t="s">
        <v>1011</v>
      </c>
    </row>
    <row r="51" spans="1:5" ht="27.6">
      <c r="A51" s="380">
        <v>31.44</v>
      </c>
      <c r="B51" s="375" t="s">
        <v>2490</v>
      </c>
      <c r="C51" s="377" t="s">
        <v>1490</v>
      </c>
      <c r="D51" s="378" t="s">
        <v>77</v>
      </c>
      <c r="E51" s="376" t="s">
        <v>137</v>
      </c>
    </row>
    <row r="52" spans="1:5" ht="27.6">
      <c r="A52" s="380">
        <v>31.45</v>
      </c>
      <c r="B52" s="375" t="s">
        <v>2491</v>
      </c>
      <c r="C52" s="377" t="s">
        <v>1490</v>
      </c>
      <c r="D52" s="378" t="s">
        <v>103</v>
      </c>
      <c r="E52" s="376" t="s">
        <v>1388</v>
      </c>
    </row>
    <row r="53" spans="1:5" ht="27.6">
      <c r="A53" s="380">
        <v>31.46</v>
      </c>
      <c r="B53" s="375" t="s">
        <v>2492</v>
      </c>
      <c r="C53" s="377" t="s">
        <v>1490</v>
      </c>
      <c r="D53" s="378" t="s">
        <v>100</v>
      </c>
      <c r="E53" s="376" t="s">
        <v>1389</v>
      </c>
    </row>
    <row r="54" spans="1:5" ht="20.100000000000001" customHeight="1">
      <c r="A54" s="380">
        <v>31.47</v>
      </c>
      <c r="B54" s="375" t="s">
        <v>2493</v>
      </c>
      <c r="C54" s="377" t="s">
        <v>1490</v>
      </c>
      <c r="D54" s="378" t="s">
        <v>1728</v>
      </c>
      <c r="E54" s="376" t="s">
        <v>1390</v>
      </c>
    </row>
    <row r="55" spans="1:5" ht="27.6">
      <c r="A55" s="380">
        <v>31.48</v>
      </c>
      <c r="B55" s="375" t="s">
        <v>2494</v>
      </c>
      <c r="C55" s="377" t="s">
        <v>1490</v>
      </c>
      <c r="D55" s="378" t="s">
        <v>104</v>
      </c>
      <c r="E55" s="376" t="s">
        <v>1646</v>
      </c>
    </row>
    <row r="56" spans="1:5" ht="41.4">
      <c r="A56" s="380">
        <v>31.49</v>
      </c>
      <c r="B56" s="375" t="s">
        <v>2495</v>
      </c>
      <c r="C56" s="377" t="s">
        <v>1490</v>
      </c>
      <c r="D56" s="378" t="s">
        <v>105</v>
      </c>
      <c r="E56" s="376" t="s">
        <v>1647</v>
      </c>
    </row>
    <row r="57" spans="1:5" ht="41.4">
      <c r="A57" s="380">
        <v>31.5</v>
      </c>
      <c r="B57" s="375" t="s">
        <v>2496</v>
      </c>
      <c r="C57" s="377" t="s">
        <v>1490</v>
      </c>
      <c r="D57" s="378" t="s">
        <v>106</v>
      </c>
      <c r="E57" s="376" t="s">
        <v>204</v>
      </c>
    </row>
    <row r="58" spans="1:5" ht="20.100000000000001" customHeight="1">
      <c r="A58" s="380">
        <v>31.51</v>
      </c>
      <c r="B58" s="375" t="s">
        <v>2497</v>
      </c>
      <c r="C58" s="377" t="s">
        <v>1490</v>
      </c>
      <c r="D58" s="378" t="s">
        <v>107</v>
      </c>
      <c r="E58" s="376" t="s">
        <v>1648</v>
      </c>
    </row>
    <row r="59" spans="1:5" ht="20.100000000000001" customHeight="1">
      <c r="A59" s="380">
        <v>31.52</v>
      </c>
      <c r="B59" s="375" t="s">
        <v>2498</v>
      </c>
      <c r="C59" s="377" t="s">
        <v>1490</v>
      </c>
      <c r="D59" s="378" t="s">
        <v>102</v>
      </c>
      <c r="E59" s="376" t="s">
        <v>1649</v>
      </c>
    </row>
    <row r="60" spans="1:5" ht="27.6">
      <c r="A60" s="380">
        <v>31.53</v>
      </c>
      <c r="B60" s="375" t="s">
        <v>1248</v>
      </c>
      <c r="C60" s="377" t="s">
        <v>1490</v>
      </c>
      <c r="D60" s="378" t="s">
        <v>108</v>
      </c>
      <c r="E60" s="376" t="s">
        <v>1650</v>
      </c>
    </row>
    <row r="61" spans="1:5" ht="20.100000000000001" customHeight="1">
      <c r="A61" s="380">
        <v>31.54</v>
      </c>
      <c r="B61" s="375" t="s">
        <v>2499</v>
      </c>
      <c r="C61" s="377" t="s">
        <v>1490</v>
      </c>
      <c r="D61" s="378" t="s">
        <v>109</v>
      </c>
      <c r="E61" s="376" t="s">
        <v>1651</v>
      </c>
    </row>
    <row r="62" spans="1:5" ht="20.100000000000001" customHeight="1">
      <c r="A62" s="380">
        <v>31.55</v>
      </c>
      <c r="B62" s="375" t="s">
        <v>2500</v>
      </c>
      <c r="C62" s="377" t="s">
        <v>1490</v>
      </c>
      <c r="D62" s="378" t="s">
        <v>800</v>
      </c>
      <c r="E62" s="376" t="s">
        <v>1652</v>
      </c>
    </row>
    <row r="63" spans="1:5" ht="27.6">
      <c r="A63" s="380">
        <v>31.56</v>
      </c>
      <c r="B63" s="375" t="s">
        <v>2501</v>
      </c>
      <c r="C63" s="377" t="s">
        <v>1490</v>
      </c>
      <c r="D63" s="378" t="s">
        <v>110</v>
      </c>
      <c r="E63" s="376" t="s">
        <v>1653</v>
      </c>
    </row>
    <row r="64" spans="1:5" ht="20.100000000000001" customHeight="1">
      <c r="A64" s="380">
        <v>31.57</v>
      </c>
      <c r="B64" s="375" t="s">
        <v>2502</v>
      </c>
      <c r="C64" s="377" t="s">
        <v>1490</v>
      </c>
      <c r="D64" s="378" t="s">
        <v>153</v>
      </c>
      <c r="E64" s="376" t="s">
        <v>1305</v>
      </c>
    </row>
    <row r="65" spans="1:5" ht="41.4">
      <c r="A65" s="380">
        <v>31.58</v>
      </c>
      <c r="B65" s="375" t="s">
        <v>1355</v>
      </c>
      <c r="C65" s="377" t="s">
        <v>1490</v>
      </c>
      <c r="D65" s="378" t="s">
        <v>1071</v>
      </c>
      <c r="E65" s="376" t="s">
        <v>585</v>
      </c>
    </row>
    <row r="66" spans="1:5" s="116" customFormat="1" ht="27.6">
      <c r="A66" s="380">
        <v>31.59</v>
      </c>
      <c r="B66" s="375" t="s">
        <v>910</v>
      </c>
      <c r="C66" s="377" t="s">
        <v>1490</v>
      </c>
      <c r="D66" s="378" t="s">
        <v>760</v>
      </c>
      <c r="E66" s="376" t="s">
        <v>586</v>
      </c>
    </row>
    <row r="67" spans="1:5" ht="41.4">
      <c r="A67" s="380">
        <v>31.6</v>
      </c>
      <c r="B67" s="379" t="s">
        <v>911</v>
      </c>
      <c r="C67" s="377" t="s">
        <v>982</v>
      </c>
      <c r="D67" s="378" t="s">
        <v>1071</v>
      </c>
      <c r="E67" s="376" t="s">
        <v>1089</v>
      </c>
    </row>
    <row r="68" spans="1:5" ht="55.2">
      <c r="A68" s="380">
        <v>31.61</v>
      </c>
      <c r="B68" s="375" t="s">
        <v>843</v>
      </c>
      <c r="C68" s="377" t="s">
        <v>982</v>
      </c>
      <c r="D68" s="643" t="s">
        <v>2562</v>
      </c>
      <c r="E68" s="376" t="s">
        <v>2561</v>
      </c>
    </row>
    <row r="69" spans="1:5" ht="41.4">
      <c r="A69" s="380">
        <v>31.62</v>
      </c>
      <c r="B69" s="379" t="s">
        <v>2322</v>
      </c>
      <c r="C69" s="377" t="s">
        <v>982</v>
      </c>
      <c r="D69" s="378" t="s">
        <v>154</v>
      </c>
      <c r="E69" s="376" t="s">
        <v>2323</v>
      </c>
    </row>
    <row r="70" spans="1:5" ht="20.100000000000001" customHeight="1">
      <c r="A70" s="1131" t="s">
        <v>62</v>
      </c>
      <c r="B70" s="1132"/>
      <c r="C70" s="1132"/>
      <c r="D70" s="386"/>
      <c r="E70" s="387"/>
    </row>
    <row r="71" spans="1:5" ht="41.4">
      <c r="A71" s="380">
        <v>31.63</v>
      </c>
      <c r="B71" s="375" t="s">
        <v>1509</v>
      </c>
      <c r="C71" s="377" t="s">
        <v>982</v>
      </c>
      <c r="D71" s="378" t="s">
        <v>1071</v>
      </c>
      <c r="E71" s="376" t="s">
        <v>1091</v>
      </c>
    </row>
    <row r="72" spans="1:5" ht="138">
      <c r="A72" s="380">
        <v>31.64</v>
      </c>
      <c r="B72" s="379" t="s">
        <v>741</v>
      </c>
      <c r="C72" s="377" t="s">
        <v>982</v>
      </c>
      <c r="D72" s="378" t="s">
        <v>1071</v>
      </c>
      <c r="E72" s="381" t="s">
        <v>2035</v>
      </c>
    </row>
    <row r="73" spans="1:5" ht="27.6">
      <c r="A73" s="380">
        <v>31.65</v>
      </c>
      <c r="B73" s="379" t="s">
        <v>1339</v>
      </c>
      <c r="C73" s="377" t="s">
        <v>982</v>
      </c>
      <c r="D73" s="378" t="s">
        <v>796</v>
      </c>
      <c r="E73" s="376" t="s">
        <v>24</v>
      </c>
    </row>
    <row r="74" spans="1:5" ht="41.4">
      <c r="A74" s="380">
        <v>31.66</v>
      </c>
      <c r="B74" s="379" t="s">
        <v>1482</v>
      </c>
      <c r="C74" s="377" t="s">
        <v>982</v>
      </c>
      <c r="D74" s="378" t="s">
        <v>1071</v>
      </c>
      <c r="E74" s="376" t="s">
        <v>1090</v>
      </c>
    </row>
    <row r="75" spans="1:5" ht="20.100000000000001" customHeight="1">
      <c r="A75" s="380">
        <v>31.67</v>
      </c>
      <c r="B75" s="379" t="s">
        <v>912</v>
      </c>
      <c r="C75" s="377" t="s">
        <v>982</v>
      </c>
      <c r="D75" s="378" t="s">
        <v>797</v>
      </c>
      <c r="E75" s="376" t="s">
        <v>25</v>
      </c>
    </row>
    <row r="76" spans="1:5" ht="20.100000000000001" customHeight="1">
      <c r="A76" s="1131" t="s">
        <v>522</v>
      </c>
      <c r="B76" s="1132"/>
      <c r="C76" s="1132"/>
      <c r="D76" s="386"/>
      <c r="E76" s="387"/>
    </row>
    <row r="77" spans="1:5" ht="13.8">
      <c r="A77" s="1133"/>
      <c r="B77" s="1134"/>
      <c r="C77" s="1134"/>
      <c r="D77" s="378"/>
      <c r="E77" s="397"/>
    </row>
    <row r="78" spans="1:5" ht="20.100000000000001" customHeight="1">
      <c r="A78" s="396"/>
      <c r="B78" s="1135" t="s">
        <v>57</v>
      </c>
      <c r="C78" s="1136"/>
      <c r="D78" s="386"/>
      <c r="E78" s="387"/>
    </row>
    <row r="79" spans="1:5" ht="41.4">
      <c r="A79" s="380">
        <v>31.68</v>
      </c>
      <c r="B79" s="379" t="s">
        <v>275</v>
      </c>
      <c r="C79" s="378" t="s">
        <v>1490</v>
      </c>
      <c r="D79" s="378" t="s">
        <v>804</v>
      </c>
      <c r="E79" s="376" t="s">
        <v>178</v>
      </c>
    </row>
    <row r="80" spans="1:5" ht="27.6">
      <c r="A80" s="380">
        <v>31.69</v>
      </c>
      <c r="B80" s="375" t="s">
        <v>2503</v>
      </c>
      <c r="C80" s="377" t="s">
        <v>1490</v>
      </c>
      <c r="D80" s="378" t="s">
        <v>155</v>
      </c>
      <c r="E80" s="376" t="s">
        <v>2036</v>
      </c>
    </row>
    <row r="81" spans="1:5" ht="27.6">
      <c r="A81" s="380">
        <v>31.7</v>
      </c>
      <c r="B81" s="375" t="s">
        <v>2504</v>
      </c>
      <c r="C81" s="377" t="s">
        <v>1490</v>
      </c>
      <c r="D81" s="378" t="s">
        <v>110</v>
      </c>
      <c r="E81" s="376" t="s">
        <v>1048</v>
      </c>
    </row>
    <row r="82" spans="1:5" ht="27.6">
      <c r="A82" s="380">
        <v>31.71</v>
      </c>
      <c r="B82" s="375" t="s">
        <v>1115</v>
      </c>
      <c r="C82" s="377" t="s">
        <v>1490</v>
      </c>
      <c r="D82" s="378" t="s">
        <v>100</v>
      </c>
      <c r="E82" s="376" t="s">
        <v>1049</v>
      </c>
    </row>
    <row r="83" spans="1:5" ht="27.6">
      <c r="A83" s="380">
        <v>31.72</v>
      </c>
      <c r="B83" s="375" t="s">
        <v>2505</v>
      </c>
      <c r="C83" s="377" t="s">
        <v>1490</v>
      </c>
      <c r="D83" s="378" t="s">
        <v>156</v>
      </c>
      <c r="E83" s="376" t="s">
        <v>1050</v>
      </c>
    </row>
    <row r="84" spans="1:5" ht="27.6">
      <c r="A84" s="380">
        <v>31.73</v>
      </c>
      <c r="B84" s="375" t="s">
        <v>2506</v>
      </c>
      <c r="C84" s="377" t="s">
        <v>1490</v>
      </c>
      <c r="D84" s="378" t="s">
        <v>153</v>
      </c>
      <c r="E84" s="376" t="s">
        <v>2037</v>
      </c>
    </row>
    <row r="85" spans="1:5" ht="41.4">
      <c r="A85" s="380">
        <v>31.74</v>
      </c>
      <c r="B85" s="375" t="s">
        <v>2507</v>
      </c>
      <c r="C85" s="377" t="s">
        <v>1490</v>
      </c>
      <c r="D85" s="378" t="s">
        <v>102</v>
      </c>
      <c r="E85" s="376" t="s">
        <v>418</v>
      </c>
    </row>
    <row r="86" spans="1:5" ht="20.100000000000001" customHeight="1">
      <c r="A86" s="380">
        <v>31.75</v>
      </c>
      <c r="B86" s="375" t="s">
        <v>2508</v>
      </c>
      <c r="C86" s="377" t="s">
        <v>1490</v>
      </c>
      <c r="D86" s="378" t="s">
        <v>100</v>
      </c>
      <c r="E86" s="376" t="s">
        <v>2038</v>
      </c>
    </row>
    <row r="87" spans="1:5" ht="20.100000000000001" customHeight="1">
      <c r="A87" s="380">
        <v>31.76</v>
      </c>
      <c r="B87" s="375" t="s">
        <v>1190</v>
      </c>
      <c r="C87" s="377" t="s">
        <v>1490</v>
      </c>
      <c r="D87" s="378" t="s">
        <v>157</v>
      </c>
      <c r="E87" s="376" t="s">
        <v>22</v>
      </c>
    </row>
    <row r="88" spans="1:5" ht="41.4">
      <c r="A88" s="380">
        <v>31.77</v>
      </c>
      <c r="B88" s="375" t="s">
        <v>523</v>
      </c>
      <c r="C88" s="377" t="s">
        <v>1490</v>
      </c>
      <c r="D88" s="378" t="s">
        <v>158</v>
      </c>
      <c r="E88" s="376" t="s">
        <v>487</v>
      </c>
    </row>
    <row r="89" spans="1:5" ht="27.6">
      <c r="A89" s="380">
        <v>31.78</v>
      </c>
      <c r="B89" s="375" t="s">
        <v>910</v>
      </c>
      <c r="C89" s="377" t="s">
        <v>982</v>
      </c>
      <c r="D89" s="378" t="s">
        <v>760</v>
      </c>
      <c r="E89" s="376" t="s">
        <v>419</v>
      </c>
    </row>
    <row r="90" spans="1:5" ht="29.4" customHeight="1">
      <c r="A90" s="380">
        <v>31.79</v>
      </c>
      <c r="B90" s="379" t="s">
        <v>911</v>
      </c>
      <c r="C90" s="377" t="s">
        <v>982</v>
      </c>
      <c r="D90" s="378"/>
      <c r="E90" s="376" t="s">
        <v>1089</v>
      </c>
    </row>
    <row r="91" spans="1:5" ht="55.2">
      <c r="A91" s="380">
        <v>31.8</v>
      </c>
      <c r="B91" s="375" t="s">
        <v>843</v>
      </c>
      <c r="C91" s="377" t="s">
        <v>982</v>
      </c>
      <c r="D91" s="643" t="s">
        <v>2562</v>
      </c>
      <c r="E91" s="376" t="s">
        <v>2561</v>
      </c>
    </row>
    <row r="92" spans="1:5" ht="43.2" customHeight="1">
      <c r="A92" s="380">
        <v>31.81</v>
      </c>
      <c r="B92" s="379" t="s">
        <v>2322</v>
      </c>
      <c r="C92" s="377" t="s">
        <v>982</v>
      </c>
      <c r="D92" s="378" t="s">
        <v>159</v>
      </c>
      <c r="E92" s="376" t="s">
        <v>2324</v>
      </c>
    </row>
    <row r="93" spans="1:5" ht="20.100000000000001" customHeight="1">
      <c r="A93" s="475"/>
      <c r="B93" s="1135" t="s">
        <v>26</v>
      </c>
      <c r="C93" s="1137"/>
      <c r="D93" s="386"/>
      <c r="E93" s="387"/>
    </row>
    <row r="94" spans="1:5" ht="41.4">
      <c r="A94" s="380">
        <v>31.82</v>
      </c>
      <c r="B94" s="375" t="s">
        <v>1509</v>
      </c>
      <c r="C94" s="377" t="s">
        <v>982</v>
      </c>
      <c r="D94" s="378" t="s">
        <v>1071</v>
      </c>
      <c r="E94" s="376" t="s">
        <v>1091</v>
      </c>
    </row>
    <row r="95" spans="1:5" ht="221.4">
      <c r="A95" s="380">
        <v>31.83</v>
      </c>
      <c r="B95" s="379" t="s">
        <v>741</v>
      </c>
      <c r="C95" s="377" t="s">
        <v>982</v>
      </c>
      <c r="D95" s="378" t="s">
        <v>1071</v>
      </c>
      <c r="E95" s="413" t="s">
        <v>2039</v>
      </c>
    </row>
    <row r="96" spans="1:5" ht="27.6">
      <c r="A96" s="380">
        <v>31.84</v>
      </c>
      <c r="B96" s="379" t="s">
        <v>1339</v>
      </c>
      <c r="C96" s="377" t="s">
        <v>982</v>
      </c>
      <c r="D96" s="378" t="s">
        <v>796</v>
      </c>
      <c r="E96" s="376" t="s">
        <v>27</v>
      </c>
    </row>
    <row r="97" spans="1:5" ht="41.4">
      <c r="A97" s="380">
        <v>31.85</v>
      </c>
      <c r="B97" s="379" t="s">
        <v>1482</v>
      </c>
      <c r="C97" s="377" t="s">
        <v>982</v>
      </c>
      <c r="D97" s="378" t="s">
        <v>1071</v>
      </c>
      <c r="E97" s="376" t="s">
        <v>1090</v>
      </c>
    </row>
    <row r="98" spans="1:5" ht="20.100000000000001" customHeight="1">
      <c r="A98" s="380">
        <v>31.86</v>
      </c>
      <c r="B98" s="379" t="s">
        <v>912</v>
      </c>
      <c r="C98" s="377" t="s">
        <v>982</v>
      </c>
      <c r="D98" s="378" t="s">
        <v>797</v>
      </c>
      <c r="E98" s="376" t="s">
        <v>28</v>
      </c>
    </row>
    <row r="99" spans="1:5" s="116" customFormat="1" ht="20.100000000000001" customHeight="1">
      <c r="A99" s="1131" t="s">
        <v>524</v>
      </c>
      <c r="B99" s="1132"/>
      <c r="C99" s="1132"/>
      <c r="D99" s="386"/>
      <c r="E99" s="387"/>
    </row>
    <row r="100" spans="1:5" ht="13.8">
      <c r="A100" s="1133"/>
      <c r="B100" s="1134"/>
      <c r="C100" s="1134"/>
      <c r="D100" s="378"/>
      <c r="E100" s="398"/>
    </row>
    <row r="101" spans="1:5" ht="20.100000000000001" customHeight="1">
      <c r="A101" s="396"/>
      <c r="B101" s="1135" t="s">
        <v>58</v>
      </c>
      <c r="C101" s="1136"/>
      <c r="D101" s="386"/>
      <c r="E101" s="387"/>
    </row>
    <row r="102" spans="1:5" ht="41.4">
      <c r="A102" s="380">
        <v>31.87</v>
      </c>
      <c r="B102" s="379" t="s">
        <v>275</v>
      </c>
      <c r="C102" s="377" t="s">
        <v>1490</v>
      </c>
      <c r="D102" s="378" t="s">
        <v>804</v>
      </c>
      <c r="E102" s="376" t="s">
        <v>245</v>
      </c>
    </row>
    <row r="103" spans="1:5" ht="20.100000000000001" customHeight="1">
      <c r="A103" s="380">
        <v>31.88</v>
      </c>
      <c r="B103" s="375" t="s">
        <v>2503</v>
      </c>
      <c r="C103" s="377" t="s">
        <v>1490</v>
      </c>
      <c r="D103" s="378" t="s">
        <v>160</v>
      </c>
      <c r="E103" s="376" t="s">
        <v>246</v>
      </c>
    </row>
    <row r="104" spans="1:5" ht="27.6">
      <c r="A104" s="380">
        <v>31.89</v>
      </c>
      <c r="B104" s="375" t="s">
        <v>2504</v>
      </c>
      <c r="C104" s="377" t="s">
        <v>1490</v>
      </c>
      <c r="D104" s="378" t="s">
        <v>161</v>
      </c>
      <c r="E104" s="376" t="s">
        <v>247</v>
      </c>
    </row>
    <row r="105" spans="1:5" ht="20.100000000000001" customHeight="1">
      <c r="A105" s="380">
        <v>31.9</v>
      </c>
      <c r="B105" s="375" t="s">
        <v>2509</v>
      </c>
      <c r="C105" s="377" t="s">
        <v>1490</v>
      </c>
      <c r="D105" s="378" t="s">
        <v>162</v>
      </c>
      <c r="E105" s="376" t="s">
        <v>248</v>
      </c>
    </row>
    <row r="106" spans="1:5" ht="20.100000000000001" customHeight="1">
      <c r="A106" s="380">
        <v>31.91</v>
      </c>
      <c r="B106" s="375" t="s">
        <v>2510</v>
      </c>
      <c r="C106" s="377" t="s">
        <v>1490</v>
      </c>
      <c r="D106" s="378" t="s">
        <v>163</v>
      </c>
      <c r="E106" s="376" t="s">
        <v>536</v>
      </c>
    </row>
    <row r="107" spans="1:5" ht="27.6">
      <c r="A107" s="380">
        <v>31.92</v>
      </c>
      <c r="B107" s="375" t="s">
        <v>1115</v>
      </c>
      <c r="C107" s="377" t="s">
        <v>1490</v>
      </c>
      <c r="D107" s="378" t="s">
        <v>164</v>
      </c>
      <c r="E107" s="376" t="s">
        <v>537</v>
      </c>
    </row>
    <row r="108" spans="1:5" ht="27.6">
      <c r="A108" s="380">
        <v>31.93</v>
      </c>
      <c r="B108" s="375" t="s">
        <v>910</v>
      </c>
      <c r="C108" s="377" t="s">
        <v>1490</v>
      </c>
      <c r="D108" s="378" t="s">
        <v>760</v>
      </c>
      <c r="E108" s="376" t="s">
        <v>538</v>
      </c>
    </row>
    <row r="109" spans="1:5" ht="41.4">
      <c r="A109" s="380">
        <v>31.94</v>
      </c>
      <c r="B109" s="379" t="s">
        <v>911</v>
      </c>
      <c r="C109" s="377" t="s">
        <v>982</v>
      </c>
      <c r="D109" s="378" t="s">
        <v>1071</v>
      </c>
      <c r="E109" s="376" t="s">
        <v>1550</v>
      </c>
    </row>
    <row r="110" spans="1:5" ht="41.4">
      <c r="A110" s="380">
        <v>31.95</v>
      </c>
      <c r="B110" s="375" t="s">
        <v>843</v>
      </c>
      <c r="C110" s="377" t="s">
        <v>982</v>
      </c>
      <c r="D110" s="378" t="s">
        <v>1071</v>
      </c>
      <c r="E110" s="376" t="s">
        <v>1290</v>
      </c>
    </row>
    <row r="111" spans="1:5" ht="46.2" customHeight="1">
      <c r="A111" s="380">
        <v>31.96</v>
      </c>
      <c r="B111" s="379" t="s">
        <v>2322</v>
      </c>
      <c r="C111" s="377" t="s">
        <v>1490</v>
      </c>
      <c r="D111" s="378" t="s">
        <v>165</v>
      </c>
      <c r="E111" s="376" t="s">
        <v>2325</v>
      </c>
    </row>
    <row r="112" spans="1:5" ht="20.100000000000001" customHeight="1">
      <c r="A112" s="1131" t="s">
        <v>29</v>
      </c>
      <c r="B112" s="1132"/>
      <c r="C112" s="1132"/>
      <c r="D112" s="386"/>
      <c r="E112" s="387"/>
    </row>
    <row r="113" spans="1:5" ht="41.4">
      <c r="A113" s="380">
        <v>31.97</v>
      </c>
      <c r="B113" s="375" t="s">
        <v>1509</v>
      </c>
      <c r="C113" s="377" t="s">
        <v>982</v>
      </c>
      <c r="D113" s="378" t="s">
        <v>1071</v>
      </c>
      <c r="E113" s="376" t="s">
        <v>257</v>
      </c>
    </row>
    <row r="114" spans="1:5" ht="235.2">
      <c r="A114" s="380">
        <v>31.98</v>
      </c>
      <c r="B114" s="379" t="s">
        <v>741</v>
      </c>
      <c r="C114" s="377" t="s">
        <v>982</v>
      </c>
      <c r="D114" s="378" t="s">
        <v>1071</v>
      </c>
      <c r="E114" s="381" t="s">
        <v>2040</v>
      </c>
    </row>
    <row r="115" spans="1:5" ht="27.6">
      <c r="A115" s="380">
        <v>31.99</v>
      </c>
      <c r="B115" s="379" t="s">
        <v>1339</v>
      </c>
      <c r="C115" s="377" t="s">
        <v>982</v>
      </c>
      <c r="D115" s="378" t="s">
        <v>797</v>
      </c>
      <c r="E115" s="376" t="s">
        <v>27</v>
      </c>
    </row>
    <row r="116" spans="1:5" ht="41.4">
      <c r="A116" s="382">
        <v>31.1</v>
      </c>
      <c r="B116" s="379" t="s">
        <v>1482</v>
      </c>
      <c r="C116" s="377" t="s">
        <v>982</v>
      </c>
      <c r="D116" s="378" t="s">
        <v>1071</v>
      </c>
      <c r="E116" s="376" t="s">
        <v>1090</v>
      </c>
    </row>
    <row r="117" spans="1:5" ht="20.100000000000001" customHeight="1">
      <c r="A117" s="382">
        <v>31.100999999999999</v>
      </c>
      <c r="B117" s="379" t="s">
        <v>912</v>
      </c>
      <c r="C117" s="377" t="s">
        <v>982</v>
      </c>
      <c r="D117" s="378" t="s">
        <v>796</v>
      </c>
      <c r="E117" s="376" t="s">
        <v>28</v>
      </c>
    </row>
    <row r="118" spans="1:5" ht="20.100000000000001" customHeight="1">
      <c r="A118" s="1131" t="s">
        <v>525</v>
      </c>
      <c r="B118" s="1132"/>
      <c r="C118" s="1132"/>
      <c r="D118" s="386"/>
      <c r="E118" s="387"/>
    </row>
    <row r="119" spans="1:5" ht="13.8">
      <c r="A119" s="1133"/>
      <c r="B119" s="1134"/>
      <c r="C119" s="1134"/>
      <c r="D119" s="378"/>
      <c r="E119" s="398"/>
    </row>
    <row r="120" spans="1:5" ht="20.100000000000001" customHeight="1">
      <c r="A120" s="396"/>
      <c r="B120" s="1135" t="s">
        <v>59</v>
      </c>
      <c r="C120" s="1136"/>
      <c r="D120" s="386"/>
      <c r="E120" s="387"/>
    </row>
    <row r="121" spans="1:5" ht="41.4">
      <c r="A121" s="382">
        <v>31.102</v>
      </c>
      <c r="B121" s="379" t="s">
        <v>275</v>
      </c>
      <c r="C121" s="377" t="s">
        <v>1490</v>
      </c>
      <c r="D121" s="378" t="s">
        <v>804</v>
      </c>
      <c r="E121" s="376" t="s">
        <v>987</v>
      </c>
    </row>
    <row r="122" spans="1:5" ht="27.6">
      <c r="A122" s="382">
        <v>31.103000000000002</v>
      </c>
      <c r="B122" s="375" t="s">
        <v>526</v>
      </c>
      <c r="C122" s="377" t="s">
        <v>1490</v>
      </c>
      <c r="D122" s="378" t="s">
        <v>166</v>
      </c>
      <c r="E122" s="376" t="s">
        <v>1060</v>
      </c>
    </row>
    <row r="123" spans="1:5" ht="27.6">
      <c r="A123" s="382">
        <v>31.103999999999999</v>
      </c>
      <c r="B123" s="379" t="s">
        <v>1284</v>
      </c>
      <c r="C123" s="377" t="s">
        <v>1490</v>
      </c>
      <c r="D123" s="378" t="s">
        <v>157</v>
      </c>
      <c r="E123" s="376" t="s">
        <v>792</v>
      </c>
    </row>
    <row r="124" spans="1:5" ht="27.6">
      <c r="A124" s="382">
        <v>31.105</v>
      </c>
      <c r="B124" s="375" t="s">
        <v>527</v>
      </c>
      <c r="C124" s="377" t="s">
        <v>1490</v>
      </c>
      <c r="D124" s="378" t="s">
        <v>167</v>
      </c>
      <c r="E124" s="376" t="s">
        <v>793</v>
      </c>
    </row>
    <row r="125" spans="1:5" ht="27.6">
      <c r="A125" s="382">
        <v>31.106000000000002</v>
      </c>
      <c r="B125" s="375" t="s">
        <v>910</v>
      </c>
      <c r="C125" s="377" t="s">
        <v>1490</v>
      </c>
      <c r="D125" s="378" t="s">
        <v>760</v>
      </c>
      <c r="E125" s="376" t="s">
        <v>1736</v>
      </c>
    </row>
    <row r="126" spans="1:5" ht="41.4">
      <c r="A126" s="382">
        <v>31.106999999999999</v>
      </c>
      <c r="B126" s="375" t="s">
        <v>911</v>
      </c>
      <c r="C126" s="377" t="s">
        <v>982</v>
      </c>
      <c r="D126" s="378" t="s">
        <v>1071</v>
      </c>
      <c r="E126" s="376" t="s">
        <v>1550</v>
      </c>
    </row>
    <row r="127" spans="1:5" ht="55.2">
      <c r="A127" s="382">
        <v>31.108000000000001</v>
      </c>
      <c r="B127" s="375" t="s">
        <v>843</v>
      </c>
      <c r="C127" s="377" t="s">
        <v>982</v>
      </c>
      <c r="D127" s="643" t="s">
        <v>2562</v>
      </c>
      <c r="E127" s="376" t="s">
        <v>2561</v>
      </c>
    </row>
    <row r="128" spans="1:5" ht="45" customHeight="1">
      <c r="A128" s="382">
        <v>31.109000000000002</v>
      </c>
      <c r="B128" s="379" t="s">
        <v>2326</v>
      </c>
      <c r="C128" s="377" t="s">
        <v>982</v>
      </c>
      <c r="D128" s="378" t="s">
        <v>168</v>
      </c>
      <c r="E128" s="376" t="s">
        <v>2327</v>
      </c>
    </row>
    <row r="129" spans="1:5" ht="20.100000000000001" customHeight="1">
      <c r="A129" s="1131" t="s">
        <v>30</v>
      </c>
      <c r="B129" s="1132"/>
      <c r="C129" s="1132"/>
      <c r="D129" s="386"/>
      <c r="E129" s="387"/>
    </row>
    <row r="130" spans="1:5" ht="41.4">
      <c r="A130" s="382">
        <v>31.11</v>
      </c>
      <c r="B130" s="383" t="s">
        <v>1509</v>
      </c>
      <c r="C130" s="384" t="s">
        <v>982</v>
      </c>
      <c r="D130" s="378" t="s">
        <v>1071</v>
      </c>
      <c r="E130" s="376" t="s">
        <v>257</v>
      </c>
    </row>
    <row r="131" spans="1:5" ht="220.8">
      <c r="A131" s="382">
        <v>31.111000000000001</v>
      </c>
      <c r="B131" s="379" t="s">
        <v>741</v>
      </c>
      <c r="C131" s="377" t="s">
        <v>982</v>
      </c>
      <c r="D131" s="378" t="s">
        <v>1071</v>
      </c>
      <c r="E131" s="381" t="s">
        <v>2041</v>
      </c>
    </row>
    <row r="132" spans="1:5" ht="27.6">
      <c r="A132" s="382">
        <v>31.111999999999998</v>
      </c>
      <c r="B132" s="379" t="s">
        <v>1339</v>
      </c>
      <c r="C132" s="377" t="s">
        <v>982</v>
      </c>
      <c r="D132" s="378" t="s">
        <v>797</v>
      </c>
      <c r="E132" s="376" t="s">
        <v>31</v>
      </c>
    </row>
    <row r="133" spans="1:5" ht="41.4">
      <c r="A133" s="382">
        <v>31.113</v>
      </c>
      <c r="B133" s="385" t="s">
        <v>1482</v>
      </c>
      <c r="C133" s="384" t="s">
        <v>982</v>
      </c>
      <c r="D133" s="378" t="s">
        <v>1071</v>
      </c>
      <c r="E133" s="376" t="s">
        <v>1090</v>
      </c>
    </row>
    <row r="134" spans="1:5" ht="20.100000000000001" customHeight="1">
      <c r="A134" s="382">
        <v>31.114000000000001</v>
      </c>
      <c r="B134" s="379" t="s">
        <v>912</v>
      </c>
      <c r="C134" s="377" t="s">
        <v>982</v>
      </c>
      <c r="D134" s="378" t="s">
        <v>796</v>
      </c>
      <c r="E134" s="376" t="s">
        <v>32</v>
      </c>
    </row>
    <row r="135" spans="1:5" ht="20.100000000000001" customHeight="1">
      <c r="A135" s="1131" t="s">
        <v>913</v>
      </c>
      <c r="B135" s="1132"/>
      <c r="C135" s="1132"/>
      <c r="D135" s="386"/>
      <c r="E135" s="387"/>
    </row>
    <row r="136" spans="1:5" ht="13.8">
      <c r="A136" s="1133"/>
      <c r="B136" s="1134"/>
      <c r="C136" s="1134"/>
      <c r="D136" s="378"/>
      <c r="E136" s="398"/>
    </row>
    <row r="137" spans="1:5" ht="20.100000000000001" customHeight="1">
      <c r="A137" s="396"/>
      <c r="B137" s="1135" t="s">
        <v>60</v>
      </c>
      <c r="C137" s="1137"/>
      <c r="D137" s="386"/>
      <c r="E137" s="387"/>
    </row>
    <row r="138" spans="1:5" ht="41.4">
      <c r="A138" s="382">
        <v>31.114999999999998</v>
      </c>
      <c r="B138" s="379" t="s">
        <v>275</v>
      </c>
      <c r="C138" s="377" t="s">
        <v>1490</v>
      </c>
      <c r="D138" s="378" t="s">
        <v>804</v>
      </c>
      <c r="E138" s="376" t="s">
        <v>794</v>
      </c>
    </row>
    <row r="139" spans="1:5" ht="27.6">
      <c r="A139" s="382">
        <v>31.116</v>
      </c>
      <c r="B139" s="375" t="s">
        <v>1191</v>
      </c>
      <c r="C139" s="377" t="s">
        <v>1490</v>
      </c>
      <c r="D139" s="378" t="s">
        <v>798</v>
      </c>
      <c r="E139" s="376" t="s">
        <v>479</v>
      </c>
    </row>
    <row r="140" spans="1:5" ht="27.6">
      <c r="A140" s="382">
        <v>31.117000000000001</v>
      </c>
      <c r="B140" s="375" t="s">
        <v>739</v>
      </c>
      <c r="C140" s="377" t="s">
        <v>1490</v>
      </c>
      <c r="D140" s="378" t="s">
        <v>169</v>
      </c>
      <c r="E140" s="376" t="s">
        <v>202</v>
      </c>
    </row>
    <row r="141" spans="1:5" ht="27.6">
      <c r="A141" s="382">
        <v>31.117999999999999</v>
      </c>
      <c r="B141" s="375" t="s">
        <v>2511</v>
      </c>
      <c r="C141" s="377" t="s">
        <v>1490</v>
      </c>
      <c r="D141" s="378" t="s">
        <v>170</v>
      </c>
      <c r="E141" s="376" t="s">
        <v>480</v>
      </c>
    </row>
    <row r="142" spans="1:5" ht="20.100000000000001" customHeight="1">
      <c r="A142" s="382">
        <v>31.119</v>
      </c>
      <c r="B142" s="375" t="s">
        <v>2512</v>
      </c>
      <c r="C142" s="377" t="s">
        <v>1490</v>
      </c>
      <c r="D142" s="378" t="s">
        <v>171</v>
      </c>
      <c r="E142" s="376" t="s">
        <v>481</v>
      </c>
    </row>
    <row r="143" spans="1:5" ht="27.6">
      <c r="A143" s="382">
        <v>31.12</v>
      </c>
      <c r="B143" s="375" t="s">
        <v>1680</v>
      </c>
      <c r="C143" s="377" t="s">
        <v>1490</v>
      </c>
      <c r="D143" s="378" t="s">
        <v>798</v>
      </c>
      <c r="E143" s="376" t="s">
        <v>482</v>
      </c>
    </row>
    <row r="144" spans="1:5" ht="27.6">
      <c r="A144" s="382">
        <v>31.120999999999999</v>
      </c>
      <c r="B144" s="375" t="s">
        <v>528</v>
      </c>
      <c r="C144" s="377" t="s">
        <v>1490</v>
      </c>
      <c r="D144" s="378" t="s">
        <v>798</v>
      </c>
      <c r="E144" s="376" t="s">
        <v>483</v>
      </c>
    </row>
    <row r="145" spans="1:5" ht="20.100000000000001" customHeight="1">
      <c r="A145" s="382">
        <v>31.122</v>
      </c>
      <c r="B145" s="375" t="s">
        <v>2513</v>
      </c>
      <c r="C145" s="377" t="s">
        <v>1490</v>
      </c>
      <c r="D145" s="378" t="s">
        <v>172</v>
      </c>
      <c r="E145" s="376" t="s">
        <v>424</v>
      </c>
    </row>
    <row r="146" spans="1:5" ht="27.6" customHeight="1">
      <c r="A146" s="382">
        <v>31.123000000000001</v>
      </c>
      <c r="B146" s="379" t="s">
        <v>2514</v>
      </c>
      <c r="C146" s="377" t="s">
        <v>1490</v>
      </c>
      <c r="D146" s="378" t="s">
        <v>986</v>
      </c>
      <c r="E146" s="376" t="s">
        <v>425</v>
      </c>
    </row>
    <row r="147" spans="1:5" ht="27.6">
      <c r="A147" s="382">
        <v>31.123999999999999</v>
      </c>
      <c r="B147" s="375" t="s">
        <v>2515</v>
      </c>
      <c r="C147" s="377" t="s">
        <v>1490</v>
      </c>
      <c r="D147" s="378" t="s">
        <v>173</v>
      </c>
      <c r="E147" s="376" t="s">
        <v>426</v>
      </c>
    </row>
    <row r="148" spans="1:5" ht="20.100000000000001" customHeight="1">
      <c r="A148" s="382">
        <v>31.125</v>
      </c>
      <c r="B148" s="375" t="s">
        <v>2516</v>
      </c>
      <c r="C148" s="377" t="s">
        <v>1490</v>
      </c>
      <c r="D148" s="378" t="s">
        <v>174</v>
      </c>
      <c r="E148" s="376" t="s">
        <v>812</v>
      </c>
    </row>
    <row r="149" spans="1:5" ht="20.100000000000001" customHeight="1">
      <c r="A149" s="382">
        <v>31.126000000000001</v>
      </c>
      <c r="B149" s="375" t="s">
        <v>2517</v>
      </c>
      <c r="C149" s="377" t="s">
        <v>1490</v>
      </c>
      <c r="D149" s="378" t="s">
        <v>541</v>
      </c>
      <c r="E149" s="376" t="s">
        <v>813</v>
      </c>
    </row>
    <row r="150" spans="1:5" ht="20.100000000000001" customHeight="1">
      <c r="A150" s="382">
        <v>31.126999999999999</v>
      </c>
      <c r="B150" s="375" t="s">
        <v>2518</v>
      </c>
      <c r="C150" s="377" t="s">
        <v>1490</v>
      </c>
      <c r="D150" s="378" t="s">
        <v>174</v>
      </c>
      <c r="E150" s="376" t="s">
        <v>1174</v>
      </c>
    </row>
    <row r="151" spans="1:5" ht="13.8">
      <c r="A151" s="382">
        <v>31.128</v>
      </c>
      <c r="B151" s="375" t="s">
        <v>2519</v>
      </c>
      <c r="C151" s="377" t="s">
        <v>1490</v>
      </c>
      <c r="D151" s="378" t="s">
        <v>175</v>
      </c>
      <c r="E151" s="376" t="s">
        <v>1175</v>
      </c>
    </row>
    <row r="152" spans="1:5" ht="20.100000000000001" customHeight="1">
      <c r="A152" s="382">
        <v>31.129000000000001</v>
      </c>
      <c r="B152" s="375" t="s">
        <v>2520</v>
      </c>
      <c r="C152" s="377" t="s">
        <v>1490</v>
      </c>
      <c r="D152" s="378" t="s">
        <v>1356</v>
      </c>
      <c r="E152" s="376" t="s">
        <v>1176</v>
      </c>
    </row>
    <row r="153" spans="1:5" ht="41.4">
      <c r="A153" s="382">
        <v>31.13</v>
      </c>
      <c r="B153" s="375" t="s">
        <v>222</v>
      </c>
      <c r="C153" s="377" t="s">
        <v>1490</v>
      </c>
      <c r="D153" s="378" t="s">
        <v>1071</v>
      </c>
      <c r="E153" s="376" t="s">
        <v>203</v>
      </c>
    </row>
    <row r="154" spans="1:5" ht="27.6">
      <c r="A154" s="382">
        <v>31.131</v>
      </c>
      <c r="B154" s="375" t="s">
        <v>910</v>
      </c>
      <c r="C154" s="377" t="s">
        <v>982</v>
      </c>
      <c r="D154" s="378" t="s">
        <v>760</v>
      </c>
      <c r="E154" s="376" t="s">
        <v>1736</v>
      </c>
    </row>
    <row r="155" spans="1:5" ht="20.100000000000001" customHeight="1">
      <c r="A155" s="382">
        <v>31.132000000000001</v>
      </c>
      <c r="B155" s="375" t="s">
        <v>372</v>
      </c>
      <c r="C155" s="377" t="s">
        <v>982</v>
      </c>
      <c r="D155" s="378" t="s">
        <v>177</v>
      </c>
      <c r="E155" s="376" t="s">
        <v>1177</v>
      </c>
    </row>
    <row r="156" spans="1:5" ht="41.4">
      <c r="A156" s="382">
        <v>31.132999999999999</v>
      </c>
      <c r="B156" s="379" t="s">
        <v>911</v>
      </c>
      <c r="C156" s="377" t="s">
        <v>982</v>
      </c>
      <c r="D156" s="378" t="s">
        <v>1071</v>
      </c>
      <c r="E156" s="376" t="s">
        <v>1550</v>
      </c>
    </row>
    <row r="157" spans="1:5" ht="55.2">
      <c r="A157" s="382">
        <v>31.134</v>
      </c>
      <c r="B157" s="375" t="s">
        <v>843</v>
      </c>
      <c r="C157" s="377" t="s">
        <v>982</v>
      </c>
      <c r="D157" s="643" t="s">
        <v>2562</v>
      </c>
      <c r="E157" s="376" t="s">
        <v>2561</v>
      </c>
    </row>
    <row r="158" spans="1:5" ht="48.6" customHeight="1">
      <c r="A158" s="382">
        <v>31.135000000000002</v>
      </c>
      <c r="B158" s="379" t="s">
        <v>2328</v>
      </c>
      <c r="C158" s="377" t="s">
        <v>982</v>
      </c>
      <c r="D158" s="378" t="s">
        <v>176</v>
      </c>
      <c r="E158" s="376" t="s">
        <v>2329</v>
      </c>
    </row>
    <row r="159" spans="1:5" ht="20.100000000000001" customHeight="1">
      <c r="A159" s="1131" t="s">
        <v>33</v>
      </c>
      <c r="B159" s="1132"/>
      <c r="C159" s="1132"/>
      <c r="D159" s="386"/>
      <c r="E159" s="387"/>
    </row>
    <row r="160" spans="1:5" ht="41.4">
      <c r="A160" s="382">
        <v>31.135999999999999</v>
      </c>
      <c r="B160" s="383" t="s">
        <v>1509</v>
      </c>
      <c r="C160" s="384" t="s">
        <v>982</v>
      </c>
      <c r="D160" s="378" t="s">
        <v>1071</v>
      </c>
      <c r="E160" s="376" t="s">
        <v>257</v>
      </c>
    </row>
    <row r="161" spans="1:5" ht="262.8">
      <c r="A161" s="382">
        <v>31.137</v>
      </c>
      <c r="B161" s="379" t="s">
        <v>741</v>
      </c>
      <c r="C161" s="377" t="s">
        <v>982</v>
      </c>
      <c r="D161" s="378" t="s">
        <v>1071</v>
      </c>
      <c r="E161" s="381" t="s">
        <v>2042</v>
      </c>
    </row>
    <row r="162" spans="1:5" ht="27.6">
      <c r="A162" s="382">
        <v>31.138000000000002</v>
      </c>
      <c r="B162" s="379" t="s">
        <v>1339</v>
      </c>
      <c r="C162" s="377" t="s">
        <v>982</v>
      </c>
      <c r="D162" s="378" t="s">
        <v>797</v>
      </c>
      <c r="E162" s="376" t="s">
        <v>34</v>
      </c>
    </row>
    <row r="163" spans="1:5" ht="41.4">
      <c r="A163" s="382">
        <v>31.138999999999999</v>
      </c>
      <c r="B163" s="385" t="s">
        <v>1482</v>
      </c>
      <c r="C163" s="384" t="s">
        <v>982</v>
      </c>
      <c r="D163" s="378" t="s">
        <v>1071</v>
      </c>
      <c r="E163" s="376" t="s">
        <v>1090</v>
      </c>
    </row>
    <row r="164" spans="1:5" ht="20.100000000000001" customHeight="1">
      <c r="A164" s="382">
        <v>31.14</v>
      </c>
      <c r="B164" s="379" t="s">
        <v>912</v>
      </c>
      <c r="C164" s="377" t="s">
        <v>982</v>
      </c>
      <c r="D164" s="378" t="s">
        <v>796</v>
      </c>
      <c r="E164" s="376" t="s">
        <v>35</v>
      </c>
    </row>
    <row r="165" spans="1:5" ht="20.100000000000001" customHeight="1">
      <c r="A165" s="1131" t="s">
        <v>842</v>
      </c>
      <c r="B165" s="1132"/>
      <c r="C165" s="1132"/>
      <c r="D165" s="386"/>
      <c r="E165" s="389"/>
    </row>
    <row r="166" spans="1:5" ht="13.8">
      <c r="A166" s="382"/>
      <c r="B166" s="375"/>
      <c r="C166" s="377"/>
      <c r="D166" s="378"/>
      <c r="E166" s="376"/>
    </row>
    <row r="167" spans="1:5" ht="20.100000000000001" customHeight="1">
      <c r="A167" s="1131" t="s">
        <v>1192</v>
      </c>
      <c r="B167" s="1132"/>
      <c r="C167" s="1132"/>
      <c r="D167" s="386"/>
      <c r="E167" s="389"/>
    </row>
    <row r="168" spans="1:5" ht="41.4">
      <c r="A168" s="399">
        <v>31.140999999999998</v>
      </c>
      <c r="B168" s="375" t="s">
        <v>2647</v>
      </c>
      <c r="C168" s="377" t="s">
        <v>982</v>
      </c>
      <c r="D168" s="378" t="s">
        <v>1071</v>
      </c>
      <c r="E168" s="376" t="s">
        <v>2648</v>
      </c>
    </row>
    <row r="169" spans="1:5" ht="41.4">
      <c r="A169" s="382" t="s">
        <v>2594</v>
      </c>
      <c r="B169" s="375" t="s">
        <v>2595</v>
      </c>
      <c r="C169" s="377" t="s">
        <v>982</v>
      </c>
      <c r="D169" s="378" t="s">
        <v>1071</v>
      </c>
      <c r="E169" s="376" t="s">
        <v>2649</v>
      </c>
    </row>
    <row r="170" spans="1:5" ht="41.4">
      <c r="A170" s="382" t="s">
        <v>2598</v>
      </c>
      <c r="B170" s="375" t="s">
        <v>2597</v>
      </c>
      <c r="C170" s="377" t="s">
        <v>982</v>
      </c>
      <c r="D170" s="378" t="s">
        <v>1071</v>
      </c>
      <c r="E170" s="376" t="s">
        <v>2596</v>
      </c>
    </row>
    <row r="171" spans="1:5" ht="41.4">
      <c r="A171" s="382" t="s">
        <v>2599</v>
      </c>
      <c r="B171" s="375" t="s">
        <v>2600</v>
      </c>
      <c r="C171" s="377" t="s">
        <v>982</v>
      </c>
      <c r="D171" s="378" t="s">
        <v>1071</v>
      </c>
      <c r="E171" s="376" t="s">
        <v>2601</v>
      </c>
    </row>
    <row r="172" spans="1:5" ht="41.4">
      <c r="A172" s="382">
        <v>31.141999999999999</v>
      </c>
      <c r="B172" s="375" t="s">
        <v>384</v>
      </c>
      <c r="C172" s="377" t="s">
        <v>982</v>
      </c>
      <c r="D172" s="378" t="s">
        <v>1071</v>
      </c>
      <c r="E172" s="376" t="s">
        <v>1105</v>
      </c>
    </row>
    <row r="173" spans="1:5" ht="83.4" thickBot="1">
      <c r="A173" s="554">
        <v>31.143000000000001</v>
      </c>
      <c r="B173" s="555" t="s">
        <v>1829</v>
      </c>
      <c r="C173" s="556" t="s">
        <v>1830</v>
      </c>
      <c r="D173" s="557" t="s">
        <v>1831</v>
      </c>
      <c r="E173" s="558" t="s">
        <v>1832</v>
      </c>
    </row>
    <row r="174" spans="1:5">
      <c r="E174" s="124"/>
    </row>
    <row r="175" spans="1:5">
      <c r="E175" s="124"/>
    </row>
    <row r="176" spans="1:5">
      <c r="E176" s="124"/>
    </row>
    <row r="177" spans="5:5">
      <c r="E177" s="124"/>
    </row>
    <row r="178" spans="5:5">
      <c r="E178" s="124"/>
    </row>
    <row r="179" spans="5:5">
      <c r="E179" s="124"/>
    </row>
    <row r="180" spans="5:5">
      <c r="E180" s="124"/>
    </row>
    <row r="181" spans="5:5">
      <c r="E181" s="124"/>
    </row>
    <row r="182" spans="5:5">
      <c r="E182" s="124"/>
    </row>
    <row r="183" spans="5:5">
      <c r="E183" s="124"/>
    </row>
    <row r="184" spans="5:5">
      <c r="E184" s="124"/>
    </row>
    <row r="185" spans="5:5">
      <c r="E185" s="124"/>
    </row>
    <row r="186" spans="5:5">
      <c r="E186" s="124"/>
    </row>
    <row r="187" spans="5:5">
      <c r="E187" s="124"/>
    </row>
    <row r="188" spans="5:5">
      <c r="E188" s="124"/>
    </row>
    <row r="189" spans="5:5">
      <c r="E189" s="124"/>
    </row>
    <row r="190" spans="5:5">
      <c r="E190" s="124"/>
    </row>
    <row r="191" spans="5:5">
      <c r="E191" s="124"/>
    </row>
    <row r="192" spans="5:5">
      <c r="E192" s="124"/>
    </row>
    <row r="193" spans="5:5">
      <c r="E193" s="124"/>
    </row>
    <row r="194" spans="5:5">
      <c r="E194" s="124"/>
    </row>
    <row r="195" spans="5:5">
      <c r="E195" s="124"/>
    </row>
    <row r="196" spans="5:5">
      <c r="E196" s="124"/>
    </row>
    <row r="197" spans="5:5">
      <c r="E197" s="124"/>
    </row>
    <row r="198" spans="5:5">
      <c r="E198" s="124"/>
    </row>
    <row r="199" spans="5:5">
      <c r="E199" s="124"/>
    </row>
    <row r="200" spans="5:5">
      <c r="E200" s="124"/>
    </row>
    <row r="201" spans="5:5">
      <c r="E201" s="124"/>
    </row>
    <row r="202" spans="5:5">
      <c r="E202" s="124"/>
    </row>
    <row r="203" spans="5:5">
      <c r="E203" s="124"/>
    </row>
    <row r="204" spans="5:5">
      <c r="E204" s="124"/>
    </row>
    <row r="205" spans="5:5">
      <c r="E205" s="124"/>
    </row>
    <row r="206" spans="5:5">
      <c r="E206" s="124"/>
    </row>
    <row r="207" spans="5:5">
      <c r="E207" s="124"/>
    </row>
    <row r="208" spans="5:5">
      <c r="E208" s="124"/>
    </row>
    <row r="209" spans="5:5">
      <c r="E209" s="124"/>
    </row>
    <row r="210" spans="5:5">
      <c r="E210" s="124"/>
    </row>
    <row r="211" spans="5:5">
      <c r="E211" s="124"/>
    </row>
    <row r="212" spans="5:5">
      <c r="E212" s="124"/>
    </row>
    <row r="213" spans="5:5">
      <c r="E213" s="124"/>
    </row>
    <row r="214" spans="5:5">
      <c r="E214" s="124"/>
    </row>
    <row r="215" spans="5:5">
      <c r="E215" s="124"/>
    </row>
    <row r="216" spans="5:5">
      <c r="E216" s="124"/>
    </row>
    <row r="217" spans="5:5">
      <c r="E217" s="124"/>
    </row>
    <row r="218" spans="5:5">
      <c r="E218" s="124"/>
    </row>
    <row r="219" spans="5:5">
      <c r="E219" s="124"/>
    </row>
    <row r="220" spans="5:5">
      <c r="E220" s="124"/>
    </row>
    <row r="221" spans="5:5">
      <c r="E221" s="124"/>
    </row>
    <row r="222" spans="5:5">
      <c r="E222" s="124"/>
    </row>
    <row r="223" spans="5:5">
      <c r="E223" s="124"/>
    </row>
    <row r="224" spans="5:5">
      <c r="E224" s="124"/>
    </row>
    <row r="225" spans="5:5">
      <c r="E225" s="124"/>
    </row>
    <row r="226" spans="5:5">
      <c r="E226" s="124"/>
    </row>
    <row r="227" spans="5:5">
      <c r="E227" s="124"/>
    </row>
    <row r="228" spans="5:5">
      <c r="E228" s="124"/>
    </row>
    <row r="229" spans="5:5">
      <c r="E229" s="124"/>
    </row>
    <row r="230" spans="5:5">
      <c r="E230" s="124"/>
    </row>
    <row r="231" spans="5:5">
      <c r="E231" s="124"/>
    </row>
    <row r="232" spans="5:5">
      <c r="E232" s="124"/>
    </row>
    <row r="233" spans="5:5">
      <c r="E233" s="124"/>
    </row>
    <row r="234" spans="5:5">
      <c r="E234" s="124"/>
    </row>
    <row r="235" spans="5:5">
      <c r="E235" s="124"/>
    </row>
    <row r="236" spans="5:5">
      <c r="E236" s="124"/>
    </row>
    <row r="237" spans="5:5">
      <c r="E237" s="124"/>
    </row>
    <row r="238" spans="5:5">
      <c r="E238" s="124"/>
    </row>
    <row r="239" spans="5:5">
      <c r="E239" s="124"/>
    </row>
    <row r="240" spans="5:5">
      <c r="E240" s="124"/>
    </row>
    <row r="241" spans="5:5">
      <c r="E241" s="124"/>
    </row>
    <row r="242" spans="5:5">
      <c r="E242" s="124"/>
    </row>
    <row r="243" spans="5:5">
      <c r="E243" s="124"/>
    </row>
    <row r="244" spans="5:5">
      <c r="E244" s="124"/>
    </row>
    <row r="245" spans="5:5">
      <c r="E245" s="124"/>
    </row>
    <row r="246" spans="5:5">
      <c r="E246" s="124"/>
    </row>
    <row r="247" spans="5:5">
      <c r="E247" s="124"/>
    </row>
    <row r="248" spans="5:5">
      <c r="E248" s="124"/>
    </row>
    <row r="249" spans="5:5">
      <c r="E249" s="124"/>
    </row>
    <row r="250" spans="5:5">
      <c r="E250" s="124"/>
    </row>
    <row r="251" spans="5:5">
      <c r="E251" s="124"/>
    </row>
    <row r="252" spans="5:5">
      <c r="E252" s="124"/>
    </row>
    <row r="253" spans="5:5">
      <c r="E253" s="124"/>
    </row>
    <row r="254" spans="5:5">
      <c r="E254" s="124"/>
    </row>
    <row r="255" spans="5:5">
      <c r="E255" s="124"/>
    </row>
    <row r="256" spans="5:5">
      <c r="E256" s="124"/>
    </row>
    <row r="257" spans="5:5">
      <c r="E257" s="124"/>
    </row>
    <row r="258" spans="5:5">
      <c r="E258" s="124"/>
    </row>
    <row r="259" spans="5:5">
      <c r="E259" s="124"/>
    </row>
    <row r="260" spans="5:5">
      <c r="E260" s="124"/>
    </row>
    <row r="261" spans="5:5">
      <c r="E261" s="124"/>
    </row>
    <row r="262" spans="5:5">
      <c r="E262" s="124"/>
    </row>
    <row r="263" spans="5:5">
      <c r="E263" s="124"/>
    </row>
    <row r="264" spans="5:5">
      <c r="E264" s="124"/>
    </row>
    <row r="265" spans="5:5">
      <c r="E265" s="124"/>
    </row>
    <row r="266" spans="5:5">
      <c r="E266" s="124"/>
    </row>
    <row r="267" spans="5:5">
      <c r="E267" s="124"/>
    </row>
    <row r="268" spans="5:5">
      <c r="E268" s="124"/>
    </row>
    <row r="269" spans="5:5">
      <c r="E269" s="124"/>
    </row>
    <row r="270" spans="5:5">
      <c r="E270" s="124"/>
    </row>
    <row r="271" spans="5:5">
      <c r="E271" s="124"/>
    </row>
    <row r="272" spans="5:5">
      <c r="E272" s="124"/>
    </row>
    <row r="273" spans="5:5">
      <c r="E273" s="124"/>
    </row>
    <row r="274" spans="5:5">
      <c r="E274" s="124"/>
    </row>
    <row r="275" spans="5:5">
      <c r="E275" s="124"/>
    </row>
    <row r="276" spans="5:5">
      <c r="E276" s="124"/>
    </row>
    <row r="277" spans="5:5">
      <c r="E277" s="124"/>
    </row>
    <row r="278" spans="5:5">
      <c r="E278" s="124"/>
    </row>
    <row r="279" spans="5:5">
      <c r="E279" s="124"/>
    </row>
    <row r="280" spans="5:5">
      <c r="E280" s="124"/>
    </row>
    <row r="281" spans="5:5">
      <c r="E281" s="124"/>
    </row>
    <row r="282" spans="5:5">
      <c r="E282" s="124"/>
    </row>
    <row r="283" spans="5:5">
      <c r="E283" s="124"/>
    </row>
    <row r="284" spans="5:5">
      <c r="E284" s="124"/>
    </row>
    <row r="285" spans="5:5">
      <c r="E285" s="124"/>
    </row>
    <row r="286" spans="5:5">
      <c r="E286" s="124"/>
    </row>
    <row r="287" spans="5:5">
      <c r="E287" s="124"/>
    </row>
    <row r="288" spans="5:5">
      <c r="E288" s="124"/>
    </row>
    <row r="289" spans="5:5">
      <c r="E289" s="124"/>
    </row>
    <row r="290" spans="5:5">
      <c r="E290" s="124"/>
    </row>
    <row r="291" spans="5:5">
      <c r="E291" s="124"/>
    </row>
    <row r="292" spans="5:5">
      <c r="E292" s="124"/>
    </row>
    <row r="293" spans="5:5">
      <c r="E293" s="124"/>
    </row>
    <row r="294" spans="5:5">
      <c r="E294" s="124"/>
    </row>
    <row r="295" spans="5:5">
      <c r="E295" s="124"/>
    </row>
    <row r="296" spans="5:5">
      <c r="E296" s="124"/>
    </row>
    <row r="297" spans="5:5">
      <c r="E297" s="124"/>
    </row>
    <row r="298" spans="5:5">
      <c r="E298" s="124"/>
    </row>
    <row r="299" spans="5:5">
      <c r="E299" s="124"/>
    </row>
    <row r="300" spans="5:5">
      <c r="E300" s="124"/>
    </row>
    <row r="301" spans="5:5">
      <c r="E301" s="124"/>
    </row>
    <row r="302" spans="5:5">
      <c r="E302" s="124"/>
    </row>
    <row r="303" spans="5:5">
      <c r="E303" s="124"/>
    </row>
    <row r="304" spans="5:5">
      <c r="E304" s="124"/>
    </row>
    <row r="305" spans="5:5">
      <c r="E305" s="124"/>
    </row>
    <row r="306" spans="5:5">
      <c r="E306" s="124"/>
    </row>
    <row r="307" spans="5:5">
      <c r="E307" s="124"/>
    </row>
    <row r="308" spans="5:5">
      <c r="E308" s="124"/>
    </row>
    <row r="309" spans="5:5">
      <c r="E309" s="124"/>
    </row>
    <row r="310" spans="5:5">
      <c r="E310" s="124"/>
    </row>
    <row r="311" spans="5:5">
      <c r="E311" s="124"/>
    </row>
    <row r="312" spans="5:5">
      <c r="E312" s="124"/>
    </row>
    <row r="313" spans="5:5">
      <c r="E313" s="124"/>
    </row>
    <row r="314" spans="5:5">
      <c r="E314" s="124"/>
    </row>
    <row r="315" spans="5:5">
      <c r="E315" s="124"/>
    </row>
    <row r="316" spans="5:5">
      <c r="E316" s="124"/>
    </row>
    <row r="317" spans="5:5">
      <c r="E317" s="124"/>
    </row>
    <row r="318" spans="5:5">
      <c r="E318" s="124"/>
    </row>
    <row r="319" spans="5:5">
      <c r="E319" s="124"/>
    </row>
    <row r="320" spans="5:5">
      <c r="E320" s="124"/>
    </row>
    <row r="321" spans="5:5">
      <c r="E321" s="124"/>
    </row>
    <row r="322" spans="5:5">
      <c r="E322" s="124"/>
    </row>
    <row r="323" spans="5:5">
      <c r="E323" s="124"/>
    </row>
    <row r="324" spans="5:5">
      <c r="E324" s="124"/>
    </row>
    <row r="325" spans="5:5">
      <c r="E325" s="124"/>
    </row>
    <row r="326" spans="5:5">
      <c r="E326" s="124"/>
    </row>
    <row r="327" spans="5:5">
      <c r="E327" s="124"/>
    </row>
    <row r="328" spans="5:5">
      <c r="E328" s="124"/>
    </row>
    <row r="329" spans="5:5">
      <c r="E329" s="124"/>
    </row>
    <row r="330" spans="5:5">
      <c r="E330" s="124"/>
    </row>
    <row r="331" spans="5:5">
      <c r="E331" s="124"/>
    </row>
    <row r="332" spans="5:5">
      <c r="E332" s="124"/>
    </row>
    <row r="333" spans="5:5">
      <c r="E333" s="124"/>
    </row>
    <row r="334" spans="5:5">
      <c r="E334" s="124"/>
    </row>
    <row r="335" spans="5:5">
      <c r="E335" s="124"/>
    </row>
    <row r="336" spans="5:5">
      <c r="E336" s="124"/>
    </row>
    <row r="337" spans="5:5">
      <c r="E337" s="124"/>
    </row>
    <row r="338" spans="5:5">
      <c r="E338" s="124"/>
    </row>
    <row r="339" spans="5:5">
      <c r="E339" s="124"/>
    </row>
    <row r="340" spans="5:5">
      <c r="E340" s="124"/>
    </row>
    <row r="341" spans="5:5">
      <c r="E341" s="124"/>
    </row>
    <row r="342" spans="5:5">
      <c r="E342" s="124"/>
    </row>
    <row r="343" spans="5:5">
      <c r="E343" s="124"/>
    </row>
    <row r="344" spans="5:5">
      <c r="E344" s="124"/>
    </row>
    <row r="345" spans="5:5">
      <c r="E345" s="124"/>
    </row>
    <row r="346" spans="5:5">
      <c r="E346" s="124"/>
    </row>
    <row r="347" spans="5:5">
      <c r="E347" s="124"/>
    </row>
    <row r="348" spans="5:5">
      <c r="E348" s="124"/>
    </row>
    <row r="349" spans="5:5">
      <c r="E349" s="124"/>
    </row>
    <row r="350" spans="5:5">
      <c r="E350" s="124"/>
    </row>
    <row r="351" spans="5:5">
      <c r="E351" s="124"/>
    </row>
    <row r="352" spans="5:5">
      <c r="E352" s="124"/>
    </row>
    <row r="353" spans="5:5">
      <c r="E353" s="124"/>
    </row>
    <row r="354" spans="5:5">
      <c r="E354" s="124"/>
    </row>
    <row r="355" spans="5:5">
      <c r="E355" s="124"/>
    </row>
    <row r="356" spans="5:5">
      <c r="E356" s="124"/>
    </row>
    <row r="357" spans="5:5">
      <c r="E357" s="124"/>
    </row>
    <row r="358" spans="5:5">
      <c r="E358" s="124"/>
    </row>
    <row r="359" spans="5:5">
      <c r="E359" s="124"/>
    </row>
    <row r="360" spans="5:5">
      <c r="E360" s="124"/>
    </row>
    <row r="361" spans="5:5">
      <c r="E361" s="124"/>
    </row>
    <row r="362" spans="5:5">
      <c r="E362" s="124"/>
    </row>
    <row r="363" spans="5:5">
      <c r="E363" s="124"/>
    </row>
    <row r="364" spans="5:5">
      <c r="E364" s="124"/>
    </row>
    <row r="365" spans="5:5">
      <c r="E365" s="124"/>
    </row>
    <row r="366" spans="5:5">
      <c r="E366" s="124"/>
    </row>
    <row r="367" spans="5:5">
      <c r="E367" s="124"/>
    </row>
    <row r="368" spans="5:5">
      <c r="E368" s="124"/>
    </row>
    <row r="369" spans="5:5">
      <c r="E369" s="124"/>
    </row>
    <row r="370" spans="5:5">
      <c r="E370" s="124"/>
    </row>
    <row r="371" spans="5:5">
      <c r="E371" s="124"/>
    </row>
    <row r="372" spans="5:5">
      <c r="E372" s="124"/>
    </row>
    <row r="373" spans="5:5">
      <c r="E373" s="124"/>
    </row>
    <row r="374" spans="5:5">
      <c r="E374" s="124"/>
    </row>
    <row r="375" spans="5:5">
      <c r="E375" s="124"/>
    </row>
    <row r="376" spans="5:5">
      <c r="E376" s="124"/>
    </row>
    <row r="377" spans="5:5">
      <c r="E377" s="124"/>
    </row>
    <row r="378" spans="5:5">
      <c r="E378" s="124"/>
    </row>
    <row r="379" spans="5:5">
      <c r="E379" s="124"/>
    </row>
    <row r="380" spans="5:5">
      <c r="E380" s="124"/>
    </row>
    <row r="381" spans="5:5">
      <c r="E381" s="124"/>
    </row>
    <row r="382" spans="5:5">
      <c r="E382" s="124"/>
    </row>
    <row r="383" spans="5:5">
      <c r="E383" s="124"/>
    </row>
    <row r="384" spans="5:5">
      <c r="E384" s="124"/>
    </row>
    <row r="385" spans="5:5">
      <c r="E385" s="124"/>
    </row>
    <row r="386" spans="5:5">
      <c r="E386" s="124"/>
    </row>
    <row r="387" spans="5:5">
      <c r="E387" s="124"/>
    </row>
    <row r="388" spans="5:5">
      <c r="E388" s="124"/>
    </row>
    <row r="389" spans="5:5">
      <c r="E389" s="124"/>
    </row>
    <row r="390" spans="5:5">
      <c r="E390" s="124"/>
    </row>
    <row r="391" spans="5:5">
      <c r="E391" s="124"/>
    </row>
    <row r="392" spans="5:5">
      <c r="E392" s="124"/>
    </row>
    <row r="393" spans="5:5">
      <c r="E393" s="124"/>
    </row>
    <row r="394" spans="5:5">
      <c r="E394" s="124"/>
    </row>
    <row r="395" spans="5:5">
      <c r="E395" s="124"/>
    </row>
    <row r="396" spans="5:5">
      <c r="E396" s="124"/>
    </row>
    <row r="397" spans="5:5">
      <c r="E397" s="124"/>
    </row>
    <row r="398" spans="5:5">
      <c r="E398" s="124"/>
    </row>
    <row r="399" spans="5:5">
      <c r="E399" s="124"/>
    </row>
    <row r="400" spans="5:5">
      <c r="E400" s="124"/>
    </row>
    <row r="401" spans="5:5">
      <c r="E401" s="124"/>
    </row>
    <row r="402" spans="5:5">
      <c r="E402" s="124"/>
    </row>
    <row r="403" spans="5:5">
      <c r="E403" s="124"/>
    </row>
    <row r="404" spans="5:5">
      <c r="E404" s="124"/>
    </row>
    <row r="405" spans="5:5">
      <c r="E405" s="124"/>
    </row>
    <row r="406" spans="5:5">
      <c r="E406" s="124"/>
    </row>
    <row r="407" spans="5:5">
      <c r="E407" s="124"/>
    </row>
    <row r="408" spans="5:5">
      <c r="E408" s="124"/>
    </row>
    <row r="409" spans="5:5">
      <c r="E409" s="124"/>
    </row>
    <row r="410" spans="5:5">
      <c r="E410" s="124"/>
    </row>
    <row r="411" spans="5:5">
      <c r="E411" s="124"/>
    </row>
    <row r="412" spans="5:5">
      <c r="E412" s="124"/>
    </row>
    <row r="413" spans="5:5">
      <c r="E413" s="124"/>
    </row>
    <row r="414" spans="5:5">
      <c r="E414" s="124"/>
    </row>
    <row r="415" spans="5:5">
      <c r="E415" s="124"/>
    </row>
    <row r="416" spans="5:5">
      <c r="E416" s="124"/>
    </row>
    <row r="417" spans="5:5">
      <c r="E417" s="124"/>
    </row>
    <row r="418" spans="5:5">
      <c r="E418" s="124"/>
    </row>
    <row r="419" spans="5:5">
      <c r="E419" s="124"/>
    </row>
    <row r="420" spans="5:5">
      <c r="E420" s="124"/>
    </row>
    <row r="421" spans="5:5">
      <c r="E421" s="124"/>
    </row>
    <row r="422" spans="5:5">
      <c r="E422" s="124"/>
    </row>
    <row r="423" spans="5:5">
      <c r="E423" s="124"/>
    </row>
    <row r="424" spans="5:5">
      <c r="E424" s="124"/>
    </row>
    <row r="425" spans="5:5">
      <c r="E425" s="124"/>
    </row>
    <row r="426" spans="5:5">
      <c r="E426" s="124"/>
    </row>
    <row r="427" spans="5:5">
      <c r="E427" s="124"/>
    </row>
    <row r="428" spans="5:5">
      <c r="E428" s="124"/>
    </row>
    <row r="429" spans="5:5">
      <c r="E429" s="124"/>
    </row>
    <row r="430" spans="5:5">
      <c r="E430" s="124"/>
    </row>
    <row r="431" spans="5:5">
      <c r="E431" s="124"/>
    </row>
    <row r="432" spans="5:5">
      <c r="E432" s="124"/>
    </row>
    <row r="433" spans="5:5">
      <c r="E433" s="124"/>
    </row>
    <row r="434" spans="5:5">
      <c r="E434" s="124"/>
    </row>
    <row r="435" spans="5:5">
      <c r="E435" s="124"/>
    </row>
    <row r="436" spans="5:5">
      <c r="E436" s="124"/>
    </row>
    <row r="437" spans="5:5">
      <c r="E437" s="124"/>
    </row>
    <row r="438" spans="5:5">
      <c r="E438" s="124"/>
    </row>
    <row r="439" spans="5:5">
      <c r="E439" s="124"/>
    </row>
    <row r="440" spans="5:5">
      <c r="E440" s="124"/>
    </row>
    <row r="441" spans="5:5">
      <c r="E441" s="124"/>
    </row>
    <row r="442" spans="5:5">
      <c r="E442" s="124"/>
    </row>
    <row r="443" spans="5:5">
      <c r="E443" s="124"/>
    </row>
    <row r="444" spans="5:5">
      <c r="E444" s="124"/>
    </row>
    <row r="445" spans="5:5">
      <c r="E445" s="124"/>
    </row>
    <row r="446" spans="5:5">
      <c r="E446" s="124"/>
    </row>
    <row r="447" spans="5:5">
      <c r="E447" s="124"/>
    </row>
    <row r="448" spans="5:5">
      <c r="E448" s="124"/>
    </row>
    <row r="449" spans="5:5">
      <c r="E449" s="124"/>
    </row>
    <row r="450" spans="5:5">
      <c r="E450" s="124"/>
    </row>
    <row r="451" spans="5:5">
      <c r="E451" s="124"/>
    </row>
    <row r="452" spans="5:5">
      <c r="E452" s="124"/>
    </row>
    <row r="453" spans="5:5">
      <c r="E453" s="124"/>
    </row>
    <row r="454" spans="5:5">
      <c r="E454" s="124"/>
    </row>
    <row r="455" spans="5:5">
      <c r="E455" s="124"/>
    </row>
    <row r="456" spans="5:5">
      <c r="E456" s="124"/>
    </row>
    <row r="457" spans="5:5">
      <c r="E457" s="124"/>
    </row>
    <row r="458" spans="5:5">
      <c r="E458" s="124"/>
    </row>
    <row r="459" spans="5:5">
      <c r="E459" s="124"/>
    </row>
    <row r="460" spans="5:5">
      <c r="E460" s="124"/>
    </row>
    <row r="461" spans="5:5">
      <c r="E461" s="124"/>
    </row>
    <row r="462" spans="5:5">
      <c r="E462" s="124"/>
    </row>
    <row r="463" spans="5:5">
      <c r="E463" s="124"/>
    </row>
    <row r="464" spans="5:5">
      <c r="E464" s="124"/>
    </row>
    <row r="465" spans="5:5">
      <c r="E465" s="124"/>
    </row>
    <row r="466" spans="5:5">
      <c r="E466" s="124"/>
    </row>
    <row r="467" spans="5:5">
      <c r="E467" s="124"/>
    </row>
    <row r="468" spans="5:5">
      <c r="E468" s="124"/>
    </row>
    <row r="469" spans="5:5">
      <c r="E469" s="124"/>
    </row>
    <row r="470" spans="5:5">
      <c r="E470" s="124"/>
    </row>
    <row r="471" spans="5:5">
      <c r="E471" s="124"/>
    </row>
    <row r="472" spans="5:5">
      <c r="E472" s="124"/>
    </row>
    <row r="473" spans="5:5">
      <c r="E473" s="124"/>
    </row>
    <row r="474" spans="5:5">
      <c r="E474" s="124"/>
    </row>
    <row r="475" spans="5:5">
      <c r="E475" s="124"/>
    </row>
    <row r="476" spans="5:5">
      <c r="E476" s="124"/>
    </row>
    <row r="477" spans="5:5">
      <c r="E477" s="124"/>
    </row>
    <row r="478" spans="5:5">
      <c r="E478" s="124"/>
    </row>
    <row r="479" spans="5:5">
      <c r="E479" s="124"/>
    </row>
    <row r="480" spans="5:5">
      <c r="E480" s="124"/>
    </row>
    <row r="481" spans="5:5">
      <c r="E481" s="124"/>
    </row>
    <row r="482" spans="5:5">
      <c r="E482" s="124"/>
    </row>
    <row r="483" spans="5:5">
      <c r="E483" s="124"/>
    </row>
    <row r="484" spans="5:5">
      <c r="E484" s="124"/>
    </row>
    <row r="485" spans="5:5">
      <c r="E485" s="124"/>
    </row>
    <row r="486" spans="5:5">
      <c r="E486" s="124"/>
    </row>
    <row r="487" spans="5:5">
      <c r="E487" s="124"/>
    </row>
    <row r="488" spans="5:5">
      <c r="E488" s="124"/>
    </row>
    <row r="489" spans="5:5">
      <c r="E489" s="124"/>
    </row>
    <row r="490" spans="5:5">
      <c r="E490" s="124"/>
    </row>
    <row r="491" spans="5:5">
      <c r="E491" s="124"/>
    </row>
    <row r="492" spans="5:5">
      <c r="E492" s="124"/>
    </row>
    <row r="493" spans="5:5">
      <c r="E493" s="124"/>
    </row>
    <row r="494" spans="5:5">
      <c r="E494" s="124"/>
    </row>
    <row r="495" spans="5:5">
      <c r="E495" s="124"/>
    </row>
    <row r="496" spans="5:5">
      <c r="E496" s="124"/>
    </row>
    <row r="497" spans="5:5">
      <c r="E497" s="124"/>
    </row>
    <row r="498" spans="5:5">
      <c r="E498" s="124"/>
    </row>
    <row r="499" spans="5:5">
      <c r="E499" s="124"/>
    </row>
    <row r="500" spans="5:5">
      <c r="E500" s="124"/>
    </row>
    <row r="501" spans="5:5">
      <c r="E501" s="124"/>
    </row>
    <row r="502" spans="5:5">
      <c r="E502" s="124"/>
    </row>
    <row r="503" spans="5:5">
      <c r="E503" s="124"/>
    </row>
    <row r="504" spans="5:5">
      <c r="E504" s="124"/>
    </row>
    <row r="505" spans="5:5">
      <c r="E505" s="124"/>
    </row>
    <row r="506" spans="5:5">
      <c r="E506" s="124"/>
    </row>
    <row r="507" spans="5:5">
      <c r="E507" s="124"/>
    </row>
    <row r="508" spans="5:5">
      <c r="E508" s="124"/>
    </row>
    <row r="509" spans="5:5">
      <c r="E509" s="124"/>
    </row>
    <row r="510" spans="5:5">
      <c r="E510" s="124"/>
    </row>
    <row r="511" spans="5:5">
      <c r="E511" s="124"/>
    </row>
    <row r="512" spans="5:5">
      <c r="E512" s="124"/>
    </row>
    <row r="513" spans="5:5">
      <c r="E513" s="124"/>
    </row>
    <row r="514" spans="5:5">
      <c r="E514" s="124"/>
    </row>
    <row r="515" spans="5:5">
      <c r="E515" s="124"/>
    </row>
    <row r="516" spans="5:5">
      <c r="E516" s="124"/>
    </row>
    <row r="517" spans="5:5">
      <c r="E517" s="124"/>
    </row>
    <row r="518" spans="5:5">
      <c r="E518" s="124"/>
    </row>
    <row r="519" spans="5:5">
      <c r="E519" s="124"/>
    </row>
    <row r="520" spans="5:5">
      <c r="E520" s="124"/>
    </row>
    <row r="521" spans="5:5">
      <c r="E521" s="124"/>
    </row>
    <row r="522" spans="5:5">
      <c r="E522" s="124"/>
    </row>
    <row r="523" spans="5:5">
      <c r="E523" s="124"/>
    </row>
    <row r="524" spans="5:5">
      <c r="E524" s="124"/>
    </row>
    <row r="525" spans="5:5">
      <c r="E525" s="124"/>
    </row>
    <row r="526" spans="5:5">
      <c r="E526" s="124"/>
    </row>
    <row r="527" spans="5:5">
      <c r="E527" s="124"/>
    </row>
    <row r="528" spans="5:5">
      <c r="E528" s="124"/>
    </row>
    <row r="529" spans="5:5">
      <c r="E529" s="124"/>
    </row>
    <row r="530" spans="5:5">
      <c r="E530" s="124"/>
    </row>
    <row r="531" spans="5:5">
      <c r="E531" s="124"/>
    </row>
    <row r="532" spans="5:5">
      <c r="E532" s="124"/>
    </row>
    <row r="533" spans="5:5">
      <c r="E533" s="124"/>
    </row>
    <row r="534" spans="5:5">
      <c r="E534" s="124"/>
    </row>
    <row r="535" spans="5:5">
      <c r="E535" s="124"/>
    </row>
    <row r="536" spans="5:5">
      <c r="E536" s="124"/>
    </row>
    <row r="537" spans="5:5">
      <c r="E537" s="124"/>
    </row>
    <row r="538" spans="5:5">
      <c r="E538" s="124"/>
    </row>
    <row r="539" spans="5:5">
      <c r="E539" s="124"/>
    </row>
    <row r="540" spans="5:5">
      <c r="E540" s="124"/>
    </row>
    <row r="541" spans="5:5">
      <c r="E541" s="124"/>
    </row>
    <row r="542" spans="5:5">
      <c r="E542" s="124"/>
    </row>
    <row r="543" spans="5:5">
      <c r="E543" s="124"/>
    </row>
    <row r="544" spans="5:5">
      <c r="E544" s="124"/>
    </row>
    <row r="545" spans="4:5">
      <c r="E545" s="124"/>
    </row>
    <row r="546" spans="4:5">
      <c r="E546" s="124"/>
    </row>
    <row r="547" spans="4:5">
      <c r="E547" s="124"/>
    </row>
    <row r="548" spans="4:5">
      <c r="E548" s="124"/>
    </row>
    <row r="549" spans="4:5">
      <c r="E549" s="124"/>
    </row>
    <row r="550" spans="4:5">
      <c r="E550" s="124"/>
    </row>
    <row r="551" spans="4:5">
      <c r="E551" s="124"/>
    </row>
    <row r="552" spans="4:5">
      <c r="D552" s="390"/>
      <c r="E552" s="124"/>
    </row>
    <row r="553" spans="4:5">
      <c r="D553" s="390"/>
      <c r="E553" s="124"/>
    </row>
    <row r="554" spans="4:5">
      <c r="D554" s="390"/>
      <c r="E554" s="124"/>
    </row>
    <row r="555" spans="4:5">
      <c r="D555" s="390"/>
      <c r="E555" s="124"/>
    </row>
    <row r="556" spans="4:5">
      <c r="D556" s="390"/>
      <c r="E556" s="124"/>
    </row>
    <row r="557" spans="4:5">
      <c r="E557" s="124"/>
    </row>
    <row r="558" spans="4:5">
      <c r="E558" s="124"/>
    </row>
    <row r="559" spans="4:5">
      <c r="E559" s="124"/>
    </row>
    <row r="560" spans="4:5">
      <c r="E560" s="124"/>
    </row>
    <row r="561" spans="5:5">
      <c r="E561" s="124"/>
    </row>
    <row r="562" spans="5:5">
      <c r="E562" s="124"/>
    </row>
    <row r="563" spans="5:5">
      <c r="E563" s="124"/>
    </row>
    <row r="564" spans="5:5">
      <c r="E564" s="124"/>
    </row>
    <row r="565" spans="5:5">
      <c r="E565" s="124"/>
    </row>
    <row r="566" spans="5:5">
      <c r="E566" s="124"/>
    </row>
    <row r="567" spans="5:5">
      <c r="E567" s="124"/>
    </row>
    <row r="568" spans="5:5">
      <c r="E568" s="124"/>
    </row>
    <row r="569" spans="5:5">
      <c r="E569" s="124"/>
    </row>
    <row r="570" spans="5:5">
      <c r="E570" s="124"/>
    </row>
    <row r="571" spans="5:5">
      <c r="E571" s="124"/>
    </row>
    <row r="572" spans="5:5">
      <c r="E572" s="124"/>
    </row>
    <row r="573" spans="5:5">
      <c r="E573" s="124"/>
    </row>
    <row r="574" spans="5:5">
      <c r="E574" s="124"/>
    </row>
    <row r="575" spans="5:5">
      <c r="E575" s="124"/>
    </row>
    <row r="576" spans="5:5">
      <c r="E576" s="124"/>
    </row>
    <row r="577" spans="5:5">
      <c r="E577" s="124"/>
    </row>
    <row r="578" spans="5:5">
      <c r="E578" s="124"/>
    </row>
    <row r="579" spans="5:5">
      <c r="E579" s="124"/>
    </row>
    <row r="580" spans="5:5">
      <c r="E580" s="124"/>
    </row>
    <row r="581" spans="5:5">
      <c r="E581" s="124"/>
    </row>
    <row r="582" spans="5:5">
      <c r="E582" s="124"/>
    </row>
    <row r="583" spans="5:5">
      <c r="E583" s="124"/>
    </row>
    <row r="584" spans="5:5">
      <c r="E584" s="124"/>
    </row>
    <row r="585" spans="5:5">
      <c r="E585" s="124"/>
    </row>
    <row r="586" spans="5:5">
      <c r="E586" s="124"/>
    </row>
    <row r="587" spans="5:5">
      <c r="E587" s="124"/>
    </row>
    <row r="588" spans="5:5">
      <c r="E588" s="124"/>
    </row>
    <row r="589" spans="5:5">
      <c r="E589" s="124"/>
    </row>
    <row r="590" spans="5:5">
      <c r="E590" s="124"/>
    </row>
    <row r="591" spans="5:5">
      <c r="E591" s="124"/>
    </row>
    <row r="592" spans="5:5">
      <c r="E592" s="124"/>
    </row>
    <row r="593" spans="5:5">
      <c r="E593" s="124"/>
    </row>
    <row r="594" spans="5:5">
      <c r="E594" s="124"/>
    </row>
    <row r="595" spans="5:5">
      <c r="E595" s="124"/>
    </row>
    <row r="596" spans="5:5">
      <c r="E596" s="124"/>
    </row>
    <row r="597" spans="5:5">
      <c r="E597" s="124"/>
    </row>
    <row r="598" spans="5:5">
      <c r="E598" s="124"/>
    </row>
    <row r="599" spans="5:5">
      <c r="E599" s="124"/>
    </row>
    <row r="600" spans="5:5">
      <c r="E600" s="124"/>
    </row>
    <row r="601" spans="5:5">
      <c r="E601" s="124"/>
    </row>
    <row r="602" spans="5:5">
      <c r="E602" s="124"/>
    </row>
    <row r="603" spans="5:5">
      <c r="E603" s="124"/>
    </row>
    <row r="604" spans="5:5">
      <c r="E604" s="124"/>
    </row>
    <row r="605" spans="5:5">
      <c r="E605" s="124"/>
    </row>
    <row r="606" spans="5:5">
      <c r="E606" s="124"/>
    </row>
    <row r="607" spans="5:5">
      <c r="E607" s="124"/>
    </row>
    <row r="608" spans="5:5">
      <c r="E608" s="124"/>
    </row>
    <row r="609" spans="5:5">
      <c r="E609" s="124"/>
    </row>
    <row r="610" spans="5:5">
      <c r="E610" s="124"/>
    </row>
    <row r="611" spans="5:5">
      <c r="E611" s="124"/>
    </row>
    <row r="612" spans="5:5">
      <c r="E612" s="124"/>
    </row>
    <row r="613" spans="5:5">
      <c r="E613" s="124"/>
    </row>
    <row r="614" spans="5:5">
      <c r="E614" s="124"/>
    </row>
    <row r="615" spans="5:5">
      <c r="E615" s="124"/>
    </row>
    <row r="616" spans="5:5">
      <c r="E616" s="124"/>
    </row>
    <row r="617" spans="5:5">
      <c r="E617" s="124"/>
    </row>
    <row r="618" spans="5:5">
      <c r="E618" s="124"/>
    </row>
    <row r="619" spans="5:5">
      <c r="E619" s="124"/>
    </row>
    <row r="620" spans="5:5">
      <c r="E620" s="124"/>
    </row>
    <row r="621" spans="5:5">
      <c r="E621" s="124"/>
    </row>
    <row r="622" spans="5:5">
      <c r="E622" s="124"/>
    </row>
    <row r="623" spans="5:5">
      <c r="E623" s="124"/>
    </row>
    <row r="624" spans="5:5">
      <c r="E624" s="124"/>
    </row>
    <row r="625" spans="5:5">
      <c r="E625" s="124"/>
    </row>
    <row r="626" spans="5:5">
      <c r="E626" s="124"/>
    </row>
    <row r="627" spans="5:5">
      <c r="E627" s="124"/>
    </row>
    <row r="628" spans="5:5">
      <c r="E628" s="124"/>
    </row>
    <row r="629" spans="5:5">
      <c r="E629" s="124"/>
    </row>
    <row r="630" spans="5:5">
      <c r="E630" s="124"/>
    </row>
    <row r="631" spans="5:5">
      <c r="E631" s="124"/>
    </row>
    <row r="632" spans="5:5">
      <c r="E632" s="124"/>
    </row>
    <row r="633" spans="5:5">
      <c r="E633" s="124"/>
    </row>
    <row r="634" spans="5:5">
      <c r="E634" s="124"/>
    </row>
    <row r="635" spans="5:5">
      <c r="E635" s="124"/>
    </row>
    <row r="636" spans="5:5">
      <c r="E636" s="124"/>
    </row>
    <row r="637" spans="5:5">
      <c r="E637" s="124"/>
    </row>
    <row r="638" spans="5:5">
      <c r="E638" s="124"/>
    </row>
    <row r="639" spans="5:5">
      <c r="E639" s="124"/>
    </row>
    <row r="640" spans="5:5">
      <c r="E640" s="124"/>
    </row>
    <row r="641" spans="5:5">
      <c r="E641" s="124"/>
    </row>
    <row r="642" spans="5:5">
      <c r="E642" s="124"/>
    </row>
    <row r="643" spans="5:5">
      <c r="E643" s="124"/>
    </row>
    <row r="644" spans="5:5">
      <c r="E644" s="124"/>
    </row>
    <row r="645" spans="5:5">
      <c r="E645" s="124"/>
    </row>
    <row r="646" spans="5:5">
      <c r="E646" s="124"/>
    </row>
    <row r="647" spans="5:5">
      <c r="E647" s="124"/>
    </row>
    <row r="648" spans="5:5">
      <c r="E648" s="124"/>
    </row>
    <row r="649" spans="5:5">
      <c r="E649" s="124"/>
    </row>
    <row r="650" spans="5:5">
      <c r="E650" s="124"/>
    </row>
    <row r="651" spans="5:5">
      <c r="E651" s="124"/>
    </row>
    <row r="652" spans="5:5">
      <c r="E652" s="124"/>
    </row>
    <row r="653" spans="5:5">
      <c r="E653" s="124"/>
    </row>
    <row r="654" spans="5:5">
      <c r="E654" s="124"/>
    </row>
    <row r="655" spans="5:5">
      <c r="E655" s="124"/>
    </row>
    <row r="656" spans="5:5">
      <c r="E656" s="124"/>
    </row>
    <row r="657" spans="5:5">
      <c r="E657" s="124"/>
    </row>
    <row r="658" spans="5:5">
      <c r="E658" s="124"/>
    </row>
    <row r="659" spans="5:5">
      <c r="E659" s="124"/>
    </row>
    <row r="660" spans="5:5">
      <c r="E660" s="124"/>
    </row>
    <row r="661" spans="5:5">
      <c r="E661" s="124"/>
    </row>
    <row r="662" spans="5:5">
      <c r="E662" s="124"/>
    </row>
    <row r="663" spans="5:5">
      <c r="E663" s="124"/>
    </row>
    <row r="664" spans="5:5">
      <c r="E664" s="124"/>
    </row>
    <row r="665" spans="5:5">
      <c r="E665" s="124"/>
    </row>
    <row r="666" spans="5:5">
      <c r="E666" s="124"/>
    </row>
    <row r="667" spans="5:5">
      <c r="E667" s="124"/>
    </row>
    <row r="668" spans="5:5">
      <c r="E668" s="124"/>
    </row>
    <row r="669" spans="5:5">
      <c r="E669" s="124"/>
    </row>
    <row r="670" spans="5:5">
      <c r="E670" s="124"/>
    </row>
    <row r="671" spans="5:5">
      <c r="E671" s="124"/>
    </row>
    <row r="672" spans="5:5">
      <c r="E672" s="124"/>
    </row>
    <row r="673" spans="5:5">
      <c r="E673" s="124"/>
    </row>
    <row r="674" spans="5:5">
      <c r="E674" s="124"/>
    </row>
    <row r="675" spans="5:5">
      <c r="E675" s="124"/>
    </row>
    <row r="676" spans="5:5">
      <c r="E676" s="124"/>
    </row>
    <row r="677" spans="5:5">
      <c r="E677" s="124"/>
    </row>
    <row r="678" spans="5:5">
      <c r="E678" s="124"/>
    </row>
    <row r="679" spans="5:5">
      <c r="E679" s="124"/>
    </row>
    <row r="680" spans="5:5">
      <c r="E680" s="124"/>
    </row>
    <row r="681" spans="5:5">
      <c r="E681" s="124"/>
    </row>
    <row r="682" spans="5:5">
      <c r="E682" s="124"/>
    </row>
    <row r="683" spans="5:5">
      <c r="E683" s="124"/>
    </row>
    <row r="684" spans="5:5">
      <c r="E684" s="124"/>
    </row>
    <row r="685" spans="5:5">
      <c r="E685" s="124"/>
    </row>
    <row r="686" spans="5:5">
      <c r="E686" s="124"/>
    </row>
    <row r="687" spans="5:5">
      <c r="E687" s="124"/>
    </row>
    <row r="688" spans="5:5">
      <c r="E688" s="124"/>
    </row>
    <row r="689" spans="5:5">
      <c r="E689" s="124"/>
    </row>
    <row r="690" spans="5:5">
      <c r="E690" s="124"/>
    </row>
    <row r="691" spans="5:5">
      <c r="E691" s="124"/>
    </row>
    <row r="692" spans="5:5">
      <c r="E692" s="124"/>
    </row>
    <row r="693" spans="5:5">
      <c r="E693" s="124"/>
    </row>
    <row r="694" spans="5:5">
      <c r="E694" s="124"/>
    </row>
    <row r="695" spans="5:5">
      <c r="E695" s="124"/>
    </row>
    <row r="696" spans="5:5">
      <c r="E696" s="124"/>
    </row>
    <row r="697" spans="5:5">
      <c r="E697" s="124"/>
    </row>
    <row r="698" spans="5:5">
      <c r="E698" s="124"/>
    </row>
    <row r="699" spans="5:5">
      <c r="E699" s="124"/>
    </row>
    <row r="700" spans="5:5">
      <c r="E700" s="124"/>
    </row>
    <row r="701" spans="5:5">
      <c r="E701" s="124"/>
    </row>
    <row r="702" spans="5:5">
      <c r="E702" s="124"/>
    </row>
    <row r="703" spans="5:5">
      <c r="E703" s="124"/>
    </row>
    <row r="704" spans="5:5">
      <c r="E704" s="124"/>
    </row>
    <row r="705" spans="5:5">
      <c r="E705" s="124"/>
    </row>
    <row r="706" spans="5:5">
      <c r="E706" s="124"/>
    </row>
    <row r="707" spans="5:5">
      <c r="E707" s="124"/>
    </row>
    <row r="708" spans="5:5">
      <c r="E708" s="124"/>
    </row>
    <row r="709" spans="5:5">
      <c r="E709" s="124"/>
    </row>
    <row r="710" spans="5:5">
      <c r="E710" s="124"/>
    </row>
    <row r="711" spans="5:5">
      <c r="E711" s="124"/>
    </row>
    <row r="712" spans="5:5">
      <c r="E712" s="124"/>
    </row>
    <row r="713" spans="5:5">
      <c r="E713" s="124"/>
    </row>
    <row r="714" spans="5:5">
      <c r="E714" s="124"/>
    </row>
    <row r="715" spans="5:5">
      <c r="E715" s="124"/>
    </row>
    <row r="716" spans="5:5">
      <c r="E716" s="124"/>
    </row>
    <row r="717" spans="5:5">
      <c r="E717" s="124"/>
    </row>
    <row r="718" spans="5:5">
      <c r="E718" s="124"/>
    </row>
    <row r="719" spans="5:5">
      <c r="E719" s="124"/>
    </row>
    <row r="720" spans="5:5">
      <c r="E720" s="124"/>
    </row>
    <row r="721" spans="5:5">
      <c r="E721" s="124"/>
    </row>
    <row r="722" spans="5:5">
      <c r="E722" s="124"/>
    </row>
    <row r="723" spans="5:5">
      <c r="E723" s="124"/>
    </row>
    <row r="724" spans="5:5">
      <c r="E724" s="124"/>
    </row>
    <row r="725" spans="5:5">
      <c r="E725" s="124"/>
    </row>
    <row r="726" spans="5:5">
      <c r="E726" s="124"/>
    </row>
    <row r="727" spans="5:5">
      <c r="E727" s="124"/>
    </row>
    <row r="728" spans="5:5">
      <c r="E728" s="124"/>
    </row>
    <row r="729" spans="5:5">
      <c r="E729" s="124"/>
    </row>
    <row r="730" spans="5:5">
      <c r="E730" s="124"/>
    </row>
    <row r="731" spans="5:5">
      <c r="E731" s="124"/>
    </row>
    <row r="732" spans="5:5">
      <c r="E732" s="124"/>
    </row>
    <row r="733" spans="5:5">
      <c r="E733" s="124"/>
    </row>
    <row r="734" spans="5:5">
      <c r="E734" s="124"/>
    </row>
    <row r="735" spans="5:5">
      <c r="E735" s="124"/>
    </row>
    <row r="736" spans="5:5">
      <c r="E736" s="124"/>
    </row>
    <row r="737" spans="5:5">
      <c r="E737" s="124"/>
    </row>
    <row r="738" spans="5:5">
      <c r="E738" s="124"/>
    </row>
    <row r="739" spans="5:5">
      <c r="E739" s="124"/>
    </row>
    <row r="740" spans="5:5">
      <c r="E740" s="124"/>
    </row>
    <row r="741" spans="5:5">
      <c r="E741" s="124"/>
    </row>
    <row r="742" spans="5:5">
      <c r="E742" s="124"/>
    </row>
    <row r="743" spans="5:5">
      <c r="E743" s="124"/>
    </row>
    <row r="744" spans="5:5">
      <c r="E744" s="124"/>
    </row>
    <row r="745" spans="5:5">
      <c r="E745" s="124"/>
    </row>
    <row r="746" spans="5:5">
      <c r="E746" s="124"/>
    </row>
    <row r="747" spans="5:5">
      <c r="E747" s="124"/>
    </row>
    <row r="748" spans="5:5">
      <c r="E748" s="124"/>
    </row>
    <row r="749" spans="5:5">
      <c r="E749" s="124"/>
    </row>
    <row r="750" spans="5:5">
      <c r="E750" s="124"/>
    </row>
    <row r="751" spans="5:5">
      <c r="E751" s="124"/>
    </row>
    <row r="752" spans="5:5">
      <c r="E752" s="124"/>
    </row>
    <row r="753" spans="5:5">
      <c r="E753" s="124"/>
    </row>
    <row r="754" spans="5:5">
      <c r="E754" s="124"/>
    </row>
    <row r="755" spans="5:5">
      <c r="E755" s="124"/>
    </row>
    <row r="756" spans="5:5">
      <c r="E756" s="124"/>
    </row>
    <row r="757" spans="5:5">
      <c r="E757" s="124"/>
    </row>
    <row r="758" spans="5:5">
      <c r="E758" s="124"/>
    </row>
    <row r="759" spans="5:5">
      <c r="E759" s="124"/>
    </row>
    <row r="760" spans="5:5">
      <c r="E760" s="124"/>
    </row>
    <row r="761" spans="5:5">
      <c r="E761" s="124"/>
    </row>
    <row r="762" spans="5:5">
      <c r="E762" s="124"/>
    </row>
    <row r="763" spans="5:5">
      <c r="E763" s="124"/>
    </row>
    <row r="764" spans="5:5">
      <c r="E764" s="124"/>
    </row>
    <row r="765" spans="5:5">
      <c r="E765" s="124"/>
    </row>
    <row r="766" spans="5:5">
      <c r="E766" s="124"/>
    </row>
    <row r="767" spans="5:5">
      <c r="E767" s="124"/>
    </row>
    <row r="768" spans="5:5">
      <c r="E768" s="124"/>
    </row>
    <row r="769" spans="5:5">
      <c r="E769" s="124"/>
    </row>
    <row r="770" spans="5:5">
      <c r="E770" s="124"/>
    </row>
    <row r="771" spans="5:5">
      <c r="E771" s="124"/>
    </row>
    <row r="772" spans="5:5">
      <c r="E772" s="124"/>
    </row>
    <row r="773" spans="5:5">
      <c r="E773" s="124"/>
    </row>
    <row r="774" spans="5:5">
      <c r="E774" s="124"/>
    </row>
    <row r="775" spans="5:5">
      <c r="E775" s="124"/>
    </row>
    <row r="776" spans="5:5">
      <c r="E776" s="124"/>
    </row>
    <row r="777" spans="5:5">
      <c r="E777" s="124"/>
    </row>
    <row r="778" spans="5:5">
      <c r="E778" s="124"/>
    </row>
    <row r="779" spans="5:5">
      <c r="E779" s="124"/>
    </row>
    <row r="780" spans="5:5">
      <c r="E780" s="124"/>
    </row>
    <row r="781" spans="5:5">
      <c r="E781" s="124"/>
    </row>
    <row r="782" spans="5:5">
      <c r="E782" s="124"/>
    </row>
    <row r="783" spans="5:5">
      <c r="E783" s="124"/>
    </row>
    <row r="784" spans="5:5">
      <c r="E784" s="124"/>
    </row>
    <row r="785" spans="5:5">
      <c r="E785" s="124"/>
    </row>
    <row r="786" spans="5:5">
      <c r="E786" s="124"/>
    </row>
    <row r="787" spans="5:5">
      <c r="E787" s="124"/>
    </row>
    <row r="788" spans="5:5">
      <c r="E788" s="124"/>
    </row>
    <row r="789" spans="5:5">
      <c r="E789" s="124"/>
    </row>
    <row r="790" spans="5:5">
      <c r="E790" s="124"/>
    </row>
    <row r="791" spans="5:5">
      <c r="E791" s="124"/>
    </row>
    <row r="792" spans="5:5">
      <c r="E792" s="124"/>
    </row>
    <row r="793" spans="5:5">
      <c r="E793" s="124"/>
    </row>
    <row r="794" spans="5:5">
      <c r="E794" s="124"/>
    </row>
    <row r="795" spans="5:5">
      <c r="E795" s="124"/>
    </row>
    <row r="796" spans="5:5">
      <c r="E796" s="124"/>
    </row>
    <row r="797" spans="5:5">
      <c r="E797" s="124"/>
    </row>
    <row r="798" spans="5:5">
      <c r="E798" s="124"/>
    </row>
    <row r="799" spans="5:5">
      <c r="E799" s="124"/>
    </row>
    <row r="800" spans="5:5">
      <c r="E800" s="124"/>
    </row>
    <row r="801" spans="5:5">
      <c r="E801" s="124"/>
    </row>
    <row r="802" spans="5:5">
      <c r="E802" s="124"/>
    </row>
    <row r="803" spans="5:5">
      <c r="E803" s="124"/>
    </row>
    <row r="804" spans="5:5">
      <c r="E804" s="124"/>
    </row>
    <row r="805" spans="5:5">
      <c r="E805" s="124"/>
    </row>
    <row r="806" spans="5:5">
      <c r="E806" s="124"/>
    </row>
    <row r="807" spans="5:5">
      <c r="E807" s="124"/>
    </row>
    <row r="808" spans="5:5">
      <c r="E808" s="124"/>
    </row>
    <row r="809" spans="5:5">
      <c r="E809" s="124"/>
    </row>
    <row r="810" spans="5:5">
      <c r="E810" s="124"/>
    </row>
    <row r="811" spans="5:5">
      <c r="E811" s="124"/>
    </row>
    <row r="812" spans="5:5">
      <c r="E812" s="124"/>
    </row>
    <row r="813" spans="5:5">
      <c r="E813" s="124"/>
    </row>
    <row r="814" spans="5:5">
      <c r="E814" s="124"/>
    </row>
    <row r="815" spans="5:5">
      <c r="E815" s="124"/>
    </row>
    <row r="816" spans="5:5">
      <c r="E816" s="124"/>
    </row>
    <row r="817" spans="5:5">
      <c r="E817" s="124"/>
    </row>
    <row r="818" spans="5:5">
      <c r="E818" s="124"/>
    </row>
    <row r="819" spans="5:5">
      <c r="E819" s="124"/>
    </row>
    <row r="820" spans="5:5">
      <c r="E820" s="124"/>
    </row>
    <row r="821" spans="5:5">
      <c r="E821" s="124"/>
    </row>
    <row r="822" spans="5:5">
      <c r="E822" s="124"/>
    </row>
    <row r="823" spans="5:5">
      <c r="E823" s="124"/>
    </row>
    <row r="824" spans="5:5">
      <c r="E824" s="124"/>
    </row>
    <row r="825" spans="5:5">
      <c r="E825" s="124"/>
    </row>
    <row r="826" spans="5:5">
      <c r="E826" s="124"/>
    </row>
    <row r="827" spans="5:5">
      <c r="E827" s="124"/>
    </row>
    <row r="828" spans="5:5">
      <c r="E828" s="124"/>
    </row>
    <row r="829" spans="5:5">
      <c r="E829" s="124"/>
    </row>
    <row r="830" spans="5:5">
      <c r="E830" s="124"/>
    </row>
    <row r="831" spans="5:5">
      <c r="E831" s="124"/>
    </row>
    <row r="832" spans="5:5">
      <c r="E832" s="124"/>
    </row>
    <row r="833" spans="5:5">
      <c r="E833" s="124"/>
    </row>
    <row r="834" spans="5:5">
      <c r="E834" s="124"/>
    </row>
    <row r="835" spans="5:5">
      <c r="E835" s="124"/>
    </row>
    <row r="836" spans="5:5">
      <c r="E836" s="124"/>
    </row>
    <row r="837" spans="5:5">
      <c r="E837" s="124"/>
    </row>
    <row r="838" spans="5:5">
      <c r="E838" s="124"/>
    </row>
    <row r="839" spans="5:5">
      <c r="E839" s="124"/>
    </row>
    <row r="840" spans="5:5">
      <c r="E840" s="124"/>
    </row>
    <row r="841" spans="5:5">
      <c r="E841" s="124"/>
    </row>
    <row r="842" spans="5:5">
      <c r="E842" s="124"/>
    </row>
    <row r="843" spans="5:5">
      <c r="E843" s="124"/>
    </row>
    <row r="844" spans="5:5">
      <c r="E844" s="124"/>
    </row>
    <row r="845" spans="5:5">
      <c r="E845" s="124"/>
    </row>
    <row r="846" spans="5:5">
      <c r="E846" s="124"/>
    </row>
    <row r="847" spans="5:5">
      <c r="E847" s="124"/>
    </row>
    <row r="848" spans="5:5">
      <c r="E848" s="124"/>
    </row>
    <row r="849" spans="5:5">
      <c r="E849" s="124"/>
    </row>
    <row r="850" spans="5:5">
      <c r="E850" s="124"/>
    </row>
    <row r="851" spans="5:5">
      <c r="E851" s="124"/>
    </row>
    <row r="852" spans="5:5">
      <c r="E852" s="124"/>
    </row>
    <row r="853" spans="5:5">
      <c r="E853" s="124"/>
    </row>
    <row r="854" spans="5:5">
      <c r="E854" s="124"/>
    </row>
    <row r="855" spans="5:5">
      <c r="E855" s="124"/>
    </row>
    <row r="856" spans="5:5">
      <c r="E856" s="124"/>
    </row>
    <row r="857" spans="5:5">
      <c r="E857" s="124"/>
    </row>
    <row r="858" spans="5:5">
      <c r="E858" s="124"/>
    </row>
    <row r="859" spans="5:5">
      <c r="E859" s="124"/>
    </row>
    <row r="860" spans="5:5">
      <c r="E860" s="124"/>
    </row>
    <row r="861" spans="5:5">
      <c r="E861" s="124"/>
    </row>
    <row r="862" spans="5:5">
      <c r="E862" s="124"/>
    </row>
    <row r="863" spans="5:5">
      <c r="E863" s="124"/>
    </row>
    <row r="864" spans="5:5">
      <c r="E864" s="124"/>
    </row>
    <row r="865" spans="5:5">
      <c r="E865" s="124"/>
    </row>
    <row r="866" spans="5:5">
      <c r="E866" s="124"/>
    </row>
    <row r="867" spans="5:5">
      <c r="E867" s="124"/>
    </row>
    <row r="868" spans="5:5">
      <c r="E868" s="124"/>
    </row>
    <row r="869" spans="5:5">
      <c r="E869" s="124"/>
    </row>
    <row r="870" spans="5:5">
      <c r="E870" s="124"/>
    </row>
    <row r="871" spans="5:5">
      <c r="E871" s="124"/>
    </row>
    <row r="872" spans="5:5">
      <c r="E872" s="124"/>
    </row>
    <row r="873" spans="5:5">
      <c r="E873" s="124"/>
    </row>
    <row r="874" spans="5:5">
      <c r="E874" s="124"/>
    </row>
    <row r="875" spans="5:5">
      <c r="E875" s="124"/>
    </row>
    <row r="876" spans="5:5">
      <c r="E876" s="124"/>
    </row>
    <row r="877" spans="5:5">
      <c r="E877" s="124"/>
    </row>
    <row r="878" spans="5:5">
      <c r="E878" s="124"/>
    </row>
    <row r="879" spans="5:5">
      <c r="E879" s="124"/>
    </row>
    <row r="880" spans="5:5">
      <c r="E880" s="124"/>
    </row>
    <row r="881" spans="5:5">
      <c r="E881" s="124"/>
    </row>
    <row r="882" spans="5:5">
      <c r="E882" s="124"/>
    </row>
    <row r="883" spans="5:5">
      <c r="E883" s="124"/>
    </row>
    <row r="884" spans="5:5">
      <c r="E884" s="124"/>
    </row>
    <row r="885" spans="5:5">
      <c r="E885" s="124"/>
    </row>
    <row r="886" spans="5:5">
      <c r="E886" s="124"/>
    </row>
    <row r="887" spans="5:5">
      <c r="E887" s="124"/>
    </row>
    <row r="888" spans="5:5">
      <c r="E888" s="124"/>
    </row>
    <row r="889" spans="5:5">
      <c r="E889" s="124"/>
    </row>
    <row r="890" spans="5:5">
      <c r="E890" s="124"/>
    </row>
    <row r="891" spans="5:5">
      <c r="E891" s="124"/>
    </row>
    <row r="892" spans="5:5">
      <c r="E892" s="124"/>
    </row>
    <row r="893" spans="5:5">
      <c r="E893" s="124"/>
    </row>
    <row r="894" spans="5:5">
      <c r="E894" s="124"/>
    </row>
    <row r="895" spans="5:5">
      <c r="E895" s="124"/>
    </row>
    <row r="896" spans="5:5">
      <c r="E896" s="124"/>
    </row>
    <row r="897" spans="5:5">
      <c r="E897" s="124"/>
    </row>
    <row r="898" spans="5:5">
      <c r="E898" s="124"/>
    </row>
    <row r="899" spans="5:5">
      <c r="E899" s="124"/>
    </row>
    <row r="900" spans="5:5">
      <c r="E900" s="124"/>
    </row>
    <row r="901" spans="5:5">
      <c r="E901" s="124"/>
    </row>
    <row r="902" spans="5:5">
      <c r="E902" s="124"/>
    </row>
    <row r="903" spans="5:5">
      <c r="E903" s="124"/>
    </row>
    <row r="904" spans="5:5">
      <c r="E904" s="124"/>
    </row>
    <row r="905" spans="5:5">
      <c r="E905" s="124"/>
    </row>
    <row r="906" spans="5:5">
      <c r="E906" s="124"/>
    </row>
    <row r="907" spans="5:5">
      <c r="E907" s="124"/>
    </row>
    <row r="908" spans="5:5">
      <c r="E908" s="124"/>
    </row>
    <row r="909" spans="5:5">
      <c r="E909" s="124"/>
    </row>
    <row r="910" spans="5:5">
      <c r="E910" s="124"/>
    </row>
    <row r="911" spans="5:5">
      <c r="E911" s="124"/>
    </row>
    <row r="912" spans="5:5">
      <c r="E912" s="124"/>
    </row>
    <row r="913" spans="5:5">
      <c r="E913" s="124"/>
    </row>
    <row r="914" spans="5:5">
      <c r="E914" s="124"/>
    </row>
    <row r="915" spans="5:5">
      <c r="E915" s="124"/>
    </row>
    <row r="916" spans="5:5">
      <c r="E916" s="124"/>
    </row>
    <row r="917" spans="5:5">
      <c r="E917" s="124"/>
    </row>
    <row r="918" spans="5:5">
      <c r="E918" s="124"/>
    </row>
    <row r="919" spans="5:5">
      <c r="E919" s="124"/>
    </row>
    <row r="920" spans="5:5">
      <c r="E920" s="124"/>
    </row>
    <row r="921" spans="5:5">
      <c r="E921" s="124"/>
    </row>
    <row r="922" spans="5:5">
      <c r="E922" s="124"/>
    </row>
    <row r="923" spans="5:5">
      <c r="E923" s="124"/>
    </row>
    <row r="924" spans="5:5">
      <c r="E924" s="124"/>
    </row>
    <row r="925" spans="5:5">
      <c r="E925" s="124"/>
    </row>
    <row r="926" spans="5:5">
      <c r="E926" s="124"/>
    </row>
    <row r="927" spans="5:5">
      <c r="E927" s="124"/>
    </row>
    <row r="928" spans="5:5">
      <c r="E928" s="124"/>
    </row>
    <row r="929" spans="5:5">
      <c r="E929" s="124"/>
    </row>
    <row r="930" spans="5:5">
      <c r="E930" s="124"/>
    </row>
    <row r="931" spans="5:5">
      <c r="E931" s="124"/>
    </row>
    <row r="932" spans="5:5">
      <c r="E932" s="124"/>
    </row>
    <row r="933" spans="5:5">
      <c r="E933" s="124"/>
    </row>
    <row r="934" spans="5:5">
      <c r="E934" s="124"/>
    </row>
    <row r="935" spans="5:5">
      <c r="E935" s="124"/>
    </row>
    <row r="936" spans="5:5">
      <c r="E936" s="124"/>
    </row>
    <row r="937" spans="5:5">
      <c r="E937" s="124"/>
    </row>
    <row r="938" spans="5:5">
      <c r="E938" s="124"/>
    </row>
    <row r="939" spans="5:5">
      <c r="E939" s="124"/>
    </row>
    <row r="940" spans="5:5">
      <c r="E940" s="124"/>
    </row>
    <row r="941" spans="5:5">
      <c r="E941" s="124"/>
    </row>
    <row r="942" spans="5:5">
      <c r="E942" s="124"/>
    </row>
    <row r="943" spans="5:5">
      <c r="E943" s="124"/>
    </row>
    <row r="944" spans="5:5">
      <c r="E944" s="124"/>
    </row>
    <row r="945" spans="5:5">
      <c r="E945" s="124"/>
    </row>
    <row r="946" spans="5:5">
      <c r="E946" s="124"/>
    </row>
    <row r="947" spans="5:5">
      <c r="E947" s="124"/>
    </row>
    <row r="948" spans="5:5">
      <c r="E948" s="124"/>
    </row>
    <row r="949" spans="5:5">
      <c r="E949" s="124"/>
    </row>
    <row r="950" spans="5:5">
      <c r="E950" s="124"/>
    </row>
    <row r="951" spans="5:5">
      <c r="E951" s="124"/>
    </row>
    <row r="952" spans="5:5">
      <c r="E952" s="124"/>
    </row>
    <row r="953" spans="5:5">
      <c r="E953" s="124"/>
    </row>
    <row r="954" spans="5:5">
      <c r="E954" s="124"/>
    </row>
    <row r="955" spans="5:5">
      <c r="E955" s="124"/>
    </row>
    <row r="956" spans="5:5">
      <c r="E956" s="124"/>
    </row>
    <row r="957" spans="5:5">
      <c r="E957" s="124"/>
    </row>
    <row r="958" spans="5:5">
      <c r="E958" s="124"/>
    </row>
    <row r="959" spans="5:5">
      <c r="E959" s="124"/>
    </row>
    <row r="960" spans="5:5">
      <c r="E960" s="124"/>
    </row>
    <row r="961" spans="5:5">
      <c r="E961" s="124"/>
    </row>
    <row r="962" spans="5:5">
      <c r="E962" s="124"/>
    </row>
    <row r="963" spans="5:5">
      <c r="E963" s="124"/>
    </row>
    <row r="964" spans="5:5">
      <c r="E964" s="124"/>
    </row>
    <row r="965" spans="5:5">
      <c r="E965" s="124"/>
    </row>
    <row r="966" spans="5:5">
      <c r="E966" s="124"/>
    </row>
    <row r="967" spans="5:5">
      <c r="E967" s="124"/>
    </row>
    <row r="968" spans="5:5">
      <c r="E968" s="124"/>
    </row>
    <row r="969" spans="5:5">
      <c r="E969" s="124"/>
    </row>
    <row r="970" spans="5:5">
      <c r="E970" s="124"/>
    </row>
    <row r="971" spans="5:5">
      <c r="E971" s="124"/>
    </row>
    <row r="972" spans="5:5">
      <c r="E972" s="124"/>
    </row>
    <row r="973" spans="5:5">
      <c r="E973" s="124"/>
    </row>
    <row r="974" spans="5:5">
      <c r="E974" s="124"/>
    </row>
    <row r="975" spans="5:5">
      <c r="E975" s="124"/>
    </row>
    <row r="976" spans="5:5">
      <c r="E976" s="124"/>
    </row>
    <row r="977" spans="5:5">
      <c r="E977" s="124"/>
    </row>
    <row r="978" spans="5:5">
      <c r="E978" s="124"/>
    </row>
    <row r="979" spans="5:5">
      <c r="E979" s="124"/>
    </row>
    <row r="980" spans="5:5">
      <c r="E980" s="124"/>
    </row>
    <row r="981" spans="5:5">
      <c r="E981" s="124"/>
    </row>
    <row r="982" spans="5:5">
      <c r="E982" s="124"/>
    </row>
    <row r="983" spans="5:5">
      <c r="E983" s="124"/>
    </row>
    <row r="984" spans="5:5">
      <c r="E984" s="124"/>
    </row>
    <row r="985" spans="5:5">
      <c r="E985" s="124"/>
    </row>
    <row r="986" spans="5:5">
      <c r="E986" s="124"/>
    </row>
    <row r="987" spans="5:5">
      <c r="E987" s="124"/>
    </row>
    <row r="988" spans="5:5">
      <c r="E988" s="124"/>
    </row>
    <row r="989" spans="5:5">
      <c r="E989" s="124"/>
    </row>
    <row r="990" spans="5:5">
      <c r="E990" s="124"/>
    </row>
    <row r="991" spans="5:5">
      <c r="E991" s="124"/>
    </row>
    <row r="992" spans="5:5">
      <c r="E992" s="124"/>
    </row>
    <row r="993" spans="5:5">
      <c r="E993" s="124"/>
    </row>
    <row r="994" spans="5:5">
      <c r="E994" s="124"/>
    </row>
    <row r="995" spans="5:5">
      <c r="E995" s="124"/>
    </row>
    <row r="996" spans="5:5">
      <c r="E996" s="124"/>
    </row>
    <row r="997" spans="5:5">
      <c r="E997" s="124"/>
    </row>
    <row r="998" spans="5:5">
      <c r="E998" s="124"/>
    </row>
    <row r="999" spans="5:5">
      <c r="E999" s="124"/>
    </row>
    <row r="1000" spans="5:5">
      <c r="E1000" s="124"/>
    </row>
    <row r="1001" spans="5:5">
      <c r="E1001" s="124"/>
    </row>
    <row r="1002" spans="5:5">
      <c r="E1002" s="124"/>
    </row>
    <row r="1003" spans="5:5">
      <c r="E1003" s="124"/>
    </row>
    <row r="1004" spans="5:5">
      <c r="E1004" s="124"/>
    </row>
    <row r="1005" spans="5:5">
      <c r="E1005" s="124"/>
    </row>
    <row r="1006" spans="5:5">
      <c r="E1006" s="124"/>
    </row>
    <row r="1007" spans="5:5">
      <c r="E1007" s="124"/>
    </row>
    <row r="1008" spans="5:5">
      <c r="E1008" s="124"/>
    </row>
    <row r="1009" spans="5:5">
      <c r="E1009" s="124"/>
    </row>
    <row r="1010" spans="5:5">
      <c r="E1010" s="124"/>
    </row>
    <row r="1011" spans="5:5">
      <c r="E1011" s="124"/>
    </row>
    <row r="1012" spans="5:5">
      <c r="E1012" s="124"/>
    </row>
    <row r="1013" spans="5:5">
      <c r="E1013" s="124"/>
    </row>
    <row r="1014" spans="5:5">
      <c r="E1014" s="124"/>
    </row>
    <row r="1015" spans="5:5">
      <c r="E1015" s="124"/>
    </row>
    <row r="1016" spans="5:5">
      <c r="E1016" s="124"/>
    </row>
    <row r="1017" spans="5:5">
      <c r="E1017" s="124"/>
    </row>
    <row r="1018" spans="5:5">
      <c r="E1018" s="124"/>
    </row>
    <row r="1019" spans="5:5">
      <c r="E1019" s="124"/>
    </row>
    <row r="1020" spans="5:5">
      <c r="E1020" s="124"/>
    </row>
    <row r="1021" spans="5:5">
      <c r="E1021" s="124"/>
    </row>
    <row r="1022" spans="5:5">
      <c r="E1022" s="124"/>
    </row>
    <row r="1023" spans="5:5">
      <c r="E1023" s="124"/>
    </row>
    <row r="1024" spans="5:5">
      <c r="E1024" s="124"/>
    </row>
    <row r="1025" spans="5:5">
      <c r="E1025" s="124"/>
    </row>
    <row r="1026" spans="5:5">
      <c r="E1026" s="124"/>
    </row>
    <row r="1027" spans="5:5">
      <c r="E1027" s="124"/>
    </row>
    <row r="1028" spans="5:5">
      <c r="E1028" s="124"/>
    </row>
    <row r="1029" spans="5:5">
      <c r="E1029" s="124"/>
    </row>
    <row r="1030" spans="5:5">
      <c r="E1030" s="124"/>
    </row>
    <row r="1031" spans="5:5">
      <c r="E1031" s="124"/>
    </row>
    <row r="1032" spans="5:5">
      <c r="E1032" s="124"/>
    </row>
    <row r="1033" spans="5:5">
      <c r="E1033" s="124"/>
    </row>
    <row r="1034" spans="5:5">
      <c r="E1034" s="124"/>
    </row>
    <row r="1035" spans="5:5">
      <c r="E1035" s="124"/>
    </row>
    <row r="1036" spans="5:5">
      <c r="E1036" s="124"/>
    </row>
    <row r="1037" spans="5:5">
      <c r="E1037" s="124"/>
    </row>
    <row r="1038" spans="5:5">
      <c r="E1038" s="124"/>
    </row>
    <row r="1039" spans="5:5">
      <c r="E1039" s="124"/>
    </row>
    <row r="1040" spans="5:5">
      <c r="E1040" s="124"/>
    </row>
    <row r="1041" spans="5:5">
      <c r="E1041" s="124"/>
    </row>
    <row r="1042" spans="5:5">
      <c r="E1042" s="124"/>
    </row>
    <row r="1043" spans="5:5">
      <c r="E1043" s="124"/>
    </row>
    <row r="1044" spans="5:5">
      <c r="E1044" s="124"/>
    </row>
    <row r="1045" spans="5:5">
      <c r="E1045" s="124"/>
    </row>
    <row r="1046" spans="5:5">
      <c r="E1046" s="124"/>
    </row>
    <row r="1047" spans="5:5">
      <c r="E1047" s="124"/>
    </row>
    <row r="1048" spans="5:5">
      <c r="E1048" s="124"/>
    </row>
    <row r="1049" spans="5:5">
      <c r="E1049" s="124"/>
    </row>
    <row r="1050" spans="5:5">
      <c r="E1050" s="124"/>
    </row>
    <row r="1051" spans="5:5">
      <c r="E1051" s="124"/>
    </row>
    <row r="1052" spans="5:5">
      <c r="E1052" s="124"/>
    </row>
    <row r="1053" spans="5:5">
      <c r="E1053" s="124"/>
    </row>
    <row r="1054" spans="5:5">
      <c r="E1054" s="124"/>
    </row>
    <row r="1055" spans="5:5">
      <c r="E1055" s="124"/>
    </row>
    <row r="1056" spans="5:5">
      <c r="E1056" s="124"/>
    </row>
    <row r="1057" spans="5:5">
      <c r="E1057" s="124"/>
    </row>
    <row r="1058" spans="5:5">
      <c r="E1058" s="124"/>
    </row>
    <row r="1059" spans="5:5">
      <c r="E1059" s="124"/>
    </row>
    <row r="1060" spans="5:5">
      <c r="E1060" s="124"/>
    </row>
    <row r="1061" spans="5:5">
      <c r="E1061" s="124"/>
    </row>
    <row r="1062" spans="5:5">
      <c r="E1062" s="124"/>
    </row>
    <row r="1063" spans="5:5">
      <c r="E1063" s="124"/>
    </row>
    <row r="1064" spans="5:5">
      <c r="E1064" s="124"/>
    </row>
    <row r="1065" spans="5:5">
      <c r="E1065" s="124"/>
    </row>
    <row r="1066" spans="5:5">
      <c r="E1066" s="124"/>
    </row>
    <row r="1067" spans="5:5">
      <c r="E1067" s="124"/>
    </row>
    <row r="1068" spans="5:5">
      <c r="E1068" s="124"/>
    </row>
    <row r="1069" spans="5:5">
      <c r="E1069" s="124"/>
    </row>
    <row r="1070" spans="5:5">
      <c r="E1070" s="124"/>
    </row>
    <row r="1071" spans="5:5">
      <c r="E1071" s="124"/>
    </row>
    <row r="1072" spans="5:5">
      <c r="E1072" s="124"/>
    </row>
    <row r="1073" spans="5:5">
      <c r="E1073" s="124"/>
    </row>
    <row r="1074" spans="5:5">
      <c r="E1074" s="124"/>
    </row>
    <row r="1075" spans="5:5">
      <c r="E1075" s="124"/>
    </row>
    <row r="1076" spans="5:5">
      <c r="E1076" s="124"/>
    </row>
    <row r="1077" spans="5:5">
      <c r="E1077" s="124"/>
    </row>
    <row r="1078" spans="5:5">
      <c r="E1078" s="124"/>
    </row>
    <row r="1079" spans="5:5">
      <c r="E1079" s="124"/>
    </row>
    <row r="1080" spans="5:5">
      <c r="E1080" s="124"/>
    </row>
    <row r="1081" spans="5:5">
      <c r="E1081" s="124"/>
    </row>
    <row r="1082" spans="5:5">
      <c r="E1082" s="124"/>
    </row>
    <row r="1083" spans="5:5">
      <c r="E1083" s="124"/>
    </row>
    <row r="1084" spans="5:5">
      <c r="E1084" s="124"/>
    </row>
    <row r="1085" spans="5:5">
      <c r="E1085" s="124"/>
    </row>
    <row r="1086" spans="5:5">
      <c r="E1086" s="124"/>
    </row>
    <row r="1087" spans="5:5">
      <c r="E1087" s="124"/>
    </row>
    <row r="1088" spans="5:5">
      <c r="E1088" s="124"/>
    </row>
    <row r="1089" spans="5:5">
      <c r="E1089" s="124"/>
    </row>
    <row r="1090" spans="5:5">
      <c r="E1090" s="124"/>
    </row>
    <row r="1091" spans="5:5">
      <c r="E1091" s="124"/>
    </row>
    <row r="1092" spans="5:5">
      <c r="E1092" s="124"/>
    </row>
    <row r="1093" spans="5:5">
      <c r="E1093" s="124"/>
    </row>
    <row r="1094" spans="5:5">
      <c r="E1094" s="124"/>
    </row>
    <row r="1095" spans="5:5">
      <c r="E1095" s="124"/>
    </row>
    <row r="1096" spans="5:5">
      <c r="E1096" s="124"/>
    </row>
    <row r="1097" spans="5:5">
      <c r="E1097" s="124"/>
    </row>
    <row r="1098" spans="5:5">
      <c r="E1098" s="124"/>
    </row>
    <row r="1099" spans="5:5">
      <c r="E1099" s="124"/>
    </row>
    <row r="1100" spans="5:5">
      <c r="E1100" s="124"/>
    </row>
    <row r="1101" spans="5:5">
      <c r="E1101" s="124"/>
    </row>
    <row r="1102" spans="5:5">
      <c r="E1102" s="124"/>
    </row>
    <row r="1103" spans="5:5">
      <c r="E1103" s="124"/>
    </row>
    <row r="1104" spans="5:5">
      <c r="E1104" s="124"/>
    </row>
    <row r="1105" spans="5:5">
      <c r="E1105" s="124"/>
    </row>
    <row r="1106" spans="5:5">
      <c r="E1106" s="124"/>
    </row>
    <row r="1107" spans="5:5">
      <c r="E1107" s="124"/>
    </row>
    <row r="1108" spans="5:5">
      <c r="E1108" s="124"/>
    </row>
    <row r="1109" spans="5:5">
      <c r="E1109" s="124"/>
    </row>
    <row r="1110" spans="5:5">
      <c r="E1110" s="124"/>
    </row>
    <row r="1111" spans="5:5">
      <c r="E1111" s="124"/>
    </row>
    <row r="1112" spans="5:5">
      <c r="E1112" s="124"/>
    </row>
    <row r="1113" spans="5:5">
      <c r="E1113" s="124"/>
    </row>
    <row r="1114" spans="5:5">
      <c r="E1114" s="124"/>
    </row>
    <row r="1115" spans="5:5">
      <c r="E1115" s="124"/>
    </row>
    <row r="1116" spans="5:5">
      <c r="E1116" s="124"/>
    </row>
    <row r="1117" spans="5:5">
      <c r="E1117" s="124"/>
    </row>
    <row r="1118" spans="5:5">
      <c r="E1118" s="124"/>
    </row>
    <row r="1119" spans="5:5">
      <c r="E1119" s="124"/>
    </row>
    <row r="1120" spans="5:5">
      <c r="E1120" s="124"/>
    </row>
    <row r="1121" spans="5:5">
      <c r="E1121" s="124"/>
    </row>
    <row r="1122" spans="5:5">
      <c r="E1122" s="124"/>
    </row>
    <row r="1123" spans="5:5">
      <c r="E1123" s="124"/>
    </row>
    <row r="1124" spans="5:5">
      <c r="E1124" s="124"/>
    </row>
    <row r="1125" spans="5:5">
      <c r="E1125" s="124"/>
    </row>
    <row r="1126" spans="5:5">
      <c r="E1126" s="124"/>
    </row>
    <row r="1127" spans="5:5">
      <c r="E1127" s="124"/>
    </row>
    <row r="1128" spans="5:5">
      <c r="E1128" s="124"/>
    </row>
    <row r="1129" spans="5:5">
      <c r="E1129" s="124"/>
    </row>
    <row r="1130" spans="5:5">
      <c r="E1130" s="124"/>
    </row>
    <row r="1131" spans="5:5">
      <c r="E1131" s="124"/>
    </row>
    <row r="1132" spans="5:5">
      <c r="E1132" s="124"/>
    </row>
    <row r="1133" spans="5:5">
      <c r="E1133" s="124"/>
    </row>
    <row r="1134" spans="5:5">
      <c r="E1134" s="124"/>
    </row>
    <row r="1135" spans="5:5">
      <c r="E1135" s="124"/>
    </row>
    <row r="1136" spans="5:5">
      <c r="E1136" s="124"/>
    </row>
    <row r="1137" spans="5:5">
      <c r="E1137" s="124"/>
    </row>
    <row r="1138" spans="5:5">
      <c r="E1138" s="124"/>
    </row>
    <row r="1139" spans="5:5">
      <c r="E1139" s="124"/>
    </row>
    <row r="1140" spans="5:5">
      <c r="E1140" s="124"/>
    </row>
    <row r="1141" spans="5:5">
      <c r="E1141" s="124"/>
    </row>
    <row r="1142" spans="5:5">
      <c r="E1142" s="124"/>
    </row>
    <row r="1143" spans="5:5">
      <c r="E1143" s="124"/>
    </row>
    <row r="1144" spans="5:5">
      <c r="E1144" s="124"/>
    </row>
    <row r="1145" spans="5:5">
      <c r="E1145" s="124"/>
    </row>
    <row r="1146" spans="5:5">
      <c r="E1146" s="124"/>
    </row>
    <row r="1147" spans="5:5">
      <c r="E1147" s="124"/>
    </row>
    <row r="1148" spans="5:5">
      <c r="E1148" s="124"/>
    </row>
    <row r="1149" spans="5:5">
      <c r="E1149" s="124"/>
    </row>
    <row r="1150" spans="5:5">
      <c r="E1150" s="124"/>
    </row>
    <row r="1151" spans="5:5">
      <c r="E1151" s="124"/>
    </row>
    <row r="1152" spans="5:5">
      <c r="E1152" s="124"/>
    </row>
    <row r="1153" spans="5:5">
      <c r="E1153" s="124"/>
    </row>
    <row r="1154" spans="5:5">
      <c r="E1154" s="124"/>
    </row>
    <row r="1155" spans="5:5">
      <c r="E1155" s="124"/>
    </row>
    <row r="1156" spans="5:5">
      <c r="E1156" s="124"/>
    </row>
    <row r="1157" spans="5:5">
      <c r="E1157" s="124"/>
    </row>
    <row r="1158" spans="5:5">
      <c r="E1158" s="124"/>
    </row>
    <row r="1159" spans="5:5">
      <c r="E1159" s="124"/>
    </row>
    <row r="1160" spans="5:5">
      <c r="E1160" s="124"/>
    </row>
    <row r="1161" spans="5:5">
      <c r="E1161" s="124"/>
    </row>
    <row r="1162" spans="5:5">
      <c r="E1162" s="124"/>
    </row>
    <row r="1163" spans="5:5">
      <c r="E1163" s="124"/>
    </row>
    <row r="1164" spans="5:5">
      <c r="E1164" s="124"/>
    </row>
    <row r="1165" spans="5:5">
      <c r="E1165" s="124"/>
    </row>
    <row r="1166" spans="5:5">
      <c r="E1166" s="124"/>
    </row>
    <row r="1167" spans="5:5">
      <c r="E1167" s="124"/>
    </row>
    <row r="1168" spans="5:5">
      <c r="E1168" s="124"/>
    </row>
    <row r="1169" spans="5:5">
      <c r="E1169" s="124"/>
    </row>
    <row r="1170" spans="5:5">
      <c r="E1170" s="124"/>
    </row>
    <row r="1171" spans="5:5">
      <c r="E1171" s="124"/>
    </row>
    <row r="1172" spans="5:5">
      <c r="E1172" s="124"/>
    </row>
    <row r="1173" spans="5:5">
      <c r="E1173" s="124"/>
    </row>
    <row r="1174" spans="5:5">
      <c r="E1174" s="124"/>
    </row>
    <row r="1175" spans="5:5">
      <c r="E1175" s="124"/>
    </row>
    <row r="1176" spans="5:5">
      <c r="E1176" s="124"/>
    </row>
    <row r="1177" spans="5:5">
      <c r="E1177" s="124"/>
    </row>
    <row r="1178" spans="5:5">
      <c r="E1178" s="124"/>
    </row>
    <row r="1179" spans="5:5">
      <c r="E1179" s="124"/>
    </row>
    <row r="1180" spans="5:5">
      <c r="E1180" s="124"/>
    </row>
    <row r="1181" spans="5:5">
      <c r="E1181" s="124"/>
    </row>
    <row r="1182" spans="5:5">
      <c r="E1182" s="124"/>
    </row>
    <row r="1183" spans="5:5">
      <c r="E1183" s="124"/>
    </row>
    <row r="1184" spans="5:5">
      <c r="E1184" s="124"/>
    </row>
    <row r="1185" spans="5:5">
      <c r="E1185" s="124"/>
    </row>
    <row r="1186" spans="5:5">
      <c r="E1186" s="124"/>
    </row>
    <row r="1187" spans="5:5">
      <c r="E1187" s="124"/>
    </row>
    <row r="1188" spans="5:5">
      <c r="E1188" s="124"/>
    </row>
    <row r="1189" spans="5:5">
      <c r="E1189" s="124"/>
    </row>
    <row r="1190" spans="5:5">
      <c r="E1190" s="124"/>
    </row>
    <row r="1191" spans="5:5">
      <c r="E1191" s="124"/>
    </row>
    <row r="1192" spans="5:5">
      <c r="E1192" s="124"/>
    </row>
    <row r="1193" spans="5:5">
      <c r="E1193" s="124"/>
    </row>
    <row r="1194" spans="5:5">
      <c r="E1194" s="124"/>
    </row>
    <row r="1195" spans="5:5">
      <c r="E1195" s="124"/>
    </row>
    <row r="1196" spans="5:5">
      <c r="E1196" s="124"/>
    </row>
    <row r="1197" spans="5:5">
      <c r="E1197" s="124"/>
    </row>
    <row r="1198" spans="5:5">
      <c r="E1198" s="124"/>
    </row>
    <row r="1199" spans="5:5">
      <c r="E1199" s="124"/>
    </row>
    <row r="1200" spans="5:5">
      <c r="E1200" s="124"/>
    </row>
    <row r="1201" spans="5:5">
      <c r="E1201" s="124"/>
    </row>
    <row r="1202" spans="5:5">
      <c r="E1202" s="124"/>
    </row>
    <row r="1203" spans="5:5">
      <c r="E1203" s="124"/>
    </row>
    <row r="1204" spans="5:5">
      <c r="E1204" s="124"/>
    </row>
    <row r="1205" spans="5:5">
      <c r="E1205" s="124"/>
    </row>
    <row r="1206" spans="5:5">
      <c r="E1206" s="124"/>
    </row>
    <row r="1207" spans="5:5">
      <c r="E1207" s="124"/>
    </row>
    <row r="1208" spans="5:5">
      <c r="E1208" s="124"/>
    </row>
    <row r="1209" spans="5:5">
      <c r="E1209" s="124"/>
    </row>
    <row r="1210" spans="5:5">
      <c r="E1210" s="124"/>
    </row>
    <row r="1211" spans="5:5">
      <c r="E1211" s="124"/>
    </row>
    <row r="1212" spans="5:5">
      <c r="E1212" s="124"/>
    </row>
    <row r="1213" spans="5:5">
      <c r="E1213" s="124"/>
    </row>
    <row r="1214" spans="5:5">
      <c r="E1214" s="124"/>
    </row>
    <row r="1215" spans="5:5">
      <c r="E1215" s="124"/>
    </row>
    <row r="1216" spans="5:5">
      <c r="E1216" s="124"/>
    </row>
    <row r="1217" spans="5:5">
      <c r="E1217" s="124"/>
    </row>
    <row r="1218" spans="5:5">
      <c r="E1218" s="124"/>
    </row>
    <row r="1219" spans="5:5">
      <c r="E1219" s="124"/>
    </row>
    <row r="1220" spans="5:5">
      <c r="E1220" s="124"/>
    </row>
    <row r="1221" spans="5:5">
      <c r="E1221" s="124"/>
    </row>
    <row r="1222" spans="5:5">
      <c r="E1222" s="124"/>
    </row>
    <row r="1223" spans="5:5">
      <c r="E1223" s="124"/>
    </row>
    <row r="1224" spans="5:5">
      <c r="E1224" s="124"/>
    </row>
    <row r="1225" spans="5:5">
      <c r="E1225" s="124"/>
    </row>
    <row r="1226" spans="5:5">
      <c r="E1226" s="124"/>
    </row>
    <row r="1227" spans="5:5">
      <c r="E1227" s="124"/>
    </row>
    <row r="1228" spans="5:5">
      <c r="E1228" s="124"/>
    </row>
    <row r="1229" spans="5:5">
      <c r="E1229" s="124"/>
    </row>
    <row r="1230" spans="5:5">
      <c r="E1230" s="124"/>
    </row>
    <row r="1231" spans="5:5">
      <c r="E1231" s="124"/>
    </row>
    <row r="1232" spans="5:5">
      <c r="E1232" s="124"/>
    </row>
    <row r="1233" spans="5:5">
      <c r="E1233" s="124"/>
    </row>
    <row r="1234" spans="5:5">
      <c r="E1234" s="124"/>
    </row>
    <row r="1235" spans="5:5">
      <c r="E1235" s="124"/>
    </row>
    <row r="1236" spans="5:5">
      <c r="E1236" s="124"/>
    </row>
    <row r="1237" spans="5:5">
      <c r="E1237" s="124"/>
    </row>
    <row r="1238" spans="5:5">
      <c r="E1238" s="124"/>
    </row>
    <row r="1239" spans="5:5">
      <c r="E1239" s="124"/>
    </row>
    <row r="1240" spans="5:5">
      <c r="E1240" s="124"/>
    </row>
    <row r="1241" spans="5:5">
      <c r="E1241" s="124"/>
    </row>
    <row r="1242" spans="5:5">
      <c r="E1242" s="124"/>
    </row>
    <row r="1243" spans="5:5">
      <c r="E1243" s="124"/>
    </row>
    <row r="1244" spans="5:5">
      <c r="E1244" s="124"/>
    </row>
    <row r="1245" spans="5:5">
      <c r="E1245" s="124"/>
    </row>
    <row r="1246" spans="5:5">
      <c r="E1246" s="124"/>
    </row>
    <row r="1247" spans="5:5">
      <c r="E1247" s="124"/>
    </row>
    <row r="1248" spans="5:5">
      <c r="E1248" s="124"/>
    </row>
    <row r="1249" spans="5:5">
      <c r="E1249" s="124"/>
    </row>
    <row r="1250" spans="5:5">
      <c r="E1250" s="124"/>
    </row>
    <row r="1251" spans="5:5">
      <c r="E1251" s="124"/>
    </row>
    <row r="1252" spans="5:5">
      <c r="E1252" s="124"/>
    </row>
    <row r="1253" spans="5:5">
      <c r="E1253" s="124"/>
    </row>
    <row r="1254" spans="5:5">
      <c r="E1254" s="124"/>
    </row>
    <row r="1255" spans="5:5">
      <c r="E1255" s="124"/>
    </row>
    <row r="1256" spans="5:5">
      <c r="E1256" s="124"/>
    </row>
    <row r="1257" spans="5:5">
      <c r="E1257" s="124"/>
    </row>
    <row r="1258" spans="5:5">
      <c r="E1258" s="124"/>
    </row>
    <row r="1259" spans="5:5">
      <c r="E1259" s="124"/>
    </row>
    <row r="1260" spans="5:5">
      <c r="E1260" s="124"/>
    </row>
    <row r="1261" spans="5:5">
      <c r="E1261" s="124"/>
    </row>
    <row r="1262" spans="5:5">
      <c r="E1262" s="124"/>
    </row>
    <row r="1263" spans="5:5">
      <c r="E1263" s="124"/>
    </row>
    <row r="1264" spans="5:5">
      <c r="E1264" s="124"/>
    </row>
    <row r="1265" spans="5:5">
      <c r="E1265" s="124"/>
    </row>
    <row r="1266" spans="5:5">
      <c r="E1266" s="124"/>
    </row>
    <row r="1267" spans="5:5">
      <c r="E1267" s="124"/>
    </row>
    <row r="1268" spans="5:5">
      <c r="E1268" s="124"/>
    </row>
    <row r="1269" spans="5:5">
      <c r="E1269" s="124"/>
    </row>
    <row r="1270" spans="5:5">
      <c r="E1270" s="124"/>
    </row>
    <row r="1271" spans="5:5">
      <c r="E1271" s="124"/>
    </row>
    <row r="1272" spans="5:5">
      <c r="E1272" s="124"/>
    </row>
    <row r="1273" spans="5:5">
      <c r="E1273" s="124"/>
    </row>
    <row r="1274" spans="5:5">
      <c r="E1274" s="124"/>
    </row>
    <row r="1275" spans="5:5">
      <c r="E1275" s="124"/>
    </row>
    <row r="1276" spans="5:5">
      <c r="E1276" s="124"/>
    </row>
    <row r="1277" spans="5:5">
      <c r="E1277" s="124"/>
    </row>
    <row r="1278" spans="5:5">
      <c r="E1278" s="124"/>
    </row>
    <row r="1279" spans="5:5">
      <c r="E1279" s="124"/>
    </row>
    <row r="1280" spans="5:5">
      <c r="E1280" s="124"/>
    </row>
    <row r="1281" spans="5:5">
      <c r="E1281" s="124"/>
    </row>
    <row r="1282" spans="5:5">
      <c r="E1282" s="124"/>
    </row>
    <row r="1283" spans="5:5">
      <c r="E1283" s="124"/>
    </row>
    <row r="1284" spans="5:5">
      <c r="E1284" s="124"/>
    </row>
    <row r="1285" spans="5:5">
      <c r="E1285" s="124"/>
    </row>
    <row r="1286" spans="5:5">
      <c r="E1286" s="124"/>
    </row>
    <row r="1287" spans="5:5">
      <c r="E1287" s="124"/>
    </row>
    <row r="1288" spans="5:5">
      <c r="E1288" s="124"/>
    </row>
    <row r="1289" spans="5:5">
      <c r="E1289" s="124"/>
    </row>
    <row r="1290" spans="5:5">
      <c r="E1290" s="124"/>
    </row>
    <row r="1291" spans="5:5">
      <c r="E1291" s="124"/>
    </row>
    <row r="1292" spans="5:5">
      <c r="E1292" s="124"/>
    </row>
    <row r="1293" spans="5:5">
      <c r="E1293" s="124"/>
    </row>
    <row r="1294" spans="5:5">
      <c r="E1294" s="124"/>
    </row>
    <row r="1295" spans="5:5">
      <c r="E1295" s="124"/>
    </row>
    <row r="1296" spans="5:5">
      <c r="E1296" s="124"/>
    </row>
    <row r="1297" spans="5:5">
      <c r="E1297" s="124"/>
    </row>
    <row r="1298" spans="5:5">
      <c r="E1298" s="124"/>
    </row>
    <row r="1299" spans="5:5">
      <c r="E1299" s="124"/>
    </row>
    <row r="1300" spans="5:5">
      <c r="E1300" s="124"/>
    </row>
    <row r="1301" spans="5:5">
      <c r="E1301" s="124"/>
    </row>
    <row r="1302" spans="5:5">
      <c r="E1302" s="124"/>
    </row>
    <row r="1303" spans="5:5">
      <c r="E1303" s="124"/>
    </row>
    <row r="1304" spans="5:5">
      <c r="E1304" s="124"/>
    </row>
    <row r="1305" spans="5:5">
      <c r="E1305" s="124"/>
    </row>
    <row r="1306" spans="5:5">
      <c r="E1306" s="124"/>
    </row>
    <row r="1307" spans="5:5">
      <c r="E1307" s="124"/>
    </row>
    <row r="1308" spans="5:5">
      <c r="E1308" s="124"/>
    </row>
    <row r="1309" spans="5:5">
      <c r="E1309" s="124"/>
    </row>
    <row r="1310" spans="5:5">
      <c r="E1310" s="124"/>
    </row>
    <row r="1311" spans="5:5">
      <c r="E1311" s="124"/>
    </row>
    <row r="1312" spans="5:5">
      <c r="E1312" s="124"/>
    </row>
    <row r="1313" spans="5:5">
      <c r="E1313" s="124"/>
    </row>
    <row r="1314" spans="5:5">
      <c r="E1314" s="124"/>
    </row>
    <row r="1315" spans="5:5">
      <c r="E1315" s="124"/>
    </row>
    <row r="1316" spans="5:5">
      <c r="E1316" s="124"/>
    </row>
    <row r="1317" spans="5:5">
      <c r="E1317" s="124"/>
    </row>
    <row r="1318" spans="5:5">
      <c r="E1318" s="124"/>
    </row>
    <row r="1319" spans="5:5">
      <c r="E1319" s="124"/>
    </row>
    <row r="1320" spans="5:5">
      <c r="E1320" s="124"/>
    </row>
    <row r="1321" spans="5:5">
      <c r="E1321" s="124"/>
    </row>
    <row r="1322" spans="5:5">
      <c r="E1322" s="124"/>
    </row>
    <row r="1323" spans="5:5">
      <c r="E1323" s="124"/>
    </row>
    <row r="1324" spans="5:5">
      <c r="E1324" s="124"/>
    </row>
    <row r="1325" spans="5:5">
      <c r="E1325" s="124"/>
    </row>
    <row r="1326" spans="5:5">
      <c r="E1326" s="124"/>
    </row>
    <row r="1327" spans="5:5">
      <c r="E1327" s="124"/>
    </row>
    <row r="1328" spans="5:5">
      <c r="E1328" s="124"/>
    </row>
    <row r="1329" spans="5:5">
      <c r="E1329" s="124"/>
    </row>
    <row r="1330" spans="5:5">
      <c r="E1330" s="124"/>
    </row>
    <row r="1331" spans="5:5">
      <c r="E1331" s="124"/>
    </row>
    <row r="1332" spans="5:5">
      <c r="E1332" s="124"/>
    </row>
    <row r="1333" spans="5:5">
      <c r="E1333" s="124"/>
    </row>
    <row r="1334" spans="5:5">
      <c r="E1334" s="124"/>
    </row>
    <row r="1335" spans="5:5">
      <c r="E1335" s="124"/>
    </row>
    <row r="1336" spans="5:5">
      <c r="E1336" s="124"/>
    </row>
    <row r="1337" spans="5:5">
      <c r="E1337" s="124"/>
    </row>
    <row r="1338" spans="5:5">
      <c r="E1338" s="124"/>
    </row>
    <row r="1339" spans="5:5">
      <c r="E1339" s="124"/>
    </row>
    <row r="1340" spans="5:5">
      <c r="E1340" s="124"/>
    </row>
    <row r="1341" spans="5:5">
      <c r="E1341" s="124"/>
    </row>
    <row r="1342" spans="5:5">
      <c r="E1342" s="124"/>
    </row>
    <row r="1343" spans="5:5">
      <c r="E1343" s="124"/>
    </row>
    <row r="1344" spans="5:5">
      <c r="E1344" s="124"/>
    </row>
    <row r="1345" spans="5:5">
      <c r="E1345" s="124"/>
    </row>
    <row r="1346" spans="5:5">
      <c r="E1346" s="124"/>
    </row>
    <row r="1347" spans="5:5">
      <c r="E1347" s="124"/>
    </row>
    <row r="1348" spans="5:5">
      <c r="E1348" s="124"/>
    </row>
    <row r="1349" spans="5:5">
      <c r="E1349" s="124"/>
    </row>
    <row r="1350" spans="5:5">
      <c r="E1350" s="124"/>
    </row>
    <row r="1351" spans="5:5">
      <c r="E1351" s="124"/>
    </row>
    <row r="1352" spans="5:5">
      <c r="E1352" s="124"/>
    </row>
    <row r="1353" spans="5:5">
      <c r="E1353" s="124"/>
    </row>
    <row r="1354" spans="5:5">
      <c r="E1354" s="124"/>
    </row>
    <row r="1355" spans="5:5">
      <c r="E1355" s="124"/>
    </row>
    <row r="1356" spans="5:5">
      <c r="E1356" s="124"/>
    </row>
    <row r="1357" spans="5:5">
      <c r="E1357" s="124"/>
    </row>
    <row r="1358" spans="5:5">
      <c r="E1358" s="124"/>
    </row>
    <row r="1359" spans="5:5">
      <c r="E1359" s="124"/>
    </row>
    <row r="1360" spans="5:5">
      <c r="E1360" s="124"/>
    </row>
    <row r="1361" spans="5:5">
      <c r="E1361" s="124"/>
    </row>
    <row r="1362" spans="5:5">
      <c r="E1362" s="124"/>
    </row>
    <row r="1363" spans="5:5">
      <c r="E1363" s="124"/>
    </row>
    <row r="1364" spans="5:5">
      <c r="E1364" s="124"/>
    </row>
    <row r="1365" spans="5:5">
      <c r="E1365" s="124"/>
    </row>
    <row r="1366" spans="5:5">
      <c r="E1366" s="124"/>
    </row>
    <row r="1367" spans="5:5">
      <c r="E1367" s="124"/>
    </row>
    <row r="1368" spans="5:5">
      <c r="E1368" s="124"/>
    </row>
    <row r="1369" spans="5:5">
      <c r="E1369" s="124"/>
    </row>
    <row r="1370" spans="5:5">
      <c r="E1370" s="124"/>
    </row>
    <row r="1371" spans="5:5">
      <c r="E1371" s="124"/>
    </row>
    <row r="1372" spans="5:5">
      <c r="E1372" s="124"/>
    </row>
    <row r="1373" spans="5:5">
      <c r="E1373" s="124"/>
    </row>
    <row r="1374" spans="5:5">
      <c r="E1374" s="124"/>
    </row>
    <row r="1375" spans="5:5">
      <c r="E1375" s="124"/>
    </row>
    <row r="1376" spans="5:5">
      <c r="E1376" s="124"/>
    </row>
    <row r="1377" spans="5:5">
      <c r="E1377" s="124"/>
    </row>
    <row r="1378" spans="5:5">
      <c r="E1378" s="124"/>
    </row>
    <row r="1379" spans="5:5">
      <c r="E1379" s="124"/>
    </row>
    <row r="1380" spans="5:5">
      <c r="E1380" s="124"/>
    </row>
    <row r="1381" spans="5:5">
      <c r="E1381" s="124"/>
    </row>
    <row r="1382" spans="5:5">
      <c r="E1382" s="124"/>
    </row>
    <row r="1383" spans="5:5">
      <c r="E1383" s="124"/>
    </row>
    <row r="1384" spans="5:5">
      <c r="E1384" s="124"/>
    </row>
    <row r="1385" spans="5:5">
      <c r="E1385" s="124"/>
    </row>
    <row r="1386" spans="5:5">
      <c r="E1386" s="124"/>
    </row>
    <row r="1387" spans="5:5">
      <c r="E1387" s="124"/>
    </row>
    <row r="1388" spans="5:5">
      <c r="E1388" s="124"/>
    </row>
    <row r="1389" spans="5:5">
      <c r="E1389" s="124"/>
    </row>
    <row r="1390" spans="5:5">
      <c r="E1390" s="124"/>
    </row>
    <row r="1391" spans="5:5">
      <c r="E1391" s="124"/>
    </row>
    <row r="1392" spans="5:5">
      <c r="E1392" s="124"/>
    </row>
    <row r="1393" spans="5:5">
      <c r="E1393" s="124"/>
    </row>
    <row r="1394" spans="5:5">
      <c r="E1394" s="124"/>
    </row>
    <row r="1395" spans="5:5">
      <c r="E1395" s="124"/>
    </row>
    <row r="1396" spans="5:5">
      <c r="E1396" s="124"/>
    </row>
    <row r="1397" spans="5:5">
      <c r="E1397" s="124"/>
    </row>
    <row r="1398" spans="5:5">
      <c r="E1398" s="124"/>
    </row>
    <row r="1399" spans="5:5">
      <c r="E1399" s="124"/>
    </row>
    <row r="1400" spans="5:5">
      <c r="E1400" s="124"/>
    </row>
    <row r="1401" spans="5:5">
      <c r="E1401" s="124"/>
    </row>
    <row r="1402" spans="5:5">
      <c r="E1402" s="124"/>
    </row>
    <row r="1403" spans="5:5">
      <c r="E1403" s="124"/>
    </row>
    <row r="1404" spans="5:5">
      <c r="E1404" s="124"/>
    </row>
    <row r="1405" spans="5:5">
      <c r="E1405" s="124"/>
    </row>
    <row r="1406" spans="5:5">
      <c r="E1406" s="124"/>
    </row>
    <row r="1407" spans="5:5">
      <c r="E1407" s="124"/>
    </row>
    <row r="1408" spans="5:5">
      <c r="E1408" s="124"/>
    </row>
    <row r="1409" spans="5:5">
      <c r="E1409" s="124"/>
    </row>
    <row r="1410" spans="5:5">
      <c r="E1410" s="124"/>
    </row>
    <row r="1411" spans="5:5">
      <c r="E1411" s="124"/>
    </row>
    <row r="1412" spans="5:5">
      <c r="E1412" s="124"/>
    </row>
    <row r="1413" spans="5:5">
      <c r="E1413" s="124"/>
    </row>
    <row r="1414" spans="5:5">
      <c r="E1414" s="124"/>
    </row>
    <row r="1415" spans="5:5">
      <c r="E1415" s="124"/>
    </row>
    <row r="1416" spans="5:5">
      <c r="E1416" s="124"/>
    </row>
    <row r="1417" spans="5:5">
      <c r="E1417" s="124"/>
    </row>
    <row r="1418" spans="5:5">
      <c r="E1418" s="124"/>
    </row>
    <row r="1419" spans="5:5">
      <c r="E1419" s="124"/>
    </row>
    <row r="1420" spans="5:5">
      <c r="E1420" s="124"/>
    </row>
    <row r="1421" spans="5:5">
      <c r="E1421" s="124"/>
    </row>
    <row r="1422" spans="5:5">
      <c r="E1422" s="124"/>
    </row>
    <row r="1423" spans="5:5">
      <c r="E1423" s="124"/>
    </row>
    <row r="1424" spans="5:5">
      <c r="E1424" s="124"/>
    </row>
    <row r="1425" spans="5:5">
      <c r="E1425" s="124"/>
    </row>
    <row r="1426" spans="5:5">
      <c r="E1426" s="124"/>
    </row>
    <row r="1427" spans="5:5">
      <c r="E1427" s="124"/>
    </row>
    <row r="1428" spans="5:5">
      <c r="E1428" s="124"/>
    </row>
    <row r="1429" spans="5:5">
      <c r="E1429" s="124"/>
    </row>
    <row r="1430" spans="5:5">
      <c r="E1430" s="124"/>
    </row>
    <row r="1431" spans="5:5">
      <c r="E1431" s="124"/>
    </row>
    <row r="1432" spans="5:5">
      <c r="E1432" s="124"/>
    </row>
    <row r="1433" spans="5:5">
      <c r="E1433" s="124"/>
    </row>
    <row r="1434" spans="5:5">
      <c r="E1434" s="124"/>
    </row>
    <row r="1435" spans="5:5">
      <c r="E1435" s="124"/>
    </row>
    <row r="1436" spans="5:5">
      <c r="E1436" s="124"/>
    </row>
    <row r="1437" spans="5:5">
      <c r="E1437" s="124"/>
    </row>
    <row r="1438" spans="5:5">
      <c r="E1438" s="124"/>
    </row>
    <row r="1439" spans="5:5">
      <c r="E1439" s="124"/>
    </row>
    <row r="1440" spans="5:5">
      <c r="E1440" s="124"/>
    </row>
    <row r="1441" spans="5:5">
      <c r="E1441" s="124"/>
    </row>
    <row r="1442" spans="5:5">
      <c r="E1442" s="124"/>
    </row>
    <row r="1443" spans="5:5">
      <c r="E1443" s="124"/>
    </row>
    <row r="1444" spans="5:5">
      <c r="E1444" s="124"/>
    </row>
    <row r="1445" spans="5:5">
      <c r="E1445" s="124"/>
    </row>
    <row r="1446" spans="5:5">
      <c r="E1446" s="124"/>
    </row>
    <row r="1447" spans="5:5">
      <c r="E1447" s="124"/>
    </row>
    <row r="1448" spans="5:5">
      <c r="E1448" s="124"/>
    </row>
    <row r="1449" spans="5:5">
      <c r="E1449" s="124"/>
    </row>
    <row r="1450" spans="5:5">
      <c r="E1450" s="124"/>
    </row>
    <row r="1451" spans="5:5">
      <c r="E1451" s="124"/>
    </row>
    <row r="1452" spans="5:5">
      <c r="E1452" s="124"/>
    </row>
    <row r="1453" spans="5:5">
      <c r="E1453" s="124"/>
    </row>
    <row r="1454" spans="5:5">
      <c r="E1454" s="124"/>
    </row>
    <row r="1455" spans="5:5">
      <c r="E1455" s="124"/>
    </row>
    <row r="1456" spans="5:5">
      <c r="E1456" s="124"/>
    </row>
    <row r="1457" spans="5:5">
      <c r="E1457" s="124"/>
    </row>
    <row r="1458" spans="5:5">
      <c r="E1458" s="124"/>
    </row>
    <row r="1459" spans="5:5">
      <c r="E1459" s="124"/>
    </row>
    <row r="1460" spans="5:5">
      <c r="E1460" s="124"/>
    </row>
    <row r="1461" spans="5:5">
      <c r="E1461" s="124"/>
    </row>
    <row r="1462" spans="5:5">
      <c r="E1462" s="124"/>
    </row>
    <row r="1463" spans="5:5">
      <c r="E1463" s="124"/>
    </row>
    <row r="1464" spans="5:5">
      <c r="E1464" s="124"/>
    </row>
    <row r="1465" spans="5:5">
      <c r="E1465" s="124"/>
    </row>
    <row r="1466" spans="5:5">
      <c r="E1466" s="124"/>
    </row>
    <row r="1467" spans="5:5">
      <c r="E1467" s="124"/>
    </row>
    <row r="1468" spans="5:5">
      <c r="E1468" s="124"/>
    </row>
    <row r="1469" spans="5:5">
      <c r="E1469" s="124"/>
    </row>
    <row r="1470" spans="5:5">
      <c r="E1470" s="124"/>
    </row>
    <row r="1471" spans="5:5">
      <c r="E1471" s="124"/>
    </row>
    <row r="1472" spans="5:5">
      <c r="E1472" s="124"/>
    </row>
    <row r="1473" spans="5:5">
      <c r="E1473" s="124"/>
    </row>
    <row r="1474" spans="5:5">
      <c r="E1474" s="124"/>
    </row>
    <row r="1475" spans="5:5">
      <c r="E1475" s="124"/>
    </row>
    <row r="1476" spans="5:5">
      <c r="E1476" s="124"/>
    </row>
    <row r="1477" spans="5:5">
      <c r="E1477" s="124"/>
    </row>
    <row r="1478" spans="5:5">
      <c r="E1478" s="124"/>
    </row>
    <row r="1479" spans="5:5">
      <c r="E1479" s="124"/>
    </row>
    <row r="1480" spans="5:5">
      <c r="E1480" s="124"/>
    </row>
    <row r="1481" spans="5:5">
      <c r="E1481" s="124"/>
    </row>
    <row r="1482" spans="5:5">
      <c r="E1482" s="124"/>
    </row>
    <row r="1483" spans="5:5">
      <c r="E1483" s="124"/>
    </row>
    <row r="1484" spans="5:5">
      <c r="E1484" s="124"/>
    </row>
    <row r="1485" spans="5:5">
      <c r="E1485" s="124"/>
    </row>
    <row r="1486" spans="5:5">
      <c r="E1486" s="124"/>
    </row>
    <row r="1487" spans="5:5">
      <c r="E1487" s="124"/>
    </row>
    <row r="1488" spans="5:5">
      <c r="E1488" s="124"/>
    </row>
    <row r="1489" spans="5:5">
      <c r="E1489" s="124"/>
    </row>
    <row r="1490" spans="5:5">
      <c r="E1490" s="124"/>
    </row>
    <row r="1491" spans="5:5">
      <c r="E1491" s="124"/>
    </row>
    <row r="1492" spans="5:5">
      <c r="E1492" s="124"/>
    </row>
    <row r="1493" spans="5:5">
      <c r="E1493" s="124"/>
    </row>
    <row r="1494" spans="5:5">
      <c r="E1494" s="124"/>
    </row>
    <row r="1495" spans="5:5">
      <c r="E1495" s="124"/>
    </row>
    <row r="1496" spans="5:5">
      <c r="E1496" s="124"/>
    </row>
    <row r="1497" spans="5:5">
      <c r="E1497" s="124"/>
    </row>
    <row r="1498" spans="5:5">
      <c r="E1498" s="124"/>
    </row>
    <row r="1499" spans="5:5">
      <c r="E1499" s="124"/>
    </row>
    <row r="1500" spans="5:5">
      <c r="E1500" s="124"/>
    </row>
    <row r="1501" spans="5:5">
      <c r="E1501" s="124"/>
    </row>
    <row r="1502" spans="5:5">
      <c r="E1502" s="124"/>
    </row>
    <row r="1503" spans="5:5">
      <c r="E1503" s="124"/>
    </row>
    <row r="1504" spans="5:5">
      <c r="E1504" s="124"/>
    </row>
    <row r="1505" spans="5:5">
      <c r="E1505" s="124"/>
    </row>
    <row r="1506" spans="5:5">
      <c r="E1506" s="124"/>
    </row>
    <row r="1507" spans="5:5">
      <c r="E1507" s="124"/>
    </row>
    <row r="1508" spans="5:5">
      <c r="E1508" s="124"/>
    </row>
    <row r="1509" spans="5:5">
      <c r="E1509" s="124"/>
    </row>
    <row r="1510" spans="5:5">
      <c r="E1510" s="124"/>
    </row>
    <row r="1511" spans="5:5">
      <c r="E1511" s="124"/>
    </row>
    <row r="1512" spans="5:5">
      <c r="E1512" s="124"/>
    </row>
    <row r="1513" spans="5:5">
      <c r="E1513" s="124"/>
    </row>
    <row r="1514" spans="5:5">
      <c r="E1514" s="124"/>
    </row>
    <row r="1515" spans="5:5">
      <c r="E1515" s="124"/>
    </row>
    <row r="1516" spans="5:5">
      <c r="E1516" s="124"/>
    </row>
    <row r="1517" spans="5:5">
      <c r="E1517" s="124"/>
    </row>
    <row r="1518" spans="5:5">
      <c r="E1518" s="124"/>
    </row>
    <row r="1519" spans="5:5">
      <c r="E1519" s="124"/>
    </row>
    <row r="1520" spans="5:5">
      <c r="E1520" s="124"/>
    </row>
    <row r="1521" spans="5:5">
      <c r="E1521" s="124"/>
    </row>
    <row r="1522" spans="5:5">
      <c r="E1522" s="124"/>
    </row>
    <row r="1523" spans="5:5">
      <c r="E1523" s="124"/>
    </row>
    <row r="1524" spans="5:5">
      <c r="E1524" s="124"/>
    </row>
    <row r="1525" spans="5:5">
      <c r="E1525" s="124"/>
    </row>
    <row r="1526" spans="5:5">
      <c r="E1526" s="124"/>
    </row>
    <row r="1527" spans="5:5">
      <c r="E1527" s="124"/>
    </row>
    <row r="1528" spans="5:5">
      <c r="E1528" s="124"/>
    </row>
    <row r="1529" spans="5:5">
      <c r="E1529" s="124"/>
    </row>
    <row r="1530" spans="5:5">
      <c r="E1530" s="124"/>
    </row>
    <row r="1531" spans="5:5">
      <c r="E1531" s="124"/>
    </row>
    <row r="1532" spans="5:5">
      <c r="E1532" s="124"/>
    </row>
    <row r="1533" spans="5:5">
      <c r="E1533" s="124"/>
    </row>
    <row r="1534" spans="5:5">
      <c r="E1534" s="124"/>
    </row>
    <row r="1535" spans="5:5">
      <c r="E1535" s="124"/>
    </row>
    <row r="1536" spans="5:5">
      <c r="E1536" s="124"/>
    </row>
    <row r="1537" spans="5:5">
      <c r="E1537" s="124"/>
    </row>
    <row r="1538" spans="5:5">
      <c r="E1538" s="124"/>
    </row>
    <row r="1539" spans="5:5">
      <c r="E1539" s="124"/>
    </row>
    <row r="1540" spans="5:5">
      <c r="E1540" s="124"/>
    </row>
    <row r="1541" spans="5:5">
      <c r="E1541" s="124"/>
    </row>
    <row r="1542" spans="5:5">
      <c r="E1542" s="124"/>
    </row>
    <row r="1543" spans="5:5">
      <c r="E1543" s="124"/>
    </row>
    <row r="1544" spans="5:5">
      <c r="E1544" s="124"/>
    </row>
    <row r="1545" spans="5:5">
      <c r="E1545" s="124"/>
    </row>
    <row r="1546" spans="5:5">
      <c r="E1546" s="124"/>
    </row>
    <row r="1547" spans="5:5">
      <c r="E1547" s="124"/>
    </row>
    <row r="1548" spans="5:5">
      <c r="E1548" s="124"/>
    </row>
    <row r="1549" spans="5:5">
      <c r="E1549" s="124"/>
    </row>
    <row r="1550" spans="5:5">
      <c r="E1550" s="124"/>
    </row>
    <row r="1551" spans="5:5">
      <c r="E1551" s="124"/>
    </row>
    <row r="1552" spans="5:5">
      <c r="E1552" s="124"/>
    </row>
    <row r="1553" spans="5:5">
      <c r="E1553" s="124"/>
    </row>
    <row r="1554" spans="5:5">
      <c r="E1554" s="124"/>
    </row>
    <row r="1555" spans="5:5">
      <c r="E1555" s="124"/>
    </row>
    <row r="1556" spans="5:5">
      <c r="E1556" s="124"/>
    </row>
    <row r="1557" spans="5:5">
      <c r="E1557" s="124"/>
    </row>
    <row r="1558" spans="5:5">
      <c r="E1558" s="124"/>
    </row>
    <row r="1559" spans="5:5">
      <c r="E1559" s="124"/>
    </row>
    <row r="1560" spans="5:5">
      <c r="E1560" s="124"/>
    </row>
    <row r="1561" spans="5:5">
      <c r="E1561" s="124"/>
    </row>
    <row r="1562" spans="5:5">
      <c r="E1562" s="124"/>
    </row>
    <row r="1563" spans="5:5">
      <c r="E1563" s="124"/>
    </row>
    <row r="1564" spans="5:5">
      <c r="E1564" s="124"/>
    </row>
    <row r="1565" spans="5:5">
      <c r="E1565" s="124"/>
    </row>
    <row r="1566" spans="5:5">
      <c r="E1566" s="124"/>
    </row>
    <row r="1567" spans="5:5">
      <c r="E1567" s="124"/>
    </row>
    <row r="1568" spans="5:5">
      <c r="E1568" s="124"/>
    </row>
    <row r="1569" spans="5:5">
      <c r="E1569" s="124"/>
    </row>
    <row r="1570" spans="5:5">
      <c r="E1570" s="124"/>
    </row>
    <row r="1571" spans="5:5">
      <c r="E1571" s="124"/>
    </row>
    <row r="1572" spans="5:5">
      <c r="E1572" s="124"/>
    </row>
    <row r="1573" spans="5:5">
      <c r="E1573" s="124"/>
    </row>
    <row r="1574" spans="5:5">
      <c r="E1574" s="124"/>
    </row>
    <row r="1575" spans="5:5">
      <c r="E1575" s="124"/>
    </row>
    <row r="1576" spans="5:5">
      <c r="E1576" s="124"/>
    </row>
    <row r="1577" spans="5:5">
      <c r="E1577" s="124"/>
    </row>
    <row r="1578" spans="5:5">
      <c r="E1578" s="124"/>
    </row>
    <row r="1579" spans="5:5">
      <c r="E1579" s="124"/>
    </row>
    <row r="1580" spans="5:5">
      <c r="E1580" s="124"/>
    </row>
    <row r="1581" spans="5:5">
      <c r="E1581" s="124"/>
    </row>
    <row r="1582" spans="5:5">
      <c r="E1582" s="124"/>
    </row>
    <row r="1583" spans="5:5">
      <c r="E1583" s="124"/>
    </row>
    <row r="1584" spans="5:5">
      <c r="E1584" s="124"/>
    </row>
    <row r="1585" spans="5:5">
      <c r="E1585" s="124"/>
    </row>
    <row r="1586" spans="5:5">
      <c r="E1586" s="124"/>
    </row>
    <row r="1587" spans="5:5">
      <c r="E1587" s="124"/>
    </row>
    <row r="1588" spans="5:5">
      <c r="E1588" s="124"/>
    </row>
    <row r="1589" spans="5:5">
      <c r="E1589" s="124"/>
    </row>
    <row r="1590" spans="5:5">
      <c r="E1590" s="124"/>
    </row>
    <row r="1591" spans="5:5">
      <c r="E1591" s="124"/>
    </row>
    <row r="1592" spans="5:5">
      <c r="E1592" s="124"/>
    </row>
    <row r="1593" spans="5:5">
      <c r="E1593" s="124"/>
    </row>
    <row r="1594" spans="5:5">
      <c r="E1594" s="124"/>
    </row>
    <row r="1595" spans="5:5">
      <c r="E1595" s="124"/>
    </row>
    <row r="1596" spans="5:5">
      <c r="E1596" s="124"/>
    </row>
    <row r="1597" spans="5:5">
      <c r="E1597" s="124"/>
    </row>
    <row r="1598" spans="5:5">
      <c r="E1598" s="124"/>
    </row>
    <row r="1599" spans="5:5">
      <c r="E1599" s="124"/>
    </row>
    <row r="1600" spans="5:5">
      <c r="E1600" s="124"/>
    </row>
    <row r="1601" spans="5:5">
      <c r="E1601" s="124"/>
    </row>
    <row r="1602" spans="5:5">
      <c r="E1602" s="124"/>
    </row>
    <row r="1603" spans="5:5">
      <c r="E1603" s="124"/>
    </row>
    <row r="1604" spans="5:5">
      <c r="E1604" s="124"/>
    </row>
    <row r="1605" spans="5:5">
      <c r="E1605" s="124"/>
    </row>
    <row r="1606" spans="5:5">
      <c r="E1606" s="124"/>
    </row>
    <row r="1607" spans="5:5">
      <c r="E1607" s="124"/>
    </row>
    <row r="1608" spans="5:5">
      <c r="E1608" s="124"/>
    </row>
    <row r="1609" spans="5:5">
      <c r="E1609" s="124"/>
    </row>
    <row r="1610" spans="5:5">
      <c r="E1610" s="124"/>
    </row>
    <row r="1611" spans="5:5">
      <c r="E1611" s="124"/>
    </row>
    <row r="1612" spans="5:5">
      <c r="E1612" s="124"/>
    </row>
    <row r="1613" spans="5:5">
      <c r="E1613" s="124"/>
    </row>
    <row r="1614" spans="5:5">
      <c r="E1614" s="124"/>
    </row>
    <row r="1615" spans="5:5">
      <c r="E1615" s="124"/>
    </row>
    <row r="1616" spans="5:5">
      <c r="E1616" s="124"/>
    </row>
    <row r="1617" spans="5:5">
      <c r="E1617" s="124"/>
    </row>
    <row r="1618" spans="5:5">
      <c r="E1618" s="124"/>
    </row>
    <row r="1619" spans="5:5">
      <c r="E1619" s="124"/>
    </row>
    <row r="1620" spans="5:5">
      <c r="E1620" s="124"/>
    </row>
    <row r="1621" spans="5:5">
      <c r="E1621" s="124"/>
    </row>
    <row r="1622" spans="5:5">
      <c r="E1622" s="124"/>
    </row>
    <row r="1623" spans="5:5">
      <c r="E1623" s="124"/>
    </row>
    <row r="1624" spans="5:5">
      <c r="E1624" s="124"/>
    </row>
    <row r="1625" spans="5:5">
      <c r="E1625" s="124"/>
    </row>
    <row r="1626" spans="5:5">
      <c r="E1626" s="124"/>
    </row>
    <row r="1627" spans="5:5">
      <c r="E1627" s="124"/>
    </row>
    <row r="1628" spans="5:5">
      <c r="E1628" s="124"/>
    </row>
    <row r="1629" spans="5:5">
      <c r="E1629" s="124"/>
    </row>
    <row r="1630" spans="5:5">
      <c r="E1630" s="124"/>
    </row>
    <row r="1631" spans="5:5">
      <c r="E1631" s="124"/>
    </row>
    <row r="1632" spans="5:5">
      <c r="E1632" s="124"/>
    </row>
    <row r="1633" spans="5:5">
      <c r="E1633" s="124"/>
    </row>
    <row r="1634" spans="5:5">
      <c r="E1634" s="124"/>
    </row>
    <row r="1635" spans="5:5">
      <c r="E1635" s="124"/>
    </row>
    <row r="1636" spans="5:5">
      <c r="E1636" s="124"/>
    </row>
    <row r="1637" spans="5:5">
      <c r="E1637" s="124"/>
    </row>
    <row r="1638" spans="5:5">
      <c r="E1638" s="124"/>
    </row>
    <row r="1639" spans="5:5">
      <c r="E1639" s="124"/>
    </row>
    <row r="1640" spans="5:5">
      <c r="E1640" s="124"/>
    </row>
    <row r="1641" spans="5:5">
      <c r="E1641" s="124"/>
    </row>
    <row r="1642" spans="5:5">
      <c r="E1642" s="124"/>
    </row>
    <row r="1643" spans="5:5">
      <c r="E1643" s="124"/>
    </row>
    <row r="1644" spans="5:5">
      <c r="E1644" s="124"/>
    </row>
    <row r="1645" spans="5:5">
      <c r="E1645" s="124"/>
    </row>
    <row r="1646" spans="5:5">
      <c r="E1646" s="124"/>
    </row>
    <row r="1647" spans="5:5">
      <c r="E1647" s="124"/>
    </row>
    <row r="1648" spans="5:5">
      <c r="E1648" s="124"/>
    </row>
    <row r="1649" spans="5:5">
      <c r="E1649" s="124"/>
    </row>
    <row r="1650" spans="5:5">
      <c r="E1650" s="124"/>
    </row>
    <row r="1651" spans="5:5">
      <c r="E1651" s="124"/>
    </row>
    <row r="1652" spans="5:5">
      <c r="E1652" s="124"/>
    </row>
    <row r="1653" spans="5:5">
      <c r="E1653" s="124"/>
    </row>
    <row r="1654" spans="5:5">
      <c r="E1654" s="124"/>
    </row>
    <row r="1655" spans="5:5">
      <c r="E1655" s="124"/>
    </row>
    <row r="1656" spans="5:5">
      <c r="E1656" s="124"/>
    </row>
    <row r="1657" spans="5:5">
      <c r="E1657" s="124"/>
    </row>
    <row r="1658" spans="5:5">
      <c r="E1658" s="124"/>
    </row>
    <row r="1659" spans="5:5">
      <c r="E1659" s="124"/>
    </row>
    <row r="1660" spans="5:5">
      <c r="E1660" s="124"/>
    </row>
    <row r="1661" spans="5:5">
      <c r="E1661" s="124"/>
    </row>
    <row r="1662" spans="5:5">
      <c r="E1662" s="124"/>
    </row>
    <row r="1663" spans="5:5">
      <c r="E1663" s="124"/>
    </row>
    <row r="1664" spans="5:5">
      <c r="E1664" s="124"/>
    </row>
    <row r="1665" spans="5:5">
      <c r="E1665" s="124"/>
    </row>
    <row r="1666" spans="5:5">
      <c r="E1666" s="124"/>
    </row>
    <row r="1667" spans="5:5">
      <c r="E1667" s="124"/>
    </row>
    <row r="1668" spans="5:5">
      <c r="E1668" s="124"/>
    </row>
    <row r="1669" spans="5:5">
      <c r="E1669" s="124"/>
    </row>
    <row r="1670" spans="5:5">
      <c r="E1670" s="124"/>
    </row>
    <row r="1671" spans="5:5">
      <c r="E1671" s="124"/>
    </row>
    <row r="1672" spans="5:5">
      <c r="E1672" s="124"/>
    </row>
    <row r="1673" spans="5:5">
      <c r="E1673" s="124"/>
    </row>
    <row r="1674" spans="5:5">
      <c r="E1674" s="124"/>
    </row>
    <row r="1675" spans="5:5">
      <c r="E1675" s="124"/>
    </row>
    <row r="1676" spans="5:5">
      <c r="E1676" s="124"/>
    </row>
    <row r="1677" spans="5:5">
      <c r="E1677" s="124"/>
    </row>
    <row r="1678" spans="5:5">
      <c r="E1678" s="124"/>
    </row>
    <row r="1679" spans="5:5">
      <c r="E1679" s="124"/>
    </row>
    <row r="1680" spans="5:5">
      <c r="E1680" s="124"/>
    </row>
    <row r="1681" spans="5:5">
      <c r="E1681" s="124"/>
    </row>
    <row r="1682" spans="5:5">
      <c r="E1682" s="124"/>
    </row>
    <row r="1683" spans="5:5">
      <c r="E1683" s="124"/>
    </row>
    <row r="1684" spans="5:5">
      <c r="E1684" s="124"/>
    </row>
    <row r="1685" spans="5:5">
      <c r="E1685" s="124"/>
    </row>
    <row r="1686" spans="5:5">
      <c r="E1686" s="124"/>
    </row>
    <row r="1687" spans="5:5">
      <c r="E1687" s="124"/>
    </row>
    <row r="1688" spans="5:5">
      <c r="E1688" s="124"/>
    </row>
    <row r="1689" spans="5:5">
      <c r="E1689" s="124"/>
    </row>
    <row r="1690" spans="5:5">
      <c r="E1690" s="124"/>
    </row>
    <row r="1691" spans="5:5">
      <c r="E1691" s="124"/>
    </row>
    <row r="1692" spans="5:5">
      <c r="E1692" s="124"/>
    </row>
    <row r="1693" spans="5:5">
      <c r="E1693" s="124"/>
    </row>
    <row r="1694" spans="5:5">
      <c r="E1694" s="124"/>
    </row>
    <row r="1695" spans="5:5">
      <c r="E1695" s="124"/>
    </row>
    <row r="1696" spans="5:5">
      <c r="E1696" s="124"/>
    </row>
    <row r="1697" spans="5:5">
      <c r="E1697" s="124"/>
    </row>
    <row r="1698" spans="5:5">
      <c r="E1698" s="124"/>
    </row>
    <row r="1699" spans="5:5">
      <c r="E1699" s="124"/>
    </row>
    <row r="1700" spans="5:5">
      <c r="E1700" s="124"/>
    </row>
    <row r="1701" spans="5:5">
      <c r="E1701" s="124"/>
    </row>
    <row r="1702" spans="5:5">
      <c r="E1702" s="124"/>
    </row>
    <row r="1703" spans="5:5">
      <c r="E1703" s="124"/>
    </row>
    <row r="1704" spans="5:5">
      <c r="E1704" s="124"/>
    </row>
    <row r="1705" spans="5:5">
      <c r="E1705" s="124"/>
    </row>
    <row r="1706" spans="5:5">
      <c r="E1706" s="124"/>
    </row>
    <row r="1707" spans="5:5">
      <c r="E1707" s="124"/>
    </row>
    <row r="1708" spans="5:5">
      <c r="E1708" s="124"/>
    </row>
    <row r="1709" spans="5:5">
      <c r="E1709" s="124"/>
    </row>
    <row r="1710" spans="5:5">
      <c r="E1710" s="124"/>
    </row>
    <row r="1711" spans="5:5">
      <c r="E1711" s="124"/>
    </row>
    <row r="1712" spans="5:5">
      <c r="E1712" s="124"/>
    </row>
    <row r="1713" spans="5:5">
      <c r="E1713" s="124"/>
    </row>
    <row r="1714" spans="5:5">
      <c r="E1714" s="124"/>
    </row>
    <row r="1715" spans="5:5">
      <c r="E1715" s="124"/>
    </row>
    <row r="1716" spans="5:5">
      <c r="E1716" s="124"/>
    </row>
    <row r="1717" spans="5:5">
      <c r="E1717" s="124"/>
    </row>
    <row r="1718" spans="5:5">
      <c r="E1718" s="124"/>
    </row>
    <row r="1719" spans="5:5">
      <c r="E1719" s="124"/>
    </row>
    <row r="1720" spans="5:5">
      <c r="E1720" s="124"/>
    </row>
    <row r="1721" spans="5:5">
      <c r="E1721" s="124"/>
    </row>
    <row r="1722" spans="5:5">
      <c r="E1722" s="124"/>
    </row>
    <row r="1723" spans="5:5">
      <c r="E1723" s="124"/>
    </row>
    <row r="1724" spans="5:5">
      <c r="E1724" s="124"/>
    </row>
    <row r="1725" spans="5:5">
      <c r="E1725" s="124"/>
    </row>
    <row r="1726" spans="5:5">
      <c r="E1726" s="124"/>
    </row>
    <row r="1727" spans="5:5">
      <c r="E1727" s="124"/>
    </row>
    <row r="1728" spans="5:5">
      <c r="E1728" s="124"/>
    </row>
    <row r="1729" spans="5:5">
      <c r="E1729" s="124"/>
    </row>
    <row r="1730" spans="5:5">
      <c r="E1730" s="124"/>
    </row>
    <row r="1731" spans="5:5">
      <c r="E1731" s="124"/>
    </row>
    <row r="1732" spans="5:5">
      <c r="E1732" s="124"/>
    </row>
    <row r="1733" spans="5:5">
      <c r="E1733" s="124"/>
    </row>
    <row r="1734" spans="5:5">
      <c r="E1734" s="124"/>
    </row>
    <row r="1735" spans="5:5">
      <c r="E1735" s="124"/>
    </row>
    <row r="1736" spans="5:5">
      <c r="E1736" s="124"/>
    </row>
    <row r="1737" spans="5:5">
      <c r="E1737" s="124"/>
    </row>
    <row r="1738" spans="5:5">
      <c r="E1738" s="124"/>
    </row>
    <row r="1739" spans="5:5">
      <c r="E1739" s="124"/>
    </row>
    <row r="1740" spans="5:5">
      <c r="E1740" s="124"/>
    </row>
    <row r="1741" spans="5:5">
      <c r="E1741" s="124"/>
    </row>
    <row r="1742" spans="5:5">
      <c r="E1742" s="124"/>
    </row>
    <row r="1743" spans="5:5">
      <c r="E1743" s="124"/>
    </row>
    <row r="1744" spans="5:5">
      <c r="E1744" s="124"/>
    </row>
    <row r="1745" spans="5:5">
      <c r="E1745" s="124"/>
    </row>
    <row r="1746" spans="5:5">
      <c r="E1746" s="124"/>
    </row>
    <row r="1747" spans="5:5">
      <c r="E1747" s="124"/>
    </row>
    <row r="1748" spans="5:5">
      <c r="E1748" s="124"/>
    </row>
    <row r="1749" spans="5:5">
      <c r="E1749" s="124"/>
    </row>
    <row r="1750" spans="5:5">
      <c r="E1750" s="124"/>
    </row>
    <row r="1751" spans="5:5">
      <c r="E1751" s="124"/>
    </row>
    <row r="1752" spans="5:5">
      <c r="E1752" s="124"/>
    </row>
    <row r="1753" spans="5:5">
      <c r="E1753" s="124"/>
    </row>
    <row r="1754" spans="5:5">
      <c r="E1754" s="124"/>
    </row>
    <row r="1755" spans="5:5">
      <c r="E1755" s="124"/>
    </row>
    <row r="1756" spans="5:5">
      <c r="E1756" s="124"/>
    </row>
    <row r="1757" spans="5:5">
      <c r="E1757" s="124"/>
    </row>
    <row r="1758" spans="5:5">
      <c r="E1758" s="124"/>
    </row>
    <row r="1759" spans="5:5">
      <c r="E1759" s="124"/>
    </row>
    <row r="1760" spans="5:5">
      <c r="E1760" s="124"/>
    </row>
    <row r="1761" spans="5:5">
      <c r="E1761" s="124"/>
    </row>
    <row r="1762" spans="5:5">
      <c r="E1762" s="124"/>
    </row>
    <row r="1763" spans="5:5">
      <c r="E1763" s="124"/>
    </row>
    <row r="1764" spans="5:5">
      <c r="E1764" s="124"/>
    </row>
    <row r="1765" spans="5:5">
      <c r="E1765" s="124"/>
    </row>
    <row r="1766" spans="5:5">
      <c r="E1766" s="124"/>
    </row>
    <row r="1767" spans="5:5">
      <c r="E1767" s="124"/>
    </row>
    <row r="1768" spans="5:5">
      <c r="E1768" s="124"/>
    </row>
    <row r="1769" spans="5:5">
      <c r="E1769" s="124"/>
    </row>
    <row r="1770" spans="5:5">
      <c r="E1770" s="124"/>
    </row>
    <row r="1771" spans="5:5">
      <c r="E1771" s="124"/>
    </row>
    <row r="1772" spans="5:5">
      <c r="E1772" s="124"/>
    </row>
    <row r="1773" spans="5:5">
      <c r="E1773" s="124"/>
    </row>
    <row r="1774" spans="5:5">
      <c r="E1774" s="124"/>
    </row>
    <row r="1775" spans="5:5">
      <c r="E1775" s="124"/>
    </row>
    <row r="1776" spans="5:5">
      <c r="E1776" s="124"/>
    </row>
    <row r="1777" spans="5:5">
      <c r="E1777" s="124"/>
    </row>
    <row r="1778" spans="5:5">
      <c r="E1778" s="124"/>
    </row>
    <row r="1779" spans="5:5">
      <c r="E1779" s="124"/>
    </row>
    <row r="1780" spans="5:5">
      <c r="E1780" s="124"/>
    </row>
    <row r="1781" spans="5:5">
      <c r="E1781" s="124"/>
    </row>
    <row r="1782" spans="5:5">
      <c r="E1782" s="124"/>
    </row>
    <row r="1783" spans="5:5">
      <c r="E1783" s="124"/>
    </row>
    <row r="1784" spans="5:5">
      <c r="E1784" s="124"/>
    </row>
    <row r="1785" spans="5:5">
      <c r="E1785" s="124"/>
    </row>
    <row r="1786" spans="5:5">
      <c r="E1786" s="124"/>
    </row>
    <row r="1787" spans="5:5">
      <c r="E1787" s="124"/>
    </row>
    <row r="1788" spans="5:5">
      <c r="E1788" s="124"/>
    </row>
    <row r="1789" spans="5:5">
      <c r="E1789" s="124"/>
    </row>
    <row r="1790" spans="5:5">
      <c r="E1790" s="124"/>
    </row>
    <row r="1791" spans="5:5">
      <c r="E1791" s="124"/>
    </row>
    <row r="1792" spans="5:5">
      <c r="E1792" s="124"/>
    </row>
    <row r="1793" spans="5:5">
      <c r="E1793" s="124"/>
    </row>
    <row r="1794" spans="5:5">
      <c r="E1794" s="124"/>
    </row>
    <row r="1795" spans="5:5">
      <c r="E1795" s="124"/>
    </row>
    <row r="1796" spans="5:5">
      <c r="E1796" s="124"/>
    </row>
    <row r="1797" spans="5:5">
      <c r="E1797" s="124"/>
    </row>
    <row r="1798" spans="5:5">
      <c r="E1798" s="124"/>
    </row>
    <row r="1799" spans="5:5">
      <c r="E1799" s="124"/>
    </row>
    <row r="1800" spans="5:5">
      <c r="E1800" s="124"/>
    </row>
    <row r="1801" spans="5:5">
      <c r="E1801" s="124"/>
    </row>
    <row r="1802" spans="5:5">
      <c r="E1802" s="124"/>
    </row>
    <row r="1803" spans="5:5">
      <c r="E1803" s="124"/>
    </row>
    <row r="1804" spans="5:5">
      <c r="E1804" s="124"/>
    </row>
    <row r="1805" spans="5:5">
      <c r="E1805" s="124"/>
    </row>
    <row r="1806" spans="5:5">
      <c r="E1806" s="124"/>
    </row>
    <row r="1807" spans="5:5">
      <c r="E1807" s="124"/>
    </row>
    <row r="1808" spans="5:5">
      <c r="E1808" s="124"/>
    </row>
    <row r="1809" spans="5:5">
      <c r="E1809" s="124"/>
    </row>
    <row r="1810" spans="5:5">
      <c r="E1810" s="124"/>
    </row>
    <row r="1811" spans="5:5">
      <c r="E1811" s="124"/>
    </row>
    <row r="1812" spans="5:5">
      <c r="E1812" s="124"/>
    </row>
    <row r="1813" spans="5:5">
      <c r="E1813" s="124"/>
    </row>
    <row r="1814" spans="5:5">
      <c r="E1814" s="124"/>
    </row>
    <row r="1815" spans="5:5">
      <c r="E1815" s="124"/>
    </row>
    <row r="1816" spans="5:5">
      <c r="E1816" s="124"/>
    </row>
    <row r="1817" spans="5:5">
      <c r="E1817" s="124"/>
    </row>
    <row r="1818" spans="5:5">
      <c r="E1818" s="124"/>
    </row>
    <row r="1819" spans="5:5">
      <c r="E1819" s="124"/>
    </row>
    <row r="1820" spans="5:5">
      <c r="E1820" s="124"/>
    </row>
    <row r="1821" spans="5:5">
      <c r="E1821" s="124"/>
    </row>
    <row r="1822" spans="5:5">
      <c r="E1822" s="124"/>
    </row>
    <row r="1823" spans="5:5">
      <c r="E1823" s="124"/>
    </row>
    <row r="1824" spans="5:5">
      <c r="E1824" s="124"/>
    </row>
    <row r="1825" spans="5:5">
      <c r="E1825" s="124"/>
    </row>
    <row r="1826" spans="5:5">
      <c r="E1826" s="124"/>
    </row>
    <row r="1827" spans="5:5">
      <c r="E1827" s="124"/>
    </row>
    <row r="1828" spans="5:5">
      <c r="E1828" s="124"/>
    </row>
    <row r="1829" spans="5:5">
      <c r="E1829" s="124"/>
    </row>
    <row r="1830" spans="5:5">
      <c r="E1830" s="124"/>
    </row>
    <row r="1831" spans="5:5">
      <c r="E1831" s="124"/>
    </row>
    <row r="1832" spans="5:5">
      <c r="E1832" s="124"/>
    </row>
    <row r="1833" spans="5:5">
      <c r="E1833" s="124"/>
    </row>
    <row r="1834" spans="5:5">
      <c r="E1834" s="124"/>
    </row>
    <row r="1835" spans="5:5">
      <c r="E1835" s="124"/>
    </row>
    <row r="1836" spans="5:5">
      <c r="E1836" s="124"/>
    </row>
    <row r="1837" spans="5:5">
      <c r="E1837" s="124"/>
    </row>
    <row r="1838" spans="5:5">
      <c r="E1838" s="124"/>
    </row>
    <row r="1839" spans="5:5">
      <c r="E1839" s="124"/>
    </row>
    <row r="1840" spans="5:5">
      <c r="E1840" s="124"/>
    </row>
    <row r="1841" spans="5:5">
      <c r="E1841" s="124"/>
    </row>
    <row r="1842" spans="5:5">
      <c r="E1842" s="124"/>
    </row>
    <row r="1843" spans="5:5">
      <c r="E1843" s="124"/>
    </row>
    <row r="1844" spans="5:5">
      <c r="E1844" s="124"/>
    </row>
    <row r="1845" spans="5:5">
      <c r="E1845" s="124"/>
    </row>
    <row r="1846" spans="5:5">
      <c r="E1846" s="124"/>
    </row>
    <row r="1847" spans="5:5">
      <c r="E1847" s="124"/>
    </row>
    <row r="1848" spans="5:5">
      <c r="E1848" s="124"/>
    </row>
    <row r="1849" spans="5:5">
      <c r="E1849" s="124"/>
    </row>
    <row r="1850" spans="5:5">
      <c r="E1850" s="124"/>
    </row>
    <row r="1851" spans="5:5">
      <c r="E1851" s="124"/>
    </row>
    <row r="1852" spans="5:5">
      <c r="E1852" s="124"/>
    </row>
    <row r="1853" spans="5:5">
      <c r="E1853" s="124"/>
    </row>
    <row r="1854" spans="5:5">
      <c r="E1854" s="124"/>
    </row>
    <row r="1855" spans="5:5">
      <c r="E1855" s="124"/>
    </row>
    <row r="1856" spans="5:5">
      <c r="E1856" s="124"/>
    </row>
    <row r="1857" spans="5:5">
      <c r="E1857" s="124"/>
    </row>
    <row r="1858" spans="5:5">
      <c r="E1858" s="124"/>
    </row>
    <row r="1859" spans="5:5">
      <c r="E1859" s="124"/>
    </row>
    <row r="1860" spans="5:5">
      <c r="E1860" s="124"/>
    </row>
    <row r="1861" spans="5:5">
      <c r="E1861" s="124"/>
    </row>
    <row r="1862" spans="5:5">
      <c r="E1862" s="124"/>
    </row>
    <row r="1863" spans="5:5">
      <c r="E1863" s="124"/>
    </row>
    <row r="1864" spans="5:5">
      <c r="E1864" s="124"/>
    </row>
    <row r="1865" spans="5:5">
      <c r="E1865" s="124"/>
    </row>
    <row r="1866" spans="5:5">
      <c r="E1866" s="124"/>
    </row>
    <row r="1867" spans="5:5">
      <c r="E1867" s="124"/>
    </row>
    <row r="1868" spans="5:5">
      <c r="E1868" s="124"/>
    </row>
    <row r="1869" spans="5:5">
      <c r="E1869" s="124"/>
    </row>
    <row r="1870" spans="5:5">
      <c r="E1870" s="124"/>
    </row>
    <row r="1871" spans="5:5">
      <c r="E1871" s="124"/>
    </row>
    <row r="1872" spans="5:5">
      <c r="E1872" s="124"/>
    </row>
    <row r="1873" spans="5:5">
      <c r="E1873" s="124"/>
    </row>
    <row r="1874" spans="5:5">
      <c r="E1874" s="124"/>
    </row>
    <row r="1875" spans="5:5">
      <c r="E1875" s="124"/>
    </row>
    <row r="1876" spans="5:5">
      <c r="E1876" s="124"/>
    </row>
    <row r="1877" spans="5:5">
      <c r="E1877" s="124"/>
    </row>
    <row r="1878" spans="5:5">
      <c r="E1878" s="124"/>
    </row>
    <row r="1879" spans="5:5">
      <c r="E1879" s="124"/>
    </row>
    <row r="1880" spans="5:5">
      <c r="E1880" s="124"/>
    </row>
    <row r="1881" spans="5:5">
      <c r="E1881" s="124"/>
    </row>
    <row r="1882" spans="5:5">
      <c r="E1882" s="124"/>
    </row>
    <row r="1883" spans="5:5">
      <c r="E1883" s="124"/>
    </row>
    <row r="1884" spans="5:5">
      <c r="E1884" s="124"/>
    </row>
    <row r="1885" spans="5:5">
      <c r="E1885" s="124"/>
    </row>
    <row r="1886" spans="5:5">
      <c r="E1886" s="124"/>
    </row>
    <row r="1887" spans="5:5">
      <c r="E1887" s="124"/>
    </row>
    <row r="1888" spans="5:5">
      <c r="E1888" s="124"/>
    </row>
    <row r="1889" spans="5:5">
      <c r="E1889" s="124"/>
    </row>
    <row r="1890" spans="5:5">
      <c r="E1890" s="124"/>
    </row>
    <row r="1891" spans="5:5">
      <c r="E1891" s="124"/>
    </row>
    <row r="1892" spans="5:5">
      <c r="E1892" s="124"/>
    </row>
    <row r="1893" spans="5:5">
      <c r="E1893" s="124"/>
    </row>
    <row r="1894" spans="5:5">
      <c r="E1894" s="124"/>
    </row>
    <row r="1895" spans="5:5">
      <c r="E1895" s="124"/>
    </row>
    <row r="1896" spans="5:5">
      <c r="E1896" s="124"/>
    </row>
    <row r="1897" spans="5:5">
      <c r="E1897" s="124"/>
    </row>
    <row r="1898" spans="5:5">
      <c r="E1898" s="124"/>
    </row>
    <row r="1899" spans="5:5">
      <c r="E1899" s="124"/>
    </row>
    <row r="1900" spans="5:5">
      <c r="E1900" s="124"/>
    </row>
    <row r="1901" spans="5:5">
      <c r="E1901" s="124"/>
    </row>
    <row r="1902" spans="5:5">
      <c r="E1902" s="124"/>
    </row>
    <row r="1903" spans="5:5">
      <c r="E1903" s="124"/>
    </row>
    <row r="1904" spans="5:5">
      <c r="E1904" s="124"/>
    </row>
    <row r="1905" spans="5:5">
      <c r="E1905" s="124"/>
    </row>
    <row r="1906" spans="5:5">
      <c r="E1906" s="124"/>
    </row>
    <row r="1907" spans="5:5">
      <c r="E1907" s="124"/>
    </row>
    <row r="1908" spans="5:5">
      <c r="E1908" s="124"/>
    </row>
    <row r="1909" spans="5:5">
      <c r="E1909" s="124"/>
    </row>
    <row r="1910" spans="5:5">
      <c r="E1910" s="124"/>
    </row>
    <row r="1911" spans="5:5">
      <c r="E1911" s="124"/>
    </row>
    <row r="1912" spans="5:5">
      <c r="E1912" s="124"/>
    </row>
    <row r="1913" spans="5:5">
      <c r="E1913" s="124"/>
    </row>
    <row r="1914" spans="5:5">
      <c r="E1914" s="124"/>
    </row>
    <row r="1915" spans="5:5">
      <c r="E1915" s="124"/>
    </row>
    <row r="1916" spans="5:5">
      <c r="E1916" s="124"/>
    </row>
    <row r="1917" spans="5:5">
      <c r="E1917" s="124"/>
    </row>
    <row r="1918" spans="5:5">
      <c r="E1918" s="124"/>
    </row>
    <row r="1919" spans="5:5">
      <c r="E1919" s="124"/>
    </row>
    <row r="1920" spans="5:5">
      <c r="E1920" s="124"/>
    </row>
    <row r="1921" spans="5:5">
      <c r="E1921" s="124"/>
    </row>
    <row r="1922" spans="5:5">
      <c r="E1922" s="124"/>
    </row>
    <row r="1923" spans="5:5">
      <c r="E1923" s="124"/>
    </row>
    <row r="1924" spans="5:5">
      <c r="E1924" s="124"/>
    </row>
    <row r="1925" spans="5:5">
      <c r="E1925" s="124"/>
    </row>
    <row r="1926" spans="5:5">
      <c r="E1926" s="124"/>
    </row>
    <row r="1927" spans="5:5">
      <c r="E1927" s="124"/>
    </row>
    <row r="1928" spans="5:5">
      <c r="E1928" s="124"/>
    </row>
    <row r="1929" spans="5:5">
      <c r="E1929" s="124"/>
    </row>
    <row r="1930" spans="5:5">
      <c r="E1930" s="124"/>
    </row>
    <row r="1931" spans="5:5">
      <c r="E1931" s="124"/>
    </row>
    <row r="1932" spans="5:5">
      <c r="E1932" s="124"/>
    </row>
    <row r="1933" spans="5:5">
      <c r="E1933" s="124"/>
    </row>
    <row r="1934" spans="5:5">
      <c r="E1934" s="124"/>
    </row>
    <row r="1935" spans="5:5">
      <c r="E1935" s="124"/>
    </row>
    <row r="1936" spans="5:5">
      <c r="E1936" s="124"/>
    </row>
    <row r="1937" spans="5:5">
      <c r="E1937" s="124"/>
    </row>
    <row r="1938" spans="5:5">
      <c r="E1938" s="124"/>
    </row>
    <row r="1939" spans="5:5">
      <c r="E1939" s="124"/>
    </row>
    <row r="1940" spans="5:5">
      <c r="E1940" s="124"/>
    </row>
    <row r="1941" spans="5:5">
      <c r="E1941" s="124"/>
    </row>
    <row r="1942" spans="5:5">
      <c r="E1942" s="124"/>
    </row>
    <row r="1943" spans="5:5">
      <c r="E1943" s="124"/>
    </row>
    <row r="1944" spans="5:5">
      <c r="E1944" s="124"/>
    </row>
    <row r="1945" spans="5:5">
      <c r="E1945" s="124"/>
    </row>
    <row r="1946" spans="5:5">
      <c r="E1946" s="124"/>
    </row>
    <row r="1947" spans="5:5">
      <c r="E1947" s="124"/>
    </row>
    <row r="1948" spans="5:5">
      <c r="E1948" s="124"/>
    </row>
    <row r="1949" spans="5:5">
      <c r="E1949" s="124"/>
    </row>
    <row r="1950" spans="5:5">
      <c r="E1950" s="124"/>
    </row>
    <row r="1951" spans="5:5">
      <c r="E1951" s="124"/>
    </row>
    <row r="1952" spans="5:5">
      <c r="E1952" s="124"/>
    </row>
    <row r="1953" spans="5:5">
      <c r="E1953" s="124"/>
    </row>
    <row r="1954" spans="5:5">
      <c r="E1954" s="124"/>
    </row>
    <row r="1955" spans="5:5">
      <c r="E1955" s="124"/>
    </row>
    <row r="1956" spans="5:5">
      <c r="E1956" s="124"/>
    </row>
    <row r="1957" spans="5:5">
      <c r="E1957" s="124"/>
    </row>
    <row r="1958" spans="5:5">
      <c r="E1958" s="124"/>
    </row>
    <row r="1959" spans="5:5">
      <c r="E1959" s="124"/>
    </row>
    <row r="1960" spans="5:5">
      <c r="E1960" s="124"/>
    </row>
    <row r="1961" spans="5:5">
      <c r="E1961" s="124"/>
    </row>
    <row r="1962" spans="5:5">
      <c r="E1962" s="124"/>
    </row>
    <row r="1963" spans="5:5">
      <c r="E1963" s="124"/>
    </row>
    <row r="1964" spans="5:5">
      <c r="E1964" s="124"/>
    </row>
    <row r="1965" spans="5:5">
      <c r="E1965" s="124"/>
    </row>
    <row r="1966" spans="5:5">
      <c r="E1966" s="124"/>
    </row>
    <row r="1967" spans="5:5">
      <c r="E1967" s="124"/>
    </row>
    <row r="1968" spans="5:5">
      <c r="E1968" s="124"/>
    </row>
    <row r="1969" spans="5:5">
      <c r="E1969" s="124"/>
    </row>
    <row r="1970" spans="5:5">
      <c r="E1970" s="124"/>
    </row>
    <row r="1971" spans="5:5">
      <c r="E1971" s="124"/>
    </row>
    <row r="1972" spans="5:5">
      <c r="E1972" s="124"/>
    </row>
    <row r="1973" spans="5:5">
      <c r="E1973" s="124"/>
    </row>
    <row r="1974" spans="5:5">
      <c r="E1974" s="124"/>
    </row>
    <row r="1975" spans="5:5">
      <c r="E1975" s="124"/>
    </row>
    <row r="1976" spans="5:5">
      <c r="E1976" s="124"/>
    </row>
    <row r="1977" spans="5:5">
      <c r="E1977" s="124"/>
    </row>
    <row r="1978" spans="5:5">
      <c r="E1978" s="124"/>
    </row>
    <row r="1979" spans="5:5">
      <c r="E1979" s="124"/>
    </row>
    <row r="1980" spans="5:5">
      <c r="E1980" s="124"/>
    </row>
    <row r="1981" spans="5:5">
      <c r="E1981" s="124"/>
    </row>
    <row r="1982" spans="5:5">
      <c r="E1982" s="124"/>
    </row>
    <row r="1983" spans="5:5">
      <c r="E1983" s="124"/>
    </row>
    <row r="1984" spans="5:5">
      <c r="E1984" s="124"/>
    </row>
    <row r="1985" spans="5:5">
      <c r="E1985" s="124"/>
    </row>
    <row r="1986" spans="5:5">
      <c r="E1986" s="124"/>
    </row>
    <row r="1987" spans="5:5">
      <c r="E1987" s="124"/>
    </row>
    <row r="1988" spans="5:5">
      <c r="E1988" s="124"/>
    </row>
    <row r="1989" spans="5:5">
      <c r="E1989" s="124"/>
    </row>
    <row r="1990" spans="5:5">
      <c r="E1990" s="124"/>
    </row>
    <row r="1991" spans="5:5">
      <c r="E1991" s="124"/>
    </row>
    <row r="1992" spans="5:5">
      <c r="E1992" s="124"/>
    </row>
    <row r="1993" spans="5:5">
      <c r="E1993" s="124"/>
    </row>
    <row r="1994" spans="5:5">
      <c r="E1994" s="124"/>
    </row>
    <row r="1995" spans="5:5">
      <c r="E1995" s="124"/>
    </row>
    <row r="1996" spans="5:5">
      <c r="E1996" s="124"/>
    </row>
    <row r="1997" spans="5:5">
      <c r="E1997" s="124"/>
    </row>
    <row r="1998" spans="5:5">
      <c r="E1998" s="124"/>
    </row>
    <row r="1999" spans="5:5">
      <c r="E1999" s="124"/>
    </row>
    <row r="2000" spans="5:5">
      <c r="E2000" s="124"/>
    </row>
    <row r="2001" spans="5:5">
      <c r="E2001" s="124"/>
    </row>
    <row r="2002" spans="5:5">
      <c r="E2002" s="124"/>
    </row>
    <row r="2003" spans="5:5">
      <c r="E2003" s="124"/>
    </row>
    <row r="2004" spans="5:5">
      <c r="E2004" s="124"/>
    </row>
    <row r="2005" spans="5:5">
      <c r="E2005" s="124"/>
    </row>
    <row r="2006" spans="5:5">
      <c r="E2006" s="124"/>
    </row>
    <row r="2007" spans="5:5">
      <c r="E2007" s="124"/>
    </row>
    <row r="2008" spans="5:5">
      <c r="E2008" s="124"/>
    </row>
    <row r="2009" spans="5:5">
      <c r="E2009" s="124"/>
    </row>
    <row r="2010" spans="5:5">
      <c r="E2010" s="124"/>
    </row>
    <row r="2011" spans="5:5">
      <c r="E2011" s="124"/>
    </row>
    <row r="2012" spans="5:5">
      <c r="E2012" s="124"/>
    </row>
    <row r="2013" spans="5:5">
      <c r="E2013" s="124"/>
    </row>
    <row r="2014" spans="5:5">
      <c r="E2014" s="124"/>
    </row>
    <row r="2015" spans="5:5">
      <c r="E2015" s="124"/>
    </row>
    <row r="2016" spans="5:5">
      <c r="E2016" s="124"/>
    </row>
    <row r="2017" spans="5:5">
      <c r="E2017" s="124"/>
    </row>
    <row r="2018" spans="5:5">
      <c r="E2018" s="124"/>
    </row>
    <row r="2019" spans="5:5">
      <c r="E2019" s="124"/>
    </row>
    <row r="2020" spans="5:5">
      <c r="E2020" s="124"/>
    </row>
    <row r="2021" spans="5:5">
      <c r="E2021" s="124"/>
    </row>
    <row r="2022" spans="5:5">
      <c r="E2022" s="124"/>
    </row>
    <row r="2023" spans="5:5">
      <c r="E2023" s="124"/>
    </row>
    <row r="2024" spans="5:5">
      <c r="E2024" s="124"/>
    </row>
    <row r="2025" spans="5:5">
      <c r="E2025" s="124"/>
    </row>
    <row r="2026" spans="5:5">
      <c r="E2026" s="124"/>
    </row>
    <row r="2027" spans="5:5">
      <c r="E2027" s="124"/>
    </row>
    <row r="2028" spans="5:5">
      <c r="E2028" s="124"/>
    </row>
    <row r="2029" spans="5:5">
      <c r="E2029" s="124"/>
    </row>
    <row r="2030" spans="5:5">
      <c r="E2030" s="124"/>
    </row>
    <row r="2031" spans="5:5">
      <c r="E2031" s="124"/>
    </row>
    <row r="2032" spans="5:5">
      <c r="E2032" s="124"/>
    </row>
    <row r="2033" spans="5:5">
      <c r="E2033" s="124"/>
    </row>
    <row r="2034" spans="5:5">
      <c r="E2034" s="124"/>
    </row>
    <row r="2035" spans="5:5">
      <c r="E2035" s="124"/>
    </row>
    <row r="2036" spans="5:5">
      <c r="E2036" s="124"/>
    </row>
    <row r="2037" spans="5:5">
      <c r="E2037" s="124"/>
    </row>
    <row r="2038" spans="5:5">
      <c r="E2038" s="124"/>
    </row>
    <row r="2039" spans="5:5">
      <c r="E2039" s="124"/>
    </row>
    <row r="2040" spans="5:5">
      <c r="E2040" s="124"/>
    </row>
    <row r="2041" spans="5:5">
      <c r="E2041" s="124"/>
    </row>
    <row r="2042" spans="5:5">
      <c r="E2042" s="124"/>
    </row>
    <row r="2043" spans="5:5">
      <c r="E2043" s="124"/>
    </row>
    <row r="2044" spans="5:5">
      <c r="E2044" s="124"/>
    </row>
    <row r="2045" spans="5:5">
      <c r="E2045" s="124"/>
    </row>
    <row r="2046" spans="5:5">
      <c r="E2046" s="124"/>
    </row>
    <row r="2047" spans="5:5">
      <c r="E2047" s="124"/>
    </row>
    <row r="2048" spans="5:5">
      <c r="E2048" s="124"/>
    </row>
    <row r="2049" spans="5:5">
      <c r="E2049" s="124"/>
    </row>
    <row r="2050" spans="5:5">
      <c r="E2050" s="124"/>
    </row>
    <row r="2051" spans="5:5">
      <c r="E2051" s="124"/>
    </row>
    <row r="2052" spans="5:5">
      <c r="E2052" s="124"/>
    </row>
    <row r="2053" spans="5:5">
      <c r="E2053" s="124"/>
    </row>
    <row r="2054" spans="5:5">
      <c r="E2054" s="124"/>
    </row>
    <row r="2055" spans="5:5">
      <c r="E2055" s="124"/>
    </row>
    <row r="2056" spans="5:5">
      <c r="E2056" s="124"/>
    </row>
    <row r="2057" spans="5:5">
      <c r="E2057" s="124"/>
    </row>
    <row r="2058" spans="5:5">
      <c r="E2058" s="124"/>
    </row>
    <row r="2059" spans="5:5">
      <c r="E2059" s="124"/>
    </row>
    <row r="2060" spans="5:5">
      <c r="E2060" s="124"/>
    </row>
    <row r="2061" spans="5:5">
      <c r="E2061" s="124"/>
    </row>
    <row r="2062" spans="5:5">
      <c r="E2062" s="124"/>
    </row>
    <row r="2063" spans="5:5">
      <c r="E2063" s="124"/>
    </row>
    <row r="2064" spans="5:5">
      <c r="E2064" s="124"/>
    </row>
    <row r="2065" spans="5:5">
      <c r="E2065" s="124"/>
    </row>
    <row r="2066" spans="5:5">
      <c r="E2066" s="124"/>
    </row>
    <row r="2067" spans="5:5">
      <c r="E2067" s="124"/>
    </row>
    <row r="2068" spans="5:5">
      <c r="E2068" s="124"/>
    </row>
    <row r="2069" spans="5:5">
      <c r="E2069" s="124"/>
    </row>
    <row r="2070" spans="5:5">
      <c r="E2070" s="124"/>
    </row>
    <row r="2071" spans="5:5">
      <c r="E2071" s="124"/>
    </row>
    <row r="2072" spans="5:5">
      <c r="E2072" s="124"/>
    </row>
    <row r="2073" spans="5:5">
      <c r="E2073" s="124"/>
    </row>
    <row r="2074" spans="5:5">
      <c r="E2074" s="124"/>
    </row>
    <row r="2075" spans="5:5">
      <c r="E2075" s="124"/>
    </row>
    <row r="2076" spans="5:5">
      <c r="E2076" s="124"/>
    </row>
    <row r="2077" spans="5:5">
      <c r="E2077" s="124"/>
    </row>
    <row r="2078" spans="5:5">
      <c r="E2078" s="124"/>
    </row>
    <row r="2079" spans="5:5">
      <c r="E2079" s="124"/>
    </row>
    <row r="2080" spans="5:5">
      <c r="E2080" s="124"/>
    </row>
    <row r="2081" spans="5:5">
      <c r="E2081" s="124"/>
    </row>
    <row r="2082" spans="5:5">
      <c r="E2082" s="124"/>
    </row>
    <row r="2083" spans="5:5">
      <c r="E2083" s="124"/>
    </row>
    <row r="2084" spans="5:5">
      <c r="E2084" s="124"/>
    </row>
    <row r="2085" spans="5:5">
      <c r="E2085" s="124"/>
    </row>
    <row r="2086" spans="5:5">
      <c r="E2086" s="124"/>
    </row>
    <row r="2087" spans="5:5">
      <c r="E2087" s="124"/>
    </row>
    <row r="2088" spans="5:5">
      <c r="E2088" s="124"/>
    </row>
    <row r="2089" spans="5:5">
      <c r="E2089" s="124"/>
    </row>
    <row r="2090" spans="5:5">
      <c r="E2090" s="124"/>
    </row>
    <row r="2091" spans="5:5">
      <c r="E2091" s="124"/>
    </row>
    <row r="2092" spans="5:5">
      <c r="E2092" s="124"/>
    </row>
    <row r="2093" spans="5:5">
      <c r="E2093" s="124"/>
    </row>
    <row r="2094" spans="5:5">
      <c r="E2094" s="124"/>
    </row>
    <row r="2095" spans="5:5">
      <c r="E2095" s="124"/>
    </row>
    <row r="2096" spans="5:5">
      <c r="E2096" s="124"/>
    </row>
    <row r="2097" spans="5:5">
      <c r="E2097" s="124"/>
    </row>
    <row r="2098" spans="5:5">
      <c r="E2098" s="124"/>
    </row>
    <row r="2099" spans="5:5">
      <c r="E2099" s="124"/>
    </row>
    <row r="2100" spans="5:5">
      <c r="E2100" s="124"/>
    </row>
    <row r="2101" spans="5:5">
      <c r="E2101" s="124"/>
    </row>
    <row r="2102" spans="5:5">
      <c r="E2102" s="124"/>
    </row>
    <row r="2103" spans="5:5">
      <c r="E2103" s="124"/>
    </row>
    <row r="2104" spans="5:5">
      <c r="E2104" s="124"/>
    </row>
    <row r="2105" spans="5:5">
      <c r="E2105" s="124"/>
    </row>
    <row r="2106" spans="5:5">
      <c r="E2106" s="124"/>
    </row>
    <row r="2107" spans="5:5">
      <c r="E2107" s="124"/>
    </row>
    <row r="2108" spans="5:5">
      <c r="E2108" s="124"/>
    </row>
    <row r="2109" spans="5:5">
      <c r="E2109" s="124"/>
    </row>
    <row r="2110" spans="5:5">
      <c r="E2110" s="124"/>
    </row>
    <row r="2111" spans="5:5">
      <c r="E2111" s="124"/>
    </row>
    <row r="2112" spans="5:5">
      <c r="E2112" s="124"/>
    </row>
    <row r="2113" spans="5:5">
      <c r="E2113" s="124"/>
    </row>
    <row r="2114" spans="5:5">
      <c r="E2114" s="124"/>
    </row>
    <row r="2115" spans="5:5">
      <c r="E2115" s="124"/>
    </row>
    <row r="2116" spans="5:5">
      <c r="E2116" s="124"/>
    </row>
    <row r="2117" spans="5:5">
      <c r="E2117" s="124"/>
    </row>
    <row r="2118" spans="5:5">
      <c r="E2118" s="124"/>
    </row>
    <row r="2119" spans="5:5">
      <c r="E2119" s="124"/>
    </row>
    <row r="2120" spans="5:5">
      <c r="E2120" s="124"/>
    </row>
    <row r="2121" spans="5:5">
      <c r="E2121" s="124"/>
    </row>
    <row r="2122" spans="5:5">
      <c r="E2122" s="124"/>
    </row>
    <row r="2123" spans="5:5">
      <c r="E2123" s="124"/>
    </row>
    <row r="2124" spans="5:5">
      <c r="E2124" s="124"/>
    </row>
    <row r="2125" spans="5:5">
      <c r="E2125" s="124"/>
    </row>
    <row r="2126" spans="5:5">
      <c r="E2126" s="124"/>
    </row>
    <row r="2127" spans="5:5">
      <c r="E2127" s="124"/>
    </row>
    <row r="2128" spans="5:5">
      <c r="E2128" s="124"/>
    </row>
    <row r="2129" spans="5:5">
      <c r="E2129" s="124"/>
    </row>
    <row r="2130" spans="5:5">
      <c r="E2130" s="124"/>
    </row>
    <row r="2131" spans="5:5">
      <c r="E2131" s="124"/>
    </row>
    <row r="2132" spans="5:5">
      <c r="E2132" s="124"/>
    </row>
    <row r="2133" spans="5:5">
      <c r="E2133" s="124"/>
    </row>
    <row r="2134" spans="5:5">
      <c r="E2134" s="124"/>
    </row>
    <row r="2135" spans="5:5">
      <c r="E2135" s="124"/>
    </row>
    <row r="2136" spans="5:5">
      <c r="E2136" s="124"/>
    </row>
    <row r="2137" spans="5:5">
      <c r="E2137" s="124"/>
    </row>
    <row r="2138" spans="5:5">
      <c r="E2138" s="124"/>
    </row>
    <row r="2139" spans="5:5">
      <c r="E2139" s="124"/>
    </row>
    <row r="2140" spans="5:5">
      <c r="E2140" s="124"/>
    </row>
    <row r="2141" spans="5:5">
      <c r="E2141" s="124"/>
    </row>
    <row r="2142" spans="5:5">
      <c r="E2142" s="124"/>
    </row>
    <row r="2143" spans="5:5">
      <c r="E2143" s="124"/>
    </row>
    <row r="2144" spans="5:5">
      <c r="E2144" s="124"/>
    </row>
    <row r="2145" spans="5:5">
      <c r="E2145" s="124"/>
    </row>
    <row r="2146" spans="5:5">
      <c r="E2146" s="124"/>
    </row>
    <row r="2147" spans="5:5">
      <c r="E2147" s="124"/>
    </row>
    <row r="2148" spans="5:5">
      <c r="E2148" s="124"/>
    </row>
    <row r="2149" spans="5:5">
      <c r="E2149" s="124"/>
    </row>
    <row r="2150" spans="5:5">
      <c r="E2150" s="124"/>
    </row>
    <row r="2151" spans="5:5">
      <c r="E2151" s="124"/>
    </row>
    <row r="2152" spans="5:5">
      <c r="E2152" s="124"/>
    </row>
    <row r="2153" spans="5:5">
      <c r="E2153" s="124"/>
    </row>
    <row r="2154" spans="5:5">
      <c r="E2154" s="124"/>
    </row>
    <row r="2155" spans="5:5">
      <c r="E2155" s="124"/>
    </row>
    <row r="2156" spans="5:5">
      <c r="E2156" s="124"/>
    </row>
    <row r="2157" spans="5:5">
      <c r="E2157" s="124"/>
    </row>
    <row r="2158" spans="5:5">
      <c r="E2158" s="124"/>
    </row>
    <row r="2159" spans="5:5">
      <c r="E2159" s="124"/>
    </row>
    <row r="2160" spans="5:5">
      <c r="E2160" s="124"/>
    </row>
    <row r="2161" spans="5:5">
      <c r="E2161" s="124"/>
    </row>
    <row r="2162" spans="5:5">
      <c r="E2162" s="124"/>
    </row>
    <row r="2163" spans="5:5">
      <c r="E2163" s="124"/>
    </row>
    <row r="2164" spans="5:5">
      <c r="E2164" s="124"/>
    </row>
    <row r="2165" spans="5:5">
      <c r="E2165" s="124"/>
    </row>
    <row r="2166" spans="5:5">
      <c r="E2166" s="124"/>
    </row>
    <row r="2167" spans="5:5">
      <c r="E2167" s="124"/>
    </row>
    <row r="2168" spans="5:5">
      <c r="E2168" s="124"/>
    </row>
    <row r="2169" spans="5:5">
      <c r="E2169" s="124"/>
    </row>
    <row r="2170" spans="5:5">
      <c r="E2170" s="124"/>
    </row>
    <row r="2171" spans="5:5">
      <c r="E2171" s="124"/>
    </row>
    <row r="2172" spans="5:5">
      <c r="E2172" s="124"/>
    </row>
    <row r="2173" spans="5:5">
      <c r="E2173" s="124"/>
    </row>
    <row r="2174" spans="5:5">
      <c r="E2174" s="124"/>
    </row>
    <row r="2175" spans="5:5">
      <c r="E2175" s="124"/>
    </row>
    <row r="2176" spans="5:5">
      <c r="E2176" s="124"/>
    </row>
    <row r="2177" spans="5:5">
      <c r="E2177" s="124"/>
    </row>
    <row r="2178" spans="5:5">
      <c r="E2178" s="124"/>
    </row>
    <row r="2179" spans="5:5">
      <c r="E2179" s="124"/>
    </row>
    <row r="2180" spans="5:5">
      <c r="E2180" s="124"/>
    </row>
    <row r="2181" spans="5:5">
      <c r="E2181" s="124"/>
    </row>
    <row r="2182" spans="5:5">
      <c r="E2182" s="124"/>
    </row>
    <row r="2183" spans="5:5">
      <c r="E2183" s="124"/>
    </row>
    <row r="2184" spans="5:5">
      <c r="E2184" s="124"/>
    </row>
    <row r="2185" spans="5:5">
      <c r="E2185" s="124"/>
    </row>
    <row r="2186" spans="5:5">
      <c r="E2186" s="124"/>
    </row>
    <row r="2187" spans="5:5">
      <c r="E2187" s="124"/>
    </row>
    <row r="2188" spans="5:5">
      <c r="E2188" s="124"/>
    </row>
    <row r="2189" spans="5:5">
      <c r="E2189" s="124"/>
    </row>
    <row r="2190" spans="5:5">
      <c r="E2190" s="124"/>
    </row>
    <row r="2191" spans="5:5">
      <c r="E2191" s="124"/>
    </row>
    <row r="2192" spans="5:5">
      <c r="E2192" s="124"/>
    </row>
    <row r="2193" spans="5:5">
      <c r="E2193" s="124"/>
    </row>
    <row r="2194" spans="5:5">
      <c r="E2194" s="124"/>
    </row>
    <row r="2195" spans="5:5">
      <c r="E2195" s="124"/>
    </row>
    <row r="2196" spans="5:5">
      <c r="E2196" s="124"/>
    </row>
    <row r="2197" spans="5:5">
      <c r="E2197" s="124"/>
    </row>
    <row r="2198" spans="5:5">
      <c r="E2198" s="124"/>
    </row>
    <row r="2199" spans="5:5">
      <c r="E2199" s="124"/>
    </row>
    <row r="2200" spans="5:5">
      <c r="E2200" s="124"/>
    </row>
    <row r="2201" spans="5:5">
      <c r="E2201" s="124"/>
    </row>
    <row r="2202" spans="5:5">
      <c r="E2202" s="124"/>
    </row>
    <row r="2203" spans="5:5">
      <c r="E2203" s="124"/>
    </row>
    <row r="2204" spans="5:5">
      <c r="E2204" s="124"/>
    </row>
    <row r="2205" spans="5:5">
      <c r="E2205" s="124"/>
    </row>
    <row r="2206" spans="5:5">
      <c r="E2206" s="124"/>
    </row>
    <row r="2207" spans="5:5">
      <c r="E2207" s="124"/>
    </row>
    <row r="2208" spans="5:5">
      <c r="E2208" s="124"/>
    </row>
    <row r="2209" spans="5:5">
      <c r="E2209" s="124"/>
    </row>
    <row r="2210" spans="5:5">
      <c r="E2210" s="124"/>
    </row>
    <row r="2211" spans="5:5">
      <c r="E2211" s="124"/>
    </row>
    <row r="2212" spans="5:5">
      <c r="E2212" s="124"/>
    </row>
    <row r="2213" spans="5:5">
      <c r="E2213" s="124"/>
    </row>
    <row r="2214" spans="5:5">
      <c r="E2214" s="124"/>
    </row>
    <row r="2215" spans="5:5">
      <c r="E2215" s="124"/>
    </row>
    <row r="2216" spans="5:5">
      <c r="E2216" s="124"/>
    </row>
    <row r="2217" spans="5:5">
      <c r="E2217" s="124"/>
    </row>
    <row r="2218" spans="5:5">
      <c r="E2218" s="124"/>
    </row>
    <row r="2219" spans="5:5">
      <c r="E2219" s="124"/>
    </row>
    <row r="2220" spans="5:5">
      <c r="E2220" s="124"/>
    </row>
    <row r="2221" spans="5:5">
      <c r="E2221" s="124"/>
    </row>
    <row r="2222" spans="5:5">
      <c r="E2222" s="124"/>
    </row>
    <row r="2223" spans="5:5">
      <c r="E2223" s="124"/>
    </row>
    <row r="2224" spans="5:5">
      <c r="E2224" s="124"/>
    </row>
    <row r="2225" spans="5:5">
      <c r="E2225" s="124"/>
    </row>
    <row r="2226" spans="5:5">
      <c r="E2226" s="124"/>
    </row>
    <row r="2227" spans="5:5">
      <c r="E2227" s="124"/>
    </row>
    <row r="2228" spans="5:5">
      <c r="E2228" s="124"/>
    </row>
    <row r="2229" spans="5:5">
      <c r="E2229" s="124"/>
    </row>
    <row r="2230" spans="5:5">
      <c r="E2230" s="124"/>
    </row>
    <row r="2231" spans="5:5">
      <c r="E2231" s="124"/>
    </row>
    <row r="2232" spans="5:5">
      <c r="E2232" s="124"/>
    </row>
    <row r="2233" spans="5:5">
      <c r="E2233" s="124"/>
    </row>
    <row r="2234" spans="5:5">
      <c r="E2234" s="124"/>
    </row>
    <row r="2235" spans="5:5">
      <c r="E2235" s="124"/>
    </row>
    <row r="2236" spans="5:5">
      <c r="E2236" s="124"/>
    </row>
    <row r="2237" spans="5:5">
      <c r="E2237" s="124"/>
    </row>
    <row r="2238" spans="5:5">
      <c r="E2238" s="124"/>
    </row>
    <row r="2239" spans="5:5">
      <c r="E2239" s="124"/>
    </row>
    <row r="2240" spans="5:5">
      <c r="E2240" s="124"/>
    </row>
    <row r="2241" spans="5:5">
      <c r="E2241" s="124"/>
    </row>
    <row r="2242" spans="5:5">
      <c r="E2242" s="124"/>
    </row>
    <row r="2243" spans="5:5">
      <c r="E2243" s="124"/>
    </row>
    <row r="2244" spans="5:5">
      <c r="E2244" s="124"/>
    </row>
    <row r="2245" spans="5:5">
      <c r="E2245" s="124"/>
    </row>
    <row r="2246" spans="5:5">
      <c r="E2246" s="124"/>
    </row>
    <row r="2247" spans="5:5">
      <c r="E2247" s="124"/>
    </row>
    <row r="2248" spans="5:5">
      <c r="E2248" s="124"/>
    </row>
    <row r="2249" spans="5:5">
      <c r="E2249" s="124"/>
    </row>
    <row r="2250" spans="5:5">
      <c r="E2250" s="124"/>
    </row>
    <row r="2251" spans="5:5">
      <c r="E2251" s="124"/>
    </row>
    <row r="2252" spans="5:5">
      <c r="E2252" s="124"/>
    </row>
    <row r="2253" spans="5:5">
      <c r="E2253" s="124"/>
    </row>
    <row r="2254" spans="5:5">
      <c r="E2254" s="124"/>
    </row>
    <row r="2255" spans="5:5">
      <c r="E2255" s="124"/>
    </row>
    <row r="2256" spans="5:5">
      <c r="E2256" s="124"/>
    </row>
    <row r="2257" spans="5:5">
      <c r="E2257" s="124"/>
    </row>
    <row r="2258" spans="5:5">
      <c r="E2258" s="124"/>
    </row>
    <row r="2259" spans="5:5">
      <c r="E2259" s="124"/>
    </row>
    <row r="2260" spans="5:5">
      <c r="E2260" s="124"/>
    </row>
    <row r="2261" spans="5:5">
      <c r="E2261" s="124"/>
    </row>
    <row r="2262" spans="5:5">
      <c r="E2262" s="124"/>
    </row>
    <row r="2263" spans="5:5">
      <c r="E2263" s="124"/>
    </row>
    <row r="2264" spans="5:5">
      <c r="E2264" s="124"/>
    </row>
    <row r="2265" spans="5:5">
      <c r="E2265" s="124"/>
    </row>
    <row r="2266" spans="5:5">
      <c r="E2266" s="124"/>
    </row>
    <row r="2267" spans="5:5">
      <c r="E2267" s="124"/>
    </row>
    <row r="2268" spans="5:5">
      <c r="E2268" s="124"/>
    </row>
    <row r="2269" spans="5:5">
      <c r="E2269" s="124"/>
    </row>
    <row r="2270" spans="5:5">
      <c r="E2270" s="124"/>
    </row>
    <row r="2271" spans="5:5">
      <c r="E2271" s="124"/>
    </row>
    <row r="2272" spans="5:5">
      <c r="E2272" s="124"/>
    </row>
    <row r="2273" spans="5:5">
      <c r="E2273" s="124"/>
    </row>
    <row r="2274" spans="5:5">
      <c r="E2274" s="124"/>
    </row>
    <row r="2275" spans="5:5">
      <c r="E2275" s="124"/>
    </row>
    <row r="2276" spans="5:5">
      <c r="E2276" s="124"/>
    </row>
    <row r="2277" spans="5:5">
      <c r="E2277" s="124"/>
    </row>
    <row r="2278" spans="5:5">
      <c r="E2278" s="124"/>
    </row>
    <row r="2279" spans="5:5">
      <c r="E2279" s="124"/>
    </row>
    <row r="2280" spans="5:5">
      <c r="E2280" s="124"/>
    </row>
    <row r="2281" spans="5:5">
      <c r="E2281" s="124"/>
    </row>
    <row r="2282" spans="5:5">
      <c r="E2282" s="124"/>
    </row>
    <row r="2283" spans="5:5">
      <c r="E2283" s="124"/>
    </row>
    <row r="2284" spans="5:5">
      <c r="E2284" s="124"/>
    </row>
    <row r="2285" spans="5:5">
      <c r="E2285" s="124"/>
    </row>
    <row r="2286" spans="5:5">
      <c r="E2286" s="124"/>
    </row>
    <row r="2287" spans="5:5">
      <c r="E2287" s="124"/>
    </row>
    <row r="2288" spans="5:5">
      <c r="E2288" s="124"/>
    </row>
    <row r="2289" spans="5:5">
      <c r="E2289" s="124"/>
    </row>
    <row r="2290" spans="5:5">
      <c r="E2290" s="124"/>
    </row>
    <row r="2291" spans="5:5">
      <c r="E2291" s="124"/>
    </row>
    <row r="2292" spans="5:5">
      <c r="E2292" s="124"/>
    </row>
    <row r="2293" spans="5:5">
      <c r="E2293" s="124"/>
    </row>
    <row r="2294" spans="5:5">
      <c r="E2294" s="124"/>
    </row>
    <row r="2295" spans="5:5">
      <c r="E2295" s="124"/>
    </row>
    <row r="2296" spans="5:5">
      <c r="E2296" s="124"/>
    </row>
    <row r="2297" spans="5:5">
      <c r="E2297" s="124"/>
    </row>
    <row r="2298" spans="5:5">
      <c r="E2298" s="124"/>
    </row>
    <row r="2299" spans="5:5">
      <c r="E2299" s="124"/>
    </row>
    <row r="2300" spans="5:5">
      <c r="E2300" s="124"/>
    </row>
    <row r="2301" spans="5:5">
      <c r="E2301" s="124"/>
    </row>
    <row r="2302" spans="5:5">
      <c r="E2302" s="124"/>
    </row>
    <row r="2303" spans="5:5">
      <c r="E2303" s="124"/>
    </row>
    <row r="2304" spans="5:5">
      <c r="E2304" s="124"/>
    </row>
    <row r="2305" spans="5:5">
      <c r="E2305" s="124"/>
    </row>
    <row r="2306" spans="5:5">
      <c r="E2306" s="124"/>
    </row>
    <row r="2307" spans="5:5">
      <c r="E2307" s="124"/>
    </row>
    <row r="2308" spans="5:5">
      <c r="E2308" s="124"/>
    </row>
    <row r="2309" spans="5:5">
      <c r="E2309" s="124"/>
    </row>
    <row r="2310" spans="5:5">
      <c r="E2310" s="124"/>
    </row>
    <row r="2311" spans="5:5">
      <c r="E2311" s="124"/>
    </row>
    <row r="2312" spans="5:5">
      <c r="E2312" s="124"/>
    </row>
    <row r="2313" spans="5:5">
      <c r="E2313" s="124"/>
    </row>
    <row r="2314" spans="5:5">
      <c r="E2314" s="124"/>
    </row>
    <row r="2315" spans="5:5">
      <c r="E2315" s="124"/>
    </row>
    <row r="2316" spans="5:5">
      <c r="E2316" s="124"/>
    </row>
    <row r="2317" spans="5:5">
      <c r="E2317" s="124"/>
    </row>
    <row r="2318" spans="5:5">
      <c r="E2318" s="124"/>
    </row>
    <row r="2319" spans="5:5">
      <c r="E2319" s="124"/>
    </row>
    <row r="2320" spans="5:5">
      <c r="E2320" s="124"/>
    </row>
    <row r="2321" spans="5:5">
      <c r="E2321" s="124"/>
    </row>
    <row r="2322" spans="5:5">
      <c r="E2322" s="124"/>
    </row>
    <row r="2323" spans="5:5">
      <c r="E2323" s="124"/>
    </row>
    <row r="2324" spans="5:5">
      <c r="E2324" s="124"/>
    </row>
    <row r="2325" spans="5:5">
      <c r="E2325" s="124"/>
    </row>
    <row r="2326" spans="5:5">
      <c r="E2326" s="124"/>
    </row>
    <row r="2327" spans="5:5">
      <c r="E2327" s="124"/>
    </row>
    <row r="2328" spans="5:5">
      <c r="E2328" s="124"/>
    </row>
    <row r="2329" spans="5:5">
      <c r="E2329" s="124"/>
    </row>
    <row r="2330" spans="5:5">
      <c r="E2330" s="124"/>
    </row>
    <row r="2331" spans="5:5">
      <c r="E2331" s="124"/>
    </row>
    <row r="2332" spans="5:5">
      <c r="E2332" s="124"/>
    </row>
    <row r="2333" spans="5:5">
      <c r="E2333" s="124"/>
    </row>
    <row r="2334" spans="5:5">
      <c r="E2334" s="124"/>
    </row>
    <row r="2335" spans="5:5">
      <c r="E2335" s="124"/>
    </row>
    <row r="2336" spans="5:5">
      <c r="E2336" s="124"/>
    </row>
    <row r="2337" spans="5:5">
      <c r="E2337" s="124"/>
    </row>
    <row r="2338" spans="5:5">
      <c r="E2338" s="124"/>
    </row>
    <row r="2339" spans="5:5">
      <c r="E2339" s="124"/>
    </row>
    <row r="2340" spans="5:5">
      <c r="E2340" s="124"/>
    </row>
    <row r="2341" spans="5:5">
      <c r="E2341" s="124"/>
    </row>
    <row r="2342" spans="5:5">
      <c r="E2342" s="124"/>
    </row>
    <row r="2343" spans="5:5">
      <c r="E2343" s="124"/>
    </row>
    <row r="2344" spans="5:5">
      <c r="E2344" s="124"/>
    </row>
    <row r="2345" spans="5:5">
      <c r="E2345" s="124"/>
    </row>
    <row r="2346" spans="5:5">
      <c r="E2346" s="124"/>
    </row>
    <row r="2347" spans="5:5">
      <c r="E2347" s="124"/>
    </row>
    <row r="2348" spans="5:5">
      <c r="E2348" s="124"/>
    </row>
    <row r="2349" spans="5:5">
      <c r="E2349" s="124"/>
    </row>
    <row r="2350" spans="5:5">
      <c r="E2350" s="124"/>
    </row>
    <row r="2351" spans="5:5">
      <c r="E2351" s="124"/>
    </row>
    <row r="2352" spans="5:5">
      <c r="E2352" s="124"/>
    </row>
    <row r="2353" spans="5:5">
      <c r="E2353" s="124"/>
    </row>
    <row r="2354" spans="5:5">
      <c r="E2354" s="124"/>
    </row>
    <row r="2355" spans="5:5">
      <c r="E2355" s="124"/>
    </row>
    <row r="2356" spans="5:5">
      <c r="E2356" s="124"/>
    </row>
    <row r="2357" spans="5:5">
      <c r="E2357" s="124"/>
    </row>
    <row r="2358" spans="5:5">
      <c r="E2358" s="124"/>
    </row>
    <row r="2359" spans="5:5">
      <c r="E2359" s="124"/>
    </row>
    <row r="2360" spans="5:5">
      <c r="E2360" s="124"/>
    </row>
    <row r="2361" spans="5:5">
      <c r="E2361" s="124"/>
    </row>
    <row r="2362" spans="5:5">
      <c r="E2362" s="124"/>
    </row>
    <row r="2363" spans="5:5">
      <c r="E2363" s="124"/>
    </row>
    <row r="2364" spans="5:5">
      <c r="E2364" s="124"/>
    </row>
    <row r="2365" spans="5:5">
      <c r="E2365" s="124"/>
    </row>
    <row r="2366" spans="5:5">
      <c r="E2366" s="124"/>
    </row>
    <row r="2367" spans="5:5">
      <c r="E2367" s="124"/>
    </row>
    <row r="2368" spans="5:5">
      <c r="E2368" s="124"/>
    </row>
    <row r="2369" spans="5:5">
      <c r="E2369" s="124"/>
    </row>
    <row r="2370" spans="5:5">
      <c r="E2370" s="124"/>
    </row>
    <row r="2371" spans="5:5">
      <c r="E2371" s="124"/>
    </row>
    <row r="2372" spans="5:5">
      <c r="E2372" s="124"/>
    </row>
    <row r="2373" spans="5:5">
      <c r="E2373" s="124"/>
    </row>
    <row r="2374" spans="5:5">
      <c r="E2374" s="124"/>
    </row>
    <row r="2375" spans="5:5">
      <c r="E2375" s="124"/>
    </row>
    <row r="2376" spans="5:5">
      <c r="E2376" s="124"/>
    </row>
    <row r="2377" spans="5:5">
      <c r="E2377" s="124"/>
    </row>
    <row r="2378" spans="5:5">
      <c r="E2378" s="124"/>
    </row>
    <row r="2379" spans="5:5">
      <c r="E2379" s="124"/>
    </row>
    <row r="2380" spans="5:5">
      <c r="E2380" s="124"/>
    </row>
    <row r="2381" spans="5:5">
      <c r="E2381" s="124"/>
    </row>
    <row r="2382" spans="5:5">
      <c r="E2382" s="124"/>
    </row>
    <row r="2383" spans="5:5">
      <c r="E2383" s="124"/>
    </row>
    <row r="2384" spans="5:5">
      <c r="E2384" s="124"/>
    </row>
    <row r="2385" spans="5:5">
      <c r="E2385" s="124"/>
    </row>
    <row r="2386" spans="5:5">
      <c r="E2386" s="124"/>
    </row>
    <row r="2387" spans="5:5">
      <c r="E2387" s="124"/>
    </row>
    <row r="2388" spans="5:5">
      <c r="E2388" s="124"/>
    </row>
    <row r="2389" spans="5:5">
      <c r="E2389" s="124"/>
    </row>
    <row r="2390" spans="5:5">
      <c r="E2390" s="124"/>
    </row>
    <row r="2391" spans="5:5">
      <c r="E2391" s="124"/>
    </row>
    <row r="2392" spans="5:5">
      <c r="E2392" s="124"/>
    </row>
    <row r="2393" spans="5:5">
      <c r="E2393" s="124"/>
    </row>
    <row r="2394" spans="5:5">
      <c r="E2394" s="124"/>
    </row>
    <row r="2395" spans="5:5">
      <c r="E2395" s="124"/>
    </row>
    <row r="2396" spans="5:5">
      <c r="E2396" s="124"/>
    </row>
    <row r="2397" spans="5:5">
      <c r="E2397" s="124"/>
    </row>
    <row r="2398" spans="5:5">
      <c r="E2398" s="124"/>
    </row>
    <row r="2399" spans="5:5">
      <c r="E2399" s="124"/>
    </row>
    <row r="2400" spans="5:5">
      <c r="E2400" s="124"/>
    </row>
    <row r="2401" spans="5:5">
      <c r="E2401" s="124"/>
    </row>
    <row r="2402" spans="5:5">
      <c r="E2402" s="124"/>
    </row>
    <row r="2403" spans="5:5">
      <c r="E2403" s="124"/>
    </row>
    <row r="2404" spans="5:5">
      <c r="E2404" s="124"/>
    </row>
    <row r="2405" spans="5:5">
      <c r="E2405" s="124"/>
    </row>
    <row r="2406" spans="5:5">
      <c r="E2406" s="124"/>
    </row>
    <row r="2407" spans="5:5">
      <c r="E2407" s="124"/>
    </row>
    <row r="2408" spans="5:5">
      <c r="E2408" s="124"/>
    </row>
    <row r="2409" spans="5:5">
      <c r="E2409" s="124"/>
    </row>
    <row r="2410" spans="5:5">
      <c r="E2410" s="124"/>
    </row>
    <row r="2411" spans="5:5">
      <c r="E2411" s="124"/>
    </row>
    <row r="2412" spans="5:5">
      <c r="E2412" s="124"/>
    </row>
    <row r="2413" spans="5:5">
      <c r="E2413" s="124"/>
    </row>
    <row r="2414" spans="5:5">
      <c r="E2414" s="124"/>
    </row>
    <row r="2415" spans="5:5">
      <c r="E2415" s="124"/>
    </row>
    <row r="2416" spans="5:5">
      <c r="E2416" s="124"/>
    </row>
    <row r="2417" spans="5:5">
      <c r="E2417" s="124"/>
    </row>
    <row r="2418" spans="5:5">
      <c r="E2418" s="124"/>
    </row>
    <row r="2419" spans="5:5">
      <c r="E2419" s="124"/>
    </row>
    <row r="2420" spans="5:5">
      <c r="E2420" s="124"/>
    </row>
    <row r="2421" spans="5:5">
      <c r="E2421" s="124"/>
    </row>
    <row r="2422" spans="5:5">
      <c r="E2422" s="124"/>
    </row>
    <row r="2423" spans="5:5">
      <c r="E2423" s="124"/>
    </row>
    <row r="2424" spans="5:5">
      <c r="E2424" s="124"/>
    </row>
    <row r="2425" spans="5:5">
      <c r="E2425" s="124"/>
    </row>
    <row r="2426" spans="5:5">
      <c r="E2426" s="124"/>
    </row>
    <row r="2427" spans="5:5">
      <c r="E2427" s="124"/>
    </row>
    <row r="2428" spans="5:5">
      <c r="E2428" s="124"/>
    </row>
    <row r="2429" spans="5:5">
      <c r="E2429" s="124"/>
    </row>
    <row r="2430" spans="5:5">
      <c r="E2430" s="124"/>
    </row>
    <row r="2431" spans="5:5">
      <c r="E2431" s="124"/>
    </row>
    <row r="2432" spans="5:5">
      <c r="E2432" s="124"/>
    </row>
    <row r="2433" spans="5:5">
      <c r="E2433" s="124"/>
    </row>
    <row r="2434" spans="5:5">
      <c r="E2434" s="124"/>
    </row>
    <row r="2435" spans="5:5">
      <c r="E2435" s="124"/>
    </row>
    <row r="2436" spans="5:5">
      <c r="E2436" s="124"/>
    </row>
    <row r="2437" spans="5:5">
      <c r="E2437" s="124"/>
    </row>
    <row r="2438" spans="5:5">
      <c r="E2438" s="124"/>
    </row>
    <row r="2439" spans="5:5">
      <c r="E2439" s="124"/>
    </row>
    <row r="2440" spans="5:5">
      <c r="E2440" s="124"/>
    </row>
    <row r="2441" spans="5:5">
      <c r="E2441" s="124"/>
    </row>
    <row r="2442" spans="5:5">
      <c r="E2442" s="124"/>
    </row>
    <row r="2443" spans="5:5">
      <c r="E2443" s="124"/>
    </row>
    <row r="2444" spans="5:5">
      <c r="E2444" s="124"/>
    </row>
    <row r="2445" spans="5:5">
      <c r="E2445" s="124"/>
    </row>
    <row r="2446" spans="5:5">
      <c r="E2446" s="124"/>
    </row>
    <row r="2447" spans="5:5">
      <c r="E2447" s="124"/>
    </row>
    <row r="2448" spans="5:5">
      <c r="E2448" s="124"/>
    </row>
    <row r="2449" spans="5:5">
      <c r="E2449" s="124"/>
    </row>
    <row r="2450" spans="5:5">
      <c r="E2450" s="124"/>
    </row>
    <row r="2451" spans="5:5">
      <c r="E2451" s="124"/>
    </row>
    <row r="2452" spans="5:5">
      <c r="E2452" s="124"/>
    </row>
    <row r="2453" spans="5:5">
      <c r="E2453" s="124"/>
    </row>
    <row r="2454" spans="5:5">
      <c r="E2454" s="124"/>
    </row>
    <row r="2455" spans="5:5">
      <c r="E2455" s="124"/>
    </row>
    <row r="2456" spans="5:5">
      <c r="E2456" s="124"/>
    </row>
    <row r="2457" spans="5:5">
      <c r="E2457" s="124"/>
    </row>
    <row r="2458" spans="5:5">
      <c r="E2458" s="124"/>
    </row>
    <row r="2459" spans="5:5">
      <c r="E2459" s="124"/>
    </row>
    <row r="2460" spans="5:5">
      <c r="E2460" s="124"/>
    </row>
    <row r="2461" spans="5:5">
      <c r="E2461" s="124"/>
    </row>
    <row r="2462" spans="5:5">
      <c r="E2462" s="124"/>
    </row>
    <row r="2463" spans="5:5">
      <c r="E2463" s="124"/>
    </row>
    <row r="2464" spans="5:5">
      <c r="E2464" s="124"/>
    </row>
    <row r="2465" spans="5:5">
      <c r="E2465" s="124"/>
    </row>
    <row r="2466" spans="5:5">
      <c r="E2466" s="124"/>
    </row>
    <row r="2467" spans="5:5">
      <c r="E2467" s="124"/>
    </row>
    <row r="2468" spans="5:5">
      <c r="E2468" s="124"/>
    </row>
    <row r="2469" spans="5:5">
      <c r="E2469" s="124"/>
    </row>
    <row r="2470" spans="5:5">
      <c r="E2470" s="124"/>
    </row>
    <row r="2471" spans="5:5">
      <c r="E2471" s="124"/>
    </row>
    <row r="2472" spans="5:5">
      <c r="E2472" s="124"/>
    </row>
    <row r="2473" spans="5:5">
      <c r="E2473" s="124"/>
    </row>
    <row r="2474" spans="5:5">
      <c r="E2474" s="124"/>
    </row>
    <row r="2475" spans="5:5">
      <c r="E2475" s="124"/>
    </row>
    <row r="2476" spans="5:5">
      <c r="E2476" s="124"/>
    </row>
    <row r="2477" spans="5:5">
      <c r="E2477" s="124"/>
    </row>
    <row r="2478" spans="5:5">
      <c r="E2478" s="124"/>
    </row>
    <row r="2479" spans="5:5">
      <c r="E2479" s="124"/>
    </row>
    <row r="2480" spans="5:5">
      <c r="E2480" s="124"/>
    </row>
    <row r="2481" spans="5:5">
      <c r="E2481" s="124"/>
    </row>
    <row r="2482" spans="5:5">
      <c r="E2482" s="124"/>
    </row>
    <row r="2483" spans="5:5">
      <c r="E2483" s="124"/>
    </row>
    <row r="2484" spans="5:5">
      <c r="E2484" s="124"/>
    </row>
    <row r="2485" spans="5:5">
      <c r="E2485" s="124"/>
    </row>
    <row r="2486" spans="5:5">
      <c r="E2486" s="124"/>
    </row>
    <row r="2487" spans="5:5">
      <c r="E2487" s="124"/>
    </row>
    <row r="2488" spans="5:5">
      <c r="E2488" s="124"/>
    </row>
    <row r="2489" spans="5:5">
      <c r="E2489" s="124"/>
    </row>
    <row r="2490" spans="5:5">
      <c r="E2490" s="124"/>
    </row>
    <row r="2491" spans="5:5">
      <c r="E2491" s="124"/>
    </row>
    <row r="2492" spans="5:5">
      <c r="E2492" s="124"/>
    </row>
    <row r="2493" spans="5:5">
      <c r="E2493" s="124"/>
    </row>
    <row r="2494" spans="5:5">
      <c r="E2494" s="124"/>
    </row>
    <row r="2495" spans="5:5">
      <c r="E2495" s="124"/>
    </row>
    <row r="2496" spans="5:5">
      <c r="E2496" s="124"/>
    </row>
    <row r="2497" spans="5:5">
      <c r="E2497" s="124"/>
    </row>
    <row r="2498" spans="5:5">
      <c r="E2498" s="124"/>
    </row>
    <row r="2499" spans="5:5">
      <c r="E2499" s="124"/>
    </row>
    <row r="2500" spans="5:5">
      <c r="E2500" s="124"/>
    </row>
    <row r="2501" spans="5:5">
      <c r="E2501" s="124"/>
    </row>
    <row r="2502" spans="5:5">
      <c r="E2502" s="124"/>
    </row>
    <row r="2503" spans="5:5">
      <c r="E2503" s="124"/>
    </row>
    <row r="2504" spans="5:5">
      <c r="E2504" s="124"/>
    </row>
    <row r="2505" spans="5:5">
      <c r="E2505" s="124"/>
    </row>
    <row r="2506" spans="5:5">
      <c r="E2506" s="124"/>
    </row>
    <row r="2507" spans="5:5">
      <c r="E2507" s="124"/>
    </row>
    <row r="2508" spans="5:5">
      <c r="E2508" s="124"/>
    </row>
    <row r="2509" spans="5:5">
      <c r="E2509" s="124"/>
    </row>
    <row r="2510" spans="5:5">
      <c r="E2510" s="124"/>
    </row>
    <row r="2511" spans="5:5">
      <c r="E2511" s="124"/>
    </row>
    <row r="2512" spans="5:5">
      <c r="E2512" s="124"/>
    </row>
    <row r="2513" spans="5:5">
      <c r="E2513" s="124"/>
    </row>
    <row r="2514" spans="5:5">
      <c r="E2514" s="124"/>
    </row>
    <row r="2515" spans="5:5">
      <c r="E2515" s="124"/>
    </row>
    <row r="2516" spans="5:5">
      <c r="E2516" s="124"/>
    </row>
    <row r="2517" spans="5:5">
      <c r="E2517" s="124"/>
    </row>
    <row r="2518" spans="5:5">
      <c r="E2518" s="124"/>
    </row>
    <row r="2519" spans="5:5">
      <c r="E2519" s="124"/>
    </row>
    <row r="2520" spans="5:5">
      <c r="E2520" s="124"/>
    </row>
    <row r="2521" spans="5:5">
      <c r="E2521" s="124"/>
    </row>
    <row r="2522" spans="5:5">
      <c r="E2522" s="124"/>
    </row>
    <row r="2523" spans="5:5">
      <c r="E2523" s="124"/>
    </row>
    <row r="2524" spans="5:5">
      <c r="E2524" s="124"/>
    </row>
    <row r="2525" spans="5:5">
      <c r="E2525" s="124"/>
    </row>
    <row r="2526" spans="5:5">
      <c r="E2526" s="124"/>
    </row>
    <row r="2527" spans="5:5">
      <c r="E2527" s="124"/>
    </row>
    <row r="2528" spans="5:5">
      <c r="E2528" s="124"/>
    </row>
    <row r="2529" spans="5:5">
      <c r="E2529" s="124"/>
    </row>
    <row r="2530" spans="5:5">
      <c r="E2530" s="124"/>
    </row>
    <row r="2531" spans="5:5">
      <c r="E2531" s="124"/>
    </row>
    <row r="2532" spans="5:5">
      <c r="E2532" s="124"/>
    </row>
    <row r="2533" spans="5:5">
      <c r="E2533" s="124"/>
    </row>
    <row r="2534" spans="5:5">
      <c r="E2534" s="124"/>
    </row>
    <row r="2535" spans="5:5">
      <c r="E2535" s="124"/>
    </row>
    <row r="2536" spans="5:5">
      <c r="E2536" s="124"/>
    </row>
    <row r="2537" spans="5:5">
      <c r="E2537" s="124"/>
    </row>
    <row r="2538" spans="5:5">
      <c r="E2538" s="124"/>
    </row>
    <row r="2539" spans="5:5">
      <c r="E2539" s="124"/>
    </row>
    <row r="2540" spans="5:5">
      <c r="E2540" s="124"/>
    </row>
    <row r="2541" spans="5:5">
      <c r="E2541" s="124"/>
    </row>
    <row r="2542" spans="5:5">
      <c r="E2542" s="124"/>
    </row>
    <row r="2543" spans="5:5">
      <c r="E2543" s="124"/>
    </row>
    <row r="2544" spans="5:5">
      <c r="E2544" s="124"/>
    </row>
    <row r="2545" spans="5:5">
      <c r="E2545" s="124"/>
    </row>
    <row r="2546" spans="5:5">
      <c r="E2546" s="124"/>
    </row>
    <row r="2547" spans="5:5">
      <c r="E2547" s="124"/>
    </row>
    <row r="2548" spans="5:5">
      <c r="E2548" s="124"/>
    </row>
    <row r="2549" spans="5:5">
      <c r="E2549" s="124"/>
    </row>
    <row r="2550" spans="5:5">
      <c r="E2550" s="124"/>
    </row>
    <row r="2551" spans="5:5">
      <c r="E2551" s="124"/>
    </row>
    <row r="2552" spans="5:5">
      <c r="E2552" s="124"/>
    </row>
    <row r="2553" spans="5:5">
      <c r="E2553" s="124"/>
    </row>
    <row r="2554" spans="5:5">
      <c r="E2554" s="124"/>
    </row>
    <row r="2555" spans="5:5">
      <c r="E2555" s="124"/>
    </row>
    <row r="2556" spans="5:5">
      <c r="E2556" s="124"/>
    </row>
    <row r="2557" spans="5:5">
      <c r="E2557" s="124"/>
    </row>
    <row r="2558" spans="5:5">
      <c r="E2558" s="124"/>
    </row>
    <row r="2559" spans="5:5">
      <c r="E2559" s="124"/>
    </row>
    <row r="2560" spans="5:5">
      <c r="E2560" s="124"/>
    </row>
    <row r="2561" spans="5:5">
      <c r="E2561" s="124"/>
    </row>
    <row r="2562" spans="5:5">
      <c r="E2562" s="124"/>
    </row>
    <row r="2563" spans="5:5">
      <c r="E2563" s="124"/>
    </row>
    <row r="2564" spans="5:5">
      <c r="E2564" s="124"/>
    </row>
    <row r="2565" spans="5:5">
      <c r="E2565" s="124"/>
    </row>
    <row r="2566" spans="5:5">
      <c r="E2566" s="124"/>
    </row>
    <row r="2567" spans="5:5">
      <c r="E2567" s="124"/>
    </row>
    <row r="2568" spans="5:5">
      <c r="E2568" s="124"/>
    </row>
    <row r="2569" spans="5:5">
      <c r="E2569" s="124"/>
    </row>
    <row r="2570" spans="5:5">
      <c r="E2570" s="124"/>
    </row>
    <row r="2571" spans="5:5">
      <c r="E2571" s="124"/>
    </row>
    <row r="2572" spans="5:5">
      <c r="E2572" s="124"/>
    </row>
    <row r="2573" spans="5:5">
      <c r="E2573" s="124"/>
    </row>
    <row r="2574" spans="5:5">
      <c r="E2574" s="124"/>
    </row>
    <row r="2575" spans="5:5">
      <c r="E2575" s="124"/>
    </row>
    <row r="2576" spans="5:5">
      <c r="E2576" s="124"/>
    </row>
    <row r="2577" spans="5:5">
      <c r="E2577" s="124"/>
    </row>
    <row r="2578" spans="5:5">
      <c r="E2578" s="124"/>
    </row>
    <row r="2579" spans="5:5">
      <c r="E2579" s="124"/>
    </row>
    <row r="2580" spans="5:5">
      <c r="E2580" s="124"/>
    </row>
    <row r="2581" spans="5:5">
      <c r="E2581" s="124"/>
    </row>
    <row r="2582" spans="5:5">
      <c r="E2582" s="124"/>
    </row>
    <row r="2583" spans="5:5">
      <c r="E2583" s="124"/>
    </row>
    <row r="2584" spans="5:5">
      <c r="E2584" s="124"/>
    </row>
    <row r="2585" spans="5:5">
      <c r="E2585" s="124"/>
    </row>
    <row r="2586" spans="5:5">
      <c r="E2586" s="124"/>
    </row>
    <row r="2587" spans="5:5">
      <c r="E2587" s="124"/>
    </row>
    <row r="2588" spans="5:5">
      <c r="E2588" s="124"/>
    </row>
    <row r="2589" spans="5:5">
      <c r="E2589" s="124"/>
    </row>
    <row r="2590" spans="5:5">
      <c r="E2590" s="124"/>
    </row>
    <row r="2591" spans="5:5">
      <c r="E2591" s="124"/>
    </row>
    <row r="2592" spans="5:5">
      <c r="E2592" s="124"/>
    </row>
    <row r="2593" spans="5:5">
      <c r="E2593" s="124"/>
    </row>
    <row r="2594" spans="5:5">
      <c r="E2594" s="124"/>
    </row>
    <row r="2595" spans="5:5">
      <c r="E2595" s="124"/>
    </row>
    <row r="2596" spans="5:5">
      <c r="E2596" s="124"/>
    </row>
    <row r="2597" spans="5:5">
      <c r="E2597" s="124"/>
    </row>
    <row r="2598" spans="5:5">
      <c r="E2598" s="124"/>
    </row>
    <row r="2599" spans="5:5">
      <c r="E2599" s="124"/>
    </row>
    <row r="2600" spans="5:5">
      <c r="E2600" s="124"/>
    </row>
    <row r="2601" spans="5:5">
      <c r="E2601" s="124"/>
    </row>
    <row r="2602" spans="5:5">
      <c r="E2602" s="124"/>
    </row>
    <row r="2603" spans="5:5">
      <c r="E2603" s="124"/>
    </row>
    <row r="2604" spans="5:5">
      <c r="E2604" s="124"/>
    </row>
    <row r="2605" spans="5:5">
      <c r="E2605" s="124"/>
    </row>
    <row r="2606" spans="5:5">
      <c r="E2606" s="124"/>
    </row>
    <row r="2607" spans="5:5">
      <c r="E2607" s="124"/>
    </row>
    <row r="2608" spans="5:5">
      <c r="E2608" s="124"/>
    </row>
    <row r="2609" spans="5:5">
      <c r="E2609" s="124"/>
    </row>
    <row r="2610" spans="5:5">
      <c r="E2610" s="124"/>
    </row>
    <row r="2611" spans="5:5">
      <c r="E2611" s="124"/>
    </row>
    <row r="2612" spans="5:5">
      <c r="E2612" s="124"/>
    </row>
    <row r="2613" spans="5:5">
      <c r="E2613" s="124"/>
    </row>
    <row r="2614" spans="5:5">
      <c r="E2614" s="124"/>
    </row>
    <row r="2615" spans="5:5">
      <c r="E2615" s="124"/>
    </row>
    <row r="2616" spans="5:5">
      <c r="E2616" s="124"/>
    </row>
    <row r="2617" spans="5:5">
      <c r="E2617" s="124"/>
    </row>
    <row r="2618" spans="5:5">
      <c r="E2618" s="124"/>
    </row>
    <row r="2619" spans="5:5">
      <c r="E2619" s="124"/>
    </row>
    <row r="2620" spans="5:5">
      <c r="E2620" s="124"/>
    </row>
    <row r="2621" spans="5:5">
      <c r="E2621" s="124"/>
    </row>
    <row r="2622" spans="5:5">
      <c r="E2622" s="124"/>
    </row>
    <row r="2623" spans="5:5">
      <c r="E2623" s="124"/>
    </row>
    <row r="2624" spans="5:5">
      <c r="E2624" s="124"/>
    </row>
    <row r="2625" spans="5:5">
      <c r="E2625" s="124"/>
    </row>
    <row r="2626" spans="5:5">
      <c r="E2626" s="124"/>
    </row>
    <row r="2627" spans="5:5">
      <c r="E2627" s="124"/>
    </row>
    <row r="2628" spans="5:5">
      <c r="E2628" s="124"/>
    </row>
    <row r="2629" spans="5:5">
      <c r="E2629" s="124"/>
    </row>
    <row r="2630" spans="5:5">
      <c r="E2630" s="124"/>
    </row>
    <row r="2631" spans="5:5">
      <c r="E2631" s="124"/>
    </row>
    <row r="2632" spans="5:5">
      <c r="E2632" s="124"/>
    </row>
    <row r="2633" spans="5:5">
      <c r="E2633" s="124"/>
    </row>
    <row r="2634" spans="5:5">
      <c r="E2634" s="124"/>
    </row>
    <row r="2635" spans="5:5">
      <c r="E2635" s="124"/>
    </row>
    <row r="2636" spans="5:5">
      <c r="E2636" s="124"/>
    </row>
    <row r="2637" spans="5:5">
      <c r="E2637" s="124"/>
    </row>
    <row r="2638" spans="5:5">
      <c r="E2638" s="124"/>
    </row>
    <row r="2639" spans="5:5">
      <c r="E2639" s="124"/>
    </row>
    <row r="2640" spans="5:5">
      <c r="E2640" s="124"/>
    </row>
    <row r="2641" spans="5:5">
      <c r="E2641" s="124"/>
    </row>
    <row r="2642" spans="5:5">
      <c r="E2642" s="124"/>
    </row>
    <row r="2643" spans="5:5">
      <c r="E2643" s="124"/>
    </row>
    <row r="2644" spans="5:5">
      <c r="E2644" s="124"/>
    </row>
    <row r="2645" spans="5:5">
      <c r="E2645" s="124"/>
    </row>
    <row r="2646" spans="5:5">
      <c r="E2646" s="124"/>
    </row>
    <row r="2647" spans="5:5">
      <c r="E2647" s="124"/>
    </row>
    <row r="2648" spans="5:5">
      <c r="E2648" s="124"/>
    </row>
    <row r="2649" spans="5:5">
      <c r="E2649" s="124"/>
    </row>
    <row r="2650" spans="5:5">
      <c r="E2650" s="124"/>
    </row>
    <row r="2651" spans="5:5">
      <c r="E2651" s="124"/>
    </row>
    <row r="2652" spans="5:5">
      <c r="E2652" s="124"/>
    </row>
    <row r="2653" spans="5:5">
      <c r="E2653" s="124"/>
    </row>
    <row r="2654" spans="5:5">
      <c r="E2654" s="124"/>
    </row>
    <row r="2655" spans="5:5">
      <c r="E2655" s="124"/>
    </row>
    <row r="2656" spans="5:5">
      <c r="E2656" s="124"/>
    </row>
    <row r="2657" spans="5:5">
      <c r="E2657" s="124"/>
    </row>
    <row r="2658" spans="5:5">
      <c r="E2658" s="124"/>
    </row>
    <row r="2659" spans="5:5">
      <c r="E2659" s="124"/>
    </row>
    <row r="2660" spans="5:5">
      <c r="E2660" s="124"/>
    </row>
    <row r="2661" spans="5:5">
      <c r="E2661" s="124"/>
    </row>
    <row r="2662" spans="5:5">
      <c r="E2662" s="124"/>
    </row>
    <row r="2663" spans="5:5">
      <c r="E2663" s="124"/>
    </row>
    <row r="2664" spans="5:5">
      <c r="E2664" s="124"/>
    </row>
    <row r="2665" spans="5:5">
      <c r="E2665" s="124"/>
    </row>
    <row r="2666" spans="5:5">
      <c r="E2666" s="124"/>
    </row>
    <row r="2667" spans="5:5">
      <c r="E2667" s="124"/>
    </row>
    <row r="2668" spans="5:5">
      <c r="E2668" s="124"/>
    </row>
    <row r="2669" spans="5:5">
      <c r="E2669" s="124"/>
    </row>
    <row r="2670" spans="5:5">
      <c r="E2670" s="124"/>
    </row>
    <row r="2671" spans="5:5">
      <c r="E2671" s="124"/>
    </row>
    <row r="2672" spans="5:5">
      <c r="E2672" s="124"/>
    </row>
    <row r="2673" spans="5:5">
      <c r="E2673" s="124"/>
    </row>
    <row r="2674" spans="5:5">
      <c r="E2674" s="124"/>
    </row>
    <row r="2675" spans="5:5">
      <c r="E2675" s="124"/>
    </row>
    <row r="2676" spans="5:5">
      <c r="E2676" s="124"/>
    </row>
    <row r="2677" spans="5:5">
      <c r="E2677" s="124"/>
    </row>
    <row r="2678" spans="5:5">
      <c r="E2678" s="124"/>
    </row>
    <row r="2679" spans="5:5">
      <c r="E2679" s="124"/>
    </row>
    <row r="2680" spans="5:5">
      <c r="E2680" s="124"/>
    </row>
    <row r="2681" spans="5:5">
      <c r="E2681" s="124"/>
    </row>
    <row r="2682" spans="5:5">
      <c r="E2682" s="124"/>
    </row>
    <row r="2683" spans="5:5">
      <c r="E2683" s="124"/>
    </row>
    <row r="2684" spans="5:5">
      <c r="E2684" s="124"/>
    </row>
    <row r="2685" spans="5:5">
      <c r="E2685" s="124"/>
    </row>
    <row r="2686" spans="5:5">
      <c r="E2686" s="124"/>
    </row>
    <row r="2687" spans="5:5">
      <c r="E2687" s="124"/>
    </row>
    <row r="2688" spans="5:5">
      <c r="E2688" s="124"/>
    </row>
    <row r="2689" spans="5:5">
      <c r="E2689" s="124"/>
    </row>
    <row r="2690" spans="5:5">
      <c r="E2690" s="124"/>
    </row>
    <row r="2691" spans="5:5">
      <c r="E2691" s="124"/>
    </row>
    <row r="2692" spans="5:5">
      <c r="E2692" s="124"/>
    </row>
    <row r="2693" spans="5:5">
      <c r="E2693" s="124"/>
    </row>
    <row r="2694" spans="5:5">
      <c r="E2694" s="124"/>
    </row>
    <row r="2695" spans="5:5">
      <c r="E2695" s="124"/>
    </row>
    <row r="2696" spans="5:5">
      <c r="E2696" s="124"/>
    </row>
    <row r="2697" spans="5:5">
      <c r="E2697" s="124"/>
    </row>
    <row r="2698" spans="5:5">
      <c r="E2698" s="124"/>
    </row>
    <row r="2699" spans="5:5">
      <c r="E2699" s="124"/>
    </row>
    <row r="2700" spans="5:5">
      <c r="E2700" s="124"/>
    </row>
    <row r="2701" spans="5:5">
      <c r="E2701" s="124"/>
    </row>
    <row r="2702" spans="5:5">
      <c r="E2702" s="124"/>
    </row>
    <row r="2703" spans="5:5">
      <c r="E2703" s="124"/>
    </row>
    <row r="2704" spans="5:5">
      <c r="E2704" s="124"/>
    </row>
    <row r="2705" spans="5:5">
      <c r="E2705" s="124"/>
    </row>
    <row r="2706" spans="5:5">
      <c r="E2706" s="124"/>
    </row>
    <row r="2707" spans="5:5">
      <c r="E2707" s="124"/>
    </row>
    <row r="2708" spans="5:5">
      <c r="E2708" s="124"/>
    </row>
    <row r="2709" spans="5:5">
      <c r="E2709" s="124"/>
    </row>
    <row r="2710" spans="5:5">
      <c r="E2710" s="124"/>
    </row>
    <row r="2711" spans="5:5">
      <c r="E2711" s="124"/>
    </row>
    <row r="2712" spans="5:5">
      <c r="E2712" s="124"/>
    </row>
    <row r="2713" spans="5:5">
      <c r="E2713" s="124"/>
    </row>
    <row r="2714" spans="5:5">
      <c r="E2714" s="124"/>
    </row>
    <row r="2715" spans="5:5">
      <c r="E2715" s="124"/>
    </row>
    <row r="2716" spans="5:5">
      <c r="E2716" s="124"/>
    </row>
    <row r="2717" spans="5:5">
      <c r="E2717" s="124"/>
    </row>
    <row r="2718" spans="5:5">
      <c r="E2718" s="124"/>
    </row>
    <row r="2719" spans="5:5">
      <c r="E2719" s="124"/>
    </row>
    <row r="2720" spans="5:5">
      <c r="E2720" s="124"/>
    </row>
    <row r="2721" spans="5:5">
      <c r="E2721" s="124"/>
    </row>
    <row r="2722" spans="5:5">
      <c r="E2722" s="124"/>
    </row>
    <row r="2723" spans="5:5">
      <c r="E2723" s="124"/>
    </row>
    <row r="2724" spans="5:5">
      <c r="E2724" s="124"/>
    </row>
    <row r="2725" spans="5:5">
      <c r="E2725" s="124"/>
    </row>
    <row r="2726" spans="5:5">
      <c r="E2726" s="124"/>
    </row>
    <row r="2727" spans="5:5">
      <c r="E2727" s="124"/>
    </row>
    <row r="2728" spans="5:5">
      <c r="E2728" s="124"/>
    </row>
    <row r="2729" spans="5:5">
      <c r="E2729" s="124"/>
    </row>
    <row r="2730" spans="5:5">
      <c r="E2730" s="124"/>
    </row>
    <row r="2731" spans="5:5">
      <c r="E2731" s="124"/>
    </row>
    <row r="2732" spans="5:5">
      <c r="E2732" s="124"/>
    </row>
    <row r="2733" spans="5:5">
      <c r="E2733" s="124"/>
    </row>
    <row r="2734" spans="5:5">
      <c r="E2734" s="124"/>
    </row>
    <row r="2735" spans="5:5">
      <c r="E2735" s="124"/>
    </row>
    <row r="2736" spans="5:5">
      <c r="E2736" s="124"/>
    </row>
    <row r="2737" spans="5:5">
      <c r="E2737" s="124"/>
    </row>
    <row r="2738" spans="5:5">
      <c r="E2738" s="124"/>
    </row>
    <row r="2739" spans="5:5">
      <c r="E2739" s="124"/>
    </row>
    <row r="2740" spans="5:5">
      <c r="E2740" s="124"/>
    </row>
    <row r="2741" spans="5:5">
      <c r="E2741" s="124"/>
    </row>
    <row r="2742" spans="5:5">
      <c r="E2742" s="124"/>
    </row>
    <row r="2743" spans="5:5">
      <c r="E2743" s="124"/>
    </row>
    <row r="2744" spans="5:5">
      <c r="E2744" s="124"/>
    </row>
    <row r="2745" spans="5:5">
      <c r="E2745" s="124"/>
    </row>
    <row r="2746" spans="5:5">
      <c r="E2746" s="124"/>
    </row>
    <row r="2747" spans="5:5">
      <c r="E2747" s="124"/>
    </row>
    <row r="2748" spans="5:5">
      <c r="E2748" s="124"/>
    </row>
    <row r="2749" spans="5:5">
      <c r="E2749" s="124"/>
    </row>
    <row r="2750" spans="5:5">
      <c r="E2750" s="124"/>
    </row>
    <row r="2751" spans="5:5">
      <c r="E2751" s="124"/>
    </row>
    <row r="2752" spans="5:5">
      <c r="E2752" s="124"/>
    </row>
    <row r="2753" spans="5:5">
      <c r="E2753" s="124"/>
    </row>
    <row r="2754" spans="5:5">
      <c r="E2754" s="124"/>
    </row>
    <row r="2755" spans="5:5">
      <c r="E2755" s="124"/>
    </row>
    <row r="2756" spans="5:5">
      <c r="E2756" s="124"/>
    </row>
    <row r="2757" spans="5:5">
      <c r="E2757" s="124"/>
    </row>
    <row r="2758" spans="5:5">
      <c r="E2758" s="124"/>
    </row>
    <row r="2759" spans="5:5">
      <c r="E2759" s="124"/>
    </row>
    <row r="2760" spans="5:5">
      <c r="E2760" s="124"/>
    </row>
    <row r="2761" spans="5:5">
      <c r="E2761" s="124"/>
    </row>
    <row r="2762" spans="5:5">
      <c r="E2762" s="124"/>
    </row>
    <row r="2763" spans="5:5">
      <c r="E2763" s="124"/>
    </row>
    <row r="2764" spans="5:5">
      <c r="E2764" s="124"/>
    </row>
    <row r="2765" spans="5:5">
      <c r="E2765" s="124"/>
    </row>
    <row r="2766" spans="5:5">
      <c r="E2766" s="124"/>
    </row>
    <row r="2767" spans="5:5">
      <c r="E2767" s="124"/>
    </row>
    <row r="2768" spans="5:5">
      <c r="E2768" s="124"/>
    </row>
    <row r="2769" spans="5:5">
      <c r="E2769" s="124"/>
    </row>
    <row r="2770" spans="5:5">
      <c r="E2770" s="124"/>
    </row>
    <row r="2771" spans="5:5">
      <c r="E2771" s="124"/>
    </row>
    <row r="2772" spans="5:5">
      <c r="E2772" s="124"/>
    </row>
    <row r="2773" spans="5:5">
      <c r="E2773" s="124"/>
    </row>
    <row r="2774" spans="5:5">
      <c r="E2774" s="124"/>
    </row>
    <row r="2775" spans="5:5">
      <c r="E2775" s="124"/>
    </row>
    <row r="2776" spans="5:5">
      <c r="E2776" s="124"/>
    </row>
    <row r="2777" spans="5:5">
      <c r="E2777" s="124"/>
    </row>
    <row r="2778" spans="5:5">
      <c r="E2778" s="124"/>
    </row>
    <row r="2779" spans="5:5">
      <c r="E2779" s="124"/>
    </row>
    <row r="2780" spans="5:5">
      <c r="E2780" s="124"/>
    </row>
    <row r="2781" spans="5:5">
      <c r="E2781" s="124"/>
    </row>
    <row r="2782" spans="5:5">
      <c r="E2782" s="124"/>
    </row>
    <row r="2783" spans="5:5">
      <c r="E2783" s="124"/>
    </row>
    <row r="2784" spans="5:5">
      <c r="E2784" s="124"/>
    </row>
    <row r="2785" spans="5:5">
      <c r="E2785" s="124"/>
    </row>
    <row r="2786" spans="5:5">
      <c r="E2786" s="124"/>
    </row>
    <row r="2787" spans="5:5">
      <c r="E2787" s="124"/>
    </row>
    <row r="2788" spans="5:5">
      <c r="E2788" s="124"/>
    </row>
    <row r="2789" spans="5:5">
      <c r="E2789" s="124"/>
    </row>
    <row r="2790" spans="5:5">
      <c r="E2790" s="124"/>
    </row>
    <row r="2791" spans="5:5">
      <c r="E2791" s="124"/>
    </row>
    <row r="2792" spans="5:5">
      <c r="E2792" s="124"/>
    </row>
    <row r="2793" spans="5:5">
      <c r="E2793" s="124"/>
    </row>
    <row r="2794" spans="5:5">
      <c r="E2794" s="124"/>
    </row>
    <row r="2795" spans="5:5">
      <c r="E2795" s="124"/>
    </row>
    <row r="2796" spans="5:5">
      <c r="E2796" s="124"/>
    </row>
    <row r="2797" spans="5:5">
      <c r="E2797" s="124"/>
    </row>
    <row r="2798" spans="5:5">
      <c r="E2798" s="124"/>
    </row>
    <row r="2799" spans="5:5">
      <c r="E2799" s="124"/>
    </row>
    <row r="2800" spans="5:5">
      <c r="E2800" s="124"/>
    </row>
    <row r="2801" spans="5:5">
      <c r="E2801" s="124"/>
    </row>
    <row r="2802" spans="5:5">
      <c r="E2802" s="124"/>
    </row>
    <row r="2803" spans="5:5">
      <c r="E2803" s="124"/>
    </row>
    <row r="2804" spans="5:5">
      <c r="E2804" s="124"/>
    </row>
    <row r="2805" spans="5:5">
      <c r="E2805" s="124"/>
    </row>
    <row r="2806" spans="5:5">
      <c r="E2806" s="124"/>
    </row>
    <row r="2807" spans="5:5">
      <c r="E2807" s="124"/>
    </row>
    <row r="2808" spans="5:5">
      <c r="E2808" s="124"/>
    </row>
    <row r="2809" spans="5:5">
      <c r="E2809" s="124"/>
    </row>
    <row r="2810" spans="5:5">
      <c r="E2810" s="124"/>
    </row>
    <row r="2811" spans="5:5">
      <c r="E2811" s="124"/>
    </row>
    <row r="2812" spans="5:5">
      <c r="E2812" s="124"/>
    </row>
    <row r="2813" spans="5:5">
      <c r="E2813" s="124"/>
    </row>
    <row r="2814" spans="5:5">
      <c r="E2814" s="124"/>
    </row>
    <row r="2815" spans="5:5">
      <c r="E2815" s="124"/>
    </row>
    <row r="2816" spans="5:5">
      <c r="E2816" s="124"/>
    </row>
    <row r="2817" spans="5:5">
      <c r="E2817" s="124"/>
    </row>
    <row r="2818" spans="5:5">
      <c r="E2818" s="124"/>
    </row>
    <row r="2819" spans="5:5">
      <c r="E2819" s="124"/>
    </row>
    <row r="2820" spans="5:5">
      <c r="E2820" s="124"/>
    </row>
    <row r="2821" spans="5:5">
      <c r="E2821" s="124"/>
    </row>
    <row r="2822" spans="5:5">
      <c r="E2822" s="124"/>
    </row>
    <row r="2823" spans="5:5">
      <c r="E2823" s="124"/>
    </row>
    <row r="2824" spans="5:5">
      <c r="E2824" s="124"/>
    </row>
    <row r="2825" spans="5:5">
      <c r="E2825" s="124"/>
    </row>
    <row r="2826" spans="5:5">
      <c r="E2826" s="124"/>
    </row>
    <row r="2827" spans="5:5">
      <c r="E2827" s="124"/>
    </row>
    <row r="2828" spans="5:5">
      <c r="E2828" s="124"/>
    </row>
    <row r="2829" spans="5:5">
      <c r="E2829" s="124"/>
    </row>
    <row r="2830" spans="5:5">
      <c r="E2830" s="124"/>
    </row>
    <row r="2831" spans="5:5">
      <c r="E2831" s="124"/>
    </row>
    <row r="2832" spans="5:5">
      <c r="E2832" s="124"/>
    </row>
    <row r="2833" spans="5:5">
      <c r="E2833" s="124"/>
    </row>
    <row r="2834" spans="5:5">
      <c r="E2834" s="124"/>
    </row>
    <row r="2835" spans="5:5">
      <c r="E2835" s="124"/>
    </row>
    <row r="2836" spans="5:5">
      <c r="E2836" s="124"/>
    </row>
    <row r="2837" spans="5:5">
      <c r="E2837" s="124"/>
    </row>
    <row r="2838" spans="5:5">
      <c r="E2838" s="124"/>
    </row>
    <row r="2839" spans="5:5">
      <c r="E2839" s="124"/>
    </row>
    <row r="2840" spans="5:5">
      <c r="E2840" s="124"/>
    </row>
    <row r="2841" spans="5:5">
      <c r="E2841" s="124"/>
    </row>
    <row r="2842" spans="5:5">
      <c r="E2842" s="124"/>
    </row>
    <row r="2843" spans="5:5">
      <c r="E2843" s="124"/>
    </row>
    <row r="2844" spans="5:5">
      <c r="E2844" s="124"/>
    </row>
    <row r="2845" spans="5:5">
      <c r="E2845" s="124"/>
    </row>
    <row r="2846" spans="5:5">
      <c r="E2846" s="124"/>
    </row>
    <row r="2847" spans="5:5">
      <c r="E2847" s="124"/>
    </row>
    <row r="2848" spans="5:5">
      <c r="E2848" s="124"/>
    </row>
    <row r="2849" spans="5:5">
      <c r="E2849" s="124"/>
    </row>
    <row r="2850" spans="5:5">
      <c r="E2850" s="124"/>
    </row>
    <row r="2851" spans="5:5">
      <c r="E2851" s="124"/>
    </row>
    <row r="2852" spans="5:5">
      <c r="E2852" s="124"/>
    </row>
    <row r="2853" spans="5:5">
      <c r="E2853" s="124"/>
    </row>
    <row r="2854" spans="5:5">
      <c r="E2854" s="124"/>
    </row>
    <row r="2855" spans="5:5">
      <c r="E2855" s="124"/>
    </row>
    <row r="2856" spans="5:5">
      <c r="E2856" s="124"/>
    </row>
    <row r="2857" spans="5:5">
      <c r="E2857" s="124"/>
    </row>
    <row r="2858" spans="5:5">
      <c r="E2858" s="124"/>
    </row>
    <row r="2859" spans="5:5">
      <c r="E2859" s="124"/>
    </row>
    <row r="2860" spans="5:5">
      <c r="E2860" s="124"/>
    </row>
    <row r="2861" spans="5:5">
      <c r="E2861" s="124"/>
    </row>
    <row r="2862" spans="5:5">
      <c r="E2862" s="124"/>
    </row>
    <row r="2863" spans="5:5">
      <c r="E2863" s="124"/>
    </row>
    <row r="2864" spans="5:5">
      <c r="E2864" s="124"/>
    </row>
    <row r="2865" spans="5:5">
      <c r="E2865" s="124"/>
    </row>
    <row r="2866" spans="5:5">
      <c r="E2866" s="124"/>
    </row>
    <row r="2867" spans="5:5">
      <c r="E2867" s="124"/>
    </row>
    <row r="2868" spans="5:5">
      <c r="E2868" s="124"/>
    </row>
    <row r="2869" spans="5:5">
      <c r="E2869" s="124"/>
    </row>
    <row r="2870" spans="5:5">
      <c r="E2870" s="124"/>
    </row>
    <row r="2871" spans="5:5">
      <c r="E2871" s="124"/>
    </row>
    <row r="2872" spans="5:5">
      <c r="E2872" s="124"/>
    </row>
    <row r="2873" spans="5:5">
      <c r="E2873" s="124"/>
    </row>
    <row r="2874" spans="5:5">
      <c r="E2874" s="124"/>
    </row>
    <row r="2875" spans="5:5">
      <c r="E2875" s="124"/>
    </row>
    <row r="2876" spans="5:5">
      <c r="E2876" s="124"/>
    </row>
    <row r="2877" spans="5:5">
      <c r="E2877" s="124"/>
    </row>
    <row r="2878" spans="5:5">
      <c r="E2878" s="124"/>
    </row>
    <row r="2879" spans="5:5">
      <c r="E2879" s="124"/>
    </row>
    <row r="2880" spans="5:5">
      <c r="E2880" s="124"/>
    </row>
    <row r="2881" spans="5:5">
      <c r="E2881" s="124"/>
    </row>
    <row r="2882" spans="5:5">
      <c r="E2882" s="124"/>
    </row>
    <row r="2883" spans="5:5">
      <c r="E2883" s="124"/>
    </row>
    <row r="2884" spans="5:5">
      <c r="E2884" s="124"/>
    </row>
    <row r="2885" spans="5:5">
      <c r="E2885" s="124"/>
    </row>
    <row r="2886" spans="5:5">
      <c r="E2886" s="124"/>
    </row>
    <row r="2887" spans="5:5">
      <c r="E2887" s="124"/>
    </row>
    <row r="2888" spans="5:5">
      <c r="E2888" s="124"/>
    </row>
    <row r="2889" spans="5:5">
      <c r="E2889" s="124"/>
    </row>
    <row r="2890" spans="5:5">
      <c r="E2890" s="124"/>
    </row>
    <row r="2891" spans="5:5">
      <c r="E2891" s="124"/>
    </row>
    <row r="2892" spans="5:5">
      <c r="E2892" s="124"/>
    </row>
    <row r="2893" spans="5:5">
      <c r="E2893" s="124"/>
    </row>
    <row r="2894" spans="5:5">
      <c r="E2894" s="124"/>
    </row>
    <row r="2895" spans="5:5">
      <c r="E2895" s="124"/>
    </row>
    <row r="2896" spans="5:5">
      <c r="E2896" s="124"/>
    </row>
    <row r="2897" spans="5:5">
      <c r="E2897" s="124"/>
    </row>
    <row r="2898" spans="5:5">
      <c r="E2898" s="124"/>
    </row>
    <row r="2899" spans="5:5">
      <c r="E2899" s="124"/>
    </row>
    <row r="2900" spans="5:5">
      <c r="E2900" s="124"/>
    </row>
    <row r="2901" spans="5:5">
      <c r="E2901" s="124"/>
    </row>
    <row r="2902" spans="5:5">
      <c r="E2902" s="124"/>
    </row>
    <row r="2903" spans="5:5">
      <c r="E2903" s="124"/>
    </row>
    <row r="2904" spans="5:5">
      <c r="E2904" s="124"/>
    </row>
    <row r="2905" spans="5:5">
      <c r="E2905" s="124"/>
    </row>
    <row r="2906" spans="5:5">
      <c r="E2906" s="124"/>
    </row>
    <row r="2907" spans="5:5">
      <c r="E2907" s="124"/>
    </row>
    <row r="2908" spans="5:5">
      <c r="E2908" s="124"/>
    </row>
    <row r="2909" spans="5:5">
      <c r="E2909" s="124"/>
    </row>
    <row r="2910" spans="5:5">
      <c r="E2910" s="124"/>
    </row>
    <row r="2911" spans="5:5">
      <c r="E2911" s="124"/>
    </row>
    <row r="2912" spans="5:5">
      <c r="E2912" s="124"/>
    </row>
    <row r="2913" spans="5:5">
      <c r="E2913" s="124"/>
    </row>
    <row r="2914" spans="5:5">
      <c r="E2914" s="124"/>
    </row>
    <row r="2915" spans="5:5">
      <c r="E2915" s="124"/>
    </row>
    <row r="2916" spans="5:5">
      <c r="E2916" s="124"/>
    </row>
    <row r="2917" spans="5:5">
      <c r="E2917" s="124"/>
    </row>
    <row r="2918" spans="5:5">
      <c r="E2918" s="124"/>
    </row>
    <row r="2919" spans="5:5">
      <c r="E2919" s="124"/>
    </row>
    <row r="2920" spans="5:5">
      <c r="E2920" s="124"/>
    </row>
    <row r="2921" spans="5:5">
      <c r="E2921" s="124"/>
    </row>
    <row r="2922" spans="5:5">
      <c r="E2922" s="124"/>
    </row>
    <row r="2923" spans="5:5">
      <c r="E2923" s="124"/>
    </row>
    <row r="2924" spans="5:5">
      <c r="E2924" s="124"/>
    </row>
    <row r="2925" spans="5:5">
      <c r="E2925" s="124"/>
    </row>
    <row r="2926" spans="5:5">
      <c r="E2926" s="124"/>
    </row>
    <row r="2927" spans="5:5">
      <c r="E2927" s="124"/>
    </row>
    <row r="2928" spans="5:5">
      <c r="E2928" s="124"/>
    </row>
    <row r="2929" spans="5:5">
      <c r="E2929" s="124"/>
    </row>
    <row r="2930" spans="5:5">
      <c r="E2930" s="124"/>
    </row>
    <row r="2931" spans="5:5">
      <c r="E2931" s="124"/>
    </row>
    <row r="2932" spans="5:5">
      <c r="E2932" s="124"/>
    </row>
    <row r="2933" spans="5:5">
      <c r="E2933" s="124"/>
    </row>
    <row r="2934" spans="5:5">
      <c r="E2934" s="124"/>
    </row>
    <row r="2935" spans="5:5">
      <c r="E2935" s="124"/>
    </row>
    <row r="2936" spans="5:5">
      <c r="E2936" s="124"/>
    </row>
    <row r="2937" spans="5:5">
      <c r="E2937" s="124"/>
    </row>
    <row r="2938" spans="5:5">
      <c r="E2938" s="124"/>
    </row>
    <row r="2939" spans="5:5">
      <c r="E2939" s="124"/>
    </row>
    <row r="2940" spans="5:5">
      <c r="E2940" s="124"/>
    </row>
    <row r="2941" spans="5:5">
      <c r="E2941" s="124"/>
    </row>
    <row r="2942" spans="5:5">
      <c r="E2942" s="124"/>
    </row>
    <row r="2943" spans="5:5">
      <c r="E2943" s="124"/>
    </row>
    <row r="2944" spans="5:5">
      <c r="E2944" s="124"/>
    </row>
    <row r="2945" spans="5:5">
      <c r="E2945" s="124"/>
    </row>
    <row r="2946" spans="5:5">
      <c r="E2946" s="124"/>
    </row>
    <row r="2947" spans="5:5">
      <c r="E2947" s="124"/>
    </row>
    <row r="2948" spans="5:5">
      <c r="E2948" s="124"/>
    </row>
    <row r="2949" spans="5:5">
      <c r="E2949" s="124"/>
    </row>
    <row r="2950" spans="5:5">
      <c r="E2950" s="124"/>
    </row>
    <row r="2951" spans="5:5">
      <c r="E2951" s="124"/>
    </row>
    <row r="2952" spans="5:5">
      <c r="E2952" s="124"/>
    </row>
    <row r="2953" spans="5:5">
      <c r="E2953" s="124"/>
    </row>
    <row r="2954" spans="5:5">
      <c r="E2954" s="124"/>
    </row>
    <row r="2955" spans="5:5">
      <c r="E2955" s="124"/>
    </row>
    <row r="2956" spans="5:5">
      <c r="E2956" s="124"/>
    </row>
    <row r="2957" spans="5:5">
      <c r="E2957" s="124"/>
    </row>
    <row r="2958" spans="5:5">
      <c r="E2958" s="124"/>
    </row>
    <row r="2959" spans="5:5">
      <c r="E2959" s="124"/>
    </row>
    <row r="2960" spans="5:5">
      <c r="E2960" s="124"/>
    </row>
    <row r="2961" spans="5:5">
      <c r="E2961" s="124"/>
    </row>
    <row r="2962" spans="5:5">
      <c r="E2962" s="124"/>
    </row>
    <row r="2963" spans="5:5">
      <c r="E2963" s="124"/>
    </row>
    <row r="2964" spans="5:5">
      <c r="E2964" s="124"/>
    </row>
    <row r="2965" spans="5:5">
      <c r="E2965" s="124"/>
    </row>
    <row r="2966" spans="5:5">
      <c r="E2966" s="124"/>
    </row>
    <row r="2967" spans="5:5">
      <c r="E2967" s="124"/>
    </row>
    <row r="2968" spans="5:5">
      <c r="E2968" s="124"/>
    </row>
    <row r="2969" spans="5:5">
      <c r="E2969" s="124"/>
    </row>
    <row r="2970" spans="5:5">
      <c r="E2970" s="124"/>
    </row>
    <row r="2971" spans="5:5">
      <c r="E2971" s="124"/>
    </row>
    <row r="2972" spans="5:5">
      <c r="E2972" s="124"/>
    </row>
    <row r="2973" spans="5:5">
      <c r="E2973" s="124"/>
    </row>
    <row r="2974" spans="5:5">
      <c r="E2974" s="124"/>
    </row>
    <row r="2975" spans="5:5">
      <c r="E2975" s="124"/>
    </row>
    <row r="2976" spans="5:5">
      <c r="E2976" s="124"/>
    </row>
    <row r="2977" spans="5:5">
      <c r="E2977" s="124"/>
    </row>
    <row r="2978" spans="5:5">
      <c r="E2978" s="124"/>
    </row>
    <row r="2979" spans="5:5">
      <c r="E2979" s="124"/>
    </row>
    <row r="2980" spans="5:5">
      <c r="E2980" s="124"/>
    </row>
    <row r="2981" spans="5:5">
      <c r="E2981" s="124"/>
    </row>
    <row r="2982" spans="5:5">
      <c r="E2982" s="124"/>
    </row>
    <row r="2983" spans="5:5">
      <c r="E2983" s="124"/>
    </row>
    <row r="2984" spans="5:5">
      <c r="E2984" s="124"/>
    </row>
    <row r="2985" spans="5:5">
      <c r="E2985" s="124"/>
    </row>
    <row r="2986" spans="5:5">
      <c r="E2986" s="124"/>
    </row>
    <row r="2987" spans="5:5">
      <c r="E2987" s="124"/>
    </row>
    <row r="2988" spans="5:5">
      <c r="E2988" s="124"/>
    </row>
    <row r="2989" spans="5:5">
      <c r="E2989" s="124"/>
    </row>
    <row r="2990" spans="5:5">
      <c r="E2990" s="124"/>
    </row>
    <row r="2991" spans="5:5">
      <c r="E2991" s="124"/>
    </row>
    <row r="2992" spans="5:5">
      <c r="E2992" s="124"/>
    </row>
    <row r="2993" spans="5:5">
      <c r="E2993" s="124"/>
    </row>
    <row r="2994" spans="5:5">
      <c r="E2994" s="124"/>
    </row>
    <row r="2995" spans="5:5">
      <c r="E2995" s="124"/>
    </row>
    <row r="2996" spans="5:5">
      <c r="E2996" s="124"/>
    </row>
    <row r="2997" spans="5:5">
      <c r="E2997" s="124"/>
    </row>
    <row r="2998" spans="5:5">
      <c r="E2998" s="124"/>
    </row>
    <row r="2999" spans="5:5">
      <c r="E2999" s="124"/>
    </row>
    <row r="3000" spans="5:5">
      <c r="E3000" s="124"/>
    </row>
    <row r="3001" spans="5:5">
      <c r="E3001" s="124"/>
    </row>
    <row r="3002" spans="5:5">
      <c r="E3002" s="124"/>
    </row>
    <row r="3003" spans="5:5">
      <c r="E3003" s="124"/>
    </row>
    <row r="3004" spans="5:5">
      <c r="E3004" s="124"/>
    </row>
    <row r="3005" spans="5:5">
      <c r="E3005" s="124"/>
    </row>
    <row r="3006" spans="5:5">
      <c r="E3006" s="124"/>
    </row>
    <row r="3007" spans="5:5">
      <c r="E3007" s="124"/>
    </row>
    <row r="3008" spans="5:5">
      <c r="E3008" s="124"/>
    </row>
    <row r="3009" spans="5:5">
      <c r="E3009" s="124"/>
    </row>
    <row r="3010" spans="5:5">
      <c r="E3010" s="124"/>
    </row>
    <row r="3011" spans="5:5">
      <c r="E3011" s="124"/>
    </row>
    <row r="3012" spans="5:5">
      <c r="E3012" s="124"/>
    </row>
    <row r="3013" spans="5:5">
      <c r="E3013" s="124"/>
    </row>
    <row r="3014" spans="5:5">
      <c r="E3014" s="124"/>
    </row>
    <row r="3015" spans="5:5">
      <c r="E3015" s="124"/>
    </row>
    <row r="3016" spans="5:5">
      <c r="E3016" s="124"/>
    </row>
    <row r="3017" spans="5:5">
      <c r="E3017" s="124"/>
    </row>
    <row r="3018" spans="5:5">
      <c r="E3018" s="124"/>
    </row>
    <row r="3019" spans="5:5">
      <c r="E3019" s="124"/>
    </row>
    <row r="3020" spans="5:5">
      <c r="E3020" s="124"/>
    </row>
    <row r="3021" spans="5:5">
      <c r="E3021" s="124"/>
    </row>
    <row r="3022" spans="5:5">
      <c r="E3022" s="124"/>
    </row>
    <row r="3023" spans="5:5">
      <c r="E3023" s="124"/>
    </row>
    <row r="3024" spans="5:5">
      <c r="E3024" s="124"/>
    </row>
    <row r="3025" spans="5:5">
      <c r="E3025" s="124"/>
    </row>
    <row r="3026" spans="5:5">
      <c r="E3026" s="124"/>
    </row>
    <row r="3027" spans="5:5">
      <c r="E3027" s="124"/>
    </row>
    <row r="3028" spans="5:5">
      <c r="E3028" s="124"/>
    </row>
    <row r="3029" spans="5:5">
      <c r="E3029" s="124"/>
    </row>
    <row r="3030" spans="5:5">
      <c r="E3030" s="124"/>
    </row>
    <row r="3031" spans="5:5">
      <c r="E3031" s="124"/>
    </row>
    <row r="3032" spans="5:5">
      <c r="E3032" s="124"/>
    </row>
    <row r="3033" spans="5:5">
      <c r="E3033" s="124"/>
    </row>
    <row r="3034" spans="5:5">
      <c r="E3034" s="124"/>
    </row>
    <row r="3035" spans="5:5">
      <c r="E3035" s="124"/>
    </row>
    <row r="3036" spans="5:5">
      <c r="E3036" s="124"/>
    </row>
    <row r="3037" spans="5:5">
      <c r="E3037" s="124"/>
    </row>
    <row r="3038" spans="5:5">
      <c r="E3038" s="124"/>
    </row>
    <row r="3039" spans="5:5">
      <c r="E3039" s="124"/>
    </row>
    <row r="3040" spans="5:5">
      <c r="E3040" s="124"/>
    </row>
    <row r="3041" spans="5:5">
      <c r="E3041" s="124"/>
    </row>
    <row r="3042" spans="5:5">
      <c r="E3042" s="124"/>
    </row>
    <row r="3043" spans="5:5">
      <c r="E3043" s="124"/>
    </row>
    <row r="3044" spans="5:5">
      <c r="E3044" s="124"/>
    </row>
    <row r="3045" spans="5:5">
      <c r="E3045" s="124"/>
    </row>
    <row r="3046" spans="5:5">
      <c r="E3046" s="124"/>
    </row>
    <row r="3047" spans="5:5">
      <c r="E3047" s="124"/>
    </row>
    <row r="3048" spans="5:5">
      <c r="E3048" s="124"/>
    </row>
    <row r="3049" spans="5:5">
      <c r="E3049" s="124"/>
    </row>
    <row r="3050" spans="5:5">
      <c r="E3050" s="124"/>
    </row>
    <row r="3051" spans="5:5">
      <c r="E3051" s="124"/>
    </row>
    <row r="3052" spans="5:5">
      <c r="E3052" s="124"/>
    </row>
    <row r="3053" spans="5:5">
      <c r="E3053" s="124"/>
    </row>
    <row r="3054" spans="5:5">
      <c r="E3054" s="124"/>
    </row>
    <row r="3055" spans="5:5">
      <c r="E3055" s="124"/>
    </row>
    <row r="3056" spans="5:5">
      <c r="E3056" s="124"/>
    </row>
    <row r="3057" spans="5:5">
      <c r="E3057" s="124"/>
    </row>
    <row r="3058" spans="5:5">
      <c r="E3058" s="124"/>
    </row>
    <row r="3059" spans="5:5">
      <c r="E3059" s="124"/>
    </row>
    <row r="3060" spans="5:5">
      <c r="E3060" s="124"/>
    </row>
    <row r="3061" spans="5:5">
      <c r="E3061" s="124"/>
    </row>
    <row r="3062" spans="5:5">
      <c r="E3062" s="124"/>
    </row>
    <row r="3063" spans="5:5">
      <c r="E3063" s="124"/>
    </row>
    <row r="3064" spans="5:5">
      <c r="E3064" s="124"/>
    </row>
    <row r="3065" spans="5:5">
      <c r="E3065" s="124"/>
    </row>
    <row r="3066" spans="5:5">
      <c r="E3066" s="124"/>
    </row>
    <row r="3067" spans="5:5">
      <c r="E3067" s="124"/>
    </row>
    <row r="3068" spans="5:5">
      <c r="E3068" s="124"/>
    </row>
    <row r="3069" spans="5:5">
      <c r="E3069" s="124"/>
    </row>
    <row r="3070" spans="5:5">
      <c r="E3070" s="124"/>
    </row>
    <row r="3071" spans="5:5">
      <c r="E3071" s="124"/>
    </row>
    <row r="3072" spans="5:5">
      <c r="E3072" s="124"/>
    </row>
    <row r="3073" spans="5:5">
      <c r="E3073" s="124"/>
    </row>
    <row r="3074" spans="5:5">
      <c r="E3074" s="124"/>
    </row>
    <row r="3075" spans="5:5">
      <c r="E3075" s="124"/>
    </row>
    <row r="3076" spans="5:5">
      <c r="E3076" s="124"/>
    </row>
    <row r="3077" spans="5:5">
      <c r="E3077" s="124"/>
    </row>
    <row r="3078" spans="5:5">
      <c r="E3078" s="124"/>
    </row>
    <row r="3079" spans="5:5">
      <c r="E3079" s="124"/>
    </row>
    <row r="3080" spans="5:5">
      <c r="E3080" s="124"/>
    </row>
    <row r="3081" spans="5:5">
      <c r="E3081" s="124"/>
    </row>
    <row r="3082" spans="5:5">
      <c r="E3082" s="124"/>
    </row>
    <row r="3083" spans="5:5">
      <c r="E3083" s="124"/>
    </row>
    <row r="3084" spans="5:5">
      <c r="E3084" s="124"/>
    </row>
    <row r="3085" spans="5:5">
      <c r="E3085" s="124"/>
    </row>
    <row r="3086" spans="5:5">
      <c r="E3086" s="124"/>
    </row>
    <row r="3087" spans="5:5">
      <c r="E3087" s="124"/>
    </row>
    <row r="3088" spans="5:5">
      <c r="E3088" s="124"/>
    </row>
    <row r="3089" spans="5:5">
      <c r="E3089" s="124"/>
    </row>
    <row r="3090" spans="5:5">
      <c r="E3090" s="124"/>
    </row>
    <row r="3091" spans="5:5">
      <c r="E3091" s="124"/>
    </row>
    <row r="3092" spans="5:5">
      <c r="E3092" s="124"/>
    </row>
    <row r="3093" spans="5:5">
      <c r="E3093" s="124"/>
    </row>
    <row r="3094" spans="5:5">
      <c r="E3094" s="124"/>
    </row>
    <row r="3095" spans="5:5">
      <c r="E3095" s="124"/>
    </row>
    <row r="3096" spans="5:5">
      <c r="E3096" s="124"/>
    </row>
    <row r="3097" spans="5:5">
      <c r="E3097" s="124"/>
    </row>
    <row r="3098" spans="5:5">
      <c r="E3098" s="124"/>
    </row>
    <row r="3099" spans="5:5">
      <c r="E3099" s="124"/>
    </row>
    <row r="3100" spans="5:5">
      <c r="E3100" s="124"/>
    </row>
    <row r="3101" spans="5:5">
      <c r="E3101" s="124"/>
    </row>
    <row r="3102" spans="5:5">
      <c r="E3102" s="124"/>
    </row>
    <row r="3103" spans="5:5">
      <c r="E3103" s="124"/>
    </row>
    <row r="3104" spans="5:5">
      <c r="E3104" s="124"/>
    </row>
    <row r="3105" spans="5:5">
      <c r="E3105" s="124"/>
    </row>
    <row r="3106" spans="5:5">
      <c r="E3106" s="124"/>
    </row>
    <row r="3107" spans="5:5">
      <c r="E3107" s="124"/>
    </row>
    <row r="3108" spans="5:5">
      <c r="E3108" s="124"/>
    </row>
    <row r="3109" spans="5:5">
      <c r="E3109" s="124"/>
    </row>
    <row r="3110" spans="5:5">
      <c r="E3110" s="124"/>
    </row>
    <row r="3111" spans="5:5">
      <c r="E3111" s="124"/>
    </row>
    <row r="3112" spans="5:5">
      <c r="E3112" s="124"/>
    </row>
    <row r="3113" spans="5:5">
      <c r="E3113" s="124"/>
    </row>
    <row r="3114" spans="5:5">
      <c r="E3114" s="124"/>
    </row>
    <row r="3115" spans="5:5">
      <c r="E3115" s="124"/>
    </row>
    <row r="3116" spans="5:5">
      <c r="E3116" s="124"/>
    </row>
    <row r="3117" spans="5:5">
      <c r="E3117" s="124"/>
    </row>
    <row r="3118" spans="5:5">
      <c r="E3118" s="124"/>
    </row>
    <row r="3119" spans="5:5">
      <c r="E3119" s="124"/>
    </row>
    <row r="3120" spans="5:5">
      <c r="E3120" s="124"/>
    </row>
    <row r="3121" spans="5:5">
      <c r="E3121" s="124"/>
    </row>
    <row r="3122" spans="5:5">
      <c r="E3122" s="124"/>
    </row>
    <row r="3123" spans="5:5">
      <c r="E3123" s="124"/>
    </row>
    <row r="3124" spans="5:5">
      <c r="E3124" s="124"/>
    </row>
    <row r="3125" spans="5:5">
      <c r="E3125" s="124"/>
    </row>
    <row r="3126" spans="5:5">
      <c r="E3126" s="124"/>
    </row>
    <row r="3127" spans="5:5">
      <c r="E3127" s="124"/>
    </row>
    <row r="3128" spans="5:5">
      <c r="E3128" s="124"/>
    </row>
    <row r="3129" spans="5:5">
      <c r="E3129" s="124"/>
    </row>
    <row r="3130" spans="5:5">
      <c r="E3130" s="124"/>
    </row>
    <row r="3131" spans="5:5">
      <c r="E3131" s="124"/>
    </row>
    <row r="3132" spans="5:5">
      <c r="E3132" s="124"/>
    </row>
    <row r="3133" spans="5:5">
      <c r="E3133" s="124"/>
    </row>
    <row r="3134" spans="5:5">
      <c r="E3134" s="124"/>
    </row>
    <row r="3135" spans="5:5">
      <c r="E3135" s="124"/>
    </row>
    <row r="3136" spans="5:5">
      <c r="E3136" s="124"/>
    </row>
    <row r="3137" spans="5:5">
      <c r="E3137" s="124"/>
    </row>
    <row r="3138" spans="5:5">
      <c r="E3138" s="124"/>
    </row>
    <row r="3139" spans="5:5">
      <c r="E3139" s="124"/>
    </row>
    <row r="3140" spans="5:5">
      <c r="E3140" s="124"/>
    </row>
    <row r="3141" spans="5:5">
      <c r="E3141" s="124"/>
    </row>
    <row r="3142" spans="5:5">
      <c r="E3142" s="124"/>
    </row>
    <row r="3143" spans="5:5">
      <c r="E3143" s="124"/>
    </row>
    <row r="3144" spans="5:5">
      <c r="E3144" s="124"/>
    </row>
    <row r="3145" spans="5:5">
      <c r="E3145" s="124"/>
    </row>
    <row r="3146" spans="5:5">
      <c r="E3146" s="124"/>
    </row>
    <row r="3147" spans="5:5">
      <c r="E3147" s="124"/>
    </row>
    <row r="3148" spans="5:5">
      <c r="E3148" s="124"/>
    </row>
    <row r="3149" spans="5:5">
      <c r="E3149" s="124"/>
    </row>
    <row r="3150" spans="5:5">
      <c r="E3150" s="124"/>
    </row>
    <row r="3151" spans="5:5">
      <c r="E3151" s="124"/>
    </row>
    <row r="3152" spans="5:5">
      <c r="E3152" s="124"/>
    </row>
    <row r="3153" spans="5:5">
      <c r="E3153" s="124"/>
    </row>
    <row r="3154" spans="5:5">
      <c r="E3154" s="124"/>
    </row>
    <row r="3155" spans="5:5">
      <c r="E3155" s="124"/>
    </row>
    <row r="3156" spans="5:5">
      <c r="E3156" s="124"/>
    </row>
    <row r="3157" spans="5:5">
      <c r="E3157" s="124"/>
    </row>
    <row r="3158" spans="5:5">
      <c r="E3158" s="124"/>
    </row>
    <row r="3159" spans="5:5">
      <c r="E3159" s="124"/>
    </row>
    <row r="3160" spans="5:5">
      <c r="E3160" s="124"/>
    </row>
    <row r="3161" spans="5:5">
      <c r="E3161" s="124"/>
    </row>
    <row r="3162" spans="5:5">
      <c r="E3162" s="124"/>
    </row>
    <row r="3163" spans="5:5">
      <c r="E3163" s="124"/>
    </row>
    <row r="3164" spans="5:5">
      <c r="E3164" s="124"/>
    </row>
    <row r="3165" spans="5:5">
      <c r="E3165" s="124"/>
    </row>
    <row r="3166" spans="5:5">
      <c r="E3166" s="124"/>
    </row>
    <row r="3167" spans="5:5">
      <c r="E3167" s="124"/>
    </row>
    <row r="3168" spans="5:5">
      <c r="E3168" s="124"/>
    </row>
    <row r="3169" spans="5:5">
      <c r="E3169" s="124"/>
    </row>
    <row r="3170" spans="5:5">
      <c r="E3170" s="124"/>
    </row>
    <row r="3171" spans="5:5">
      <c r="E3171" s="124"/>
    </row>
    <row r="3172" spans="5:5">
      <c r="E3172" s="124"/>
    </row>
    <row r="3173" spans="5:5">
      <c r="E3173" s="124"/>
    </row>
    <row r="3174" spans="5:5">
      <c r="E3174" s="124"/>
    </row>
    <row r="3175" spans="5:5">
      <c r="E3175" s="124"/>
    </row>
    <row r="3176" spans="5:5">
      <c r="E3176" s="124"/>
    </row>
    <row r="3177" spans="5:5">
      <c r="E3177" s="124"/>
    </row>
    <row r="3178" spans="5:5">
      <c r="E3178" s="124"/>
    </row>
    <row r="3179" spans="5:5">
      <c r="E3179" s="124"/>
    </row>
    <row r="3180" spans="5:5">
      <c r="E3180" s="124"/>
    </row>
    <row r="3181" spans="5:5">
      <c r="E3181" s="124"/>
    </row>
    <row r="3182" spans="5:5">
      <c r="E3182" s="124"/>
    </row>
    <row r="3183" spans="5:5">
      <c r="E3183" s="124"/>
    </row>
    <row r="3184" spans="5:5">
      <c r="E3184" s="124"/>
    </row>
    <row r="3185" spans="5:5">
      <c r="E3185" s="124"/>
    </row>
    <row r="3186" spans="5:5">
      <c r="E3186" s="124"/>
    </row>
    <row r="3187" spans="5:5">
      <c r="E3187" s="124"/>
    </row>
    <row r="3188" spans="5:5">
      <c r="E3188" s="124"/>
    </row>
    <row r="3189" spans="5:5">
      <c r="E3189" s="124"/>
    </row>
    <row r="3190" spans="5:5">
      <c r="E3190" s="124"/>
    </row>
    <row r="3191" spans="5:5">
      <c r="E3191" s="124"/>
    </row>
    <row r="3192" spans="5:5">
      <c r="E3192" s="124"/>
    </row>
    <row r="3193" spans="5:5">
      <c r="E3193" s="124"/>
    </row>
    <row r="3194" spans="5:5">
      <c r="E3194" s="124"/>
    </row>
    <row r="3195" spans="5:5">
      <c r="E3195" s="124"/>
    </row>
    <row r="3196" spans="5:5">
      <c r="E3196" s="124"/>
    </row>
    <row r="3197" spans="5:5">
      <c r="E3197" s="124"/>
    </row>
    <row r="3198" spans="5:5">
      <c r="E3198" s="124"/>
    </row>
    <row r="3199" spans="5:5">
      <c r="E3199" s="124"/>
    </row>
    <row r="3200" spans="5:5">
      <c r="E3200" s="124"/>
    </row>
    <row r="3201" spans="5:5">
      <c r="E3201" s="124"/>
    </row>
    <row r="3202" spans="5:5">
      <c r="E3202" s="124"/>
    </row>
    <row r="3203" spans="5:5">
      <c r="E3203" s="124"/>
    </row>
    <row r="3204" spans="5:5">
      <c r="E3204" s="124"/>
    </row>
    <row r="3205" spans="5:5">
      <c r="E3205" s="124"/>
    </row>
    <row r="3206" spans="5:5">
      <c r="E3206" s="124"/>
    </row>
    <row r="3207" spans="5:5">
      <c r="E3207" s="124"/>
    </row>
    <row r="3208" spans="5:5">
      <c r="E3208" s="124"/>
    </row>
    <row r="3209" spans="5:5">
      <c r="E3209" s="124"/>
    </row>
    <row r="3210" spans="5:5">
      <c r="E3210" s="124"/>
    </row>
    <row r="3211" spans="5:5">
      <c r="E3211" s="124"/>
    </row>
    <row r="3212" spans="5:5">
      <c r="E3212" s="124"/>
    </row>
    <row r="3213" spans="5:5">
      <c r="E3213" s="124"/>
    </row>
    <row r="3214" spans="5:5">
      <c r="E3214" s="124"/>
    </row>
    <row r="3215" spans="5:5">
      <c r="E3215" s="124"/>
    </row>
    <row r="3216" spans="5:5">
      <c r="E3216" s="124"/>
    </row>
    <row r="3217" spans="5:5">
      <c r="E3217" s="124"/>
    </row>
    <row r="3218" spans="5:5">
      <c r="E3218" s="124"/>
    </row>
    <row r="3219" spans="5:5">
      <c r="E3219" s="124"/>
    </row>
    <row r="3220" spans="5:5">
      <c r="E3220" s="124"/>
    </row>
    <row r="3221" spans="5:5">
      <c r="E3221" s="124"/>
    </row>
    <row r="3222" spans="5:5">
      <c r="E3222" s="124"/>
    </row>
    <row r="3223" spans="5:5">
      <c r="E3223" s="124"/>
    </row>
    <row r="3224" spans="5:5">
      <c r="E3224" s="124"/>
    </row>
    <row r="3225" spans="5:5">
      <c r="E3225" s="124"/>
    </row>
    <row r="3226" spans="5:5">
      <c r="E3226" s="124"/>
    </row>
    <row r="3227" spans="5:5">
      <c r="E3227" s="124"/>
    </row>
    <row r="3228" spans="5:5">
      <c r="E3228" s="124"/>
    </row>
    <row r="3229" spans="5:5">
      <c r="E3229" s="124"/>
    </row>
    <row r="3230" spans="5:5">
      <c r="E3230" s="124"/>
    </row>
    <row r="3231" spans="5:5">
      <c r="E3231" s="124"/>
    </row>
    <row r="3232" spans="5:5">
      <c r="E3232" s="124"/>
    </row>
    <row r="3233" spans="5:5">
      <c r="E3233" s="124"/>
    </row>
    <row r="3234" spans="5:5">
      <c r="E3234" s="124"/>
    </row>
    <row r="3235" spans="5:5">
      <c r="E3235" s="124"/>
    </row>
    <row r="3236" spans="5:5">
      <c r="E3236" s="124"/>
    </row>
    <row r="3237" spans="5:5">
      <c r="E3237" s="124"/>
    </row>
    <row r="3238" spans="5:5">
      <c r="E3238" s="124"/>
    </row>
    <row r="3239" spans="5:5">
      <c r="E3239" s="124"/>
    </row>
    <row r="3240" spans="5:5">
      <c r="E3240" s="124"/>
    </row>
    <row r="3241" spans="5:5">
      <c r="E3241" s="124"/>
    </row>
    <row r="3242" spans="5:5">
      <c r="E3242" s="124"/>
    </row>
    <row r="3243" spans="5:5">
      <c r="E3243" s="124"/>
    </row>
    <row r="3244" spans="5:5">
      <c r="E3244" s="124"/>
    </row>
    <row r="3245" spans="5:5">
      <c r="E3245" s="124"/>
    </row>
    <row r="3246" spans="5:5">
      <c r="E3246" s="124"/>
    </row>
    <row r="3247" spans="5:5">
      <c r="E3247" s="124"/>
    </row>
    <row r="3248" spans="5:5">
      <c r="E3248" s="124"/>
    </row>
    <row r="3249" spans="5:5">
      <c r="E3249" s="124"/>
    </row>
    <row r="3250" spans="5:5">
      <c r="E3250" s="124"/>
    </row>
    <row r="3251" spans="5:5">
      <c r="E3251" s="124"/>
    </row>
    <row r="3252" spans="5:5">
      <c r="E3252" s="124"/>
    </row>
    <row r="3253" spans="5:5">
      <c r="E3253" s="124"/>
    </row>
    <row r="3254" spans="5:5">
      <c r="E3254" s="124"/>
    </row>
    <row r="3255" spans="5:5">
      <c r="E3255" s="124"/>
    </row>
    <row r="3256" spans="5:5">
      <c r="E3256" s="124"/>
    </row>
    <row r="3257" spans="5:5">
      <c r="E3257" s="124"/>
    </row>
    <row r="3258" spans="5:5">
      <c r="E3258" s="124"/>
    </row>
    <row r="3259" spans="5:5">
      <c r="E3259" s="124"/>
    </row>
    <row r="3260" spans="5:5">
      <c r="E3260" s="124"/>
    </row>
    <row r="3261" spans="5:5">
      <c r="E3261" s="124"/>
    </row>
    <row r="3262" spans="5:5">
      <c r="E3262" s="124"/>
    </row>
    <row r="3263" spans="5:5">
      <c r="E3263" s="124"/>
    </row>
    <row r="3264" spans="5:5">
      <c r="E3264" s="124"/>
    </row>
    <row r="3265" spans="5:5">
      <c r="E3265" s="124"/>
    </row>
    <row r="3266" spans="5:5">
      <c r="E3266" s="124"/>
    </row>
    <row r="3267" spans="5:5">
      <c r="E3267" s="124"/>
    </row>
    <row r="3268" spans="5:5">
      <c r="E3268" s="124"/>
    </row>
    <row r="3269" spans="5:5">
      <c r="E3269" s="124"/>
    </row>
    <row r="3270" spans="5:5">
      <c r="E3270" s="124"/>
    </row>
    <row r="3271" spans="5:5">
      <c r="E3271" s="124"/>
    </row>
    <row r="3272" spans="5:5">
      <c r="E3272" s="124"/>
    </row>
    <row r="3273" spans="5:5">
      <c r="E3273" s="124"/>
    </row>
    <row r="3274" spans="5:5">
      <c r="E3274" s="124"/>
    </row>
    <row r="3275" spans="5:5">
      <c r="E3275" s="124"/>
    </row>
    <row r="3276" spans="5:5">
      <c r="E3276" s="124"/>
    </row>
    <row r="3277" spans="5:5">
      <c r="E3277" s="124"/>
    </row>
    <row r="3278" spans="5:5">
      <c r="E3278" s="124"/>
    </row>
    <row r="3279" spans="5:5">
      <c r="E3279" s="124"/>
    </row>
    <row r="3280" spans="5:5">
      <c r="E3280" s="124"/>
    </row>
    <row r="3281" spans="5:5">
      <c r="E3281" s="124"/>
    </row>
    <row r="3282" spans="5:5">
      <c r="E3282" s="124"/>
    </row>
    <row r="3283" spans="5:5">
      <c r="E3283" s="124"/>
    </row>
    <row r="3284" spans="5:5">
      <c r="E3284" s="124"/>
    </row>
    <row r="3285" spans="5:5">
      <c r="E3285" s="124"/>
    </row>
    <row r="3286" spans="5:5">
      <c r="E3286" s="124"/>
    </row>
    <row r="3287" spans="5:5">
      <c r="E3287" s="124"/>
    </row>
    <row r="3288" spans="5:5">
      <c r="E3288" s="124"/>
    </row>
    <row r="3289" spans="5:5">
      <c r="E3289" s="124"/>
    </row>
    <row r="3290" spans="5:5">
      <c r="E3290" s="124"/>
    </row>
    <row r="3291" spans="5:5">
      <c r="E3291" s="124"/>
    </row>
    <row r="3292" spans="5:5">
      <c r="E3292" s="124"/>
    </row>
    <row r="3293" spans="5:5">
      <c r="E3293" s="124"/>
    </row>
    <row r="3294" spans="5:5">
      <c r="E3294" s="124"/>
    </row>
    <row r="3295" spans="5:5">
      <c r="E3295" s="124"/>
    </row>
    <row r="3296" spans="5:5">
      <c r="E3296" s="124"/>
    </row>
    <row r="3297" spans="5:5">
      <c r="E3297" s="124"/>
    </row>
    <row r="3298" spans="5:5">
      <c r="E3298" s="124"/>
    </row>
    <row r="3299" spans="5:5">
      <c r="E3299" s="124"/>
    </row>
    <row r="3300" spans="5:5">
      <c r="E3300" s="124"/>
    </row>
    <row r="3301" spans="5:5">
      <c r="E3301" s="124"/>
    </row>
    <row r="3302" spans="5:5">
      <c r="E3302" s="124"/>
    </row>
    <row r="3303" spans="5:5">
      <c r="E3303" s="124"/>
    </row>
    <row r="3304" spans="5:5">
      <c r="E3304" s="124"/>
    </row>
    <row r="3305" spans="5:5">
      <c r="E3305" s="124"/>
    </row>
    <row r="3306" spans="5:5">
      <c r="E3306" s="124"/>
    </row>
    <row r="3307" spans="5:5">
      <c r="E3307" s="124"/>
    </row>
    <row r="3308" spans="5:5">
      <c r="E3308" s="124"/>
    </row>
    <row r="3309" spans="5:5">
      <c r="E3309" s="124"/>
    </row>
    <row r="3310" spans="5:5">
      <c r="E3310" s="124"/>
    </row>
    <row r="3311" spans="5:5">
      <c r="E3311" s="124"/>
    </row>
    <row r="3312" spans="5:5">
      <c r="E3312" s="124"/>
    </row>
    <row r="3313" spans="5:5">
      <c r="E3313" s="124"/>
    </row>
    <row r="3314" spans="5:5">
      <c r="E3314" s="124"/>
    </row>
    <row r="3315" spans="5:5">
      <c r="E3315" s="124"/>
    </row>
    <row r="3316" spans="5:5">
      <c r="E3316" s="124"/>
    </row>
    <row r="3317" spans="5:5">
      <c r="E3317" s="124"/>
    </row>
    <row r="3318" spans="5:5">
      <c r="E3318" s="124"/>
    </row>
    <row r="3319" spans="5:5">
      <c r="E3319" s="124"/>
    </row>
    <row r="3320" spans="5:5">
      <c r="E3320" s="124"/>
    </row>
    <row r="3321" spans="5:5">
      <c r="E3321" s="124"/>
    </row>
    <row r="3322" spans="5:5">
      <c r="E3322" s="124"/>
    </row>
    <row r="3323" spans="5:5">
      <c r="E3323" s="124"/>
    </row>
    <row r="3324" spans="5:5">
      <c r="E3324" s="124"/>
    </row>
    <row r="3325" spans="5:5">
      <c r="E3325" s="124"/>
    </row>
    <row r="3326" spans="5:5">
      <c r="E3326" s="124"/>
    </row>
    <row r="3327" spans="5:5">
      <c r="E3327" s="124"/>
    </row>
    <row r="3328" spans="5:5">
      <c r="E3328" s="124"/>
    </row>
    <row r="3329" spans="5:5">
      <c r="E3329" s="124"/>
    </row>
    <row r="3330" spans="5:5">
      <c r="E3330" s="124"/>
    </row>
    <row r="3331" spans="5:5">
      <c r="E3331" s="124"/>
    </row>
    <row r="3332" spans="5:5">
      <c r="E3332" s="124"/>
    </row>
    <row r="3333" spans="5:5">
      <c r="E3333" s="124"/>
    </row>
    <row r="3334" spans="5:5">
      <c r="E3334" s="124"/>
    </row>
    <row r="3335" spans="5:5">
      <c r="E3335" s="124"/>
    </row>
    <row r="3336" spans="5:5">
      <c r="E3336" s="124"/>
    </row>
    <row r="3337" spans="5:5">
      <c r="E3337" s="124"/>
    </row>
    <row r="3338" spans="5:5">
      <c r="E3338" s="124"/>
    </row>
    <row r="3339" spans="5:5">
      <c r="E3339" s="124"/>
    </row>
    <row r="3340" spans="5:5">
      <c r="E3340" s="124"/>
    </row>
    <row r="3341" spans="5:5">
      <c r="E3341" s="124"/>
    </row>
    <row r="3342" spans="5:5">
      <c r="E3342" s="124"/>
    </row>
    <row r="3343" spans="5:5">
      <c r="E3343" s="124"/>
    </row>
    <row r="3344" spans="5:5">
      <c r="E3344" s="124"/>
    </row>
    <row r="3345" spans="5:5">
      <c r="E3345" s="124"/>
    </row>
    <row r="3346" spans="5:5">
      <c r="E3346" s="124"/>
    </row>
    <row r="3347" spans="5:5">
      <c r="E3347" s="124"/>
    </row>
    <row r="3348" spans="5:5">
      <c r="E3348" s="124"/>
    </row>
    <row r="3349" spans="5:5">
      <c r="E3349" s="124"/>
    </row>
    <row r="3350" spans="5:5">
      <c r="E3350" s="124"/>
    </row>
    <row r="3351" spans="5:5">
      <c r="E3351" s="124"/>
    </row>
    <row r="3352" spans="5:5">
      <c r="E3352" s="124"/>
    </row>
    <row r="3353" spans="5:5">
      <c r="E3353" s="124"/>
    </row>
    <row r="3354" spans="5:5">
      <c r="E3354" s="124"/>
    </row>
    <row r="3355" spans="5:5">
      <c r="E3355" s="124"/>
    </row>
    <row r="3356" spans="5:5">
      <c r="E3356" s="124"/>
    </row>
    <row r="3357" spans="5:5">
      <c r="E3357" s="124"/>
    </row>
    <row r="3358" spans="5:5">
      <c r="E3358" s="124"/>
    </row>
    <row r="3359" spans="5:5">
      <c r="E3359" s="124"/>
    </row>
    <row r="3360" spans="5:5">
      <c r="E3360" s="124"/>
    </row>
    <row r="3361" spans="5:5">
      <c r="E3361" s="124"/>
    </row>
    <row r="3362" spans="5:5">
      <c r="E3362" s="124"/>
    </row>
    <row r="3363" spans="5:5">
      <c r="E3363" s="124"/>
    </row>
    <row r="3364" spans="5:5">
      <c r="E3364" s="124"/>
    </row>
    <row r="3365" spans="5:5">
      <c r="E3365" s="124"/>
    </row>
    <row r="3366" spans="5:5">
      <c r="E3366" s="124"/>
    </row>
    <row r="3367" spans="5:5">
      <c r="E3367" s="124"/>
    </row>
    <row r="3368" spans="5:5">
      <c r="E3368" s="124"/>
    </row>
    <row r="3369" spans="5:5">
      <c r="E3369" s="124"/>
    </row>
    <row r="3370" spans="5:5">
      <c r="E3370" s="124"/>
    </row>
    <row r="3371" spans="5:5">
      <c r="E3371" s="124"/>
    </row>
    <row r="3372" spans="5:5">
      <c r="E3372" s="124"/>
    </row>
    <row r="3373" spans="5:5">
      <c r="E3373" s="124"/>
    </row>
    <row r="3374" spans="5:5">
      <c r="E3374" s="124"/>
    </row>
    <row r="3375" spans="5:5">
      <c r="E3375" s="124"/>
    </row>
    <row r="3376" spans="5:5">
      <c r="E3376" s="124"/>
    </row>
    <row r="3377" spans="5:5">
      <c r="E3377" s="124"/>
    </row>
    <row r="3378" spans="5:5">
      <c r="E3378" s="124"/>
    </row>
    <row r="3379" spans="5:5">
      <c r="E3379" s="124"/>
    </row>
    <row r="3380" spans="5:5">
      <c r="E3380" s="124"/>
    </row>
    <row r="3381" spans="5:5">
      <c r="E3381" s="124"/>
    </row>
    <row r="3382" spans="5:5">
      <c r="E3382" s="124"/>
    </row>
    <row r="3383" spans="5:5">
      <c r="E3383" s="124"/>
    </row>
    <row r="3384" spans="5:5">
      <c r="E3384" s="124"/>
    </row>
    <row r="3385" spans="5:5">
      <c r="E3385" s="124"/>
    </row>
    <row r="3386" spans="5:5">
      <c r="E3386" s="124"/>
    </row>
    <row r="3387" spans="5:5">
      <c r="E3387" s="124"/>
    </row>
    <row r="3388" spans="5:5">
      <c r="E3388" s="124"/>
    </row>
    <row r="3389" spans="5:5">
      <c r="E3389" s="124"/>
    </row>
    <row r="3390" spans="5:5">
      <c r="E3390" s="124"/>
    </row>
    <row r="3391" spans="5:5">
      <c r="E3391" s="124"/>
    </row>
    <row r="3392" spans="5:5">
      <c r="E3392" s="124"/>
    </row>
    <row r="3393" spans="5:5">
      <c r="E3393" s="124"/>
    </row>
    <row r="3394" spans="5:5">
      <c r="E3394" s="124"/>
    </row>
    <row r="3395" spans="5:5">
      <c r="E3395" s="124"/>
    </row>
    <row r="3396" spans="5:5">
      <c r="E3396" s="124"/>
    </row>
    <row r="3397" spans="5:5">
      <c r="E3397" s="124"/>
    </row>
    <row r="3398" spans="5:5">
      <c r="E3398" s="124"/>
    </row>
    <row r="3399" spans="5:5">
      <c r="E3399" s="124"/>
    </row>
    <row r="3400" spans="5:5">
      <c r="E3400" s="124"/>
    </row>
    <row r="3401" spans="5:5">
      <c r="E3401" s="124"/>
    </row>
    <row r="3402" spans="5:5">
      <c r="E3402" s="124"/>
    </row>
    <row r="3403" spans="5:5">
      <c r="E3403" s="124"/>
    </row>
    <row r="3404" spans="5:5">
      <c r="E3404" s="124"/>
    </row>
    <row r="3405" spans="5:5">
      <c r="E3405" s="124"/>
    </row>
    <row r="3406" spans="5:5">
      <c r="E3406" s="124"/>
    </row>
    <row r="3407" spans="5:5">
      <c r="E3407" s="124"/>
    </row>
    <row r="3408" spans="5:5">
      <c r="E3408" s="124"/>
    </row>
    <row r="3409" spans="5:5">
      <c r="E3409" s="124"/>
    </row>
    <row r="3410" spans="5:5">
      <c r="E3410" s="124"/>
    </row>
    <row r="3411" spans="5:5">
      <c r="E3411" s="124"/>
    </row>
    <row r="3412" spans="5:5">
      <c r="E3412" s="124"/>
    </row>
    <row r="3413" spans="5:5">
      <c r="E3413" s="124"/>
    </row>
    <row r="3414" spans="5:5">
      <c r="E3414" s="124"/>
    </row>
    <row r="3415" spans="5:5">
      <c r="E3415" s="124"/>
    </row>
    <row r="3416" spans="5:5">
      <c r="E3416" s="124"/>
    </row>
    <row r="3417" spans="5:5">
      <c r="E3417" s="124"/>
    </row>
    <row r="3418" spans="5:5">
      <c r="E3418" s="124"/>
    </row>
    <row r="3419" spans="5:5">
      <c r="E3419" s="124"/>
    </row>
    <row r="3420" spans="5:5">
      <c r="E3420" s="124"/>
    </row>
    <row r="3421" spans="5:5">
      <c r="E3421" s="124"/>
    </row>
    <row r="3422" spans="5:5">
      <c r="E3422" s="124"/>
    </row>
    <row r="3423" spans="5:5">
      <c r="E3423" s="124"/>
    </row>
    <row r="3424" spans="5:5">
      <c r="E3424" s="124"/>
    </row>
    <row r="3425" spans="5:5">
      <c r="E3425" s="124"/>
    </row>
    <row r="3426" spans="5:5">
      <c r="E3426" s="124"/>
    </row>
    <row r="3427" spans="5:5">
      <c r="E3427" s="124"/>
    </row>
    <row r="3428" spans="5:5">
      <c r="E3428" s="124"/>
    </row>
    <row r="3429" spans="5:5">
      <c r="E3429" s="124"/>
    </row>
    <row r="3430" spans="5:5">
      <c r="E3430" s="124"/>
    </row>
    <row r="3431" spans="5:5">
      <c r="E3431" s="124"/>
    </row>
    <row r="3432" spans="5:5">
      <c r="E3432" s="124"/>
    </row>
    <row r="3433" spans="5:5">
      <c r="E3433" s="124"/>
    </row>
    <row r="3434" spans="5:5">
      <c r="E3434" s="124"/>
    </row>
    <row r="3435" spans="5:5">
      <c r="E3435" s="124"/>
    </row>
    <row r="3436" spans="5:5">
      <c r="E3436" s="124"/>
    </row>
    <row r="3437" spans="5:5">
      <c r="E3437" s="124"/>
    </row>
    <row r="3438" spans="5:5">
      <c r="E3438" s="124"/>
    </row>
    <row r="3439" spans="5:5">
      <c r="E3439" s="124"/>
    </row>
    <row r="3440" spans="5:5">
      <c r="E3440" s="124"/>
    </row>
    <row r="3441" spans="5:5">
      <c r="E3441" s="124"/>
    </row>
    <row r="3442" spans="5:5">
      <c r="E3442" s="124"/>
    </row>
    <row r="3443" spans="5:5">
      <c r="E3443" s="124"/>
    </row>
    <row r="3444" spans="5:5">
      <c r="E3444" s="124"/>
    </row>
    <row r="3445" spans="5:5">
      <c r="E3445" s="124"/>
    </row>
    <row r="3446" spans="5:5">
      <c r="E3446" s="124"/>
    </row>
    <row r="3447" spans="5:5">
      <c r="E3447" s="124"/>
    </row>
    <row r="3448" spans="5:5">
      <c r="E3448" s="124"/>
    </row>
    <row r="3449" spans="5:5">
      <c r="E3449" s="124"/>
    </row>
    <row r="3450" spans="5:5">
      <c r="E3450" s="124"/>
    </row>
    <row r="3451" spans="5:5">
      <c r="E3451" s="124"/>
    </row>
    <row r="3452" spans="5:5">
      <c r="E3452" s="124"/>
    </row>
    <row r="3453" spans="5:5">
      <c r="E3453" s="124"/>
    </row>
    <row r="3454" spans="5:5">
      <c r="E3454" s="124"/>
    </row>
    <row r="3455" spans="5:5">
      <c r="E3455" s="124"/>
    </row>
    <row r="3456" spans="5:5">
      <c r="E3456" s="124"/>
    </row>
    <row r="3457" spans="5:5">
      <c r="E3457" s="124"/>
    </row>
    <row r="3458" spans="5:5">
      <c r="E3458" s="124"/>
    </row>
    <row r="3459" spans="5:5">
      <c r="E3459" s="124"/>
    </row>
    <row r="3460" spans="5:5">
      <c r="E3460" s="124"/>
    </row>
    <row r="3461" spans="5:5">
      <c r="E3461" s="124"/>
    </row>
    <row r="3462" spans="5:5">
      <c r="E3462" s="124"/>
    </row>
    <row r="3463" spans="5:5">
      <c r="E3463" s="124"/>
    </row>
    <row r="3464" spans="5:5">
      <c r="E3464" s="124"/>
    </row>
    <row r="3465" spans="5:5">
      <c r="E3465" s="124"/>
    </row>
    <row r="3466" spans="5:5">
      <c r="E3466" s="124"/>
    </row>
    <row r="3467" spans="5:5">
      <c r="E3467" s="124"/>
    </row>
    <row r="3468" spans="5:5">
      <c r="E3468" s="124"/>
    </row>
    <row r="3469" spans="5:5">
      <c r="E3469" s="124"/>
    </row>
    <row r="3470" spans="5:5">
      <c r="E3470" s="124"/>
    </row>
    <row r="3471" spans="5:5">
      <c r="E3471" s="124"/>
    </row>
    <row r="3472" spans="5:5">
      <c r="E3472" s="124"/>
    </row>
    <row r="3473" spans="5:5">
      <c r="E3473" s="124"/>
    </row>
    <row r="3474" spans="5:5">
      <c r="E3474" s="124"/>
    </row>
    <row r="3475" spans="5:5">
      <c r="E3475" s="124"/>
    </row>
    <row r="3476" spans="5:5">
      <c r="E3476" s="124"/>
    </row>
    <row r="3477" spans="5:5">
      <c r="E3477" s="124"/>
    </row>
    <row r="3478" spans="5:5">
      <c r="E3478" s="124"/>
    </row>
    <row r="3479" spans="5:5">
      <c r="E3479" s="124"/>
    </row>
    <row r="3480" spans="5:5">
      <c r="E3480" s="124"/>
    </row>
    <row r="3481" spans="5:5">
      <c r="E3481" s="124"/>
    </row>
    <row r="3482" spans="5:5">
      <c r="E3482" s="124"/>
    </row>
    <row r="3483" spans="5:5">
      <c r="E3483" s="124"/>
    </row>
    <row r="3484" spans="5:5">
      <c r="E3484" s="124"/>
    </row>
    <row r="3485" spans="5:5">
      <c r="E3485" s="124"/>
    </row>
    <row r="3486" spans="5:5">
      <c r="E3486" s="124"/>
    </row>
    <row r="3487" spans="5:5">
      <c r="E3487" s="124"/>
    </row>
    <row r="3488" spans="5:5">
      <c r="E3488" s="124"/>
    </row>
    <row r="3489" spans="5:5">
      <c r="E3489" s="124"/>
    </row>
    <row r="3490" spans="5:5">
      <c r="E3490" s="124"/>
    </row>
    <row r="3491" spans="5:5">
      <c r="E3491" s="124"/>
    </row>
    <row r="3492" spans="5:5">
      <c r="E3492" s="124"/>
    </row>
    <row r="3493" spans="5:5">
      <c r="E3493" s="124"/>
    </row>
    <row r="3494" spans="5:5">
      <c r="E3494" s="124"/>
    </row>
    <row r="3495" spans="5:5">
      <c r="E3495" s="124"/>
    </row>
    <row r="3496" spans="5:5">
      <c r="E3496" s="124"/>
    </row>
    <row r="3497" spans="5:5">
      <c r="E3497" s="124"/>
    </row>
    <row r="3498" spans="5:5">
      <c r="E3498" s="124"/>
    </row>
    <row r="3499" spans="5:5">
      <c r="E3499" s="124"/>
    </row>
    <row r="3500" spans="5:5">
      <c r="E3500" s="124"/>
    </row>
    <row r="3501" spans="5:5">
      <c r="E3501" s="124"/>
    </row>
    <row r="3502" spans="5:5">
      <c r="E3502" s="124"/>
    </row>
    <row r="3503" spans="5:5">
      <c r="E3503" s="124"/>
    </row>
    <row r="3504" spans="5:5">
      <c r="E3504" s="124"/>
    </row>
    <row r="3505" spans="5:5">
      <c r="E3505" s="124"/>
    </row>
    <row r="3506" spans="5:5">
      <c r="E3506" s="124"/>
    </row>
    <row r="3507" spans="5:5">
      <c r="E3507" s="124"/>
    </row>
    <row r="3508" spans="5:5">
      <c r="E3508" s="124"/>
    </row>
    <row r="3509" spans="5:5">
      <c r="E3509" s="124"/>
    </row>
    <row r="3510" spans="5:5">
      <c r="E3510" s="124"/>
    </row>
    <row r="3511" spans="5:5">
      <c r="E3511" s="124"/>
    </row>
    <row r="3512" spans="5:5">
      <c r="E3512" s="124"/>
    </row>
    <row r="3513" spans="5:5">
      <c r="E3513" s="124"/>
    </row>
    <row r="3514" spans="5:5">
      <c r="E3514" s="124"/>
    </row>
    <row r="3515" spans="5:5">
      <c r="E3515" s="124"/>
    </row>
    <row r="3516" spans="5:5">
      <c r="E3516" s="124"/>
    </row>
    <row r="3517" spans="5:5">
      <c r="E3517" s="124"/>
    </row>
    <row r="3518" spans="5:5">
      <c r="E3518" s="124"/>
    </row>
    <row r="3519" spans="5:5">
      <c r="E3519" s="124"/>
    </row>
    <row r="3520" spans="5:5">
      <c r="E3520" s="124"/>
    </row>
    <row r="3521" spans="5:5">
      <c r="E3521" s="124"/>
    </row>
    <row r="3522" spans="5:5">
      <c r="E3522" s="124"/>
    </row>
    <row r="3523" spans="5:5">
      <c r="E3523" s="124"/>
    </row>
    <row r="3524" spans="5:5">
      <c r="E3524" s="124"/>
    </row>
    <row r="3525" spans="5:5">
      <c r="E3525" s="124"/>
    </row>
    <row r="3526" spans="5:5">
      <c r="E3526" s="124"/>
    </row>
    <row r="3527" spans="5:5">
      <c r="E3527" s="124"/>
    </row>
    <row r="3528" spans="5:5">
      <c r="E3528" s="124"/>
    </row>
    <row r="3529" spans="5:5">
      <c r="E3529" s="124"/>
    </row>
    <row r="3530" spans="5:5">
      <c r="E3530" s="124"/>
    </row>
    <row r="3531" spans="5:5">
      <c r="E3531" s="124"/>
    </row>
    <row r="3532" spans="5:5">
      <c r="E3532" s="124"/>
    </row>
    <row r="3533" spans="5:5">
      <c r="E3533" s="124"/>
    </row>
    <row r="3534" spans="5:5">
      <c r="E3534" s="124"/>
    </row>
    <row r="3535" spans="5:5">
      <c r="E3535" s="124"/>
    </row>
    <row r="3536" spans="5:5">
      <c r="E3536" s="124"/>
    </row>
    <row r="3537" spans="5:5">
      <c r="E3537" s="124"/>
    </row>
    <row r="3538" spans="5:5">
      <c r="E3538" s="124"/>
    </row>
    <row r="3539" spans="5:5">
      <c r="E3539" s="124"/>
    </row>
    <row r="3540" spans="5:5">
      <c r="E3540" s="124"/>
    </row>
    <row r="3541" spans="5:5">
      <c r="E3541" s="124"/>
    </row>
    <row r="3542" spans="5:5">
      <c r="E3542" s="124"/>
    </row>
    <row r="3543" spans="5:5">
      <c r="E3543" s="124"/>
    </row>
    <row r="3544" spans="5:5">
      <c r="E3544" s="124"/>
    </row>
    <row r="3545" spans="5:5">
      <c r="E3545" s="124"/>
    </row>
    <row r="3546" spans="5:5">
      <c r="E3546" s="124"/>
    </row>
    <row r="3547" spans="5:5">
      <c r="E3547" s="124"/>
    </row>
    <row r="3548" spans="5:5">
      <c r="E3548" s="124"/>
    </row>
    <row r="3549" spans="5:5">
      <c r="E3549" s="124"/>
    </row>
    <row r="3550" spans="5:5">
      <c r="E3550" s="124"/>
    </row>
    <row r="3551" spans="5:5">
      <c r="E3551" s="124"/>
    </row>
    <row r="3552" spans="5:5">
      <c r="E3552" s="124"/>
    </row>
    <row r="3553" spans="5:5">
      <c r="E3553" s="124"/>
    </row>
    <row r="3554" spans="5:5">
      <c r="E3554" s="124"/>
    </row>
    <row r="3555" spans="5:5">
      <c r="E3555" s="124"/>
    </row>
    <row r="3556" spans="5:5">
      <c r="E3556" s="124"/>
    </row>
    <row r="3557" spans="5:5">
      <c r="E3557" s="124"/>
    </row>
    <row r="3558" spans="5:5">
      <c r="E3558" s="124"/>
    </row>
    <row r="3559" spans="5:5">
      <c r="E3559" s="124"/>
    </row>
    <row r="3560" spans="5:5">
      <c r="E3560" s="124"/>
    </row>
    <row r="3561" spans="5:5">
      <c r="E3561" s="124"/>
    </row>
    <row r="3562" spans="5:5">
      <c r="E3562" s="124"/>
    </row>
    <row r="3563" spans="5:5">
      <c r="E3563" s="124"/>
    </row>
    <row r="3564" spans="5:5">
      <c r="E3564" s="124"/>
    </row>
    <row r="3565" spans="5:5">
      <c r="E3565" s="124"/>
    </row>
    <row r="3566" spans="5:5">
      <c r="E3566" s="124"/>
    </row>
    <row r="3567" spans="5:5">
      <c r="E3567" s="124"/>
    </row>
    <row r="3568" spans="5:5">
      <c r="E3568" s="124"/>
    </row>
    <row r="3569" spans="5:5">
      <c r="E3569" s="124"/>
    </row>
    <row r="3570" spans="5:5">
      <c r="E3570" s="124"/>
    </row>
    <row r="3571" spans="5:5">
      <c r="E3571" s="124"/>
    </row>
    <row r="3572" spans="5:5">
      <c r="E3572" s="124"/>
    </row>
    <row r="3573" spans="5:5">
      <c r="E3573" s="124"/>
    </row>
    <row r="3574" spans="5:5">
      <c r="E3574" s="124"/>
    </row>
    <row r="3575" spans="5:5">
      <c r="E3575" s="124"/>
    </row>
    <row r="3576" spans="5:5">
      <c r="E3576" s="124"/>
    </row>
    <row r="3577" spans="5:5">
      <c r="E3577" s="124"/>
    </row>
    <row r="3578" spans="5:5">
      <c r="E3578" s="124"/>
    </row>
    <row r="3579" spans="5:5">
      <c r="E3579" s="124"/>
    </row>
    <row r="3580" spans="5:5">
      <c r="E3580" s="124"/>
    </row>
    <row r="3581" spans="5:5">
      <c r="E3581" s="124"/>
    </row>
    <row r="3582" spans="5:5">
      <c r="E3582" s="124"/>
    </row>
    <row r="3583" spans="5:5">
      <c r="E3583" s="124"/>
    </row>
    <row r="3584" spans="5:5">
      <c r="E3584" s="124"/>
    </row>
    <row r="3585" spans="5:5">
      <c r="E3585" s="124"/>
    </row>
    <row r="3586" spans="5:5">
      <c r="E3586" s="124"/>
    </row>
    <row r="3587" spans="5:5">
      <c r="E3587" s="124"/>
    </row>
    <row r="3588" spans="5:5">
      <c r="E3588" s="124"/>
    </row>
    <row r="3589" spans="5:5">
      <c r="E3589" s="124"/>
    </row>
    <row r="3590" spans="5:5">
      <c r="E3590" s="124"/>
    </row>
    <row r="3591" spans="5:5">
      <c r="E3591" s="124"/>
    </row>
    <row r="3592" spans="5:5">
      <c r="E3592" s="124"/>
    </row>
    <row r="3593" spans="5:5">
      <c r="E3593" s="124"/>
    </row>
    <row r="3594" spans="5:5">
      <c r="E3594" s="124"/>
    </row>
    <row r="3595" spans="5:5">
      <c r="E3595" s="124"/>
    </row>
    <row r="3596" spans="5:5">
      <c r="E3596" s="124"/>
    </row>
    <row r="3597" spans="5:5">
      <c r="E3597" s="124"/>
    </row>
    <row r="3598" spans="5:5">
      <c r="E3598" s="124"/>
    </row>
    <row r="3599" spans="5:5">
      <c r="E3599" s="124"/>
    </row>
    <row r="3600" spans="5:5">
      <c r="E3600" s="124"/>
    </row>
    <row r="3601" spans="5:5">
      <c r="E3601" s="124"/>
    </row>
    <row r="3602" spans="5:5">
      <c r="E3602" s="124"/>
    </row>
    <row r="3603" spans="5:5">
      <c r="E3603" s="124"/>
    </row>
    <row r="3604" spans="5:5">
      <c r="E3604" s="124"/>
    </row>
    <row r="3605" spans="5:5">
      <c r="E3605" s="124"/>
    </row>
    <row r="3606" spans="5:5">
      <c r="E3606" s="124"/>
    </row>
    <row r="3607" spans="5:5">
      <c r="E3607" s="124"/>
    </row>
    <row r="3608" spans="5:5">
      <c r="E3608" s="124"/>
    </row>
    <row r="3609" spans="5:5">
      <c r="E3609" s="124"/>
    </row>
    <row r="3610" spans="5:5">
      <c r="E3610" s="124"/>
    </row>
    <row r="3611" spans="5:5">
      <c r="E3611" s="124"/>
    </row>
    <row r="3612" spans="5:5">
      <c r="E3612" s="124"/>
    </row>
    <row r="3613" spans="5:5">
      <c r="E3613" s="124"/>
    </row>
    <row r="3614" spans="5:5">
      <c r="E3614" s="124"/>
    </row>
    <row r="3615" spans="5:5">
      <c r="E3615" s="124"/>
    </row>
    <row r="3616" spans="5:5">
      <c r="E3616" s="124"/>
    </row>
    <row r="3617" spans="5:5">
      <c r="E3617" s="124"/>
    </row>
    <row r="3618" spans="5:5">
      <c r="E3618" s="124"/>
    </row>
    <row r="3619" spans="5:5">
      <c r="E3619" s="124"/>
    </row>
    <row r="3620" spans="5:5">
      <c r="E3620" s="124"/>
    </row>
    <row r="3621" spans="5:5">
      <c r="E3621" s="124"/>
    </row>
    <row r="3622" spans="5:5">
      <c r="E3622" s="124"/>
    </row>
    <row r="3623" spans="5:5">
      <c r="E3623" s="124"/>
    </row>
    <row r="3624" spans="5:5">
      <c r="E3624" s="124"/>
    </row>
    <row r="3625" spans="5:5">
      <c r="E3625" s="124"/>
    </row>
    <row r="3626" spans="5:5">
      <c r="E3626" s="124"/>
    </row>
    <row r="3627" spans="5:5">
      <c r="E3627" s="124"/>
    </row>
    <row r="3628" spans="5:5">
      <c r="E3628" s="124"/>
    </row>
    <row r="3629" spans="5:5">
      <c r="E3629" s="124"/>
    </row>
    <row r="3630" spans="5:5">
      <c r="E3630" s="124"/>
    </row>
    <row r="3631" spans="5:5">
      <c r="E3631" s="124"/>
    </row>
    <row r="3632" spans="5:5">
      <c r="E3632" s="124"/>
    </row>
    <row r="3633" spans="5:5">
      <c r="E3633" s="124"/>
    </row>
    <row r="3634" spans="5:5">
      <c r="E3634" s="124"/>
    </row>
    <row r="3635" spans="5:5">
      <c r="E3635" s="124"/>
    </row>
    <row r="3636" spans="5:5">
      <c r="E3636" s="124"/>
    </row>
    <row r="3637" spans="5:5">
      <c r="E3637" s="124"/>
    </row>
    <row r="3638" spans="5:5">
      <c r="E3638" s="124"/>
    </row>
    <row r="3639" spans="5:5">
      <c r="E3639" s="124"/>
    </row>
    <row r="3640" spans="5:5">
      <c r="E3640" s="124"/>
    </row>
    <row r="3641" spans="5:5">
      <c r="E3641" s="124"/>
    </row>
    <row r="3642" spans="5:5">
      <c r="E3642" s="124"/>
    </row>
    <row r="3643" spans="5:5">
      <c r="E3643" s="124"/>
    </row>
    <row r="3644" spans="5:5">
      <c r="E3644" s="124"/>
    </row>
    <row r="3645" spans="5:5">
      <c r="E3645" s="124"/>
    </row>
    <row r="3646" spans="5:5">
      <c r="E3646" s="124"/>
    </row>
    <row r="3647" spans="5:5">
      <c r="E3647" s="124"/>
    </row>
    <row r="3648" spans="5:5">
      <c r="E3648" s="124"/>
    </row>
    <row r="3649" spans="5:5">
      <c r="E3649" s="124"/>
    </row>
    <row r="3650" spans="5:5">
      <c r="E3650" s="124"/>
    </row>
    <row r="3651" spans="5:5">
      <c r="E3651" s="124"/>
    </row>
    <row r="3652" spans="5:5">
      <c r="E3652" s="124"/>
    </row>
    <row r="3653" spans="5:5">
      <c r="E3653" s="124"/>
    </row>
    <row r="3654" spans="5:5">
      <c r="E3654" s="124"/>
    </row>
    <row r="3655" spans="5:5">
      <c r="E3655" s="124"/>
    </row>
    <row r="3656" spans="5:5">
      <c r="E3656" s="124"/>
    </row>
    <row r="3657" spans="5:5">
      <c r="E3657" s="124"/>
    </row>
    <row r="3658" spans="5:5">
      <c r="E3658" s="124"/>
    </row>
    <row r="3659" spans="5:5">
      <c r="E3659" s="124"/>
    </row>
    <row r="3660" spans="5:5">
      <c r="E3660" s="124"/>
    </row>
    <row r="3661" spans="5:5">
      <c r="E3661" s="124"/>
    </row>
    <row r="3662" spans="5:5">
      <c r="E3662" s="124"/>
    </row>
    <row r="3663" spans="5:5">
      <c r="E3663" s="124"/>
    </row>
    <row r="3664" spans="5:5">
      <c r="E3664" s="124"/>
    </row>
    <row r="3665" spans="5:5">
      <c r="E3665" s="124"/>
    </row>
    <row r="3666" spans="5:5">
      <c r="E3666" s="124"/>
    </row>
    <row r="3667" spans="5:5">
      <c r="E3667" s="124"/>
    </row>
    <row r="3668" spans="5:5">
      <c r="E3668" s="124"/>
    </row>
    <row r="3669" spans="5:5">
      <c r="E3669" s="124"/>
    </row>
    <row r="3670" spans="5:5">
      <c r="E3670" s="124"/>
    </row>
    <row r="3671" spans="5:5">
      <c r="E3671" s="124"/>
    </row>
    <row r="3672" spans="5:5">
      <c r="E3672" s="124"/>
    </row>
    <row r="3673" spans="5:5">
      <c r="E3673" s="124"/>
    </row>
    <row r="3674" spans="5:5">
      <c r="E3674" s="124"/>
    </row>
    <row r="3675" spans="5:5">
      <c r="E3675" s="124"/>
    </row>
    <row r="3676" spans="5:5">
      <c r="E3676" s="124"/>
    </row>
    <row r="3677" spans="5:5">
      <c r="E3677" s="124"/>
    </row>
    <row r="3678" spans="5:5">
      <c r="E3678" s="124"/>
    </row>
    <row r="3679" spans="5:5">
      <c r="E3679" s="124"/>
    </row>
    <row r="3680" spans="5:5">
      <c r="E3680" s="124"/>
    </row>
    <row r="3681" spans="5:5">
      <c r="E3681" s="124"/>
    </row>
    <row r="3682" spans="5:5">
      <c r="E3682" s="124"/>
    </row>
    <row r="3683" spans="5:5">
      <c r="E3683" s="124"/>
    </row>
    <row r="3684" spans="5:5">
      <c r="E3684" s="124"/>
    </row>
    <row r="3685" spans="5:5">
      <c r="E3685" s="124"/>
    </row>
    <row r="3686" spans="5:5">
      <c r="E3686" s="124"/>
    </row>
    <row r="3687" spans="5:5">
      <c r="E3687" s="124"/>
    </row>
    <row r="3688" spans="5:5">
      <c r="E3688" s="124"/>
    </row>
    <row r="3689" spans="5:5">
      <c r="E3689" s="124"/>
    </row>
    <row r="3690" spans="5:5">
      <c r="E3690" s="124"/>
    </row>
    <row r="3691" spans="5:5">
      <c r="E3691" s="124"/>
    </row>
    <row r="3692" spans="5:5">
      <c r="E3692" s="124"/>
    </row>
    <row r="3693" spans="5:5">
      <c r="E3693" s="124"/>
    </row>
    <row r="3694" spans="5:5">
      <c r="E3694" s="124"/>
    </row>
    <row r="3695" spans="5:5">
      <c r="E3695" s="124"/>
    </row>
    <row r="3696" spans="5:5">
      <c r="E3696" s="124"/>
    </row>
    <row r="3697" spans="5:5">
      <c r="E3697" s="124"/>
    </row>
    <row r="3698" spans="5:5">
      <c r="E3698" s="124"/>
    </row>
    <row r="3699" spans="5:5">
      <c r="E3699" s="124"/>
    </row>
    <row r="3700" spans="5:5">
      <c r="E3700" s="124"/>
    </row>
    <row r="3701" spans="5:5">
      <c r="E3701" s="124"/>
    </row>
    <row r="3702" spans="5:5">
      <c r="E3702" s="124"/>
    </row>
    <row r="3703" spans="5:5">
      <c r="E3703" s="124"/>
    </row>
    <row r="3704" spans="5:5">
      <c r="E3704" s="124"/>
    </row>
    <row r="3705" spans="5:5">
      <c r="E3705" s="124"/>
    </row>
    <row r="3706" spans="5:5">
      <c r="E3706" s="124"/>
    </row>
    <row r="3707" spans="5:5">
      <c r="E3707" s="124"/>
    </row>
    <row r="3708" spans="5:5">
      <c r="E3708" s="124"/>
    </row>
    <row r="3709" spans="5:5">
      <c r="E3709" s="124"/>
    </row>
    <row r="3710" spans="5:5">
      <c r="E3710" s="124"/>
    </row>
    <row r="3711" spans="5:5">
      <c r="E3711" s="124"/>
    </row>
    <row r="3712" spans="5:5">
      <c r="E3712" s="124"/>
    </row>
    <row r="3713" spans="5:5">
      <c r="E3713" s="124"/>
    </row>
    <row r="3714" spans="5:5">
      <c r="E3714" s="124"/>
    </row>
    <row r="3715" spans="5:5">
      <c r="E3715" s="124"/>
    </row>
    <row r="3716" spans="5:5">
      <c r="E3716" s="124"/>
    </row>
    <row r="3717" spans="5:5">
      <c r="E3717" s="124"/>
    </row>
    <row r="3718" spans="5:5">
      <c r="E3718" s="124"/>
    </row>
    <row r="3719" spans="5:5">
      <c r="E3719" s="124"/>
    </row>
    <row r="3720" spans="5:5">
      <c r="E3720" s="124"/>
    </row>
    <row r="3721" spans="5:5">
      <c r="E3721" s="124"/>
    </row>
    <row r="3722" spans="5:5">
      <c r="E3722" s="124"/>
    </row>
    <row r="3723" spans="5:5">
      <c r="E3723" s="124"/>
    </row>
    <row r="3724" spans="5:5">
      <c r="E3724" s="124"/>
    </row>
    <row r="3725" spans="5:5">
      <c r="E3725" s="124"/>
    </row>
    <row r="3726" spans="5:5">
      <c r="E3726" s="124"/>
    </row>
    <row r="3727" spans="5:5">
      <c r="E3727" s="124"/>
    </row>
    <row r="3728" spans="5:5">
      <c r="E3728" s="124"/>
    </row>
    <row r="3729" spans="5:5">
      <c r="E3729" s="124"/>
    </row>
    <row r="3730" spans="5:5">
      <c r="E3730" s="124"/>
    </row>
    <row r="3731" spans="5:5">
      <c r="E3731" s="124"/>
    </row>
    <row r="3732" spans="5:5">
      <c r="E3732" s="124"/>
    </row>
    <row r="3733" spans="5:5">
      <c r="E3733" s="124"/>
    </row>
    <row r="3734" spans="5:5">
      <c r="E3734" s="124"/>
    </row>
    <row r="3735" spans="5:5">
      <c r="E3735" s="124"/>
    </row>
    <row r="3736" spans="5:5">
      <c r="E3736" s="124"/>
    </row>
    <row r="3737" spans="5:5">
      <c r="E3737" s="124"/>
    </row>
    <row r="3738" spans="5:5">
      <c r="E3738" s="124"/>
    </row>
    <row r="3739" spans="5:5">
      <c r="E3739" s="124"/>
    </row>
    <row r="3740" spans="5:5">
      <c r="E3740" s="124"/>
    </row>
    <row r="3741" spans="5:5">
      <c r="E3741" s="124"/>
    </row>
    <row r="3742" spans="5:5">
      <c r="E3742" s="124"/>
    </row>
    <row r="3743" spans="5:5">
      <c r="E3743" s="124"/>
    </row>
    <row r="3744" spans="5:5">
      <c r="E3744" s="124"/>
    </row>
    <row r="3745" spans="5:5">
      <c r="E3745" s="124"/>
    </row>
    <row r="3746" spans="5:5">
      <c r="E3746" s="124"/>
    </row>
    <row r="3747" spans="5:5">
      <c r="E3747" s="124"/>
    </row>
    <row r="3748" spans="5:5">
      <c r="E3748" s="124"/>
    </row>
    <row r="3749" spans="5:5">
      <c r="E3749" s="124"/>
    </row>
    <row r="3750" spans="5:5">
      <c r="E3750" s="124"/>
    </row>
    <row r="3751" spans="5:5">
      <c r="E3751" s="124"/>
    </row>
    <row r="3752" spans="5:5">
      <c r="E3752" s="124"/>
    </row>
    <row r="3753" spans="5:5">
      <c r="E3753" s="124"/>
    </row>
    <row r="3754" spans="5:5">
      <c r="E3754" s="124"/>
    </row>
    <row r="3755" spans="5:5">
      <c r="E3755" s="124"/>
    </row>
    <row r="3756" spans="5:5">
      <c r="E3756" s="124"/>
    </row>
    <row r="3757" spans="5:5">
      <c r="E3757" s="124"/>
    </row>
    <row r="3758" spans="5:5">
      <c r="E3758" s="124"/>
    </row>
    <row r="3759" spans="5:5">
      <c r="E3759" s="124"/>
    </row>
    <row r="3760" spans="5:5">
      <c r="E3760" s="124"/>
    </row>
    <row r="3761" spans="5:5">
      <c r="E3761" s="124"/>
    </row>
    <row r="3762" spans="5:5">
      <c r="E3762" s="124"/>
    </row>
    <row r="3763" spans="5:5">
      <c r="E3763" s="124"/>
    </row>
    <row r="3764" spans="5:5">
      <c r="E3764" s="124"/>
    </row>
    <row r="3765" spans="5:5">
      <c r="E3765" s="124"/>
    </row>
    <row r="3766" spans="5:5">
      <c r="E3766" s="124"/>
    </row>
    <row r="3767" spans="5:5">
      <c r="E3767" s="124"/>
    </row>
    <row r="3768" spans="5:5">
      <c r="E3768" s="124"/>
    </row>
    <row r="3769" spans="5:5">
      <c r="E3769" s="124"/>
    </row>
    <row r="3770" spans="5:5">
      <c r="E3770" s="124"/>
    </row>
    <row r="3771" spans="5:5">
      <c r="E3771" s="124"/>
    </row>
    <row r="3772" spans="5:5">
      <c r="E3772" s="124"/>
    </row>
    <row r="3773" spans="5:5">
      <c r="E3773" s="124"/>
    </row>
    <row r="3774" spans="5:5">
      <c r="E3774" s="124"/>
    </row>
    <row r="3775" spans="5:5">
      <c r="E3775" s="124"/>
    </row>
    <row r="3776" spans="5:5">
      <c r="E3776" s="124"/>
    </row>
    <row r="3777" spans="5:5">
      <c r="E3777" s="124"/>
    </row>
    <row r="3778" spans="5:5">
      <c r="E3778" s="124"/>
    </row>
    <row r="3779" spans="5:5">
      <c r="E3779" s="124"/>
    </row>
    <row r="3780" spans="5:5">
      <c r="E3780" s="124"/>
    </row>
    <row r="3781" spans="5:5">
      <c r="E3781" s="124"/>
    </row>
    <row r="3782" spans="5:5">
      <c r="E3782" s="124"/>
    </row>
    <row r="3783" spans="5:5">
      <c r="E3783" s="124"/>
    </row>
    <row r="3784" spans="5:5">
      <c r="E3784" s="124"/>
    </row>
    <row r="3785" spans="5:5">
      <c r="E3785" s="124"/>
    </row>
    <row r="3786" spans="5:5">
      <c r="E3786" s="124"/>
    </row>
    <row r="3787" spans="5:5">
      <c r="E3787" s="124"/>
    </row>
    <row r="3788" spans="5:5">
      <c r="E3788" s="124"/>
    </row>
    <row r="3789" spans="5:5">
      <c r="E3789" s="124"/>
    </row>
    <row r="3790" spans="5:5">
      <c r="E3790" s="124"/>
    </row>
    <row r="3791" spans="5:5">
      <c r="E3791" s="124"/>
    </row>
    <row r="3792" spans="5:5">
      <c r="E3792" s="124"/>
    </row>
    <row r="3793" spans="5:5">
      <c r="E3793" s="124"/>
    </row>
    <row r="3794" spans="5:5">
      <c r="E3794" s="124"/>
    </row>
    <row r="3795" spans="5:5">
      <c r="E3795" s="124"/>
    </row>
    <row r="3796" spans="5:5">
      <c r="E3796" s="124"/>
    </row>
    <row r="3797" spans="5:5">
      <c r="E3797" s="124"/>
    </row>
    <row r="3798" spans="5:5">
      <c r="E3798" s="124"/>
    </row>
    <row r="3799" spans="5:5">
      <c r="E3799" s="124"/>
    </row>
    <row r="3800" spans="5:5">
      <c r="E3800" s="124"/>
    </row>
    <row r="3801" spans="5:5">
      <c r="E3801" s="124"/>
    </row>
    <row r="3802" spans="5:5">
      <c r="E3802" s="124"/>
    </row>
  </sheetData>
  <mergeCells count="25">
    <mergeCell ref="A1:E1"/>
    <mergeCell ref="A135:C135"/>
    <mergeCell ref="A136:C136"/>
    <mergeCell ref="B137:C137"/>
    <mergeCell ref="A159:C159"/>
    <mergeCell ref="A112:C112"/>
    <mergeCell ref="A118:C118"/>
    <mergeCell ref="A119:C119"/>
    <mergeCell ref="B120:C120"/>
    <mergeCell ref="A70:C70"/>
    <mergeCell ref="B3:C3"/>
    <mergeCell ref="A36:C36"/>
    <mergeCell ref="A42:C42"/>
    <mergeCell ref="A43:C43"/>
    <mergeCell ref="B44:C44"/>
    <mergeCell ref="A165:C165"/>
    <mergeCell ref="A167:C167"/>
    <mergeCell ref="A129:C129"/>
    <mergeCell ref="A76:C76"/>
    <mergeCell ref="A77:C77"/>
    <mergeCell ref="B78:C78"/>
    <mergeCell ref="B93:C93"/>
    <mergeCell ref="A99:C99"/>
    <mergeCell ref="A100:C100"/>
    <mergeCell ref="B101:C101"/>
  </mergeCells>
  <printOptions horizontalCentered="1" verticalCentered="1"/>
  <pageMargins left="0.75" right="0.75" top="1" bottom="1" header="0.5" footer="0.5"/>
  <pageSetup scale="74" fitToHeight="0" orientation="landscape"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B8E2B-CD96-49C6-87AE-B16E16A954CE}">
  <dimension ref="A1:A46"/>
  <sheetViews>
    <sheetView view="pageBreakPreview" zoomScaleNormal="100" zoomScaleSheetLayoutView="100" workbookViewId="0"/>
  </sheetViews>
  <sheetFormatPr defaultColWidth="9.109375" defaultRowHeight="13.2"/>
  <cols>
    <col min="1" max="1" width="118" customWidth="1"/>
  </cols>
  <sheetData>
    <row r="1" spans="1:1">
      <c r="A1" s="199" t="s">
        <v>2526</v>
      </c>
    </row>
    <row r="2" spans="1:1">
      <c r="A2" s="607"/>
    </row>
    <row r="3" spans="1:1" ht="39.6">
      <c r="A3" s="639" t="s">
        <v>2527</v>
      </c>
    </row>
    <row r="4" spans="1:1">
      <c r="A4" s="639" t="s">
        <v>2528</v>
      </c>
    </row>
    <row r="5" spans="1:1" ht="39.6">
      <c r="A5" s="608" t="s">
        <v>2529</v>
      </c>
    </row>
    <row r="6" spans="1:1">
      <c r="A6" s="88"/>
    </row>
    <row r="7" spans="1:1">
      <c r="A7" s="200" t="s">
        <v>789</v>
      </c>
    </row>
    <row r="8" spans="1:1">
      <c r="A8" s="88"/>
    </row>
    <row r="9" spans="1:1" ht="26.4">
      <c r="A9" s="639" t="s">
        <v>2530</v>
      </c>
    </row>
    <row r="10" spans="1:1">
      <c r="A10" s="640" t="s">
        <v>2531</v>
      </c>
    </row>
    <row r="11" spans="1:1">
      <c r="A11" s="640" t="s">
        <v>2532</v>
      </c>
    </row>
    <row r="12" spans="1:1">
      <c r="A12" s="640" t="s">
        <v>2533</v>
      </c>
    </row>
    <row r="13" spans="1:1">
      <c r="A13" s="640" t="s">
        <v>2534</v>
      </c>
    </row>
    <row r="14" spans="1:1">
      <c r="A14" s="639" t="s">
        <v>2535</v>
      </c>
    </row>
    <row r="15" spans="1:1">
      <c r="A15" s="641"/>
    </row>
    <row r="16" spans="1:1">
      <c r="A16" s="407" t="s">
        <v>790</v>
      </c>
    </row>
    <row r="17" spans="1:1">
      <c r="A17" s="641"/>
    </row>
    <row r="18" spans="1:1" ht="26.4">
      <c r="A18" s="639" t="s">
        <v>2536</v>
      </c>
    </row>
    <row r="19" spans="1:1">
      <c r="A19" s="639" t="s">
        <v>2537</v>
      </c>
    </row>
    <row r="20" spans="1:1" ht="26.4">
      <c r="A20" s="639" t="s">
        <v>2538</v>
      </c>
    </row>
    <row r="21" spans="1:1">
      <c r="A21" s="639" t="s">
        <v>2539</v>
      </c>
    </row>
    <row r="22" spans="1:1">
      <c r="A22" s="639" t="s">
        <v>2540</v>
      </c>
    </row>
    <row r="23" spans="1:1">
      <c r="A23" s="639" t="s">
        <v>2541</v>
      </c>
    </row>
    <row r="24" spans="1:1">
      <c r="A24" s="639" t="s">
        <v>2542</v>
      </c>
    </row>
    <row r="25" spans="1:1">
      <c r="A25" s="642"/>
    </row>
    <row r="26" spans="1:1" ht="26.4">
      <c r="A26" s="639" t="s">
        <v>2543</v>
      </c>
    </row>
    <row r="27" spans="1:1">
      <c r="A27" s="639" t="s">
        <v>2544</v>
      </c>
    </row>
    <row r="28" spans="1:1">
      <c r="A28" s="639" t="s">
        <v>2545</v>
      </c>
    </row>
    <row r="29" spans="1:1">
      <c r="A29" s="88" t="s">
        <v>2546</v>
      </c>
    </row>
    <row r="30" spans="1:1">
      <c r="A30" s="88"/>
    </row>
    <row r="31" spans="1:1">
      <c r="A31" s="407" t="s">
        <v>2547</v>
      </c>
    </row>
    <row r="32" spans="1:1">
      <c r="A32" s="641"/>
    </row>
    <row r="33" spans="1:1">
      <c r="A33" s="639" t="s">
        <v>2548</v>
      </c>
    </row>
    <row r="34" spans="1:1" ht="26.4">
      <c r="A34" s="639" t="s">
        <v>2549</v>
      </c>
    </row>
    <row r="35" spans="1:1">
      <c r="A35" s="639"/>
    </row>
    <row r="36" spans="1:1">
      <c r="A36" s="639" t="s">
        <v>2550</v>
      </c>
    </row>
    <row r="37" spans="1:1">
      <c r="A37" s="639" t="s">
        <v>2551</v>
      </c>
    </row>
    <row r="38" spans="1:1">
      <c r="A38" s="639" t="s">
        <v>2552</v>
      </c>
    </row>
    <row r="39" spans="1:1">
      <c r="A39" s="639" t="s">
        <v>2553</v>
      </c>
    </row>
    <row r="40" spans="1:1">
      <c r="A40" s="639" t="s">
        <v>2554</v>
      </c>
    </row>
    <row r="41" spans="1:1">
      <c r="A41" s="639" t="s">
        <v>2555</v>
      </c>
    </row>
    <row r="42" spans="1:1">
      <c r="A42" s="639" t="s">
        <v>2556</v>
      </c>
    </row>
    <row r="43" spans="1:1" ht="26.4">
      <c r="A43" s="639" t="s">
        <v>2557</v>
      </c>
    </row>
    <row r="44" spans="1:1">
      <c r="A44" s="639" t="s">
        <v>2558</v>
      </c>
    </row>
    <row r="45" spans="1:1">
      <c r="A45" s="88" t="s">
        <v>2559</v>
      </c>
    </row>
    <row r="46" spans="1:1">
      <c r="A46" s="88"/>
    </row>
  </sheetData>
  <printOptions horizontalCentered="1" verticalCentered="1"/>
  <pageMargins left="0.75" right="0.75" top="1" bottom="1" header="0.5" footer="0.5"/>
  <pageSetup scale="96" orientation="landscape" r:id="rId1"/>
  <headerFooter alignWithMargins="0"/>
  <rowBreaks count="1" manualBreakCount="1">
    <brk id="30" max="16383" man="1"/>
  </row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dimension ref="A1:L14"/>
  <sheetViews>
    <sheetView showGridLines="0" zoomScaleNormal="100" zoomScaleSheetLayoutView="100" workbookViewId="0">
      <selection sqref="A1:E1"/>
    </sheetView>
  </sheetViews>
  <sheetFormatPr defaultRowHeight="13.2"/>
  <cols>
    <col min="1" max="1" width="6.33203125" customWidth="1"/>
    <col min="2" max="2" width="32.109375" customWidth="1"/>
    <col min="3" max="4" width="12.6640625" customWidth="1"/>
    <col min="5" max="5" width="100.6640625" customWidth="1"/>
  </cols>
  <sheetData>
    <row r="1" spans="1:12" s="67" customFormat="1" ht="33" customHeight="1">
      <c r="A1" s="803" t="s">
        <v>2267</v>
      </c>
      <c r="B1" s="804"/>
      <c r="C1" s="804"/>
      <c r="D1" s="804"/>
      <c r="E1" s="805"/>
    </row>
    <row r="2" spans="1:12" s="4" customFormat="1" ht="48" customHeight="1">
      <c r="A2" s="305" t="s">
        <v>385</v>
      </c>
      <c r="B2" s="262" t="s">
        <v>844</v>
      </c>
      <c r="C2" s="182" t="s">
        <v>984</v>
      </c>
      <c r="D2" s="182" t="s">
        <v>1069</v>
      </c>
      <c r="E2" s="263" t="s">
        <v>1070</v>
      </c>
    </row>
    <row r="3" spans="1:12" s="4" customFormat="1" ht="20.100000000000001" customHeight="1">
      <c r="A3" s="404"/>
      <c r="B3" s="1138" t="s">
        <v>291</v>
      </c>
      <c r="C3" s="1139"/>
      <c r="D3" s="405"/>
      <c r="E3" s="406"/>
      <c r="L3" s="4" t="s">
        <v>596</v>
      </c>
    </row>
    <row r="4" spans="1:12" ht="55.2">
      <c r="A4" s="155">
        <v>32.1</v>
      </c>
      <c r="B4" s="150" t="s">
        <v>2204</v>
      </c>
      <c r="C4" s="151" t="s">
        <v>982</v>
      </c>
      <c r="D4" s="460" t="s">
        <v>389</v>
      </c>
      <c r="E4" s="267" t="s">
        <v>3164</v>
      </c>
    </row>
    <row r="5" spans="1:12" ht="41.4">
      <c r="A5" s="155">
        <v>32.200000000000003</v>
      </c>
      <c r="B5" s="150" t="s">
        <v>72</v>
      </c>
      <c r="C5" s="151" t="s">
        <v>982</v>
      </c>
      <c r="D5" s="460" t="s">
        <v>389</v>
      </c>
      <c r="E5" s="267" t="s">
        <v>3165</v>
      </c>
    </row>
    <row r="6" spans="1:12" ht="69">
      <c r="A6" s="155">
        <v>32.299999999999997</v>
      </c>
      <c r="B6" s="150" t="s">
        <v>1480</v>
      </c>
      <c r="C6" s="151" t="s">
        <v>982</v>
      </c>
      <c r="D6" s="460" t="s">
        <v>389</v>
      </c>
      <c r="E6" s="267" t="s">
        <v>2746</v>
      </c>
    </row>
    <row r="7" spans="1:12" ht="41.4">
      <c r="A7" s="155">
        <v>32.4</v>
      </c>
      <c r="B7" s="150" t="s">
        <v>2205</v>
      </c>
      <c r="C7" s="151" t="s">
        <v>982</v>
      </c>
      <c r="D7" s="460" t="s">
        <v>389</v>
      </c>
      <c r="E7" s="267" t="s">
        <v>3166</v>
      </c>
    </row>
    <row r="8" spans="1:12" ht="41.4">
      <c r="A8" s="155">
        <v>32.5</v>
      </c>
      <c r="B8" s="150" t="s">
        <v>2206</v>
      </c>
      <c r="C8" s="151" t="s">
        <v>982</v>
      </c>
      <c r="D8" s="460" t="s">
        <v>389</v>
      </c>
      <c r="E8" s="468" t="s">
        <v>1676</v>
      </c>
    </row>
    <row r="9" spans="1:12" ht="35.1" customHeight="1">
      <c r="A9" s="1140" t="s">
        <v>1643</v>
      </c>
      <c r="B9" s="1141"/>
      <c r="C9" s="1141"/>
      <c r="D9" s="400"/>
      <c r="E9" s="402"/>
    </row>
    <row r="10" spans="1:12" ht="41.4">
      <c r="A10" s="409" t="s">
        <v>2211</v>
      </c>
      <c r="B10" s="150" t="s">
        <v>1044</v>
      </c>
      <c r="C10" s="151" t="s">
        <v>982</v>
      </c>
      <c r="D10" s="460" t="s">
        <v>389</v>
      </c>
      <c r="E10" s="267" t="s">
        <v>1869</v>
      </c>
    </row>
    <row r="11" spans="1:12" ht="41.4">
      <c r="A11" s="409" t="s">
        <v>1811</v>
      </c>
      <c r="B11" s="150" t="s">
        <v>1339</v>
      </c>
      <c r="C11" s="151" t="s">
        <v>982</v>
      </c>
      <c r="D11" s="460" t="s">
        <v>2207</v>
      </c>
      <c r="E11" s="559" t="s">
        <v>2208</v>
      </c>
    </row>
    <row r="12" spans="1:12" ht="41.4">
      <c r="A12" s="409" t="s">
        <v>1812</v>
      </c>
      <c r="B12" s="150" t="s">
        <v>912</v>
      </c>
      <c r="C12" s="151" t="s">
        <v>982</v>
      </c>
      <c r="D12" s="460" t="s">
        <v>2209</v>
      </c>
      <c r="E12" s="267" t="s">
        <v>2210</v>
      </c>
    </row>
    <row r="13" spans="1:12" ht="35.1" customHeight="1">
      <c r="A13" s="1140" t="s">
        <v>1654</v>
      </c>
      <c r="B13" s="1141"/>
      <c r="C13" s="1141"/>
      <c r="D13" s="401"/>
      <c r="E13" s="403"/>
    </row>
    <row r="14" spans="1:12" ht="28.2" thickBot="1">
      <c r="A14" s="505" t="s">
        <v>2212</v>
      </c>
      <c r="B14" s="482" t="s">
        <v>384</v>
      </c>
      <c r="C14" s="483" t="s">
        <v>982</v>
      </c>
      <c r="D14" s="484" t="s">
        <v>2213</v>
      </c>
      <c r="E14" s="560" t="s">
        <v>2214</v>
      </c>
    </row>
  </sheetData>
  <customSheetViews>
    <customSheetView guid="{4FEDB3BD-111A-4B7D-AA97-E67173A5F707}" showPageBreaks="1" printArea="1" showRuler="0" topLeftCell="A8">
      <selection activeCell="E14" sqref="A1:E14"/>
      <pageMargins left="0.75" right="0.75" top="1" bottom="1" header="0.5" footer="0.5"/>
      <printOptions gridLines="1"/>
      <pageSetup orientation="landscape" horizontalDpi="300" verticalDpi="300" r:id="rId1"/>
      <headerFooter alignWithMargins="0">
        <oddHeader>&amp;C&amp;"Arial,Bold"&amp;UProject Activity 32: Noise Impact Design Assessment</oddHeader>
        <oddFooter>Page &amp;P of &amp;N</oddFooter>
      </headerFooter>
    </customSheetView>
    <customSheetView guid="{D5FFA8DD-F2DB-47F2-B4D2-3681726B2E8F}" showPageBreaks="1" printArea="1" showRuler="0">
      <selection activeCell="E20" sqref="E20"/>
      <pageMargins left="0.75" right="0.75" top="1" bottom="1" header="0.5" footer="0.5"/>
      <printOptions gridLines="1"/>
      <pageSetup orientation="landscape" horizontalDpi="300" verticalDpi="300" r:id="rId2"/>
      <headerFooter alignWithMargins="0">
        <oddHeader>&amp;C&amp;"Arial,Bold"&amp;UProject Activity 32: Noise Impact Design Assessment</oddHeader>
        <oddFooter>Page &amp;P of &amp;N</oddFooter>
      </headerFooter>
    </customSheetView>
    <customSheetView guid="{EFE02F7B-3837-4B0F-9646-ADE249504E9F}" showRuler="0">
      <selection activeCell="E14" sqref="E14"/>
      <pageMargins left="0.75" right="0.75" top="1" bottom="1" header="0.5" footer="0.5"/>
      <printOptions gridLines="1"/>
      <pageSetup orientation="landscape" horizontalDpi="300" verticalDpi="300" r:id="rId3"/>
      <headerFooter alignWithMargins="0">
        <oddHeader>&amp;C&amp;"Arial,Bold"&amp;UProject Activity 32: Noise Impact Design Assessment</oddHeader>
        <oddFooter>Page &amp;P of &amp;N</oddFooter>
      </headerFooter>
    </customSheetView>
    <customSheetView guid="{960FB4AF-B150-4523-972C-3F7C93F049F3}" showRuler="0" topLeftCell="A8">
      <selection activeCell="E14" sqref="A1:E14"/>
      <pageMargins left="0.75" right="0.75" top="1" bottom="1" header="0.5" footer="0.5"/>
      <printOptions gridLines="1"/>
      <pageSetup orientation="landscape" horizontalDpi="300" verticalDpi="300" r:id="rId4"/>
      <headerFooter alignWithMargins="0">
        <oddHeader>&amp;C&amp;"Arial,Bold"&amp;UProject Activity 32: Noise Impact Design Assessment</oddHeader>
        <oddFooter>Page &amp;P of &amp;N</oddFooter>
      </headerFooter>
    </customSheetView>
    <customSheetView guid="{DF3BD4C9-2986-4236-8E90-D96736404377}" showRuler="0" topLeftCell="A8">
      <selection activeCell="E14" sqref="A1:E14"/>
      <pageMargins left="0.75" right="0.75" top="1" bottom="1" header="0.5" footer="0.5"/>
      <printOptions gridLines="1"/>
      <pageSetup orientation="landscape" horizontalDpi="300" verticalDpi="300" r:id="rId5"/>
      <headerFooter alignWithMargins="0">
        <oddHeader>&amp;C&amp;"Arial,Bold"&amp;UProject Activity 32: Noise Impact Design Assessment</oddHeader>
        <oddFooter>Page &amp;P of &amp;N</oddFooter>
      </headerFooter>
    </customSheetView>
  </customSheetViews>
  <mergeCells count="4">
    <mergeCell ref="B3:C3"/>
    <mergeCell ref="A9:C9"/>
    <mergeCell ref="A13:C13"/>
    <mergeCell ref="A1:E1"/>
  </mergeCells>
  <phoneticPr fontId="0" type="noConversion"/>
  <printOptions horizontalCentered="1" verticalCentered="1"/>
  <pageMargins left="0.75" right="0.75" top="1" bottom="1" header="0.5" footer="0.5"/>
  <pageSetup scale="74" orientation="landscape" r:id="rId6"/>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dimension ref="A1:A23"/>
  <sheetViews>
    <sheetView view="pageBreakPreview" zoomScaleNormal="100" zoomScaleSheetLayoutView="100" workbookViewId="0"/>
  </sheetViews>
  <sheetFormatPr defaultColWidth="9.109375" defaultRowHeight="13.2"/>
  <cols>
    <col min="1" max="1" width="118" customWidth="1"/>
  </cols>
  <sheetData>
    <row r="1" spans="1:1">
      <c r="A1" s="199" t="s">
        <v>66</v>
      </c>
    </row>
    <row r="2" spans="1:1">
      <c r="A2" s="33"/>
    </row>
    <row r="3" spans="1:1" ht="26.4">
      <c r="A3" s="33" t="s">
        <v>310</v>
      </c>
    </row>
    <row r="4" spans="1:1">
      <c r="A4" s="33"/>
    </row>
    <row r="5" spans="1:1" ht="26.4">
      <c r="A5" s="33" t="s">
        <v>311</v>
      </c>
    </row>
    <row r="7" spans="1:1">
      <c r="A7" s="200" t="s">
        <v>393</v>
      </c>
    </row>
    <row r="9" spans="1:1">
      <c r="A9" s="107" t="s">
        <v>312</v>
      </c>
    </row>
    <row r="10" spans="1:1">
      <c r="A10" s="107" t="s">
        <v>313</v>
      </c>
    </row>
    <row r="11" spans="1:1">
      <c r="A11" s="107" t="s">
        <v>314</v>
      </c>
    </row>
    <row r="12" spans="1:1">
      <c r="A12" s="107"/>
    </row>
    <row r="13" spans="1:1">
      <c r="A13" s="407" t="s">
        <v>1515</v>
      </c>
    </row>
    <row r="14" spans="1:1">
      <c r="A14" s="107"/>
    </row>
    <row r="15" spans="1:1">
      <c r="A15" s="107" t="s">
        <v>315</v>
      </c>
    </row>
    <row r="16" spans="1:1">
      <c r="A16" s="107" t="s">
        <v>316</v>
      </c>
    </row>
    <row r="17" spans="1:1">
      <c r="A17" s="107"/>
    </row>
    <row r="18" spans="1:1">
      <c r="A18" s="107"/>
    </row>
    <row r="19" spans="1:1">
      <c r="A19" s="407" t="s">
        <v>462</v>
      </c>
    </row>
    <row r="20" spans="1:1">
      <c r="A20" s="107"/>
    </row>
    <row r="21" spans="1:1">
      <c r="A21" s="107" t="s">
        <v>317</v>
      </c>
    </row>
    <row r="22" spans="1:1">
      <c r="A22" s="107" t="s">
        <v>182</v>
      </c>
    </row>
    <row r="23" spans="1:1">
      <c r="A23" s="107" t="s">
        <v>183</v>
      </c>
    </row>
  </sheetData>
  <phoneticPr fontId="26" type="noConversion"/>
  <printOptions horizontalCentered="1" verticalCentered="1"/>
  <pageMargins left="0.75" right="0.75" top="1" bottom="1" header="0.5" footer="0.5"/>
  <pageSetup scale="96" orientation="landscape" r:id="rId1"/>
  <headerFooter alignWithMargins="0"/>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dimension ref="A1:E25"/>
  <sheetViews>
    <sheetView showGridLines="0" zoomScaleNormal="100" zoomScaleSheetLayoutView="100" workbookViewId="0">
      <selection sqref="A1:E1"/>
    </sheetView>
  </sheetViews>
  <sheetFormatPr defaultRowHeight="13.2"/>
  <cols>
    <col min="1" max="1" width="6.33203125" customWidth="1"/>
    <col min="2" max="2" width="30.5546875" customWidth="1"/>
    <col min="3" max="4" width="12.6640625" customWidth="1"/>
    <col min="5" max="5" width="100.6640625" customWidth="1"/>
  </cols>
  <sheetData>
    <row r="1" spans="1:5" s="67" customFormat="1" ht="33" customHeight="1">
      <c r="A1" s="803" t="s">
        <v>1324</v>
      </c>
      <c r="B1" s="804"/>
      <c r="C1" s="804"/>
      <c r="D1" s="804"/>
      <c r="E1" s="805"/>
    </row>
    <row r="2" spans="1:5" ht="48.75" customHeight="1">
      <c r="A2" s="408" t="s">
        <v>385</v>
      </c>
      <c r="B2" s="182" t="s">
        <v>844</v>
      </c>
      <c r="C2" s="142" t="s">
        <v>984</v>
      </c>
      <c r="D2" s="182" t="s">
        <v>1069</v>
      </c>
      <c r="E2" s="263" t="s">
        <v>1070</v>
      </c>
    </row>
    <row r="3" spans="1:5" ht="207">
      <c r="A3" s="152">
        <v>33.1</v>
      </c>
      <c r="B3" s="150" t="s">
        <v>1324</v>
      </c>
      <c r="C3" s="151" t="s">
        <v>2215</v>
      </c>
      <c r="D3" s="266" t="s">
        <v>1071</v>
      </c>
      <c r="E3" s="267" t="s">
        <v>2650</v>
      </c>
    </row>
    <row r="4" spans="1:5" ht="27.6">
      <c r="A4" s="152">
        <v>33.200000000000003</v>
      </c>
      <c r="B4" s="150" t="s">
        <v>2651</v>
      </c>
      <c r="C4" s="151" t="s">
        <v>982</v>
      </c>
      <c r="D4" s="266" t="s">
        <v>640</v>
      </c>
      <c r="E4" s="267" t="s">
        <v>2652</v>
      </c>
    </row>
    <row r="5" spans="1:5" ht="41.4">
      <c r="A5" s="152">
        <v>33.299999999999997</v>
      </c>
      <c r="B5" s="150" t="s">
        <v>2653</v>
      </c>
      <c r="C5" s="460" t="s">
        <v>2215</v>
      </c>
      <c r="D5" s="266" t="s">
        <v>2654</v>
      </c>
      <c r="E5" s="267" t="s">
        <v>2602</v>
      </c>
    </row>
    <row r="6" spans="1:5" ht="138">
      <c r="A6" s="152">
        <v>33.4</v>
      </c>
      <c r="B6" s="150" t="s">
        <v>192</v>
      </c>
      <c r="C6" s="151" t="s">
        <v>982</v>
      </c>
      <c r="D6" s="266" t="s">
        <v>1071</v>
      </c>
      <c r="E6" s="267" t="s">
        <v>2655</v>
      </c>
    </row>
    <row r="7" spans="1:5" ht="13.8">
      <c r="A7" s="152">
        <v>33.5</v>
      </c>
      <c r="B7" s="150" t="s">
        <v>622</v>
      </c>
      <c r="C7" s="151" t="s">
        <v>2215</v>
      </c>
      <c r="D7" s="266" t="s">
        <v>1007</v>
      </c>
      <c r="E7" s="267" t="s">
        <v>193</v>
      </c>
    </row>
    <row r="8" spans="1:5" ht="20.100000000000001" customHeight="1">
      <c r="A8" s="152">
        <v>33.6</v>
      </c>
      <c r="B8" s="150" t="s">
        <v>616</v>
      </c>
      <c r="C8" s="151" t="s">
        <v>982</v>
      </c>
      <c r="D8" s="266" t="s">
        <v>568</v>
      </c>
      <c r="E8" s="267" t="s">
        <v>2603</v>
      </c>
    </row>
    <row r="9" spans="1:5" ht="41.4">
      <c r="A9" s="152">
        <v>33.700000000000003</v>
      </c>
      <c r="B9" s="150" t="s">
        <v>194</v>
      </c>
      <c r="C9" s="151" t="s">
        <v>982</v>
      </c>
      <c r="D9" s="266" t="s">
        <v>1071</v>
      </c>
      <c r="E9" s="267" t="s">
        <v>2656</v>
      </c>
    </row>
    <row r="10" spans="1:5" ht="41.4">
      <c r="A10" s="152">
        <v>33.799999999999997</v>
      </c>
      <c r="B10" s="150" t="s">
        <v>195</v>
      </c>
      <c r="C10" s="151" t="s">
        <v>2215</v>
      </c>
      <c r="D10" s="266" t="s">
        <v>1071</v>
      </c>
      <c r="E10" s="267" t="s">
        <v>2664</v>
      </c>
    </row>
    <row r="11" spans="1:5" ht="55.2">
      <c r="A11" s="152">
        <v>33.9</v>
      </c>
      <c r="B11" s="150" t="s">
        <v>196</v>
      </c>
      <c r="C11" s="151" t="s">
        <v>2215</v>
      </c>
      <c r="D11" s="266" t="s">
        <v>1173</v>
      </c>
      <c r="E11" s="267" t="s">
        <v>2657</v>
      </c>
    </row>
    <row r="12" spans="1:5" ht="82.8">
      <c r="A12" s="152" t="s">
        <v>197</v>
      </c>
      <c r="B12" s="150" t="s">
        <v>198</v>
      </c>
      <c r="C12" s="151" t="s">
        <v>2605</v>
      </c>
      <c r="D12" s="266" t="s">
        <v>1071</v>
      </c>
      <c r="E12" s="267" t="s">
        <v>2658</v>
      </c>
    </row>
    <row r="13" spans="1:5" ht="82.8">
      <c r="A13" s="153">
        <v>33.11</v>
      </c>
      <c r="B13" s="150" t="s">
        <v>2659</v>
      </c>
      <c r="C13" s="151" t="s">
        <v>2215</v>
      </c>
      <c r="D13" s="266" t="s">
        <v>1071</v>
      </c>
      <c r="E13" s="267" t="s">
        <v>2660</v>
      </c>
    </row>
    <row r="14" spans="1:5" ht="55.2">
      <c r="A14" s="153">
        <v>33.119999999999997</v>
      </c>
      <c r="B14" s="150" t="s">
        <v>2661</v>
      </c>
      <c r="C14" s="151" t="s">
        <v>2215</v>
      </c>
      <c r="D14" s="266" t="s">
        <v>780</v>
      </c>
      <c r="E14" s="267" t="s">
        <v>2662</v>
      </c>
    </row>
    <row r="15" spans="1:5" ht="82.8">
      <c r="A15" s="274">
        <v>33.130000000000003</v>
      </c>
      <c r="B15" s="150" t="s">
        <v>2725</v>
      </c>
      <c r="C15" s="151" t="s">
        <v>982</v>
      </c>
      <c r="D15" s="266" t="s">
        <v>1071</v>
      </c>
      <c r="E15" s="267" t="s">
        <v>2726</v>
      </c>
    </row>
    <row r="16" spans="1:5" ht="41.4">
      <c r="A16" s="153">
        <v>33.14</v>
      </c>
      <c r="B16" s="275" t="s">
        <v>843</v>
      </c>
      <c r="C16" s="180" t="s">
        <v>982</v>
      </c>
      <c r="D16" s="269" t="s">
        <v>1071</v>
      </c>
      <c r="E16" s="467" t="s">
        <v>1665</v>
      </c>
    </row>
    <row r="17" spans="1:5" ht="41.4">
      <c r="A17" s="153">
        <v>33.15</v>
      </c>
      <c r="B17" s="150" t="s">
        <v>2320</v>
      </c>
      <c r="C17" s="180" t="s">
        <v>982</v>
      </c>
      <c r="D17" s="269" t="s">
        <v>1071</v>
      </c>
      <c r="E17" s="267" t="s">
        <v>2334</v>
      </c>
    </row>
    <row r="18" spans="1:5" ht="41.4">
      <c r="A18" s="153">
        <v>33.159999999999997</v>
      </c>
      <c r="B18" s="150" t="s">
        <v>199</v>
      </c>
      <c r="C18" s="180" t="s">
        <v>982</v>
      </c>
      <c r="D18" s="269" t="s">
        <v>1071</v>
      </c>
      <c r="E18" s="149" t="s">
        <v>2663</v>
      </c>
    </row>
    <row r="19" spans="1:5" ht="20.100000000000001" customHeight="1">
      <c r="A19" s="998" t="s">
        <v>200</v>
      </c>
      <c r="B19" s="999"/>
      <c r="C19" s="999"/>
      <c r="D19" s="276"/>
      <c r="E19" s="277"/>
    </row>
    <row r="20" spans="1:5" ht="41.4">
      <c r="A20" s="153">
        <v>33.17</v>
      </c>
      <c r="B20" s="179" t="s">
        <v>1509</v>
      </c>
      <c r="C20" s="180" t="s">
        <v>982</v>
      </c>
      <c r="D20" s="269" t="s">
        <v>1071</v>
      </c>
      <c r="E20" s="467" t="s">
        <v>836</v>
      </c>
    </row>
    <row r="21" spans="1:5" ht="41.4">
      <c r="A21" s="153">
        <v>33.18</v>
      </c>
      <c r="B21" s="150" t="s">
        <v>741</v>
      </c>
      <c r="C21" s="151" t="s">
        <v>982</v>
      </c>
      <c r="D21" s="266" t="s">
        <v>1071</v>
      </c>
      <c r="E21" s="267" t="s">
        <v>2665</v>
      </c>
    </row>
    <row r="22" spans="1:5" ht="41.4">
      <c r="A22" s="153">
        <v>33.19</v>
      </c>
      <c r="B22" s="150" t="s">
        <v>1339</v>
      </c>
      <c r="C22" s="151" t="s">
        <v>982</v>
      </c>
      <c r="D22" s="266" t="s">
        <v>1071</v>
      </c>
      <c r="E22" s="267" t="s">
        <v>181</v>
      </c>
    </row>
    <row r="23" spans="1:5" ht="41.4">
      <c r="A23" s="153">
        <v>33.200000000000003</v>
      </c>
      <c r="B23" s="150" t="s">
        <v>912</v>
      </c>
      <c r="C23" s="151" t="s">
        <v>982</v>
      </c>
      <c r="D23" s="266" t="s">
        <v>1071</v>
      </c>
      <c r="E23" s="267" t="s">
        <v>179</v>
      </c>
    </row>
    <row r="24" spans="1:5" ht="20.100000000000001" customHeight="1">
      <c r="A24" s="998" t="s">
        <v>201</v>
      </c>
      <c r="B24" s="999"/>
      <c r="C24" s="999"/>
      <c r="D24" s="272"/>
      <c r="E24" s="273"/>
    </row>
    <row r="25" spans="1:5" ht="83.4" thickBot="1">
      <c r="A25" s="532">
        <v>33.21</v>
      </c>
      <c r="B25" s="533" t="s">
        <v>384</v>
      </c>
      <c r="C25" s="534" t="s">
        <v>982</v>
      </c>
      <c r="D25" s="535" t="s">
        <v>1071</v>
      </c>
      <c r="E25" s="497" t="s">
        <v>2216</v>
      </c>
    </row>
  </sheetData>
  <mergeCells count="3">
    <mergeCell ref="A19:C19"/>
    <mergeCell ref="A24:C24"/>
    <mergeCell ref="A1:E1"/>
  </mergeCells>
  <phoneticPr fontId="26" type="noConversion"/>
  <printOptions horizontalCentered="1" verticalCentered="1"/>
  <pageMargins left="0.75" right="0.75" top="1" bottom="1" header="0.5" footer="0.5"/>
  <pageSetup scale="74" orientation="landscape" r:id="rId1"/>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dimension ref="A1:C19"/>
  <sheetViews>
    <sheetView showGridLines="0" zoomScale="130" zoomScaleNormal="130" zoomScaleSheetLayoutView="100" workbookViewId="0">
      <selection sqref="A1:C1"/>
    </sheetView>
  </sheetViews>
  <sheetFormatPr defaultRowHeight="13.2"/>
  <cols>
    <col min="1" max="1" width="6.33203125" customWidth="1"/>
    <col min="2" max="2" width="30.6640625" customWidth="1"/>
    <col min="3" max="3" width="100.6640625" customWidth="1"/>
  </cols>
  <sheetData>
    <row r="1" spans="1:3" s="67" customFormat="1" ht="33" customHeight="1">
      <c r="A1" s="803" t="s">
        <v>1326</v>
      </c>
      <c r="B1" s="804"/>
      <c r="C1" s="805"/>
    </row>
    <row r="2" spans="1:3" ht="46.8">
      <c r="A2" s="261" t="s">
        <v>385</v>
      </c>
      <c r="B2" s="262" t="s">
        <v>844</v>
      </c>
      <c r="C2" s="263" t="s">
        <v>1070</v>
      </c>
    </row>
    <row r="3" spans="1:3" ht="27.6">
      <c r="A3" s="152">
        <v>34.1</v>
      </c>
      <c r="B3" s="150" t="s">
        <v>2635</v>
      </c>
      <c r="C3" s="149" t="s">
        <v>2794</v>
      </c>
    </row>
    <row r="4" spans="1:3" ht="41.4">
      <c r="A4" s="152">
        <v>34.200000000000003</v>
      </c>
      <c r="B4" s="150" t="s">
        <v>1286</v>
      </c>
      <c r="C4" s="149" t="s">
        <v>2927</v>
      </c>
    </row>
    <row r="5" spans="1:3" ht="41.4">
      <c r="A5" s="152">
        <v>34.299999999999997</v>
      </c>
      <c r="B5" s="150" t="s">
        <v>1485</v>
      </c>
      <c r="C5" s="149" t="s">
        <v>3167</v>
      </c>
    </row>
    <row r="6" spans="1:3" ht="27.6">
      <c r="A6" s="152">
        <v>34.4</v>
      </c>
      <c r="B6" s="150" t="s">
        <v>2931</v>
      </c>
      <c r="C6" s="149" t="s">
        <v>2932</v>
      </c>
    </row>
    <row r="7" spans="1:3" ht="69">
      <c r="A7" s="152">
        <v>34.5</v>
      </c>
      <c r="B7" s="150" t="s">
        <v>2930</v>
      </c>
      <c r="C7" s="149" t="s">
        <v>3168</v>
      </c>
    </row>
    <row r="8" spans="1:3" ht="41.4">
      <c r="A8" s="152">
        <v>34.6</v>
      </c>
      <c r="B8" s="150" t="s">
        <v>3178</v>
      </c>
      <c r="C8" s="149" t="s">
        <v>3169</v>
      </c>
    </row>
    <row r="9" spans="1:3" ht="27.6">
      <c r="A9" s="152">
        <v>34.700000000000003</v>
      </c>
      <c r="B9" s="150" t="s">
        <v>3213</v>
      </c>
      <c r="C9" s="149" t="s">
        <v>3214</v>
      </c>
    </row>
    <row r="10" spans="1:3" ht="41.4">
      <c r="A10" s="152">
        <v>34.799999999999997</v>
      </c>
      <c r="B10" s="285" t="s">
        <v>1679</v>
      </c>
      <c r="C10" s="149" t="s">
        <v>3179</v>
      </c>
    </row>
    <row r="11" spans="1:3" ht="27.6">
      <c r="A11" s="152">
        <v>34.9</v>
      </c>
      <c r="B11" s="150" t="s">
        <v>2933</v>
      </c>
      <c r="C11" s="149" t="s">
        <v>3170</v>
      </c>
    </row>
    <row r="12" spans="1:3" ht="55.2">
      <c r="A12" s="153">
        <v>34.1</v>
      </c>
      <c r="B12" s="154" t="s">
        <v>1488</v>
      </c>
      <c r="C12" s="149" t="s">
        <v>3171</v>
      </c>
    </row>
    <row r="13" spans="1:3" ht="27.6">
      <c r="A13" s="153">
        <v>34.11</v>
      </c>
      <c r="B13" s="150" t="s">
        <v>3180</v>
      </c>
      <c r="C13" s="149" t="s">
        <v>3172</v>
      </c>
    </row>
    <row r="14" spans="1:3" ht="55.2">
      <c r="A14" s="153">
        <v>34.119999999999997</v>
      </c>
      <c r="B14" s="150" t="s">
        <v>625</v>
      </c>
      <c r="C14" s="149" t="s">
        <v>3173</v>
      </c>
    </row>
    <row r="15" spans="1:3" ht="13.8">
      <c r="A15" s="184">
        <v>34.130000000000003</v>
      </c>
      <c r="B15" s="268" t="s">
        <v>833</v>
      </c>
      <c r="C15" s="149" t="s">
        <v>3174</v>
      </c>
    </row>
    <row r="16" spans="1:3" ht="27.6">
      <c r="A16" s="311">
        <v>34.14</v>
      </c>
      <c r="B16" s="150" t="s">
        <v>2376</v>
      </c>
      <c r="C16" s="149" t="s">
        <v>3175</v>
      </c>
    </row>
    <row r="17" spans="1:3" ht="20.100000000000001" customHeight="1">
      <c r="A17" s="996" t="s">
        <v>1681</v>
      </c>
      <c r="B17" s="997"/>
      <c r="C17" s="264"/>
    </row>
    <row r="18" spans="1:3" ht="27.6">
      <c r="A18" s="153">
        <v>34.15</v>
      </c>
      <c r="B18" s="150" t="s">
        <v>1339</v>
      </c>
      <c r="C18" s="149" t="s">
        <v>3176</v>
      </c>
    </row>
    <row r="19" spans="1:3" ht="28.2" thickBot="1">
      <c r="A19" s="532">
        <v>34.159999999999997</v>
      </c>
      <c r="B19" s="482" t="s">
        <v>912</v>
      </c>
      <c r="C19" s="485" t="s">
        <v>3177</v>
      </c>
    </row>
  </sheetData>
  <mergeCells count="2">
    <mergeCell ref="A17:B17"/>
    <mergeCell ref="A1:C1"/>
  </mergeCells>
  <phoneticPr fontId="26" type="noConversion"/>
  <printOptions horizontalCentered="1" verticalCentered="1"/>
  <pageMargins left="0.75" right="0.75" top="1" bottom="1" header="0.5" footer="0.5"/>
  <pageSetup scale="74" orientation="landscape" r:id="rId1"/>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3"/>
  <dimension ref="A1:N50"/>
  <sheetViews>
    <sheetView view="pageBreakPreview" zoomScaleNormal="100" zoomScaleSheetLayoutView="100" workbookViewId="0"/>
  </sheetViews>
  <sheetFormatPr defaultColWidth="9.109375" defaultRowHeight="13.2"/>
  <cols>
    <col min="1" max="1" width="118.33203125" style="46" customWidth="1"/>
    <col min="2" max="16384" width="9.109375" style="4"/>
  </cols>
  <sheetData>
    <row r="1" spans="1:14">
      <c r="A1" s="604" t="s">
        <v>87</v>
      </c>
    </row>
    <row r="2" spans="1:14" s="88" customFormat="1">
      <c r="A2" s="119"/>
      <c r="N2" s="88" t="s">
        <v>596</v>
      </c>
    </row>
    <row r="3" spans="1:14" ht="76.5" customHeight="1">
      <c r="A3" s="53" t="s">
        <v>485</v>
      </c>
    </row>
    <row r="4" spans="1:14">
      <c r="A4" s="53"/>
    </row>
    <row r="5" spans="1:14" s="3" customFormat="1">
      <c r="A5" s="53" t="s">
        <v>1136</v>
      </c>
    </row>
    <row r="6" spans="1:14" s="3" customFormat="1" ht="12.75" customHeight="1">
      <c r="A6" s="58" t="s">
        <v>1137</v>
      </c>
    </row>
    <row r="7" spans="1:14" s="3" customFormat="1">
      <c r="A7" s="58" t="s">
        <v>1138</v>
      </c>
      <c r="C7" s="49"/>
    </row>
    <row r="8" spans="1:14" s="3" customFormat="1">
      <c r="A8" s="87" t="s">
        <v>1139</v>
      </c>
      <c r="C8" s="49"/>
    </row>
    <row r="9" spans="1:14">
      <c r="A9" s="55"/>
      <c r="C9" s="50"/>
    </row>
    <row r="10" spans="1:14" ht="92.4">
      <c r="A10" s="46" t="s">
        <v>929</v>
      </c>
    </row>
    <row r="12" spans="1:14" ht="66">
      <c r="A12" s="46" t="s">
        <v>572</v>
      </c>
    </row>
    <row r="14" spans="1:14" ht="92.4">
      <c r="A14" s="46" t="s">
        <v>49</v>
      </c>
    </row>
    <row r="16" spans="1:14" ht="60.75" customHeight="1">
      <c r="A16" s="45" t="s">
        <v>1135</v>
      </c>
    </row>
    <row r="18" spans="1:1" ht="83.25" customHeight="1">
      <c r="A18" s="46" t="s">
        <v>890</v>
      </c>
    </row>
    <row r="19" spans="1:1" ht="34.5" customHeight="1">
      <c r="A19" s="46" t="s">
        <v>486</v>
      </c>
    </row>
    <row r="50" ht="56.25" customHeight="1"/>
  </sheetData>
  <customSheetViews>
    <customSheetView guid="{4FEDB3BD-111A-4B7D-AA97-E67173A5F707}" showPageBreaks="1" printArea="1" showRuler="0" topLeftCell="A15">
      <selection activeCell="A19" sqref="A1:A19"/>
      <pageMargins left="0.75" right="0.75" top="1" bottom="1" header="0.5" footer="0.5"/>
      <pageSetup orientation="landscape" r:id="rId1"/>
      <headerFooter alignWithMargins="0">
        <oddFooter>&amp;CPage &amp;P of &amp;N</oddFooter>
      </headerFooter>
    </customSheetView>
    <customSheetView guid="{D5FFA8DD-F2DB-47F2-B4D2-3681726B2E8F}" showPageBreaks="1" showRuler="0" topLeftCell="A13">
      <selection activeCell="C3" sqref="C3:P3"/>
      <pageMargins left="0.75" right="0.75" top="1" bottom="1" header="0.5" footer="0.5"/>
      <pageSetup orientation="landscape" r:id="rId2"/>
      <headerFooter alignWithMargins="0">
        <oddFooter>&amp;CPage &amp;P of &amp;N</oddFooter>
      </headerFooter>
    </customSheetView>
    <customSheetView guid="{EFE02F7B-3837-4B0F-9646-ADE249504E9F}" showRuler="0" topLeftCell="A12">
      <selection activeCell="B14" sqref="B14"/>
      <pageMargins left="0.75" right="0.75" top="1" bottom="1" header="0.5" footer="0.5"/>
      <pageSetup orientation="landscape" r:id="rId3"/>
      <headerFooter alignWithMargins="0">
        <oddFooter>&amp;CPage &amp;P of &amp;N</oddFooter>
      </headerFooter>
    </customSheetView>
    <customSheetView guid="{053BE130-58A3-4F3B-945A-C2EFB15C6264}" showRuler="0" topLeftCell="A12">
      <selection activeCell="B14" sqref="B14"/>
      <pageMargins left="0.75" right="0.75" top="1" bottom="1" header="0.5" footer="0.5"/>
      <pageSetup orientation="landscape" r:id="rId4"/>
      <headerFooter alignWithMargins="0">
        <oddFooter>&amp;CPage &amp;P of &amp;N</oddFooter>
      </headerFooter>
    </customSheetView>
    <customSheetView guid="{F5DBE5B9-A9E4-4030-888B-08F930ECBB74}" showPageBreaks="1" showRuler="0" topLeftCell="A12">
      <selection activeCell="B14" sqref="B14"/>
      <pageMargins left="0.75" right="0.75" top="1" bottom="1" header="0.5" footer="0.5"/>
      <pageSetup orientation="landscape" r:id="rId5"/>
      <headerFooter alignWithMargins="0">
        <oddFooter>&amp;CPage &amp;P of &amp;N</oddFooter>
      </headerFooter>
    </customSheetView>
    <customSheetView guid="{960FB4AF-B150-4523-972C-3F7C93F049F3}" showRuler="0" topLeftCell="A15">
      <selection activeCell="A19" sqref="A1:A19"/>
      <pageMargins left="0.75" right="0.75" top="1" bottom="1" header="0.5" footer="0.5"/>
      <pageSetup orientation="landscape" r:id="rId6"/>
      <headerFooter alignWithMargins="0">
        <oddFooter>&amp;CPage &amp;P of &amp;N</oddFooter>
      </headerFooter>
    </customSheetView>
    <customSheetView guid="{DF3BD4C9-2986-4236-8E90-D96736404377}" showRuler="0" topLeftCell="A15">
      <selection activeCell="A19" sqref="A1:A19"/>
      <pageMargins left="0.75" right="0.75" top="1" bottom="1" header="0.5" footer="0.5"/>
      <pageSetup orientation="landscape" r:id="rId7"/>
      <headerFooter alignWithMargins="0">
        <oddFooter>&amp;CPage &amp;P of &amp;N</oddFooter>
      </headerFooter>
    </customSheetView>
  </customSheetViews>
  <phoneticPr fontId="0" type="noConversion"/>
  <printOptions horizontalCentered="1" verticalCentered="1"/>
  <pageMargins left="0.75" right="0.75" top="1" bottom="1" header="0.5" footer="0.5"/>
  <pageSetup orientation="landscape" r:id="rId8"/>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44"/>
  <dimension ref="A1:E223"/>
  <sheetViews>
    <sheetView showGridLines="0" zoomScale="85" zoomScaleNormal="85" zoomScaleSheetLayoutView="85" workbookViewId="0">
      <selection sqref="A1:E1"/>
    </sheetView>
  </sheetViews>
  <sheetFormatPr defaultColWidth="9.109375" defaultRowHeight="13.2"/>
  <cols>
    <col min="1" max="1" width="6.33203125" style="40" customWidth="1"/>
    <col min="2" max="2" width="30.6640625" style="4" customWidth="1"/>
    <col min="3" max="3" width="12.6640625" style="39" customWidth="1"/>
    <col min="4" max="4" width="12.6640625" style="59" customWidth="1"/>
    <col min="5" max="5" width="100.6640625" style="41" customWidth="1"/>
    <col min="6" max="16384" width="9.109375" style="4"/>
  </cols>
  <sheetData>
    <row r="1" spans="1:5" s="67" customFormat="1" ht="33" customHeight="1">
      <c r="A1" s="803" t="s">
        <v>713</v>
      </c>
      <c r="B1" s="804"/>
      <c r="C1" s="804"/>
      <c r="D1" s="804"/>
      <c r="E1" s="805"/>
    </row>
    <row r="2" spans="1:5" s="86" customFormat="1" ht="48" customHeight="1">
      <c r="A2" s="305" t="s">
        <v>385</v>
      </c>
      <c r="B2" s="262" t="s">
        <v>844</v>
      </c>
      <c r="C2" s="182" t="s">
        <v>984</v>
      </c>
      <c r="D2" s="182" t="s">
        <v>1069</v>
      </c>
      <c r="E2" s="263" t="s">
        <v>1070</v>
      </c>
    </row>
    <row r="3" spans="1:5" s="86" customFormat="1" ht="20.100000000000001" customHeight="1">
      <c r="A3" s="223"/>
      <c r="B3" s="280" t="s">
        <v>113</v>
      </c>
      <c r="C3" s="182"/>
      <c r="D3" s="182"/>
      <c r="E3" s="224"/>
    </row>
    <row r="4" spans="1:5" ht="69">
      <c r="A4" s="409" t="s">
        <v>1912</v>
      </c>
      <c r="B4" s="268" t="s">
        <v>1478</v>
      </c>
      <c r="C4" s="460" t="s">
        <v>982</v>
      </c>
      <c r="D4" s="460" t="s">
        <v>1071</v>
      </c>
      <c r="E4" s="149" t="s">
        <v>529</v>
      </c>
    </row>
    <row r="5" spans="1:5" ht="207">
      <c r="A5" s="409" t="s">
        <v>1913</v>
      </c>
      <c r="B5" s="150" t="s">
        <v>1278</v>
      </c>
      <c r="C5" s="460" t="s">
        <v>982</v>
      </c>
      <c r="D5" s="266" t="s">
        <v>1071</v>
      </c>
      <c r="E5" s="267" t="s">
        <v>2050</v>
      </c>
    </row>
    <row r="6" spans="1:5" ht="193.2">
      <c r="A6" s="409" t="s">
        <v>1914</v>
      </c>
      <c r="B6" s="268" t="s">
        <v>626</v>
      </c>
      <c r="C6" s="460" t="s">
        <v>627</v>
      </c>
      <c r="D6" s="460" t="s">
        <v>302</v>
      </c>
      <c r="E6" s="149" t="s">
        <v>2051</v>
      </c>
    </row>
    <row r="7" spans="1:5" ht="69">
      <c r="A7" s="409" t="s">
        <v>1915</v>
      </c>
      <c r="B7" s="268" t="s">
        <v>2115</v>
      </c>
      <c r="C7" s="460" t="s">
        <v>2116</v>
      </c>
      <c r="D7" s="460" t="s">
        <v>1071</v>
      </c>
      <c r="E7" s="149" t="s">
        <v>2117</v>
      </c>
    </row>
    <row r="8" spans="1:5" ht="69">
      <c r="A8" s="409" t="s">
        <v>2217</v>
      </c>
      <c r="B8" s="150" t="s">
        <v>2379</v>
      </c>
      <c r="C8" s="460" t="s">
        <v>1008</v>
      </c>
      <c r="D8" s="266" t="s">
        <v>583</v>
      </c>
      <c r="E8" s="267" t="s">
        <v>2380</v>
      </c>
    </row>
    <row r="9" spans="1:5" ht="110.4">
      <c r="A9" s="409" t="s">
        <v>2218</v>
      </c>
      <c r="B9" s="268" t="s">
        <v>628</v>
      </c>
      <c r="C9" s="460" t="s">
        <v>1340</v>
      </c>
      <c r="D9" s="460" t="s">
        <v>303</v>
      </c>
      <c r="E9" s="149" t="s">
        <v>2231</v>
      </c>
    </row>
    <row r="10" spans="1:5" ht="124.2">
      <c r="A10" s="409" t="s">
        <v>2219</v>
      </c>
      <c r="B10" s="268" t="s">
        <v>629</v>
      </c>
      <c r="C10" s="460" t="s">
        <v>1008</v>
      </c>
      <c r="D10" s="460" t="s">
        <v>1071</v>
      </c>
      <c r="E10" s="149" t="s">
        <v>2670</v>
      </c>
    </row>
    <row r="11" spans="1:5" ht="110.4">
      <c r="A11" s="409" t="s">
        <v>2220</v>
      </c>
      <c r="B11" s="268" t="s">
        <v>630</v>
      </c>
      <c r="C11" s="460" t="s">
        <v>1008</v>
      </c>
      <c r="D11" s="460" t="s">
        <v>304</v>
      </c>
      <c r="E11" s="149" t="s">
        <v>2671</v>
      </c>
    </row>
    <row r="12" spans="1:5" ht="124.2">
      <c r="A12" s="409" t="s">
        <v>2221</v>
      </c>
      <c r="B12" s="150" t="s">
        <v>7</v>
      </c>
      <c r="C12" s="460" t="s">
        <v>1008</v>
      </c>
      <c r="D12" s="460" t="s">
        <v>1005</v>
      </c>
      <c r="E12" s="149" t="s">
        <v>1400</v>
      </c>
    </row>
    <row r="13" spans="1:5" ht="110.4">
      <c r="A13" s="409" t="s">
        <v>2222</v>
      </c>
      <c r="B13" s="268" t="s">
        <v>351</v>
      </c>
      <c r="C13" s="460" t="s">
        <v>352</v>
      </c>
      <c r="D13" s="460" t="s">
        <v>1071</v>
      </c>
      <c r="E13" s="149" t="s">
        <v>587</v>
      </c>
    </row>
    <row r="14" spans="1:5" ht="41.4">
      <c r="A14" s="409" t="s">
        <v>2223</v>
      </c>
      <c r="B14" s="150" t="s">
        <v>353</v>
      </c>
      <c r="C14" s="460" t="s">
        <v>352</v>
      </c>
      <c r="D14" s="460" t="s">
        <v>300</v>
      </c>
      <c r="E14" s="149" t="s">
        <v>588</v>
      </c>
    </row>
    <row r="15" spans="1:5" ht="96.6">
      <c r="A15" s="409" t="s">
        <v>2224</v>
      </c>
      <c r="B15" s="150" t="s">
        <v>8</v>
      </c>
      <c r="C15" s="460" t="s">
        <v>982</v>
      </c>
      <c r="D15" s="266" t="s">
        <v>1071</v>
      </c>
      <c r="E15" s="149" t="s">
        <v>2672</v>
      </c>
    </row>
    <row r="16" spans="1:5" ht="55.2">
      <c r="A16" s="409" t="s">
        <v>2225</v>
      </c>
      <c r="B16" s="150" t="s">
        <v>9</v>
      </c>
      <c r="C16" s="460" t="s">
        <v>352</v>
      </c>
      <c r="D16" s="266" t="s">
        <v>1331</v>
      </c>
      <c r="E16" s="149" t="s">
        <v>920</v>
      </c>
    </row>
    <row r="17" spans="1:5" ht="69">
      <c r="A17" s="409" t="s">
        <v>2226</v>
      </c>
      <c r="B17" s="150" t="s">
        <v>10</v>
      </c>
      <c r="C17" s="460" t="s">
        <v>627</v>
      </c>
      <c r="D17" s="266" t="s">
        <v>301</v>
      </c>
      <c r="E17" s="149" t="s">
        <v>581</v>
      </c>
    </row>
    <row r="18" spans="1:5" ht="69">
      <c r="A18" s="409" t="s">
        <v>2227</v>
      </c>
      <c r="B18" s="150" t="s">
        <v>11</v>
      </c>
      <c r="C18" s="460" t="s">
        <v>1008</v>
      </c>
      <c r="D18" s="266" t="s">
        <v>1449</v>
      </c>
      <c r="E18" s="149" t="s">
        <v>921</v>
      </c>
    </row>
    <row r="19" spans="1:5" ht="138">
      <c r="A19" s="409" t="s">
        <v>2228</v>
      </c>
      <c r="B19" s="150" t="s">
        <v>12</v>
      </c>
      <c r="C19" s="460" t="s">
        <v>354</v>
      </c>
      <c r="D19" s="266" t="s">
        <v>1071</v>
      </c>
      <c r="E19" s="149" t="s">
        <v>540</v>
      </c>
    </row>
    <row r="20" spans="1:5" ht="110.4">
      <c r="A20" s="409" t="s">
        <v>2229</v>
      </c>
      <c r="B20" s="150" t="s">
        <v>1401</v>
      </c>
      <c r="C20" s="460" t="s">
        <v>352</v>
      </c>
      <c r="D20" s="460" t="s">
        <v>768</v>
      </c>
      <c r="E20" s="149" t="s">
        <v>2043</v>
      </c>
    </row>
    <row r="21" spans="1:5" ht="69">
      <c r="A21" s="409" t="s">
        <v>2230</v>
      </c>
      <c r="B21" s="150" t="s">
        <v>114</v>
      </c>
      <c r="C21" s="460" t="s">
        <v>13</v>
      </c>
      <c r="D21" s="460" t="s">
        <v>1449</v>
      </c>
      <c r="E21" s="149" t="s">
        <v>846</v>
      </c>
    </row>
    <row r="22" spans="1:5" ht="289.8">
      <c r="A22" s="409" t="s">
        <v>2119</v>
      </c>
      <c r="B22" s="577" t="s">
        <v>2271</v>
      </c>
      <c r="C22" s="578" t="s">
        <v>982</v>
      </c>
      <c r="D22" s="578" t="s">
        <v>2273</v>
      </c>
      <c r="E22" s="579" t="s">
        <v>2727</v>
      </c>
    </row>
    <row r="23" spans="1:5" ht="124.2">
      <c r="A23" s="409" t="s">
        <v>2232</v>
      </c>
      <c r="B23" s="150" t="s">
        <v>1145</v>
      </c>
      <c r="C23" s="460" t="s">
        <v>1008</v>
      </c>
      <c r="D23" s="460" t="s">
        <v>1071</v>
      </c>
      <c r="E23" s="149" t="s">
        <v>2044</v>
      </c>
    </row>
    <row r="24" spans="1:5" ht="96.6">
      <c r="A24" s="409" t="s">
        <v>2233</v>
      </c>
      <c r="B24" s="150" t="s">
        <v>1146</v>
      </c>
      <c r="C24" s="460" t="s">
        <v>982</v>
      </c>
      <c r="D24" s="266" t="s">
        <v>1332</v>
      </c>
      <c r="E24" s="149" t="s">
        <v>973</v>
      </c>
    </row>
    <row r="25" spans="1:5" ht="110.4">
      <c r="A25" s="409" t="s">
        <v>2234</v>
      </c>
      <c r="B25" s="150" t="s">
        <v>1402</v>
      </c>
      <c r="C25" s="460" t="s">
        <v>982</v>
      </c>
      <c r="D25" s="266" t="s">
        <v>1071</v>
      </c>
      <c r="E25" s="149" t="s">
        <v>1403</v>
      </c>
    </row>
    <row r="26" spans="1:5" ht="82.8">
      <c r="A26" s="409" t="s">
        <v>2235</v>
      </c>
      <c r="B26" s="150" t="s">
        <v>14</v>
      </c>
      <c r="C26" s="460" t="s">
        <v>982</v>
      </c>
      <c r="D26" s="266" t="s">
        <v>822</v>
      </c>
      <c r="E26" s="149" t="s">
        <v>1404</v>
      </c>
    </row>
    <row r="27" spans="1:5" ht="110.4">
      <c r="A27" s="409" t="s">
        <v>2236</v>
      </c>
      <c r="B27" s="150" t="s">
        <v>730</v>
      </c>
      <c r="C27" s="460" t="s">
        <v>1008</v>
      </c>
      <c r="D27" s="266" t="s">
        <v>1071</v>
      </c>
      <c r="E27" s="149" t="s">
        <v>318</v>
      </c>
    </row>
    <row r="28" spans="1:5" ht="69">
      <c r="A28" s="409" t="s">
        <v>2237</v>
      </c>
      <c r="B28" s="150" t="s">
        <v>1279</v>
      </c>
      <c r="C28" s="460" t="s">
        <v>1147</v>
      </c>
      <c r="D28" s="460" t="s">
        <v>1007</v>
      </c>
      <c r="E28" s="149" t="s">
        <v>319</v>
      </c>
    </row>
    <row r="29" spans="1:5" ht="110.4">
      <c r="A29" s="409" t="s">
        <v>2238</v>
      </c>
      <c r="B29" s="150" t="s">
        <v>1280</v>
      </c>
      <c r="C29" s="460" t="s">
        <v>1147</v>
      </c>
      <c r="D29" s="266" t="s">
        <v>304</v>
      </c>
      <c r="E29" s="149" t="s">
        <v>747</v>
      </c>
    </row>
    <row r="30" spans="1:5" ht="20.100000000000001" customHeight="1">
      <c r="A30" s="996" t="s">
        <v>115</v>
      </c>
      <c r="B30" s="1148"/>
      <c r="C30" s="1148"/>
      <c r="D30" s="270"/>
      <c r="E30" s="189"/>
    </row>
    <row r="31" spans="1:5" ht="13.8">
      <c r="A31" s="1144"/>
      <c r="B31" s="1145"/>
      <c r="C31" s="1145"/>
      <c r="D31" s="1145"/>
      <c r="E31" s="1146"/>
    </row>
    <row r="32" spans="1:5" ht="20.100000000000001" customHeight="1">
      <c r="A32" s="223"/>
      <c r="B32" s="1149" t="s">
        <v>116</v>
      </c>
      <c r="C32" s="1139"/>
      <c r="D32" s="1139"/>
      <c r="E32" s="1150"/>
    </row>
    <row r="33" spans="1:5" ht="207">
      <c r="A33" s="409" t="s">
        <v>2239</v>
      </c>
      <c r="B33" s="150" t="s">
        <v>1278</v>
      </c>
      <c r="C33" s="460" t="s">
        <v>982</v>
      </c>
      <c r="D33" s="266" t="s">
        <v>1071</v>
      </c>
      <c r="E33" s="149" t="s">
        <v>2673</v>
      </c>
    </row>
    <row r="34" spans="1:5" ht="220.8">
      <c r="A34" s="409" t="s">
        <v>2240</v>
      </c>
      <c r="B34" s="268" t="s">
        <v>626</v>
      </c>
      <c r="C34" s="460" t="s">
        <v>627</v>
      </c>
      <c r="D34" s="460" t="s">
        <v>302</v>
      </c>
      <c r="E34" s="149" t="s">
        <v>2674</v>
      </c>
    </row>
    <row r="35" spans="1:5" ht="69">
      <c r="A35" s="409" t="s">
        <v>2241</v>
      </c>
      <c r="B35" s="150" t="s">
        <v>2377</v>
      </c>
      <c r="C35" s="460" t="s">
        <v>1008</v>
      </c>
      <c r="D35" s="266" t="s">
        <v>583</v>
      </c>
      <c r="E35" s="149" t="s">
        <v>2378</v>
      </c>
    </row>
    <row r="36" spans="1:5" ht="110.4">
      <c r="A36" s="409" t="s">
        <v>2242</v>
      </c>
      <c r="B36" s="268" t="s">
        <v>628</v>
      </c>
      <c r="C36" s="460" t="s">
        <v>1340</v>
      </c>
      <c r="D36" s="460" t="s">
        <v>303</v>
      </c>
      <c r="E36" s="149" t="s">
        <v>2231</v>
      </c>
    </row>
    <row r="37" spans="1:5" ht="124.2">
      <c r="A37" s="409" t="s">
        <v>2243</v>
      </c>
      <c r="B37" s="268" t="s">
        <v>629</v>
      </c>
      <c r="C37" s="460" t="s">
        <v>1008</v>
      </c>
      <c r="D37" s="460" t="s">
        <v>1071</v>
      </c>
      <c r="E37" s="149" t="s">
        <v>2675</v>
      </c>
    </row>
    <row r="38" spans="1:5" ht="96.6">
      <c r="A38" s="409" t="s">
        <v>2244</v>
      </c>
      <c r="B38" s="150" t="s">
        <v>1281</v>
      </c>
      <c r="C38" s="460" t="s">
        <v>1008</v>
      </c>
      <c r="D38" s="266" t="s">
        <v>1071</v>
      </c>
      <c r="E38" s="149" t="s">
        <v>19</v>
      </c>
    </row>
    <row r="39" spans="1:5" ht="124.2">
      <c r="A39" s="409" t="s">
        <v>2245</v>
      </c>
      <c r="B39" s="268" t="s">
        <v>351</v>
      </c>
      <c r="C39" s="460" t="s">
        <v>352</v>
      </c>
      <c r="D39" s="460" t="s">
        <v>1071</v>
      </c>
      <c r="E39" s="149" t="s">
        <v>595</v>
      </c>
    </row>
    <row r="40" spans="1:5" ht="41.4">
      <c r="A40" s="409" t="s">
        <v>2246</v>
      </c>
      <c r="B40" s="150" t="s">
        <v>1148</v>
      </c>
      <c r="C40" s="460" t="s">
        <v>352</v>
      </c>
      <c r="D40" s="460" t="s">
        <v>300</v>
      </c>
      <c r="E40" s="149" t="s">
        <v>588</v>
      </c>
    </row>
    <row r="41" spans="1:5" ht="57.6">
      <c r="A41" s="409" t="s">
        <v>2247</v>
      </c>
      <c r="B41" s="268" t="s">
        <v>15</v>
      </c>
      <c r="C41" s="460" t="s">
        <v>352</v>
      </c>
      <c r="D41" s="460" t="s">
        <v>1331</v>
      </c>
      <c r="E41" s="149" t="s">
        <v>2045</v>
      </c>
    </row>
    <row r="42" spans="1:5" ht="69">
      <c r="A42" s="409" t="s">
        <v>2248</v>
      </c>
      <c r="B42" s="150" t="s">
        <v>1282</v>
      </c>
      <c r="C42" s="460" t="s">
        <v>1008</v>
      </c>
      <c r="D42" s="266" t="s">
        <v>759</v>
      </c>
      <c r="E42" s="149" t="s">
        <v>582</v>
      </c>
    </row>
    <row r="43" spans="1:5" ht="124.2">
      <c r="A43" s="409" t="s">
        <v>2249</v>
      </c>
      <c r="B43" s="150" t="s">
        <v>16</v>
      </c>
      <c r="C43" s="460" t="s">
        <v>1149</v>
      </c>
      <c r="D43" s="460" t="s">
        <v>927</v>
      </c>
      <c r="E43" s="149" t="s">
        <v>78</v>
      </c>
    </row>
    <row r="44" spans="1:5" ht="96.6">
      <c r="A44" s="409" t="s">
        <v>2250</v>
      </c>
      <c r="B44" s="150" t="s">
        <v>337</v>
      </c>
      <c r="C44" s="460" t="s">
        <v>1149</v>
      </c>
      <c r="D44" s="460" t="s">
        <v>1006</v>
      </c>
      <c r="E44" s="149" t="s">
        <v>2666</v>
      </c>
    </row>
    <row r="45" spans="1:5" ht="110.4">
      <c r="A45" s="409" t="s">
        <v>2251</v>
      </c>
      <c r="B45" s="150" t="s">
        <v>1341</v>
      </c>
      <c r="C45" s="460" t="s">
        <v>1149</v>
      </c>
      <c r="D45" s="460" t="s">
        <v>1071</v>
      </c>
      <c r="E45" s="149" t="s">
        <v>2667</v>
      </c>
    </row>
    <row r="46" spans="1:5" ht="69">
      <c r="A46" s="409" t="s">
        <v>2252</v>
      </c>
      <c r="B46" s="150" t="s">
        <v>17</v>
      </c>
      <c r="C46" s="460" t="s">
        <v>1149</v>
      </c>
      <c r="D46" s="460" t="s">
        <v>68</v>
      </c>
      <c r="E46" s="149" t="s">
        <v>2046</v>
      </c>
    </row>
    <row r="47" spans="1:5" ht="124.2">
      <c r="A47" s="409" t="s">
        <v>2253</v>
      </c>
      <c r="B47" s="150" t="s">
        <v>338</v>
      </c>
      <c r="C47" s="460" t="s">
        <v>339</v>
      </c>
      <c r="D47" s="460" t="s">
        <v>1071</v>
      </c>
      <c r="E47" s="149" t="s">
        <v>726</v>
      </c>
    </row>
    <row r="48" spans="1:5" ht="110.4">
      <c r="A48" s="409" t="s">
        <v>2254</v>
      </c>
      <c r="B48" s="150" t="s">
        <v>18</v>
      </c>
      <c r="C48" s="460" t="s">
        <v>339</v>
      </c>
      <c r="D48" s="460" t="s">
        <v>1445</v>
      </c>
      <c r="E48" s="149" t="s">
        <v>2047</v>
      </c>
    </row>
    <row r="49" spans="1:5" ht="82.8">
      <c r="A49" s="409" t="s">
        <v>2255</v>
      </c>
      <c r="B49" s="150" t="s">
        <v>69</v>
      </c>
      <c r="C49" s="460" t="s">
        <v>627</v>
      </c>
      <c r="D49" s="460" t="s">
        <v>1071</v>
      </c>
      <c r="E49" s="149" t="s">
        <v>1087</v>
      </c>
    </row>
    <row r="50" spans="1:5" ht="69">
      <c r="A50" s="409" t="s">
        <v>2256</v>
      </c>
      <c r="B50" s="150" t="s">
        <v>340</v>
      </c>
      <c r="C50" s="460" t="s">
        <v>1008</v>
      </c>
      <c r="D50" s="460" t="s">
        <v>1005</v>
      </c>
      <c r="E50" s="149" t="s">
        <v>1088</v>
      </c>
    </row>
    <row r="51" spans="1:5" ht="138">
      <c r="A51" s="409" t="s">
        <v>2257</v>
      </c>
      <c r="B51" s="268" t="s">
        <v>731</v>
      </c>
      <c r="C51" s="460" t="s">
        <v>1008</v>
      </c>
      <c r="D51" s="266" t="s">
        <v>64</v>
      </c>
      <c r="E51" s="149" t="s">
        <v>2000</v>
      </c>
    </row>
    <row r="52" spans="1:5" ht="207">
      <c r="A52" s="409" t="s">
        <v>2258</v>
      </c>
      <c r="B52" s="150" t="s">
        <v>1283</v>
      </c>
      <c r="C52" s="460" t="s">
        <v>1008</v>
      </c>
      <c r="D52" s="266" t="s">
        <v>1071</v>
      </c>
      <c r="E52" s="149" t="s">
        <v>2668</v>
      </c>
    </row>
    <row r="53" spans="1:5" ht="124.2">
      <c r="A53" s="409" t="s">
        <v>2259</v>
      </c>
      <c r="B53" s="150" t="s">
        <v>732</v>
      </c>
      <c r="C53" s="460" t="s">
        <v>1008</v>
      </c>
      <c r="D53" s="266" t="s">
        <v>1071</v>
      </c>
      <c r="E53" s="149" t="s">
        <v>2669</v>
      </c>
    </row>
    <row r="54" spans="1:5" ht="124.2">
      <c r="A54" s="409" t="s">
        <v>2260</v>
      </c>
      <c r="B54" s="150" t="s">
        <v>1280</v>
      </c>
      <c r="C54" s="460" t="s">
        <v>352</v>
      </c>
      <c r="D54" s="266" t="s">
        <v>242</v>
      </c>
      <c r="E54" s="149" t="s">
        <v>489</v>
      </c>
    </row>
    <row r="55" spans="1:5" ht="20.100000000000001" customHeight="1">
      <c r="A55" s="996" t="s">
        <v>378</v>
      </c>
      <c r="B55" s="997"/>
      <c r="C55" s="997"/>
      <c r="D55" s="270"/>
      <c r="E55" s="189"/>
    </row>
    <row r="56" spans="1:5" ht="41.4">
      <c r="A56" s="409" t="s">
        <v>2261</v>
      </c>
      <c r="B56" s="268" t="s">
        <v>908</v>
      </c>
      <c r="C56" s="460" t="s">
        <v>982</v>
      </c>
      <c r="D56" s="266" t="s">
        <v>1071</v>
      </c>
      <c r="E56" s="149" t="s">
        <v>909</v>
      </c>
    </row>
    <row r="57" spans="1:5" ht="15.6">
      <c r="A57" s="996" t="s">
        <v>1342</v>
      </c>
      <c r="B57" s="997"/>
      <c r="C57" s="997"/>
      <c r="D57" s="270"/>
      <c r="E57" s="189"/>
    </row>
    <row r="58" spans="1:5" ht="13.8">
      <c r="A58" s="1144"/>
      <c r="B58" s="1145"/>
      <c r="C58" s="1145"/>
      <c r="D58" s="1145"/>
      <c r="E58" s="1146"/>
    </row>
    <row r="59" spans="1:5" ht="15.6">
      <c r="A59" s="408"/>
      <c r="B59" s="1142" t="s">
        <v>379</v>
      </c>
      <c r="C59" s="1143"/>
      <c r="D59" s="411"/>
      <c r="E59" s="412"/>
    </row>
    <row r="60" spans="1:5" ht="105" customHeight="1">
      <c r="A60" s="409" t="s">
        <v>2262</v>
      </c>
      <c r="B60" s="150" t="s">
        <v>2320</v>
      </c>
      <c r="C60" s="460" t="s">
        <v>1008</v>
      </c>
      <c r="D60" s="460" t="s">
        <v>1303</v>
      </c>
      <c r="E60" s="149" t="s">
        <v>2335</v>
      </c>
    </row>
    <row r="61" spans="1:5" ht="69">
      <c r="A61" s="409" t="s">
        <v>2263</v>
      </c>
      <c r="B61" s="268" t="s">
        <v>1509</v>
      </c>
      <c r="C61" s="460" t="s">
        <v>982</v>
      </c>
      <c r="D61" s="460" t="s">
        <v>1332</v>
      </c>
      <c r="E61" s="149" t="s">
        <v>82</v>
      </c>
    </row>
    <row r="62" spans="1:5" ht="55.2">
      <c r="A62" s="409" t="s">
        <v>2264</v>
      </c>
      <c r="B62" s="150" t="s">
        <v>1044</v>
      </c>
      <c r="C62" s="151" t="s">
        <v>982</v>
      </c>
      <c r="D62" s="460" t="s">
        <v>1071</v>
      </c>
      <c r="E62" s="149" t="s">
        <v>539</v>
      </c>
    </row>
    <row r="63" spans="1:5" ht="124.2">
      <c r="A63" s="409" t="s">
        <v>2265</v>
      </c>
      <c r="B63" s="268" t="s">
        <v>1339</v>
      </c>
      <c r="C63" s="460" t="s">
        <v>982</v>
      </c>
      <c r="D63" s="460" t="s">
        <v>1071</v>
      </c>
      <c r="E63" s="149" t="s">
        <v>2048</v>
      </c>
    </row>
    <row r="64" spans="1:5" ht="82.8">
      <c r="A64" s="409" t="s">
        <v>2120</v>
      </c>
      <c r="B64" s="150" t="s">
        <v>912</v>
      </c>
      <c r="C64" s="460" t="s">
        <v>982</v>
      </c>
      <c r="D64" s="460" t="s">
        <v>1071</v>
      </c>
      <c r="E64" s="149" t="s">
        <v>930</v>
      </c>
    </row>
    <row r="65" spans="1:5" ht="20.100000000000001" customHeight="1">
      <c r="A65" s="994" t="s">
        <v>83</v>
      </c>
      <c r="B65" s="1147"/>
      <c r="C65" s="1147"/>
      <c r="D65" s="410"/>
      <c r="E65" s="189"/>
    </row>
    <row r="66" spans="1:5" ht="83.4" thickBot="1">
      <c r="A66" s="505" t="s">
        <v>2266</v>
      </c>
      <c r="B66" s="542" t="s">
        <v>384</v>
      </c>
      <c r="C66" s="484" t="s">
        <v>982</v>
      </c>
      <c r="D66" s="484" t="s">
        <v>1071</v>
      </c>
      <c r="E66" s="485" t="s">
        <v>2049</v>
      </c>
    </row>
    <row r="67" spans="1:5">
      <c r="D67" s="4"/>
      <c r="E67" s="4"/>
    </row>
    <row r="68" spans="1:5">
      <c r="D68" s="52"/>
      <c r="E68" s="4"/>
    </row>
    <row r="69" spans="1:5">
      <c r="D69" s="52"/>
      <c r="E69" s="4"/>
    </row>
    <row r="70" spans="1:5">
      <c r="D70" s="52"/>
      <c r="E70" s="4"/>
    </row>
    <row r="71" spans="1:5">
      <c r="D71" s="52"/>
      <c r="E71" s="4"/>
    </row>
    <row r="72" spans="1:5">
      <c r="D72" s="52"/>
      <c r="E72" s="4"/>
    </row>
    <row r="73" spans="1:5">
      <c r="D73" s="52"/>
      <c r="E73" s="4"/>
    </row>
    <row r="74" spans="1:5">
      <c r="D74" s="52"/>
      <c r="E74" s="4"/>
    </row>
    <row r="75" spans="1:5">
      <c r="D75" s="52"/>
      <c r="E75" s="4"/>
    </row>
    <row r="76" spans="1:5">
      <c r="D76" s="52"/>
      <c r="E76" s="4"/>
    </row>
    <row r="77" spans="1:5">
      <c r="D77" s="52"/>
      <c r="E77" s="4"/>
    </row>
    <row r="78" spans="1:5">
      <c r="D78" s="52"/>
      <c r="E78" s="4"/>
    </row>
    <row r="79" spans="1:5">
      <c r="D79" s="52"/>
      <c r="E79" s="4"/>
    </row>
    <row r="80" spans="1:5">
      <c r="D80" s="52"/>
      <c r="E80" s="4"/>
    </row>
    <row r="81" spans="4:5">
      <c r="D81" s="52"/>
      <c r="E81" s="4"/>
    </row>
    <row r="82" spans="4:5">
      <c r="D82" s="52"/>
      <c r="E82" s="4"/>
    </row>
    <row r="83" spans="4:5">
      <c r="D83" s="52"/>
      <c r="E83" s="4"/>
    </row>
    <row r="84" spans="4:5">
      <c r="D84" s="52"/>
      <c r="E84" s="4"/>
    </row>
    <row r="85" spans="4:5">
      <c r="D85" s="52"/>
      <c r="E85" s="4"/>
    </row>
    <row r="86" spans="4:5">
      <c r="D86" s="52"/>
      <c r="E86" s="4"/>
    </row>
    <row r="87" spans="4:5">
      <c r="D87" s="52"/>
      <c r="E87" s="4"/>
    </row>
    <row r="88" spans="4:5">
      <c r="D88" s="52"/>
      <c r="E88" s="4"/>
    </row>
    <row r="89" spans="4:5">
      <c r="D89" s="52"/>
      <c r="E89" s="4"/>
    </row>
    <row r="90" spans="4:5">
      <c r="D90" s="52"/>
      <c r="E90" s="4"/>
    </row>
    <row r="91" spans="4:5">
      <c r="D91" s="52"/>
      <c r="E91" s="4"/>
    </row>
    <row r="92" spans="4:5">
      <c r="D92" s="52"/>
      <c r="E92" s="4"/>
    </row>
    <row r="93" spans="4:5">
      <c r="D93" s="52"/>
      <c r="E93" s="4"/>
    </row>
    <row r="94" spans="4:5">
      <c r="D94" s="52"/>
      <c r="E94" s="4"/>
    </row>
    <row r="95" spans="4:5">
      <c r="D95" s="52"/>
      <c r="E95" s="4"/>
    </row>
    <row r="96" spans="4:5">
      <c r="D96" s="52"/>
      <c r="E96" s="4"/>
    </row>
    <row r="97" spans="4:5">
      <c r="D97" s="52"/>
      <c r="E97" s="4"/>
    </row>
    <row r="98" spans="4:5">
      <c r="D98" s="52"/>
      <c r="E98" s="4"/>
    </row>
    <row r="99" spans="4:5">
      <c r="D99" s="52"/>
      <c r="E99" s="4"/>
    </row>
    <row r="100" spans="4:5">
      <c r="D100" s="52"/>
      <c r="E100" s="4"/>
    </row>
    <row r="101" spans="4:5">
      <c r="D101" s="52"/>
      <c r="E101" s="4"/>
    </row>
    <row r="102" spans="4:5">
      <c r="D102" s="52"/>
      <c r="E102" s="4"/>
    </row>
    <row r="103" spans="4:5">
      <c r="D103" s="52"/>
      <c r="E103" s="4"/>
    </row>
    <row r="104" spans="4:5">
      <c r="D104" s="52"/>
      <c r="E104" s="4"/>
    </row>
    <row r="105" spans="4:5">
      <c r="D105" s="52"/>
      <c r="E105" s="4"/>
    </row>
    <row r="106" spans="4:5">
      <c r="D106" s="52"/>
      <c r="E106" s="4"/>
    </row>
    <row r="107" spans="4:5">
      <c r="D107" s="52"/>
      <c r="E107" s="4"/>
    </row>
    <row r="108" spans="4:5">
      <c r="D108" s="52"/>
      <c r="E108" s="4"/>
    </row>
    <row r="109" spans="4:5">
      <c r="D109" s="52"/>
      <c r="E109" s="4"/>
    </row>
    <row r="110" spans="4:5">
      <c r="D110" s="52"/>
      <c r="E110" s="4"/>
    </row>
    <row r="111" spans="4:5">
      <c r="D111" s="52"/>
      <c r="E111" s="4"/>
    </row>
    <row r="112" spans="4:5">
      <c r="D112" s="52"/>
      <c r="E112" s="4"/>
    </row>
    <row r="113" spans="4:5">
      <c r="D113" s="52"/>
      <c r="E113" s="4"/>
    </row>
    <row r="114" spans="4:5">
      <c r="D114" s="52"/>
      <c r="E114" s="4"/>
    </row>
    <row r="115" spans="4:5">
      <c r="D115" s="52"/>
      <c r="E115" s="4"/>
    </row>
    <row r="116" spans="4:5">
      <c r="D116" s="52"/>
      <c r="E116" s="4"/>
    </row>
    <row r="117" spans="4:5">
      <c r="D117" s="52"/>
      <c r="E117" s="4"/>
    </row>
    <row r="118" spans="4:5">
      <c r="D118" s="52"/>
      <c r="E118" s="4"/>
    </row>
    <row r="119" spans="4:5">
      <c r="D119" s="52"/>
      <c r="E119" s="4"/>
    </row>
    <row r="120" spans="4:5">
      <c r="D120" s="52"/>
      <c r="E120" s="4"/>
    </row>
    <row r="121" spans="4:5">
      <c r="D121" s="52"/>
      <c r="E121" s="4"/>
    </row>
    <row r="122" spans="4:5">
      <c r="D122" s="52"/>
      <c r="E122" s="4"/>
    </row>
    <row r="123" spans="4:5">
      <c r="D123" s="52"/>
      <c r="E123" s="4"/>
    </row>
    <row r="124" spans="4:5">
      <c r="D124" s="52"/>
      <c r="E124" s="4"/>
    </row>
    <row r="125" spans="4:5">
      <c r="D125" s="52"/>
      <c r="E125" s="4"/>
    </row>
    <row r="126" spans="4:5">
      <c r="D126" s="52"/>
      <c r="E126" s="4"/>
    </row>
    <row r="127" spans="4:5">
      <c r="D127" s="52"/>
      <c r="E127" s="4"/>
    </row>
    <row r="128" spans="4:5">
      <c r="D128" s="52"/>
      <c r="E128" s="4"/>
    </row>
    <row r="129" spans="4:5">
      <c r="D129" s="52"/>
      <c r="E129" s="4"/>
    </row>
    <row r="130" spans="4:5">
      <c r="D130" s="52"/>
      <c r="E130" s="4"/>
    </row>
    <row r="131" spans="4:5">
      <c r="D131" s="52"/>
      <c r="E131" s="4"/>
    </row>
    <row r="132" spans="4:5">
      <c r="D132" s="52"/>
      <c r="E132" s="4"/>
    </row>
    <row r="133" spans="4:5">
      <c r="D133" s="52"/>
      <c r="E133" s="4"/>
    </row>
    <row r="134" spans="4:5">
      <c r="D134" s="52"/>
      <c r="E134" s="4"/>
    </row>
    <row r="135" spans="4:5">
      <c r="D135" s="52"/>
      <c r="E135" s="4"/>
    </row>
    <row r="136" spans="4:5">
      <c r="D136" s="52"/>
      <c r="E136" s="4"/>
    </row>
    <row r="137" spans="4:5">
      <c r="D137" s="52"/>
      <c r="E137" s="4"/>
    </row>
    <row r="138" spans="4:5">
      <c r="D138" s="52"/>
      <c r="E138" s="4"/>
    </row>
    <row r="139" spans="4:5">
      <c r="D139" s="52"/>
      <c r="E139" s="4"/>
    </row>
    <row r="140" spans="4:5">
      <c r="D140" s="52"/>
      <c r="E140" s="4"/>
    </row>
    <row r="141" spans="4:5">
      <c r="D141" s="52"/>
      <c r="E141" s="4"/>
    </row>
    <row r="142" spans="4:5">
      <c r="D142" s="52"/>
      <c r="E142" s="4"/>
    </row>
    <row r="143" spans="4:5">
      <c r="D143" s="52"/>
      <c r="E143" s="4"/>
    </row>
    <row r="144" spans="4:5">
      <c r="D144" s="52"/>
      <c r="E144" s="4"/>
    </row>
    <row r="145" spans="4:5">
      <c r="D145" s="52"/>
      <c r="E145" s="4"/>
    </row>
    <row r="146" spans="4:5">
      <c r="D146" s="52"/>
      <c r="E146" s="4"/>
    </row>
    <row r="147" spans="4:5">
      <c r="D147" s="52"/>
      <c r="E147" s="4"/>
    </row>
    <row r="148" spans="4:5">
      <c r="D148" s="52"/>
      <c r="E148" s="4"/>
    </row>
    <row r="149" spans="4:5">
      <c r="D149" s="52"/>
      <c r="E149" s="4"/>
    </row>
    <row r="150" spans="4:5">
      <c r="D150" s="52"/>
      <c r="E150" s="4"/>
    </row>
    <row r="151" spans="4:5">
      <c r="D151" s="52"/>
      <c r="E151" s="4"/>
    </row>
    <row r="152" spans="4:5">
      <c r="D152" s="52"/>
      <c r="E152" s="4"/>
    </row>
    <row r="153" spans="4:5">
      <c r="D153" s="52"/>
      <c r="E153" s="4"/>
    </row>
    <row r="154" spans="4:5">
      <c r="D154" s="52"/>
      <c r="E154" s="4"/>
    </row>
    <row r="155" spans="4:5">
      <c r="D155" s="52"/>
      <c r="E155" s="4"/>
    </row>
    <row r="156" spans="4:5">
      <c r="D156" s="52"/>
      <c r="E156" s="4"/>
    </row>
    <row r="157" spans="4:5">
      <c r="D157" s="52"/>
      <c r="E157" s="4"/>
    </row>
    <row r="158" spans="4:5">
      <c r="D158" s="52"/>
      <c r="E158" s="4"/>
    </row>
    <row r="159" spans="4:5">
      <c r="D159" s="52"/>
      <c r="E159" s="4"/>
    </row>
    <row r="160" spans="4:5">
      <c r="D160" s="52"/>
      <c r="E160" s="4"/>
    </row>
    <row r="161" spans="4:5">
      <c r="D161" s="52"/>
      <c r="E161" s="4"/>
    </row>
    <row r="162" spans="4:5">
      <c r="D162" s="52"/>
      <c r="E162" s="4"/>
    </row>
    <row r="163" spans="4:5">
      <c r="D163" s="52"/>
      <c r="E163" s="4"/>
    </row>
    <row r="164" spans="4:5">
      <c r="D164" s="52"/>
      <c r="E164" s="4"/>
    </row>
    <row r="165" spans="4:5">
      <c r="D165" s="52"/>
      <c r="E165" s="4"/>
    </row>
    <row r="166" spans="4:5">
      <c r="D166" s="52"/>
      <c r="E166" s="4"/>
    </row>
    <row r="167" spans="4:5">
      <c r="D167" s="52"/>
      <c r="E167" s="4"/>
    </row>
    <row r="168" spans="4:5">
      <c r="D168" s="52"/>
      <c r="E168" s="4"/>
    </row>
    <row r="169" spans="4:5">
      <c r="D169" s="52"/>
      <c r="E169" s="4"/>
    </row>
    <row r="170" spans="4:5">
      <c r="D170" s="52"/>
      <c r="E170" s="4"/>
    </row>
    <row r="171" spans="4:5">
      <c r="D171" s="52"/>
      <c r="E171" s="4"/>
    </row>
    <row r="172" spans="4:5">
      <c r="D172" s="52"/>
      <c r="E172" s="4"/>
    </row>
    <row r="173" spans="4:5">
      <c r="D173" s="52"/>
      <c r="E173" s="4"/>
    </row>
    <row r="174" spans="4:5">
      <c r="D174" s="52"/>
      <c r="E174" s="4"/>
    </row>
    <row r="175" spans="4:5">
      <c r="D175" s="52"/>
      <c r="E175" s="4"/>
    </row>
    <row r="176" spans="4:5">
      <c r="D176" s="52"/>
      <c r="E176" s="4"/>
    </row>
    <row r="177" spans="4:5">
      <c r="D177" s="52"/>
      <c r="E177" s="4"/>
    </row>
    <row r="178" spans="4:5">
      <c r="D178" s="52"/>
      <c r="E178" s="4"/>
    </row>
    <row r="179" spans="4:5">
      <c r="D179" s="52"/>
      <c r="E179" s="4"/>
    </row>
    <row r="180" spans="4:5">
      <c r="D180" s="52"/>
      <c r="E180" s="4"/>
    </row>
    <row r="181" spans="4:5">
      <c r="D181" s="52"/>
      <c r="E181" s="4"/>
    </row>
    <row r="182" spans="4:5">
      <c r="D182" s="52"/>
      <c r="E182" s="4"/>
    </row>
    <row r="183" spans="4:5">
      <c r="D183" s="52"/>
      <c r="E183" s="4"/>
    </row>
    <row r="184" spans="4:5">
      <c r="D184" s="52"/>
      <c r="E184" s="4"/>
    </row>
    <row r="185" spans="4:5">
      <c r="D185" s="52"/>
      <c r="E185" s="4"/>
    </row>
    <row r="186" spans="4:5">
      <c r="D186" s="52"/>
      <c r="E186" s="4"/>
    </row>
    <row r="187" spans="4:5">
      <c r="D187" s="52"/>
      <c r="E187" s="4"/>
    </row>
    <row r="188" spans="4:5">
      <c r="D188" s="52"/>
      <c r="E188" s="4"/>
    </row>
    <row r="189" spans="4:5">
      <c r="D189" s="52"/>
      <c r="E189" s="4"/>
    </row>
    <row r="190" spans="4:5">
      <c r="D190" s="52"/>
      <c r="E190" s="4"/>
    </row>
    <row r="191" spans="4:5">
      <c r="D191" s="52"/>
      <c r="E191" s="4"/>
    </row>
    <row r="192" spans="4:5">
      <c r="D192" s="52"/>
      <c r="E192" s="4"/>
    </row>
    <row r="193" spans="4:5">
      <c r="D193" s="52"/>
      <c r="E193" s="4"/>
    </row>
    <row r="194" spans="4:5">
      <c r="D194" s="52"/>
      <c r="E194" s="4"/>
    </row>
    <row r="195" spans="4:5">
      <c r="D195" s="52"/>
      <c r="E195" s="4"/>
    </row>
    <row r="196" spans="4:5">
      <c r="D196" s="52"/>
      <c r="E196" s="4"/>
    </row>
    <row r="197" spans="4:5">
      <c r="D197" s="52"/>
      <c r="E197" s="4"/>
    </row>
    <row r="198" spans="4:5">
      <c r="D198" s="52"/>
      <c r="E198" s="4"/>
    </row>
    <row r="199" spans="4:5">
      <c r="D199" s="52"/>
      <c r="E199" s="4"/>
    </row>
    <row r="200" spans="4:5">
      <c r="D200" s="52"/>
      <c r="E200" s="4"/>
    </row>
    <row r="201" spans="4:5">
      <c r="D201" s="52"/>
      <c r="E201" s="4"/>
    </row>
    <row r="202" spans="4:5">
      <c r="D202" s="52"/>
      <c r="E202" s="4"/>
    </row>
    <row r="203" spans="4:5">
      <c r="D203" s="52"/>
      <c r="E203" s="4"/>
    </row>
    <row r="204" spans="4:5">
      <c r="D204" s="52"/>
      <c r="E204" s="4"/>
    </row>
    <row r="205" spans="4:5">
      <c r="D205" s="52"/>
      <c r="E205" s="4"/>
    </row>
    <row r="206" spans="4:5">
      <c r="D206" s="52"/>
      <c r="E206" s="4"/>
    </row>
    <row r="207" spans="4:5">
      <c r="D207" s="52"/>
      <c r="E207" s="4"/>
    </row>
    <row r="208" spans="4:5">
      <c r="D208" s="52"/>
      <c r="E208" s="4"/>
    </row>
    <row r="209" spans="4:5">
      <c r="D209" s="52"/>
      <c r="E209" s="4"/>
    </row>
    <row r="210" spans="4:5">
      <c r="D210" s="52"/>
      <c r="E210" s="4"/>
    </row>
    <row r="211" spans="4:5">
      <c r="D211" s="52"/>
      <c r="E211" s="4"/>
    </row>
    <row r="212" spans="4:5">
      <c r="D212" s="52"/>
      <c r="E212" s="4"/>
    </row>
    <row r="213" spans="4:5">
      <c r="D213" s="52"/>
      <c r="E213" s="4"/>
    </row>
    <row r="214" spans="4:5">
      <c r="D214" s="52"/>
      <c r="E214" s="4"/>
    </row>
    <row r="215" spans="4:5">
      <c r="D215" s="52"/>
      <c r="E215" s="4"/>
    </row>
    <row r="216" spans="4:5">
      <c r="D216" s="52"/>
      <c r="E216" s="4"/>
    </row>
    <row r="217" spans="4:5">
      <c r="D217" s="52"/>
      <c r="E217" s="4"/>
    </row>
    <row r="218" spans="4:5">
      <c r="D218" s="52"/>
      <c r="E218" s="4"/>
    </row>
    <row r="219" spans="4:5">
      <c r="D219" s="52"/>
      <c r="E219" s="4"/>
    </row>
    <row r="220" spans="4:5">
      <c r="D220" s="52"/>
      <c r="E220" s="4"/>
    </row>
    <row r="221" spans="4:5">
      <c r="D221" s="52"/>
      <c r="E221" s="4"/>
    </row>
    <row r="222" spans="4:5">
      <c r="D222" s="52"/>
      <c r="E222" s="4"/>
    </row>
    <row r="223" spans="4:5">
      <c r="D223" s="52"/>
      <c r="E223" s="4"/>
    </row>
  </sheetData>
  <customSheetViews>
    <customSheetView guid="{4FEDB3BD-111A-4B7D-AA97-E67173A5F707}" scale="75" showPageBreaks="1" printArea="1" hiddenColumns="1" view="pageBreakPreview" showRuler="0">
      <selection activeCell="A22" sqref="A22"/>
      <rowBreaks count="16" manualBreakCount="16">
        <brk id="5" max="8" man="1"/>
        <brk id="9" max="8" man="1"/>
        <brk id="12" max="8" man="1"/>
        <brk id="17" max="8" man="1"/>
        <brk id="21" max="8" man="1"/>
        <brk id="24" max="8" man="1"/>
        <brk id="26" max="8" man="1"/>
        <brk id="31" max="8" man="1"/>
        <brk id="32" max="8" man="1"/>
        <brk id="36" max="8" man="1"/>
        <brk id="41" max="8" man="1"/>
        <brk id="44" max="8" man="1"/>
        <brk id="48" max="8" man="1"/>
        <brk id="51" max="8" man="1"/>
        <brk id="57" max="8" man="1"/>
        <brk id="64" max="8" man="1"/>
      </rowBreaks>
      <pageMargins left="0.5" right="0.5" top="1" bottom="1" header="0.5" footer="0.2"/>
      <printOptions horizontalCentered="1"/>
      <pageSetup scale="85" orientation="landscape" horizontalDpi="300" verticalDpi="300" r:id="rId1"/>
      <headerFooter alignWithMargins="0">
        <oddHeader xml:space="preserve">&amp;C&amp;"Arial,Bold"&amp;12&amp;UProject Activity 30: Geotechnical </oddHeader>
        <oddFooter>&amp;CPage &amp;P of &amp;N</oddFooter>
      </headerFooter>
    </customSheetView>
    <customSheetView guid="{D5FFA8DD-F2DB-47F2-B4D2-3681726B2E8F}" scale="75" showPageBreaks="1" printArea="1" hiddenColumns="1" view="pageBreakPreview" showRuler="0" topLeftCell="A58">
      <selection activeCell="C3" sqref="C3:P3"/>
      <rowBreaks count="18" manualBreakCount="18">
        <brk id="5" max="8" man="1"/>
        <brk id="8" max="8" man="1"/>
        <brk id="11" max="8" man="1"/>
        <brk id="14" max="8" man="1"/>
        <brk id="18" max="8" man="1"/>
        <brk id="21" max="8" man="1"/>
        <brk id="24" max="8" man="1"/>
        <brk id="28" max="8" man="1"/>
        <brk id="31" max="8" man="1"/>
        <brk id="34" max="8" man="1"/>
        <brk id="37" max="8" man="1"/>
        <brk id="41" max="8" man="1"/>
        <brk id="43" max="8" man="1"/>
        <brk id="46" max="8" man="1"/>
        <brk id="49" max="8" man="1"/>
        <brk id="52" max="8" man="1"/>
        <brk id="57" max="8" man="1"/>
        <brk id="62" max="8" man="1"/>
      </rowBreaks>
      <pageMargins left="0.5" right="0.5" top="1" bottom="1" header="0.5" footer="0.2"/>
      <printOptions horizontalCentered="1"/>
      <pageSetup scale="97" fitToHeight="3" orientation="landscape" horizontalDpi="300" verticalDpi="300" r:id="rId2"/>
      <headerFooter alignWithMargins="0">
        <oddHeader xml:space="preserve">&amp;C&amp;"Arial,Bold"&amp;12&amp;UProject Activity 30: Geotechnical </oddHeader>
        <oddFooter>&amp;CPage &amp;P of &amp;N</oddFooter>
      </headerFooter>
    </customSheetView>
    <customSheetView guid="{EFE02F7B-3837-4B0F-9646-ADE249504E9F}" scale="75" showPageBreaks="1" printArea="1" hiddenColumns="1" view="pageBreakPreview" showRuler="0">
      <selection activeCell="I62" sqref="I62"/>
      <rowBreaks count="18" manualBreakCount="18">
        <brk id="5" max="8" man="1"/>
        <brk id="8" max="8" man="1"/>
        <brk id="11" max="8" man="1"/>
        <brk id="14" max="8" man="1"/>
        <brk id="18" max="8" man="1"/>
        <brk id="21" max="8" man="1"/>
        <brk id="24" max="8" man="1"/>
        <brk id="28" max="8" man="1"/>
        <brk id="31" max="8" man="1"/>
        <brk id="34" max="8" man="1"/>
        <brk id="37" max="8" man="1"/>
        <brk id="41" max="8" man="1"/>
        <brk id="43" max="8" man="1"/>
        <brk id="46" max="8" man="1"/>
        <brk id="49" max="8" man="1"/>
        <brk id="52" max="8" man="1"/>
        <brk id="57" max="8" man="1"/>
        <brk id="62" max="8" man="1"/>
      </rowBreaks>
      <pageMargins left="0.5" right="0.5" top="1" bottom="1" header="0.5" footer="0.2"/>
      <printOptions horizontalCentered="1"/>
      <pageSetup scale="97" fitToHeight="3" orientation="landscape" horizontalDpi="300" verticalDpi="300" r:id="rId3"/>
      <headerFooter alignWithMargins="0">
        <oddHeader xml:space="preserve">&amp;C&amp;"Arial,Bold"&amp;12&amp;UProject Activity 30: Geotechnical </oddHeader>
        <oddFooter>&amp;CPage &amp;P of &amp;N</oddFooter>
      </headerFooter>
    </customSheetView>
    <customSheetView guid="{053BE130-58A3-4F3B-945A-C2EFB15C6264}" scale="75" showPageBreaks="1" printArea="1" hiddenColumns="1" view="pageBreakPreview" showRuler="0">
      <selection activeCell="H52" sqref="H52"/>
      <rowBreaks count="18" manualBreakCount="18">
        <brk id="5" max="8" man="1"/>
        <brk id="8" max="8" man="1"/>
        <brk id="11" max="8" man="1"/>
        <brk id="14" max="8" man="1"/>
        <brk id="18" max="8" man="1"/>
        <brk id="21" max="8" man="1"/>
        <brk id="24" max="8" man="1"/>
        <brk id="28" max="8" man="1"/>
        <brk id="31" max="8" man="1"/>
        <brk id="34" max="8" man="1"/>
        <brk id="37" max="8" man="1"/>
        <brk id="41" max="8" man="1"/>
        <brk id="43" max="8" man="1"/>
        <brk id="46" max="8" man="1"/>
        <brk id="49" max="8" man="1"/>
        <brk id="52" max="8" man="1"/>
        <brk id="56" max="8" man="1"/>
        <brk id="61" max="8" man="1"/>
      </rowBreaks>
      <pageMargins left="0.5" right="0.5" top="1" bottom="1" header="0.5" footer="0.2"/>
      <printOptions horizontalCentered="1"/>
      <pageSetup scale="97" fitToHeight="3" orientation="landscape" horizontalDpi="300" verticalDpi="300" r:id="rId4"/>
      <headerFooter alignWithMargins="0">
        <oddHeader xml:space="preserve">&amp;C&amp;"Arial,Bold"&amp;12&amp;UProject Activity 30: Geotechnical </oddHeader>
        <oddFooter>&amp;CPage &amp;P of &amp;N</oddFooter>
      </headerFooter>
    </customSheetView>
    <customSheetView guid="{F5DBE5B9-A9E4-4030-888B-08F930ECBB74}" scale="75" showPageBreaks="1" printArea="1" hiddenColumns="1" view="pageBreakPreview" showRuler="0" topLeftCell="A61">
      <selection activeCell="B65" sqref="B65"/>
      <rowBreaks count="18" manualBreakCount="18">
        <brk id="5" max="8" man="1"/>
        <brk id="8" max="8" man="1"/>
        <brk id="11" max="8" man="1"/>
        <brk id="14" max="8" man="1"/>
        <brk id="18" max="8" man="1"/>
        <brk id="21" max="8" man="1"/>
        <brk id="24" max="8" man="1"/>
        <brk id="28" max="8" man="1"/>
        <brk id="31" max="8" man="1"/>
        <brk id="34" max="8" man="1"/>
        <brk id="37" max="8" man="1"/>
        <brk id="41" max="8" man="1"/>
        <brk id="43" max="8" man="1"/>
        <brk id="46" max="8" man="1"/>
        <brk id="49" max="8" man="1"/>
        <brk id="52" max="8" man="1"/>
        <brk id="57" max="8" man="1"/>
        <brk id="62" max="8" man="1"/>
      </rowBreaks>
      <pageMargins left="0.5" right="0.5" top="1" bottom="1" header="0.5" footer="0.2"/>
      <printOptions horizontalCentered="1"/>
      <pageSetup scale="97" fitToHeight="3" orientation="landscape" horizontalDpi="300" verticalDpi="300" r:id="rId5"/>
      <headerFooter alignWithMargins="0">
        <oddHeader xml:space="preserve">&amp;C&amp;"Arial,Bold"&amp;12&amp;UProject Activity 30: Geotechnical </oddHeader>
        <oddFooter>&amp;CPage &amp;P of &amp;N</oddFooter>
      </headerFooter>
    </customSheetView>
    <customSheetView guid="{960FB4AF-B150-4523-972C-3F7C93F049F3}" scale="75" showPageBreaks="1" printArea="1" hiddenColumns="1" view="pageBreakPreview" showRuler="0">
      <selection activeCell="A22" sqref="A22"/>
      <rowBreaks count="16" manualBreakCount="16">
        <brk id="5" max="8" man="1"/>
        <brk id="9" max="8" man="1"/>
        <brk id="12" max="8" man="1"/>
        <brk id="17" max="8" man="1"/>
        <brk id="21" max="8" man="1"/>
        <brk id="24" max="8" man="1"/>
        <brk id="26" max="8" man="1"/>
        <brk id="31" max="8" man="1"/>
        <brk id="32" max="8" man="1"/>
        <brk id="36" max="8" man="1"/>
        <brk id="41" max="8" man="1"/>
        <brk id="44" max="8" man="1"/>
        <brk id="48" max="8" man="1"/>
        <brk id="51" max="8" man="1"/>
        <brk id="57" max="8" man="1"/>
        <brk id="64" max="8" man="1"/>
      </rowBreaks>
      <pageMargins left="0.5" right="0.5" top="1" bottom="1" header="0.5" footer="0.2"/>
      <printOptions horizontalCentered="1"/>
      <pageSetup scale="85" orientation="landscape" horizontalDpi="300" verticalDpi="300" r:id="rId6"/>
      <headerFooter alignWithMargins="0">
        <oddHeader xml:space="preserve">&amp;C&amp;"Arial,Bold"&amp;12&amp;UProject Activity 30: Geotechnical </oddHeader>
        <oddFooter>&amp;CPage &amp;P of &amp;N</oddFooter>
      </headerFooter>
    </customSheetView>
    <customSheetView guid="{DF3BD4C9-2986-4236-8E90-D96736404377}" scale="75" showPageBreaks="1" printArea="1" hiddenColumns="1" view="pageBreakPreview" showRuler="0">
      <selection activeCell="A22" sqref="A22"/>
      <rowBreaks count="16" manualBreakCount="16">
        <brk id="5" max="8" man="1"/>
        <brk id="9" max="8" man="1"/>
        <brk id="12" max="8" man="1"/>
        <brk id="17" max="8" man="1"/>
        <brk id="21" max="8" man="1"/>
        <brk id="24" max="8" man="1"/>
        <brk id="26" max="8" man="1"/>
        <brk id="31" max="8" man="1"/>
        <brk id="32" max="8" man="1"/>
        <brk id="36" max="8" man="1"/>
        <brk id="41" max="8" man="1"/>
        <brk id="44" max="8" man="1"/>
        <brk id="48" max="8" man="1"/>
        <brk id="51" max="8" man="1"/>
        <brk id="57" max="8" man="1"/>
        <brk id="64" max="8" man="1"/>
      </rowBreaks>
      <pageMargins left="0.5" right="0.5" top="1" bottom="1" header="0.5" footer="0.2"/>
      <printOptions horizontalCentered="1"/>
      <pageSetup scale="85" orientation="landscape" horizontalDpi="300" verticalDpi="300" r:id="rId7"/>
      <headerFooter alignWithMargins="0">
        <oddHeader xml:space="preserve">&amp;C&amp;"Arial,Bold"&amp;12&amp;UProject Activity 30: Geotechnical </oddHeader>
        <oddFooter>&amp;CPage &amp;P of &amp;N</oddFooter>
      </headerFooter>
    </customSheetView>
  </customSheetViews>
  <mergeCells count="9">
    <mergeCell ref="B59:C59"/>
    <mergeCell ref="A31:E31"/>
    <mergeCell ref="A58:E58"/>
    <mergeCell ref="A65:C65"/>
    <mergeCell ref="A1:E1"/>
    <mergeCell ref="A55:C55"/>
    <mergeCell ref="A57:C57"/>
    <mergeCell ref="A30:C30"/>
    <mergeCell ref="B32:E32"/>
  </mergeCells>
  <phoneticPr fontId="0" type="noConversion"/>
  <printOptions horizontalCentered="1" verticalCentered="1"/>
  <pageMargins left="0.75" right="0.75" top="1" bottom="1" header="0.5" footer="0.5"/>
  <pageSetup scale="65" orientation="landscape" r:id="rId8"/>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41</vt:i4>
      </vt:variant>
    </vt:vector>
  </HeadingPairs>
  <TitlesOfParts>
    <vt:vector size="96" baseType="lpstr">
      <vt:lpstr>Title Sheet</vt:lpstr>
      <vt:lpstr>TOC</vt:lpstr>
      <vt:lpstr>Introduction</vt:lpstr>
      <vt:lpstr>Disclaimer</vt:lpstr>
      <vt:lpstr>Project Information</vt:lpstr>
      <vt:lpstr>3. Project General Tasks</vt:lpstr>
      <vt:lpstr>Roadway Guidelines</vt:lpstr>
      <vt:lpstr>Roadway 3D Modeling Guidelines</vt:lpstr>
      <vt:lpstr>4. Roadway Analysis</vt:lpstr>
      <vt:lpstr>5. Roadway Plans</vt:lpstr>
      <vt:lpstr>6a. Drainage Analysis</vt:lpstr>
      <vt:lpstr>6b. Drainage Plans</vt:lpstr>
      <vt:lpstr>Selective C&amp;G Guidelines </vt:lpstr>
      <vt:lpstr>6c. Selective C&amp;G</vt:lpstr>
      <vt:lpstr>Utility Guidelines</vt:lpstr>
      <vt:lpstr>7. Utilities</vt:lpstr>
      <vt:lpstr>Environmental Permit Guidelines</vt:lpstr>
      <vt:lpstr>8. Environmental Permits</vt:lpstr>
      <vt:lpstr>Structures-Guidelines</vt:lpstr>
      <vt:lpstr>9. Str. -Summ Misc Tasks &amp; Dwgs</vt:lpstr>
      <vt:lpstr>10. Structures-BDR</vt:lpstr>
      <vt:lpstr>11. Str.-Temporary Bridge</vt:lpstr>
      <vt:lpstr>12. Str.-Short Span Concrete</vt:lpstr>
      <vt:lpstr>13. Str.-Medium Span Concrete </vt:lpstr>
      <vt:lpstr>14. Structures-Structural Steel</vt:lpstr>
      <vt:lpstr>15.Str.-Segmental Concrete</vt:lpstr>
      <vt:lpstr>16. Structures-Movable Span</vt:lpstr>
      <vt:lpstr>17. Structures-Retaining Walls</vt:lpstr>
      <vt:lpstr>18. Structures-Miscellaneous</vt:lpstr>
      <vt:lpstr>Signing &amp; Marking Guidelines</vt:lpstr>
      <vt:lpstr>19. Signing &amp; Marking Analysis</vt:lpstr>
      <vt:lpstr>20. Signing &amp; Marking Plans</vt:lpstr>
      <vt:lpstr>Signalization Guidelines</vt:lpstr>
      <vt:lpstr>21. Signalization Analysis</vt:lpstr>
      <vt:lpstr>22. Signalization Plans</vt:lpstr>
      <vt:lpstr>Lighting Guidelines</vt:lpstr>
      <vt:lpstr>23. Lighting Analysis</vt:lpstr>
      <vt:lpstr>24. Lighting Plans</vt:lpstr>
      <vt:lpstr>Landscape Guidelines</vt:lpstr>
      <vt:lpstr>25. Landscape Analysis </vt:lpstr>
      <vt:lpstr>26. Landscape Plans</vt:lpstr>
      <vt:lpstr>Survey Guidelines</vt:lpstr>
      <vt:lpstr>27. Survey</vt:lpstr>
      <vt:lpstr>28. Photogrammetry</vt:lpstr>
      <vt:lpstr>29. Mapping</vt:lpstr>
      <vt:lpstr>30. Terrestrial Mobile LiDAR</vt:lpstr>
      <vt:lpstr>Architecture Guidelines</vt:lpstr>
      <vt:lpstr>31. Architecture Development</vt:lpstr>
      <vt:lpstr>Noise Guidelines</vt:lpstr>
      <vt:lpstr>32. Noise Barrier Assessment</vt:lpstr>
      <vt:lpstr>ITS Guidelines</vt:lpstr>
      <vt:lpstr>33. ITS Analysis</vt:lpstr>
      <vt:lpstr>34. ITS Plans</vt:lpstr>
      <vt:lpstr>Geotechnical Guidelines</vt:lpstr>
      <vt:lpstr>35. Geotechnical</vt:lpstr>
      <vt:lpstr>'Roadway Guidelines'!_Toc528467648</vt:lpstr>
      <vt:lpstr>'10. Structures-BDR'!Print_Area</vt:lpstr>
      <vt:lpstr>'11. Str.-Temporary Bridge'!Print_Area</vt:lpstr>
      <vt:lpstr>'12. Str.-Short Span Concrete'!Print_Area</vt:lpstr>
      <vt:lpstr>'16. Structures-Movable Span'!Print_Area</vt:lpstr>
      <vt:lpstr>'17. Structures-Retaining Walls'!Print_Area</vt:lpstr>
      <vt:lpstr>'18. Structures-Miscellaneous'!Print_Area</vt:lpstr>
      <vt:lpstr>'19. Signing &amp; Marking Analysis'!Print_Area</vt:lpstr>
      <vt:lpstr>'20. Signing &amp; Marking Plans'!Print_Area</vt:lpstr>
      <vt:lpstr>'21. Signalization Analysis'!Print_Area</vt:lpstr>
      <vt:lpstr>'23. Lighting Analysis'!Print_Area</vt:lpstr>
      <vt:lpstr>'24. Lighting Plans'!Print_Area</vt:lpstr>
      <vt:lpstr>'25. Landscape Analysis '!Print_Area</vt:lpstr>
      <vt:lpstr>'28. Photogrammetry'!Print_Area</vt:lpstr>
      <vt:lpstr>'3. Project General Tasks'!Print_Area</vt:lpstr>
      <vt:lpstr>'32. Noise Barrier Assessment'!Print_Area</vt:lpstr>
      <vt:lpstr>'33. ITS Analysis'!Print_Area</vt:lpstr>
      <vt:lpstr>'35. Geotechnical'!Print_Area</vt:lpstr>
      <vt:lpstr>'5. Roadway Plans'!Print_Area</vt:lpstr>
      <vt:lpstr>'6a. Drainage Analysis'!Print_Area</vt:lpstr>
      <vt:lpstr>'6b. Drainage Plans'!Print_Area</vt:lpstr>
      <vt:lpstr>'6c. Selective C&amp;G'!Print_Area</vt:lpstr>
      <vt:lpstr>'7. Utilities'!Print_Area</vt:lpstr>
      <vt:lpstr>'8. Environmental Permits'!Print_Area</vt:lpstr>
      <vt:lpstr>'9. Str. -Summ Misc Tasks &amp; Dwgs'!Print_Area</vt:lpstr>
      <vt:lpstr>'Architecture Guidelines'!Print_Area</vt:lpstr>
      <vt:lpstr>'Environmental Permit Guidelines'!Print_Area</vt:lpstr>
      <vt:lpstr>'Geotechnical Guidelines'!Print_Area</vt:lpstr>
      <vt:lpstr>Introduction!Print_Area</vt:lpstr>
      <vt:lpstr>'Lighting Guidelines'!Print_Area</vt:lpstr>
      <vt:lpstr>'Noise Guidelines'!Print_Area</vt:lpstr>
      <vt:lpstr>'Project Information'!Print_Area</vt:lpstr>
      <vt:lpstr>'Roadway Guidelines'!Print_Area</vt:lpstr>
      <vt:lpstr>'Signalization Guidelines'!Print_Area</vt:lpstr>
      <vt:lpstr>'Signing &amp; Marking Guidelines'!Print_Area</vt:lpstr>
      <vt:lpstr>'Structures-Guidelines'!Print_Area</vt:lpstr>
      <vt:lpstr>'Survey Guidelines'!Print_Area</vt:lpstr>
      <vt:lpstr>'Title Sheet'!Print_Area</vt:lpstr>
      <vt:lpstr>TOC!Print_Area</vt:lpstr>
      <vt:lpstr>'Utility Guidelines'!Print_Area</vt:lpstr>
      <vt:lpstr>'35. Geotechnical'!Print_Titles</vt:lpstr>
    </vt:vector>
  </TitlesOfParts>
  <Company>Holcomb &amp; Associates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Staff Hour Guidelines</dc:title>
  <dc:creator>Hayden, Mary Jane</dc:creator>
  <cp:lastModifiedBy>Buck, Ryan</cp:lastModifiedBy>
  <cp:lastPrinted>2022-05-18T18:42:54Z</cp:lastPrinted>
  <dcterms:created xsi:type="dcterms:W3CDTF">1996-01-04T16:34:56Z</dcterms:created>
  <dcterms:modified xsi:type="dcterms:W3CDTF">2024-05-01T19:09:28Z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Description0">
    <vt:lpwstr>This is the July 2008 Edition of the Basis of Estimates for Design Services. </vt:lpwstr>
  </property>
  <property fmtid="{D5CDD505-2E9C-101B-9397-08002B2CF9AE}" pid="4" name="Description2">
    <vt:lpwstr/>
  </property>
  <property fmtid="{D5CDD505-2E9C-101B-9397-08002B2CF9AE}" pid="5" name="Folder Description">
    <vt:lpwstr/>
  </property>
</Properties>
</file>