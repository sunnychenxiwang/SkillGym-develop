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20" windowWidth="11352" windowHeight="8640" tabRatio="814"/>
  </bookViews>
  <sheets>
    <sheet name="Cost Estimate" sheetId="29" r:id="rId1"/>
    <sheet name="Materialslookup" sheetId="43" r:id="rId2"/>
    <sheet name="Equipmentlookup" sheetId="41" r:id="rId3"/>
    <sheet name="Mobilizationlookup" sheetId="45" r:id="rId4"/>
    <sheet name="Laborlookup" sheetId="42" r:id="rId5"/>
    <sheet name="Customercostlookup" sheetId="40" r:id="rId6"/>
    <sheet name="Practices" sheetId="27" r:id="rId7"/>
    <sheet name="Nat Data 2013" sheetId="47" r:id="rId8"/>
    <sheet name="RSMean 2011" sheetId="44" r:id="rId9"/>
    <sheet name="RSMean 2011_delete hidden cells" sheetId="46" r:id="rId10"/>
    <sheet name="Per Hour" sheetId="39" r:id="rId11"/>
    <sheet name="lookup" sheetId="37" r:id="rId12"/>
    <sheet name="RSMeans 2009" sheetId="17" r:id="rId13"/>
    <sheet name="components" sheetId="36" r:id="rId14"/>
    <sheet name="Component Assemblies" sheetId="19" r:id="rId15"/>
    <sheet name="MI Component Costs" sheetId="16" r:id="rId16"/>
    <sheet name="Practices with components" sheetId="34" r:id="rId17"/>
    <sheet name="2006" sheetId="12" r:id="rId18"/>
  </sheets>
  <definedNames>
    <definedName name="_xlnm._FilterDatabase" localSheetId="0" hidden="1">'Cost Estimate'!#REF!</definedName>
    <definedName name="_xlnm._FilterDatabase" localSheetId="7" hidden="1">'Nat Data 2013'!$A$1:$F$1452</definedName>
    <definedName name="Access">'Cost Estimate'!#REF!</definedName>
    <definedName name="AgChemicals">Materialslookup!$B$106:$B$191</definedName>
    <definedName name="Aggregates">Materialslookup!$B$5:$B$101</definedName>
    <definedName name="Agri">Equipmentlookup!$B$5:$B$45</definedName>
    <definedName name="code472">'Cost Estimate'!#REF!</definedName>
    <definedName name="Cont">Customercostlookup!$B$3:$B$9</definedName>
    <definedName name="Contin">Customercostlookup!$B$4:$B$9</definedName>
    <definedName name="CostEtc">Customercostlookup!$B$10:$B$13</definedName>
    <definedName name="Cust">Customercostlookup!$B$3:$B$13</definedName>
    <definedName name="CustCost">Customercostlookup!$B$4:$B$13</definedName>
    <definedName name="Customer">'Cost Estimate'!$L$4:$L$10</definedName>
    <definedName name="Demo">Equipmentlookup!$B$50:$B$61</definedName>
    <definedName name="Equipment">'Cost Estimate'!$J$4:$J$10</definedName>
    <definedName name="Excav">Equipmentlookup!$B$66:$B$143</definedName>
    <definedName name="Fencing">Materialslookup!$B$196:$B$226</definedName>
    <definedName name="Forestry">Equipmentlookup!$B$148:$B$177</definedName>
    <definedName name="Fruit">#REF!</definedName>
    <definedName name="Geotextile">Materialslookup!$B$231:$B$258</definedName>
    <definedName name="Gutters">Materialslookup!$B$263:$B$305</definedName>
    <definedName name="Labor">'Cost Estimate'!$K$4:$K$4</definedName>
    <definedName name="LaborCost">Laborlookup!$B$4:$B$32</definedName>
    <definedName name="Material">'Cost Estimate'!$J$11:$J$16</definedName>
    <definedName name="Materials">'Cost Estimate'!#REF!</definedName>
    <definedName name="Mobil">Mobilizationlookup!$B$5:$B$15</definedName>
    <definedName name="Mobilization">'Cost Estimate'!$L$11:$L$13</definedName>
    <definedName name="Piping">Materialslookup!$B$310:$B$398</definedName>
    <definedName name="Prefab">Materialslookup!$B$403:$B$436</definedName>
    <definedName name="_xlnm.Print_Area" localSheetId="0">'Cost Estimate'!$B$1:$G$128</definedName>
    <definedName name="_xlnm.Print_Area" localSheetId="15">'MI Component Costs'!$A$483:$E$1112</definedName>
    <definedName name="_xlnm.Print_Titles" localSheetId="15">'MI Component Costs'!$19:$19</definedName>
    <definedName name="Produce">#REF!</definedName>
    <definedName name="Seed">'Cost Estimate'!#REF!</definedName>
    <definedName name="SitePrep">Equipmentlookup!$B$182:$B$212</definedName>
    <definedName name="Stuff">'Cost Estimate'!$J$11:$J$16</definedName>
    <definedName name="Vegetables">#REF!</definedName>
  </definedNames>
  <calcPr calcId="145621"/>
</workbook>
</file>

<file path=xl/calcChain.xml><?xml version="1.0" encoding="utf-8"?>
<calcChain xmlns="http://schemas.openxmlformats.org/spreadsheetml/2006/main">
  <c r="F83" i="29" l="1"/>
  <c r="F82" i="29"/>
  <c r="F81" i="29"/>
  <c r="F79" i="29"/>
  <c r="F78" i="29"/>
  <c r="F77" i="29"/>
  <c r="F73" i="29"/>
  <c r="F72" i="29"/>
  <c r="F71" i="29"/>
  <c r="F69" i="29"/>
  <c r="F68" i="29"/>
  <c r="F67" i="29"/>
  <c r="F66" i="29"/>
  <c r="F65" i="29"/>
  <c r="F64" i="29"/>
  <c r="F63" i="29"/>
  <c r="F62" i="29"/>
  <c r="F60" i="29"/>
  <c r="F59" i="29"/>
  <c r="F58" i="29"/>
  <c r="F57" i="29"/>
  <c r="F56" i="29"/>
  <c r="F55" i="29"/>
  <c r="F54" i="29"/>
  <c r="F53" i="29"/>
  <c r="F52" i="29"/>
  <c r="F51" i="29"/>
  <c r="F47" i="29"/>
  <c r="F46" i="29"/>
  <c r="F45" i="29"/>
  <c r="F44" i="29"/>
  <c r="F43" i="29"/>
  <c r="F42" i="29"/>
  <c r="F41" i="29"/>
  <c r="F39" i="29"/>
  <c r="F38" i="29"/>
  <c r="F37" i="29"/>
  <c r="F25" i="29"/>
  <c r="F24" i="29"/>
  <c r="F23" i="29"/>
  <c r="F22" i="29"/>
  <c r="F21" i="29"/>
  <c r="F20" i="29"/>
  <c r="F19" i="29"/>
  <c r="F18" i="29"/>
  <c r="F17" i="29"/>
  <c r="F16" i="29"/>
  <c r="F15" i="29"/>
  <c r="E114" i="29" l="1"/>
  <c r="G114" i="29" s="1"/>
  <c r="G12" i="29" s="1"/>
  <c r="G8" i="40"/>
  <c r="F35" i="29" l="1"/>
  <c r="F34" i="29"/>
  <c r="F33" i="29"/>
  <c r="F32" i="29"/>
  <c r="F31" i="29"/>
  <c r="F30" i="29"/>
  <c r="F29" i="29"/>
  <c r="F28" i="29"/>
  <c r="F27" i="29"/>
  <c r="H30" i="41"/>
  <c r="F95" i="29" l="1"/>
  <c r="F94" i="29"/>
  <c r="F93" i="29"/>
  <c r="F91" i="29"/>
  <c r="F90" i="29"/>
  <c r="F89" i="29"/>
  <c r="F87" i="29"/>
  <c r="F86" i="29"/>
  <c r="F85" i="29"/>
  <c r="H113" i="43" l="1"/>
  <c r="F113" i="43"/>
  <c r="F42" i="43"/>
  <c r="F41" i="43"/>
  <c r="F316" i="43" l="1"/>
  <c r="H99" i="43" l="1"/>
  <c r="H98" i="43"/>
  <c r="F97" i="43"/>
  <c r="H97" i="43" s="1"/>
  <c r="F96" i="43"/>
  <c r="H96" i="43" s="1"/>
  <c r="F95" i="43"/>
  <c r="H95" i="43"/>
  <c r="H29" i="41" l="1"/>
  <c r="H180" i="41"/>
  <c r="F180" i="41"/>
  <c r="F176" i="41"/>
  <c r="F100" i="43"/>
  <c r="H100" i="43" s="1"/>
  <c r="F187" i="41"/>
  <c r="H187" i="41" s="1"/>
  <c r="F186" i="41"/>
  <c r="H186" i="41" s="1"/>
  <c r="F185" i="41"/>
  <c r="H185" i="41" s="1"/>
  <c r="F121" i="41"/>
  <c r="H121" i="41" s="1"/>
  <c r="F86" i="41" l="1"/>
  <c r="H86" i="41" s="1"/>
  <c r="F83" i="41"/>
  <c r="F79" i="41" l="1"/>
  <c r="H79" i="41"/>
  <c r="F68" i="41" l="1"/>
  <c r="F28" i="41" l="1"/>
  <c r="F20" i="42"/>
  <c r="F29" i="42"/>
  <c r="F28" i="42"/>
  <c r="F27" i="42"/>
  <c r="F26" i="42"/>
  <c r="F25" i="42"/>
  <c r="F12" i="42"/>
  <c r="F11" i="42"/>
  <c r="D101" i="29"/>
  <c r="D100" i="29"/>
  <c r="D99" i="29"/>
  <c r="F101" i="29"/>
  <c r="F100" i="29"/>
  <c r="D114" i="29"/>
  <c r="G7" i="40"/>
  <c r="H201" i="41"/>
  <c r="H38" i="41"/>
  <c r="H17" i="42" l="1"/>
  <c r="H26" i="41"/>
  <c r="H12" i="41"/>
  <c r="F436" i="43" l="1"/>
  <c r="F435" i="43"/>
  <c r="F434" i="43"/>
  <c r="F433" i="43"/>
  <c r="F432" i="43"/>
  <c r="F424" i="43"/>
  <c r="F423" i="43"/>
  <c r="F422" i="43"/>
  <c r="F421" i="43"/>
  <c r="F420" i="43"/>
  <c r="F419" i="43"/>
  <c r="F418" i="43"/>
  <c r="F417" i="43"/>
  <c r="F416" i="43"/>
  <c r="F415" i="43"/>
  <c r="F414" i="43"/>
  <c r="F412" i="43"/>
  <c r="F411" i="43"/>
  <c r="F410" i="43"/>
  <c r="F409" i="43"/>
  <c r="F408" i="43"/>
  <c r="F407" i="43"/>
  <c r="F406" i="43"/>
  <c r="F404" i="43"/>
  <c r="F403" i="43"/>
  <c r="F402" i="43"/>
  <c r="F401" i="43"/>
  <c r="F400" i="43"/>
  <c r="F399" i="43"/>
  <c r="F398" i="43"/>
  <c r="F397" i="43"/>
  <c r="F396" i="43"/>
  <c r="F395" i="43"/>
  <c r="F394" i="43"/>
  <c r="F393" i="43"/>
  <c r="F392" i="43"/>
  <c r="F391" i="43"/>
  <c r="F390" i="43"/>
  <c r="F389" i="43"/>
  <c r="F388" i="43"/>
  <c r="F387" i="43"/>
  <c r="F386" i="43"/>
  <c r="F385" i="43"/>
  <c r="F384" i="43"/>
  <c r="F383" i="43"/>
  <c r="F382" i="43"/>
  <c r="F381" i="43"/>
  <c r="F380" i="43"/>
  <c r="F379" i="43"/>
  <c r="F378" i="43"/>
  <c r="F377" i="43"/>
  <c r="F376" i="43"/>
  <c r="F375" i="43"/>
  <c r="F374" i="43"/>
  <c r="F373" i="43"/>
  <c r="F372" i="43"/>
  <c r="F371" i="43"/>
  <c r="F370" i="43"/>
  <c r="F369" i="43"/>
  <c r="F368" i="43"/>
  <c r="F367" i="43"/>
  <c r="F366" i="43"/>
  <c r="F365" i="43"/>
  <c r="F364" i="43"/>
  <c r="F363" i="43"/>
  <c r="F362" i="43"/>
  <c r="F361" i="43"/>
  <c r="F360" i="43"/>
  <c r="F359" i="43"/>
  <c r="F358" i="43"/>
  <c r="F357" i="43"/>
  <c r="F356" i="43"/>
  <c r="F355" i="43"/>
  <c r="F354" i="43"/>
  <c r="F353" i="43"/>
  <c r="F352" i="43"/>
  <c r="F351" i="43"/>
  <c r="F350" i="43"/>
  <c r="F349" i="43"/>
  <c r="F348" i="43"/>
  <c r="F347" i="43"/>
  <c r="F346" i="43"/>
  <c r="F345" i="43"/>
  <c r="F344" i="43"/>
  <c r="F343" i="43"/>
  <c r="F342" i="43"/>
  <c r="F341" i="43"/>
  <c r="F340" i="43"/>
  <c r="F339" i="43"/>
  <c r="F338" i="43"/>
  <c r="F337" i="43"/>
  <c r="F325" i="43"/>
  <c r="F324" i="43"/>
  <c r="F323" i="43"/>
  <c r="F322" i="43"/>
  <c r="F321" i="43"/>
  <c r="F320" i="43"/>
  <c r="F319" i="43"/>
  <c r="F318" i="43"/>
  <c r="F317" i="43"/>
  <c r="F315" i="43"/>
  <c r="F314" i="43"/>
  <c r="F313" i="43"/>
  <c r="F312" i="43"/>
  <c r="F311" i="43"/>
  <c r="F310" i="43"/>
  <c r="F308" i="43"/>
  <c r="F307" i="43"/>
  <c r="F306" i="43"/>
  <c r="F304" i="43"/>
  <c r="F303" i="43"/>
  <c r="F302" i="43"/>
  <c r="F301" i="43"/>
  <c r="F300" i="43"/>
  <c r="F299" i="43"/>
  <c r="F292" i="43"/>
  <c r="F291" i="43"/>
  <c r="F290" i="43"/>
  <c r="F289" i="43"/>
  <c r="F288" i="43"/>
  <c r="F287" i="43"/>
  <c r="F286" i="43"/>
  <c r="F285" i="43"/>
  <c r="F284" i="43"/>
  <c r="F283" i="43"/>
  <c r="F280" i="43"/>
  <c r="F279" i="43"/>
  <c r="F278" i="43"/>
  <c r="F277" i="43"/>
  <c r="F276" i="43"/>
  <c r="F275" i="43"/>
  <c r="F272" i="43"/>
  <c r="F271" i="43"/>
  <c r="F270" i="43"/>
  <c r="F269" i="43"/>
  <c r="F268" i="43"/>
  <c r="F267" i="43"/>
  <c r="F266" i="43"/>
  <c r="F265" i="43"/>
  <c r="F264" i="43"/>
  <c r="F263" i="43"/>
  <c r="F262" i="43"/>
  <c r="F261" i="43"/>
  <c r="F260" i="43"/>
  <c r="F259" i="43"/>
  <c r="F258" i="43"/>
  <c r="F257" i="43"/>
  <c r="F256" i="43"/>
  <c r="F255" i="43"/>
  <c r="F254" i="43"/>
  <c r="F253" i="43"/>
  <c r="F252" i="43"/>
  <c r="F241" i="43"/>
  <c r="F240" i="43"/>
  <c r="F239" i="43"/>
  <c r="F238" i="43"/>
  <c r="F237" i="43"/>
  <c r="F236" i="43"/>
  <c r="F235" i="43"/>
  <c r="F231" i="43"/>
  <c r="F230" i="43"/>
  <c r="F229" i="43"/>
  <c r="F228" i="43"/>
  <c r="F227" i="43"/>
  <c r="F220" i="43"/>
  <c r="F219" i="43"/>
  <c r="F218" i="43"/>
  <c r="F217" i="43"/>
  <c r="F216" i="43"/>
  <c r="F215" i="43"/>
  <c r="F214" i="43"/>
  <c r="F213" i="43"/>
  <c r="F212" i="43"/>
  <c r="F211" i="43"/>
  <c r="F210" i="43"/>
  <c r="F209" i="43"/>
  <c r="F208" i="43"/>
  <c r="F207" i="43"/>
  <c r="F206" i="43"/>
  <c r="F205" i="43"/>
  <c r="F204" i="43"/>
  <c r="F203" i="43"/>
  <c r="F202" i="43"/>
  <c r="F201" i="43"/>
  <c r="F200" i="43"/>
  <c r="F199" i="43"/>
  <c r="F198" i="43"/>
  <c r="F197" i="43"/>
  <c r="F196" i="43"/>
  <c r="F195" i="43"/>
  <c r="F194" i="43"/>
  <c r="F193" i="43"/>
  <c r="F192" i="43"/>
  <c r="F179" i="43"/>
  <c r="F178" i="43"/>
  <c r="F177" i="43"/>
  <c r="F176" i="43"/>
  <c r="F175" i="43"/>
  <c r="F174" i="43"/>
  <c r="F173" i="43"/>
  <c r="F172" i="43"/>
  <c r="F171" i="43"/>
  <c r="F170" i="43"/>
  <c r="F169" i="43"/>
  <c r="F168" i="43"/>
  <c r="F167" i="43"/>
  <c r="F166" i="43"/>
  <c r="F165" i="43"/>
  <c r="F164" i="43"/>
  <c r="F163" i="43"/>
  <c r="F162" i="43"/>
  <c r="F161" i="43"/>
  <c r="F160" i="43"/>
  <c r="F159" i="43"/>
  <c r="F158" i="43"/>
  <c r="F157" i="43"/>
  <c r="F156" i="43"/>
  <c r="F155" i="43"/>
  <c r="F154" i="43"/>
  <c r="F153" i="43"/>
  <c r="F152" i="43"/>
  <c r="F151" i="43"/>
  <c r="F150" i="43"/>
  <c r="F149" i="43"/>
  <c r="F148" i="43"/>
  <c r="F147" i="43"/>
  <c r="F146" i="43"/>
  <c r="F145" i="43"/>
  <c r="F144" i="43"/>
  <c r="F143" i="43"/>
  <c r="F142" i="43"/>
  <c r="F141" i="43"/>
  <c r="F140" i="43"/>
  <c r="F139" i="43"/>
  <c r="F138" i="43"/>
  <c r="F137" i="43"/>
  <c r="F136" i="43"/>
  <c r="F135" i="43"/>
  <c r="F134" i="43"/>
  <c r="F133" i="43"/>
  <c r="F132" i="43"/>
  <c r="F131" i="43"/>
  <c r="F130" i="43"/>
  <c r="F129" i="43"/>
  <c r="F128" i="43"/>
  <c r="F127" i="43"/>
  <c r="F126" i="43"/>
  <c r="F125" i="43"/>
  <c r="F124" i="43"/>
  <c r="F123" i="43"/>
  <c r="F122" i="43"/>
  <c r="F121" i="43"/>
  <c r="F120" i="43"/>
  <c r="F119" i="43"/>
  <c r="F118" i="43"/>
  <c r="F117" i="43"/>
  <c r="F116" i="43"/>
  <c r="F115" i="43"/>
  <c r="F114" i="43"/>
  <c r="F112" i="43"/>
  <c r="F111" i="43"/>
  <c r="F110" i="43"/>
  <c r="F109" i="43"/>
  <c r="F108" i="43"/>
  <c r="F107" i="43"/>
  <c r="F106" i="43"/>
  <c r="F105" i="43"/>
  <c r="F104" i="43"/>
  <c r="F103" i="43"/>
  <c r="F94" i="43"/>
  <c r="F93" i="43"/>
  <c r="F92" i="43"/>
  <c r="F91" i="43"/>
  <c r="F90" i="43"/>
  <c r="F89" i="43"/>
  <c r="F88" i="43"/>
  <c r="F87" i="43"/>
  <c r="F86" i="43"/>
  <c r="F85" i="43"/>
  <c r="F84" i="43"/>
  <c r="F83" i="43"/>
  <c r="F82" i="43"/>
  <c r="F81" i="43"/>
  <c r="F80" i="43"/>
  <c r="F79" i="43"/>
  <c r="F78" i="43"/>
  <c r="F77" i="43"/>
  <c r="F76" i="43"/>
  <c r="F75" i="43"/>
  <c r="F73" i="43"/>
  <c r="F72" i="43"/>
  <c r="F71" i="43"/>
  <c r="F70" i="43"/>
  <c r="F69" i="43"/>
  <c r="F68" i="43"/>
  <c r="F67" i="43"/>
  <c r="F66" i="43"/>
  <c r="F58" i="43"/>
  <c r="F57" i="43"/>
  <c r="F44" i="43"/>
  <c r="F43" i="43"/>
  <c r="F39" i="43"/>
  <c r="F38" i="43"/>
  <c r="F37" i="43"/>
  <c r="F36" i="43"/>
  <c r="F35" i="43"/>
  <c r="F34" i="43"/>
  <c r="F33" i="43"/>
  <c r="F32" i="43"/>
  <c r="F31" i="43"/>
  <c r="F30" i="43"/>
  <c r="F29" i="43"/>
  <c r="F25" i="43"/>
  <c r="F24" i="43"/>
  <c r="F23" i="43"/>
  <c r="F22" i="43"/>
  <c r="F20" i="43"/>
  <c r="F19" i="43"/>
  <c r="F18" i="43"/>
  <c r="F17" i="43"/>
  <c r="F16" i="43"/>
  <c r="F15" i="43"/>
  <c r="F14" i="43"/>
  <c r="F13" i="43"/>
  <c r="F12" i="43"/>
  <c r="F11" i="43"/>
  <c r="F10" i="43"/>
  <c r="F9" i="43"/>
  <c r="F8" i="43"/>
  <c r="F7" i="43"/>
  <c r="F6" i="43"/>
  <c r="H458" i="43" l="1"/>
  <c r="H457" i="43"/>
  <c r="H456" i="43"/>
  <c r="H455" i="43"/>
  <c r="H454" i="43"/>
  <c r="H453" i="43"/>
  <c r="H452" i="43"/>
  <c r="H451" i="43"/>
  <c r="H450" i="43"/>
  <c r="H449" i="43"/>
  <c r="H448" i="43"/>
  <c r="H447" i="43"/>
  <c r="H446" i="43"/>
  <c r="H445" i="43"/>
  <c r="H444" i="43"/>
  <c r="H443" i="43"/>
  <c r="H442" i="43"/>
  <c r="H441" i="43"/>
  <c r="H440" i="43"/>
  <c r="H439" i="43"/>
  <c r="H438" i="43"/>
  <c r="H437" i="43"/>
  <c r="H436" i="43"/>
  <c r="H435" i="43"/>
  <c r="H434" i="43"/>
  <c r="H433" i="43"/>
  <c r="H432" i="43"/>
  <c r="H431" i="43"/>
  <c r="H430" i="43"/>
  <c r="H429" i="43"/>
  <c r="H428" i="43"/>
  <c r="H424" i="43"/>
  <c r="H423" i="43"/>
  <c r="H422" i="43"/>
  <c r="H421" i="43"/>
  <c r="H420" i="43"/>
  <c r="H419" i="43"/>
  <c r="H418" i="43"/>
  <c r="H417" i="43"/>
  <c r="H416" i="43"/>
  <c r="H415" i="43"/>
  <c r="H414" i="43"/>
  <c r="H412" i="43"/>
  <c r="H411" i="43"/>
  <c r="H410" i="43"/>
  <c r="H409" i="43"/>
  <c r="H408" i="43"/>
  <c r="H407" i="43"/>
  <c r="H406" i="43"/>
  <c r="H404" i="43"/>
  <c r="H403" i="43"/>
  <c r="H402" i="43"/>
  <c r="H401" i="43"/>
  <c r="H400" i="43"/>
  <c r="H399" i="43"/>
  <c r="H398" i="43"/>
  <c r="H397" i="43"/>
  <c r="H396" i="43"/>
  <c r="H395" i="43"/>
  <c r="H394" i="43"/>
  <c r="H393" i="43"/>
  <c r="H392" i="43"/>
  <c r="H391" i="43"/>
  <c r="H390" i="43"/>
  <c r="H389" i="43"/>
  <c r="H388" i="43"/>
  <c r="H387" i="43"/>
  <c r="H386" i="43"/>
  <c r="H385" i="43"/>
  <c r="H384" i="43"/>
  <c r="H383" i="43"/>
  <c r="H382" i="43"/>
  <c r="H381" i="43"/>
  <c r="H380" i="43"/>
  <c r="H379" i="43"/>
  <c r="H378" i="43"/>
  <c r="H377" i="43"/>
  <c r="H376" i="43"/>
  <c r="H375" i="43"/>
  <c r="H374" i="43"/>
  <c r="H373" i="43"/>
  <c r="H372" i="43"/>
  <c r="H371" i="43"/>
  <c r="H370" i="43"/>
  <c r="H369" i="43"/>
  <c r="H368" i="43"/>
  <c r="H367" i="43"/>
  <c r="H366" i="43"/>
  <c r="H365" i="43"/>
  <c r="H364" i="43"/>
  <c r="H363" i="43"/>
  <c r="H362" i="43"/>
  <c r="H361" i="43"/>
  <c r="H360" i="43"/>
  <c r="H359" i="43"/>
  <c r="H358" i="43"/>
  <c r="H357" i="43"/>
  <c r="H356" i="43"/>
  <c r="H355" i="43"/>
  <c r="H354" i="43"/>
  <c r="H353" i="43"/>
  <c r="H352" i="43"/>
  <c r="H351" i="43"/>
  <c r="H350" i="43"/>
  <c r="H349" i="43"/>
  <c r="H348" i="43"/>
  <c r="H347" i="43"/>
  <c r="H346" i="43"/>
  <c r="H345" i="43"/>
  <c r="H344" i="43"/>
  <c r="H343" i="43"/>
  <c r="H342" i="43"/>
  <c r="H341" i="43"/>
  <c r="H340" i="43"/>
  <c r="H339" i="43"/>
  <c r="H338" i="43"/>
  <c r="H337" i="43"/>
  <c r="H336" i="43"/>
  <c r="H335" i="43"/>
  <c r="H334" i="43"/>
  <c r="H333" i="43"/>
  <c r="H332" i="43"/>
  <c r="H331" i="43"/>
  <c r="H330" i="43"/>
  <c r="H329" i="43"/>
  <c r="H328" i="43"/>
  <c r="H327" i="43"/>
  <c r="H326" i="43"/>
  <c r="H325" i="43"/>
  <c r="H324" i="43"/>
  <c r="H323" i="43"/>
  <c r="H322" i="43"/>
  <c r="H321" i="43"/>
  <c r="H320" i="43"/>
  <c r="H319" i="43"/>
  <c r="H318" i="43"/>
  <c r="H317" i="43"/>
  <c r="H316" i="43"/>
  <c r="H315" i="43"/>
  <c r="H314" i="43"/>
  <c r="H313" i="43"/>
  <c r="H312" i="43"/>
  <c r="H311" i="43"/>
  <c r="H310" i="43"/>
  <c r="H308" i="43"/>
  <c r="H307" i="43"/>
  <c r="H306" i="43"/>
  <c r="H305" i="43"/>
  <c r="H304" i="43"/>
  <c r="H303" i="43"/>
  <c r="H302" i="43"/>
  <c r="H301" i="43"/>
  <c r="H300" i="43"/>
  <c r="H299" i="43"/>
  <c r="H298" i="43"/>
  <c r="H297" i="43"/>
  <c r="H296" i="43"/>
  <c r="H295" i="43"/>
  <c r="H294" i="43"/>
  <c r="H293" i="43"/>
  <c r="H292" i="43"/>
  <c r="H291" i="43"/>
  <c r="H290" i="43"/>
  <c r="H289" i="43"/>
  <c r="H288" i="43"/>
  <c r="H287" i="43"/>
  <c r="H286" i="43"/>
  <c r="H285" i="43"/>
  <c r="H284" i="43"/>
  <c r="H283" i="43"/>
  <c r="H280" i="43"/>
  <c r="H279" i="43"/>
  <c r="H278" i="43"/>
  <c r="H277" i="43"/>
  <c r="H276" i="43"/>
  <c r="H275" i="43"/>
  <c r="H272" i="43"/>
  <c r="H271" i="43"/>
  <c r="H270" i="43"/>
  <c r="H269" i="43"/>
  <c r="H268" i="43"/>
  <c r="H267" i="43"/>
  <c r="H266" i="43"/>
  <c r="H265" i="43"/>
  <c r="H264" i="43"/>
  <c r="H263" i="43"/>
  <c r="H262" i="43"/>
  <c r="H261" i="43"/>
  <c r="H260" i="43"/>
  <c r="H259" i="43"/>
  <c r="H258" i="43"/>
  <c r="H257" i="43"/>
  <c r="H256" i="43"/>
  <c r="H255" i="43"/>
  <c r="H254" i="43"/>
  <c r="H253" i="43"/>
  <c r="H252" i="43"/>
  <c r="H251" i="43"/>
  <c r="H250" i="43"/>
  <c r="H249" i="43"/>
  <c r="H248" i="43"/>
  <c r="H247" i="43"/>
  <c r="H246" i="43"/>
  <c r="H245" i="43"/>
  <c r="H244" i="43"/>
  <c r="H243" i="43"/>
  <c r="H242" i="43"/>
  <c r="H241" i="43"/>
  <c r="H240" i="43"/>
  <c r="H239" i="43"/>
  <c r="H238" i="43"/>
  <c r="H237" i="43"/>
  <c r="H236" i="43"/>
  <c r="H235" i="43"/>
  <c r="H234" i="43"/>
  <c r="H233" i="43"/>
  <c r="H232" i="43"/>
  <c r="H231" i="43"/>
  <c r="H230" i="43"/>
  <c r="H229" i="43"/>
  <c r="H228" i="43"/>
  <c r="H227" i="43"/>
  <c r="H226" i="43"/>
  <c r="H225" i="43"/>
  <c r="H224" i="43"/>
  <c r="H223" i="43"/>
  <c r="H222" i="43"/>
  <c r="H221" i="43"/>
  <c r="H220" i="43"/>
  <c r="H219" i="43"/>
  <c r="H218" i="43"/>
  <c r="H217" i="43"/>
  <c r="H216" i="43"/>
  <c r="H215" i="43"/>
  <c r="H214" i="43"/>
  <c r="H213" i="43"/>
  <c r="H212" i="43"/>
  <c r="H211" i="43"/>
  <c r="H210" i="43"/>
  <c r="H209" i="43"/>
  <c r="H208" i="43"/>
  <c r="H207" i="43"/>
  <c r="H206" i="43"/>
  <c r="H205" i="43"/>
  <c r="H204" i="43"/>
  <c r="H203" i="43"/>
  <c r="H202" i="43"/>
  <c r="H201" i="43"/>
  <c r="H200" i="43"/>
  <c r="H199" i="43"/>
  <c r="H198" i="43"/>
  <c r="H197" i="43"/>
  <c r="H196" i="43"/>
  <c r="H195" i="43"/>
  <c r="H194" i="43"/>
  <c r="H193" i="43"/>
  <c r="H192" i="43"/>
  <c r="H191" i="43"/>
  <c r="H190" i="43"/>
  <c r="H189" i="43"/>
  <c r="H188" i="43"/>
  <c r="H187" i="43"/>
  <c r="H186" i="43"/>
  <c r="H185" i="43"/>
  <c r="H184" i="43"/>
  <c r="H183" i="43"/>
  <c r="H182" i="43"/>
  <c r="H181" i="43"/>
  <c r="H180" i="43"/>
  <c r="H179" i="43"/>
  <c r="H178" i="43"/>
  <c r="H177" i="43"/>
  <c r="H176" i="43"/>
  <c r="H175" i="43"/>
  <c r="H174" i="43"/>
  <c r="H173" i="43"/>
  <c r="H172" i="43"/>
  <c r="H171" i="43"/>
  <c r="H170" i="43"/>
  <c r="H169" i="43"/>
  <c r="H168" i="43"/>
  <c r="H167" i="43"/>
  <c r="H166" i="43"/>
  <c r="H165" i="43"/>
  <c r="H164" i="43"/>
  <c r="H163" i="43"/>
  <c r="H162" i="43"/>
  <c r="H161" i="43"/>
  <c r="H160" i="43"/>
  <c r="H159" i="43"/>
  <c r="H158" i="43"/>
  <c r="H157" i="43"/>
  <c r="H156" i="43"/>
  <c r="H155" i="43"/>
  <c r="H154" i="43"/>
  <c r="H153" i="43"/>
  <c r="H152" i="43"/>
  <c r="H151" i="43"/>
  <c r="H150" i="43"/>
  <c r="H149" i="43"/>
  <c r="H148" i="43"/>
  <c r="H147" i="43"/>
  <c r="H146" i="43"/>
  <c r="H145" i="43"/>
  <c r="H144" i="43"/>
  <c r="H143" i="43"/>
  <c r="H142" i="43"/>
  <c r="H141" i="43"/>
  <c r="H140" i="43"/>
  <c r="H139" i="43"/>
  <c r="H138" i="43"/>
  <c r="H137" i="43"/>
  <c r="H136" i="43"/>
  <c r="H135" i="43"/>
  <c r="H134" i="43"/>
  <c r="H133" i="43"/>
  <c r="H132" i="43"/>
  <c r="H131" i="43"/>
  <c r="H130" i="43"/>
  <c r="H129" i="43"/>
  <c r="H128" i="43"/>
  <c r="H127" i="43"/>
  <c r="H126" i="43"/>
  <c r="H125" i="43"/>
  <c r="H124" i="43"/>
  <c r="H123" i="43"/>
  <c r="H122" i="43"/>
  <c r="H121" i="43"/>
  <c r="H120" i="43"/>
  <c r="H119" i="43"/>
  <c r="H118" i="43"/>
  <c r="H117" i="43"/>
  <c r="H116" i="43"/>
  <c r="H115" i="43"/>
  <c r="H114" i="43"/>
  <c r="H112" i="43"/>
  <c r="H111" i="43"/>
  <c r="H110" i="43"/>
  <c r="H109" i="43"/>
  <c r="H108" i="43"/>
  <c r="H107" i="43"/>
  <c r="H106" i="43"/>
  <c r="H105" i="43"/>
  <c r="H104" i="43"/>
  <c r="H103" i="43"/>
  <c r="H101" i="43"/>
  <c r="H94" i="43"/>
  <c r="H93" i="43"/>
  <c r="H92" i="43"/>
  <c r="H91" i="43"/>
  <c r="H90" i="43"/>
  <c r="H89" i="43"/>
  <c r="H88" i="43"/>
  <c r="H87" i="43"/>
  <c r="H86" i="43"/>
  <c r="H85" i="43"/>
  <c r="H84" i="43"/>
  <c r="H83" i="43"/>
  <c r="H82" i="43"/>
  <c r="H81" i="43"/>
  <c r="H80" i="43"/>
  <c r="H79" i="43"/>
  <c r="H78" i="43"/>
  <c r="H77" i="43"/>
  <c r="H76" i="43"/>
  <c r="H75" i="43"/>
  <c r="H74" i="43"/>
  <c r="H73" i="43"/>
  <c r="H72" i="43"/>
  <c r="H71" i="43"/>
  <c r="H70" i="43"/>
  <c r="H69" i="43"/>
  <c r="H68" i="43"/>
  <c r="H67" i="43"/>
  <c r="H66" i="43"/>
  <c r="H65" i="43"/>
  <c r="H64" i="43"/>
  <c r="H63" i="43"/>
  <c r="H62" i="43"/>
  <c r="H61" i="43"/>
  <c r="H60" i="43"/>
  <c r="H59" i="43"/>
  <c r="H58" i="43"/>
  <c r="H57" i="43"/>
  <c r="H56" i="43"/>
  <c r="H55" i="43"/>
  <c r="H54" i="43"/>
  <c r="H53" i="43"/>
  <c r="H52" i="43"/>
  <c r="H51" i="43"/>
  <c r="H50" i="43"/>
  <c r="H49" i="43"/>
  <c r="H48" i="43"/>
  <c r="H47" i="43"/>
  <c r="H46" i="43"/>
  <c r="H45" i="43"/>
  <c r="H44" i="43"/>
  <c r="H43" i="43"/>
  <c r="H42" i="43"/>
  <c r="H41" i="43"/>
  <c r="H39" i="43"/>
  <c r="H38" i="43"/>
  <c r="H37" i="43"/>
  <c r="H36" i="43"/>
  <c r="H35" i="43"/>
  <c r="H34" i="43"/>
  <c r="H33" i="43"/>
  <c r="H32" i="43"/>
  <c r="H31" i="43"/>
  <c r="H30" i="43"/>
  <c r="H29" i="43"/>
  <c r="H28" i="43"/>
  <c r="H27" i="43"/>
  <c r="H26" i="43"/>
  <c r="H25" i="43"/>
  <c r="H24" i="43"/>
  <c r="H23" i="43"/>
  <c r="H22" i="43"/>
  <c r="H21" i="43"/>
  <c r="H20" i="43"/>
  <c r="H19" i="43"/>
  <c r="H18" i="43"/>
  <c r="H17" i="43"/>
  <c r="H16" i="43"/>
  <c r="H15" i="43"/>
  <c r="H14" i="43"/>
  <c r="H13" i="43"/>
  <c r="H12" i="43"/>
  <c r="H11" i="43"/>
  <c r="H10" i="43"/>
  <c r="H9" i="43"/>
  <c r="H8" i="43"/>
  <c r="H7" i="43"/>
  <c r="H6" i="43"/>
  <c r="F212" i="41"/>
  <c r="F211" i="41"/>
  <c r="F210" i="41"/>
  <c r="F209" i="41"/>
  <c r="F208" i="41"/>
  <c r="F207" i="41"/>
  <c r="F206" i="41"/>
  <c r="F205" i="41"/>
  <c r="F204" i="41"/>
  <c r="F203" i="41"/>
  <c r="F202" i="41"/>
  <c r="F200" i="41"/>
  <c r="F199" i="41"/>
  <c r="F198" i="41"/>
  <c r="F196" i="41"/>
  <c r="F195" i="41"/>
  <c r="F194" i="41"/>
  <c r="F193" i="41"/>
  <c r="F192" i="41"/>
  <c r="F190" i="41"/>
  <c r="F189" i="41"/>
  <c r="F188" i="41"/>
  <c r="F184" i="41"/>
  <c r="F183" i="41"/>
  <c r="F182" i="41"/>
  <c r="F181" i="41"/>
  <c r="F179" i="41"/>
  <c r="F177" i="41"/>
  <c r="F175" i="41"/>
  <c r="F174" i="41"/>
  <c r="F173" i="41"/>
  <c r="F172" i="41"/>
  <c r="F171" i="41"/>
  <c r="F170" i="41"/>
  <c r="F169" i="41"/>
  <c r="F168" i="41"/>
  <c r="F167" i="41"/>
  <c r="F166" i="41"/>
  <c r="F165" i="41"/>
  <c r="F164" i="41"/>
  <c r="F163" i="41"/>
  <c r="F162" i="41"/>
  <c r="F161" i="41"/>
  <c r="F160" i="41"/>
  <c r="F159" i="41"/>
  <c r="F158" i="41"/>
  <c r="F157" i="41"/>
  <c r="F156" i="41"/>
  <c r="F155" i="41"/>
  <c r="F154" i="41"/>
  <c r="F153" i="41"/>
  <c r="F152" i="41"/>
  <c r="F151" i="41"/>
  <c r="F150" i="41"/>
  <c r="F149" i="41"/>
  <c r="F148" i="41"/>
  <c r="F147" i="41"/>
  <c r="F146" i="41"/>
  <c r="F145" i="41"/>
  <c r="F144" i="41"/>
  <c r="F143" i="41"/>
  <c r="F142" i="41"/>
  <c r="F141" i="41"/>
  <c r="F140" i="41"/>
  <c r="F139" i="41"/>
  <c r="F138" i="41"/>
  <c r="F137" i="41"/>
  <c r="F136" i="41"/>
  <c r="F135" i="41"/>
  <c r="F134" i="41"/>
  <c r="F133" i="41"/>
  <c r="F132" i="41"/>
  <c r="F131" i="41"/>
  <c r="F130" i="41"/>
  <c r="F129" i="41"/>
  <c r="F128" i="41"/>
  <c r="F127" i="41"/>
  <c r="F126" i="41"/>
  <c r="F125" i="41"/>
  <c r="F124" i="41"/>
  <c r="F123" i="41"/>
  <c r="F122" i="41"/>
  <c r="F120" i="41"/>
  <c r="F119" i="41"/>
  <c r="F118" i="41"/>
  <c r="F117" i="41"/>
  <c r="F116" i="41"/>
  <c r="F115" i="41"/>
  <c r="F114" i="41"/>
  <c r="F113" i="41"/>
  <c r="F112" i="41"/>
  <c r="F111" i="41"/>
  <c r="F110" i="41"/>
  <c r="F109" i="41"/>
  <c r="F108" i="41"/>
  <c r="F107" i="41"/>
  <c r="F106" i="41"/>
  <c r="F105" i="41"/>
  <c r="F104" i="41"/>
  <c r="F103" i="41"/>
  <c r="F102" i="41"/>
  <c r="F101" i="41"/>
  <c r="F100" i="41"/>
  <c r="F99" i="41"/>
  <c r="F98" i="41"/>
  <c r="F97" i="41"/>
  <c r="F96" i="41"/>
  <c r="F95" i="41"/>
  <c r="F94" i="41"/>
  <c r="F93" i="41"/>
  <c r="F92" i="41"/>
  <c r="F91" i="41"/>
  <c r="F90" i="41"/>
  <c r="F89" i="41"/>
  <c r="F88" i="41"/>
  <c r="F87" i="41"/>
  <c r="F85" i="41"/>
  <c r="F84" i="41"/>
  <c r="F81" i="41"/>
  <c r="F80" i="41"/>
  <c r="F78" i="41"/>
  <c r="F82" i="41"/>
  <c r="F77" i="41"/>
  <c r="F76" i="41"/>
  <c r="F75" i="41"/>
  <c r="F74" i="41"/>
  <c r="F73" i="41"/>
  <c r="F72" i="41"/>
  <c r="F71" i="41"/>
  <c r="F70" i="41"/>
  <c r="F69" i="41"/>
  <c r="F67" i="41"/>
  <c r="F61" i="41"/>
  <c r="F60" i="41"/>
  <c r="F59" i="41"/>
  <c r="F58" i="41"/>
  <c r="F57" i="41"/>
  <c r="F56" i="41"/>
  <c r="F55" i="41"/>
  <c r="F54" i="41"/>
  <c r="F53" i="41"/>
  <c r="F52" i="41"/>
  <c r="F51" i="41"/>
  <c r="F31" i="41"/>
  <c r="F17" i="41"/>
  <c r="H212" i="41"/>
  <c r="H211" i="41"/>
  <c r="H210" i="41"/>
  <c r="H209" i="41"/>
  <c r="H208" i="41"/>
  <c r="H207" i="41"/>
  <c r="H206" i="41"/>
  <c r="H205" i="41"/>
  <c r="H204" i="41"/>
  <c r="H203" i="41"/>
  <c r="H202" i="41"/>
  <c r="H200" i="41"/>
  <c r="H199" i="41"/>
  <c r="H198" i="41"/>
  <c r="H196" i="41"/>
  <c r="H195" i="41"/>
  <c r="H194" i="41"/>
  <c r="H193" i="41"/>
  <c r="H192" i="41"/>
  <c r="H191" i="41"/>
  <c r="H190" i="41"/>
  <c r="H189" i="41"/>
  <c r="H188" i="41"/>
  <c r="H184" i="41"/>
  <c r="H183" i="41"/>
  <c r="H182" i="41"/>
  <c r="H181" i="41"/>
  <c r="H179" i="41"/>
  <c r="H178" i="41"/>
  <c r="H177" i="41"/>
  <c r="H176" i="41"/>
  <c r="H175" i="41"/>
  <c r="H174" i="41"/>
  <c r="H173" i="41"/>
  <c r="H172" i="41"/>
  <c r="H171" i="41"/>
  <c r="H170" i="41"/>
  <c r="H169" i="41"/>
  <c r="H168" i="41"/>
  <c r="H167" i="41"/>
  <c r="H166" i="41"/>
  <c r="H165" i="41"/>
  <c r="H164" i="41"/>
  <c r="H163" i="41"/>
  <c r="H162" i="41"/>
  <c r="H161" i="41"/>
  <c r="H160" i="41"/>
  <c r="H159" i="41"/>
  <c r="H158" i="41"/>
  <c r="H157" i="41"/>
  <c r="H156" i="41"/>
  <c r="H155" i="41"/>
  <c r="H154" i="41"/>
  <c r="H153" i="41"/>
  <c r="H152" i="41"/>
  <c r="H151" i="41"/>
  <c r="H150" i="41"/>
  <c r="H149" i="41"/>
  <c r="H148" i="41"/>
  <c r="H147" i="41"/>
  <c r="H146" i="41"/>
  <c r="H145" i="41"/>
  <c r="H144" i="41"/>
  <c r="H143" i="41"/>
  <c r="H142" i="41"/>
  <c r="H141" i="41"/>
  <c r="H140" i="41"/>
  <c r="H139" i="41"/>
  <c r="H138" i="41"/>
  <c r="H137" i="41"/>
  <c r="H136" i="41"/>
  <c r="H135" i="41"/>
  <c r="H134" i="41"/>
  <c r="H133" i="41"/>
  <c r="H132" i="41"/>
  <c r="H131" i="41"/>
  <c r="H130" i="41"/>
  <c r="H129" i="41"/>
  <c r="H128" i="41"/>
  <c r="H127" i="41"/>
  <c r="H126" i="41"/>
  <c r="H125" i="41"/>
  <c r="H124" i="41"/>
  <c r="H123" i="41"/>
  <c r="H122" i="41"/>
  <c r="H120" i="41"/>
  <c r="H119" i="41"/>
  <c r="H118" i="41"/>
  <c r="H117" i="41"/>
  <c r="H116" i="41"/>
  <c r="H115" i="41"/>
  <c r="H114" i="41"/>
  <c r="H113" i="41"/>
  <c r="H112" i="41"/>
  <c r="H111" i="41"/>
  <c r="H110" i="41"/>
  <c r="H109" i="41"/>
  <c r="H108" i="41"/>
  <c r="H107" i="41"/>
  <c r="H106" i="41"/>
  <c r="H105" i="41"/>
  <c r="H104" i="41"/>
  <c r="H103" i="41"/>
  <c r="H102" i="41"/>
  <c r="H101" i="41"/>
  <c r="H100" i="41"/>
  <c r="H99" i="41"/>
  <c r="H98" i="41"/>
  <c r="H97" i="41"/>
  <c r="H96" i="41"/>
  <c r="H95" i="41"/>
  <c r="H94" i="41"/>
  <c r="H93" i="41"/>
  <c r="H92" i="41"/>
  <c r="H91" i="41"/>
  <c r="H90" i="41"/>
  <c r="H89" i="41"/>
  <c r="H88" i="41"/>
  <c r="H87" i="41"/>
  <c r="H85" i="41"/>
  <c r="H84" i="41"/>
  <c r="H83" i="41"/>
  <c r="H82" i="41"/>
  <c r="H81" i="41"/>
  <c r="H80" i="41"/>
  <c r="H78" i="41"/>
  <c r="H77" i="41"/>
  <c r="H76" i="41"/>
  <c r="H75" i="41"/>
  <c r="H74" i="41"/>
  <c r="H73" i="41"/>
  <c r="H72" i="41"/>
  <c r="H71" i="41"/>
  <c r="H70" i="41"/>
  <c r="H69" i="41"/>
  <c r="H68" i="41"/>
  <c r="H67" i="41"/>
  <c r="H66" i="41"/>
  <c r="H65" i="41"/>
  <c r="H64" i="41"/>
  <c r="H63" i="41"/>
  <c r="H62" i="41"/>
  <c r="H61" i="41"/>
  <c r="H60" i="41"/>
  <c r="H59" i="41"/>
  <c r="H58" i="41"/>
  <c r="H57" i="41"/>
  <c r="H56" i="41"/>
  <c r="H55" i="41"/>
  <c r="H54" i="41"/>
  <c r="H53" i="41"/>
  <c r="H52" i="41"/>
  <c r="H51" i="41"/>
  <c r="H50" i="41"/>
  <c r="H49" i="41"/>
  <c r="H48" i="41"/>
  <c r="H47" i="41"/>
  <c r="H46" i="41"/>
  <c r="H45" i="41"/>
  <c r="H44" i="41"/>
  <c r="H43" i="41"/>
  <c r="H42" i="41"/>
  <c r="H41" i="41"/>
  <c r="H40" i="41"/>
  <c r="H39" i="41"/>
  <c r="H37" i="41"/>
  <c r="H36" i="41"/>
  <c r="H35" i="41"/>
  <c r="H34" i="41"/>
  <c r="H33" i="41"/>
  <c r="H32" i="41"/>
  <c r="H31" i="41"/>
  <c r="H28" i="41"/>
  <c r="H27" i="41"/>
  <c r="H25" i="41"/>
  <c r="H24" i="41"/>
  <c r="H23" i="41"/>
  <c r="H22" i="41"/>
  <c r="H21" i="41"/>
  <c r="H20" i="41"/>
  <c r="H19" i="41"/>
  <c r="H18" i="41"/>
  <c r="H17" i="41"/>
  <c r="H16" i="41"/>
  <c r="H15" i="41"/>
  <c r="H14" i="41"/>
  <c r="H13" i="41"/>
  <c r="H11" i="41"/>
  <c r="H10" i="41"/>
  <c r="H9" i="41"/>
  <c r="H8" i="41"/>
  <c r="H7" i="41"/>
  <c r="H6" i="41"/>
  <c r="H5" i="45"/>
  <c r="F99" i="29" s="1"/>
  <c r="H12" i="45"/>
  <c r="H11" i="45"/>
  <c r="H6" i="45"/>
  <c r="H4" i="45"/>
  <c r="F110" i="29"/>
  <c r="F109" i="29"/>
  <c r="D110" i="29"/>
  <c r="D109" i="29"/>
  <c r="G12" i="40"/>
  <c r="G11" i="40"/>
  <c r="G10" i="40"/>
  <c r="G9" i="40"/>
  <c r="G6" i="40"/>
  <c r="G5" i="40"/>
  <c r="G3" i="40"/>
  <c r="G4" i="40"/>
  <c r="F14" i="45" l="1"/>
  <c r="H14" i="45" s="1"/>
  <c r="F13" i="45"/>
  <c r="H13" i="45" s="1"/>
  <c r="F8" i="45"/>
  <c r="H8" i="45" s="1"/>
  <c r="F7" i="45"/>
  <c r="H7" i="45" s="1"/>
  <c r="F10" i="45"/>
  <c r="H10" i="45" s="1"/>
  <c r="F9" i="45"/>
  <c r="H9" i="45" s="1"/>
  <c r="F105" i="29"/>
  <c r="F104" i="29"/>
  <c r="F103" i="29"/>
  <c r="D105" i="29"/>
  <c r="D104" i="29"/>
  <c r="D103" i="29"/>
  <c r="H32" i="42"/>
  <c r="H31" i="42"/>
  <c r="H30" i="42"/>
  <c r="H29" i="42"/>
  <c r="H28" i="42"/>
  <c r="H27" i="42"/>
  <c r="H26" i="42"/>
  <c r="H25" i="42"/>
  <c r="H24" i="42"/>
  <c r="H23" i="42"/>
  <c r="H22" i="42"/>
  <c r="H21" i="42"/>
  <c r="H20" i="42"/>
  <c r="H19" i="42"/>
  <c r="H18" i="42"/>
  <c r="H16" i="42"/>
  <c r="H15" i="42"/>
  <c r="H14" i="42"/>
  <c r="H13" i="42"/>
  <c r="H12" i="42"/>
  <c r="H11" i="42"/>
  <c r="H10" i="42"/>
  <c r="H9" i="42"/>
  <c r="H8" i="42"/>
  <c r="H7" i="42"/>
  <c r="H5" i="42"/>
  <c r="H6" i="42"/>
  <c r="F37" i="42"/>
  <c r="F36" i="42"/>
  <c r="F35" i="42"/>
  <c r="F34" i="42"/>
  <c r="F38" i="42" s="1"/>
  <c r="F33" i="42"/>
  <c r="H37" i="42"/>
  <c r="H36" i="42"/>
  <c r="H35" i="42"/>
  <c r="H34" i="42"/>
  <c r="H33" i="42"/>
  <c r="E3" i="29" l="1"/>
  <c r="D28" i="29" l="1"/>
  <c r="D29" i="29"/>
  <c r="D30" i="29"/>
  <c r="D31" i="29"/>
  <c r="D32" i="29"/>
  <c r="D33" i="29"/>
  <c r="D34" i="29"/>
  <c r="D35" i="29"/>
  <c r="D27" i="29"/>
  <c r="D94" i="29" l="1"/>
  <c r="D95" i="29"/>
  <c r="D93" i="29"/>
  <c r="D90" i="29"/>
  <c r="D91" i="29"/>
  <c r="D89" i="29"/>
  <c r="D86" i="29"/>
  <c r="D87" i="29"/>
  <c r="D85" i="29"/>
  <c r="D82" i="29"/>
  <c r="D83" i="29"/>
  <c r="D81" i="29"/>
  <c r="D78" i="29"/>
  <c r="D79" i="29"/>
  <c r="D77" i="29"/>
  <c r="D72" i="29"/>
  <c r="D73" i="29"/>
  <c r="D71" i="29"/>
  <c r="D63" i="29"/>
  <c r="D64" i="29"/>
  <c r="D65" i="29"/>
  <c r="D66" i="29"/>
  <c r="D67" i="29"/>
  <c r="D68" i="29"/>
  <c r="D69" i="29"/>
  <c r="D62" i="29"/>
  <c r="D52" i="29"/>
  <c r="D53" i="29"/>
  <c r="D54" i="29"/>
  <c r="D55" i="29"/>
  <c r="D56" i="29"/>
  <c r="D57" i="29"/>
  <c r="D58" i="29"/>
  <c r="D59" i="29"/>
  <c r="D60" i="29"/>
  <c r="D51" i="29"/>
  <c r="D42" i="29"/>
  <c r="D43" i="29"/>
  <c r="D44" i="29"/>
  <c r="D45" i="29"/>
  <c r="D46" i="29"/>
  <c r="D47" i="29"/>
  <c r="D41" i="29"/>
  <c r="D38" i="29"/>
  <c r="D39" i="29"/>
  <c r="D37" i="29"/>
  <c r="D17" i="29"/>
  <c r="D18" i="29"/>
  <c r="D19" i="29"/>
  <c r="D20" i="29"/>
  <c r="D21" i="29"/>
  <c r="D22" i="29"/>
  <c r="D23" i="29"/>
  <c r="D24" i="29"/>
  <c r="D25" i="29"/>
  <c r="D16" i="29"/>
  <c r="D15" i="29"/>
  <c r="G105" i="29"/>
  <c r="G104" i="29"/>
  <c r="G101" i="29"/>
  <c r="G100" i="29"/>
  <c r="G95" i="29"/>
  <c r="G94" i="29"/>
  <c r="G91" i="29"/>
  <c r="G90" i="29"/>
  <c r="G87" i="29"/>
  <c r="G86" i="29"/>
  <c r="G103" i="29"/>
  <c r="G85" i="29"/>
  <c r="G89" i="29"/>
  <c r="G93" i="29"/>
  <c r="G64" i="29"/>
  <c r="G63" i="29"/>
  <c r="G69" i="29"/>
  <c r="G68" i="29"/>
  <c r="G67" i="29"/>
  <c r="G66" i="29"/>
  <c r="G65" i="29"/>
  <c r="G57" i="29"/>
  <c r="G56" i="29"/>
  <c r="G55" i="29"/>
  <c r="G54" i="29"/>
  <c r="G52" i="29"/>
  <c r="G44" i="29"/>
  <c r="G43" i="29"/>
  <c r="G42" i="29"/>
  <c r="G31" i="29"/>
  <c r="G30" i="29"/>
  <c r="G29" i="29"/>
  <c r="G23" i="29"/>
  <c r="G22" i="29"/>
  <c r="G21" i="29"/>
  <c r="G33" i="29"/>
  <c r="G32" i="29"/>
  <c r="G20" i="29"/>
  <c r="G19" i="29"/>
  <c r="G47" i="29"/>
  <c r="G46" i="29"/>
  <c r="G45" i="29"/>
  <c r="G39" i="29"/>
  <c r="G60" i="29"/>
  <c r="G59" i="29"/>
  <c r="G58" i="29"/>
  <c r="G53" i="29"/>
  <c r="G38" i="29"/>
  <c r="G41" i="29"/>
  <c r="G51" i="29"/>
  <c r="G62" i="29"/>
  <c r="G71" i="29"/>
  <c r="F6" i="37"/>
  <c r="I23" i="39"/>
  <c r="H23" i="39"/>
  <c r="G23" i="39"/>
  <c r="F23" i="39"/>
  <c r="E23" i="39"/>
  <c r="D23" i="39"/>
  <c r="C23" i="39"/>
  <c r="I22" i="39"/>
  <c r="H22" i="39"/>
  <c r="G22" i="39"/>
  <c r="F22" i="39"/>
  <c r="E22" i="39"/>
  <c r="D22" i="39"/>
  <c r="C22" i="39"/>
  <c r="I21" i="39"/>
  <c r="H21" i="39"/>
  <c r="G21" i="39"/>
  <c r="F21" i="39"/>
  <c r="E21" i="39"/>
  <c r="D21" i="39"/>
  <c r="C21" i="39"/>
  <c r="I20" i="39"/>
  <c r="H20" i="39"/>
  <c r="G20" i="39"/>
  <c r="F20" i="39"/>
  <c r="E20" i="39"/>
  <c r="D20" i="39"/>
  <c r="C20" i="39"/>
  <c r="I19" i="39"/>
  <c r="H19" i="39"/>
  <c r="G19" i="39"/>
  <c r="F19" i="39"/>
  <c r="E19" i="39"/>
  <c r="D19" i="39"/>
  <c r="C19" i="39"/>
  <c r="I18" i="39"/>
  <c r="H18" i="39"/>
  <c r="G18" i="39"/>
  <c r="F18" i="39"/>
  <c r="E18" i="39"/>
  <c r="D18" i="39"/>
  <c r="C18" i="39"/>
  <c r="I17" i="39"/>
  <c r="H17" i="39"/>
  <c r="G17" i="39"/>
  <c r="F17" i="39"/>
  <c r="E17" i="39"/>
  <c r="D17" i="39"/>
  <c r="C17" i="39"/>
  <c r="I16" i="39"/>
  <c r="H16" i="39"/>
  <c r="G16" i="39"/>
  <c r="F16" i="39"/>
  <c r="E16" i="39"/>
  <c r="D16" i="39"/>
  <c r="C16" i="39"/>
  <c r="I15" i="39"/>
  <c r="H15" i="39"/>
  <c r="G15" i="39"/>
  <c r="F15" i="39"/>
  <c r="E15" i="39"/>
  <c r="D15" i="39"/>
  <c r="C15" i="39"/>
  <c r="I14" i="39"/>
  <c r="H14" i="39"/>
  <c r="G14" i="39"/>
  <c r="F14" i="39"/>
  <c r="E14" i="39"/>
  <c r="D14" i="39"/>
  <c r="C14" i="39"/>
  <c r="I13" i="39"/>
  <c r="H13" i="39"/>
  <c r="G13" i="39"/>
  <c r="F13" i="39"/>
  <c r="E13" i="39"/>
  <c r="D13" i="39"/>
  <c r="C13" i="39"/>
  <c r="I12" i="39"/>
  <c r="H12" i="39"/>
  <c r="G12" i="39"/>
  <c r="F12" i="39"/>
  <c r="E12" i="39"/>
  <c r="D12" i="39"/>
  <c r="C12" i="39"/>
  <c r="I11" i="39"/>
  <c r="H11" i="39"/>
  <c r="G11" i="39"/>
  <c r="F11" i="39"/>
  <c r="E11" i="39"/>
  <c r="D11" i="39"/>
  <c r="C11" i="39"/>
  <c r="I10" i="39"/>
  <c r="H10" i="39"/>
  <c r="G10" i="39"/>
  <c r="F10" i="39"/>
  <c r="E10" i="39"/>
  <c r="D10" i="39"/>
  <c r="C10" i="39"/>
  <c r="I9" i="39"/>
  <c r="H9" i="39"/>
  <c r="G9" i="39"/>
  <c r="F9" i="39"/>
  <c r="E9" i="39"/>
  <c r="D9" i="39"/>
  <c r="C9" i="39"/>
  <c r="I8" i="39"/>
  <c r="H8" i="39"/>
  <c r="G8" i="39"/>
  <c r="F8" i="39"/>
  <c r="E8" i="39"/>
  <c r="D8" i="39"/>
  <c r="C8" i="39"/>
  <c r="I7" i="39"/>
  <c r="H7" i="39"/>
  <c r="G7" i="39"/>
  <c r="F7" i="39"/>
  <c r="E7" i="39"/>
  <c r="D7" i="39"/>
  <c r="C7" i="39"/>
  <c r="I6" i="39"/>
  <c r="H6" i="39"/>
  <c r="G6" i="39"/>
  <c r="F6" i="39"/>
  <c r="E6" i="39"/>
  <c r="D6" i="39"/>
  <c r="C6" i="39"/>
  <c r="I5" i="39"/>
  <c r="H5" i="39"/>
  <c r="G5" i="39"/>
  <c r="F5" i="39"/>
  <c r="E5" i="39"/>
  <c r="D5" i="39"/>
  <c r="C5" i="39"/>
  <c r="I4" i="39"/>
  <c r="H4" i="39"/>
  <c r="G4" i="39"/>
  <c r="F4" i="39"/>
  <c r="E4" i="39"/>
  <c r="D4" i="39"/>
  <c r="C4" i="39"/>
  <c r="F668" i="37"/>
  <c r="F384" i="37"/>
  <c r="F448" i="37"/>
  <c r="F454" i="37"/>
  <c r="F453" i="37"/>
  <c r="F452" i="37"/>
  <c r="F455" i="37"/>
  <c r="F451" i="37"/>
  <c r="F450" i="37"/>
  <c r="F590" i="37"/>
  <c r="F172" i="37"/>
  <c r="F1190" i="37"/>
  <c r="F447" i="37"/>
  <c r="F391" i="37"/>
  <c r="F388" i="37"/>
  <c r="F390" i="37"/>
  <c r="F253" i="37"/>
  <c r="F436" i="37"/>
  <c r="F517" i="37"/>
  <c r="F518" i="37"/>
  <c r="F514" i="37"/>
  <c r="F520" i="37"/>
  <c r="F330" i="37"/>
  <c r="F278" i="37"/>
  <c r="F122" i="37"/>
  <c r="F907" i="37"/>
  <c r="F1257" i="37"/>
  <c r="F1256" i="37"/>
  <c r="F1255" i="37"/>
  <c r="F1254" i="37"/>
  <c r="F1253" i="37"/>
  <c r="F1252" i="37"/>
  <c r="F1251" i="37"/>
  <c r="F1250" i="37"/>
  <c r="F1249" i="37"/>
  <c r="F1248" i="37"/>
  <c r="F1247" i="37"/>
  <c r="F1246" i="37"/>
  <c r="F1245" i="37"/>
  <c r="F1244" i="37"/>
  <c r="F1243" i="37"/>
  <c r="F1242" i="37"/>
  <c r="F1241" i="37"/>
  <c r="F1240" i="37"/>
  <c r="F1239" i="37"/>
  <c r="F1238" i="37"/>
  <c r="F1237" i="37"/>
  <c r="F1236" i="37"/>
  <c r="F1235" i="37"/>
  <c r="F1234" i="37"/>
  <c r="F1233" i="37"/>
  <c r="F1232" i="37"/>
  <c r="F1231" i="37"/>
  <c r="F1230" i="37"/>
  <c r="F1229" i="37"/>
  <c r="F1228" i="37"/>
  <c r="F1227" i="37"/>
  <c r="F1226" i="37"/>
  <c r="F1225" i="37"/>
  <c r="F1224" i="37"/>
  <c r="F1223" i="37"/>
  <c r="F1222" i="37"/>
  <c r="F1221" i="37"/>
  <c r="F1220" i="37"/>
  <c r="F1219" i="37"/>
  <c r="F1218" i="37"/>
  <c r="F1217" i="37"/>
  <c r="F1216" i="37"/>
  <c r="F1215" i="37"/>
  <c r="F1214" i="37"/>
  <c r="F1213" i="37"/>
  <c r="F1212" i="37"/>
  <c r="F1211" i="37"/>
  <c r="F1210" i="37"/>
  <c r="F1209" i="37"/>
  <c r="F1208" i="37"/>
  <c r="F1207" i="37"/>
  <c r="F1206" i="37"/>
  <c r="F1205" i="37"/>
  <c r="F1204" i="37"/>
  <c r="F1203" i="37"/>
  <c r="F1202" i="37"/>
  <c r="F1201" i="37"/>
  <c r="F1200" i="37"/>
  <c r="F1199" i="37"/>
  <c r="F1198" i="37"/>
  <c r="F1197" i="37"/>
  <c r="F1196" i="37"/>
  <c r="F1195" i="37"/>
  <c r="F1194" i="37"/>
  <c r="F1193" i="37"/>
  <c r="F1192" i="37"/>
  <c r="F1191" i="37"/>
  <c r="F105" i="37"/>
  <c r="F104" i="37"/>
  <c r="F107" i="37"/>
  <c r="F103" i="37"/>
  <c r="F1189" i="37"/>
  <c r="F1188" i="37"/>
  <c r="F1187" i="37"/>
  <c r="F1186" i="37"/>
  <c r="F1185" i="37"/>
  <c r="F1184" i="37"/>
  <c r="F1183" i="37"/>
  <c r="F1182" i="37"/>
  <c r="F1181" i="37"/>
  <c r="F1180" i="37"/>
  <c r="F1179" i="37"/>
  <c r="F1178" i="37"/>
  <c r="F1177" i="37"/>
  <c r="F1176" i="37"/>
  <c r="F1175" i="37"/>
  <c r="F1174" i="37"/>
  <c r="F1173" i="37"/>
  <c r="F1172" i="37"/>
  <c r="F1171" i="37"/>
  <c r="F1170" i="37"/>
  <c r="F1169" i="37"/>
  <c r="F1168" i="37"/>
  <c r="F1167" i="37"/>
  <c r="F1166" i="37"/>
  <c r="F1165" i="37"/>
  <c r="F1164" i="37"/>
  <c r="F1163" i="37"/>
  <c r="F1162" i="37"/>
  <c r="F1161" i="37"/>
  <c r="F1160" i="37"/>
  <c r="F1159" i="37"/>
  <c r="F1158" i="37"/>
  <c r="F1157" i="37"/>
  <c r="F1156" i="37"/>
  <c r="F1155" i="37"/>
  <c r="F1154" i="37"/>
  <c r="F1153" i="37"/>
  <c r="F1152" i="37"/>
  <c r="F1151" i="37"/>
  <c r="F1150" i="37"/>
  <c r="F1149" i="37"/>
  <c r="F1148" i="37"/>
  <c r="F1147" i="37"/>
  <c r="F1146" i="37"/>
  <c r="F1145" i="37"/>
  <c r="F1144" i="37"/>
  <c r="F1143" i="37"/>
  <c r="F1142" i="37"/>
  <c r="F1141" i="37"/>
  <c r="F1140" i="37"/>
  <c r="F1139" i="37"/>
  <c r="F1138" i="37"/>
  <c r="F1137" i="37"/>
  <c r="F1136" i="37"/>
  <c r="F1135" i="37"/>
  <c r="F1134" i="37"/>
  <c r="F1133" i="37"/>
  <c r="F1132" i="37"/>
  <c r="F1131" i="37"/>
  <c r="F1130" i="37"/>
  <c r="F1129" i="37"/>
  <c r="F1128" i="37"/>
  <c r="F1127" i="37"/>
  <c r="F1126" i="37"/>
  <c r="F1125" i="37"/>
  <c r="F1124" i="37"/>
  <c r="F1123" i="37"/>
  <c r="F1122" i="37"/>
  <c r="F1121" i="37"/>
  <c r="F1120" i="37"/>
  <c r="F1119" i="37"/>
  <c r="F1118" i="37"/>
  <c r="F1117" i="37"/>
  <c r="F1116" i="37"/>
  <c r="F1115" i="37"/>
  <c r="F1113" i="37"/>
  <c r="F1112" i="37"/>
  <c r="F1111" i="37"/>
  <c r="F1110" i="37"/>
  <c r="F1109" i="37"/>
  <c r="F1108" i="37"/>
  <c r="F1107" i="37"/>
  <c r="F1106" i="37"/>
  <c r="F1105" i="37"/>
  <c r="F1104" i="37"/>
  <c r="F1103" i="37"/>
  <c r="F1102" i="37"/>
  <c r="F1101" i="37"/>
  <c r="F1100" i="37"/>
  <c r="F1099" i="37"/>
  <c r="F1098" i="37"/>
  <c r="F1097" i="37"/>
  <c r="F1096" i="37"/>
  <c r="F1095" i="37"/>
  <c r="F1094" i="37"/>
  <c r="F1093" i="37"/>
  <c r="F1092" i="37"/>
  <c r="F1091" i="37"/>
  <c r="F1090" i="37"/>
  <c r="F1089" i="37"/>
  <c r="F1088" i="37"/>
  <c r="F1087" i="37"/>
  <c r="F1086" i="37"/>
  <c r="F1085" i="37"/>
  <c r="F1084" i="37"/>
  <c r="F1083" i="37"/>
  <c r="F1082" i="37"/>
  <c r="F1081" i="37"/>
  <c r="F1080" i="37"/>
  <c r="F1079" i="37"/>
  <c r="F1078" i="37"/>
  <c r="F1077" i="37"/>
  <c r="F1076" i="37"/>
  <c r="F1075" i="37"/>
  <c r="F1074" i="37"/>
  <c r="F1073" i="37"/>
  <c r="F1072" i="37"/>
  <c r="F1071" i="37"/>
  <c r="F1070" i="37"/>
  <c r="F1069" i="37"/>
  <c r="F1068" i="37"/>
  <c r="F1067" i="37"/>
  <c r="F1066" i="37"/>
  <c r="F1065" i="37"/>
  <c r="F1064" i="37"/>
  <c r="F1063" i="37"/>
  <c r="F1062" i="37"/>
  <c r="F1061" i="37"/>
  <c r="F1060" i="37"/>
  <c r="F1059" i="37"/>
  <c r="F1058" i="37"/>
  <c r="F1057" i="37"/>
  <c r="F1056" i="37"/>
  <c r="F1055" i="37"/>
  <c r="F1054" i="37"/>
  <c r="F1053" i="37"/>
  <c r="F1052" i="37"/>
  <c r="F1051" i="37"/>
  <c r="F1050" i="37"/>
  <c r="F1049" i="37"/>
  <c r="F1048" i="37"/>
  <c r="F1047" i="37"/>
  <c r="F1046" i="37"/>
  <c r="F1045" i="37"/>
  <c r="F1044" i="37"/>
  <c r="F1043" i="37"/>
  <c r="F1042" i="37"/>
  <c r="F1041" i="37"/>
  <c r="F1040" i="37"/>
  <c r="F1039" i="37"/>
  <c r="F1038" i="37"/>
  <c r="F1037" i="37"/>
  <c r="F1036" i="37"/>
  <c r="F1035" i="37"/>
  <c r="F1034" i="37"/>
  <c r="F1033" i="37"/>
  <c r="F1032" i="37"/>
  <c r="F1031" i="37"/>
  <c r="F1030" i="37"/>
  <c r="F1029" i="37"/>
  <c r="F1028" i="37"/>
  <c r="F1027" i="37"/>
  <c r="F1026" i="37"/>
  <c r="F1025" i="37"/>
  <c r="F1024" i="37"/>
  <c r="F1023" i="37"/>
  <c r="F1022" i="37"/>
  <c r="F1021" i="37"/>
  <c r="F1020" i="37"/>
  <c r="F1019" i="37"/>
  <c r="F1018" i="37"/>
  <c r="F1017" i="37"/>
  <c r="F1016" i="37"/>
  <c r="F1015" i="37"/>
  <c r="F1014" i="37"/>
  <c r="F1013" i="37"/>
  <c r="F1012" i="37"/>
  <c r="F1011" i="37"/>
  <c r="F1010" i="37"/>
  <c r="F1009" i="37"/>
  <c r="F1008" i="37"/>
  <c r="F1007" i="37"/>
  <c r="F1006" i="37"/>
  <c r="F1005" i="37"/>
  <c r="F1004" i="37"/>
  <c r="F1003" i="37"/>
  <c r="F1002" i="37"/>
  <c r="F1001" i="37"/>
  <c r="F1000" i="37"/>
  <c r="F999" i="37"/>
  <c r="F998" i="37"/>
  <c r="F997" i="37"/>
  <c r="F996" i="37"/>
  <c r="F995" i="37"/>
  <c r="F994" i="37"/>
  <c r="F993" i="37"/>
  <c r="F992" i="37"/>
  <c r="F991" i="37"/>
  <c r="F990" i="37"/>
  <c r="F989" i="37"/>
  <c r="F988" i="37"/>
  <c r="F987" i="37"/>
  <c r="F986" i="37"/>
  <c r="F985" i="37"/>
  <c r="F984" i="37"/>
  <c r="F983" i="37"/>
  <c r="F982" i="37"/>
  <c r="F981" i="37"/>
  <c r="F980" i="37"/>
  <c r="F979" i="37"/>
  <c r="F978" i="37"/>
  <c r="F977" i="37"/>
  <c r="F976" i="37"/>
  <c r="F975" i="37"/>
  <c r="F974" i="37"/>
  <c r="F973" i="37"/>
  <c r="F972" i="37"/>
  <c r="F971" i="37"/>
  <c r="F970" i="37"/>
  <c r="F969" i="37"/>
  <c r="F968" i="37"/>
  <c r="F967" i="37"/>
  <c r="F966" i="37"/>
  <c r="F965" i="37"/>
  <c r="F964" i="37"/>
  <c r="F963" i="37"/>
  <c r="F962" i="37"/>
  <c r="F961" i="37"/>
  <c r="F960" i="37"/>
  <c r="F959" i="37"/>
  <c r="F958" i="37"/>
  <c r="F957" i="37"/>
  <c r="F956" i="37"/>
  <c r="F955" i="37"/>
  <c r="F954" i="37"/>
  <c r="F953" i="37"/>
  <c r="F952" i="37"/>
  <c r="F951" i="37"/>
  <c r="F950" i="37"/>
  <c r="F949" i="37"/>
  <c r="F948" i="37"/>
  <c r="F947" i="37"/>
  <c r="F946" i="37"/>
  <c r="F945" i="37"/>
  <c r="F944" i="37"/>
  <c r="F943" i="37"/>
  <c r="F942" i="37"/>
  <c r="F941" i="37"/>
  <c r="F940" i="37"/>
  <c r="F939" i="37"/>
  <c r="F938" i="37"/>
  <c r="F937" i="37"/>
  <c r="F936" i="37"/>
  <c r="F935" i="37"/>
  <c r="F934" i="37"/>
  <c r="F933" i="37"/>
  <c r="F932" i="37"/>
  <c r="F931" i="37"/>
  <c r="F930" i="37"/>
  <c r="F929" i="37"/>
  <c r="F928" i="37"/>
  <c r="F927" i="37"/>
  <c r="F926" i="37"/>
  <c r="F925" i="37"/>
  <c r="F924" i="37"/>
  <c r="F923" i="37"/>
  <c r="F922" i="37"/>
  <c r="F921" i="37"/>
  <c r="F920" i="37"/>
  <c r="F919" i="37"/>
  <c r="F918" i="37"/>
  <c r="F917" i="37"/>
  <c r="F916" i="37"/>
  <c r="F915" i="37"/>
  <c r="F914" i="37"/>
  <c r="F913" i="37"/>
  <c r="F912" i="37"/>
  <c r="F911" i="37"/>
  <c r="F910" i="37"/>
  <c r="F909" i="37"/>
  <c r="F908" i="37"/>
  <c r="F906" i="37"/>
  <c r="F905" i="37"/>
  <c r="F904" i="37"/>
  <c r="F903" i="37"/>
  <c r="F902" i="37"/>
  <c r="F901" i="37"/>
  <c r="F900" i="37"/>
  <c r="F899" i="37"/>
  <c r="F898" i="37"/>
  <c r="F897" i="37"/>
  <c r="F896" i="37"/>
  <c r="F895" i="37"/>
  <c r="F894" i="37"/>
  <c r="F893" i="37"/>
  <c r="F892" i="37"/>
  <c r="F891" i="37"/>
  <c r="F890" i="37"/>
  <c r="F889" i="37"/>
  <c r="F888" i="37"/>
  <c r="F887" i="37"/>
  <c r="F886" i="37"/>
  <c r="F885" i="37"/>
  <c r="F884" i="37"/>
  <c r="F883" i="37"/>
  <c r="F882" i="37"/>
  <c r="F881" i="37"/>
  <c r="F880" i="37"/>
  <c r="F879" i="37"/>
  <c r="F878" i="37"/>
  <c r="F877" i="37"/>
  <c r="F876" i="37"/>
  <c r="F875" i="37"/>
  <c r="F874" i="37"/>
  <c r="F873" i="37"/>
  <c r="F872" i="37"/>
  <c r="F871" i="37"/>
  <c r="F870" i="37"/>
  <c r="F869" i="37"/>
  <c r="F868" i="37"/>
  <c r="F867" i="37"/>
  <c r="F866" i="37"/>
  <c r="F865" i="37"/>
  <c r="F864" i="37"/>
  <c r="F863" i="37"/>
  <c r="F862" i="37"/>
  <c r="F861" i="37"/>
  <c r="F860" i="37"/>
  <c r="F859" i="37"/>
  <c r="F858" i="37"/>
  <c r="F857" i="37"/>
  <c r="F856" i="37"/>
  <c r="F855" i="37"/>
  <c r="F854" i="37"/>
  <c r="F853" i="37"/>
  <c r="F852" i="37"/>
  <c r="F851" i="37"/>
  <c r="F850" i="37"/>
  <c r="F849" i="37"/>
  <c r="F848" i="37"/>
  <c r="F847" i="37"/>
  <c r="F846" i="37"/>
  <c r="F845" i="37"/>
  <c r="F844" i="37"/>
  <c r="F843" i="37"/>
  <c r="F842" i="37"/>
  <c r="F841" i="37"/>
  <c r="F840" i="37"/>
  <c r="F839" i="37"/>
  <c r="F838" i="37"/>
  <c r="F837" i="37"/>
  <c r="F836" i="37"/>
  <c r="F835" i="37"/>
  <c r="F834" i="37"/>
  <c r="F833" i="37"/>
  <c r="F832" i="37"/>
  <c r="F831" i="37"/>
  <c r="F830" i="37"/>
  <c r="F829" i="37"/>
  <c r="F828" i="37"/>
  <c r="F827" i="37"/>
  <c r="F826" i="37"/>
  <c r="F825" i="37"/>
  <c r="F824" i="37"/>
  <c r="F823" i="37"/>
  <c r="F822" i="37"/>
  <c r="F821" i="37"/>
  <c r="F820" i="37"/>
  <c r="F819" i="37"/>
  <c r="F818" i="37"/>
  <c r="F817" i="37"/>
  <c r="F816" i="37"/>
  <c r="F815" i="37"/>
  <c r="F814" i="37"/>
  <c r="F813" i="37"/>
  <c r="F812" i="37"/>
  <c r="F811" i="37"/>
  <c r="F810" i="37"/>
  <c r="F809" i="37"/>
  <c r="F808" i="37"/>
  <c r="F807" i="37"/>
  <c r="F806" i="37"/>
  <c r="F805" i="37"/>
  <c r="F804" i="37"/>
  <c r="F803" i="37"/>
  <c r="F802" i="37"/>
  <c r="F801" i="37"/>
  <c r="F800" i="37"/>
  <c r="F799" i="37"/>
  <c r="F798" i="37"/>
  <c r="F797" i="37"/>
  <c r="F796" i="37"/>
  <c r="F795" i="37"/>
  <c r="F794" i="37"/>
  <c r="F793" i="37"/>
  <c r="F792" i="37"/>
  <c r="F791" i="37"/>
  <c r="F790" i="37"/>
  <c r="F789" i="37"/>
  <c r="F788" i="37"/>
  <c r="F787" i="37"/>
  <c r="F786" i="37"/>
  <c r="F785" i="37"/>
  <c r="F784" i="37"/>
  <c r="F783" i="37"/>
  <c r="F782" i="37"/>
  <c r="F781" i="37"/>
  <c r="F780" i="37"/>
  <c r="F779" i="37"/>
  <c r="F778" i="37"/>
  <c r="F777" i="37"/>
  <c r="F776" i="37"/>
  <c r="F775" i="37"/>
  <c r="F774" i="37"/>
  <c r="F773" i="37"/>
  <c r="F772" i="37"/>
  <c r="F771" i="37"/>
  <c r="F770" i="37"/>
  <c r="F769" i="37"/>
  <c r="F768" i="37"/>
  <c r="F767" i="37"/>
  <c r="F766" i="37"/>
  <c r="F765" i="37"/>
  <c r="F764" i="37"/>
  <c r="F763" i="37"/>
  <c r="F762" i="37"/>
  <c r="F761" i="37"/>
  <c r="F760" i="37"/>
  <c r="F759" i="37"/>
  <c r="F758" i="37"/>
  <c r="F757" i="37"/>
  <c r="F756" i="37"/>
  <c r="F755" i="37"/>
  <c r="F754" i="37"/>
  <c r="F753" i="37"/>
  <c r="F752" i="37"/>
  <c r="F751" i="37"/>
  <c r="F750" i="37"/>
  <c r="F749" i="37"/>
  <c r="F748" i="37"/>
  <c r="F747" i="37"/>
  <c r="F746" i="37"/>
  <c r="F745" i="37"/>
  <c r="F744" i="37"/>
  <c r="F743" i="37"/>
  <c r="F742" i="37"/>
  <c r="F741" i="37"/>
  <c r="F740" i="37"/>
  <c r="F739" i="37"/>
  <c r="F738" i="37"/>
  <c r="F737" i="37"/>
  <c r="F736" i="37"/>
  <c r="F735" i="37"/>
  <c r="F734" i="37"/>
  <c r="F733" i="37"/>
  <c r="F732" i="37"/>
  <c r="F731" i="37"/>
  <c r="F730" i="37"/>
  <c r="F729" i="37"/>
  <c r="F728" i="37"/>
  <c r="F727" i="37"/>
  <c r="F726" i="37"/>
  <c r="F725" i="37"/>
  <c r="F724" i="37"/>
  <c r="F723" i="37"/>
  <c r="F722" i="37"/>
  <c r="F721" i="37"/>
  <c r="F720" i="37"/>
  <c r="F719" i="37"/>
  <c r="F718" i="37"/>
  <c r="F717" i="37"/>
  <c r="F716" i="37"/>
  <c r="F715" i="37"/>
  <c r="F714" i="37"/>
  <c r="F713" i="37"/>
  <c r="F712" i="37"/>
  <c r="F711" i="37"/>
  <c r="F710" i="37"/>
  <c r="F709" i="37"/>
  <c r="F708" i="37"/>
  <c r="F707" i="37"/>
  <c r="F706" i="37"/>
  <c r="F705" i="37"/>
  <c r="F704" i="37"/>
  <c r="F703" i="37"/>
  <c r="F702" i="37"/>
  <c r="F701" i="37"/>
  <c r="F700" i="37"/>
  <c r="F699" i="37"/>
  <c r="F698" i="37"/>
  <c r="F697" i="37"/>
  <c r="F696" i="37"/>
  <c r="F695" i="37"/>
  <c r="F694" i="37"/>
  <c r="F693" i="37"/>
  <c r="F692" i="37"/>
  <c r="F691" i="37"/>
  <c r="F690" i="37"/>
  <c r="F689" i="37"/>
  <c r="F688" i="37"/>
  <c r="F687" i="37"/>
  <c r="F686" i="37"/>
  <c r="F685" i="37"/>
  <c r="F684" i="37"/>
  <c r="F683" i="37"/>
  <c r="F682" i="37"/>
  <c r="F681" i="37"/>
  <c r="F680" i="37"/>
  <c r="F679" i="37"/>
  <c r="F678" i="37"/>
  <c r="F677" i="37"/>
  <c r="F676" i="37"/>
  <c r="F675" i="37"/>
  <c r="F674" i="37"/>
  <c r="F673" i="37"/>
  <c r="F672" i="37"/>
  <c r="F671" i="37"/>
  <c r="F670" i="37"/>
  <c r="F669" i="37"/>
  <c r="F667" i="37"/>
  <c r="F666" i="37"/>
  <c r="F665" i="37"/>
  <c r="F664" i="37"/>
  <c r="F663" i="37"/>
  <c r="F662" i="37"/>
  <c r="F661" i="37"/>
  <c r="F660" i="37"/>
  <c r="F659" i="37"/>
  <c r="F658" i="37"/>
  <c r="F657" i="37"/>
  <c r="F656" i="37"/>
  <c r="F655" i="37"/>
  <c r="F654" i="37"/>
  <c r="F653" i="37"/>
  <c r="F652" i="37"/>
  <c r="F651" i="37"/>
  <c r="F650" i="37"/>
  <c r="F649" i="37"/>
  <c r="F648" i="37"/>
  <c r="F647" i="37"/>
  <c r="F646" i="37"/>
  <c r="F645" i="37"/>
  <c r="F644" i="37"/>
  <c r="F643" i="37"/>
  <c r="F642" i="37"/>
  <c r="F641" i="37"/>
  <c r="F640" i="37"/>
  <c r="F639" i="37"/>
  <c r="F638" i="37"/>
  <c r="F637" i="37"/>
  <c r="F636" i="37"/>
  <c r="F635" i="37"/>
  <c r="F634" i="37"/>
  <c r="F633" i="37"/>
  <c r="F632" i="37"/>
  <c r="F631" i="37"/>
  <c r="F630" i="37"/>
  <c r="F629" i="37"/>
  <c r="F628" i="37"/>
  <c r="F627" i="37"/>
  <c r="F626" i="37"/>
  <c r="F625" i="37"/>
  <c r="F624" i="37"/>
  <c r="F623" i="37"/>
  <c r="F622" i="37"/>
  <c r="F621" i="37"/>
  <c r="F620" i="37"/>
  <c r="F619" i="37"/>
  <c r="F618" i="37"/>
  <c r="F617" i="37"/>
  <c r="F616" i="37"/>
  <c r="F615" i="37"/>
  <c r="F614" i="37"/>
  <c r="F612" i="37"/>
  <c r="F611" i="37"/>
  <c r="F613" i="37"/>
  <c r="F610" i="37"/>
  <c r="F609" i="37"/>
  <c r="F608" i="37"/>
  <c r="F607" i="37"/>
  <c r="F606" i="37"/>
  <c r="F605" i="37"/>
  <c r="F604" i="37"/>
  <c r="F603" i="37"/>
  <c r="F602" i="37"/>
  <c r="F601" i="37"/>
  <c r="F600" i="37"/>
  <c r="F599" i="37"/>
  <c r="F598" i="37"/>
  <c r="F597" i="37"/>
  <c r="F596" i="37"/>
  <c r="F595" i="37"/>
  <c r="F594" i="37"/>
  <c r="F593" i="37"/>
  <c r="F592" i="37"/>
  <c r="F591" i="37"/>
  <c r="F589" i="37"/>
  <c r="F588" i="37"/>
  <c r="F587" i="37"/>
  <c r="F586" i="37"/>
  <c r="F585" i="37"/>
  <c r="F584" i="37"/>
  <c r="F583" i="37"/>
  <c r="F582" i="37"/>
  <c r="F581" i="37"/>
  <c r="F580" i="37"/>
  <c r="F579" i="37"/>
  <c r="F578" i="37"/>
  <c r="F577" i="37"/>
  <c r="F576" i="37"/>
  <c r="F575" i="37"/>
  <c r="F574" i="37"/>
  <c r="F573" i="37"/>
  <c r="F572" i="37"/>
  <c r="F571" i="37"/>
  <c r="F570" i="37"/>
  <c r="F569" i="37"/>
  <c r="F568" i="37"/>
  <c r="F567" i="37"/>
  <c r="F566" i="37"/>
  <c r="F565" i="37"/>
  <c r="F564" i="37"/>
  <c r="F563" i="37"/>
  <c r="F562" i="37"/>
  <c r="F561" i="37"/>
  <c r="F560" i="37"/>
  <c r="F559" i="37"/>
  <c r="F558" i="37"/>
  <c r="F557" i="37"/>
  <c r="F556" i="37"/>
  <c r="F555" i="37"/>
  <c r="F554" i="37"/>
  <c r="F553" i="37"/>
  <c r="F552" i="37"/>
  <c r="F551" i="37"/>
  <c r="F550" i="37"/>
  <c r="F549" i="37"/>
  <c r="F548" i="37"/>
  <c r="F547" i="37"/>
  <c r="F546" i="37"/>
  <c r="F545" i="37"/>
  <c r="F544" i="37"/>
  <c r="F543" i="37"/>
  <c r="F542" i="37"/>
  <c r="F541" i="37"/>
  <c r="F540" i="37"/>
  <c r="F539" i="37"/>
  <c r="F538" i="37"/>
  <c r="F537" i="37"/>
  <c r="F536" i="37"/>
  <c r="F535" i="37"/>
  <c r="F534" i="37"/>
  <c r="F533" i="37"/>
  <c r="F532" i="37"/>
  <c r="F531" i="37"/>
  <c r="F530" i="37"/>
  <c r="F529" i="37"/>
  <c r="F528" i="37"/>
  <c r="F527" i="37"/>
  <c r="F526" i="37"/>
  <c r="F525" i="37"/>
  <c r="F524" i="37"/>
  <c r="F523" i="37"/>
  <c r="F522" i="37"/>
  <c r="F521" i="37"/>
  <c r="F519" i="37"/>
  <c r="F516" i="37"/>
  <c r="F515" i="37"/>
  <c r="F513" i="37"/>
  <c r="F512" i="37"/>
  <c r="F511" i="37"/>
  <c r="F510" i="37"/>
  <c r="F509" i="37"/>
  <c r="F508" i="37"/>
  <c r="F507" i="37"/>
  <c r="F506" i="37"/>
  <c r="F505" i="37"/>
  <c r="F504" i="37"/>
  <c r="F503" i="37"/>
  <c r="F502" i="37"/>
  <c r="F501" i="37"/>
  <c r="F500" i="37"/>
  <c r="F499" i="37"/>
  <c r="F498" i="37"/>
  <c r="F497" i="37"/>
  <c r="F496" i="37"/>
  <c r="F495" i="37"/>
  <c r="F494" i="37"/>
  <c r="F493" i="37"/>
  <c r="F492" i="37"/>
  <c r="F491" i="37"/>
  <c r="F490" i="37"/>
  <c r="F489" i="37"/>
  <c r="F488" i="37"/>
  <c r="F487" i="37"/>
  <c r="F486" i="37"/>
  <c r="F485" i="37"/>
  <c r="F484" i="37"/>
  <c r="F483" i="37"/>
  <c r="F482" i="37"/>
  <c r="F481" i="37"/>
  <c r="F480" i="37"/>
  <c r="F479" i="37"/>
  <c r="F478" i="37"/>
  <c r="F477" i="37"/>
  <c r="F476" i="37"/>
  <c r="F475" i="37"/>
  <c r="F474" i="37"/>
  <c r="F473" i="37"/>
  <c r="F472" i="37"/>
  <c r="F471" i="37"/>
  <c r="F470" i="37"/>
  <c r="F469" i="37"/>
  <c r="F468" i="37"/>
  <c r="F467" i="37"/>
  <c r="F466" i="37"/>
  <c r="F465" i="37"/>
  <c r="F464" i="37"/>
  <c r="F463" i="37"/>
  <c r="F462" i="37"/>
  <c r="F461" i="37"/>
  <c r="F460" i="37"/>
  <c r="F459" i="37"/>
  <c r="F458" i="37"/>
  <c r="F457" i="37"/>
  <c r="F456" i="37"/>
  <c r="F449" i="37"/>
  <c r="F446" i="37"/>
  <c r="F445" i="37"/>
  <c r="F444" i="37"/>
  <c r="F443" i="37"/>
  <c r="F442" i="37"/>
  <c r="F441" i="37"/>
  <c r="F440" i="37"/>
  <c r="F439" i="37"/>
  <c r="F438" i="37"/>
  <c r="F437" i="37"/>
  <c r="F435" i="37"/>
  <c r="F434" i="37"/>
  <c r="F433" i="37"/>
  <c r="F432" i="37"/>
  <c r="F431" i="37"/>
  <c r="F430" i="37"/>
  <c r="F429" i="37"/>
  <c r="F428" i="37"/>
  <c r="F427" i="37"/>
  <c r="F426" i="37"/>
  <c r="F425" i="37"/>
  <c r="F424" i="37"/>
  <c r="F423" i="37"/>
  <c r="F422" i="37"/>
  <c r="F421" i="37"/>
  <c r="F420" i="37"/>
  <c r="F419" i="37"/>
  <c r="F418" i="37"/>
  <c r="F417" i="37"/>
  <c r="F416" i="37"/>
  <c r="F415" i="37"/>
  <c r="F414" i="37"/>
  <c r="F413" i="37"/>
  <c r="F412" i="37"/>
  <c r="F411" i="37"/>
  <c r="F410" i="37"/>
  <c r="F409" i="37"/>
  <c r="F408" i="37"/>
  <c r="F407" i="37"/>
  <c r="F406" i="37"/>
  <c r="F405" i="37"/>
  <c r="F404" i="37"/>
  <c r="F403" i="37"/>
  <c r="F402" i="37"/>
  <c r="F401" i="37"/>
  <c r="F400" i="37"/>
  <c r="F399" i="37"/>
  <c r="F398" i="37"/>
  <c r="F397" i="37"/>
  <c r="F396" i="37"/>
  <c r="F395" i="37"/>
  <c r="F394" i="37"/>
  <c r="F393" i="37"/>
  <c r="F392" i="37"/>
  <c r="F389" i="37"/>
  <c r="F387" i="37"/>
  <c r="F386" i="37"/>
  <c r="F385" i="37"/>
  <c r="F383" i="37"/>
  <c r="F382" i="37"/>
  <c r="F381" i="37"/>
  <c r="F380" i="37"/>
  <c r="F379" i="37"/>
  <c r="F378" i="37"/>
  <c r="F377" i="37"/>
  <c r="F376" i="37"/>
  <c r="F375" i="37"/>
  <c r="F374" i="37"/>
  <c r="F373" i="37"/>
  <c r="F372" i="37"/>
  <c r="F371" i="37"/>
  <c r="F370" i="37"/>
  <c r="F369" i="37"/>
  <c r="F368" i="37"/>
  <c r="F367" i="37"/>
  <c r="F366" i="37"/>
  <c r="F365" i="37"/>
  <c r="F364" i="37"/>
  <c r="F363" i="37"/>
  <c r="F362" i="37"/>
  <c r="F361" i="37"/>
  <c r="F360" i="37"/>
  <c r="F359" i="37"/>
  <c r="F358" i="37"/>
  <c r="F357" i="37"/>
  <c r="F356" i="37"/>
  <c r="F355" i="37"/>
  <c r="F354" i="37"/>
  <c r="F353" i="37"/>
  <c r="F352" i="37"/>
  <c r="F351" i="37"/>
  <c r="F350" i="37"/>
  <c r="F349" i="37"/>
  <c r="F348" i="37"/>
  <c r="F347" i="37"/>
  <c r="F346" i="37"/>
  <c r="F345" i="37"/>
  <c r="F344" i="37"/>
  <c r="F343" i="37"/>
  <c r="F342" i="37"/>
  <c r="F341" i="37"/>
  <c r="F340" i="37"/>
  <c r="F339" i="37"/>
  <c r="F338" i="37"/>
  <c r="F337" i="37"/>
  <c r="F336" i="37"/>
  <c r="F335" i="37"/>
  <c r="F334" i="37"/>
  <c r="F333" i="37"/>
  <c r="F332" i="37"/>
  <c r="F331" i="37"/>
  <c r="F329" i="37"/>
  <c r="F328" i="37"/>
  <c r="F327" i="37"/>
  <c r="F326" i="37"/>
  <c r="F325" i="37"/>
  <c r="F324" i="37"/>
  <c r="F323" i="37"/>
  <c r="F322" i="37"/>
  <c r="F321" i="37"/>
  <c r="F320" i="37"/>
  <c r="F319" i="37"/>
  <c r="F318" i="37"/>
  <c r="F317" i="37"/>
  <c r="F316" i="37"/>
  <c r="F315" i="37"/>
  <c r="F314" i="37"/>
  <c r="F313" i="37"/>
  <c r="F312" i="37"/>
  <c r="F311" i="37"/>
  <c r="F310" i="37"/>
  <c r="F309" i="37"/>
  <c r="F308" i="37"/>
  <c r="F307" i="37"/>
  <c r="F306" i="37"/>
  <c r="F305" i="37"/>
  <c r="F304" i="37"/>
  <c r="F303" i="37"/>
  <c r="F302" i="37"/>
  <c r="F301" i="37"/>
  <c r="F300" i="37"/>
  <c r="F299" i="37"/>
  <c r="F298" i="37"/>
  <c r="F297" i="37"/>
  <c r="F296" i="37"/>
  <c r="F295" i="37"/>
  <c r="F294" i="37"/>
  <c r="F293" i="37"/>
  <c r="F292" i="37"/>
  <c r="F291" i="37"/>
  <c r="F290" i="37"/>
  <c r="F289" i="37"/>
  <c r="F288" i="37"/>
  <c r="F287" i="37"/>
  <c r="F286" i="37"/>
  <c r="F285" i="37"/>
  <c r="F284" i="37"/>
  <c r="F283" i="37"/>
  <c r="F282" i="37"/>
  <c r="F281" i="37"/>
  <c r="F280" i="37"/>
  <c r="F279" i="37"/>
  <c r="F277" i="37"/>
  <c r="F276" i="37"/>
  <c r="F275" i="37"/>
  <c r="F274" i="37"/>
  <c r="F273" i="37"/>
  <c r="F272" i="37"/>
  <c r="F271" i="37"/>
  <c r="F270" i="37"/>
  <c r="F269" i="37"/>
  <c r="F268" i="37"/>
  <c r="F267" i="37"/>
  <c r="F266" i="37"/>
  <c r="F265" i="37"/>
  <c r="F264" i="37"/>
  <c r="F263" i="37"/>
  <c r="F262" i="37"/>
  <c r="F261" i="37"/>
  <c r="F260" i="37"/>
  <c r="F259" i="37"/>
  <c r="F258" i="37"/>
  <c r="F257" i="37"/>
  <c r="F256" i="37"/>
  <c r="F255" i="37"/>
  <c r="F254" i="37"/>
  <c r="F252" i="37"/>
  <c r="F251" i="37"/>
  <c r="F250" i="37"/>
  <c r="F249" i="37"/>
  <c r="F248" i="37"/>
  <c r="F247" i="37"/>
  <c r="F246" i="37"/>
  <c r="F245" i="37"/>
  <c r="F244" i="37"/>
  <c r="F243" i="37"/>
  <c r="F242" i="37"/>
  <c r="F241" i="37"/>
  <c r="F240" i="37"/>
  <c r="F239" i="37"/>
  <c r="F238" i="37"/>
  <c r="F237" i="37"/>
  <c r="F236" i="37"/>
  <c r="F235" i="37"/>
  <c r="F234" i="37"/>
  <c r="F233" i="37"/>
  <c r="F232" i="37"/>
  <c r="F231" i="37"/>
  <c r="F230" i="37"/>
  <c r="F229" i="37"/>
  <c r="F228" i="37"/>
  <c r="F227" i="37"/>
  <c r="F226" i="37"/>
  <c r="F225" i="37"/>
  <c r="F224" i="37"/>
  <c r="F223" i="37"/>
  <c r="F222" i="37"/>
  <c r="F221" i="37"/>
  <c r="F220" i="37"/>
  <c r="F219" i="37"/>
  <c r="F218" i="37"/>
  <c r="F217" i="37"/>
  <c r="F216" i="37"/>
  <c r="F215" i="37"/>
  <c r="F214" i="37"/>
  <c r="F213" i="37"/>
  <c r="F212" i="37"/>
  <c r="F211" i="37"/>
  <c r="F210" i="37"/>
  <c r="F209" i="37"/>
  <c r="F208" i="37"/>
  <c r="F207" i="37"/>
  <c r="F206" i="37"/>
  <c r="F205" i="37"/>
  <c r="F204" i="37"/>
  <c r="F203" i="37"/>
  <c r="F202" i="37"/>
  <c r="F201" i="37"/>
  <c r="F200" i="37"/>
  <c r="F199" i="37"/>
  <c r="F198" i="37"/>
  <c r="F197" i="37"/>
  <c r="F196" i="37"/>
  <c r="F195" i="37"/>
  <c r="F194" i="37"/>
  <c r="F193" i="37"/>
  <c r="F192" i="37"/>
  <c r="F191" i="37"/>
  <c r="F190" i="37"/>
  <c r="F189" i="37"/>
  <c r="F188" i="37"/>
  <c r="F187" i="37"/>
  <c r="F186" i="37"/>
  <c r="F185" i="37"/>
  <c r="F184" i="37"/>
  <c r="F183" i="37"/>
  <c r="F182" i="37"/>
  <c r="F181" i="37"/>
  <c r="F180" i="37"/>
  <c r="F179" i="37"/>
  <c r="F178" i="37"/>
  <c r="F177" i="37"/>
  <c r="F176" i="37"/>
  <c r="F175" i="37"/>
  <c r="F174" i="37"/>
  <c r="F173" i="37"/>
  <c r="F171" i="37"/>
  <c r="F170" i="37"/>
  <c r="F169" i="37"/>
  <c r="F168" i="37"/>
  <c r="F167" i="37"/>
  <c r="F166" i="37"/>
  <c r="F165" i="37"/>
  <c r="F164" i="37"/>
  <c r="F163" i="37"/>
  <c r="F162" i="37"/>
  <c r="F161" i="37"/>
  <c r="F160" i="37"/>
  <c r="F159" i="37"/>
  <c r="F158" i="37"/>
  <c r="F157" i="37"/>
  <c r="F155" i="37"/>
  <c r="F156" i="37"/>
  <c r="F154" i="37"/>
  <c r="F153" i="37"/>
  <c r="F152" i="37"/>
  <c r="F151" i="37"/>
  <c r="F150" i="37"/>
  <c r="F149" i="37"/>
  <c r="F148" i="37"/>
  <c r="F147" i="37"/>
  <c r="F146" i="37"/>
  <c r="F145" i="37"/>
  <c r="F144" i="37"/>
  <c r="F143" i="37"/>
  <c r="F142" i="37"/>
  <c r="F141" i="37"/>
  <c r="F140" i="37"/>
  <c r="F139" i="37"/>
  <c r="F138" i="37"/>
  <c r="F137" i="37"/>
  <c r="F136" i="37"/>
  <c r="F135" i="37"/>
  <c r="F134" i="37"/>
  <c r="F133" i="37"/>
  <c r="F132" i="37"/>
  <c r="F131" i="37"/>
  <c r="F130" i="37"/>
  <c r="F129" i="37"/>
  <c r="F128" i="37"/>
  <c r="F127" i="37"/>
  <c r="F126" i="37"/>
  <c r="F125" i="37"/>
  <c r="F124" i="37"/>
  <c r="F123" i="37"/>
  <c r="F121" i="37"/>
  <c r="F120" i="37"/>
  <c r="F119" i="37"/>
  <c r="F118" i="37"/>
  <c r="F117" i="37"/>
  <c r="F116" i="37"/>
  <c r="F115" i="37"/>
  <c r="F114" i="37"/>
  <c r="F113" i="37"/>
  <c r="F112" i="37"/>
  <c r="F111" i="37"/>
  <c r="F110" i="37"/>
  <c r="F109" i="37"/>
  <c r="F108" i="37"/>
  <c r="F106" i="37"/>
  <c r="F102" i="37"/>
  <c r="F101" i="37"/>
  <c r="F100" i="37"/>
  <c r="F99" i="37"/>
  <c r="F98" i="37"/>
  <c r="F97" i="37"/>
  <c r="F96" i="37"/>
  <c r="F95" i="37"/>
  <c r="F94" i="37"/>
  <c r="F93" i="37"/>
  <c r="F92" i="37"/>
  <c r="F91" i="37"/>
  <c r="F90" i="37"/>
  <c r="F89" i="37"/>
  <c r="F88" i="37"/>
  <c r="F87" i="37"/>
  <c r="F86" i="37"/>
  <c r="F85" i="37"/>
  <c r="F84" i="37"/>
  <c r="F83" i="37"/>
  <c r="F82" i="37"/>
  <c r="F81" i="37"/>
  <c r="F80" i="37"/>
  <c r="F79" i="37"/>
  <c r="F78" i="37"/>
  <c r="F77" i="37"/>
  <c r="F76" i="37"/>
  <c r="F75" i="37"/>
  <c r="F74" i="37"/>
  <c r="F73" i="37"/>
  <c r="F72" i="37"/>
  <c r="F71" i="37"/>
  <c r="F70" i="37"/>
  <c r="F69" i="37"/>
  <c r="F68" i="37"/>
  <c r="F67" i="37"/>
  <c r="F66" i="37"/>
  <c r="F65" i="37"/>
  <c r="F64" i="37"/>
  <c r="F63" i="37"/>
  <c r="F62" i="37"/>
  <c r="F61" i="37"/>
  <c r="F60" i="37"/>
  <c r="F59" i="37"/>
  <c r="F58" i="37"/>
  <c r="F57" i="37"/>
  <c r="F56" i="37"/>
  <c r="F55" i="37"/>
  <c r="F54" i="37"/>
  <c r="F53" i="37"/>
  <c r="F52" i="37"/>
  <c r="F51" i="37"/>
  <c r="F50" i="37"/>
  <c r="F49" i="37"/>
  <c r="F48" i="37"/>
  <c r="F47" i="37"/>
  <c r="F46" i="37"/>
  <c r="F45" i="37"/>
  <c r="F44" i="37"/>
  <c r="F43" i="37"/>
  <c r="F42" i="37"/>
  <c r="F41" i="37"/>
  <c r="F40" i="37"/>
  <c r="F39" i="37"/>
  <c r="F38" i="37"/>
  <c r="F37" i="37"/>
  <c r="F35" i="37"/>
  <c r="F34" i="37"/>
  <c r="F33" i="37"/>
  <c r="F32" i="37"/>
  <c r="F31" i="37"/>
  <c r="F30" i="37"/>
  <c r="F29" i="37"/>
  <c r="F28" i="37"/>
  <c r="F27" i="37"/>
  <c r="F26" i="37"/>
  <c r="F25" i="37"/>
  <c r="F24" i="37"/>
  <c r="F23" i="37"/>
  <c r="F22" i="37"/>
  <c r="F21" i="37"/>
  <c r="F20" i="37"/>
  <c r="F19" i="37"/>
  <c r="F18" i="37"/>
  <c r="F17" i="37"/>
  <c r="F16" i="37"/>
  <c r="F15" i="37"/>
  <c r="F14" i="37"/>
  <c r="F13" i="37"/>
  <c r="F12" i="37"/>
  <c r="F11" i="37"/>
  <c r="F10" i="37"/>
  <c r="F9" i="37"/>
  <c r="F8" i="37"/>
  <c r="F7" i="37"/>
  <c r="F5" i="37"/>
  <c r="F4" i="37"/>
  <c r="F3" i="37"/>
  <c r="G99" i="29" l="1"/>
  <c r="G106" i="29" s="1"/>
  <c r="G109" i="29"/>
  <c r="G28" i="29"/>
  <c r="E1502" i="36"/>
  <c r="D1502" i="36"/>
  <c r="D1509" i="36" l="1"/>
  <c r="D1508" i="36"/>
  <c r="D1507" i="36"/>
  <c r="D1506" i="36"/>
  <c r="D1505" i="36"/>
  <c r="D1504" i="36"/>
  <c r="D1503" i="36"/>
  <c r="D1501" i="36"/>
  <c r="D1500" i="36"/>
  <c r="D1499" i="36"/>
  <c r="E1498" i="36"/>
  <c r="D1498" i="36"/>
  <c r="D1497" i="36"/>
  <c r="D1496" i="36"/>
  <c r="D1495" i="36"/>
  <c r="D1494" i="36"/>
  <c r="D1493" i="36"/>
  <c r="D1527" i="36"/>
  <c r="D1526" i="36"/>
  <c r="D1525" i="36"/>
  <c r="D1524" i="36"/>
  <c r="D1523" i="36"/>
  <c r="D1522" i="36"/>
  <c r="D1521" i="36"/>
  <c r="D1537" i="36"/>
  <c r="D1536" i="36"/>
  <c r="D1535" i="36"/>
  <c r="D1534" i="36"/>
  <c r="D1533" i="36"/>
  <c r="D1532" i="36"/>
  <c r="D1531" i="36"/>
  <c r="E1535" i="36"/>
  <c r="E1534" i="36"/>
  <c r="E1531" i="36"/>
  <c r="D1613" i="36"/>
  <c r="D1612" i="36"/>
  <c r="D1611" i="36"/>
  <c r="D1610" i="36"/>
  <c r="D1609" i="36"/>
  <c r="D1608" i="36"/>
  <c r="D1607" i="36"/>
  <c r="E1613" i="36"/>
  <c r="E1612" i="36"/>
  <c r="E1611" i="36"/>
  <c r="E1610" i="36"/>
  <c r="E1609" i="36"/>
  <c r="F2" i="37"/>
  <c r="E1608" i="36" s="1"/>
  <c r="E1607" i="36"/>
  <c r="D1593" i="36"/>
  <c r="D1623" i="36"/>
  <c r="D1622" i="36"/>
  <c r="D1621" i="36"/>
  <c r="D1620" i="36"/>
  <c r="D1619" i="36"/>
  <c r="E1618" i="36"/>
  <c r="D1618" i="36"/>
  <c r="D1617" i="36"/>
  <c r="D1616" i="36"/>
  <c r="D1635" i="36"/>
  <c r="D1634" i="36"/>
  <c r="D1633" i="36"/>
  <c r="D1632" i="36"/>
  <c r="D1631" i="36"/>
  <c r="D1630" i="36"/>
  <c r="D1629" i="36"/>
  <c r="D1628" i="36"/>
  <c r="D1627" i="36"/>
  <c r="D1626" i="36"/>
  <c r="D1625" i="36"/>
  <c r="D1656" i="36"/>
  <c r="D1655" i="36"/>
  <c r="D1654" i="36"/>
  <c r="D1653" i="36"/>
  <c r="D1652" i="36"/>
  <c r="D1651" i="36"/>
  <c r="D1650" i="36"/>
  <c r="D1649" i="36"/>
  <c r="E1503" i="36"/>
  <c r="E1495" i="36" l="1"/>
  <c r="E1533" i="36"/>
  <c r="E1532" i="36"/>
  <c r="E1633" i="36"/>
  <c r="E1714" i="36"/>
  <c r="D1714" i="36"/>
  <c r="D1713" i="36"/>
  <c r="D1712" i="36"/>
  <c r="D1711" i="36"/>
  <c r="D1710" i="36"/>
  <c r="D1709" i="36"/>
  <c r="D1708" i="36"/>
  <c r="D1685" i="36"/>
  <c r="D1682" i="36"/>
  <c r="D1681" i="36"/>
  <c r="D1680" i="36"/>
  <c r="D1679" i="36"/>
  <c r="D1678" i="36"/>
  <c r="D1677" i="36"/>
  <c r="D1676" i="36"/>
  <c r="D1675" i="36"/>
  <c r="D1674" i="36"/>
  <c r="D1670" i="36"/>
  <c r="D1697" i="36"/>
  <c r="E1697" i="36"/>
  <c r="D2340" i="36"/>
  <c r="D2306" i="36"/>
  <c r="D2305" i="36"/>
  <c r="D2300" i="36"/>
  <c r="D2299" i="36"/>
  <c r="D2298" i="36"/>
  <c r="D2296" i="36"/>
  <c r="D2295" i="36"/>
  <c r="D2294" i="36"/>
  <c r="D2293" i="36"/>
  <c r="D2292" i="36"/>
  <c r="D2291" i="36"/>
  <c r="D2290" i="36"/>
  <c r="D2289" i="36"/>
  <c r="D2288" i="36"/>
  <c r="D2287" i="36"/>
  <c r="D2286" i="36"/>
  <c r="D2285" i="36"/>
  <c r="D2284" i="36"/>
  <c r="E2283" i="36"/>
  <c r="D2283" i="36"/>
  <c r="D2282" i="36"/>
  <c r="E2279" i="36"/>
  <c r="D2279" i="36"/>
  <c r="D2278" i="36"/>
  <c r="E2277" i="36"/>
  <c r="D2277" i="36"/>
  <c r="D2275" i="36"/>
  <c r="D2274" i="36"/>
  <c r="D2273" i="36"/>
  <c r="D2272" i="36"/>
  <c r="D2271" i="36"/>
  <c r="D2270" i="36"/>
  <c r="D2269" i="36"/>
  <c r="D2268" i="36"/>
  <c r="D2267" i="36"/>
  <c r="D2266" i="36"/>
  <c r="D2265" i="36"/>
  <c r="D2264" i="36"/>
  <c r="E2263" i="36"/>
  <c r="D2263" i="36"/>
  <c r="D2262" i="36"/>
  <c r="E2259" i="36"/>
  <c r="D2259" i="36"/>
  <c r="D2258" i="36"/>
  <c r="E2257" i="36"/>
  <c r="D2257" i="36"/>
  <c r="D2256" i="36"/>
  <c r="D2254" i="36"/>
  <c r="D2253" i="36"/>
  <c r="D2252" i="36"/>
  <c r="D2251" i="36"/>
  <c r="D2250" i="36"/>
  <c r="D2249" i="36"/>
  <c r="D2248" i="36"/>
  <c r="D2247" i="36"/>
  <c r="D2246" i="36"/>
  <c r="D2245" i="36"/>
  <c r="D2244" i="36"/>
  <c r="D2243" i="36"/>
  <c r="D2242" i="36"/>
  <c r="E2241" i="36"/>
  <c r="D2241" i="36"/>
  <c r="D2240" i="36"/>
  <c r="E2237" i="36"/>
  <c r="D2237" i="36"/>
  <c r="D2236" i="36"/>
  <c r="E2235" i="36"/>
  <c r="D2235" i="36"/>
  <c r="D2233" i="36"/>
  <c r="D2232" i="36"/>
  <c r="D2231" i="36"/>
  <c r="D2230" i="36"/>
  <c r="D2229" i="36"/>
  <c r="D2228" i="36"/>
  <c r="D2227" i="36"/>
  <c r="D2226" i="36"/>
  <c r="D2225" i="36"/>
  <c r="D2223" i="36"/>
  <c r="E2222" i="36"/>
  <c r="D2222" i="36"/>
  <c r="D2221" i="36"/>
  <c r="D2219" i="36"/>
  <c r="E2218" i="36"/>
  <c r="D2218" i="36"/>
  <c r="D2217" i="36"/>
  <c r="D2214" i="36"/>
  <c r="D2213" i="36"/>
  <c r="D2212" i="36"/>
  <c r="D2211" i="36"/>
  <c r="D2209" i="36"/>
  <c r="D2208" i="36"/>
  <c r="D2205" i="36"/>
  <c r="D2204" i="36"/>
  <c r="D2201" i="36"/>
  <c r="D2200" i="36"/>
  <c r="D2199" i="36"/>
  <c r="D2197" i="36"/>
  <c r="D2196" i="36"/>
  <c r="D2195" i="36"/>
  <c r="D2194" i="36"/>
  <c r="D2193" i="36"/>
  <c r="E2192" i="36"/>
  <c r="D2192" i="36"/>
  <c r="D2191" i="36"/>
  <c r="E2190" i="36"/>
  <c r="D2190" i="36"/>
  <c r="D2189" i="36"/>
  <c r="D2187" i="36"/>
  <c r="D2186" i="36"/>
  <c r="E2185" i="36"/>
  <c r="D2185" i="36"/>
  <c r="D2184" i="36"/>
  <c r="D2183" i="36"/>
  <c r="D2182" i="36"/>
  <c r="D2181" i="36"/>
  <c r="D2180" i="36"/>
  <c r="D2179" i="36"/>
  <c r="D2178" i="36"/>
  <c r="D2177" i="36"/>
  <c r="D2176" i="36"/>
  <c r="D2175" i="36"/>
  <c r="D2174" i="36"/>
  <c r="D2173" i="36"/>
  <c r="D2172" i="36"/>
  <c r="D2171" i="36"/>
  <c r="D2170" i="36"/>
  <c r="D2169" i="36"/>
  <c r="D2168" i="36"/>
  <c r="E2167" i="36"/>
  <c r="D2167" i="36"/>
  <c r="D2160" i="36"/>
  <c r="D2159" i="36"/>
  <c r="D2158" i="36"/>
  <c r="D2157" i="36"/>
  <c r="D2156" i="36"/>
  <c r="D2155" i="36"/>
  <c r="D2154" i="36"/>
  <c r="D2153" i="36"/>
  <c r="D2152" i="36"/>
  <c r="D2151" i="36"/>
  <c r="D2150" i="36"/>
  <c r="D2148" i="36"/>
  <c r="D2147" i="36"/>
  <c r="D2146" i="36"/>
  <c r="D2145" i="36"/>
  <c r="D2144" i="36"/>
  <c r="D2143" i="36"/>
  <c r="D2142" i="36"/>
  <c r="D2141" i="36"/>
  <c r="D2140" i="36"/>
  <c r="D2139" i="36"/>
  <c r="D2138" i="36"/>
  <c r="D2137" i="36"/>
  <c r="D2136" i="36"/>
  <c r="D2135" i="36"/>
  <c r="D2134" i="36"/>
  <c r="D2133" i="36"/>
  <c r="D2132" i="36"/>
  <c r="D2131" i="36"/>
  <c r="D2130" i="36"/>
  <c r="D2129" i="36"/>
  <c r="D2128" i="36"/>
  <c r="D2127" i="36"/>
  <c r="D2126" i="36"/>
  <c r="D2125" i="36"/>
  <c r="D2124" i="36"/>
  <c r="D2123" i="36"/>
  <c r="D2122" i="36"/>
  <c r="D2121" i="36"/>
  <c r="D2120" i="36"/>
  <c r="D2119" i="36"/>
  <c r="D2118" i="36"/>
  <c r="D2117" i="36"/>
  <c r="D2116" i="36"/>
  <c r="E2115" i="36"/>
  <c r="D2115" i="36"/>
  <c r="D2114" i="36"/>
  <c r="D2110" i="36"/>
  <c r="D2109" i="36"/>
  <c r="D2108" i="36"/>
  <c r="D2107" i="36"/>
  <c r="D2106" i="36"/>
  <c r="E2105" i="36"/>
  <c r="D2105" i="36"/>
  <c r="D2104" i="36"/>
  <c r="E2103" i="36"/>
  <c r="D2103" i="36"/>
  <c r="D2102" i="36"/>
  <c r="E2100" i="36"/>
  <c r="D2100" i="36"/>
  <c r="E2099" i="36"/>
  <c r="D2099" i="36"/>
  <c r="E2098" i="36"/>
  <c r="D2098" i="36"/>
  <c r="D2097" i="36"/>
  <c r="D2096" i="36"/>
  <c r="D2095" i="36"/>
  <c r="E2094" i="36"/>
  <c r="D2094" i="36"/>
  <c r="E2093" i="36"/>
  <c r="D2093" i="36"/>
  <c r="E2092" i="36"/>
  <c r="D2092" i="36"/>
  <c r="D2091" i="36"/>
  <c r="D2090" i="36"/>
  <c r="E2089" i="36"/>
  <c r="D2089" i="36"/>
  <c r="E2088" i="36"/>
  <c r="D2088" i="36"/>
  <c r="D2077" i="36"/>
  <c r="D2076" i="36"/>
  <c r="E2075" i="36"/>
  <c r="D2075" i="36"/>
  <c r="D2074" i="36"/>
  <c r="E2073" i="36"/>
  <c r="D2073" i="36"/>
  <c r="D2071" i="36"/>
  <c r="D2070" i="36"/>
  <c r="D2069" i="36"/>
  <c r="D2068" i="36"/>
  <c r="D2067" i="36"/>
  <c r="D2066" i="36"/>
  <c r="D2060" i="36"/>
  <c r="D2059" i="36"/>
  <c r="D2058" i="36"/>
  <c r="D2056" i="36"/>
  <c r="D2055" i="36"/>
  <c r="D2054" i="36"/>
  <c r="D2053" i="36"/>
  <c r="D2052" i="36"/>
  <c r="E2051" i="36"/>
  <c r="D2051" i="36"/>
  <c r="D2050" i="36"/>
  <c r="D2049" i="36"/>
  <c r="E2034" i="36"/>
  <c r="D2034" i="36"/>
  <c r="D2033" i="36"/>
  <c r="D2032" i="36"/>
  <c r="D2031" i="36"/>
  <c r="E2029" i="36"/>
  <c r="D2029" i="36"/>
  <c r="D2027" i="36"/>
  <c r="D2026" i="36"/>
  <c r="D2024" i="36"/>
  <c r="D2023" i="36"/>
  <c r="D2022" i="36"/>
  <c r="D2021" i="36"/>
  <c r="E2015" i="36"/>
  <c r="D2015" i="36"/>
  <c r="E2011" i="36"/>
  <c r="D2011" i="36"/>
  <c r="E2009" i="36"/>
  <c r="D2009" i="36"/>
  <c r="E2007" i="36"/>
  <c r="D2007" i="36"/>
  <c r="D2003" i="36"/>
  <c r="D2002" i="36"/>
  <c r="D1995" i="36"/>
  <c r="D1994" i="36"/>
  <c r="D1993" i="36"/>
  <c r="E1992" i="36"/>
  <c r="D1992" i="36"/>
  <c r="E1991" i="36"/>
  <c r="D1991" i="36"/>
  <c r="E1987" i="36"/>
  <c r="D1987" i="36"/>
  <c r="E1986" i="36"/>
  <c r="D1986" i="36"/>
  <c r="D1983" i="36"/>
  <c r="D1982" i="36"/>
  <c r="E1981" i="36"/>
  <c r="D1981" i="36"/>
  <c r="D1978" i="36"/>
  <c r="D1977" i="36"/>
  <c r="D1976" i="36"/>
  <c r="D1975" i="36"/>
  <c r="D1974" i="36"/>
  <c r="D1973" i="36"/>
  <c r="E1972" i="36"/>
  <c r="D1972" i="36"/>
  <c r="D1971" i="36"/>
  <c r="D1969" i="36"/>
  <c r="D1968" i="36"/>
  <c r="D1967" i="36"/>
  <c r="D1966" i="36"/>
  <c r="D1965" i="36"/>
  <c r="D1964" i="36"/>
  <c r="D1963" i="36"/>
  <c r="D1962" i="36"/>
  <c r="D1961" i="36"/>
  <c r="D1960" i="36"/>
  <c r="D1959" i="36"/>
  <c r="D1958" i="36"/>
  <c r="D1913" i="36"/>
  <c r="E1907" i="36"/>
  <c r="D1907" i="36"/>
  <c r="D1906" i="36"/>
  <c r="D1904" i="36"/>
  <c r="D1903" i="36"/>
  <c r="D1902" i="36"/>
  <c r="D1901" i="36"/>
  <c r="D1900" i="36"/>
  <c r="D1899" i="36"/>
  <c r="D1898" i="36"/>
  <c r="E1890" i="36"/>
  <c r="D1890" i="36"/>
  <c r="E1888" i="36"/>
  <c r="D1888" i="36"/>
  <c r="D1886" i="36"/>
  <c r="E1885" i="36"/>
  <c r="D1885" i="36"/>
  <c r="E1884" i="36"/>
  <c r="D1884" i="36"/>
  <c r="E1883" i="36"/>
  <c r="D1883" i="36"/>
  <c r="E1882" i="36"/>
  <c r="D1882" i="36"/>
  <c r="E1881" i="36"/>
  <c r="D1881" i="36"/>
  <c r="E1878" i="36"/>
  <c r="D1878" i="36"/>
  <c r="E1877" i="36"/>
  <c r="D1877" i="36"/>
  <c r="E1874" i="36"/>
  <c r="D1874" i="36"/>
  <c r="D1872" i="36"/>
  <c r="E1871" i="36"/>
  <c r="D1871" i="36"/>
  <c r="E1870" i="36"/>
  <c r="D1870" i="36"/>
  <c r="E1869" i="36"/>
  <c r="D1869" i="36"/>
  <c r="E1868" i="36"/>
  <c r="D1868" i="36"/>
  <c r="E1867" i="36"/>
  <c r="D1867" i="36"/>
  <c r="D1861" i="36"/>
  <c r="D1860" i="36"/>
  <c r="D1859" i="36"/>
  <c r="D1858" i="36"/>
  <c r="E1857" i="36"/>
  <c r="D1857" i="36"/>
  <c r="D1856" i="36"/>
  <c r="D1854" i="36"/>
  <c r="D1853" i="36"/>
  <c r="D1852" i="36"/>
  <c r="D1851" i="36"/>
  <c r="E1847" i="36"/>
  <c r="D1847" i="36"/>
  <c r="D1846" i="36"/>
  <c r="D1843" i="36"/>
  <c r="D1842" i="36"/>
  <c r="D1841" i="36"/>
  <c r="D1840" i="36"/>
  <c r="D1839" i="36"/>
  <c r="D1838" i="36"/>
  <c r="D1802" i="36"/>
  <c r="D1777" i="36"/>
  <c r="D1776" i="36"/>
  <c r="D1775" i="36"/>
  <c r="D1774" i="36"/>
  <c r="D1773" i="36"/>
  <c r="E1772" i="36"/>
  <c r="D1772" i="36"/>
  <c r="D1771" i="36"/>
  <c r="D1769" i="36"/>
  <c r="D1764" i="36"/>
  <c r="D1763" i="36"/>
  <c r="D1762" i="36"/>
  <c r="D1746" i="36"/>
  <c r="D1743" i="36"/>
  <c r="D1742" i="36"/>
  <c r="D1740" i="36"/>
  <c r="D1739" i="36"/>
  <c r="D1738" i="36"/>
  <c r="D1737" i="36"/>
  <c r="D1736" i="36"/>
  <c r="D1735" i="36"/>
  <c r="D1734" i="36"/>
  <c r="E1733" i="36"/>
  <c r="D1733" i="36"/>
  <c r="D1732" i="36"/>
  <c r="D1730" i="36"/>
  <c r="D1729" i="36"/>
  <c r="D1728" i="36"/>
  <c r="D1727" i="36"/>
  <c r="D1726" i="36"/>
  <c r="D1725" i="36"/>
  <c r="E1721" i="36"/>
  <c r="D1721" i="36"/>
  <c r="D1720" i="36"/>
  <c r="D1717" i="36"/>
  <c r="D1707" i="36"/>
  <c r="D1706" i="36"/>
  <c r="D1702" i="36"/>
  <c r="D1701" i="36"/>
  <c r="D1700" i="36"/>
  <c r="D1696" i="36"/>
  <c r="D1684" i="36"/>
  <c r="D1683" i="36"/>
  <c r="D1673" i="36"/>
  <c r="E1672" i="36"/>
  <c r="D1672" i="36"/>
  <c r="D1671" i="36"/>
  <c r="D1669" i="36"/>
  <c r="D1668" i="36"/>
  <c r="D1667" i="36"/>
  <c r="D1666" i="36"/>
  <c r="D1665" i="36"/>
  <c r="D1664" i="36"/>
  <c r="D1663" i="36"/>
  <c r="D1662" i="36"/>
  <c r="D1661" i="36"/>
  <c r="D1660" i="36"/>
  <c r="D1648" i="36"/>
  <c r="D1647" i="36"/>
  <c r="D1640" i="36"/>
  <c r="D1639" i="36"/>
  <c r="D1638" i="36"/>
  <c r="D1637" i="36"/>
  <c r="D1615" i="36"/>
  <c r="D1606" i="36"/>
  <c r="D1605" i="36"/>
  <c r="D1604" i="36"/>
  <c r="D1587" i="36"/>
  <c r="D1586" i="36"/>
  <c r="D1585" i="36"/>
  <c r="D1584" i="36"/>
  <c r="D1582" i="36"/>
  <c r="D1581" i="36"/>
  <c r="D1580" i="36"/>
  <c r="D1579" i="36"/>
  <c r="D1578" i="36"/>
  <c r="D1577" i="36"/>
  <c r="E1576" i="36"/>
  <c r="D1576" i="36"/>
  <c r="D1575" i="36"/>
  <c r="E1571" i="36"/>
  <c r="D1571" i="36"/>
  <c r="D1570" i="36"/>
  <c r="D1569" i="36"/>
  <c r="D1568" i="36"/>
  <c r="E1567" i="36"/>
  <c r="D1567" i="36"/>
  <c r="D1565" i="36"/>
  <c r="D1564" i="36"/>
  <c r="D1563" i="36"/>
  <c r="D1562" i="36"/>
  <c r="D1561" i="36"/>
  <c r="D1560" i="36"/>
  <c r="D1559" i="36"/>
  <c r="D1558" i="36"/>
  <c r="D1557" i="36"/>
  <c r="D1556" i="36"/>
  <c r="D1555" i="36"/>
  <c r="E1554" i="36"/>
  <c r="D1554" i="36"/>
  <c r="D1553" i="36"/>
  <c r="D1545" i="36"/>
  <c r="D1544" i="36"/>
  <c r="D1543" i="36"/>
  <c r="D1542" i="36"/>
  <c r="D1541" i="36"/>
  <c r="E1518" i="36"/>
  <c r="D1518" i="36"/>
  <c r="D1517" i="36"/>
  <c r="D1516" i="36"/>
  <c r="D1515" i="36"/>
  <c r="D1514" i="36"/>
  <c r="D1513" i="36"/>
  <c r="D1512" i="36"/>
  <c r="D1511" i="36"/>
  <c r="D1491" i="36"/>
  <c r="D1489" i="36"/>
  <c r="D1486" i="36"/>
  <c r="D1485" i="36"/>
  <c r="D1484" i="36"/>
  <c r="D1483" i="36"/>
  <c r="D1482" i="36"/>
  <c r="D1481" i="36"/>
  <c r="D1480" i="36"/>
  <c r="D1479" i="36"/>
  <c r="D1478" i="36"/>
  <c r="D1477" i="36"/>
  <c r="D1476" i="36"/>
  <c r="D1475" i="36"/>
  <c r="E1474" i="36"/>
  <c r="D1474" i="36"/>
  <c r="D1473" i="36"/>
  <c r="D1471" i="36"/>
  <c r="D1470" i="36"/>
  <c r="D1469" i="36"/>
  <c r="D1468" i="36"/>
  <c r="D1467" i="36"/>
  <c r="D1466" i="36"/>
  <c r="D1465" i="36"/>
  <c r="D1464" i="36"/>
  <c r="D1463" i="36"/>
  <c r="D1462" i="36"/>
  <c r="D1461" i="36"/>
  <c r="D1460" i="36"/>
  <c r="E1360" i="36"/>
  <c r="D1360" i="36"/>
  <c r="E1359" i="36"/>
  <c r="D1359" i="36"/>
  <c r="D1358" i="36"/>
  <c r="D1357" i="36"/>
  <c r="D1355" i="36"/>
  <c r="D1354" i="36"/>
  <c r="D1353" i="36"/>
  <c r="D1352" i="36"/>
  <c r="D1351" i="36"/>
  <c r="D1350" i="36"/>
  <c r="D1349" i="36"/>
  <c r="E1348" i="36"/>
  <c r="D1348" i="36"/>
  <c r="D1347" i="36"/>
  <c r="D1345" i="36"/>
  <c r="D1344" i="36"/>
  <c r="D1343" i="36"/>
  <c r="D1342" i="36"/>
  <c r="D1341" i="36"/>
  <c r="D1340" i="36"/>
  <c r="E1323" i="36"/>
  <c r="D1323" i="36"/>
  <c r="D1322" i="36"/>
  <c r="D1321" i="36"/>
  <c r="D1320" i="36"/>
  <c r="D1319" i="36"/>
  <c r="D1318" i="36"/>
  <c r="E1317" i="36"/>
  <c r="D1317" i="36"/>
  <c r="E1316" i="36"/>
  <c r="D1316" i="36"/>
  <c r="E1315" i="36"/>
  <c r="D1315" i="36"/>
  <c r="D1314" i="36"/>
  <c r="D1312" i="36"/>
  <c r="D1311" i="36"/>
  <c r="D1310" i="36"/>
  <c r="D1309" i="36"/>
  <c r="D1308" i="36"/>
  <c r="D1307" i="36"/>
  <c r="E1306" i="36"/>
  <c r="D1306" i="36"/>
  <c r="D1305" i="36"/>
  <c r="D1303" i="36"/>
  <c r="D1302" i="36"/>
  <c r="D1301" i="36"/>
  <c r="D1300" i="36"/>
  <c r="D1299" i="36"/>
  <c r="D1298" i="36"/>
  <c r="E1281" i="36"/>
  <c r="D1281" i="36"/>
  <c r="D1280" i="36"/>
  <c r="D1279" i="36"/>
  <c r="D1278" i="36"/>
  <c r="D1277" i="36"/>
  <c r="D1276" i="36"/>
  <c r="E1275" i="36"/>
  <c r="D1275" i="36"/>
  <c r="E1274" i="36"/>
  <c r="D1274" i="36"/>
  <c r="E1273" i="36"/>
  <c r="D1273" i="36"/>
  <c r="D1272" i="36"/>
  <c r="E1262" i="36"/>
  <c r="D1262" i="36"/>
  <c r="D1261" i="36"/>
  <c r="E1260" i="36"/>
  <c r="D1260" i="36"/>
  <c r="E1259" i="36"/>
  <c r="D1259" i="36"/>
  <c r="E1253" i="36"/>
  <c r="D1253" i="36"/>
  <c r="E1250" i="36"/>
  <c r="D1250" i="36"/>
  <c r="E1248" i="36"/>
  <c r="D1248" i="36"/>
  <c r="E1247" i="36"/>
  <c r="D1247" i="36"/>
  <c r="E1246" i="36"/>
  <c r="D1246" i="36"/>
  <c r="E1245" i="36"/>
  <c r="D1245" i="36"/>
  <c r="E1244" i="36"/>
  <c r="D1244" i="36"/>
  <c r="E1243" i="36"/>
  <c r="D1243" i="36"/>
  <c r="D1241" i="36"/>
  <c r="D1240" i="36"/>
  <c r="D1238" i="36"/>
  <c r="E1237" i="36"/>
  <c r="D1237" i="36"/>
  <c r="E1236" i="36"/>
  <c r="D1236" i="36"/>
  <c r="E1234" i="36"/>
  <c r="D1234" i="36"/>
  <c r="D1231" i="36"/>
  <c r="E1230" i="36"/>
  <c r="D1230" i="36"/>
  <c r="E1229" i="36"/>
  <c r="D1229" i="36"/>
  <c r="D1228" i="36"/>
  <c r="D1227" i="36"/>
  <c r="D1226" i="36"/>
  <c r="E1224" i="36"/>
  <c r="D1224" i="36"/>
  <c r="E1223" i="36"/>
  <c r="D1223" i="36"/>
  <c r="E1222" i="36"/>
  <c r="D1222" i="36"/>
  <c r="E1221" i="36"/>
  <c r="D1221" i="36"/>
  <c r="E1220" i="36"/>
  <c r="D1220" i="36"/>
  <c r="E1219" i="36"/>
  <c r="D1219" i="36"/>
  <c r="E1218" i="36"/>
  <c r="D1218" i="36"/>
  <c r="D1212" i="36"/>
  <c r="D1211" i="36"/>
  <c r="D1210" i="36"/>
  <c r="D1209" i="36"/>
  <c r="D1208" i="36"/>
  <c r="E1207" i="36"/>
  <c r="D1207" i="36"/>
  <c r="D1206" i="36"/>
  <c r="D1204" i="36"/>
  <c r="D1203" i="36"/>
  <c r="D1202" i="36"/>
  <c r="D1201" i="36"/>
  <c r="E1200" i="36"/>
  <c r="D1200" i="36"/>
  <c r="E1199" i="36"/>
  <c r="D1199" i="36"/>
  <c r="E1198" i="36"/>
  <c r="D1198" i="36"/>
  <c r="D1195" i="36"/>
  <c r="D1194" i="36"/>
  <c r="D1193" i="36"/>
  <c r="D1192" i="36"/>
  <c r="D1191" i="36"/>
  <c r="D1189" i="36"/>
  <c r="D1188" i="36"/>
  <c r="D1187" i="36"/>
  <c r="D1175" i="36"/>
  <c r="E1174" i="36"/>
  <c r="D1174" i="36"/>
  <c r="D1173" i="36"/>
  <c r="D1172" i="36"/>
  <c r="D1171" i="36"/>
  <c r="D1168" i="36"/>
  <c r="D1167" i="36"/>
  <c r="D1166" i="36"/>
  <c r="D1165" i="36"/>
  <c r="D1164" i="36"/>
  <c r="D1163" i="36"/>
  <c r="D1162" i="36"/>
  <c r="E1161" i="36"/>
  <c r="D1161" i="36"/>
  <c r="D1160" i="36"/>
  <c r="D1158" i="36"/>
  <c r="D1157" i="36"/>
  <c r="D1156" i="36"/>
  <c r="E1143" i="36"/>
  <c r="D1143" i="36"/>
  <c r="D1142" i="36"/>
  <c r="D1140" i="36"/>
  <c r="D1139" i="36"/>
  <c r="D1138" i="36"/>
  <c r="E1137" i="36"/>
  <c r="D1137" i="36"/>
  <c r="D1136" i="36"/>
  <c r="D1134" i="36"/>
  <c r="D1133" i="36"/>
  <c r="E1132" i="36"/>
  <c r="D1132" i="36"/>
  <c r="E1130" i="36"/>
  <c r="D1130" i="36"/>
  <c r="E1129" i="36"/>
  <c r="D1129" i="36"/>
  <c r="E1128" i="36"/>
  <c r="D1128" i="36"/>
  <c r="D1127" i="36"/>
  <c r="D1126" i="36"/>
  <c r="E1125" i="36"/>
  <c r="D1125" i="36"/>
  <c r="E1124" i="36"/>
  <c r="D1124" i="36"/>
  <c r="D1123" i="36"/>
  <c r="E1122" i="36"/>
  <c r="D1122" i="36"/>
  <c r="E1121" i="36"/>
  <c r="D1121" i="36"/>
  <c r="D1109" i="36"/>
  <c r="E1108" i="36"/>
  <c r="D1108" i="36"/>
  <c r="E1107" i="36"/>
  <c r="D1107" i="36"/>
  <c r="E1106" i="36"/>
  <c r="D1106" i="36"/>
  <c r="D1100" i="36"/>
  <c r="D1090" i="36"/>
  <c r="D1089" i="36"/>
  <c r="D1088" i="36"/>
  <c r="D1087" i="36"/>
  <c r="D1086" i="36"/>
  <c r="D1085" i="36"/>
  <c r="D1084" i="36"/>
  <c r="E1083" i="36"/>
  <c r="D1083" i="36"/>
  <c r="D1082" i="36"/>
  <c r="D1080" i="36"/>
  <c r="D1079" i="36"/>
  <c r="D1078" i="36"/>
  <c r="D1077" i="36"/>
  <c r="D1076" i="36"/>
  <c r="D1075" i="36"/>
  <c r="D1074" i="36"/>
  <c r="D1073" i="36"/>
  <c r="D1072" i="36"/>
  <c r="D1071" i="36"/>
  <c r="D1070" i="36"/>
  <c r="D1069" i="36"/>
  <c r="D1068" i="36"/>
  <c r="D1067" i="36"/>
  <c r="E995" i="36"/>
  <c r="D995" i="36"/>
  <c r="D994" i="36"/>
  <c r="D992" i="36"/>
  <c r="D991" i="36"/>
  <c r="E980" i="36"/>
  <c r="D980" i="36"/>
  <c r="D979" i="36"/>
  <c r="D978" i="36"/>
  <c r="D977" i="36"/>
  <c r="D974" i="36"/>
  <c r="D973" i="36"/>
  <c r="D972" i="36"/>
  <c r="D971" i="36"/>
  <c r="D970" i="36"/>
  <c r="D969" i="36"/>
  <c r="D968" i="36"/>
  <c r="E967" i="36"/>
  <c r="D967" i="36"/>
  <c r="D966" i="36"/>
  <c r="D964" i="36"/>
  <c r="D963" i="36"/>
  <c r="D962" i="36"/>
  <c r="E949" i="36"/>
  <c r="D949" i="36"/>
  <c r="D948" i="36"/>
  <c r="D946" i="36"/>
  <c r="D945" i="36"/>
  <c r="D944" i="36"/>
  <c r="D943" i="36"/>
  <c r="D942" i="36"/>
  <c r="D941" i="36"/>
  <c r="D940" i="36"/>
  <c r="D939" i="36"/>
  <c r="E938" i="36"/>
  <c r="D938" i="36"/>
  <c r="D937" i="36"/>
  <c r="D935" i="36"/>
  <c r="D934" i="36"/>
  <c r="D933" i="36"/>
  <c r="D932" i="36"/>
  <c r="D931" i="36"/>
  <c r="D930" i="36"/>
  <c r="D929" i="36"/>
  <c r="D928" i="36"/>
  <c r="D927" i="36"/>
  <c r="D926" i="36"/>
  <c r="D925" i="36"/>
  <c r="D924" i="36"/>
  <c r="D923" i="36"/>
  <c r="D922" i="36"/>
  <c r="E877" i="36"/>
  <c r="D877" i="36"/>
  <c r="D876" i="36"/>
  <c r="D875" i="36"/>
  <c r="D874" i="36"/>
  <c r="D873" i="36"/>
  <c r="D870" i="36"/>
  <c r="D869" i="36"/>
  <c r="D868" i="36"/>
  <c r="D864" i="36"/>
  <c r="D863" i="36"/>
  <c r="E854" i="36"/>
  <c r="D854" i="36"/>
  <c r="E853" i="36"/>
  <c r="D853" i="36"/>
  <c r="E852" i="36"/>
  <c r="D852" i="36"/>
  <c r="D851" i="36"/>
  <c r="D848" i="36"/>
  <c r="D847" i="36"/>
  <c r="D846" i="36"/>
  <c r="D845" i="36"/>
  <c r="D844" i="36"/>
  <c r="E843" i="36"/>
  <c r="D843" i="36"/>
  <c r="D842" i="36"/>
  <c r="D841" i="36"/>
  <c r="D840" i="36"/>
  <c r="D839" i="36"/>
  <c r="D838" i="36"/>
  <c r="D837" i="36"/>
  <c r="D836" i="36"/>
  <c r="D833" i="36"/>
  <c r="D832" i="36"/>
  <c r="D831" i="36"/>
  <c r="E830" i="36"/>
  <c r="D830" i="36"/>
  <c r="D829" i="36"/>
  <c r="D828" i="36"/>
  <c r="D826" i="36"/>
  <c r="D825" i="36"/>
  <c r="D821" i="36"/>
  <c r="D820" i="36"/>
  <c r="D819" i="36"/>
  <c r="D818" i="36"/>
  <c r="D817" i="36"/>
  <c r="D816" i="36"/>
  <c r="D815" i="36"/>
  <c r="D814" i="36"/>
  <c r="E813" i="36"/>
  <c r="D813" i="36"/>
  <c r="D812" i="36"/>
  <c r="D811" i="36"/>
  <c r="D810" i="36"/>
  <c r="D809" i="36"/>
  <c r="D796" i="36"/>
  <c r="D795" i="36"/>
  <c r="D794" i="36"/>
  <c r="D793" i="36"/>
  <c r="E792" i="36"/>
  <c r="D792" i="36"/>
  <c r="D791" i="36"/>
  <c r="D790" i="36"/>
  <c r="E782" i="36"/>
  <c r="D782" i="36"/>
  <c r="D781" i="36"/>
  <c r="D780" i="36"/>
  <c r="D779" i="36"/>
  <c r="D778" i="36"/>
  <c r="D777" i="36"/>
  <c r="D776" i="36"/>
  <c r="D775" i="36"/>
  <c r="D774" i="36"/>
  <c r="D773" i="36"/>
  <c r="E772" i="36"/>
  <c r="D772" i="36"/>
  <c r="D771" i="36"/>
  <c r="D770" i="36"/>
  <c r="D769" i="36"/>
  <c r="D768" i="36"/>
  <c r="D758" i="36"/>
  <c r="D757" i="36"/>
  <c r="E756" i="36"/>
  <c r="D756" i="36"/>
  <c r="E755" i="36"/>
  <c r="D755" i="36"/>
  <c r="E754" i="36"/>
  <c r="D754" i="36"/>
  <c r="E753" i="36"/>
  <c r="D753" i="36"/>
  <c r="E752" i="36"/>
  <c r="D752" i="36"/>
  <c r="E751" i="36"/>
  <c r="D751" i="36"/>
  <c r="E750" i="36"/>
  <c r="D750" i="36"/>
  <c r="E749" i="36"/>
  <c r="D749" i="36"/>
  <c r="E748" i="36"/>
  <c r="D748" i="36"/>
  <c r="E747" i="36"/>
  <c r="D747" i="36"/>
  <c r="E746" i="36"/>
  <c r="D746" i="36"/>
  <c r="E745" i="36"/>
  <c r="D745" i="36"/>
  <c r="D722" i="36"/>
  <c r="D721" i="36"/>
  <c r="D720" i="36"/>
  <c r="D719" i="36"/>
  <c r="D718" i="36"/>
  <c r="D717" i="36"/>
  <c r="D716" i="36"/>
  <c r="D715" i="36"/>
  <c r="D714" i="36"/>
  <c r="E713" i="36"/>
  <c r="D713" i="36"/>
  <c r="E712" i="36"/>
  <c r="D712" i="36"/>
  <c r="E711" i="36"/>
  <c r="D711" i="36"/>
  <c r="E710" i="36"/>
  <c r="D710" i="36"/>
  <c r="E709" i="36"/>
  <c r="D709" i="36"/>
  <c r="D706" i="36"/>
  <c r="D705" i="36"/>
  <c r="D704" i="36"/>
  <c r="D703" i="36"/>
  <c r="D702" i="36"/>
  <c r="D701" i="36"/>
  <c r="D700" i="36"/>
  <c r="D699" i="36"/>
  <c r="D698" i="36"/>
  <c r="D697" i="36"/>
  <c r="D696" i="36"/>
  <c r="D693" i="36"/>
  <c r="D692" i="36"/>
  <c r="D691" i="36"/>
  <c r="D690" i="36"/>
  <c r="D689" i="36"/>
  <c r="D688" i="36"/>
  <c r="E687" i="36"/>
  <c r="D687" i="36"/>
  <c r="D686" i="36"/>
  <c r="D684" i="36"/>
  <c r="D683" i="36"/>
  <c r="D682" i="36"/>
  <c r="D681" i="36"/>
  <c r="D680" i="36"/>
  <c r="D679" i="36"/>
  <c r="D678" i="36"/>
  <c r="D677" i="36"/>
  <c r="D676" i="36"/>
  <c r="D675" i="36"/>
  <c r="D674" i="36"/>
  <c r="D673" i="36"/>
  <c r="D672" i="36"/>
  <c r="D671" i="36"/>
  <c r="E599" i="36"/>
  <c r="D599" i="36"/>
  <c r="D598" i="36"/>
  <c r="D594" i="36"/>
  <c r="D593" i="36"/>
  <c r="D592" i="36"/>
  <c r="D586" i="36"/>
  <c r="D584" i="36"/>
  <c r="D583" i="36"/>
  <c r="E576" i="36"/>
  <c r="D576" i="36"/>
  <c r="D575" i="36"/>
  <c r="D574" i="36"/>
  <c r="D573" i="36"/>
  <c r="E572" i="36"/>
  <c r="D572" i="36"/>
  <c r="E571" i="36"/>
  <c r="D571" i="36"/>
  <c r="D569" i="36"/>
  <c r="D568" i="36"/>
  <c r="D567" i="36"/>
  <c r="D565" i="36"/>
  <c r="D564" i="36"/>
  <c r="D563" i="36"/>
  <c r="D562" i="36"/>
  <c r="D561" i="36"/>
  <c r="D560" i="36"/>
  <c r="E557" i="36"/>
  <c r="D557" i="36"/>
  <c r="D556" i="36"/>
  <c r="D553" i="36"/>
  <c r="D552" i="36"/>
  <c r="D551" i="36"/>
  <c r="D549" i="36"/>
  <c r="D548" i="36"/>
  <c r="D547" i="36"/>
  <c r="D546" i="36"/>
  <c r="D545" i="36"/>
  <c r="E544" i="36"/>
  <c r="D544" i="36"/>
  <c r="D543" i="36"/>
  <c r="D541" i="36"/>
  <c r="D540" i="36"/>
  <c r="D539" i="36"/>
  <c r="D538" i="36"/>
  <c r="D537" i="36"/>
  <c r="D536" i="36"/>
  <c r="D535" i="36"/>
  <c r="D534" i="36"/>
  <c r="D533" i="36"/>
  <c r="D532" i="36"/>
  <c r="D531" i="36"/>
  <c r="D530" i="36"/>
  <c r="D529" i="36"/>
  <c r="D528" i="36"/>
  <c r="E462" i="36"/>
  <c r="D462" i="36"/>
  <c r="D461" i="36"/>
  <c r="D457" i="36"/>
  <c r="D452" i="36"/>
  <c r="D450" i="36"/>
  <c r="D449" i="36"/>
  <c r="D448" i="36"/>
  <c r="D447" i="36"/>
  <c r="D446" i="36"/>
  <c r="D445" i="36"/>
  <c r="D444" i="36"/>
  <c r="D443" i="36"/>
  <c r="D442" i="36"/>
  <c r="D441" i="36"/>
  <c r="D440" i="36"/>
  <c r="D439" i="36"/>
  <c r="D438" i="36"/>
  <c r="D437" i="36"/>
  <c r="D436" i="36"/>
  <c r="D435" i="36"/>
  <c r="D434" i="36"/>
  <c r="D433" i="36"/>
  <c r="D432" i="36"/>
  <c r="D431" i="36"/>
  <c r="D430" i="36"/>
  <c r="D429" i="36"/>
  <c r="E428" i="36"/>
  <c r="D428" i="36"/>
  <c r="E427" i="36"/>
  <c r="D427" i="36"/>
  <c r="D426" i="36"/>
  <c r="D425" i="36"/>
  <c r="D424" i="36"/>
  <c r="D423" i="36"/>
  <c r="D422" i="36"/>
  <c r="D421" i="36"/>
  <c r="D420" i="36"/>
  <c r="D419" i="36"/>
  <c r="D418" i="36"/>
  <c r="D417" i="36"/>
  <c r="D416" i="36"/>
  <c r="D415" i="36"/>
  <c r="D414" i="36"/>
  <c r="D413" i="36"/>
  <c r="D412" i="36"/>
  <c r="D411" i="36"/>
  <c r="D410" i="36"/>
  <c r="D409" i="36"/>
  <c r="D408" i="36"/>
  <c r="E407" i="36"/>
  <c r="D407" i="36"/>
  <c r="E406" i="36"/>
  <c r="D406" i="36"/>
  <c r="D405" i="36"/>
  <c r="E404" i="36"/>
  <c r="D404" i="36"/>
  <c r="D403" i="36"/>
  <c r="D402" i="36"/>
  <c r="D401" i="36"/>
  <c r="D400" i="36"/>
  <c r="D399" i="36"/>
  <c r="D398" i="36"/>
  <c r="E397" i="36"/>
  <c r="D397" i="36"/>
  <c r="D365" i="36"/>
  <c r="D364" i="36"/>
  <c r="D363" i="36"/>
  <c r="D362" i="36"/>
  <c r="D361" i="36"/>
  <c r="D360" i="36"/>
  <c r="D359" i="36"/>
  <c r="D358" i="36"/>
  <c r="D357" i="36"/>
  <c r="D356" i="36"/>
  <c r="D355" i="36"/>
  <c r="D354" i="36"/>
  <c r="E353" i="36"/>
  <c r="D353" i="36"/>
  <c r="D352" i="36"/>
  <c r="D351" i="36"/>
  <c r="E349" i="36"/>
  <c r="D349" i="36"/>
  <c r="D348" i="36"/>
  <c r="D347" i="36"/>
  <c r="D346" i="36"/>
  <c r="D345" i="36"/>
  <c r="D344" i="36"/>
  <c r="D343" i="36"/>
  <c r="D342" i="36"/>
  <c r="D341" i="36"/>
  <c r="D340" i="36"/>
  <c r="D339" i="36"/>
  <c r="D338" i="36"/>
  <c r="D337" i="36"/>
  <c r="D336" i="36"/>
  <c r="D335" i="36"/>
  <c r="D334" i="36"/>
  <c r="D333" i="36"/>
  <c r="D332" i="36"/>
  <c r="D331" i="36"/>
  <c r="E330" i="36"/>
  <c r="D330" i="36"/>
  <c r="D319" i="36"/>
  <c r="D317" i="36"/>
  <c r="D316" i="36"/>
  <c r="D315" i="36"/>
  <c r="D314" i="36"/>
  <c r="D313" i="36"/>
  <c r="D311" i="36"/>
  <c r="D309" i="36"/>
  <c r="D308" i="36"/>
  <c r="D307" i="36"/>
  <c r="D305" i="36"/>
  <c r="D302" i="36"/>
  <c r="D301" i="36"/>
  <c r="D294" i="36"/>
  <c r="D293" i="36"/>
  <c r="D290" i="36"/>
  <c r="D289" i="36"/>
  <c r="D287" i="36"/>
  <c r="E286" i="36"/>
  <c r="D286" i="36"/>
  <c r="D285" i="36"/>
  <c r="D284" i="36"/>
  <c r="D283" i="36"/>
  <c r="D282" i="36"/>
  <c r="D281" i="36"/>
  <c r="D280" i="36"/>
  <c r="D279" i="36"/>
  <c r="D278" i="36"/>
  <c r="D277" i="36"/>
  <c r="D276" i="36"/>
  <c r="D275" i="36"/>
  <c r="D274" i="36"/>
  <c r="E273" i="36"/>
  <c r="D273" i="36"/>
  <c r="D272" i="36"/>
  <c r="E271" i="36"/>
  <c r="D271" i="36"/>
  <c r="D270" i="36"/>
  <c r="D269" i="36"/>
  <c r="D268" i="36"/>
  <c r="D267" i="36"/>
  <c r="D266" i="36"/>
  <c r="D258" i="36"/>
  <c r="E241" i="36"/>
  <c r="D241" i="36"/>
  <c r="E240" i="36"/>
  <c r="D240" i="36"/>
  <c r="E239" i="36"/>
  <c r="D239" i="36"/>
  <c r="D238" i="36"/>
  <c r="E237" i="36"/>
  <c r="D237" i="36"/>
  <c r="D236" i="36"/>
  <c r="D234" i="36"/>
  <c r="D228" i="36"/>
  <c r="D227" i="36"/>
  <c r="E226" i="36"/>
  <c r="D226" i="36"/>
  <c r="E225" i="36"/>
  <c r="D225" i="36"/>
  <c r="D223" i="36"/>
  <c r="D222" i="36"/>
  <c r="D221" i="36"/>
  <c r="D219" i="36"/>
  <c r="D215" i="36"/>
  <c r="D214" i="36"/>
  <c r="D196" i="36"/>
  <c r="E195" i="36"/>
  <c r="D195" i="36"/>
  <c r="D194" i="36"/>
  <c r="D193" i="36"/>
  <c r="D176" i="36"/>
  <c r="D175" i="36"/>
  <c r="D174" i="36"/>
  <c r="D173" i="36"/>
  <c r="D172" i="36"/>
  <c r="E171" i="36"/>
  <c r="D171" i="36"/>
  <c r="D170" i="36"/>
  <c r="D168" i="36"/>
  <c r="D167" i="36"/>
  <c r="D166" i="36"/>
  <c r="D165" i="36"/>
  <c r="D164" i="36"/>
  <c r="D163" i="36"/>
  <c r="D162" i="36"/>
  <c r="D161" i="36"/>
  <c r="E160" i="36"/>
  <c r="D160" i="36"/>
  <c r="D159" i="36"/>
  <c r="D157" i="36"/>
  <c r="D156" i="36"/>
  <c r="D155" i="36"/>
  <c r="D154" i="36"/>
  <c r="E119" i="36"/>
  <c r="D119" i="36"/>
  <c r="D118" i="36"/>
  <c r="D117" i="36"/>
  <c r="D116" i="36"/>
  <c r="D115" i="36"/>
  <c r="D114" i="36"/>
  <c r="D113" i="36"/>
  <c r="D112" i="36"/>
  <c r="E111" i="36"/>
  <c r="D111" i="36"/>
  <c r="E110" i="36"/>
  <c r="D110" i="36"/>
  <c r="D108" i="36"/>
  <c r="D107" i="36"/>
  <c r="D106" i="36"/>
  <c r="D105" i="36"/>
  <c r="D104" i="36"/>
  <c r="D103" i="36"/>
  <c r="D102" i="36"/>
  <c r="D101" i="36"/>
  <c r="D100" i="36"/>
  <c r="D99" i="36"/>
  <c r="D98" i="36"/>
  <c r="D97" i="36"/>
  <c r="D96" i="36"/>
  <c r="D95" i="36"/>
  <c r="D94" i="36"/>
  <c r="D93" i="36"/>
  <c r="D92" i="36"/>
  <c r="D91" i="36"/>
  <c r="D90" i="36"/>
  <c r="D89" i="36"/>
  <c r="D88" i="36"/>
  <c r="D87" i="36"/>
  <c r="D86" i="36"/>
  <c r="D85" i="36"/>
  <c r="D84" i="36"/>
  <c r="D83" i="36"/>
  <c r="D82" i="36"/>
  <c r="D81" i="36"/>
  <c r="D80" i="36"/>
  <c r="D79" i="36"/>
  <c r="D78" i="36"/>
  <c r="D77" i="36"/>
  <c r="D76" i="36"/>
  <c r="D75" i="36"/>
  <c r="D74" i="36"/>
  <c r="D73" i="36"/>
  <c r="D72" i="36"/>
  <c r="D71" i="36"/>
  <c r="D70" i="36"/>
  <c r="D69" i="36"/>
  <c r="D68" i="36"/>
  <c r="D67" i="36"/>
  <c r="D66" i="36"/>
  <c r="D65" i="36"/>
  <c r="D64" i="36"/>
  <c r="D63" i="36"/>
  <c r="D62" i="36"/>
  <c r="D61" i="36"/>
  <c r="D60" i="36"/>
  <c r="E59" i="36"/>
  <c r="D59" i="36"/>
  <c r="D47" i="36"/>
  <c r="D46" i="36"/>
  <c r="D45" i="36"/>
  <c r="D44" i="36"/>
  <c r="D43" i="36"/>
  <c r="D42" i="36"/>
  <c r="D38" i="36"/>
  <c r="D37" i="36"/>
  <c r="D15" i="36"/>
  <c r="E14" i="36"/>
  <c r="D14" i="36"/>
  <c r="D13" i="36"/>
  <c r="D12" i="36"/>
  <c r="D11" i="36"/>
  <c r="D10" i="36"/>
  <c r="D9" i="36"/>
  <c r="D8" i="36"/>
  <c r="D7" i="36"/>
  <c r="D6" i="36"/>
  <c r="D5" i="36"/>
  <c r="D4" i="36"/>
  <c r="D3" i="36"/>
  <c r="E2068" i="36"/>
  <c r="E2067" i="36"/>
  <c r="E796" i="36"/>
  <c r="E795" i="36"/>
  <c r="E794" i="36"/>
  <c r="E47" i="36"/>
  <c r="E2066" i="36"/>
  <c r="E2187" i="36"/>
  <c r="E2340" i="36"/>
  <c r="E1802" i="36"/>
  <c r="E1188" i="36"/>
  <c r="E992" i="36"/>
  <c r="E1187" i="36"/>
  <c r="E450" i="36"/>
  <c r="E449" i="36"/>
  <c r="E448" i="36"/>
  <c r="E447" i="36"/>
  <c r="E446" i="36"/>
  <c r="E445" i="36"/>
  <c r="E444" i="36"/>
  <c r="E443" i="36"/>
  <c r="E45" i="36"/>
  <c r="E44" i="36"/>
  <c r="E1904" i="36"/>
  <c r="E1903" i="36"/>
  <c r="E1902" i="36"/>
  <c r="E1901" i="36"/>
  <c r="E1900" i="36"/>
  <c r="E1899" i="36"/>
  <c r="E1913" i="36"/>
  <c r="E2186" i="36"/>
  <c r="E706" i="36"/>
  <c r="E1565" i="36"/>
  <c r="E103" i="36"/>
  <c r="E102" i="36"/>
  <c r="E101" i="36"/>
  <c r="E100" i="36"/>
  <c r="E99" i="36"/>
  <c r="E442" i="36"/>
  <c r="E441" i="36"/>
  <c r="E440" i="36"/>
  <c r="E96" i="36"/>
  <c r="E95" i="36"/>
  <c r="E94" i="36"/>
  <c r="E93" i="36"/>
  <c r="E92" i="36"/>
  <c r="E439" i="36"/>
  <c r="E91" i="36"/>
  <c r="E438" i="36"/>
  <c r="E437" i="36"/>
  <c r="E436" i="36"/>
  <c r="E90" i="36"/>
  <c r="E89" i="36"/>
  <c r="E88" i="36"/>
  <c r="E435" i="36"/>
  <c r="E87" i="36"/>
  <c r="E434" i="36"/>
  <c r="E433" i="36"/>
  <c r="E86" i="36"/>
  <c r="E85" i="36"/>
  <c r="E84" i="36"/>
  <c r="E83" i="36"/>
  <c r="E82" i="36"/>
  <c r="E81" i="36"/>
  <c r="E80" i="36"/>
  <c r="E79" i="36"/>
  <c r="E432" i="36"/>
  <c r="E77" i="36"/>
  <c r="E76" i="36"/>
  <c r="E75" i="36"/>
  <c r="E74" i="36"/>
  <c r="E73" i="36"/>
  <c r="E72" i="36"/>
  <c r="E70" i="36"/>
  <c r="E69" i="36"/>
  <c r="E68" i="36"/>
  <c r="E67" i="36"/>
  <c r="E66" i="36"/>
  <c r="E65" i="36"/>
  <c r="E431" i="36"/>
  <c r="E64" i="36"/>
  <c r="E2214" i="36"/>
  <c r="E2213" i="36"/>
  <c r="E2212" i="36"/>
  <c r="E1886" i="36"/>
  <c r="E2184" i="36"/>
  <c r="E2183" i="36"/>
  <c r="E2182" i="36"/>
  <c r="E2181" i="36"/>
  <c r="E2180" i="36"/>
  <c r="E2211" i="36"/>
  <c r="E2096" i="36"/>
  <c r="E2095" i="36"/>
  <c r="E2141" i="36"/>
  <c r="E2002" i="36"/>
  <c r="E1620" i="36"/>
  <c r="E311" i="36"/>
  <c r="E2204" i="36"/>
  <c r="E287" i="36"/>
  <c r="E2306" i="36"/>
  <c r="E870" i="36"/>
  <c r="E869" i="36"/>
  <c r="E868" i="36"/>
  <c r="E42" i="36"/>
  <c r="E1978" i="36"/>
  <c r="E222" i="36"/>
  <c r="E2177" i="36"/>
  <c r="E2176" i="36"/>
  <c r="E583" i="36"/>
  <c r="E1762" i="36"/>
  <c r="E1763" i="36"/>
  <c r="E1194" i="36"/>
  <c r="E1127" i="36"/>
  <c r="E1489" i="36"/>
  <c r="E1617" i="36"/>
  <c r="E1872" i="36"/>
  <c r="E974" i="36"/>
  <c r="E1100" i="36"/>
  <c r="E1777" i="36"/>
  <c r="E1776" i="36"/>
  <c r="E1775" i="36"/>
  <c r="E1774" i="36"/>
  <c r="E1773" i="36"/>
  <c r="E1771" i="36"/>
  <c r="E1982" i="36"/>
  <c r="E424" i="36"/>
  <c r="E166" i="36"/>
  <c r="E821" i="36"/>
  <c r="E702" i="36"/>
  <c r="E701" i="36"/>
  <c r="E700" i="36"/>
  <c r="E699" i="36"/>
  <c r="E698" i="36"/>
  <c r="E425" i="36"/>
  <c r="E820" i="36"/>
  <c r="E848" i="36"/>
  <c r="E972" i="36"/>
  <c r="E1212" i="36"/>
  <c r="E1193" i="36"/>
  <c r="E2175" i="36"/>
  <c r="E2174" i="36"/>
  <c r="E2173" i="36"/>
  <c r="E2172" i="36"/>
  <c r="E2171" i="36"/>
  <c r="E2170" i="36"/>
  <c r="E2169" i="36"/>
  <c r="E2168" i="36"/>
  <c r="E2139" i="36"/>
  <c r="E2138" i="36"/>
  <c r="E2137" i="36"/>
  <c r="E2136" i="36"/>
  <c r="E2135" i="36"/>
  <c r="E2134" i="36"/>
  <c r="E2133" i="36"/>
  <c r="E2132" i="36"/>
  <c r="E2131" i="36"/>
  <c r="E2130" i="36"/>
  <c r="E2129" i="36"/>
  <c r="E2128" i="36"/>
  <c r="E2127" i="36"/>
  <c r="E2126" i="36"/>
  <c r="E2125" i="36"/>
  <c r="E2124" i="36"/>
  <c r="E2123" i="36"/>
  <c r="E2122" i="36"/>
  <c r="E2121" i="36"/>
  <c r="E2120" i="36"/>
  <c r="E2119" i="36"/>
  <c r="E969" i="36"/>
  <c r="E1501" i="36"/>
  <c r="E423" i="36"/>
  <c r="E422" i="36"/>
  <c r="E285" i="36"/>
  <c r="E284" i="36"/>
  <c r="E779" i="36"/>
  <c r="E283" i="36"/>
  <c r="E281" i="36"/>
  <c r="E2091" i="36"/>
  <c r="E421" i="36"/>
  <c r="E348" i="36"/>
  <c r="E420" i="36"/>
  <c r="E419" i="36"/>
  <c r="E346" i="36"/>
  <c r="E345" i="36"/>
  <c r="E418" i="36"/>
  <c r="E819" i="36"/>
  <c r="E818" i="36"/>
  <c r="E817" i="36"/>
  <c r="E2090" i="36"/>
  <c r="E414" i="36"/>
  <c r="E413" i="36"/>
  <c r="E342" i="36"/>
  <c r="E815" i="36"/>
  <c r="E814" i="36"/>
  <c r="E410" i="36"/>
  <c r="E275" i="36"/>
  <c r="E409" i="36"/>
  <c r="E341" i="36"/>
  <c r="E408" i="36"/>
  <c r="E340" i="36"/>
  <c r="E405" i="36"/>
  <c r="E338" i="36"/>
  <c r="E2217" i="36"/>
  <c r="E337" i="36"/>
  <c r="E336" i="36"/>
  <c r="E403" i="36"/>
  <c r="E402" i="36"/>
  <c r="E401" i="36"/>
  <c r="E400" i="36"/>
  <c r="E812" i="36"/>
  <c r="E811" i="36"/>
  <c r="E335" i="36"/>
  <c r="E810" i="36"/>
  <c r="E266" i="36"/>
  <c r="E334" i="36"/>
  <c r="E333" i="36"/>
  <c r="E809" i="36"/>
  <c r="E332" i="36"/>
  <c r="E331" i="36"/>
  <c r="E398" i="36"/>
  <c r="E1508" i="36"/>
  <c r="E221" i="36"/>
  <c r="E319" i="36"/>
  <c r="E1491" i="36"/>
  <c r="E935" i="36"/>
  <c r="E933" i="36"/>
  <c r="E931" i="36"/>
  <c r="E1743" i="36"/>
  <c r="E923" i="36"/>
  <c r="E1616" i="36"/>
  <c r="E1619" i="36"/>
  <c r="E1527" i="36"/>
  <c r="E1712" i="36"/>
  <c r="E1505" i="36"/>
  <c r="E1634" i="36"/>
  <c r="E1499" i="36"/>
  <c r="E1496" i="36"/>
  <c r="E1994" i="36"/>
  <c r="E2193" i="36"/>
  <c r="E2160" i="36"/>
  <c r="E364" i="36"/>
  <c r="E363" i="36"/>
  <c r="E362" i="36"/>
  <c r="E361" i="36"/>
  <c r="E360" i="36"/>
  <c r="E1677" i="36"/>
  <c r="E714" i="36"/>
  <c r="E2106" i="36"/>
  <c r="E2104" i="36"/>
  <c r="E2032" i="36"/>
  <c r="E12" i="36"/>
  <c r="E573" i="36"/>
  <c r="E978" i="36"/>
  <c r="E2060" i="36"/>
  <c r="E1241" i="36"/>
  <c r="E317" i="36"/>
  <c r="E294" i="36"/>
  <c r="E1995" i="36"/>
  <c r="E2027" i="36"/>
  <c r="E2059" i="36"/>
  <c r="E457" i="36"/>
  <c r="E2076" i="36"/>
  <c r="E831" i="36"/>
  <c r="E354" i="36"/>
  <c r="E11" i="36"/>
  <c r="E10" i="36"/>
  <c r="E1228" i="36"/>
  <c r="E308" i="36"/>
  <c r="E2150" i="36"/>
  <c r="E2022" i="36"/>
  <c r="E1516" i="36"/>
  <c r="E1509" i="36"/>
  <c r="E3" i="36"/>
  <c r="E1523" i="36"/>
  <c r="E1522" i="36"/>
  <c r="E7" i="36"/>
  <c r="E1191" i="36"/>
  <c r="E173" i="36"/>
  <c r="E1587" i="36"/>
  <c r="E1227" i="36"/>
  <c r="E2200" i="36"/>
  <c r="E307" i="36"/>
  <c r="E170" i="36"/>
  <c r="E1667" i="36"/>
  <c r="E1666" i="36"/>
  <c r="E1665" i="36"/>
  <c r="E1664" i="36"/>
  <c r="E1663" i="36"/>
  <c r="E1662" i="36"/>
  <c r="E1661" i="36"/>
  <c r="E1660" i="36"/>
  <c r="E1171" i="36"/>
  <c r="E116" i="36"/>
  <c r="E115" i="36"/>
  <c r="E114" i="36"/>
  <c r="E113" i="36"/>
  <c r="E6" i="36"/>
  <c r="E5" i="36"/>
  <c r="E4" i="36"/>
  <c r="E289" i="36"/>
  <c r="E313" i="36"/>
  <c r="E851" i="36"/>
  <c r="E351" i="36"/>
  <c r="E2058" i="36"/>
  <c r="E1189" i="36" l="1"/>
  <c r="E1507" i="36"/>
  <c r="E925" i="36"/>
  <c r="E1626" i="36"/>
  <c r="E1500" i="36"/>
  <c r="E1621" i="36"/>
  <c r="E1504" i="36"/>
  <c r="E1622" i="36"/>
  <c r="E1506" i="36"/>
  <c r="E1537" i="36"/>
  <c r="E1497" i="36"/>
  <c r="E791" i="36"/>
  <c r="E43" i="36"/>
  <c r="E962" i="36"/>
  <c r="E964" i="36"/>
  <c r="E873" i="36"/>
  <c r="E1524" i="36"/>
  <c r="E2023" i="36"/>
  <c r="E2003" i="36"/>
  <c r="E1525" i="36"/>
  <c r="E551" i="36"/>
  <c r="E553" i="36"/>
  <c r="E2070" i="36"/>
  <c r="E1717" i="36"/>
  <c r="E874" i="36"/>
  <c r="E1521" i="36"/>
  <c r="E193" i="36"/>
  <c r="E1526" i="36"/>
  <c r="E1635" i="36"/>
  <c r="E1536" i="36"/>
  <c r="E2026" i="36"/>
  <c r="E1623" i="36"/>
  <c r="E1195" i="36"/>
  <c r="E223" i="36"/>
  <c r="E757" i="36"/>
  <c r="E758" i="36"/>
  <c r="E1625" i="36"/>
  <c r="E1593" i="36"/>
  <c r="E552" i="36"/>
  <c r="E2069" i="36"/>
  <c r="E2205" i="36"/>
  <c r="E2097" i="36"/>
  <c r="E1126" i="36"/>
  <c r="E279" i="36"/>
  <c r="E415" i="36"/>
  <c r="E1240" i="36"/>
  <c r="E775" i="36"/>
  <c r="E816" i="36"/>
  <c r="E356" i="36"/>
  <c r="E357" i="36"/>
  <c r="E2223" i="36"/>
  <c r="E196" i="36"/>
  <c r="E1674" i="36"/>
  <c r="E358" i="36"/>
  <c r="E15" i="36"/>
  <c r="E715" i="36"/>
  <c r="E716" i="36"/>
  <c r="E717" i="36"/>
  <c r="E718" i="36"/>
  <c r="E719" i="36"/>
  <c r="E720" i="36"/>
  <c r="E721" i="36"/>
  <c r="E722" i="36"/>
  <c r="E1709" i="36"/>
  <c r="E1629" i="36"/>
  <c r="E1711" i="36"/>
  <c r="E1631" i="36"/>
  <c r="E1713" i="36"/>
  <c r="E1632" i="36"/>
  <c r="E1708" i="36"/>
  <c r="E1628" i="36"/>
  <c r="E1710" i="36"/>
  <c r="E1630" i="36"/>
  <c r="E1648" i="36"/>
  <c r="E1627" i="36"/>
  <c r="E1640" i="36"/>
  <c r="E2074" i="36"/>
  <c r="E2189" i="36"/>
  <c r="E2305" i="36"/>
  <c r="E2024" i="36"/>
  <c r="E238" i="36"/>
  <c r="E302" i="36"/>
  <c r="E316" i="36"/>
  <c r="E355" i="36"/>
  <c r="E826" i="36"/>
  <c r="E2021" i="36"/>
  <c r="E305" i="36"/>
  <c r="E258" i="36"/>
  <c r="E1238" i="36"/>
  <c r="E426" i="36"/>
  <c r="E1701" i="36"/>
  <c r="E1123" i="36"/>
  <c r="E966" i="36"/>
  <c r="E365" i="36"/>
  <c r="E1685" i="36"/>
  <c r="E1109" i="36"/>
  <c r="E1675" i="36"/>
  <c r="E1676" i="36"/>
  <c r="E1678" i="36"/>
  <c r="E1679" i="36"/>
  <c r="E1680" i="36"/>
  <c r="E1681" i="36"/>
  <c r="E1682" i="36"/>
  <c r="E1673" i="36"/>
  <c r="E359" i="36"/>
  <c r="E1669" i="36"/>
  <c r="E1670" i="36"/>
  <c r="E1993" i="36"/>
  <c r="E1261" i="36"/>
  <c r="E2153" i="36"/>
  <c r="E2155" i="36"/>
  <c r="E2157" i="36"/>
  <c r="E2159" i="36"/>
  <c r="E1684" i="36"/>
  <c r="E2152" i="36"/>
  <c r="E2154" i="36"/>
  <c r="E2156" i="36"/>
  <c r="E2158" i="36"/>
  <c r="E2031" i="36"/>
  <c r="E13" i="36"/>
  <c r="E194" i="36"/>
  <c r="E461" i="36"/>
  <c r="E575" i="36"/>
  <c r="E598" i="36"/>
  <c r="E979" i="36"/>
  <c r="E1142" i="36"/>
  <c r="E1322" i="36"/>
  <c r="E1720" i="36"/>
  <c r="E1846" i="36"/>
  <c r="E2033" i="36"/>
  <c r="E2191" i="36"/>
  <c r="E2236" i="36"/>
  <c r="E2258" i="36"/>
  <c r="E2278" i="36"/>
  <c r="E118" i="36"/>
  <c r="E556" i="36"/>
  <c r="E876" i="36"/>
  <c r="E948" i="36"/>
  <c r="E994" i="36"/>
  <c r="E1173" i="36"/>
  <c r="E1280" i="36"/>
  <c r="E1357" i="36"/>
  <c r="E1358" i="36"/>
  <c r="E1517" i="36"/>
  <c r="E1570" i="36"/>
  <c r="E1586" i="36"/>
  <c r="E1671" i="36"/>
  <c r="E1906" i="36"/>
  <c r="E1696" i="36"/>
  <c r="E236" i="36"/>
  <c r="E309" i="36"/>
  <c r="E2201" i="36"/>
  <c r="E315" i="36"/>
  <c r="E1226" i="36"/>
  <c r="E2077" i="36"/>
  <c r="E1231" i="36"/>
  <c r="E1314" i="36"/>
  <c r="E1272" i="36"/>
  <c r="E2256" i="36"/>
  <c r="E2221" i="36"/>
  <c r="E2102" i="36"/>
  <c r="E1639" i="36"/>
  <c r="E1512" i="36"/>
  <c r="E1514" i="36"/>
  <c r="E1569" i="36"/>
  <c r="E1568" i="36"/>
  <c r="E1319" i="36"/>
  <c r="E1318" i="36"/>
  <c r="E1277" i="36"/>
  <c r="E1276" i="36"/>
  <c r="E1202" i="36"/>
  <c r="E1201" i="36"/>
  <c r="E1134" i="36"/>
  <c r="E1133" i="36"/>
  <c r="E1321" i="36"/>
  <c r="E1279" i="36"/>
  <c r="E1204" i="36"/>
  <c r="E2110" i="36"/>
  <c r="E2109" i="36"/>
  <c r="E2108" i="36"/>
  <c r="E2107" i="36"/>
  <c r="E1175" i="36"/>
  <c r="E1683" i="36"/>
  <c r="E2209" i="36"/>
  <c r="E2208" i="36"/>
  <c r="E1067" i="36"/>
  <c r="E1958" i="36"/>
  <c r="E1851" i="36"/>
  <c r="E1725" i="36"/>
  <c r="E1460" i="36"/>
  <c r="E1340" i="36"/>
  <c r="E1298" i="36"/>
  <c r="E1069" i="36"/>
  <c r="E1960" i="36"/>
  <c r="E1727" i="36"/>
  <c r="E1462" i="36"/>
  <c r="E1342" i="36"/>
  <c r="E1300" i="36"/>
  <c r="E1071" i="36"/>
  <c r="E1962" i="36"/>
  <c r="E1853" i="36"/>
  <c r="E1764" i="36"/>
  <c r="E1742" i="36"/>
  <c r="E1729" i="36"/>
  <c r="E1464" i="36"/>
  <c r="E1344" i="36"/>
  <c r="E1302" i="36"/>
  <c r="E1157" i="36"/>
  <c r="E1073" i="36"/>
  <c r="E1964" i="36"/>
  <c r="E1838" i="36"/>
  <c r="E1466" i="36"/>
  <c r="E1075" i="36"/>
  <c r="E1966" i="36"/>
  <c r="E1840" i="36"/>
  <c r="E1468" i="36"/>
  <c r="E1077" i="36"/>
  <c r="E1968" i="36"/>
  <c r="E1842" i="36"/>
  <c r="E1470" i="36"/>
  <c r="E1079" i="36"/>
  <c r="E2049" i="36"/>
  <c r="E1769" i="36"/>
  <c r="E1746" i="36"/>
  <c r="E1856" i="36"/>
  <c r="E1136" i="36"/>
  <c r="E2284" i="36"/>
  <c r="E2264" i="36"/>
  <c r="E2242" i="36"/>
  <c r="E2052" i="36"/>
  <c r="E1973" i="36"/>
  <c r="E1734" i="36"/>
  <c r="E1702" i="36"/>
  <c r="E1577" i="36"/>
  <c r="E1555" i="36"/>
  <c r="E1475" i="36"/>
  <c r="E1349" i="36"/>
  <c r="E1307" i="36"/>
  <c r="E1208" i="36"/>
  <c r="E1162" i="36"/>
  <c r="E1084" i="36"/>
  <c r="E2286" i="36"/>
  <c r="E2266" i="36"/>
  <c r="E2244" i="36"/>
  <c r="E2195" i="36"/>
  <c r="E2117" i="36"/>
  <c r="E2054" i="36"/>
  <c r="E1975" i="36"/>
  <c r="E1736" i="36"/>
  <c r="E1579" i="36"/>
  <c r="E1557" i="36"/>
  <c r="E1542" i="36"/>
  <c r="E1477" i="36"/>
  <c r="E1351" i="36"/>
  <c r="E1309" i="36"/>
  <c r="E1210" i="36"/>
  <c r="E1164" i="36"/>
  <c r="E1086" i="36"/>
  <c r="E2287" i="36"/>
  <c r="E2267" i="36"/>
  <c r="E2245" i="36"/>
  <c r="E2118" i="36"/>
  <c r="E2055" i="36"/>
  <c r="E1976" i="36"/>
  <c r="E1859" i="36"/>
  <c r="E1737" i="36"/>
  <c r="E1604" i="36"/>
  <c r="E1580" i="36"/>
  <c r="E1558" i="36"/>
  <c r="E1543" i="36"/>
  <c r="E1478" i="36"/>
  <c r="E1352" i="36"/>
  <c r="E1310" i="36"/>
  <c r="E1211" i="36"/>
  <c r="E1165" i="36"/>
  <c r="E1087" i="36"/>
  <c r="E1706" i="36"/>
  <c r="E1088" i="36"/>
  <c r="E2226" i="36"/>
  <c r="E2197" i="36"/>
  <c r="E1739" i="36"/>
  <c r="E1707" i="36"/>
  <c r="E1606" i="36"/>
  <c r="E1582" i="36"/>
  <c r="E1545" i="36"/>
  <c r="E1167" i="36"/>
  <c r="E1898" i="36"/>
  <c r="E1615" i="36"/>
  <c r="E1355" i="36"/>
  <c r="E2178" i="36"/>
  <c r="E1560" i="36"/>
  <c r="E2298" i="36"/>
  <c r="E1562" i="36"/>
  <c r="E2300" i="36"/>
  <c r="E1564" i="36"/>
  <c r="E2291" i="36"/>
  <c r="E2271" i="36"/>
  <c r="E2249" i="36"/>
  <c r="E2229" i="36"/>
  <c r="E2143" i="36"/>
  <c r="E1482" i="36"/>
  <c r="E2293" i="36"/>
  <c r="E2273" i="36"/>
  <c r="E2251" i="36"/>
  <c r="E2231" i="36"/>
  <c r="E2145" i="36"/>
  <c r="E1484" i="36"/>
  <c r="E2295" i="36"/>
  <c r="E2275" i="36"/>
  <c r="E2253" i="36"/>
  <c r="E2233" i="36"/>
  <c r="E2147" i="36"/>
  <c r="E1486" i="36"/>
  <c r="E2296" i="36"/>
  <c r="E2254" i="36"/>
  <c r="E2148" i="36"/>
  <c r="E2071" i="36"/>
  <c r="E8" i="36"/>
  <c r="E9" i="36"/>
  <c r="E37" i="36"/>
  <c r="E38" i="36"/>
  <c r="E46" i="36"/>
  <c r="E60" i="36"/>
  <c r="E61" i="36"/>
  <c r="E62" i="36"/>
  <c r="E63" i="36"/>
  <c r="E71" i="36"/>
  <c r="E78" i="36"/>
  <c r="E97" i="36"/>
  <c r="E98" i="36"/>
  <c r="E104" i="36"/>
  <c r="E105" i="36"/>
  <c r="E106" i="36"/>
  <c r="E107" i="36"/>
  <c r="E108" i="36"/>
  <c r="E112" i="36"/>
  <c r="E117" i="36"/>
  <c r="E154" i="36"/>
  <c r="E155" i="36"/>
  <c r="E156" i="36"/>
  <c r="E157" i="36"/>
  <c r="E159" i="36"/>
  <c r="E161" i="36"/>
  <c r="E162" i="36"/>
  <c r="E163" i="36"/>
  <c r="E164" i="36"/>
  <c r="E165" i="36"/>
  <c r="E167" i="36"/>
  <c r="E168" i="36"/>
  <c r="E172" i="36"/>
  <c r="E174" i="36"/>
  <c r="E175" i="36"/>
  <c r="E176" i="36"/>
  <c r="E214" i="36"/>
  <c r="E215" i="36"/>
  <c r="E219" i="36"/>
  <c r="E227" i="36"/>
  <c r="E228" i="36"/>
  <c r="E234" i="36"/>
  <c r="E267" i="36"/>
  <c r="E268" i="36"/>
  <c r="E269" i="36"/>
  <c r="E270" i="36"/>
  <c r="E272" i="36"/>
  <c r="E274" i="36"/>
  <c r="E276" i="36"/>
  <c r="E277" i="36"/>
  <c r="E278" i="36"/>
  <c r="E280" i="36"/>
  <c r="E282" i="36"/>
  <c r="E290" i="36"/>
  <c r="E293" i="36"/>
  <c r="E301" i="36"/>
  <c r="E314" i="36"/>
  <c r="E339" i="36"/>
  <c r="E343" i="36"/>
  <c r="E344" i="36"/>
  <c r="E347" i="36"/>
  <c r="E352" i="36"/>
  <c r="E399" i="36"/>
  <c r="E411" i="36"/>
  <c r="E412" i="36"/>
  <c r="E416" i="36"/>
  <c r="E417" i="36"/>
  <c r="E429" i="36"/>
  <c r="E430" i="36"/>
  <c r="E452" i="36"/>
  <c r="E528" i="36"/>
  <c r="E529" i="36"/>
  <c r="E530" i="36"/>
  <c r="E531" i="36"/>
  <c r="E532" i="36"/>
  <c r="E533" i="36"/>
  <c r="E534" i="36"/>
  <c r="E535" i="36"/>
  <c r="E536" i="36"/>
  <c r="E537" i="36"/>
  <c r="E538" i="36"/>
  <c r="E539" i="36"/>
  <c r="E540" i="36"/>
  <c r="E541" i="36"/>
  <c r="E543" i="36"/>
  <c r="E545" i="36"/>
  <c r="E546" i="36"/>
  <c r="E547" i="36"/>
  <c r="E548" i="36"/>
  <c r="E549" i="36"/>
  <c r="E560" i="36"/>
  <c r="E561" i="36"/>
  <c r="E562" i="36"/>
  <c r="E563" i="36"/>
  <c r="E564" i="36"/>
  <c r="E565" i="36"/>
  <c r="E567" i="36"/>
  <c r="E568" i="36"/>
  <c r="E569" i="36"/>
  <c r="E574" i="36"/>
  <c r="E584" i="36"/>
  <c r="E586" i="36"/>
  <c r="E592" i="36"/>
  <c r="E593" i="36"/>
  <c r="E594" i="36"/>
  <c r="E671" i="36"/>
  <c r="E672" i="36"/>
  <c r="E673" i="36"/>
  <c r="E674" i="36"/>
  <c r="E675" i="36"/>
  <c r="E676" i="36"/>
  <c r="E677" i="36"/>
  <c r="E678" i="36"/>
  <c r="E679" i="36"/>
  <c r="E680" i="36"/>
  <c r="E681" i="36"/>
  <c r="E682" i="36"/>
  <c r="E683" i="36"/>
  <c r="E684" i="36"/>
  <c r="E686" i="36"/>
  <c r="E688" i="36"/>
  <c r="E689" i="36"/>
  <c r="E690" i="36"/>
  <c r="E691" i="36"/>
  <c r="E692" i="36"/>
  <c r="E693" i="36"/>
  <c r="E696" i="36"/>
  <c r="E697" i="36"/>
  <c r="E703" i="36"/>
  <c r="E704" i="36"/>
  <c r="E705" i="36"/>
  <c r="E768" i="36"/>
  <c r="E769" i="36"/>
  <c r="E770" i="36"/>
  <c r="E771" i="36"/>
  <c r="E773" i="36"/>
  <c r="E774" i="36"/>
  <c r="E776" i="36"/>
  <c r="E777" i="36"/>
  <c r="E778" i="36"/>
  <c r="E780" i="36"/>
  <c r="E781" i="36"/>
  <c r="E790" i="36"/>
  <c r="E793" i="36"/>
  <c r="E825" i="36"/>
  <c r="E828" i="36"/>
  <c r="E829" i="36"/>
  <c r="E832" i="36"/>
  <c r="E833" i="36"/>
  <c r="E836" i="36"/>
  <c r="E837" i="36"/>
  <c r="E838" i="36"/>
  <c r="E839" i="36"/>
  <c r="E840" i="36"/>
  <c r="E841" i="36"/>
  <c r="E842" i="36"/>
  <c r="E844" i="36"/>
  <c r="E845" i="36"/>
  <c r="E846" i="36"/>
  <c r="E847" i="36"/>
  <c r="E863" i="36"/>
  <c r="E864" i="36"/>
  <c r="E875" i="36"/>
  <c r="E922" i="36"/>
  <c r="E924" i="36"/>
  <c r="E926" i="36"/>
  <c r="E927" i="36"/>
  <c r="E928" i="36"/>
  <c r="E929" i="36"/>
  <c r="E930" i="36"/>
  <c r="E932" i="36"/>
  <c r="E934" i="36"/>
  <c r="E937" i="36"/>
  <c r="E939" i="36"/>
  <c r="E940" i="36"/>
  <c r="E941" i="36"/>
  <c r="E942" i="36"/>
  <c r="E943" i="36"/>
  <c r="E944" i="36"/>
  <c r="E945" i="36"/>
  <c r="E946" i="36"/>
  <c r="E963" i="36"/>
  <c r="E968" i="36"/>
  <c r="E970" i="36"/>
  <c r="E971" i="36"/>
  <c r="E973" i="36"/>
  <c r="E977" i="36"/>
  <c r="E1637" i="36"/>
  <c r="E1584" i="36"/>
  <c r="E1511" i="36"/>
  <c r="E1668" i="36"/>
  <c r="E1638" i="36"/>
  <c r="E1585" i="36"/>
  <c r="E2199" i="36"/>
  <c r="E1983" i="36"/>
  <c r="E1172" i="36"/>
  <c r="E1513" i="36"/>
  <c r="E1515" i="36"/>
  <c r="E2151" i="36"/>
  <c r="E1192" i="36"/>
  <c r="E1320" i="36"/>
  <c r="E1278" i="36"/>
  <c r="E1203" i="36"/>
  <c r="E1068" i="36"/>
  <c r="E1959" i="36"/>
  <c r="E1726" i="36"/>
  <c r="E1461" i="36"/>
  <c r="E1341" i="36"/>
  <c r="E1299" i="36"/>
  <c r="E1070" i="36"/>
  <c r="E1961" i="36"/>
  <c r="E1852" i="36"/>
  <c r="E1728" i="36"/>
  <c r="E1463" i="36"/>
  <c r="E1343" i="36"/>
  <c r="E1301" i="36"/>
  <c r="E1156" i="36"/>
  <c r="E1072" i="36"/>
  <c r="E1963" i="36"/>
  <c r="E1854" i="36"/>
  <c r="E1730" i="36"/>
  <c r="E1465" i="36"/>
  <c r="E1345" i="36"/>
  <c r="E1303" i="36"/>
  <c r="E1158" i="36"/>
  <c r="E1074" i="36"/>
  <c r="E1965" i="36"/>
  <c r="E1839" i="36"/>
  <c r="E1467" i="36"/>
  <c r="E1076" i="36"/>
  <c r="E1967" i="36"/>
  <c r="E1841" i="36"/>
  <c r="E1469" i="36"/>
  <c r="E1078" i="36"/>
  <c r="E1969" i="36"/>
  <c r="E1843" i="36"/>
  <c r="E1471" i="36"/>
  <c r="E1080" i="36"/>
  <c r="E2282" i="36"/>
  <c r="E2262" i="36"/>
  <c r="E2240" i="36"/>
  <c r="E2194" i="36"/>
  <c r="E2114" i="36"/>
  <c r="E2050" i="36"/>
  <c r="E1971" i="36"/>
  <c r="E1732" i="36"/>
  <c r="E1700" i="36"/>
  <c r="E1647" i="36"/>
  <c r="E1575" i="36"/>
  <c r="E1553" i="36"/>
  <c r="E1473" i="36"/>
  <c r="E1347" i="36"/>
  <c r="E1305" i="36"/>
  <c r="E1206" i="36"/>
  <c r="E1160" i="36"/>
  <c r="E1082" i="36"/>
  <c r="E2285" i="36"/>
  <c r="E2265" i="36"/>
  <c r="E2243" i="36"/>
  <c r="E2116" i="36"/>
  <c r="E2053" i="36"/>
  <c r="E1974" i="36"/>
  <c r="E1858" i="36"/>
  <c r="E1735" i="36"/>
  <c r="E1578" i="36"/>
  <c r="E1556" i="36"/>
  <c r="E1541" i="36"/>
  <c r="E1476" i="36"/>
  <c r="E1350" i="36"/>
  <c r="E1308" i="36"/>
  <c r="E1209" i="36"/>
  <c r="E1163" i="36"/>
  <c r="E1138" i="36"/>
  <c r="E1085" i="36"/>
  <c r="E2288" i="36"/>
  <c r="E2268" i="36"/>
  <c r="E2246" i="36"/>
  <c r="E2225" i="36"/>
  <c r="E2219" i="36"/>
  <c r="E2196" i="36"/>
  <c r="E2056" i="36"/>
  <c r="E1977" i="36"/>
  <c r="E1860" i="36"/>
  <c r="E1738" i="36"/>
  <c r="E1605" i="36"/>
  <c r="E1581" i="36"/>
  <c r="E1559" i="36"/>
  <c r="E1544" i="36"/>
  <c r="E1479" i="36"/>
  <c r="E1353" i="36"/>
  <c r="E1311" i="36"/>
  <c r="E1166" i="36"/>
  <c r="E1139" i="36"/>
  <c r="E1089" i="36"/>
  <c r="E991" i="36"/>
  <c r="E1861" i="36"/>
  <c r="E1740" i="36"/>
  <c r="E1480" i="36"/>
  <c r="E1354" i="36"/>
  <c r="E1312" i="36"/>
  <c r="E1168" i="36"/>
  <c r="E1140" i="36"/>
  <c r="E1090" i="36"/>
  <c r="E2289" i="36"/>
  <c r="E2247" i="36"/>
  <c r="E2140" i="36"/>
  <c r="E2269" i="36"/>
  <c r="E2227" i="36"/>
  <c r="E2179" i="36"/>
  <c r="E1561" i="36"/>
  <c r="E2299" i="36"/>
  <c r="E1563" i="36"/>
  <c r="E2290" i="36"/>
  <c r="E2270" i="36"/>
  <c r="E2248" i="36"/>
  <c r="E2228" i="36"/>
  <c r="E2142" i="36"/>
  <c r="E1481" i="36"/>
  <c r="E2292" i="36"/>
  <c r="E2272" i="36"/>
  <c r="E2250" i="36"/>
  <c r="E2230" i="36"/>
  <c r="E2144" i="36"/>
  <c r="E1483" i="36"/>
  <c r="E2294" i="36"/>
  <c r="E2274" i="36"/>
  <c r="E2252" i="36"/>
  <c r="E2232" i="36"/>
  <c r="E2146" i="36"/>
  <c r="E1485" i="36"/>
  <c r="C117" i="29"/>
  <c r="G110" i="29"/>
  <c r="G83" i="29"/>
  <c r="G82" i="29"/>
  <c r="G81" i="29"/>
  <c r="G79" i="29"/>
  <c r="G78" i="29"/>
  <c r="G77" i="29"/>
  <c r="G73" i="29"/>
  <c r="G72" i="29"/>
  <c r="G37" i="29"/>
  <c r="G35" i="29"/>
  <c r="G34" i="29"/>
  <c r="G27" i="29"/>
  <c r="G25" i="29"/>
  <c r="G24" i="29"/>
  <c r="G18" i="29"/>
  <c r="G17" i="29"/>
  <c r="G16" i="29"/>
  <c r="G15" i="29"/>
  <c r="G111" i="29" l="1"/>
  <c r="G74" i="29"/>
  <c r="G96" i="29"/>
  <c r="E2203" i="36"/>
  <c r="E1027" i="36"/>
  <c r="E1418" i="36"/>
  <c r="E1939" i="36"/>
  <c r="E1413" i="36"/>
  <c r="E1023" i="36"/>
  <c r="E1410" i="36"/>
  <c r="E1935" i="36"/>
  <c r="E1405" i="36"/>
  <c r="E1017" i="36"/>
  <c r="E1397" i="36"/>
  <c r="E1399" i="36"/>
  <c r="E1603" i="36"/>
  <c r="E1815" i="36"/>
  <c r="E1930" i="36"/>
  <c r="E1393" i="36"/>
  <c r="E1601" i="36"/>
  <c r="E1927" i="36"/>
  <c r="E1389" i="36"/>
  <c r="E1599" i="36"/>
  <c r="E1385" i="36"/>
  <c r="E1597" i="36"/>
  <c r="E898" i="36"/>
  <c r="E894" i="36"/>
  <c r="E890" i="36"/>
  <c r="E886" i="36"/>
  <c r="E785" i="36"/>
  <c r="E629" i="36"/>
  <c r="E627" i="36"/>
  <c r="E625" i="36"/>
  <c r="E623" i="36"/>
  <c r="E621" i="36"/>
  <c r="E619" i="36"/>
  <c r="E617" i="36"/>
  <c r="E615" i="36"/>
  <c r="E494" i="36"/>
  <c r="E492" i="36"/>
  <c r="E490" i="36"/>
  <c r="E488" i="36"/>
  <c r="E486" i="36"/>
  <c r="E484" i="36"/>
  <c r="E482" i="36"/>
  <c r="E480" i="36"/>
  <c r="E478" i="36"/>
  <c r="E133" i="36"/>
  <c r="E131" i="36"/>
  <c r="E129" i="36"/>
  <c r="E127" i="36"/>
  <c r="E1415" i="36"/>
  <c r="E1938" i="36"/>
  <c r="E1411" i="36"/>
  <c r="E1022" i="36"/>
  <c r="E1408" i="36"/>
  <c r="E1934" i="36"/>
  <c r="E1020" i="36"/>
  <c r="E1402" i="36"/>
  <c r="E1404" i="36"/>
  <c r="E1816" i="36"/>
  <c r="E1931" i="36"/>
  <c r="E1016" i="36"/>
  <c r="E1396" i="36"/>
  <c r="E1813" i="36"/>
  <c r="E1014" i="36"/>
  <c r="E1392" i="36"/>
  <c r="E1012" i="36"/>
  <c r="E1388" i="36"/>
  <c r="E1926" i="36"/>
  <c r="E1383" i="36"/>
  <c r="E1596" i="36"/>
  <c r="E899" i="36"/>
  <c r="E895" i="36"/>
  <c r="E891" i="36"/>
  <c r="E887" i="36"/>
  <c r="E588" i="36"/>
  <c r="E824" i="36"/>
  <c r="E589" i="36"/>
  <c r="E2166" i="36"/>
  <c r="E476" i="36"/>
  <c r="D2203" i="36"/>
  <c r="D2112" i="36"/>
  <c r="D2064" i="36"/>
  <c r="D1939" i="36"/>
  <c r="D1937" i="36"/>
  <c r="D1935" i="36"/>
  <c r="D1933" i="36"/>
  <c r="D1931" i="36"/>
  <c r="D1929" i="36"/>
  <c r="D1927" i="36"/>
  <c r="D1925" i="36"/>
  <c r="D1866" i="36"/>
  <c r="D1865" i="36"/>
  <c r="D1864" i="36"/>
  <c r="D1863" i="36"/>
  <c r="D1819" i="36"/>
  <c r="D1817" i="36"/>
  <c r="D1815" i="36"/>
  <c r="D1813" i="36"/>
  <c r="D1602" i="36"/>
  <c r="D1600" i="36"/>
  <c r="D1598" i="36"/>
  <c r="D1596" i="36"/>
  <c r="E1552" i="36"/>
  <c r="E1551" i="36"/>
  <c r="E1550" i="36"/>
  <c r="D1418" i="36"/>
  <c r="D1416" i="36"/>
  <c r="D1414" i="36"/>
  <c r="D1412" i="36"/>
  <c r="D1410" i="36"/>
  <c r="D1408" i="36"/>
  <c r="D1406" i="36"/>
  <c r="D1404" i="36"/>
  <c r="D1402" i="36"/>
  <c r="D1400" i="36"/>
  <c r="D1398" i="36"/>
  <c r="D1396" i="36"/>
  <c r="D1394" i="36"/>
  <c r="D1392" i="36"/>
  <c r="D1390" i="36"/>
  <c r="D1388" i="36"/>
  <c r="D1386" i="36"/>
  <c r="D1384" i="36"/>
  <c r="E1118" i="36"/>
  <c r="D1026" i="36"/>
  <c r="D1024" i="36"/>
  <c r="D1022" i="36"/>
  <c r="D1020" i="36"/>
  <c r="D1018" i="36"/>
  <c r="D1016" i="36"/>
  <c r="D1014" i="36"/>
  <c r="D1012" i="36"/>
  <c r="D1010" i="36"/>
  <c r="D900" i="36"/>
  <c r="D898" i="36"/>
  <c r="D896" i="36"/>
  <c r="D894" i="36"/>
  <c r="D892" i="36"/>
  <c r="D890" i="36"/>
  <c r="D888" i="36"/>
  <c r="D886" i="36"/>
  <c r="D824" i="36"/>
  <c r="E789" i="36"/>
  <c r="E788" i="36"/>
  <c r="E787" i="36"/>
  <c r="D785" i="36"/>
  <c r="D631" i="36"/>
  <c r="D629" i="36"/>
  <c r="D627" i="36"/>
  <c r="D625" i="36"/>
  <c r="D623" i="36"/>
  <c r="D621" i="36"/>
  <c r="D619" i="36"/>
  <c r="D617" i="36"/>
  <c r="D615" i="36"/>
  <c r="D588" i="36"/>
  <c r="D493" i="36"/>
  <c r="D491" i="36"/>
  <c r="D489" i="36"/>
  <c r="D487" i="36"/>
  <c r="D485" i="36"/>
  <c r="D483" i="36"/>
  <c r="D481" i="36"/>
  <c r="D479" i="36"/>
  <c r="D477" i="36"/>
  <c r="D303" i="36"/>
  <c r="D133" i="36"/>
  <c r="D131" i="36"/>
  <c r="D129" i="36"/>
  <c r="D127" i="36"/>
  <c r="E56" i="36"/>
  <c r="E55" i="36"/>
  <c r="E54" i="36"/>
  <c r="D2166" i="36"/>
  <c r="D1938" i="36"/>
  <c r="D1936" i="36"/>
  <c r="D1934" i="36"/>
  <c r="D1932" i="36"/>
  <c r="D1930" i="36"/>
  <c r="D1928" i="36"/>
  <c r="D1926" i="36"/>
  <c r="D1924" i="36"/>
  <c r="E1866" i="36"/>
  <c r="E1865" i="36"/>
  <c r="E1864" i="36"/>
  <c r="E1863" i="36"/>
  <c r="D1818" i="36"/>
  <c r="D1816" i="36"/>
  <c r="D1814" i="36"/>
  <c r="D1812" i="36"/>
  <c r="D1603" i="36"/>
  <c r="D1601" i="36"/>
  <c r="D1599" i="36"/>
  <c r="D1597" i="36"/>
  <c r="D1552" i="36"/>
  <c r="D1551" i="36"/>
  <c r="D1550" i="36"/>
  <c r="D1417" i="36"/>
  <c r="D1415" i="36"/>
  <c r="D1413" i="36"/>
  <c r="D1411" i="36"/>
  <c r="D1409" i="36"/>
  <c r="D1407" i="36"/>
  <c r="D1405" i="36"/>
  <c r="D1403" i="36"/>
  <c r="D1401" i="36"/>
  <c r="D1399" i="36"/>
  <c r="D1397" i="36"/>
  <c r="D1395" i="36"/>
  <c r="D1393" i="36"/>
  <c r="D1391" i="36"/>
  <c r="D1389" i="36"/>
  <c r="D1387" i="36"/>
  <c r="D1385" i="36"/>
  <c r="D1383" i="36"/>
  <c r="D1217" i="36"/>
  <c r="D1118" i="36"/>
  <c r="D1027" i="36"/>
  <c r="D1025" i="36"/>
  <c r="D1023" i="36"/>
  <c r="D1021" i="36"/>
  <c r="D1019" i="36"/>
  <c r="D1017" i="36"/>
  <c r="D1015" i="36"/>
  <c r="D1013" i="36"/>
  <c r="D1011" i="36"/>
  <c r="D899" i="36"/>
  <c r="D897" i="36"/>
  <c r="D895" i="36"/>
  <c r="D893" i="36"/>
  <c r="D891" i="36"/>
  <c r="D889" i="36"/>
  <c r="D887" i="36"/>
  <c r="D789" i="36"/>
  <c r="D788" i="36"/>
  <c r="D787" i="36"/>
  <c r="D784" i="36"/>
  <c r="D630" i="36"/>
  <c r="D628" i="36"/>
  <c r="D626" i="36"/>
  <c r="D624" i="36"/>
  <c r="D622" i="36"/>
  <c r="D620" i="36"/>
  <c r="D618" i="36"/>
  <c r="D616" i="36"/>
  <c r="D614" i="36"/>
  <c r="D589" i="36"/>
  <c r="D587" i="36"/>
  <c r="D494" i="36"/>
  <c r="D492" i="36"/>
  <c r="D490" i="36"/>
  <c r="D488" i="36"/>
  <c r="D486" i="36"/>
  <c r="D484" i="36"/>
  <c r="D482" i="36"/>
  <c r="D480" i="36"/>
  <c r="D478" i="36"/>
  <c r="D134" i="36"/>
  <c r="D132" i="36"/>
  <c r="D130" i="36"/>
  <c r="D128" i="36"/>
  <c r="D56" i="36"/>
  <c r="D55" i="36"/>
  <c r="D54" i="36"/>
  <c r="E1417" i="36"/>
  <c r="E1819" i="36"/>
  <c r="E1025" i="36"/>
  <c r="E1414" i="36"/>
  <c r="E1937" i="36"/>
  <c r="E1409" i="36"/>
  <c r="E1021" i="36"/>
  <c r="E1406" i="36"/>
  <c r="E1933" i="36"/>
  <c r="E1018" i="36"/>
  <c r="E1398" i="36"/>
  <c r="E1400" i="36"/>
  <c r="E1814" i="36"/>
  <c r="E1929" i="36"/>
  <c r="E1015" i="36"/>
  <c r="E1394" i="36"/>
  <c r="E1812" i="36"/>
  <c r="E1013" i="36"/>
  <c r="E1390" i="36"/>
  <c r="E1011" i="36"/>
  <c r="E1386" i="36"/>
  <c r="E1925" i="36"/>
  <c r="E900" i="36"/>
  <c r="E896" i="36"/>
  <c r="E892" i="36"/>
  <c r="E888" i="36"/>
  <c r="E784" i="36"/>
  <c r="E630" i="36"/>
  <c r="E628" i="36"/>
  <c r="E626" i="36"/>
  <c r="E624" i="36"/>
  <c r="E622" i="36"/>
  <c r="E620" i="36"/>
  <c r="E618" i="36"/>
  <c r="E616" i="36"/>
  <c r="E614" i="36"/>
  <c r="E493" i="36"/>
  <c r="E491" i="36"/>
  <c r="E489" i="36"/>
  <c r="E487" i="36"/>
  <c r="E485" i="36"/>
  <c r="E483" i="36"/>
  <c r="E481" i="36"/>
  <c r="E479" i="36"/>
  <c r="E477" i="36"/>
  <c r="E134" i="36"/>
  <c r="E132" i="36"/>
  <c r="E130" i="36"/>
  <c r="E128" i="36"/>
  <c r="E1026" i="36"/>
  <c r="E1416" i="36"/>
  <c r="E1818" i="36"/>
  <c r="E1024" i="36"/>
  <c r="E1412" i="36"/>
  <c r="E1936" i="36"/>
  <c r="E1407" i="36"/>
  <c r="E1019" i="36"/>
  <c r="E1401" i="36"/>
  <c r="E1403" i="36"/>
  <c r="E1817" i="36"/>
  <c r="E1932" i="36"/>
  <c r="E1395" i="36"/>
  <c r="E1602" i="36"/>
  <c r="E1928" i="36"/>
  <c r="E1391" i="36"/>
  <c r="E1600" i="36"/>
  <c r="E1387" i="36"/>
  <c r="E1598" i="36"/>
  <c r="E1010" i="36"/>
  <c r="E1384" i="36"/>
  <c r="E1924" i="36"/>
  <c r="E631" i="36"/>
  <c r="E897" i="36"/>
  <c r="E893" i="36"/>
  <c r="E889" i="36"/>
  <c r="E2064" i="36"/>
  <c r="E303" i="36"/>
  <c r="E1217" i="36"/>
  <c r="E587" i="36"/>
  <c r="E2112" i="36"/>
  <c r="E1182" i="36"/>
  <c r="E1919" i="36"/>
  <c r="E2163" i="36"/>
  <c r="E1915" i="36"/>
  <c r="E859" i="36"/>
  <c r="E578" i="36"/>
  <c r="E382" i="36"/>
  <c r="E230" i="36"/>
  <c r="E203" i="36"/>
  <c r="E126" i="36"/>
  <c r="E51" i="36"/>
  <c r="E27" i="36"/>
  <c r="E1918" i="36"/>
  <c r="E1914" i="36"/>
  <c r="E2028" i="36"/>
  <c r="E1267" i="36"/>
  <c r="E2207" i="36"/>
  <c r="E1920" i="36"/>
  <c r="E883" i="36"/>
  <c r="E2202" i="36"/>
  <c r="E860" i="36"/>
  <c r="E1747" i="36"/>
  <c r="E866" i="36"/>
  <c r="D2207" i="36"/>
  <c r="D2202" i="36"/>
  <c r="E2165" i="36"/>
  <c r="E2164" i="36"/>
  <c r="D2163" i="36"/>
  <c r="D2084" i="36"/>
  <c r="D2083" i="36"/>
  <c r="D2082" i="36"/>
  <c r="D2041" i="36"/>
  <c r="E2006" i="36"/>
  <c r="E1997" i="36"/>
  <c r="E2339" i="36"/>
  <c r="E1996" i="36"/>
  <c r="D1920" i="36"/>
  <c r="D1918" i="36"/>
  <c r="D1916" i="36"/>
  <c r="D1914" i="36"/>
  <c r="E1875" i="36"/>
  <c r="D1797" i="36"/>
  <c r="D1786" i="36"/>
  <c r="D1766" i="36"/>
  <c r="E1752" i="36"/>
  <c r="D1267" i="36"/>
  <c r="E1225" i="36"/>
  <c r="D1216" i="36"/>
  <c r="D1185" i="36"/>
  <c r="D1184" i="36"/>
  <c r="D1182" i="36"/>
  <c r="D1117" i="36"/>
  <c r="D1116" i="36"/>
  <c r="D883" i="36"/>
  <c r="D862" i="36"/>
  <c r="D861" i="36"/>
  <c r="D859" i="36"/>
  <c r="D823" i="36"/>
  <c r="E743" i="36"/>
  <c r="E742" i="36"/>
  <c r="D581" i="36"/>
  <c r="D580" i="36"/>
  <c r="D578" i="36"/>
  <c r="D386" i="36"/>
  <c r="D385" i="36"/>
  <c r="D384" i="36"/>
  <c r="D382" i="36"/>
  <c r="D318" i="36"/>
  <c r="D295" i="36"/>
  <c r="E259" i="36"/>
  <c r="E257" i="36"/>
  <c r="E256" i="36"/>
  <c r="E233" i="36"/>
  <c r="E232" i="36"/>
  <c r="D231" i="36"/>
  <c r="D207" i="36"/>
  <c r="D206" i="36"/>
  <c r="D205" i="36"/>
  <c r="D203" i="36"/>
  <c r="D201" i="36"/>
  <c r="D191" i="36"/>
  <c r="D190" i="36"/>
  <c r="D188" i="36"/>
  <c r="D126" i="36"/>
  <c r="E53" i="36"/>
  <c r="E52" i="36"/>
  <c r="D51" i="36"/>
  <c r="D30" i="36"/>
  <c r="D29" i="36"/>
  <c r="D28" i="36"/>
  <c r="D26" i="36"/>
  <c r="D1747" i="36"/>
  <c r="D2165" i="36"/>
  <c r="D2164" i="36"/>
  <c r="D2162" i="36"/>
  <c r="E2084" i="36"/>
  <c r="E2083" i="36"/>
  <c r="E2082" i="36"/>
  <c r="D2040" i="36"/>
  <c r="D2028" i="36"/>
  <c r="D2006" i="36"/>
  <c r="D1997" i="36"/>
  <c r="D2339" i="36"/>
  <c r="D1996" i="36"/>
  <c r="D1919" i="36"/>
  <c r="D1917" i="36"/>
  <c r="D1915" i="36"/>
  <c r="D1887" i="36"/>
  <c r="D1875" i="36"/>
  <c r="E1797" i="36"/>
  <c r="E1786" i="36"/>
  <c r="D1767" i="36"/>
  <c r="D1765" i="36"/>
  <c r="D1752" i="36"/>
  <c r="D1225" i="36"/>
  <c r="E1216" i="36"/>
  <c r="E1185" i="36"/>
  <c r="E1184" i="36"/>
  <c r="D1183" i="36"/>
  <c r="E1117" i="36"/>
  <c r="E1116" i="36"/>
  <c r="E862" i="36"/>
  <c r="E861" i="36"/>
  <c r="D860" i="36"/>
  <c r="D743" i="36"/>
  <c r="D742" i="36"/>
  <c r="D695" i="36"/>
  <c r="E581" i="36"/>
  <c r="E580" i="36"/>
  <c r="D579" i="36"/>
  <c r="E386" i="36"/>
  <c r="E385" i="36"/>
  <c r="E384" i="36"/>
  <c r="D383" i="36"/>
  <c r="E318" i="36"/>
  <c r="D259" i="36"/>
  <c r="D257" i="36"/>
  <c r="D256" i="36"/>
  <c r="D233" i="36"/>
  <c r="D232" i="36"/>
  <c r="D230" i="36"/>
  <c r="E207" i="36"/>
  <c r="E206" i="36"/>
  <c r="E205" i="36"/>
  <c r="D204" i="36"/>
  <c r="E201" i="36"/>
  <c r="E190" i="36"/>
  <c r="E188" i="36"/>
  <c r="D53" i="36"/>
  <c r="D52" i="36"/>
  <c r="D50" i="36"/>
  <c r="D31" i="36"/>
  <c r="E29" i="36"/>
  <c r="E28" i="36"/>
  <c r="D27" i="36"/>
  <c r="E1183" i="36"/>
  <c r="E2162" i="36"/>
  <c r="E1766" i="36"/>
  <c r="E823" i="36"/>
  <c r="E695" i="36"/>
  <c r="E579" i="36"/>
  <c r="E383" i="36"/>
  <c r="E231" i="36"/>
  <c r="E204" i="36"/>
  <c r="E50" i="36"/>
  <c r="E30" i="36"/>
  <c r="E26" i="36"/>
  <c r="E1765" i="36"/>
  <c r="E1767" i="36"/>
  <c r="E2040" i="36"/>
  <c r="E1887" i="36"/>
  <c r="E31" i="36"/>
  <c r="E1916" i="36"/>
  <c r="E295" i="36"/>
  <c r="E191" i="36"/>
  <c r="E1917" i="36"/>
  <c r="E2041" i="36"/>
  <c r="E1008" i="36"/>
  <c r="E1379" i="36"/>
  <c r="E1381" i="36"/>
  <c r="E1594" i="36"/>
  <c r="E1810" i="36"/>
  <c r="E1922" i="36"/>
  <c r="E884" i="36"/>
  <c r="E613" i="36"/>
  <c r="E2315" i="36"/>
  <c r="D2008" i="36"/>
  <c r="D2000" i="36"/>
  <c r="D1998" i="36"/>
  <c r="D1990" i="36"/>
  <c r="D1922" i="36"/>
  <c r="D1810" i="36"/>
  <c r="D1594" i="36"/>
  <c r="D1382" i="36"/>
  <c r="D1380" i="36"/>
  <c r="D1257" i="36"/>
  <c r="D1009" i="36"/>
  <c r="D884" i="36"/>
  <c r="D612" i="36"/>
  <c r="D476" i="36"/>
  <c r="E2008" i="36"/>
  <c r="E2000" i="36"/>
  <c r="E1998" i="36"/>
  <c r="E1990" i="36"/>
  <c r="D1923" i="36"/>
  <c r="D1811" i="36"/>
  <c r="D1595" i="36"/>
  <c r="D1381" i="36"/>
  <c r="D1379" i="36"/>
  <c r="E1257" i="36"/>
  <c r="D1008" i="36"/>
  <c r="D885" i="36"/>
  <c r="D613" i="36"/>
  <c r="D475" i="36"/>
  <c r="E1009" i="36"/>
  <c r="E1380" i="36"/>
  <c r="E1382" i="36"/>
  <c r="E1595" i="36"/>
  <c r="E1811" i="36"/>
  <c r="E1923" i="36"/>
  <c r="E612" i="36"/>
  <c r="E475" i="36"/>
  <c r="E885" i="36"/>
  <c r="E1892" i="36"/>
  <c r="E2322" i="36"/>
  <c r="E984" i="36"/>
  <c r="D2323" i="36"/>
  <c r="D2316" i="36"/>
  <c r="E2010" i="36"/>
  <c r="E1989" i="36"/>
  <c r="D1891" i="36"/>
  <c r="D1252" i="36"/>
  <c r="D984" i="36"/>
  <c r="D2322" i="36"/>
  <c r="D2315" i="36"/>
  <c r="D2010" i="36"/>
  <c r="D1989" i="36"/>
  <c r="D1892" i="36"/>
  <c r="E1252" i="36"/>
  <c r="D985" i="36"/>
  <c r="E2323" i="36"/>
  <c r="E1891" i="36"/>
  <c r="E2316" i="36"/>
  <c r="E985" i="36"/>
  <c r="E1781" i="36"/>
  <c r="E453" i="36"/>
  <c r="E1782" i="36"/>
  <c r="E181" i="36"/>
  <c r="E229" i="36"/>
  <c r="E180" i="36"/>
  <c r="E310" i="36"/>
  <c r="D1980" i="36"/>
  <c r="D1794" i="36"/>
  <c r="D1783" i="36"/>
  <c r="D1781" i="36"/>
  <c r="D1754" i="36"/>
  <c r="D867" i="36"/>
  <c r="E740" i="36"/>
  <c r="D458" i="36"/>
  <c r="D381" i="36"/>
  <c r="D296" i="36"/>
  <c r="D202" i="36"/>
  <c r="D181" i="36"/>
  <c r="D25" i="36"/>
  <c r="D1793" i="36"/>
  <c r="D1782" i="36"/>
  <c r="D1753" i="36"/>
  <c r="D1549" i="36"/>
  <c r="D866" i="36"/>
  <c r="D741" i="36"/>
  <c r="D740" i="36"/>
  <c r="D453" i="36"/>
  <c r="D310" i="36"/>
  <c r="D229" i="36"/>
  <c r="D180" i="36"/>
  <c r="E1753" i="36"/>
  <c r="E1793" i="36"/>
  <c r="E296" i="36"/>
  <c r="E202" i="36"/>
  <c r="E1754" i="36"/>
  <c r="E1794" i="36"/>
  <c r="E1549" i="36"/>
  <c r="E867" i="36"/>
  <c r="E25" i="36"/>
  <c r="E458" i="36"/>
  <c r="E381" i="36"/>
  <c r="E2014" i="36"/>
  <c r="E2013" i="36"/>
  <c r="E2012" i="36"/>
  <c r="D2014" i="36"/>
  <c r="D2013" i="36"/>
  <c r="D2012" i="36"/>
  <c r="E1792" i="36"/>
  <c r="E1780" i="36"/>
  <c r="D1792" i="36"/>
  <c r="D1780" i="36"/>
  <c r="D1214" i="36"/>
  <c r="D1103" i="36"/>
  <c r="E1214" i="36"/>
  <c r="E1103" i="36"/>
  <c r="D835" i="36"/>
  <c r="E835" i="36"/>
  <c r="E10" i="29"/>
  <c r="E9" i="29"/>
  <c r="E8" i="29"/>
  <c r="E7" i="29"/>
  <c r="D10" i="29"/>
  <c r="D9" i="29"/>
  <c r="D8" i="29"/>
  <c r="D7" i="29"/>
  <c r="G16" i="34"/>
  <c r="F16" i="34"/>
  <c r="G14" i="34"/>
  <c r="F14" i="34"/>
  <c r="G12" i="34"/>
  <c r="F12" i="34"/>
  <c r="G11" i="34"/>
  <c r="F11" i="34"/>
  <c r="G8" i="34"/>
  <c r="F8" i="34"/>
  <c r="G7" i="34"/>
  <c r="F7" i="34"/>
  <c r="G112" i="29" l="1"/>
  <c r="G115" i="29" s="1"/>
  <c r="E741" i="36"/>
  <c r="G1437" i="34"/>
  <c r="F1437" i="34"/>
  <c r="G1435" i="34"/>
  <c r="F1435" i="34"/>
  <c r="G1434" i="34"/>
  <c r="F1434" i="34"/>
  <c r="G1433" i="34"/>
  <c r="F1433" i="34"/>
  <c r="G1360" i="34"/>
  <c r="F1360" i="34"/>
  <c r="G1358" i="34"/>
  <c r="F1358" i="34"/>
  <c r="G1357" i="34"/>
  <c r="F1357" i="34"/>
  <c r="G1356" i="34"/>
  <c r="F1356" i="34"/>
  <c r="G1287" i="34"/>
  <c r="F1287" i="34"/>
  <c r="G1285" i="34"/>
  <c r="F1285" i="34"/>
  <c r="G1284" i="34"/>
  <c r="F1284" i="34"/>
  <c r="G1283" i="34"/>
  <c r="F1283" i="34"/>
  <c r="G1276" i="34"/>
  <c r="F1276" i="34"/>
  <c r="G1274" i="34"/>
  <c r="F1274" i="34"/>
  <c r="G1273" i="34"/>
  <c r="F1273" i="34"/>
  <c r="G1272" i="34"/>
  <c r="F1272" i="34"/>
  <c r="G1212" i="34"/>
  <c r="F1212" i="34"/>
  <c r="G1210" i="34"/>
  <c r="F1210" i="34"/>
  <c r="G1209" i="34"/>
  <c r="F1209" i="34"/>
  <c r="G1208" i="34"/>
  <c r="F1208" i="34"/>
  <c r="G1126" i="34"/>
  <c r="F1126" i="34"/>
  <c r="G1124" i="34"/>
  <c r="F1124" i="34"/>
  <c r="G1123" i="34"/>
  <c r="F1123" i="34"/>
  <c r="G1122" i="34"/>
  <c r="F1122" i="34"/>
  <c r="G1078" i="34"/>
  <c r="F1078" i="34"/>
  <c r="G1076" i="34"/>
  <c r="F1076" i="34"/>
  <c r="G1075" i="34"/>
  <c r="F1075" i="34"/>
  <c r="G1074" i="34"/>
  <c r="F1074" i="34"/>
  <c r="G1052" i="34"/>
  <c r="F1052" i="34"/>
  <c r="G1050" i="34"/>
  <c r="F1050" i="34"/>
  <c r="G1049" i="34"/>
  <c r="F1049" i="34"/>
  <c r="G1048" i="34"/>
  <c r="F1048" i="34"/>
  <c r="G1037" i="34"/>
  <c r="F1037" i="34"/>
  <c r="G1035" i="34"/>
  <c r="F1035" i="34"/>
  <c r="G1034" i="34"/>
  <c r="F1034" i="34"/>
  <c r="G1033" i="34"/>
  <c r="F1033" i="34"/>
  <c r="G939" i="34"/>
  <c r="F939" i="34"/>
  <c r="G937" i="34"/>
  <c r="F937" i="34"/>
  <c r="G936" i="34"/>
  <c r="F936" i="34"/>
  <c r="G935" i="34"/>
  <c r="F935" i="34"/>
  <c r="G927" i="34"/>
  <c r="F927" i="34"/>
  <c r="G925" i="34"/>
  <c r="F925" i="34"/>
  <c r="G924" i="34"/>
  <c r="F924" i="34"/>
  <c r="G923" i="34"/>
  <c r="F923" i="34"/>
  <c r="G869" i="34"/>
  <c r="F869" i="34"/>
  <c r="G867" i="34"/>
  <c r="F867" i="34"/>
  <c r="G866" i="34"/>
  <c r="F866" i="34"/>
  <c r="G865" i="34"/>
  <c r="F865" i="34"/>
  <c r="G843" i="34"/>
  <c r="F843" i="34"/>
  <c r="G841" i="34"/>
  <c r="F841" i="34"/>
  <c r="G840" i="34"/>
  <c r="F840" i="34"/>
  <c r="G839" i="34"/>
  <c r="F839" i="34"/>
  <c r="G809" i="34"/>
  <c r="F809" i="34"/>
  <c r="G807" i="34"/>
  <c r="F807" i="34"/>
  <c r="G806" i="34"/>
  <c r="F806" i="34"/>
  <c r="G805" i="34"/>
  <c r="F805" i="34"/>
  <c r="G785" i="34"/>
  <c r="F785" i="34"/>
  <c r="G783" i="34"/>
  <c r="F783" i="34"/>
  <c r="G782" i="34"/>
  <c r="F782" i="34"/>
  <c r="G781" i="34"/>
  <c r="F781" i="34"/>
  <c r="G755" i="34"/>
  <c r="F755" i="34"/>
  <c r="G753" i="34"/>
  <c r="F753" i="34"/>
  <c r="G752" i="34"/>
  <c r="F752" i="34"/>
  <c r="G751" i="34"/>
  <c r="F751" i="34"/>
  <c r="G731" i="34"/>
  <c r="F731" i="34"/>
  <c r="G729" i="34"/>
  <c r="F729" i="34"/>
  <c r="G728" i="34"/>
  <c r="F728" i="34"/>
  <c r="G727" i="34"/>
  <c r="F727" i="34"/>
  <c r="G698" i="34"/>
  <c r="F698" i="34"/>
  <c r="G696" i="34"/>
  <c r="F696" i="34"/>
  <c r="G695" i="34"/>
  <c r="F695" i="34"/>
  <c r="G694" i="34"/>
  <c r="F694" i="34"/>
  <c r="G662" i="34"/>
  <c r="F662" i="34"/>
  <c r="G660" i="34"/>
  <c r="F660" i="34"/>
  <c r="G659" i="34"/>
  <c r="F659" i="34"/>
  <c r="G658" i="34"/>
  <c r="F658" i="34"/>
  <c r="G629" i="34"/>
  <c r="F629" i="34"/>
  <c r="G627" i="34"/>
  <c r="F627" i="34"/>
  <c r="G626" i="34"/>
  <c r="F626" i="34"/>
  <c r="G625" i="34"/>
  <c r="F625" i="34"/>
  <c r="G611" i="34"/>
  <c r="F611" i="34"/>
  <c r="G609" i="34"/>
  <c r="F609" i="34"/>
  <c r="G608" i="34"/>
  <c r="F608" i="34"/>
  <c r="G607" i="34"/>
  <c r="F607" i="34"/>
  <c r="G547" i="34"/>
  <c r="F547" i="34"/>
  <c r="G545" i="34"/>
  <c r="F545" i="34"/>
  <c r="G544" i="34"/>
  <c r="F544" i="34"/>
  <c r="G543" i="34"/>
  <c r="F543" i="34"/>
  <c r="G450" i="34"/>
  <c r="F450" i="34"/>
  <c r="G448" i="34"/>
  <c r="F448" i="34"/>
  <c r="G447" i="34"/>
  <c r="F447" i="34"/>
  <c r="G446" i="34"/>
  <c r="F446" i="34"/>
  <c r="G414" i="34"/>
  <c r="F414" i="34"/>
  <c r="G412" i="34"/>
  <c r="F412" i="34"/>
  <c r="G411" i="34"/>
  <c r="F411" i="34"/>
  <c r="G410" i="34"/>
  <c r="F410" i="34"/>
  <c r="G376" i="34"/>
  <c r="F376" i="34"/>
  <c r="G374" i="34"/>
  <c r="F374" i="34"/>
  <c r="G373" i="34"/>
  <c r="F373" i="34"/>
  <c r="G372" i="34"/>
  <c r="F372" i="34"/>
  <c r="G282" i="34"/>
  <c r="F282" i="34"/>
  <c r="G280" i="34"/>
  <c r="F280" i="34"/>
  <c r="G279" i="34"/>
  <c r="F279" i="34"/>
  <c r="G278" i="34"/>
  <c r="F278" i="34"/>
  <c r="G236" i="34"/>
  <c r="F236" i="34"/>
  <c r="G245" i="34"/>
  <c r="F245" i="34"/>
  <c r="G244" i="34"/>
  <c r="F244" i="34"/>
  <c r="G242" i="34"/>
  <c r="F242" i="34"/>
  <c r="G241" i="34"/>
  <c r="F241" i="34"/>
  <c r="G240" i="34"/>
  <c r="F240" i="34"/>
  <c r="G71" i="34"/>
  <c r="F71" i="34"/>
  <c r="G70" i="34"/>
  <c r="F70" i="34"/>
  <c r="G69" i="34"/>
  <c r="F69" i="34"/>
  <c r="G73" i="34"/>
  <c r="F73" i="34"/>
  <c r="G67" i="34"/>
  <c r="F67" i="34"/>
  <c r="G66" i="34"/>
  <c r="F66" i="34"/>
  <c r="G65" i="34"/>
  <c r="F65" i="34"/>
  <c r="G64" i="34"/>
  <c r="F64" i="34"/>
  <c r="G63" i="34"/>
  <c r="F63" i="34"/>
  <c r="G62" i="34"/>
  <c r="F62" i="34"/>
  <c r="G60" i="34"/>
  <c r="F60" i="34"/>
  <c r="G59" i="34"/>
  <c r="F59" i="34"/>
  <c r="G58" i="34"/>
  <c r="F58" i="34"/>
  <c r="G57" i="34"/>
  <c r="F57" i="34"/>
  <c r="G56" i="34"/>
  <c r="F56" i="34"/>
  <c r="G55" i="34"/>
  <c r="F55" i="34"/>
  <c r="G54" i="34"/>
  <c r="F54" i="34"/>
  <c r="G53" i="34"/>
  <c r="F53" i="34"/>
  <c r="G52" i="34"/>
  <c r="F52" i="34"/>
  <c r="G51" i="34"/>
  <c r="F51" i="34"/>
  <c r="G50" i="34"/>
  <c r="F50" i="34"/>
  <c r="G49" i="34"/>
  <c r="F49" i="34"/>
  <c r="G48" i="34"/>
  <c r="F48" i="34"/>
  <c r="G47" i="34"/>
  <c r="F47" i="34"/>
  <c r="G46" i="34"/>
  <c r="F46" i="34"/>
  <c r="G45" i="34"/>
  <c r="F45" i="34"/>
  <c r="G44" i="34"/>
  <c r="F44" i="34"/>
  <c r="G43" i="34"/>
  <c r="F43" i="34"/>
  <c r="G42" i="34"/>
  <c r="F42" i="34"/>
  <c r="G41" i="34"/>
  <c r="F41" i="34"/>
  <c r="G40" i="34"/>
  <c r="F40" i="34"/>
  <c r="G39" i="34"/>
  <c r="F39" i="34"/>
  <c r="G38" i="34"/>
  <c r="F38" i="34"/>
  <c r="G37" i="34"/>
  <c r="F37" i="34"/>
  <c r="G36" i="34"/>
  <c r="F36" i="34"/>
  <c r="G35" i="34"/>
  <c r="F35" i="34"/>
  <c r="G34" i="34"/>
  <c r="F34" i="34"/>
  <c r="G33" i="34"/>
  <c r="F33" i="34"/>
  <c r="G32" i="34"/>
  <c r="F32" i="34"/>
  <c r="G31" i="34"/>
  <c r="F31" i="34"/>
  <c r="G30" i="34"/>
  <c r="F30" i="34"/>
  <c r="G29" i="34"/>
  <c r="F29" i="34"/>
  <c r="G28" i="34"/>
  <c r="F28" i="34"/>
  <c r="E1980" i="36" l="1"/>
  <c r="E1783" i="36"/>
  <c r="E807" i="36"/>
  <c r="E264" i="36"/>
  <c r="D807" i="36"/>
  <c r="D265" i="36"/>
  <c r="E808" i="36"/>
  <c r="E394" i="36"/>
  <c r="D394" i="36"/>
  <c r="E767" i="36"/>
  <c r="E2086" i="36"/>
  <c r="D767" i="36"/>
  <c r="D264" i="36"/>
  <c r="E329" i="36"/>
  <c r="D395" i="36"/>
  <c r="D2087" i="36"/>
  <c r="E395" i="36"/>
  <c r="E327" i="36"/>
  <c r="D2086" i="36"/>
  <c r="E392" i="36"/>
  <c r="E1242" i="36"/>
  <c r="D393" i="36"/>
  <c r="E265" i="36"/>
  <c r="E328" i="36"/>
  <c r="D328" i="36"/>
  <c r="D1242" i="36"/>
  <c r="D327" i="36"/>
  <c r="D808" i="36"/>
  <c r="D392" i="36"/>
  <c r="E393" i="36"/>
  <c r="E396" i="36"/>
  <c r="D396" i="36"/>
  <c r="D329" i="36"/>
  <c r="E2087" i="36"/>
  <c r="E2113" i="36"/>
  <c r="E582" i="36"/>
  <c r="E40" i="36"/>
  <c r="E2048" i="36"/>
  <c r="E1699" i="36"/>
  <c r="D1205" i="36"/>
  <c r="D566" i="36"/>
  <c r="D2261" i="36"/>
  <c r="E1855" i="36"/>
  <c r="D1646" i="36"/>
  <c r="D1472" i="36"/>
  <c r="D1186" i="36"/>
  <c r="D965" i="36"/>
  <c r="D591" i="36"/>
  <c r="E1135" i="36"/>
  <c r="E1159" i="36"/>
  <c r="E1574" i="36"/>
  <c r="E936" i="36"/>
  <c r="E965" i="36"/>
  <c r="E591" i="36"/>
  <c r="D2281" i="36"/>
  <c r="D1855" i="36"/>
  <c r="D1081" i="36"/>
  <c r="D542" i="36"/>
  <c r="D39" i="36"/>
  <c r="D2048" i="36"/>
  <c r="D1761" i="36"/>
  <c r="D1346" i="36"/>
  <c r="D990" i="36"/>
  <c r="D582" i="36"/>
  <c r="E1304" i="36"/>
  <c r="E1205" i="36"/>
  <c r="E1731" i="36"/>
  <c r="E566" i="36"/>
  <c r="E990" i="36"/>
  <c r="E1472" i="36"/>
  <c r="E685" i="36"/>
  <c r="E213" i="36"/>
  <c r="D2239" i="36"/>
  <c r="D1970" i="36"/>
  <c r="D936" i="36"/>
  <c r="E158" i="36"/>
  <c r="D2020" i="36"/>
  <c r="D1731" i="36"/>
  <c r="D1574" i="36"/>
  <c r="D1304" i="36"/>
  <c r="D1135" i="36"/>
  <c r="D744" i="36"/>
  <c r="D158" i="36"/>
  <c r="E1346" i="36"/>
  <c r="E2239" i="36"/>
  <c r="E542" i="36"/>
  <c r="E1186" i="36"/>
  <c r="E2261" i="36"/>
  <c r="E39" i="36"/>
  <c r="E2020" i="36"/>
  <c r="E1646" i="36"/>
  <c r="E744" i="36"/>
  <c r="D213" i="36"/>
  <c r="D2113" i="36"/>
  <c r="E1970" i="36"/>
  <c r="D1699" i="36"/>
  <c r="D1159" i="36"/>
  <c r="D685" i="36"/>
  <c r="D40" i="36"/>
  <c r="E1081" i="36"/>
  <c r="E2281" i="36"/>
  <c r="E1761" i="36"/>
  <c r="E2004" i="36"/>
  <c r="E41" i="36"/>
  <c r="D41" i="36"/>
  <c r="D2004" i="36"/>
  <c r="D12" i="29" l="1"/>
  <c r="E325" i="36" l="1"/>
  <c r="E326" i="36"/>
  <c r="D326" i="36"/>
  <c r="E263" i="36"/>
  <c r="D263" i="36"/>
  <c r="D304" i="36"/>
  <c r="D388" i="36"/>
  <c r="D323" i="36"/>
  <c r="E388" i="36"/>
  <c r="D325" i="36"/>
  <c r="E324" i="36"/>
  <c r="D324" i="36"/>
  <c r="D389" i="36"/>
  <c r="E304" i="36"/>
  <c r="E389" i="36"/>
  <c r="E1748" i="36"/>
  <c r="D1748" i="36"/>
  <c r="E323" i="36"/>
  <c r="D1698" i="36"/>
  <c r="E1698" i="36"/>
  <c r="D2338" i="36"/>
  <c r="E2338" i="36"/>
  <c r="D1749" i="36"/>
  <c r="E1749" i="36"/>
  <c r="D1235" i="36"/>
  <c r="E1235" i="36"/>
  <c r="E1249" i="36"/>
  <c r="D766" i="36"/>
  <c r="D320" i="36"/>
  <c r="D260" i="36"/>
  <c r="E766" i="36"/>
  <c r="E320" i="36"/>
  <c r="E260" i="36"/>
  <c r="D1249" i="36"/>
  <c r="D806" i="36"/>
  <c r="D390" i="36"/>
  <c r="D321" i="36"/>
  <c r="D261" i="36"/>
  <c r="E806" i="36"/>
  <c r="E390" i="36"/>
  <c r="E321" i="36"/>
  <c r="E261" i="36"/>
  <c r="E322" i="36"/>
  <c r="D391" i="36"/>
  <c r="E262" i="36"/>
  <c r="D322" i="36"/>
  <c r="D262" i="36"/>
  <c r="E391" i="36"/>
  <c r="E1823" i="36" l="1"/>
  <c r="E901" i="36"/>
  <c r="E634" i="36"/>
  <c r="E498" i="36"/>
  <c r="E1028" i="36"/>
  <c r="E1420" i="36"/>
  <c r="E1424" i="36"/>
  <c r="E1821" i="36"/>
  <c r="E1942" i="36"/>
  <c r="E635" i="36"/>
  <c r="D1941" i="36"/>
  <c r="D1821" i="36"/>
  <c r="D1424" i="36"/>
  <c r="D1420" i="36"/>
  <c r="D1030" i="36"/>
  <c r="D633" i="36"/>
  <c r="D495" i="36"/>
  <c r="D1942" i="36"/>
  <c r="D1822" i="36"/>
  <c r="D1423" i="36"/>
  <c r="D1419" i="36"/>
  <c r="D1029" i="36"/>
  <c r="D901" i="36"/>
  <c r="D634" i="36"/>
  <c r="D496" i="36"/>
  <c r="D136" i="36"/>
  <c r="E1031" i="36"/>
  <c r="E1943" i="36"/>
  <c r="E902" i="36"/>
  <c r="E633" i="36"/>
  <c r="E497" i="36"/>
  <c r="E1029" i="36"/>
  <c r="E1421" i="36"/>
  <c r="E1822" i="36"/>
  <c r="E1425" i="36"/>
  <c r="E632" i="36"/>
  <c r="E496" i="36"/>
  <c r="E135" i="36"/>
  <c r="E1030" i="36"/>
  <c r="E1422" i="36"/>
  <c r="E1940" i="36"/>
  <c r="D1943" i="36"/>
  <c r="D1823" i="36"/>
  <c r="D1426" i="36"/>
  <c r="D1422" i="36"/>
  <c r="D1028" i="36"/>
  <c r="D902" i="36"/>
  <c r="D635" i="36"/>
  <c r="D497" i="36"/>
  <c r="D135" i="36"/>
  <c r="D1940" i="36"/>
  <c r="D1820" i="36"/>
  <c r="D1425" i="36"/>
  <c r="D1421" i="36"/>
  <c r="D1031" i="36"/>
  <c r="D632" i="36"/>
  <c r="D498" i="36"/>
  <c r="E1426" i="36"/>
  <c r="E495" i="36"/>
  <c r="E136" i="36"/>
  <c r="E1419" i="36"/>
  <c r="E1423" i="36"/>
  <c r="E1820" i="36"/>
  <c r="E1941" i="36"/>
  <c r="D2327" i="36"/>
  <c r="D2325" i="36"/>
  <c r="D2320" i="36"/>
  <c r="D2318" i="36"/>
  <c r="E2047" i="36"/>
  <c r="E2046" i="36"/>
  <c r="E2045" i="36"/>
  <c r="E2044" i="36"/>
  <c r="E2043" i="36"/>
  <c r="E2042" i="36"/>
  <c r="D1957" i="36"/>
  <c r="D1955" i="36"/>
  <c r="D1953" i="36"/>
  <c r="D1951" i="36"/>
  <c r="D1949" i="36"/>
  <c r="D1947" i="36"/>
  <c r="E1896" i="36"/>
  <c r="E1895" i="36"/>
  <c r="E1894" i="36"/>
  <c r="E1893" i="36"/>
  <c r="D1836" i="36"/>
  <c r="D1834" i="36"/>
  <c r="D1832" i="36"/>
  <c r="D1830" i="36"/>
  <c r="D1828" i="36"/>
  <c r="D1447" i="36"/>
  <c r="D1446" i="36"/>
  <c r="D1444" i="36"/>
  <c r="D1442" i="36"/>
  <c r="D1440" i="36"/>
  <c r="D1438" i="36"/>
  <c r="D1436" i="36"/>
  <c r="D1434" i="36"/>
  <c r="E1266" i="36"/>
  <c r="E1265" i="36"/>
  <c r="E1264" i="36"/>
  <c r="E1263" i="36"/>
  <c r="D1254" i="36"/>
  <c r="D1154" i="36"/>
  <c r="D1152" i="36"/>
  <c r="D1150" i="36"/>
  <c r="D1098" i="36"/>
  <c r="D1096" i="36"/>
  <c r="D1065" i="36"/>
  <c r="D1063" i="36"/>
  <c r="D1061" i="36"/>
  <c r="D1059" i="36"/>
  <c r="D1057" i="36"/>
  <c r="D1049" i="36"/>
  <c r="D1047" i="36"/>
  <c r="D1045" i="36"/>
  <c r="D1043" i="36"/>
  <c r="D1041" i="36"/>
  <c r="D1039" i="36"/>
  <c r="D1037" i="36"/>
  <c r="D1035" i="36"/>
  <c r="D989" i="36"/>
  <c r="D987" i="36"/>
  <c r="D961" i="36"/>
  <c r="D959" i="36"/>
  <c r="D957" i="36"/>
  <c r="D955" i="36"/>
  <c r="D921" i="36"/>
  <c r="D919" i="36"/>
  <c r="D917" i="36"/>
  <c r="D915" i="36"/>
  <c r="D913" i="36"/>
  <c r="D911" i="36"/>
  <c r="D909" i="36"/>
  <c r="D907" i="36"/>
  <c r="D905" i="36"/>
  <c r="D903" i="36"/>
  <c r="D670" i="36"/>
  <c r="D668" i="36"/>
  <c r="D666" i="36"/>
  <c r="D664" i="36"/>
  <c r="D662" i="36"/>
  <c r="D654" i="36"/>
  <c r="D652" i="36"/>
  <c r="D650" i="36"/>
  <c r="D648" i="36"/>
  <c r="D646" i="36"/>
  <c r="D644" i="36"/>
  <c r="D642" i="36"/>
  <c r="D640" i="36"/>
  <c r="D590" i="36"/>
  <c r="D526" i="36"/>
  <c r="D524" i="36"/>
  <c r="D522" i="36"/>
  <c r="D520" i="36"/>
  <c r="D518" i="36"/>
  <c r="D516" i="36"/>
  <c r="D514" i="36"/>
  <c r="D512" i="36"/>
  <c r="D510" i="36"/>
  <c r="D508" i="36"/>
  <c r="D506" i="36"/>
  <c r="D504" i="36"/>
  <c r="D502" i="36"/>
  <c r="D220" i="36"/>
  <c r="D212" i="36"/>
  <c r="D210" i="36"/>
  <c r="D148" i="36"/>
  <c r="D146" i="36"/>
  <c r="D144" i="36"/>
  <c r="D142" i="36"/>
  <c r="D140" i="36"/>
  <c r="D138" i="36"/>
  <c r="D2326" i="36"/>
  <c r="D2324" i="36"/>
  <c r="D2319" i="36"/>
  <c r="D2317" i="36"/>
  <c r="D2210" i="36"/>
  <c r="D2047" i="36"/>
  <c r="D2046" i="36"/>
  <c r="D2045" i="36"/>
  <c r="D2044" i="36"/>
  <c r="D2043" i="36"/>
  <c r="D2042" i="36"/>
  <c r="D1956" i="36"/>
  <c r="D1954" i="36"/>
  <c r="D1952" i="36"/>
  <c r="D1950" i="36"/>
  <c r="D1948" i="36"/>
  <c r="D1921" i="36"/>
  <c r="D1896" i="36"/>
  <c r="D1895" i="36"/>
  <c r="D1894" i="36"/>
  <c r="D1893" i="36"/>
  <c r="D1837" i="36"/>
  <c r="D1835" i="36"/>
  <c r="D1833" i="36"/>
  <c r="D1831" i="36"/>
  <c r="D1829" i="36"/>
  <c r="D1827" i="36"/>
  <c r="D1448" i="36"/>
  <c r="D1445" i="36"/>
  <c r="D1443" i="36"/>
  <c r="D1441" i="36"/>
  <c r="D1439" i="36"/>
  <c r="D1437" i="36"/>
  <c r="D1435" i="36"/>
  <c r="D1433" i="36"/>
  <c r="D1266" i="36"/>
  <c r="D1265" i="36"/>
  <c r="D1264" i="36"/>
  <c r="D1263" i="36"/>
  <c r="E1254" i="36"/>
  <c r="D1155" i="36"/>
  <c r="D1153" i="36"/>
  <c r="D1151" i="36"/>
  <c r="D1149" i="36"/>
  <c r="D1099" i="36"/>
  <c r="D1097" i="36"/>
  <c r="D1066" i="36"/>
  <c r="D1064" i="36"/>
  <c r="D1062" i="36"/>
  <c r="D1060" i="36"/>
  <c r="D1058" i="36"/>
  <c r="D1050" i="36"/>
  <c r="D1048" i="36"/>
  <c r="D1046" i="36"/>
  <c r="D1044" i="36"/>
  <c r="D1042" i="36"/>
  <c r="D1040" i="36"/>
  <c r="D1038" i="36"/>
  <c r="D1036" i="36"/>
  <c r="D988" i="36"/>
  <c r="D986" i="36"/>
  <c r="D960" i="36"/>
  <c r="D958" i="36"/>
  <c r="D956" i="36"/>
  <c r="D920" i="36"/>
  <c r="D918" i="36"/>
  <c r="D916" i="36"/>
  <c r="D914" i="36"/>
  <c r="D912" i="36"/>
  <c r="D910" i="36"/>
  <c r="D908" i="36"/>
  <c r="D906" i="36"/>
  <c r="D904" i="36"/>
  <c r="D669" i="36"/>
  <c r="D667" i="36"/>
  <c r="D665" i="36"/>
  <c r="D663" i="36"/>
  <c r="D661" i="36"/>
  <c r="D653" i="36"/>
  <c r="D651" i="36"/>
  <c r="D649" i="36"/>
  <c r="D647" i="36"/>
  <c r="D645" i="36"/>
  <c r="D643" i="36"/>
  <c r="D641" i="36"/>
  <c r="D639" i="36"/>
  <c r="D527" i="36"/>
  <c r="D525" i="36"/>
  <c r="D523" i="36"/>
  <c r="D521" i="36"/>
  <c r="D519" i="36"/>
  <c r="D517" i="36"/>
  <c r="D515" i="36"/>
  <c r="D513" i="36"/>
  <c r="D511" i="36"/>
  <c r="D509" i="36"/>
  <c r="D507" i="36"/>
  <c r="D505" i="36"/>
  <c r="D503" i="36"/>
  <c r="D211" i="36"/>
  <c r="D147" i="36"/>
  <c r="D145" i="36"/>
  <c r="D143" i="36"/>
  <c r="D141" i="36"/>
  <c r="D139" i="36"/>
  <c r="D137" i="36"/>
  <c r="E956" i="36"/>
  <c r="E958" i="36"/>
  <c r="E960" i="36"/>
  <c r="E907" i="36"/>
  <c r="E911" i="36"/>
  <c r="E913" i="36"/>
  <c r="E917" i="36"/>
  <c r="E921" i="36"/>
  <c r="E220" i="36"/>
  <c r="E2317" i="36"/>
  <c r="E1834" i="36"/>
  <c r="E1096" i="36"/>
  <c r="E986" i="36"/>
  <c r="E2318" i="36"/>
  <c r="E1835" i="36"/>
  <c r="E1097" i="36"/>
  <c r="E987" i="36"/>
  <c r="E2319" i="36"/>
  <c r="E1836" i="36"/>
  <c r="E1098" i="36"/>
  <c r="E988" i="36"/>
  <c r="E2320" i="36"/>
  <c r="E1837" i="36"/>
  <c r="E1447" i="36"/>
  <c r="E1099" i="36"/>
  <c r="E989" i="36"/>
  <c r="E1047" i="36"/>
  <c r="E1049" i="36"/>
  <c r="E1057" i="36"/>
  <c r="E1061" i="36"/>
  <c r="E1065" i="36"/>
  <c r="E137" i="36"/>
  <c r="E139" i="36"/>
  <c r="E141" i="36"/>
  <c r="E143" i="36"/>
  <c r="E145" i="36"/>
  <c r="E147" i="36"/>
  <c r="E210" i="36"/>
  <c r="E212" i="36"/>
  <c r="E502" i="36"/>
  <c r="E504" i="36"/>
  <c r="E506" i="36"/>
  <c r="E508" i="36"/>
  <c r="E510" i="36"/>
  <c r="E512" i="36"/>
  <c r="E514" i="36"/>
  <c r="E516" i="36"/>
  <c r="E518" i="36"/>
  <c r="E520" i="36"/>
  <c r="E522" i="36"/>
  <c r="E524" i="36"/>
  <c r="E526" i="36"/>
  <c r="E640" i="36"/>
  <c r="E642" i="36"/>
  <c r="E644" i="36"/>
  <c r="E646" i="36"/>
  <c r="E648" i="36"/>
  <c r="E650" i="36"/>
  <c r="E652" i="36"/>
  <c r="E654" i="36"/>
  <c r="E661" i="36"/>
  <c r="E663" i="36"/>
  <c r="E665" i="36"/>
  <c r="E667" i="36"/>
  <c r="E669" i="36"/>
  <c r="E904" i="36"/>
  <c r="E906" i="36"/>
  <c r="E910" i="36"/>
  <c r="E914" i="36"/>
  <c r="E918" i="36"/>
  <c r="E1947" i="36"/>
  <c r="E1434" i="36"/>
  <c r="E1149" i="36"/>
  <c r="E1948" i="36"/>
  <c r="E1436" i="36"/>
  <c r="E1150" i="36"/>
  <c r="E1949" i="36"/>
  <c r="E1438" i="36"/>
  <c r="E1151" i="36"/>
  <c r="E1950" i="36"/>
  <c r="E1440" i="36"/>
  <c r="E1152" i="36"/>
  <c r="E1951" i="36"/>
  <c r="E1442" i="36"/>
  <c r="E1153" i="36"/>
  <c r="E1952" i="36"/>
  <c r="E1444" i="36"/>
  <c r="E1154" i="36"/>
  <c r="E1953" i="36"/>
  <c r="E1446" i="36"/>
  <c r="E1155" i="36"/>
  <c r="E1448" i="36"/>
  <c r="E1060" i="36"/>
  <c r="E1064" i="36"/>
  <c r="E955" i="36"/>
  <c r="E957" i="36"/>
  <c r="E959" i="36"/>
  <c r="E961" i="36"/>
  <c r="E909" i="36"/>
  <c r="E2210" i="36"/>
  <c r="E915" i="36"/>
  <c r="E919" i="36"/>
  <c r="E1921" i="36"/>
  <c r="E2324" i="36"/>
  <c r="E1954" i="36"/>
  <c r="E1042" i="36"/>
  <c r="E2325" i="36"/>
  <c r="E1955" i="36"/>
  <c r="E1043" i="36"/>
  <c r="E2326" i="36"/>
  <c r="E1956" i="36"/>
  <c r="E1044" i="36"/>
  <c r="E2327" i="36"/>
  <c r="E1957" i="36"/>
  <c r="E1045" i="36"/>
  <c r="E1059" i="36"/>
  <c r="E1063" i="36"/>
  <c r="E138" i="36"/>
  <c r="E140" i="36"/>
  <c r="E142" i="36"/>
  <c r="E144" i="36"/>
  <c r="E146" i="36"/>
  <c r="E148" i="36"/>
  <c r="E211" i="36"/>
  <c r="E503" i="36"/>
  <c r="E505" i="36"/>
  <c r="E507" i="36"/>
  <c r="E509" i="36"/>
  <c r="E511" i="36"/>
  <c r="E513" i="36"/>
  <c r="E515" i="36"/>
  <c r="E517" i="36"/>
  <c r="E519" i="36"/>
  <c r="E521" i="36"/>
  <c r="E523" i="36"/>
  <c r="E525" i="36"/>
  <c r="E527" i="36"/>
  <c r="E590" i="36"/>
  <c r="E639" i="36"/>
  <c r="E641" i="36"/>
  <c r="E643" i="36"/>
  <c r="E645" i="36"/>
  <c r="E647" i="36"/>
  <c r="E649" i="36"/>
  <c r="E651" i="36"/>
  <c r="E653" i="36"/>
  <c r="E662" i="36"/>
  <c r="E664" i="36"/>
  <c r="E666" i="36"/>
  <c r="E668" i="36"/>
  <c r="E670" i="36"/>
  <c r="E903" i="36"/>
  <c r="E905" i="36"/>
  <c r="E908" i="36"/>
  <c r="E912" i="36"/>
  <c r="E916" i="36"/>
  <c r="E920" i="36"/>
  <c r="E1827" i="36"/>
  <c r="E1433" i="36"/>
  <c r="E1035" i="36"/>
  <c r="E1828" i="36"/>
  <c r="E1435" i="36"/>
  <c r="E1036" i="36"/>
  <c r="E1829" i="36"/>
  <c r="E1437" i="36"/>
  <c r="E1037" i="36"/>
  <c r="E1830" i="36"/>
  <c r="E1439" i="36"/>
  <c r="E1038" i="36"/>
  <c r="E1831" i="36"/>
  <c r="E1441" i="36"/>
  <c r="E1039" i="36"/>
  <c r="E1832" i="36"/>
  <c r="E1443" i="36"/>
  <c r="E1040" i="36"/>
  <c r="E1833" i="36"/>
  <c r="E1445" i="36"/>
  <c r="E1041" i="36"/>
  <c r="E1046" i="36"/>
  <c r="E1048" i="36"/>
  <c r="E1050" i="36"/>
  <c r="E1058" i="36"/>
  <c r="E1062" i="36"/>
  <c r="E1066" i="36"/>
  <c r="E1432" i="36"/>
  <c r="E1147" i="36"/>
  <c r="E1945" i="36"/>
  <c r="E1428" i="36"/>
  <c r="E500" i="36"/>
  <c r="E209" i="36"/>
  <c r="E953" i="36"/>
  <c r="D1945" i="36"/>
  <c r="D1432" i="36"/>
  <c r="D1428" i="36"/>
  <c r="D1032" i="36"/>
  <c r="D953" i="36"/>
  <c r="D501" i="36"/>
  <c r="D208" i="36"/>
  <c r="D1946" i="36"/>
  <c r="D1826" i="36"/>
  <c r="D1429" i="36"/>
  <c r="D1146" i="36"/>
  <c r="D1033" i="36"/>
  <c r="D954" i="36"/>
  <c r="D638" i="36"/>
  <c r="E1034" i="36"/>
  <c r="E1826" i="36"/>
  <c r="E1429" i="36"/>
  <c r="E1032" i="36"/>
  <c r="E1824" i="36"/>
  <c r="E636" i="36"/>
  <c r="E499" i="36"/>
  <c r="E208" i="36"/>
  <c r="E954" i="36"/>
  <c r="E1148" i="36"/>
  <c r="E1946" i="36"/>
  <c r="E1430" i="36"/>
  <c r="E1146" i="36"/>
  <c r="E1944" i="36"/>
  <c r="E637" i="36"/>
  <c r="D1825" i="36"/>
  <c r="D1430" i="36"/>
  <c r="D1147" i="36"/>
  <c r="D1034" i="36"/>
  <c r="D637" i="36"/>
  <c r="D499" i="36"/>
  <c r="D1944" i="36"/>
  <c r="D1824" i="36"/>
  <c r="D1431" i="36"/>
  <c r="D1427" i="36"/>
  <c r="D1148" i="36"/>
  <c r="D952" i="36"/>
  <c r="D636" i="36"/>
  <c r="D500" i="36"/>
  <c r="D209" i="36"/>
  <c r="E1431" i="36"/>
  <c r="E1033" i="36"/>
  <c r="E1825" i="36"/>
  <c r="E1427" i="36"/>
  <c r="E638" i="36"/>
  <c r="E501" i="36"/>
  <c r="E952" i="36"/>
  <c r="E1703" i="36"/>
  <c r="D1703" i="36"/>
  <c r="D1705" i="36"/>
  <c r="E1705" i="36"/>
  <c r="D1716" i="36"/>
  <c r="E1716" i="36"/>
  <c r="E1718" i="36"/>
  <c r="D1718" i="36"/>
  <c r="D2310" i="36"/>
  <c r="E2310" i="36"/>
  <c r="D2312" i="36"/>
  <c r="E2312" i="36"/>
  <c r="E2311" i="36"/>
  <c r="D2311" i="36"/>
  <c r="E1094" i="36"/>
  <c r="E2308" i="36" l="1"/>
  <c r="E734" i="36"/>
  <c r="D1704" i="36"/>
  <c r="E2313" i="36"/>
  <c r="D2309" i="36"/>
  <c r="E2309" i="36"/>
  <c r="D737" i="36"/>
  <c r="E1984" i="36"/>
  <c r="E1704" i="36"/>
  <c r="D736" i="36"/>
  <c r="E1715" i="36"/>
  <c r="D2280" i="36"/>
  <c r="D2260" i="36"/>
  <c r="D2238" i="36"/>
  <c r="D2224" i="36"/>
  <c r="D2161" i="36"/>
  <c r="E2111" i="36"/>
  <c r="E2080" i="36"/>
  <c r="E2079" i="36"/>
  <c r="E2078" i="36"/>
  <c r="D2063" i="36"/>
  <c r="D2061" i="36"/>
  <c r="D2035" i="36"/>
  <c r="D1910" i="36"/>
  <c r="D1909" i="36"/>
  <c r="E1876" i="36"/>
  <c r="E1873" i="36"/>
  <c r="E1850" i="36"/>
  <c r="E1849" i="36"/>
  <c r="D1848" i="36"/>
  <c r="D1809" i="36"/>
  <c r="D1806" i="36"/>
  <c r="D1804" i="36"/>
  <c r="D1759" i="36"/>
  <c r="D1758" i="36"/>
  <c r="D1745" i="36"/>
  <c r="E1724" i="36"/>
  <c r="E1723" i="36"/>
  <c r="D1722" i="36"/>
  <c r="D1693" i="36"/>
  <c r="D1691" i="36"/>
  <c r="D1689" i="36"/>
  <c r="D1687" i="36"/>
  <c r="D1644" i="36"/>
  <c r="D1643" i="36"/>
  <c r="D1642" i="36"/>
  <c r="D1591" i="36"/>
  <c r="D1590" i="36"/>
  <c r="D1589" i="36"/>
  <c r="D1573" i="36"/>
  <c r="D1548" i="36"/>
  <c r="D1547" i="36"/>
  <c r="D1540" i="36"/>
  <c r="D1538" i="36"/>
  <c r="D1529" i="36"/>
  <c r="D1520" i="36"/>
  <c r="D1519" i="36"/>
  <c r="D1375" i="36"/>
  <c r="D1373" i="36"/>
  <c r="D1371" i="36"/>
  <c r="D1369" i="36"/>
  <c r="D1367" i="36"/>
  <c r="D1366" i="36"/>
  <c r="D1365" i="36"/>
  <c r="D1364" i="36"/>
  <c r="D1363" i="36"/>
  <c r="D1361" i="36"/>
  <c r="D1338" i="36"/>
  <c r="D1336" i="36"/>
  <c r="D1334" i="36"/>
  <c r="D1332" i="36"/>
  <c r="D1330" i="36"/>
  <c r="D1328" i="36"/>
  <c r="E1326" i="36"/>
  <c r="E1325" i="36"/>
  <c r="D1324" i="36"/>
  <c r="D1297" i="36"/>
  <c r="D1295" i="36"/>
  <c r="D1293" i="36"/>
  <c r="D1291" i="36"/>
  <c r="D1289" i="36"/>
  <c r="D1287" i="36"/>
  <c r="D1285" i="36"/>
  <c r="D1284" i="36"/>
  <c r="D1283" i="36"/>
  <c r="E1239" i="36"/>
  <c r="D1233" i="36"/>
  <c r="E1181" i="36"/>
  <c r="D1180" i="36"/>
  <c r="D1179" i="36"/>
  <c r="D1177" i="36"/>
  <c r="D1176" i="36"/>
  <c r="D1145" i="36"/>
  <c r="D1144" i="36"/>
  <c r="D1115" i="36"/>
  <c r="D1114" i="36"/>
  <c r="D1113" i="36"/>
  <c r="E1111" i="36"/>
  <c r="E1110" i="36"/>
  <c r="D1005" i="36"/>
  <c r="D1003" i="36"/>
  <c r="D1001" i="36"/>
  <c r="D999" i="36"/>
  <c r="D998" i="36"/>
  <c r="D997" i="36"/>
  <c r="E982" i="36"/>
  <c r="D981" i="36"/>
  <c r="E950" i="36"/>
  <c r="D882" i="36"/>
  <c r="E880" i="36"/>
  <c r="E879" i="36"/>
  <c r="D878" i="36"/>
  <c r="E858" i="36"/>
  <c r="E857" i="36"/>
  <c r="D856" i="36"/>
  <c r="D855" i="36"/>
  <c r="D801" i="36"/>
  <c r="D799" i="36"/>
  <c r="D762" i="36"/>
  <c r="D760" i="36"/>
  <c r="D739" i="36"/>
  <c r="D738" i="36"/>
  <c r="D733" i="36"/>
  <c r="D732" i="36"/>
  <c r="E730" i="36"/>
  <c r="E729" i="36"/>
  <c r="E728" i="36"/>
  <c r="E727" i="36"/>
  <c r="E726" i="36"/>
  <c r="E725" i="36"/>
  <c r="E724" i="36"/>
  <c r="D723" i="36"/>
  <c r="D608" i="36"/>
  <c r="D606" i="36"/>
  <c r="D604" i="36"/>
  <c r="E602" i="36"/>
  <c r="E601" i="36"/>
  <c r="D600" i="36"/>
  <c r="E577" i="36"/>
  <c r="E559" i="36"/>
  <c r="D558" i="36"/>
  <c r="D471" i="36"/>
  <c r="D469" i="36"/>
  <c r="D467" i="36"/>
  <c r="E465" i="36"/>
  <c r="E464" i="36"/>
  <c r="D463" i="36"/>
  <c r="E379" i="36"/>
  <c r="E378" i="36"/>
  <c r="E377" i="36"/>
  <c r="E376" i="36"/>
  <c r="E375" i="36"/>
  <c r="E374" i="36"/>
  <c r="D373" i="36"/>
  <c r="D371" i="36"/>
  <c r="D369" i="36"/>
  <c r="D367" i="36"/>
  <c r="E2337" i="36"/>
  <c r="E255" i="36"/>
  <c r="E254" i="36"/>
  <c r="D253" i="36"/>
  <c r="D251" i="36"/>
  <c r="D249" i="36"/>
  <c r="D247" i="36"/>
  <c r="D245" i="36"/>
  <c r="D243" i="36"/>
  <c r="E200" i="36"/>
  <c r="D199" i="36"/>
  <c r="E197" i="36"/>
  <c r="D185" i="36"/>
  <c r="D179" i="36"/>
  <c r="D178" i="36"/>
  <c r="D124" i="36"/>
  <c r="D122" i="36"/>
  <c r="D121" i="36"/>
  <c r="E49" i="36"/>
  <c r="E24" i="36"/>
  <c r="D23" i="36"/>
  <c r="D21" i="36"/>
  <c r="D18" i="36"/>
  <c r="E16" i="36"/>
  <c r="E603" i="36"/>
  <c r="D1715" i="36"/>
  <c r="E2280" i="36"/>
  <c r="E2260" i="36"/>
  <c r="E2238" i="36"/>
  <c r="E2224" i="36"/>
  <c r="D2216" i="36"/>
  <c r="D2111" i="36"/>
  <c r="D2080" i="36"/>
  <c r="D2079" i="36"/>
  <c r="D2078" i="36"/>
  <c r="D2062" i="36"/>
  <c r="E2035" i="36"/>
  <c r="D2025" i="36"/>
  <c r="D1911" i="36"/>
  <c r="E1909" i="36"/>
  <c r="D1908" i="36"/>
  <c r="D1876" i="36"/>
  <c r="D1873" i="36"/>
  <c r="D1850" i="36"/>
  <c r="D1849" i="36"/>
  <c r="D1807" i="36"/>
  <c r="D1805" i="36"/>
  <c r="D1768" i="36"/>
  <c r="D1760" i="36"/>
  <c r="E1758" i="36"/>
  <c r="D1744" i="36"/>
  <c r="D1724" i="36"/>
  <c r="D1723" i="36"/>
  <c r="D1694" i="36"/>
  <c r="D1692" i="36"/>
  <c r="D1690" i="36"/>
  <c r="D1688" i="36"/>
  <c r="D1686" i="36"/>
  <c r="D1645" i="36"/>
  <c r="E1643" i="36"/>
  <c r="E1642" i="36"/>
  <c r="D1641" i="36"/>
  <c r="D1592" i="36"/>
  <c r="E1590" i="36"/>
  <c r="E1589" i="36"/>
  <c r="D1588" i="36"/>
  <c r="E1573" i="36"/>
  <c r="D1572" i="36"/>
  <c r="E1548" i="36"/>
  <c r="E1547" i="36"/>
  <c r="D1539" i="36"/>
  <c r="D1530" i="36"/>
  <c r="D1528" i="36"/>
  <c r="E1519" i="36"/>
  <c r="D1376" i="36"/>
  <c r="D1374" i="36"/>
  <c r="D1372" i="36"/>
  <c r="D1370" i="36"/>
  <c r="D1368" i="36"/>
  <c r="E1366" i="36"/>
  <c r="E1365" i="36"/>
  <c r="E1364" i="36"/>
  <c r="E1363" i="36"/>
  <c r="D1362" i="36"/>
  <c r="D1339" i="36"/>
  <c r="D1337" i="36"/>
  <c r="D1335" i="36"/>
  <c r="D1333" i="36"/>
  <c r="D1331" i="36"/>
  <c r="D1329" i="36"/>
  <c r="D1327" i="36"/>
  <c r="D1326" i="36"/>
  <c r="D1325" i="36"/>
  <c r="D1296" i="36"/>
  <c r="D1294" i="36"/>
  <c r="D1292" i="36"/>
  <c r="D1290" i="36"/>
  <c r="D1288" i="36"/>
  <c r="D1286" i="36"/>
  <c r="E1284" i="36"/>
  <c r="E1283" i="36"/>
  <c r="D1282" i="36"/>
  <c r="D1239" i="36"/>
  <c r="E1233" i="36"/>
  <c r="D1232" i="36"/>
  <c r="D1181" i="36"/>
  <c r="E1179" i="36"/>
  <c r="D1178" i="36"/>
  <c r="E1176" i="36"/>
  <c r="E1144" i="36"/>
  <c r="E1115" i="36"/>
  <c r="E1114" i="36"/>
  <c r="E1113" i="36"/>
  <c r="D1112" i="36"/>
  <c r="D1111" i="36"/>
  <c r="D1110" i="36"/>
  <c r="D1004" i="36"/>
  <c r="D1002" i="36"/>
  <c r="D1000" i="36"/>
  <c r="E998" i="36"/>
  <c r="E997" i="36"/>
  <c r="D996" i="36"/>
  <c r="D983" i="36"/>
  <c r="D982" i="36"/>
  <c r="D951" i="36"/>
  <c r="D950" i="36"/>
  <c r="D881" i="36"/>
  <c r="D880" i="36"/>
  <c r="D879" i="36"/>
  <c r="D858" i="36"/>
  <c r="D857" i="36"/>
  <c r="E855" i="36"/>
  <c r="D800" i="36"/>
  <c r="D798" i="36"/>
  <c r="D761" i="36"/>
  <c r="E739" i="36"/>
  <c r="E738" i="36"/>
  <c r="E733" i="36"/>
  <c r="E732" i="36"/>
  <c r="D731" i="36"/>
  <c r="D730" i="36"/>
  <c r="D729" i="36"/>
  <c r="D728" i="36"/>
  <c r="D727" i="36"/>
  <c r="D726" i="36"/>
  <c r="D725" i="36"/>
  <c r="D724" i="36"/>
  <c r="D609" i="36"/>
  <c r="D607" i="36"/>
  <c r="D605" i="36"/>
  <c r="D603" i="36"/>
  <c r="D602" i="36"/>
  <c r="D601" i="36"/>
  <c r="D577" i="36"/>
  <c r="D559" i="36"/>
  <c r="D472" i="36"/>
  <c r="D470" i="36"/>
  <c r="D468" i="36"/>
  <c r="D466" i="36"/>
  <c r="D465" i="36"/>
  <c r="D464" i="36"/>
  <c r="D379" i="36"/>
  <c r="D378" i="36"/>
  <c r="D377" i="36"/>
  <c r="D376" i="36"/>
  <c r="D375" i="36"/>
  <c r="D374" i="36"/>
  <c r="D372" i="36"/>
  <c r="D370" i="36"/>
  <c r="D368" i="36"/>
  <c r="D366" i="36"/>
  <c r="D2337" i="36"/>
  <c r="D255" i="36"/>
  <c r="D254" i="36"/>
  <c r="D252" i="36"/>
  <c r="D250" i="36"/>
  <c r="D248" i="36"/>
  <c r="D246" i="36"/>
  <c r="D244" i="36"/>
  <c r="D242" i="36"/>
  <c r="D200" i="36"/>
  <c r="D198" i="36"/>
  <c r="D197" i="36"/>
  <c r="D186" i="36"/>
  <c r="E179" i="36"/>
  <c r="E178" i="36"/>
  <c r="D177" i="36"/>
  <c r="D125" i="36"/>
  <c r="D123" i="36"/>
  <c r="E121" i="36"/>
  <c r="D120" i="36"/>
  <c r="D49" i="36"/>
  <c r="D24" i="36"/>
  <c r="D22" i="36"/>
  <c r="D20" i="36"/>
  <c r="D17" i="36"/>
  <c r="D16" i="36"/>
  <c r="E1520" i="36"/>
  <c r="E2061" i="36"/>
  <c r="E372" i="36"/>
  <c r="E2161" i="36"/>
  <c r="E2063" i="36"/>
  <c r="E608" i="36"/>
  <c r="E731" i="36"/>
  <c r="E856" i="36"/>
  <c r="E2025" i="36"/>
  <c r="E1760" i="36"/>
  <c r="E125" i="36"/>
  <c r="E1178" i="36"/>
  <c r="E366" i="36"/>
  <c r="E1848" i="36"/>
  <c r="E1588" i="36"/>
  <c r="E1361" i="36"/>
  <c r="E1282" i="36"/>
  <c r="E1327" i="36"/>
  <c r="E1528" i="36"/>
  <c r="E1286" i="36"/>
  <c r="E1287" i="36"/>
  <c r="E1332" i="36"/>
  <c r="E1768" i="36"/>
  <c r="E1691" i="36"/>
  <c r="E1910" i="36"/>
  <c r="E1645" i="36"/>
  <c r="E1539" i="36"/>
  <c r="E1369" i="36"/>
  <c r="E1296" i="36"/>
  <c r="E1000" i="36"/>
  <c r="E1806" i="36"/>
  <c r="E1804" i="36"/>
  <c r="E1003" i="36"/>
  <c r="E1005" i="36"/>
  <c r="E18" i="36"/>
  <c r="E21" i="36"/>
  <c r="E23" i="36"/>
  <c r="E122" i="36"/>
  <c r="E124" i="36"/>
  <c r="E199" i="36"/>
  <c r="E466" i="36"/>
  <c r="E468" i="36"/>
  <c r="E470" i="36"/>
  <c r="E472" i="36"/>
  <c r="E604" i="36"/>
  <c r="E607" i="36"/>
  <c r="E878" i="36"/>
  <c r="E951" i="36"/>
  <c r="E983" i="36"/>
  <c r="E1330" i="36"/>
  <c r="E1687" i="36"/>
  <c r="E1289" i="36"/>
  <c r="E1744" i="36"/>
  <c r="E1689" i="36"/>
  <c r="E1335" i="36"/>
  <c r="E1333" i="36"/>
  <c r="E1293" i="36"/>
  <c r="E1291" i="36"/>
  <c r="E1644" i="36"/>
  <c r="E1538" i="36"/>
  <c r="E1367" i="36"/>
  <c r="E1295" i="36"/>
  <c r="E1911" i="36"/>
  <c r="E1694" i="36"/>
  <c r="E1540" i="36"/>
  <c r="E1371" i="36"/>
  <c r="E1297" i="36"/>
  <c r="E1373" i="36"/>
  <c r="E1375" i="36"/>
  <c r="E1232" i="36"/>
  <c r="E177" i="36"/>
  <c r="E1177" i="36"/>
  <c r="E882" i="36"/>
  <c r="E606" i="36"/>
  <c r="E723" i="36"/>
  <c r="E1686" i="36"/>
  <c r="E2216" i="36"/>
  <c r="E186" i="36"/>
  <c r="E2062" i="36"/>
  <c r="E1529" i="36"/>
  <c r="E373" i="36"/>
  <c r="E185" i="36"/>
  <c r="E1112" i="36"/>
  <c r="E1908" i="36"/>
  <c r="E1722" i="36"/>
  <c r="E1641" i="36"/>
  <c r="E1572" i="36"/>
  <c r="E1362" i="36"/>
  <c r="E1324" i="36"/>
  <c r="E996" i="36"/>
  <c r="E1285" i="36"/>
  <c r="E1328" i="36"/>
  <c r="E1329" i="36"/>
  <c r="E1688" i="36"/>
  <c r="E1290" i="36"/>
  <c r="E1745" i="36"/>
  <c r="E1145" i="36"/>
  <c r="E1693" i="36"/>
  <c r="E1592" i="36"/>
  <c r="E1370" i="36"/>
  <c r="E1338" i="36"/>
  <c r="E1180" i="36"/>
  <c r="E1807" i="36"/>
  <c r="E1805" i="36"/>
  <c r="E1374" i="36"/>
  <c r="E1376" i="36"/>
  <c r="E17" i="36"/>
  <c r="E20" i="36"/>
  <c r="E22" i="36"/>
  <c r="E120" i="36"/>
  <c r="E123" i="36"/>
  <c r="E198" i="36"/>
  <c r="E463" i="36"/>
  <c r="E467" i="36"/>
  <c r="E469" i="36"/>
  <c r="E471" i="36"/>
  <c r="E558" i="36"/>
  <c r="E600" i="36"/>
  <c r="E605" i="36"/>
  <c r="E609" i="36"/>
  <c r="E881" i="36"/>
  <c r="E981" i="36"/>
  <c r="E1530" i="36"/>
  <c r="E1288" i="36"/>
  <c r="E1331" i="36"/>
  <c r="E1759" i="36"/>
  <c r="E1690" i="36"/>
  <c r="E1336" i="36"/>
  <c r="E1334" i="36"/>
  <c r="E1294" i="36"/>
  <c r="E1292" i="36"/>
  <c r="E1692" i="36"/>
  <c r="E1591" i="36"/>
  <c r="E1368" i="36"/>
  <c r="E1337" i="36"/>
  <c r="E999" i="36"/>
  <c r="E1809" i="36"/>
  <c r="E1372" i="36"/>
  <c r="E1339" i="36"/>
  <c r="E1001" i="36"/>
  <c r="E1002" i="36"/>
  <c r="E1004" i="36"/>
  <c r="D2037" i="36"/>
  <c r="D1378" i="36"/>
  <c r="D610" i="36"/>
  <c r="E2037" i="36"/>
  <c r="D1377" i="36"/>
  <c r="D611" i="36"/>
  <c r="E1006" i="36"/>
  <c r="E474" i="36"/>
  <c r="E610" i="36"/>
  <c r="E473" i="36"/>
  <c r="E1785" i="36"/>
  <c r="E1093" i="36"/>
  <c r="E2038" i="36"/>
  <c r="E2005" i="36"/>
  <c r="E1880" i="36"/>
  <c r="D1795" i="36"/>
  <c r="D1784" i="36"/>
  <c r="D1756" i="36"/>
  <c r="D1751" i="36"/>
  <c r="E1256" i="36"/>
  <c r="D1095" i="36"/>
  <c r="D380" i="36"/>
  <c r="D189" i="36"/>
  <c r="D2038" i="36"/>
  <c r="D1879" i="36"/>
  <c r="E1756" i="36"/>
  <c r="E380" i="36"/>
  <c r="E189" i="36"/>
  <c r="E1751" i="36"/>
  <c r="E834" i="36"/>
  <c r="D2036" i="36"/>
  <c r="D1006" i="36"/>
  <c r="D473" i="36"/>
  <c r="E2036" i="36"/>
  <c r="D1007" i="36"/>
  <c r="D474" i="36"/>
  <c r="E611" i="36"/>
  <c r="E1007" i="36"/>
  <c r="E1377" i="36"/>
  <c r="E1378" i="36"/>
  <c r="E1795" i="36"/>
  <c r="E1755" i="36"/>
  <c r="D2081" i="36"/>
  <c r="E2039" i="36"/>
  <c r="E1879" i="36"/>
  <c r="D1093" i="36"/>
  <c r="E2081" i="36"/>
  <c r="D2039" i="36"/>
  <c r="D2005" i="36"/>
  <c r="D1880" i="36"/>
  <c r="D1796" i="36"/>
  <c r="D1785" i="36"/>
  <c r="D1755" i="36"/>
  <c r="D1256" i="36"/>
  <c r="D1094" i="36"/>
  <c r="D834" i="36"/>
  <c r="E1796" i="36"/>
  <c r="E1784" i="36"/>
  <c r="E1095" i="36"/>
  <c r="E252" i="36"/>
  <c r="E251" i="36"/>
  <c r="E367" i="36"/>
  <c r="E798" i="36"/>
  <c r="E245" i="36"/>
  <c r="E800" i="36"/>
  <c r="E248" i="36"/>
  <c r="E762" i="36"/>
  <c r="E250" i="36"/>
  <c r="E799" i="36"/>
  <c r="E369" i="36"/>
  <c r="E246" i="36"/>
  <c r="E244" i="36"/>
  <c r="E243" i="36"/>
  <c r="E253" i="36"/>
  <c r="E242" i="36"/>
  <c r="E368" i="36"/>
  <c r="E760" i="36"/>
  <c r="E370" i="36"/>
  <c r="E801" i="36"/>
  <c r="E371" i="36"/>
  <c r="E249" i="36"/>
  <c r="E761" i="36"/>
  <c r="E247" i="36"/>
  <c r="D2313" i="36"/>
  <c r="D2308" i="36"/>
  <c r="E737" i="36"/>
  <c r="D1984" i="36"/>
  <c r="D734" i="36"/>
  <c r="E19" i="36"/>
  <c r="D19" i="36"/>
  <c r="E736" i="36"/>
  <c r="E735" i="36"/>
  <c r="D735" i="36"/>
  <c r="F6" i="34"/>
  <c r="G6" i="34"/>
  <c r="E1695" i="36" l="1"/>
  <c r="D34" i="36"/>
  <c r="D57" i="36"/>
  <c r="E387" i="36"/>
  <c r="D1255" i="36"/>
  <c r="D1912" i="36"/>
  <c r="D1104" i="36"/>
  <c r="E1270" i="36"/>
  <c r="E1104" i="36"/>
  <c r="D1258" i="36"/>
  <c r="E187" i="36"/>
  <c r="E1258" i="36"/>
  <c r="E1912" i="36"/>
  <c r="D1988" i="36"/>
  <c r="D1778" i="36"/>
  <c r="D803" i="36"/>
  <c r="D1779" i="36"/>
  <c r="E1988" i="36"/>
  <c r="E802" i="36"/>
  <c r="E182" i="36"/>
  <c r="E2065" i="36"/>
  <c r="D1119" i="36"/>
  <c r="D1270" i="36"/>
  <c r="D291" i="36"/>
  <c r="E1897" i="36"/>
  <c r="E36" i="36"/>
  <c r="D1120" i="36"/>
  <c r="E58" i="36"/>
  <c r="E1119" i="36"/>
  <c r="E35" i="36"/>
  <c r="D387" i="36"/>
  <c r="D2065" i="36"/>
  <c r="D183" i="36"/>
  <c r="D1695" i="36"/>
  <c r="E2085" i="36"/>
  <c r="E2017" i="36"/>
  <c r="E34" i="36"/>
  <c r="D1999" i="36"/>
  <c r="D454" i="36"/>
  <c r="E1255" i="36"/>
  <c r="D187" i="36"/>
  <c r="E1488" i="36"/>
  <c r="E454" i="36"/>
  <c r="D459" i="36"/>
  <c r="E1999" i="36"/>
  <c r="D58" i="36"/>
  <c r="E2001" i="36"/>
  <c r="E1778" i="36"/>
  <c r="D2017" i="36"/>
  <c r="D2085" i="36"/>
  <c r="D802" i="36"/>
  <c r="D763" i="36"/>
  <c r="E183" i="36"/>
  <c r="E763" i="36"/>
  <c r="D1488" i="36"/>
  <c r="D35" i="36"/>
  <c r="E1120" i="36"/>
  <c r="D36" i="36"/>
  <c r="E297" i="36"/>
  <c r="D2001" i="36"/>
  <c r="D297" i="36"/>
  <c r="D1897" i="36"/>
  <c r="E459" i="36"/>
  <c r="E291" i="36"/>
  <c r="D182" i="36"/>
  <c r="E803" i="36"/>
  <c r="E57" i="36"/>
  <c r="E1779" i="36"/>
  <c r="D2335" i="36"/>
  <c r="E1459" i="36"/>
  <c r="E153" i="36"/>
  <c r="D660" i="36"/>
  <c r="D1056" i="36"/>
  <c r="D153" i="36"/>
  <c r="D1459" i="36"/>
  <c r="E2335" i="36"/>
  <c r="E660" i="36"/>
  <c r="E1056" i="36"/>
  <c r="E2302" i="36"/>
  <c r="D2302" i="36"/>
  <c r="E2303" i="36"/>
  <c r="D2303" i="36"/>
  <c r="E2304" i="36"/>
  <c r="D2304" i="36"/>
  <c r="D805" i="36"/>
  <c r="E765" i="36"/>
  <c r="E1456" i="36"/>
  <c r="E657" i="36"/>
  <c r="E2331" i="36"/>
  <c r="D2331" i="36"/>
  <c r="E2330" i="36"/>
  <c r="E1453" i="36"/>
  <c r="D1054" i="36"/>
  <c r="E150" i="36"/>
  <c r="D1053" i="36"/>
  <c r="E1052" i="36"/>
  <c r="D2334" i="36"/>
  <c r="D1052" i="36"/>
  <c r="E1450" i="36"/>
  <c r="E149" i="36"/>
  <c r="D1051" i="36"/>
  <c r="E2018" i="36"/>
  <c r="E764" i="36"/>
  <c r="D765" i="36"/>
  <c r="E1053" i="36"/>
  <c r="D1457" i="36"/>
  <c r="D658" i="36"/>
  <c r="E1454" i="36"/>
  <c r="D1455" i="36"/>
  <c r="D1458" i="36"/>
  <c r="D151" i="36"/>
  <c r="D1454" i="36"/>
  <c r="E33" i="36"/>
  <c r="D657" i="36"/>
  <c r="E1451" i="36"/>
  <c r="D1450" i="36"/>
  <c r="D1451" i="36"/>
  <c r="D2329" i="36"/>
  <c r="D655" i="36"/>
  <c r="D149" i="36"/>
  <c r="D804" i="36"/>
  <c r="D764" i="36"/>
  <c r="D1453" i="36"/>
  <c r="D152" i="36"/>
  <c r="D33" i="36"/>
  <c r="E1455" i="36"/>
  <c r="E1055" i="36"/>
  <c r="E658" i="36"/>
  <c r="E659" i="36"/>
  <c r="D150" i="36"/>
  <c r="E151" i="36"/>
  <c r="E1054" i="36"/>
  <c r="E2016" i="36"/>
  <c r="E656" i="36"/>
  <c r="E1452" i="36"/>
  <c r="E1449" i="36"/>
  <c r="E2329" i="36"/>
  <c r="E655" i="36"/>
  <c r="E805" i="36"/>
  <c r="E804" i="36"/>
  <c r="D1055" i="36"/>
  <c r="D659" i="36"/>
  <c r="D32" i="36"/>
  <c r="E1457" i="36"/>
  <c r="E32" i="36"/>
  <c r="E1458" i="36"/>
  <c r="D2330" i="36"/>
  <c r="D1456" i="36"/>
  <c r="E152" i="36"/>
  <c r="D1452" i="36"/>
  <c r="E2334" i="36"/>
  <c r="D2016" i="36"/>
  <c r="D656" i="36"/>
  <c r="E1051" i="36"/>
  <c r="D1449" i="36"/>
  <c r="D2018" i="36"/>
  <c r="E1649" i="36"/>
  <c r="E1652" i="36"/>
  <c r="E1651" i="36"/>
  <c r="E1653" i="36"/>
  <c r="E1655" i="36"/>
  <c r="E1650" i="36"/>
  <c r="E1654" i="36"/>
  <c r="E1656" i="36"/>
  <c r="E1657" i="36"/>
  <c r="D1657" i="36"/>
  <c r="E1658" i="36"/>
  <c r="D1658" i="36"/>
  <c r="E224" i="36"/>
  <c r="E2215" i="36"/>
  <c r="D292" i="36"/>
  <c r="E1789" i="36"/>
  <c r="E1131" i="36"/>
  <c r="D2101" i="36"/>
  <c r="D1190" i="36"/>
  <c r="E1979" i="36"/>
  <c r="D850" i="36"/>
  <c r="D871" i="36"/>
  <c r="E1799" i="36"/>
  <c r="E184" i="36"/>
  <c r="E1092" i="36"/>
  <c r="D1215" i="36"/>
  <c r="E2019" i="36"/>
  <c r="E1862" i="36"/>
  <c r="G24" i="34"/>
  <c r="D786" i="36"/>
  <c r="D1141" i="36"/>
  <c r="D2198" i="36"/>
  <c r="E300" i="36"/>
  <c r="D1844" i="36"/>
  <c r="D1091" i="36"/>
  <c r="E350" i="36"/>
  <c r="E1251" i="36"/>
  <c r="E1566" i="36"/>
  <c r="E451" i="36"/>
  <c r="E786" i="36"/>
  <c r="D1268" i="36"/>
  <c r="E2276" i="36"/>
  <c r="D2149" i="36"/>
  <c r="E192" i="36"/>
  <c r="E1169" i="36"/>
  <c r="D822" i="36"/>
  <c r="E1889" i="36"/>
  <c r="D2332" i="36"/>
  <c r="E975" i="36"/>
  <c r="D555" i="36"/>
  <c r="E2220" i="36"/>
  <c r="E1091" i="36"/>
  <c r="D1985" i="36"/>
  <c r="E2188" i="36"/>
  <c r="D947" i="36"/>
  <c r="D2057" i="36"/>
  <c r="F10" i="34"/>
  <c r="E976" i="36"/>
  <c r="D1213" i="36"/>
  <c r="E570" i="36"/>
  <c r="G19" i="34"/>
  <c r="E2101" i="36"/>
  <c r="D298" i="36"/>
  <c r="E1197" i="36"/>
  <c r="D2297" i="36"/>
  <c r="D1979" i="36"/>
  <c r="D597" i="36"/>
  <c r="F5" i="34"/>
  <c r="D2188" i="36"/>
  <c r="E109" i="36"/>
  <c r="E1905" i="36"/>
  <c r="D451" i="36"/>
  <c r="D849" i="36"/>
  <c r="E1808" i="36"/>
  <c r="G20" i="34"/>
  <c r="E235" i="36"/>
  <c r="F23" i="34"/>
  <c r="E2234" i="36"/>
  <c r="E849" i="36"/>
  <c r="D595" i="36"/>
  <c r="D1313" i="36"/>
  <c r="E2072" i="36"/>
  <c r="E1313" i="36"/>
  <c r="E1101" i="36"/>
  <c r="D1889" i="36"/>
  <c r="D455" i="36"/>
  <c r="F17" i="34"/>
  <c r="D288" i="36"/>
  <c r="D596" i="36"/>
  <c r="F20" i="34"/>
  <c r="D797" i="36"/>
  <c r="E797" i="36"/>
  <c r="E2030" i="36"/>
  <c r="D1196" i="36"/>
  <c r="E217" i="36"/>
  <c r="D192" i="36"/>
  <c r="E1271" i="36"/>
  <c r="D299" i="36"/>
  <c r="E1844" i="36"/>
  <c r="D2206" i="36"/>
  <c r="E850" i="36"/>
  <c r="D1799" i="36"/>
  <c r="D300" i="36"/>
  <c r="E550" i="36"/>
  <c r="G21" i="34"/>
  <c r="E822" i="36"/>
  <c r="E783" i="36"/>
  <c r="D827" i="36"/>
  <c r="E218" i="36"/>
  <c r="F13" i="34"/>
  <c r="E707" i="36"/>
  <c r="F15" i="34"/>
  <c r="F22" i="34"/>
  <c r="E1845" i="36"/>
  <c r="E1490" i="36"/>
  <c r="G10" i="34"/>
  <c r="D460" i="36"/>
  <c r="D2030" i="36"/>
  <c r="D2019" i="36"/>
  <c r="D2276" i="36"/>
  <c r="D1170" i="36"/>
  <c r="D456" i="36"/>
  <c r="E1213" i="36"/>
  <c r="D1862" i="36"/>
  <c r="D1251" i="36"/>
  <c r="E759" i="36"/>
  <c r="D1101" i="36"/>
  <c r="D184" i="36"/>
  <c r="D2255" i="36"/>
  <c r="D759" i="36"/>
  <c r="D554" i="36"/>
  <c r="E299" i="36"/>
  <c r="D1789" i="36"/>
  <c r="E48" i="36"/>
  <c r="F4" i="34"/>
  <c r="E1790" i="36"/>
  <c r="D585" i="36"/>
  <c r="E694" i="36"/>
  <c r="D708" i="36"/>
  <c r="E288" i="36"/>
  <c r="E1985" i="36"/>
  <c r="D2215" i="36"/>
  <c r="E1105" i="36"/>
  <c r="E292" i="36"/>
  <c r="E1215" i="36"/>
  <c r="D570" i="36"/>
  <c r="F9" i="34"/>
  <c r="E1268" i="36"/>
  <c r="D1169" i="36"/>
  <c r="D216" i="36"/>
  <c r="G13" i="34"/>
  <c r="G17" i="34"/>
  <c r="E1269" i="36"/>
  <c r="D1105" i="36"/>
  <c r="D169" i="36"/>
  <c r="D1905" i="36"/>
  <c r="D1790" i="36"/>
  <c r="D217" i="36"/>
  <c r="G9" i="34"/>
  <c r="G5" i="34"/>
  <c r="E947" i="36"/>
  <c r="E2149" i="36"/>
  <c r="D2072" i="36"/>
  <c r="D1102" i="36"/>
  <c r="D1798" i="36"/>
  <c r="E216" i="36"/>
  <c r="E555" i="36"/>
  <c r="E1196" i="36"/>
  <c r="D48" i="36"/>
  <c r="D1808" i="36"/>
  <c r="E1190" i="36"/>
  <c r="D306" i="36"/>
  <c r="E865" i="36"/>
  <c r="D694" i="36"/>
  <c r="E1487" i="36"/>
  <c r="E1791" i="36"/>
  <c r="D1092" i="36"/>
  <c r="D218" i="36"/>
  <c r="E169" i="36"/>
  <c r="E455" i="36"/>
  <c r="G18" i="34"/>
  <c r="F21" i="34"/>
  <c r="E1170" i="36"/>
  <c r="D350" i="36"/>
  <c r="D783" i="36"/>
  <c r="E298" i="36"/>
  <c r="D1845" i="36"/>
  <c r="D1197" i="36"/>
  <c r="E827" i="36"/>
  <c r="E456" i="36"/>
  <c r="E1788" i="36"/>
  <c r="E2255" i="36"/>
  <c r="D1791" i="36"/>
  <c r="D1269" i="36"/>
  <c r="D224" i="36"/>
  <c r="E554" i="36"/>
  <c r="D109" i="36"/>
  <c r="G23" i="34"/>
  <c r="E1798" i="36"/>
  <c r="D976" i="36"/>
  <c r="E460" i="36"/>
  <c r="D2234" i="36"/>
  <c r="E2057" i="36"/>
  <c r="D1487" i="36"/>
  <c r="D1271" i="36"/>
  <c r="D865" i="36"/>
  <c r="D1566" i="36"/>
  <c r="G4" i="34"/>
  <c r="E871" i="36"/>
  <c r="D2220" i="36"/>
  <c r="E595" i="36"/>
  <c r="D550" i="36"/>
  <c r="E708" i="36"/>
  <c r="E597" i="36"/>
  <c r="D975" i="36"/>
  <c r="D1490" i="36"/>
  <c r="E993" i="36"/>
  <c r="E1102" i="36"/>
  <c r="F19" i="34"/>
  <c r="E2297" i="36"/>
  <c r="E872" i="36"/>
  <c r="D1131" i="36"/>
  <c r="E2206" i="36"/>
  <c r="E596" i="36"/>
  <c r="E2198" i="36"/>
  <c r="D872" i="36"/>
  <c r="D312" i="36"/>
  <c r="E1141" i="36"/>
  <c r="E306" i="36"/>
  <c r="G22" i="34"/>
  <c r="D707" i="36"/>
  <c r="D235" i="36"/>
  <c r="E312" i="36"/>
  <c r="F18" i="34"/>
  <c r="D993" i="36"/>
  <c r="D1788" i="36"/>
  <c r="E2332" i="36"/>
  <c r="E585" i="36"/>
  <c r="G15" i="34"/>
  <c r="F24" i="34"/>
</calcChain>
</file>

<file path=xl/comments1.xml><?xml version="1.0" encoding="utf-8"?>
<comments xmlns="http://schemas.openxmlformats.org/spreadsheetml/2006/main">
  <authors>
    <author>Giri, Subhasis</author>
  </authors>
  <commentList>
    <comment ref="B15" authorId="0">
      <text>
        <r>
          <rPr>
            <b/>
            <sz val="8"/>
            <color indexed="81"/>
            <rFont val="Tahoma"/>
            <family val="2"/>
          </rPr>
          <t>Adjust row heights when necessary</t>
        </r>
        <r>
          <rPr>
            <sz val="8"/>
            <color indexed="81"/>
            <rFont val="Tahoma"/>
            <family val="2"/>
          </rPr>
          <t xml:space="preserve">
</t>
        </r>
      </text>
    </comment>
    <comment ref="E15" authorId="0">
      <text>
        <r>
          <rPr>
            <b/>
            <sz val="8"/>
            <color indexed="81"/>
            <rFont val="Tahoma"/>
            <family val="2"/>
          </rPr>
          <t>Enter the quantity manually here</t>
        </r>
        <r>
          <rPr>
            <sz val="8"/>
            <color indexed="81"/>
            <rFont val="Tahoma"/>
            <family val="2"/>
          </rPr>
          <t xml:space="preserve">
</t>
        </r>
      </text>
    </comment>
    <comment ref="E114" authorId="0">
      <text>
        <r>
          <rPr>
            <b/>
            <sz val="8"/>
            <color indexed="81"/>
            <rFont val="Tahoma"/>
            <family val="2"/>
          </rPr>
          <t>If "user defined", enter value manually</t>
        </r>
        <r>
          <rPr>
            <sz val="8"/>
            <color indexed="81"/>
            <rFont val="Tahoma"/>
            <family val="2"/>
          </rPr>
          <t xml:space="preserve">
</t>
        </r>
      </text>
    </comment>
  </commentList>
</comments>
</file>

<file path=xl/sharedStrings.xml><?xml version="1.0" encoding="utf-8"?>
<sst xmlns="http://schemas.openxmlformats.org/spreadsheetml/2006/main" count="25751" uniqueCount="7614">
  <si>
    <t>Land Reclamation, Currently Mined Land (Ac.)</t>
  </si>
  <si>
    <t>Shallow Water Development and Management (Ac.)</t>
  </si>
  <si>
    <t>Riser, Corrugated Plastic, 36-inch Dia., with 24-inch Dia. Stub, Antivortex and Trash Guard, 8-feet High, Installed</t>
  </si>
  <si>
    <t>Water Control Structure, In-Line, 4-feet high, 6-inch pipe, Installed (pipe extra)</t>
  </si>
  <si>
    <t>Water Control Structure, In-Line, 4-feet high, 8-inch pipe, Installed (pipe extra)</t>
  </si>
  <si>
    <t>Well Decommissioning, Bedrock Well</t>
  </si>
  <si>
    <t>Well Decommissioning, Dug Well</t>
  </si>
  <si>
    <t>Well Decommissioning, Sand/Gravel Well</t>
  </si>
  <si>
    <t>Wood chips or bark, installed</t>
  </si>
  <si>
    <t>Zone Tillage or Para Plowing</t>
  </si>
  <si>
    <t>Welded wire fabric, sheets, 6 x 6 - W2.1 x W2.1 (8 x 8) 30 lb. per C.S.F., A185</t>
  </si>
  <si>
    <t>Welded wire fabric, sheets, 6 x 6 - W2.9 x W2.9 (6 x 6) 42 lb. per C.S.F., A185</t>
  </si>
  <si>
    <t>Seed, Detention Basin Mix (grasses, sedges and rushes)</t>
  </si>
  <si>
    <t>Sodding</t>
  </si>
  <si>
    <t>Structure Removal</t>
  </si>
  <si>
    <t>Tank Raceway Concrete</t>
  </si>
  <si>
    <t>Tank Raceway Fiberglass</t>
  </si>
  <si>
    <t>1 Cefi</t>
  </si>
  <si>
    <t xml:space="preserve">024113334320 </t>
  </si>
  <si>
    <t>B5</t>
  </si>
  <si>
    <t xml:space="preserve">024113334300 </t>
  </si>
  <si>
    <t xml:space="preserve">015436501150 </t>
  </si>
  <si>
    <t>A3D</t>
  </si>
  <si>
    <t xml:space="preserve">015436501100 </t>
  </si>
  <si>
    <t>A3A</t>
  </si>
  <si>
    <t xml:space="preserve">015436500020 </t>
  </si>
  <si>
    <t>B34N</t>
  </si>
  <si>
    <t xml:space="preserve">321216130130 </t>
  </si>
  <si>
    <t>B25</t>
  </si>
  <si>
    <t xml:space="preserve">034105101400 </t>
  </si>
  <si>
    <t>C11</t>
  </si>
  <si>
    <t xml:space="preserve">321613260550 </t>
  </si>
  <si>
    <t>B29</t>
  </si>
  <si>
    <t xml:space="preserve">333113254000 </t>
  </si>
  <si>
    <t>B20</t>
  </si>
  <si>
    <t xml:space="preserve">333113254010 </t>
  </si>
  <si>
    <t xml:space="preserve">333113254020 </t>
  </si>
  <si>
    <t xml:space="preserve">333113252120 </t>
  </si>
  <si>
    <t>B21</t>
  </si>
  <si>
    <t xml:space="preserve">333113252160 </t>
  </si>
  <si>
    <t xml:space="preserve">333113252080 </t>
  </si>
  <si>
    <t xml:space="preserve">333113252000 </t>
  </si>
  <si>
    <t xml:space="preserve">333113252040 </t>
  </si>
  <si>
    <t xml:space="preserve">334113402060 </t>
  </si>
  <si>
    <t>B14</t>
  </si>
  <si>
    <t xml:space="preserve">334113402080 </t>
  </si>
  <si>
    <t xml:space="preserve">334113402040 </t>
  </si>
  <si>
    <t xml:space="preserve">334113402540 </t>
  </si>
  <si>
    <t xml:space="preserve">334113402560 </t>
  </si>
  <si>
    <t xml:space="preserve">334113402520 </t>
  </si>
  <si>
    <t xml:space="preserve">334113402785 </t>
  </si>
  <si>
    <t xml:space="preserve">334113402790 </t>
  </si>
  <si>
    <t xml:space="preserve">334113402780 </t>
  </si>
  <si>
    <t xml:space="preserve">332113100100 </t>
  </si>
  <si>
    <t>B23</t>
  </si>
  <si>
    <t xml:space="preserve">332113101700 </t>
  </si>
  <si>
    <t>Q22</t>
  </si>
  <si>
    <t xml:space="preserve">332113101600 </t>
  </si>
  <si>
    <t>Q1</t>
  </si>
  <si>
    <t xml:space="preserve">332113101510 </t>
  </si>
  <si>
    <t xml:space="preserve">332113103000 </t>
  </si>
  <si>
    <t xml:space="preserve">332113101520 </t>
  </si>
  <si>
    <t xml:space="preserve">332113201040 </t>
  </si>
  <si>
    <t>1 Plum</t>
  </si>
  <si>
    <t xml:space="preserve">341113231000 </t>
  </si>
  <si>
    <t xml:space="preserve">313713100350 </t>
  </si>
  <si>
    <t>B11A</t>
  </si>
  <si>
    <t xml:space="preserve">313713100200 </t>
  </si>
  <si>
    <t xml:space="preserve">313713100300 </t>
  </si>
  <si>
    <t xml:space="preserve">313713100100 </t>
  </si>
  <si>
    <t>B12G</t>
  </si>
  <si>
    <t xml:space="preserve">313313104400 </t>
  </si>
  <si>
    <t>B56</t>
  </si>
  <si>
    <t xml:space="preserve">313313102020 </t>
  </si>
  <si>
    <t>2 Skwk</t>
  </si>
  <si>
    <t xml:space="preserve">040513950020 </t>
  </si>
  <si>
    <t xml:space="preserve">311313100300 </t>
  </si>
  <si>
    <t xml:space="preserve">311313100020 </t>
  </si>
  <si>
    <t>A1C</t>
  </si>
  <si>
    <t xml:space="preserve">311313100100 </t>
  </si>
  <si>
    <t xml:space="preserve">050505100380 </t>
  </si>
  <si>
    <t>E19</t>
  </si>
  <si>
    <t xml:space="preserve">050505100350 </t>
  </si>
  <si>
    <t>2 Sswk</t>
  </si>
  <si>
    <t xml:space="preserve">050505100360 </t>
  </si>
  <si>
    <t>3 Sswk</t>
  </si>
  <si>
    <t xml:space="preserve">050505100390 </t>
  </si>
  <si>
    <t xml:space="preserve">050505100370 </t>
  </si>
  <si>
    <t>4 Sswk</t>
  </si>
  <si>
    <t xml:space="preserve">311313101080 </t>
  </si>
  <si>
    <t>B84</t>
  </si>
  <si>
    <t xml:space="preserve">311313101020 </t>
  </si>
  <si>
    <t xml:space="preserve">311313101040 </t>
  </si>
  <si>
    <t xml:space="preserve">311313100500 </t>
  </si>
  <si>
    <t xml:space="preserve">311313100550 </t>
  </si>
  <si>
    <t xml:space="preserve">329223101200 </t>
  </si>
  <si>
    <t>B63</t>
  </si>
  <si>
    <t xml:space="preserve">329223100300 </t>
  </si>
  <si>
    <t xml:space="preserve">329223100700 </t>
  </si>
  <si>
    <t xml:space="preserve">329113160100 </t>
  </si>
  <si>
    <t xml:space="preserve">329113160200 </t>
  </si>
  <si>
    <t xml:space="preserve">329113160600 </t>
  </si>
  <si>
    <t xml:space="preserve">329113160650 </t>
  </si>
  <si>
    <t>B64</t>
  </si>
  <si>
    <t xml:space="preserve">329113161900 </t>
  </si>
  <si>
    <t xml:space="preserve">329113161950 </t>
  </si>
  <si>
    <t xml:space="preserve">310513100200 </t>
  </si>
  <si>
    <t xml:space="preserve">077123105800 </t>
  </si>
  <si>
    <t xml:space="preserve">077123104800 </t>
  </si>
  <si>
    <t xml:space="preserve">077123104900 </t>
  </si>
  <si>
    <t xml:space="preserve">074113200100 </t>
  </si>
  <si>
    <t>G3</t>
  </si>
  <si>
    <t xml:space="preserve">074213300100 </t>
  </si>
  <si>
    <t xml:space="preserve">323260100800 </t>
  </si>
  <si>
    <t>D1</t>
  </si>
  <si>
    <t xml:space="preserve">033053401120 </t>
  </si>
  <si>
    <t>C14A</t>
  </si>
  <si>
    <t xml:space="preserve">033053400720 </t>
  </si>
  <si>
    <t xml:space="preserve">033053403900 </t>
  </si>
  <si>
    <t>C14L</t>
  </si>
  <si>
    <t xml:space="preserve">033053403920 </t>
  </si>
  <si>
    <t>C14C</t>
  </si>
  <si>
    <t xml:space="preserve">033053403930 </t>
  </si>
  <si>
    <t xml:space="preserve">033053403925 </t>
  </si>
  <si>
    <t xml:space="preserve">033053404900 </t>
  </si>
  <si>
    <t>C14F</t>
  </si>
  <si>
    <t xml:space="preserve">033053404820 </t>
  </si>
  <si>
    <t xml:space="preserve">033053404840 </t>
  </si>
  <si>
    <t xml:space="preserve">033053403825 </t>
  </si>
  <si>
    <t xml:space="preserve">033105702100 </t>
  </si>
  <si>
    <t>C6</t>
  </si>
  <si>
    <t xml:space="preserve">033105701900 </t>
  </si>
  <si>
    <t xml:space="preserve">033105704600 </t>
  </si>
  <si>
    <t xml:space="preserve">033105704300 </t>
  </si>
  <si>
    <t xml:space="preserve">033105704900 </t>
  </si>
  <si>
    <t xml:space="preserve">033105350020 </t>
  </si>
  <si>
    <t xml:space="preserve">033105350150 </t>
  </si>
  <si>
    <t xml:space="preserve">033105350300 </t>
  </si>
  <si>
    <t xml:space="preserve">312316166030 </t>
  </si>
  <si>
    <t xml:space="preserve">312513101250 </t>
  </si>
  <si>
    <t>A2</t>
  </si>
  <si>
    <t xml:space="preserve">312513100020 </t>
  </si>
  <si>
    <t>B80A</t>
  </si>
  <si>
    <t xml:space="preserve">312513101200 </t>
  </si>
  <si>
    <t xml:space="preserve">312513100100 </t>
  </si>
  <si>
    <t>B1</t>
  </si>
  <si>
    <t>Concrete</t>
  </si>
  <si>
    <t>Excavating, trench or continuous footing, common earth,  1' to 4' deep, 3/8 C.Y. tractor loader/backhoe,excludes sheeting or dewatering</t>
  </si>
  <si>
    <t>Excavating, trench or continuous footing, common earth,  1' to 4' deep, 1/2 C.Y. tractor loader/backhoe,excludes sheeting or dewatering</t>
  </si>
  <si>
    <t>Excavating, trench or continuous footing, common earth,   4' to 6' deep, 1/2 C.Y. tractor loader/backhoe,excludes sheeting or dewatering</t>
  </si>
  <si>
    <t>Excavating, trench or continuous footing, common earth,   4' to 6' deep, 5/8 C.Y. hydraulic backhoe,excludes sheeting or dewatering</t>
  </si>
  <si>
    <t>Excavating, trench or continuous footing, common earth,   4' to 6' deep, 3/4 C.Y. hydraulic backhoe,excludes sheeting or dewatering</t>
  </si>
  <si>
    <t>Excavating, trench or continuous footing, common earth,   4' to 6' deep, 1/2 C.Y. hydraulic excavator, truck mounted, excludes sheeting or dewatering</t>
  </si>
  <si>
    <t>Excavating, trench or continuous footing, common earth,   6' to 10' deep, 3/4 C.Y. hydraulic backhoe, excludes sheeting or dewatering</t>
  </si>
  <si>
    <t>Excavating, trench or continuous footing, common earth,   6' to 10' deep, 1 C.Y. hydraulic backhoe, excludes sheeting or dewatering</t>
  </si>
  <si>
    <t>Stream Channel Stablization - 584</t>
  </si>
  <si>
    <t>Stream Crossing and Livestock Access - 728</t>
  </si>
  <si>
    <t>Stream Habitat Improvement and Management - 395</t>
  </si>
  <si>
    <t>Stripcropping, Field - 586</t>
  </si>
  <si>
    <t>Structure for Water Control - 587</t>
  </si>
  <si>
    <t>Subsurface Drain - 606</t>
  </si>
  <si>
    <t>Surface Drainage, Main or Lateral - 608</t>
  </si>
  <si>
    <t>Tree/Shrub Establishment - 612</t>
  </si>
  <si>
    <t>Tree/Shrub Pruning - 660</t>
  </si>
  <si>
    <t>Underground Outlet - 620</t>
  </si>
  <si>
    <t>Surface Inlet, Perforated,  incl., Fittings, Installed</t>
  </si>
  <si>
    <t>Upland Wildlife Habitat Management - 645</t>
  </si>
  <si>
    <t>Use Exclusion - 472</t>
  </si>
  <si>
    <t>see Fence- 382</t>
  </si>
  <si>
    <t>Vegetative Barrier - 601</t>
  </si>
  <si>
    <t>Trees/Shrubs-conifer bare root or containerized plugs 2-0 to 3-0 stock</t>
  </si>
  <si>
    <t>Trees/Shrubs-deciduous</t>
  </si>
  <si>
    <t>Vegetative Control - Chemical</t>
  </si>
  <si>
    <t>Trees/Shrubs (see Alley Cropping) Bare root or Containerized Plugs</t>
  </si>
  <si>
    <t>CuYd</t>
  </si>
  <si>
    <t>thousand linear feet</t>
  </si>
  <si>
    <t>square yard</t>
  </si>
  <si>
    <t>Field Operations, Services</t>
  </si>
  <si>
    <t>Water Supply - livestock</t>
  </si>
  <si>
    <t>Vegetative Establishment - Native prairie</t>
  </si>
  <si>
    <t>Site Clearing, Stripping and Stockpiling of Soil, adverse conditons, 400 H.P. Dozer</t>
  </si>
  <si>
    <t>Plant Material, Bare-root tubers and roots, Water plantain</t>
  </si>
  <si>
    <t xml:space="preserve"> Unit</t>
  </si>
  <si>
    <t>Cost PerUnit</t>
  </si>
  <si>
    <t>Excavation, bulk, open site, 80 H.P. dozer, 150' haul, sand and gravel</t>
  </si>
  <si>
    <t>Excavation, bulk, open site,80 H.P. dozer, 150' haul, common earth</t>
  </si>
  <si>
    <t>Excavation, bulk, open site, 80 H.P. dozer, 150' haul, clay</t>
  </si>
  <si>
    <t>Excavation, bulk, open site, 80 H.P. dozer, 300' haul, sand and gravel</t>
  </si>
  <si>
    <t>Linear Channel Earthen for Fish Raceway</t>
  </si>
  <si>
    <t>Forage Harvest Management - 511</t>
  </si>
  <si>
    <t>Managing the amount, orientation, and distribution of crop and other plant residue on the soil surface year-round, while growing crops in previously untilled soil or residue.</t>
  </si>
  <si>
    <t>Water Control Structure, In-Line, 12-inch pipe, Installed</t>
  </si>
  <si>
    <t>Water Control Structure, In-Line, 18-inch pipe, Installed</t>
  </si>
  <si>
    <t>Paving, asphaltic concrete, parking lots &amp; driveways, 6" stone base, 2" binder course, 1" topping</t>
  </si>
  <si>
    <t>Paving, asphaltic concrete, parking lots &amp; driveways, binder course, 2" thick</t>
  </si>
  <si>
    <t>sq ft</t>
  </si>
  <si>
    <t xml:space="preserve">Erosion Control Blanket, aspen excelsior with single netting 4' wide </t>
  </si>
  <si>
    <t xml:space="preserve">Erosion Control Blanket, straw with 1 degradable polypro netting 8' wide </t>
  </si>
  <si>
    <t>Erosion Control Blanket, Curlex heavy duty high velocity for extreme conditions with riprap</t>
  </si>
  <si>
    <t>Pest protection for trees/shrubs, fabric weed barrier</t>
  </si>
  <si>
    <t>Pest protection for trees/shrubs, Organic Mulch</t>
  </si>
  <si>
    <t>Pest protection, tree protectors (tubes, plastic rodent protectors, plastic mesh, wire mesh) includes installation with wood or metal stakes</t>
  </si>
  <si>
    <t>Vegetative barrier, layout, site preparation, plant material plugs, hand planting and weed control</t>
  </si>
  <si>
    <t>Pipe, Corrugated Plastic (Dual Wall), 12-inch, Incl. Fittings, installed with backhoe</t>
  </si>
  <si>
    <t>C.S.F.</t>
  </si>
  <si>
    <t>Excavating, structural, clay, till or blasted rock, for spread and mat footings, elevator pits, and small building foundations, 3/4 C.Y. bucket, machine excavation, hydraulic backhoe</t>
  </si>
  <si>
    <t>Tree thinning, feller buncher, conifer up to 12" diam.</t>
  </si>
  <si>
    <t>Tree thinning, feller buncher, conifer up to 8" diam.</t>
  </si>
  <si>
    <t>Excavating, structural, clay, till or blasted rock, for spread and mat footings, elevator pits, and small building foundations, 2 C.Y. bucket, machine excavation, hydraulic backhoe</t>
  </si>
  <si>
    <t>Herbaceous Wind Barriers - 422A</t>
  </si>
  <si>
    <t>Grade Stabilization Structure</t>
  </si>
  <si>
    <t>Removing irregularities on the land surface.</t>
  </si>
  <si>
    <t>RSMeans Line Number</t>
  </si>
  <si>
    <t>Pkg.</t>
  </si>
  <si>
    <t>Pipe, Corrugated Plastic Tubing (Single Wall, Perforated or non-Perforated), 12-inch, Incl. Fittings, installed with trencher</t>
  </si>
  <si>
    <t>Heavy Use Area Protection - 561</t>
  </si>
  <si>
    <t>Hedgerow Planting - 422</t>
  </si>
  <si>
    <t>Excavating, structural, common earth, for spread and mat footings, elevator pits, and small building foundations, 1/2 C.Y. bucket, machine excavation, hydraulic backhoe</t>
  </si>
  <si>
    <t>Filter Pack around well screen</t>
  </si>
  <si>
    <t>Tree thinning,  feller buncher,Hardwood up to 12" diam.</t>
  </si>
  <si>
    <t>Cut &amp; Chip trees to 24" diam. (if burning is allowed, reduce by 40%)</t>
  </si>
  <si>
    <t>Clearing brush with brush saw</t>
  </si>
  <si>
    <t>Clearing brush  by hand</t>
  </si>
  <si>
    <t>Clearing brush with dozer and brush rake, light brush</t>
  </si>
  <si>
    <t>Brush Mowing, Tractor w/rotary mower, no removal, light density</t>
  </si>
  <si>
    <t>Forest Site Preparation, Machine-Mechanical (includes equipment and labor)</t>
  </si>
  <si>
    <t>Grouting and Sealing mortar, hydraulic cement</t>
  </si>
  <si>
    <t>Grouting and Sealing mortar, bentonite-based grout</t>
  </si>
  <si>
    <t>Utility bedding for pipe and conduit, not incl. compaction, sand, dead or bank</t>
  </si>
  <si>
    <t>Utility bedding for pipe and conduit, compacting bedding in trench</t>
  </si>
  <si>
    <t>Site Preparation, removal of weeds and or brush for planting with mechnical means (no chemical treatment)</t>
  </si>
  <si>
    <t>Pipe, Reinforced Concrete, 36-inch, Incl. Fittings, Installed</t>
  </si>
  <si>
    <t>Bulldozing/tree and stump removal</t>
  </si>
  <si>
    <t>4 Ft. Treated Wood Overfall, 12 ft. weir</t>
  </si>
  <si>
    <t>A waterway or outlet having an erosion-resistant lining of concrete, stone, synthetic turf reinforcement fabrics, or other permanent material.</t>
  </si>
  <si>
    <t>Excavation, bulk, open site, 300 H.P. dozer, 300' haul, clay</t>
  </si>
  <si>
    <t>Riser, Corrugated Metal, 36-inch Dia., with 24-inch Dia. Stub, Antivortex and Trash Guard, 8-feet High, Installed</t>
  </si>
  <si>
    <t>Riser, Corrugated Metal, 36-inch Dia., with 30-inch Dia. Stub, Antivortex and Trash Guard, 5-feet High, Installed</t>
  </si>
  <si>
    <t>Site Clearing, Stripping and Stockpiling of Soil, ideal conditons, 200 H.P. Dozer</t>
  </si>
  <si>
    <t>Site Clearing, Stripping and Stockpiling of Soil, ideal conditons, 300 H.P. Dozer</t>
  </si>
  <si>
    <t>Site Clearing, Stripping and Stockpiling of Soil, ideal conditons, 400 H.P. Dozer</t>
  </si>
  <si>
    <t>Day</t>
  </si>
  <si>
    <t>Soil test, grid sampling, calibration of application equipment, recordkeeping; fertilizer use only</t>
  </si>
  <si>
    <t>Spoil Spreading</t>
  </si>
  <si>
    <t>Spot or band spraying</t>
  </si>
  <si>
    <t>Straw or hay mulch, installed</t>
  </si>
  <si>
    <t>Strip layout</t>
  </si>
  <si>
    <t>Subsoiling</t>
  </si>
  <si>
    <t>Access Port</t>
  </si>
  <si>
    <t>Disinfection</t>
  </si>
  <si>
    <t>Water Quality Testing, sampling and testing</t>
  </si>
  <si>
    <t>2 Ft. Treated Wood Overfall, 4 ft. weir</t>
  </si>
  <si>
    <t>ea.</t>
  </si>
  <si>
    <t>2 Ft. Treated Wood Overfall, 8 ft. weir</t>
  </si>
  <si>
    <t>3 Ft. Treated Wood Overfall, 6 ft. weir</t>
  </si>
  <si>
    <t>3 Ft. Treated Wood Overfall, 10 ft. weir</t>
  </si>
  <si>
    <t>4 Ft. Treated Wood Overfall, 8 ft. weir</t>
  </si>
  <si>
    <t>A liner for a pond or waste impoundment consisting of a compacted soil-betonies mixture.</t>
  </si>
  <si>
    <t>Pond Sealing or Lining - Flexible Membrane (No.)</t>
  </si>
  <si>
    <t>Pond Sealing or Lining - Soil Dispersant (No.)</t>
  </si>
  <si>
    <t>Prescribed Burning (Ac.)</t>
  </si>
  <si>
    <t>Apply controlled fire to predetermined area.</t>
  </si>
  <si>
    <t>Prescribed Grazing (Ac.)</t>
  </si>
  <si>
    <t>Managing the controlled harvest of vegetation with grazing animals.</t>
  </si>
  <si>
    <t>Pumping Plant (No.)</t>
  </si>
  <si>
    <t>Recreation Area Improvement (Ac.)</t>
  </si>
  <si>
    <t>Recreation Land Grading and Shaping (Ac.)</t>
  </si>
  <si>
    <t>Recreation Trail and Walkway (Ft.)</t>
  </si>
  <si>
    <t>Managing the amount, orientation, and distribution  of crop and other plant residue on the soil surface year-round, while limiting the soil-disturbing activities used to grow crops in systems where the field surface is tilled prior to planting.</t>
  </si>
  <si>
    <t>Residue Management, No-Till and Strip Till (Ac.)</t>
  </si>
  <si>
    <t>Residue Management, Ridge Till (Ac.)</t>
  </si>
  <si>
    <t>Managing the amount, orientation, and distribution of crop residue and other plant residues on the soil surface year-round, while growing crops on preformed ridges alternated with furrows protected by crop residue.</t>
  </si>
  <si>
    <t>Residue Management, Seasonal (Ac.)</t>
  </si>
  <si>
    <t>Restoration and Management of Declining Habitats (Ac.)</t>
  </si>
  <si>
    <t>Restoring and conserving rare or declining native vegetative communities and associated wildlife species to conserve biodiversity.</t>
  </si>
  <si>
    <t>Riparian Herbaceous Cover (Ac.)</t>
  </si>
  <si>
    <t>Riparian herbaceous cover is an area of grass or grass-like plants and forbs that are tolerant of intermittent flooding or saturated soils and that are established or managed in the transitional zone between terrestrial and aquatic habitats.</t>
  </si>
  <si>
    <t>Roof Runoff Structure (No.)</t>
  </si>
  <si>
    <t>A facility for collecting, controlling, and disposing of runoff water from roofs.</t>
  </si>
  <si>
    <t>Aquatic Plant Establishment</t>
  </si>
  <si>
    <t>Biological treatment - pest management</t>
  </si>
  <si>
    <t>Chemical application for burndown</t>
  </si>
  <si>
    <t>Chemical Weed Control</t>
  </si>
  <si>
    <t>Corridor Establishment</t>
  </si>
  <si>
    <t>Cultural Grazing (temporary fence)</t>
  </si>
  <si>
    <t>Corn cobs, sawdust or gravel, installed</t>
  </si>
  <si>
    <t>Conservation Crop Rotation - 328</t>
  </si>
  <si>
    <t>Constructed Wetland - 656</t>
  </si>
  <si>
    <t>Trees &amp; Shrubs, Jack Pine</t>
  </si>
  <si>
    <t>Trees &amp; Shrubs, Red Pine</t>
  </si>
  <si>
    <t>Trees &amp; Shrubs, White Pine</t>
  </si>
  <si>
    <t>Trees &amp; Shrubs, Black Locust</t>
  </si>
  <si>
    <t>Trees &amp; Shrubs, Imperial Carolina Poplar</t>
  </si>
  <si>
    <t>Trees &amp; Shrubs, Norway Spruce</t>
  </si>
  <si>
    <t>Trees &amp; Shrubs, Crabapple, Magenta 1-2'</t>
  </si>
  <si>
    <t>Trees &amp; Shrubs, Crabapple, Sargent 12 -18"</t>
  </si>
  <si>
    <t>Trees &amp; Shrubs, Serviceberry 5-10"</t>
  </si>
  <si>
    <t>Trees &amp; Shrubs, Conifer Seedlings</t>
  </si>
  <si>
    <t>Trees &amp; Shrubs, Red Pine  6-12"</t>
  </si>
  <si>
    <t>Trees &amp; Shrubs, White Pine 12-18"</t>
  </si>
  <si>
    <t>Trees &amp; Shrubs, White Pine 6-12"</t>
  </si>
  <si>
    <t>Trees &amp; Shrubs, White Spruce 10-16"</t>
  </si>
  <si>
    <t>Trees &amp; Shrubs, Conifer Transplants</t>
  </si>
  <si>
    <t>Trees &amp; Shrubs, Blue Spruce 12-18"</t>
  </si>
  <si>
    <t>Trees &amp; Shrubs, Norway Spruce 12-18"</t>
  </si>
  <si>
    <t>Trees &amp; Shrubs, White Cedar 10-18"</t>
  </si>
  <si>
    <t>Trees &amp; Shrubs, White Cedar 2-3'</t>
  </si>
  <si>
    <t>Trees &amp; Shrubs, White Spruce 12-18"</t>
  </si>
  <si>
    <t>Trees &amp; Shrubs, Norway Spruce 10-16"</t>
  </si>
  <si>
    <t>Trees &amp; Shrubs, White Spruce</t>
  </si>
  <si>
    <t>Trees &amp; Shrubs, American Cranberrybush</t>
  </si>
  <si>
    <t>Trees &amp; Shrubs, Arnot' Bristly Locust</t>
  </si>
  <si>
    <t>Trees &amp; Shrubs, Autumn Olive</t>
  </si>
  <si>
    <t>Trees &amp; Shrubs, Cottonwood</t>
  </si>
  <si>
    <t>Trees &amp; Shrubs, Crabapple</t>
  </si>
  <si>
    <t>Trees &amp; Shrubs, Gray Dogwood</t>
  </si>
  <si>
    <t>Trees &amp; Shrubs, Hawthorn</t>
  </si>
  <si>
    <t>Trees &amp; Shrubs, Nannyberry</t>
  </si>
  <si>
    <t>Trees &amp; Shrubs, Red Osier Dogwood</t>
  </si>
  <si>
    <t>Trees &amp; Shrubs, Serviceberry</t>
  </si>
  <si>
    <t>Trees &amp; Shrubs, Silky Dogwood</t>
  </si>
  <si>
    <t>Trees &amp; Shrubs, Willow</t>
  </si>
  <si>
    <t>Trees &amp; Shrubs, Blue Spruce 10-16"</t>
  </si>
  <si>
    <t>Trees &amp; Shrubs, Older-age and medium to larger size planting stock, including bare rooted, transplants, balled and burlap and container grown stock</t>
  </si>
  <si>
    <t>Trees &amp; Shrubs, Bare root or Containerized Plugs</t>
  </si>
  <si>
    <t>Trees &amp; Shrubs, conifer bare root or containerized plugs 2-0 to 3-0 stock</t>
  </si>
  <si>
    <t>Trees &amp; Shrubs, deciduous</t>
  </si>
  <si>
    <t>Trees &amp; Shrubs, transplants, bare root stock</t>
  </si>
  <si>
    <t>Trees &amp; Shrubs, Tamarack (Larch) 12-18"</t>
  </si>
  <si>
    <t>Materials:</t>
  </si>
  <si>
    <t>Vegetation (see Critical Area Planting for materials)</t>
  </si>
  <si>
    <t>Seed, Red Fescue</t>
  </si>
  <si>
    <t>Seed, Forbs</t>
  </si>
  <si>
    <t>Seed, June grass</t>
  </si>
  <si>
    <t>Seed, Prairie Cord grass</t>
  </si>
  <si>
    <t>Seed, Wildflowers/forbs</t>
  </si>
  <si>
    <t>Fence, Line post insulators</t>
  </si>
  <si>
    <t>Fence, Wire Ties</t>
  </si>
  <si>
    <t>Fence, Steel post 7'  "T"</t>
  </si>
  <si>
    <t>Fence, Steel Posts.  (15 Ft.)</t>
  </si>
  <si>
    <t>Fence, post 6" treated wood, 15 ft.</t>
  </si>
  <si>
    <t>Fence, post 4" x 8' treated wood</t>
  </si>
  <si>
    <t>Fence, post 5" x 8'  treated wood</t>
  </si>
  <si>
    <t>Fence, post 6" x 8' treated wood</t>
  </si>
  <si>
    <t>Fence, Barbed Wire, 15 1/2 gauge, 660 to 1,000 ft rolls</t>
  </si>
  <si>
    <t>Fence, Wrap around insul. 20"</t>
  </si>
  <si>
    <t>Fence, Crimps</t>
  </si>
  <si>
    <t>Fence, Ground Rod w/ Clamp</t>
  </si>
  <si>
    <t>Fence, Energizer battery unit, high end of price range</t>
  </si>
  <si>
    <t>Fence, Energizer battery unit, low end of price range</t>
  </si>
  <si>
    <t>Fence, Energizer battery unit, middle of price range</t>
  </si>
  <si>
    <t>Fence, Energizer 110 volt unit, Low end of price range</t>
  </si>
  <si>
    <t>Fence, Energizer 110 volt unit, high end of price range</t>
  </si>
  <si>
    <t>Fence, Energizer 110 volt unit, middle of price range</t>
  </si>
  <si>
    <t>Trough or Tank, Poly.,40 gal.</t>
  </si>
  <si>
    <t>Trough or Tank, Poly., 110 gal.</t>
  </si>
  <si>
    <t>Trough or Tank, Poly.,60 gal.</t>
  </si>
  <si>
    <t>Trough or Tank, Poly.,25 gal.</t>
  </si>
  <si>
    <t>Trough or Tank, Galv., large 10'</t>
  </si>
  <si>
    <t>Trough or Tank, Galv., medium 6-8'</t>
  </si>
  <si>
    <t>Trough or Tank, Galv., small 3-4'</t>
  </si>
  <si>
    <t>Trough or Tank, flow water valves</t>
  </si>
  <si>
    <t>Trough or Tank, back flow preventer</t>
  </si>
  <si>
    <t>Pipe, Coupling 1"</t>
  </si>
  <si>
    <t>Pipe, Coupling 1 1/4"</t>
  </si>
  <si>
    <t>Pipe, 90 Elbow 1"</t>
  </si>
  <si>
    <t>Pipe, 90 Elbow 1 1/4"</t>
  </si>
  <si>
    <t>Pipe, Tee 1"</t>
  </si>
  <si>
    <t>Pipe, Tee 1 1/4"</t>
  </si>
  <si>
    <t>Pipe, anti-siphon valve</t>
  </si>
  <si>
    <t>Seed, Cool Season Mix</t>
  </si>
  <si>
    <t>Seed, Cool Season Grass Mix</t>
  </si>
  <si>
    <t>Seed, Warm Season Mix</t>
  </si>
  <si>
    <t>Seed, Warm Season with Wildflower Mix</t>
  </si>
  <si>
    <t xml:space="preserve">Seeding, Drill </t>
  </si>
  <si>
    <t>Seeding, Broadcast</t>
  </si>
  <si>
    <t>Dozer</t>
  </si>
  <si>
    <t>Tree/Shrub Site Preparation (Ac.)</t>
  </si>
  <si>
    <t>Use Exclustion (Ac.)</t>
  </si>
  <si>
    <t>Discipline specialist</t>
  </si>
  <si>
    <t>Forester</t>
  </si>
  <si>
    <t>Grazing Land Specialist</t>
  </si>
  <si>
    <t>Engineer</t>
  </si>
  <si>
    <t>Biologist / Engineer</t>
  </si>
  <si>
    <t>Agronomist</t>
  </si>
  <si>
    <t>Biologist</t>
  </si>
  <si>
    <t>Agronomist / Engineer</t>
  </si>
  <si>
    <t>Water Quality Specialist</t>
  </si>
  <si>
    <t>Current Staff person (lead contact for cost development scenarios)</t>
  </si>
  <si>
    <t>Steve Davis</t>
  </si>
  <si>
    <t>Andy Henriksen</t>
  </si>
  <si>
    <t>Betsy Dierberger</t>
  </si>
  <si>
    <t>Chris Reidy</t>
  </si>
  <si>
    <t>Suzanne Reamer</t>
  </si>
  <si>
    <t>Jerry Grigar</t>
  </si>
  <si>
    <t>Fred Gasper</t>
  </si>
  <si>
    <t>Ruth Shaffer</t>
  </si>
  <si>
    <t>Earthwork, Mobilization or demobilization, up to 25 mi haul dist (50 mile round trip mobilize/demob), dozers, loader, backhoe, excav., grader, 70 to 150 HP</t>
  </si>
  <si>
    <t>Earthwork, Mobilization or demobilization, up to 25 mi haul dist (50 mile round trip mobilize/demob), dozers, loader, backhoe, excav., grader, above 150 HP</t>
  </si>
  <si>
    <t>S.F.</t>
  </si>
  <si>
    <t>Fencing, 3 strand barbed wire</t>
  </si>
  <si>
    <t>Fencing, Electric,  Single Strand, Smooth Wire, Installed</t>
  </si>
  <si>
    <t>Fencing, Smooth 5-Wire, Installed</t>
  </si>
  <si>
    <t>Fencing, Woven Wire, Installed</t>
  </si>
  <si>
    <t>Firebreak, Permanent Vegetative Seeding (grasses or forbes)</t>
  </si>
  <si>
    <t>Herbaceous wind barrier, Annual cool season, site preparation, seed, fertilizer, planting</t>
  </si>
  <si>
    <t>Herbaceous wind barrier, Annual warm season, site preparation, seed, fertilizer, planting</t>
  </si>
  <si>
    <t>Herbaceous wind barrier, perennial cool season, site preparation, seed, fertilizer, planting</t>
  </si>
  <si>
    <t>Herbaceous wind barrier, Perennial warm season, site preparation, seed, fertilizer, planting</t>
  </si>
  <si>
    <t>Herbicides, includes application</t>
  </si>
  <si>
    <t>Linear Channel Concrete for Fish Raceway</t>
  </si>
  <si>
    <t>Herbicide, AquaNeat for wetland applications, 2 1/2 gallon container</t>
  </si>
  <si>
    <t>Herbicide, Accord for wetland applications, 2 1/2 gallon container</t>
  </si>
  <si>
    <t>Tank Raceway Metal</t>
  </si>
  <si>
    <t>Concrete block, back-up, normal weight, tooled joint one side, 2000 psi, 8" x 8" x 16", includes mortar, excludes scaffolding, horizontal reinforcing, vertical reinforcing and grout</t>
  </si>
  <si>
    <t>Concrete Culverts, corrugated galvanized or aluminum oval arch culverts, coated &amp; paved, 57" x 38", 48" equivalent, 12 ga., excludes excavation and backfill</t>
  </si>
  <si>
    <t>Concrete Culverts, steel, plain oval arch culverts, end sections, 17" x 13", excludes excavation and backfill</t>
  </si>
  <si>
    <t>Concrete Culverts, steel, plain oval arch culverts, end sections, 42" x 29", excludes excavation and backfill</t>
  </si>
  <si>
    <t>Concrete Culverts, steel, plain oval arch culverts, plain, 57" x 38", 48" equivalent, 12 ga., excludes excavation and backfill</t>
  </si>
  <si>
    <t>Concrete finishing, floors, manual screed, bull float, manual float</t>
  </si>
  <si>
    <t>Concrete paving surface treatment, 4500 psi, fixed form, unreinforced, 12' pass, 6" thick, includes joints, finishing, and curing</t>
  </si>
  <si>
    <t>Concrete paving surface treatment, 4500 psi, fixed form, unreinforced, 24' pass, 6" thick, includes joints, finishing, and curing</t>
  </si>
  <si>
    <t>2x2x4 Large Concrete blocks, placed</t>
  </si>
  <si>
    <t>lifespan</t>
  </si>
  <si>
    <t>Mobilization</t>
  </si>
  <si>
    <t>Excavation, bulk, open site, 80 H.P. dozer, 50' haul, sand and gravel</t>
  </si>
  <si>
    <t>Excavation, bulk, open site, 80 H.P. dozer, 50' haul, common earth</t>
  </si>
  <si>
    <t>Excavation, bulk, open site, 80 H.P. dozer, 50' haul, clay</t>
  </si>
  <si>
    <t>Excavating, structural, sand and gravel, for spread and mat footings, elevator pits, and small building foundations, 1 C.Y. bucket, machine excavation, hydraulic backhoe</t>
  </si>
  <si>
    <t>Excavating, structural,  sand and gravel, for spread and mat footings, elevator pits, and small building foundations,1-1/2 C.Y. bucket, machine excavation, hydraulic backhoe</t>
  </si>
  <si>
    <t>Urban Ground Covers and Shrubs, Buglewood</t>
  </si>
  <si>
    <t>Urban Ground Covers and Shrubs, Japanese Spurge</t>
  </si>
  <si>
    <t>Urban Ground Covers and Shrubs, Juniper</t>
  </si>
  <si>
    <t>Urban Ground Covers and Shrubs, Lily-of-the-Valley</t>
  </si>
  <si>
    <t>Urban Ground Covers and Shrubs, Sedum album</t>
  </si>
  <si>
    <t>Urban Ground Covers and Shrubs, Stonecrop, Goldmoss</t>
  </si>
  <si>
    <t>Urban Ground Covers and Shrubs, Virginia Creeper</t>
  </si>
  <si>
    <t>Base Stone</t>
  </si>
  <si>
    <t>Pipe, Corrugated Plastic Tubing (Single Wall, Perforated or non-Perforated), 6-inch, Incl. Fittings, installed with backhoe</t>
  </si>
  <si>
    <t>Railroad Rail for steel beams, new only</t>
  </si>
  <si>
    <t>Hauling, excavated or borrow material, loose cubic yards, 12 CY dump truck, 1 mile round trip, 2.7 loads/hour, highway haulers, excludes loading</t>
  </si>
  <si>
    <t>Excluding animals, people, or vehicles from an area.</t>
  </si>
  <si>
    <t>Permanent strips of stiff, dense vegetation along the general contour of slopes or across concentrated flow areas.</t>
  </si>
  <si>
    <t>Using agricultural wastes such as manure and wastewater or other organic residues.</t>
  </si>
  <si>
    <t>A treatment component of an agricultural waste management system consisting of a strip or area of herbaceous vegetation.</t>
  </si>
  <si>
    <t>A hole drilled, driven, bored, jetted, or otherwise constructed to an aquifer.</t>
  </si>
  <si>
    <t>The plugging and permanent closure of a well no longer in use.</t>
  </si>
  <si>
    <t>658</t>
  </si>
  <si>
    <t>659</t>
  </si>
  <si>
    <t>657</t>
  </si>
  <si>
    <t>Trenching with chain trencher, 12 H.P., operator walking, common earth, 6" wide trench, 24" deep</t>
  </si>
  <si>
    <t>Trenching with chain trencher, 12 H.P., operator walking, common earth, 6" wide trench, 36" deep</t>
  </si>
  <si>
    <t>Soil test including pre side dress nitrogen test, composite sampling, manure testing, calibration of application equipment, recordkeeping; manure and fertilizer use</t>
  </si>
  <si>
    <t>Corrugated metal pipe, galvanized uncoated, 20' lengths, 16 ga., 10" diameter, excludes excavation and backfill</t>
  </si>
  <si>
    <t>Corrugated metal pipe, galvanized uncoated, 20' lengths, 16 ga., 18" diameter, excludes excavation and backfill</t>
  </si>
  <si>
    <t>Corrugated metal pipe, galvanized uncoated, 20' lengths, 14 ga., 24" diameter, excludes excavation and backfill</t>
  </si>
  <si>
    <t>Corrugated metal pipe, galvanized uncoated, 20' lengths, 14 ga., 30" diameter, excludes excavation and backfill</t>
  </si>
  <si>
    <t>Corrugated metal pipe, galvanized uncoated, 20' lengths, 12 ga., 36" diameter, excludes excavation and backfill</t>
  </si>
  <si>
    <t>Trees &amp; Shrubs, Serviceberry  (June Berry) 5-10"</t>
  </si>
  <si>
    <t>Concrete in Place,  concrete forms, footing, continuous wall, plywood, 3 use, includes erecting, bracing, stripping and cleaning</t>
  </si>
  <si>
    <t>Concrete in Place, concrete forms, footing, continuous wall, plywood, 2 use, includes erecting, bracing, stripping and cleaning</t>
  </si>
  <si>
    <t>Concrete in Place, concrete forms, footing, continuous wall, plywood, 4 use, includes erecting, bracing, stripping and cleaning</t>
  </si>
  <si>
    <t>Concrete in Place, concrete forms, footing, for keyway hung from supports, add</t>
  </si>
  <si>
    <t>Concrete in Place, concrete forms, footing, spread, plywood, 1 use, includes erecting, bracing, stripping and cleaning</t>
  </si>
  <si>
    <t>Concrete in Place, concrete forms, footing, spread, plywood, 2 use, includes erecting, bracing, stripping and cleaning</t>
  </si>
  <si>
    <t>Concrete in Place, concrete forms, footing, spread, plywood, 3 use, includes erecting, bracing, stripping and cleaning</t>
  </si>
  <si>
    <t>Concrete in Place,C. concrete forms, footing, spread, plywood, 4 use, includes erecting, bracing, stripping and cleaning</t>
  </si>
  <si>
    <t>Concrete in Place, concrete forms, slab on grade, curb, wood, 6" to 12" high, 1 use, includes erecting, bracing, stripping and cleaning</t>
  </si>
  <si>
    <t>Concrete in Place, concrete forms, slab on grade, curb, wood, 6" to 12" high, 2 use, includes erecting, bracing, stripping and cleaning</t>
  </si>
  <si>
    <t>Concrete in Place, concrete forms, slab on grade, curb, wood, 6" to 12" high, 3 use, includes erecting, bracing, stripping and cleaning</t>
  </si>
  <si>
    <t>Concrete in Place, concrete forms, slab on grade, curb, wood, 6" to 12" high, 4 use, includes erecting, bracing, stripping and cleaning</t>
  </si>
  <si>
    <t>Concrete in Place, concrete forms, slab on grade, edge, wood, 7" to 12" high, 4 use, includes erecting, bracing, stripping and cleaning</t>
  </si>
  <si>
    <t>Concrete in Place, concrete forms, slab on grade, edge, wood, to 6" high, 4 use, includes erecting, bracing, stripping and cleaning</t>
  </si>
  <si>
    <t>Concrete in Place, concrete forms, walls, modular prefabricated plywood, over 8' to 16' high, 2 use per month, includes erecting, bracing, stripping and cleaning</t>
  </si>
  <si>
    <t>Concrete in Place, concrete forms, walls, modular prefabricated plywood, over 8' to 16' high, 3 use per month, includes erecting, bracing, stripping and cleaning</t>
  </si>
  <si>
    <t>Practice Code</t>
  </si>
  <si>
    <t>Gravel, 22A or 23 A (Road Gravel), delivered</t>
  </si>
  <si>
    <t>Gravel, Bank Run, delivered</t>
  </si>
  <si>
    <t>ton</t>
  </si>
  <si>
    <t>Pipe, PE, 2-1/2-inch, Incl. Fittings, Installed (water supply)</t>
  </si>
  <si>
    <t>Pond - 378</t>
  </si>
  <si>
    <t>Pond Sealing or Lining - Bentonite Treatment - 521C</t>
  </si>
  <si>
    <t>Backfill, structural, sand and gravel, 75 H.P. dozer, 300' haul, no compaction</t>
  </si>
  <si>
    <t>Recreation Area Improvement - 562</t>
  </si>
  <si>
    <t>Tree Pruning - Trees up to 10 ft. (includes labor and equipment)</t>
  </si>
  <si>
    <t>Tree Pruning - Trees 10 up to 18ft. (includes labor and equipment)</t>
  </si>
  <si>
    <t>Tree Pruning - Trees 18 ft. up to 26 ft. (includes labor and equipment)</t>
  </si>
  <si>
    <t>Recreation Land Grading and Shaping - 566</t>
  </si>
  <si>
    <t>Slab bolsters, for reinforcing steel, continuous, plastic, 1" to 2" high, includes material only</t>
  </si>
  <si>
    <t>Slab bolsters, for reinforcing steel, for bolsters with wire runners, add, includes material only</t>
  </si>
  <si>
    <t>Aggregate, Borrow spread 200 HP dozer, no compaction, sand, washed, concrete dead or bank sand</t>
  </si>
  <si>
    <t>A manufactured hydraulic barrier consisting of a functionally continuous sheet of synthetic or partially synthetic, flexible material.</t>
  </si>
  <si>
    <t>521B</t>
  </si>
  <si>
    <t>A liner for a pond or waste impoundment consisting of a compacted soil-dispersant mixture.</t>
  </si>
  <si>
    <t>A pumping facility installed to transfer water for a conservation need.</t>
  </si>
  <si>
    <t>Establishing grasses, legumes, vines, shrubs, trees, or other plants or selectively reducing stand density and trimming woody plants to improve an area for recreation.</t>
  </si>
  <si>
    <t>Reshaping the surface of the land to support recreational land use.</t>
  </si>
  <si>
    <t>A pathway for pedestrian, equestrian, bicycle, and other off-road modes of travel through or to recreation resources.</t>
  </si>
  <si>
    <t>Brush Management (Ac.)</t>
  </si>
  <si>
    <t>Agrichemical Handling Facility  (No.)</t>
  </si>
  <si>
    <t>Access Road (Ft.)</t>
  </si>
  <si>
    <t>Agrichemical Handling Facility (No.)</t>
  </si>
  <si>
    <t xml:space="preserve">An impermeable barrier and containment placed or constructed on the ground where agricultural storage, loading, mixing, and clean-up occur. </t>
  </si>
  <si>
    <t>Anaerobic Digester - Controlled Temperature (No.)</t>
  </si>
  <si>
    <t>Animal Trails and Walkways (Ft.)</t>
  </si>
  <si>
    <t xml:space="preserve">Established lanes or travel-ways that facilitate animal movement.  </t>
  </si>
  <si>
    <t>Aquaculture Ponds (Ac.)</t>
  </si>
  <si>
    <t>Removal, reduction, or manipulation of non-herbaceous plants.</t>
  </si>
  <si>
    <t>Channel Stabilization (Ft.)</t>
  </si>
  <si>
    <t>Clearing and Snagging (Ft.)</t>
  </si>
  <si>
    <t>Closure of Waste Impoundments (No.)</t>
  </si>
  <si>
    <t>Grout, for bond beams, lintels and concrete masonry unit (CMU) cores, C476, includes material only</t>
  </si>
  <si>
    <t>C.F.</t>
  </si>
  <si>
    <t>Grout, non-shrink, for column and machine bases, non-metallic, 1" deep</t>
  </si>
  <si>
    <t>Line post insulators</t>
  </si>
  <si>
    <t>loader skid steer with operator and fuel</t>
  </si>
  <si>
    <t>hr</t>
  </si>
  <si>
    <t>Mobilization or demobilization, delivery charge for equipment, on flatbed trailer behind pickup truck, maximum</t>
  </si>
  <si>
    <t>Mobilization or demobilization, delivery charge for small equipment, placed in rear of, or towed by pickup, minimum</t>
  </si>
  <si>
    <t>Mobilization or demobilization, dozer, loader, backhoe or excavator, 70 H.P. to 150 H.P., up to 50 miles</t>
  </si>
  <si>
    <t>Pest Control - scouting</t>
  </si>
  <si>
    <t>Pest protection, Tree Collars</t>
  </si>
  <si>
    <t>Plant-mix asphalt paving, for highways and large paved areas, binder course, 2-1/2" thick</t>
  </si>
  <si>
    <t>Precast beam, rectangular, 30' span, 12" x 36", includes material only</t>
  </si>
  <si>
    <t>Precast concrete curbs, straight, 6" x 18"</t>
  </si>
  <si>
    <t>Mulching, wood chips/barks, hand spread</t>
  </si>
  <si>
    <t>Mulching, wood chips/barks, skid steer loader</t>
  </si>
  <si>
    <t>Tillage, planting, and other farming operations performed on or near the contour of the field slope.</t>
  </si>
  <si>
    <t>Planting orchards, vineyards, or small fruits so that all cultural practices are done on the contour.</t>
  </si>
  <si>
    <t>Cover Crop (Ac.)</t>
  </si>
  <si>
    <t>Tree Marking materials - paint</t>
  </si>
  <si>
    <t>Labor, hand work with tools</t>
  </si>
  <si>
    <t>hr.</t>
  </si>
  <si>
    <r>
      <t>8 hrs. of earth movement (shaping and grading) @ $110/hr to install ditches and the road surface (</t>
    </r>
    <r>
      <rPr>
        <b/>
        <sz val="10"/>
        <rFont val="Times New Roman"/>
        <family val="1"/>
      </rPr>
      <t>on-site fill)</t>
    </r>
    <r>
      <rPr>
        <sz val="10"/>
        <rFont val="Times New Roman"/>
        <family val="1"/>
      </rPr>
      <t>/ 100 ft.</t>
    </r>
  </si>
  <si>
    <t>sell trees for chip or burn at no extra cost</t>
  </si>
  <si>
    <t>1 20ft galvaized culvert @ $ /ft /100 ft.</t>
  </si>
  <si>
    <t>1 water bar; 20ft wide @ $/ft</t>
  </si>
  <si>
    <t>20 tons of base stone/100 ft</t>
  </si>
  <si>
    <t>20 tons of cap stone-gravel/100ft @ $/ton</t>
  </si>
  <si>
    <t>spread and grade stone @ $/hr for 1 hour/100 ft</t>
  </si>
  <si>
    <t>Offical Unit = Ft.</t>
  </si>
  <si>
    <t>500 lbs. lime/ 100 ft road @$/lb</t>
  </si>
  <si>
    <t>10 lbs grass seed/100ft of road @ $/lb</t>
  </si>
  <si>
    <t xml:space="preserve">1/4 ton small grain mulch </t>
  </si>
  <si>
    <t/>
  </si>
  <si>
    <t>Deflectors for stream habitat improvement by each</t>
  </si>
  <si>
    <t>Deflectors for stream habitat improvement by lin ft</t>
  </si>
  <si>
    <t>Fence end bracing</t>
  </si>
  <si>
    <t>Fencing, all varieties without bracing and gates</t>
  </si>
  <si>
    <t>Fence, 12' Steel Tube Gates, installed</t>
  </si>
  <si>
    <t>Fence, 16' Steel Tube Gates, installed</t>
  </si>
  <si>
    <t>Tillage</t>
  </si>
  <si>
    <t>ac</t>
  </si>
  <si>
    <t>Seed, Grass, Orchard Grass</t>
  </si>
  <si>
    <t>Waste Storage Facility - 313</t>
  </si>
  <si>
    <t>Waste Utilization - 633</t>
  </si>
  <si>
    <t>Testing, permit cost, calibration of application equipment, recordkeeping</t>
  </si>
  <si>
    <t>Water and Sediment Control Basin - 638</t>
  </si>
  <si>
    <t>Refer to Underground Outlet for outlet</t>
  </si>
  <si>
    <t>Water Well - 642</t>
  </si>
  <si>
    <t>Well Casing, 4-inch, Installed</t>
  </si>
  <si>
    <t>Grading and Shaping, Grassed Channelized Filter Strip (up to 40 feet wide), Installed</t>
  </si>
  <si>
    <t>Firebreak - 394</t>
  </si>
  <si>
    <t>Item</t>
  </si>
  <si>
    <t>Grub Stumps and Remove trees to12" diam.</t>
  </si>
  <si>
    <t>Clearing brush with dozer, ball and chain, medium clearing</t>
  </si>
  <si>
    <t>cubic yard</t>
  </si>
  <si>
    <t>foot</t>
  </si>
  <si>
    <t>square foot</t>
  </si>
  <si>
    <t>Structural concrete, placing, slab on grade, direct chute, over 6" thick, includes vibrating, excludes material</t>
  </si>
  <si>
    <t>Reviewers comment on all content optional at this time</t>
  </si>
  <si>
    <t>Vegetative Establishment - Native shrub</t>
  </si>
  <si>
    <t>Vegetative Establishment - Native trees</t>
  </si>
  <si>
    <t>Vine Removal in forest</t>
  </si>
  <si>
    <t>Weed Control for trees - Herbicides and application (hand)</t>
  </si>
  <si>
    <t>Weed Control for trees - Herbicides and application (machine)</t>
  </si>
  <si>
    <t>Site Prep Cut and chip medium trees to 12' diameter</t>
  </si>
  <si>
    <t>Site Prep Grub stumps and remove, to 12" diameter</t>
  </si>
  <si>
    <t>Site Prep Cut and chip heavy trees to 24" daimeter</t>
  </si>
  <si>
    <t>Site Prep Grub stumps and remove, to 24" diameter</t>
  </si>
  <si>
    <t>Netting and/or erosion control blanket, including materials, labor and installation to be with cool or warm season planting.</t>
  </si>
  <si>
    <t>Roof, Hoop Structure, up to 40 FT span, Installed</t>
  </si>
  <si>
    <t>Roof, Truss Structure, greater than 40 FT span, Installed</t>
  </si>
  <si>
    <t>Roof, Truss Structure, up to 40 FT span, Installed</t>
  </si>
  <si>
    <t>sq.FT</t>
  </si>
  <si>
    <t>Safety Cable, posts, 1/2" steel cable, labor, installed</t>
  </si>
  <si>
    <t>Staff Gauge</t>
  </si>
  <si>
    <t>Brush Mowing, Tractor w/rotary mower, no removal, medium density</t>
  </si>
  <si>
    <t>Clearing brush with dozer and brush rake, medium brush</t>
  </si>
  <si>
    <r>
      <t>Seed, Warm Season Grass, Prairie Sand Reed.</t>
    </r>
    <r>
      <rPr>
        <sz val="9"/>
        <color indexed="17"/>
        <rFont val="Arial"/>
        <family val="2"/>
      </rPr>
      <t xml:space="preserve">  (Michigan NRCS-PMC just received name clearance for the Koch Prarie sandreed.)  Dave Burgdorf stated that they do not know of any growers of the material as of yet.  They need to get growers established.  RNH 03/16/07</t>
    </r>
  </si>
  <si>
    <t>Clearing of mine shafts and adits of trash, debris, metal, timber, wire and other materials</t>
  </si>
  <si>
    <t>Tree Removal, 300 HP Dozer, up to 400 trees per acre, 25-50% hardwoods</t>
  </si>
  <si>
    <t>Seed, Reed's Canary Grass</t>
  </si>
  <si>
    <t>Seed, Tall Fescue</t>
  </si>
  <si>
    <t>Seed, Tall Wheatgrass</t>
  </si>
  <si>
    <t>Seed, Intermediate Wheatgrass</t>
  </si>
  <si>
    <t>Seed, Timothy</t>
  </si>
  <si>
    <t>Seed, Smooth Brome Grass</t>
  </si>
  <si>
    <t>Seed, Garrison Creeping Foxtail</t>
  </si>
  <si>
    <t>Steel Roofing, on steel frame, corrugated or ribbed, galvanized, 24 gauge</t>
  </si>
  <si>
    <t>Pipe, Corrugated Metal, 36-inch, Incl. Fittings, Installed</t>
  </si>
  <si>
    <t>Hardwood Trees, Maple, Sugar 4-5'</t>
  </si>
  <si>
    <t>The estimated number of farms in Michigan in 2006 was 53,000, according to USDA's National Agriculture Statistics Service (NASS).  MICHIGAN FARM AVERAGE IS 191 ACRES. 12/31/06</t>
  </si>
  <si>
    <t>M.L.F.</t>
  </si>
  <si>
    <t>pkt.</t>
  </si>
  <si>
    <t>1,000 gal.</t>
  </si>
  <si>
    <t>Pipe, Corrugated Plastic Tubing (Single Wall, Perforated or non-Perforated), 4-inch, Incl. Fittings, Installed</t>
  </si>
  <si>
    <t>Pipe, Corrugated Plastic Tubing (Single Wall, Perforated or non-Perforated), 6-inch, Incl. Fittings, Installed</t>
  </si>
  <si>
    <t>Minor site demolition, slab on grade , rod reinforced, 8" thick, remove, excludes hauling</t>
  </si>
  <si>
    <t>Hauling, excavated or borrow material, loose cubic yards, 6 CY dump truck, 1/4 mile round trip, 5 loads/hour, highway haulers, excludes loading</t>
  </si>
  <si>
    <t>Compaction, structural, select fill, 8" lifts, sheepsfoot or wobbly wheel roller</t>
  </si>
  <si>
    <t>Compaction, structural, common fill, 8" lifts, vibratory plate</t>
  </si>
  <si>
    <t>Compaction, structural, select fill, 8" lifts, vibratory plate</t>
  </si>
  <si>
    <t>Drilling and blasting rock, open face, under 1500 C.Y.</t>
  </si>
  <si>
    <t>B.C.Y.</t>
  </si>
  <si>
    <t>Drilling and blasting rock, areas where blasting mats are required, under 1500 C.Y.</t>
  </si>
  <si>
    <t>Custom Rates</t>
  </si>
  <si>
    <t>Plowing, Rollover (5 bottom)</t>
  </si>
  <si>
    <t>Plowing, Moldboard (5 bottom)</t>
  </si>
  <si>
    <t>Chisel</t>
  </si>
  <si>
    <t>Disk-V.Ripper combo (17.5 ft)</t>
  </si>
  <si>
    <t>Subsoiler 30" - 10 feet</t>
  </si>
  <si>
    <t>Stalk Shreader (20 ft)</t>
  </si>
  <si>
    <t>Rotary Hoe (21 ft)</t>
  </si>
  <si>
    <t>Cool Season Grasses and Legumes, including light site prep and mulch and labor to spread</t>
  </si>
  <si>
    <t>Forest Site Perpetration, Hand-Chemical (includes equipment and labor)</t>
  </si>
  <si>
    <t>Forest Stand Improvement - 666</t>
  </si>
  <si>
    <t>Thinning (cutting or chemically killing trees or vines) Hardwood-Crop Tree Release (min. 20 sq. ft. b.a. removed) Saplings (trees under 5" DBH)</t>
  </si>
  <si>
    <t>Mobililzation of equipment to and from site</t>
  </si>
  <si>
    <t>Earthwork</t>
  </si>
  <si>
    <t>Signage and Marking of site</t>
  </si>
  <si>
    <t>Recording site with local register of deeds</t>
  </si>
  <si>
    <t>Clearing of shafts and adits of trash, debris, metal, timber, wire and other materials</t>
  </si>
  <si>
    <t>Grading and shaping of filled shaft or adit</t>
  </si>
  <si>
    <t>Burning or burying materials on site</t>
  </si>
  <si>
    <t>Transportation of materials off site to approved landfills</t>
  </si>
  <si>
    <t>Fill material for shafts or adits, filter material</t>
  </si>
  <si>
    <t>Earthfill, clay, compacted in 9" lifts</t>
  </si>
  <si>
    <t>Planter - No Till (12 row)</t>
  </si>
  <si>
    <t>Drill - No Till (15 ft)</t>
  </si>
  <si>
    <t>Drill press wheels (20 ft)</t>
  </si>
  <si>
    <t>Pest Control - scouting field crops</t>
  </si>
  <si>
    <t>Fertilizer Dry Bulk: Spreader Only</t>
  </si>
  <si>
    <t>Fertilizer Liquid-Knifed In: Equip. Only</t>
  </si>
  <si>
    <t>Fertilizer Liquid-Sprayed: Equip. Only</t>
  </si>
  <si>
    <t>Fertilizer - Anhydrous: 21 ft</t>
  </si>
  <si>
    <t>Fertilizer - Anhydrous No Till 32 ft</t>
  </si>
  <si>
    <t>Manure Hauling, semi-solid (300 bu)</t>
  </si>
  <si>
    <t>Ditch Mowing</t>
  </si>
  <si>
    <t>Excavation, bulk bank measure, 1/2 C.Y. capacity = 30 C.Y./hour, wheel mounted</t>
  </si>
  <si>
    <t>Excavation, bulk bank measure, for loading onto trucks, add</t>
  </si>
  <si>
    <t>Excavation, bulk bank measure, 3/4 C.Y. capacity = 45 C.Y./hour, wheel mounted</t>
  </si>
  <si>
    <t>Excavation, bulk bank measure, Clamshell, 1/2 CY cap = 20 CY/hr</t>
  </si>
  <si>
    <t>Site Clearing, Selective Clearing, with dozer and brush rake, medium brush</t>
  </si>
  <si>
    <t>Bioengineering, Cribwall, Live</t>
  </si>
  <si>
    <t>Bioengineering, Fachines, Live</t>
  </si>
  <si>
    <t>Bioengineering, In Stream Rock Structures (Barbs, etc.)</t>
  </si>
  <si>
    <t>Bioengineering, Root Wads</t>
  </si>
  <si>
    <t>Site Clearing, Selective Clearing, with dozer and brush rake, light brush</t>
  </si>
  <si>
    <t>Seed, Grain Sorghum for wildlife</t>
  </si>
  <si>
    <t>Seed, Rape</t>
  </si>
  <si>
    <t>Site Clearing, Selective Clearing, with dozer and brush rake, heavy brush</t>
  </si>
  <si>
    <t>Urban Ground Covers and Shrubs, (Periwinkle-Rooted Cutting)</t>
  </si>
  <si>
    <t>Site Preparation (Clear and grub)</t>
  </si>
  <si>
    <t>Open Channel - 582</t>
  </si>
  <si>
    <t>Pasture and Hayland Planting - 512</t>
  </si>
  <si>
    <t>Pest Management - 595</t>
  </si>
  <si>
    <t>Pipeline - 516</t>
  </si>
  <si>
    <t>Agrichemical Containment Facility, Non-Reinforced Concrete Floor, Timber Walls, Installed (liner extra)</t>
  </si>
  <si>
    <t>Riser, Corrugated Plastic, 24-inch Dia., with 18-inch Dia. Stub, Antivortex and Trash Guard, 5-feet High, Installed</t>
  </si>
  <si>
    <t>Riser, Corrugated Plastic, 24-inch Dia., with 18-inch Dia. Stub, Antivortex and Trash Guard, 8-feet High, Installed</t>
  </si>
  <si>
    <t>Trough or Tank, Poly., 200 gal., with Gravel Pad, Installed</t>
  </si>
  <si>
    <t>Trough or Tank, Poly., 400 gal., with Gravel Pad, Installed</t>
  </si>
  <si>
    <t>Water Control Structure, In-Line, 4-feet high, 10-inch pipe, Installed (pipe extra)</t>
  </si>
  <si>
    <t>Sediment Basin (No.)</t>
  </si>
  <si>
    <t>A basin constructed to collect and store debris or sediment.</t>
  </si>
  <si>
    <t>The inundation of land to provide habitat for fish and/or wildlife.</t>
  </si>
  <si>
    <t>Water supply distribution piping, piping polyvinyl chloride, 6" diameter, AWWA C900, Class 150, SDR 18, excludes excavation or backfill, unless specified</t>
  </si>
  <si>
    <t>Water supply distribution piping, piping polyvinyl chloride, pressure pipe, 4", AWWA C900, Class 150, SDR 18, excludes excavation or backfill</t>
  </si>
  <si>
    <t>Water supply distribution piping, piping polyvinyl chloride, pressure pipe, 6", AWWA C900, Class 150, SDR 18, excludes excavation or backfill</t>
  </si>
  <si>
    <t>Welding structural steel in field, cost per welder, 1/8" dia, type 6011, excl operating engineer</t>
  </si>
  <si>
    <t>Welding structural steel in field, cost per welder, 2# per ton, 1/8" dia, type 6011, excl operating engineer</t>
  </si>
  <si>
    <t>Welding structural steel in field, single pass, 0.1 Lb/LF, 1/8" thick, continuous fillet, type 6011</t>
  </si>
  <si>
    <t>Welding structural steel in field, single pass, 0.3 Lb/LF, 1/4" thick, continuous fillet, type 6011</t>
  </si>
  <si>
    <t>Wells, pumps, water system, with pressure control, shallow well, jet, 1/2 HP, 30 gallon galvanized tank</t>
  </si>
  <si>
    <t>Winter Protection, for heated ready mix, add, minimum</t>
  </si>
  <si>
    <t>Wire fencing &amp; gates, wire fencing general, barbed wire, galvanized, domestic steel, hi-tensile, 15-1/2 ga.</t>
  </si>
  <si>
    <t>Wire fencing &amp; gates, wire fencing general, barbed wire, galvanized, domestic steel, standard, 12-3/4 ga.</t>
  </si>
  <si>
    <t>Wire fencing &amp; gates, wire fencing general, barbless wire, 2-strand galvanized, 12-1/2 ga.</t>
  </si>
  <si>
    <t>Wire fencing &amp; gates, wire fencing general, welded wire fabric, galvanized, 12-1/2 ga., 2" x 4"</t>
  </si>
  <si>
    <t>Wood framing, heavy mill timber, roof trusses, add timber connectors, div. 06 05 23.60</t>
  </si>
  <si>
    <t>Wrap around insul. 18"</t>
  </si>
  <si>
    <t>Site Clearing, Selective Clearing, Brush Mowing, Tractor w/rotary mower, no removal, medium density</t>
  </si>
  <si>
    <t>Site Clearing, Selective Clearing, brush saw by hand</t>
  </si>
  <si>
    <t>Toewall(Overfall 3.0-4.0 ft.) Treated Wood, Concrete, Concrete Block, or Aluminum</t>
  </si>
  <si>
    <t>Trash Guard</t>
  </si>
  <si>
    <t>Trough or Tank, Galv., 100 gal., with Gravel Pad, Installed</t>
  </si>
  <si>
    <t>Seed, Hay &amp; Pasture Mixture, 50% Perennial Ryegrass &amp; 50% Creeping Red Fescue</t>
  </si>
  <si>
    <t>Seed, Hay &amp; Pasture Mixture, Grass Mix</t>
  </si>
  <si>
    <t>Rodent Guard, 10-inch, Installed</t>
  </si>
  <si>
    <t>Rodent Guard, 12-inch, Installed</t>
  </si>
  <si>
    <t>Rodent Guard, 15-inch, Installed</t>
  </si>
  <si>
    <t>Rodent Guard, 4-inch, Installed</t>
  </si>
  <si>
    <t>Rodent Guard, 6-inch, Installed</t>
  </si>
  <si>
    <t>Rodent Guard, 8-inch, Installed</t>
  </si>
  <si>
    <t>Roof Gutters, with downspouts, Installed</t>
  </si>
  <si>
    <t>Sheet Piling, Installed</t>
  </si>
  <si>
    <t>Silt Fence, Installed</t>
  </si>
  <si>
    <t>Seed, Annual medic</t>
  </si>
  <si>
    <t>Seed, Berseem Colver</t>
  </si>
  <si>
    <t>Seed, Crimson Clover</t>
  </si>
  <si>
    <t>Seed, Field Peas</t>
  </si>
  <si>
    <t>Seed, Annual Ryegrass</t>
  </si>
  <si>
    <t>Seed,Bluegrass</t>
  </si>
  <si>
    <t>Seed, Smooth Brome</t>
  </si>
  <si>
    <t>Seed, Alsike Clover</t>
  </si>
  <si>
    <t>Seed, Crownvetch</t>
  </si>
  <si>
    <t>Seed, Red Clover</t>
  </si>
  <si>
    <t>Seed, Sweetclover</t>
  </si>
  <si>
    <t>Seed, White Dutch Clover</t>
  </si>
  <si>
    <t>Seed, Mammoth Red Clover</t>
  </si>
  <si>
    <t>Seed, White Clover</t>
  </si>
  <si>
    <t>Mobilization/demobilization:</t>
  </si>
  <si>
    <t>Vegetation (see Critical Area Planting for equipment)</t>
  </si>
  <si>
    <t>Labor:</t>
  </si>
  <si>
    <t>Hand labor</t>
  </si>
  <si>
    <t>gal</t>
  </si>
  <si>
    <t>Compost</t>
  </si>
  <si>
    <t>Concrete Blocks 2'x2'x4', placed</t>
  </si>
  <si>
    <t>Concrete Blocks 2'x2'x6', placed</t>
  </si>
  <si>
    <t>Management of Forages</t>
  </si>
  <si>
    <t>Forest Harvest Trails and Landings - 655</t>
  </si>
  <si>
    <t>Mobilization, equipment with truck access to site</t>
  </si>
  <si>
    <t>Mobilization, clearing and grubbing to get access to site for construction</t>
  </si>
  <si>
    <t>Ac.</t>
  </si>
  <si>
    <t>Cu Yd</t>
  </si>
  <si>
    <t>Concrete, Formed in Place, footings</t>
  </si>
  <si>
    <t>Concrete, Formed in Place, slab on grade</t>
  </si>
  <si>
    <t>Concrete, Formed in Place, reinforced walls</t>
  </si>
  <si>
    <t>Sq Yd</t>
  </si>
  <si>
    <t>Lin Ft</t>
  </si>
  <si>
    <t>Grading and shaping, prep for seeding</t>
  </si>
  <si>
    <t>Steel beams (structural steel members 6x9)</t>
  </si>
  <si>
    <t>cwt.</t>
  </si>
  <si>
    <t>Reinforcing steel 1"</t>
  </si>
  <si>
    <t>lb.</t>
  </si>
  <si>
    <t>Steel Angles</t>
  </si>
  <si>
    <t>Steel beams (structural steel members 8x10)</t>
  </si>
  <si>
    <t>Structural Steel 1/4"</t>
  </si>
  <si>
    <t>Structural Steel 3/8"</t>
  </si>
  <si>
    <t>Aggregate, Crushed Limestone, Installed (Heavy Use Area)</t>
  </si>
  <si>
    <t>Hauling, excavated or borrow material, loose cubic yards, 12 CY dump truck, 1/2 mile round trip, 3.2 loads/hour, highway haulers, excludes loading</t>
  </si>
  <si>
    <t>Site clearing of shafts and adits of trash, debris, and other materials</t>
  </si>
  <si>
    <t>Excavation and Earthwork</t>
  </si>
  <si>
    <t>Perferated Drain Pipe</t>
  </si>
  <si>
    <t>Rock</t>
  </si>
  <si>
    <t>Seeding and mulch, installed</t>
  </si>
  <si>
    <t>Fill material</t>
  </si>
  <si>
    <t>Hauling, excavated or borrow material, loose cubic yards, 12 CY dump truck, 1/4 mile round trip, 3.7 loads/hour, highway haulers, excludes loading</t>
  </si>
  <si>
    <t>Applying plant residues or other suitable materials not produced on the site to the soil surface.</t>
  </si>
  <si>
    <t>Piping backflow preventer, incl. valves, 1" pipe size</t>
  </si>
  <si>
    <t>Piping backflow preventer, incl. valves, 1-1/4" pipe size</t>
  </si>
  <si>
    <t>Piping backflow preventer, incl. valves, 1-1/2" pipe size</t>
  </si>
  <si>
    <t>Frost Free Hydrant</t>
  </si>
  <si>
    <t>Frost Free Hydrant, anti-siphon type</t>
  </si>
  <si>
    <t>Septic Tanks for waste water, 1,000 gallon, not includ. Exec or piping, precast</t>
  </si>
  <si>
    <t>Irrigation Water Conveyance - High Pressure, Underground Plastic Pipline (Ft.)</t>
  </si>
  <si>
    <t>Irrigation Water Conveyance - Low Pressure, Underground Plastic Pipeline (Ft.)</t>
  </si>
  <si>
    <t>Land Reclamation, Abandoned Mined Land (Ac.)</t>
  </si>
  <si>
    <t>Earthwork, Mobilization or demobilization, equip up to  70 HP on flatbed trailer behind pickup truck</t>
  </si>
  <si>
    <t>Earthwork, Mobilization or demobilization, small equipment, placed in rear of, or towed by pickup truck</t>
  </si>
  <si>
    <t>Riser, Corrugated Plastic, 30-inch Dia., with 24-inch Dia. Stub, Antivortex and Trash Guard, 5-feet High, Installed</t>
  </si>
  <si>
    <t xml:space="preserve">030513201620 </t>
  </si>
  <si>
    <t xml:space="preserve">030513201660 </t>
  </si>
  <si>
    <t xml:space="preserve">312323201064 </t>
  </si>
  <si>
    <t>B34B</t>
  </si>
  <si>
    <t xml:space="preserve">024113175700 </t>
  </si>
  <si>
    <t>B39</t>
  </si>
  <si>
    <t xml:space="preserve">024113175300 </t>
  </si>
  <si>
    <t>B38</t>
  </si>
  <si>
    <t xml:space="preserve">312319200600 </t>
  </si>
  <si>
    <t>B10H</t>
  </si>
  <si>
    <t xml:space="preserve">312319200100 </t>
  </si>
  <si>
    <t>B11C</t>
  </si>
  <si>
    <t xml:space="preserve">077123200500 </t>
  </si>
  <si>
    <t>1 Shee</t>
  </si>
  <si>
    <t xml:space="preserve">077123201100 </t>
  </si>
  <si>
    <t xml:space="preserve">312316420200 </t>
  </si>
  <si>
    <t>B12A</t>
  </si>
  <si>
    <t xml:space="preserve">312316420310 </t>
  </si>
  <si>
    <t>B12E</t>
  </si>
  <si>
    <t xml:space="preserve">312316423700 </t>
  </si>
  <si>
    <t>B12L</t>
  </si>
  <si>
    <t xml:space="preserve">312316421200 </t>
  </si>
  <si>
    <t>B10N</t>
  </si>
  <si>
    <t xml:space="preserve">312316421500 </t>
  </si>
  <si>
    <t>B10R</t>
  </si>
  <si>
    <t xml:space="preserve">312316463220 </t>
  </si>
  <si>
    <t xml:space="preserve">312316464220 </t>
  </si>
  <si>
    <t xml:space="preserve">312316140350 </t>
  </si>
  <si>
    <t>B53</t>
  </si>
  <si>
    <t xml:space="preserve">312316140650 </t>
  </si>
  <si>
    <t xml:space="preserve">312316141100 </t>
  </si>
  <si>
    <t>A1G</t>
  </si>
  <si>
    <t xml:space="preserve">312316141350 </t>
  </si>
  <si>
    <t xml:space="preserve">312316133020 </t>
  </si>
  <si>
    <t xml:space="preserve">312316133080 </t>
  </si>
  <si>
    <t>B10T</t>
  </si>
  <si>
    <t xml:space="preserve">312316130060 </t>
  </si>
  <si>
    <t>B11M</t>
  </si>
  <si>
    <t xml:space="preserve">312316130090 </t>
  </si>
  <si>
    <t xml:space="preserve">312316131400 </t>
  </si>
  <si>
    <t>1 Clab</t>
  </si>
  <si>
    <t xml:space="preserve">323113200920 </t>
  </si>
  <si>
    <t>B80C</t>
  </si>
  <si>
    <t xml:space="preserve">312323170020 </t>
  </si>
  <si>
    <t xml:space="preserve">312323170600 </t>
  </si>
  <si>
    <t>B37</t>
  </si>
  <si>
    <t xml:space="preserve">312323170700 </t>
  </si>
  <si>
    <t xml:space="preserve">312216101100 </t>
  </si>
  <si>
    <t>B11L</t>
  </si>
  <si>
    <t xml:space="preserve">312216100012 </t>
  </si>
  <si>
    <t xml:space="preserve">312216100016 </t>
  </si>
  <si>
    <t xml:space="preserve">313613100600 </t>
  </si>
  <si>
    <t xml:space="preserve">313613100700 </t>
  </si>
  <si>
    <t xml:space="preserve">313613100800 </t>
  </si>
  <si>
    <t xml:space="preserve">313613100400 </t>
  </si>
  <si>
    <t xml:space="preserve">077123302700 </t>
  </si>
  <si>
    <t xml:space="preserve">077123302800 </t>
  </si>
  <si>
    <t xml:space="preserve">040516302000 </t>
  </si>
  <si>
    <t>D4</t>
  </si>
  <si>
    <t xml:space="preserve">036213500300 </t>
  </si>
  <si>
    <t>Mapleleaf Viburum</t>
  </si>
  <si>
    <t>Trees, Green Ash</t>
  </si>
  <si>
    <t>Trees, White Ash</t>
  </si>
  <si>
    <t>Trees, Imperial Carolina Poplar</t>
  </si>
  <si>
    <t>Trees, Honeylocust</t>
  </si>
  <si>
    <t>Trees, Sugar Maple 12-18"</t>
  </si>
  <si>
    <t>Trees, Sugar Maple 4-5'</t>
  </si>
  <si>
    <t>Trees, Red Maple 12-18"</t>
  </si>
  <si>
    <t>Trees, Red Maple 2-3'</t>
  </si>
  <si>
    <t>Trees, Black Willow</t>
  </si>
  <si>
    <t>Trees, Golden Willow</t>
  </si>
  <si>
    <t>Trees, 'Roseglow' Sargent Crab</t>
  </si>
  <si>
    <t>Trees, Hawthorn</t>
  </si>
  <si>
    <t>Trees, Hardwoods average</t>
  </si>
  <si>
    <t>Trees, Conifer Transplants average</t>
  </si>
  <si>
    <t>Trees, Bur Oak 18-24"</t>
  </si>
  <si>
    <t>Trees, Eastern Red Cedar</t>
  </si>
  <si>
    <t>Trees, Red Oak 12-18"</t>
  </si>
  <si>
    <t>Trees, White Oak 12-18"</t>
  </si>
  <si>
    <t>Trees, Eastern Hemlock</t>
  </si>
  <si>
    <t>Trees, White Spruce 10-16" Seedlings</t>
  </si>
  <si>
    <t>Trees, White Spruce 12-18" Transplants</t>
  </si>
  <si>
    <t>Trees, Norway Spruce</t>
  </si>
  <si>
    <t>Trees, Norway Spruce 10-16" Seedlings</t>
  </si>
  <si>
    <t>Trees, Norway Spruce 12-18" Transplants</t>
  </si>
  <si>
    <t>Trees, 'Affinity' Northern White Cedar</t>
  </si>
  <si>
    <t>Trees, Red Pine 6-12" Seedlings</t>
  </si>
  <si>
    <t>Trees, Red Pine.  (5" to 10" size 1,000 trees $0.23) (25 trees  $0.64 each)</t>
  </si>
  <si>
    <t>Trees, White Pine</t>
  </si>
  <si>
    <t>Trees, White Pine 12-18" Seedlings</t>
  </si>
  <si>
    <t>Trees, White Pine 12-18" Transplants</t>
  </si>
  <si>
    <t>Trees, White Pine 6-12" Seedlings</t>
  </si>
  <si>
    <t>Shrubs, Gray Dogwood</t>
  </si>
  <si>
    <t>Shrubs, Michigan Holly</t>
  </si>
  <si>
    <t>Shrubs, 'Indigo' Silky Dogwood</t>
  </si>
  <si>
    <t>Shrubs, Chokeberry</t>
  </si>
  <si>
    <t>Shrubs, Common Elderberry 12-18"</t>
  </si>
  <si>
    <t>Shrub, Sumac, Smooth</t>
  </si>
  <si>
    <t>Shrubs, American Native Plum</t>
  </si>
  <si>
    <t>Shrubs, American Hazelnut</t>
  </si>
  <si>
    <t>Shrubs, 'Late' Lilac</t>
  </si>
  <si>
    <t>Shrubs, 'Leelanau' Highbush Cranberry</t>
  </si>
  <si>
    <t>Shrubs, Mapleleaf Viburum</t>
  </si>
  <si>
    <t>Shrubs, Nannyberry</t>
  </si>
  <si>
    <t>Shrubs, Small Shrubs</t>
  </si>
  <si>
    <t>Shrubs, 'Ruby' Red Osier Dogwood</t>
  </si>
  <si>
    <t>Trees, Black Maple</t>
  </si>
  <si>
    <t>Trees, Silver Maple</t>
  </si>
  <si>
    <t>Trees, White Spruce</t>
  </si>
  <si>
    <t>Trees, Serviceberry</t>
  </si>
  <si>
    <t>Trees, American Beech</t>
  </si>
  <si>
    <t>Trees, Black Spruce</t>
  </si>
  <si>
    <t>Trees, Hemlock</t>
  </si>
  <si>
    <t>Shrubs, Witch Hazel</t>
  </si>
  <si>
    <t>Shrubs, Flowering Dogwood</t>
  </si>
  <si>
    <t>Shrubs, Canada Yew</t>
  </si>
  <si>
    <t>Shrubs, Spicebush</t>
  </si>
  <si>
    <t>Shrubs, Highbush Cranberry</t>
  </si>
  <si>
    <t>Shrubs, Winterberry</t>
  </si>
  <si>
    <t>Sand, for mortar, screened and washed, at the pit</t>
  </si>
  <si>
    <t>$0.55 - 0.64</t>
  </si>
  <si>
    <t>Concrete in Place, concrete forms, footing, continuous wall, dowel supports, more than 20' below grade, includes erecting, bracing, stripping and cleaning</t>
  </si>
  <si>
    <t>Concrete in Place, concrete forms, footing, continuous wall, plywood, 1 use, includes erecting, bracing, stripping and cleaning</t>
  </si>
  <si>
    <t>Appurtenances, sump pump</t>
  </si>
  <si>
    <t>Appurtenances, pipe</t>
  </si>
  <si>
    <t>Appurtenances, backflow prevention device for pipes</t>
  </si>
  <si>
    <t xml:space="preserve">Record keeping </t>
  </si>
  <si>
    <t>Clearing woody plants-brush by with ax and hand saw</t>
  </si>
  <si>
    <t xml:space="preserve">Mechanical removal of woody plants-brush-clearing brush with a brush saw </t>
  </si>
  <si>
    <t>Chemical removal of brush</t>
  </si>
  <si>
    <t>Biological treatment</t>
  </si>
  <si>
    <t>Prescribed burning</t>
  </si>
  <si>
    <t>Scouting, traps, baits, etc., - pest management</t>
  </si>
  <si>
    <t>Seed, Mulch and Fertilizer (includes labor) forest site</t>
  </si>
  <si>
    <t>Seeding, Cool Season, Drill or Broadcast, with Seedbed Preparation, Fertilizer and Mulch, Installed</t>
  </si>
  <si>
    <t>Seeding, Drill or Broadcast, with Seedbed Preparation, Fertilizer, Mulch and Netting, Installed</t>
  </si>
  <si>
    <t>Seeding, Hydroseed, with Seedbed Preparation, Fertilizer and Mulch, Installed</t>
  </si>
  <si>
    <t>Seeding, Warm Season, Drill or Broadcast, with Seedbed Preparation, Fertilizer and Mulch, Installed</t>
  </si>
  <si>
    <t>Seeding, with Seedbed Preparation, Fertilizer, Mulch and Erosion Control Blanket, Installed</t>
  </si>
  <si>
    <t>Site preparation</t>
  </si>
  <si>
    <t>Nutrient Management - 590</t>
  </si>
  <si>
    <t>Obstruction Removal - 500</t>
  </si>
  <si>
    <t>Soil testing, Sieve analysis, washed</t>
  </si>
  <si>
    <t>Backfill, Structural, Dozer or Front End Loader from existing stockpile, 50' haul</t>
  </si>
  <si>
    <t>Seedbed preparation pile and remove sod with skid steer loader</t>
  </si>
  <si>
    <t>Pond Sealing or Lining - Flexible Membrane - 521A</t>
  </si>
  <si>
    <t>Pasture and Hayland planting, Heavy soil disturbance, seedbed preparation, seed, seeding and herbicides including application</t>
  </si>
  <si>
    <t>Pasture and Hayland Planting, Light soil disturbance, seedbed preparation, seed, seeding and herbicides including application</t>
  </si>
  <si>
    <t>Structural concrete, placing, walls, direct chute, 8" thick, includes vibrating, excludes material</t>
  </si>
  <si>
    <t>Concrete, Berm mix</t>
  </si>
  <si>
    <t>Concrete, Calcium chloride solution, 4 lb. flake per gallon, tank truck delivery</t>
  </si>
  <si>
    <t>Concrete, Calcium chloride, 50 lb. bags</t>
  </si>
  <si>
    <t>Concrete, Calcium chloride, delivered, 100 lb. bags</t>
  </si>
  <si>
    <t>Concrete, Cement, material only, Portland, 94 lb. bag</t>
  </si>
  <si>
    <t>Concrete, Fibrous reinforcing, steel fibers, add to concrete, 25 lb. per C.Y.</t>
  </si>
  <si>
    <t>Concrete, plant mixed, Asphaltic plant mix</t>
  </si>
  <si>
    <t>Fence, Barbed Wire, 15 1/2 gauge</t>
  </si>
  <si>
    <t>Fence, Brace Tension Wires</t>
  </si>
  <si>
    <t>Fence, Chain Link Temporary Fencing for protection of constructin sites, 5' high</t>
  </si>
  <si>
    <t>Fence, crimping sleeve</t>
  </si>
  <si>
    <t>Fence, line post insulators</t>
  </si>
  <si>
    <t>Fence, Post driving</t>
  </si>
  <si>
    <t>Fence, Strainer</t>
  </si>
  <si>
    <t xml:space="preserve">Fence, Woven Wire </t>
  </si>
  <si>
    <t>Boom Sprayer - pull type 50 ft</t>
  </si>
  <si>
    <t>Boom Sprayer - self-prop. 60 ft</t>
  </si>
  <si>
    <t>Discing - tandem (21ft)</t>
  </si>
  <si>
    <t>43.15 -52.66</t>
  </si>
  <si>
    <t>Manure Pump, Hauling, Injecting - Liquid (9500 gallon capacity)</t>
  </si>
  <si>
    <t>1000 gallons</t>
  </si>
  <si>
    <t>Manure Pump, Hauling, Spreading - Liquid (9500 gallon capacity)</t>
  </si>
  <si>
    <t>Concrete in Place, concrete forms, walls, modular prefabricated plywood, to 8' high, 1 use per month, includes erecting, bracing, stripping and cleaning</t>
  </si>
  <si>
    <t>Concrete in Place, concrete forms, walls, modular prefabricated plywood, to 8' high, 2 use per month, includes erecting, bracing, stripping and cleaning</t>
  </si>
  <si>
    <t>Concrete in Place, concrete forms, walls, modular prefabricated plywood, to 8' high, 3 use per month, includes erecting, bracing, stripping and cleaning</t>
  </si>
  <si>
    <t>Concrete in Place, concrete forms, walls, modular prefabricated plywood, to 8' high, 4 use per month, includes erecting, bracing, stripping and cleaning</t>
  </si>
  <si>
    <t>Concrete in Place, concrete forms, walls, steel framed plywood, based on 100 uses of purchased forms, 4 uses of bracing lumber, includes erecting, bracing, stripping and cleaning</t>
  </si>
  <si>
    <t>Concrete in Place, concrete forms, walls, steel framed plywood, over 8' to 16' high, based on 100 uses of purchased forms, 4 uses of bracing lumber, includes erecting, bracing, stripping and cleaning</t>
  </si>
  <si>
    <t>Concrete in Place, concrete forms, walls, steel framed plywood, to 8' high, based on 100 uses of purchased forms, 4 uses of bracing lumber, includes erecting, bracing, stripping and cleaning</t>
  </si>
  <si>
    <t>Mulching, Corn cobs, sawdust or gravel, installed</t>
  </si>
  <si>
    <t>Erosion Control Blankets, double net, 8' x 112.5' or 6.5'x 138.5' (900 sq ft each)</t>
  </si>
  <si>
    <t>Erosion Control, EZ Straw Blankets 4' x 56.25' double net (225 sq ft each)</t>
  </si>
  <si>
    <t>Erosion Control Blanket Staples, metal, box of 1,000</t>
  </si>
  <si>
    <t>Erosion Control Blanket Staples, metal, each</t>
  </si>
  <si>
    <t>Erosion Control Blanket, wood pegs</t>
  </si>
  <si>
    <t>Erosion Control Blankets, single net, 8' x 112.5' or 6.5'x 138.5' (900 sq ft each)</t>
  </si>
  <si>
    <t>Fence, Energizer 110 volt unit, 3.00 joule</t>
  </si>
  <si>
    <t>Fence, Energizer 110 volt unit, 6.00 joule</t>
  </si>
  <si>
    <t>Fence, Energizer 110 volt unit, 10.00 joule</t>
  </si>
  <si>
    <t>Fence, Energizer 110 volt unit, 16.00 joule</t>
  </si>
  <si>
    <t>Fence, Energizer 110 volt unit, 18.00 joule</t>
  </si>
  <si>
    <t>Planter - conventional w/fert (12 x30" rows corn or soys)</t>
  </si>
  <si>
    <t>Planter - Min Till (12 row)</t>
  </si>
  <si>
    <t>Cut &amp; Chip trees to 12" diam. (if burning is allowed, reduce by 40%)</t>
  </si>
  <si>
    <t>Seed bed preparation pile and remove sod with skid steer loader</t>
  </si>
  <si>
    <t>Weed Barriers, Tree Mats with staples</t>
  </si>
  <si>
    <t>Thinning (cutting or chemically killing trees or vines) Hardwood-Crop Tree Release (min. 20 SF b.a. removed) Poles (trees 5-11" DBH)</t>
  </si>
  <si>
    <t>SF of b.a. removed</t>
  </si>
  <si>
    <t>Thinning (cutting or chemically killing trees or vines) Hardwood-Crop Tree Release (min. 20 SF b.a. removed) Saplings (trees under 5" DBH)</t>
  </si>
  <si>
    <t>Trees &amp; Shrbus, Eastern Hemlock</t>
  </si>
  <si>
    <t>Trenching, Hand excavate and trim pipe bells after trench excavation, 8" pipe</t>
  </si>
  <si>
    <t>Rent excavator diesel hydraulic crawler mounted 1/2 CY capacity</t>
  </si>
  <si>
    <t>Rent excavator diesel hydraulic crawler mounted 5/8 CY capacity</t>
  </si>
  <si>
    <t>Seed, Cool Season Grass, Perennial Ryegrass</t>
  </si>
  <si>
    <t>Seed, Cool Season Grass, Reed Canarygrass</t>
  </si>
  <si>
    <t>Seed, Cool Season Grass, Redtop</t>
  </si>
  <si>
    <t>Seed, Cool Season Grass, Smooth Brome</t>
  </si>
  <si>
    <t>Aerators for commercial fish ponds</t>
  </si>
  <si>
    <t>Aggregate, Crushed Limestone, 9-inch thick, with Class IV Woven Geotextile, Installed (Heavy Use Area)</t>
  </si>
  <si>
    <t>ask Eng.</t>
  </si>
  <si>
    <t>Agrichemical Containment Facility, Prefabricated Sump with Grate, Installed</t>
  </si>
  <si>
    <t>Agrichemical Containment Facility, with Earth Berm, Installed (liner extra)</t>
  </si>
  <si>
    <t>Dry Hydrant, with Head, Cap, and Strainer, incl. Fittings, Installed</t>
  </si>
  <si>
    <t>Fencing Charger for electric fence</t>
  </si>
  <si>
    <t>Fencing corner H-brace, 3 posts</t>
  </si>
  <si>
    <t>Geotextile Class IV non-woven</t>
  </si>
  <si>
    <t>Gravel, 22A or 23 A (Road Gravel), Installed</t>
  </si>
  <si>
    <t>Gravel, Bank Run, Installed</t>
  </si>
  <si>
    <t>Mulch Materials, Geotextile Fabric with staples</t>
  </si>
  <si>
    <t>Mulch Materials, Tree Mats with staples</t>
  </si>
  <si>
    <t>Rent Brush Chipper</t>
  </si>
  <si>
    <t>Rent Bucket, clamshell, general purpose, 3/8 CY capacity</t>
  </si>
  <si>
    <t>Excavation, bulk, open site, 300 H.P. dozer, 50' haul, sand and gravel</t>
  </si>
  <si>
    <t>Excavation, bulk, open site, 300 H.P. dozer, 50' haul, common earth</t>
  </si>
  <si>
    <t>Excavation, bulk, open site, 300 H.P. dozer, 50' haul, clay</t>
  </si>
  <si>
    <t>Excavation, bulk, open site, 300 H.P. dozer, 150' haul, sand and gravel</t>
  </si>
  <si>
    <t>Excavation, bulk, open site, 300 H.P. dozer, 150' haul, common earth</t>
  </si>
  <si>
    <t>Excavation, bulk, open site, 300 H.P. dozer, 150' haul, clay</t>
  </si>
  <si>
    <t>Excavation, bulk, open site, 300 H.P. dozer, 300' haul, sand and gravel</t>
  </si>
  <si>
    <t>Excavation, bulk, open site, 300 H.P. dozer, 300' haul, common earth</t>
  </si>
  <si>
    <t>Trench backfill by hand including compaction, add to trencing, 4" wide trench, 24" deep</t>
  </si>
  <si>
    <t>Trench backfill by hand including compaction, add to trencing, 6" wide trench, 12" deep</t>
  </si>
  <si>
    <t>Trench backfill by hand including compaction, add to trencing, 6" wide trench, 18" deep</t>
  </si>
  <si>
    <t>Pipe, Reinforced Concrete, 24-inch, Incl. Fittings, Installed</t>
  </si>
  <si>
    <t>Trenching with chain trencher, 40 H.P., operator riding, common earth, 16" wide trench and backfill, 12" deep</t>
  </si>
  <si>
    <t>Erosion control, mulch material, straw</t>
  </si>
  <si>
    <t>bale</t>
  </si>
  <si>
    <t>Erosion Control, Netting and anchoring</t>
  </si>
  <si>
    <t>Erosion Control blanket, installed</t>
  </si>
  <si>
    <t>Seed, Lancer' Perennial Pea</t>
  </si>
  <si>
    <t>Seed, Lathco' Flatpea</t>
  </si>
  <si>
    <t>Seed, Canada Wild Rye</t>
  </si>
  <si>
    <t>Corrugated metal pipe, galvanized uncoated, 20' lengths, 16 ga., 12" diameter, excludes excavation and backfill</t>
  </si>
  <si>
    <t>Corrugated metal pipe, galvanized uncoated, 20' lengths, 16 ga., 15" diameter, excludes excavation and backfill</t>
  </si>
  <si>
    <t>Corrugated galvanized or aluminum oval arch culverts, plain, 17" x 13", 15" equivalent, 16 ga., excludes excavation and backfill</t>
  </si>
  <si>
    <t>Fence</t>
  </si>
  <si>
    <t xml:space="preserve">Fence, barbless wire, 2 strand galvanized, 12-1/2 ga. </t>
  </si>
  <si>
    <t>Fence, barbed wire standard 12-3/4 ga. Wire</t>
  </si>
  <si>
    <t>Fence, barbed wire, hi-tensile 15-1/2 ga. Wire</t>
  </si>
  <si>
    <t>Mulching, barks 3" deep, hand spread</t>
  </si>
  <si>
    <t>Mulching, straw, power mulcher, small</t>
  </si>
  <si>
    <t>Mulching, straw, power mulcher, large</t>
  </si>
  <si>
    <t>Mulching, hay, power mulcher, small</t>
  </si>
  <si>
    <t>Mulching, hay, 1" deep, hand spread</t>
  </si>
  <si>
    <t>Mulching, hay, power mulcher, large</t>
  </si>
  <si>
    <t>Mulching, straw, 1" deep, hand spread</t>
  </si>
  <si>
    <t>Mulching, wood ships, 2" deep, hand spread</t>
  </si>
  <si>
    <t>Mulching, wood ships, skid steer loader</t>
  </si>
  <si>
    <t>Mulching, barks 3" deep, skid steer loader</t>
  </si>
  <si>
    <t>Paving, asphaltic concrete, parking lots &amp; driveways, binder course, 4" thick</t>
  </si>
  <si>
    <t>Paving, asphaltic concrete, parking lots &amp; driveways, sand finish course, 3/4" thick</t>
  </si>
  <si>
    <t>Paving, asphaltic concrete, parking lots &amp; driveways, sand finish course, 1" thick</t>
  </si>
  <si>
    <t>Concrete Sealer, Installed</t>
  </si>
  <si>
    <t>Excavator</t>
  </si>
  <si>
    <t>Fence, all varieties, includes all gates and bracing</t>
  </si>
  <si>
    <t>LF</t>
  </si>
  <si>
    <t>ea</t>
  </si>
  <si>
    <t>Tree Removal, selected trees chainsaw and chipper,26" to 36" diameter</t>
  </si>
  <si>
    <t>Mobilization or demoilization, above 150 HP equipment</t>
  </si>
  <si>
    <t>Mobilization small equipment in rear of or towed by pickup truck</t>
  </si>
  <si>
    <t>Mobilization up to 70 HP, on flatbed trailer behind pickup truck</t>
  </si>
  <si>
    <t>Mobilization or demoilization, 70 to 150 HP equipment</t>
  </si>
  <si>
    <t>Site Prep Clear and Grub, cut and chip trees to 6" diameter</t>
  </si>
  <si>
    <t>Site Prep Clearing brush with dozer, ball and chain, light clearing</t>
  </si>
  <si>
    <t>Site Prep Clearing brush with dozer, ball and chain, medium clearing</t>
  </si>
  <si>
    <t>Site Prep Grub stumps and remove, to 6" diameter</t>
  </si>
  <si>
    <t>Labor</t>
  </si>
  <si>
    <t>lookup cost</t>
  </si>
  <si>
    <t>Aggregate for earthwork, bank run gravel, spread with 200 H.P. dozer, includes load at pit and haul, 2 miles round trip, excludes compaction</t>
  </si>
  <si>
    <t>Aggregate for earthwork, crushed stone, 1.40 tons per C.Y., 1/2", spread with 200 H.P. dozer, includes load at pit and haul, 2 miles round trip, excludes compaction</t>
  </si>
  <si>
    <t>Anchor, expansion shield, zinc, 1/4" dia x 1-5/16" L, single, in concrete, brick or stone, excl layout &amp; drilling</t>
  </si>
  <si>
    <t>Asphalt Shingles, standard strip shingles, inorganic, class A, 210-235 lb/sq</t>
  </si>
  <si>
    <t>Sq.</t>
  </si>
  <si>
    <t>Asphaltic concrete, parking lots &amp; driveways, base course, 2" thick</t>
  </si>
  <si>
    <t>Backfill, bulk, up to 300' haul, dozer backfilling, excludes compaction</t>
  </si>
  <si>
    <t>Backfill, in 8" layers, spreading, small dozer, includes compaction with vibrating roller</t>
  </si>
  <si>
    <t>Backfill, structural, common earth, 105 H.P. dozer, 50' haul</t>
  </si>
  <si>
    <t>Backfill, structural, sand and gravel, 105 H.P. dozer, 50' haul</t>
  </si>
  <si>
    <t>Backfill, trench, 6" to 12" lifts, dozer backfilling, compaction with sheepsfoot roller</t>
  </si>
  <si>
    <t>Backfill, trench, 6" to 12" lifts, dozer backfilling, compaction with vibrating roller</t>
  </si>
  <si>
    <t>Backfill, trench, up to 300' haul, dozer backfilling, excludes compaction</t>
  </si>
  <si>
    <t>Barbed Wire, 15 1/2 gauge, 660 to 1,000 ft rolls</t>
  </si>
  <si>
    <t>Base course drainage layers, aggregate base course for roadways and large paved areas, bank run gravel, spread and compacted, 12" deep</t>
  </si>
  <si>
    <t>Base course drainage layers, aggregate base course for roadways and large paved areas, bank run gravel, spread and compacted, 6" deep</t>
  </si>
  <si>
    <t>Base course drainage layers, aggregate base course for roadways and large paved areas, bank run gravel, spread and compacted, 9" deep</t>
  </si>
  <si>
    <t>Base course drainage layers, aggregate base course for roadways and large paved areas, crushed stone base, compacted, crushed 1-1/2" stone base, to 6" deep</t>
  </si>
  <si>
    <t>Base course drainage layers, aggregate base course for roadways and large paved areas, crushed stone base, compacted, crushed 1-1/2" stone base, to 8" deep</t>
  </si>
  <si>
    <t>Base course drainage layers, aggregate base course for roadways and large paved areas, stone base, compacted, 3/4" stone base, to 6" deep</t>
  </si>
  <si>
    <t>Base course drainage layers, aggregate base course for roadways and large paved areas, stone base, compacted, 3/4" stone base, to 9" deep</t>
  </si>
  <si>
    <t>Base course drainage layers, for roadways and large paved areas, stabilization fabric, polypropylene, 6 oz./S.Y.</t>
  </si>
  <si>
    <t>Brace pin 10"</t>
  </si>
  <si>
    <t>Brace pin 5"</t>
  </si>
  <si>
    <t>Brace Tension Wires</t>
  </si>
  <si>
    <t>Cast-in place concrete curbs &amp; gutters, concrete, wood forms, straight, 6" x 18"</t>
  </si>
  <si>
    <t>Cast-in place retaining walls, concrete cribbing, closed face, 12' high, includes excavation, backfill, and reinforcement</t>
  </si>
  <si>
    <t>Cast-in place retaining walls, concrete cribbing, open face, 12' high, includes excavation, backfill, and reinforcement</t>
  </si>
  <si>
    <t>Cast-in place retaining walls, concrete gravity wall with vertical face, level embankment, 10' high, includes excavation &amp; backfill, excludes reinforcing</t>
  </si>
  <si>
    <t>Cast-in place retaining walls, concrete gravity wall with vertical face, level embankment, no surcharge, 8' high, includes excavation &amp; backfill, excludes reinforcing</t>
  </si>
  <si>
    <t>Cement, portland, type I, 94 lb. Bags, T.L. lots, includes material only</t>
  </si>
  <si>
    <t>Clearing &amp; grubbing, conifer trees, 12" diameter, tree thinning, feller buncher</t>
  </si>
  <si>
    <t>Clearing &amp; grubbing, conifer trees, to 8" diameter, tree thinning, feller buncher</t>
  </si>
  <si>
    <t>Clearing &amp; grubbing, cut &amp; chip light trees, to 6" diameter</t>
  </si>
  <si>
    <t>Clearing &amp; grubbing, grub stumps</t>
  </si>
  <si>
    <t>Clearing &amp; grubbing, hardwood trees, 12" diameter, tree thinning, feller buncher</t>
  </si>
  <si>
    <t>Clearing &amp; grubbing, hardwood trees, 8" diameter, tree thinning, feller buncher</t>
  </si>
  <si>
    <t>Clearing &amp; grubbing, hardwood trees, to 4" diameter, tree thinning, feller buncher</t>
  </si>
  <si>
    <t>Compaction, structural, 5 tons, steel wheel tandem roller</t>
  </si>
  <si>
    <t>Compaction, structural, common fill, 8" lifts, sheepsfoot or wobbly wheel roller</t>
  </si>
  <si>
    <t>Dewatering, Pumping 8 hr attended, including 20 LF of suction hose &amp; 100 LF discharge hose, 3" centrifugal pump</t>
  </si>
  <si>
    <t>Dewatering, Pumping 8 hr attended, including 20 LF of suction hose &amp; 100 LF discharge hose, 4" centrifugal pump</t>
  </si>
  <si>
    <t>Dewatering, Pumping 8 hr attended, including 20 LF of suction hose &amp; 100 LF discharge hose, 6" centrifugal pump</t>
  </si>
  <si>
    <t>Dewatering, Pumping 8 hr, attended 2 hrs per day, including 20 LF of suction hose &amp; 100 LF discharge hose, 2" diaphragm pump</t>
  </si>
  <si>
    <t>Dewatering, Pumping 8 hr, attended 2 hrs per day, including 20 LF of suction hose &amp; 100 LF discharge hose, 4" diaphragm pump</t>
  </si>
  <si>
    <t>Chipping Stumps, to 18" deep, 18" diam.</t>
  </si>
  <si>
    <t>Chipping Stumps, to 18" deep, 24" diam.</t>
  </si>
  <si>
    <t>Chipping Stumps, to 18" deep, 30" diam.</t>
  </si>
  <si>
    <t>Chipping Stumps, to 18" deep, 36" diam.</t>
  </si>
  <si>
    <t>Chipping Stumps, to 18" deep, 48" diam.</t>
  </si>
  <si>
    <t>Tree thinning,  feller buncher,Hardwood up to 4" diam.</t>
  </si>
  <si>
    <t>Tree thinning,  feller buncher,Hardwood up to 8" diam.</t>
  </si>
  <si>
    <t>Plant Material, Bare-root tubers and roots, River bulrush</t>
  </si>
  <si>
    <t>Stripping and Stockpiling of Soil, adverse conditons, 200 H.P. Dozer</t>
  </si>
  <si>
    <t>Stripping and Stockpiling of Soil, ideal conditons, 300 H.P. Dozer</t>
  </si>
  <si>
    <t>Stripping and Stockpiling of Soil, adverse conditons, 300 H.P. Dozer</t>
  </si>
  <si>
    <t>Toewall (Overfall 2-2.9 ft.) Treated Wood, Concrete, Concrete Block, or Aluminum.</t>
  </si>
  <si>
    <t>Seed, Turnip, purple top white globe</t>
  </si>
  <si>
    <t>Seed, Grass, Perennial Ryegrass</t>
  </si>
  <si>
    <t>Seed, Grass, Bluegrass</t>
  </si>
  <si>
    <t>Seed, Grass, Reed's Canary Grass</t>
  </si>
  <si>
    <t>Earthfill, Compacted, On-site Material</t>
  </si>
  <si>
    <t>Concrete, Non-Reinforced, 5-inch Thick, Flatwork, Installed</t>
  </si>
  <si>
    <t>Fill, other impervious materials instead of clay</t>
  </si>
  <si>
    <t>Earthfill, soil covering placed to sustain planned vegetation</t>
  </si>
  <si>
    <t>Backfill, soil</t>
  </si>
  <si>
    <t>Sealing with plugs of reinforced concrete</t>
  </si>
  <si>
    <t>Reinforced concrete for caps and walls</t>
  </si>
  <si>
    <t>Steel beams for caps and walls</t>
  </si>
  <si>
    <t>Steel grates</t>
  </si>
  <si>
    <t>Steel, solid panels</t>
  </si>
  <si>
    <t>Pipe, vent pipe</t>
  </si>
  <si>
    <t>Stone</t>
  </si>
  <si>
    <t>Rock, quarry run</t>
  </si>
  <si>
    <t>Rock, crushed</t>
  </si>
  <si>
    <t>Gravel</t>
  </si>
  <si>
    <t>Pipe, drainage</t>
  </si>
  <si>
    <t>Rock toes for drainage</t>
  </si>
  <si>
    <t>C.I.P. concrete forms, footing, continuous wall, plywood, 3 use, includes erecting, bracing, stripping and cleaning</t>
  </si>
  <si>
    <t>SFCA</t>
  </si>
  <si>
    <t>Soil testing, Moisture content</t>
  </si>
  <si>
    <t>Soil testing, permeability test, double ring infiltrometer</t>
  </si>
  <si>
    <t>Soil testing, permeability, variable or constant head, undisturbed</t>
  </si>
  <si>
    <t>Soil testing, Proctor compaction, 4" standard mold</t>
  </si>
  <si>
    <t>Soil testing, Proctor compaction, 6" modified mold</t>
  </si>
  <si>
    <t>$43.15 -$52.66</t>
  </si>
  <si>
    <t>Soil test including pre side dress nitrogen test, grid sampling, manure testing, calibration of application equipment, recordkeeping; manure and fertilizer use</t>
  </si>
  <si>
    <t>Soil Test PSNT</t>
  </si>
  <si>
    <t>Soil test, composite sampling, calibration of application equipment, recordkeeping; fertilizer use only</t>
  </si>
  <si>
    <t>Trucking / hauling(wait, load,travel, unload or dump &amp; return), no loading equipment</t>
  </si>
  <si>
    <t>Trenching with chain trencher, 12 H.P., operator walking, common earth, 8" wide trench, 12" deep</t>
  </si>
  <si>
    <t>Trenching with chain trencher, 12 H.P., operator walking, common earth, 8" wide trench, 18" deep</t>
  </si>
  <si>
    <t>Trenching with chain trencher, 12 H.P., operator walking, common earth, 8" wide trench, 24" deep</t>
  </si>
  <si>
    <t>Trenching with chain trencher, 12 H.P., operator walking, common earth, 8" wide trench, 36" deep</t>
  </si>
  <si>
    <t>A small storage reservoir constructed to regulate or store a supply of water for irrigation.</t>
  </si>
  <si>
    <t>An irrigation water storage structure made by constructing a dam, embankment, or pit.</t>
  </si>
  <si>
    <t>A system in which all necessary water-control structures have been installed for the efficient distribution of water by surface means, such as furrows, borders, contour levees, or contour ditches, or by subsurface means.</t>
  </si>
  <si>
    <t>430DD</t>
  </si>
  <si>
    <t>430EE</t>
  </si>
  <si>
    <t>Restoring land and water areas that are adversely affected by past mining practices and increasing the productivity of the areas for a beneficial use.</t>
  </si>
  <si>
    <t>Restoring currently mined land to an acceptable form and planned use.</t>
  </si>
  <si>
    <t>Establishing native or introduced forage species.</t>
  </si>
  <si>
    <t>Earth berm with dozer</t>
  </si>
  <si>
    <t>Concrete, Reinforced, Cast In Place, Walls</t>
  </si>
  <si>
    <t>Concrete, Reinforced, Cast In Place, Flat or Slope</t>
  </si>
  <si>
    <t>Flail Mowing</t>
  </si>
  <si>
    <t>Brush Hog</t>
  </si>
  <si>
    <t>Prescribed Burn Plan and Permits</t>
  </si>
  <si>
    <t>Herbicides</t>
  </si>
  <si>
    <t>Herbicides, weed control</t>
  </si>
  <si>
    <t>Hand Labor</t>
  </si>
  <si>
    <t>Seed, Winter Wheat</t>
  </si>
  <si>
    <t>Seed, Winter Rye</t>
  </si>
  <si>
    <t>Seed, Annual ryegrass</t>
  </si>
  <si>
    <t>Seed, Sorghum-sudangrss hybrid</t>
  </si>
  <si>
    <t>Seed, Forage sorghum</t>
  </si>
  <si>
    <t>Tillage for seedbed preparation</t>
  </si>
  <si>
    <t xml:space="preserve">Seed, Alsike Clover </t>
  </si>
  <si>
    <t>Seed, Ladino Clover</t>
  </si>
  <si>
    <t>Seed,  Red Clover</t>
  </si>
  <si>
    <t>Seed, Mammoth Clover</t>
  </si>
  <si>
    <t>Fertilizer, 18-18-18</t>
  </si>
  <si>
    <t>Tillage for seedbed preparation, tillage</t>
  </si>
  <si>
    <t>Analysis of crops and plan cropping sequence.</t>
  </si>
  <si>
    <t>Tree Removal, 300 HP Dozer, up to 400 trees per acre, up to 25% hardwoods</t>
  </si>
  <si>
    <t>Stripping and Stockpiling of Soil, ideal conditons, 200 H.P. Dozer</t>
  </si>
  <si>
    <t>flat</t>
  </si>
  <si>
    <t>Forest Trail and Walkway, Broad-based Dip, Water Bar, Opentop box culvert corrugated metal pipe with rip-rap outlet</t>
  </si>
  <si>
    <t>Grain Food Plots</t>
  </si>
  <si>
    <t>Herbaceous cover cool season annual species, preparation, seed, fertilizer and planting</t>
  </si>
  <si>
    <t>Geotextile</t>
  </si>
  <si>
    <t>Well, Drilled, 6-inch, Installed</t>
  </si>
  <si>
    <t>L.C.Y.</t>
  </si>
  <si>
    <t>Hr.</t>
  </si>
  <si>
    <t>E.C.Y.</t>
  </si>
  <si>
    <t>Pipe, Corrugated Plastic (Dual Wall), 4-inch, Incl. Fittings, installed with backhoe</t>
  </si>
  <si>
    <t>Pipe, Corrugated Plastic (Dual Wall), 6-inch, Incl. Fittings, installed with backhoe</t>
  </si>
  <si>
    <t>Pipe, Corrugated Plastic (Dual Wall), 8-inch, Incl. Fittings, installed with backhoe</t>
  </si>
  <si>
    <t>Pipe, Corrugated Plastic (Dual Wall), 10-inch, Incl. Fittings, installed with backhoe</t>
  </si>
  <si>
    <t>Pipe, Corrugated Plastic (Dual Wall), 15-inch, Incl. Fittings, installed with backhoe</t>
  </si>
  <si>
    <t>Fine Grade for slab on grade, machine</t>
  </si>
  <si>
    <t>Fine Grade for slab on grade, hand</t>
  </si>
  <si>
    <t>Backfill, general, by hand, no compaction, light soil</t>
  </si>
  <si>
    <t>L. C. Y.</t>
  </si>
  <si>
    <t>Backfill, general, by hand, no compaction, heavy soil</t>
  </si>
  <si>
    <t>Plant Material, Bare-root tubers and roots, Blue flag iris</t>
  </si>
  <si>
    <t>Plant Material, Bare-root tubers and roots, Common rush</t>
  </si>
  <si>
    <t>Plant Material, Bare-root tubers and roots, Spatterdock</t>
  </si>
  <si>
    <t>Slab bolsters, for reinforcing steel, continuous, plastic, 3/4" to 1" high, includes material only</t>
  </si>
  <si>
    <t>Slab bolsters, for reinforcing steel, continuous, plain, 1" to 2" high, includes material only</t>
  </si>
  <si>
    <t>Slab bolsters, for reinforcing steel, continuous, galvanized, 1" to 2" high, includes material only</t>
  </si>
  <si>
    <t>Corrugated metal pipe, galvanized uncoated, 20' lengths, 10 ga., 60" diameter, excludes excavation and backfill</t>
  </si>
  <si>
    <t>End sections, corrugated metal pipe, galvanized uncoated, 10" diameter</t>
  </si>
  <si>
    <t>End sections, corrugated metal pipe, galvanized uncoated, 12" diameter</t>
  </si>
  <si>
    <t>End sections, corrugated metal pipe, galvanized uncoated, 18" diameter</t>
  </si>
  <si>
    <t>End sections, corrugated metal pipe, galvanized uncoated, 24" diameter</t>
  </si>
  <si>
    <t>End sections, corrugated metal pipe, galvanized uncoated, 30" diameter</t>
  </si>
  <si>
    <t>End sections, corrugated metal pipe, galvanized uncoated, 36" diameter</t>
  </si>
  <si>
    <t>Rent Bucket, clamshell, general purpose, 1/2 CY capacity</t>
  </si>
  <si>
    <t>Rent Bucket, clamshell, general purpose, 3/4 CY capacity</t>
  </si>
  <si>
    <t>Rent Bucket, clamshell, general purpose, 1 CY capacity</t>
  </si>
  <si>
    <t>Rent Bucket, clamshell, general purpose, 1 1/2 CY capacity</t>
  </si>
  <si>
    <t>Rent Bucket, clamshell, general purpose, 2 CY capacity</t>
  </si>
  <si>
    <t>Rent tractor loader, wheel, torque conv., 1-1 1/4 CY, 65 HP</t>
  </si>
  <si>
    <t>Rent tractor loader, wheel, torque conv., 1 1/2 - 1 3/4 CY, 95 HP</t>
  </si>
  <si>
    <t>Rent tractor loader, wheel, torque conv., 1 3/4 - 2 1/4 CY, 130 HP</t>
  </si>
  <si>
    <t>Rent tractor loader, wheel, torque conv., 2 1/2 - 3 1/4 CY, 190 HP</t>
  </si>
  <si>
    <t>Rent wheeled skid steer, 30 HP gas</t>
  </si>
  <si>
    <t>Rent wheeled skid steer, 78 HP diesel</t>
  </si>
  <si>
    <t>Temporary Fencing for protection of contruction site</t>
  </si>
  <si>
    <t>Excavation, bulk bank measure, 1 C.Y. capacity = 75 C.Y./hour, backhoe, hydraulic, crawler mounted</t>
  </si>
  <si>
    <t>Excavation, bulk bank measure, 1-1/2 C.Y. capacity = 100 C.Y./hour, backhoe, hydraulic, crawler mounted</t>
  </si>
  <si>
    <t>Excavation, bulk bank measure, 2 C.Y. capacity = 130 C.Y./hour, backhoe, hydraulic, crawler mounted</t>
  </si>
  <si>
    <t>Waterstop, PVC, ribbed, 3/16" thick x 6" wide</t>
  </si>
  <si>
    <t>Waterstop, PVC, ribbed, with center bulb, 3/16" thick x 9" wide</t>
  </si>
  <si>
    <t>C.L.F.</t>
  </si>
  <si>
    <t>Pipe, Corrugated Plastic (Dual Wall), 4-inch, Incl. Fittings, installed with trencher</t>
  </si>
  <si>
    <t>Pipe, Corrugated Plastic (Dual Wall), 6-inch, Incl. Fittings, installed with trencher</t>
  </si>
  <si>
    <t>Pipe, Corrugated Plastic (Dual Wall), 8-inch, Incl. Fittings, installed with trencher</t>
  </si>
  <si>
    <t>Pipe, Corrugated Plastic (Dual Wall), 10-inch, Incl. Fittings, installed with trencher</t>
  </si>
  <si>
    <t>Pipe, Corrugated Plastic (Dual Wall), 12-inch, Incl. Fittings, installed with trencher</t>
  </si>
  <si>
    <t>Pond Sealing and Lining, Bentomat, Installed</t>
  </si>
  <si>
    <t xml:space="preserve">Pond Sealing and Lining, Bentonite, Installed  </t>
  </si>
  <si>
    <t xml:space="preserve">Pond Sealing and Lining, Earthfill, Clay Liner, Installed </t>
  </si>
  <si>
    <t>Pond Sealing and Lining, EPDM, Installed</t>
  </si>
  <si>
    <t>Pond Sealing and Lining, HDPE, Installed</t>
  </si>
  <si>
    <t>Irrigation Pit or Regulating Reservoir - 552B</t>
  </si>
  <si>
    <t>In-Line Water Control Structure, 6-inch pipe, Installed</t>
  </si>
  <si>
    <t xml:space="preserve">The closure of  waste impoundments (treatment lagoons and liquid  storage facilities), that are no longer used for their intended purpose, in an environmentally-safe manner. </t>
  </si>
  <si>
    <t>Composting Facility (No.)</t>
  </si>
  <si>
    <t>This is a treatment component of an agricultural management system for the biological stabilization of organic material.</t>
  </si>
  <si>
    <t>Conservation Cover (Ac.)</t>
  </si>
  <si>
    <t>Establishing and maintaining permanent vegetative cover to protect soil and water resources.</t>
  </si>
  <si>
    <t>Conservation Crop Rotation (Ac.)</t>
  </si>
  <si>
    <t>Constructed Wetland (No.)</t>
  </si>
  <si>
    <t>Contour Buffer Strips (Ac.)</t>
  </si>
  <si>
    <t>Contour Farming (Ac.)</t>
  </si>
  <si>
    <t>In-Line Water Control Structure, 12-inch pipe, Installed</t>
  </si>
  <si>
    <t>Seed, Bluegrass</t>
  </si>
  <si>
    <t>Seed, Festulolium</t>
  </si>
  <si>
    <t>Seed, Forage Chicory</t>
  </si>
  <si>
    <t>Seed, Kale</t>
  </si>
  <si>
    <t>Seed, Kura Clover</t>
  </si>
  <si>
    <t>Seed, Lancer' Flatpea</t>
  </si>
  <si>
    <t>Seed, Medium Red Clover</t>
  </si>
  <si>
    <t>Seed, Millets</t>
  </si>
  <si>
    <t>Seed, Orchard Grass</t>
  </si>
  <si>
    <t>$0.90 - 2.10</t>
  </si>
  <si>
    <t>$2.50 - 3.00</t>
  </si>
  <si>
    <t>Seed, Rye (winter)</t>
  </si>
  <si>
    <t>Seed, Sweet clover</t>
  </si>
  <si>
    <t>Seed, Turnips</t>
  </si>
  <si>
    <t xml:space="preserve">Seed, Wetland Mix </t>
  </si>
  <si>
    <t>Selective clearing, brush, light clearing, with dozer, ball and chain, excludes removal offsite</t>
  </si>
  <si>
    <t>Selective clearing, brush, with brush saw, includes cutting and site cleanup, excludes removal offsite</t>
  </si>
  <si>
    <t>Selective clearing, brush, with saw, by hand, includes cutting and site cleanup, excludes removal offsite</t>
  </si>
  <si>
    <t>Selective metals demolition, manufactured or fabricated specialty item, 121 - 500 lb, remove whole or cut up into smaller pieces, excl shoring, bracing, cutting, loading, hauling, dumping</t>
  </si>
  <si>
    <t>Selective metals demolition, manufactured or fabricated specialty item, 21 - 40 lb, remove whole or cut up into smaller pieces, excl shoring, bracing, cutting, loading, hauling, dumping</t>
  </si>
  <si>
    <t>Residue Management, Mulch Till (Ac.)</t>
  </si>
  <si>
    <t>Riparian Forest Buffer</t>
  </si>
  <si>
    <t>Windbreak/Shelerbelt Renovation (Ft.)</t>
  </si>
  <si>
    <t>Contour Orchard and Other Fruit Area (Ac.)</t>
  </si>
  <si>
    <t>Irrigation Pit or Regulating Reservoir (No.)</t>
  </si>
  <si>
    <t>Irrigation System, Microirrigation (No. and Ac.)</t>
  </si>
  <si>
    <t>Spring Gate with handle</t>
  </si>
  <si>
    <t>Steel downspouts, galvanized, rectangular, corrugated, 3" x 4", 28 gauge</t>
  </si>
  <si>
    <t>Steel downspouts, galvanized, round, corrugated, 2" or 3" dia, 28 gauge</t>
  </si>
  <si>
    <t>Steel downspouts, galvanized, round, corrugated, 4" dia, 28 gauge</t>
  </si>
  <si>
    <t>Steel post 7'  "T"</t>
  </si>
  <si>
    <t>Steel Posts.  (8 Ft.)</t>
  </si>
  <si>
    <t>Steel roofing panels, on steel frame, corrugated or ribbed, galvanized, 28 gauge</t>
  </si>
  <si>
    <t>Steel Siding, galvanized, corrugated or ribbed, on steel frame, 28 gauge, incl. fasteners</t>
  </si>
  <si>
    <t>Stone retaining walls, retaining wall, random stone, 6' to 10' high, 2' thick, dry set, includes excavation, concrete footing and stone, 3' below grade. Price is exposed face area.</t>
  </si>
  <si>
    <t>Strainer</t>
  </si>
  <si>
    <t>Structural concrete, in place, column, round, avg reinforcing, 12" diameter, includes forms(4 uses), reinforcing steel, and finishing</t>
  </si>
  <si>
    <t>Structural concrete, in place, column, square, max reinforcing, 12" x 12", includes forms(4 uses), reinforcing steel, and finishing</t>
  </si>
  <si>
    <t>Managing the amount, orientation, and distribution of crop and other plant residues on the soil surface during part of the year, while growing crops in a clean tilled seedbed.</t>
  </si>
  <si>
    <t>An area of predominantly trees and/or shrubs located adjacent to and up-gradient from watercourses or water bodies.</t>
  </si>
  <si>
    <t>Utilizing springs and seeps to provide water for conservation need.</t>
  </si>
  <si>
    <t>Maintain, improve, or restore the physical, chemical, and biological functions of a stream.</t>
  </si>
  <si>
    <t>A conduit, such as corrugated plastic tubing, tile, or pipe, installed beneath the ground surface to collect and/or convey drainage water.</t>
  </si>
  <si>
    <t>An open drainage ditch constructed to a designed size and grade.</t>
  </si>
  <si>
    <t>An earth embankment, or a combination ridge and channel, constructed across the field slope.</t>
  </si>
  <si>
    <t>Removing all or parts of selected branches or leaders from trees and shrubs.</t>
  </si>
  <si>
    <t>A conduit installed beneath the surface of the ground to collect surface water and convey it to a suitable outlet.</t>
  </si>
  <si>
    <t>Clearing brush with dozer and brush rake, heavy brush</t>
  </si>
  <si>
    <t>Clearing brush with dozer, ball and chain, light clearing</t>
  </si>
  <si>
    <t>Brush Mowing, Tractor w/rotary mower, no removal, heavy density</t>
  </si>
  <si>
    <t>Remove selected trees chainsaw and chipper, up to 6" diameter</t>
  </si>
  <si>
    <t>Remove selected trees chainsaw and chipper, 8" to 12" diameter</t>
  </si>
  <si>
    <t>Remove selected trees chainsaw and chipper, 14" to 24"" diameter</t>
  </si>
  <si>
    <t>Remove selected trees chainsaw and chipper, 26" to 36" diameter</t>
  </si>
  <si>
    <t>Timber harvesting</t>
  </si>
  <si>
    <t>Tree Planting-Hand (includes scalping, equipment and labor)</t>
  </si>
  <si>
    <t>Tree Planting-Machine (includes scalping, equipment and labor)</t>
  </si>
  <si>
    <t>linear foot</t>
  </si>
  <si>
    <t>thousand square feet</t>
  </si>
  <si>
    <t>ACF building, 40x40x16h with 2 slider doors and drive through (no concrete)</t>
  </si>
  <si>
    <t>Forest Site Preparation - 490</t>
  </si>
  <si>
    <t>Seed, Cool Season Grass, Orchardgrass</t>
  </si>
  <si>
    <t>Pipe, Corrugated Plastic Tubing (Single Wall, Perforated or non-Perforated), 10-inch, Incl. Fittings, installed with trencher</t>
  </si>
  <si>
    <t>Structural concrete, in place, slab on grade, over 10000 S.F., 6" thick, includes finishing only</t>
  </si>
  <si>
    <t>Structural concrete, placing, continuous footing, deep, direct chute, includes vibrating, excludes material</t>
  </si>
  <si>
    <t>Structural concrete, placing, slab on grade, direct chute, up to 6" thick, includes vibrating, excludes material</t>
  </si>
  <si>
    <t>Structural concrete, ready mix, normal weight, 2000 psi, includes local aggregate, sand, Portland cement and water, delivered, excludes all additives and treatments</t>
  </si>
  <si>
    <t>Riser, Corrugated Metal, 30-inch Dia., with 24-inch Dia.Stub, Antivortex and Trash Guard, 8-feet High, Installed</t>
  </si>
  <si>
    <t>Structural concrete, ready mix, normal weight, 3000 psi, includes local aggregate, sand, Portland cement and water, delivered, excludes all additives and treatments</t>
  </si>
  <si>
    <t>Structural concrete, ready mix, normal weight, 4000 PSI, includes local aggregate, sand, Portland cement and water, delivered, excludes all additives and treatments</t>
  </si>
  <si>
    <t>Structural excavation for minor structures, bank measure, for spread and mat footings, elevator pits, and small building foundations, common earth, 1/2 C.Y. bucket, machine excavation, hydraulic backhoe</t>
  </si>
  <si>
    <t>Subsoiler 30"</t>
  </si>
  <si>
    <t>Synthetic erosion control, hay bales, staked</t>
  </si>
  <si>
    <t>Synthetic erosion control, place and remove hay bales</t>
  </si>
  <si>
    <t>Structural concrete, in place, continuous strip footing, 18" wide x 9" deep, includes forms(4 uses), and finishing</t>
  </si>
  <si>
    <t>Structural concrete, in place, continuous strip footing, 18" wide x 9" deep, reinforced, includes forms(4 uses), and finishing</t>
  </si>
  <si>
    <t>flag FB use</t>
  </si>
  <si>
    <t>$</t>
  </si>
  <si>
    <t>Documentation / Records of Management</t>
  </si>
  <si>
    <t>culvert</t>
  </si>
  <si>
    <t>gravel</t>
  </si>
  <si>
    <t>lift lugs for culvert placement</t>
  </si>
  <si>
    <t>seeding on site</t>
  </si>
  <si>
    <t>dewatering</t>
  </si>
  <si>
    <t>trucking and dump fee</t>
  </si>
  <si>
    <t>channel debris clearing</t>
  </si>
  <si>
    <t>excavation for culvert</t>
  </si>
  <si>
    <t>culvert placement</t>
  </si>
  <si>
    <t>debris on-site, bury burn</t>
  </si>
  <si>
    <t>backfill trench</t>
  </si>
  <si>
    <t>Cherry Picker lift truck</t>
  </si>
  <si>
    <t>posts, rafters, and metal roof panels</t>
  </si>
  <si>
    <t>Plastic/Membrane cover material</t>
  </si>
  <si>
    <t>Strip topsoil, clay, dry and very hard, 400 HP dozer, ideal condtions</t>
  </si>
  <si>
    <t>Pipe, PVC, SCH-40, 10-inch, Incl. Fittings, Installed</t>
  </si>
  <si>
    <t>Structural concrete, in place, continuous strip footing, 20" x 10", reinforced, includes forms(4 uses), and finishing</t>
  </si>
  <si>
    <t>Structural concrete, in place, continuous strip footing, 20" x 10", unreinforced, includes forms(4 uses), and finishing</t>
  </si>
  <si>
    <t>Structural concrete, in place, slab on grade, over 10000 S.F., 12" thick, includes finishing only</t>
  </si>
  <si>
    <t>Structural concrete, in place, slab on grade, over 10000 S.F., 8" thick, includes finishing only</t>
  </si>
  <si>
    <t>Structural concrete, in place, spread footing, 1 C.Y. to 5 C.Y., includes forms(4 uses), reinforcing steel, and finishing</t>
  </si>
  <si>
    <t>Fence, Crimping sleeve</t>
  </si>
  <si>
    <t>Tillage: Moldboard Plowing</t>
  </si>
  <si>
    <t>Tillage: Chisel Plow</t>
  </si>
  <si>
    <t>Tillage: Disking</t>
  </si>
  <si>
    <t>Tillage: Soil Finishing / Culipacker</t>
  </si>
  <si>
    <t>Deep Tillage, subsoiler or V. Ripper</t>
  </si>
  <si>
    <t>IPM scouting, Annual Vegetables &amp; aspargus</t>
  </si>
  <si>
    <t>IPM scouting, field crops</t>
  </si>
  <si>
    <t>Sprayer</t>
  </si>
  <si>
    <t>Mowing grasses for establishment</t>
  </si>
  <si>
    <t>Aerial Application Chemicals</t>
  </si>
  <si>
    <t>Fertilizer Spreader, Dry Bulk (spreader only)</t>
  </si>
  <si>
    <t>Fertilizer, Manure Hauling, semi-solid (300 bu)</t>
  </si>
  <si>
    <t>Fertilizer, Manure Pump, Hauling, Injecting - Liquid (9,500 gallon capacity)</t>
  </si>
  <si>
    <t>Fertilizer, Manure Pump, Hauling, Spreading - Liquid (9,500 gallon capacity)</t>
  </si>
  <si>
    <t>Skidsteer/bobcat</t>
  </si>
  <si>
    <t>day</t>
  </si>
  <si>
    <t>Backhoe</t>
  </si>
  <si>
    <t>Cu. Yd.</t>
  </si>
  <si>
    <t>Compaction, structural, common fill, 8" lifts</t>
  </si>
  <si>
    <t>Conifer Seedlings, White Pine 6-12"</t>
  </si>
  <si>
    <t>Vegetative Control - Manual</t>
  </si>
  <si>
    <t>Pipe Trenching, (w/Backhoe)</t>
  </si>
  <si>
    <t>Pipe Trenching, (w/Trencher)</t>
  </si>
  <si>
    <t>Pipe, Corrugated Metal, 6-inch, Incl. Fittings, Installed</t>
  </si>
  <si>
    <t>Pipe, Corrugated Metal, 8-inch, Incl. Fittings, Installed</t>
  </si>
  <si>
    <t>Soil Test</t>
  </si>
  <si>
    <t>Pipe, Corrugated Plastic (Dual Wall), 30-inch, Incl. Fittings, installed with backhoe</t>
  </si>
  <si>
    <t>Pipe, Corrugated Plastic (Dual Wall), 36-inch, Incl. Fittings, installed with backhoe</t>
  </si>
  <si>
    <t>Earthfill, Compacted, Off-site Material (3 mile haul)</t>
  </si>
  <si>
    <t>Trough or Tank, Galv., 200 gal., with Gravel Pad, Installed</t>
  </si>
  <si>
    <t>Trough or Tank, Galv., 400 gal., with Gravel Pad, Installed</t>
  </si>
  <si>
    <t>Trough or Tank, Poly., 100 gal., with Gravel Pad, Installed</t>
  </si>
  <si>
    <t>1,000 gallons</t>
  </si>
  <si>
    <t>Seed, Eastern Gama Grass</t>
  </si>
  <si>
    <t>Seed, Wildflowers, Annuals Mix</t>
  </si>
  <si>
    <t>Seed, Wildflowers, Perrennials Mix</t>
  </si>
  <si>
    <t>Sq Ft</t>
  </si>
  <si>
    <t>Structural Steel, Recycled/Suitable Used Materials</t>
  </si>
  <si>
    <t>Pre-Packed Well Screen</t>
  </si>
  <si>
    <t>SY</t>
  </si>
  <si>
    <t>FT</t>
  </si>
  <si>
    <t>Bulldozer, 100 HP</t>
  </si>
  <si>
    <t>Dewatering,excavate drainage trench, with backhoe, 2' wide x 2' deep</t>
  </si>
  <si>
    <t>Dewatering,excavate drainage trench, with backhoe, 2' wide x 3' deep</t>
  </si>
  <si>
    <t>Tree Removal, 300 HP Dozer, up to 400 trees per acre</t>
  </si>
  <si>
    <t>Stump Removal on site by hydraulic backhoe</t>
  </si>
  <si>
    <t>Tree Removal, selected trees chainsaw and chipper, up to 6" diameter</t>
  </si>
  <si>
    <t>Tree Removal, selected trees chainsaw and chipper, 8" to 12" diameter</t>
  </si>
  <si>
    <t>Tree Removal, selected trees chainsaw and chipper, 14" to 24"" diameter</t>
  </si>
  <si>
    <t>Pipe, Corrugated Plastic Tubing (Single Wall, Perforated or non-Perforated), 8-inch, Incl. Fittings, installed with backhoe</t>
  </si>
  <si>
    <t>Watering Facility - 614</t>
  </si>
  <si>
    <t>(Refer to Heavy Use Area Protection to stabilize ground around Watering Facility</t>
  </si>
  <si>
    <t>Well Decommissioning - 351</t>
  </si>
  <si>
    <t>Wetland Creation - 658</t>
  </si>
  <si>
    <t>Wetland Enhancement - 659</t>
  </si>
  <si>
    <t>Wetland Restoration - 657</t>
  </si>
  <si>
    <t>Wetland Wildlife Habitat Management - 644</t>
  </si>
  <si>
    <t>Tree and Shrub Planting - see Tree/Shrub Establishment - 612</t>
  </si>
  <si>
    <t>Windbreak/Shelterbelt Establishment - 380</t>
  </si>
  <si>
    <t>Windbreak/Shelerbelt Renovation - 650</t>
  </si>
  <si>
    <t>Site Preparation, Tillage operation to prepare for planting (scalping)</t>
  </si>
  <si>
    <t>Site Preparation, Chemical treatment</t>
  </si>
  <si>
    <t>Trees/Shrubs Older-age and medium to larger size planting stock, including bare rooted, transplants, balled and burlap and container grown stock</t>
  </si>
  <si>
    <t>Site Preparation, Sod, Alfalfa, Small Grain or Row Crop site, Ripping with subsoiler to break plow pan</t>
  </si>
  <si>
    <t>Site Preparation, Sod, Alfalfa, Small Grain or Row Crop site, Band spray 36" wide strip one season before planting</t>
  </si>
  <si>
    <t>Site Preparation, Kill Sod or grass &amp; seed control on crop sites by treating entire area with herbicide one season before planting</t>
  </si>
  <si>
    <t xml:space="preserve">Site Preparation, Scalping </t>
  </si>
  <si>
    <t>Forest Site Preparation, Machine-Chemical (includes equipment and labor)</t>
  </si>
  <si>
    <t>Plant Material, Bare-root tubers and roots, White water lily</t>
  </si>
  <si>
    <t>Plant Material, Bare-root tubers and roots, Arrow arum</t>
  </si>
  <si>
    <t>Plant Material, Bare-root tubers and roots, Smartweed</t>
  </si>
  <si>
    <t>Plant Material, Bare-root tubers and roots, Pickerel weed</t>
  </si>
  <si>
    <t>Plant Material, Bare-root tubers and roots, Arrowleaf</t>
  </si>
  <si>
    <t>Plant Material, Bare-root tubers and roots, Three square</t>
  </si>
  <si>
    <t>Weed Control for trees - Mechanical machine scalping (if not done during planting)</t>
  </si>
  <si>
    <t>Riser, Corrugated Metal, 42-inch Dia., with 30-inch Dia. Stub, Antivortex and Trash Guard, 5-feet High, Installed</t>
  </si>
  <si>
    <t>Riser, Corrugated Metal, 42-inch Dia., with 30-inch Dia. Stub, Antivortex and Trash Guard, 8-feet High, Installed</t>
  </si>
  <si>
    <t>Paving, asphaltic concrete, parking lots &amp; driveways, binder course, 3" thick</t>
  </si>
  <si>
    <t>Tree Pruning - Trees 10 up to 18FT (includes labor and equipment)</t>
  </si>
  <si>
    <t>per tree</t>
  </si>
  <si>
    <t>Tree Pruning - Trees 18 FT up to 26 FT (includes labor and equipment)</t>
  </si>
  <si>
    <t>Tree Pruning - Trees up to 10 FT (includes labor and equipment)</t>
  </si>
  <si>
    <t>Urban Ground Covers and Shrubs, Periwinkle</t>
  </si>
  <si>
    <t>Sand &amp; Stone, Aggregate, crushed bank run gravel</t>
  </si>
  <si>
    <t>Sand &amp; Stone, Aggregrate, expanded shale</t>
  </si>
  <si>
    <t>Sand &amp; Stone, Bank run gravel, spread with 200 H.P. dozer, includes load at pit and haul, 2 miles round trip, excludes compaction</t>
  </si>
  <si>
    <t>Sand &amp; Stone, Crushed Limestone</t>
  </si>
  <si>
    <t>Sand &amp; Stone, Crushed stone, 1.40 tons per C.Y., 1/2", spread with 200 H.P. dozer, includes load at pit and haul, 2 miles round trip, excludes compaction</t>
  </si>
  <si>
    <t>Sand &amp; Stone, Crushed stone, 1.40 tons per C.Y., 1-1/2", spread with 200 H.P. dozer, includes load at pit and haul, 2 miles round trip, excludes compaction</t>
  </si>
  <si>
    <t>Sand &amp; Stone, Crushed stone, 1.40 tons per C.Y., 3/4", spread with 200 H.P. dozer, includes load at pit and haul, 2 miles round trip, excludes compaction</t>
  </si>
  <si>
    <t>Sand &amp; Stone, Crushed stone, 1.40 tons per C.Y., 3/8", spread with 200 H.P. dozer, includes load at pit and haul, 2 miles round trip, excludes compaction</t>
  </si>
  <si>
    <t>Sand &amp; Stone, Dead or bank sand, spread with 200 H.P. dozer, includes load at pit and haul, 2 miles round trip, excludes compaction</t>
  </si>
  <si>
    <t>Seeding, Aerial seeding operations, incl. seed</t>
  </si>
  <si>
    <t>Seeding, Aerial seeding operations, incl. seed and liquid fertilizer</t>
  </si>
  <si>
    <t>Concrete, Fibrous reinforcing, steel fibers, add to concrete, 50 lb. per C.Y.</t>
  </si>
  <si>
    <t>Concrete, Fibrous reinforcing, synthetic fibers, add to concrete</t>
  </si>
  <si>
    <t>Concrete, Fibrous reinforcing, synthetic fibers, add to concrete, 1-1/2 lb. per C.Y.</t>
  </si>
  <si>
    <t>Roundup, 1 gallon containers or less</t>
  </si>
  <si>
    <t>Roundup, 5 gallon containers</t>
  </si>
  <si>
    <t>Excavation, bulk, open site,80 H.P. dozer, 300' haul, common earth</t>
  </si>
  <si>
    <t>Excavation, bulk, open site, 80 H.P. dozer, 300' haul, clay</t>
  </si>
  <si>
    <t>Excavation, bulk, open site, 105 H.P. dozer, 50' haul, sand and gravel</t>
  </si>
  <si>
    <t>Excavation, bulk, open site, 105 H.P. dozer, 50' haul, common earth</t>
  </si>
  <si>
    <t>Excavation, bulk, open site, 105 H.P. dozer, 50' haul, clay</t>
  </si>
  <si>
    <t>Excavation, bulk, open site, 105 H.P. dozer, 150' haul, sand and gravel</t>
  </si>
  <si>
    <t>Excavation, bulk, open site, 105 H.P. dozer, 150' haul, common earth</t>
  </si>
  <si>
    <t>Excavation, bulk, open site, 105 H.P. dozer, 150' haul, clay</t>
  </si>
  <si>
    <t>Timber Fabrication, Treated, Installed</t>
  </si>
  <si>
    <t>Tissue test for small fruit and tree crops, soil ph test, sampling, calibration of application equipment, recordkeeping</t>
  </si>
  <si>
    <t>Utility bedding for pipe and conduit, not incl. compaction, crushed stone or screened bank run gravel</t>
  </si>
  <si>
    <t>Utility bedding for pipe and conduit, not incl. compaction, crushed stone 3/4' to 1/2"</t>
  </si>
  <si>
    <t>Seed, Grass, Smooth Brome</t>
  </si>
  <si>
    <t>Seed, Grass, Timothy</t>
  </si>
  <si>
    <t>Seed, Grass, Tall Fescue</t>
  </si>
  <si>
    <t>Seed, Grass, Annual Ryegrass</t>
  </si>
  <si>
    <t>Seed, Hairy (or winter) Vetch</t>
  </si>
  <si>
    <t>Seed, Hybrid Sorghum Sudan</t>
  </si>
  <si>
    <t>Galvanized Culvert</t>
  </si>
  <si>
    <t>Water-bar</t>
  </si>
  <si>
    <t>pipe schedule 40 PVC 3/4"</t>
  </si>
  <si>
    <t>Agrichemical Containment Facility, Reinforced Concrete Floor, Timber Walls, Installed (liner extra)</t>
  </si>
  <si>
    <t>Roof Gutters, with downspouts</t>
  </si>
  <si>
    <t>Alley Cropping - 311</t>
  </si>
  <si>
    <t>Brush Management - 314</t>
  </si>
  <si>
    <t>Burning for prescribed burning</t>
  </si>
  <si>
    <t>Mechanical treatment - brush &amp; pest management</t>
  </si>
  <si>
    <t>Clearing and Snagging - 326</t>
  </si>
  <si>
    <t>Seeding, Drill or Broadcast, with Seedbed Preparation, Fertilizer and Mulch, Installed</t>
  </si>
  <si>
    <t>Closure of Waste Impoundments - 360</t>
  </si>
  <si>
    <t>Commercial Fish Ponds - 397</t>
  </si>
  <si>
    <t>Chemical weed control</t>
  </si>
  <si>
    <t>Critical area planting (see critical area planting, 342)</t>
  </si>
  <si>
    <t>Composting Facility - 317</t>
  </si>
  <si>
    <t>Pipe, Corrugated Plastic Tubing (Single Wall, Perforated or non-Perforated), 4-inch, Incl. Fittings, installed with backhoe</t>
  </si>
  <si>
    <t>Corrugated galvanized or aluminum oval arch culverts, plain, 21" x 15", 18" equivalent, 16 ga., excludes excavation and backfill</t>
  </si>
  <si>
    <t>Corrugated galvanized or aluminum oval arch culverts, plain, 28" x 20", 24" equivalent, 14 ga., excludes excavation and backfill</t>
  </si>
  <si>
    <t>Corrugated galvanized or aluminum oval arch culverts, plain, 35" x 24", 30" equivalent, 14 ga., excludes excavation and backfill</t>
  </si>
  <si>
    <t>Corrugated galvanized or aluminum oval arch culverts, plain, 42" x 29", 36" equivalent, 12 ga., excludes excavation and backfill</t>
  </si>
  <si>
    <t xml:space="preserve">311413231420 </t>
  </si>
  <si>
    <t xml:space="preserve">311413231450 </t>
  </si>
  <si>
    <t xml:space="preserve">311413230100 </t>
  </si>
  <si>
    <t xml:space="preserve">311413230020 </t>
  </si>
  <si>
    <t xml:space="preserve">333613102800 </t>
  </si>
  <si>
    <t xml:space="preserve">333613102600 </t>
  </si>
  <si>
    <t xml:space="preserve">333613100100 </t>
  </si>
  <si>
    <t xml:space="preserve">312513100200 </t>
  </si>
  <si>
    <t xml:space="preserve">312513101000 </t>
  </si>
  <si>
    <t>2 Clab</t>
  </si>
  <si>
    <t xml:space="preserve">312513100300 </t>
  </si>
  <si>
    <t>Stripping and Stockpiling of Soil, ideal conditons, 400 H.P. Dozer</t>
  </si>
  <si>
    <t>Stripping and Stockpiling of Soil, adverse conditons, 400 H.P. Dozer</t>
  </si>
  <si>
    <t>Strip topsoil, clay, dry &amp; soft, 200 HP dozer, ideal conditions</t>
  </si>
  <si>
    <t>Strip topsoil, clay, dry &amp; soft, 200 HP dozer, adverse conditions</t>
  </si>
  <si>
    <t>Strip topsoil, clay, dry &amp; medium hard, 300 HP dozer, adverse conditions</t>
  </si>
  <si>
    <t>Strip topsoil, clay, dry &amp; medium hard, 300 HP dozer, ideal conditions</t>
  </si>
  <si>
    <t>Plant Material, Bare-root tubers and roots, Soft-stem bulrush</t>
  </si>
  <si>
    <t>Plant Material, Bare-root tubers and roots, Broad-leaved cattail</t>
  </si>
  <si>
    <t>Seed, Switchgrass</t>
  </si>
  <si>
    <t>Seed, Big Bluestem</t>
  </si>
  <si>
    <t>Seed, Little Bluestem</t>
  </si>
  <si>
    <t>Seed, Indiangrass</t>
  </si>
  <si>
    <t>Seed, Chickory</t>
  </si>
  <si>
    <t>Seed, Alfalfa</t>
  </si>
  <si>
    <t>Seed, Clover, Medium Red Clover</t>
  </si>
  <si>
    <t>Seed, Clover, Mammoth Clover</t>
  </si>
  <si>
    <t>Seed, Clover, Alsike</t>
  </si>
  <si>
    <t>Seed, Clover, Ladino</t>
  </si>
  <si>
    <t>Seed, Clover Mixture for Wildlife Pasture (pre-inoculated)</t>
  </si>
  <si>
    <t>packet</t>
  </si>
  <si>
    <t>Seed Supplies, Alfalfa &amp; Clover Inoculants, 1 packet per 50-60 lbs.</t>
  </si>
  <si>
    <t>Seed, Hay &amp; Pasture Mixture, 90% alfalfa &amp; 10% timothy</t>
  </si>
  <si>
    <t>Seed, Hay &amp; Pasture Mixture, 60% alfalfa, 20% timothy, &amp; 20% Clover</t>
  </si>
  <si>
    <t>Seed, Hay &amp; Pasture Mixture, Pasture Mix, grasses, clover and alfalfa</t>
  </si>
  <si>
    <t>Herbaceous wind barrier, Perennial cool season, site preparation, seed, fertilizer, planting</t>
  </si>
  <si>
    <t>Irrigation Pit or Regulating Reservoir - 552A</t>
  </si>
  <si>
    <t>Site Preparation (Clearing and grubbing)</t>
  </si>
  <si>
    <t>Site Preparation for fence (Clearing and grubbing)</t>
  </si>
  <si>
    <t>Site preparation for stream habitat improvement</t>
  </si>
  <si>
    <t>Soil Test (Basic)</t>
  </si>
  <si>
    <t>Soil test annually for vegetable, flower, ornamentals and shrubs, sampling, calibration of application equipment, recordkeeping</t>
  </si>
  <si>
    <t>Concrete paving surface treatment, reinforcing steel for rigid paving, 18 lbs/SY</t>
  </si>
  <si>
    <t>Concrete surface treatment, sealer, hardener and dustproofer, epoxy-based, 125 SF/gal, 5 gallon pail, includes material only, maximum</t>
  </si>
  <si>
    <t>Concrete surface treatment, sealer, hardener and dustproofer, water-based, 350 SF/Gal, 5 gallon pail, includes material only</t>
  </si>
  <si>
    <t>Crimping sleeve</t>
  </si>
  <si>
    <t>Cycle hauling(wait, load,travel, unload or dump &amp; return) time per cycle, excavated or borrow, loose cubic yards, 15 min load/wait/unload, 12 CY truck, cycle 8 miles, 35 MPH, no loading equipment</t>
  </si>
  <si>
    <t>Demolish, remove pavement &amp; curb, patio/carport,concrete, no reinforcing, to 6" thick, with hand held air equipment, excludes hauling</t>
  </si>
  <si>
    <t>Demolish, remove pavement &amp; curb, remove concrete, rod reinforced, to 6" thick, excludes hauling and disposal fees</t>
  </si>
  <si>
    <t>Dewatering, pumping, 8 hr., attended 2 hours per day, 2" diaphragm pump used for 8 hours, includes 20 L.F. of suction hose and 100 L.F. of discharge hose</t>
  </si>
  <si>
    <t>Elbows, aluminum, round, corrugated, embossed, .025" thick, 4" dia</t>
  </si>
  <si>
    <t>Elbows, copper, corrugated, 16 ounce, 3" x 4"</t>
  </si>
  <si>
    <t>Electrified Gates tape or rope</t>
  </si>
  <si>
    <t>Energizer 110 volt unit, 10.00 joule</t>
  </si>
  <si>
    <t>Energizer 110 volt unit, 16.00 joule</t>
  </si>
  <si>
    <t>Energizer 110 volt unit, 18.00 joule</t>
  </si>
  <si>
    <t>Energizer 110 volt unit, 3.00 joule</t>
  </si>
  <si>
    <t>Energizer 110 volt unit, 6.00 joule</t>
  </si>
  <si>
    <t>Energizer battery unit, dry cell 1.5 volt</t>
  </si>
  <si>
    <t>Energizer battery unit, wet cell 12 V 1 joule</t>
  </si>
  <si>
    <t>Energizer battery unit, wet cell 12 V 2 joule</t>
  </si>
  <si>
    <t>Excavating, bulk bank measure, 1 C.Y. capacity = 75 C.Y./hour, backhoe, hydraulic, crawler mounted, excluding truck loading</t>
  </si>
  <si>
    <t>Excavating, bulk bank measure, 1/2 C.Y. capacity = 30 C.Y./hour, backhoe, hydraulic, wheel mounted, excluding truck loading</t>
  </si>
  <si>
    <t>Excavating, bulk bank measure, 1/2 C.Y. capacity = 55 C.Y./hour, shovel, excluding truck loading</t>
  </si>
  <si>
    <t>Excavating, bulk bank measure, 1-1/2 C.Y. capacity = 70 C.Y./hour, front end loader, track mounted, excluding truck loading</t>
  </si>
  <si>
    <t>Excavating, bulk bank measure, 3/4 C.Y. capacity = 45 C.Y./hour, wheel mounted, excluding truck loading</t>
  </si>
  <si>
    <t>Excavating, bulk, dozer, open site, bank measure, common earth, 105 H.P. dozer, 150' haul</t>
  </si>
  <si>
    <t>Excavating, bulk, dozer, open site, bank measure, common earth, 200 H.P. dozer, 150' push</t>
  </si>
  <si>
    <t>Excavating, chain trencher, utility trench, common earth, 12 H.P., 6" wide, 18" deep, chain trencher, operator walking</t>
  </si>
  <si>
    <t>Excavating, chain trencher, utility trench, common earth, 12 H.P., 8" wide, 18" deep, chain trencher, operator walking</t>
  </si>
  <si>
    <t>Excavating, chain trencher, utility trench, common earth, 4" wide, 18" deep, backfill by hand</t>
  </si>
  <si>
    <t>Excavating, chain trencher, utility trench, common earth, 6" wide, 18" deep, backfill by hand, includes compaction, add</t>
  </si>
  <si>
    <t>Excavating, trench backfill, 1 C.Y. bucket, minimal haul, front end loader, wheel mounted, excludes dewatering</t>
  </si>
  <si>
    <t>Excavating, trench backfill, 2-1/4 C.Y. bucket, minimal haul, front end loader, wheel mounted, excludes dewatering</t>
  </si>
  <si>
    <t>Excavating, trench or continuous footing, common earth, 1/2 C.Y. excavator, 1' to 4' deep, excludes sheeting or dewatering</t>
  </si>
  <si>
    <t>Excavating, trench or continuous footing, common earth, 1/2 C.Y. excavator, 4' to 6' deep, excludes sheeting or dewatering</t>
  </si>
  <si>
    <t>Excavating, trench or continuous footing, common earth, by hand with pick and shovel, 2' to 6' deep, light soil, excludes sheeting or dewatering</t>
  </si>
  <si>
    <t>Fence post 4" treated wood</t>
  </si>
  <si>
    <t>Fence post 5" treated wood</t>
  </si>
  <si>
    <t>Fence post 6" treated wood</t>
  </si>
  <si>
    <t>Fence, chain link industrial, galvanized steel, 6 ga. wire, 2-1/2" posts @ 10' OC, 8' high, includes excavation, in concrete, excludes barbed wire</t>
  </si>
  <si>
    <t>Fertilizer Lime application</t>
  </si>
  <si>
    <t>Fill, dumped material, spread, by dozer, excludes compaction</t>
  </si>
  <si>
    <t>Fill, gravel fill, compacted, under floor slabs, 6" deep</t>
  </si>
  <si>
    <t>Fill, gravel fill, compacted, under floor slabs, 9" deep</t>
  </si>
  <si>
    <t>Fine grading, fine grade for slab on grade, machine</t>
  </si>
  <si>
    <t>Fine grading, finish grading, small area, to be paved with grader</t>
  </si>
  <si>
    <t>Fine grading, lagoon bottoms, to be paved with grader</t>
  </si>
  <si>
    <t>Gabion boxes, galvanized steel mesh mats or boxes, stone filled, 12" deep</t>
  </si>
  <si>
    <t>Gabion boxes, galvanized steel mesh mats or boxes, stone filled, 18" deep</t>
  </si>
  <si>
    <t>Gabion boxes, galvanized steel mesh mats or boxes, stone filled, 36" deep</t>
  </si>
  <si>
    <t>Gabion boxes, galvanized steel mesh mats or boxes, stone filled, 6" deep</t>
  </si>
  <si>
    <t>Galvanized steel gutters, half round or box, stock, 5" wide, 26 gauge</t>
  </si>
  <si>
    <t>Galvanized steel gutters, half round or box, stock, 6" wide, 26 gauge</t>
  </si>
  <si>
    <t>Gate 1 5/8" Wire Filled, 12 foot</t>
  </si>
  <si>
    <t>Gate 1 5/8" Wire Filled, 14 foot</t>
  </si>
  <si>
    <t>Gate 1 5/8" Wire Filled, 16 foot</t>
  </si>
  <si>
    <t>Gate 2" Tubular HD Steel, 12 foot</t>
  </si>
  <si>
    <t>Gate 2" Tubular HD Steel, 14 foot</t>
  </si>
  <si>
    <t>Gate 2" Tubular HD Steel, 16 foot</t>
  </si>
  <si>
    <t>Ground Rod and clamp</t>
  </si>
  <si>
    <t>Aggregate, Sand &amp; stone, crushed bank run gravel</t>
  </si>
  <si>
    <t>Sand, washed, for concrete</t>
  </si>
  <si>
    <t>Bag</t>
  </si>
  <si>
    <t>Winter Protection for heated ready mix, add to costs</t>
  </si>
  <si>
    <t>Fine grade, fine grade for slab on grade, machine</t>
  </si>
  <si>
    <t>Fine grade, fine grade for slab on grade, hand grading</t>
  </si>
  <si>
    <t>Site Clearing, Selective Clearing, with dozer, ball and chain, light clearing</t>
  </si>
  <si>
    <t>Site Clearing, Selective Clearing, with dozer, ball and chain, medium clearing</t>
  </si>
  <si>
    <t>Site Clearing, Stripping and Stockpiling of Soil, adverse conditons, 200 H.P. Dozer</t>
  </si>
  <si>
    <t>Site Clearing, Stripping and Stockpiling of Soil, adverse conditons, 300 H.P. Dozer</t>
  </si>
  <si>
    <t>Septic Tanks for waste water, 2,000 gallon, not includ. Exec or piping, precast</t>
  </si>
  <si>
    <t>Septic Tanks for waste water, 5,000 gallon, not includ. Exec or piping, precast</t>
  </si>
  <si>
    <t>Septic Tanks for waste water, 15,000 gallon, not includ. Exec or piping, precast</t>
  </si>
  <si>
    <t>Septic Tanks for waste water, 25,000 gallon, not includ. Exec or piping, precast</t>
  </si>
  <si>
    <r>
      <t xml:space="preserve">100 ft long, 14 ft wide minimum width gravel base with 2 ft of shoulder on each side, constructed with </t>
    </r>
    <r>
      <rPr>
        <b/>
        <sz val="10"/>
        <rFont val="Arial"/>
        <family val="2"/>
      </rPr>
      <t>on-site fill; forest site</t>
    </r>
  </si>
  <si>
    <t>Trench backfill by hand including compaction, add to trencing, 4" wide trench, 12" deep</t>
  </si>
  <si>
    <t>Trench backfill by hand including compaction, add to trencing, 4" wide trench, 18" deep</t>
  </si>
  <si>
    <t>Pipe, Reinforced Concrete, 12-inch, Incl. Fittings, Installed</t>
  </si>
  <si>
    <t>Pipe, Reinforced Concrete, 18-inch, Incl. Fittings, Installed</t>
  </si>
  <si>
    <t>Trenching with chain trencher, 40 H.P., operator riding, common earth, 6" wide trench and backfill, 12" deep</t>
  </si>
  <si>
    <t>Trenching with chain trencher, 40 H.P., operator riding, common earth, 16" wide trench and backfill, 18" deep</t>
  </si>
  <si>
    <t>Trenching with chain trencher, 40 H.P., operator riding, common earth, 16" wide trench and backfill, 24" deep</t>
  </si>
  <si>
    <t>Trenching with chain trencher, 40 H.P., operator riding, common earth, 6" wide trench and backfill, 48" deep</t>
  </si>
  <si>
    <t>Earthwork, grading and shaping</t>
  </si>
  <si>
    <t>Seed, Cool Season Grass, Tall Fescue</t>
  </si>
  <si>
    <t>Seed, Cool Season Grass, Timothy</t>
  </si>
  <si>
    <t>Seed, Cool Season Grass, Creeping Red Fescue</t>
  </si>
  <si>
    <t>Seed, Warm Season Grass, Switchgrass</t>
  </si>
  <si>
    <t>Seed, Warm Season Grass, Big Bluestem</t>
  </si>
  <si>
    <t>Seed, Warm Season Grass, Indiangrass</t>
  </si>
  <si>
    <t>Seed, Warm Season Grass, Tioga' Deertongue</t>
  </si>
  <si>
    <t>Seed, Cool Season Grass &amp; Legume Mixes</t>
  </si>
  <si>
    <t>Seed, Cool Season Grass Mixes</t>
  </si>
  <si>
    <t>Seed, Warm Season Grass Mixes</t>
  </si>
  <si>
    <t>Seed, Warm Season Grass &amp; Legume Mixes</t>
  </si>
  <si>
    <t>Pipe, Reinforced Concrete, 30-inch, Incl. Fittings, Installed</t>
  </si>
  <si>
    <t xml:space="preserve">Tree Thinning </t>
  </si>
  <si>
    <t>Replacement of dead or dying trees in a windbreak.</t>
  </si>
  <si>
    <t>Corrugated steel oval arch culverts, plain, end sections, 17" x 13", excludes excavation and backfill</t>
  </si>
  <si>
    <t>Corrugated steel oval arch culverts, plain, end sections, 42" x 29", excludes excavation and backfill</t>
  </si>
  <si>
    <t>Lb.</t>
  </si>
  <si>
    <t>Aggregrate base course, for roadways and large paved areas, compacted, 3" deep, crushed 3/4" stone base</t>
  </si>
  <si>
    <t>Aggregrate base course, for roadways and large paved areas, stone base, compacted, 3/4" stone base, to 6" deep</t>
  </si>
  <si>
    <t>Aggregrate base course, for roadways and large paved areas, crushed stone base, compacted, crushed 1-1/2" stone base, to 4" deep</t>
  </si>
  <si>
    <t>Aggregrate base course, for roadways and large paved areas, crushed stone base, compacted, crushed 1-1/2" stone base, to 6" deep</t>
  </si>
  <si>
    <t>Aggregrate base course, for roadways and large paved areas, crushed stone base, compacted, crushed 1-1/2" stone base, to 12" deep</t>
  </si>
  <si>
    <t>Aggregrate base course, for roadways and large paved areas, bank run gravel, spread and compacted, 6" deep</t>
  </si>
  <si>
    <t>Aggregrate base course, for roadways and large paved areas, bank run gravel, spread and compacted, 9" deep</t>
  </si>
  <si>
    <t>Aggregrate base course, for roadways and large paved areas, bank run gravel, spread and compacted, 12" deep</t>
  </si>
  <si>
    <t>Rent tractor dozer crawler diesel 105 HP</t>
  </si>
  <si>
    <t>Rent tractor dozer crawler diesel 140 HP</t>
  </si>
  <si>
    <t>Rent tractor dozer crawler diesel 200 HP</t>
  </si>
  <si>
    <t>Rent tractor dozer crawler diesel 300 HP</t>
  </si>
  <si>
    <t>Rent loader skid steer, 1 CY 78 HP, diesel</t>
  </si>
  <si>
    <t>Rent truck dump tandem 12 ton payload</t>
  </si>
  <si>
    <t>Aggregrate base course, for roadways and large paved areas, stabilization fabric, polypropylene, 6 oz./S.Y.</t>
  </si>
  <si>
    <t>bdle</t>
  </si>
  <si>
    <t>bundle</t>
  </si>
  <si>
    <t>Seed, Cool Season Grass, American Beachgrass  (125 plants/bundle)</t>
  </si>
  <si>
    <t>Seedbed Preparation</t>
  </si>
  <si>
    <t>Tree protectors (tubes, plastic rodent protectors, plastic mesh, wire mesh) includes installation with wood or metal stakes</t>
  </si>
  <si>
    <t>Post Planting Weed Control for trees - Herbicides and application (hand)</t>
  </si>
  <si>
    <t>Post Planting Weed Control for trees - Herbicides and application (machine)</t>
  </si>
  <si>
    <t>Backfill, structural, clay, 75 H.P. dozer, 50' haul, no compaction</t>
  </si>
  <si>
    <t>Backfill, structural, sand and gravel, 75 H.P. dozer, 50' haul</t>
  </si>
  <si>
    <t>Piping backflow preventer, incl. valves, 3/4" pipe size</t>
  </si>
  <si>
    <t>Piping backflow preventer, incl. valves, 2" pipe size</t>
  </si>
  <si>
    <t>Pumps, installed in wells to 100' deep, 4" submersible, 3 HP</t>
  </si>
  <si>
    <t>Steel Well Casing</t>
  </si>
  <si>
    <t>Rip-rap, random, broken stone, machine placed for slope protection</t>
  </si>
  <si>
    <t>Rip-rap, random, broken stone, 18" minimum thickness, machine placed for slope protection, not grouted</t>
  </si>
  <si>
    <t>Site Preparation (Stripping and Stockpiling)</t>
  </si>
  <si>
    <t>Embankment</t>
  </si>
  <si>
    <t>Water Control Structure, In-Line 6-inch pipe, Installed</t>
  </si>
  <si>
    <t>Water Control Structure, In-Line 8-inch pipe, Installed</t>
  </si>
  <si>
    <t>Water Control Structure, In-Line, 10-inch pipe, Installed</t>
  </si>
  <si>
    <t>Sq Yd.</t>
  </si>
  <si>
    <t xml:space="preserve">Water Wells, pumps, installed </t>
  </si>
  <si>
    <t>Septic Tank and Effluent Wet Wells, septic tanks precast concrete, 2,000 gallon, excludes excavation or piping</t>
  </si>
  <si>
    <t>Septic Tank and Effluent Wet Wells, septic tanks precast concrete, 5,000 gallon, excludes excavation or piping</t>
  </si>
  <si>
    <t>Culverts, 48" equivalent, excludes excavation and backfill</t>
  </si>
  <si>
    <t>Railroad track, rail, 100 lb. prime grade new</t>
  </si>
  <si>
    <t>Railroad track, rail, used</t>
  </si>
  <si>
    <t>Culverts, end sections, excludes excavation and backfill</t>
  </si>
  <si>
    <t>Plant-mix asphalt paving, binder course, 2-1/2" thick</t>
  </si>
  <si>
    <t>Water  Wells, drilled, 4" to 6" diameter</t>
  </si>
  <si>
    <t>Removal of Drainage Pumps</t>
  </si>
  <si>
    <t>Seed, Sideoats Grama</t>
  </si>
  <si>
    <t>Seed, Wildflowers, New England Aster</t>
  </si>
  <si>
    <t>Seed, Wildflowers, Sky Blue Aster</t>
  </si>
  <si>
    <t>Seed, Wildflowers, Smooth Aster</t>
  </si>
  <si>
    <t>Seed, Wildflowers, Butterfly Milkweed</t>
  </si>
  <si>
    <t>Seed, Wildflowers, purple Coneflower</t>
  </si>
  <si>
    <t>Seed, Wildflowers, Blanketflower</t>
  </si>
  <si>
    <t>Seed, Wildflowers, Indian Blanket</t>
  </si>
  <si>
    <t>Seed, Wildflowers, Joe Pye Weed</t>
  </si>
  <si>
    <t>Seed, Wildflowers, Blackeyed Susan</t>
  </si>
  <si>
    <t>Seed, Wildflowers, Missouri Primrose</t>
  </si>
  <si>
    <t>Seed, Wildflowers, Ohio Spiderwort</t>
  </si>
  <si>
    <t>Seed, Wildflowers, Blue Flax</t>
  </si>
  <si>
    <t>Seed, Wildflowers, Pitcher Sage</t>
  </si>
  <si>
    <t>Backfill, structural, clay, 200 H.P. dozer, 50' haul, no compaction</t>
  </si>
  <si>
    <t>Backfill, structural, clay, 200 H.P. dozer, 300' haul, no compaction</t>
  </si>
  <si>
    <t>Backfill, structural, clay, 300 H.P. dozer, 50' haul, no compaction</t>
  </si>
  <si>
    <t>Disking - tandem (21ft)</t>
  </si>
  <si>
    <t>Preparation, seedlings, planting</t>
  </si>
  <si>
    <t>Record-Keeping</t>
  </si>
  <si>
    <t>Recreational Trail Development, clearing, grading, mulching</t>
  </si>
  <si>
    <t>Recreational Trail Development, stream/ditch crossing and railings (wood)</t>
  </si>
  <si>
    <t>Ripping for Deep Tillage</t>
  </si>
  <si>
    <t>Row-Till for Deep Tillage</t>
  </si>
  <si>
    <t>Excavating, bulk, open site, bank measure, common earth, 75 H.P. dozer, 50' haul</t>
  </si>
  <si>
    <t>Seed, Wetland Mix (wetland with water standing over 48 hr. - with at least 14 wildfowers, 8 sedges, rushes or grasses)</t>
  </si>
  <si>
    <t>Seed, Sedge Meadow Mix (wetland with rainfall up to 48 hr - with at least 15 wildflowers &amp; at least 6 sedges or grasses)</t>
  </si>
  <si>
    <t>Plant Materials, bare-root tubers and roots (except Spatterdock &amp; Pickerel weed)</t>
  </si>
  <si>
    <t>Seeds, Fertilizer, Plant Materials, and Chemicals</t>
  </si>
  <si>
    <t>Excavating, structural, sand and gravel, for spread and mat footings, elevator pits, and small building foundations, 2 C.Y. bucket, machine excavation, hydraulic backhoe</t>
  </si>
  <si>
    <t>Grading and Shaping, Diversion, Installed</t>
  </si>
  <si>
    <t>Drainage Water Management - 554</t>
  </si>
  <si>
    <t>Dry Hydrant - 432</t>
  </si>
  <si>
    <t>Topsoil, weed free, spread with 200 H.P. dozer, includes load at pit and haul, 2 miles round trip, excludes compaction</t>
  </si>
  <si>
    <t>Warm Season Grasses and/or Wildflowers, including light site prep. and mulch and labor to spread it.</t>
  </si>
  <si>
    <t xml:space="preserve">Pipe Trenching, (w/Trencher) Incl. Valves, Hydrants, Fittings and All Other </t>
  </si>
  <si>
    <t>ACF, Concrete floor installed with excavation, sand, compaction, etc</t>
  </si>
  <si>
    <t>CY</t>
  </si>
  <si>
    <t>ACF, Reinforced concrete floor, installed with excavation, sand, compaction, etc</t>
  </si>
  <si>
    <t>ACF, Reinforced concrete walls, installed include wall base quantities</t>
  </si>
  <si>
    <t>SF</t>
  </si>
  <si>
    <t>AC</t>
  </si>
  <si>
    <t>AWS, concrete floor (FLAT or gentle ramp) installed with sand, compact (figure excavation separate)</t>
  </si>
  <si>
    <t>AWS, concrete on slopes (1:1 or 2:1) installed (figure excavation separate)</t>
  </si>
  <si>
    <t>Fence, hi-tensile wire, __ ga.  (4,000 Ft. roll)</t>
  </si>
  <si>
    <t>Fence, Steel Posts.  (8 Ft.)</t>
  </si>
  <si>
    <t>Fence, wood Posts. (8 ft.)</t>
  </si>
  <si>
    <t>Conservation Practice Average Cost Estimates for Michigan FY 2006 Cost Information</t>
  </si>
  <si>
    <t>Practice</t>
  </si>
  <si>
    <t>Bioengineering, Tree Revetments</t>
  </si>
  <si>
    <t>Water Control Structure, In-Line, 4-feet high, 12-inch pipe, Installed (pipe extra)</t>
  </si>
  <si>
    <t>Water Control Structure, In-Line, 4-feet high, 18-inch pipe, Installed (pipe extra)</t>
  </si>
  <si>
    <t>Water Control Structure, In-Line, 4-feet high, 24-inch pipe, Installed (pipe extra)</t>
  </si>
  <si>
    <t>Pumping Plant, incl. Materials and Labor, Installed</t>
  </si>
  <si>
    <t>Permanent Vegetative Seeding (grasses or forbes)</t>
  </si>
  <si>
    <t>Fish Pond Management - 399</t>
  </si>
  <si>
    <t>Fish Raceway or Tank - 398</t>
  </si>
  <si>
    <t>Subsurface Drain Removal or Destruction (tile break)</t>
  </si>
  <si>
    <t>EA</t>
  </si>
  <si>
    <t>Sq. Ft.</t>
  </si>
  <si>
    <t>Structural concrete, ready mix, normal weight, includes local aggregate, sand, Portland cement and water, delivered</t>
  </si>
  <si>
    <t>Structural concrete, in place, slab on grade, includes finishing</t>
  </si>
  <si>
    <t>Grout, non-shrink,1" deep</t>
  </si>
  <si>
    <t>Selective metals demolition, manufactured or fabricated specialty item,remove whole or cut up into smaller pieces, excl shoring, bracing, cutting, loading, hauling, dumping</t>
  </si>
  <si>
    <t>Sign with post, installed</t>
  </si>
  <si>
    <t>Winter Protection, for heated ready mix, add</t>
  </si>
  <si>
    <t>Waterstop</t>
  </si>
  <si>
    <t>Structural concrete, in place, continuous strip footing, includes forms and finishing</t>
  </si>
  <si>
    <t>Welding structural steel in field, cost per welder</t>
  </si>
  <si>
    <t>Anchor, in stone, excl layout &amp; drilling</t>
  </si>
  <si>
    <t>Elbows, for downspouts</t>
  </si>
  <si>
    <t>Steel downspouts</t>
  </si>
  <si>
    <t>Galvanized steel gutters</t>
  </si>
  <si>
    <t>Soils for earthwork, common borrow, spread with dozer, excludes compaction</t>
  </si>
  <si>
    <t>Earthfill, Soils for earthwork, common borrow, spread with dozer, excludes compaction</t>
  </si>
  <si>
    <t>Aggregate for earthwork, crushed stone, spread with dozer, includes load at pit and haul, excludes compaction</t>
  </si>
  <si>
    <t>Aggregate for earthwork, bank run gravel, spread with dozer, includes load at pit and haul, excludes compaction</t>
  </si>
  <si>
    <t>Topsoil stripping and stockpiling with dozer</t>
  </si>
  <si>
    <t>Finish grading, (lagoon bottoms, etc.)</t>
  </si>
  <si>
    <t>Finish grading, for slab on grade, machine</t>
  </si>
  <si>
    <t>Excavating, trench or continuous footing, common earth</t>
  </si>
  <si>
    <t>Excavating, trench backfill</t>
  </si>
  <si>
    <t>Excavating, chain trencher, utility trench, common earth</t>
  </si>
  <si>
    <t>Excavating, bulk bank measure</t>
  </si>
  <si>
    <t>Dewatering, pumping</t>
  </si>
  <si>
    <t>Backfill, trench, 6" to 12" lifts, dozer backfilling with compaction</t>
  </si>
  <si>
    <t>Fill, gravel fill, compacted, under floor slabs</t>
  </si>
  <si>
    <t>Seed, Medium red clover</t>
  </si>
  <si>
    <t>Seed, 60/40 mix (RC/SC)</t>
  </si>
  <si>
    <t>Seed, Soybeans</t>
  </si>
  <si>
    <t>Seed, American Beachgrass</t>
  </si>
  <si>
    <t>Seed, Creeping Red Fescue</t>
  </si>
  <si>
    <t>Seed, Kentucky Bluegrass</t>
  </si>
  <si>
    <t>Seed, Redtop</t>
  </si>
  <si>
    <t>Seed, Reed Canarygrass</t>
  </si>
  <si>
    <t>alt price bob</t>
  </si>
  <si>
    <t>Seed, Corn</t>
  </si>
  <si>
    <t>Seed, Field Bromegrass</t>
  </si>
  <si>
    <t>Seed, Forage turnips</t>
  </si>
  <si>
    <t>Seed, Oilseed radish</t>
  </si>
  <si>
    <t>Seed, Barley</t>
  </si>
  <si>
    <t>Seed, Triticale</t>
  </si>
  <si>
    <t>Seed, Prairie Sand Reed</t>
  </si>
  <si>
    <t>Seed, Tioga' Deertongue</t>
  </si>
  <si>
    <t>Seed, Mustard</t>
  </si>
  <si>
    <t>Seed,  American Beachgrass</t>
  </si>
  <si>
    <t>Agrichemical Containment Facility - 702</t>
  </si>
  <si>
    <t>Seeding, Fertilizer and Mulch (includes all labor and equipment)</t>
  </si>
  <si>
    <t>Concrete, Reinforced, Cast In Place, Walls, Installed</t>
  </si>
  <si>
    <t>Roof, Hoop Structure, up to 40 ft. span, Installed</t>
  </si>
  <si>
    <t>Roof, Hoop Structure, greater than 40 ft. span, Installed</t>
  </si>
  <si>
    <t>Roof, Truss Structure, up to 40 ft. span, Installed</t>
  </si>
  <si>
    <t>Roof, Truss Structure, greater than 40 ft. span, Installed</t>
  </si>
  <si>
    <t>Management of System, monitoring and applying planned operations</t>
  </si>
  <si>
    <t>Excavation, bulk bank measure, Clamshell, 1 CY cap = 35 CY/hr</t>
  </si>
  <si>
    <t>Excavation, bulk bank measure, Dragline, 1/2 CY cap = 30 CY/hr</t>
  </si>
  <si>
    <t>Seed, Birdsfoot Trefoil</t>
  </si>
  <si>
    <t>Seed, Crown Vetch</t>
  </si>
  <si>
    <t>Subset of 2009 RSMeans data commonly used.</t>
  </si>
  <si>
    <t>Unit Line Number</t>
  </si>
  <si>
    <t>Crew</t>
  </si>
  <si>
    <t>State wide Zipcode ave</t>
  </si>
  <si>
    <t xml:space="preserve">310516100100 </t>
  </si>
  <si>
    <t>B15</t>
  </si>
  <si>
    <t xml:space="preserve">310516100020 </t>
  </si>
  <si>
    <t>Corrugated galvanized or aluminum oval arch culverts, plain, 57" x 38", 48" equivalent, 12 ga., excludes excavation and backfill</t>
  </si>
  <si>
    <t>Early Successional Habitat Development/Management - 647</t>
  </si>
  <si>
    <t>Earthwork, Excavation and Fill, Backfill, General, Spreading in 8" layers, small dozer</t>
  </si>
  <si>
    <t>S.Y.</t>
  </si>
  <si>
    <t>Aggregate for earthwork, borrow, spread with 200 H.P. dozer, includes load at pit and haul, 2 miles round trip, excludes compaction</t>
  </si>
  <si>
    <t xml:space="preserve"> </t>
  </si>
  <si>
    <t xml:space="preserve">310516100340 </t>
  </si>
  <si>
    <t xml:space="preserve">050523200200 </t>
  </si>
  <si>
    <t>1 Carp</t>
  </si>
  <si>
    <t xml:space="preserve">073113100150 </t>
  </si>
  <si>
    <t>1 Rofc</t>
  </si>
  <si>
    <t xml:space="preserve">321216140400 </t>
  </si>
  <si>
    <t>B25C</t>
  </si>
  <si>
    <t xml:space="preserve">312323131300 </t>
  </si>
  <si>
    <t>B10B</t>
  </si>
  <si>
    <t xml:space="preserve">312323132350 </t>
  </si>
  <si>
    <t xml:space="preserve">312323143020 </t>
  </si>
  <si>
    <t>B10W</t>
  </si>
  <si>
    <t xml:space="preserve">312323143000 </t>
  </si>
  <si>
    <t xml:space="preserve">312323132300 </t>
  </si>
  <si>
    <t>Fence, Smooth hi-tensile wire</t>
  </si>
  <si>
    <t>Fence, Gate 1 5/8" Wire Filled, 12 foot</t>
  </si>
  <si>
    <t>Riser, Corrugated Plastic, 30-inch Dia., with 24-inch Dia.Stub, Antivortex and Trash Guard, 8-feet High, Installed</t>
  </si>
  <si>
    <t>Rocks</t>
  </si>
  <si>
    <t>Logs</t>
  </si>
  <si>
    <t>Boulders</t>
  </si>
  <si>
    <t>Electronic and Sonic devices</t>
  </si>
  <si>
    <t>ft</t>
  </si>
  <si>
    <t>Seed,  American Beachgrass  (125 plants/bundle)</t>
  </si>
  <si>
    <t>B10D</t>
  </si>
  <si>
    <t xml:space="preserve">312323132200 </t>
  </si>
  <si>
    <t>B10C</t>
  </si>
  <si>
    <t xml:space="preserve">312323131900 </t>
  </si>
  <si>
    <t xml:space="preserve">321123230400 </t>
  </si>
  <si>
    <t>B32</t>
  </si>
  <si>
    <t xml:space="preserve">321123230370 </t>
  </si>
  <si>
    <t xml:space="preserve">321123230390 </t>
  </si>
  <si>
    <t xml:space="preserve">321123230302 </t>
  </si>
  <si>
    <t>B36B</t>
  </si>
  <si>
    <t xml:space="preserve">321123230303 </t>
  </si>
  <si>
    <t xml:space="preserve">321123230100 </t>
  </si>
  <si>
    <t>B36C</t>
  </si>
  <si>
    <t xml:space="preserve">321123230200 </t>
  </si>
  <si>
    <t xml:space="preserve">321123236000 </t>
  </si>
  <si>
    <t>B6</t>
  </si>
  <si>
    <t xml:space="preserve">031113450100 </t>
  </si>
  <si>
    <t>C1</t>
  </si>
  <si>
    <t xml:space="preserve">031113455000 </t>
  </si>
  <si>
    <t xml:space="preserve">321613130300 </t>
  </si>
  <si>
    <t>C2A</t>
  </si>
  <si>
    <t xml:space="preserve">323213103900 </t>
  </si>
  <si>
    <t>B13</t>
  </si>
  <si>
    <t xml:space="preserve">323213103700 </t>
  </si>
  <si>
    <t xml:space="preserve">323213102500 </t>
  </si>
  <si>
    <t>C17C</t>
  </si>
  <si>
    <t xml:space="preserve">323213102200 </t>
  </si>
  <si>
    <t xml:space="preserve">030513300240 </t>
  </si>
  <si>
    <t xml:space="preserve">311110105120 </t>
  </si>
  <si>
    <t>B93</t>
  </si>
  <si>
    <t xml:space="preserve">311110105080 </t>
  </si>
  <si>
    <t xml:space="preserve">311110100020 </t>
  </si>
  <si>
    <t>B7</t>
  </si>
  <si>
    <t xml:space="preserve">311110100150 </t>
  </si>
  <si>
    <t>B30</t>
  </si>
  <si>
    <t xml:space="preserve">311110105320 </t>
  </si>
  <si>
    <t xml:space="preserve">311110105280 </t>
  </si>
  <si>
    <t xml:space="preserve">311110105240 </t>
  </si>
  <si>
    <t xml:space="preserve">312323240020 </t>
  </si>
  <si>
    <t>B10E</t>
  </si>
  <si>
    <t xml:space="preserve">312323240300 </t>
  </si>
  <si>
    <t>B10G</t>
  </si>
  <si>
    <t xml:space="preserve">312323240600 </t>
  </si>
  <si>
    <t>A1D</t>
  </si>
  <si>
    <t xml:space="preserve">042210140350 </t>
  </si>
  <si>
    <t>D8</t>
  </si>
  <si>
    <t xml:space="preserve">334216153140 </t>
  </si>
  <si>
    <t xml:space="preserve">334216153320 </t>
  </si>
  <si>
    <t xml:space="preserve">334216153340 </t>
  </si>
  <si>
    <t xml:space="preserve">334216153300 </t>
  </si>
  <si>
    <t xml:space="preserve">033529300125 </t>
  </si>
  <si>
    <t>C10</t>
  </si>
  <si>
    <t xml:space="preserve">321313230020 </t>
  </si>
  <si>
    <t>B26</t>
  </si>
  <si>
    <t xml:space="preserve">321313230410 </t>
  </si>
  <si>
    <t xml:space="preserve">321313230540 </t>
  </si>
  <si>
    <t>2 Rodm</t>
  </si>
  <si>
    <t>Sodding, bluegrass sod, on sloped ground, 1 inch, 1000 S.F.</t>
  </si>
  <si>
    <t>Soil preparation, mulching, aged barks, 3" deep, hand spread</t>
  </si>
  <si>
    <t>Soil preparation, mulching, hay, 1" deep, hand spread</t>
  </si>
  <si>
    <t>Soil preparation, mulching, oat straw, 1" deep, hand spread</t>
  </si>
  <si>
    <t>Soil preparation, mulching, oat straw, 1" deep, power mulcher, small</t>
  </si>
  <si>
    <t>Soil preparation, mulching, wood chips, 2" deep, hand spread</t>
  </si>
  <si>
    <t>Soil preparation, mulching, wood chips, 2" deep, skid steer loader</t>
  </si>
  <si>
    <t>Soils for earthwork, common borrow, spread with 200 H.P. dozer, includes load at pit and haul, 2 miles round trip, excludes compaction</t>
  </si>
  <si>
    <t>Fence, Energizer battery unit, dry cell 1.5 volt</t>
  </si>
  <si>
    <t>Fence, Energizer battery unit, wet cell 12 V 1 joule</t>
  </si>
  <si>
    <t>Fence, smooth hi-tensile wire</t>
  </si>
  <si>
    <t>Fence, Gate, 1 5/8" Wire Filled, 12 foot</t>
  </si>
  <si>
    <t>Fence, Gate 1 5/8" Wire Filled, 14 foot</t>
  </si>
  <si>
    <t>Fence, Gate 1 5/8" Wire Filled, 16 foot</t>
  </si>
  <si>
    <t>Fence, Gate 2" Tubular HD Steel, 12 foot</t>
  </si>
  <si>
    <t>Fence, Gate 2" Tubular HD Steel, 14 foot</t>
  </si>
  <si>
    <t>Fence, Gate 2" Tubular HD Steel, 16 foot</t>
  </si>
  <si>
    <t>Fence, Gate 2" Tubular Steel, 12 foot</t>
  </si>
  <si>
    <t>Fence, Gate 2" Tubular Steel, 14 foot</t>
  </si>
  <si>
    <t>Fence, Gate 2" Tubular Steel, 16 foot</t>
  </si>
  <si>
    <t>Fence, post 4" treated wood</t>
  </si>
  <si>
    <t>Fence, Brace pin 5"</t>
  </si>
  <si>
    <t>Public Sanitary Utility Sewerage Piping, piping DWV PVC, Sch 40, 10' length, 4" diameter, excludes excavation or backfill</t>
  </si>
  <si>
    <t>Public Sanitary Utility Sewerage Piping, piping DWV PVC, Sch 40, 10' length, 6" diameter, excludes excavation or backfill</t>
  </si>
  <si>
    <t>Public Sanitary Utility Sewerage Piping, piping DWV PVC, Sch 40, 10' length, 8" diameter, excludes excavation or backfill</t>
  </si>
  <si>
    <t>Public Sanitary Utility Sewerage Piping, piping polyvinyl chloride pipe, B &amp; S, 13' lengths, 10" diameter, SDR 35, excludes excavation or backfill</t>
  </si>
  <si>
    <t>Public Sanitary Utility Sewerage Piping, piping polyvinyl chloride pipe, B &amp; S, 13' lengths, 12" diameter, SDR 35, excludes excavation or backfill</t>
  </si>
  <si>
    <t>Public Sanitary Utility Sewerage Piping, piping polyvinyl chloride pipe, B &amp; S, 13' lengths, 8" diameter, SDR 35, excludes excavation or backfill</t>
  </si>
  <si>
    <t>Public Sanitary Utility Sewerage Piping, piping polyvinyl chloride pipe, B &amp; S, 20' lengths, 4" diameter, SDR 35, excludes excavation or backfill</t>
  </si>
  <si>
    <t>Public Sanitary Utility Sewerage Piping, piping polyvinyl chloride pipe, B &amp; S, 20' lengths, 6" diameter, SDR 35, excludes excavation or backfill</t>
  </si>
  <si>
    <t>Public Storm Utility Drainage Piping, corrugated metal pipe, galvanized and bituminous coated with paved invert, 20' lengths, 16 ga., 10" diameter, excludes excavation and backfill</t>
  </si>
  <si>
    <t>Public Storm Utility Drainage Piping, corrugated metal pipe, galvanized and bituminous coated with paved invert, 20' lengths, 16 ga., 12" diameter, excludes excavation and backfill</t>
  </si>
  <si>
    <t>Public Storm Utility Drainage Piping, corrugated metal pipe, galvanized and bituminous coated with paved invert, 20' lengths, 16 ga., 8" diameter, excludes excavation and backfill</t>
  </si>
  <si>
    <t>Public Storm Utility Drainage Piping, corrugated metal pipe, galvanized uncoated, 20' lengths, 16 ga., 10" diameter, excludes excavation and backfill</t>
  </si>
  <si>
    <t>Fence Post driving</t>
  </si>
  <si>
    <t>Rock bolts, hollow core, prestressable, ASTM A615, 1" diameter, 5' long</t>
  </si>
  <si>
    <t>Safe Handle for single wire and spring gates</t>
  </si>
  <si>
    <t>Herbicide, Galon 3A, 2 1/2 gallon container</t>
  </si>
  <si>
    <t>Herbicide, Oust XP, 3 lb package</t>
  </si>
  <si>
    <t>Herbicide, Roundup Pro, 2 1/'2 gallon container</t>
  </si>
  <si>
    <t>Herbicide, Roundup Pro, 1gallon and smaller containers</t>
  </si>
  <si>
    <t>Oz.</t>
  </si>
  <si>
    <t>Lb</t>
  </si>
  <si>
    <t>Sand, fill sand, natural unscreened</t>
  </si>
  <si>
    <t>Mulch Material, Hardwood Mulch</t>
  </si>
  <si>
    <t>Mulch Material, Wood Chips</t>
  </si>
  <si>
    <t>Aggregrate, 1" crushed stone</t>
  </si>
  <si>
    <t>Aggregrate, 1 - 1/2" stone</t>
  </si>
  <si>
    <t>Aggregate, pea gravel</t>
  </si>
  <si>
    <t>box</t>
  </si>
  <si>
    <t>Topsoil, screened</t>
  </si>
  <si>
    <t>Topsoil, unscreened</t>
  </si>
  <si>
    <t>Trees &amp; Shrubs, Oak, Pin 12-18"</t>
  </si>
  <si>
    <t>Trees &amp; Shrubs, Oak, Red 12-18"</t>
  </si>
  <si>
    <t>Trees &amp; Shrubs, Oak, White 12-18"</t>
  </si>
  <si>
    <t>Trees &amp; Shrubs, Red Pine 6-12" Seedlings</t>
  </si>
  <si>
    <t>Trees &amp; Shrubs, Tamarack (Larch) 12-18" Seedlings</t>
  </si>
  <si>
    <t>Trees &amp; Shrubs, Tulip Poplar 18-24"</t>
  </si>
  <si>
    <t>Trees &amp; Shrubs, Walnut, Black 12-18"</t>
  </si>
  <si>
    <t>Trees &amp; Shrubs, White Cedar 10-18" Transplants</t>
  </si>
  <si>
    <t>Trees &amp; Shrubs, White Cedar 2-3' Transplants</t>
  </si>
  <si>
    <t>Trees &amp; Shrubs, White Pine 12-18" Seedlings</t>
  </si>
  <si>
    <t>Trees &amp; Shrubs, White Pine 6-12" Seedlings</t>
  </si>
  <si>
    <t>Trees &amp; Shrubs, White Spruce 10-16" Seedlings</t>
  </si>
  <si>
    <t>Trees &amp; Shrubs, Blue Spruce 12-18" Transplants</t>
  </si>
  <si>
    <t>Trees &amp; Shrubs, White Pine 12-18" Transplants</t>
  </si>
  <si>
    <t>Trees &amp; Shrubs, White Spruce 12-18" Transplants</t>
  </si>
  <si>
    <t>Trees &amp; Shrubs, Cottonwood (Hybrid Poplar)</t>
  </si>
  <si>
    <t>Trees &amp; Shrubs, Red Pine.  (5" to 10" size 1,000 trees $0.23) (25 trees  $0.64 each)</t>
  </si>
  <si>
    <t>Trees &amp; Shrubs, Willow  (Corkscrew Willow)</t>
  </si>
  <si>
    <t>Trees &amp; Shrubs, Willow Wattles, Installed</t>
  </si>
  <si>
    <t>Trees &amp; Shrubs,  Bare root or Containerized Plugs</t>
  </si>
  <si>
    <t>Trees &amp; Shrubs, Bare root or containerized conifer plugs 2-0 to 3-0 stock</t>
  </si>
  <si>
    <t>Trees &amp; Shrubs, Small Shrubs</t>
  </si>
  <si>
    <t>Trees &amp; Shrubs, Transplants, bare root stock</t>
  </si>
  <si>
    <t>Trees &amp; Shrubs, Maple, Sugar 12-18"</t>
  </si>
  <si>
    <t>$35-$40</t>
  </si>
  <si>
    <t>$5-$10</t>
  </si>
  <si>
    <t>Concrete, Non-Reinforced, 4-inch Thick over Compacted Sand, Flatwork, Installed</t>
  </si>
  <si>
    <t>Concrete, Non-Reinforced, Low Slump, 4-inch Thick, Flat or Slope, Installed</t>
  </si>
  <si>
    <t>Concrete, Non-Reinforced, Low Slump, 5-inch Thick, Flat or Slope, Installed</t>
  </si>
  <si>
    <t>Concrete, Reinforced, Cast In Place, Flat or Slope Installed</t>
  </si>
  <si>
    <t>Compnents that may or may not be used to install the practice</t>
  </si>
  <si>
    <t>Rent trencher wheel type diesel 4' deep 12" wide</t>
  </si>
  <si>
    <t>Rent trencher wheel type diesel 6' deep 20" wide</t>
  </si>
  <si>
    <t>Soils, Borrow, spread, 200 HP dozer, no compaction, common borrow</t>
  </si>
  <si>
    <t>Soils, Borrow, spread, 200 HP dozer, no compaction, screened loam</t>
  </si>
  <si>
    <t>Soils, Borrow, spread, 200 HP dozer, no compaction, topsoil, weed free</t>
  </si>
  <si>
    <t>Aggregate, Borrow spread 200 HP dozer, no compaction, bank run gravel</t>
  </si>
  <si>
    <t>Aggregate, Borrow spread 200 HP dozer, no compaction, crushed stone</t>
  </si>
  <si>
    <t>Hauling, excavated or borrow material, loose cubic yards, 12 CY dump truck, 20 mile round trip, 0.4 loads/hour, highway haulers, excludes loading</t>
  </si>
  <si>
    <t>hauling, excvated or borrow material, 6 or 12 CY dump truck with driver</t>
  </si>
  <si>
    <t>Fill, spread dumped material, no compaction by dozer</t>
  </si>
  <si>
    <t>Clearing brush, prescribed burning</t>
  </si>
  <si>
    <t>Plant Materials, bare-root tubers and roots - Spatterdock &amp; Pickerel weed</t>
  </si>
  <si>
    <t>Pipe, Corrugated Plastic Tubing (Single Wall, Perforated or non-Perforated), 10-inch, Incl. Fittings, Installed</t>
  </si>
  <si>
    <t>Pipe, Corrugated Plastic Tubing (Single Wall, Perforated or non-Perforated), 6-inch, Incl. Fittings, installed with trencher</t>
  </si>
  <si>
    <t>Pipe, Corrugated Plastic Tubing (Single Wall, Perforated or non-Perforated), 8-inch, Incl. Fittings, installed with trencher</t>
  </si>
  <si>
    <t>Rent excavator diesel hydraulic crawler mounted 3/4 CY capacity</t>
  </si>
  <si>
    <t>Fencing, High Tensile, Smooth 5-Wire, Installed</t>
  </si>
  <si>
    <t>Conifer Seedlings, White Pine 12-18"</t>
  </si>
  <si>
    <t>Structural concrete, placing, continuous footing, shallow, direct chute, includes vibrating, excludes material</t>
  </si>
  <si>
    <t>Fence, Chain Link Temporary Fencing for protection of construction sites, 5' high</t>
  </si>
  <si>
    <t>Pipe, Corrugated Metal, 10-inch, Incl. Fittings, Installed</t>
  </si>
  <si>
    <t>Pipe, Corrugated Metal, 12-inch, Incl. Fittings, Installed</t>
  </si>
  <si>
    <t>Boom Sprayer - self-prop. 60 ft.  (Material Not Included)</t>
  </si>
  <si>
    <t>Boom Sprayer - pull type 50 ft.  (Material Not Included)</t>
  </si>
  <si>
    <t>Pipe, Corrugated Plastic Tubing (Single Wall, Perforated or non-Perforated), 8-inch, Incl. Fittings, Installed</t>
  </si>
  <si>
    <t>Thinning (cutting or chemically killing trees or vines) Hardwood-Crop Tree Release (min. 20 SF b.a. removed) Saw timber size culls (trees over 11" DBH)</t>
  </si>
  <si>
    <t>Riser, Corrugated Plastic, 42-inch Dia., with 30-inch Dia. Stub, Antivortex and Trash Guard, 5-feet High, Installed</t>
  </si>
  <si>
    <t>Riser, Corrugated Plastic, 42-inch Dia., with 30-inch Dia. Stub, Antivortex and Trash Guard, 8-feet High, Installed</t>
  </si>
  <si>
    <t>Rock Riprap, D-50 = 12 inch,  with Geotextile, Installed</t>
  </si>
  <si>
    <t>Rock Riprap, D-50 = 15 inch,  with Geotextile, Installed</t>
  </si>
  <si>
    <t>Rock Riprap, D-50 = 18 inch,  with Geotextile, Installed</t>
  </si>
  <si>
    <t>Rock Riprap, D-50 = 4 inch, with Geotextile, Installed</t>
  </si>
  <si>
    <t>Hauling, excavated or borrow material, loose cubic yards, 6 CY dump truck, 1/2 mile round trip, 4.1 loads/hour, highway haulers, excludes loading</t>
  </si>
  <si>
    <t>Hauling, excavated or borrow material, loose cubic yards, 6 CY dump truck, 1 mile round trip, 3.3 loads/hour, highway haulers, excludes loading</t>
  </si>
  <si>
    <t>Hauling, excavated or borrow material, loose cubic yards, 6 CY dump truck, 2 mile round trip, 2.6 loads/hour, highway haulers, excludes loading</t>
  </si>
  <si>
    <t>Hauling, excavated or borrow material, loose cubic yards, 6 CY dump truck, 3 mile round trip, 2.1 loads/hour, highway haulers, excludes loading</t>
  </si>
  <si>
    <t>Hauling, excavated or borrow material, loose cubic yards, 6 CY dump truck, 4 mile round trip, 1.8 loads/hour, highway haulers, excludes loading</t>
  </si>
  <si>
    <t>Grating, Steel</t>
  </si>
  <si>
    <t>Critical Area Planting - 342</t>
  </si>
  <si>
    <t>Tree and Shrub Planting, see tree/shrub establishment - 612</t>
  </si>
  <si>
    <t>Cross Wind Stripcropping - 589B</t>
  </si>
  <si>
    <t>Cross Wind Trap Strip - Field - 589C</t>
  </si>
  <si>
    <t>Excavating, structural, common earth, for spread and mat footings, elevator pits, and small building foundations, 3/4 C.Y. bucket, machine excavation, hydraulic backhoe</t>
  </si>
  <si>
    <t>Earthwork, Grading and Shaping</t>
  </si>
  <si>
    <t>Non-vegetation lining, gravel</t>
  </si>
  <si>
    <t>Non-vegetation lining, rock riprap</t>
  </si>
  <si>
    <t>Non-vegetation lining, cellular block</t>
  </si>
  <si>
    <t>Stand pipe with gates installed</t>
  </si>
  <si>
    <t>Ft.</t>
  </si>
  <si>
    <t>Hauling, excavated or borrow material, loose cubic yards, 12 CY dump truck, 2 mile round trip, 2.2 loads/hour, highway haulers, excludes loading</t>
  </si>
  <si>
    <t>Fill, spread dumped material, no compaction by hand</t>
  </si>
  <si>
    <t>Fill, spread gravel fill, compacted, under floor slabs, 4" deep</t>
  </si>
  <si>
    <t>Fill, spread gravel fill, compacted, under floor slabs, 12" deep</t>
  </si>
  <si>
    <t>Fill, spread gravel fill, compacted, under floor slabs, 6" deep</t>
  </si>
  <si>
    <t>Fill, spread gravel fill, compacted, under floor slabs, 9" deep</t>
  </si>
  <si>
    <t>Riparian Forest Buffer - 391</t>
  </si>
  <si>
    <t>Riparian Herbaceous Cover - 390</t>
  </si>
  <si>
    <t>Pipe, Corrugated Plastic Tubing (Single Wall, Perforated or non-Perforated), 12-inch, Incl. Fittings, Installed</t>
  </si>
  <si>
    <t>Pipe, PE, 1-inch, Incl. Fittings, Installed (water supply)</t>
  </si>
  <si>
    <t>Pipe, PE, 1-1/4-inch, Incl. Fittings, Installed (water supply)</t>
  </si>
  <si>
    <t>Conifer Transplants, White Pine 12-18"</t>
  </si>
  <si>
    <t>Conifer Transplants, White Cedar 10-18"</t>
  </si>
  <si>
    <t>Flat</t>
  </si>
  <si>
    <t>Excavating, trench or continuous footing, common earth,   6' to 10' deep, 1-1/2 C.Y. hydraulic backhoe, excludes sheeting or dewatering</t>
  </si>
  <si>
    <t>Excavating, trench or continuous footing, common earth,   6' to 10' deep, 1 C.Y. hydraulic excavator, truck mounted, excludes sheeting or dewatering</t>
  </si>
  <si>
    <t>Excavating, trench or continuous footing, common earth,   10' to 14' deep, 3/4 C.Y. hydraulic backhoe, excludes sheeting or dewatering</t>
  </si>
  <si>
    <t>Seed, Virginia Wild Rye</t>
  </si>
  <si>
    <t>Trees &amp; Shrubs, Shrub Willow</t>
  </si>
  <si>
    <t>Trees &amp; Shrubs</t>
  </si>
  <si>
    <t>Trees &amp; Shrubs, Aspen-Quaking 12-24"</t>
  </si>
  <si>
    <t>Trees &amp; Shrubs, Button bush 12-18"</t>
  </si>
  <si>
    <t>Trees &amp; Shrubs, Canoe Birch 2-3'</t>
  </si>
  <si>
    <t>Spring Development (No.)</t>
  </si>
  <si>
    <t>Stream Crossing (No.)</t>
  </si>
  <si>
    <t>A stabilized area or structure constructed across a stream to provide a travel-way for people, livestock, equipment, or vehicles.</t>
  </si>
  <si>
    <t>Stream Habitat Improvement and Management (Ac.)</t>
  </si>
  <si>
    <t>Streambank and Shoreline Protection (Ft.)</t>
  </si>
  <si>
    <t>Treatment(s) used to stabilize and protect banks of streams or constructed channels, and shorelines of lakes, reservoirs, or estuaries.</t>
  </si>
  <si>
    <t>Stripcropping (Ac.)</t>
  </si>
  <si>
    <t>Growing row crops, forages, small grains, or fallow in a systematic arrangement of equal width strips across a field.</t>
  </si>
  <si>
    <t>Structure for Water Control (No.)</t>
  </si>
  <si>
    <t>A structure in a water management system that conveys water, controls the direction or rate of flow, maintains a desired water surface elevation, or measures water.</t>
  </si>
  <si>
    <t>Subsurface Drain (Ft.)</t>
  </si>
  <si>
    <t>Surface Drainage, Field Ditch (Ft.)</t>
  </si>
  <si>
    <t>Surface Drainage, Main or Lateral (Ft.)</t>
  </si>
  <si>
    <t>Terrace (Ft.)</t>
  </si>
  <si>
    <t>Tree/Shrub Establishment (Ac.)</t>
  </si>
  <si>
    <t>Establishing woody plants by planting seedlings, container/potted stock, cuttings, direct seeding, or natural regeneration.</t>
  </si>
  <si>
    <t>Tree/Shrub Pruning (Ac.)</t>
  </si>
  <si>
    <t>Tree/Shrub Site Preparation</t>
  </si>
  <si>
    <t>Treating acres to improve site conditions for establishing a forest.</t>
  </si>
  <si>
    <t>Underground Outlet (Ft.)</t>
  </si>
  <si>
    <t>Upland Wildlife Habitat Management (Ac.)</t>
  </si>
  <si>
    <t xml:space="preserve">Provide and manage upland habitats and connectivity within the landscape for wildlife. </t>
  </si>
  <si>
    <t>Vegetative Barrier (Ft.)</t>
  </si>
  <si>
    <t>Waste Facility Cover (No.)</t>
  </si>
  <si>
    <t>A fabricated rigid, semi-rigid, or flexible membrane over a waste treatment or storage facility.</t>
  </si>
  <si>
    <t>Waste Storage Facility (No.)</t>
  </si>
  <si>
    <t xml:space="preserve">A waste storage impoundment made by constructing an embankment and/or excavating a pit or dugout, or by fabricating a structure.  </t>
  </si>
  <si>
    <t>Waste Utilization (Ac.)</t>
  </si>
  <si>
    <t>Wastewater Treatment Strip (Ac.)</t>
  </si>
  <si>
    <t>Water and Sediment Control Basin (WASCOB) (No.)</t>
  </si>
  <si>
    <t>An earth embankment or a combination ridge and channel generally constructed across the slope and minor watercourses to form a sediment trap and water detention basin.</t>
  </si>
  <si>
    <t>Water Well (No.)</t>
  </si>
  <si>
    <t>Watering Facility (No.)</t>
  </si>
  <si>
    <t>A device (tank, trough, or other watertight container) for providing animal access to water.</t>
  </si>
  <si>
    <t>Well Decommissioning (No.)</t>
  </si>
  <si>
    <t>Wetland Creation (Ac.)</t>
  </si>
  <si>
    <t>A wetland created on a site which historically was not a wetland or is a wetland but the site will be converted to a wetland with a different hydrology, vegetation type, or function than naturally occurred on the site.</t>
  </si>
  <si>
    <t>Wetland Enhancement (Ac.)</t>
  </si>
  <si>
    <t>The rehabilitation or reestablishment of a degraded wetland, and/or the modification of an existing wetland.</t>
  </si>
  <si>
    <t>Wetland Restoration (Ac.)</t>
  </si>
  <si>
    <t>A rehabilitation of a degraded wetland or the reestablishment of a wetland so that soils, hydrology, vegetative community, and habitat are close approximation of the original natural condition that existed prior to modification to the extent practicable.</t>
  </si>
  <si>
    <t>Wetland Wildlife Habitat Management (Ac.)</t>
  </si>
  <si>
    <t>Retaining, developing, or managing wetland habitat for wetland wildlife.</t>
  </si>
  <si>
    <t>Windbreak/Shelterbelt Establishment (Ft.)</t>
  </si>
  <si>
    <t>Linear planting of single or multiple rows of trees or shrubs established for environmental purposes.</t>
  </si>
  <si>
    <t>Widening, partial replanting, removing, and replacing selected trees and shrubs to improve an existing windbreak or shelterbelt.</t>
  </si>
  <si>
    <t>Practice Name &amp; Unit</t>
  </si>
  <si>
    <t>Date:</t>
  </si>
  <si>
    <t>Prepared by:</t>
  </si>
  <si>
    <t>Prepared for:</t>
  </si>
  <si>
    <t>Description</t>
  </si>
  <si>
    <t>Quantity</t>
  </si>
  <si>
    <t>Cost Each</t>
  </si>
  <si>
    <t>Total</t>
  </si>
  <si>
    <t>Materials</t>
  </si>
  <si>
    <t>Planting ground cover plants into prepared beds, bare root stock, hand planting</t>
  </si>
  <si>
    <t>Planting of trees, shrubs, and live stakes, hand planting</t>
  </si>
  <si>
    <t>Hydro or air seeding incl. seed and fertilizer with mulch added</t>
  </si>
  <si>
    <t>Aerial seeding operations, incl. seed</t>
  </si>
  <si>
    <t>Aerial seeding operations, incl. seed and liquid fertilizer</t>
  </si>
  <si>
    <t>Sodding, on level ground, 1,000 SF sites or smaller</t>
  </si>
  <si>
    <t>Sodding, on level ground, sites over 1,000 SF up to 8,000 SF</t>
  </si>
  <si>
    <t>Sodding, on sloped ground, 1,000 SF sites or smaller</t>
  </si>
  <si>
    <t>Sodding, on sloped ground, sites over 1,000 SF up to 8,000 SF</t>
  </si>
  <si>
    <t>Excavating, structural,  clay, till or blasted rock, for spread and mat footings, elevator pits, and small building foundations,1-1/2 C.Y. bucket, machine excavation, hydraulic backhoe</t>
  </si>
  <si>
    <t>Compaction, Structural, Sheepsfoot or wobbly wheel roller 8" lifts, common fill</t>
  </si>
  <si>
    <t>Compaction, Structural, Steel wheel tandem roller, 10 tons</t>
  </si>
  <si>
    <t>Compaction, Structural, Steel wheel tandem roller, 5 tons</t>
  </si>
  <si>
    <t>M.S.F.</t>
  </si>
  <si>
    <t>each.</t>
  </si>
  <si>
    <t>Rent excavation diesel hydraulic crawler mounted 1 CY capacity</t>
  </si>
  <si>
    <t>Rent excavator diesel hydraulic crawler mounted 1-1/2 CY capaci</t>
  </si>
  <si>
    <t>Excavating, structural, clay, till or blasted rock, for spread and mat footings, elevator pits, and small building foundations, 1 C.Y. bucket, machine excavation, hydraulic backhoe</t>
  </si>
  <si>
    <t>Hardwood Trees, Maple, Red 12-18"</t>
  </si>
  <si>
    <t>Hardwood Trees, Maple, Red 2-3'</t>
  </si>
  <si>
    <t>Hardwood Trees, Maple, Sugar 12-18"</t>
  </si>
  <si>
    <t>Hardwood Trees, Oar, Bur 18-24"</t>
  </si>
  <si>
    <t>Hardwood Trees, Oak, Pin 12-18"</t>
  </si>
  <si>
    <t>Hardwood Trees, Oak, Red 12-18"</t>
  </si>
  <si>
    <t>Hardwood Trees, Oak, White 12-18"</t>
  </si>
  <si>
    <t>Riser, Corrugated Plastic, 30-inch Dia., with Stub, Antivortex and Trash Guard, 8-feet High, Installed</t>
  </si>
  <si>
    <t>Excavating, bulk, open site, bank measure, common earth, 75 H.P. dozer, 300' haul</t>
  </si>
  <si>
    <t>Excavating, bulk, open site, bank measure, common earth, 105 H.P. dozer, 50' haul</t>
  </si>
  <si>
    <t>Excavating, bulk, open site, bank measure, common earth, 105 H.P. dozer, 150' haul</t>
  </si>
  <si>
    <t>Seed, Wildflowers, Perennials Mix</t>
  </si>
  <si>
    <t>Chemical application for burn down</t>
  </si>
  <si>
    <t>Water Control Structure, In-Line, 24-inch pipe, Installed</t>
  </si>
  <si>
    <t>Critical area planting, Dike (see critical area planting, 342)</t>
  </si>
  <si>
    <t>Tree Planting - see Tree/Shrub Establishment - 612</t>
  </si>
  <si>
    <t>Contour Buffer Strips - 332</t>
  </si>
  <si>
    <t>Contour Farming - 330</t>
  </si>
  <si>
    <t>Contour Establishment for 330</t>
  </si>
  <si>
    <t>Contour Orchard and Other Fruit Area - 330</t>
  </si>
  <si>
    <t>Contour Stripcropping - 585</t>
  </si>
  <si>
    <t>Layout of contour strips - stripcropping 585</t>
  </si>
  <si>
    <t>Cover Crop - 340</t>
  </si>
  <si>
    <t>Site Preparation, Tillage operation to prepare for planting</t>
  </si>
  <si>
    <t>Planting, Broadcast Seeding</t>
  </si>
  <si>
    <t>Planting, Drill</t>
  </si>
  <si>
    <t>Planting, Aerial</t>
  </si>
  <si>
    <t>Planting, Frost seeding</t>
  </si>
  <si>
    <t>Seed, Orchardgrass</t>
  </si>
  <si>
    <t>Component Cost List</t>
  </si>
  <si>
    <t>For use in developing Site Specific Cost Estimates</t>
  </si>
  <si>
    <t>Developed in 2007 with 2007 cost basis</t>
  </si>
  <si>
    <t>abbreviations used in units</t>
  </si>
  <si>
    <t>Component costs are sorted subsets of:</t>
  </si>
  <si>
    <t>Construction</t>
  </si>
  <si>
    <t>Agronomic:</t>
  </si>
  <si>
    <t>Construction:</t>
  </si>
  <si>
    <t>Rental of Equipment</t>
  </si>
  <si>
    <t>Site Preparation</t>
  </si>
  <si>
    <t>Equipment Services</t>
  </si>
  <si>
    <t>Dewatering, Pumping 8 hr attended, including 20 LF of suction hose &amp; 100 LF discharge hose, 2" diaphragm pump</t>
  </si>
  <si>
    <t>Geotextile, Class I, Non-Woven, Installed</t>
  </si>
  <si>
    <t>Geotextile, Class I, Woven, Installed</t>
  </si>
  <si>
    <t>Geotextile, Class IV, Non-Woven, Installed (Road Stabilization)</t>
  </si>
  <si>
    <t>Geotextile, Class IV, Woven, Installed (Road Stabilization)</t>
  </si>
  <si>
    <t>Dozer, 75 HP, with Operator</t>
  </si>
  <si>
    <t>Dozer, 200 HP, with Operator</t>
  </si>
  <si>
    <t>Land Reconstruction, Currently Mined Land - 544</t>
  </si>
  <si>
    <t>Land Smoothing - 466</t>
  </si>
  <si>
    <t>Lined Waterway or Outlet - 468</t>
  </si>
  <si>
    <t>Manure Transfer - 634</t>
  </si>
  <si>
    <t>Mine Shaft and Adit Closing - 457</t>
  </si>
  <si>
    <t>Mulching - 484</t>
  </si>
  <si>
    <t>Slab bolsters, for reinforcing steel, continuous, plain, 3/4" to 1" high, includes material only</t>
  </si>
  <si>
    <t>Slab bolsters, for reinforcing steel, continuous, galvanized, 3/4" to 1" high, includes material only</t>
  </si>
  <si>
    <t>Pipe, Corrugated Plastic Tubing (Single Wall, Perforated or non-Perforated), 4-inch, Incl. Fittings, installed with trencher</t>
  </si>
  <si>
    <t>Pumps, installed in wells to 100' deep, 4" submersible, 3/4 HP</t>
  </si>
  <si>
    <t>Pumps, installed in wells to 100' deep, 4" submersible, 1-1/2 HP</t>
  </si>
  <si>
    <t>Temporary Fencing for contruction site</t>
  </si>
  <si>
    <t>Lin. Ft.</t>
  </si>
  <si>
    <t>Mulch Materials, Organic Mulch</t>
  </si>
  <si>
    <t>Pumps, installed in wells to 100' deep, 4" submersible, 2 HP</t>
  </si>
  <si>
    <t>Excavation, bulk bank measure, Front end loader, wheel mounted, 1-1/2 CY cap = 80 CY/hr</t>
  </si>
  <si>
    <t>Excavation, bulk bank measure, Front end loader, wheel mounted, 2-1/4 CY cap = 100 CY/hr</t>
  </si>
  <si>
    <t>Irrigation System, Linear Move System, Nozzles, Fittings, etc., Installed</t>
  </si>
  <si>
    <t>Irrigation System, Micro Tubing, Emitters, Nozzles, Fittings, etc., Installed</t>
  </si>
  <si>
    <t>Irrigation System, Microirrigation (tape) , Emitters, Fittings, etc. Installed</t>
  </si>
  <si>
    <t>Irrigation System, Side Roll, Nozzles, Fittings, etc., Installed</t>
  </si>
  <si>
    <t>Irrigation System, Solid Set System, Nozzles, Fittings, etc., Installed</t>
  </si>
  <si>
    <t>Lunker Structures</t>
  </si>
  <si>
    <t>Metal Fabrication, Installed</t>
  </si>
  <si>
    <t>Nesting Structures (platforms, boxes)</t>
  </si>
  <si>
    <t>Conifer Seedlings, Tamarack (Larch) 12-18"</t>
  </si>
  <si>
    <t>Conifer Seedlings</t>
  </si>
  <si>
    <t>Conifer Transplants, Blue Spruce 12-18"</t>
  </si>
  <si>
    <t>Conifer Transplants</t>
  </si>
  <si>
    <t>Conifer Transplants, Norway Spruce 12-18"</t>
  </si>
  <si>
    <t>Conifer Transplants, White Spruce 12-18"</t>
  </si>
  <si>
    <t>Hardwood Trees, Tulip Poplar 18-24"</t>
  </si>
  <si>
    <t>Hardwood Trees, Walnut, Black 12-18"</t>
  </si>
  <si>
    <t>Pipe, Corrugated Metal, 24-inch, Incl. Fittings, Installed</t>
  </si>
  <si>
    <t>Pipe, Corrugated Metal, 30-inch, Incl. Fittings, Installed</t>
  </si>
  <si>
    <t>Pipe, Corrugated Metal, 15-inch, Incl. Fittings, Installed</t>
  </si>
  <si>
    <t>Pipe, Corrugated Metal, 18-inch, Incl. Fittings, Installed</t>
  </si>
  <si>
    <t>Manure Pump, Hauling, Injecting - Liquid (9,500 gallon capacity)</t>
  </si>
  <si>
    <t>Manure Pump, Hauling, Spreading - Liquid (9,500 gallon capacity)</t>
  </si>
  <si>
    <t>bdle.</t>
  </si>
  <si>
    <t>Footings and foundations demolition, floors, concrete slab on grade, plain concrete, 6" thick, excludes disposal costs and dump fees</t>
  </si>
  <si>
    <t>Footings and foundations demolition, floors, concrete slab on grade, concrete, wire mesh reinforced, 6" thick, excludes disposal costs and dump fees</t>
  </si>
  <si>
    <t>L.F.</t>
  </si>
  <si>
    <t>Minor site demolition, slab on grade, plain, remove, excludes hauling</t>
  </si>
  <si>
    <t>AWS, Reinforced concrete walls, &lt;4' installed, include wall base quantities</t>
  </si>
  <si>
    <t>AWS, Reinforced concrete walls, &gt;4.1' installed, include wall base quantities</t>
  </si>
  <si>
    <t>HR</t>
  </si>
  <si>
    <t>Seed, alfalfa organic</t>
  </si>
  <si>
    <t>Seed, Clover Organic</t>
  </si>
  <si>
    <t>Introduced grass/legume seeding, includes fertilizer, seed, labor and equipment (No Mulch)</t>
  </si>
  <si>
    <t>IPM - asparagus, scouting with Tomcast</t>
  </si>
  <si>
    <t>IPM scouting, Annual Vegetables</t>
  </si>
  <si>
    <t>IPM scouting, asparagus</t>
  </si>
  <si>
    <t>Layout of contour strips</t>
  </si>
  <si>
    <t>Lime and spreading</t>
  </si>
  <si>
    <t>Manure Testing</t>
  </si>
  <si>
    <t>Mechanical Machine scalping (if not done during planting process)</t>
  </si>
  <si>
    <t>Mechanical treatment - pest management</t>
  </si>
  <si>
    <t>Mowing</t>
  </si>
  <si>
    <t>Native grass drill delivery fee</t>
  </si>
  <si>
    <t>Native Grass Planting with wildflowers including fertilizer, seed, labor, and equipment</t>
  </si>
  <si>
    <t>Native grass seeding includes fertilizer, seed, labor and equipment</t>
  </si>
  <si>
    <t>Plant Material, Bare-root tubers and roots, Common burreed</t>
  </si>
  <si>
    <t>Plant Material, Bare-root tubers and roots, Prairie cordgrass</t>
  </si>
  <si>
    <t>Trenching with chain trencher, 40 H.P., operator riding, common earth, 8" wide trench and backfill, 12" deep</t>
  </si>
  <si>
    <t>Trenching with chain trencher, 40 H.P., operator riding, common earth, 8" wide trench and backfill, 18" deep</t>
  </si>
  <si>
    <t>Trenching with chain trencher, 40 H.P., operator riding, common earth, 8" wide trench and backfill, 24" deep</t>
  </si>
  <si>
    <t>Trenching with chain trencher, 40 H.P., operator riding, common earth, 8" wide trench and backfill, 36" deep</t>
  </si>
  <si>
    <t>Trenching with chain trencher, 40 H.P., operator riding, common earth, 8" wide trench and backfill, 48" deep</t>
  </si>
  <si>
    <t>Trenching with chain trencher, 40 H.P., operator riding, common earth, 12" wide trench and backfill, 12" deep</t>
  </si>
  <si>
    <t>Trenching with chain trencher, 40 H.P., operator riding, common earth, 12" wide trench and backfill, 18" deep</t>
  </si>
  <si>
    <t>Trenching with chain trencher, 40 H.P., operator riding, common earth, 12" wide trench and backfill, 24" deep</t>
  </si>
  <si>
    <t>Trenching with chain trencher, 40 H.P., operator riding, common earth, 12" wide trench and backfill, 36" deep</t>
  </si>
  <si>
    <t>Seed, Sorghum/Sudangrass</t>
  </si>
  <si>
    <t>Seed, Oats</t>
  </si>
  <si>
    <t>Seed, Perennial Ryegrass</t>
  </si>
  <si>
    <t>Seed, Sudangrass</t>
  </si>
  <si>
    <t>Seed, Wheat</t>
  </si>
  <si>
    <t>Seed, Cereal Rye</t>
  </si>
  <si>
    <t>Seed, Buckwheat</t>
  </si>
  <si>
    <t>Seed, Warm Season Grass, Little Bluestem</t>
  </si>
  <si>
    <t>Gal.</t>
  </si>
  <si>
    <t>Rip-rap, random, broken stone, machine placed for slope protection, 3/8-1/4 CY pieces, grouted</t>
  </si>
  <si>
    <t>Rip-rap random, broken stone, dumped, 50 lb average</t>
  </si>
  <si>
    <t>Rip-rap random, broken stone, dumped, 100 lb average</t>
  </si>
  <si>
    <t>Rip-rap random, broken stone, dumped, 300 lb average</t>
  </si>
  <si>
    <t>Rip-rap, Gabions, galvanized steel mesh mats or boxes, stone filled, 6" deep</t>
  </si>
  <si>
    <t>Rip-rap, Gabions, galvanized steel mesh mats or boxes, stone filled, 9" deep</t>
  </si>
  <si>
    <t>Rip-rap, Gabions, galvanized steel mesh mats or boxes, stone filled, 12" deep</t>
  </si>
  <si>
    <t>Rip-rap, Gabions, galvanized steel mesh mats or boxes, stone filled, 18" deep</t>
  </si>
  <si>
    <t>Rip-rap, Gabions, galvanized steel mesh mats or boxes, stone filled, 36" deep</t>
  </si>
  <si>
    <t>Assemblies - component combinations</t>
  </si>
  <si>
    <t>Synthetic erosion control, jute mesh, 100 SY per roll, 4' wide, stapled</t>
  </si>
  <si>
    <t>S. Y.</t>
  </si>
  <si>
    <t>Synthetic erosion control, plastic netting, stapled, 2"x1" mesh, 20 mil</t>
  </si>
  <si>
    <t>Synthetic erosion control, polypropylene mesh, stapled, 6.5 oz/S.Y.</t>
  </si>
  <si>
    <t>Synthetic erosion control, tobacco netting or jute mesh #2, stapled</t>
  </si>
  <si>
    <t>Silt fence, polypropylene, 3' high, ideal conditions</t>
  </si>
  <si>
    <t>Silt fence, polypropylene, 3' high, adverse conditions</t>
  </si>
  <si>
    <t>Place and remove hay/straw bales</t>
  </si>
  <si>
    <t>Hay/straw bales, staked</t>
  </si>
  <si>
    <t>Drilled, jetted, bored and driven well, 4" to 6"</t>
  </si>
  <si>
    <t>Drilled, jetted, bored and driven well, 8"</t>
  </si>
  <si>
    <t>Steel Roofing, on steel frame, corrugated or ribbed, galvanized, 28 gauge</t>
  </si>
  <si>
    <t>Concrete testing, compressive strength test, incl. delivery to lab per cylinder</t>
  </si>
  <si>
    <t>Ea.</t>
  </si>
  <si>
    <t>Concrete testing, compressive strength test, incl. picked up by lab, average</t>
  </si>
  <si>
    <t>Soil testing, Atterberg limits, liquid and plastic limits</t>
  </si>
  <si>
    <t>Soil testing, Hydrometer analysis</t>
  </si>
  <si>
    <t>Rent truck dump 3 axle 16 ton payload</t>
  </si>
  <si>
    <t>Rent truck off highway rear dump 25 ton capacity</t>
  </si>
  <si>
    <t>Development of locaciton maps and cropping sequence documentation worksheets</t>
  </si>
  <si>
    <t>Recordkeeping and documentation of cropping sequence</t>
  </si>
  <si>
    <t>Measurement of residue, analysis, &amp; decisions</t>
  </si>
  <si>
    <t>Development of documentation worksheets</t>
  </si>
  <si>
    <t>Recordkeeping and documentation of residue measurements</t>
  </si>
  <si>
    <t>lease no-till drill</t>
  </si>
  <si>
    <t>Drill delivery dropoff and pick up</t>
  </si>
  <si>
    <t>seed</t>
  </si>
  <si>
    <t>Disk</t>
  </si>
  <si>
    <t>sprayer</t>
  </si>
  <si>
    <t>net returns lost for land out of production</t>
  </si>
  <si>
    <t>Fence, Brace pin 10"</t>
  </si>
  <si>
    <t>Fence, wrap around insul. 18"</t>
  </si>
  <si>
    <t>Fence,post 6" treated wood</t>
  </si>
  <si>
    <t>Fence,post 7' Steel "T"</t>
  </si>
  <si>
    <t>Fence, post 5" treated wood</t>
  </si>
  <si>
    <t>Fence, Staples class 3 galv.</t>
  </si>
  <si>
    <t>Fence, Energizer battery unit, wet cell 12 V 2 joule</t>
  </si>
  <si>
    <t>Fence, Temporary, Polywire</t>
  </si>
  <si>
    <t>Fence, Temporary, Tread-in Posts</t>
  </si>
  <si>
    <t>Fence, Temporary, Porta Reel</t>
  </si>
  <si>
    <t>Fence, Temporary, Electric Netting</t>
  </si>
  <si>
    <t>Fence, Ground Rod and clamp</t>
  </si>
  <si>
    <t>Fence, Warning Sign</t>
  </si>
  <si>
    <t>Fence, Safe Handle for single wire and spring gates</t>
  </si>
  <si>
    <t>Fence, Spring Gate with handle</t>
  </si>
  <si>
    <t>Fence, Electrified Gates tape or rope</t>
  </si>
  <si>
    <t>Risk:</t>
  </si>
  <si>
    <t>Equipment Use and/or Equipment Services:</t>
  </si>
  <si>
    <t>Roof Trusses, fink (W) or King post type, metal plate connected, 4 in 12 slope, 2'-0" O.C., 24' to 29' span</t>
  </si>
  <si>
    <t>SF Flr.</t>
  </si>
  <si>
    <t>Roof Trusses, fink (W) or King post type, metal plate connected, 4 in 12 slope, 2'-0" O.C., 30' to 43' span</t>
  </si>
  <si>
    <t>Roof Trusses, fink (W) or King post type, metal plate connected, 4 in 12 slope, 2'-0" O.C.,44' to 60' span</t>
  </si>
  <si>
    <t>Wall Insulation, Rigid, expanded polystyrene, 1" thick, R3.85</t>
  </si>
  <si>
    <t>Wall Insulation, Rigid, expanded polystyrene, 2" thick, R7.69</t>
  </si>
  <si>
    <t>Wall Insulation, Rigid, expanded polystyrene, 3" thick, R11.49</t>
  </si>
  <si>
    <t>Cultural Grazing (temporary water)</t>
  </si>
  <si>
    <t>Deep Plowing</t>
  </si>
  <si>
    <t>Disking</t>
  </si>
  <si>
    <t>Dump Truck, 12 Cu.Yd., with Operator</t>
  </si>
  <si>
    <t>Dump Truck, 6 Cu.Yd., with Operator</t>
  </si>
  <si>
    <t>Equipment Calibration for Nutrient Management</t>
  </si>
  <si>
    <t>Excavation, Rock</t>
  </si>
  <si>
    <t>Fertilizer, Phosphorus</t>
  </si>
  <si>
    <t>Fertilizer, Potassium</t>
  </si>
  <si>
    <t>Fish - stocking</t>
  </si>
  <si>
    <t>Forest Site Preparation, Hand-Chemical (includes equipment and labor)</t>
  </si>
  <si>
    <t xml:space="preserve">Pond Sealing and Lining, Soil Dispersant, incl. Materials and Labor, Installed  </t>
  </si>
  <si>
    <t>In-Line Water Control Structure, 8-inch pipe, Installed</t>
  </si>
  <si>
    <t>In-Line Water Control Structure, 10-inch pipe, Installed</t>
  </si>
  <si>
    <t>Torch Fuel, Diesel Fuel</t>
  </si>
  <si>
    <t>Disking for temporary firebreak</t>
  </si>
  <si>
    <t>crew to and from site</t>
  </si>
  <si>
    <t>Burn Crew (4 with 2 team leaders = 6 person)</t>
  </si>
  <si>
    <t>Local fire district permits</t>
  </si>
  <si>
    <t>Rotary Hoe</t>
  </si>
  <si>
    <t>Aerial Seeding</t>
  </si>
  <si>
    <t>Grasses, legumes, forbs, or other herbaceous plants established for seasonal cover and conservation purposes.</t>
  </si>
  <si>
    <t>Critical Area Planting (Ac.)</t>
  </si>
  <si>
    <t>Cross Wind Trap Strip - Filter or Field (Ac.)</t>
  </si>
  <si>
    <t>Deep Tillage (Ac.)</t>
  </si>
  <si>
    <t>Dike (Ft.)</t>
  </si>
  <si>
    <t>Diversion (Ft.)</t>
  </si>
  <si>
    <t>Drainage Water Management (Ac.)</t>
  </si>
  <si>
    <t>Dry Hydrant (No.)</t>
  </si>
  <si>
    <t>Early Successional Habitat Development/Management (Ac.)</t>
  </si>
  <si>
    <t>Manage early plant succession to benefit desired wildlife or natural communities.</t>
  </si>
  <si>
    <t>Fence (Ft.)</t>
  </si>
  <si>
    <t>A constructed barrier to animals or people.</t>
  </si>
  <si>
    <t>Field Border (Ft.)</t>
  </si>
  <si>
    <t>Filter Strip (Ac.)</t>
  </si>
  <si>
    <t>A strip of grass or other permanent vegetation used to reduce sediment, organics, nutrients, pesticides, and other contaminants.</t>
  </si>
  <si>
    <t>Firebreak (Ft.)</t>
  </si>
  <si>
    <t>Fish Passage (No.)</t>
  </si>
  <si>
    <t>Modification or removal of barriers that restrict or prevent movement or migration of fish.</t>
  </si>
  <si>
    <t>Fish Pond Management (Ac.)</t>
  </si>
  <si>
    <t>Managing impounded water for the production of fish or other aquatic organisms (non-commercial use).</t>
  </si>
  <si>
    <t>Fish Raceway or Tank (Ft. and Cu.Ft.)</t>
  </si>
  <si>
    <t>Forage Harvest Management (Ac.)</t>
  </si>
  <si>
    <t xml:space="preserve">The timely cutting and removal of forages from the field such as hay, green-chop, or ensilage.  This does not include harvest by grazing livestock.  </t>
  </si>
  <si>
    <t>Forest Harvest Trails and Landings (Ac.)</t>
  </si>
  <si>
    <t>Forest Stand Improvement (Ac.)</t>
  </si>
  <si>
    <t>Manipulation of species composition, stand structure, and stocking by cutting or killing selected trees and understory vegetation.</t>
  </si>
  <si>
    <t>Grade Stabilization Structure (No.)</t>
  </si>
  <si>
    <t>A structure used to control the channel grade in natural or constructed watercourses.</t>
  </si>
  <si>
    <t>Grassed Waterway (Ac.)</t>
  </si>
  <si>
    <t>A natural or constructed channel that is shaped or graded to required dimensions and established with suitable vegetation.</t>
  </si>
  <si>
    <t>Heavy Use Area Protection (Ac.)</t>
  </si>
  <si>
    <t>Strip topsoil, clay, dry and very hard, 400 HP dozer, adverse condtions</t>
  </si>
  <si>
    <t>Stripping and Stockpiling of Soil, Loam or topsoil, remove and stockpile on site, 6" deep, 200' haul</t>
  </si>
  <si>
    <t>Stripping and Stockpiling of Soil, Loam or topsoil, remove and stockpile on site, 6" deep, 300' haul</t>
  </si>
  <si>
    <t>Stripping and Stockpiling of Soil, Loam or topsoil, remove and stockpile on site, 6" deep, 500' haul</t>
  </si>
  <si>
    <t>Pipe, Corrugated Plastic (Dual Wall), 18-inch, Incl. Fittings, installed with backhoe</t>
  </si>
  <si>
    <t>Pipe, Corrugated Plastic (Dual Wall), 24-inch, Incl. Fittings, installed with backhoe</t>
  </si>
  <si>
    <t>Seed, Wetland Seed Mix</t>
  </si>
  <si>
    <t>pound</t>
  </si>
  <si>
    <t>Seed, Detention Basin Mix</t>
  </si>
  <si>
    <t>Seed, Wetlands, Sedge Meadow Mix</t>
  </si>
  <si>
    <t>Plant Material, Bare-root tubers and roots, Sweet flag</t>
  </si>
  <si>
    <t>Wildflower Planting</t>
  </si>
  <si>
    <t>Woody Plant Control</t>
  </si>
  <si>
    <t>Unit</t>
  </si>
  <si>
    <t>Cost per Unit</t>
  </si>
  <si>
    <t>No.</t>
  </si>
  <si>
    <t>Conservation Crop Rotation</t>
  </si>
  <si>
    <t>Acre</t>
  </si>
  <si>
    <t>Ton</t>
  </si>
  <si>
    <t>Backfill, general, Compaction in 6" layers, hand tamp, add to hand backfill</t>
  </si>
  <si>
    <t>E. C. Y.</t>
  </si>
  <si>
    <t>Backfill, General, Dozer backfilling, bulk, up to 300' haul, no compaction</t>
  </si>
  <si>
    <t>Compacting backfill 6" to 12" lifts, vibrating roller</t>
  </si>
  <si>
    <t>Compacting backfill, sheepsfoot roller</t>
  </si>
  <si>
    <t>Thinning (cutting or chemically killing trees or vines) Hardwood-Crop Tree Release (min. 20 sq. ft. b.a. removed) Poles (trees 5-11" DBH)</t>
  </si>
  <si>
    <t>Thinning (cutting or chemically killing trees or vines) Hardwood-Crop Tree Release (min. 20 sq. ft. b.a. removed) Saw timber size culls (trees over 11" DBH)</t>
  </si>
  <si>
    <t>Corrugated metal pipe, galvanized uncoated, 20' lengths, 12 ga., 48" diameter, excludes excavation and backfill</t>
  </si>
  <si>
    <t>Site Clearing, Clear and Grub, Cut &amp; Chip trees to 24" diam. (if burning is allowed, reduce by 40%)</t>
  </si>
  <si>
    <t>Site Clearing, Clear and Grub, Cut &amp; Chip trees to 6" diam. (if burning is allowed, reduce by 40%)</t>
  </si>
  <si>
    <t>Site Clearing, Clear and Grub, Cut &amp; Chip trees to12" diam. (if burning is allowed, reduce by 40%)</t>
  </si>
  <si>
    <t>Site Clearing, Clear and Grub, Grub Stumps and Remove trees to 6" diam.</t>
  </si>
  <si>
    <t>Site Clearing, Clear and Grub, Grub Stumps and Remove trees to12" diam.</t>
  </si>
  <si>
    <t>Site Clearing, Clear and Grub, Grub Stumps and Remove trees to24" diam.</t>
  </si>
  <si>
    <t>Site Clearing, Selective Clearing, Brush Mowing, Tractor w/rotary mower, no removal, heavy density</t>
  </si>
  <si>
    <t>Excavating, structural, common earth, for spread and mat footings, elevator pits, and small building foundations, 1 C.Y. bucket, machine excavation, hydraulic backhoe</t>
  </si>
  <si>
    <t>Excavating, structural,  common earth, for spread and mat footings, elevator pits, and small building foundations,1-1/2 C.Y. bucket, machine excavation, hydraulic backhoe</t>
  </si>
  <si>
    <t>Excavating, structural, common earth, for spread and mat footings, elevator pits, and small building foundations, 2 C.Y. bucket, machine excavation, hydraulic backhoe</t>
  </si>
  <si>
    <t>Excavating, structural, sand and gravel, for spread and mat footings, elevator pits, and small building foundations, 3/4 C.Y. bucket, machine excavation, hydraulic backhoe</t>
  </si>
  <si>
    <t>Excavation, bulk bank measure, Dragline, 3/4 CY cap = 35 CY/hr</t>
  </si>
  <si>
    <t>Excavation, bulk bank measure, Front end loader, track mtd., 1-1/2 CY cap = 70 CY/hr</t>
  </si>
  <si>
    <t>Excavation, bulk bank measure, Front end loader, track mtd., 2-1/2 CY cap = 95 CY/hr</t>
  </si>
  <si>
    <t>Excavation, bulk bank measure, Front end loader, track mtd., 3 CY cap = 130 CY/hr</t>
  </si>
  <si>
    <t>Excavation, bulk bank measure, Front end loader, wheel mounted, 3/4 CY cap = 45 CY/hr</t>
  </si>
  <si>
    <t>Cross Wind Trap Strip - Filter - 589C</t>
  </si>
  <si>
    <t>Deep Tillage - 324</t>
  </si>
  <si>
    <t>Dike - 356</t>
  </si>
  <si>
    <t>Diversion - 362</t>
  </si>
  <si>
    <t>Field Welding</t>
  </si>
  <si>
    <t>Aggregate, Borrow spread 200 HP dozer, no compaction, select structual fill</t>
  </si>
  <si>
    <t>Fine grade, small area, to be paved with grader</t>
  </si>
  <si>
    <t>Fine grade, for roadway, base or leveling course, large area, 6,000 S.Y. or more</t>
  </si>
  <si>
    <t>Hauling, excavated or borrow material, loose cubic yards, 12 CY dump truck, 3 mile round trip, 1.9 loads/hour, highway haulers, excludes loading</t>
  </si>
  <si>
    <t>Hauling, excavated or borrow material, loose cubic yards, 12 CY dump truck, 4 mile round trip, 1.6 loads/hour, highway haulers, excludes loading</t>
  </si>
  <si>
    <t>Hauling, excavated or borrow material, loose cubic yards, 12 CY dump truck, 5 mile round trip, 1 loads/hour, highway haulers, excludes loading</t>
  </si>
  <si>
    <t>Hauling, excavated or borrow material, loose cubic yards, 12 CY dump truck, 10 mile round trip, 0.6 loads/hour, highway haulers, excludes loading</t>
  </si>
  <si>
    <t>Pipe Trenching, (w/Backhoe), Incl. Valves, Hydrants, Fittings, and All Other</t>
  </si>
  <si>
    <t>Finish Grading area to be paved, large area</t>
  </si>
  <si>
    <t>Weed Barriers, Tree Mats with staples.  (Tree Mats or Tree Collars)</t>
  </si>
  <si>
    <t>Fence - 382</t>
  </si>
  <si>
    <t>Fencing, 3 strand barbed wire, Installed</t>
  </si>
  <si>
    <t>Fencing, For Elk, etc. Woven Wire panels up to 7 ft., Installed</t>
  </si>
  <si>
    <t>Fence, all varieties</t>
  </si>
  <si>
    <t>Field Border - 386</t>
  </si>
  <si>
    <t>Field Ditch - 607</t>
  </si>
  <si>
    <t>Filter Strip - 393A</t>
  </si>
  <si>
    <t>Backhoe, Hydraulic, Track Mounted, with Operator</t>
  </si>
  <si>
    <t>Backhoe/Loader, Tractor-type, with Operator</t>
  </si>
  <si>
    <t>Riser, Corrugated Metal, 24-inch Dia., with 18-inch Dia. Stub, Antivortex and Trash Guard, 8-feet High, Installed</t>
  </si>
  <si>
    <t>Riser, Corrugated Metal, 30-inch Dia., with 24-inch Dia.Stub, Antivortex and Trash Guard, 5-feet High, Installed</t>
  </si>
  <si>
    <t>Critical Area Planting (Dike)</t>
  </si>
  <si>
    <t>Spring Development - 574</t>
  </si>
  <si>
    <t>Spring Development, Complete System, Installed</t>
  </si>
  <si>
    <t>Streambank and Shoreline Protection - 580</t>
  </si>
  <si>
    <t>Geogrid (Earth Fill), Installed</t>
  </si>
  <si>
    <t>Salvaging and Spreading Topsoil, Salvaging and Spreading</t>
  </si>
  <si>
    <t>Conifer Transplants, White Cedar 2-3'</t>
  </si>
  <si>
    <t>Hardwood Trees, Black Cherry 12-18"</t>
  </si>
  <si>
    <t>Pasture and Hayland Planting, Medium soil disturbance, seedbed preparation, seed, seeding and herbicides including application</t>
  </si>
  <si>
    <t>State Practice Cost Information Input Assumptions</t>
  </si>
  <si>
    <t>Estimated State-Wide Average Cost per Unit</t>
  </si>
  <si>
    <t>560 Access Road, 1-way</t>
  </si>
  <si>
    <t>Bulldozing/tree and stump removal @ $216  hr and 3 hours per 100 ft.</t>
  </si>
  <si>
    <t>Trees &amp; Shrubs, Dogwood, Red Osier 12-24"</t>
  </si>
  <si>
    <t>Trees &amp; Shrubs, Dogwood, Silky 12-18"</t>
  </si>
  <si>
    <t>Trees &amp; Shrubs, Elderberry 12-18"</t>
  </si>
  <si>
    <t>Trees &amp; Shrubs, Filbert (Amer. Hazel Nut) 12-18"</t>
  </si>
  <si>
    <t>Trees &amp; Shrubs, Highbush Cranberry 18-24"</t>
  </si>
  <si>
    <t>Trees &amp; Shrubs, Hybrid Poplar 2-3'</t>
  </si>
  <si>
    <t>Trees &amp; Shrubs, Japanese Red Maple 18-24"</t>
  </si>
  <si>
    <t>Trees &amp; Shrubs, Mountain Ash 12-18"</t>
  </si>
  <si>
    <t>Trees &amp; Shrubs, Red Bud 18-24"</t>
  </si>
  <si>
    <t>Trees &amp; Shrubs, Rose of Sharon 2-3'</t>
  </si>
  <si>
    <t>Hand Seeding</t>
  </si>
  <si>
    <t>Frost Seeding</t>
  </si>
  <si>
    <t>Cyclone Seeder</t>
  </si>
  <si>
    <t>Drill</t>
  </si>
  <si>
    <t>Cultipacker</t>
  </si>
  <si>
    <t>Fence, Installation</t>
  </si>
  <si>
    <t>Trees &amp; Shrubs Blue Spruce 12-18"</t>
  </si>
  <si>
    <t>Trees &amp; Shrubs, Concolor Fir</t>
  </si>
  <si>
    <t>Trees &amp; Shrubs, Eastern Redcedar</t>
  </si>
  <si>
    <t>Trees &amp; Shrubs,, White Cedar 2-3'</t>
  </si>
  <si>
    <t>Trees &amp; Shrubs,White Spruce 10-16"</t>
  </si>
  <si>
    <t>Trees &amp; Shrubs, Hardwood Trees</t>
  </si>
  <si>
    <t>Trees &amp; Shrubs, Basswood</t>
  </si>
  <si>
    <t>Trees &amp; Shrubs, Black Cherry 12-18"</t>
  </si>
  <si>
    <t>Trees &amp; Shrubs, Black Walnut, 12-18"</t>
  </si>
  <si>
    <t>Trees &amp; Shrubs, Bur Oar, 18-24"</t>
  </si>
  <si>
    <t>Trees &amp; Shrubs, Butternut</t>
  </si>
  <si>
    <t>Trees &amp; Shrubs, Green Ash</t>
  </si>
  <si>
    <t>Trees &amp; Shrubs, Honey Locust</t>
  </si>
  <si>
    <t>Trees &amp; Shrubs, N. Red Oak, 12-18"</t>
  </si>
  <si>
    <t>Trees &amp; Shrubs, Sugar Maple, 12-18"</t>
  </si>
  <si>
    <t>Trees &amp; Shrubs, Sugar Maple, 4-5'</t>
  </si>
  <si>
    <t>Trees &amp; Shrubs, White Ash 12-18"</t>
  </si>
  <si>
    <t>Trees &amp; Shrubs, White Oak, 12-18"</t>
  </si>
  <si>
    <t>Trees &amp; Shrubs, Yellow Poplar</t>
  </si>
  <si>
    <t>Trees &amp; Shrubs, American Plum</t>
  </si>
  <si>
    <t>Trees &amp; Shrubs, Apple</t>
  </si>
  <si>
    <t>Trees &amp; Shrubs, Blackberry</t>
  </si>
  <si>
    <t>Trees &amp; Shrubs, Cherry</t>
  </si>
  <si>
    <t>Trees &amp; Shrubs, Paw Paw</t>
  </si>
  <si>
    <t>Trees &amp; Shrubs, Pear</t>
  </si>
  <si>
    <t>Trees &amp; Shrubs, Raspberry</t>
  </si>
  <si>
    <t>Trees &amp; Shrubs, Witch Hazel</t>
  </si>
  <si>
    <t>Trees &amp; Shrubs, Hazelnut, Filbert (Amer. Hazel Nut) 12-18"</t>
  </si>
  <si>
    <t>Seed, Bromegrass</t>
  </si>
  <si>
    <t>Alley Cropping  (Ac.)</t>
  </si>
  <si>
    <t>Code</t>
  </si>
  <si>
    <t>Practice Name</t>
  </si>
  <si>
    <t>Description (from Practice Standard)</t>
  </si>
  <si>
    <t>A travel-way for equipment and vehicles constructed as part of a conservation plan.</t>
  </si>
  <si>
    <t>Trees or shrubs planted in single or multiple rows with agronomic, horticultural, or forage crops cultivated in the alleys between the rows of woody plants.</t>
  </si>
  <si>
    <t>A managed temperature waste treatment facility.</t>
  </si>
  <si>
    <t>A water impoundment constructed and managed for commercial aquaculture production.</t>
  </si>
  <si>
    <t>Measure(s) used to stabilize the bed or bottom of a channel.</t>
  </si>
  <si>
    <t>Removing snags, drifts, or other obstructions from a channel or drainage way.</t>
  </si>
  <si>
    <t>Growing crops in a recurring sequence on the same field.</t>
  </si>
  <si>
    <t>A constructed shallow water ecosystem designed to simulate natural wetlands.</t>
  </si>
  <si>
    <t>Narrow strips of permanent, herbaceous vegetative cover established across the slope and alternated down the slope with parallel, wider cropped strips.</t>
  </si>
  <si>
    <t>Establishing permanent vegetation on sites that have physical, chemical, or biological conditions that prevent the establishment of vegetation with normal practices.</t>
  </si>
  <si>
    <t>589C</t>
  </si>
  <si>
    <t>Herbaceous cover resistant to wind erosion, established adjacent to surface drainage ditches across the prevailing wind erosion direction.</t>
  </si>
  <si>
    <t>Performing tillage operations below the normal tillage depth to modify the physical or chemical properties of a soil.</t>
  </si>
  <si>
    <t>A barrier constructed of earth or manufactured materials.</t>
  </si>
  <si>
    <t>A channel constructed across the slope generally with a supporting ridge on the lower side.</t>
  </si>
  <si>
    <t>Control of water surface elevations and discharge from surface and subsurface drainage systems.</t>
  </si>
  <si>
    <t>A non-pressurized permanent pipe assembly system installed into dependable water source that permits the withdrawal of water by suction.</t>
  </si>
  <si>
    <t xml:space="preserve">Woven Wire </t>
  </si>
  <si>
    <t>A strip of permanent vegetation established at the edge or around the perimeter of a field.</t>
  </si>
  <si>
    <t>A graded ditch for collecting excess water in a field.</t>
  </si>
  <si>
    <t>A strip of bare land or vegetation that retards fire.</t>
  </si>
  <si>
    <t>A channel or tank with a continuous flow of water constructed or used for high-density fish production.</t>
  </si>
  <si>
    <t>Laying out, constructing, and using forest harvest trails and landings.</t>
  </si>
  <si>
    <t>516</t>
  </si>
  <si>
    <t>521C</t>
  </si>
  <si>
    <t>521A</t>
  </si>
  <si>
    <t>Trench backfill by hand including compaction, add to trencing, 6" wide trench, 36" deep</t>
  </si>
  <si>
    <t>Trench backfill by hand including compaction, add to trencing, 8" wide trench, 12" deep</t>
  </si>
  <si>
    <t>Trench backfill by hand including compaction, add to trencing, 8" wide trench, 18" deep</t>
  </si>
  <si>
    <t>Trench backfill by hand including compaction, add to trencing, 8" wide trench, 24" deep</t>
  </si>
  <si>
    <t>Trenching with chain trencher, 40 H.P., operator riding, common earth, 6" wide trench and backfill, 36" deep</t>
  </si>
  <si>
    <t>C.I.P. concrete forms, footing, spread, plywood, 1 use, includes erecting, bracing, stripping and cleaning</t>
  </si>
  <si>
    <t>Pond Sealing and Lining, Bentomat, incl. Materials and Labor, Installed</t>
  </si>
  <si>
    <t xml:space="preserve">Erosion protection for stockpiled soils or rocks  </t>
  </si>
  <si>
    <t>Fence, permanent as closure</t>
  </si>
  <si>
    <t>Corrugated metal pipe, galvanized and bituminous coated with paved invert, 20' lengths, 16 ga., 10" diameter, excludes excavation and backfill</t>
  </si>
  <si>
    <t>Rent backhoe-loader wheel type 80 HP 1-1/4 CY capacity</t>
  </si>
  <si>
    <t>Rent backhoe-loader wheel type 112 HP, 1-1/2 CY capacity</t>
  </si>
  <si>
    <t>Rent tractor dozer crawler diesel 80 HP</t>
  </si>
  <si>
    <t>Corrugated metal pipe, galvanized and bituminous coated with paved invert, 20' lengths, 16 ga., 12" diameter, excludes excavation and backfill</t>
  </si>
  <si>
    <t>Restoration and Management of Declining Habitats - 643</t>
  </si>
  <si>
    <t>Tree/Shrub Planting, Hand (scalping not included)</t>
  </si>
  <si>
    <t>Tree/Shrub Planting, Machine (equipment and labor, scalping not included)</t>
  </si>
  <si>
    <t>Roof Runoff Management - 558</t>
  </si>
  <si>
    <t>Sediment Basin - 350</t>
  </si>
  <si>
    <t>Shallow Water Management for Wildlife - 646</t>
  </si>
  <si>
    <t>Excavation</t>
  </si>
  <si>
    <t>Control Structure with installation</t>
  </si>
  <si>
    <t>Pipe, PE, 1-1/2-inch, Incl. Fittings, Installed (water supply)</t>
  </si>
  <si>
    <t>Pipe, PE, 2-inch, Incl. Fittings, Installed (water supply)</t>
  </si>
  <si>
    <t>Pipe, PVC, SCH-40, 4-inch, Incl. Fittings, Installed</t>
  </si>
  <si>
    <t>Pipe, PVC, SCH-40, 6-inch, Incl. Fittings, Installed</t>
  </si>
  <si>
    <t>Pipe, PVC, SCH-40, 8-inch, Incl. Fittings, Installed</t>
  </si>
  <si>
    <t>Pond Sealing and Lining, EPDM, incl. Materials and Labor, Installed</t>
  </si>
  <si>
    <t>Pond Sealing and Lining, HDPE, incl. Materials and Labor,  Installed</t>
  </si>
  <si>
    <t>Irrigation Storage Reservoir - 436</t>
  </si>
  <si>
    <t>Irrigation System, Microirrigation - 441</t>
  </si>
  <si>
    <t>Irrigation System, Sprinkler - 442</t>
  </si>
  <si>
    <t>Solid Set System, Nozzles, Fittings, etc., Installed</t>
  </si>
  <si>
    <t>Irrigation System, Wheel Roll System, Nozzles, Fittings, etc., Installed</t>
  </si>
  <si>
    <t>Irrigation Water Conveyance Pipeline - High Pressure, Underground Plastic - 430DD</t>
  </si>
  <si>
    <t>Pipe Trenching, (w/Backhoe), Incl. Valves, Fittings, and All Other</t>
  </si>
  <si>
    <t xml:space="preserve">Pipe Trenching, (w/Trencher) Incl. Valves, Fittings and All Other </t>
  </si>
  <si>
    <t>Irrigation Water Conveyance Pipeline - Low Pressure, Underground Plastic - 430EE</t>
  </si>
  <si>
    <t>Irrigation Water Management - 449</t>
  </si>
  <si>
    <t>Land Reconstruction, Abandoned Mined Land - 543</t>
  </si>
  <si>
    <t>Geogrid (Earth Fill), Installed, Installed</t>
  </si>
  <si>
    <t>Geogrid (Rock Fill), Installed</t>
  </si>
  <si>
    <t>Excavation, bulk, open site, 105 H.P. dozer, 300' haul, sand and gravel</t>
  </si>
  <si>
    <t>Excavation, bulk, open site, 105 H.P. dozer, 300' haul, common earth</t>
  </si>
  <si>
    <t>Excavation, bulk, open site, 105 H.P. dozer, 300' haul, clay</t>
  </si>
  <si>
    <t>Excavation, bulk, open site, 200 H.P. dozer, 50' haul, sand and gravel</t>
  </si>
  <si>
    <t>Excavation, bulk, open site, 200 H.P. dozer, 50' haul, common earth</t>
  </si>
  <si>
    <t>Excavation, bulk, open site, 200 H.P. dozer, 50' haul, clay</t>
  </si>
  <si>
    <t>Excavation, bulk, open site, 200 H.P. dozer, 150' haul, sand and gravel</t>
  </si>
  <si>
    <t>Excavation, bulk, open site, 200 H.P. dozer, 150' haul, common earth</t>
  </si>
  <si>
    <t>Excavation, bulk, open site, 200 H.P. dozer, 150' haul, clay</t>
  </si>
  <si>
    <t>Excavation, bulk, open site, 200 H.P. dozer, 300' haul, sand and gravel</t>
  </si>
  <si>
    <t>Excavation, bulk, open site, 200 H.P. dozer, 300' haul, common earth</t>
  </si>
  <si>
    <t>Excavation, bulk, open site, 200 H.P. dozer, 300' haul, clay</t>
  </si>
  <si>
    <t>End sections, corrugated metal pipe, galvanized uncoated, 48" diameter</t>
  </si>
  <si>
    <t>End sections, corrugated metal pipe, galvanized uncoated, 60" diameter</t>
  </si>
  <si>
    <t>Geotextile Reinforced Vegetated Chute, Installed (including earthwork, Geotextile, Erosion Control Blanket, and Seeding with Fertilizer, etc.)</t>
  </si>
  <si>
    <t>lin. FT</t>
  </si>
  <si>
    <t>Plastic liner, EPDM, Installed</t>
  </si>
  <si>
    <t>Plastic Liner, HDPE, Installed</t>
  </si>
  <si>
    <t>Roof, Hoop Structure, greater than 40 FT span, Installed</t>
  </si>
  <si>
    <t>lb</t>
  </si>
  <si>
    <t>Toewall (Overfall 0-1.9 ft.) Treated Wood, Concrete, Concrete Block, or Aluminum.</t>
  </si>
  <si>
    <t>Corrugated galvanized or aluminum oval arch culverts, plain, 49" x 33", 42" equivalent, 12 ga., excludes excavation and backfill</t>
  </si>
  <si>
    <t>Trees &amp; Shrubs, Blue Spruce 10-16" Seedlings</t>
  </si>
  <si>
    <t>Trees &amp; Shrubs, Maple, Red 12-18"</t>
  </si>
  <si>
    <t>Trees &amp; Shrubs, Maple, Red 2-3'</t>
  </si>
  <si>
    <t>Trees &amp; Shrubs, Maple, Sugar 4-5'</t>
  </si>
  <si>
    <t>Trees &amp; Shrubs, Norway Spruce 10-16" Seedlings</t>
  </si>
  <si>
    <t>Trees &amp; Shrubs, Norway Spruce 12-18" Transplants</t>
  </si>
  <si>
    <t>Trees &amp; Shrubs, Oak, Bur 18-24"</t>
  </si>
  <si>
    <t xml:space="preserve">333613100200 </t>
  </si>
  <si>
    <t xml:space="preserve">331113258020 </t>
  </si>
  <si>
    <t xml:space="preserve">331113252180 </t>
  </si>
  <si>
    <t xml:space="preserve">331113252200 </t>
  </si>
  <si>
    <t xml:space="preserve">331113254520 </t>
  </si>
  <si>
    <t>B20A</t>
  </si>
  <si>
    <t xml:space="preserve">331113254530 </t>
  </si>
  <si>
    <t xml:space="preserve">031513500050 </t>
  </si>
  <si>
    <t xml:space="preserve">050521900020 </t>
  </si>
  <si>
    <t>E14</t>
  </si>
  <si>
    <t xml:space="preserve">050521900500 </t>
  </si>
  <si>
    <t xml:space="preserve">050521901300 </t>
  </si>
  <si>
    <t xml:space="preserve">050521901500 </t>
  </si>
  <si>
    <t xml:space="preserve">332113203040 </t>
  </si>
  <si>
    <t xml:space="preserve">030513850012 </t>
  </si>
  <si>
    <t xml:space="preserve">323126200015 </t>
  </si>
  <si>
    <t xml:space="preserve">323126200020 </t>
  </si>
  <si>
    <t xml:space="preserve">323126200210 </t>
  </si>
  <si>
    <t xml:space="preserve">323126202200 </t>
  </si>
  <si>
    <t xml:space="preserve">061323102500 </t>
  </si>
  <si>
    <t>2 Carp</t>
  </si>
  <si>
    <t>Total Estimated Installation Cost</t>
  </si>
  <si>
    <t>Michigan</t>
  </si>
  <si>
    <t>Cost Estimate Summary:</t>
  </si>
  <si>
    <t>Clearing and Snagging  (Ac.)</t>
  </si>
  <si>
    <t xml:space="preserve">The stabilization of areas frequently and intensively used by people, animals, or vehicles by establishing vegetative cover, by surfacing with suitable materials, and/or installing needed structures.  </t>
  </si>
  <si>
    <t>Hedgerow Planting (Ft.)</t>
  </si>
  <si>
    <t>Establishing a linear planting of shrubs or trees in, across, or around a field.</t>
  </si>
  <si>
    <t>Herbaceous Wind Barriers (Ft.)</t>
  </si>
  <si>
    <t>Herbaceous vegetation established in rows or narrow strips in the field across the prevailing wind direction.</t>
  </si>
  <si>
    <t>Irrigation Regulating Reservoir (No.)</t>
  </si>
  <si>
    <t>Irrigation Storage Reservoir (No. and Ac.Ft.)</t>
  </si>
  <si>
    <t>Irrigation System, Micro Irrigation (No. and Ac.)</t>
  </si>
  <si>
    <t xml:space="preserve">An irrigation system for distribution of water directly to the plant root zone by means of surface or subsurface applicators. </t>
  </si>
  <si>
    <t>Irrigation System, Sprinkler (No. and Ac.)</t>
  </si>
  <si>
    <t>An irrigation system in which all necessary equipment and  facilities are installed for efficiently applying water by means of nozzles operated under pressure.</t>
  </si>
  <si>
    <t>Irrigation System, Surface and Subsurface (No. and Ac.)</t>
  </si>
  <si>
    <t>Irrigation Water Conveyance High-Pressure, Underground, Plastic Pipeline (Ft.)</t>
  </si>
  <si>
    <t xml:space="preserve">A pipeline and appurtenances installed in an irrigation system.  </t>
  </si>
  <si>
    <t>Irrigation Water Conveyance Low-Pressure, Underground, Plastic Pipeline (Ft.)</t>
  </si>
  <si>
    <t>Irrigation Water Management (Ac.)</t>
  </si>
  <si>
    <t>The process of determining and controlling the volume, frequency, and application rate of irrigation water in a planned, efficient manner.</t>
  </si>
  <si>
    <t>Land Smoothing (Ac.)</t>
  </si>
  <si>
    <t>Lined Waterway or Outlet (Ft.)</t>
  </si>
  <si>
    <t>Manure Transfer (No.)</t>
  </si>
  <si>
    <t xml:space="preserve">A manure conveyance system using structures, conducts, or equipment. </t>
  </si>
  <si>
    <t>Mine Shaft and Adit Closing (No.)</t>
  </si>
  <si>
    <t xml:space="preserve">Closure of underground mine opening by filling, plugging, capping, installing barriers, gating, or fencing.  </t>
  </si>
  <si>
    <t>Mulching (Ac.)</t>
  </si>
  <si>
    <t>Nutrient Management (Ac.)</t>
  </si>
  <si>
    <t>Managing the amount, source, placement, form, and timing of the application of nutrients and soil amendments.</t>
  </si>
  <si>
    <t>Obstruction Removal (Ac.)</t>
  </si>
  <si>
    <t>Removal and disposal of unwanted, unsightly, or hazardous buildings, structures, vegetation, landscape features, and other materials.</t>
  </si>
  <si>
    <t>Open Channel (Ft.)</t>
  </si>
  <si>
    <t>Constructing or improving a channel, either natural or artificial, in which water flows with a free surface.</t>
  </si>
  <si>
    <t>Pasture and Hayland Planting (Ac.)</t>
  </si>
  <si>
    <t>Pest Management (Ac.)</t>
  </si>
  <si>
    <t>Utilizing environmentally-sensitive prevention, avoidance, monitoring, and suppression strategies to manage weeds, insects, diseases, animals, and other organisms (including invasive and non-invasive species) that directly or indirectly cause damage or annoyance.</t>
  </si>
  <si>
    <t>Pipeline (Ft.)</t>
  </si>
  <si>
    <t>Pipeline having an inside diameter of 8 inches (203 mm) or less.</t>
  </si>
  <si>
    <t>Pond (No.)</t>
  </si>
  <si>
    <t>A water impoundment made by constructing a dam or an embankment, or by excavating a pit or dugout.</t>
  </si>
  <si>
    <t>Pond Sealing or Lining - Bentonite Treatment (No.)</t>
  </si>
  <si>
    <t>Footings and foundations demolition, floors, concrete slab on grade, plain concrete, 4" thick, excludes disposal costs and dump fees</t>
  </si>
  <si>
    <t>Footings and foundations demolition, floors, concrete slab on grade, concrete, wire mesh reinforced, 4" thick, excludes disposal costs and dump fees</t>
  </si>
  <si>
    <t>Hardwood Trees</t>
  </si>
  <si>
    <t>Filter Strip - Animal Waste Management - 780</t>
  </si>
  <si>
    <t>Fencing, Barbed Wire, 3-Strand, Installed</t>
  </si>
  <si>
    <t>Pipe, Corrugated Plastic Tubing (Single Wall, Perforated or non-Perforated), 10-inch, Incl. Fittings, installed with backhoe</t>
  </si>
  <si>
    <t>Pipe, Corrugated Plastic Tubing (Single Wall, Perforated or non-Perforated), 12-inch, Incl. Fittings, installed with backhoe</t>
  </si>
  <si>
    <t>Conservation Cover - 327</t>
  </si>
  <si>
    <t>Concrete formed in place</t>
  </si>
  <si>
    <t>Soil Boaring and Testing</t>
  </si>
  <si>
    <t>8"x10"x12' Dry Cast Beam</t>
  </si>
  <si>
    <t>Slat &amp; Beqm Setting, Crane and Labor</t>
  </si>
  <si>
    <t>Fertilizer, Lime</t>
  </si>
  <si>
    <t>Fertilizer, Nitrogen</t>
  </si>
  <si>
    <t>Grading of site to permit use of conventional equipment</t>
  </si>
  <si>
    <t>Seedbed preparation, hand</t>
  </si>
  <si>
    <t>Seedbed preparation, mechanical</t>
  </si>
  <si>
    <t>Mulch installation</t>
  </si>
  <si>
    <t>Cleating (anchoring by track equipment)</t>
  </si>
  <si>
    <t>Live stakes</t>
  </si>
  <si>
    <t>Planting of trees, shrubs, and live stakes</t>
  </si>
  <si>
    <t>Seed, Legumes, Alfalfa</t>
  </si>
  <si>
    <t>Seed, Legumes, Red Clover</t>
  </si>
  <si>
    <t>Seed, Legumes, Birdsfoot Trefoil</t>
  </si>
  <si>
    <t>Seed, Legumes, White Dutch Clover</t>
  </si>
  <si>
    <t>Seed, Legumes, Ladino Clover</t>
  </si>
  <si>
    <t>Seed, Legumes, Sweetclover</t>
  </si>
  <si>
    <t>Seed, Legumes, Alsike Clover</t>
  </si>
  <si>
    <t>Seed, Legumes, Lancer' Flatpea</t>
  </si>
  <si>
    <t>Seed, Cool Season Grass, Kentucky Bluegrass</t>
  </si>
  <si>
    <t>Excavating, bulk, open site, bank measure, common earth, 75 H.P. dozer, 150' haul</t>
  </si>
  <si>
    <t>Trenching with chain trencher, 12 H.P., operator walking, common earth, 4" wide trench, 12" deep</t>
  </si>
  <si>
    <t>Trenching with chain trencher, 12 H.P., operator walking, common earth, 4" wide trench, 18" deep</t>
  </si>
  <si>
    <t>Trenching with chain trencher, 12 H.P., operator walking, common earth, 4" wide trench, 24" deep</t>
  </si>
  <si>
    <t>Trenching with chain trencher, 12 H.P., operator walking, common earth, 6" wide trench, 12" deep</t>
  </si>
  <si>
    <t>Trenching with chain trencher, 12 H.P., operator walking, common earth, 6" wide trench, 18" deep</t>
  </si>
  <si>
    <t>Excavating, bulk, open site, bank measure, common earth, 200 H.P. dozer, 50' haul</t>
  </si>
  <si>
    <t>Excavating, bulk, open site, bank measure, common earth, 200 H.P. dozer, 150' push</t>
  </si>
  <si>
    <t>Excavating, bulk, open site, bank measure, common earth, 200 H.P. dozer, 300' push</t>
  </si>
  <si>
    <t>Well Casing, 6-inch, Installed</t>
  </si>
  <si>
    <t>Well, Drilled, 4-inch, Installed</t>
  </si>
  <si>
    <t>Excavating, bulk, open site, bank measure, common earth, 105 H.P. dozer, 300' haul</t>
  </si>
  <si>
    <t>Backfill trench, 1-1/4 CY bucket, minimum haul</t>
  </si>
  <si>
    <t>Backfill trench, 1-1/4 CY bucket, 100' haul</t>
  </si>
  <si>
    <t>Riser, Corrugated Plastic, 36-inch Dia., with Stub, Antivortex and Trash Guard, 5-feet High, Installed</t>
  </si>
  <si>
    <t>Riser, Corrugated Plastic, 36-inch Dia., with Stub, Antivortex and Trash Guard, 8-feet High, Installed</t>
  </si>
  <si>
    <t>Concrete Blocks, 2 ft. x 2 ft. x 4 ft., Installed</t>
  </si>
  <si>
    <t>Concrete, Reinforced, Cast In Place, Installed</t>
  </si>
  <si>
    <t>Grassed Waterway - 412</t>
  </si>
  <si>
    <t>Grading and Shaping, Grassed Waterway, Installed</t>
  </si>
  <si>
    <t>Vegetative Control - Mowing</t>
  </si>
  <si>
    <t>Selective concrete demolition, excluding saw/torch cutting, load, haul, break up into small pieces, minimum reinforcing</t>
  </si>
  <si>
    <t>Concrete Curing Compound, solvent based</t>
  </si>
  <si>
    <t>Aggregrate, expanded shale</t>
  </si>
  <si>
    <t>Ram Pump, Livestock Water, Complete, Installed</t>
  </si>
  <si>
    <t>Riser, Corrugated Metal, 24-inch Dia., with 18-inch Dia. Stub, Antivortex and Trash Guard, 5-feet High, Installed</t>
  </si>
  <si>
    <t>Herbicide, Chopper for forest sites, 2 1/2 gallon container</t>
  </si>
  <si>
    <t>Herbicide, Galon 4 Ultra, 2 1/2 gallon container</t>
  </si>
  <si>
    <t>In-Line Water Control Structure, 18-inch pipe, Installed</t>
  </si>
  <si>
    <t>In-Line Water Control Structure, 24-inch pipe, Installed</t>
  </si>
  <si>
    <t xml:space="preserve">Pond Sealing and Lining, Bentonite, incl. Materials and Labor,  Installed  </t>
  </si>
  <si>
    <t>Nutrient Mgt., petiole nitrate testing</t>
  </si>
  <si>
    <t>Salvaging and Spreading Topsoil</t>
  </si>
  <si>
    <t>Seedbed Preparation forest site</t>
  </si>
  <si>
    <t>Trench backfill by hand including compaction, add to trencing, 6" wide trench, 24" deep</t>
  </si>
  <si>
    <t>Vegetation, seeding and mulch installed</t>
  </si>
  <si>
    <t>Welding services for metal fabrication</t>
  </si>
  <si>
    <t>Crane</t>
  </si>
  <si>
    <t>Permit, if required</t>
  </si>
  <si>
    <t>Drilled, jetted, bored and driven well</t>
  </si>
  <si>
    <t>Well Screen</t>
  </si>
  <si>
    <t>Cut &amp; Chip trees to 6" diam. (if burning is allowed, reduce by 40%)</t>
  </si>
  <si>
    <t>Cut &amp; Chip trees to12" diam. (if burning is allowed, reduce by 40%)</t>
  </si>
  <si>
    <t>Grub Stumps and Remove trees to 6" diam.</t>
  </si>
  <si>
    <t>Grub Stumps and Remove trees to 24" diam.</t>
  </si>
  <si>
    <t>Chipping Stumps, to 18" deep, 12" diam.</t>
  </si>
  <si>
    <t>Herbaceous cover cool season, perennial preparation, seed, fertilizer and planting</t>
  </si>
  <si>
    <t>Herbaceous cover warm season, annual, preparation, seed, fertilizer and planting</t>
  </si>
  <si>
    <t>Planter - conventional w/fert (12 x30" rows corn or soybeans)</t>
  </si>
  <si>
    <t>Trenching with chain trencher, 40 H.P., operator riding, common earth, 6" wide trench and backfill, 18" deep</t>
  </si>
  <si>
    <t>Trenching with chain trencher, 40 H.P., operator riding, common earth, 6" wide trenchand backfill, 24" deep</t>
  </si>
  <si>
    <t>Trench backfill by hand including compaction, add to trencing, 8" wide trench, 36" deep</t>
  </si>
  <si>
    <t>Herbaceous cover warm season, perennial, preparation, seed, fertilizer and planting</t>
  </si>
  <si>
    <t>Herbaceous plants and hand planting</t>
  </si>
  <si>
    <t>each</t>
  </si>
  <si>
    <t>Herbicides and application (hand)</t>
  </si>
  <si>
    <t>Herbicides and application (machine)</t>
  </si>
  <si>
    <t>Instream Woody Cover</t>
  </si>
  <si>
    <t>Planter - Mulch Till (12 row)</t>
  </si>
  <si>
    <t>Trenching with chain trencher, 40 H.P., operator riding, common earth, 6" wide trench and backfill, 60" deep</t>
  </si>
  <si>
    <t>Finish Grading area to be paved, small area</t>
  </si>
  <si>
    <t>Native prairie planting</t>
  </si>
  <si>
    <t>Recreation Trail and Walkway - 568</t>
  </si>
  <si>
    <t>Residue Management, Mulch Till - 329B</t>
  </si>
  <si>
    <t>Ac</t>
  </si>
  <si>
    <t>Vegetation (see Critical Area Planting for materials and equipment list)</t>
  </si>
  <si>
    <t>Site Preparation, Grading and shaping site</t>
  </si>
  <si>
    <t>Foundation Preparation, compaction of sand or earthen base</t>
  </si>
  <si>
    <t>Residue Management, No-Till and Strip Till - 329A</t>
  </si>
  <si>
    <t>Residue Management, Ridge Till - 329C</t>
  </si>
  <si>
    <t>Residue Management, Seasonal - 344</t>
  </si>
  <si>
    <t>Filter bedding material</t>
  </si>
  <si>
    <t>Grading and shaping of slope</t>
  </si>
  <si>
    <t>Erosion Control Blanket</t>
  </si>
  <si>
    <t>Willow Wattles, Installed</t>
  </si>
  <si>
    <t>Rock Riprap, with Geotextile, Installed</t>
  </si>
  <si>
    <t>Removal of stumps, fallen trees, debris &amp; sediment bars</t>
  </si>
  <si>
    <t>Concrete Modular Blocks</t>
  </si>
  <si>
    <t>Recordkeeping</t>
  </si>
  <si>
    <t>M.B.F.</t>
  </si>
  <si>
    <t>Grade Stabilization Structure - 410</t>
  </si>
  <si>
    <t>Riser, Corrugated Metal, 24-inch Dia., with Stub, Antivortex and Trash Guard, 5-feet High, Installed</t>
  </si>
  <si>
    <t>Riser, Corrugated Metal, 24-inch Dia., with Stub, Antivortex and Trash Guard, 8-feet High, Installed</t>
  </si>
  <si>
    <t>Riser, Corrugated Metal, 30-inch Dia., with Stub, Antivortex and Trash Guard, 5-feet High, Installed</t>
  </si>
  <si>
    <t>Riser, Corrugated Metal, 30-inch Dia., with Stub, Antivortex and Trash Guard, 8-feet High, Installed</t>
  </si>
  <si>
    <t>Riser, Corrugated Metal, 36-inch Dia., with Stub, Antivortex and Trash Guard, 5-feet High, Installed</t>
  </si>
  <si>
    <t>Riser, Corrugated Metal, 36-inch Dia., with Stub, Antivortex and Trash Guard, 8-feet High, Installed</t>
  </si>
  <si>
    <t>Riser, Corrugated Plastic, 24-inch Dia., with Stub, Antivortex and Trash Guard, 5-feet High, Installed</t>
  </si>
  <si>
    <t>Riser, Corrugated Plastic, 24-inch Dia., with Stub, Antivortex and Trash Guard, 8-feet High, Installed</t>
  </si>
  <si>
    <t>Riser, Corrugated Plastic, 30-inch Dia., with Stub, Antivortex and Trash Guard, 5-feet High, Installed</t>
  </si>
  <si>
    <t>12' Steel Tube Gates, installed</t>
  </si>
  <si>
    <t>16' Steel Tube Gates, installed</t>
  </si>
  <si>
    <t>C. Y.</t>
  </si>
  <si>
    <t>Bioengineering, Brush Layering</t>
  </si>
  <si>
    <t>Bioengineering, Brush Mattress</t>
  </si>
  <si>
    <t>Steel Roofing, on steel frame, corrugated or ribbed, galvanized, 26 gauge</t>
  </si>
  <si>
    <t>Rent excavator diesel hydraulic crawler mounted 2 CY capacity</t>
  </si>
  <si>
    <t>Rent excavator diesel hydraulic crawler mounted 2.5 CY capacity</t>
  </si>
  <si>
    <t>Rent backhoe-loader 40 to 45 HP 5/8 CY capacity</t>
  </si>
  <si>
    <t>Rent backhoe-loader 45 to 60 HP 3/4 CY capacity</t>
  </si>
  <si>
    <t>Pumps, installed in wells, 6" submersible, 25' to 150' deep, 25 HP, 249 to 297 GPM</t>
  </si>
  <si>
    <t>Pumps, installed in wells, 6" submersible, 25' to 500' deep, 30 HP, 100 to 300 GPM</t>
  </si>
  <si>
    <t>Pumps, installed in wells to 100' deep, 4" submersible, 1/2 HP</t>
  </si>
  <si>
    <t>Pumps, installed in wells to 100' deep, 4" submersible, 1 HP</t>
  </si>
  <si>
    <t>Rock Riprap, D-50 = 9 inch,  with Geotextile, Installed</t>
  </si>
  <si>
    <t>Soil testing, Specific gravity</t>
  </si>
  <si>
    <t>Rock Riprap, D-50 = 6 inch,  with Geotextile, Installed</t>
  </si>
  <si>
    <t>Bioengineering, Staking, Live</t>
  </si>
  <si>
    <t>Rock Drilling for anchoring 6" deep</t>
  </si>
  <si>
    <t>Structures (boxes, brush piles, etc.)</t>
  </si>
  <si>
    <t>NO</t>
  </si>
  <si>
    <t>EACH</t>
  </si>
  <si>
    <t>IPM scouting- orchards, traps, baits, etc</t>
  </si>
  <si>
    <t>Spraying (excluding materials)</t>
  </si>
  <si>
    <t>IPM Tissue Collection &amp; Testing (field crops/vegetables)</t>
  </si>
  <si>
    <t>IPM Tissue test for small fruit and tree crops, soil ph test, sampling, calibration of application equipment, recordkeeping</t>
  </si>
  <si>
    <t>Backfill, structural, common earth, 75 H.P. dozer, 50' haul, no compaction</t>
  </si>
  <si>
    <t>Gravel, Drain Fill, Installed</t>
  </si>
  <si>
    <t>Irrigation System, Big Gun (traveler), Nozzles, Fittings, etc., Installed</t>
  </si>
  <si>
    <t>Irrigation System, Center Pivot System, Nozzles, Fittings, etc., Installed</t>
  </si>
  <si>
    <t>Backfill, structural, sand and gravel, 300 H.P. dozer, 50' haul, no compaction</t>
  </si>
  <si>
    <t>Backfill, structural, common earth, 75 H.P. dozer, 300' haul, no compaction</t>
  </si>
  <si>
    <t>Backfill, structural, common earth, 105 H.P. dozer, 50' haul, no compaction</t>
  </si>
  <si>
    <t>Backfill, structural, common earth, 105 H.P. dozer, 300' haul, no compaction</t>
  </si>
  <si>
    <t>Backfill, structural, common earth, 200 H.P. dozer, 50' haul, no compaction</t>
  </si>
  <si>
    <t>Backfill, structural, common earth, 200 H.P. dozer, 300' haul, no compaction</t>
  </si>
  <si>
    <t>Backfill, structural, common earth, 300 H.P. dozer, 50' haul, no compaction</t>
  </si>
  <si>
    <t>Backfill, structural, clay, 75 H.P. dozer, 300' haul, no compaction</t>
  </si>
  <si>
    <t>Backfill, structural, clay, 105 H.P. dozer, 50' haul, no compaction</t>
  </si>
  <si>
    <t>Backfill, structural, clay, 105 H.P. dozer, 300' haul, no compaction</t>
  </si>
  <si>
    <t>Synthetic erosion control, plastic netting, 20 mil, 2" x 1" mesh, stapled</t>
  </si>
  <si>
    <t>Synthetic erosion control, polypropylene mesh, stapled, 6.5 oz./ S.Y.</t>
  </si>
  <si>
    <t>Synthetic erosion control, silt fence, polypropylene, ideal conditions, 3' high</t>
  </si>
  <si>
    <t>Synthetic erosion control, tobacco netting, or jute mesh #2, stapled</t>
  </si>
  <si>
    <t>Temporary, Electric Netting</t>
  </si>
  <si>
    <t>Temporary, Polywire</t>
  </si>
  <si>
    <t>Temporary, Porta Reel</t>
  </si>
  <si>
    <t>Temporary, Tread-in Posts</t>
  </si>
  <si>
    <t>Topsoil stripping and stockpiling, loam or topsoil, remove and stockpile on site, 200 HP dozer, 6" deep, 200' haul</t>
  </si>
  <si>
    <t>Topsoil stripping and stockpiling, topsoil, sandy loam, adverse conditions, 200 H.P. dozer</t>
  </si>
  <si>
    <t>Topsoil stripping and stockpiling, topsoil, sandy loam, ideal conditions, 200 H.P. dozer</t>
  </si>
  <si>
    <t>tractor with operator and fuel</t>
  </si>
  <si>
    <t>Trough or Tank, Poly., 200 gal.</t>
  </si>
  <si>
    <t>Trough or Tank, Poly., 400 gal.</t>
  </si>
  <si>
    <t>Utility Septic Tank and Effluent Wet Wells, septic tanks crushed stone, 3/4", excludes excavation or piping</t>
  </si>
  <si>
    <t>Utility Septic Tank and Effluent Wet Wells, septic tanks gravel fill, run of bank, excludes excavation or piping</t>
  </si>
  <si>
    <t>Site Clearing, Selective Clearing, Brush Mowing, Tractor w/rotary mower, no removal, light density</t>
  </si>
  <si>
    <t>Utility Septic Tank and Effluent Wet Wells, septic tanks precast concrete, 2,000 gallon, excludes excavation or piping</t>
  </si>
  <si>
    <t>Utility Septic Tank and Effluent Wet Wells, septic tanks precast concrete, 5,000 gallon, excludes excavation or piping</t>
  </si>
  <si>
    <t>Warning Sign</t>
  </si>
  <si>
    <t>Water supply distribution piping, fitting w/rubber gasket, polyvinyl chloride, 90 degree , 6" diameter, class 150, D.R. 18, excludes excavation or backfill</t>
  </si>
  <si>
    <t>Water supply distribution piping, piping polyvinyl chloride, 4" diameter, AWWA C900, Class 150, SDR 18, excludes excavation or backfill, unless specified</t>
  </si>
  <si>
    <t>Bioengineering, Vegetated Geogrid</t>
  </si>
  <si>
    <t>Burning</t>
  </si>
  <si>
    <t>acre</t>
  </si>
  <si>
    <t>Concrete Block Chute, with Geotextile, Installed</t>
  </si>
  <si>
    <t>%</t>
  </si>
  <si>
    <t>Cultural Grazing</t>
  </si>
  <si>
    <t>Deflectors for stream habitat improvement</t>
  </si>
  <si>
    <t>hour</t>
  </si>
  <si>
    <t>C.Y.</t>
  </si>
  <si>
    <t>Contour Establishment</t>
  </si>
  <si>
    <t>Cool season pasture frost seeding</t>
  </si>
  <si>
    <t>Excavating, trench or continuous footing, common earth,   10' to 14' deep, 1 C.Y. hydraulic backhoe, excludes sheeting or dewatering</t>
  </si>
  <si>
    <t>Excavating, trench or continuous footing, common earth,   10' to 14' deep, 1-1/2 C.Y. hydraulic backhoe, excludes sheeting or dewatering</t>
  </si>
  <si>
    <t>For Tamping backfilled trenches, air tamp, add</t>
  </si>
  <si>
    <t>For tamping backfilled trenches, vibrating plate, add</t>
  </si>
  <si>
    <t>Trim sides and bottom for concrete pours, common earth</t>
  </si>
  <si>
    <t>Backfill trench, Front end loader, wheel mtd. 1 CY bucket, minimum haul</t>
  </si>
  <si>
    <t>Backfill trench, Front end loader, wheel mtd. 1 CY bucket, 100' haul</t>
  </si>
  <si>
    <t>Conifer Seedlings, Blue Spruce 10-16"</t>
  </si>
  <si>
    <t>Conifer Seedlings, Norway Spruce 10-16"</t>
  </si>
  <si>
    <t>Conifer Seedlings, White Spruce 10-16"</t>
  </si>
  <si>
    <t>Conifer Seedlings, Red Pine 6-12"</t>
  </si>
  <si>
    <t>Clear &amp; grub selective trees with grubbing stumps, including equipment and labor appox. 2.5 trees per hour</t>
  </si>
  <si>
    <t>Labor, Inventory, Analysis, &amp; Determine Management actions</t>
  </si>
  <si>
    <t>Statewide Cost per Unit</t>
  </si>
  <si>
    <t>Local Cost per Unit</t>
  </si>
  <si>
    <t>Agronomic and Forestry</t>
  </si>
  <si>
    <t>Forestry</t>
  </si>
  <si>
    <t>2x2x6 Large Concrete block, placed</t>
  </si>
  <si>
    <t>ACF building, 24x24x16h with 2 slider doors and drive through (no concrete)</t>
  </si>
  <si>
    <t>ACF building, 32x32x16h with 2 slider doors and drive through (no concrete)</t>
  </si>
  <si>
    <t>Fertilizer, Anhydrous ammonia</t>
  </si>
  <si>
    <t>Fertilizer, Nitrogen soluctions (30%)</t>
  </si>
  <si>
    <t>Fertilizer, Urea 45-46% nitrogen</t>
  </si>
  <si>
    <t>Fertilizer, Ammonium nitrate</t>
  </si>
  <si>
    <t>Fertilizer, Superphosphate, 44-46% phosphate</t>
  </si>
  <si>
    <t>Fertilizer, Diammonium phosphate (18-46-0)</t>
  </si>
  <si>
    <t>Fertilizer, Potassium chloride 60% potassium</t>
  </si>
  <si>
    <t>Fertilizer, Sulfate of ammonium</t>
  </si>
  <si>
    <t>Herbicide, Escort XP, 16 oz container</t>
  </si>
  <si>
    <t>Public Storm Utility Drainage Piping, corrugated metal pipe, galvanized uncoated, 20' lengths, 16 ga., 12" diameter, excludes excavation and backfill</t>
  </si>
  <si>
    <t>Public Storm Utility Drainage Piping, corrugated metal pipe, galvanized uncoated, 20' lengths, 16 ga., 8" diameter, excludes excavation and backfill</t>
  </si>
  <si>
    <t>Public Storm Utility Drainage Piping, end sections, corrugated metal pipe, galvanized uncoated, 10" diameter</t>
  </si>
  <si>
    <t>Public Storm Utility Drainage Piping, end sections, corrugated metal pipe, galvanized uncoated, 12" diameter</t>
  </si>
  <si>
    <t>Public Storm Utility Drainage Piping, end sections, corrugated metal pipe, galvanized uncoated, 8" diameter</t>
  </si>
  <si>
    <t>Public Water Supply Wells, wells domestic water, drilled, 4" to 6" diameter</t>
  </si>
  <si>
    <t>Public Water Supply Wells, wells domestic water, pumps, 1 1/2 HP, 4" submersible, 1-1/2 HP , installed in wells to 100 ft. deep</t>
  </si>
  <si>
    <t>Public Water Supply Wells, wells domestic water, pumps, 1 HP, 4" submersible, 1 HP , installed in wells to 100 ft. deep</t>
  </si>
  <si>
    <t>Public Water Supply Wells, wells domestic water, pumps, 1/2 HP, 4" submersible, 1/2 HP , installed in wells to 100 ft. deep</t>
  </si>
  <si>
    <t>Public Water Supply Wells, wells domestic water, pumps, 25 H.P., 249 to 297 GPM, installed in wells, 6" submersible, 25' to 150' deep</t>
  </si>
  <si>
    <t>Public Water Supply Wells, wells domestic water, pumps, 3/4 HP, 4" submersible, 3/4 HP , installed in wells to 100 ft. deep</t>
  </si>
  <si>
    <t>Public Water Supply Wells, wells pumps, water system, with pressure control, deep well, jet, 42 gallon galvanized tank, 3/4 HP</t>
  </si>
  <si>
    <t>Railroad track, rail, 100 lb. prime grade</t>
  </si>
  <si>
    <t>Rip-rap and rock lining, random, broken stone, 100 lb. average, dumped</t>
  </si>
  <si>
    <t>Rip-rap and rock lining, random, broken stone, 18" minimum thickness, machine placed for slope protection, not grouted</t>
  </si>
  <si>
    <t>Rip-rap and rock lining, random, broken stone, 50 lb. average, dumped</t>
  </si>
  <si>
    <t>Rip-rap and rock lining, random, broken stone, machine placed for slope protection</t>
  </si>
  <si>
    <t>Rock bolts, drill hole for rock bolt, 1-3/4" diameter for 3/4" bolt, 5' long</t>
  </si>
  <si>
    <t>Pond Sealing or Lining - Soil Dispersant - 521B</t>
  </si>
  <si>
    <t>Prescribed Burning - 338</t>
  </si>
  <si>
    <t>Prescribed Grazing - 528A</t>
  </si>
  <si>
    <t>Pumping Plant for Water Control - 533</t>
  </si>
  <si>
    <t>Riser, Corrugated Plastic, 36-inch Dia., with 30-inch Dia. Stub, Antivortex and Trash Guard, 5-feet High, Installed</t>
  </si>
  <si>
    <t>Backfill, structural, sand and gravel, 105 H.P. dozer, 50' haul, no compaction</t>
  </si>
  <si>
    <t>Backfill, structural, sand and gravel, 105 H.P. dozer, 300' haul, no compaction</t>
  </si>
  <si>
    <t>Backfill, structural, sand and gravel, 200 H.P. dozer, 50' haul, no compaction</t>
  </si>
  <si>
    <t>Backfill, structural, sand and gravel, 200 H.P. dozer, 300' haul, no compaction</t>
  </si>
  <si>
    <t>Concrete in Place, concrete forms, walls, modular prefabricated plywood, over 8' to 16' high, 4 use per month, includes erecting, bracing, stripping and cleaning</t>
  </si>
  <si>
    <t>Selective metals demolition, manufactured or fabricated specialty item, 41 - 80 lb, remove whole or cut up into smaller pieces, excl shoring, bracing, cutting, loading, hauling, dumping</t>
  </si>
  <si>
    <t>Selective metals demolition, manufactured or fabricated specialty item, 501 - 1000 lb, remove whole or cut up into smaller pieces, excl shoring, bracing, cutting, loading, hauling, dumping</t>
  </si>
  <si>
    <t>Selective metals demolition, manufactured or fabricated specialty item, 81 - 120 lb, remove whole or cut up into smaller pieces, excl shoring, bracing, cutting, loading, hauling, dumping</t>
  </si>
  <si>
    <t>Selective tree and shrub removal, selective clearing brush mowing, heavy density, tractor with rotary mower, excludes removal offsite</t>
  </si>
  <si>
    <t>Selective tree and shrub removal, selective clearing brush mowing, light density, tractor with rotary mower, excludes removal offsite</t>
  </si>
  <si>
    <t>Selective tree and shrub removal, selective clearing brush mowing, medium density, tractor with rotary mower, excludes removal offsite</t>
  </si>
  <si>
    <t>Selective tree and shrub removal, selective clearing brush, light clearing, with dozer and brush rake, excludes removal offsite</t>
  </si>
  <si>
    <t>Selective tree and shrub removal, selective clearing brush, medium clearing, to 4" diameter, with dozer and brush rake, excludes removal offsite</t>
  </si>
  <si>
    <t>Smooth hi-tensile wire</t>
  </si>
  <si>
    <t>Sodding, bent grass sod, on level ground, 1000 S.F. or less</t>
  </si>
  <si>
    <t>Sodding, bluegrass sod, on level ground, 1000 S.F.</t>
  </si>
  <si>
    <t>sq.ft.</t>
  </si>
  <si>
    <t>cy</t>
  </si>
  <si>
    <t>Mobiliztion/Demob.</t>
  </si>
  <si>
    <t>Metal Building (RS Means)</t>
  </si>
  <si>
    <t>sq.ft</t>
  </si>
  <si>
    <t>Epoxy Coating</t>
  </si>
  <si>
    <t>prefab shed</t>
  </si>
  <si>
    <t>flexible membrane liner - rubber</t>
  </si>
  <si>
    <t>Geo Membrane Liner</t>
  </si>
  <si>
    <t>modular block walls2X2X6</t>
  </si>
  <si>
    <t>lin ft</t>
  </si>
  <si>
    <t>unreinforced concrete</t>
  </si>
  <si>
    <t>tank support pads</t>
  </si>
  <si>
    <t>block placement</t>
  </si>
  <si>
    <t>tank placement</t>
  </si>
  <si>
    <t>Unreinforcd concrete - operational pad</t>
  </si>
  <si>
    <t>roof materials</t>
  </si>
  <si>
    <t>water stop</t>
  </si>
  <si>
    <t>cutting concrete</t>
  </si>
  <si>
    <t>flexible membrane liner</t>
  </si>
  <si>
    <t>Sq.Ft.</t>
  </si>
  <si>
    <t>Sand, compacted</t>
  </si>
  <si>
    <t>Concrete Curb</t>
  </si>
  <si>
    <t>Curbing - 2 foot</t>
  </si>
  <si>
    <t>Reinforced Concrete</t>
  </si>
  <si>
    <t>Mulch, straw</t>
  </si>
  <si>
    <t>Nesting Structures</t>
  </si>
  <si>
    <t>pipe 1 1/4" with accessories/fittings</t>
  </si>
  <si>
    <t>pipe 2" PE, 100 psi, including fittings</t>
  </si>
  <si>
    <t>pipe 2.5"</t>
  </si>
  <si>
    <t>Pipe backflow RPZ valve &amp; fittings</t>
  </si>
  <si>
    <t>pipe shut off ball valve above ground with protection</t>
  </si>
  <si>
    <t>pipe shut off ball valves with protection &amp; extension for shallow buried pipe.</t>
  </si>
  <si>
    <t>pipe shut off ball valves with protection &amp; extension, buried below frost line</t>
  </si>
  <si>
    <t>pipeline air vents for shallow buried pipe</t>
  </si>
  <si>
    <t>Post planting weed control</t>
  </si>
  <si>
    <t>Pump and pressure tank for well, 1/2 HP submersible, installed</t>
  </si>
  <si>
    <t>Pump and pressure tank for well, 3/4 HP submersible, installed</t>
  </si>
  <si>
    <t>Rebar, stick #4 (1/2" bar) in 20 ft pieces</t>
  </si>
  <si>
    <t>Sand</t>
  </si>
  <si>
    <t>Sand, Compacted in place</t>
  </si>
  <si>
    <t>small grains seed</t>
  </si>
  <si>
    <t>bu</t>
  </si>
  <si>
    <t>soda ash</t>
  </si>
  <si>
    <t>Sodding, includes labor and materials, RS Means</t>
  </si>
  <si>
    <t>Sodium bentonite</t>
  </si>
  <si>
    <t>sorghum, sudan or sudax seed</t>
  </si>
  <si>
    <t>Sprinkler heads for irrigation systems</t>
  </si>
  <si>
    <t>Sprinkler/pressure regulators replacement package from local dealer</t>
  </si>
  <si>
    <t>L.S.</t>
  </si>
  <si>
    <t>Riser and offset pipe along with 30 feet of pipe underfill</t>
  </si>
  <si>
    <t>Riser and offset pipe along with 50 feet of pipe underfill</t>
  </si>
  <si>
    <t>Riser and offset pipe along with 130 feet of pipe underfill</t>
  </si>
  <si>
    <t>Access Control</t>
  </si>
  <si>
    <t>Access Road</t>
  </si>
  <si>
    <t>Agrichemical Handling Facility</t>
  </si>
  <si>
    <t>Alley Cropping</t>
  </si>
  <si>
    <t>Animal Mortality Facility</t>
  </si>
  <si>
    <t>Animal Trails and Walkways</t>
  </si>
  <si>
    <t>Aquaculture Ponds</t>
  </si>
  <si>
    <t>Brush Management</t>
  </si>
  <si>
    <t>Clearing and Snagging</t>
  </si>
  <si>
    <t>Composting Facility</t>
  </si>
  <si>
    <t>Conservation Cover</t>
  </si>
  <si>
    <t>Constructed Wetland</t>
  </si>
  <si>
    <t>Contour Buffer Strips</t>
  </si>
  <si>
    <t>Contour Farming</t>
  </si>
  <si>
    <t>Cover Crop</t>
  </si>
  <si>
    <t>Critical Area Planting</t>
  </si>
  <si>
    <t>Deep Tillage</t>
  </si>
  <si>
    <t>Dike</t>
  </si>
  <si>
    <t>Diversion</t>
  </si>
  <si>
    <t>Early Successional Habitat Development/Management</t>
  </si>
  <si>
    <t>Field Border</t>
  </si>
  <si>
    <t>Filter Strip</t>
  </si>
  <si>
    <t>Firebreak</t>
  </si>
  <si>
    <t>Fish Raceway or Tank</t>
  </si>
  <si>
    <t>Forage Harvest Management</t>
  </si>
  <si>
    <t>Forest Stand Improvement</t>
  </si>
  <si>
    <t>Grassed Waterway</t>
  </si>
  <si>
    <t>Heavy Use Area Protection</t>
  </si>
  <si>
    <t>Hedgerow Planting</t>
  </si>
  <si>
    <t>Herbaceous Weed Control</t>
  </si>
  <si>
    <t>Herbaceous Wind Barriers</t>
  </si>
  <si>
    <t>Irrigation System, Sprinkler</t>
  </si>
  <si>
    <t>Irrigation System, Surface and Subsurface</t>
  </si>
  <si>
    <t>Irrigation Water Management</t>
  </si>
  <si>
    <t>Land Reclamation, Abandoned Mined Land</t>
  </si>
  <si>
    <t>Land Reclamation, Currently Mined Land</t>
  </si>
  <si>
    <t>Land Smoothing</t>
  </si>
  <si>
    <t>Lined Waterway or Outlet</t>
  </si>
  <si>
    <t>Mine Shaft and Adit Closing</t>
  </si>
  <si>
    <t>Mulching</t>
  </si>
  <si>
    <t>Nutrient Management</t>
  </si>
  <si>
    <t>Obstruction Removal</t>
  </si>
  <si>
    <t>Open Channel</t>
  </si>
  <si>
    <t>Pond</t>
  </si>
  <si>
    <t>Pond Sealing or Lining - Bentonite Treatment</t>
  </si>
  <si>
    <t xml:space="preserve">Pond Sealing or Lining - Flexible Membrane </t>
  </si>
  <si>
    <t>Pond Sealing or Lining - Soil Dispersant</t>
  </si>
  <si>
    <t>Prescribed Burning</t>
  </si>
  <si>
    <t>Prescribed Grazing</t>
  </si>
  <si>
    <t>Pumping Plant</t>
  </si>
  <si>
    <t>Recreation Land Grading and Shaping</t>
  </si>
  <si>
    <t>Residue Management, Ridge Till</t>
  </si>
  <si>
    <t>Residue Management, Seasonal</t>
  </si>
  <si>
    <t>Restoration and Management of Declining Habitats</t>
  </si>
  <si>
    <t>Riparian Herbaceous Cover</t>
  </si>
  <si>
    <t>Roof Runoff Structure</t>
  </si>
  <si>
    <t>Seasonal High Tunnel System for Crops</t>
  </si>
  <si>
    <t>Sediment Basin</t>
  </si>
  <si>
    <t>Shallow Water Development and Management</t>
  </si>
  <si>
    <t>Spring Development</t>
  </si>
  <si>
    <t>Stream Crossing</t>
  </si>
  <si>
    <t>Stream Habitat Improvement and Management</t>
  </si>
  <si>
    <t>Streambank and Shoreline Protection</t>
  </si>
  <si>
    <t>Stripcropping</t>
  </si>
  <si>
    <t>Structure for Water Control</t>
  </si>
  <si>
    <t>Subsurface Drain</t>
  </si>
  <si>
    <t>Surface Drainage, Field Ditch</t>
  </si>
  <si>
    <t>Surface Drainage, Main or Lateral</t>
  </si>
  <si>
    <t>Terrace</t>
  </si>
  <si>
    <t>Tree/Shrub Establishment</t>
  </si>
  <si>
    <t>Tree/Shrub Pruning</t>
  </si>
  <si>
    <t>Underground Outlet</t>
  </si>
  <si>
    <t>Upland Wildlife Habitat Management</t>
  </si>
  <si>
    <t>Vegetated Treatment Area</t>
  </si>
  <si>
    <t>Vegetative Barrier</t>
  </si>
  <si>
    <t>Waste Storage Facility</t>
  </si>
  <si>
    <t>Waste Transfer</t>
  </si>
  <si>
    <t>Water and Sediment Control Basin (WASCOB)</t>
  </si>
  <si>
    <t>Water Well</t>
  </si>
  <si>
    <t>Watering Facility</t>
  </si>
  <si>
    <t>Wetland Creation</t>
  </si>
  <si>
    <t>Wetland Enhancement</t>
  </si>
  <si>
    <t>Wetland Restoration</t>
  </si>
  <si>
    <t>Wetland Wildlife Habitat Management</t>
  </si>
  <si>
    <t>Windbreak/Shelterbelt Establishment</t>
  </si>
  <si>
    <t>Windbreak/Shelterbelt Renovation</t>
  </si>
  <si>
    <t>Riser and offset pipe along with 30 feet of pipe under fill</t>
  </si>
  <si>
    <t>Earthfill with small dozer</t>
  </si>
  <si>
    <t>cu yd</t>
  </si>
  <si>
    <t>Seeding and mulching</t>
  </si>
  <si>
    <t>1000sq ft</t>
  </si>
  <si>
    <t>Install pipe with small track hoe</t>
  </si>
  <si>
    <t>Riser and offset pipe along with 50 feet of pipe under fill</t>
  </si>
  <si>
    <t>Riser and offset pipe along with 130 feet of pipe under fill</t>
  </si>
  <si>
    <t>X</t>
  </si>
  <si>
    <t>X draft done</t>
  </si>
  <si>
    <t>Conifer seedlings</t>
  </si>
  <si>
    <t>Mowing existing vegetation prior to herbicide application, includes operator</t>
  </si>
  <si>
    <t>Broadcast herbicide application (pre/post emergence) tractor plus herbicide tank/booms, includes operator</t>
  </si>
  <si>
    <t>Tree planter, includes tractor and operator</t>
  </si>
  <si>
    <t>Herbicide application strip treatments for pre/post emergence, includes operator</t>
  </si>
  <si>
    <t>Herbicide</t>
  </si>
  <si>
    <t>Herbicide by the acre</t>
  </si>
  <si>
    <t>Trees, ave 4'; 3-4 yr old transplants</t>
  </si>
  <si>
    <t>Shrubs, bare root seedlings</t>
  </si>
  <si>
    <t>Tree Protectors</t>
  </si>
  <si>
    <t>Tree Protector installation</t>
  </si>
  <si>
    <t>Weed Barrier, large for trees</t>
  </si>
  <si>
    <t>Weed Barrier, small for shrubs</t>
  </si>
  <si>
    <t>Seed, Wildflower mix, Michigan Pollinators mix</t>
  </si>
  <si>
    <t>Seed, Indian Grass</t>
  </si>
  <si>
    <t>Mowing, post planting mechnical weed control</t>
  </si>
  <si>
    <t>Tree planting, hand work for deep tap root trees, includes site prep</t>
  </si>
  <si>
    <t>Install tree protectors and weed barriers on transplants</t>
  </si>
  <si>
    <t>Delivery, shipping on tree, shrub, and seed materials 26% of materials or min of $15 + tax</t>
  </si>
  <si>
    <t>straw and netting blanket, 80-90 sq yd roll</t>
  </si>
  <si>
    <t>Fertilizer</t>
  </si>
  <si>
    <t>Grade and shape site with farm equipment</t>
  </si>
  <si>
    <t>Hand work, spread and staple straw and netting blanket</t>
  </si>
  <si>
    <t>sq yd</t>
  </si>
  <si>
    <t>Hydro or air seeding, custom contractor, includes material, installed</t>
  </si>
  <si>
    <t>Add mulch to Hydro or Air seeding, custom contractor</t>
  </si>
  <si>
    <t>Installation Cost Estimate</t>
  </si>
  <si>
    <t>Installation notes / description:</t>
  </si>
  <si>
    <t>Other cost considerations:</t>
  </si>
  <si>
    <t>Operation and Maintenance:</t>
  </si>
  <si>
    <t>Subtotal Materials</t>
  </si>
  <si>
    <t>Subtotal Equipment</t>
  </si>
  <si>
    <t>Customer's Costs for Permits, Fees, Surveys, &amp; Evaluations for Construction:</t>
  </si>
  <si>
    <t>Subtotal Installation</t>
  </si>
  <si>
    <t>This total includes a cost contingency of:</t>
  </si>
  <si>
    <t>Contingency:</t>
  </si>
  <si>
    <t>Total Estimated Cost:</t>
  </si>
  <si>
    <t>Other Cost Consideration Comments:</t>
  </si>
  <si>
    <t>Culipacker</t>
  </si>
  <si>
    <t>Planting, custom hire warm season grass drill, including mobilization &amp; operator</t>
  </si>
  <si>
    <t>Sodding, inlcudes labor, and equipment; custom hire</t>
  </si>
  <si>
    <t>Site preparation, hand tools and labor</t>
  </si>
  <si>
    <t>Site preparation, shaping with on farm equipment and/or skid steer</t>
  </si>
  <si>
    <t>Hydroseeder, includes materials and labor</t>
  </si>
  <si>
    <t>Mowing for mechincal weed control</t>
  </si>
  <si>
    <t>Foregone income, loss of net returns per acre</t>
  </si>
  <si>
    <t>Chisel Plow including operator</t>
  </si>
  <si>
    <t>Disking including operator</t>
  </si>
  <si>
    <t>Drill - No Till (15 ft) including operator</t>
  </si>
  <si>
    <t>Drill press wheels (20 ft) including operator</t>
  </si>
  <si>
    <t>Drill rental, warm season drill, including delivery and pick up, including operator</t>
  </si>
  <si>
    <t>Drill rental, warm season drill including operator</t>
  </si>
  <si>
    <t>Seed, Wildflowers, Michigan Pollinator's Mix</t>
  </si>
  <si>
    <t>x</t>
  </si>
  <si>
    <t xml:space="preserve">Weed Control for trees - Mechanical </t>
  </si>
  <si>
    <t>Labor, layout and prep for tree/shrub planting</t>
  </si>
  <si>
    <t>Foregone income net returns per acre for land taken out of production</t>
  </si>
  <si>
    <t>Tree/Shrub Planting hand deep tap root transplants (4'), includes site prep</t>
  </si>
  <si>
    <t>Labor, install tree protector and barrier on 3-4 yr old transplants</t>
  </si>
  <si>
    <t>Tree/Shrub shipping 26% of cost or $15 + tax minimum per order</t>
  </si>
  <si>
    <t>Trees, Conifer Seedlings</t>
  </si>
  <si>
    <t>Shrubs small quantities</t>
  </si>
  <si>
    <t>Shrubs larger quantities</t>
  </si>
  <si>
    <t>Trees small</t>
  </si>
  <si>
    <t>Tree Seed, oak, hickory, &amp; walnut</t>
  </si>
  <si>
    <t>Tree seed, maple</t>
  </si>
  <si>
    <t>Tree Planting-Machine, tree seeds</t>
  </si>
  <si>
    <t>mobilization</t>
  </si>
  <si>
    <t>Trees deciduous, bareroot seedlings</t>
  </si>
  <si>
    <t>Pest protection, tree protectors (tubes, plastic rodent protectors, plastic mesh, wire mesh)</t>
  </si>
  <si>
    <t>Labor, install tree protector/ barrier, small trees, seedlings, etc .</t>
  </si>
  <si>
    <t>Tree/Shrub Planting, includes site prep, hand and/or machine</t>
  </si>
  <si>
    <t>Trees, conifer Small</t>
  </si>
  <si>
    <t>Herbaceous Weed Control (Ac.)</t>
  </si>
  <si>
    <t>Glyphosate</t>
  </si>
  <si>
    <t>Glyphosate in small quantity containers</t>
  </si>
  <si>
    <t>Quad-mounted Sparyer</t>
  </si>
  <si>
    <t>Mowing, tractor and flail or brushhog</t>
  </si>
  <si>
    <t>Labor, hand tools</t>
  </si>
  <si>
    <t>Labor, site analysis and evaluation</t>
  </si>
  <si>
    <t>Pipe, 1 1/4 inch PE</t>
  </si>
  <si>
    <t>RPZ backflow prevention valve &amp; fittings</t>
  </si>
  <si>
    <t>Labor, hand work</t>
  </si>
  <si>
    <t>Pipeline Air Vents</t>
  </si>
  <si>
    <t>Trencher includes operator</t>
  </si>
  <si>
    <t>Pipe laying and making connections, labor</t>
  </si>
  <si>
    <t>Backhoe includes operator, 4 ft trench for pipeline</t>
  </si>
  <si>
    <t>Backhoe includes operator</t>
  </si>
  <si>
    <t>Pipe, Shut Off Valve</t>
  </si>
  <si>
    <t>Pipe, Shut Off Valve with protection and extension</t>
  </si>
  <si>
    <t>Water storage tank, 1500 gallon poly</t>
  </si>
  <si>
    <t>Lime</t>
  </si>
  <si>
    <t>Organic Fertilizer</t>
  </si>
  <si>
    <t>Seed, Organic Sorghum, Sudan, or Sudax</t>
  </si>
  <si>
    <t>Seed, Organic annual brasica or rape</t>
  </si>
  <si>
    <t>Seed, Organic Forage Chicory</t>
  </si>
  <si>
    <t>Seed, Organic small grains</t>
  </si>
  <si>
    <t>Drill with tractor and operator</t>
  </si>
  <si>
    <t>Mowing, weed control includes operator</t>
  </si>
  <si>
    <t>Broadcast seeder includes operator</t>
  </si>
  <si>
    <t>Disking includes operator</t>
  </si>
  <si>
    <t>Chisel Plow inlcudes operator</t>
  </si>
  <si>
    <t>Cultipacker includes operator</t>
  </si>
  <si>
    <t>Soil test</t>
  </si>
  <si>
    <t>Soil Sampling by hour</t>
  </si>
  <si>
    <t>Soil Sampling by acre</t>
  </si>
  <si>
    <t>Seed, sorghum, sudan, or sudaz</t>
  </si>
  <si>
    <t>Seed, annual brasica or rape</t>
  </si>
  <si>
    <t>Seed, small grains</t>
  </si>
  <si>
    <t>Foregone Income, loss of forage in first year of new planting</t>
  </si>
  <si>
    <t>Drill, warm season grass, includes operator</t>
  </si>
  <si>
    <t>Seed, Clover</t>
  </si>
  <si>
    <t>Seed, Organic Orchardgrass</t>
  </si>
  <si>
    <t>Seed, Organic Clover</t>
  </si>
  <si>
    <t>Seed, Organic Alfalfa</t>
  </si>
  <si>
    <t>Seed, Organic Perennial Ryegrass</t>
  </si>
  <si>
    <t>Drill, No-Till with tractor and operator</t>
  </si>
  <si>
    <t>Vegetated Treatment Area (Ac.)</t>
  </si>
  <si>
    <t xml:space="preserve">CY </t>
  </si>
  <si>
    <t>Seeding and mulching, includes seedbed prep, installed</t>
  </si>
  <si>
    <t>Concrete, unreinforced, 5" formed in place, installed</t>
  </si>
  <si>
    <t>Concrete Walls, 2' reinforced, formed in place with footing</t>
  </si>
  <si>
    <t>Aggregate, 6A, installed</t>
  </si>
  <si>
    <t>Dozer, medium includes operator</t>
  </si>
  <si>
    <t>Manure Test</t>
  </si>
  <si>
    <t>Soil Sampling</t>
  </si>
  <si>
    <t>Calibration of application equipment</t>
  </si>
  <si>
    <t>Gathering &amp; analysis of application data and documentation of actions</t>
  </si>
  <si>
    <t>Waste Transfer (No.)</t>
  </si>
  <si>
    <t>Septic Tank, 1000 gal reception tank</t>
  </si>
  <si>
    <t>Transfer Pump, sewage pump with floats, installed</t>
  </si>
  <si>
    <t>Pump system alarm for overflow or pump failure, installed</t>
  </si>
  <si>
    <t>Excavation, installation of septic tank and gravel backfill</t>
  </si>
  <si>
    <t>l.s.</t>
  </si>
  <si>
    <t>Dozer, small</t>
  </si>
  <si>
    <t>Reception tank, concrete 8 ft x 20 ft x 8 ft installed</t>
  </si>
  <si>
    <t>Pipe, 30" smooth walled pipe dual-wall PE</t>
  </si>
  <si>
    <t>Reception tank, concrete 14 ft x 14 ft x 8 ft installed</t>
  </si>
  <si>
    <t>Transfer Pump, Houle type - centrifugal type, installed</t>
  </si>
  <si>
    <t>Pipe, 3" PVC installed</t>
  </si>
  <si>
    <t>Pipe, 8" PVC installed</t>
  </si>
  <si>
    <t>Pipe, 4" PVC installed</t>
  </si>
  <si>
    <t>Conveyor belt system, delivered and installed</t>
  </si>
  <si>
    <t>Conveyor belt system building, lean-to structure 10 ft x 10 ft metal walls installed</t>
  </si>
  <si>
    <t>Concrete, 5" flat work installed</t>
  </si>
  <si>
    <t>Sand, compacted installed</t>
  </si>
  <si>
    <t>Labor installation of conveyor system</t>
  </si>
  <si>
    <t>ls</t>
  </si>
  <si>
    <t>mobilization, small crane</t>
  </si>
  <si>
    <t>Concrete, reinforced installed basin with 2 ft concrete divider down center</t>
  </si>
  <si>
    <t>Pipe, 6" PVC installed</t>
  </si>
  <si>
    <t>Septic Tank, 2000 gal reception tank</t>
  </si>
  <si>
    <t>Pipe, 2" PVC installed</t>
  </si>
  <si>
    <t>Catch basin, 36" with slotted cover</t>
  </si>
  <si>
    <t>Pipe, 12" smooth walled pipe dual-wall PE</t>
  </si>
  <si>
    <t>Pipe, 10" smooth walled pipe dual-wall PE</t>
  </si>
  <si>
    <t>Pipe, 1.5" with fittings installed</t>
  </si>
  <si>
    <t>Pump, 1/2 HP cast iron water pump</t>
  </si>
  <si>
    <t>Plumber and/or Electrician</t>
  </si>
  <si>
    <t>Plate cooler waste water tank building 8 ft x 8 ft lean-to addition</t>
  </si>
  <si>
    <t>Drill - No Till including operator</t>
  </si>
  <si>
    <t>Drill press wheels  including operator</t>
  </si>
  <si>
    <t>Drill rental, warm season drill, including delivery and pick up, including operator, $15 per ac with minumun $125 per job</t>
  </si>
  <si>
    <t>Sprayer including operator</t>
  </si>
  <si>
    <t>Stone, #57</t>
  </si>
  <si>
    <t>Rebar</t>
  </si>
  <si>
    <t>Pipe, tile 6" PVC</t>
  </si>
  <si>
    <t>Concrete, bulk</t>
  </si>
  <si>
    <t>tree planting (hand)</t>
  </si>
  <si>
    <t>Attend CD or MSUE Tree Planting Wkshp</t>
  </si>
  <si>
    <t>tree planting (mechanical)</t>
  </si>
  <si>
    <t>trees,  bareroot conifer seedlings</t>
  </si>
  <si>
    <t>prefab shed installed 12' x 12'</t>
  </si>
  <si>
    <t>mix load pad - reinforced concrete 14' x 20' - 6" concrete - includes sand base</t>
  </si>
  <si>
    <t>tank support pads wood and gravel/sand mix</t>
  </si>
  <si>
    <t>tank placement backhoe - small</t>
  </si>
  <si>
    <t>Pipe, Single Wall CPT, 8-inch diameter</t>
  </si>
  <si>
    <t>Trencher, 4 ft deep trench, backfill, and labor</t>
  </si>
  <si>
    <t>grade and shape, small dozer</t>
  </si>
  <si>
    <t>Pipe, Dual Wall CPT, 10-inch diameter</t>
  </si>
  <si>
    <t>Pipe, Corrugated Metal with rodent guard, 12-inch diameter, Incl. Fittings, Installed</t>
  </si>
  <si>
    <t>Rock Riprap, D-50 = 4 inch angular rock, Installed</t>
  </si>
  <si>
    <t>Mobilization or demobilization, dozer, loader, backhoe or excavator, etc, 70 H.P. to 150 H.P., up to 50 miles round trip</t>
  </si>
  <si>
    <t>015436500020</t>
  </si>
  <si>
    <t>015436500100</t>
  </si>
  <si>
    <t>Mobilization or demobilization, dozer, loader, backhoe or excavator, etc, above 150 H.P., up to 50 miles round trip</t>
  </si>
  <si>
    <t>Mobilization, other larger equipment, cranes, etc. round trip</t>
  </si>
  <si>
    <t>015436500900</t>
  </si>
  <si>
    <t>015436501000</t>
  </si>
  <si>
    <t>Mobilization or demobilization, Shovel or Dragline, 3/4 CY, round trip</t>
  </si>
  <si>
    <t>Mobilization or demobilization, Shovel or Dragline, 1-1/2 CY, round trip</t>
  </si>
  <si>
    <t>Mobilization or demobilization, equipment on flatbed trailer behind pickup truck, round trip</t>
  </si>
  <si>
    <t>Mobilization or demobilization, small equipment, placed in rear of, or towed by pickup, round trip</t>
  </si>
  <si>
    <t>Forest Trails and Landings</t>
  </si>
  <si>
    <t>Forage and Biomass Planting</t>
  </si>
  <si>
    <t>Solid/Liquid Waste Separation Facility</t>
  </si>
  <si>
    <t>flexible membrane liner, installed</t>
  </si>
  <si>
    <t>flexible membrane liner - rubber, installed</t>
  </si>
  <si>
    <t>modular block walls 2X2X6, delivered</t>
  </si>
  <si>
    <t>prefab shed, 12' x 12', installed</t>
  </si>
  <si>
    <t>roof materials, installed</t>
  </si>
  <si>
    <t>tank support pads, wood with gravel/sand mix base, installed</t>
  </si>
  <si>
    <t>Management, assessment/evaluation of data</t>
  </si>
  <si>
    <t>labor, field assessment, gathering pest information</t>
  </si>
  <si>
    <t>Management, meetings with consultants and making decisions</t>
  </si>
  <si>
    <t>Seed, CRP Mix, 23% Forbs, 77% Grasses</t>
  </si>
  <si>
    <t>Soil Test, regular field soil test</t>
  </si>
  <si>
    <t>Soil Test, regular field plus Zinc-Manganese (Zn,Mn)</t>
  </si>
  <si>
    <t xml:space="preserve">Soil Test, regular field plus 4, Zn,Mn,Cu, Fe </t>
  </si>
  <si>
    <t>Soil Test, Saturated Media Test, Greenhousee</t>
  </si>
  <si>
    <t>Compost Analysis</t>
  </si>
  <si>
    <t>Plant Tissue Analysis Field Crop &amp; Vegetalble tissue</t>
  </si>
  <si>
    <t>Plant Tissue Analysis Fruit Trees, grapes, strawberries, blueberries, and rasperries</t>
  </si>
  <si>
    <t>Mowing, Flail or Bush Hogging, includes operator</t>
  </si>
  <si>
    <t>Herbicide application strip treatments for pre/post emergence, includes herbicide, spayer, &amp; operator</t>
  </si>
  <si>
    <t>Soil Test, Pre-sidedress Nitrate-N</t>
  </si>
  <si>
    <t>Herbicide, Burndown, glyphosate</t>
  </si>
  <si>
    <t>Herbicide for forest site prep to plant red pine or aspen or brush management for forest openings, Garlon, Escort XP, Oust XP, or other, materials only</t>
  </si>
  <si>
    <t>Herbicide for brush management on pasture land, Milestone, Crossbow, or other; materials only</t>
  </si>
  <si>
    <t>install tree/shrub protectors, root stock, seedlings, and small trees/shrubs</t>
  </si>
  <si>
    <t>Install tree protectors and weed barriers on larger transplants</t>
  </si>
  <si>
    <t>seed, annual ryegrass</t>
  </si>
  <si>
    <t>Fence, Wrap around insul. 18"</t>
  </si>
  <si>
    <t>Labor, Calibration of application equipment</t>
  </si>
  <si>
    <t>Concrete, 6 ft walls and footings, installed</t>
  </si>
  <si>
    <t>Concrete Curb, installed</t>
  </si>
  <si>
    <t xml:space="preserve">Concrete, 6" reinforces flat work over 4" compacted sand, installed </t>
  </si>
  <si>
    <t>Concrete Walls, 2' reinforced, formed in place with footing, installed</t>
  </si>
  <si>
    <t>Drill includes operator</t>
  </si>
  <si>
    <t>Epoxy Coating impervious coating on concrete surface, installed</t>
  </si>
  <si>
    <t>Grade and shape site with farm equipment includes operator</t>
  </si>
  <si>
    <t>Gravel, bank run, delivered</t>
  </si>
  <si>
    <t>Structure for water control, in-line 6-foot tall with 15-inch diameter inlet/outlet pipe, installed</t>
  </si>
  <si>
    <t>Pipe, 15-inch diameter dual wall PE</t>
  </si>
  <si>
    <t>Geotextile, class I, non-woven, installed</t>
  </si>
  <si>
    <t>Sand, 2NS sand, installed</t>
  </si>
  <si>
    <t>Structure for water control, in-line 6-foot tall with 12-inch diameter inlet/outlet pipe, installed</t>
  </si>
  <si>
    <t>Pipe, 12-inch diameter dual wall PE</t>
  </si>
  <si>
    <t>Gravel, pea gravel or WCS backfill, installed</t>
  </si>
  <si>
    <t>grade and shape small dozer and/or track hoe includes operator</t>
  </si>
  <si>
    <t>Reinforced Concrete, 6" includes compacted sand base, installed</t>
  </si>
  <si>
    <t>Reinforced Concrete, 8" includes compacted sand base, installed</t>
  </si>
  <si>
    <t>Rock, D50 = 6", Installed</t>
  </si>
  <si>
    <t>livestock 2 AU of goats, trained herd/flock 16 goats at $7.50/AU/mo</t>
  </si>
  <si>
    <t>reinforced concrete installed 12' x 20 -(6" concrete) w/ curb</t>
  </si>
  <si>
    <t>Sediment Control</t>
  </si>
  <si>
    <t>Job</t>
  </si>
  <si>
    <t>Rock, D50 = 12", Installed</t>
  </si>
  <si>
    <t>Trees, Conifer seedlings</t>
  </si>
  <si>
    <t>Seed, Fertilizer, and Mulch, includes seedbed prep, installed in areas disturbed during construction</t>
  </si>
  <si>
    <t>Seeding and mulching, installed</t>
  </si>
  <si>
    <t>Site preparation, shaping with on farm equipment and/or skid steer, includes operator</t>
  </si>
  <si>
    <t>Track hoe with operator</t>
  </si>
  <si>
    <t>Front End Loader with operator</t>
  </si>
  <si>
    <t>Gravel, Granular backfill - installed</t>
  </si>
  <si>
    <t>Grade and shape small dozer and/or track hoe includes operator</t>
  </si>
  <si>
    <t>Seasonal High Tunnel Kit</t>
  </si>
  <si>
    <t>Seasonal High Tunnel End Package</t>
  </si>
  <si>
    <t>Lumber, Seasonal Tunnel Baseboards</t>
  </si>
  <si>
    <t>lin. Ft.</t>
  </si>
  <si>
    <t>Chainsaw, includes operator</t>
  </si>
  <si>
    <t>Rock, Aggregrate, 1 - 1/2" stone</t>
  </si>
  <si>
    <t>Gabions, Rock filled</t>
  </si>
  <si>
    <t>Management, Gathering &amp; analysis of application data and documentation of actions</t>
  </si>
  <si>
    <t>Herbicide (materials only)  by the acre</t>
  </si>
  <si>
    <t>Herbicide, for wetland applications</t>
  </si>
  <si>
    <t>Herbicide, for forest sites Chopper or other</t>
  </si>
  <si>
    <t>Pest protection for trees/shrubs, fabric weed barrier with staples</t>
  </si>
  <si>
    <t>Tree Fagging Tape - roll</t>
  </si>
  <si>
    <t>Fence, Three strand HT  - installed</t>
  </si>
  <si>
    <t>Fence, 'Energizer 110 volt unit, 3.00 joule</t>
  </si>
  <si>
    <t>Fence,  Energizer battery unit, dry cell 1.5 volt</t>
  </si>
  <si>
    <t>Pipe, 4" interceptor tile - CPT, perforated</t>
  </si>
  <si>
    <t>Spring box for Spring Development, installed</t>
  </si>
  <si>
    <t>Geo Membrane Liner, 25 mil restrictive barrier, installed</t>
  </si>
  <si>
    <t>Geo Membrane Liner,pond &amp; pit, installed</t>
  </si>
  <si>
    <t>Tractor with backhoe and bucket, includes operator</t>
  </si>
  <si>
    <t>Tractor with operator and fuel</t>
  </si>
  <si>
    <t>Trail and Walkway (Ft.)</t>
  </si>
  <si>
    <t>Gravel, installed</t>
  </si>
  <si>
    <t>Power Auger, post holes</t>
  </si>
  <si>
    <t>Carpenters, construction</t>
  </si>
  <si>
    <t>Wood Posts, 6"x6" treated, 12 ft long</t>
  </si>
  <si>
    <t>lf</t>
  </si>
  <si>
    <t>Decking and Top Rail Boards, 2"x6" treated</t>
  </si>
  <si>
    <t>Joists &amp; Beams</t>
  </si>
  <si>
    <t>Joists &amp; Beams, 2"x10" treated</t>
  </si>
  <si>
    <t>Railing and toe boards, 2"x4" treated</t>
  </si>
  <si>
    <t>Rail Cap Board, 2"x8" treated</t>
  </si>
  <si>
    <t>1/2"x10" Hex Bolts, Galv.</t>
  </si>
  <si>
    <t>1/2" ID Hex Nuts, Galv.</t>
  </si>
  <si>
    <t>1/2" ID Washers, Galv.</t>
  </si>
  <si>
    <t>1/2" ID Lock Washers, Galv.</t>
  </si>
  <si>
    <t>16d Spikes, Galv.</t>
  </si>
  <si>
    <t>10d Spikes, Galv.</t>
  </si>
  <si>
    <t>Concrete, Post Backfill</t>
  </si>
  <si>
    <t>Gravel, 22A Road Gravel</t>
  </si>
  <si>
    <t>Gravel, 6A unwashed stone</t>
  </si>
  <si>
    <t>Gravel, 22A Road Gravel by CY</t>
  </si>
  <si>
    <t>Gravel, 6A unwashed stone by CY</t>
  </si>
  <si>
    <t>Gravel, pea stone</t>
  </si>
  <si>
    <t>Gravel, pea stone by CY</t>
  </si>
  <si>
    <t>Concrete, 2 ft wall with 3 ft footer, installed</t>
  </si>
  <si>
    <t>Concrete 8" Curb, installed</t>
  </si>
  <si>
    <t>Concrete, 1 ft wall with 2' footer, installed</t>
  </si>
  <si>
    <t>Roof, post, rafters, &amp; metal roof pane, truss &lt; 60 ft wide, installed</t>
  </si>
  <si>
    <t>Pipe, Reinforced Concrete, Incl. Fittings, Installed</t>
  </si>
  <si>
    <t>Pipe, PVC, SCH-40, 8-inch or more, Incl. Fittings, Installed</t>
  </si>
  <si>
    <t>Rock Riprap, 8" to 12"</t>
  </si>
  <si>
    <t>Rock Riprap, 2" to 8"</t>
  </si>
  <si>
    <t>Stump and/or root wad</t>
  </si>
  <si>
    <t>Pipe, Dual Wall CPT 15-inch diameter w/ flared ends installed</t>
  </si>
  <si>
    <t>Seed, Fertilizer, and Mulch, includes seedbed prep by sq ft, installed in areas disturbed during construction</t>
  </si>
  <si>
    <t>Gutters w/ hangers - 1/2 round 8" PVC pipe (over 24 sq in), installed</t>
  </si>
  <si>
    <t>Gravel Fill for gutter trench, installed</t>
  </si>
  <si>
    <t>There may be some financial loss associated with implementing these practice/s.  There is cost uncertainty and the actual cost during construction can vary from this estimate.</t>
  </si>
  <si>
    <t>There may be a loss of net annual income associated with implementing this practice/s when the installation causes land to be taken out of production.  There may also be short term losses of net returns during implementation.  These costs are not included in this estimate.</t>
  </si>
  <si>
    <t>Opertion and Maintenance Costs are recurring costs necessary to keep the practice/s safe and in functioning as planned.  These costs are ongoing over the life of the practice and are not included in the estimate for installation.</t>
  </si>
  <si>
    <t>Implementation can change labor and equipment needs.   Purchasing new machinery needed to operate and maintain this practice are not included in this estimate.</t>
  </si>
  <si>
    <t>Gutter, downspouts PVC, installed</t>
  </si>
  <si>
    <t>Gutter, downspouts standard aluminum, installed</t>
  </si>
  <si>
    <t>Gutters w/hangers - standard aluminum, installed</t>
  </si>
  <si>
    <t>Soil</t>
  </si>
  <si>
    <t>Grade and shape site</t>
  </si>
  <si>
    <t>Trees, 1"-1.5" caliper, 3-6 ft height</t>
  </si>
  <si>
    <t>Tree planting, hand work for 1" or more caliper trees, includes site prep</t>
  </si>
  <si>
    <t>debris, removal of woody and other material with on site disposal</t>
  </si>
  <si>
    <t>irrigation of tree planting for establishment</t>
  </si>
  <si>
    <t>Pump, 1 hp manure pump, installed</t>
  </si>
  <si>
    <t>Pump and 10 hp diesel engine, 4" input, trash pump, installed</t>
  </si>
  <si>
    <t>Pump Suction line, 4", installed</t>
  </si>
  <si>
    <t>Pump battery and installation for trash pump, installed</t>
  </si>
  <si>
    <t>Earthfill, delivered to site</t>
  </si>
  <si>
    <t>Sand, drainfill, installed</t>
  </si>
  <si>
    <t>Pipe, 4 inch CPT with sock installed in shallow trench</t>
  </si>
  <si>
    <t>Flexible membrane liner seam sealing installed, includes labor</t>
  </si>
  <si>
    <t>Mulch, straw and netting blanket 80-90 sq yd roll</t>
  </si>
  <si>
    <t>Mulching, hay, straw, netting, blankets, or other similar materials, 1" deep, hand spread</t>
  </si>
  <si>
    <t xml:space="preserve">Mulch, Organic straw </t>
  </si>
  <si>
    <t>Mulching, power mulcher, includes operator</t>
  </si>
  <si>
    <t>Mulch, straw bales</t>
  </si>
  <si>
    <t>Erosion Control Blanket and staple and/or pegs</t>
  </si>
  <si>
    <t>Pipe, drain tubing 4" dia.</t>
  </si>
  <si>
    <t>Turf reinforecement</t>
  </si>
  <si>
    <t>Concrete, Unreinforcd concrete 6" over compacted sand, installed - operational pad</t>
  </si>
  <si>
    <t>concrete,unreinforced concrete 6" over compacted sand with curb, installed</t>
  </si>
  <si>
    <t>Concrete, unreinforced concrete 8" over compacted sand installed - operational pad</t>
  </si>
  <si>
    <t>concrete, unreinforced concrete, 8" flat work installed</t>
  </si>
  <si>
    <t>Fence, Clearing and Grubbing for Mine closing fence installation</t>
  </si>
  <si>
    <t>Pipe, Corrugated Plastic, 15" diameter w/ flared inlet, installed</t>
  </si>
  <si>
    <t>Pipe, Dual Wall CPT 15-inch diameter w/ flared ends, installed</t>
  </si>
  <si>
    <t>Pipe, Corrugated Plastic, 24" diameter drop, installed</t>
  </si>
  <si>
    <t>Rock, D50 = 6", 10 ton or less, Installed</t>
  </si>
  <si>
    <t>Pipe, Corrugated Plastic, 30 " diameter, installed</t>
  </si>
  <si>
    <t>Pipe, Corrugated Plastic, 42" diameter drop, installed</t>
  </si>
  <si>
    <t>Baffle for Grade Stab structure with 15" pipe</t>
  </si>
  <si>
    <t>Baffle for Grade Stab structure with 30" pipe</t>
  </si>
  <si>
    <t>Sand, backfill, delivered and installed</t>
  </si>
  <si>
    <t>Concrete Blocks 2'x2'x4', delivered and placed</t>
  </si>
  <si>
    <t>Concrete Blocks 2'x2'x6', delivered and placed</t>
  </si>
  <si>
    <t>Pipe, Corrugated Plastic, 15" diameter, installed</t>
  </si>
  <si>
    <t>Mulch netting</t>
  </si>
  <si>
    <t>Seed, fertilizer, and mulch without netting, icludes seedbed prep, installed</t>
  </si>
  <si>
    <t>Bentonite</t>
  </si>
  <si>
    <t>cu ft</t>
  </si>
  <si>
    <t>CostWorks 2011 - Cost Data for Engineers</t>
  </si>
  <si>
    <t>Zipcode adjustment to local costs</t>
  </si>
  <si>
    <t>CSI Number</t>
  </si>
  <si>
    <t>Daily Output</t>
  </si>
  <si>
    <t>Labor Hours</t>
  </si>
  <si>
    <t>Bare Mat.</t>
  </si>
  <si>
    <t>Bare Labor</t>
  </si>
  <si>
    <t>Bare Equip.</t>
  </si>
  <si>
    <t>Total Incl. O&amp;P</t>
  </si>
  <si>
    <t>Zip Code Prefix</t>
  </si>
  <si>
    <t>Type</t>
  </si>
  <si>
    <t>Release</t>
  </si>
  <si>
    <t>Note</t>
  </si>
  <si>
    <t>496 &amp; 498-499</t>
  </si>
  <si>
    <t>480, 483</t>
  </si>
  <si>
    <t>490, 491, 493-495</t>
  </si>
  <si>
    <t>492, 497</t>
  </si>
  <si>
    <t>481, 484-489</t>
  </si>
  <si>
    <t>statewide average used for Pmt sch development</t>
  </si>
  <si>
    <t>01211 650 0020</t>
  </si>
  <si>
    <t>Contingencies, at conceptual design stage</t>
  </si>
  <si>
    <t>Project</t>
  </si>
  <si>
    <t>20.0%</t>
  </si>
  <si>
    <t>Open</t>
  </si>
  <si>
    <t>U29</t>
  </si>
  <si>
    <t>01211 650 0050</t>
  </si>
  <si>
    <t>Contingencies, for estimate at conceptual schematic design stage</t>
  </si>
  <si>
    <t>15.0%</t>
  </si>
  <si>
    <t>U30</t>
  </si>
  <si>
    <t>01211 650 0100</t>
  </si>
  <si>
    <t>Contingencies, for estimate at preliminary working drawings stage (Design Development)</t>
  </si>
  <si>
    <t>10.0%</t>
  </si>
  <si>
    <t>U31</t>
  </si>
  <si>
    <t>01211 650 0150</t>
  </si>
  <si>
    <t>Contingencies, for estimate at final working drawings stage</t>
  </si>
  <si>
    <t>3.0%</t>
  </si>
  <si>
    <t>U32</t>
  </si>
  <si>
    <t>01543 650 0020</t>
  </si>
  <si>
    <t>U10980</t>
  </si>
  <si>
    <t>01543 650 0100</t>
  </si>
  <si>
    <t>Mobilization or demobilization, dozer, loader, backhoe or excavator, above 150 H.P., up to 50 miles</t>
  </si>
  <si>
    <t>B34K</t>
  </si>
  <si>
    <t>U10981</t>
  </si>
  <si>
    <t>01543 650 1100</t>
  </si>
  <si>
    <t>Mobilization or demobilization, delivery charge for small equipment, placed in rear of, or towed by pickup</t>
  </si>
  <si>
    <t>U10988</t>
  </si>
  <si>
    <t>01543 650 1150</t>
  </si>
  <si>
    <t>Mobilization or demobilization, delivery charge for equipment, on flatbed trailer behind pickup truck</t>
  </si>
  <si>
    <t>U10989</t>
  </si>
  <si>
    <t>02321 910 0120</t>
  </si>
  <si>
    <t>Subsurface investigation, test pits, loader/backhoe, light soil</t>
  </si>
  <si>
    <t>U5337</t>
  </si>
  <si>
    <t>02321 910 0130</t>
  </si>
  <si>
    <t>Subsurface investigation, test pits, loader/backhoe, heavy soil</t>
  </si>
  <si>
    <t>U5339</t>
  </si>
  <si>
    <t>02411 317 5200</t>
  </si>
  <si>
    <t>Demolish, remove pavement &amp; curb, remove concrete, mesh reinforced, to 6" thick, hydraulic hammer, excludes hauling and disposal fees</t>
  </si>
  <si>
    <t>U5409</t>
  </si>
  <si>
    <t>02411 317 5300</t>
  </si>
  <si>
    <t>U5410</t>
  </si>
  <si>
    <t>02411 333 4300</t>
  </si>
  <si>
    <t>U5469</t>
  </si>
  <si>
    <t>03051 320 0320</t>
  </si>
  <si>
    <t>Concrete surface treatment, bonding agent, epoxy resin, 80 S.F. per gallon, 4 gallon case, includes material only</t>
  </si>
  <si>
    <t>U23055</t>
  </si>
  <si>
    <t>03051 320 1640</t>
  </si>
  <si>
    <t>Concrete surface treatment, sealer, hardener and dustproofer, solvent-based, 250 SF/Gal, 5 gallon pail, includes material only</t>
  </si>
  <si>
    <t>U105214</t>
  </si>
  <si>
    <t>03051 325 0250</t>
  </si>
  <si>
    <t>Aggregate, crushed bank gravel, loaded at the pit, includes material only</t>
  </si>
  <si>
    <t>U23000</t>
  </si>
  <si>
    <t>03051 325 0350</t>
  </si>
  <si>
    <t>Aggregate, sand, washed, for concrete, loaded at the pit, includes material only</t>
  </si>
  <si>
    <t>U100945</t>
  </si>
  <si>
    <t>03051 325 0450</t>
  </si>
  <si>
    <t>Aggregate, stone, 3/4" to 1-1/2", includes material only</t>
  </si>
  <si>
    <t>U23003</t>
  </si>
  <si>
    <t>03051 325 0500</t>
  </si>
  <si>
    <t>Aggregate, roofing stone/pea stone, 3/8"/1/2", includes material only</t>
  </si>
  <si>
    <t>U23005</t>
  </si>
  <si>
    <t>03051 325 0850</t>
  </si>
  <si>
    <t>U23008</t>
  </si>
  <si>
    <t>03051 325 1050</t>
  </si>
  <si>
    <t>U23011</t>
  </si>
  <si>
    <t>03051 330 0240</t>
  </si>
  <si>
    <t>Cement, portland, type I/II, 94 lb. Bags, T.L. lots, includes material only</t>
  </si>
  <si>
    <t>U23035</t>
  </si>
  <si>
    <t>03151 350 0020</t>
  </si>
  <si>
    <t>Waterstop, PVC, ribbed, 3/16" thick x 4" wide</t>
  </si>
  <si>
    <t>U22570</t>
  </si>
  <si>
    <t>03151 350 0050</t>
  </si>
  <si>
    <t>U22571</t>
  </si>
  <si>
    <t>03151 350 0500</t>
  </si>
  <si>
    <t>Waterstop, PVC, ribbed, with center bulb, 3/16" thick x 6" wide</t>
  </si>
  <si>
    <t>U22572</t>
  </si>
  <si>
    <t>03151 350 0550</t>
  </si>
  <si>
    <t>Waterstop, PVC, ribbed, with center bulb, 3/8" thick x 6" wide</t>
  </si>
  <si>
    <t>U22573</t>
  </si>
  <si>
    <t>03151 350 2500</t>
  </si>
  <si>
    <t>Waterstop, rubber, flat dumbbell, split, 3/8" thick x 6" wide</t>
  </si>
  <si>
    <t>U22583</t>
  </si>
  <si>
    <t>03305 340 3150</t>
  </si>
  <si>
    <t>Structural concrete, in place, elevated slab (4000 psi), 4" slab, includes finishing, excl forms, reinforcing</t>
  </si>
  <si>
    <t>C8</t>
  </si>
  <si>
    <t>2,613</t>
  </si>
  <si>
    <t>U23290</t>
  </si>
  <si>
    <t>03305 340 3200</t>
  </si>
  <si>
    <t>Structural concrete, in place, elevated slab (4000 psi), 6" slab, includes finishing, excl forms, reinforcing</t>
  </si>
  <si>
    <t>2,585</t>
  </si>
  <si>
    <t>U23292</t>
  </si>
  <si>
    <t>03305 340 3800</t>
  </si>
  <si>
    <t>Structural concrete, in place, spread footing (3000 psi), under 1 C.Y., includes forms, reinforcing steel, concrete, placing and finishing</t>
  </si>
  <si>
    <t>U23308</t>
  </si>
  <si>
    <t>03305 340 3825</t>
  </si>
  <si>
    <t>Structural concrete, in place, spread footing (3000 psi), 1 C.Y. to 5 C.Y., includes forms, reinforcing steel, concrete, placing and finishing</t>
  </si>
  <si>
    <t>U109261</t>
  </si>
  <si>
    <t>03305 340 3850</t>
  </si>
  <si>
    <t>Structural concrete, in place, spread footing (3000 psi), over 5 C.Y., includes forms, reinforcing steel, concrete, placing and finishing</t>
  </si>
  <si>
    <t>U23316</t>
  </si>
  <si>
    <t>03305 340 4200</t>
  </si>
  <si>
    <t>Structural concrete, in place, free-standing wall (3000 psi), 8" thick x 8' high, includes forms(4 uses), reinforcing steel, concrete, placing and finishing</t>
  </si>
  <si>
    <t>C14D</t>
  </si>
  <si>
    <t>U23332</t>
  </si>
  <si>
    <t>03305 340 4650</t>
  </si>
  <si>
    <t>Structural concrete, in place, slab on grade (3500 psi), 4" thick, includes forms(4 uses), reinforcing steel, concrete and placing, excludes finishing</t>
  </si>
  <si>
    <t>C14E</t>
  </si>
  <si>
    <t>U23356</t>
  </si>
  <si>
    <t>03305 340 4700</t>
  </si>
  <si>
    <t>Structural concrete, in place, slab on grade (3500 psi), 6" thick, includes forms(4 uses), reinforcing steel, concrete and placing, excludes finishing</t>
  </si>
  <si>
    <t>U23358</t>
  </si>
  <si>
    <t>03310 530 0020</t>
  </si>
  <si>
    <t>Structural concrete, field mix, fob forms, 3000 psi, includes material only</t>
  </si>
  <si>
    <t>U23092</t>
  </si>
  <si>
    <t>03310 535 0020</t>
  </si>
  <si>
    <t>U23097</t>
  </si>
  <si>
    <t>03310 535 0100</t>
  </si>
  <si>
    <t>Structural concrete, ready mix, normal weight, 2500 psi, includes local aggregate, sand, Portland cement and water, delivered, excludes all additives and treatments</t>
  </si>
  <si>
    <t>U23101</t>
  </si>
  <si>
    <t>03310 535 0150</t>
  </si>
  <si>
    <t>U23103</t>
  </si>
  <si>
    <t>03310 535 0200</t>
  </si>
  <si>
    <t>Structural concrete, ready mix, normal weight, 3500 psi, includes local aggregate, sand, Portland cement and water, delivered, excludes all additives and treatments</t>
  </si>
  <si>
    <t>U23107</t>
  </si>
  <si>
    <t>03310 535 0300</t>
  </si>
  <si>
    <t>U23108</t>
  </si>
  <si>
    <t>03310 535 0350</t>
  </si>
  <si>
    <t>Structural concrete, ready mix, normal weight, 4500 psi, includes local aggregate, sand, Portland cement and water, delivered, excludes all additives and treatments</t>
  </si>
  <si>
    <t>U23110</t>
  </si>
  <si>
    <t>03310 535 0400</t>
  </si>
  <si>
    <t>Structural concrete, ready mix, normal weight, 5000 psi, includes local aggregate, sand, Portland cement and water, delivered, excludes all additives and treatments</t>
  </si>
  <si>
    <t>U23111</t>
  </si>
  <si>
    <t>03310 535 0411</t>
  </si>
  <si>
    <t>Structural concrete, ready mix, normal weight, 6000 PSI, includes local aggregate, sand, Portland cement and water, delivered, excludes all additives and treatments</t>
  </si>
  <si>
    <t>U23113</t>
  </si>
  <si>
    <t>03310 535 0412</t>
  </si>
  <si>
    <t>Structural concrete, ready mix, normal weight, 8000 PSI, includes local aggregate, sand, Portland cement and water, delivered, excludes all additives and treatments</t>
  </si>
  <si>
    <t>U23114</t>
  </si>
  <si>
    <t>03310 535 1300</t>
  </si>
  <si>
    <t>Structural concrete, ready mix, winter mix (hot water), add</t>
  </si>
  <si>
    <t>U23168</t>
  </si>
  <si>
    <t>03310 570 4300</t>
  </si>
  <si>
    <t>Structural concrete, placing, slab on grade, direct chute, up to 6" thick, includes strike off &amp; consolidation, excludes material</t>
  </si>
  <si>
    <t>U23610</t>
  </si>
  <si>
    <t>03310 570 4350</t>
  </si>
  <si>
    <t>Structural concrete, placing, slab on grade, pumped, up to 6" thick, includes strike off &amp; consolidation, excludes material</t>
  </si>
  <si>
    <t>C20</t>
  </si>
  <si>
    <t>U23611</t>
  </si>
  <si>
    <t>05050 510 0230</t>
  </si>
  <si>
    <t>Selective metals demolition, structural framing members, up to 500 lb, remove whole or cut up into smaller pieces, incl loading, excl shoring, bracing, cutting, hauling, dumping</t>
  </si>
  <si>
    <t>U102228</t>
  </si>
  <si>
    <t>05050 510 0240</t>
  </si>
  <si>
    <t>Selective metals demolition, structural framing members, 1/4 - 2 tons, remove whole or cut up into smaller pieces, incl loading, excl shoring, bracing, cutting, hauling, dumping</t>
  </si>
  <si>
    <t>E18</t>
  </si>
  <si>
    <t>U102229</t>
  </si>
  <si>
    <t>05050 510 0250</t>
  </si>
  <si>
    <t>Selective metals demolition, structural framing members, 2 - 5 tons, remove whole or cut up into smaller pieces, incl loading, excl shoring, bracing, cutting, hauling, dumping</t>
  </si>
  <si>
    <t>E24</t>
  </si>
  <si>
    <t>U102230</t>
  </si>
  <si>
    <t>05050 510 0340</t>
  </si>
  <si>
    <t>Selective metals demolition, manufactured or fabricated specialty item, up to 20 lb, remove whole or cut up into smaller pieces, excl shoring, bracing, cutting, loading, hauling, dumping</t>
  </si>
  <si>
    <t>1 Sswk</t>
  </si>
  <si>
    <t>U102233</t>
  </si>
  <si>
    <t>05050 510 0350</t>
  </si>
  <si>
    <t>U102234</t>
  </si>
  <si>
    <t>05050 510 0360</t>
  </si>
  <si>
    <t>U102235</t>
  </si>
  <si>
    <t>05050 510 0370</t>
  </si>
  <si>
    <t>U102236</t>
  </si>
  <si>
    <t>05050 510 0380</t>
  </si>
  <si>
    <t>U102237</t>
  </si>
  <si>
    <t>05050 510 0390</t>
  </si>
  <si>
    <t>U102238</t>
  </si>
  <si>
    <t>05052 190 0020</t>
  </si>
  <si>
    <t>U26964</t>
  </si>
  <si>
    <t>05122 365 0050</t>
  </si>
  <si>
    <t>Steel plate, structural, for connections &amp; stiffeners, 1/8" T, shop fabricated, incl shop primer</t>
  </si>
  <si>
    <t>U27355</t>
  </si>
  <si>
    <t>05122 365 0100</t>
  </si>
  <si>
    <t>Steel plate, structural, for connections &amp; stiffeners, 1/4" T, shop fabricated, incl shop primer</t>
  </si>
  <si>
    <t>U27357</t>
  </si>
  <si>
    <t>05122 365 2100</t>
  </si>
  <si>
    <t>Steel plate, 1/4" T, warehouse price, no shop fabrication</t>
  </si>
  <si>
    <t>U107961</t>
  </si>
  <si>
    <t>07171 310 0300</t>
  </si>
  <si>
    <t>Bentonite, granular, 50 lb. bags (.625 C.F.)</t>
  </si>
  <si>
    <t>U33854</t>
  </si>
  <si>
    <t>07171 310 0400</t>
  </si>
  <si>
    <t>Bentonite, granular, 50 lb. bags (.625 C.F.), 3/8" thick, troweled on</t>
  </si>
  <si>
    <t>U33855</t>
  </si>
  <si>
    <t>07251 010 0400</t>
  </si>
  <si>
    <t>Weather barriers, building paper, asphalt felt paper, 15#</t>
  </si>
  <si>
    <t>U33924</t>
  </si>
  <si>
    <t>07311 310 0150</t>
  </si>
  <si>
    <t>U34531</t>
  </si>
  <si>
    <t>07311 310 0155</t>
  </si>
  <si>
    <t>Asphalt Shingles, standard strip shingles, inorganic, class A, 210-235 lb/sq, pneumatic nailed</t>
  </si>
  <si>
    <t>U34532</t>
  </si>
  <si>
    <t>07712 310 0020</t>
  </si>
  <si>
    <t>Aluminum downspouts, embossed, 2" x 3", .020" thick</t>
  </si>
  <si>
    <t>U35695</t>
  </si>
  <si>
    <t>07712 310 0600</t>
  </si>
  <si>
    <t>Aluminum downspouts, round, corrugated, 3" diameter, .020" thick</t>
  </si>
  <si>
    <t>U35700</t>
  </si>
  <si>
    <t>07712 310 0700</t>
  </si>
  <si>
    <t>Aluminum downspouts, round, corrugated, 4" diameter, .025" thick</t>
  </si>
  <si>
    <t>U35701</t>
  </si>
  <si>
    <t>07712 310 4800</t>
  </si>
  <si>
    <t>Steel downspouts, galvanized, round, corrugated, 2" or 3" diameter, 28 gauge</t>
  </si>
  <si>
    <t>U35732</t>
  </si>
  <si>
    <t>07712 310 4900</t>
  </si>
  <si>
    <t>Steel downspouts, galvanized, round, corrugated, 4" diameter, 28 gauge</t>
  </si>
  <si>
    <t>U35733</t>
  </si>
  <si>
    <t>07712 310 5100</t>
  </si>
  <si>
    <t>Steel downspouts, galvanized, round, corrugated, 5" diameter, 28 gauge</t>
  </si>
  <si>
    <t>U35734</t>
  </si>
  <si>
    <t>07712 310 5400</t>
  </si>
  <si>
    <t>Steel downspouts, galvanized, round, corrugated, 6" diameter, 28 gauge</t>
  </si>
  <si>
    <t>U35736</t>
  </si>
  <si>
    <t>07712 310 5700</t>
  </si>
  <si>
    <t>Steel downspouts, galvanized, rectangular, corrugated, 2" x 3", 28 gauge</t>
  </si>
  <si>
    <t>U35738</t>
  </si>
  <si>
    <t>07712 310 5800</t>
  </si>
  <si>
    <t>U35739</t>
  </si>
  <si>
    <t>07712 310 6000</t>
  </si>
  <si>
    <t>Steel downspouts, galvanized, rectangular, plain, 2" x 3", 28 gauge</t>
  </si>
  <si>
    <t>U35740</t>
  </si>
  <si>
    <t>07712 310 6100</t>
  </si>
  <si>
    <t>Steel downspouts, galvanized, rectangular, plain, 3" x 4", 28 gauge</t>
  </si>
  <si>
    <t>U35741</t>
  </si>
  <si>
    <t>07712 320 0020</t>
  </si>
  <si>
    <t>Elbows, aluminum, embossed, 2" x 3"</t>
  </si>
  <si>
    <t>U35778</t>
  </si>
  <si>
    <t>07712 320 0100</t>
  </si>
  <si>
    <t>Elbows, aluminum, enameled, 2" x 3"</t>
  </si>
  <si>
    <t>U35779</t>
  </si>
  <si>
    <t>07712 320 0200</t>
  </si>
  <si>
    <t>Elbows, aluminum, embossed, .025" thick, 3" x 4"</t>
  </si>
  <si>
    <t>U35780</t>
  </si>
  <si>
    <t>07712 320 0300</t>
  </si>
  <si>
    <t>Elbows, aluminum, enameled, .025" thick, 3" x 4"</t>
  </si>
  <si>
    <t>U35781</t>
  </si>
  <si>
    <t>07712 320 0400</t>
  </si>
  <si>
    <t>Elbows, aluminum, round, corrugated, embossed, .020" thick, 3" dia</t>
  </si>
  <si>
    <t>U35782</t>
  </si>
  <si>
    <t>07712 320 0500</t>
  </si>
  <si>
    <t>U35783</t>
  </si>
  <si>
    <t>07712 330 0012</t>
  </si>
  <si>
    <t>Aluminum gutters, stock units, plain, 5" box, .027" thick</t>
  </si>
  <si>
    <t>U35948</t>
  </si>
  <si>
    <t>07712 330 0100</t>
  </si>
  <si>
    <t>Aluminum gutters, stock units, enameled, 5" box, .027" thick</t>
  </si>
  <si>
    <t>U35952</t>
  </si>
  <si>
    <t>07712 330 0300</t>
  </si>
  <si>
    <t>Aluminum gutters, stock units, plain, 5" box, .032" thick</t>
  </si>
  <si>
    <t>U35955</t>
  </si>
  <si>
    <t>07712 330 0400</t>
  </si>
  <si>
    <t>Aluminum gutters, stock units, enameled, 5" box, .032" thick</t>
  </si>
  <si>
    <t>U35958</t>
  </si>
  <si>
    <t>07712 330 3200</t>
  </si>
  <si>
    <t>Vinyl gutters, half round, stock units, 4" wide</t>
  </si>
  <si>
    <t>U35984</t>
  </si>
  <si>
    <t>13341 950 0160</t>
  </si>
  <si>
    <t>Pre-Eng Steel Bldg, clear span rigid frame, 30 psf roof and 20 psf wind load, 20' to 29'W x 14' eave H, incl. 26 ga. colored ribbed roofing &amp; siding, excl. footings, slab, anchor bolts</t>
  </si>
  <si>
    <t>E2</t>
  </si>
  <si>
    <t>U97905</t>
  </si>
  <si>
    <t>13341 950 0170</t>
  </si>
  <si>
    <t>Pre-Eng Steel Bldg, clear span rigid frame, 30 psf roof and 20 psf wind load, 20' to 29' W x 16' eave H, incl. 26 ga. colored ribbed roofing &amp; siding, excl. footings, slab, anchor bolts</t>
  </si>
  <si>
    <t>U97906</t>
  </si>
  <si>
    <t>13341 950 0180</t>
  </si>
  <si>
    <t>Pre-Eng Steel Bldg, clear span rigid frame, 30 psf roof and 20 psf wind load, 20' to 29' W x 20' eave H, excl. footings, slab, anchor bolts</t>
  </si>
  <si>
    <t>U97907</t>
  </si>
  <si>
    <t>13341 950 0300</t>
  </si>
  <si>
    <t>Pre-Eng Steel Bldg, clear span rigid frame, 30 psf roof and 20 psf wind load, 30' to 49' W x 14' eave H, incl. 26 ga. colored ribbed roofing &amp; siding, excl. footings, slab, anchor bolts</t>
  </si>
  <si>
    <t>U51109</t>
  </si>
  <si>
    <t>13341 950 0400</t>
  </si>
  <si>
    <t>Pre-Eng Steel Bldg, clear span rigid frame, 30 psf roof and 20 psf wind load, 30' to 49' W x 16' eave H, incl. 26 ga. colored ribbed roofing &amp; siding, excl. footings, slab, anchor bolts</t>
  </si>
  <si>
    <t>U51111</t>
  </si>
  <si>
    <t>13341 950 0800</t>
  </si>
  <si>
    <t>Pre-Eng Steel Bldg, clear span rigid frame, 30 psf roof and 20 psf wind load, 50' to 100' W x 14' eave H, incl. 26 ga. colored ribbed roofing &amp; siding, excl. footings, slab, anchor bolts</t>
  </si>
  <si>
    <t>U51118</t>
  </si>
  <si>
    <t>13341 950 0900</t>
  </si>
  <si>
    <t>Pre-Eng Steel Bldg, clear span rigid frame, 30 psf roof and 20 psf wind load, 50' to 100' W x 16' eave H, incl. 26 ga. colored ribbed roofing &amp; siding, excl. footings, slab, anchor bolts</t>
  </si>
  <si>
    <t>U51120</t>
  </si>
  <si>
    <t>13341 950 1000</t>
  </si>
  <si>
    <t>Pre-Eng Steel Bldg, clear span rigid frame, 30 psf roof and 20 psf wind load, 50' to 100' W x 20' eave H, incl. 26 ga. colored ribbed roofing &amp; siding, excl. footings, slab, anchor bolts</t>
  </si>
  <si>
    <t>U51124</t>
  </si>
  <si>
    <t>13341 950 0500</t>
  </si>
  <si>
    <t>Pre-Eng Steel Bldg, clear span rigid frame, 30 psf roof and 20 psf wind load, 30' to 49' W x 20' eave H, incl. 26 ga. colored ribbed roofing &amp; siding, excl. footings, slab, anchor bolts</t>
  </si>
  <si>
    <t>U51114</t>
  </si>
  <si>
    <t>13341 950 1400</t>
  </si>
  <si>
    <t>Pre-Eng Steel Bldg, clear span tapered beam frame, 30 psf roof and 20 psf wing load, 30' W to 39' x 14' eave H, incl. 26 ga. colored ribbed roofing &amp; siding, excl. footings, slab, anchor bolts</t>
  </si>
  <si>
    <t>U51130</t>
  </si>
  <si>
    <t>13341 950 1500</t>
  </si>
  <si>
    <t>Pre-Eng Steel Bldg, clear span tapered beam frame, 30 psf roof and 20 psf wing load, 30' to 39' W x 16' eave H, incl. 26 ga. colored ribbed roofing &amp; siding, excl. footings, slab, anchor bolts</t>
  </si>
  <si>
    <t>U51131</t>
  </si>
  <si>
    <t>13341 950 1600</t>
  </si>
  <si>
    <t>Pre-Eng Steel Bldg, clear span tapered beam frame, 30 psf roof and 20 psf wing load, 30' to 39' W x 20' eave H, incl. 26 ga. colored ribbed roofing &amp; siding, excl. footings, slab, anchor bolts</t>
  </si>
  <si>
    <t>U51132</t>
  </si>
  <si>
    <t>13341 950 1800</t>
  </si>
  <si>
    <t>Pre-Eng Steel Bldg, clear span tapered beam frame, 30 psf roof and 20 psf wing load, 40' to 49' W x 14' eave H, incl. 26 ga. colored ribbed roofing &amp; siding, excl. footings, slab, anchor bolts</t>
  </si>
  <si>
    <t>U51134</t>
  </si>
  <si>
    <t>13341 950 1900</t>
  </si>
  <si>
    <t>Pre-Eng Steel Bldg, clear span tapered beam frame, 30 psf roof and 20 psf wing load, 40' to 49' W x 16' eave H, incl. 26 ga. colored ribbed roofing &amp; siding, excl. footings, slab, anchor bolts</t>
  </si>
  <si>
    <t>U51135</t>
  </si>
  <si>
    <t>13341 950 2000</t>
  </si>
  <si>
    <t>Pre-Eng Steel Bldg, clear span tapered beam frame, 30 psf roof and 20 psf wing load, 40' to 49' W x 20' eave H, incl. 26 ga. colored ribbed roofing &amp; siding, excl. footings, slab, anchor bolts</t>
  </si>
  <si>
    <t>U51136</t>
  </si>
  <si>
    <t>13341 950 2200</t>
  </si>
  <si>
    <t>Pre-Eng Steel Bldg, clear span tapered beam frame, 30 psf roof and 20 psf wing load, 50' to 79' W x 14' eave H, incl. 26 ga. colored ribbed roofing &amp; siding, excl. footings, slab, anchor bolts</t>
  </si>
  <si>
    <t>U51138</t>
  </si>
  <si>
    <t>13341 950 2300</t>
  </si>
  <si>
    <t>Pre-Eng Steel Bldg, clear span tapered beam frame, 30 psf roof and 20 psf wing load, 50' to 79' W x 16' eave H, incl. 26 ga. colored ribbed roofing &amp; siding, excl. footings, slab, anchor bolts</t>
  </si>
  <si>
    <t>U51140</t>
  </si>
  <si>
    <t>13341 950 2400</t>
  </si>
  <si>
    <t>Pre-Eng Steel Bldg, clear span tapered beam frame, 30 psf roof and 20 psf wing load, 50' to 79' W x 20' eave H, incl. 26 ga. colored ribbed roofing &amp; siding, excl. footings, slab, anchor bolts</t>
  </si>
  <si>
    <t>U51142</t>
  </si>
  <si>
    <t>13341 950 6550</t>
  </si>
  <si>
    <t>Pre-Eng Steel Bldg Access., gutter, eave type, painted, 26 gauge</t>
  </si>
  <si>
    <t>U51223</t>
  </si>
  <si>
    <t>13341 950 6600</t>
  </si>
  <si>
    <t>Pre-Eng Steel Bldg Access., gutter, eave type, galvanized, 26 gauge</t>
  </si>
  <si>
    <t>U51224</t>
  </si>
  <si>
    <t>22111 374 1860</t>
  </si>
  <si>
    <t>Pipe, plastic, PVC, 1/2" diameter, schedule 40, includes couplings 10' OC, and hangers 3 per 10'</t>
  </si>
  <si>
    <t>U58044</t>
  </si>
  <si>
    <t>22111 374 1870</t>
  </si>
  <si>
    <t>Pipe, plastic, PVC, 3/4" diameter, schedule 40, includes couplings 10' OC, and hangers 3 per 10'</t>
  </si>
  <si>
    <t>U58045</t>
  </si>
  <si>
    <t>22111 374 1880</t>
  </si>
  <si>
    <t>Pipe, plastic, PVC, 1" diameter, schedule 40, includes couplings 10' OC, and hangers 3 per 10'</t>
  </si>
  <si>
    <t>U58046</t>
  </si>
  <si>
    <t>22111 374 1890</t>
  </si>
  <si>
    <t>Pipe, plastic, PVC, 1-1/4" diameter, schedule 40, includes couplings 10' OC, and hangers 3 per 10'</t>
  </si>
  <si>
    <t>U58048</t>
  </si>
  <si>
    <t>22111 374 1900</t>
  </si>
  <si>
    <t>Pipe, plastic, PVC, 1-1/2" diameter, schedule 40, includes couplings 10' OC, and hangers 3 per 10'</t>
  </si>
  <si>
    <t>U58050</t>
  </si>
  <si>
    <t>22111 374 1910</t>
  </si>
  <si>
    <t>Pipe, plastic, PVC, 2" diameter, schedule 40, includes couplings 10' OC, and hangers 3 per 10'</t>
  </si>
  <si>
    <t>U58052</t>
  </si>
  <si>
    <t>22111 374 1920</t>
  </si>
  <si>
    <t>Pipe, plastic, PVC, 2-1/2" diameter, schedule 40, includes couplings 10' OC, and hangers 3 per 10'</t>
  </si>
  <si>
    <t>U58054</t>
  </si>
  <si>
    <t>22111 374 1930</t>
  </si>
  <si>
    <t>Pipe, plastic, PVC, 3" diameter, schedule 40, includes couplings 10' OC, and hangers 3 per 10'</t>
  </si>
  <si>
    <t>U58055</t>
  </si>
  <si>
    <t>22111 374 1940</t>
  </si>
  <si>
    <t>Pipe, plastic, PVC, 4" diameter, schedule 40, includes couplings 10' OC, and hangers 3 per 10'</t>
  </si>
  <si>
    <t>U58056</t>
  </si>
  <si>
    <t>22111 374 1950</t>
  </si>
  <si>
    <t>Pipe, plastic, PVC, 5" diameter, schedule 40, includes couplings 10' OC, and hangers 3 per 10'</t>
  </si>
  <si>
    <t>U58058</t>
  </si>
  <si>
    <t>22111 374 1960</t>
  </si>
  <si>
    <t>Pipe, plastic, PVC, 6" diameter, schedule 40, includes couplings 10' OC, and hangers 3 per 10'</t>
  </si>
  <si>
    <t>U58059</t>
  </si>
  <si>
    <t>22111 374 7460</t>
  </si>
  <si>
    <t>Pipe, plastic, PEX, flexible, non-barrier type, white, hot/cold tubing rolls, 1" diameter x 100 ', excludes couplings and hangers</t>
  </si>
  <si>
    <t>U114198</t>
  </si>
  <si>
    <t>22111 374 7470</t>
  </si>
  <si>
    <t>Pipe, plastic, PEX, flexible, non-barrier type, white, hot/cold tubing rolls, 1" diameter x 300 ', excludes couplings and hangers</t>
  </si>
  <si>
    <t>U114200</t>
  </si>
  <si>
    <t>22111 374 7480</t>
  </si>
  <si>
    <t>Pipe, plastic, PEX, flexible, non-barrier type, white, hot/cold tubing rolls, 1" diameter x 500 ', excludes couplings and hangers</t>
  </si>
  <si>
    <t>U114202</t>
  </si>
  <si>
    <t>22111 374 7500</t>
  </si>
  <si>
    <t>Pipe, plastic, PEX, flexible, non-barrier type, white, hot/cold tubing rolls, 1-1/4" diameter x 100 ', excludes couplings and hangers</t>
  </si>
  <si>
    <t>U114206</t>
  </si>
  <si>
    <t>22111 374 7510</t>
  </si>
  <si>
    <t>Pipe, plastic, PEX, flexible, non-barrier type, white, hot/cold tubing rolls, 1-1/4" diameter x 300 ', excludes couplings and hangers</t>
  </si>
  <si>
    <t>U114207</t>
  </si>
  <si>
    <t>22111 374 7540</t>
  </si>
  <si>
    <t>Pipe, plastic, PEX, flexible, non-barrier type, white, hot/cold tubing rolls, 1-1/2" diameter x 100 ', excludes couplings and hangers</t>
  </si>
  <si>
    <t>U114208</t>
  </si>
  <si>
    <t>22111 374 7550</t>
  </si>
  <si>
    <t>Pipe, plastic, PEX, flexible, non-barrier type, white, hot/cold tubing rolls, 1-1/2" diameter x 300 ', excludes couplings and hangers</t>
  </si>
  <si>
    <t>U114210</t>
  </si>
  <si>
    <t>22111 942 4100</t>
  </si>
  <si>
    <t>Backflow preventer, reduced pressure principle, corrosion resistant, automatic operation, ball valves, threaded</t>
  </si>
  <si>
    <t>U54742</t>
  </si>
  <si>
    <t>22111 942 4120</t>
  </si>
  <si>
    <t>Backflow preventer, reduced pressure principle, corrosion resistant, automatic operation, ball valves, threaded, 3/4" pipe size, includes valves and four test cocks</t>
  </si>
  <si>
    <t>U54743</t>
  </si>
  <si>
    <t>22111 942 4140</t>
  </si>
  <si>
    <t>Backflow preventer, reduced pressure principle, corrosion resistant, automatic operation, ball valves, threaded, 1" pipe size, includes valves and four test cocks</t>
  </si>
  <si>
    <t>U54744</t>
  </si>
  <si>
    <t>22111 942 4150</t>
  </si>
  <si>
    <t>Backflow preventer, reduced pressure principle, corrosion resistant, automatic operation, ball valves, threaded, 1-1/4" pipe size, includes valves and four test cocks</t>
  </si>
  <si>
    <t>U54745</t>
  </si>
  <si>
    <t>22111 942 4160</t>
  </si>
  <si>
    <t>Backflow preventer, reduced pressure principle, corrosion resistant, automatic operation, ball valves, threaded, 1-1/2" pipe size, includes valves and four test cocks</t>
  </si>
  <si>
    <t>U54746</t>
  </si>
  <si>
    <t>22111 942 4180</t>
  </si>
  <si>
    <t>Backflow preventer, reduced pressure principle, corrosion resistant, automatic operation, ball valves, threaded, 2" pipe size, includes valves and four test cocks</t>
  </si>
  <si>
    <t>U54747</t>
  </si>
  <si>
    <t>22111 964 1100</t>
  </si>
  <si>
    <t>Hydrant, wall type, non-freeze, bronze, exposed, 3/4" I.P.S connection, 4" to 9" thick wall</t>
  </si>
  <si>
    <t>U55304</t>
  </si>
  <si>
    <t>22111 964 1120</t>
  </si>
  <si>
    <t>Hydrant, wall type, non-freeze, bronze, exposed, 3/4" I.P.S connection, 10" to 14" thick wall</t>
  </si>
  <si>
    <t>U55305</t>
  </si>
  <si>
    <t>22111 964 2100</t>
  </si>
  <si>
    <t>Hydrant, wall type, non-freeze, bronze, encased, anti-syphon type, 3/4" I.P.S connection, 5" to 9" thick wall</t>
  </si>
  <si>
    <t>U55314</t>
  </si>
  <si>
    <t>22111 964 3100</t>
  </si>
  <si>
    <t>Hydrant, ground box type, bronze frame, non-freeze, all bronze, polished face, set flush, 3/4" I.P.S. connection, 3/4" I.P.S. connection, 2 feet depth of bury</t>
  </si>
  <si>
    <t>U55326</t>
  </si>
  <si>
    <t>22111 964 3180</t>
  </si>
  <si>
    <t>Hydrant, ground box type, bronze frame, non-freeze, all bronze, polished face, set flush, 3/4" I.P.S. connection, 3/4" I.P.S. connection, 6 feet depth of bury</t>
  </si>
  <si>
    <t>U55330</t>
  </si>
  <si>
    <t>22111 964 5100</t>
  </si>
  <si>
    <t>Hydrant, ground box type, all bronze, moderate climate, polished face and scoriated cover, set flush, 3/4" I.P.S. connection</t>
  </si>
  <si>
    <t>U55355</t>
  </si>
  <si>
    <t>22111 964 5120</t>
  </si>
  <si>
    <t>Hydrant, ground box type, all bronze, moderate climate, polished face and scoriated cover, set flush, 1" I.P.S. connection</t>
  </si>
  <si>
    <t>U55356</t>
  </si>
  <si>
    <t>22112 310 3190</t>
  </si>
  <si>
    <t>Pump, general utility, single stage, double suction, 75 H.P. to 2500 GPM, includes motor</t>
  </si>
  <si>
    <t>Q3</t>
  </si>
  <si>
    <t>U66332</t>
  </si>
  <si>
    <t>22112 310 3220</t>
  </si>
  <si>
    <t>Pump, general utility, single stage, double suction, 100 H.P. to 3000 GPM, includes motor</t>
  </si>
  <si>
    <t>U66333</t>
  </si>
  <si>
    <t>22112 310 3240</t>
  </si>
  <si>
    <t>Pump, general utility, single stage, double suction, 150 H.P. to 4000 GPM, includes motor</t>
  </si>
  <si>
    <t>U66334</t>
  </si>
  <si>
    <t>22132 913 0260</t>
  </si>
  <si>
    <t>Pump, grinder system, simplex, 9 GPM at 60 PSIG, 91 gallon tank, includes check valve, tank, standard controls, alarm/disconnect panel with wire, excludes excavation</t>
  </si>
  <si>
    <t>U66388</t>
  </si>
  <si>
    <t>22132 913 0300</t>
  </si>
  <si>
    <t>Pump, grinder system with manway, 26" ID, 18" high, for 70 gallon tank, includes check valve, tank, standard controls, alarm/disconnect panel with wire, excludes excavation</t>
  </si>
  <si>
    <t>U66389</t>
  </si>
  <si>
    <t>22132 913 0340</t>
  </si>
  <si>
    <t>Pump, grinder system with manway, 26" ID, 36" high, for 70 gallon tank, includes check valve, tank, standard controls, alarm/disconnect panel with wire, excludes excavation</t>
  </si>
  <si>
    <t>U66390</t>
  </si>
  <si>
    <t>22132 913 0380</t>
  </si>
  <si>
    <t>Pump, grinder system with manway, 43" ID, 48" high, for 70 gallon tank, includes check valve, tank, standard controls, alarm/disconnect panel with wire, excludes excavation</t>
  </si>
  <si>
    <t>U66391</t>
  </si>
  <si>
    <t>22142 913 0400</t>
  </si>
  <si>
    <t>Pump, pedestal sump, molded PVC base, 21 GPM, 1/3 H.P., at 15' head, includes float control</t>
  </si>
  <si>
    <t>U66457</t>
  </si>
  <si>
    <t>22142 913 0800</t>
  </si>
  <si>
    <t>Pump, pedestal sump, iron base, 21 GPM, 1/3 H.P., at 15' head, includes float control</t>
  </si>
  <si>
    <t>U66458</t>
  </si>
  <si>
    <t>22142 913 1200</t>
  </si>
  <si>
    <t>Pump, pedestal sump, solid brass, 21 GPM, 1/3 H.P., at 15' head, includes float control</t>
  </si>
  <si>
    <t>U66459</t>
  </si>
  <si>
    <t>22142 916 7100</t>
  </si>
  <si>
    <t>Pump, submersible sump, automatic, plastic, 1/4 H.P., 1-1/4" discharge</t>
  </si>
  <si>
    <t>U66551</t>
  </si>
  <si>
    <t>22142 916 7160</t>
  </si>
  <si>
    <t>Pump, submersible sump, automatic, plastic, 1/2 H.P., 1-1/4" discharge</t>
  </si>
  <si>
    <t>U66553</t>
  </si>
  <si>
    <t>22142 916 7500</t>
  </si>
  <si>
    <t>Pump, submersible sump, automatic, cast iron, 1/4 H.P., 1-1/4" discharge</t>
  </si>
  <si>
    <t>U66555</t>
  </si>
  <si>
    <t>22142 916 7560</t>
  </si>
  <si>
    <t>Pump, submersible sump, automatic, cast iron, 1/2 H.P., 1-1/4" discharge</t>
  </si>
  <si>
    <t>U66557</t>
  </si>
  <si>
    <t>31051 310 0020</t>
  </si>
  <si>
    <t>Soils for earthwork, borrow, spread with 200 H.P. dozer, includes load at pit and haul, 2 miles round trip, excludes compaction</t>
  </si>
  <si>
    <t>U100513</t>
  </si>
  <si>
    <t>31051 610 0100</t>
  </si>
  <si>
    <t>U10016</t>
  </si>
  <si>
    <t>31051 610 0300</t>
  </si>
  <si>
    <t>Aggregate for earthwork, crushed stone, 1.40 tons per C.Y., 1-1/2", spread with 200 H.P. dozer, includes load at pit and haul, 2 miles round trip, excludes compaction</t>
  </si>
  <si>
    <t>U10021</t>
  </si>
  <si>
    <t>31051 610 0320</t>
  </si>
  <si>
    <t>Aggregate for earthwork, crushed stone, 1.40 tons per C.Y., 3/4", spread with 200 H.P. dozer, includes load at pit and haul, 2 miles round trip, excludes compaction</t>
  </si>
  <si>
    <t>U10022</t>
  </si>
  <si>
    <t>31051 610 0340</t>
  </si>
  <si>
    <t>U10023</t>
  </si>
  <si>
    <t>31051 610 0360</t>
  </si>
  <si>
    <t>Aggregate for earthwork, crushed stone, 1.40 tons per C.Y., 3/8", spread with 200 H.P. dozer, includes load at pit and haul, 2 miles round trip, excludes compaction</t>
  </si>
  <si>
    <t>U10024</t>
  </si>
  <si>
    <t>31051 610 0400</t>
  </si>
  <si>
    <t>Aggregate for earthwork, sand, washed, for concrete, spread with 200 H.P. dozer, includes load at pit and haul, 2 miles round trip, excludes compaction</t>
  </si>
  <si>
    <t>U10025</t>
  </si>
  <si>
    <t>31051 610 0500</t>
  </si>
  <si>
    <t>Aggregate for earthwork, dead or bank sand, spread with 200 H.P. dozer, includes load at pit and haul, 2 miles round trip, excludes compaction</t>
  </si>
  <si>
    <t>U10027</t>
  </si>
  <si>
    <t>31051 610 0600</t>
  </si>
  <si>
    <t>Aggregate for earthwork, select structural fill, spread with 200 H.P. dozer, includes load at pit and haul, 2 miles round trip, excludes compaction</t>
  </si>
  <si>
    <t>U10028</t>
  </si>
  <si>
    <t>31051 610 0900</t>
  </si>
  <si>
    <t>Aggregate for earthwork, aggregate or sand, spread with 200 HP dozer, includes load at pit and haul, round trip, for 5 mile haul add</t>
  </si>
  <si>
    <t>U10032</t>
  </si>
  <si>
    <t>31111 010 0020</t>
  </si>
  <si>
    <t>U9561</t>
  </si>
  <si>
    <t>31111 010 0150</t>
  </si>
  <si>
    <t>U9564</t>
  </si>
  <si>
    <t>31111 010 0200</t>
  </si>
  <si>
    <t>Clearing &amp; grubbing, medium trees, to 12" diameter, cut and chip</t>
  </si>
  <si>
    <t>U9572</t>
  </si>
  <si>
    <t>31111 010 0250</t>
  </si>
  <si>
    <t>Clearing &amp; grubbing, trees to 12" diameter, grub stumps and remove</t>
  </si>
  <si>
    <t>U9574</t>
  </si>
  <si>
    <t>31111 010 0300</t>
  </si>
  <si>
    <t>Clearing &amp; grubbing, heavy trees, to 24" diameter, cut and chip</t>
  </si>
  <si>
    <t>U9576</t>
  </si>
  <si>
    <t>31111 010 0350</t>
  </si>
  <si>
    <t>Clearing &amp; grubbing, heavy stumps, to 24" diameter, grub stumps and remove</t>
  </si>
  <si>
    <t>U9578</t>
  </si>
  <si>
    <t>31111 010 5120</t>
  </si>
  <si>
    <t>U9613</t>
  </si>
  <si>
    <t>31111 010 5240</t>
  </si>
  <si>
    <t>U9614</t>
  </si>
  <si>
    <t>31111 010 5280</t>
  </si>
  <si>
    <t>U9615</t>
  </si>
  <si>
    <t>31111 010 5320</t>
  </si>
  <si>
    <t>U9616</t>
  </si>
  <si>
    <t>31131 310 0020</t>
  </si>
  <si>
    <t>U9647</t>
  </si>
  <si>
    <t>31131 310 0100</t>
  </si>
  <si>
    <t>U9649</t>
  </si>
  <si>
    <t>31131 310 0300</t>
  </si>
  <si>
    <t>U9651</t>
  </si>
  <si>
    <t>31131 310 0400</t>
  </si>
  <si>
    <t>Selective clearing, brush, medium clearing, with dozer, ball and chain, excludes removal offsite</t>
  </si>
  <si>
    <t>U9652</t>
  </si>
  <si>
    <t>31131 310 0500</t>
  </si>
  <si>
    <t>U9653</t>
  </si>
  <si>
    <t>31131 310 0550</t>
  </si>
  <si>
    <t>U9654</t>
  </si>
  <si>
    <t>31131 310 0600</t>
  </si>
  <si>
    <t>Selective tree and shrub removal, selective clearing brush, heavy clearing, to 4" diameter, with dozer and brush rake, excludes removal offsite</t>
  </si>
  <si>
    <t>U9655</t>
  </si>
  <si>
    <t>31131 310 1020</t>
  </si>
  <si>
    <t>U9657</t>
  </si>
  <si>
    <t>31131 310 1040</t>
  </si>
  <si>
    <t>U9658</t>
  </si>
  <si>
    <t>31131 310 1080</t>
  </si>
  <si>
    <t>U9662</t>
  </si>
  <si>
    <t>31141 323 0020</t>
  </si>
  <si>
    <t>2,300</t>
  </si>
  <si>
    <t>U9692</t>
  </si>
  <si>
    <t>31141 323 0100</t>
  </si>
  <si>
    <t>1,150</t>
  </si>
  <si>
    <t>U9693</t>
  </si>
  <si>
    <t>31141 323 0200</t>
  </si>
  <si>
    <t>Topsoil stripping and stockpiling, topsoil, sandy loam, ideal conditions, 300 H.P. dozer</t>
  </si>
  <si>
    <t>B10M</t>
  </si>
  <si>
    <t>3,000</t>
  </si>
  <si>
    <t>U9694</t>
  </si>
  <si>
    <t>31141 323 0300</t>
  </si>
  <si>
    <t>Topsoil stripping and stockpiling, topsoil, sandy loam, adverse conditions, 300 H.P. dozer</t>
  </si>
  <si>
    <t>1,650</t>
  </si>
  <si>
    <t>U9695</t>
  </si>
  <si>
    <t>31141 323 0600</t>
  </si>
  <si>
    <t>Topsoil stripping and stockpiling, clay, dry and soft, ideal conditions, 200 H.P. dozer</t>
  </si>
  <si>
    <t>1,600</t>
  </si>
  <si>
    <t>U9698</t>
  </si>
  <si>
    <t>31141 323 0700</t>
  </si>
  <si>
    <t>Topsoil stripping and stockpiling, topsoil, clay, dry and soft,adverse conditions, 200 H.P. dozer</t>
  </si>
  <si>
    <t>U9700</t>
  </si>
  <si>
    <t>31141 323 1000</t>
  </si>
  <si>
    <t>Topsoil stripping and stockpiling, topsoil, clay, medium hard, ideal conditions, 300 H.P. dozer</t>
  </si>
  <si>
    <t>2,000</t>
  </si>
  <si>
    <t>U9701</t>
  </si>
  <si>
    <t>31141 323 1100</t>
  </si>
  <si>
    <t>Topsoil stripping and stockpiling, topsoil, clay, medium hard, adverse conditions, 300 H.P. dozer</t>
  </si>
  <si>
    <t>1,100</t>
  </si>
  <si>
    <t>U9702</t>
  </si>
  <si>
    <t>31141 323 1420</t>
  </si>
  <si>
    <t>U100393</t>
  </si>
  <si>
    <t>31141 323 1430</t>
  </si>
  <si>
    <t>Topsoil stripping and stockpiling, loam or topsoil, remove and stockpile on site, 200 HP dozer, 6" deep, 300' haul</t>
  </si>
  <si>
    <t>U100394</t>
  </si>
  <si>
    <t>31141 323 1440</t>
  </si>
  <si>
    <t>Topsoil stripping and stockpiling, loam or topsoil, remove and stockpile on site, 200 HP dozer, 6" deep, 500' haul</t>
  </si>
  <si>
    <t>U100395</t>
  </si>
  <si>
    <t>31141 323 1450</t>
  </si>
  <si>
    <t>5,090</t>
  </si>
  <si>
    <t>U100396</t>
  </si>
  <si>
    <t>31141 323 1460</t>
  </si>
  <si>
    <t>1,325</t>
  </si>
  <si>
    <t>U100397</t>
  </si>
  <si>
    <t>31221 610 0012</t>
  </si>
  <si>
    <t>U12796</t>
  </si>
  <si>
    <t>31221 610 0100</t>
  </si>
  <si>
    <t>Fine grading, for roadway, base or leveling course, large area, 6,000 S.Y. or more</t>
  </si>
  <si>
    <t>U12800</t>
  </si>
  <si>
    <t>31221 610 1100</t>
  </si>
  <si>
    <t>1,040</t>
  </si>
  <si>
    <t>U12805</t>
  </si>
  <si>
    <t>31221 610 1150</t>
  </si>
  <si>
    <t>Fine grading, fine grade for slab on grade, hand grading</t>
  </si>
  <si>
    <t>B18</t>
  </si>
  <si>
    <t>U12806</t>
  </si>
  <si>
    <t>31221 610 3500</t>
  </si>
  <si>
    <t>U109107</t>
  </si>
  <si>
    <t>31231 613 0050</t>
  </si>
  <si>
    <t>Excavating, trench or continuous footing, common earth, 3/8 C.Y. excavator, 1' to 4' deep, excludes sheeting or dewatering</t>
  </si>
  <si>
    <t>U10578</t>
  </si>
  <si>
    <t>31231 613 0060</t>
  </si>
  <si>
    <t>U10581</t>
  </si>
  <si>
    <t>31231 613 0090</t>
  </si>
  <si>
    <t>U10583</t>
  </si>
  <si>
    <t>31231 613 1400</t>
  </si>
  <si>
    <t>U10667</t>
  </si>
  <si>
    <t>31231 613 1500</t>
  </si>
  <si>
    <t>Excavating, trench or continuous footing, common earth, by hand with pick and shovel, 2' to 6' deep, heavy soil, excludes sheeting or dewatering</t>
  </si>
  <si>
    <t>U10668</t>
  </si>
  <si>
    <t>31231 613 3000</t>
  </si>
  <si>
    <t>Excavating, trench backfill, 1 C.Y. bucket, front end loader, wheel mounted, excludes dewatering</t>
  </si>
  <si>
    <t>U10691</t>
  </si>
  <si>
    <t>31231 613 3020</t>
  </si>
  <si>
    <t>U10692</t>
  </si>
  <si>
    <t>31231 613 3040</t>
  </si>
  <si>
    <t>Excavating, trench backfill, 1 C.Y. bucket, 100' haul, front end loader, wheel mounted, excludes dewatering</t>
  </si>
  <si>
    <t>U10694</t>
  </si>
  <si>
    <t>31231 613 5050</t>
  </si>
  <si>
    <t>Excavating, trench or continuous footing, loam or sandy clay, 3/8 C.Y. excavator, 1' to 4' deep, excludes sheeting or dewatering</t>
  </si>
  <si>
    <t>U108033</t>
  </si>
  <si>
    <t>31231 613 5060</t>
  </si>
  <si>
    <t>Excavating, trench or continuous footing, loam or sandy clay, 1/2 C.Y. excavator, 1' to 4' deep, excludes sheeting or dewatering</t>
  </si>
  <si>
    <t>U108034</t>
  </si>
  <si>
    <t>31231 614 0011</t>
  </si>
  <si>
    <t>Common earth</t>
  </si>
  <si>
    <t>U109917</t>
  </si>
  <si>
    <t>31231 614 0050</t>
  </si>
  <si>
    <t>Excavating, chain trencher, utility trench, common earth, 12 H.P., chain trencher, operator walking</t>
  </si>
  <si>
    <t>U10711</t>
  </si>
  <si>
    <t>31231 614 0300</t>
  </si>
  <si>
    <t>Excavating, chain trencher, utility trench, common earth, 12 H.P., 6" wide, 12" deep, chain trencher, operator walking</t>
  </si>
  <si>
    <t>U10716</t>
  </si>
  <si>
    <t>31231 614 0350</t>
  </si>
  <si>
    <t>U10717</t>
  </si>
  <si>
    <t>31231 614 0400</t>
  </si>
  <si>
    <t>Excavating, chain trencher, utility trench, common earth, 12 H.P., 6" wide, 24" deep, chain trencher, operator walking</t>
  </si>
  <si>
    <t>U10718</t>
  </si>
  <si>
    <t>31231 614 0450</t>
  </si>
  <si>
    <t>Excavating, chain trencher, utility trench, common earth, 12 H.P., 6" wide, 36" deep, chain trencher, operator walking</t>
  </si>
  <si>
    <t>U10719</t>
  </si>
  <si>
    <t>31231 614 1300</t>
  </si>
  <si>
    <t>Excavating, chain trencher, utility trench, common earth, 6" wide, 12" deep, backfill by hand, includes backfill &amp; compaction, add</t>
  </si>
  <si>
    <t>U10741</t>
  </si>
  <si>
    <t>31231 614 1350</t>
  </si>
  <si>
    <t>U10742</t>
  </si>
  <si>
    <t>31231 614 1400</t>
  </si>
  <si>
    <t>Excavating, chain trencher, utility trench, common earth, 6" wide, 24" deep, backfill by hand, includes compaction, add</t>
  </si>
  <si>
    <t>U10743</t>
  </si>
  <si>
    <t>31231 614 1450</t>
  </si>
  <si>
    <t>Excavating, chain trencher, utility trench, common earth, 6" wide, 36" deep, backfill by hand, add</t>
  </si>
  <si>
    <t>U10744</t>
  </si>
  <si>
    <t>31231 614 2000</t>
  </si>
  <si>
    <t>Excavating, chain trencher, utility trench, common earth, 40 H.P., chain trencher, operator riding</t>
  </si>
  <si>
    <t>U10750</t>
  </si>
  <si>
    <t>31231 616 6030</t>
  </si>
  <si>
    <t>U99378</t>
  </si>
  <si>
    <t>31231 616 6070</t>
  </si>
  <si>
    <t>Structural excavation for minor structures, bank measure, for spread and mat footings, elevator pits, and small building foundations, sand &amp; gravel, 3/4 C.Y. bucket, machine excavation, hydraulic backhoe</t>
  </si>
  <si>
    <t>B12F</t>
  </si>
  <si>
    <t>U10555</t>
  </si>
  <si>
    <t>31231 642 0200</t>
  </si>
  <si>
    <t>U10258</t>
  </si>
  <si>
    <t>31231 642 1200</t>
  </si>
  <si>
    <t>U10273</t>
  </si>
  <si>
    <t>31231 642 1500</t>
  </si>
  <si>
    <t>U10277</t>
  </si>
  <si>
    <t>31231 642 5100</t>
  </si>
  <si>
    <t>Excavating, bulk bank measure,sandy clay/loam, open site, 1 C.Y. capacity = 120 C.Y./hour, excavator, hydraulic, crawler mounted, excluding truck loading</t>
  </si>
  <si>
    <t>U109727</t>
  </si>
  <si>
    <t>31231 646 2020</t>
  </si>
  <si>
    <t>Excavating, bulk, dozer, open site, bank measure, common earth, 80 H.P. dozer, 50' haul</t>
  </si>
  <si>
    <t>B10L</t>
  </si>
  <si>
    <t>U10305</t>
  </si>
  <si>
    <t>31231 646 2220</t>
  </si>
  <si>
    <t>Excavating, bulk, dozer, open site, bank measure, common earth, 80 H.P. dozer, 150' haul</t>
  </si>
  <si>
    <t>U10311</t>
  </si>
  <si>
    <t>31231 646 2420</t>
  </si>
  <si>
    <t>Excavating, bulk, dozer, open site, bank measure, common earth, 80 H.P. dozer, 300' haul</t>
  </si>
  <si>
    <t>U10314</t>
  </si>
  <si>
    <t>31231 646 3020</t>
  </si>
  <si>
    <t>Excavating, bulk, dozer, open site, bank measure, common earth, 105 H.P. dozer, 50' haul</t>
  </si>
  <si>
    <t>U10323</t>
  </si>
  <si>
    <t>31231 646 3220</t>
  </si>
  <si>
    <t>U10326</t>
  </si>
  <si>
    <t>31231 646 3320</t>
  </si>
  <si>
    <t>Excavating, bulk, dozer, open site, bank measure, common earth, 105 H.P. dozer, 300' haul</t>
  </si>
  <si>
    <t>U10329</t>
  </si>
  <si>
    <t>31231 646 4020</t>
  </si>
  <si>
    <t>Excavating, bulk, dozer, open site, bank measure, common earth, 200 H.P. dozer, 50' haul</t>
  </si>
  <si>
    <t>1,230</t>
  </si>
  <si>
    <t>U10344</t>
  </si>
  <si>
    <t>31231 646 4220</t>
  </si>
  <si>
    <t>U10351</t>
  </si>
  <si>
    <t>31231 646 5020</t>
  </si>
  <si>
    <t>Excavating, bulk, dozer, open site, bank measure, common earth, 300 H.P. dozer, 50' haul</t>
  </si>
  <si>
    <t>U10367</t>
  </si>
  <si>
    <t>31231 646 5220</t>
  </si>
  <si>
    <t>Excavating, bulk, dozer, open site, bank measure, common earth, 300 H.P. dozer, 150' haul</t>
  </si>
  <si>
    <t>U10370</t>
  </si>
  <si>
    <t>31231 646 5420</t>
  </si>
  <si>
    <t>Excavating, bulk, dozer, open site, bank measure, common earth, 300 H.P. dozer, 300' haul</t>
  </si>
  <si>
    <t>U10373</t>
  </si>
  <si>
    <t>31231 650 0300</t>
  </si>
  <si>
    <t>Excavation, bulk, scrapers, bank measure, common earth, 1500' haul, 11 C.Y. bucket, elevating scraper, 1/4 push dozer</t>
  </si>
  <si>
    <t>B33F</t>
  </si>
  <si>
    <t>U10454</t>
  </si>
  <si>
    <t>31232 313 1300</t>
  </si>
  <si>
    <t>1,200</t>
  </si>
  <si>
    <t>U9947</t>
  </si>
  <si>
    <t>31232 313 1600</t>
  </si>
  <si>
    <t>Backfill, bulk, 6" to 12" lifts, dozer backfilling</t>
  </si>
  <si>
    <t>U9949</t>
  </si>
  <si>
    <t>31232 313 1900</t>
  </si>
  <si>
    <t>U9951</t>
  </si>
  <si>
    <t>31232 313 2200</t>
  </si>
  <si>
    <t>U9953</t>
  </si>
  <si>
    <t>31232 313 2300</t>
  </si>
  <si>
    <t>U9954</t>
  </si>
  <si>
    <t>31232 314 2020</t>
  </si>
  <si>
    <t>Backfill, structural, common earth, 80 H.P. dozer, 50' haul, excludes compaction</t>
  </si>
  <si>
    <t>U9971</t>
  </si>
  <si>
    <t>31232 314 2420</t>
  </si>
  <si>
    <t>Backfill, structural, common earth, 80 H.P. dozer, 300' haul</t>
  </si>
  <si>
    <t>U9978</t>
  </si>
  <si>
    <t>31232 314 3020</t>
  </si>
  <si>
    <t>1,225</t>
  </si>
  <si>
    <t>U9981</t>
  </si>
  <si>
    <t>31232 314 4020</t>
  </si>
  <si>
    <t>Backfill, structural, common earth, 200 H.P. dozer, 50' haul</t>
  </si>
  <si>
    <t>2,200</t>
  </si>
  <si>
    <t>U9990</t>
  </si>
  <si>
    <t>31232 317 0020</t>
  </si>
  <si>
    <t>1,000</t>
  </si>
  <si>
    <t>U10848</t>
  </si>
  <si>
    <t>31232 317 0500</t>
  </si>
  <si>
    <t>Fill, gravel fill, compacted, under floor slabs, 4" deep</t>
  </si>
  <si>
    <t>10,000</t>
  </si>
  <si>
    <t>U10854</t>
  </si>
  <si>
    <t>31232 320 1018</t>
  </si>
  <si>
    <t>Cycle hauling(wait, load,travel, unload or dump &amp; return) time per cycle, excavated or borrow, loose cubic yards, 15 min load/wait/unload, 12 C.Y. truck, cycle 2 miles, 15 MPH, excludes loading equipment</t>
  </si>
  <si>
    <t>U109521</t>
  </si>
  <si>
    <t>31251 416 0020</t>
  </si>
  <si>
    <t>2,400</t>
  </si>
  <si>
    <t>U11242</t>
  </si>
  <si>
    <t>31251 416 0100</t>
  </si>
  <si>
    <t>2,500</t>
  </si>
  <si>
    <t>U11249</t>
  </si>
  <si>
    <t>31251 416 1000</t>
  </si>
  <si>
    <t>U11255</t>
  </si>
  <si>
    <t>31251 416 1200</t>
  </si>
  <si>
    <t>U11261</t>
  </si>
  <si>
    <t>31251 416 1250</t>
  </si>
  <si>
    <t>U11262</t>
  </si>
  <si>
    <t>31361 310 0500</t>
  </si>
  <si>
    <t>Gabion boxes, galvanized steel mesh mats or boxes, stone filled, 9" deep</t>
  </si>
  <si>
    <t>U11363</t>
  </si>
  <si>
    <t>31361 310 0600</t>
  </si>
  <si>
    <t>U11364</t>
  </si>
  <si>
    <t>31361 310 0700</t>
  </si>
  <si>
    <t>U11365</t>
  </si>
  <si>
    <t>31361 310 0800</t>
  </si>
  <si>
    <t>U11366</t>
  </si>
  <si>
    <t>31371 310 0011</t>
  </si>
  <si>
    <t>Random, broken stone</t>
  </si>
  <si>
    <t>U109930</t>
  </si>
  <si>
    <t>31371 310 0100</t>
  </si>
  <si>
    <t>U11356</t>
  </si>
  <si>
    <t>31371 310 0110</t>
  </si>
  <si>
    <t>Rip-rap and rock lining, random, broken stone, 3/8 to 1/4 C.Y. pieces, machine placed for slope protection, grouted</t>
  </si>
  <si>
    <t>U11357</t>
  </si>
  <si>
    <t>31371 310 0200</t>
  </si>
  <si>
    <t>U11358</t>
  </si>
  <si>
    <t>31371 310 0300</t>
  </si>
  <si>
    <t>U11359</t>
  </si>
  <si>
    <t>31371 310 0350</t>
  </si>
  <si>
    <t>U11360</t>
  </si>
  <si>
    <t>31371 310 0370</t>
  </si>
  <si>
    <t>Rip-rap and rock lining, random, broken stone, 300 lb. average, dumped</t>
  </si>
  <si>
    <t>U11361</t>
  </si>
  <si>
    <t>32311 326 1040</t>
  </si>
  <si>
    <t>Tennis courts fences &amp; gates, chain link fence, 11 ga. wire, aluminized steel, 2-1/2" post 10' O.C., 1-5/8" top rail, 10' high, includes excavation</t>
  </si>
  <si>
    <t>B80</t>
  </si>
  <si>
    <t>U16534</t>
  </si>
  <si>
    <t>32311 326 1100</t>
  </si>
  <si>
    <t>Tennis courts fences &amp; gates, chain link fence, aluminized steel, 11 ga. wire, 2-1/2" post 10' O.C., 1-5/8" top rail, 12' high, includes excavation</t>
  </si>
  <si>
    <t>U16535</t>
  </si>
  <si>
    <t>32311 353 0100</t>
  </si>
  <si>
    <t>High-security chain link fences, gates &amp; systems, chain link fence, 7' high, standard FE-7, includes excavation and posts</t>
  </si>
  <si>
    <t>U105076</t>
  </si>
  <si>
    <t>32311 353 0200</t>
  </si>
  <si>
    <t>High-security chain link fences, gates &amp; systems, barbed wire fence, 7' high, includes excavation and posts</t>
  </si>
  <si>
    <t>U105077</t>
  </si>
  <si>
    <t>32312 620 0015</t>
  </si>
  <si>
    <t>U27006</t>
  </si>
  <si>
    <t>32312 620 0020</t>
  </si>
  <si>
    <t>U27007</t>
  </si>
  <si>
    <t>32323 610 4350</t>
  </si>
  <si>
    <t>Gabion retaining walls, stone filled gabions, stone delivered, galvanized, 33 degree slope embankment, 3' wide, 6' high, excludes excavation</t>
  </si>
  <si>
    <t>U11312</t>
  </si>
  <si>
    <t>32323 610 4600</t>
  </si>
  <si>
    <t>Gabion retaining walls, stone filled gabions, stone delivered, galvanized, up to 33 degree slope embankment, 3' wide, 9' high, excludes excavation</t>
  </si>
  <si>
    <t>U11317</t>
  </si>
  <si>
    <t>32323 610 4900</t>
  </si>
  <si>
    <t>Gabion retaining walls, stone filled gabions, stone delivered, galvanized, up to 33 degree slope embankment, 3' wide, 12' high, excludes excavation</t>
  </si>
  <si>
    <t>U11322</t>
  </si>
  <si>
    <t>32911 316 0100</t>
  </si>
  <si>
    <t>U17816</t>
  </si>
  <si>
    <t>32911 316 0150</t>
  </si>
  <si>
    <t>Soil preparation, mulching, aged barks, 3" deep, skid steer loader</t>
  </si>
  <si>
    <t>U17817</t>
  </si>
  <si>
    <t>32911 316 0200</t>
  </si>
  <si>
    <t>U17818</t>
  </si>
  <si>
    <t>32911 316 0250</t>
  </si>
  <si>
    <t>Soil preparation, mulching, hay, 1" deep, power mulcher, small</t>
  </si>
  <si>
    <t>U17819</t>
  </si>
  <si>
    <t>32911 316 0600</t>
  </si>
  <si>
    <t>U17827</t>
  </si>
  <si>
    <t>32911 316 0650</t>
  </si>
  <si>
    <t>U17828</t>
  </si>
  <si>
    <t>32911 316 1900</t>
  </si>
  <si>
    <t>U17849</t>
  </si>
  <si>
    <t>32911 316 1950</t>
  </si>
  <si>
    <t>U17850</t>
  </si>
  <si>
    <t>32911 326 0300</t>
  </si>
  <si>
    <t>Planting beds preparation, backfill planting pit, on site topsoil, skid steer loader</t>
  </si>
  <si>
    <t>B62</t>
  </si>
  <si>
    <t>U17629</t>
  </si>
  <si>
    <t>32911 913 0400</t>
  </si>
  <si>
    <t>Topsoil placement and grading, loam or topsoil, F.E. loader, 1-1/2 C.Y., remove and stockpile on site, spread from pile to rough finish grade</t>
  </si>
  <si>
    <t>B10S</t>
  </si>
  <si>
    <t>U11063</t>
  </si>
  <si>
    <t>32921 913 1000</t>
  </si>
  <si>
    <t>Seeding, mechanical seeding hydro or air seeding for large areas, includes lime, fertilizer and seed</t>
  </si>
  <si>
    <t>B81</t>
  </si>
  <si>
    <t>8,900</t>
  </si>
  <si>
    <t>U17656</t>
  </si>
  <si>
    <t>32922 310 0020</t>
  </si>
  <si>
    <t>Sodding, bluegrass sod, on level ground, 1" deep, 8 M.S.F.</t>
  </si>
  <si>
    <t>U17729</t>
  </si>
  <si>
    <t>32922 310 0200</t>
  </si>
  <si>
    <t>Sodding, bluegrass sod, on level ground, 1" deep, 4 M.S.F.</t>
  </si>
  <si>
    <t>U17730</t>
  </si>
  <si>
    <t>32922 310 0300</t>
  </si>
  <si>
    <t>U17732</t>
  </si>
  <si>
    <t>32922 310 0500</t>
  </si>
  <si>
    <t>Sodding, bluegrass sod, on sloped ground, 1 inch, over 8 M.S.F.</t>
  </si>
  <si>
    <t>U17734</t>
  </si>
  <si>
    <t>32922 310 0600</t>
  </si>
  <si>
    <t>Sodding, bluegrass sod, on sloped ground, 1 inch, 4 M.S.F.</t>
  </si>
  <si>
    <t>U17735</t>
  </si>
  <si>
    <t>32922 310 0700</t>
  </si>
  <si>
    <t>U17736</t>
  </si>
  <si>
    <t>32931 310 0900</t>
  </si>
  <si>
    <t>Ground cover, pea gravel, truckload lots</t>
  </si>
  <si>
    <t>U17780</t>
  </si>
  <si>
    <t>33111 325 2120</t>
  </si>
  <si>
    <t>Water supply distribution piping, piping polyvinyl chloride, class 150, 2" diameter, excludes excavation or backfill, unless specified</t>
  </si>
  <si>
    <t>Q1A</t>
  </si>
  <si>
    <t>U14223</t>
  </si>
  <si>
    <t>33211 310 0100</t>
  </si>
  <si>
    <t>U14664</t>
  </si>
  <si>
    <t>33211 310 1510</t>
  </si>
  <si>
    <t>U14691</t>
  </si>
  <si>
    <t>33211 310 1520</t>
  </si>
  <si>
    <t>U14692</t>
  </si>
  <si>
    <t>33211 310 1600</t>
  </si>
  <si>
    <t>U14693</t>
  </si>
  <si>
    <t>33211 320 1040</t>
  </si>
  <si>
    <t>U66593</t>
  </si>
  <si>
    <t>33211 320 3040</t>
  </si>
  <si>
    <t>U66603</t>
  </si>
  <si>
    <t>33311 325 2040</t>
  </si>
  <si>
    <t>U15737</t>
  </si>
  <si>
    <t>33361 310 0015</t>
  </si>
  <si>
    <t>Utility Septic Tank and Effluent Wet Wells, septic tanks precast concrete, 1,000 gallon, excludes excavation or piping</t>
  </si>
  <si>
    <t>U16079</t>
  </si>
  <si>
    <t>33361 310 0060</t>
  </si>
  <si>
    <t>Utility Septic Tank and Effluent Wet Wells, septic tanks precast concrete, 1,500 gallon, excludes excavation or piping</t>
  </si>
  <si>
    <t>U16081</t>
  </si>
  <si>
    <t>33361 310 0100</t>
  </si>
  <si>
    <t>U16082</t>
  </si>
  <si>
    <t>33361 310 2600</t>
  </si>
  <si>
    <t>U16115</t>
  </si>
  <si>
    <t>33361 310 2200</t>
  </si>
  <si>
    <t>Utility Septic Tank and Effluent Wet Wells, septic tank, 3/4 C.Y. bucket, excavation with backhoe, excludes excavation or piping</t>
  </si>
  <si>
    <t>U16113</t>
  </si>
  <si>
    <t>33361 310 2400</t>
  </si>
  <si>
    <t>Utility Septic Tank and Effluent Wet Wells, septic tanks 4' trench for disposal field, backhoe, 3/4 C.Y. bucket, excavation with backhoe</t>
  </si>
  <si>
    <t>U16114</t>
  </si>
  <si>
    <t>33421 615 3080</t>
  </si>
  <si>
    <t>Concrete Culverts, corrugated galvanized or aluminum oval arch culverts, coated &amp; paved, 35" x 24", 30" equivalent, 14 ga., excludes excavation and backfill</t>
  </si>
  <si>
    <t>U15637</t>
  </si>
  <si>
    <t>33421 615 3100</t>
  </si>
  <si>
    <t>Concrete Culverts, corrugated galvanized or aluminum oval arch culverts, coated &amp; paved, 42" x 29", 36" equivalent, 12 ga., excludes excavation and backfill</t>
  </si>
  <si>
    <t>U15638</t>
  </si>
  <si>
    <t>33421 615 3120</t>
  </si>
  <si>
    <t>Concrete Culverts, corrugated galvanized or aluminum oval arch culverts, coated &amp; paved, 49" x 33", 42" equivalent, 12 ga., excludes excavation and backfill</t>
  </si>
  <si>
    <t>U15639</t>
  </si>
  <si>
    <t>33421 615 3140</t>
  </si>
  <si>
    <t>U15640</t>
  </si>
  <si>
    <t>33421 615 3240</t>
  </si>
  <si>
    <t>Concrete Culverts, steel, plain oval arch culverts, plain, 35" x 24", 30" equivalent, 14 ga., excludes excavation and backfill</t>
  </si>
  <si>
    <t>U15646</t>
  </si>
  <si>
    <t>33421 615 3060</t>
  </si>
  <si>
    <t>Concrete Culverts, corrugated galvanized or aluminum oval arch culverts, coated &amp; paved, 28" x 20", 24" equivalent, 14 ga., excludes excavation and backfill</t>
  </si>
  <si>
    <t>U15636</t>
  </si>
  <si>
    <t>33421 615 3260</t>
  </si>
  <si>
    <t>Concrete Culverts, steel, plain oval arch culverts, plain, 42" x 29", 36" equivalent, 12 ga., excludes excavation and backfill</t>
  </si>
  <si>
    <t>U15647</t>
  </si>
  <si>
    <t>33421 615 3280</t>
  </si>
  <si>
    <t>Concrete Culverts, steel, plain oval arch culverts, plain, 49" x 33", 42" equivalent, 12 ga., excludes excavation and backfill</t>
  </si>
  <si>
    <t>U15648</t>
  </si>
  <si>
    <t>33421 615 3300</t>
  </si>
  <si>
    <t>U15649</t>
  </si>
  <si>
    <t>33421 615 3340</t>
  </si>
  <si>
    <t>U15651</t>
  </si>
  <si>
    <t>33421 615 3360</t>
  </si>
  <si>
    <t>Concrete Culverts, multi-plate arch, steel, excludes excavation and backfill</t>
  </si>
  <si>
    <t>1,690</t>
  </si>
  <si>
    <t>U15655</t>
  </si>
  <si>
    <t>33311 325 2000</t>
  </si>
  <si>
    <t>U15735</t>
  </si>
  <si>
    <t>01543 320 1300</t>
  </si>
  <si>
    <t>Rent vibratory plate compactor gas 18" plate 3000 lb blow</t>
  </si>
  <si>
    <t>Day+</t>
  </si>
  <si>
    <t>E101</t>
  </si>
  <si>
    <t>01543 320 0095</t>
  </si>
  <si>
    <t>Rent auger, for fence posts, gas engine, hand held</t>
  </si>
  <si>
    <t>E3710</t>
  </si>
  <si>
    <t>01543 320 0400</t>
  </si>
  <si>
    <t>E74</t>
  </si>
  <si>
    <t>01543 320 0450</t>
  </si>
  <si>
    <t>E75</t>
  </si>
  <si>
    <t>01543 320 4880</t>
  </si>
  <si>
    <t>Rent loader, skid steer, wheeled, 10 CF, 30 HP</t>
  </si>
  <si>
    <t>E181</t>
  </si>
  <si>
    <t>01543 320 4899</t>
  </si>
  <si>
    <t>Rent skid steer attachment, trencher</t>
  </si>
  <si>
    <t>E191</t>
  </si>
  <si>
    <t xml:space="preserve">2011 RS Means cost works - Crew information </t>
  </si>
  <si>
    <t>provides the unit costs and some hr. rates from crews.</t>
  </si>
  <si>
    <t>Cost Per Hour</t>
  </si>
  <si>
    <t>Chainsaw with operator</t>
  </si>
  <si>
    <t>common construction laborers</t>
  </si>
  <si>
    <t>Dozer, 105 HP, includes operator</t>
  </si>
  <si>
    <t>Dozer, 200 H.P. &amp; Sheepsft. Roller, towed, includes operator</t>
  </si>
  <si>
    <t>Dozer, small (80 HP) includes operator</t>
  </si>
  <si>
    <t>Front End Loader, Tractor Mounted includes operator</t>
  </si>
  <si>
    <t>Front End Loader, Wheel Mounted includes operator</t>
  </si>
  <si>
    <t>Backhoe Loader 80 HP, includes operator</t>
  </si>
  <si>
    <t>Hyd. Excavator, 3/4 CY, includes operator</t>
  </si>
  <si>
    <t>Dump Truck, 8 CY, 220HP, includes truck driver</t>
  </si>
  <si>
    <t>Chain Trencher, 12 HP, includes operator</t>
  </si>
  <si>
    <t>Backhoe Loader 48 HP, includes operator</t>
  </si>
  <si>
    <t>Skid Steer Loader, 30 HP gas, includes operator</t>
  </si>
  <si>
    <t>Hydromulcher, operator and crew</t>
  </si>
  <si>
    <t>Rotary Mower, Brushhog &amp; Tractor includes operator</t>
  </si>
  <si>
    <t>Feller Buncher, 100 HP, includes operator</t>
  </si>
  <si>
    <t>Welding, Field Welder, gas engine, 300 amp, includes operator</t>
  </si>
  <si>
    <t>Hyd. Crane, includes operator</t>
  </si>
  <si>
    <t>Plumber</t>
  </si>
  <si>
    <t>Electrician</t>
  </si>
  <si>
    <t>RSMeans CSI #</t>
  </si>
  <si>
    <t>Item Description</t>
  </si>
  <si>
    <t>RSMeans Labor Hours</t>
  </si>
  <si>
    <t>Statewide cost per unit</t>
  </si>
  <si>
    <t>Local Cost</t>
  </si>
  <si>
    <t>Data Source</t>
  </si>
  <si>
    <t>12' x 12' prefab shed</t>
  </si>
  <si>
    <t>Coarse aggregate</t>
  </si>
  <si>
    <t>Concrete blocks 2'x2'x6' delivered</t>
  </si>
  <si>
    <t>Concrete blocks 2'x2'x6' in place, includes labor &amp; equip</t>
  </si>
  <si>
    <t>Concrete, 1' curb reinforced</t>
  </si>
  <si>
    <t>Concrete, 2' curb reinforced</t>
  </si>
  <si>
    <t>Concrete, 4' reinforced walls</t>
  </si>
  <si>
    <t>Concrete, 5" Slab Flat work</t>
  </si>
  <si>
    <t>Concrete, 6' reinforced walls</t>
  </si>
  <si>
    <t>Concrete, 6" poured in place over compacted sand</t>
  </si>
  <si>
    <t>Concrete, 8" poured in place over compacted sand</t>
  </si>
  <si>
    <t>Concrete, Reinforced, 6" poured in place over compacted sand</t>
  </si>
  <si>
    <t>Concrete, reinforced, in place</t>
  </si>
  <si>
    <t>Corr. Plastic pipe, 12" dia. With flared inlet</t>
  </si>
  <si>
    <t>Devin 66 gallon poly containment pallet for poly spill deck 51" x 51" x 10"</t>
  </si>
  <si>
    <t>Earth fill</t>
  </si>
  <si>
    <t>Fence, 2 strand complete installed</t>
  </si>
  <si>
    <t>Fence, 3 strand complete installed in stream crossing</t>
  </si>
  <si>
    <t>Fence, 4 strand complete installed</t>
  </si>
  <si>
    <t>Fence, Barbed Wire</t>
  </si>
  <si>
    <t>Fence, corner assembly for 10' deer exclusion fence</t>
  </si>
  <si>
    <t>Fence, Gate  tubular steel, frame, or panel</t>
  </si>
  <si>
    <t>Fence, HT wire, smooth, coated, or barbed</t>
  </si>
  <si>
    <t>Fence, Metal T type line posts</t>
  </si>
  <si>
    <t>Fence, Metal T type line posts, taller for deer exclusion</t>
  </si>
  <si>
    <t>Fence, organic cedar post</t>
  </si>
  <si>
    <t>Fence, staples, crimps, and sleeves</t>
  </si>
  <si>
    <t>Fence, wood post tor 10' deer fence</t>
  </si>
  <si>
    <t>Fence, wood post, corners, braces, ends and gates</t>
  </si>
  <si>
    <t>Fence, woven wire</t>
  </si>
  <si>
    <t>Fence, Woven wire 10' for deer fence</t>
  </si>
  <si>
    <t>Fence, Woven Wire complete installed</t>
  </si>
  <si>
    <t>Fertilizer by the pound</t>
  </si>
  <si>
    <t>Fill, Clean Fill</t>
  </si>
  <si>
    <t>Flexible liner in shed and/or portable pad</t>
  </si>
  <si>
    <t>Flexible membrane liner, installed</t>
  </si>
  <si>
    <t>Geomembrane 25 mil</t>
  </si>
  <si>
    <t>Geomembrane Liner, installed</t>
  </si>
  <si>
    <t>Geotextile, installed</t>
  </si>
  <si>
    <t>Geotextile, material only</t>
  </si>
  <si>
    <t>Gravel fill in place</t>
  </si>
  <si>
    <t>Gravel, 22A</t>
  </si>
  <si>
    <t>Gravel, 22A, Delivered</t>
  </si>
  <si>
    <t>Gravel, 22A, Installed includes hauling spreading, leveling, and compaction</t>
  </si>
  <si>
    <t>Gravel, bank run</t>
  </si>
  <si>
    <t>Gravel, pea gravel for WCS backfill - installed</t>
  </si>
  <si>
    <t>Herbicide (materials only) in small quantities</t>
  </si>
  <si>
    <t>Herbicide 1/3 gal per ac for burn down, in 5 gal or more quantities</t>
  </si>
  <si>
    <t>Herbicide for wetlands i.e. Rodeo, Accord, or equivalent</t>
  </si>
  <si>
    <t>In-line water control structure 6 foot tall with 12-inch diameter inlet/outlet pipe - installed</t>
  </si>
  <si>
    <t>In-line water control structure 6 foot tall with 15-inch diameter inlet/outlet pipe - installed</t>
  </si>
  <si>
    <t>Livestock water on-demand drinker with fittings, installed</t>
  </si>
  <si>
    <t>Livestock water tank, 150 gallon poly tank with fittings, installed</t>
  </si>
  <si>
    <t>Livestock water tank, 300 gallon metal tank with fittings, installed</t>
  </si>
  <si>
    <t>Livestock water tank, 50 gallon poly tank with fittings, installed</t>
  </si>
  <si>
    <t>Mulch added to hydro or air seeding, includes equipment and labor</t>
  </si>
  <si>
    <t>Mulch Netting</t>
  </si>
  <si>
    <t>Mulch, Straw bales</t>
  </si>
  <si>
    <t>None</t>
  </si>
  <si>
    <t>Organic seed and mulch installed in areas disturbed during construction</t>
  </si>
  <si>
    <t>Organic Straw bales</t>
  </si>
  <si>
    <t>Pipe, 10-inch diameter, dual wall CPT</t>
  </si>
  <si>
    <t>Pipe, 12-inch diameter CPT dual-wall pipe - installed</t>
  </si>
  <si>
    <t>Pipe, 3" schedule 40 galvanized pipe for organic braces &amp; corners, &amp; ends.</t>
  </si>
  <si>
    <t>Pipe, 4" tile</t>
  </si>
  <si>
    <t>Pipe, 8-inch diameter, single wall  CPT</t>
  </si>
  <si>
    <t>Pipe, Corr. Plastic pipe, 15" dia. With flared inlet</t>
  </si>
  <si>
    <t>Pipe, Corr. Plastic pipe, 15" diam.</t>
  </si>
  <si>
    <t>Pipe, Corr. Plastic pipe, 15" diam., Barrel</t>
  </si>
  <si>
    <t>Pipe, Corr. Plastic pipe, 24" diam., drop</t>
  </si>
  <si>
    <t>Pipe, Corr. Plastic pipe, 30" diam., barrel</t>
  </si>
  <si>
    <t>Pipe, Corr. Plastic pipe, 42" diam., Drop</t>
  </si>
  <si>
    <t>Pipe, Corrugated Metal Pipe with rodent guard, 12 Inch Dia. - installed</t>
  </si>
  <si>
    <t xml:space="preserve">Pipe, drain outlet 6" corrugated metal </t>
  </si>
  <si>
    <t>Pipe, drain tubing 4" CPT</t>
  </si>
  <si>
    <t>Seasonal High Tunnel Baseboards 8'x2"x6"</t>
  </si>
  <si>
    <t>Seasonal High Tunnel End frame</t>
  </si>
  <si>
    <t>Seasonal High Tunnel Misc. Hardware for kit</t>
  </si>
  <si>
    <t>Seed and Mulch includes seedbed prep, installed in areas disturbed during construction</t>
  </si>
  <si>
    <t>Seed, alfalfa</t>
  </si>
  <si>
    <t>Seed, annual brassica or rape</t>
  </si>
  <si>
    <t>Seed, annual Ryegrass</t>
  </si>
  <si>
    <t>Seed, big bluestem</t>
  </si>
  <si>
    <t>Seed, Canada wild rye</t>
  </si>
  <si>
    <t>Seed, cereal rye</t>
  </si>
  <si>
    <t>Seed, clover seed</t>
  </si>
  <si>
    <t>Seed, cool season mix</t>
  </si>
  <si>
    <t>Seed, forage chicory</t>
  </si>
  <si>
    <t>Seed, grass</t>
  </si>
  <si>
    <t>Seed, improved perennial ryegrass</t>
  </si>
  <si>
    <t>Seed, Little bluestem</t>
  </si>
  <si>
    <t>Seed, medium red clover</t>
  </si>
  <si>
    <t>Seed, native riparian graminoid/forb mix</t>
  </si>
  <si>
    <t>Seed, oilseed radish</t>
  </si>
  <si>
    <t>Seed, Orchard Grass, improved</t>
  </si>
  <si>
    <t>Seed, Organic Alsike Clover</t>
  </si>
  <si>
    <t>Seed, Organic oats</t>
  </si>
  <si>
    <t>Seed, Organic Wheat</t>
  </si>
  <si>
    <t>Seed, Organic winter rye</t>
  </si>
  <si>
    <t>Seed, sorghum, sudan or sudax</t>
  </si>
  <si>
    <t>Seed, Upland forbs &amp; grasses mix for partial shade</t>
  </si>
  <si>
    <t>Seed, Warm season grass and Forbs mix</t>
  </si>
  <si>
    <t>Seed, warm season grass mix big &amp;  little bluestem, switch &amp; indian grasses</t>
  </si>
  <si>
    <t>Seed, Wetland Mix, Forbs, Grass/Sedge/Rush</t>
  </si>
  <si>
    <t>Seed, wheat</t>
  </si>
  <si>
    <t>Seed, wildflower mix</t>
  </si>
  <si>
    <t>Seed, Wildflower mix, Michigan Pollinators Mix, 2 lb/ac</t>
  </si>
  <si>
    <t>Shrubs or trees</t>
  </si>
  <si>
    <t>Spring Box, installed</t>
  </si>
  <si>
    <t>Tank Support: wood and gravel/sand mix</t>
  </si>
  <si>
    <t>Torch fuel</t>
  </si>
  <si>
    <t>Tree Flagging Tape, roll</t>
  </si>
  <si>
    <t>Tree Marking Paint, can</t>
  </si>
  <si>
    <t>Tree protectors, installed</t>
  </si>
  <si>
    <t>Trees</t>
  </si>
  <si>
    <t>Trees, 12" to 18" or taller</t>
  </si>
  <si>
    <t>Trees, 3-5' Poplar whips</t>
  </si>
  <si>
    <t>Trees, ave 4', 3 to 4 yr old transplants</t>
  </si>
  <si>
    <t>Trees, bare root hardwood seedlings</t>
  </si>
  <si>
    <t>Weed Barrier, for trees and/or shrubs</t>
  </si>
  <si>
    <t>Well Pump and pressure tank, 1/2 HP, submersible - installed</t>
  </si>
  <si>
    <t>Well Pump and pressure tank, 3/4 HP, submersible - installed</t>
  </si>
  <si>
    <t>Wildlife habitat improvement materials, nesting platforms, boxes, and other materials to enhance habitat</t>
  </si>
  <si>
    <t>Wildlife Habitat, Bat Boxes, with post</t>
  </si>
  <si>
    <t>Wildlife Habitat, Bee Tubes, 20-25 per</t>
  </si>
  <si>
    <t>Wildlife Habitat, Bird Boxes, Large</t>
  </si>
  <si>
    <t>Wildlife Habitat, Bird Boxes, Small, with post</t>
  </si>
  <si>
    <t>Wood chips</t>
  </si>
  <si>
    <t>8'</t>
  </si>
  <si>
    <t>Lowes, Home Depot</t>
  </si>
  <si>
    <t>local costs from jobs installed &amp; suppliers</t>
  </si>
  <si>
    <t>RS Means Construction Cost Data</t>
  </si>
  <si>
    <t>Information from recent jobs, RS Means Construction Cost Data</t>
  </si>
  <si>
    <t>Devin</t>
  </si>
  <si>
    <t>Receipts from jobs reviewed for update in 2010</t>
  </si>
  <si>
    <t>Premier, Wright's, Gallagher's fencing contractor's bids</t>
  </si>
  <si>
    <t>Superior Cedar, Hoover Fence</t>
  </si>
  <si>
    <t>Per ton price averaged to per lb price</t>
  </si>
  <si>
    <t>Mason Elevator, Liquid Fertilizer, other suppliers in MI</t>
  </si>
  <si>
    <t>Local Landscape suppliers</t>
  </si>
  <si>
    <t>Hunter-Agri Coatsville, IN</t>
  </si>
  <si>
    <t>Hunter-Agri</t>
  </si>
  <si>
    <t>Hunter-Agri Coatsville, IN, data from jobs</t>
  </si>
  <si>
    <t>L&amp;M Supply, Hancor, Jenson Bridge&amp;Supply Co. &amp; RS Means Construction Cost Data for installation costs</t>
  </si>
  <si>
    <t>Hancor, Lowes, L&amp;M Supply, Jenson's</t>
  </si>
  <si>
    <t>RS Means Construction Cost Data, Prices checked with MI suppliers and averaged (Fisher Sand &amp; Gravel Midland, MI; Jack Millikin, Grayling, MI; Drenth Brother's Charlevoix Co.; Brady's Sand and Gravel, Tecumseh, MI and receipts from job in Big Rapids.</t>
  </si>
  <si>
    <t>Prices checked with MI suppliers and averaged (Fisher Sand &amp; Gravel Midland, MI; Jack Millikin, Grayling, MI; Drenth Brother's Charlevoix Co.; Brady's Sand and Gravel, Tecumseh, MI and receipts from job in Big Rapids.</t>
  </si>
  <si>
    <t>Tractor Supply Co.</t>
  </si>
  <si>
    <t xml:space="preserve">Tractor Supply Co. </t>
  </si>
  <si>
    <t>St Regis Pipe, Charlotte, MI &amp; RS Means Construction Cost Data &amp; from recent jobs</t>
  </si>
  <si>
    <t>Otis Elevator, Mason Elevator</t>
  </si>
  <si>
    <t>Premier Livestock, Tractor Supply</t>
  </si>
  <si>
    <t>Lowes, Home Depot, Landscape Suppliers</t>
  </si>
  <si>
    <t>MSU Extension &amp; data from recent jobs reviewed</t>
  </si>
  <si>
    <t>Jenson's and RS Means Construction Cost Data</t>
  </si>
  <si>
    <t>Local Landscape firm and MSU reports</t>
  </si>
  <si>
    <t>MI suppliers, SWCD sales</t>
  </si>
  <si>
    <t>Johnny Selected Seeds</t>
  </si>
  <si>
    <t>Michigan Seed Solutions, Dirt Works, Johnston Elevator Clare, MI; Organic Bean &amp; Grain Caro, MI; Blue River Hybrids, Northern Oil &amp; Mill, Fife, MI, other suppliers</t>
  </si>
  <si>
    <t>suppliers in MI</t>
  </si>
  <si>
    <t>AgGrand</t>
  </si>
  <si>
    <t>Critical Area Planting Cost Development</t>
  </si>
  <si>
    <t>local landscape firms, Mich Organic Farmers Organization</t>
  </si>
  <si>
    <t>Michigan Wildflower Farm</t>
  </si>
  <si>
    <t>Forester's Supply Catalog</t>
  </si>
  <si>
    <t>Hoover Fence Co.</t>
  </si>
  <si>
    <t>Data from local recent jobs</t>
  </si>
  <si>
    <t>St Regis Pipe, Charlotte, MI</t>
  </si>
  <si>
    <t>Michigan Seed Solutions, Ithaca Elevator</t>
  </si>
  <si>
    <t>Recent jobs, Wieber Lumber, Lowes</t>
  </si>
  <si>
    <t>Tek Supply,  Grower's Supply, &amp; recent jobs</t>
  </si>
  <si>
    <t>Recent Jobs</t>
  </si>
  <si>
    <t>based on cost development for Critical Area Planting</t>
  </si>
  <si>
    <t>Michigan Seed Solutions</t>
  </si>
  <si>
    <t>Michigan Seed Solutions, Otis Elevator</t>
  </si>
  <si>
    <t>recent construction site bids</t>
  </si>
  <si>
    <t>SWCD</t>
  </si>
  <si>
    <t>As per engineer's design and local concrete prices</t>
  </si>
  <si>
    <t>Valley Dealer, St Joe Co MI</t>
  </si>
  <si>
    <t>data from recent liquid tank installations</t>
  </si>
  <si>
    <t>local station's diesel prices</t>
  </si>
  <si>
    <t>SWCD, Michigan wild flower farm</t>
  </si>
  <si>
    <t>Tractor Supply</t>
  </si>
  <si>
    <t>lowes, home depot, SWCD</t>
  </si>
  <si>
    <t>SWCD data on wildlife supplier's price list</t>
  </si>
  <si>
    <t>Andy T's St Johns, MI</t>
  </si>
  <si>
    <t>Broadcast seeder</t>
  </si>
  <si>
    <t>Chainsawing, includes operator</t>
  </si>
  <si>
    <t>Chisel plow including operator</t>
  </si>
  <si>
    <t>Drill, rental warm season grasses, $125 min $15/ac</t>
  </si>
  <si>
    <t>Fertilizer spreading, includes operator</t>
  </si>
  <si>
    <t>Herbicide application, strip treatments pre/post emergence, includes tractor &amp; operator</t>
  </si>
  <si>
    <t>Lime application/spreader with operator</t>
  </si>
  <si>
    <t>Manure Tests</t>
  </si>
  <si>
    <t>Mechanical manipulation, vegetation and tree drops</t>
  </si>
  <si>
    <t>Mowing field mowing for establishment (post planting), includes operator</t>
  </si>
  <si>
    <t>Place and compaction of sand</t>
  </si>
  <si>
    <t>Planting with Drill, includes operator</t>
  </si>
  <si>
    <t>Shaping site prep with on farm equipment, includes operator</t>
  </si>
  <si>
    <t>Sheep's foot roller, includes operator</t>
  </si>
  <si>
    <t>Soil test presidedress N</t>
  </si>
  <si>
    <t>Soil Test, Saturated Media Test, Greenhouse</t>
  </si>
  <si>
    <t>Sprayer, includes operator</t>
  </si>
  <si>
    <t>Sprayer, quad-mounted, includes operator</t>
  </si>
  <si>
    <t>Sprayer, tractor mounted boom</t>
  </si>
  <si>
    <t>Tank, Truck and Engine for burn, day rental use fee</t>
  </si>
  <si>
    <t>Tillage for site prep for planting seeds</t>
  </si>
  <si>
    <t>Track hoe, excavation</t>
  </si>
  <si>
    <t>Track hoe, small to install pipe</t>
  </si>
  <si>
    <t>Tractor &amp; chain, includes operator</t>
  </si>
  <si>
    <t>Tractor Backhoe w/ bucket</t>
  </si>
  <si>
    <t>Tractor mounted rototiller, includes operator</t>
  </si>
  <si>
    <t>Tractor with planter, includes operator</t>
  </si>
  <si>
    <t>Trained herd/flock Goats at $7.50/AU/mo</t>
  </si>
  <si>
    <t>Tree Planter with tractor and operator</t>
  </si>
  <si>
    <t>Trenching for pipe placement</t>
  </si>
  <si>
    <t>V-Ripper or Subsoiler</t>
  </si>
  <si>
    <t>Well Drilling, includes casing, screen, drop pipe</t>
  </si>
  <si>
    <t>OSU &amp; MSU custom rates</t>
  </si>
  <si>
    <t>MSU custom rates for farm equipment</t>
  </si>
  <si>
    <t>Forester's supply catalog</t>
  </si>
  <si>
    <t>OSU &amp; MSU custom rates for farm equipment</t>
  </si>
  <si>
    <t>SWCD rental rates</t>
  </si>
  <si>
    <t>MSU</t>
  </si>
  <si>
    <t>Local fire department fees for burns</t>
  </si>
  <si>
    <t xml:space="preserve">Goat owner's bids </t>
  </si>
  <si>
    <t>bids from Jobs Martell Tree Farm</t>
  </si>
  <si>
    <t>Bids and receipts from recent jobs</t>
  </si>
  <si>
    <t>Delivery and shipping of trees and tree materials, per job</t>
  </si>
  <si>
    <t>Included in Equipment</t>
  </si>
  <si>
    <t>UPS shipping rate on recent job</t>
  </si>
  <si>
    <t>None, on farm equipment</t>
  </si>
  <si>
    <t>Aerial seeding</t>
  </si>
  <si>
    <t>Aer-way on back of spreader</t>
  </si>
  <si>
    <t>Drip torches</t>
  </si>
  <si>
    <t>Radios for burn 5 walkie talkie with 10 yr life</t>
  </si>
  <si>
    <t>Various hand tools for burning, flappers $60, rakes $14, etc for 5 yr life</t>
  </si>
  <si>
    <t>Included in Materials and Equipment Services</t>
  </si>
  <si>
    <t>Installation of sprinkler pkg &amp; pressure regulators by local dealer</t>
  </si>
  <si>
    <t>IPM consulting services pome fruit orchards</t>
  </si>
  <si>
    <t>IPM consulting services stone fruit orchards and/or vegetable crops</t>
  </si>
  <si>
    <t>Irrigation System evaluation</t>
  </si>
  <si>
    <t>Irrigation system flow measurement with flow meter by local dealer</t>
  </si>
  <si>
    <t>Soil sampling on a per test basis in seasonal tunnels</t>
  </si>
  <si>
    <t>L. S.</t>
  </si>
  <si>
    <t>Bureau of Labor Statistics and MI Ag Statistics</t>
  </si>
  <si>
    <t>Valley dealers in SW Michigan</t>
  </si>
  <si>
    <t>Interviews with fruit consultants</t>
  </si>
  <si>
    <t>Valley dealers in SW Michigan &amp; SWCD</t>
  </si>
  <si>
    <t>Wright's, Galliger's, contractor's bids</t>
  </si>
  <si>
    <t>MSU Extension</t>
  </si>
  <si>
    <t>MSU Organic Farm Tunnel Research</t>
  </si>
  <si>
    <t>MSU crop enterprise data and data from Grazing Specialist contacts</t>
  </si>
  <si>
    <t>RS Means Cost Works</t>
  </si>
  <si>
    <t>Soil sampling for soil tests</t>
  </si>
  <si>
    <t>Contingencies allow for unforeseen construction difficulties and are a matter of judgment based upon project phase and other factors influencing contruction costs.</t>
  </si>
  <si>
    <t>1=materials, 2=equipment, 3=mobilization, 4=labor, 5=cust cost</t>
  </si>
  <si>
    <t>Total Incl O&amp;P</t>
  </si>
  <si>
    <t xml:space="preserve">Hr. </t>
  </si>
  <si>
    <t xml:space="preserve">Ea. </t>
  </si>
  <si>
    <t xml:space="preserve">Cu. Ft. </t>
  </si>
  <si>
    <t>Roll</t>
  </si>
  <si>
    <t>Fertilizer by the ton</t>
  </si>
  <si>
    <t>Herbicide 1/3 gal per ac for burn down</t>
  </si>
  <si>
    <t>Mulch, straw &amp; netting blanket, 80-90 sq ft roll</t>
  </si>
  <si>
    <t>Organic fertilizer P and K</t>
  </si>
  <si>
    <t>Organic liquid fertilizer 4-33 AgGrand</t>
  </si>
  <si>
    <t>Pipe 1 1/4" with accessories/fittings</t>
  </si>
  <si>
    <t>Pipe 2" PE, 100 psi, including fittings</t>
  </si>
  <si>
    <t>Pipe 2.5"</t>
  </si>
  <si>
    <t>Pipe shut off ball valve above ground with protection</t>
  </si>
  <si>
    <t>Pipe shut off ball valves with protection &amp; extension for shallow buried pipe.</t>
  </si>
  <si>
    <t>Pipe shut off ball valves with protection &amp; extension, buried below frost line</t>
  </si>
  <si>
    <t>Pipeline air vents for shallow buried pipe</t>
  </si>
  <si>
    <t>Small grains seed</t>
  </si>
  <si>
    <t>Soda ash</t>
  </si>
  <si>
    <t>Sorghum, sudan or sudax seed</t>
  </si>
  <si>
    <t>Vegetative plugs, grasses, sedges, rushes, wildflowers @ 32 per flat</t>
  </si>
  <si>
    <t>Water storage tank poly 1500 gallon size</t>
  </si>
  <si>
    <t>Soil sampling gird or zone test</t>
  </si>
  <si>
    <t>Herbicide application, broadcast</t>
  </si>
  <si>
    <t>Mechanical weed control pre and post planting</t>
  </si>
  <si>
    <t>Protective clothing for burning, gloves, hardhat, nomex, etc. $215 per at 10 yr life</t>
  </si>
  <si>
    <t>Backhoe-loader 40 to 45 HP 5/8 CY capacity, rent</t>
  </si>
  <si>
    <t>Backhoe-loader 45 to 60 HP 3/4 CY capacity, rent</t>
  </si>
  <si>
    <t>Skid steer loader, wheeled, 10 CF, 30 HP, rent</t>
  </si>
  <si>
    <t>Vibratory plate compactor gas 18" plate 3000 lb blow, rent</t>
  </si>
  <si>
    <t xml:space="preserve">Seed, Organic annual brassica or rape </t>
  </si>
  <si>
    <t>Seed, Organic annual ryegrass</t>
  </si>
  <si>
    <t xml:space="preserve">Seed, Organic clover </t>
  </si>
  <si>
    <t>Seed, Organic cool season mix</t>
  </si>
  <si>
    <t>Seed, Organic forage chicory</t>
  </si>
  <si>
    <t>Seed, Organic improved perennial ryegrass</t>
  </si>
  <si>
    <t>Seed, Organic Medium Red clover</t>
  </si>
  <si>
    <t xml:space="preserve">Seed, Organic orchard grass </t>
  </si>
  <si>
    <t>Seed, Organic perennial ryegrass</t>
  </si>
  <si>
    <t xml:space="preserve">Seed, Organic small grains </t>
  </si>
  <si>
    <t xml:space="preserve">Seed, Organic sorghum, sudan or sudax </t>
  </si>
  <si>
    <t xml:space="preserve">Seed, Organic switchgrass </t>
  </si>
  <si>
    <t>Seed, Organic alfalfa</t>
  </si>
  <si>
    <t>Michigan Seed Solutions, Dirt Works, Johnston Elevator Clare, MI; Organic Bean &amp; Grain Caro, MI; Blue River Hybrids, Northern Oil &amp; Mill, Fife, MI; Johnny Selected Seeds; other suppliers</t>
  </si>
  <si>
    <t>Legal Description:</t>
  </si>
  <si>
    <t>Practice(s) incuded in this estimate:</t>
  </si>
  <si>
    <t>Code ID</t>
  </si>
  <si>
    <t>Aggregates, soil, masonry</t>
  </si>
  <si>
    <t>Geotextile, liners, mesh, and boxes</t>
  </si>
  <si>
    <t>Erosion control blanket</t>
  </si>
  <si>
    <t>Agricultural</t>
  </si>
  <si>
    <t>Piping, pumps, and accessories</t>
  </si>
  <si>
    <t>Seed, Ryegrass, annual</t>
  </si>
  <si>
    <t>Bentonite, sodium</t>
  </si>
  <si>
    <t>Prefab/building materials</t>
  </si>
  <si>
    <t>Herbicide, Pendulum or Vantage</t>
  </si>
  <si>
    <t>Ag chemicals, seed, sod, trees</t>
  </si>
  <si>
    <t xml:space="preserve">Backpack sprayers </t>
  </si>
  <si>
    <t>Demolition</t>
  </si>
  <si>
    <t>Site prep, other</t>
  </si>
  <si>
    <t>Wildlife habitat, Nesting Structures</t>
  </si>
  <si>
    <t>Fencing and wildlife habitat</t>
  </si>
  <si>
    <t>Gutters, roofing, and tanks</t>
  </si>
  <si>
    <t>Materials Summary:</t>
  </si>
  <si>
    <t>Equipment Use, Services &amp; Mobilization Summary:</t>
  </si>
  <si>
    <t>Mobilization and Labor Summary:</t>
  </si>
  <si>
    <t>This practice/s may include other expenditures to obtain knowledge and skills to learn how to properly operate or maintain this practice/s.  The cost for other technical advisors or consultants used to assist in implementing are not included in this estimate.</t>
  </si>
  <si>
    <t>Acquiring Technical Knowledge:</t>
  </si>
  <si>
    <t>Foregone Income:</t>
  </si>
  <si>
    <t>Subtotal Mobilization and Labor</t>
  </si>
  <si>
    <t>Subtotal Customer's Costs for Permits, Fees, etc.</t>
  </si>
  <si>
    <t>Contingency</t>
  </si>
  <si>
    <t>Other Costs</t>
  </si>
  <si>
    <t>not applicable</t>
  </si>
  <si>
    <t>DEQ Permits- $1000</t>
  </si>
  <si>
    <t>DEQ Permits - $500</t>
  </si>
  <si>
    <t>DEQ Permits - $5000</t>
  </si>
  <si>
    <t>Soils investication / test pit, etc.</t>
  </si>
  <si>
    <t>An on-farm facility for the treatment or disposal of livestock and poultry carcasses for routine and catastrophic mortality events.</t>
  </si>
  <si>
    <t>Channel Bed Stabilization</t>
  </si>
  <si>
    <t>Combustion System Improvement</t>
  </si>
  <si>
    <t>Installing, replacing, or retrofitting agricultural combustion systems and/or related components or devices for air quality and energy efficiency improvement.</t>
  </si>
  <si>
    <t>Fishpond Management</t>
  </si>
  <si>
    <t>The removal or control of herbaceous weeds including invasive, noxious and prohibited plants.</t>
  </si>
  <si>
    <t>Irrigation Pipeline</t>
  </si>
  <si>
    <t>A pipeline and appurtenances installed to convey water for storage or application, as part of an irrigation water system.</t>
  </si>
  <si>
    <t>Irrigation Reservoir</t>
  </si>
  <si>
    <t>Ac. Ft.</t>
  </si>
  <si>
    <t>Irrigation System, Microirrigation</t>
  </si>
  <si>
    <t>Residue Management, Mulch-Till</t>
  </si>
  <si>
    <t>Residue Management, No-Till/Strip Till/Direct Seed</t>
  </si>
  <si>
    <t>Road/Trail/Landing Closure and Treatment</t>
  </si>
  <si>
    <t xml:space="preserve">Roofs and Covers </t>
  </si>
  <si>
    <t>A seasonal polyethylene covered structure with no electrical, heating, and/or mechanical ventilation systems that is used to cover crops to extend the growing season in an environmentally sound manner.</t>
  </si>
  <si>
    <t>A filtration or screening device, settling tank, settling basin, or settling channel used to separate a portion of solids from a liquid waste stream.</t>
  </si>
  <si>
    <t>Trails and Walkways</t>
  </si>
  <si>
    <t>Waste Facility Closure</t>
  </si>
  <si>
    <t>Waste Recycling</t>
  </si>
  <si>
    <t>Water Well Decommissioning</t>
  </si>
  <si>
    <t>Aquatic Organism Passage</t>
  </si>
  <si>
    <t>This practice may be applied as part of a conservation management system to reduce energy use.</t>
  </si>
  <si>
    <t>100 W PSMH lighting fixture, installed</t>
  </si>
  <si>
    <t>Practice Activity type</t>
  </si>
  <si>
    <t>Vegetative</t>
  </si>
  <si>
    <t>Structural</t>
  </si>
  <si>
    <t>Amendment for Treatment of Agricultural Waste</t>
  </si>
  <si>
    <t>Treatment of manure, process wastewater, storm
water runoff from lots or other high intensity areas,
and other wastes, with chemical or biological
additives</t>
  </si>
  <si>
    <t>AU</t>
  </si>
  <si>
    <t>Anaerobic Digester</t>
  </si>
  <si>
    <t>Mile</t>
  </si>
  <si>
    <t>Management</t>
  </si>
  <si>
    <t>Contour Orchard and Other Perennial Crops</t>
  </si>
  <si>
    <t>Cross Wind Trap Strips</t>
  </si>
  <si>
    <t>Dry Hydrant</t>
  </si>
  <si>
    <t xml:space="preserve">Farmstead Energy Improvement </t>
  </si>
  <si>
    <t>Ft./Ac.</t>
  </si>
  <si>
    <t>Fueling Facility Above-Ground Storage</t>
  </si>
  <si>
    <t>Permanently located above ground facilities designed to provide safe storage of on-farm oil products.</t>
  </si>
  <si>
    <t>Integrated Pest Management</t>
  </si>
  <si>
    <t>Karst Sinkhole Treatment</t>
  </si>
  <si>
    <t>The treatment of sinkholes in karst areas to reduce
contamination of groundwater resources, and/or to
improve farm safety.</t>
  </si>
  <si>
    <t xml:space="preserve">Livestock Pipeline </t>
  </si>
  <si>
    <t>Milking Center Wastewater Treatment</t>
  </si>
  <si>
    <t>The mechanical, chemical, or biological
treatment of milking center wastewater.</t>
  </si>
  <si>
    <t>Pond Sealing or Lining - Compacted Clay Treatment</t>
  </si>
  <si>
    <t>521D</t>
  </si>
  <si>
    <t>A liner for a pond or waste storage impoundment
constructed using compacted soil without soil
amendments.</t>
  </si>
  <si>
    <t>The closure, decommissioning, or abandonment of roads, trails, and/or landings and associated treatment to achieve conservation objectives.</t>
  </si>
  <si>
    <t>Disposal of surplus excavated materials.</t>
  </si>
  <si>
    <t>Vertical Drain</t>
  </si>
  <si>
    <t>A well, pipe, pit, or bore in porous, underground
strata into which drainage water can be discharged
without contaminating groundwater resources.</t>
  </si>
  <si>
    <t>Waste Treatment</t>
  </si>
  <si>
    <t>The mechanical, chemical or biological treatment
of agricultural waste.</t>
  </si>
  <si>
    <t>ID</t>
  </si>
  <si>
    <t>Component Name</t>
  </si>
  <si>
    <t>Cost Category</t>
  </si>
  <si>
    <t>MI $/Unit</t>
  </si>
  <si>
    <t>"Brush Chipper, 12"" capacity"</t>
  </si>
  <si>
    <t>Equipment/Installation</t>
  </si>
  <si>
    <t>"Brush Chipper, 12"" capacity, typically 130 HP. Includes chipper and power unit.  Does not include labor."</t>
  </si>
  <si>
    <t>Hour</t>
  </si>
  <si>
    <t>"Brush Chipper, 15"" capacity"</t>
  </si>
  <si>
    <t>"Brush Chipper, 15"" capacity, typically 165 HP. Includes chipper and power unit.  Does not include labor."</t>
  </si>
  <si>
    <t>"Brush Chipper, 6"" capacity"</t>
  </si>
  <si>
    <t>"Brush Chipper, 6"" capacity, typically 35 HP. Includes chipper and power unit.  Labor not included."</t>
  </si>
  <si>
    <t>"GeoCell, 4"""</t>
  </si>
  <si>
    <t>"Polymer 3-D cellular grid 4"" deep that is filled with stone or earth.  Includes materials, labor and equipment for the geocell only, does not include backfill."</t>
  </si>
  <si>
    <t>Square Yard</t>
  </si>
  <si>
    <t>"Horizontal Boring, &gt; 3"" diameter"</t>
  </si>
  <si>
    <t>Includes equipment, labor and setup.</t>
  </si>
  <si>
    <t>Foot</t>
  </si>
  <si>
    <t>"Horizontal Boring, ≤ 3"" diameter"</t>
  </si>
  <si>
    <t>"Trencher, 8"""</t>
  </si>
  <si>
    <t>Equipment and power unit costs.  Labor not included.</t>
  </si>
  <si>
    <t>"Trenching, Earth, 12"" x 48"""</t>
  </si>
  <si>
    <t>"Trenching, earth, 12"" wide x 48"" depth, includes equipment and labor for trenching and backfilling"</t>
  </si>
  <si>
    <t>"Trenching, Earth, 12"" x 60"""</t>
  </si>
  <si>
    <t>"Trenching, earth, 12"" wide x 60"" depth, includes equipment and labor for trenching, laying 3""-6"" CPP drain line with envelope, and backfilling."</t>
  </si>
  <si>
    <t>"Trenching, Earth, 12"" x 70"""</t>
  </si>
  <si>
    <t>"Trenching, earth, 12"" wide x 70"" depth, includes equipment and labor for trenching, laying 3""-6"" CPP drain line with envelope, and backfilling."</t>
  </si>
  <si>
    <t>"Trenching, Earth, 24"" x 60"""</t>
  </si>
  <si>
    <t>"Trenching, earth, 24"" wide x 60"" depth, includes equipment and labor for trenching and backfilling."</t>
  </si>
  <si>
    <t>"Trenching, Earth, 24"" x 72"""</t>
  </si>
  <si>
    <t>"Trenching, earth, 24"" wide x 72"" depth, includes equipment and labor for trenching and backfilling."</t>
  </si>
  <si>
    <t>"Trenching, Earth, 30"" x 48"""</t>
  </si>
  <si>
    <t>"Trenching, earth, 30"" wide x 48"" depth, includes equipment and labor for trenching and backfilling"</t>
  </si>
  <si>
    <t>"Trenching, Earth, clay, 24"" x 48"""</t>
  </si>
  <si>
    <t>"Trenching, earth, clay, 24"" wide x 48"" depth, includes equipment and labor for trenching and backfilling and shoring/dewatering"</t>
  </si>
  <si>
    <t>"Trenching, Earth, clay, 24"" x 72"""</t>
  </si>
  <si>
    <t>"Trenching, earth, clay, 24"" wide x 72"" depth, includes equipment and labor for trenching and backfilling."</t>
  </si>
  <si>
    <t>"Trenching, Earth, loam, 24"" x 48"""</t>
  </si>
  <si>
    <t>"Trenching, earth, loam, 24"" wide x 48"" depth, includes equipment and labor for trenching and backfilling"</t>
  </si>
  <si>
    <t>"Trenching, Earth, loam, 24"" x 72"""</t>
  </si>
  <si>
    <t>"Trenching, earth, loam, 24"" wide x 72"" depth, includes equipment and labor for trenching and backfilling."</t>
  </si>
  <si>
    <t>"Trenching, tile line plowing, earth,  60"""</t>
  </si>
  <si>
    <t>"Plowing in 3""-15"" CPP drain line into earth,  60"" depth, includes equipment and labor for trenching, laying, and backfilling."</t>
  </si>
  <si>
    <t>Aerial lift, telescoping bucket</t>
  </si>
  <si>
    <t>Aerial lift, bucket truck or cherry picker, typical 40' boom. Equipment only.</t>
  </si>
  <si>
    <t>Aggregate, Wood Chips</t>
  </si>
  <si>
    <t>Includes materials, equipment and labor</t>
  </si>
  <si>
    <t>Cubic yard</t>
  </si>
  <si>
    <t>All terrain vehicles, ATV</t>
  </si>
  <si>
    <t>Includes equipment, power unit and labor costs.</t>
  </si>
  <si>
    <t>Application of ag waste amendment for poultry litter</t>
  </si>
  <si>
    <t>Litter amendment application performed in house.  Includes equipment, power unit and labor costs.</t>
  </si>
  <si>
    <t>Asphalt, Pavement with base</t>
  </si>
  <si>
    <t>"Asphalt, includes materials, equipment and labor for 3"" layer with 6"" base"</t>
  </si>
  <si>
    <t>Square Foot</t>
  </si>
  <si>
    <t>Auger, Post driver attachment</t>
  </si>
  <si>
    <t>Auger or post driver attachment to a tractor or skidsteer.  Does not include power unit.  Labor not included.</t>
  </si>
  <si>
    <t>Auger, Truck Mounted</t>
  </si>
  <si>
    <t>Truck mounted auger for large diameter excavation.  Includes equipment and labor.</t>
  </si>
  <si>
    <t>Backhoe, 80 HP</t>
  </si>
  <si>
    <t>Wheel mounted backhoe excavator with horsepower range of 60 to 90. Equipment and power unit costs. Labor not included.</t>
  </si>
  <si>
    <t>Bedding plow, 3-in-1</t>
  </si>
  <si>
    <t>Includes disking, ripping, bedding with the same unit.  Equipment, power unit, and labor cost included.  Example:  Savannah Plow, 3-in-1.</t>
  </si>
  <si>
    <t>Bucket Drill Rig with operator</t>
  </si>
  <si>
    <t>Bucket drill rig including equipment and power unit costs and labor.</t>
  </si>
  <si>
    <t>Catch Basin, concrete, 3'x3'x6'</t>
  </si>
  <si>
    <t>Catch Basin, Precast Concrete, 3' square or round, cast grate, 6' deep.  Includes materials, equipment and labor.</t>
  </si>
  <si>
    <t>Each</t>
  </si>
  <si>
    <t>Chaining</t>
  </si>
  <si>
    <t>Chainsaw</t>
  </si>
  <si>
    <t>Chemical, aerial application, fixed wing</t>
  </si>
  <si>
    <t>Chemical application performed by fixed wing aircraft.   Includes equipment, power unit and labor costs.</t>
  </si>
  <si>
    <t>Chemical, aerial application, helicopter</t>
  </si>
  <si>
    <t>Chemical application performed by helicopter on forest only.  Includes equipment, mobilization, and labor.</t>
  </si>
  <si>
    <t>Chemical, aerial application, turn-key operation</t>
  </si>
  <si>
    <t>Turn-key chemical application performed by helicopter on forest only.  Includes all cost of chemical application including equipment, mobilization, labor and material.</t>
  </si>
  <si>
    <t>Chemical, ground application</t>
  </si>
  <si>
    <t>Chemical application performed by ground equipment.  Includes equipment, power unit and labor costs.</t>
  </si>
  <si>
    <t>Chemical, ground application, wildland</t>
  </si>
  <si>
    <t>Chemical application performed by ground equipment.  Includes forestry application methods that include heavy equipment such as skidders.  Includes equipment, power unit and labor costs.</t>
  </si>
  <si>
    <t>Chemical, precision application</t>
  </si>
  <si>
    <t>Chemical application performed by light bar/GPS navigation system.  Includes equipment, power unit and labor costs.</t>
  </si>
  <si>
    <t>Chemical, spot treatment, single stem application</t>
  </si>
  <si>
    <t>Ground applied chemical to individual plants or group of plants, e.g., backpack sprayer treatment. Equipment and labor cost included.</t>
  </si>
  <si>
    <t>Chlorophyll Reader</t>
  </si>
  <si>
    <t>Applicator and chlorophyll sensor includes labor.  No materials</t>
  </si>
  <si>
    <t>Clearing and Grubbing</t>
  </si>
  <si>
    <t>Clearing and Grubbing, includes materials, equipment and labor</t>
  </si>
  <si>
    <t>Compaction, earthfill, vibratory plate</t>
  </si>
  <si>
    <t>Compaction of earthfill with a walk behind vibratory plate compactor in typical 6-8 inch thick lifts, 2 passes.  Includes equipment and labor.</t>
  </si>
  <si>
    <t>Cubic Yard</t>
  </si>
  <si>
    <t>Composter, drum, 6 CY</t>
  </si>
  <si>
    <t>6 CY drum composter unit.  Includes equipment and operation controls.  Labor not included.</t>
  </si>
  <si>
    <t>Concrete, CIP, formed reinforced</t>
  </si>
  <si>
    <t>Steel reinforced concrete formed and cast-in-placed in formed structures such as walls or suspended slabs by chute placement. Typical strength is 3000 to 4000 psi.  Includes materials, labor and equipment to transport, place and finish.</t>
  </si>
  <si>
    <t>Concrete, CIP, formless, non reinforced</t>
  </si>
  <si>
    <t>Non reinforced concrete cast-in-placed without forms by chute placement. Typical strength is 3000 to 4000 psi.  Includes materials, labor and equipment to transport, place and finish.</t>
  </si>
  <si>
    <t>Concrete, CIP, Slab on Grade, fiber reinforced</t>
  </si>
  <si>
    <t>Fiber reinforced concrete formed and cast-in-placed as a slab on grade by chute placement. Typical strength is 3000 to 4000 psi.  Includes materials, labor and equipment to transport, place and finish.</t>
  </si>
  <si>
    <t>Concrete, CIP, Slab on Grade, non reinforced</t>
  </si>
  <si>
    <t>Non reinforced concrete formed and cast-in-placed as a slab on grade by chute placement. Typical strength is 3000 to 4000 psi.  Includes materials, labor and equipment to transport, place and finish.</t>
  </si>
  <si>
    <t>Concrete, CIP, slab on grade, reinforced</t>
  </si>
  <si>
    <t>Steel reinforced concrete formed and cast-in-placed as a slab on grade by chute placement. Typical strength is 3000 to 4000 psi.  Includes materials, labor and equipment to transport, place and finish.</t>
  </si>
  <si>
    <t>Crane, truck mounted, hydraulic, 12 ton</t>
  </si>
  <si>
    <t>12 ton capacity truck mounted hydraulic crane.  Equipment cost only.</t>
  </si>
  <si>
    <t>Cultipacking</t>
  </si>
  <si>
    <t>Demolition, concrete</t>
  </si>
  <si>
    <t>Demolition and disposal of reinforced concrete structures including slabs and walls.  Includes labor and equipment.</t>
  </si>
  <si>
    <t>Dozer, 105 HP</t>
  </si>
  <si>
    <t>Track mounted Dozer with horsepower range of 90 to 125.  Equipment and power unit costs.  Labor not included.</t>
  </si>
  <si>
    <t>Dozer, 140 HP</t>
  </si>
  <si>
    <t>Track mounted Dozer with horsepower range of 125 to 160. Equipment and power unit costs. Labor not included.</t>
  </si>
  <si>
    <t>Dozer, 200 HP</t>
  </si>
  <si>
    <t>Track mounted Dozer with horsepower range of 160 to 250. Equipment and power unit costs. Labor not included.</t>
  </si>
  <si>
    <t>Dozer, 80 HP</t>
  </si>
  <si>
    <t>Track mounted Dozer with horsepower range of 60 to 90. Equipment and power unit costs. Labor not included.</t>
  </si>
  <si>
    <t>Dragline, 50 TN, 100' boom</t>
  </si>
  <si>
    <t>Dragline, typical 50 ton crawler crane with 100' boom and 2 CY bucket.  Equipment and power unit costs.  Labor not included.</t>
  </si>
  <si>
    <t>Drilling &amp; Blasting Rock,  Restricted Areas.</t>
  </si>
  <si>
    <t>Drilling &amp; Blasting Rock in restricted areas requiring extensive protective measures (Typically a min. 13 CY, Max. 1500 CY). Includes all equipment, labor and supplies to complete the blast.</t>
  </si>
  <si>
    <t>Drilling &amp; Blasting Rock, Bulk with blasting mats</t>
  </si>
  <si>
    <t>Bulk drilling &amp; Blasting of rock or boulders in locations requiring the use of blasting mats (Min. 175 CY, Max 1500 CY). Includes all equipment, labor and supplies to complete the blast.</t>
  </si>
  <si>
    <t>Drilling &amp; Blasting Rock, Deep hole method</t>
  </si>
  <si>
    <t>Deep hole method of drilling &amp; blasting rock (Typically a Min. 50 CY, Max. 1500 CY). Includes all equipment, labor and supplies to complete the blast.</t>
  </si>
  <si>
    <t>Drilling &amp; Blasting Rock, Open Face.</t>
  </si>
  <si>
    <t>Open Face drilling &amp; blasting of rock (typically a min. 225 CY, Max 1500 CY). Includes all equipment, labor and supplies to complete the blast.</t>
  </si>
  <si>
    <t>Drilling and Blasting Rock, Bulk</t>
  </si>
  <si>
    <t>Bulk drilling &amp; blasting of rock or boulders not requiring blasting mats (typically a min. 100 CY).  Includes all equipment, labor and supplies to complete the blast.</t>
  </si>
  <si>
    <t>Dust Control, Open Lot Solid Set Sprinkler System, w/Appurtenances, &lt; 20 Acres</t>
  </si>
  <si>
    <t>Solid set sprinkler system for dust control on open lot livestock pens, less than 20 acres, w/appurtenances and including complete labor and installation.</t>
  </si>
  <si>
    <t>Dust Control, Open Lot Solid Set Sprinkler System, w/Appurtenances, &gt; 60 Acres</t>
  </si>
  <si>
    <t>Solid set sprinkler system for dust control on open lot livestock pens, greater than 60 acres, w/appurtenances and including complete labor and installation</t>
  </si>
  <si>
    <t>Dust Control, Open Lot Solid Set Sprinkler System, w/Appurtenances, 20 to 60 Acres</t>
  </si>
  <si>
    <t>Solid set sprinkler system for dust control on open lot livestock pens, 20-60 acres, w/appurtenances and including complete labor and installation</t>
  </si>
  <si>
    <t>Earthfill, Dumped and Spread</t>
  </si>
  <si>
    <t>Earthfill, dumped and spread without compaction effort, includes equipment and labor</t>
  </si>
  <si>
    <t>Earthfill, Manually Compacted</t>
  </si>
  <si>
    <t>Earthfill, manually compacted, includes equipment and labor</t>
  </si>
  <si>
    <t>Earthfill, Roller Compacted</t>
  </si>
  <si>
    <t>Earthfill, roller or machine compacted, includes equipment and labor</t>
  </si>
  <si>
    <t>Electrical Conductivity (EC), field mapping</t>
  </si>
  <si>
    <t>Erosion Control - Trail/Road Water Deflectors</t>
  </si>
  <si>
    <t>"Trail water deflectors constructed of a length of conveyor belt or belting bolted between pressure treated 2""x6""x12' planks and installed in a shallow trench dug at a diagonal across a trail/road.  Cost includes materials and labor for construction and in"</t>
  </si>
  <si>
    <t>Excavation, clay, large equipment, 150 ft</t>
  </si>
  <si>
    <t>Bulk excavation of clay with dozer &gt;100 HP with average push distance of 150 feet.  Includes equipment and labor.</t>
  </si>
  <si>
    <t>Excavation, clay, large equipment, 1500 ft</t>
  </si>
  <si>
    <t>Bulk excavation of clay with scrapers with average haul distance of 1500 feet.  Includes equipment and labor.</t>
  </si>
  <si>
    <t>Excavation, clay, large equipment, 50 ft</t>
  </si>
  <si>
    <t>Bulk excavation of clay with dozer &gt;100 HP with average push distance of 50 feet.  Includes equipment and labor.</t>
  </si>
  <si>
    <t>Excavation, clay, small equipment, 50 ft</t>
  </si>
  <si>
    <t>Bulk excavation of clay with dozer &lt;100 HP with average push distance of 50 feet.  Includes equipment and labor.</t>
  </si>
  <si>
    <t>Excavation, common earth, large equipment, 150 ft</t>
  </si>
  <si>
    <t>Bulk excavation of common earth including sand and gravel with dozer &gt;100 HP with average push distance of 150 feet.  Includes equipment and labor.</t>
  </si>
  <si>
    <t>Excavation, common earth, large equipment, 1500 ft</t>
  </si>
  <si>
    <t>Bulk excavation of common earth including sand and gravel with scrapers with average haul distance of 1500 feet.  Includes equipment and labor.</t>
  </si>
  <si>
    <t>Excavation, common earth, large equipment, 50 ft</t>
  </si>
  <si>
    <t>Bulk excavation of common earth including sand and gravel with dozer &gt;100 HP with average push distance of 50 feet.  Includes equipment and labor.</t>
  </si>
  <si>
    <t>Excavation, common earth, side cast, large equipment</t>
  </si>
  <si>
    <t>Bulk excavation  and side casting of common earth with hydraulic excavator with less greater than 1 CY capacity.  Includes equipment and labor.</t>
  </si>
  <si>
    <t>Excavation, Common Earth, side cast, small equipment</t>
  </si>
  <si>
    <t>Bulk excavation and side casting of common earth with hydraulic excavator with less than 1 CY capacity.  Includes equipment and labor.</t>
  </si>
  <si>
    <t>Excavation, common earth, small equipment, 50 ft</t>
  </si>
  <si>
    <t>Bulk excavation of common earth with dozer &lt;100 HP with average push distance of 50 feet.  Includes equipment and labor.</t>
  </si>
  <si>
    <t>Excavation, common earth, wet, side cast, large equipment</t>
  </si>
  <si>
    <t>Bulk excavation  and side casting of wet common earth with hydraulic excavator or dragline with greater than 1 CY capacity.  Includes equipment and labor.</t>
  </si>
  <si>
    <t>Excavation, Rock, Ripping</t>
  </si>
  <si>
    <t>Excavation, rock, mechanical ripping, includes equipment and labor</t>
  </si>
  <si>
    <t>Feller buncher</t>
  </si>
  <si>
    <t>Fence, Wire Assembly, High Tensile Electric, 5 Strand</t>
  </si>
  <si>
    <t>Brace pins, springs, strainers, battens, clips, crimp sleeves, staples, insulators, wrap around sleeves</t>
  </si>
  <si>
    <t>Fence, Wire Assembly, Woven Wire, Game Fence</t>
  </si>
  <si>
    <t>Brace pins, twist sticks, staples</t>
  </si>
  <si>
    <t>Fertilizer, ground application, dry bulk</t>
  </si>
  <si>
    <t>Dry bulk fertilizer application performed by ground equipment.  Includes equipment, power unit and labor costs.</t>
  </si>
  <si>
    <t>Fertilizer, ground application, liquid</t>
  </si>
  <si>
    <t>Liquid fertilizer application performed by ground equipment.  Includes equipment, power unit and labor costs.</t>
  </si>
  <si>
    <t>Fertilizer, precision application</t>
  </si>
  <si>
    <t>Fertilizer application performed by light bar/GPS navigation system.  Includes equipment, power unit and labor costs.</t>
  </si>
  <si>
    <t>Fire Plow</t>
  </si>
  <si>
    <t>Heavy wildland plow or disk used for installing firebreaks. Equipment costs only for plow, use with a dozer component.  Labor not included.</t>
  </si>
  <si>
    <t>Front End Loader, 130 HP</t>
  </si>
  <si>
    <t>Wheeled front end loader with horsepower range of 110 to 140.  Equipment and power unit costs.  Labor not included.</t>
  </si>
  <si>
    <t>Front End Loader, 185 HP</t>
  </si>
  <si>
    <t>Wheeled front end loader with horsepower range of 160 to 210.  Equipment and power unit costs.  Labor not included.</t>
  </si>
  <si>
    <t>Front End Loader, 95 HP</t>
  </si>
  <si>
    <t>Wheeled front end loader with horsepower range of 80 to 110.  Equipment and power unit costs.  Labor not included.</t>
  </si>
  <si>
    <t>Fuser for HDPE Pipe</t>
  </si>
  <si>
    <t>"Fusing machine for 1"" to 12"" diameter HDPE pipe joints.  Equipment costs only.  Does not include labor."</t>
  </si>
  <si>
    <t>Geotextile, woven</t>
  </si>
  <si>
    <t>Woven Geotextile Fabric. Includes materials, equipment and labor</t>
  </si>
  <si>
    <t>Grazingland Renovation, Chiseling</t>
  </si>
  <si>
    <t>Chiseling on existing grazingland including tillage implement, power unit and labor.</t>
  </si>
  <si>
    <t>Grazingland Renovation, Furrowing</t>
  </si>
  <si>
    <t>Contour furrowing on existing grazingland including tillage implement, power unit and labor.</t>
  </si>
  <si>
    <t>Grazingland Renovation, Pitting</t>
  </si>
  <si>
    <t>Pitting, or Imprinting on existing grazingland including tillage implement, power unit and labor.</t>
  </si>
  <si>
    <t>Grazingland Renovation, Root plow</t>
  </si>
  <si>
    <t>Root plowing on existing grazingland including tillage implement, power unit and labor.</t>
  </si>
  <si>
    <t>Ground sprigging</t>
  </si>
  <si>
    <t>Includes costs for equipment, power unit and labor.</t>
  </si>
  <si>
    <t>Grout pump</t>
  </si>
  <si>
    <t>Grout pump with tremie pipe. Equipment and power unit costs.  Labor not included.</t>
  </si>
  <si>
    <t>Hand tools, tree planting</t>
  </si>
  <si>
    <t>Various hand tools for digging holes and planting trees such as augers, dibble bars, planting shovel, hoe-dad.  Equipment only.  Labor not included.</t>
  </si>
  <si>
    <t>Hauling, bulk, highway truck</t>
  </si>
  <si>
    <t>Hauling of bulk earthfill, rockfill, waste or debris.  One-way travel distance using fully loaded highway dump trucks (typically 16 CY or 20 TN capacity).  Includes equipment and labor for truck only.  Does not include cost for loading truck.</t>
  </si>
  <si>
    <t>Cubic Yard Mile</t>
  </si>
  <si>
    <t>Heavy mechanical site prep, blading/pushing, piling</t>
  </si>
  <si>
    <t>Mechanical operations that push trees and vegetation.  Requires heavy equipment such as dozers, Includes equipment, power unit and labor costs.</t>
  </si>
  <si>
    <t>Heavy mechanical site prep, drum chopping</t>
  </si>
  <si>
    <t>Mechanical operations that pushing trees and vegetation and crushing them with a water filled roller chopper.  Requires heavy equipment such as dozers.  Includes equipment, power unit and labor costs.</t>
  </si>
  <si>
    <t>Heavy mechanical site prep, raking</t>
  </si>
  <si>
    <t>Mechanical operations that pushing and raking trees and vegetation.  Requires heavy equipment such as dozers.  Includes equipment, power unit and labor costs.</t>
  </si>
  <si>
    <t>Heavy mechanical site prep, shearing, V-blade, K-G blading</t>
  </si>
  <si>
    <t>Mechanical operations that shear trees and vegetation.  Requires heavy equipment such as dozers, Includes equipment, power unit and labor costs.</t>
  </si>
  <si>
    <t>Hydraulic Excavator, .5 CY</t>
  </si>
  <si>
    <t>Track mounted hydraulic excavator with bucket capacity range of 0.3 to 0.8 CY. Equipment and power unit costs. Labor not included.</t>
  </si>
  <si>
    <t>Hydraulic Excavator, 1 CY</t>
  </si>
  <si>
    <t>Track mounted hydraulic excavator with bucket capacity range of 0.8 to 1.5 CY. Equipment and power unit costs. Labor not included.</t>
  </si>
  <si>
    <t>Hydraulic Excavator, 2 CY</t>
  </si>
  <si>
    <t>Track mounted hydraulic excavator with bucket capacity range of 1.5 to 2.5 CY. Equipment and power unit costs. Labor not included.</t>
  </si>
  <si>
    <t>Hydrofracture Rig with Operator</t>
  </si>
  <si>
    <t>Equipment and power unit costs including mechanical packer equipment.  Labor included.</t>
  </si>
  <si>
    <t>Irrigation Flood Bench system</t>
  </si>
  <si>
    <t>Sliding benches or troughs used for potted plant irrigation.  Distribution system is included in benches.  Includes materials, labor, and equipment costs.</t>
  </si>
  <si>
    <t>Irrigation Flood Floor system</t>
  </si>
  <si>
    <t>Concrete flood floor system for irrigation of greenhouse crops.  Includes floor and underfloor distribution system.  Includes material, labor, and equipment cost.</t>
  </si>
  <si>
    <t>Jack Hammer</t>
  </si>
  <si>
    <t>60-90 pound jack hammer (electric, pneumatic, or hydraulic).  Equipment only.</t>
  </si>
  <si>
    <t>Light tillage, shelterbelt, within row</t>
  </si>
  <si>
    <t>Within row mechanical tillage (between trees).  Includes Equipment, power unit and labor.</t>
  </si>
  <si>
    <t>Lime application</t>
  </si>
  <si>
    <t>Lime application performed by ground equipment.  Includes equipment, power unit and labor costs.</t>
  </si>
  <si>
    <t>Lime application, precision</t>
  </si>
  <si>
    <t>Lime application performed by light bar/GPS navigation system.  Includes equipment, power unit and labor costs.</t>
  </si>
  <si>
    <t>Log skidder</t>
  </si>
  <si>
    <t>Manure Hauling, Liquid manure, loading costs</t>
  </si>
  <si>
    <t>Base cost of liquid manure hauling.  Includes loading and equipment preparation costs.  Use in conjunction with transportation component to determine total cost.  Includes equipment, power unit and labor.</t>
  </si>
  <si>
    <t>Gallon</t>
  </si>
  <si>
    <t>Manure Hauling, Liquid manure, transportation</t>
  </si>
  <si>
    <t>Transportation cost of hauling liquid manure.  Trucking costs based on gallons hauled times miles.  Includes equipment, power unit and labor.  Does not include costs for loading or unloading.</t>
  </si>
  <si>
    <t>Gallon-Mile</t>
  </si>
  <si>
    <t>Manure Hauling, Solid manure, loading costs</t>
  </si>
  <si>
    <t>Base cost of solid manure hauling.  Includes loading and equipment preparation costs.  Use in conjunction with transportation component to determine total cost.  Includes equipment, power unit and labor.</t>
  </si>
  <si>
    <t>Manure Hauling, solid manure, transportation</t>
  </si>
  <si>
    <t>Transportation cost of hauling solid manure.  Trucking costs based on tons hauled times miles.  Includes equipment, power unit and labor.  Does not include costs for loading or unloading.</t>
  </si>
  <si>
    <t>Ton-Mile</t>
  </si>
  <si>
    <t>Manure, compost, application</t>
  </si>
  <si>
    <t>Loading, hauling and spreading manure/compost by ground equipment.  Includes equipment, power unit and labor costs.</t>
  </si>
  <si>
    <t>Manure, compost, injection</t>
  </si>
  <si>
    <t>Loading, hauling and injecting manure/compost by ground equipment.  Includes equipment, power unit and labor costs.</t>
  </si>
  <si>
    <t>Mechanical cutter, chopper</t>
  </si>
  <si>
    <t>Masticator, flail shredder, hydro axe, brush cutter, etc.  Equipment and power unit costs. Labor not included.</t>
  </si>
  <si>
    <t>Mechanical nut planter</t>
  </si>
  <si>
    <t>Mechanical nut planter for direct seeding of trees and shrubs.  Requires a pulling unit of either tractor or small dozer depending upon site conditions.  Does not include labor.</t>
  </si>
  <si>
    <t>Mechanical tree planter</t>
  </si>
  <si>
    <t>Mechanical tree planter.  Requires a pulling unit of either tractor or small dozer depending upon site conditions.  Does not include labor.</t>
  </si>
  <si>
    <t>Mechanical weed control, Vegetation termination</t>
  </si>
  <si>
    <t>Mechanical operations, Includes: Roller/crimper, mower, shredder, etc.   Includes equipment, power unit and labor costs.</t>
  </si>
  <si>
    <t>Micro Irrigation, chemical injection equipment</t>
  </si>
  <si>
    <t>Chemical Injector Pump, plus chemigation check valve, injector ports, and appurtenances, Installation included.</t>
  </si>
  <si>
    <t>Motor Grader, 120 HP</t>
  </si>
  <si>
    <t>Motor Grader or Maintainer, 120 hp.  Typical of equipment with less than 130 HP.  Equipment cost.  Does not include labor.</t>
  </si>
  <si>
    <t>Motor Grader, 150 HP</t>
  </si>
  <si>
    <t>Motor Grader or Maintainer, 150 hp.  Typical of equipment with HP in range of 130-170. Equipment cost, does not include labor.</t>
  </si>
  <si>
    <t>Motor Grader, 200 hp</t>
  </si>
  <si>
    <t>Motor Grader or Maintainer, 200 hp.  Includes equipment and power unit.  Labor not included.</t>
  </si>
  <si>
    <t>Motor Grader, 200 HP</t>
  </si>
  <si>
    <t>Motor Grader or Maintainer, 200 hp.  Typical of equipment with HP in range of 170-240. Equipment cost, does not include labor.</t>
  </si>
  <si>
    <t>Mower, Bush Hog</t>
  </si>
  <si>
    <t>Mulcher, straw blower</t>
  </si>
  <si>
    <t>Straw bale mulcher/blower to mechanically spread small or large straw bales.  Labor not included.</t>
  </si>
  <si>
    <t>PAM Application, metering equipment</t>
  </si>
  <si>
    <t>Metering equipment to dispense PAM into irrigation water at a controlled rate.  Equipment only.</t>
  </si>
  <si>
    <t>Plate compactor</t>
  </si>
  <si>
    <t>Manually guided vibratroy plate compactor. Equipment only.</t>
  </si>
  <si>
    <t>Portable Welder</t>
  </si>
  <si>
    <t>Portable field welder. Equipment only.  Labor not included.</t>
  </si>
  <si>
    <t>Pruning tool, pole saw</t>
  </si>
  <si>
    <t>Gasoline powered pole chainsaw. Labor not included.</t>
  </si>
  <si>
    <t>Pruning tools, hand tools</t>
  </si>
  <si>
    <t>Pruning tools, hand tools, shears, loppers, pole saw, handsaw Equipment costs only.  Labor not included.</t>
  </si>
  <si>
    <t>Pump, Turbine, Cast Iron, fixed cost portion</t>
  </si>
  <si>
    <t>Fixed cost portion of cast iron turbine pump with appurtenances.  Includes pump, appurtenances, and labor to install.</t>
  </si>
  <si>
    <t>Pump, Turbine, Cast Iron, variable cost portion</t>
  </si>
  <si>
    <t>Variable cost portion of cast iron turbine pump with appurtenances.  Includes pump, appurtenances, and labor to install.</t>
  </si>
  <si>
    <t>Gallons per Minute</t>
  </si>
  <si>
    <t>Ridge Till Row Cultivator</t>
  </si>
  <si>
    <t>Ripper or subsoiler, &gt; 36 inch depth</t>
  </si>
  <si>
    <t>Deep ripper or subsoiler, (&gt;36 inches depth) includes tillage implement, power unit and labor.</t>
  </si>
  <si>
    <t>Ripper or subsoiler, 16 to 36 inch depth</t>
  </si>
  <si>
    <t>Deep ripper or subsoiler, (16-36 inches depth) includes tillage implement, power unit and labor.</t>
  </si>
  <si>
    <t>Rock Riprap, grouted</t>
  </si>
  <si>
    <t>Grouted Rock Riprap, placed, includes materials, equipment and labor to transport and place.</t>
  </si>
  <si>
    <t>Roller, static, smooth, self propelled</t>
  </si>
  <si>
    <t>"Self propelled smooth drum static roller compactor, typically 1.5 ton with 34"" roller. Equipment cost only. Does not include labor."</t>
  </si>
  <si>
    <t>Roller, static, towed, tamping foot</t>
  </si>
  <si>
    <t>"Towed static tamping foot (sheepsfoot) roller compactor typically 60"" diameter drum.  Equipment cost only.  Does not include pulling equipment.  Add Tractor or Dozer."</t>
  </si>
  <si>
    <t>Roller, vibratory, towed</t>
  </si>
  <si>
    <t>Towed vibratory smooth or tamping foot (sheepsfoot) roller compactor typically 25 ton.  Equipment cost only.  Does not include pulling equipment.  Add Tractor or Dozer.</t>
  </si>
  <si>
    <t>Roof, Post frame, roof supports mounted on reinforced concrete walls &lt; 30 ft. wide</t>
  </si>
  <si>
    <t>Post Frame Roof Structure, no sides, where roof support posts mounted on top of reinforced concrete walls.  Includes materials, equipment and installation.  Does not incude foundation preparation</t>
  </si>
  <si>
    <t>Rotary Drill Rig with Operator</t>
  </si>
  <si>
    <t>Rotary drill rig including equipment and power unit costs and labor.</t>
  </si>
  <si>
    <t>Satellite imagery, aerial photography, infrared</t>
  </si>
  <si>
    <t>Infrared imagery</t>
  </si>
  <si>
    <t>Scraper, pull, 15 CY</t>
  </si>
  <si>
    <t>Pull type earthmoving scraper with 15 CY capacity.  Does not include pulling equipment or labor. Add Tractor or Dozer, 260 HP typically required for single scraper.</t>
  </si>
  <si>
    <t>Scraper, pull, 18 CY</t>
  </si>
  <si>
    <t>Pull type earthmoving scraper with 18 CY capacity.  Does not include pulling equipment or labor. Add Tractor or Dozer, 260 HP typically required for single scraper.</t>
  </si>
  <si>
    <t>Scraper, pull, 21 CY</t>
  </si>
  <si>
    <t>Pull type earthmoving scraper with 21 CY capacity.  Does not include pulling equipment or labor.  Add Tractor, 300 or larger HP typically required for single scraper.</t>
  </si>
  <si>
    <t>Scraper, pull, 24 CY</t>
  </si>
  <si>
    <t>Pull type earthmoving scraper with 24 CY capacity.  Does not include pulling equipment or labor.  Add Tractor, 400 or larger HP typically required for single scraper.</t>
  </si>
  <si>
    <t>Scraper, pull, 7 CY</t>
  </si>
  <si>
    <t>Pull type earthmoving scraper with 7 CY capacity.  Does not include pulling equipment or labor.  Add Tractor or Dozer, 160 HP typically required for single scraper.</t>
  </si>
  <si>
    <t>Scraper, self propelled, 21 CY</t>
  </si>
  <si>
    <t>Self propelled earthmoving scraper with 21 CY capacity. Does not include labor.</t>
  </si>
  <si>
    <t>Seeding Operation, Aerial</t>
  </si>
  <si>
    <t>Broadcast seed via aerial operation.  May require post tillage operation to incorporate seed. Includes equipment, power unit and labor costs.</t>
  </si>
  <si>
    <t>Seeding Operation, Broadcast, Ground</t>
  </si>
  <si>
    <t>Broadcast seed via ground operation.  May require post tillage operation to incorporate seed.  Includes equipment, power unit and labor costs.</t>
  </si>
  <si>
    <t>Seeding Operation, hydroseeder</t>
  </si>
  <si>
    <t>Hydroseeding with typical 1500 to 3600 gallon seeder.  Includes all costs for equipment, power unit, and labor.</t>
  </si>
  <si>
    <t>Seeding Operation, No Till/Grass Drill</t>
  </si>
  <si>
    <t>No Till drill or grass drill for seeding.  Includes equipment, power unit and labor costs.</t>
  </si>
  <si>
    <t>Seeding Operation, No Till/Strip Till Planter</t>
  </si>
  <si>
    <t>No Till/Strip Till row planters for seeding.  Includes all costs for equipment, power unit, and labor.</t>
  </si>
  <si>
    <t>Seeding Operation, Ridge Till Planter</t>
  </si>
  <si>
    <t>Mechanical seeding using ridge-till equipment.  Includes equipment, power unit and labor costs.</t>
  </si>
  <si>
    <t>Sheet piling, PVC, 15'</t>
  </si>
  <si>
    <t>PVC sheet pile, panels or barrier driven up to 15 feet and left in place. Includes materials, equipment and labor.</t>
  </si>
  <si>
    <t>Sheet piling, steel, 15'</t>
  </si>
  <si>
    <t>Steel sheet pile, panels or barrier driven up to 15 feet and left in place. Includes materials, equipment and labor.</t>
  </si>
  <si>
    <t>Site Preparation, Mechanical</t>
  </si>
  <si>
    <t>Aerator, rolling drum chopper, etc.  Includes equipment, power unit and labor costs.</t>
  </si>
  <si>
    <t>Skidsteer, 80 HP</t>
  </si>
  <si>
    <t>Skidsteer loader with horsepower range of 60 to 90. Equipment and power unit costs. Labor not included.</t>
  </si>
  <si>
    <t>Small Plug Flow Digester</t>
  </si>
  <si>
    <t>Concrete plug flow anaerobic digester which includes poured walls, floor and top.  Sized for smaller livestock operations (&lt;1000 AU).  Also included are any necessary reception and mixing tanks.  Includes labor and equipment.</t>
  </si>
  <si>
    <t>Soil mixing, roto tilling</t>
  </si>
  <si>
    <t>Mixing of soil to incorporate soil amendment.  Amendments such as bentonite, gypsum, and soil cement not included.</t>
  </si>
  <si>
    <t>Spreading, manure sludge</t>
  </si>
  <si>
    <t>Loading, hauling and spreading manure solids/sludge by ground equipment on nearby fields.  Includes equipment, power unit and labor costs.</t>
  </si>
  <si>
    <t>Cubic Foot</t>
  </si>
  <si>
    <t>Stinger, steel</t>
  </si>
  <si>
    <t>Attachment for a hydraulic excavator/skid loader to plant dormant unrooted cuttings of willow, cottonwood, dogwood, and other species through rip-rap along streambanks.  Equipment cost only.  Does not include power equipment or labor.</t>
  </si>
  <si>
    <t>Stinger, Waterjet</t>
  </si>
  <si>
    <t>A tool to plant dormant unrooted cuttings of willow, cottonwood, dogwood and other species along riparian areas or streambanks.  Equipment cost only.</t>
  </si>
  <si>
    <t>Stripping and stockpiling, topsoil</t>
  </si>
  <si>
    <t>Stripping and stockpiling of topsoil adjacent to stripping area. Includes equipment and labor.</t>
  </si>
  <si>
    <t>Stump Grinder</t>
  </si>
  <si>
    <t>Mechanical stump grinder. Equipment only.</t>
  </si>
  <si>
    <t>Terracing Machine, pull type</t>
  </si>
  <si>
    <t>Pull-type belt terracing unit.  Equipment cost only for implement, requires power unit. Does not include labor.</t>
  </si>
  <si>
    <t>Tillage, Light</t>
  </si>
  <si>
    <t>Includes light disking (tandem) or field cultivator.  Includes equipment, power unit and labor costs.</t>
  </si>
  <si>
    <t>Tillage, Primary</t>
  </si>
  <si>
    <t>Includes heavy disking (offset) or chisel plow.  Includes equipment, power unit and labor costs.</t>
  </si>
  <si>
    <t>Track Loader, 95HP</t>
  </si>
  <si>
    <t>Tractor, agricultural, 120 HP</t>
  </si>
  <si>
    <t>Agricultural tractor with horsepower range of 90 to 140. Equipment and power unit costs. Labor not included.</t>
  </si>
  <si>
    <t>Tractor, agricultural, 160 HP</t>
  </si>
  <si>
    <t>Agricultural tractor with horsepower range of 140 to 190. Equipment and power unit costs. Labor not included.</t>
  </si>
  <si>
    <t>Tractor, agricultural, 210 HP</t>
  </si>
  <si>
    <t>Agricultural tractor with horsepower range of 190 to 240.  Equipment and power unit costs.  Labor not included.</t>
  </si>
  <si>
    <t>Tractor, agricultural, 260 HP</t>
  </si>
  <si>
    <t>Agricultural tractor with horsepower range of 240 to 290. Equipment and power unit costs. Labor not included.</t>
  </si>
  <si>
    <t>Tractor, agricultural, 30 HP</t>
  </si>
  <si>
    <t>Agricultural tractor with horsepower range of less than 50. Equipment and power unit costs. Labor not included.</t>
  </si>
  <si>
    <t>Tractor, agricultural, 310 HP</t>
  </si>
  <si>
    <t>Agricultural tractor with horsepower range of 290 to 340.  Equipment and power unit costs.  Labor not included.</t>
  </si>
  <si>
    <t>Tractor, agricultural, 360 HP</t>
  </si>
  <si>
    <t>Agricultural tractor with horsepower range of 340 to 390. Equipment and power unit costs. Labor not included.</t>
  </si>
  <si>
    <t>Tractor, agricultural, 410 HP</t>
  </si>
  <si>
    <t>Agricultural tractor with horsepower range of 390 to 440. Equipment and power unit costs. Labor not included.</t>
  </si>
  <si>
    <t>Tractor, agricultural, 460 HP</t>
  </si>
  <si>
    <t>Agricultural tractor with horsepower range of 440 to 490. Equipment and power unit costs. Labor not included.</t>
  </si>
  <si>
    <t>Tractor, agricultural, 510 HP</t>
  </si>
  <si>
    <t>Agricultural tractor with horsepower range of 490 to 540. Equipment and power unit costs. Labor not included.</t>
  </si>
  <si>
    <t>Tractor, agricultural, 60 HP</t>
  </si>
  <si>
    <t>Agricultural tractor with horsepower range of 50 to 90. Equipment and power unit costs. Labor not included.</t>
  </si>
  <si>
    <t>Trailer, enclosed, large</t>
  </si>
  <si>
    <t>Large enclosed trailer (30' to 50' in length)pulled by a semi truck to transport materials and equipment. Truck not included.</t>
  </si>
  <si>
    <t>Trailer, enclosed, small</t>
  </si>
  <si>
    <t>Small enclosed trailer (typically less than 30' in length) pulled by a pickup to transport materials and equipment.  Truck not included.</t>
  </si>
  <si>
    <t>Trailer, flatbed, large</t>
  </si>
  <si>
    <t>Large flatbed trailer (typically 30' to 50' in length) pulled by a semi truck to transport materials and equipment.  Truck not included.</t>
  </si>
  <si>
    <t>Trailer, flatbed, small</t>
  </si>
  <si>
    <t>Small flatbed trailer (typically less than 30' in length) pulled by a pickup to transport materials and equipment.  Truck not included.</t>
  </si>
  <si>
    <t>Trailer, water tank</t>
  </si>
  <si>
    <t>Mobile 5,000 gal water tank mounted on a trailer.  Equipment only. Does not include towing equipment.</t>
  </si>
  <si>
    <t>Trench Box</t>
  </si>
  <si>
    <t>Trench box for deep pipe installations.  Equipment costs only.</t>
  </si>
  <si>
    <t>Trencher, wheel type</t>
  </si>
  <si>
    <t>Wheel type Trencher, typically 350 HP with 6' max depth.  Equipment only.</t>
  </si>
  <si>
    <t>Trenching, Pipeline Plowing</t>
  </si>
  <si>
    <t>"Includes equipment and labor for plowing small diameter lines in common earth (&lt; 3"")"</t>
  </si>
  <si>
    <t>Trenching, Rock</t>
  </si>
  <si>
    <t>"Includes equipment and labor for cutting trench in rock 6"" x 36"""</t>
  </si>
  <si>
    <t>Truck, Concrete Pump</t>
  </si>
  <si>
    <t>Concrete pump, normally truck mounted.  Use this item in association with other concrete components when job requires placement by other than normal chutes.   Include drive and setup time in quantity; therefore, do not include mobilization.  Includes equi</t>
  </si>
  <si>
    <t>Truck, dump, 12 CY</t>
  </si>
  <si>
    <t>Dump truck for moving bulk material.  Typically capacity is 16 ton or 12 cubic yards.  Includes equipment only.</t>
  </si>
  <si>
    <t>Truck, dump, 18 CY</t>
  </si>
  <si>
    <t>Dump truck for moving bulk material.  Typically capacity is 25 ton or 18 cubic yards.  Includes equipment only.</t>
  </si>
  <si>
    <t>Truck, dump, 8 CY</t>
  </si>
  <si>
    <t>Dump truck for moving bulk material.  Typically capacity is 12 ton or 8 cubic yards.  Includes equipment only.</t>
  </si>
  <si>
    <t>Truck, Pickup</t>
  </si>
  <si>
    <t>Truck, water</t>
  </si>
  <si>
    <t>Water tanker truck.  Equipment only.  Labor not included.</t>
  </si>
  <si>
    <t>Trucking, moving livestock to new paddock</t>
  </si>
  <si>
    <t>"Livestock transportation costs to implement a grazing rotation using a gooseneck trailer 6'8"" x 24'.  Includes equipment, power unit and labor costs."</t>
  </si>
  <si>
    <t>Tub Grinder, 1050 HP</t>
  </si>
  <si>
    <t>"TUB grinder-1050 HP, 15' tub opening, 11'2"" diameter inside base. Includes equipment cost only.  Labor not included."</t>
  </si>
  <si>
    <t>Tub Grinder, 350 HP</t>
  </si>
  <si>
    <t>"TUB grinder-350 HP, 10'6"" diameter tub opening, 8' diameter inside base. Includes equipment cost only."</t>
  </si>
  <si>
    <t>Tub Grinder, 800 HP</t>
  </si>
  <si>
    <t>TUB grinder-800 HP, 9' diameter inside base. Includes equipment cost only.  Labor not included.</t>
  </si>
  <si>
    <t>Water Bars</t>
  </si>
  <si>
    <t>Installation of graded trail water controlling structures such as  water bars, broad based dips for erosion control. Typical cross section is 1.5 feet high with 4:1 side slopes yielding about 0.33 CY/ft of length.</t>
  </si>
  <si>
    <t>Water management, Flooding &amp; dewatering</t>
  </si>
  <si>
    <t>Acre Foot</t>
  </si>
  <si>
    <t>Water tank, portable</t>
  </si>
  <si>
    <t>Portable water tank transported in a pick up truck.  Typically with 200 gallon capacity includes tank with pump, hose and sprayer. Does not include the pickup truck.   Equipment only.</t>
  </si>
  <si>
    <t>Equipment Operators, Heavy</t>
  </si>
  <si>
    <t>Includes: Cranes, Hydraulic Excavators &gt;=50 HP, Dozers, Paving Machines, Rock Trenchers, Trenchers &gt;=12”, Dump Trucks, Ag Equipment &gt;=150 HP, Scrapers, Water Wagons.</t>
  </si>
  <si>
    <t>Equipment Operators, Light</t>
  </si>
  <si>
    <t>Includes: Skid Steer Loaders, Hydraulic Excavators  &lt;50 HP, Trenchers &lt;12”, Ag Equipment &lt;150 HP, Pickup Trucks, Forklifts, Mulchers</t>
  </si>
  <si>
    <t>General Labor</t>
  </si>
  <si>
    <t>Labor performed using basic tools such as power tool, shovels, and other tools that do not require extensive training.  Ex. pipe layer, herder, concrete placement, materials spreader, flagger, etc.</t>
  </si>
  <si>
    <t>Skilled Labor</t>
  </si>
  <si>
    <t>Labor requiring a high level skill set: Includes carpenters, welders, electricians, conservation professionals involved with data collection, monitoring, and or record keeping, etc.</t>
  </si>
  <si>
    <t>Specialist Labor</t>
  </si>
  <si>
    <t>Labor requiring a specialized skill set: Includes Agronomists, Foresters, Biologists, etc. to provide additional technical information during the planning and implementation of the practice. Does not include NRCS or TSP services.</t>
  </si>
  <si>
    <t>Supervisor or Manager</t>
  </si>
  <si>
    <t>Labor involving supervision or management activities.  Includes crew supervisors, foremen and farm/ranch managers time required for adopting new technology, etc.</t>
  </si>
  <si>
    <t>"Aerator Attachment, 8"", PTO"</t>
  </si>
  <si>
    <t>"Aerator attachment for mounting to tractor and PTO, 8"" diameter.  Equipment cost only with out tractor. Brown Bear R24C-8' or equivalent"</t>
  </si>
  <si>
    <t>"Ball Valve, 4"""</t>
  </si>
  <si>
    <t>"4"" ball valve, metal body.  Materials only."</t>
  </si>
  <si>
    <t>"Catch Basin, concrete, 60"" dia."</t>
  </si>
  <si>
    <t>Precast 60-in diameter catch basin, 6' deep, with collar and grate cover. Materials only.</t>
  </si>
  <si>
    <t>"Concrete, splash blocks-, 4""x8""x16"""</t>
  </si>
  <si>
    <t>"Precast concrete splash blocks 4""x8""x16"". Materials only."</t>
  </si>
  <si>
    <t>"Coupling, HDPE CPT Dual Wall, Tee, 18""x18""x12"""</t>
  </si>
  <si>
    <t>"Tee, 18""x18""x12"" - HDPE CPT Tee. Materials only."</t>
  </si>
  <si>
    <t>"Coupling, PVC, endcap, 2"", SCH 20"</t>
  </si>
  <si>
    <t>"2"" - PVC- SCH 40- ASTM D1785 pipe endcaps.  Materials only."</t>
  </si>
  <si>
    <t>"Fan, exhaust, 36"" High Efficiency"</t>
  </si>
  <si>
    <t>36 inch high efficiency exhaust fan, controls, wiring, and associated appurtenances. Materials only.</t>
  </si>
  <si>
    <t>"Fan, exhaust, 42"" High Efficiency"</t>
  </si>
  <si>
    <t>42 inch high efficiency exhaust fan, controls, wiring, and associated appurtenances. Materials only.</t>
  </si>
  <si>
    <t>"Fan, exhaust, 48"" High Efficiency"</t>
  </si>
  <si>
    <t>48 inch high efficiency exhaust fan, controls, wiring, and associated appurtenances. Materials only.</t>
  </si>
  <si>
    <t>"Fan, exhaust, 54"" High Efficiency"</t>
  </si>
  <si>
    <t>54 inch high efficiency exhaust fan, controls, wiring, and associated appurtenances. Materials only.</t>
  </si>
  <si>
    <t>"Flap Gate, 15"""</t>
  </si>
  <si>
    <t>"15"" diameter cast flap gate. Materials only."</t>
  </si>
  <si>
    <t>"Flap Gate, 24"""</t>
  </si>
  <si>
    <t>"24"" diameter cast flap gate.  Materials only."</t>
  </si>
  <si>
    <t>"Flap gate, plastic, 2½"""</t>
  </si>
  <si>
    <t>"2 1/2"" plastic flap gate for poly irrigation tubing. Materials only."</t>
  </si>
  <si>
    <t>"Geocell, 6"""</t>
  </si>
  <si>
    <t>6-inch thick cellular confinement system, three-dimensional, expandable panels made from high-density polyethylene (HDPE), polyester or another polymer material. Includes materials, labor and equipment for the geocell only, does not include backfill.</t>
  </si>
  <si>
    <t>"Guard rail, galvanized, 12"""</t>
  </si>
  <si>
    <t>"Galvanized guard rail, 12"" wide, typically in 26' sections.  Materials only."</t>
  </si>
  <si>
    <t>"Gutter, Downspout, PVC, 5"""</t>
  </si>
  <si>
    <t>"5"" PVC guttering. Materials only."</t>
  </si>
  <si>
    <t>"Hooded Inlet, 10"""</t>
  </si>
  <si>
    <t>"Hooded Inlet for 10"" dia. pipe. Includes materials and labor for fabrication and installation."</t>
  </si>
  <si>
    <t>"Hooded Inlet, 12"""</t>
  </si>
  <si>
    <t>"Hooded Inlet for 12"" dia. pipe. Includes materials and labor for fabrication and installation."</t>
  </si>
  <si>
    <t>"Hooded Inlet, 4"""</t>
  </si>
  <si>
    <t>"Hooded Inlet for 4"" dia. Pipe. Includes materials and labor for fabrication and installation."</t>
  </si>
  <si>
    <t>"Hooded Inlet, 6"""</t>
  </si>
  <si>
    <t>"Hooded Inlet for 6"" dia. pipe. Includes materials and labor for fabrication and installation."</t>
  </si>
  <si>
    <t>"Hooded Inlet, 8"""</t>
  </si>
  <si>
    <t>"Hooded Inlet for 8"" dia. pipe. Includes materials and labor for fabrication and installation."</t>
  </si>
  <si>
    <t>"Inlet, riser, 10"""</t>
  </si>
  <si>
    <t>"Riser, polymer, complete vertical perforated UGO inlet with Tee, orifice plate if needed, 10"" diameter.  Materials only."</t>
  </si>
  <si>
    <t>"Inlet, riser, 12"""</t>
  </si>
  <si>
    <t>"Riser, polymer, complete vertical perforated UGO inlet with Tee, orifice plate if needed, 12"" diameter.  Materials only."</t>
  </si>
  <si>
    <t>"Inlet, riser, 6"""</t>
  </si>
  <si>
    <t>"Riser, polymer, complete vertical perforated UGO inlet with Tee, orifice plate if needed, 6"" diameter.  Materials only."</t>
  </si>
  <si>
    <t>"Inlet, riser, 8"""</t>
  </si>
  <si>
    <t>"Riser, polymer, complete vertical perforated UGO inlet with Tee, orifice plate if needed, 8"" diameter.  Materials only."</t>
  </si>
  <si>
    <t>"Irrigation, Traveling Gun System with ≤ 2"" Nominal size hose, and appurtenances light duty"</t>
  </si>
  <si>
    <t>"Irrigation, Traveling Gun System with ≤ 2"" Nominal size hose with appurtenances. This includes the sprinkler gun, traveler cart, hard hose, reel, connections, controls, and installation. Normal hose length 500'"</t>
  </si>
  <si>
    <t>Inch Diameter</t>
  </si>
  <si>
    <t>"Irrigation, Traveling Gun System, &gt; 2"" to 3 "" Nominal size hose"</t>
  </si>
  <si>
    <t>"Irrigation, Traveling Gun System with 2.3 to 3 "" Nominal size hose with appurtenances. This includes the sprinkler gun, traveler cart, hard hose, reel, connections, controls, and installation. Normal hose length 1000'."</t>
  </si>
  <si>
    <t>"Irrigation, Traveling Gun System, &gt; 3"" Nominal size hose"</t>
  </si>
  <si>
    <t>"Irrigation, Traveling Gun System with &gt; 3"" Nominal size hose with appurtenances. This includes the sprinkler gun, traveler cart, hard hose, reel, connections, controls, and installation. Normal hose length 1300'"</t>
  </si>
  <si>
    <t>"Pipe, aluminum, smooth wall gated irrigation, 10"""</t>
  </si>
  <si>
    <t>"10"" diameter smooth wall gated irrigation aluminum pipe.  Material only."</t>
  </si>
  <si>
    <t>"Pipe, aluminum, smooth wall gated irrigation, 6"""</t>
  </si>
  <si>
    <t>"6"" diameter smooth wall gated irrigation aluminum pipe.  Material only."</t>
  </si>
  <si>
    <t>"Pipe, aluminum, smooth wall gated irrigation, 8"""</t>
  </si>
  <si>
    <t>"8"" diameter smooth wall gated irrigation aluminum pipe.  Material only."</t>
  </si>
  <si>
    <t>"Pipe, CMP, 10"", 16 Gauge"</t>
  </si>
  <si>
    <t>"10"" Corrugated Metal Pipe, Galvanized, Uncoated, 16 gage. Material cost only."</t>
  </si>
  <si>
    <t>"Pipe, CMP, 12"", 14 Gauge"</t>
  </si>
  <si>
    <t>"12"" - Corrugated Steel Pipe. Galvanized, uncoated.  14 Gauge. Materials only."</t>
  </si>
  <si>
    <t>"Pipe, CMP, 12"", 16 Gauge"</t>
  </si>
  <si>
    <t>"12"" Corrugated Metal Pipe, Galvanized, Uncoated, 16 gage. Material cost only."</t>
  </si>
  <si>
    <t>"Pipe, CMP, 15"", 16 Gauge"</t>
  </si>
  <si>
    <t>"15"" Corrugated Metal Pipe, Galvanized, Uncoated, 16 gage. Material cost only."</t>
  </si>
  <si>
    <t>"Pipe, CMP, 18"", 16 Gauge"</t>
  </si>
  <si>
    <t>"18"" Corrugated Metal Pipe, Galvanized, Uncoated, 16 gage. Material cost only."</t>
  </si>
  <si>
    <t>"Pipe, CMP, 24"", 12 Gauge"</t>
  </si>
  <si>
    <t>"24"" Corrugated Metal Pipe, Galvanized, Uncoated, 12 gage. Material cost only."</t>
  </si>
  <si>
    <t>"Pipe, CMP, 24"", 16 Gauge"</t>
  </si>
  <si>
    <t>"24"" Corrugated Metal Pipe, Galvanized, Uncoated, 16 gage. Material cost only."</t>
  </si>
  <si>
    <t>"Pipe, CMP, 30"", 12 Gauge"</t>
  </si>
  <si>
    <t>"30"" Corrugated Metal Pipe, Galvanized, Uncoated, 16 gage. Material cost only."</t>
  </si>
  <si>
    <t>"Pipe, CMP, 30"", 16 Gauge"</t>
  </si>
  <si>
    <t>"Pipe, CMP, 36"", 12 Gauge"</t>
  </si>
  <si>
    <t>"36"" Corrugated Metal Pipe, Galvanized, Uncoated, 16 gage. Material cost only."</t>
  </si>
  <si>
    <t>"Pipe, CMP, 36"", 16 Gauge"</t>
  </si>
  <si>
    <t>"Pipe, CMP, 4"", 16 Gauge"</t>
  </si>
  <si>
    <t>"4"" Corrugated Metal Pipe, Galvanized, Uncoated, 16 gage. Material cost only."</t>
  </si>
  <si>
    <t>"Pipe, CMP, 48"", 14 Gauge"</t>
  </si>
  <si>
    <t>"48"" Corrugated Metal Pipe, Galvanized, Uncoated, 14 gage. Material cost only."</t>
  </si>
  <si>
    <t>"Pipe, CMP, 6"", 16 Gauge"</t>
  </si>
  <si>
    <t>"6"" Corrugated Metal Pipe, Galvanized, Uncoated, 16 gage. Material cost only."</t>
  </si>
  <si>
    <t>"Pipe, CMP, 8"", 16 Gauge"</t>
  </si>
  <si>
    <t>"8"" Corrugated Metal Pipe, Galvanized, Uncoated, 16 gage. Material cost only."</t>
  </si>
  <si>
    <t>"Pipe, CMP, 96"", 14 Gauge"</t>
  </si>
  <si>
    <t>"96"" Corrugated Metal Pipe, Galvanized, Uncoated, 14 gage. Material cost only."</t>
  </si>
  <si>
    <t>"Pipe, CMP, coated, 10"", 16 gauge"</t>
  </si>
  <si>
    <t>"Pipe, CMP, coated, 12"", 16 gauge"</t>
  </si>
  <si>
    <t>"Pipe, CMP, coated, 18"", 16 gauge"</t>
  </si>
  <si>
    <t>"Pipe, CMP, coated, 24"", 14 gauge"</t>
  </si>
  <si>
    <t>"24"" Corrugated Metal Pipe, Galvanized, Uncoated, 14 gage. Material cost only."</t>
  </si>
  <si>
    <t>"Pipe, CMP, coated, 30"", 14 gauge"</t>
  </si>
  <si>
    <t>"30"" Corrugated Metal Pipe, Galvanized, Uncoated, 14 gage. Material cost only."</t>
  </si>
  <si>
    <t>"Pipe, CMP, coated, 36"", 12 gauge"</t>
  </si>
  <si>
    <t>"36"" Corrugated Metal Pipe, Galvanized, Uncoated, 12 gage. Material cost only."</t>
  </si>
  <si>
    <t>"Pipe, CMP, coated, 48"", 12 gauge"</t>
  </si>
  <si>
    <t>"48"" Corrugated Metal Pipe, Galvanized, Uncoated, 12 gage. Material cost only."</t>
  </si>
  <si>
    <t>"Pipe, CMP, coated, 8"", 16 gauge"</t>
  </si>
  <si>
    <t>"Pipe, Concrete Cylinder Pipe, 30"""</t>
  </si>
  <si>
    <t>30 inch diameter, concrete cylinder pipe, 150 psi</t>
  </si>
  <si>
    <t>"Pipe, Concrete Cylinder Pipe, 42"""</t>
  </si>
  <si>
    <t>42 inch diameter, concrete cylinder pipe, 150 psi</t>
  </si>
  <si>
    <t>"Pipe, concrete, gravity, 72"" diameter"</t>
  </si>
  <si>
    <t>"72"" diameter low head stormwater concrete pipe.  Materials only."</t>
  </si>
  <si>
    <t>"Pipe, HDPE, 10"", PCPT, Single Wall"</t>
  </si>
  <si>
    <t>"Pipe, Corrugated Plastic Tubing, Single Wall, Perforated, 10"" diameter - ASTM F667. Material cost only."</t>
  </si>
  <si>
    <t>"Pipe, HDPE, 12"", PCPT, Single Wall"</t>
  </si>
  <si>
    <t>"Pipe, Corrugated Plastic Tubing, Single Wall, Perforated, 12"" diameter - ASTM F667. Material cost only."</t>
  </si>
  <si>
    <t>"Pipe, HDPE, 4"" CPT, Single Wall with Filter Sock"</t>
  </si>
  <si>
    <t>"4"" plastic tile with filter sock.  Materials only."</t>
  </si>
  <si>
    <t>"Pipe, HDPE, 4"", PCPT, Single Wall"</t>
  </si>
  <si>
    <t>"Pipe, Corrugated Plastic Tubing, Single Wall, Perforated, 4"" diameter - ASTM F405. Material cost only."</t>
  </si>
  <si>
    <t>"Pipe, HDPE, 5"", PCPT, Single Wall"</t>
  </si>
  <si>
    <t>"Pipe, Corrugated Plastic Tubing, Single Wall, Perforated, 5"" diameter - ASTM F405. Material cost only."</t>
  </si>
  <si>
    <t>"Pipe, HDPE, 6"", CPT, Single Wall"</t>
  </si>
  <si>
    <t>"Pipe, Corrugated Plastic Tubing, Single Wall, 6"" diameter - ASTM F405. Material cost only."</t>
  </si>
  <si>
    <t>"Pipe, HDPE, 8"", PCPT, Single Wall"</t>
  </si>
  <si>
    <t>"Pipe, Corrugated Plastic Tubing, Single Wall, Perforated, 8"" diameter - ASTM F667. Material cost only."</t>
  </si>
  <si>
    <t>"Pipe, HDPE, corrugated double wall, ≤ 12"", soil tight, weight priced"</t>
  </si>
  <si>
    <t>"High Density Polyethylene (HDPE) compound manufactured into double wall corrugated pipe ≤ 12"" diameter. Materials only."</t>
  </si>
  <si>
    <t>Pound</t>
  </si>
  <si>
    <t>"Pipe, HDPE, corrugated double wall, ≥ 15"", soil tight, weight priced"</t>
  </si>
  <si>
    <t>"High Density Polyethylene (HDPE) compound manufactured into double wall corrugated pipe ≥ 15"" diameter. Materials only."</t>
  </si>
  <si>
    <t>"Pipe, HDPE, corrugated single wall, ≤ 12"" weight priced Compound"</t>
  </si>
  <si>
    <t>High Density Polyethylene (HDPE) compound manufactured into single wall corrugated pipe or tubing. Materials only.</t>
  </si>
  <si>
    <t>"Pipe, HDPE, CPT, Double Wall, Soil Tight, 10"""</t>
  </si>
  <si>
    <t>"Pipe, Corrugated HDPE Double Wall, 10"" diameter with soil tight joints - AASHTO M252. Material cost only."</t>
  </si>
  <si>
    <t>"Pipe, HDPE, CPT, Double Wall, Soil Tight, 12"""</t>
  </si>
  <si>
    <t>"Pipe, Corrugated HDPE Double Wall, 12"" diameter with soil tight joints - AASHTO M294. Material cost only."</t>
  </si>
  <si>
    <t>"Pipe, HDPE, CPT, Double Wall, Soil Tight, 18"""</t>
  </si>
  <si>
    <t>"Pipe, Corrugated HDPE Double Wall, 18"" diameter with soil tight joints - AASHTO M294. Material cost only."</t>
  </si>
  <si>
    <t>"Pipe, HDPE, CPT, Double Wall, Soil Tight, 24"""</t>
  </si>
  <si>
    <t>"Pipe, Corrugated HDPE Double Wall, 24"" diameter with soil tight joints - AASHTO M294. Material cost only."</t>
  </si>
  <si>
    <t>"Pipe, HDPE, CPT, Double Wall, Soil Tight, 30"""</t>
  </si>
  <si>
    <t>"Pipe, Corrugated HDPE Double Wall, 30"" diameter with soil tight joints - AASHTO M294. Material cost only."</t>
  </si>
  <si>
    <t>"Pipe, HDPE, CPT, Double Wall, Soil Tight, 36"""</t>
  </si>
  <si>
    <t>"Pipe, Corrugated HDPE Double Wall, 36"" diameter with soil tight joints - AASHTO M294. Material cost only."</t>
  </si>
  <si>
    <t>"Pipe, HDPE, CPT, Double Wall, Soil Tight, 42"""</t>
  </si>
  <si>
    <t>"Pipe, Corrugated HDPE Double Wall, 42"" diameter with soil tight joints - AASHTO M294. Material cost only."</t>
  </si>
  <si>
    <t>"Pipe, HDPE, CPT, Double Wall, Soil Tight, 48"""</t>
  </si>
  <si>
    <t>"Pipe, Corrugated HDPE Double Wall, 48"" diameter with soil tight joints - AASHTO M294. Material cost only."</t>
  </si>
  <si>
    <t>"Pipe, HDPE, CPT, Double Wall, Soil Tight, 6"""</t>
  </si>
  <si>
    <t>"Pipe, Corrugated HDPE Double Wall, 6"" diameter with soil tight joints - AASHTO M252. Material cost only."</t>
  </si>
  <si>
    <t>"Pipe, HDPE, CPT, Double Wall, Soil Tight, 60"""</t>
  </si>
  <si>
    <t>"Pipe, Corrugated HDPE Double Wall, 60"" diameter with soil tight joints - AASHTO M294. Material cost only."</t>
  </si>
  <si>
    <t>"Pipe, HDPE, CPT, Double Wall, Soil Tight, 8"""</t>
  </si>
  <si>
    <t>"Pipe, Corrugated HDPE Double Wall, 8"" diameter with soil tight joints - AASHTO M252. Material cost only."</t>
  </si>
  <si>
    <t>"Pipe, HDPE, CPT, Double Wall, Water Tight, 10"""</t>
  </si>
  <si>
    <t>"Pipe, Corrugated HDPE Double Wall 10"" diameter with water tight joints meeting ASTM F477.  Material cost only."</t>
  </si>
  <si>
    <t>"Pipe, HDPE, CPT, Double Wall, Water Tight, 12"""</t>
  </si>
  <si>
    <t>"Pipe, Corrugated HDPE Double Wall 12"" diameter with water tight joints meeting ASTM F477.  Material cost only."</t>
  </si>
  <si>
    <t>"Pipe, HDPE, CPT, Double Wall, Water Tight, 15"""</t>
  </si>
  <si>
    <t>"Pipe, Corrugated HDPE Double Wall 15"" diameter with water tight joints meeting ASTM F477.  Material cost only."</t>
  </si>
  <si>
    <t>"Pipe, HDPE, CPT, Double Wall, Water Tight, 18"""</t>
  </si>
  <si>
    <t>"Pipe, Corrugated HDPE Double Wall 18"" diameter with water tight joints meeting ASTM F477.  Material cost only."</t>
  </si>
  <si>
    <t>"Pipe, HDPE, CPT, Double Wall, Water Tight, 24"""</t>
  </si>
  <si>
    <t>"Pipe, Corrugated HDPE Double Wall 24"" diameter with water tight joints meeting ASTM F477.  Material cost only."</t>
  </si>
  <si>
    <t>"Pipe, HDPE, CPT, Double Wall, Water Tight, 30"""</t>
  </si>
  <si>
    <t>"Pipe, Corrugated HDPE Double Wall 30"" diameter with water tight joints meeting ASTM F477.  Material cost only."</t>
  </si>
  <si>
    <t>"Pipe, HDPE, CPT, Double Wall, Water Tight, 36"""</t>
  </si>
  <si>
    <t>"Pipe, Corrugated HDPE Double Wall 36"" diameter with water tight joints meeting ASTM F477.  Material cost only."</t>
  </si>
  <si>
    <t>"Pipe, HDPE, CPT, Double Wall, Water Tight, 42"""</t>
  </si>
  <si>
    <t>"Pipe, Corrugated HDPE Double Wall 42"" diameter with water tight joints meeting ASTM F477.  Material cost only."</t>
  </si>
  <si>
    <t>"Pipe, HDPE, CPT, Double Wall, Water Tight, 48"""</t>
  </si>
  <si>
    <t>"Pipe, Corrugated HDPE Double Wall 48"" diameter with water tight joints meeting ASTM F477.  Material cost only."</t>
  </si>
  <si>
    <t>"Pipe, HDPE, CPT, Double Wall, Water Tight, 54"""</t>
  </si>
  <si>
    <t>"Pipe, Corrugated HDPE Double Wall 54"" diameter with water tight joints meeting ASTM F477.  Material cost only."</t>
  </si>
  <si>
    <t>"Pipe, HDPE, CPT, Double Wall, Water Tight, 6"""</t>
  </si>
  <si>
    <t>"Pipe, Corrugated HDPE Double Wall 6"" diameter with water tight joints meeting ASTM F477.  Material cost only."</t>
  </si>
  <si>
    <t>"Pipe, HDPE, CPT, Double Wall, Water Tight, 60"""</t>
  </si>
  <si>
    <t>"Pipe, Corrugated HDPE Double Wall 60"" diameter with water tight joints meeting ASTM F477.  Material cost only."</t>
  </si>
  <si>
    <t>"Pipe, HDPE, CPT, Double Wall, Water Tight, 8"""</t>
  </si>
  <si>
    <t>"Pipe, Corrugated HDPE Double Wall 8"" diameter with water tight joints meeting ASTM F477.  Material cost only."</t>
  </si>
  <si>
    <t>"Pipe, PE, 1 ¼"", DR 9"</t>
  </si>
  <si>
    <t>"Materials:  - 1 1/4"" - PE - 160 psi  - ASTM D3035 DR 9"</t>
  </si>
  <si>
    <t>"Pipe, PE, 1 ½"", DR 9"</t>
  </si>
  <si>
    <t>"Materials:  - 1 1/2"" - PE - 160 psi  - ASTM D3035 DR 9"</t>
  </si>
  <si>
    <t>"Pipe, PE, 1"", DR 9"</t>
  </si>
  <si>
    <t>"Materials:  - 1"" - PE  - 160 psi  - ASTM D3035 DR 9"</t>
  </si>
  <si>
    <t>"Pipe, PE, 1/2"", DR 9"</t>
  </si>
  <si>
    <t>"Materials:  - 1/2"" - PE - 160 psi  - ASTM D3035 DR 9"</t>
  </si>
  <si>
    <t>"Pipe, PE, 1/2"", SiDR 9"</t>
  </si>
  <si>
    <t>"Materials:  - 1/2"" - PE - 160 psi  - ASTM D2239 SiDR 9"</t>
  </si>
  <si>
    <t>"Pipe, PE, 12"", DR 9, perforated"</t>
  </si>
  <si>
    <t>"Materials:  -12"" - Perforated PE- 160 psi  -  ASTM D3035 DR 9"</t>
  </si>
  <si>
    <t>"Pipe, PE, 2"", DR 9"</t>
  </si>
  <si>
    <t>"Materials:  - 2"" - PE - 160 psi  - ASTM D3035 DR 9"</t>
  </si>
  <si>
    <t>"Pipe, PE, 2"", SiDR 9"</t>
  </si>
  <si>
    <t>"Materials:  - 2"" - PE - 160 psi  - ASTM D2239 SiDR 9"</t>
  </si>
  <si>
    <t>"Pipe, PE, 3"", DR 9"</t>
  </si>
  <si>
    <t>"Materials:  - 3"" - PE - 160 psi  - ASTM D3035 DR 9"</t>
  </si>
  <si>
    <t>"Pipe, PE, 3/4"", DR 9"</t>
  </si>
  <si>
    <t>"Materials:  - 3/4"" - PE - 160 psi  - ASTM D3035 DR 9"</t>
  </si>
  <si>
    <t>"Pipe, PE, 4"", DR 9"</t>
  </si>
  <si>
    <t>"Materials:  - 4"" - PE - 160 psi  -   ASTM D3035 DR 9"</t>
  </si>
  <si>
    <t>"Pipe, PE, 4"", DR 9, perforated"</t>
  </si>
  <si>
    <t>"Materials:  -4"" - Perforated PE- 160 psi  -  ASTM D3035 DR 9"</t>
  </si>
  <si>
    <t>"Pipe, PE, 6"", DR 9, perforated"</t>
  </si>
  <si>
    <t>"Materials:  -6"" - Perforated PE- 160 psi  -  ASTM D3035 DR 9"</t>
  </si>
  <si>
    <t>"Pipe, PE, 8"", DR 9, perforated"</t>
  </si>
  <si>
    <t>"Materials:  -8"" - Perforated PE- 160 psi  -  ASTM D3035 DR 9"</t>
  </si>
  <si>
    <t>"Pipe, PVC, ½"", SCH 40"</t>
  </si>
  <si>
    <t>"Materials:  - 1/2"" - PVC - SCH 40 - ASTM D1785"</t>
  </si>
  <si>
    <t>"Pipe, PVC, ¾"", SCH 40"</t>
  </si>
  <si>
    <t>"Materials:  - 3/4"" - PVC - SCH 40 - ASTM D1785"</t>
  </si>
  <si>
    <t>"Pipe, PVC, 1 ¼"", SCH 40"</t>
  </si>
  <si>
    <t>"Materials:  - 1 1/4"" - PVC - SCH 40 - ASTM D1785"</t>
  </si>
  <si>
    <t>"Pipe, PVC, 1 ½"", SCH 40"</t>
  </si>
  <si>
    <t>"Materials:  - 1 1/2"" - PVC - SCH 40 - ASTM D1785"</t>
  </si>
  <si>
    <t>"Pipe, PVC, 1"", SCH 40"</t>
  </si>
  <si>
    <t>"Materials:  - 1"" - PVC - SCH 40 - ASTM D1785"</t>
  </si>
  <si>
    <t>"Pipe, PVC, 10"", ASTM-2241, SDR 26"</t>
  </si>
  <si>
    <t>"Materials: - 10"" - PVC - ASTM 2241, SDR 26"</t>
  </si>
  <si>
    <t>"Pipe, PVC, 10"", ASTM-2241, SDR 32.5"</t>
  </si>
  <si>
    <t>"Materials: - 10"" - PVC - ASTM 2241, SDR 32.5"</t>
  </si>
  <si>
    <t>"Pipe, PVC, 10"", ASTM-2241, SDR 41"</t>
  </si>
  <si>
    <t>"Materials: - 10"" - PVC - ASTM 2241, SDR 41"</t>
  </si>
  <si>
    <t>"Pipe, PVC, 10"", SCH 40"</t>
  </si>
  <si>
    <t>"Materials: - 10"" -PVC - SCH 40 - ASTM D1785"</t>
  </si>
  <si>
    <t>"Pipe, PVC, 10"", SCH 80"</t>
  </si>
  <si>
    <t>"Materials:  - 10"" - PVC - SCH 80 - ASTM D1785"</t>
  </si>
  <si>
    <t>"Pipe, PVC, 10"", SDR 21"</t>
  </si>
  <si>
    <t>"Materials: - 10"" - PVC - SDR 21 - ASTM D2241"</t>
  </si>
  <si>
    <t>"Pipe, PVC, 10"", SDR 35"</t>
  </si>
  <si>
    <t>"Pipe, PVC, SDR 35, 10"" Diameter - ASTM D3034. Material cost only."</t>
  </si>
  <si>
    <t>"Pipe, PVC, 10"", SDR 41, PIP"</t>
  </si>
  <si>
    <t>"Materials: - 10"" - PVC - SDR 41 100 psi - gasketed PIP  ASTM D2241"</t>
  </si>
  <si>
    <t>"Pipe, PVC, 12"", ASTM-2241, SDR 26"</t>
  </si>
  <si>
    <t>"Materials: - 12"" - PVC - ASTM 2241, SDR 26"</t>
  </si>
  <si>
    <t>"Pipe, PVC, 12"", ASTM-2241, SDR 32.5"</t>
  </si>
  <si>
    <t>"Materials: - 12"" - PVC - ASTM 2241, SDR 32.5"</t>
  </si>
  <si>
    <t>"Pipe, PVC, 12"", ASTM-2241, SDR 41"</t>
  </si>
  <si>
    <t>"Materials: - 12"" - PVC - ASTM 2241, SDR 41"</t>
  </si>
  <si>
    <t>"Pipe, PVC, 12"", SCH 40"</t>
  </si>
  <si>
    <t>"Materials: 12"" dia. PVC SCH 40, ASTM D1785"</t>
  </si>
  <si>
    <t>"Pipe, PVC, 12"", SCH 80"</t>
  </si>
  <si>
    <t>"Materials:  - 12"" - PVC - SCH 80 - ASTM D1785"</t>
  </si>
  <si>
    <t>"Pipe, PVC, 12"", SDR 21"</t>
  </si>
  <si>
    <t>"Materials:  - 12"" - PVC - SDR 21 - ASTM D2241"</t>
  </si>
  <si>
    <t>"Pipe, PVC, 12"", SDR 35"</t>
  </si>
  <si>
    <t>"Pipe, PVC, SDR 35, 12"" Diameter - ASTM D3034. Material cost only."</t>
  </si>
  <si>
    <t>"Pipe, PVC, 12"", SDR 41, PIP"</t>
  </si>
  <si>
    <t>"Materials: - 12"" - PVC - SDR 41 100 psi - gasketed PIP  ASTM D2241"</t>
  </si>
  <si>
    <t>"Pipe, PVC, 15"", SDR 35"</t>
  </si>
  <si>
    <t>"Materials: 15"" - PVC - SDR35 - ASTM D3034"</t>
  </si>
  <si>
    <t>"Pipe, PVC, 15"", SDR 41, PIP"</t>
  </si>
  <si>
    <t>"Materials: - 15"" - PVC - SDR 41 100 psi - gasketed PIP  ASTM D2241"</t>
  </si>
  <si>
    <t>"Pipe, PVC, 16"", SCH 80"</t>
  </si>
  <si>
    <t>"Materials:  - 16"" - PVC - SCH 80 - ASTM D1785"</t>
  </si>
  <si>
    <t>"Pipe, PVC, 18"", ASTM-2241, SDR 26"</t>
  </si>
  <si>
    <t>"Materials: -18"" -PVC - ASTM 2241, SDR 26"</t>
  </si>
  <si>
    <t>"Pipe, PVC, 18"", ASTM-2241, SDR 32.5"</t>
  </si>
  <si>
    <t>"Materials: -18"" -PVC - ASTM 2241, SDR 32.5"</t>
  </si>
  <si>
    <t>"Pipe, PVC, 18"", ASTM-2241, SDR 41"</t>
  </si>
  <si>
    <t>"Materials: -18"" -PVC - ASTM 2241, SDR 41"</t>
  </si>
  <si>
    <t>"Pipe, PVC, 18"", PS 46"</t>
  </si>
  <si>
    <t>"Pipe, PVC, PS 46, 18"" Diameter - ASTM F679. Material cost only."</t>
  </si>
  <si>
    <t>"Pipe, PVC, 18"", SCH 40"</t>
  </si>
  <si>
    <t>"Materials:  - 18"" - PVC - SCH 40 - ASTM D1785"</t>
  </si>
  <si>
    <t>"Pipe, PVC, 18"", SDR 41, PIP"</t>
  </si>
  <si>
    <t>"Materials: - 18"" - PVC - SDR 41 100 psi - gasketed PIP  ASTM D2241"</t>
  </si>
  <si>
    <t>"Pipe, PVC, 2"", SCH 40"</t>
  </si>
  <si>
    <t>"Materials:  - 2"" - PVC - SCH 40 - ASTM D1785"</t>
  </si>
  <si>
    <t>"Pipe, PVC, 2"", SCH 40, perforated"</t>
  </si>
  <si>
    <t>"Materials: 2"" PVC schedule 40 ASTM D1785, perforated"</t>
  </si>
  <si>
    <t>"Pipe, PVC, 21"", SDR 41, PIP"</t>
  </si>
  <si>
    <t>"Materials: - 21"" - PVC - SDR 41 100 psi - gasketed PIP  ASTM D2241"</t>
  </si>
  <si>
    <t>"Pipe, PVC, 21"",PS 46"</t>
  </si>
  <si>
    <t>"Pipe, PVC PS 46, 21"" diameter - ASTM F679. Material cost only."</t>
  </si>
  <si>
    <t>"Pipe, PVC, 24"", ASTM-2241, SDR 26"</t>
  </si>
  <si>
    <t>"Materials: -24"" -PVC - ASTM 2241, SDR 26"</t>
  </si>
  <si>
    <t>"Pipe, PVC, 24"", ASTM-2241, SDR 32.5"</t>
  </si>
  <si>
    <t>"Materials: -24"" -PVC - ASTM 2241, SDR 32.5"</t>
  </si>
  <si>
    <t>"Pipe, PVC, 24"", ASTM-2241, SDR 41"</t>
  </si>
  <si>
    <t>"Materials: -24"" -PVC - ASTM 2241, SDR 41"</t>
  </si>
  <si>
    <t>"Pipe, PVC, 24"", PS 46"</t>
  </si>
  <si>
    <t>"Pipe, PVC, PS 46, 24"" Diameter - ASTM F679. Material cost only."</t>
  </si>
  <si>
    <t>"Pipe, PVC, 24"", SCH 40"</t>
  </si>
  <si>
    <t>"Materials:  - 24"" - PVC - SCH 40 - ASTM D1785"</t>
  </si>
  <si>
    <t>"Pipe, PVC, 27"",PS 46"</t>
  </si>
  <si>
    <t>"Pipe, PVC PS 46, 27"" diameter - ASTM F679. Material cost only."</t>
  </si>
  <si>
    <t>"Pipe, PVC, 3"", SCH 40"</t>
  </si>
  <si>
    <t>"Materials:  - 3"" - PVC - SCH 40 - ASTM D1785"</t>
  </si>
  <si>
    <t>"Pipe, PVC, 3"", SDR 21"</t>
  </si>
  <si>
    <t>"Materials:  - 3"" - PVC - SDR 21 - ASTM D2241"</t>
  </si>
  <si>
    <t>"Pipe, PVC, 3"", SDR 41"</t>
  </si>
  <si>
    <t>"Materials:  - 3"" - PVC - SDR 41 100 psi - ASTM D2241"</t>
  </si>
  <si>
    <t>"Pipe, PVC, 30"", PS 46"</t>
  </si>
  <si>
    <t>"Pipe, PVC, PS 46, 30"" Diameter - ASTM F679. Material cost only."</t>
  </si>
  <si>
    <t>"Pipe, PVC, 36"", PS 46"</t>
  </si>
  <si>
    <t>"Pipe, PVC, PS 46, 36"" Diameter - ASTM F679. Material cost only."</t>
  </si>
  <si>
    <t>"Pipe, PVC, 4"", SCH 40"</t>
  </si>
  <si>
    <t>"Materials:  - 4"" - PVC - SCH 40 - ASTM D1785"</t>
  </si>
  <si>
    <t>"Pipe, PVC, 4"", SCH 80"</t>
  </si>
  <si>
    <t>"Materials:  - 4"" - PVC - SCH 80 - ASTM D1785"</t>
  </si>
  <si>
    <t>"Pipe, PVC, 4"", SDR 21"</t>
  </si>
  <si>
    <t>"Materials:  - 4"" - PVC - SDR 21 200 psi - ASTM D2241"</t>
  </si>
  <si>
    <t>"Pipe, PVC, 4"", SDR 26"</t>
  </si>
  <si>
    <t>"Materials:  - 4"" - PVC - SDR 26 160 psi - ASTM D2241"</t>
  </si>
  <si>
    <t>"Pipe, PVC, 4"", SDR 35"</t>
  </si>
  <si>
    <t>"Materials:  - 4"" - PVC - SDR 35 - ASTM D3034"</t>
  </si>
  <si>
    <t>"Pipe, PVC, 4"", SDR 41"</t>
  </si>
  <si>
    <t>"Materials:  - 4"" - PVC - SDR 41 100 psi - ASTM D2241"</t>
  </si>
  <si>
    <t>"Pipe, PVC, 5"", SCH 40"</t>
  </si>
  <si>
    <t>"Materials:  - 5"" - PVC - SCH 40 - ASTM D1785"</t>
  </si>
  <si>
    <t>"Pipe, PVC, 5"", SCH 80"</t>
  </si>
  <si>
    <t>"Materials:  - 5"" - PVC - SCH 80 - ASTM D1785"</t>
  </si>
  <si>
    <t>"Pipe, PVC, 6"", SCH 40"</t>
  </si>
  <si>
    <t>"Materials:  - 6"" - PVC - SCH 40 - ASTM D1785"</t>
  </si>
  <si>
    <t>"Pipe, PVC, 6"", SCH 80"</t>
  </si>
  <si>
    <t>"Materials:  - 6"" - PVC - SCH 80 - ASTM D1785"</t>
  </si>
  <si>
    <t>"Pipe, PVC, 6"", SDR 21"</t>
  </si>
  <si>
    <t>"Materials:  - 6"" - PVC - SDR 21 200 psi - ASTM D2241"</t>
  </si>
  <si>
    <t>"Pipe, PVC, 6"", SDR 26"</t>
  </si>
  <si>
    <t>"Materials:  - 6"" - PVC - SDR 26 160 psi - ASTM D2241"</t>
  </si>
  <si>
    <t>"Pipe, PVC, 6"", SDR 35"</t>
  </si>
  <si>
    <t>"Materials:  - 6"" - PVC - SDR 35 - ASTM D3034"</t>
  </si>
  <si>
    <t>"Pipe, PVC, 6"", SDR 41"</t>
  </si>
  <si>
    <t>"Materials:  - 6"" - PVC - SDR 41 100 psi - ASTM D2241"</t>
  </si>
  <si>
    <t>"Pipe, PVC, 8"", ASTM-2241, SDR 32.5"</t>
  </si>
  <si>
    <t>"Materials: - 8"" - PVC - ASTM 2241, SDR 32.5"</t>
  </si>
  <si>
    <t>"Pipe, PVC, 8"", SCH 40"</t>
  </si>
  <si>
    <t>"Materials:  - 8"" - PVC - SCH 40 - ASTM D1785"</t>
  </si>
  <si>
    <t>"Pipe, PVC, 8"", SCH 80"</t>
  </si>
  <si>
    <t>"Materials:  - 8"" - PVC - SCH 80 - ASTM D1785"</t>
  </si>
  <si>
    <t>"Pipe, PVC, 8"", SDR 21"</t>
  </si>
  <si>
    <t>"Materials:  - 8"" - PVC - SDR 21 200 psi - ASTM D2241"</t>
  </si>
  <si>
    <t>"Pipe, PVC, 8"", SDR 26"</t>
  </si>
  <si>
    <t>"Materials:  - 8"" - PVC - SDR 26 160 psi - ASTM D2241"</t>
  </si>
  <si>
    <t>"Pipe, PVC, 8"", SDR 35"</t>
  </si>
  <si>
    <t>"Materials:  - 8"" - PVC - SDR 35 - ASTM D3034"</t>
  </si>
  <si>
    <t>"Pipe, PVC, 8"", SDR 41"</t>
  </si>
  <si>
    <t>"Materials:  - 8"" - PVC - SDR 41 100 psi - ASTM D2241"</t>
  </si>
  <si>
    <t>"Pipe, PVC, dia. &lt; 18"", weight priced"</t>
  </si>
  <si>
    <t>"Polyvinyl Chloride (PVC) pressure rated pipe priced by the weight of the pipe materials for pipes with diameters less than 18"".  Materials only."</t>
  </si>
  <si>
    <t>"Pipe, PVC, dia. ≥ 18"", weight priced"</t>
  </si>
  <si>
    <t>"Polyvinyl Chloride (PVC) Pipe priced by the weight of the pipe materials for pipes with diameters equal to or greater than 18"".  Materials only."</t>
  </si>
  <si>
    <t>"Pipe, Steel, 1 ¼"", SCH 40"</t>
  </si>
  <si>
    <t>"Materials:  - 1 1/4"" - Steel SCH 40"</t>
  </si>
  <si>
    <t>"Pipe, Steel, 1 ½"", SCH 40"</t>
  </si>
  <si>
    <t>"Materials:  - 1 1/2"" - Steel SCH 40"</t>
  </si>
  <si>
    <t>"Pipe, Steel, 1"", SCH 40"</t>
  </si>
  <si>
    <t>"Materials:  - 1"" - Steel SCH 40"</t>
  </si>
  <si>
    <t>"Pipe, Steel, 10"", Std Wt"</t>
  </si>
  <si>
    <t>"Materials:  - 10"" - Steel Std Wt"</t>
  </si>
  <si>
    <t>"Pipe, Steel, 10"", Std Wt, USED"</t>
  </si>
  <si>
    <t>"Materials:  - USED - 10"" - Steel Std Wt"</t>
  </si>
  <si>
    <t>"Pipe, Steel, 12"", Std Wt, USED"</t>
  </si>
  <si>
    <t>"Materials:  - USED - 12"" - Steel Std Wt"</t>
  </si>
  <si>
    <t>"Pipe, Steel, 12"", Std. Wt."</t>
  </si>
  <si>
    <t>"Materials:  - 12"" - Steel, Std Wt."</t>
  </si>
  <si>
    <t>"Pipe, Steel, 16"", Std Wt"</t>
  </si>
  <si>
    <t>"Materials:  - 16"" - Steel Std Wt"</t>
  </si>
  <si>
    <t>"Pipe, Steel, 16"", Std Wt, USED"</t>
  </si>
  <si>
    <t>"Materials:  - USED - 16"" - Steel Std Wt"</t>
  </si>
  <si>
    <t>"Pipe, Steel, 18"", Std Wt"</t>
  </si>
  <si>
    <t>"Materials:  - 18"" - Steel Std Wt"</t>
  </si>
  <si>
    <t>"Pipe, Steel, 18"", Std Wt, USED"</t>
  </si>
  <si>
    <t>"Materials:  - USED - 18"" - Steel Std Wt"</t>
  </si>
  <si>
    <t>"Pipe, Steel, 2"", SCH 40"</t>
  </si>
  <si>
    <t>"Materials:  - 2"" - Steel SCH 40"</t>
  </si>
  <si>
    <t>"Pipe, Steel, 20"", Std Wt"</t>
  </si>
  <si>
    <t>"Materials:  - 20"" - Steel Std Wt"</t>
  </si>
  <si>
    <t>"Pipe, Steel, 20"", Std Wt, USED"</t>
  </si>
  <si>
    <t>"Materials: - USED - 20"" - Steel Std Wt"</t>
  </si>
  <si>
    <t>"Pipe, Steel, 24"", Std Wt"</t>
  </si>
  <si>
    <t>"Materials: - 24"" - Steel Std Wt"</t>
  </si>
  <si>
    <t>"Pipe, Steel, 24"", Std Wt, USED"</t>
  </si>
  <si>
    <t>"Materials: - USED - 24"" - Steel Std Wt"</t>
  </si>
  <si>
    <t>"Pipe, Steel, 3"", SCH 40"</t>
  </si>
  <si>
    <t>"Materials:  - 3"" - Steel SCH 40"</t>
  </si>
  <si>
    <t>"Pipe, Steel, 30"", Std Wt"</t>
  </si>
  <si>
    <t>"Materials: - 30"" - Steel Std Wt"</t>
  </si>
  <si>
    <t>"Pipe, Steel, 30"", Std Wt, USED"</t>
  </si>
  <si>
    <t>"Materials: - USED - 30"" - Steel Std Wt"</t>
  </si>
  <si>
    <t>"Pipe, Steel, 36"", Std Wt"</t>
  </si>
  <si>
    <t>"Materials: - 36"" - Steel Std Wt"</t>
  </si>
  <si>
    <t>"Pipe, Steel, 36"", Std Wt, USED"</t>
  </si>
  <si>
    <t>"Materials: - USED - 36"" - Steel Std Wt"</t>
  </si>
  <si>
    <t>"Pipe, Steel, 4"", SCH 40"</t>
  </si>
  <si>
    <t>"Materials:  - 4"" - Steel SCH 40"</t>
  </si>
  <si>
    <t>"Pipe, Steel, 42"", Std Wt"</t>
  </si>
  <si>
    <t>"Materials: - 42"" - Steel Std Wt"</t>
  </si>
  <si>
    <t>"Pipe, Steel, 42"", Std Wt, USED"</t>
  </si>
  <si>
    <t>"Materials: - USED - 42"" - Steel Std Wt"</t>
  </si>
  <si>
    <t>"Pipe, Steel, 48"", Std Wt"</t>
  </si>
  <si>
    <t>"Materials: - 48"" - Steel Std Wt"</t>
  </si>
  <si>
    <t>"Pipe, Steel, 48"", Std Wt, USED"</t>
  </si>
  <si>
    <t>"Materials: - USED - 48"" - Steel Std Wt"</t>
  </si>
  <si>
    <t>"Pipe, Steel, 5"", SCH 40"</t>
  </si>
  <si>
    <t>"Materials:  - 5"" - Steel SCH 40"</t>
  </si>
  <si>
    <t>"Pipe, Steel, 6"", SCH 40"</t>
  </si>
  <si>
    <t>"Materials:  - 6"" - Steel SCH 40"</t>
  </si>
  <si>
    <t>"Pipe, Steel, 60"", Std Wt, USED"</t>
  </si>
  <si>
    <t>"Materials: - USED - 60"" - Steel Std Wt"</t>
  </si>
  <si>
    <t>"Pipe, Steel, 8"", SCH 40"</t>
  </si>
  <si>
    <t>"Materials:  - 8"" - Steel SCH 40"</t>
  </si>
  <si>
    <t>"Pipe, Steel, 8"", Std Wt, USED"</t>
  </si>
  <si>
    <t>"Materials: - USED - 8"" - Steel Std Wt"</t>
  </si>
  <si>
    <t>"Pipe, steel, galvanized, threaded, 1¼ "", schedule 40"</t>
  </si>
  <si>
    <t>Spec. A-53, includes coupling and clevis hanger assembly sized for covering, 10' OC</t>
  </si>
  <si>
    <t>"Pipe, steel, galvanized, threaded, 2"", schedule 40"</t>
  </si>
  <si>
    <t>"Plug Valve, 6"""</t>
  </si>
  <si>
    <t>"6"" diameter plug valve.  Materials only."</t>
  </si>
  <si>
    <t>"Plug Valve, 8"""</t>
  </si>
  <si>
    <t>"8"" diameter plug valve.  Materials only."</t>
  </si>
  <si>
    <t>"Post, Fiberglass, ⅞"" X 6'"</t>
  </si>
  <si>
    <t>"Fiberglass line post, ⅞"" diameter X 6' length"</t>
  </si>
  <si>
    <t>"Post, Fiberglass, 11/16"" X 6'"</t>
  </si>
  <si>
    <t>"Fiberglass line post, 11/16"" diameter X 6' length"</t>
  </si>
  <si>
    <t>"Post, Wood, CCA treated, 3-4"" x 7'"</t>
  </si>
  <si>
    <t>"Wood Post, Line 3-4"" X 7', CCA Treated"</t>
  </si>
  <si>
    <t>"Post, Wood, CCA treated, 4"" x 8'"</t>
  </si>
  <si>
    <t>"Wood Post, Line 4"" X 8', CCA Treated"</t>
  </si>
  <si>
    <t>"Post, Wood, CCA Treated, 4-5"" X 7'"</t>
  </si>
  <si>
    <t>"Wood Post, Line 4-5"" X 7', CCA Treated"</t>
  </si>
  <si>
    <t>"Post, Wood, CCA treated, 5"" x 8'"</t>
  </si>
  <si>
    <t>"Wood Post, End 5"" X 8', CCA Treated"</t>
  </si>
  <si>
    <t>"Post, Wood, CCA treated, 6"" x 12-14'"</t>
  </si>
  <si>
    <t>"Wood Post, Line/End  6"" X 12-14', CCA Treated"</t>
  </si>
  <si>
    <t>"Post, Wood, CCA treated, 6"" x 8'"</t>
  </si>
  <si>
    <t>"Wood Post, End 6"" X 8', CCA Treated"</t>
  </si>
  <si>
    <t>"Post, Wood, Untreated, 8-9"" X 8'"</t>
  </si>
  <si>
    <t>"Wood Post, End 8-9"" X 8',  Untreated"</t>
  </si>
  <si>
    <t>"Pump, &gt; 5 HP - Pump and motor, 1"" through 6"" discharge size, flows to 2500 gpm and heads to 220 ft, fixed cost portion"</t>
  </si>
  <si>
    <t>"Fixed cost portion of the Pump: &gt; 5 HP - Pump and motor, 1"" through 6"" discharge size, flows to 2500 gpm and heads to 220 ft. This portion is a base cost for all Pump: &gt; 5 HP  and is not dependant on horsepower. The total cost of any Pump: &gt; 5 HP  will in"</t>
  </si>
  <si>
    <t>"Pump, &gt; 5 HP - Pump and motor, 1"" through 6"" discharge size, flows to 2500 gpm and heads to 220 ft, variable cost portion"</t>
  </si>
  <si>
    <t>"Variable cost portion of the Pump: &gt; 5 HP - Pump and motor, 1"" through 6"" discharge size, flows to 2500 gpm and heads to 220 ft. This portion IS dependent on the total horsepower for the Pump: &gt; 5 HP. The total cost of any Pump: &gt; 5 HP will include this v"</t>
  </si>
  <si>
    <t>Horsepower</t>
  </si>
  <si>
    <t>"Pump, &gt; 5 HP - Pump and motor, 1.25"" through 10"" discharge size, flows to 6600 gpm and heads to 400 ft, fixed cost portion"</t>
  </si>
  <si>
    <t>"Fixed cost portion of the Pump: &gt; 5 HP - Pump and motor, 1.25"" through 10"" discharge size, flows to 6600 gpm and heads to 400 ft. This portion is a base cost for all Pump: &gt; 5 HP  and is not dependant on horsepower. The total cost of any Pump: &gt; 5 HP  wil"</t>
  </si>
  <si>
    <t>"Pump, &gt; 5 HP - Pump and motor, 1.25"" through 10"" discharge size, flows to 6600 gpm and heads to 400 ft, variable cost portion"</t>
  </si>
  <si>
    <t>"Variable cost portion of the Pump: &gt; 5 HP - Pump and motor, 1.25"" through 10"" discharge size, flows to 6600 gpm and heads to 400 ft. This portion IS dependent on the total horsepower for the Pump: &gt; 5 HP. The total cost of any Pump: &gt; 5 HP will include th"</t>
  </si>
  <si>
    <t>"Pump, &gt; 5 HP - Pump and motor, 3"" through 8"" discharge size, flows to 5500 gpm and heads to 440 ft, fixed cost portion"</t>
  </si>
  <si>
    <t>"Fixed cost portion of the Pump: &gt; 5 HP - Pump and motor, 3"" through 8"" discharge size, flows to 5500 gpm and heads to 440 ft. This portion is a base cost for all Pump: &gt; 5 HP  and is not dependant on horsepower. The total cost of any Pump: &gt; 5 HP  will in"</t>
  </si>
  <si>
    <t>"Pump, &gt; 5 HP - Pump and motor, 3"" through 8"" discharge size, flows to 5500 gpm and heads to 440 ft, variable cost portion"</t>
  </si>
  <si>
    <t>"Variable cost portion of the Pump: &gt; 5 HP - Pump and motor, 3"" through 8"" discharge size, flows to 5500 gpm and heads to 440 ft. This portion IS dependent on the total horsepower for the Pump: &gt; 5 HP. The total cost of any Pump: &gt; 5 HP will include this v"</t>
  </si>
  <si>
    <t>"Screw gate, cast iron, 10"" diameter, 10/0 head"</t>
  </si>
  <si>
    <t>"10"" diameter cast iron screw (canal) gate rated at 10 seating head 0 feet unseating head. Materials only."</t>
  </si>
  <si>
    <t>"Screw gate, cast iron, 12"" diameter, 20/10 head"</t>
  </si>
  <si>
    <t>"12"" diameter cast iron screw (canal) gate rated at ≥20 seating head, 10 feet unseating head. Materials only."</t>
  </si>
  <si>
    <t>"Screw gate, cast iron, 18"" diameter, 10/0 head"</t>
  </si>
  <si>
    <t>"18"" diameter cast iron screw (canal) gate rated at 10 seating head 0 feet unseating head. Materials only."</t>
  </si>
  <si>
    <t>"Screw gate, cast iron, 18"" diameter, 20/10 head"</t>
  </si>
  <si>
    <t>"18"" diameter cast iron screw (canal) gate rated at ≥20 seating head, 10 feet unseating head. Materials only."</t>
  </si>
  <si>
    <t>"Screw gate, cast iron, 24"" diameter, 20/10 head"</t>
  </si>
  <si>
    <t>"24"" diameter cast iron screw (canal) gate rated at ≥20 seating head, 10 feet unseating head. Materials only."</t>
  </si>
  <si>
    <t>"Screw gate, cast iron, 30"" diameter, 10/0 head"</t>
  </si>
  <si>
    <t>"30"" diameter cast iron screw (canal) gate rated at 10 seating head 0 feet unseating head. Materials only."</t>
  </si>
  <si>
    <t>"Screw gate, cast iron, 30"" diameter, 20/10 head"</t>
  </si>
  <si>
    <t>"30"" diameter cast iron screw (canal) gate rated at ≥20 seating head, 10 feet unseating head. Materials only."</t>
  </si>
  <si>
    <t>"Screw gate, cast iron, 36"" diameter, 20/10 head"</t>
  </si>
  <si>
    <t>"36"" diameter cast iron screw (canal) gate rated at ≥20 seating head, 10 feet unseating head. Materials only."</t>
  </si>
  <si>
    <t>"Screw gate, cast iron, 48"" diameter, 20/10 head"</t>
  </si>
  <si>
    <t>"48"" diameter cast iron screw (canal) gate rated at ≥20 seating head, 10 feet unseating head. Materials only."</t>
  </si>
  <si>
    <t>"Screw Pin Anchor Shackles, Galvanize-Steel, ¼"""</t>
  </si>
  <si>
    <t>Tether connectors for buoy and anchor.  Material and shipping only.</t>
  </si>
  <si>
    <t>"Shrub, seedling or transplant, bare root, 18""-36"""</t>
  </si>
  <si>
    <t>"Bare root hardwood trees 18-36"" tall. Materials and shipping."</t>
  </si>
  <si>
    <t>"Shrub, seedling or transplant, bare root, 36-60"""</t>
  </si>
  <si>
    <t>Bare root shrubs 3 to 5 foot tall. Materials and shipping.</t>
  </si>
  <si>
    <t>"Shrub, seedling or transplant, bare root, 6-18"""</t>
  </si>
  <si>
    <t>"Bare root hardwood trees 6-18"" tall. Materials and shipping."</t>
  </si>
  <si>
    <t>"Stake, bamboo, 3/8"" x 36"""</t>
  </si>
  <si>
    <t>"3/8"" x 36"" bamboo stakes to anchor items in place. Materials only."</t>
  </si>
  <si>
    <t>"Stakes, bamboo 3/8"" x 48"""</t>
  </si>
  <si>
    <t>"3/8"" x 48"" bamboo stakes to anchor items in place. Materials only."</t>
  </si>
  <si>
    <t>"Stakes, wood, 1"" x 1"" x 36"""</t>
  </si>
  <si>
    <t>"1"" x 1"" x 36"" wood stakes to fasten items in place. Materials only."</t>
  </si>
  <si>
    <t>"Stakes, wood, 1"" x 1"" x 48"""</t>
  </si>
  <si>
    <t>"1"" x 1"" x 48"" wood stakes to fasten items in place. Materials only."</t>
  </si>
  <si>
    <t>"Stakes, wood, 1"" x 2"" x 24"""</t>
  </si>
  <si>
    <t>"1"" x 2"" x 24"" wood stakes to fasten items in place. Materials only."</t>
  </si>
  <si>
    <t>"Stakes, wood, 3/4"" x 3/4"" x 24"""</t>
  </si>
  <si>
    <t>"3/4"" x 3/4"" x 24"" wood stakes to fasten items in place. Materials only."</t>
  </si>
  <si>
    <t>"Stakes, wood, 3/4"" x 3/4"" x 36"""</t>
  </si>
  <si>
    <t>"3/4"" x 3/4"" x 36"" wood stakes to fasten items in place. Materials only."</t>
  </si>
  <si>
    <t>"Stakes, wood, 3/4"" x 3/4"" x 48"""</t>
  </si>
  <si>
    <t>"3/4"" x 3/4"" x 48"" wood stakes to fasten items in place. Materials only."</t>
  </si>
  <si>
    <t>"Stakes, wood, 3/4"" x 3/4"" x 60"""</t>
  </si>
  <si>
    <t>"3/4"" x 3/4"" x 60"" wood stakes to fasten items in place. Materials only."</t>
  </si>
  <si>
    <t>"Steel cable grips, lockable, 1/4"""</t>
  </si>
  <si>
    <t>"Lockable wire rope grips for 1/4"" galvanized steel cable.  Materials and shipping only."</t>
  </si>
  <si>
    <t>"Steel, Angle, 3"" x 3"" x 1/4"""</t>
  </si>
  <si>
    <t>"Materials: Angle, 3"" x 3"" x 1/4"", Meets ASTM A36"</t>
  </si>
  <si>
    <t>"Steel, Plate,  ⅛"""</t>
  </si>
  <si>
    <t>"Flat Steel Plate,  ⅛"" thick, materials only."</t>
  </si>
  <si>
    <t>"Steel, Plate, 3/16"""</t>
  </si>
  <si>
    <t>"Flat Steel Plate, 3/16"" thick, materials only."</t>
  </si>
  <si>
    <t>"Steel, Plate, 3/8"""</t>
  </si>
  <si>
    <t>"Flat steel plate, 3/8"" thickness.  Materials only."</t>
  </si>
  <si>
    <t>"Structural steel tubing, 2"" diameter"</t>
  </si>
  <si>
    <t>"Structural steel tubing, 2"" diameter, 1/8"" wall thickness, materials only"</t>
  </si>
  <si>
    <t>"Swing Check Valve, Metal 6"""</t>
  </si>
  <si>
    <t>"6"" diameter check valve with metal body.  Materials only."</t>
  </si>
  <si>
    <t>"Swing Check Valve, metal, 10"""</t>
  </si>
  <si>
    <t>"10"" swing check valve for back flow prevention, ductile iron metal body with flange mount and lever shaft. Materials only."</t>
  </si>
  <si>
    <t>"Swing Check Valve, metal, 12"""</t>
  </si>
  <si>
    <t>"12"" swing check valve for back flow prevention,  ductile iron metal body with flange mount and lever shaft. Materials only."</t>
  </si>
  <si>
    <t>"Swing Check Valve, metal, 14"""</t>
  </si>
  <si>
    <t>"14"" swing check valve for back flow prevention,  ductile iron metal body with flange mount and lever shaft.  Materials only."</t>
  </si>
  <si>
    <t>"Swing Check Valve, metal, 16"""</t>
  </si>
  <si>
    <t>"16"" swing check valve for back flow prevention,  ductile iron metal body with flange mount and lever shaft.  Materials only."</t>
  </si>
  <si>
    <t>"Swing Check Valve, metal, 18"""</t>
  </si>
  <si>
    <t>"18"" swing check valve for back flow prevention,  ductile iron metal body with flange mount and lever shaft. Materials only."</t>
  </si>
  <si>
    <t>"Swing Check Valve, metal, 20"""</t>
  </si>
  <si>
    <t>"20"" swing check valve for back flow prevention,  ductile iron metal body with flange mount and lever shaft. Materials only."</t>
  </si>
  <si>
    <t>"Swing Check Valve, metal, 8"""</t>
  </si>
  <si>
    <t>"8"" swing check valve for back flow prevention, ductile iron metal body with flange mount and lever shaft. Materials only."</t>
  </si>
  <si>
    <t>"Tank, Steel, Bottomless, 12 Gauge, 25'd x 33""h"</t>
  </si>
  <si>
    <t>Tank, 12 gauge steel - Approximately 7300 gallons, Includes necessary hardware</t>
  </si>
  <si>
    <t>"Tank, Steel, Bottomless, 12 Gauge, 30'd x 33""h"</t>
  </si>
  <si>
    <t>Tank, 12 gauge steel - Approximately 10500 gallons, Includes necessary hardware</t>
  </si>
  <si>
    <t>"Tree shelter, mesh tree tube, 24"""</t>
  </si>
  <si>
    <t>"24"" tall vexar or other open weave tubular tree shelter to protect from animal damage.  Materials only."</t>
  </si>
  <si>
    <t>"Tree shelter, mesh tree tube, 48"""</t>
  </si>
  <si>
    <t>"48"" tall vexar or other open weave tubular tree shelter to protect from animal damage.  Materials only."</t>
  </si>
  <si>
    <t>"Tree shelter, solid tube type,  3-1/4"" x 30"""</t>
  </si>
  <si>
    <t>"3-1/4"" x 30"" tree tube for protection from animal damage. Materials only."</t>
  </si>
  <si>
    <t>"Tree shelter, solid tube type,  3-1/4"" x 36"""</t>
  </si>
  <si>
    <t>"3-1/4"" x 36"" tree tube for protection from animal damage. Materials only."</t>
  </si>
  <si>
    <t>"Tree shelter, solid tube type,  4"" x 18"""</t>
  </si>
  <si>
    <t>"4"" x 18"" tree tube for protection from animal damage. Materials only."</t>
  </si>
  <si>
    <t>"Tree shelter, solid tube type,  4"" x 24"""</t>
  </si>
  <si>
    <t>"4"" x 24"" tree tube for protection from animal damage. Materials only."</t>
  </si>
  <si>
    <t>"Tree shelter, solid tube type,  4"" x 48"""</t>
  </si>
  <si>
    <t>"4"" x 48"" tree tube for protection from animal damage. Materials only."</t>
  </si>
  <si>
    <t>"Tree shelter, solid tube type,  4"" x 60"""</t>
  </si>
  <si>
    <t>"4"" x 60"" tree tube for protection from animal damage. Materials only."</t>
  </si>
  <si>
    <t>"Tree shelter, solid tube type,  5"" x 30"""</t>
  </si>
  <si>
    <t>"5"" x 30"" tree tube for protection from animal damage. Materials only."</t>
  </si>
  <si>
    <t>"Tree shelter, solid tube type,  5"" x 48"""</t>
  </si>
  <si>
    <t>"5"" x 48"" tree tube for protection from animal damage. Materials only."</t>
  </si>
  <si>
    <t>"Tree shelter, solid tube type, 3-1/4"" x 24"""</t>
  </si>
  <si>
    <t>"Tree shelter, solid tube type, 4"" x 30"""</t>
  </si>
  <si>
    <t>"4"" x 30"" tree tube for protection from animal damage. Materials only."</t>
  </si>
  <si>
    <t>"Tree shelter, solid tube type, 4"" x 36"""</t>
  </si>
  <si>
    <t>"4"" x 36"" tree tube for protection from animal damage. Materials only."</t>
  </si>
  <si>
    <t>"Tree, hardwood, seedling or transplant, bare root, 16-36"""</t>
  </si>
  <si>
    <t>"Bare root hardwood trees 18-36"" tall. Materials only."</t>
  </si>
  <si>
    <t>"Tree, hardwood, seedling or transplant, bare root, 36-60"""</t>
  </si>
  <si>
    <t>Bare root hardwood trees 3 to 5 foot tall. Materials only.</t>
  </si>
  <si>
    <t>"Tree, hardwood, seedling or transplant, bare root, 6-18"""</t>
  </si>
  <si>
    <t>"Bare root hardwood trees 6-18"" tall. Materials only."</t>
  </si>
  <si>
    <t>"Valve, Alfalfa valve with riser, PVC, 10"""</t>
  </si>
  <si>
    <t>"Alfalfa valve assembly including, 10"" diameter metal alfalfa valve, PVC tee, 36"" PVC riser for connection to a pipeline.  Materials only."</t>
  </si>
  <si>
    <t>"Valve, Alfalfa valve with riser, PVC, 12"""</t>
  </si>
  <si>
    <t>"Alfalfa valve assembly including, 12"" diameter metal alfalfa valve, PVC tee, 36"" PVC riser for connection to a pipeline.  Materials only."</t>
  </si>
  <si>
    <t>"Valve, Alfalfa valve with riser, PVC, 14"""</t>
  </si>
  <si>
    <t>"Alfalfa valve assembly including, 14"" diameter metal alfalfa valve, PVC tee, 36"" PVC riser for connection to a pipeline.  Materials only."</t>
  </si>
  <si>
    <t>"Valve, Alfalfa valve with riser, PVC, 6"""</t>
  </si>
  <si>
    <t>"Alfalfa valve assembly including, 6"" diameter metal alfalfa valve, PVC tee, 36"" PVC riser for connection to a pipeline.  Materials only."</t>
  </si>
  <si>
    <t>"Valve, Alfalfa valve with riser, PVC, 8"""</t>
  </si>
  <si>
    <t>"Alfalfa valve assembly including, 8"" diameter metal alfalfa valve, PVC tee, 36"" PVC riser for connection to a pipeline.  Materials only."</t>
  </si>
  <si>
    <t>"Valve, sprinkler hydrant irrigation valve with riser, metal, 10"" x 4"" x 42"""</t>
  </si>
  <si>
    <t>"Irrigation hydrant valve assembly including saddle tee, coated metal riser and integral valve installed on a 10"" dia. pipeline, 4"" dia. X 42"" long riser.  Materials only."</t>
  </si>
  <si>
    <t>"Valve, sprinkler hydrant irrigation valve with riser, metal, 12"" x 4"" x 42"""</t>
  </si>
  <si>
    <t>"Irrigation hydrant valve assembly including saddle tee, coated metal riser and integral valve installed on a 12"" dia. pipeline, 4"" dia. X 42"" long riser.  Materials only."</t>
  </si>
  <si>
    <t>"Valve, sprinkler hydrant irrigation valve with riser, metal, 6"" x 4"" x 42"""</t>
  </si>
  <si>
    <t>"Irrigation hydrant valve assembly including saddle tee, coated metal riser and integral valve installed on a 6"" dia. pipeline, 4"" dia. X 42"" long riser.  Materials only."</t>
  </si>
  <si>
    <t>"Valve, sprinkler hydrant irrigation valve with riser, metal, 8"" x 4"" x 42"""</t>
  </si>
  <si>
    <t>"Irrigation hydrant valve assembly including saddle tee, coated metal riser and integral valve installed on a 8"" dia. pipeline, 4"" dia. X 42"" long riser.  Materials only."</t>
  </si>
  <si>
    <t>"Valve, sprinkler hydrant irrigation valve with riser, PVC, 10"" x 4"" x 42"""</t>
  </si>
  <si>
    <t>"Irrigation hydrant valve assembly including saddle tee, PVC riser and integral valve installed on a 10"" dia. pipeline, 4"" dia. X 42"" long riser.  Materials only."</t>
  </si>
  <si>
    <t>"Valve, sprinkler hydrant irrigation valve with riser, PVC, 6"" x 4"" x 42"""</t>
  </si>
  <si>
    <t>"Irrigation hydrant valve assembly including saddle tee, PVC riser and integral valve installed on a 6"" dia. pipeline, 4"" dia. X 42"" long riser.  Materials only."</t>
  </si>
  <si>
    <t>"Valve, sprinkler hydrant irrigation valve with riser, PVC, 8"" x 4"" x 42"""</t>
  </si>
  <si>
    <t>"Irrigation hydrant valve assembly including saddle tee, PVC riser and integral valve installed on a 8"" dia. pipeline, 4"" dia. X 42"" long riser.  Materials only."</t>
  </si>
  <si>
    <t>"Valves, bronze, check, swing, soldered, 300 lb., 1¼"""</t>
  </si>
  <si>
    <t>"Bronze body swing type check valve, 1 1/4"" diameter, materials only"</t>
  </si>
  <si>
    <t>"Valves, bronze, check, swing, soldered, 300 lb., 2"""</t>
  </si>
  <si>
    <t>"Bronze body swing type check valve, 2"" diameter, materials only"</t>
  </si>
  <si>
    <t>"Water Control Structure, Stoplog, Inline, 20""x24""x6', 15"" diameter"</t>
  </si>
  <si>
    <t>"Water Level Control Structure, Inline stoplog type, 20"" wide x 24""  deep x 6' high suitable for a 15"" diameter pipe. Typically made of PVC or fiberglass materials.  Materials only."</t>
  </si>
  <si>
    <t>"Water Level Control Structure, Inline, 2 Baffle, 10"" diameter"</t>
  </si>
  <si>
    <t>"Inline Inlet WCS 6' High x 10"" Dia.connections , 2 baffle (3 compartments)"</t>
  </si>
  <si>
    <t>"Water Level Control Structure, Inline, 2 Baffle, 12"" diameter"</t>
  </si>
  <si>
    <t>"Inline Inlet WCS 6' High x 12"" Dia.connections , 2 baffle (3 compartments)"</t>
  </si>
  <si>
    <t>"Water Level Control Structure, Inline, 2 Baffle, 8"" diameter"</t>
  </si>
  <si>
    <t>"Inline Inlet WCS 6' High x 8"" Dia.connections , 2 baffle (3 compartments)"</t>
  </si>
  <si>
    <t>"Waterstop, PVC, ribbed, 3/16"" x 6"""</t>
  </si>
  <si>
    <t>"Waterstop, PVC, ribbed, 3/16"" thick by 6""wide.  Includes materials, equipment and labor."</t>
  </si>
  <si>
    <t>"Wattles, straw, 12""x10'"</t>
  </si>
  <si>
    <t>Tubes of rice straw, approximately 12 inch diameter, 10 feet long. Materials only (including stakes).</t>
  </si>
  <si>
    <t>"Wattles, straw, 8-9""x25'"</t>
  </si>
  <si>
    <t>Tubes of rice straw, approximately 8-9 inch in diameter, 25 feet long  . Materials only (including stakes).</t>
  </si>
  <si>
    <t>"Well Cap, 10"""</t>
  </si>
  <si>
    <t>"Well cap, 10"". Materials only."</t>
  </si>
  <si>
    <t>"Well Cap, 12"""</t>
  </si>
  <si>
    <t>"Well cap, 12"". Materials only."</t>
  </si>
  <si>
    <t>"Well Cap, 2"""</t>
  </si>
  <si>
    <t>"Well cap, 2"". Materials only."</t>
  </si>
  <si>
    <t>"Well Cap, 4"""</t>
  </si>
  <si>
    <t>"Well cap, 4"". Materials only."</t>
  </si>
  <si>
    <t>"Well Cap, 6"""</t>
  </si>
  <si>
    <t>"Well cap, 6"". Materials only."</t>
  </si>
  <si>
    <t>"Well Cap, 8"""</t>
  </si>
  <si>
    <t>"Well cap, 8"". Materials only."</t>
  </si>
  <si>
    <t>"Well Casing, ABS, 10"""</t>
  </si>
  <si>
    <t>"ABS well casing, 10"". Materials only."</t>
  </si>
  <si>
    <t>"Well Casing, Metal, 10"""</t>
  </si>
  <si>
    <t>"Steel well casing, 10"". Materials only."</t>
  </si>
  <si>
    <t>"Well Casing, Metal, 12"""</t>
  </si>
  <si>
    <t>"Steel well casing, 12"". Materials only."</t>
  </si>
  <si>
    <t>"Well Casing, Metal, 2"""</t>
  </si>
  <si>
    <t>"Steel well casing, 2"". Materials only."</t>
  </si>
  <si>
    <t>"Well Casing, Metal, 4"""</t>
  </si>
  <si>
    <t>"Steel well casing, 4"". Materials only."</t>
  </si>
  <si>
    <t>"Well Casing, Metal, 6"""</t>
  </si>
  <si>
    <t>"Steel well casing, 6"". Materials only."</t>
  </si>
  <si>
    <t>"Well Casing, Metal, 8"""</t>
  </si>
  <si>
    <t>"Steel well casing, 8"". Materials only."</t>
  </si>
  <si>
    <t>"Well Casing, Plastic, 10"""</t>
  </si>
  <si>
    <t>"PVC or ABS  well casing, 10"". Materials only."</t>
  </si>
  <si>
    <t>"Well Casing, Plastic, 12"""</t>
  </si>
  <si>
    <t>"PVC or ABS  well casing, 12"". Materials only."</t>
  </si>
  <si>
    <t>"Well Casing, Plastic, 2"""</t>
  </si>
  <si>
    <t>"PVC or ABS well casing, 2"". Materials only."</t>
  </si>
  <si>
    <t>"Well Casing, Plastic, 4"""</t>
  </si>
  <si>
    <t>"PVC or ABS well casing, 4"". Materials only."</t>
  </si>
  <si>
    <t>"Well Casing, Plastic, 6"""</t>
  </si>
  <si>
    <t>"PVC or ABS well casing, 6"". Materials only."</t>
  </si>
  <si>
    <t>"Well Casing, Plastic, 8"""</t>
  </si>
  <si>
    <t>"PVC or ABS well casing, 8"". Materials only."</t>
  </si>
  <si>
    <t>"Well Casing, Stainless Steel/Copper, 2"""</t>
  </si>
  <si>
    <t>"Stainless steel or Copper well casing, 2"". Materials only."</t>
  </si>
  <si>
    <t>"Well Casing, Stainless Steel/Copper, 4"""</t>
  </si>
  <si>
    <t>"Stainless steel or Copper well casing, 4"". Materials only."</t>
  </si>
  <si>
    <t>"Well Screen, plastic, 2"""</t>
  </si>
  <si>
    <t>"2"" PVC well screen. Materials only."</t>
  </si>
  <si>
    <t>"Well Screen, plastic, 4"""</t>
  </si>
  <si>
    <t>"4"" PVC well screen. Materials only."</t>
  </si>
  <si>
    <t>"Well Screen, plastic, 6"""</t>
  </si>
  <si>
    <t>"6"" PVC well screen. Materials only."</t>
  </si>
  <si>
    <t>"Well Screen, plastic, 8"""</t>
  </si>
  <si>
    <t>"8"" PVC well screen. Materials only."</t>
  </si>
  <si>
    <t>"Well Screen, stainless steel, 10"""</t>
  </si>
  <si>
    <t>"10"" Stainless steel well screen.  Materials only."</t>
  </si>
  <si>
    <t>"Well Screen, stainless steel, 6"""</t>
  </si>
  <si>
    <t>"6"" Stainless steel well screen.  Materials only."</t>
  </si>
  <si>
    <t>"Well Screen, stainless steel, 8"""</t>
  </si>
  <si>
    <t>"8"" Stainless steel well screen.  Materials only."</t>
  </si>
  <si>
    <t>"Wire, Woven, Galvanized, 12.5 Gauge, 32"""</t>
  </si>
  <si>
    <t>"Galvanized 12.5 gauge, 32"" - 330' roll"</t>
  </si>
  <si>
    <t>"Wire, Woven, Galvanized, 12.5 Gauge, 48"""</t>
  </si>
  <si>
    <t>"Galvanized 12.5 gauge, 48"" - 330' roll"</t>
  </si>
  <si>
    <t>"Wire, Woven, Wildlife, 72"""</t>
  </si>
  <si>
    <t>"High Tensile 12.5 gauge, 72"" - 330' roll"</t>
  </si>
  <si>
    <t>"Wire, Woven, Wildlife, 96"""</t>
  </si>
  <si>
    <t>"High Tensile 12.5 gauge, 96"" - 330' roll"</t>
  </si>
  <si>
    <t>2 Drum Spill Pallet, 66 Gallon</t>
  </si>
  <si>
    <t>Pre fabricated containment basin with a capacity of approximately 66 gal.  Materials only.</t>
  </si>
  <si>
    <t>Adapter plate, steepass, downstream</t>
  </si>
  <si>
    <t>Aluminum angle adapter without flanges, downstream configuration.  Includes stainless steel fasteners for joining fishway.  Materials and shipping only.</t>
  </si>
  <si>
    <t>Adapter plate, steepass, right angle</t>
  </si>
  <si>
    <t>Adapter plate needed for joining steepass fish ladders at a 90 degree angle.  Includes stainless steel fasteners for joining fishway.  Materials and shipping only.</t>
  </si>
  <si>
    <t>Adapter plate, steepass, upstream</t>
  </si>
  <si>
    <t>Aluminum angle adapter without flanges, upstream configuration.  Includes stainless steel fasteners for joining fishway.  Materials and shipping only.</t>
  </si>
  <si>
    <t>Aerator - subsurface</t>
  </si>
  <si>
    <t>Aeration system, ponds, subsurface air.  Includes shipping.</t>
  </si>
  <si>
    <t>Aerator, pond, 1 hp</t>
  </si>
  <si>
    <t>1 hp Aerator for pond or tank with less than 10 acres of surface area. Materials only.</t>
  </si>
  <si>
    <t>Aerator, pond, 10 hp</t>
  </si>
  <si>
    <t>10 hp Aerator for pond or tank with 10 or more acres of surface area. Materials only</t>
  </si>
  <si>
    <t>Ag Waste Amendment, acidified clay, fuller's earth</t>
  </si>
  <si>
    <t>Litter amendment, NRCS approved for air quality concerns to reduce ammonia emissions from the litter. Materials only.</t>
  </si>
  <si>
    <t>Ag Waste Amendment, aluminum sulfate, alum</t>
  </si>
  <si>
    <t>Aluminum sulfate, alum, poultry Litter amendment. NRCS approved for air and water quality concerns to reduce ammonia emissions and soluble phosphorus in the litter. Materials only.</t>
  </si>
  <si>
    <t>Ag Waste Amendment, digestive enzymes, 10 liter container</t>
  </si>
  <si>
    <t>10 liter container of an organic manure amendment. Liquefied lignite coal.  Materials only.</t>
  </si>
  <si>
    <t>Ag Waste Amendment, ferric sulfate</t>
  </si>
  <si>
    <t>Ferric sulfate poultry litter amendment. NRCS approved for air and water quality concerns to reduce ammonia emissions and soluble phosphorus in the litter. Materials only.</t>
  </si>
  <si>
    <t>Ag Waste Amendment, sodium bisulfate</t>
  </si>
  <si>
    <t>Sodium bisulfate poultry litter amendment. NRCS approved for air quality concerns to reduce ammonia emissions from the litter. Materials only.</t>
  </si>
  <si>
    <t>Aggregate, agricultural lime</t>
  </si>
  <si>
    <t>Bulk agricultural lime rock.  Includes materials and transport to site.</t>
  </si>
  <si>
    <t>Aggregate, Gravel, Graded</t>
  </si>
  <si>
    <t>Gravel, includes materials, equipment and labor to transport and place.  Includes washed and unwashed gravel.</t>
  </si>
  <si>
    <t>Aggregate, Gravel, Ungraded, Quarry Run</t>
  </si>
  <si>
    <t>Aggregate, gravel, washed, pea gravel</t>
  </si>
  <si>
    <t>Washed and graded pea gravel river stone.  Includes materials and transport to site.</t>
  </si>
  <si>
    <t>Aggregate, recycled asphalt</t>
  </si>
  <si>
    <t>Ground up asphalt.  Includes materials only.</t>
  </si>
  <si>
    <t>Aggregate, recycled concrete</t>
  </si>
  <si>
    <t>Ground up concrete.  Includes materials only.</t>
  </si>
  <si>
    <t>Aggregate, river rock</t>
  </si>
  <si>
    <t>Well graded, rounded mineral substrates derived from local riverine settings.  Includes materials and local delivery</t>
  </si>
  <si>
    <t>Aggregate, Sand, Graded, Washed</t>
  </si>
  <si>
    <t>Sand, typical ASTM C33 gradation, includes materials, equipment and labor to transport and place</t>
  </si>
  <si>
    <t>Aggregate, Shell</t>
  </si>
  <si>
    <t>Shell, hauled and dumped, smoothed and graded</t>
  </si>
  <si>
    <t>Alfalfa (Medicago sativa)</t>
  </si>
  <si>
    <t>Introduced Legumes and shipping.</t>
  </si>
  <si>
    <t>Alsike Clover (Trifolium hybridum)</t>
  </si>
  <si>
    <t>Anchor, earthen, low disturbance, large</t>
  </si>
  <si>
    <t>Low disturbance, galvanized or aluminum alloy earthen anchors with holding power greather than 3,000 pounds in normal soil.  Materials and shipping only.</t>
  </si>
  <si>
    <t>Anchor, earthen, low disturbance, small</t>
  </si>
  <si>
    <t>Low disturbance, galvanized or aluminum alloy earthen anchors with holding power of 3,000 pounds or less in normal soil.  Materials and shipping only.</t>
  </si>
  <si>
    <t>Animal repellent, chemical</t>
  </si>
  <si>
    <t>Chemical animal repellent to protect trees from animal damage. Materials only.</t>
  </si>
  <si>
    <t>Animal repellent, organic</t>
  </si>
  <si>
    <t>Organic compound animal repellent to protect trees from animal damage. Materials only.</t>
  </si>
  <si>
    <t>Animals used for biological weed control</t>
  </si>
  <si>
    <t>Goats, Llamas, Sheep - Includes all support: fence, water, dog, mob, etc.</t>
  </si>
  <si>
    <t>Head per day</t>
  </si>
  <si>
    <t>Anionic Polyacrylamide (PAM)</t>
  </si>
  <si>
    <t>Water Soluble PAM, granular bulk, for mixing with irrigation water.  Materials only.</t>
  </si>
  <si>
    <t>Pounds</t>
  </si>
  <si>
    <t>Arch septic leaching chamber, HDPE</t>
  </si>
  <si>
    <t>HDPE leaching galley, 2.5' to 3' wide x 6' to 8' long.  Materials only.</t>
  </si>
  <si>
    <t>Arrowleaf balsamroot (Balsamoriza sagittata)</t>
  </si>
  <si>
    <t>Native Forbs &amp; shipping</t>
  </si>
  <si>
    <t>Articulated block</t>
  </si>
  <si>
    <t>Articulated precast concrete blocks with a typical thickness of 4.5 inches. Includes materials only.</t>
  </si>
  <si>
    <t>Asphalt, pavement</t>
  </si>
  <si>
    <t>"Bituminous Concrete,includes materials, equipment and labor for 4"" layer, base not included."</t>
  </si>
  <si>
    <t>Austrian Winter Pea, Caley Pea (Lathyrus hirsutus)</t>
  </si>
  <si>
    <t>Legumes, Cover Crops.  Shipping not included.</t>
  </si>
  <si>
    <t>Bahia grass (Paspalum notatum)</t>
  </si>
  <si>
    <t>Introduced Perennial Grasses and shipping.</t>
  </si>
  <si>
    <t>Barley (Hordeum vulgare)</t>
  </si>
  <si>
    <t>Small Grains, Cover Crops.  Shipping not included.</t>
  </si>
  <si>
    <t>Bat Gate</t>
  </si>
  <si>
    <t>Bat Gate Assembly, Includes materials, equipment and labor.</t>
  </si>
  <si>
    <t>Battery, Deep Cycle</t>
  </si>
  <si>
    <t>Materials for Deep Cycle Battery (56 amp-hour)</t>
  </si>
  <si>
    <t>Beeplant</t>
  </si>
  <si>
    <t>Bentonite, includes materials (50# bag)</t>
  </si>
  <si>
    <t>Bermuda Grass (Cynodon dactylon)</t>
  </si>
  <si>
    <t>Bermuda Grass, Sprigs (Cynodon dactylon)</t>
  </si>
  <si>
    <t>Bushel</t>
  </si>
  <si>
    <t>Big Blue Stem (Andropogon gerardii)</t>
  </si>
  <si>
    <t>Native Grasses and shipping.</t>
  </si>
  <si>
    <t>Birdsfoot Trefoil (Lotus corniculatus)</t>
  </si>
  <si>
    <t>Black-Eyed Susan (Rudbeckia hirta)</t>
  </si>
  <si>
    <t>Native Forbs and shipping.</t>
  </si>
  <si>
    <t>Block, concrete</t>
  </si>
  <si>
    <t>Concrete block, hollow, normal weight, 3500 psi.  Includes both full and partial sizes. Material only</t>
  </si>
  <si>
    <t>Block, pre-cast concrete, modular</t>
  </si>
  <si>
    <t>Pre-cast concrete blocks, typically 2ft x 2ft x 6ft , includes installation and delivery.</t>
  </si>
  <si>
    <t>Blue Flax (Linum perenne)</t>
  </si>
  <si>
    <t>Blue Vervain (Verbena hastata)</t>
  </si>
  <si>
    <t>Blue Wild Indigo (Baptisia australis)</t>
  </si>
  <si>
    <t>Native Legumes and shipping.</t>
  </si>
  <si>
    <t>Blue Wildrye (Elymus glaucus)</t>
  </si>
  <si>
    <t>Native Grasses &amp; shipping</t>
  </si>
  <si>
    <t>Bluebunch Wheatgrass (Pseudoroegneria spicata)</t>
  </si>
  <si>
    <t>Bluejoint (Calamagrostis canadensis)</t>
  </si>
  <si>
    <t>Native Grasses and shipping</t>
  </si>
  <si>
    <t>Boiler</t>
  </si>
  <si>
    <t>Typical boiler needed to maintain digester temperature.</t>
  </si>
  <si>
    <t>Bolander's Sunflower (Helianthus bolanderi)</t>
  </si>
  <si>
    <t>Boulder</t>
  </si>
  <si>
    <t>Rock boulders. Includes materials and local delivery (less than 50 miles) only.</t>
  </si>
  <si>
    <t>Bridge, steel or concrete, pre-Manufactured Bridge</t>
  </si>
  <si>
    <t>A premanufactured steel or precast prestressed concrete bridge rated for an HS 25 highway loading.  Typical width is 14', length is varible.  Includes railing system.  Includes materials and shipping only.</t>
  </si>
  <si>
    <t>Broadleaf Uniola (Chasmanthium latifolium)</t>
  </si>
  <si>
    <t>Bucket, 5 gal</t>
  </si>
  <si>
    <t>5 gallon plastic bucket. Materials only.</t>
  </si>
  <si>
    <t>Buckwheat (Fagopyrum esculentum)</t>
  </si>
  <si>
    <t>Brassicas / Non-Legume Broadleaf, Cover Crops.  Shipping not included.</t>
  </si>
  <si>
    <t>Bud caps</t>
  </si>
  <si>
    <t>poly-mesh or paper material that protect terminal bud from browsing. Materials only.</t>
  </si>
  <si>
    <t>Buffalograss (Bouteloua dactyloides)</t>
  </si>
  <si>
    <t>Bull Sedge (Carex lanuginosa)</t>
  </si>
  <si>
    <t>Native Sedge and shipping, plug or rhizome</t>
  </si>
  <si>
    <t>Buoy</t>
  </si>
  <si>
    <t>20“ inflatable polyform ball.  Material and shipping only.</t>
  </si>
  <si>
    <t>Buoy tether</t>
  </si>
  <si>
    <t>3/8”polypropylene line (marine quality).  Material and shipping only.</t>
  </si>
  <si>
    <t>Butterfly Milkweed (Asclepias tuberosa)</t>
  </si>
  <si>
    <t>Cable ties, plastic</t>
  </si>
  <si>
    <t>"Plastic cable ties (typ. 8-12"") to assist in securing items. Materials only."</t>
  </si>
  <si>
    <t>Cable, Galvanized steel</t>
  </si>
  <si>
    <t>Galvanized steel aircraft cable in 7 x 19 strand core.  Materials and shipping only.</t>
  </si>
  <si>
    <t>California Brome (Bromus carinatus)</t>
  </si>
  <si>
    <t>Canada Tick Trefoil (Desmodium canadense)</t>
  </si>
  <si>
    <t>Canadian Milk Vetch (Astragalus canadensis)</t>
  </si>
  <si>
    <t>Cardinal Flower (Lobelia cardinalis)</t>
  </si>
  <si>
    <t>Catch Basin, concrete, 2'x2'x6'</t>
  </si>
  <si>
    <t>Catch Basin, Precast Concrete, 2' square or round, cast grate, 6' deep.  Includes materials, equipment and labor.</t>
  </si>
  <si>
    <t>Cattle guard</t>
  </si>
  <si>
    <t>"Standard 16' x 6'8"" cattle guard.  Materials and shipping only."</t>
  </si>
  <si>
    <t>Cattle Panel</t>
  </si>
  <si>
    <t>"Welded wire cattle panel typically 1/4"" galvanized steel rods, 50"" high x 16' long. Materials only."</t>
  </si>
  <si>
    <t>Catwalk, metal</t>
  </si>
  <si>
    <t>Metal pedestrian walk way giving access to the valve on a structure, typically 3' wide with railing. Materials only.</t>
  </si>
  <si>
    <t>Cement, Type I or II</t>
  </si>
  <si>
    <t>Type I or II Portland Cement  (94 lb. bag), Materials only.</t>
  </si>
  <si>
    <t>Centrifuge</t>
  </si>
  <si>
    <t>Centrifuge, Typical capacity of 100 GPM with 50 HP power unit.  Includes materials and equipment</t>
  </si>
  <si>
    <t>Certified Organic, Alfalfa (Medicago sativa)</t>
  </si>
  <si>
    <t>Certified Organic, Alsike Clover (Trifolium hybridum)</t>
  </si>
  <si>
    <t>Certified Organic, Austrian Winter Pea (Lathyrus hirsutus)</t>
  </si>
  <si>
    <t>Legumes, Cover Crops and shipping.</t>
  </si>
  <si>
    <t>Certified Organic, Barley (Hordeum vulgare)</t>
  </si>
  <si>
    <t>Certified Organic, Buckwheat (Fagopyrum esculentum)</t>
  </si>
  <si>
    <t>Brassicas / Non-Legume Broadleaf, Cover Crops and shipping.</t>
  </si>
  <si>
    <t>Certified Organic, Cow Pea (Vigna unguiculata)</t>
  </si>
  <si>
    <t>Certified Organic, Crimson Clover (Trifolium incarnatum)</t>
  </si>
  <si>
    <t>Certified Organic, Fescue, Tall (Festuca arundinacea)</t>
  </si>
  <si>
    <t>Certified Organic, Festulolium (×Festulolium Asch. &amp; Graebn.)</t>
  </si>
  <si>
    <t>Certified Organic, Field Pea (Pisum sativum L.)</t>
  </si>
  <si>
    <t>Certified Organic, Hairy Vetch (Vicia villosa)</t>
  </si>
  <si>
    <t>Certified Organic, Ladino Clover (Trifolium repens)</t>
  </si>
  <si>
    <t>Certified Organic, Oats (Avena sativa)</t>
  </si>
  <si>
    <t>Certified Organic, Orchard Grass (Dactylis glomerata)</t>
  </si>
  <si>
    <t>Certified Organic, Pearl Millet (Pennisetum glaucum)</t>
  </si>
  <si>
    <t>Annual Grasses, Cover Crops and shipping.</t>
  </si>
  <si>
    <t>Certified Organic, Perennial Ryegrass (Lolium perenne)</t>
  </si>
  <si>
    <t>Certified Organic, Radish, Forage (Raphanus sativus var. niger)</t>
  </si>
  <si>
    <t>Certified Organic, Red Clover (Trifolium pratense)</t>
  </si>
  <si>
    <t>Certified Organic, Rye, Cereal (Secale cereale L.)</t>
  </si>
  <si>
    <t>Certified Organic, Ryegrass, Annual (Lolium multiflorum)</t>
  </si>
  <si>
    <t>Certified Organic, Smooth Bromegrass (Bromus inermis)</t>
  </si>
  <si>
    <t>Certified Organic, Sorghum-Sudan Grass (Sorghum bicolor (L.) Moench)</t>
  </si>
  <si>
    <t>Certified Organic, Sunn Hemp (Crotalaria juncea L.)</t>
  </si>
  <si>
    <t>Certified Organic, Sweet Clover (Melilotus spp.)</t>
  </si>
  <si>
    <t>Certified Organic, Timothy (Phleum pratense)</t>
  </si>
  <si>
    <t>Certified Organic, Turnips (Brassica rapa var. rapa)</t>
  </si>
  <si>
    <t>Certified Organic, Wheat, Winter (Triticum aestivum)</t>
  </si>
  <si>
    <t>Chemical, dust control, adhesive, lignosulfonate</t>
  </si>
  <si>
    <t>Adhesive, such as lignosulfonate. Materials only.</t>
  </si>
  <si>
    <t>Chemical, dust control, hygroscopic salt solution</t>
  </si>
  <si>
    <t>Hygroscopic salt solution, such as calcium chloride, magnesium chloride, or sodium chloride. Materials only.</t>
  </si>
  <si>
    <t>Chemical, dust control, petroleum emulsion</t>
  </si>
  <si>
    <t>Petroleum emulsion, Materials only.</t>
  </si>
  <si>
    <t>Chemical, dust control, polymer emulsion, drum purchase</t>
  </si>
  <si>
    <t>Polymer emulsion, such as polyacrylamide purchased in 55 gallon drums. Materials only.</t>
  </si>
  <si>
    <t>Chemical, dust control, polymer emulsion, tanker purchase</t>
  </si>
  <si>
    <t>Polymer emulsion, such as polyacrylamide purchased in bulk tanker of 4,000 gallons or more. Materials only.</t>
  </si>
  <si>
    <t>Chemical, dust control, polymer emulsion, tote purchase</t>
  </si>
  <si>
    <t>Polymer emulsion, such as polyacrylamide purchased in 275 to 330 gallon totes. Materials only.</t>
  </si>
  <si>
    <t>Chemical, dust control, road oil, petroleum-based</t>
  </si>
  <si>
    <t>Petroleum-based road oil, such as SC-250 or SC-800.  Materials only.</t>
  </si>
  <si>
    <t>Chicory (Cichorium intybus L.)</t>
  </si>
  <si>
    <t>Chlorine</t>
  </si>
  <si>
    <t>Liquid chlorine bleach.  Materials only.</t>
  </si>
  <si>
    <t>Chufa Flatsedge (Cyperus esculentus)</t>
  </si>
  <si>
    <t>Collection box, with grate lid</t>
  </si>
  <si>
    <t>Precast concrete box with grate lid for waste transfer sump. Typically 1000-2000 gallon capacity</t>
  </si>
  <si>
    <t>Common Cattail (Typha latifolia)</t>
  </si>
  <si>
    <t>Wetland plants such as cat tails. Materials and shipping.</t>
  </si>
  <si>
    <t>Common Evening Primrose (Oenothera biennis)</t>
  </si>
  <si>
    <t>Common Flax (Linum usitatissimum)</t>
  </si>
  <si>
    <t>Small grain &amp; shipping</t>
  </si>
  <si>
    <t>Common Yarrow (Achillea millefolium)</t>
  </si>
  <si>
    <t>Compass Plant (Silphium laciniatum)</t>
  </si>
  <si>
    <t>Complete Mix Control Building, large</t>
  </si>
  <si>
    <t>Controls for operating digester and boiler system (&gt;2000 AU).  Includes labor and equipment.</t>
  </si>
  <si>
    <t>Complete Mix Control Building, medium</t>
  </si>
  <si>
    <t>Controls for operating digester and boiler system (1000-2000 AU).  Includes labor and equipment.</t>
  </si>
  <si>
    <t>Complete Mix Control Building, small</t>
  </si>
  <si>
    <t>Controls for operating digester and boiler system (&lt;1000 AU).  Includes labor and equipment.</t>
  </si>
  <si>
    <t>Complete Mix Digester, large</t>
  </si>
  <si>
    <t>A complete mix flow anaerobic digester includes the containment facility, agitation or stirring equipment, and any necessary reception and mixing tanks (&gt;2000 AU).  Sized for large livestock operations (&gt;2500 AU).  Includes labor and equipment.</t>
  </si>
  <si>
    <t>Complete Mix Digester, medium</t>
  </si>
  <si>
    <t>A complete mix flow anaerobic digester includes the containment facility, agitation or stirring equipment, and any necessary reception and mixing tanks (1000-2000 AU).  Sized for medium sized livestock operations (1000-2500 AU).  Includes labor and equipm</t>
  </si>
  <si>
    <t>Complete Mix Digester, small</t>
  </si>
  <si>
    <t>A complete mix flow anaerobic digester includes the containment facility, agitation or stirring equipment, and any necessary reception and mixing tanks (&lt;1000 AU).  Sized for smaller livestock operations (&lt;1000 AU).  Includes labor and equipment.</t>
  </si>
  <si>
    <t>Complete Mix Flare, large</t>
  </si>
  <si>
    <t>Flare excess gas to convert from methane to carbon dioxide (&gt;2000 AU).  Includes labor and equipment.</t>
  </si>
  <si>
    <t>Complete Mix Flare, medium</t>
  </si>
  <si>
    <t>Flare excess gas to convert from methane to carbon dioxide (1000-2000 AU).  Includes labor and equipment.</t>
  </si>
  <si>
    <t>Complete Mix Flare, small</t>
  </si>
  <si>
    <t>Flare excess gas to convert from methane to carbon dioxide (&lt;1000 AU).  Includes labor and equipment.</t>
  </si>
  <si>
    <t>Complete Mix Gas Collection System, large</t>
  </si>
  <si>
    <t>Piping and collection system for biogas (&gt;2000 AU).  Includes labor and equipment.</t>
  </si>
  <si>
    <t>Complete Mix Gas Collection System, medium</t>
  </si>
  <si>
    <t>Piping and collection system for biogas.  Includes labor and equipment (1000-2000 AU).</t>
  </si>
  <si>
    <t>Complete Mix Gas Collection System, small</t>
  </si>
  <si>
    <t>Piping and collection system for biogas (&lt;1000 AU).  Includes labor and equipment.</t>
  </si>
  <si>
    <t>Complete Mix Heat Piping System, large</t>
  </si>
  <si>
    <t>Piping installed in and/or around the digester for circulating heated liquid to maintain the necessary temperatures for efficient digester operation (&gt;2000 AU).  Includes labor and equipment.</t>
  </si>
  <si>
    <t>Complete Mix Heat Piping System, medium</t>
  </si>
  <si>
    <t>Piping installed in and/or around the digester for circulating heated liquid to maintain the necessary temperatures for efficient digester operation (1000-2000 AU).  Includes labor and equipment.</t>
  </si>
  <si>
    <t>Complete Mix Heat Piping System, small</t>
  </si>
  <si>
    <t>Piping installed in and/or around the digester for circulating heated liquid to maintain the necessary temperatures for efficient digester operation (&lt;1000 AU).  Includes labor and equipment.</t>
  </si>
  <si>
    <t>Composite Cover, floating cover, &gt; 5,000 square feet</t>
  </si>
  <si>
    <t>Composite material that is used to cover open storages with an area greater than 5,000 sf.  Example, Hexa-Cover.  Materials only.</t>
  </si>
  <si>
    <t>Composite Cover, floating tile, ≤ 5,000 square foot</t>
  </si>
  <si>
    <t>Composite material that is used to cover open storages with an area less than 5,000 sf.  Example, Hexa-Cover.  Materials only.</t>
  </si>
  <si>
    <t>A mixture of decaying organic matter, as from leaves and manure, used to improve soil structure and provide nutrients.</t>
  </si>
  <si>
    <t>Composter, drum, 12 CY</t>
  </si>
  <si>
    <t>12 CY drum composter unit.  Includes equipment and operation controls.  Labor not included.</t>
  </si>
  <si>
    <t>Composter, drum, 28 CY</t>
  </si>
  <si>
    <t>28 CY drum composter unit.  Includes equipment and operation controls.  Labor not included.</t>
  </si>
  <si>
    <t>Composter, drum, 7 CF</t>
  </si>
  <si>
    <t>7 CF hand operated drum composter unit.  Includes equipment only.  Labor not included.</t>
  </si>
  <si>
    <t>Compressor heat recovery (CHR) unit, High Efficiency</t>
  </si>
  <si>
    <t>Compressor heat recovery (CHR) units (insulated storage tanks with heat exchangers) added to a refrigeration system, use the heat extracted from a warm fluid (e.g.,  milk) that passes through the hot gas refrigerant line from the refrigeration system's co</t>
  </si>
  <si>
    <t>1,000 BTU/Hour</t>
  </si>
  <si>
    <t>Concrete mix, bag</t>
  </si>
  <si>
    <t>Pre-mixed dry concrete mix in 60 pound bag. Materials only.</t>
  </si>
  <si>
    <t>Containment Tub, Steel, 1000 gallon</t>
  </si>
  <si>
    <t>Containment Tub for fuel tank, constructed of 12 gauge steel, sized for 1000 gallon fuel tank</t>
  </si>
  <si>
    <t>Containment Tub, Steel, 2000 gallon</t>
  </si>
  <si>
    <t>Containment Tub for fuel tank, constructed of 12 gauge steel, sized for 2000 gallon fuel tank</t>
  </si>
  <si>
    <t>Corn (Zea mays L.)</t>
  </si>
  <si>
    <t>Annual Grasses, Cover Crops</t>
  </si>
  <si>
    <t>Corrugated Steel, 12 Gauge, galvanized</t>
  </si>
  <si>
    <t>"Corrugated Steel, 12 gauge, 3"" by 1"" corrugations, galvanized, meets ASTM A 929"</t>
  </si>
  <si>
    <t>Corrugated Steel, 21 gauge</t>
  </si>
  <si>
    <t>Corrugated or ribbed, galvanized, 21 gauge, includes fasteners, materials only.</t>
  </si>
  <si>
    <t>Corrugated Steel, 28 gage</t>
  </si>
  <si>
    <t>Corrugated or ribbed, galvanized, 28 gauge, includes fasteners, materials only.</t>
  </si>
  <si>
    <t>Coupling, PVC, Tee, 24x18,  SCH 40</t>
  </si>
  <si>
    <t>"Materials:  - Tee, 24""x18"" - PVC - SCH 40 - ASTM D1785"</t>
  </si>
  <si>
    <t>Covered Lagoon Control Building</t>
  </si>
  <si>
    <t>Controls for operating the digester system.  Includes labor and equipment.</t>
  </si>
  <si>
    <t>Covered Lagoon Flare</t>
  </si>
  <si>
    <t>Flare excess gas to convert from methane to carbon dioxide.  Includes labor and equipment.</t>
  </si>
  <si>
    <t>Covered Lagoon Gas Collection System</t>
  </si>
  <si>
    <t>Piping and collection system for biogas.  Includes labor and equipment.</t>
  </si>
  <si>
    <t>Cow Pea (Vigna unguiculata)</t>
  </si>
  <si>
    <t>Creeping Spikerush</t>
  </si>
  <si>
    <t>Native Rush and shipping, plug or rhizome</t>
  </si>
  <si>
    <t>Crested Wheatgrass (Agropyrum cristatum)</t>
  </si>
  <si>
    <t>Introduced Grasses &amp; shipping</t>
  </si>
  <si>
    <t>Crimson Clover (Trifolium incarnatum)</t>
  </si>
  <si>
    <t>Crownvetch (Coronilla varia)</t>
  </si>
  <si>
    <t>Culvers Root (Veronicastrum virginicum)</t>
  </si>
  <si>
    <t>Culvert, box, 6' x 6'</t>
  </si>
  <si>
    <t>Precast concrete box culvert, 6'X6'.  Typically in 4' sections.  Materials only.</t>
  </si>
  <si>
    <t>Culvert, box, 6' x 8'</t>
  </si>
  <si>
    <t>Precast concrete box culvert, 6'X8'.  Typically in 4' sections.  Materials only.</t>
  </si>
  <si>
    <t>Culvert, Multi-Plate arch</t>
  </si>
  <si>
    <t>Multi-plate arch culvert, typically 7 Gauge corrugated plate.  Includes metal arch materials only, does not include footings.</t>
  </si>
  <si>
    <t>Cup Plant (Silphium perfoliatum)</t>
  </si>
  <si>
    <t>Cuttings, woody, large size</t>
  </si>
  <si>
    <t>"Woody pole cuttings or posts 2"" to 6"" in diameter and 6' long. Materials only."</t>
  </si>
  <si>
    <t>Cuttings, woody, medium size</t>
  </si>
  <si>
    <t>"Woody cuttings, live stakes or whips typically 1/4"" to 1"" diameter and 24"" to 48"" long.  Materials only."</t>
  </si>
  <si>
    <t>Data Logger</t>
  </si>
  <si>
    <t>Data Logger W/Graphic Output for water management. Materials only.</t>
  </si>
  <si>
    <t>Data Logger with Telemetry System</t>
  </si>
  <si>
    <t>Data Logger W/Graphic Output for water management and telemetry - data communication device with power supply in a weather proof enclosure.  Equipment only.</t>
  </si>
  <si>
    <t>Denil Ladder</t>
  </si>
  <si>
    <t>Denil Ladder, designed to meet species passage requirements and site characteristics.  Cost is per vertical foot of dam at site, and includes concrete, gates, trash racks, baffles, turn/resting pools, and ladder entrance or exit works.</t>
  </si>
  <si>
    <t>Dense Blazing Star (Liatris spicata)</t>
  </si>
  <si>
    <t>Desert Globemallows (Sphaeralcea ambigua)</t>
  </si>
  <si>
    <t>Native Forbs and shipping</t>
  </si>
  <si>
    <t>Diesel Engine Retrofit, fixed cost portion</t>
  </si>
  <si>
    <t>Engine replacement to the most current tier-level diesel or cleaner engine in mobile equipment.  Fixed cost portion.  Includes materials only.</t>
  </si>
  <si>
    <t>Diesel Engine Retrofit, variable cost portion</t>
  </si>
  <si>
    <t>Engine replacement to the most current tier-level diesel or cleaner engine  in mobile equipment.  Variable cost portion.  Includes materials only.</t>
  </si>
  <si>
    <t>Horse Power</t>
  </si>
  <si>
    <t>Dimension Lumber, Treated</t>
  </si>
  <si>
    <t>"Treated dimension lumber with nominal thickness equal or less than 2"".  Includes lumber and fasteners"</t>
  </si>
  <si>
    <t>Board Foot</t>
  </si>
  <si>
    <t>Dimension Lumber, untreated</t>
  </si>
  <si>
    <t>"Untreated dimension lumber with nominal thickness equal or less than 2"".  Includes lumber and fasteners"</t>
  </si>
  <si>
    <t>Dimension Lumber, untreated, rot resistant</t>
  </si>
  <si>
    <t>"Untreated dimension lumber with nominal thickness equal or less than 2"" milled from a rot resistant species such as cedar. Includes lumber and fasteners.  Does not include labor."</t>
  </si>
  <si>
    <t>Dosing System, siphon</t>
  </si>
  <si>
    <t>"Dosing system siphon with typical 3"" diameter and  12"" drawdown"</t>
  </si>
  <si>
    <t>Downspout, Aluminum, Medium</t>
  </si>
  <si>
    <t>"Aluminum downspout (6"" to 8"") in width with hangers. Materials only."</t>
  </si>
  <si>
    <t>Downspout, Aluminum, Small</t>
  </si>
  <si>
    <t>"Aluminum downspout (3"" to 5"") in width with hangers. Materials only."</t>
  </si>
  <si>
    <t>Downspout, Galvanized steel, Medium</t>
  </si>
  <si>
    <t>"Galvanized steel downspout (6"" to 8"") in width with hangers. Materials only."</t>
  </si>
  <si>
    <t>Downspout, Galvanized steel, Small</t>
  </si>
  <si>
    <t>"Galvanized steel downspout (3"" to 5"") in width with hangers. Materials only."</t>
  </si>
  <si>
    <t>Drainage Lateral Connection</t>
  </si>
  <si>
    <t>"Connect 3""-6"" drainage lateral to main drain, includes excavation to 6' depth, install tee on main line, connect lateral, and backfill.  Includes material cost for tee."</t>
  </si>
  <si>
    <t>Drill Stem, steel, used</t>
  </si>
  <si>
    <t>"Used drill stem typically 2-3/8"" or 2-7/8"" diameter. Materials only."</t>
  </si>
  <si>
    <t>Earthfill Material, purchased, common</t>
  </si>
  <si>
    <t>Purchased earthfill materials includes both silt or clay.  Material only.</t>
  </si>
  <si>
    <t>Eastern Gamagrass (Tripsacum dactyloides)</t>
  </si>
  <si>
    <t>Effluent pump appertenances</t>
  </si>
  <si>
    <t>Controller for pump system with timer, event counter and run time meter, 3 float switch assembly and alarm system with electrical connections.</t>
  </si>
  <si>
    <t>Electric, Cutoff Switch</t>
  </si>
  <si>
    <t>Electric, Cutoff Switch for electric fence</t>
  </si>
  <si>
    <t>Electric, Energizer, 3-4 joule</t>
  </si>
  <si>
    <t>Electric, Energizer, 3-4 joule for electric fence</t>
  </si>
  <si>
    <t>Electric, Energizer, 6 joule</t>
  </si>
  <si>
    <t>Electric, Energizer, 6 joule for electric fence</t>
  </si>
  <si>
    <t>Electric, Energizer, Solar</t>
  </si>
  <si>
    <t>Electric, Energizer, Solar for electric fence</t>
  </si>
  <si>
    <t>Electric, Ground Rod Clamps</t>
  </si>
  <si>
    <t>Electric, Ground Rod Clamps for electric fence</t>
  </si>
  <si>
    <t>Electric, Ground Rods</t>
  </si>
  <si>
    <t>Electric, Ground Rod for electric fence</t>
  </si>
  <si>
    <t>Electric, Insulated cable</t>
  </si>
  <si>
    <t>Electric, Insulated cable for electric fence.  Typically in spools of 100 to 200 feet.</t>
  </si>
  <si>
    <t>Electric, Lightening Diverter</t>
  </si>
  <si>
    <t>Electric, Lightening diverter for electric fence</t>
  </si>
  <si>
    <t>Electric, Power Surge Protector</t>
  </si>
  <si>
    <t>Electric, Power Surge Protector for electric fence</t>
  </si>
  <si>
    <t>Electric, Tester</t>
  </si>
  <si>
    <t>Electric, Tester for electric fence</t>
  </si>
  <si>
    <t>Emergency shower and eye wash station</t>
  </si>
  <si>
    <t>Emergency shower and ewe wash station unit. Materials only.</t>
  </si>
  <si>
    <t>Epoxy anchor</t>
  </si>
  <si>
    <t>Galvanized bolts anchored into concrete or stone using epoxy adhesive.  Includes materials and labor to drill and install.</t>
  </si>
  <si>
    <t>Erosion Control Blanket, biodegradable</t>
  </si>
  <si>
    <t>Biodegradable erosion control blanket, typically a composite of natural fibers with reinforcing polymer netting.  Materials only.</t>
  </si>
  <si>
    <t>Evaporator</t>
  </si>
  <si>
    <t>Evaporator used for maple syrup processing. Materials only.</t>
  </si>
  <si>
    <t>Evaporator, High efficiency, oil-fired w/ parametric control, &gt; 52 SF, fixed cost</t>
  </si>
  <si>
    <t>High efficient oil fired evaporator with parametric control used for maple syrup processing. Pan area greater than 52 square feet.  Fixed cost portion.  Materials only.</t>
  </si>
  <si>
    <t>Evaporator, High efficiency, oil-fired w/ parametric control, &gt; 52 SF, Variable cost</t>
  </si>
  <si>
    <t>High efficient oil fired evaporator with parametric control used for maple syrup processing.  Pan area greater than 52 square feet.  Variable cost portion.  Materials only.</t>
  </si>
  <si>
    <t>Evaporator, High efficiency, oil-fired w/ parametric control, ≤ 52 SF, fixed cost</t>
  </si>
  <si>
    <t>High efficient oil fired evaporator with parametric control used for maple syrup processing.  Pan area less than or equal 52 square feet.  Fixed cost portion.  Materials only.</t>
  </si>
  <si>
    <t>Evaporator, High efficiency, oil-fired w/ parametric control, ≤ 52 SF, Variable cost</t>
  </si>
  <si>
    <t>High efficient oil fired evaporator with parametric control used for maple syrup processing.  Pan area less than or equal 52 square feet.  Variable cost portion.  Materials only.</t>
  </si>
  <si>
    <t>Evaporator, High efficiency, wood-fired, air injection, fixed cost</t>
  </si>
  <si>
    <t>High efficient wood fired evaporator with air injection used for maple syrup processing.  Fixed cost portion.  Materials only.</t>
  </si>
  <si>
    <t>Evaporator, High efficiency, wood-fired, air injection, variable cost</t>
  </si>
  <si>
    <t>High efficient wood fired evaporator with air injection used for maple syrup processing.  Variable cost portion.  Materials only.</t>
  </si>
  <si>
    <t>Evaporator, High efficiency, wood-fired, gasification system, fixed cost</t>
  </si>
  <si>
    <t>High efficient wood fired evaporator with a gasification system used for maple syrup processing.  Fixed cost portion.  Materials only.</t>
  </si>
  <si>
    <t>Evaporator, High efficiency, wood-fired, gasification system, variable cost</t>
  </si>
  <si>
    <t>High efficient wood fired evaporator with a gasification system used for maple syrup processing.  Variable cost portion.  Materials only.</t>
  </si>
  <si>
    <t>Fan, HAF, 1/10 to 1/15 HP</t>
  </si>
  <si>
    <t>High efficiency Horizontal Air Flow (HAF) fan, controls, wiring, and associated appurtenances. Materials only.</t>
  </si>
  <si>
    <t>Fence, Chain Link</t>
  </si>
  <si>
    <t>Fence, Chain Link, 5' High, 9ga Wire, Posts in Concrete on 10' Centers</t>
  </si>
  <si>
    <t>Fence, Wire Assembly, Barbed Wire, 3 Strand</t>
  </si>
  <si>
    <t>Brace pins, battens, clips, staples</t>
  </si>
  <si>
    <t>Fence, Wire Assembly, High Tensile, Electric, 1 Strand</t>
  </si>
  <si>
    <t>Fence, Wire Assembly, High Tensile, Electric, 2 Strand</t>
  </si>
  <si>
    <t>Fence, Wire Assembly, High Tensile, Electric, 3 Strand</t>
  </si>
  <si>
    <t>Fence, Wire Assembly, High Tensile, Non-Electric, 6 Strand</t>
  </si>
  <si>
    <t>Brace pins, springs, strainers, battens, clips, crimp sleeves, staples</t>
  </si>
  <si>
    <t>Fence, Wire Assembly, Woven Wire</t>
  </si>
  <si>
    <t>Fertilizer, tree, slow release, cool climate, 14-14-14</t>
  </si>
  <si>
    <t>Slow release fertilizer to gradually apply nutrients over time for tree establishment.  50 pound bag, 14-14-14 blend.</t>
  </si>
  <si>
    <t>Fertilizer, tree, slow release, premix packet or spike</t>
  </si>
  <si>
    <t>Slow release fertilizer to gradually apply nutrients over time for tree establishment.  2.0 Oz Packet (Premixed: 16-16-16 or 16-8-8 ) or Fertilizer Spike</t>
  </si>
  <si>
    <t>Fertilizer, tree, slow release, warm climate, 18-6-12</t>
  </si>
  <si>
    <t>Slow release fertilizer to gradually apply nutrients over time for tree establishment.  50 pound bag, 18-6-12 blend.</t>
  </si>
  <si>
    <t>Fescue, Creeping Red (Festuca rubra)</t>
  </si>
  <si>
    <t>Fescue, Meadow (Schedonorus pratensis)</t>
  </si>
  <si>
    <t>Fescue, Tall (Festuca arundinacea)</t>
  </si>
  <si>
    <t>Fescue, Turf-Type, Tall</t>
  </si>
  <si>
    <t>Festulolium (×Festulolium Asch. &amp; Graebn.)</t>
  </si>
  <si>
    <t>Field Pea (Pisum sativum L.)</t>
  </si>
  <si>
    <t>Filter, effluent, municipal grade</t>
  </si>
  <si>
    <t>"Effluent filter rated 8,000 to 10,000 gallons per day with 1/16"" to 1/32"" filtration.  Materials only."</t>
  </si>
  <si>
    <t>Firecracker Penstemon (Penstemon eatonii)</t>
  </si>
  <si>
    <t>Fish Crib, corregated plastic, modular</t>
  </si>
  <si>
    <t>Corrugated plastic fish crib measuring 48” wide x 60” long x 48” high.  Materials and shipping only.</t>
  </si>
  <si>
    <t>Fish Screen, Welded Stainless Steel</t>
  </si>
  <si>
    <t>Stainless Steel Fish Screen.  Materials only.</t>
  </si>
  <si>
    <t>Flap gate, aluminum, 4' diameter</t>
  </si>
  <si>
    <t>4' diamerter flap gate constructed from aluminum, materials only</t>
  </si>
  <si>
    <t>Flap Gate, cast iron, 4' diameter</t>
  </si>
  <si>
    <t>4' diameter cast iron flap gate. Materials only.</t>
  </si>
  <si>
    <t>Floating Outlet</t>
  </si>
  <si>
    <t>"4"" diameter floating chamber with flexible connector for gravity dosing from a septic tank.  Materials only."</t>
  </si>
  <si>
    <t>Floor Heating System, radiant</t>
  </si>
  <si>
    <t>Radiant floor heating system installed in the storage area floor to keep the manure from freezing.  Includes materials, equipment and labor.</t>
  </si>
  <si>
    <t>Flow Meter,  with Electronic Index</t>
  </si>
  <si>
    <t>10 inch Turbine Irrigation flow meter, with Electronic Index, Rate and Volume, permanently installed. Materials only.</t>
  </si>
  <si>
    <t>Flow Meter, with electronic Index and telemetry</t>
  </si>
  <si>
    <t>10 inch Magnetic Irrigation Flow Meter, with electronic index and equipped for telemetry, permanently installed. Includes material, meter appurtenances, and installation.</t>
  </si>
  <si>
    <t>Flow Meter, with mechanical Index</t>
  </si>
  <si>
    <t>10 inch, Turbine Type Flow Meter with Mechanical Index, permanently installed. Includes material, labor and installation.</t>
  </si>
  <si>
    <t>Fly Ash, BAB</t>
  </si>
  <si>
    <t>Fly Ash, Bottom Ash Blend, includes material and delivery</t>
  </si>
  <si>
    <t>Footing, concrete, precast</t>
  </si>
  <si>
    <t>Precast spread footing with stemwall,  T-shaped, with channel built to accept arched culvert leg. Materials only.</t>
  </si>
  <si>
    <t>Fowl Mannagrass (Glyceria striata)</t>
  </si>
  <si>
    <t>Fox Sedge (Carex vulpinoidea)</t>
  </si>
  <si>
    <t>Foxtail Barley (Hordeum jubatum)</t>
  </si>
  <si>
    <t>Freeze Proof Hydrant</t>
  </si>
  <si>
    <t>Freeze Proof Hydrant, 3 ft bury</t>
  </si>
  <si>
    <t>Freezer, animal mortality, small</t>
  </si>
  <si>
    <t>Freezer to hold animal mortalities until rendering services become available or until treated by other processes.  Capacity &lt; 75 cubic feet.  Includes labor and equipment.</t>
  </si>
  <si>
    <t>Frost Protection, wind machine, propane</t>
  </si>
  <si>
    <t>Propane powered wind machine for orchard frost protection, including installation and all appurtenances.</t>
  </si>
  <si>
    <t>Fuel Containment Facility, corrugated metal panel wall with membrane liner, fixed cost portion</t>
  </si>
  <si>
    <t>Fixed cost portion of a secondary fuel containment facility including metal panels, support posts and and flexible liner.  This portion is the base cost for the system.  Includes materials and shipping only.</t>
  </si>
  <si>
    <t>Fuel Containment Facility, corrugated metal panel wall with membrane liner, variable cost portion</t>
  </si>
  <si>
    <t>Variable cost portion of a secondary fuel containment facility including metal panels, support posts and and flexible liner.  Includes materials and shipping only.</t>
  </si>
  <si>
    <t>Fuel Containment Facility, Gate valve 2 inch diameter</t>
  </si>
  <si>
    <t>Metal 2 inch diameter gate valve.  Materials only.</t>
  </si>
  <si>
    <t>Fuel, ignition fuel mixture</t>
  </si>
  <si>
    <t>Mixture of gasoline and diesel for ignition of prescribed burns.  Materials only.</t>
  </si>
  <si>
    <t>Fuel, propane</t>
  </si>
  <si>
    <t>20 pound propane bottle, with propane, for ignition of prescribed burns.  Materials only.</t>
  </si>
  <si>
    <t>Furnace, duel fuel</t>
  </si>
  <si>
    <t>Duel fuel furnace in-lieu of wood/oil heating.  Materials only.</t>
  </si>
  <si>
    <t>Thousand BTU</t>
  </si>
  <si>
    <t>Gabion basket or mat</t>
  </si>
  <si>
    <t>Gabion baskets or mats installed and filled on grade, includes materials, transport, equipment, and labor, does not include geotextile fabric.</t>
  </si>
  <si>
    <t>Galvanized Bolts, large</t>
  </si>
  <si>
    <t>"5/8"" x 12"" galvanized timber bolts.  Materials only."</t>
  </si>
  <si>
    <t>Garrison Grass (Alopecurus arundinaceus)</t>
  </si>
  <si>
    <t>Gate, Chain Link,  4', Walk In Gate</t>
  </si>
  <si>
    <t>Chain Link Gate, 4 ' Wide X 5' Tall, Installed in Concrete</t>
  </si>
  <si>
    <t>Gate, Chain Link, 18', Slide Gate</t>
  </si>
  <si>
    <t>Chain Link Gate, 18 ' Wide X 5' Tall, Installed in Concrete</t>
  </si>
  <si>
    <t>Gate, Game,  8' High X 12'</t>
  </si>
  <si>
    <t>12' Wide Game Gate (8' Tall)</t>
  </si>
  <si>
    <t>Gate, Game,  8' High X 14'</t>
  </si>
  <si>
    <t>14' Wide Game Gate (8' Tall)</t>
  </si>
  <si>
    <t>Gate, Game,  8' High X 16'</t>
  </si>
  <si>
    <t>16' Wide Game Gate (8' Tall)</t>
  </si>
  <si>
    <t>Gate, Game, 8' High X 10'</t>
  </si>
  <si>
    <t>10' Wide Game Gate (8' Tall)</t>
  </si>
  <si>
    <t>Gate, Game, 8' High X 4'</t>
  </si>
  <si>
    <t>4' Wide Game Gate (8' Tall)</t>
  </si>
  <si>
    <t>Gate, Pipe, 10'</t>
  </si>
  <si>
    <t>6 rail tube gate, 16 gauge</t>
  </si>
  <si>
    <t>Gate, Pipe, 12'</t>
  </si>
  <si>
    <t>Gate, Pipe, 14'</t>
  </si>
  <si>
    <t>Gate, Pipe, 16'</t>
  </si>
  <si>
    <t>Gate, Pipe, 18'</t>
  </si>
  <si>
    <t>Gate, Pipe, 20'</t>
  </si>
  <si>
    <t>Gate, swing arm</t>
  </si>
  <si>
    <t>Steel swing arm type gate with steel post anchor.  Materials and shipping only.</t>
  </si>
  <si>
    <t>Geonet</t>
  </si>
  <si>
    <t>Geosynthetic drainage liner, typically HDPE of 300 mil thickness.  Materials only.</t>
  </si>
  <si>
    <t>Geosynthetic Clay Liner</t>
  </si>
  <si>
    <t>Geosynthetic Clay Liner (GCL). Includes cost materials only.</t>
  </si>
  <si>
    <t>Geotextile Bag</t>
  </si>
  <si>
    <t>Geotextile bag for solids/liquid separation with a lay flat width of 22 feet and a circumference of 45 feet.</t>
  </si>
  <si>
    <t>Geotextile, non-woven, heavy weight</t>
  </si>
  <si>
    <t>Non-woven greater than 8 ounce/square yard geotextile with staple anchoring.  Materials only.</t>
  </si>
  <si>
    <t>Geotextile, non-woven, light weight</t>
  </si>
  <si>
    <t>Non-woven less than 8 ounce/square yard geotextile with staple anchoring.  Materials only.</t>
  </si>
  <si>
    <t>Giant Cane (Arundinaria gigantea)</t>
  </si>
  <si>
    <t>Golden Alexanders (Zizia aurea)</t>
  </si>
  <si>
    <t>Golden Ragwort (Packera aurea)</t>
  </si>
  <si>
    <t>Grain dryer, Axial 28'</t>
  </si>
  <si>
    <t>Grain dryer, 28 foot Axial with rated capacity of 990 bushels/hr. Materials only.</t>
  </si>
  <si>
    <t>Bushels per Hour</t>
  </si>
  <si>
    <t>Grain dryer, Axial, 12'</t>
  </si>
  <si>
    <t>Grain dryer, 12 foot Axial with rated capacity of 460 bushels/hour.  Materials only.</t>
  </si>
  <si>
    <t>Grain dryer, Axial, 16'</t>
  </si>
  <si>
    <t>Grain dryer, 16 foot Axial with rated capacity of 600 bushels/hour. Materials only.</t>
  </si>
  <si>
    <t>Grain dryer, Centrifugal, 20'</t>
  </si>
  <si>
    <t>Grain dryer, 20 foot Centrifugal with rated capacity of 785 bushels/hour. Materials only.</t>
  </si>
  <si>
    <t>Grain dryer, Centrifugal, 24'</t>
  </si>
  <si>
    <t>Grain dryer, 24 foot Centrifugal with rated capacity of 860 bushels/hr. Materials only.</t>
  </si>
  <si>
    <t>Gray Headed Coneflower (Ratibida pinnata)</t>
  </si>
  <si>
    <t>Green Needlegrass (Stipa Viridula)</t>
  </si>
  <si>
    <t>Grout, cement</t>
  </si>
  <si>
    <t>Cement grout meeting ASTM specifications for well sealing.  Includes both neat-cement grout and bentonite gout mixtures.  Includes materials, equipment and labor to place.</t>
  </si>
  <si>
    <t>Gutter,  Galvanized Steel, Small</t>
  </si>
  <si>
    <t>" Galvanized Steel gutter (4"" to 6"") in width with hangers. Materials only."</t>
  </si>
  <si>
    <t>Gutter,  Plastic, Small</t>
  </si>
  <si>
    <t>"5"" PVC guttering emptying into a 4"" PVC Sch-40 pipe"</t>
  </si>
  <si>
    <t>Gutter, Aluminum, Large</t>
  </si>
  <si>
    <t>"Aluminum gutter (10"" to 12"") in width with hangers. Materials only."</t>
  </si>
  <si>
    <t>Gutter, Aluminum, Medium</t>
  </si>
  <si>
    <t>"Aluminum gutter (7"" to 9"") in width with hangers. Materials only."</t>
  </si>
  <si>
    <t>Gutter, Aluminum, Small</t>
  </si>
  <si>
    <t>"Aluminum gutter (4"" to 6"") in width with hangers. Materials only."</t>
  </si>
  <si>
    <t>Gutter, Galvanized Steel, Large</t>
  </si>
  <si>
    <t>" Galvanized Steel gutter (10"" to 12"") in width with hangers. Materials only."</t>
  </si>
  <si>
    <t>Gutter, Galvanized Steel, Medium</t>
  </si>
  <si>
    <t>" Galvanized Steel gutter (7"" to 9"") in width with hangers. Materials only."</t>
  </si>
  <si>
    <t>Gutter, heavy duty hangers</t>
  </si>
  <si>
    <t>Roof heavy duty hangers, 16 guage.  Materials only.</t>
  </si>
  <si>
    <t>Gutter, roof straps</t>
  </si>
  <si>
    <t>Roof gutter snow and Ice gutter supports, 19 gauge.  Materials only.</t>
  </si>
  <si>
    <t>Gutter, snow guards</t>
  </si>
  <si>
    <t>Roof snow guards, installed on the roof edge.  Materials only.</t>
  </si>
  <si>
    <t>Gutter, Wood, Small</t>
  </si>
  <si>
    <t>"Wood gutter (4"" to 6"") in width with hangers. Materials only."</t>
  </si>
  <si>
    <t>Gutter, Wrap-around Straps</t>
  </si>
  <si>
    <t>Roof gutter snow and Ice supports, 28 gauge.  Materials only.</t>
  </si>
  <si>
    <t>Gypsum, Granular, Bagged</t>
  </si>
  <si>
    <t>Pulverized and granular bagged gypsum (CaCO4). Materials and delivery only</t>
  </si>
  <si>
    <t>Gypsum, Ground Ag Grade, Bulk</t>
  </si>
  <si>
    <t>Agricultural grade quarry ground gypsum (CaCO4) for dispersive soil treatment.   Materials and delivery only.</t>
  </si>
  <si>
    <t>Habitat Box, Bat</t>
  </si>
  <si>
    <t>BAT-1 Bat House Single</t>
  </si>
  <si>
    <t>Habitat Box, Bee</t>
  </si>
  <si>
    <t>Wood structure with nesting holes (distinct or randomized patterns) made of wood, plastic, or glass.</t>
  </si>
  <si>
    <t>Habitat Box, Bird</t>
  </si>
  <si>
    <t>"Bluebird nesting box to increase nesting success.  Each is 1-1/2"" x 6"" x 12-1/2"" w/ 1-1/2"" diameter opening."</t>
  </si>
  <si>
    <t>Habitat Box, waterfowl</t>
  </si>
  <si>
    <t>"Wood Duck Box, typically 24"" x 11"" x 12"" with 4"" wide oval entrance, single.  Materials only."</t>
  </si>
  <si>
    <t>Hairy Vetch (Vicia villosa)</t>
  </si>
  <si>
    <t>Hardstem Bulrush (Scirpus acutus)</t>
  </si>
  <si>
    <t>Headwall, stone or concrete bag</t>
  </si>
  <si>
    <t>Laid up stone or concrete bag headwall for a pipe inlet.  Square Foot unit is a vertical area measurement of the headwall cross-section.  Includes materials, equipment and labor.</t>
  </si>
  <si>
    <t>Heater, Dual Fuel</t>
  </si>
  <si>
    <t>Uses natural gas or propane to for continuous heat.</t>
  </si>
  <si>
    <t>Heater, Greenhouse, Electric Suspended</t>
  </si>
  <si>
    <t>Suspended, electric, highly efficient heaters for greenhouses.</t>
  </si>
  <si>
    <t>Heater, Greenhouse, Gas Suspended</t>
  </si>
  <si>
    <t>Suspended, natural gas or propane, highly efficient heaters for greenhouses.</t>
  </si>
  <si>
    <t>Heater, high efficiency</t>
  </si>
  <si>
    <t>Natural gas, propane, or fuel oil unit heater or boiler and venting materials.</t>
  </si>
  <si>
    <t>Heater, High Efficiency Condensing</t>
  </si>
  <si>
    <t>Condensing unit heaters are more efficient than other unit heaters.  They burn at higher temperatures and have a secondary heat exchanger that captures heat from the water vapor in the exhaust stream from the latent heat.  These units are made of higher q</t>
  </si>
  <si>
    <t>Heater, radiant brooder</t>
  </si>
  <si>
    <t>Radiant brooder heater.  Materials only.</t>
  </si>
  <si>
    <t>Heater, radiant quad</t>
  </si>
  <si>
    <t>Quad Radiant heater rated at 125000 BTU/hour. Materials only.</t>
  </si>
  <si>
    <t>Heater, radiant tube</t>
  </si>
  <si>
    <t>Radiant tube heater rated at 125000 BTU/hour. Materials only.</t>
  </si>
  <si>
    <t>Herbicide,  Sulfometuron methyl &amp; Hexazinone</t>
  </si>
  <si>
    <t>Broad spectrum herbicide for residual weed control.  Refer to WIN-PST for product names and active ingredients.  Materials only.</t>
  </si>
  <si>
    <t>Herbicide, 2,4-D</t>
  </si>
  <si>
    <t>Product is typically used in these practices 595, 512 and 314.  Refer to WIN-PST for product names and active ingredients.  Materials only.</t>
  </si>
  <si>
    <t>Herbicide, 2,4-D + Dica</t>
  </si>
  <si>
    <t>Product is typically used in this practice 595.  Refer to WIN-PST for product names and active ingredients.  Materials only.</t>
  </si>
  <si>
    <t>Herbicide, Aminopyralid</t>
  </si>
  <si>
    <t>Controls many noxious and invasive weed species.  Refer to WIN-PST for product names and active ingredients.  Materials only.</t>
  </si>
  <si>
    <t>Herbicide, Clethodim</t>
  </si>
  <si>
    <t>Product is typically used in this practice 340.  Refer to WIN-PST for product names and active ingredients.  Materials only.</t>
  </si>
  <si>
    <t>Herbicide, Clopyrilad</t>
  </si>
  <si>
    <t>Product is typically used in this practice 314.  Not labeled for non-cropland use.  Refer to WIN-PST for product names and active ingredients.  Materials only.</t>
  </si>
  <si>
    <t>Herbicide, Dicamba</t>
  </si>
  <si>
    <t>Controls many annual &amp; perennial broadleaf weeds, woody brush (including hardwoods and pines), vines. Refer to WIN-PST for product names and active ingredients.  Materials only.</t>
  </si>
  <si>
    <t>Herbicide, Dimethylamine salt of 2,4D + Trichlopyr, granular for aquatic habitats.</t>
  </si>
  <si>
    <t>Broadleaf herbicide labeled for aquatic use. Effective for control of Eurasian Milfoil, Phragmites, Purple Loosestrife.  Refer to WIN-PST for product names and active ingredients.  Materials only.</t>
  </si>
  <si>
    <t>Herbicide, Dimethylamine salt of 2,4D, liquid for aquatic habitats.</t>
  </si>
  <si>
    <t>Broadleaf herbicide labeled for aquatic use. Effective for control of Eurasian Milfoil, Phragmites and Purple Loosestrife.  Refer to WIN-PST for product names and active ingredients.  Materials only.</t>
  </si>
  <si>
    <t>Herbicide, Diquat dibromide</t>
  </si>
  <si>
    <t>Aquatic herbicide and plant growth regulator.  Refer to WIN-PST for product names and active ingredients.  Materials only.</t>
  </si>
  <si>
    <t>Herbicide, Fosamine</t>
  </si>
  <si>
    <t>Used as foliar spray applied in late summer or early fall for control and/or growth suppression of woody species.  Product is typically used in 314, 666, and 645.  Refer to WIN-PST for product names and active ingredients.  Materials only.</t>
  </si>
  <si>
    <t>Herbicide, Glyphosate</t>
  </si>
  <si>
    <t>A broad-spectrum, non-selective systemic herbicide. Product is typically used in these practices 340, 645, 314, 666, and 512.  Refer to WIN-PST for product names and active ingredients.  Materials only.</t>
  </si>
  <si>
    <t>Herbicide, Glyphosate-ipa salt 4SL</t>
  </si>
  <si>
    <t>Product is typically used for aquatic usage.  Refer to WIN-PST for product names and active ingredients.  Materials only.</t>
  </si>
  <si>
    <t>Herbicide, Imazapic</t>
  </si>
  <si>
    <t>Product is typically used in these practices 512 and 666.  Refer to WIN-PST for product names and active ingredients.  Materials only.</t>
  </si>
  <si>
    <t>Herbicide, Imazapic-NH4, salt</t>
  </si>
  <si>
    <t>Product is typically used in these practices 512 and 645.  Refer to WIN-PST for product names and active ingredients.  Materials only.</t>
  </si>
  <si>
    <t>Herbicide, Imazapyr</t>
  </si>
  <si>
    <t>Pre and post-emergent, non-selective herbicide for control of undesirable vegetation in non-crop areas.  Product is typically used in these practices 314, 595, 666 and 645.  Refer to WIN-PST for product names and active ingredients.  Materials only.</t>
  </si>
  <si>
    <t>Herbicide, oxyflurofen</t>
  </si>
  <si>
    <t>Refer to WIN-PST for product names and active ingredients.  Materials only.</t>
  </si>
  <si>
    <t>Herbicide, pendamethalin</t>
  </si>
  <si>
    <t>Herbicide, Picloram</t>
  </si>
  <si>
    <t>A systemic herbicide used for general woody plant control.  Product is typically used in these practices 314, 595, 666, and 645.  Refer to WIN-PST for product names and active ingredients.  Materials only.</t>
  </si>
  <si>
    <t>Herbicide, Sethoxydim</t>
  </si>
  <si>
    <t>A selective post emergence herbicide used to control annual and perennial grass weeds.  Refer to WIN-PST for product names and active ingredients.  Materials only.</t>
  </si>
  <si>
    <t>Herbicide, Simazine</t>
  </si>
  <si>
    <t>Product is typically used in this practice 645.  Refer to WIN-PST for product names and active ingredients.  Materials only.</t>
  </si>
  <si>
    <t>Herbicide, Sulfometuron &amp; metsulfuron</t>
  </si>
  <si>
    <t>Product is typically used in this practice 666.  Refer to WIN-PST for product names and active ingredients.  Materials only.</t>
  </si>
  <si>
    <t>Herbicide, Sulfometuron-methyl</t>
  </si>
  <si>
    <t>Used for the control of annual and perennial grasses and broad leaved weeds in non-crop land.  Product is typically used in these practices 645 and 595.  Refer to WIN-PST for product names and active ingredients.  Materials only.</t>
  </si>
  <si>
    <t>Herbicide, sulfosulfuron</t>
  </si>
  <si>
    <t>Herbicide, Surfactant</t>
  </si>
  <si>
    <t>Surfactants reduce the surface tension of water to produce more uniform coverage and penetration of herbicides, and weed killers.  Paraffin Based Petroleum Surfactant.  Refer to WIN-PST for product names and active ingredients.  Materials only.</t>
  </si>
  <si>
    <t>Herbicide, Tebuthiuron</t>
  </si>
  <si>
    <t>Product is typically used in this practice 314.  Refer to WIN-PST for product names and active ingredients.  Materials only.</t>
  </si>
  <si>
    <t>Herbicide, Triazine</t>
  </si>
  <si>
    <t>Broad spectrum herbicide. Refer to WIN-PST for product names and active ingredients.  Materials only.</t>
  </si>
  <si>
    <t>Herbicide, Triclopyor</t>
  </si>
  <si>
    <t>Triclopyr butoxyethyl ester (BEE) is a selective foliar and root absorbed, translocated herbicide used for control of woody and broadleaf plants. Product is typically used in these practices 595, 314, 645 and 666.  Refer to WIN-PST for product names and a</t>
  </si>
  <si>
    <t>Hoop House, gothic style, base package</t>
  </si>
  <si>
    <t>Includes heavy-duty, gothic framework complete with all predrilled steel, hardware and instructions. Includes 6 mil 4-year polyethylene film to cover tunnel, roll-up sides, lumber, and polylock for sides and ends for a gothic style (peaked top) hoop house</t>
  </si>
  <si>
    <t>Hoop House, quonset style, base package</t>
  </si>
  <si>
    <t>Includes the framework complete with all predrilled steel, hardware and instructions. Includes 6 mil 4-year polyethylene film to cover tunnel, and polylock for sides and ends for a quonset style (round top) hoop house.  Materials and shipping only, does n</t>
  </si>
  <si>
    <t>Illinois Bundleflower (Desmanthus illinoensis)</t>
  </si>
  <si>
    <t>Incinerator, 200 lb</t>
  </si>
  <si>
    <t>Poultry and livestock incinerator with an approximate chamber capacity of 200 lb carcass weight. Includes equipment and after burner only.</t>
  </si>
  <si>
    <t>Incinerator, 400 lb</t>
  </si>
  <si>
    <t>Poultry and livestock incinerator with an approximate chamber capacity of 400 lb carcass weight. Includes equipment and after burner only.</t>
  </si>
  <si>
    <t>Incinerator, 600 lb</t>
  </si>
  <si>
    <t>Poultry and livestock incinerator with an approximate chamber capacity of 600 lb carcass weight. Includes equipment and after burner only.</t>
  </si>
  <si>
    <t>Indian Grass, Tomahawk (Sorghastrum nutans)</t>
  </si>
  <si>
    <t>Indian Ricegrass (Oryzopsis hymeonoides)</t>
  </si>
  <si>
    <t>Insect Netting</t>
  </si>
  <si>
    <t>The use of insect barrier netting.</t>
  </si>
  <si>
    <t>Insulation material, cellulose</t>
  </si>
  <si>
    <t>Cellulose insulation. Unit is a measurement of the in-place volume after being blown. Includes materials only.</t>
  </si>
  <si>
    <t>Insulation, Fiberglass or cellulose, R-15</t>
  </si>
  <si>
    <t>Fiberglass or cellulose insulation R-15, includes materials, equipment and labor to install.</t>
  </si>
  <si>
    <t>Insulation, Panel, R-11 with sheathing</t>
  </si>
  <si>
    <t>"Insulated wall panel typically 3.5"" fiberglass batts (R-11), vapor barrier and OSB sheathing, or equal, includes materials, equipment and labor to install."</t>
  </si>
  <si>
    <t>Insulation, polyurethane, R-7, with sheathing skirt</t>
  </si>
  <si>
    <t>"Closed-cell polyurethane foam insulation (minimum 1"" thickness (R-7) with a protective sheeting barrier on lower 2 feet of wall height. Includes materials, equipment and labor to install."</t>
  </si>
  <si>
    <t>Intermediate Wheatgrass (Agropyron intermedium)</t>
  </si>
  <si>
    <t>Irrigation, Center pivot system with appurtenances, fixed cost portion</t>
  </si>
  <si>
    <t xml:space="preserve"> Fixed cost portion of the center pivot system with appurtenances. This portion includes the following items: pivot point, pipe, towers, pad, controls, sprinklers, installation.</t>
  </si>
  <si>
    <t>Irrigation, Center pivot system with appurtenances, variable cost portion</t>
  </si>
  <si>
    <t>Variable cost portion of the center pivot system with appurtenances. This portion includes the following items: pivot point, pipe, towers, pad, controls, sprinklers, installation.</t>
  </si>
  <si>
    <t>Irrigation, Cranberry, Replace</t>
  </si>
  <si>
    <t>Replace a solid set system with a high uniformity layout and heads</t>
  </si>
  <si>
    <t>Irrigation, Cranberry, Retrofit</t>
  </si>
  <si>
    <t>Retrofit an existing solid set by moving heads and replacing heads with high uniformity heads</t>
  </si>
  <si>
    <t>Irrigation, Filtration Unit</t>
  </si>
  <si>
    <t>Filtration Unit</t>
  </si>
  <si>
    <t>Irrigation, Handline, w/Appurtenances</t>
  </si>
  <si>
    <t>System: Handline - w/Appurtenances</t>
  </si>
  <si>
    <t>Irrigation, Pod System, w/Appurtenances</t>
  </si>
  <si>
    <t>System: Pod System - w/Appurtenances</t>
  </si>
  <si>
    <t>Irrigation, Solid Set, w/Appurtenances</t>
  </si>
  <si>
    <t>System: Solid Set - w/Appurtenances</t>
  </si>
  <si>
    <t>Irrigation, Sprinkler Package, Renozzle or Retrofit, with drops and pressure regulators</t>
  </si>
  <si>
    <t>Sprinkler Package - Rennovation including sprinkler nozzle addition, and/or  replacement, including new pressure regulators and drops.</t>
  </si>
  <si>
    <t>Irrigation, Wheel line with appurtenances, fixed price portion.</t>
  </si>
  <si>
    <t xml:space="preserve"> Fixed cost portion of the wheel line system with appurtenances. This portion includes the following items: mover, pipe,  sprinklers, wheels, installation.</t>
  </si>
  <si>
    <t>Irrigation, Wheel line with appurtenances, variable price portion.</t>
  </si>
  <si>
    <t xml:space="preserve"> Variable cost portion of the wheel line system with appurtenances. This portion includes the following items: pipe,  sprinklers, wheels, installation.  Does not include a mover.</t>
  </si>
  <si>
    <t>Kentucky Bluegrass (Poa pratensis)</t>
  </si>
  <si>
    <t>Kura Clover (Trifolium ambiguum)</t>
  </si>
  <si>
    <t>Ladino Clover (Trifolium repens)</t>
  </si>
  <si>
    <t>Lanceleaf Coreopsis (Coreopsis lanceolata)</t>
  </si>
  <si>
    <t>Leaching galley</t>
  </si>
  <si>
    <t>Leaching galley, precast concrete 4' x 4' x 4', Materials only.</t>
  </si>
  <si>
    <t>Leadplant (Amorpha canescens)</t>
  </si>
  <si>
    <t>Lespedeza, Korean, Annual (Kummerowia stipulacea)</t>
  </si>
  <si>
    <t>Lespedeza, Sericea, AU-Grazer (Lespedeza cuneata)</t>
  </si>
  <si>
    <t>Lighting, bulb, CFL, 8 watt</t>
  </si>
  <si>
    <t>8 watt compact fluorescent lamp (CFL), typically 4100 Kelvin, dimmable, grow-out bulb, industrial grade, suitably protected from dirt accumulation.  Materials only.</t>
  </si>
  <si>
    <t>Lighting, bulb, LED, 6 watt</t>
  </si>
  <si>
    <t>6 watt light emitting diode (LED), typically 3700 Kelvin, dimmable, grow-out bulb; industrial grade; suitably protected from dirt accumulation. Materials only.</t>
  </si>
  <si>
    <t>Lighting, fixture, Fluorescent, 75 watt</t>
  </si>
  <si>
    <t>75 watt fluorescent lamp fixture with T5 or T8 lamps and ballast.  Materials only.</t>
  </si>
  <si>
    <t>Lime, ENM</t>
  </si>
  <si>
    <t>Fertilizer: Limestone Spread on field.</t>
  </si>
  <si>
    <t>Linear Move System with appurtenances</t>
  </si>
  <si>
    <t>Linear Move system including: central tower, lateral towers, pipes, sprinklers, controllers, installation.</t>
  </si>
  <si>
    <t>Liner, Bottomless, 25' diameter</t>
  </si>
  <si>
    <t>Tank Liner for bottomless tank as alternative to concrete</t>
  </si>
  <si>
    <t>Little Blue Stem (Schizachyrium scoparium)</t>
  </si>
  <si>
    <t>Log, un-anchored</t>
  </si>
  <si>
    <t>Price of log picked up at the Mill.  Includes material only.</t>
  </si>
  <si>
    <t>Lumber, planks, posts and timbers, treated</t>
  </si>
  <si>
    <t>"Treated dimension lumber with nominal thickness greater than 2"". Includes lumber and fasteners.  Does not include labor."</t>
  </si>
  <si>
    <t>Lumber, planks, posts and timbers, untreated</t>
  </si>
  <si>
    <t>"Untreated dimension lumber with nominal thickness greater than 2"". Includes lumber and fasteners.  Does not include labor."</t>
  </si>
  <si>
    <t>Lumber, planks, posts and timbers, untreated, rot resistant</t>
  </si>
  <si>
    <t>"Untreated dimension lumber with nominal thickness greater than 2"" milled from rot resistant species such as cedar. Includes lumber and fasteners.  Does not include labor."</t>
  </si>
  <si>
    <t>Lupine (Lupinus perennis)</t>
  </si>
  <si>
    <t>Manhole, 4' x 10'</t>
  </si>
  <si>
    <t>Precast Manhole with base and top delivered.   4' diameter x 10' depth.</t>
  </si>
  <si>
    <t>Manhole, 4' x 4'</t>
  </si>
  <si>
    <t>Precast Manhole with base and top delivered.   4' diameter x 4' depth.</t>
  </si>
  <si>
    <t>Manhole, 4' x 8'</t>
  </si>
  <si>
    <t>Precast Manhole with base and top delivered.   4' diameter x 8' depth.</t>
  </si>
  <si>
    <t>Manhole, 6' x 10'</t>
  </si>
  <si>
    <t>Precast Manhole with base and top delivered.   6' diameter x 10' depth.</t>
  </si>
  <si>
    <t>Manure</t>
  </si>
  <si>
    <t>Organic matter can be used as organic fertilizer in agriculture</t>
  </si>
  <si>
    <t>Manure agitator, mixing depth 10 to 15 feet deep</t>
  </si>
  <si>
    <t>Agitator to move put settled manure solids into suspension for removal from an animal waste storage structure. Materials only.</t>
  </si>
  <si>
    <t>Manure agitator, mixing depth greater than 15 feet deep.</t>
  </si>
  <si>
    <t>Manure agitator, mixing depth less than 10 feet.</t>
  </si>
  <si>
    <t>Manure agitator, with electrical hook-up and appurtenances</t>
  </si>
  <si>
    <t>Liquid manure agitator with electrical hook-up and appurtenances. Materials only.</t>
  </si>
  <si>
    <t>Manure channel, precast, 3' x 4'</t>
  </si>
  <si>
    <t>"Precast manure ""U"" channel; 3 ft wide x 4 ft deep. Materials only."</t>
  </si>
  <si>
    <t>Manure flush flow control system with appurtenances</t>
  </si>
  <si>
    <t>Flow control valves, elbows, tees, thrush blocks, pipe and Z riser for flush flow with fabricated outlet cover. Materials and installation.</t>
  </si>
  <si>
    <t>Manure Gasifier, (1,200lb/hour)</t>
  </si>
  <si>
    <t>Gasifier unit which will process up to 1,200 lb/hour. Includes equipment and labor.</t>
  </si>
  <si>
    <t>Manure Gasifier, (3,000lb/hour)</t>
  </si>
  <si>
    <t>Gasifier unit which will process up to 3,000 lb/hour. Includes equipment and labor.</t>
  </si>
  <si>
    <t>Manure Gasifier, (300lb/hour)</t>
  </si>
  <si>
    <t>Gasifier unit which will process up to 300 lb/hour.  Includes equipment and labor.</t>
  </si>
  <si>
    <t>Manure Gasifier, (600lb/hour)</t>
  </si>
  <si>
    <t>Gasifier unit which will process up to 600 lb/hour. Includes equipment and labor.</t>
  </si>
  <si>
    <t>Manure Gasifier, (900lb/hour)</t>
  </si>
  <si>
    <t>Gasifier unit which will process up to 900 lb/hour. Includes equipment and labor.</t>
  </si>
  <si>
    <t>Manure Transfer, 300' Conveyor belt system</t>
  </si>
  <si>
    <t>Conveyor belt system consisting of 3 conveyors. 100 ft collection conveyor to a 10 ft x 10 ft lean-to with a concrete floor and metal walls on the outside of the animal housing building to a 100 ft long vertical lift conveyor that drops to a 100 ft long p</t>
  </si>
  <si>
    <t>Manure Transfer, Auger or screw conveyor to transfer waste solids</t>
  </si>
  <si>
    <t>Auger or screw conveyor to transfer waste solids to a storage facility or manure spreading equipment.  Includes shipping.</t>
  </si>
  <si>
    <t>Manure Transfer, Elevator stacker</t>
  </si>
  <si>
    <t>60' manure elevator - Cost includes elevator chute, drive unit, electric motor, chain w/ paddles, and support system.  Includes shipping.</t>
  </si>
  <si>
    <t>Manure Transfer, Sand/Manure 'Boat' channel cleaner</t>
  </si>
  <si>
    <t>System to transfer sand laden manure through a manure gutter towards a waste storage facility without creating a human safety hazard. Consists of a concrete gutter with a belt driven boat system and reception pit with transfer pipeline.  Includes shipping</t>
  </si>
  <si>
    <t>Mating disruption dispensers</t>
  </si>
  <si>
    <t>Meadow Bromegrass (Bromus biebersteinii)</t>
  </si>
  <si>
    <t>Micro Irrigation, buried drip tubing</t>
  </si>
  <si>
    <t>Tubing that is installed underground for Sub-surface drip irrigation, includes installation, and connections to the supply and flushing laterals.  Tubing has emitters built in.  Includes labor.</t>
  </si>
  <si>
    <t>Micro Irrigation, control valves and timers</t>
  </si>
  <si>
    <t>Automatic controller and timer, to turn on and off the sets for micro irrigation, installation and valves.  Based on control unit, not number of valves controlled.</t>
  </si>
  <si>
    <t>Micro Irrigation, disk filter</t>
  </si>
  <si>
    <t>Disk filter for Micro irrigation system.  Includes filters, plumbing, connections and automatic controller.  Unit is complete and installed.</t>
  </si>
  <si>
    <t>Micro Irrigation, drip irrigation system, small scale</t>
  </si>
  <si>
    <t>Permanently installed above ground, small scale, micro-irrigation system.  Includes miniature emitters, tubes, or applicators placed along a water delivery line.  Includes materials and shipping only.</t>
  </si>
  <si>
    <t>Micro Irrigation, emitters or sprays and tubing</t>
  </si>
  <si>
    <t>Emitters or sprays that are installed above ground for micro or drip irrigation.  Includes installation and connections to the supply and flushing laterals.  Tubing for the emitters is included in this item.</t>
  </si>
  <si>
    <t>Micro Irrigation, media filter</t>
  </si>
  <si>
    <t>Sand or media filter for Micro irrigation system.  Includes filters, plumbing, connections and automatic controller.  Unit is complete and installed.</t>
  </si>
  <si>
    <t>Micro Irrigation, screen filter, &lt; 100 gpm</t>
  </si>
  <si>
    <t>Screen filter for Micro Irrigation used in small systems.  Includes filter.  No controls are included or needed.</t>
  </si>
  <si>
    <t>Micro Irrigation, screen filter, ≥ 100 gpm</t>
  </si>
  <si>
    <t>Screen filter for Micro irrigation system with 100 gpm or greater capacity.  Includes filters, plumbing, connections and automatic controller.  Unit is complete and installed.</t>
  </si>
  <si>
    <t>Micro Irrigation, surface drip tubing or tape</t>
  </si>
  <si>
    <t>Tubing or Tape is installed above ground for surface drip irrigation, includes installation, and connections to the supply and flushing laterals.  Tubing has emitters built in.</t>
  </si>
  <si>
    <t>Miscellaneous, containers, traps, etc.</t>
  </si>
  <si>
    <t>Pheromone Traps, Culture container with lid</t>
  </si>
  <si>
    <t>Mortality Gasifier, 1,200 lb Capacity</t>
  </si>
  <si>
    <t>1,200 pound capacity mortality gasifier unit. Includes gasifier, refrigeration unit, roof structure and labor</t>
  </si>
  <si>
    <t>Mortality Gasifier, 275 lb Capacity</t>
  </si>
  <si>
    <t>275 pound capacity mortality gasifier unit. Includes gasifier, refrigeration unit, roof structure and labor.</t>
  </si>
  <si>
    <t>Mortality Gasifier, 400 lb Capacity</t>
  </si>
  <si>
    <t>400 pound capacity mortality gasifier unit. Includes gasifier, refrigeration unit, roof structure and labor</t>
  </si>
  <si>
    <t>Mortality Gasifier, 800 lb Capacity</t>
  </si>
  <si>
    <t>800 pound capacity mortality gasifier unit. Includes gasifier, refrigeration unit, roof structure and labor</t>
  </si>
  <si>
    <t>Motor, electric, NEMA Premium, 1 HP</t>
  </si>
  <si>
    <t>Premium NEMA approved electric motor, 1 Horsepower and all required appurtenances. Materials only.</t>
  </si>
  <si>
    <t>Motor, electric, NEMA Premium, 10 HP</t>
  </si>
  <si>
    <t>Premium NEMA approved electric motor, 10 Horsepower and all required appurtenances. Materials only.</t>
  </si>
  <si>
    <t>Motor, electric, NEMA Premium, 100 HP</t>
  </si>
  <si>
    <t>Premium NEMA approved electric motor, 100 Horsepower and all required appurtenances. Materials only.</t>
  </si>
  <si>
    <t>Motor, electric, NEMA Premium, 2 HP</t>
  </si>
  <si>
    <t>Premium NEMA approved electric motor, 2 Horsepower and all required appurtenances. Materials only.</t>
  </si>
  <si>
    <t>Motor, electric, NEMA Premium, 200 HP</t>
  </si>
  <si>
    <t>Premium NEMA approved electric motor, 200 Horsepower and all required appurtenances. Materials only.</t>
  </si>
  <si>
    <t>Motor, electric, NEMA Premium, 200 to 299 hp</t>
  </si>
  <si>
    <t>Premium NEMA approved Electric Motor and required appurtenances.  200 to 299 hp (148 - 221 kW). Materials only.</t>
  </si>
  <si>
    <t>Motor, electric, NEMA Premium, 300 to 399 hp</t>
  </si>
  <si>
    <t>Premium NEMA approved Electric Motor and required appurtenances.  300 to 399 hp (222 - 295 kW). Materials only.</t>
  </si>
  <si>
    <t>Motor, electric, NEMA Premium, 400 to 499 hp</t>
  </si>
  <si>
    <t>Premium NEMA approved Electric Motor and required appurtenances.  400 to 499 hp (296 - 372 kW). Materials only.</t>
  </si>
  <si>
    <t>Motor, electric, NEMA Premium, 5 HP</t>
  </si>
  <si>
    <t>Premium NEMA approved electric motor, 5 Horsepower and all required appurtenances. Materials only.</t>
  </si>
  <si>
    <t>Motor, electric, NEMA Premium, 50 HP</t>
  </si>
  <si>
    <t>Premium NEMA approved electric motor, 50 Horsepower and all required appurtenances. Materials only.</t>
  </si>
  <si>
    <t>Motor, electric, NEMA Premium, 500 hp and greater</t>
  </si>
  <si>
    <t>Premium NEMA approved Electric Motor and required appurtenances.  500 hp and greater (373+ kW). Materials only.</t>
  </si>
  <si>
    <t>Motor, electric, VSD, 10 HP</t>
  </si>
  <si>
    <t>Variable speed drive electric motor, 10 Horsepower and all required appurtenances. Materials only.</t>
  </si>
  <si>
    <t>Motor, electric, VSD, 100 HP</t>
  </si>
  <si>
    <t>Variable speed drive electric motor, 100 Horsepower and all required appurtenances. Materials only.</t>
  </si>
  <si>
    <t>Motor, electric, VSD, 200 HP</t>
  </si>
  <si>
    <t>Variable speed drive electric motor, 200 Horsepower and all required appurtenances. Materials only.</t>
  </si>
  <si>
    <t>Motor, electric, VSD, 50 HP</t>
  </si>
  <si>
    <t>Variable speed drive electric motor, 50 Horsepower and all required appurtenances. Materials only.</t>
  </si>
  <si>
    <t>Motor, IC Engine, 100-199 HP</t>
  </si>
  <si>
    <t>Most current Tier-level Diesel or Cleaner Engine and required appurtenances. 100 to 199 bhp.  Materials only.</t>
  </si>
  <si>
    <t>Motor, IC Engine, 200-299 HP</t>
  </si>
  <si>
    <t>Most current Tier-level Diesel or Cleaner Engine and required appurtenances. 250 to 299 bhp.  Materials only.</t>
  </si>
  <si>
    <t>Motor, IC Engine, 25-49 HP</t>
  </si>
  <si>
    <t>Most current Tier-level Diesel or Cleaner Engine and required appurtenances. 25 to 49 bhp.  Materials only.</t>
  </si>
  <si>
    <t>Motor, IC Engine, 300-399 HP</t>
  </si>
  <si>
    <t>Most current Tier-level Diesel or Cleaner Engine and required appurtenances. 300 to 399 bhp.  Materials only.</t>
  </si>
  <si>
    <t>Motor, IC Engine, 400-499 HP</t>
  </si>
  <si>
    <t>Most current Tier-level Diesel or Cleaner Engine and required appurtenances. 400 to 499 bhp.  Materials only.</t>
  </si>
  <si>
    <t>Motor, IC Engine, 500-599 HP</t>
  </si>
  <si>
    <t>Most current Tier-level Diesel or Cleaner Engine and required appurtenances. 500 to 599 bhp.  Materials only.</t>
  </si>
  <si>
    <t>Motor, IC Engine, 50-99 HP</t>
  </si>
  <si>
    <t>Most current Tier-level Diesel or Cleaner Engine and required appurtenances. 50 to 99 bhp.  Materials only.</t>
  </si>
  <si>
    <t>Motor, IC Engine, 600 HP and greater</t>
  </si>
  <si>
    <t>Most current Tier-level Diesel or Cleaner Engine and required appurtenances. 600 and greater bhp.  Materials only.</t>
  </si>
  <si>
    <t>Motor, IC Engine, less than 25 HP</t>
  </si>
  <si>
    <t>Most current Tier-level Diesel or Cleaner Engine and required appurtenances. Less than 25 bhp.  Materials only.</t>
  </si>
  <si>
    <t>Mulch, biodegradable plastic, 0.8 mil</t>
  </si>
  <si>
    <t>0.8 mil starch-based biodegradable plastic mulch, with anchoring. Materials only.</t>
  </si>
  <si>
    <t>Mulch, polyethylene plastic, 1.0 mil</t>
  </si>
  <si>
    <t>1.0 mil polyethylene plastic mulch, with anchoring. Materials only.</t>
  </si>
  <si>
    <t>Mulching, straw or hay</t>
  </si>
  <si>
    <t>Use of straw or hay for temporary ground cover.  Includes application and methods necessary to keep in place such as tacking or crimping.  Includes materials, equipment and labor.</t>
  </si>
  <si>
    <t>Mule's Ears (Wyethia angustifolia)</t>
  </si>
  <si>
    <t>Muriate of Potash</t>
  </si>
  <si>
    <t>Approved for Organic Systems - Muriate of Potash</t>
  </si>
  <si>
    <t>Narrow-leaved Milkweed (Asclepias fascicularis)</t>
  </si>
  <si>
    <t>Native Aquatic Plants, Emergent - Arrow Arum (Peltandra virginica)</t>
  </si>
  <si>
    <t>Arrow Arum.  Native aquatic, plugs.  Plants are emergent.  All required materials for establishing vegetation.  Includes material and shipping.</t>
  </si>
  <si>
    <t>Native aquatic plants, emergent - Iris (Iris versicolor, Iris Virginica)</t>
  </si>
  <si>
    <t>Native aquatic irises, plug/division/bulb.  Plants are emergent.  All required materials for establishing vegetation.  Includes material and shipping.</t>
  </si>
  <si>
    <t>Native Aquatic Plants, Emergent - Sedges (Carex spp.), Plug</t>
  </si>
  <si>
    <t>Native aquatic sedge plugs.  Plants are emergent.  All required materials for establishing vegetation.  Includes materials and shipping.</t>
  </si>
  <si>
    <t>Native Aquatic Plants, Emergent - Sweetflag (Acorus americana)</t>
  </si>
  <si>
    <t>Sweetflag.  Native aquatic, plugs.  Plants are emergent.  All required materials for establishing vegetation.  Includes material and shipping.</t>
  </si>
  <si>
    <t>Native Aquatic Plants, Emergent - Tussock Sedge (Carex stricta)</t>
  </si>
  <si>
    <t>Tussock Sedge.  Native aquatic, plugs.  Plants are emergent.  All required materials for establishing vegetation.  Includes material and shipping.</t>
  </si>
  <si>
    <t>Native Aquatic Plants, emergent -Prairie Cordgrass</t>
  </si>
  <si>
    <t>Prairie Cordgrass plugs. Initial vegetation for vertical cell constructed wetland. Materials and shipping.</t>
  </si>
  <si>
    <t>Native Aquatic Plants, Submerged - Burreed (Sparganium americanum)</t>
  </si>
  <si>
    <t>Burreed.  Native aquatic, plugs.  Plants are submerged.  All required materials for establishing vegetation.  Includes material and shipping.</t>
  </si>
  <si>
    <t>Native Aquatic Plants, Submerged - Chairmaker's Bulrush (Schoenoplectus americanus)</t>
  </si>
  <si>
    <t>Chairmaker's Bulrush.  Native aquatic, plugs.  Plants are submerged.  All required materials for establishing vegetation.  Includes material and shipping.</t>
  </si>
  <si>
    <t>Native Aquatic Plants, Submerged - Hard-stem Bulrush (Schoenoplectus acutus)</t>
  </si>
  <si>
    <t>Hard-stem Bulrush.  Native aquatic, plugs.  Plants are submerged.  All required materials for establishing vegetation.  Includes material and shipping.</t>
  </si>
  <si>
    <t>Native Aquatic Plants, Submerged - Northern Arrowhead / Duck Potato (Sagittaria latifolia)</t>
  </si>
  <si>
    <t>Northern Arrowhead.  Native aquatic, plugs.  Plants are submerged.  All required materials for establishing vegetation.  Includes material and shipping.</t>
  </si>
  <si>
    <t>Native Aquatic Plants, Submerged - Pickerelweed (Pontederia cordata)</t>
  </si>
  <si>
    <t>Pickerelweed.  Native aquatic, plugs.  Plants are submerged.  All required materials for establishing vegetation.  Includes material and shipping.</t>
  </si>
  <si>
    <t>Native Aquatic Plants, Submerged - Soft-stem Bulrush (Schuenoplectus tabernaemontani)</t>
  </si>
  <si>
    <t>Soft-stem Bulrush.  Native aquatic, plugs.  Plants are submerged.  All required materials for establishing vegetation.  Includes material and shipping.</t>
  </si>
  <si>
    <t>Native Aquatic Plants, Submerged - Three Square Bulrush (Schoenoplectus pungens)</t>
  </si>
  <si>
    <t>Three Square Bulrush.  Native aquatic, plugs.  Plants are submerged.  All required materials for establishing vegetation.  Includes material and shipping.</t>
  </si>
  <si>
    <t>Native Aquatic Plants, Submerged - Water Plantain (Alisma plantago-aquatica)</t>
  </si>
  <si>
    <t>Water Plantain.  Native aquatic, plugs.  Plants are submerged.  All required materials for establishing vegetation.  Includes material and shipping.</t>
  </si>
  <si>
    <t>Native Aquatic Plants, Submerged - White Water Lily (Nymphaea odorata)</t>
  </si>
  <si>
    <t>White Water Lily.  Native aquatic, tuber.  Plants are submerged.  All required materials for establishing vegetation.  Includes material and shipping.</t>
  </si>
  <si>
    <t>Native Aquatic Plants, Submerged - Wild Celery/American eelgrass (Vallisneria americana)</t>
  </si>
  <si>
    <t>Wild Celery/American eelgrass.  Native aquatic, tubers.  Plants are submerged.  All required materials for establishing vegetation.  Includes material and shipping.</t>
  </si>
  <si>
    <t>Native Aquatic Plants, Submerged - Yellow Water Lily (Nymphaea luteam)</t>
  </si>
  <si>
    <t>Yellow Water Lily.  Native aquatic, oxygenating vegetation to provide fish habitat, tubers.  Plants are submerged.  All required materials for establishing vegetation.  Includes material and shipping.</t>
  </si>
  <si>
    <t>Needle Spikerush (Eleocharis acicularis)</t>
  </si>
  <si>
    <t>New England Aster (Aster novae-angliae)</t>
  </si>
  <si>
    <t>Nitrogen (N), Ammonium Nitrate</t>
  </si>
  <si>
    <t>Price per pound of N supplied by Ammonium Nitrate.  Price is not per pound of total product applied, no conversion is needed.</t>
  </si>
  <si>
    <t>Nitrogen (N), Ammonium Sulfate</t>
  </si>
  <si>
    <t>Price per pound of N supplied by Ammonium Sulfate.  Price is not per pound of total product applied, no conversion is needed.</t>
  </si>
  <si>
    <t>Nitrogen (N), Anhydrous Ammonia</t>
  </si>
  <si>
    <t>Price per pound of N supplied by Anhydrous Ammonia.  Price is not per pound of total product applied, no conversion is needed.</t>
  </si>
  <si>
    <t>Nitrogen (N), UAN</t>
  </si>
  <si>
    <t>Price per pound of N supplied by UAN.  Price is not per pound of total product applied, no conversion is needed.</t>
  </si>
  <si>
    <t>Nitrogen (N), Urea</t>
  </si>
  <si>
    <t>Price per pound of N supplied by Urea.  Price is not per pound of total product applied, no conversion is needed.</t>
  </si>
  <si>
    <t>Nitrogen, Organic</t>
  </si>
  <si>
    <t>ORGANIC Nitrogen</t>
  </si>
  <si>
    <t>Nitrogen-Urease inhibitor</t>
  </si>
  <si>
    <t>Nodding Sticktight (Bidens cernua)</t>
  </si>
  <si>
    <t>Nodding Wild Onion (Allium cernuum)</t>
  </si>
  <si>
    <t>Northern Wild Rice (Zizania Palustrus)</t>
  </si>
  <si>
    <t>Nose Pump</t>
  </si>
  <si>
    <t>Materials and delivery</t>
  </si>
  <si>
    <t>Nutritional Balance Analyzer, fecal sample analysis only</t>
  </si>
  <si>
    <t>NIRS fecal analysis, animal performance report</t>
  </si>
  <si>
    <t>Nutritional Balance Analyzer, fecal sample analysis with consultation</t>
  </si>
  <si>
    <t>NIRS fecal analysis, animal performance report, with consultation</t>
  </si>
  <si>
    <t>Oats (Avena sativa)</t>
  </si>
  <si>
    <t>Ohio Spiderwort (Tradescantia ohioensis)</t>
  </si>
  <si>
    <t>Oilseed Radish (Raphanus sativus var. oleiformis)</t>
  </si>
  <si>
    <t>Olney's Bulrush (Scirpus americanus)</t>
  </si>
  <si>
    <t>Orchard Grass (Dactylis glomerata)</t>
  </si>
  <si>
    <t>Pacific aster (Aster chilensis)</t>
  </si>
  <si>
    <t>Painting, concrete surface, impermeable</t>
  </si>
  <si>
    <t>Painting of concrete surfaces with an impermeable coating.  Includes materials and application.</t>
  </si>
  <si>
    <t>Painting, steel surface, Impermeable</t>
  </si>
  <si>
    <t>Painting of steel surface with an impermeable coating.  Includes materials and application</t>
  </si>
  <si>
    <t>Palmer's Penstemon (Penstemon palmeri)</t>
  </si>
  <si>
    <t>Partidge Pea (Chamaecrista fasciculata)</t>
  </si>
  <si>
    <t>Pasture Rose (Rosa carolina)</t>
  </si>
  <si>
    <t>Pearl Millet (Pennisetum glaucum)</t>
  </si>
  <si>
    <t>Perennial Ryegrass (Lolium perenne)</t>
  </si>
  <si>
    <t>Phosphorus, Organic</t>
  </si>
  <si>
    <t>ORGANIC Phosphorus</t>
  </si>
  <si>
    <t>Phosphorus, P2O5</t>
  </si>
  <si>
    <t>Price per pound of P2O5 supplied by Superphosphate.  Price is not per pound of total product applied, no conversion is needed.</t>
  </si>
  <si>
    <t>Pipe, ACMP, weight priced</t>
  </si>
  <si>
    <t>Aluminum Corrugated Metal Pipe (ACMP) pipe priced by the weight of the pipe materials.  Materials only.</t>
  </si>
  <si>
    <t>Pipe, aluminum, smooth wall, weight priced</t>
  </si>
  <si>
    <t>Aluminum manufactured into smooth wall pipe</t>
  </si>
  <si>
    <t>Pipe, CMP, 14-12 gauge, weight priced</t>
  </si>
  <si>
    <t>14 and 12 gauge galvanized helical corrugated metal pipe priced by the weight of the pipe materials.  Materials only.</t>
  </si>
  <si>
    <t>Pipe, CMP, 18-16 gauge, weight priced</t>
  </si>
  <si>
    <t>18 &amp; 16 gauge galvanized helical corrugated metal pipe priced by the weight of the pipe materials.  Materials only.</t>
  </si>
  <si>
    <t>Pipe, concrete cylinder pipe, DIF priced</t>
  </si>
  <si>
    <t>Concrete cylinder pipe pressure pipe, 150 psi. priced by the diameter inch / foot length of the pipe materials.  Materials only.</t>
  </si>
  <si>
    <t>Diameter Inch Foot</t>
  </si>
  <si>
    <t>Pipe, HDPE, smooth wall, weight priced</t>
  </si>
  <si>
    <t>High Density Polyethylene (HDPE) compound manufactured into smooth wall pipe. Materials only.</t>
  </si>
  <si>
    <t>Pipe, PE, collapsible, weight priced</t>
  </si>
  <si>
    <t>Polyethylene (PE) compound manufactured into collapsible tubing</t>
  </si>
  <si>
    <t>Pipe, PVC, gated, weight priced</t>
  </si>
  <si>
    <t>Gated Polyvinyl Chloride (PVC) pipe priced by the weight of the pipe materials.  Materials only.</t>
  </si>
  <si>
    <t>Pipe, PVC, Schedule 80, Perforated</t>
  </si>
  <si>
    <t>"Materials: 12"" Diameter schedule 80 perforated pvc pipe - ASTM D1785"</t>
  </si>
  <si>
    <t>Pipe, smooth steel, weight priced</t>
  </si>
  <si>
    <t>Smooth Steel pipe priced by the weight of the pipe materials.  Materials only.</t>
  </si>
  <si>
    <t>Pipe, steel, smooth wall, galvanized, weight priced</t>
  </si>
  <si>
    <t>Steel manufactured into galvanized smooth wall pipe</t>
  </si>
  <si>
    <t>Plantain (Plantago lanceolata L.)</t>
  </si>
  <si>
    <t>Planting gel, polymer</t>
  </si>
  <si>
    <t>Polymer planting gel that retains water around seedling roots. Materials only.</t>
  </si>
  <si>
    <t>Plate Cooler,  ≤ 499 gal/hr capacity</t>
  </si>
  <si>
    <t>Stainless Steel, dual pass plate cooler with &lt; 499 gallon/hour capacity. Materials only.</t>
  </si>
  <si>
    <t>Plate Cooler, &gt; 5,000 gal/hr capacity</t>
  </si>
  <si>
    <t>Stainless Steel, dual pass plate cooler with  &gt; 5,000 gallon/hour capacity. Materials only.</t>
  </si>
  <si>
    <t>Plate Cooler, 1,000 - 4,999 gal/hr capacity</t>
  </si>
  <si>
    <t>Stainless Steel, dual pass plate cooler with  1,000 - 4,999 gallon/hour capacity. Materials only.</t>
  </si>
  <si>
    <t>Plate Cooler, 500 - 749 gal/hr capacity</t>
  </si>
  <si>
    <t>Stainless Steel, dual pass plate cooler with 500 - 749 gallon/hour capacity. Materials only.</t>
  </si>
  <si>
    <t>Plate Cooler, 750 - 999 gal/hr capacity</t>
  </si>
  <si>
    <t>Stainless Steel, dual pass plate cooler with 750 - 999 gallon/hour capacity. Materials only.</t>
  </si>
  <si>
    <t>Plug Flow Control Building, large</t>
  </si>
  <si>
    <t>Plug Flow Control Building, medium</t>
  </si>
  <si>
    <t>Plug Flow Control Building, small</t>
  </si>
  <si>
    <t>Plug Flow Digester, large</t>
  </si>
  <si>
    <t>Concrete plug flow anaerobic digester which includes poured walls, floor and top.  Sized for large livestock operations (&gt;2000 AU).  Also included are any necessary reception and mixing tanks.  Includes labor and equipment.</t>
  </si>
  <si>
    <t>Plug Flow Digester, medium</t>
  </si>
  <si>
    <t>Concrete plug flow anaerobic digester which includes poured walls, floor and top.  Sized for medium sized livestock operations (1000-2000 AU).  Also included are any necessary reception and mixing tanks.  Includes labor and equipment.</t>
  </si>
  <si>
    <t>Plug Flow Flare, large</t>
  </si>
  <si>
    <t>Plug Flow Flare, medium</t>
  </si>
  <si>
    <t>Plug Flow Flare, small</t>
  </si>
  <si>
    <t>Plug Flow Gas Collection System, large</t>
  </si>
  <si>
    <t>Plug Flow Gas Collection System, medium</t>
  </si>
  <si>
    <t>Piping and collection system for biogas (1000-2000 AU).  Includes labor and equipment.</t>
  </si>
  <si>
    <t>Plug Flow Gas Collection System, small</t>
  </si>
  <si>
    <t>Plug Flow Heat Piping System, large</t>
  </si>
  <si>
    <t>Plug Flow Heat Piping System, medium</t>
  </si>
  <si>
    <t>Plug Flow Heat Piping System, small</t>
  </si>
  <si>
    <t>Plywood, 3/4 inch, untreated</t>
  </si>
  <si>
    <t>Untreated 4' x 8' sheets of 3/4 inch exterior grade plywood</t>
  </si>
  <si>
    <t>Pole, Utility, Nesting Platform</t>
  </si>
  <si>
    <t>Fabrication and installation of avian nesting platform.  Includes all equipment, labor and material needed to install utility pole with a nesting platform.</t>
  </si>
  <si>
    <t>Poly film, 6 mil.</t>
  </si>
  <si>
    <t>6 mil, polyethylene, black</t>
  </si>
  <si>
    <t>Porous Paver, polyethylene</t>
  </si>
  <si>
    <t>"Polyethylene porous paver, interlocking, polyethylene paving units, 2"" or less depth, typically 20""x40"" units.  Includes materials and shipping only."</t>
  </si>
  <si>
    <t>Post Frame Building, enclosed 4 sides</t>
  </si>
  <si>
    <t>Enclosed post frame building, four walls.  Includes materials, labor and equipment costs.</t>
  </si>
  <si>
    <t>Post, Steel T, 1.33 lbs, 10'</t>
  </si>
  <si>
    <t>Steel Post, Studded 10' - 1.33 lb</t>
  </si>
  <si>
    <t>Post, Steel T, 1.33 lbs, 6'</t>
  </si>
  <si>
    <t>Steel Post, Studded 6' - 1.33 lb</t>
  </si>
  <si>
    <t>Post, Steel T, 1.33 lbs, 8'</t>
  </si>
  <si>
    <t>Steel Post, Studded 8' - 1.33 lb</t>
  </si>
  <si>
    <t>Potassium, K2O</t>
  </si>
  <si>
    <t>K2O supplied by Muriate Of Potash.  Price is not per pound of total product applied, no conversion is needed.</t>
  </si>
  <si>
    <t>Potassium, Organic</t>
  </si>
  <si>
    <t>ORGANIC Potassium</t>
  </si>
  <si>
    <t>Poultry Litter Incinerator (2 million BTU unit)</t>
  </si>
  <si>
    <t>2 million BTU Boiler, Type c, low pressure with a chain grate stoker.  System includes automated ash handling, soot blowers, and dust collection. In addition a PLC control system for overall operation, a short inclined elevator to load system and a 5-10 c</t>
  </si>
  <si>
    <t>Poultry Litter Incinerator (200/lb/day)</t>
  </si>
  <si>
    <t>Poultry litter incinerator unit which will process up to 200 lb/hour. Includes equipment and labor.</t>
  </si>
  <si>
    <t>Prairie Cinquefoil (Potentilla arguta)</t>
  </si>
  <si>
    <t>Prairie Cordgrass (Spartina pectinata)</t>
  </si>
  <si>
    <t>Native Grasses and shipping, plug or rhizome</t>
  </si>
  <si>
    <t>Prairie Coreopsis (Coreopsis palmata)</t>
  </si>
  <si>
    <t>Prairie Dock (Silphium terebinthinaceum)</t>
  </si>
  <si>
    <t>Prairie Dropseed (Sporobolus heterolepis)</t>
  </si>
  <si>
    <t>Prairie False Indigo (Baptisia leucantha)</t>
  </si>
  <si>
    <t>Prairie Junegrass (Koeleria macrantha)</t>
  </si>
  <si>
    <t>Predator Guard</t>
  </si>
  <si>
    <t>Predator guards (i.e. stove pipes, cone, hole guard, etc.) for habitat boxes. Materials only</t>
  </si>
  <si>
    <t>Prefabricated concrete septic tank, 1500 gal</t>
  </si>
  <si>
    <t>Precast concrete septic tank, 1,500 gal. Materials only.</t>
  </si>
  <si>
    <t>Pressure Tank, 40 gallon</t>
  </si>
  <si>
    <t>Pressure Tank, 80 gallon</t>
  </si>
  <si>
    <t>Property/Safety Signs</t>
  </si>
  <si>
    <t>"Plastic Fence safety or property sign - Printed on both sides 6 pre-drilled holes for hanging or nailing. 7.5"" x 4.75"""</t>
  </si>
  <si>
    <t>Pump intake screen, Linear, fixed cost portion</t>
  </si>
  <si>
    <t>Fixed cost portion of linear fish intake pump screen including all adapters, o-rings, mounting tabs, and other accessories.  This is the base cost for the system.  Includes materials and shipping only.</t>
  </si>
  <si>
    <t>Pump intake screen, Linear, variable cost portion</t>
  </si>
  <si>
    <t>Variable cost portion of linear fish intake pump screen including all adapters, o-rings, mounting tabs, and other accessories.  Includes materials and shipping only.</t>
  </si>
  <si>
    <t>Pump intake screen, Manifold or combination type, fixed cost portion</t>
  </si>
  <si>
    <t>Fixed cost portion of a manifold or combination of T/U shaped fish intake pump screen including all adapters, o-rings, mounting tabs, and other accessories.  This is the base cost for the system.  Includes materials and shipping only.</t>
  </si>
  <si>
    <t>Pump intake screen, Manifold or combination type, variable cost portion</t>
  </si>
  <si>
    <t>Variable cost portion of a manifold or combination of T/U shaped fish intake pump screen including all adapters, o-rings, mounting tabs, and other accessories.  Includes materials and shipping only.</t>
  </si>
  <si>
    <t>Pump intake screen, T-shaped, fixed cost portion</t>
  </si>
  <si>
    <t>Fixed cost portion of T-shaped fish intake pump screen including all adapters, o-rings, mounting tabs, and other accessories.  This is the base cost for the system.  Includes materials and shipping only.</t>
  </si>
  <si>
    <t>Pump intake screen, T-shaped, variable cost portion</t>
  </si>
  <si>
    <t>Variable cost portion of T-shaped fish intake pump screen including all adapters, o-rings, mounting tabs, and other accessories.  Includes materials and shipping only.</t>
  </si>
  <si>
    <t>Pump intake screen, U-shaped, fixed cost portion</t>
  </si>
  <si>
    <t>Pump intake screen, U-shaped, variable cost portion</t>
  </si>
  <si>
    <t>Pump, &lt; 5 HP - Pump and motor, fixed cost portion</t>
  </si>
  <si>
    <t>Fixed cost portion of the Pump: &lt; 5 HP - Pump and motor. This portion is a base cost for all Pump: &lt; 5 HP  and is not dependant on horsepower. The total cost of any Pump: &lt; 5 HP  will include this fixed cost plus a variable cost portion. The completed Pum</t>
  </si>
  <si>
    <t>Pump, &lt; 5 HP - Pump and motor, variable cost portion</t>
  </si>
  <si>
    <t xml:space="preserve">Variable cost portion of the Pump: &lt; 5 HP - Pump and motor. This portion IS dependent on the total horsepower for the Pump: &lt; 5 HP. The total cost of any Pump: &lt; 5 HP will include this variable cost plus the fixed cost portion. The completed Pump: &lt; 5 HP </t>
  </si>
  <si>
    <t>Pump, &lt; 50 HP, Pump &amp; ICE power unit</t>
  </si>
  <si>
    <t>Materials, labor, controls:    &lt; 50 HP Pump &amp; ICE power unit</t>
  </si>
  <si>
    <t>Pump, &gt; 5 HP - Pump and motor, fixed cost portion</t>
  </si>
  <si>
    <t>"Fixed cost portion of the Pump: &gt; 5 HP - Pump and motor, 2.5"" through 10"" discharge size, flows to 7000 gpm and heads to 325 ft. This portion is a base cost for all Pump: &gt; 5 HP  and is not dependant on horsepower. The total cost of any Pump: &gt; 5 HP  will"</t>
  </si>
  <si>
    <t>Pump, &gt; 5 HP - Pump and motor, variable cost portion</t>
  </si>
  <si>
    <t>"Variable cost portion of the Pump: &gt; 5 HP - Pump and motor, 2.5"" through 10"" discharge size, flows to 7000 gpm and heads to 325 ft. This portion IS dependent on the total horsepower for the Pump: &gt; 5 HP. The total cost of any Pump: &gt; 5 HP will include thi"</t>
  </si>
  <si>
    <t>Pump, &gt; 50 to 70 HP, Pump &amp; ICE power unit</t>
  </si>
  <si>
    <t>Materials, labor, controls:    &gt; 50 to 70 HP Pump &amp; ICE power unit</t>
  </si>
  <si>
    <t>Pump, &gt; 70 HP, Pump &amp; ICE power unit</t>
  </si>
  <si>
    <t>Materials, labor, controls:    &gt; 70 HP Pump &amp; ICE power unit</t>
  </si>
  <si>
    <t>Pump, 40-80 hp axial flow/mixed flow</t>
  </si>
  <si>
    <t>"Propeller pump to handle 10,000 - 20,000gpm axial flow/ mixed flow; 12"" - 24"" discharge, head (&lt;20' to 25'), propeller type pump.  Materials and shipping only."</t>
  </si>
  <si>
    <t>Pump, Ag Water PTO, 1,000 GPM</t>
  </si>
  <si>
    <t>"Materials, labor, controls:   Ag Water PTO Pump 1,000 GPM - 8"""</t>
  </si>
  <si>
    <t>Pump, Ag Water PTO, 22 GPM</t>
  </si>
  <si>
    <t>"Materials, labor, controls:   Ag Water PTO Pump 22 GPM - 1"""</t>
  </si>
  <si>
    <t>Pump, Ag Water PTO, 300 GPM</t>
  </si>
  <si>
    <t>"Materials, labor, controls:   Ag Water PTO Pump 300 GPM - 3"""</t>
  </si>
  <si>
    <t>Pump, Ag Water PTO, 6500 GPM</t>
  </si>
  <si>
    <t>"Materials, labor, controls:   Ag Water PTO Pump 6500 GPM - 12"""</t>
  </si>
  <si>
    <t>Pump, Bowl replacement, 30 to 100 HP</t>
  </si>
  <si>
    <t>Includes all material and shop labor to replace/service the entire set of bowls for a vertical turbine pump, install new bowls as necessary, and all appurtenances and materials to connect to the existing well column. Typical of 100 to 300 feet of column d</t>
  </si>
  <si>
    <t>Pump, Chopper, Screw, &gt;1 to 3 HP, includes pump &amp; motor</t>
  </si>
  <si>
    <t>Materials, labor, controls:   Chopper/ Screw  &gt;1 to 3 HP includes pump &amp; motor</t>
  </si>
  <si>
    <t>Pump, Chopper, Screw, &gt;3 to 7 HP, includes pump &amp; motor</t>
  </si>
  <si>
    <t>Materials, labor, controls:   Chopper/ Screw  &gt;3 to 7 HP includes pump &amp; motor</t>
  </si>
  <si>
    <t>Pump, Chopper, Screw, &gt;7 to 15 HP, includes pump &amp; motor</t>
  </si>
  <si>
    <t>Materials, labor, controls:   Chopper/ Screw  &gt;7 to 15 HP includes pump &amp; motor</t>
  </si>
  <si>
    <t>Pump, Chopper, Screw, ≤ 1 HP,  includes pump &amp; motor</t>
  </si>
  <si>
    <t>Materials, labor, controls:   Chopper/ Screw  &lt;=1 HP includes pump &amp; motor</t>
  </si>
  <si>
    <t>Pump, Drive Unit, Piston pump</t>
  </si>
  <si>
    <t>Includes materials for a drive unit and a 10 hp drive unit.</t>
  </si>
  <si>
    <t>Pump, Manure, Hollow Piston</t>
  </si>
  <si>
    <t>"Pump, Manure, Hollow Piston, Mechanically Actuated, 12"" or greater discharge, 10 HP w/ accessories. Includes delivery."</t>
  </si>
  <si>
    <t>Pump, Manure, PTO, Vertical Shaft</t>
  </si>
  <si>
    <t>"Pump, Manure, PTO, Vertical Shaft, 6"" discharge, HP 70 to 110 (540 RPM) or HP 125 to 140 (1000 RPM), with agitating nozzle and propeller. Includes delivery."</t>
  </si>
  <si>
    <t>Pump, Manure, Solid Piston</t>
  </si>
  <si>
    <t>"Pump, Manure, Solid Piston, Hydraulically Actuated, 12"" or greater discharge, 7.5 HP w/ accessories. Includes delivery."</t>
  </si>
  <si>
    <t>Pump, motor and variable frequency drive,  fixed cost portion</t>
  </si>
  <si>
    <t>Fixed cost portion of the Pump: Pump, motor and variable frequency drive. This portion is a base cost for all Pump: Pump, motor and variable frequency drive  and is not dependant on horsepower. The total cost of any Pump: Pump, motor and variable frequenc</t>
  </si>
  <si>
    <t>Pump, motor and variable frequency drive,  variable cost portion</t>
  </si>
  <si>
    <t>Variable cost portion of the Pump: Pump, motor and variable frequency drive. This portion IS dependent on the total horsepower for the Pump: Pump, motor and variable frequency drive. The total cost of any Pump: Pump, motor and variable frequency drive wil</t>
  </si>
  <si>
    <t>Pump, Ram</t>
  </si>
  <si>
    <t>"Materials only for 2"" Ram Pump Kit"</t>
  </si>
  <si>
    <t>Pump, Sewage, Solids Handling</t>
  </si>
  <si>
    <t>"Pump, Sewage (Wastewater), Solids Handling, Submersible, Ressed Impeller, 2"" Solids, 2"" to 3"" Discharge, 0.5 to 2 HP.  Includes floats, alarm, and delivery."</t>
  </si>
  <si>
    <t>Pump, Solids Transfer Piston</t>
  </si>
  <si>
    <t>"Includes materials for a 12"" x 12"" pump without drive unit."</t>
  </si>
  <si>
    <t>Pump, Solids Transfer Piston, Appurtenances</t>
  </si>
  <si>
    <t>Includes materials for 16” diameter pump appurtenances including Pipe Adaptor, Pipe Elbow, Guillotine Valve, Flap Valve and Hopper with Grate &amp; Guard.</t>
  </si>
  <si>
    <t>Pump, Solids Transfer Piston, Heavy Duty, 16” diameter</t>
  </si>
  <si>
    <t>Includes materials for a heavy duty 16” diameter pump without drive unit.</t>
  </si>
  <si>
    <t>Pumping Plant Pit, Concrete, 1200 Gallon</t>
  </si>
  <si>
    <t>Precast concrete septic tank structure, 1200 gal capacity, with access port and ladder.  Materials only.</t>
  </si>
  <si>
    <t>Purple Coneflower (Echinacea purpurea)</t>
  </si>
  <si>
    <t>Purple Prairie Clover (Dalea purpurea)</t>
  </si>
  <si>
    <t>PVC Containment Basin, 6' x 6'</t>
  </si>
  <si>
    <t>"Poly containment basin typically 8"" to 12"" deep with area dimensions in the range of 6' x 6' or larger."</t>
  </si>
  <si>
    <t>Quicklime</t>
  </si>
  <si>
    <t>Granular or pellet quicklime (CaO) for dispersive soil treatment.  Materials only.</t>
  </si>
  <si>
    <t>Radish, Forage (Raphanus sativus var. niger)</t>
  </si>
  <si>
    <t>Railcar Bridge</t>
  </si>
  <si>
    <t>A 'pre assembeled' bridge constructed from a used rail car with a railing.  The structure has been evaluated by a PE and modified as needed to provide structural stability for highway loadings.  Typical loadings are HS 20.  Typical widths are 14', length</t>
  </si>
  <si>
    <t>Rangeland/grassland field monitoring kit</t>
  </si>
  <si>
    <t>Miscellaneous tools needed to complete rangeland/grassland monitoring.  Materials may include camera, clippers, plot frame, scale, tape measure, etc.  Includes equipment costs only.</t>
  </si>
  <si>
    <t>Rattlesnake Master (Eryngium aquaticum)</t>
  </si>
  <si>
    <t>Red Clover (Trifolium pratense)</t>
  </si>
  <si>
    <t>Redroot Flatsedge (Carex erythrorhizos)</t>
  </si>
  <si>
    <t>Native Rush, Includes materials and shipping.</t>
  </si>
  <si>
    <t>Redtop (Agrostis gigantea)</t>
  </si>
  <si>
    <t>Reed Canary Grass (Phalaris arundinacea)</t>
  </si>
  <si>
    <t>Refrigeration system outside air economizers, High Efficiency</t>
  </si>
  <si>
    <t>Outside air economizers save energy in refrigeration systems by using ambient air to cool the cold storage area when the outside ambient air temperature drops at least 5ºF below the set point of the cold storage area. This allows the compressors, condense</t>
  </si>
  <si>
    <t>Refrigerator, animal mortality</t>
  </si>
  <si>
    <t>Refrigerator for holding animal mortalities until incinerated or gasified.  Includes labor and equipment.</t>
  </si>
  <si>
    <t>Reverse Osmosis unit</t>
  </si>
  <si>
    <t>Reverse Osmosis unit used for maple syrup processing.  Materials only.</t>
  </si>
  <si>
    <t>Gallons per Hour</t>
  </si>
  <si>
    <t>Reverse Osmosis unit, fixed cost portion</t>
  </si>
  <si>
    <t>Fixed cost portion of a reverse osmosis unit used for maple syrup processing.  Materials only.</t>
  </si>
  <si>
    <t>Reverse Osmosis unit, variable cost portion</t>
  </si>
  <si>
    <t>Variable cost portion of a reverse osmosis unit used for maple syrup processing.  Materials only.</t>
  </si>
  <si>
    <t>Riser, Septic Tank</t>
  </si>
  <si>
    <t>"24"" HDPE riser with cover.  Materials only."</t>
  </si>
  <si>
    <t>Rock Phosphate</t>
  </si>
  <si>
    <t>Approved for Organic Systems - Rock Phosphate</t>
  </si>
  <si>
    <t>Rock Riprap, graded, angular, material and shipping</t>
  </si>
  <si>
    <t>Graded Rock Riprap for all gradation ranges.  Includes materials and delivery only.</t>
  </si>
  <si>
    <t>Rock Riprap, graded, angular, material only</t>
  </si>
  <si>
    <t>"Graded Rock Riprap for 12"" to 24"" size ranges.  Includes material costs only.  Shipping not inlcuded."</t>
  </si>
  <si>
    <t>Rock Riprap, Placed with geotextile</t>
  </si>
  <si>
    <t>Rock Riprap, placed with geotextile, includes materials, equipment and labor to transport and place</t>
  </si>
  <si>
    <t>Roemer's Fescue (Festuca roemeri (F. idahoensis ssp. roemeri))</t>
  </si>
  <si>
    <t>Roof, Hoop Truss Arch Structure, 30-60' wide</t>
  </si>
  <si>
    <t>Hoop Truss Arch Structure with fabric cover - 30' to 60' width, includes materials, equipment, and installation. Does not include foundation preparation.</t>
  </si>
  <si>
    <t>Roof, Hoop Truss Arch Structure, greater than 60' wide</t>
  </si>
  <si>
    <t>Hoop Truss Arch Structure with fabric cover - greater than 60' width, includes materials, equipment, and installation. Does not include foundation preparation.</t>
  </si>
  <si>
    <t>Roof, Hoop Truss Arch Structure, less than 30' wide</t>
  </si>
  <si>
    <t>Hoop Truss Arch Structure with fabric cover - less than 30' width, includes materials, equipment, and installation. Does not include foundation preparation.</t>
  </si>
  <si>
    <t>Roof, Post Frame Building , less than 30' wide</t>
  </si>
  <si>
    <t>Post Frame Building, no sides, - less than 30' width, includes materials, equipment, and installation. Does not include foundation preparation.</t>
  </si>
  <si>
    <t>Roof, Post Frame Building, 30' to 60' wide</t>
  </si>
  <si>
    <t>Post Frame Building, no sides, - 30' to 60' width, includes materials, equipment, and installation. Does not include foundation preparation.</t>
  </si>
  <si>
    <t>Roof, Post Frame Building, greater than 60' wide</t>
  </si>
  <si>
    <t>Post Frame Building, no sides, - greater than 60' width, includes materials, equipment, and installation. Does not include foundation preparation.</t>
  </si>
  <si>
    <t>Roof, Steel Frame Monoslope Building, 30' to 60' wide</t>
  </si>
  <si>
    <t>Steel Frame Monoslope Building, 30' to 60' width, includes materials, equipment, and installation. Does not include foundation preparation.</t>
  </si>
  <si>
    <t>Roof, Steel Frame Monoslope Building, greater than 60' wide</t>
  </si>
  <si>
    <t>Steel Frame Monoslope Building, greater than 60' width, includes materials, equipment, and installation. Does not include foundation preparation.</t>
  </si>
  <si>
    <t>Roof, Steel Frame Monoslope Building, less than 30' wide</t>
  </si>
  <si>
    <t>Steel Frame Monoslope Building, less than 30' width, includes materials, equipment, and installation. Does not include foundation preparation.</t>
  </si>
  <si>
    <t>Root Wad</t>
  </si>
  <si>
    <t>Tree stump buried into the streambank with the roots left exposed.  Includes material only.</t>
  </si>
  <si>
    <t>Rough Blazing Star (Liatris aspera)</t>
  </si>
  <si>
    <t>Round Headed Bush Clover (Lespedeza capitata)</t>
  </si>
  <si>
    <t>Russian Wildrye (Psathyrostachys juncea)</t>
  </si>
  <si>
    <t>Rye, Cereal (Secale cereale L.)</t>
  </si>
  <si>
    <t>Ryegrass, Annual (Lolium multiflorum)</t>
  </si>
  <si>
    <t>Safety chain tractor barrier</t>
  </si>
  <si>
    <t>3/8 in. Transport chain barrier installed to prevent tractor equipment from entering wastewater collection basin or pit.  Material cost only.</t>
  </si>
  <si>
    <t>Safety gate, span manure transfer channel or chute</t>
  </si>
  <si>
    <t>"Safety gate to span manure transfer channel at push off wall or chute outlet.  Minium of 4' tall with openings that will not pass a 6"" or lager sphere. Materials and shipping only."</t>
  </si>
  <si>
    <t>Safety Guard, pipe fence and tractor guard</t>
  </si>
  <si>
    <t>Pipe fence and tractor guard 4' tall with working loads expected from equipment and livestock.  Materials and shipping only.</t>
  </si>
  <si>
    <t>Sainfoin</t>
  </si>
  <si>
    <t>Sap Pre-Heater Device, &gt; 25 SF</t>
  </si>
  <si>
    <t>Install sap pre-heater device to reduce atmospheric emissions with an area of greater than 25 square feet. Materials only.</t>
  </si>
  <si>
    <t>Sap Pre-Heater Device, ≤ 25 SF</t>
  </si>
  <si>
    <t>Install sap pre-heater device to reduce atmospheric emissions with an area of 25 square feet or less. Materials only.</t>
  </si>
  <si>
    <t>Sap Pre-Heater, High efficiency, fixed cost</t>
  </si>
  <si>
    <t>High efficiency sap pre-heater device, fixed cost portion.  Materials only.</t>
  </si>
  <si>
    <t>Sap Pre-Heater, High efficiency, variable cost</t>
  </si>
  <si>
    <t>High efficiency sap pre-heater device, variable cost portion.  Materials only.</t>
  </si>
  <si>
    <t>Sawbeak Sedge (Carex stipata)</t>
  </si>
  <si>
    <t>Sawtooth Sunflower (Helianthus grosseserratus)</t>
  </si>
  <si>
    <t>Scouringrush Horsetail (Equisetum hyemale)</t>
  </si>
  <si>
    <t>Native Horsetail and shipping, plug or rhizome</t>
  </si>
  <si>
    <t>Screw gate, cast iron, 1' diameter, 10/0 head</t>
  </si>
  <si>
    <t>1' diameter cast iron screw (canal) gate rated at 10 seating head 0 feet unseating head. Materials only.</t>
  </si>
  <si>
    <t>Screw gate, cast iron, 2' diameter, 10/0 head</t>
  </si>
  <si>
    <t>2' diameter cast iron screw (canal) gate rated at 10 seating head 0 feet unseating head. Materials only.</t>
  </si>
  <si>
    <t>Screw gate, cast iron, 3' diameter, 10/0 head</t>
  </si>
  <si>
    <t>3' diameter cast iron screw (canal) gate rated at 10 seating head 0 feet unseating head. Materials only.</t>
  </si>
  <si>
    <t>Screw gate, cast iron, 3.5' diameter, 20/10 head</t>
  </si>
  <si>
    <t>3.5' diameter cast iron screw (canal) gate rated at 20 seating head 10 feet unseating head.</t>
  </si>
  <si>
    <t>Screw gate, cast iron, 4' diameter, 10/0 head</t>
  </si>
  <si>
    <t>4' diameter cast iron screw (canal) gate rated at 10 seating head 0 feet unseating head</t>
  </si>
  <si>
    <t>Screw or Roller Press - Large</t>
  </si>
  <si>
    <t>Screw or Roller Press with a capacity of ≥ 100 GPM. Includes materials and equipment.</t>
  </si>
  <si>
    <t>Screw or Roller Press - Small</t>
  </si>
  <si>
    <t>Screw or Roller Press with a capacity of &lt; 100 GPM. Includes materials and equipment.</t>
  </si>
  <si>
    <t>Scroll Compressor - 2 HP</t>
  </si>
  <si>
    <t>Scroll compressor, 2 Horsepower, controls, wiring, and appurtenances.  Materials only.</t>
  </si>
  <si>
    <t>Scroll Compressor - 3 HP</t>
  </si>
  <si>
    <t>Scroll compressor, 3 Horsepower, controls, wiring, and appurtenances.  Materials only.</t>
  </si>
  <si>
    <t>Scroll Compressor - 5 HP</t>
  </si>
  <si>
    <t>Scroll compressor, 5 Horsepower, controls, wiring, and appurtenances.  Materials only.</t>
  </si>
  <si>
    <t>Scroll Compressor - 6 HP</t>
  </si>
  <si>
    <t>Scroll compressor, 6 Horsepower, controls, wiring, and appurtenances.  Materials only.</t>
  </si>
  <si>
    <t>Sealant</t>
  </si>
  <si>
    <t>Greenhouse and building gap sealant.  Performed by a professional contractor spraying the areas with an approved sealant for poultry production facilities.  Includes materials, equipment and labor to install.</t>
  </si>
  <si>
    <t>Self Regulating Tide gate and controller</t>
  </si>
  <si>
    <t>A 4' diameter stainless steel self regulating tide/flood gate with a controller/ dual float system.  Includes materials and shipping only.</t>
  </si>
  <si>
    <t>Sheet piling, steel, 25'</t>
  </si>
  <si>
    <t>Steel sheet pile, panels or barrier driven 15 to 25 feet and left in place. Includes materials, equipment and labor.</t>
  </si>
  <si>
    <t>Shellfish cages, bottom, rack or bag in cage systems</t>
  </si>
  <si>
    <t>Wire mesh shellfish growout cages 2'x3', 3'x3', 3'x4' wire cages, 6mm, 12mm, 18mm, 25mm mesh sizes. Deployed on bottom or racks, or bags and cage.</t>
  </si>
  <si>
    <t>Shellfish cages, double layer</t>
  </si>
  <si>
    <t>Oyster trays and cages 600-1800 double layer oyster cages. Materials only.</t>
  </si>
  <si>
    <t>Shellfish cages, single layer</t>
  </si>
  <si>
    <t>Oyster trays and cages , 300-900 single layer oyster cages. Materials only.</t>
  </si>
  <si>
    <t>Shellfish cages, triple layer</t>
  </si>
  <si>
    <t>Oyster trays and cages, 900-2700 triple layer oyster cages. Materials only.</t>
  </si>
  <si>
    <t>Shellfish growout bags</t>
  </si>
  <si>
    <t>"Oyster mesh bags (i.e. Vexar, Intermas), 1/4"", 1/2"", and 1"" mesh sizes, typically 50 x 100 cm.  Materials only."</t>
  </si>
  <si>
    <t>Shellfish Predation Netting, seed in-ground culture</t>
  </si>
  <si>
    <t>"Preditor control netting for clams, soft mesh polyethylene,  1/4"" - 1/2"" mesh sizes; typical width is 14', lengths vary from 20' to 150'. Materials only."</t>
  </si>
  <si>
    <t>Shellfish Predation Screen, seed in-ground culture</t>
  </si>
  <si>
    <t>"Preditor control ground cover, medium weight  high density polyethylene, 3/8"" mesh, typical width is 6', lenths from 50'-165'.  Can be reused after fouling dries.  Materials only."</t>
  </si>
  <si>
    <t>Shellfish trays, tray culture systems</t>
  </si>
  <si>
    <t>"Polyethylene oyster trays, typically  2'x2' and 3""-8"" deep, deployed in stacks of 7-10. Materials only."</t>
  </si>
  <si>
    <t>Showy Goldenrod  (Solidago speciosa)</t>
  </si>
  <si>
    <t>Shrub, seedling or transplant, potted or B&amp;B, 2-3 gal.</t>
  </si>
  <si>
    <t>Potted or balled and burlapped shrub, 2-3 gal. Materials only.</t>
  </si>
  <si>
    <t>Shrub, seedling or transplant, potted or B&amp;B, 5 gal.</t>
  </si>
  <si>
    <t>Potted or balled and burlapped shrub, 5 gal. Materials only.</t>
  </si>
  <si>
    <t>Shrub, seedling or transplant, potted, 1 gal.</t>
  </si>
  <si>
    <t>Potted shrub, 1 gal. Materials only.</t>
  </si>
  <si>
    <t>Shrub, seedling or transplant, potted, 1 qt.</t>
  </si>
  <si>
    <t>Potted shrub, 1 quart. Materials only.</t>
  </si>
  <si>
    <t>Shrub, seedling or transplant, potted, 1/2 gal.</t>
  </si>
  <si>
    <t>Potted shrub, 1/2 gal. Materials only.</t>
  </si>
  <si>
    <t>Side Oats Grama (Bouteloua curtipendula)</t>
  </si>
  <si>
    <t>Sign, 2' x 1.5'</t>
  </si>
  <si>
    <t>.125 aluminum, single-sided, with nonreflective, EG reflective or HIP reflective face copy, Posts, 2” x 8’ galvanized perforated square steel tube signpost, Anchor, 2.5” x 30” galv. Non-perforated square steel tube anchor for post, and Windbeam Bolt Assem</t>
  </si>
  <si>
    <t>Sign, 3' x 2'</t>
  </si>
  <si>
    <t>Sign, 5’ x 3’</t>
  </si>
  <si>
    <t>.125 Aluminum, Single-Sided, with Non-Reflective, EG reflective or HIP reflective face copy, Back framing, Posts  2” x 12’ galvanized perforated square steel tube signpost, Anchor, 2.5” x 30” galv. Non-perforated square steel tube anchor, and Wind beam Bo</t>
  </si>
  <si>
    <t>Silage Leachate Screen</t>
  </si>
  <si>
    <t>Typically constructed of animal floor slats with typical 1 square inch openings or equivalent. Materials only.</t>
  </si>
  <si>
    <t>Silky Lupine (Lupinus sericeus)</t>
  </si>
  <si>
    <t>Silt Fence</t>
  </si>
  <si>
    <t>Silt Fence with support post, includes materials, equipment and labor</t>
  </si>
  <si>
    <t>Silver Lupine (Lupinus argenteus)</t>
  </si>
  <si>
    <t>Slender Bush Clover (Lespedeza virginica)</t>
  </si>
  <si>
    <t>Slide gate, steel, 1' diameter, low head</t>
  </si>
  <si>
    <t>1' diameter steel slide gate for low head installations</t>
  </si>
  <si>
    <t>Slide gate, steel, 2' diameter, low head</t>
  </si>
  <si>
    <t>2' diameter steel slide gate for low head installations</t>
  </si>
  <si>
    <t>Slide gate, steel, 4' diameter, low head</t>
  </si>
  <si>
    <t>4' diameter steel slide gate for low head installations</t>
  </si>
  <si>
    <t>Small Burnett (Sanguisorba minor)</t>
  </si>
  <si>
    <t>Smooth Aster (Aster laevis)</t>
  </si>
  <si>
    <t>Smooth Bromegrass (Bromus inermis)</t>
  </si>
  <si>
    <t>Smooth Oxeye False, Sunflower (Heliopsis helianthoides)</t>
  </si>
  <si>
    <t>Sneezeweed (Helenium autumnale)</t>
  </si>
  <si>
    <t>Snow Fence</t>
  </si>
  <si>
    <t>Wooden slatted fence used for control of snow accumulation and dune  protection.  Materials only.</t>
  </si>
  <si>
    <t>Sodium Nitrate</t>
  </si>
  <si>
    <t>Approved for Organic Systems - Sodium Nitrate</t>
  </si>
  <si>
    <t>Softstem Bulrush (Scirpus validus)</t>
  </si>
  <si>
    <t>Native Rush and shipping</t>
  </si>
  <si>
    <t>Soil Borne Pest</t>
  </si>
  <si>
    <t>Pathogens</t>
  </si>
  <si>
    <t>Soil Dispersant</t>
  </si>
  <si>
    <t>Soil Amendment (tetrasodium pyrophosphate (TSPP), sodium tripolyphosphate (STPP), or soda ash or approved equivalent)</t>
  </si>
  <si>
    <t>Soil Moisture Meter</t>
  </si>
  <si>
    <t>Soil Moisture Sensor Reader.  Equipment only.</t>
  </si>
  <si>
    <t>Soil Moisture Sensor</t>
  </si>
  <si>
    <t>Soil moisture resistance sensor W/10' cables. Equipment only.</t>
  </si>
  <si>
    <t>Solar Panels, fixed cost portion</t>
  </si>
  <si>
    <t>Fixed cost portion of the Solar Panels. This portion is a base cost for all Solar Panels  and is not dependant on KiloWatt. The total cost of any Solar Panels  will include this fixed cost plus a variable cost portion. The completed Solar Panels will incl</t>
  </si>
  <si>
    <t>Solar Panels, variable cost portion</t>
  </si>
  <si>
    <t>Variable cost portion of the Solar Panels. This portion IS dependent on the total Kilowatt for the Solar Panels. The total cost of any Solar Panels will include this variable cost plus the fixed cost portion. The completed Solar Panels will include all ma</t>
  </si>
  <si>
    <t>Kilowatt</t>
  </si>
  <si>
    <t>Sorghum-Sudan Grass (Sorghum bicolor (L.) Moench)</t>
  </si>
  <si>
    <t>Soybeans (Glycine max (L.) Merr.)</t>
  </si>
  <si>
    <t>Spring Collection Box Cover, steel, 4' diameter</t>
  </si>
  <si>
    <t>"4' diameter x 1/4"" thick Steel lid with handle for spring collection box.  Materials and fabrication."</t>
  </si>
  <si>
    <t>Spring Gold (Lomatium utriculatum)</t>
  </si>
  <si>
    <t>Static Inclined Screen, large (&gt;700 GPM capacity)</t>
  </si>
  <si>
    <t>Static Inclined Screen includes materials and equipment.  Includes shipping.</t>
  </si>
  <si>
    <t>Static Inclined Screen, medium (300-700 GPM capacity)</t>
  </si>
  <si>
    <t>Static Inclined Screen, small (&lt;300 GPM capacity)</t>
  </si>
  <si>
    <t>Steel Tank Car</t>
  </si>
  <si>
    <t>Materials: - USED Rail Road Tank Car</t>
  </si>
  <si>
    <t>Steel, rebar</t>
  </si>
  <si>
    <t>Steel rebar, grade 60. Materials only.</t>
  </si>
  <si>
    <t>Steel, structural steel members</t>
  </si>
  <si>
    <t>Structural steel, includes materials and fabrication.</t>
  </si>
  <si>
    <t>Steepass fish ladder, 10'</t>
  </si>
  <si>
    <t>10' aluminum chute installed in water passage to slow water enabling fish to pass easily.  Includes all joint plates and fasteners.  Materials and shipping only.</t>
  </si>
  <si>
    <t>Steepass fish ladder, 5'</t>
  </si>
  <si>
    <t>5' aluminum chute installed in water passage to slow water enabling fish to pass easily.  Includes all joint plates and fasteners.  Materials and shipping only.</t>
  </si>
  <si>
    <t>Stem Gall Fly (Urophora cardui)</t>
  </si>
  <si>
    <t>Stem Gal Fly.  Includes all support necessary to ensure adequate release of insects.  Labor not included.</t>
  </si>
  <si>
    <t>Stem Mining Weevil (Ceutorhynchus litura)</t>
  </si>
  <si>
    <t>Stem Mining Weevil.  Includes all support necessary to ensure adequate release of insects.  Labor not included.</t>
  </si>
  <si>
    <t>Stiff Goldenrod (Solidago rigida)</t>
  </si>
  <si>
    <t>Straw</t>
  </si>
  <si>
    <t>Small grain straw (non organic and certified organic).  Materials and shipping only.</t>
  </si>
  <si>
    <t>Straw bales</t>
  </si>
  <si>
    <t>Straw bales buried at defined intervals to halt rill and gulley formation.  Materials and shipping only.</t>
  </si>
  <si>
    <t>Struvite extraction system</t>
  </si>
  <si>
    <t>Struvite extraction system (magnesium ammonium phosphate) Phred components including fabricated parts, off the shelf parts, and installation materials.</t>
  </si>
  <si>
    <t>Sunn Hemp (Crotalaria juncea L.)</t>
  </si>
  <si>
    <t>Surge Valve And Controller</t>
  </si>
  <si>
    <t>Surge Valve and Controller, with appurtenances. Material cost includes valve, controller, all appurtenances, and mobilization.</t>
  </si>
  <si>
    <t>Swamp Milkweed (Asclepias incarnata)</t>
  </si>
  <si>
    <t>Sweet Clover (Melilotus spp.)</t>
  </si>
  <si>
    <t>Switches and Controls, programmable controller</t>
  </si>
  <si>
    <t>Programmable logic controller (with or without wireless telecommunications) commonly used to control pumps and irrigation systems</t>
  </si>
  <si>
    <t>Switches and Controls, radio system</t>
  </si>
  <si>
    <t>Output radio, field transmitter, and receiver commonly used to control pumps and irrigation systems</t>
  </si>
  <si>
    <t>Switches and Controls, temp sensors</t>
  </si>
  <si>
    <t>Temperature and soil moisture sensors installed as part of an electronic monitoring (with or without wireless telecommunications) commonly used to control pumps and irrigation systems</t>
  </si>
  <si>
    <t>Switches and Controls, Wi-Fi system and software</t>
  </si>
  <si>
    <t>Software with built-in cellular or Wi-Fi communication commonly used to control pumps and irrigation systems</t>
  </si>
  <si>
    <t>Switchgrass, Blackwell (Panicum virgatum)</t>
  </si>
  <si>
    <t>Synthetic Liner, 30 mil</t>
  </si>
  <si>
    <t>Synthetic 30 mil HDPE, LLDPE, EPDM, etc. membrane liner material.  Materials only.</t>
  </si>
  <si>
    <t>Synthetic Liner, 40 mil</t>
  </si>
  <si>
    <t>Synthetic 40 mil HDPE, LLDPE, EPDM, etc membrane liner material.  Materials only.</t>
  </si>
  <si>
    <t>Synthetic Liner, 60 mil</t>
  </si>
  <si>
    <t>Synthetic 60 mil HDPE, LLDPE, EPDM, etc membrane liner material.  Materials only.</t>
  </si>
  <si>
    <t>Tall Wheatgrass (Thinopyrum ponticum)</t>
  </si>
  <si>
    <t>Tank, Concrete, 2500 gallon</t>
  </si>
  <si>
    <t>Concrete tank for water storage, with riser and lid</t>
  </si>
  <si>
    <t>Tank, Concrete, 500 gallon</t>
  </si>
  <si>
    <t>Tank, Corrugated Metal Storage, 14,000 gallon</t>
  </si>
  <si>
    <t>14,000 gallon capacity enclosed corrugated Metal Storage tank with liner.  Includes delivery to the site and anchoring material.</t>
  </si>
  <si>
    <t>Tank, Corrugated Metal Storage, 20,000 gallon</t>
  </si>
  <si>
    <t>20,000 gallon capacity enclosed corrugated Metal Storage tank. Includes delivery to the site and anchoring material.</t>
  </si>
  <si>
    <t>Tank, Fiberglass Cover</t>
  </si>
  <si>
    <t>Includes materials</t>
  </si>
  <si>
    <t>Tank, Fiberglass Enclosed Storage, 10,000 gallon</t>
  </si>
  <si>
    <t>10,000 gallon capacity enclosed fiberglass water storage tank.  Includes tank anchoring materials and delivery.</t>
  </si>
  <si>
    <t>Tank, Float Valve Assembly</t>
  </si>
  <si>
    <t>Float Valve, Stem, Swivel, Float Ball</t>
  </si>
  <si>
    <t>Tank, flush water storage tank, &lt; 1,200 gal</t>
  </si>
  <si>
    <t>Tip type flush water storage tank for storage of water to be used to flush the concrete in the dairy operation, less than 1,200 gallon capacity. Materials only.</t>
  </si>
  <si>
    <t>Tank, flush water storage tank, &gt; 1,200 gal</t>
  </si>
  <si>
    <t>Tip or tower type flush water storage tank for storage of water to be used to flush the concrete in the dairy operation, 1,200 gallon and greater capacity. Materials only.</t>
  </si>
  <si>
    <t>Tank, Freeze Proof,  concrete, &lt; 200 gallons</t>
  </si>
  <si>
    <t>Concrete tank with sloping sides, cover for partial burial providing freeze protection</t>
  </si>
  <si>
    <t>Tank, Freeze Proof,  concrete, ≥ 200 gallons</t>
  </si>
  <si>
    <t>Tank, Freeze Proof, 2 hole</t>
  </si>
  <si>
    <t>Tank, Freeze Proof with 2 drinking holes</t>
  </si>
  <si>
    <t>Tank, Freeze Proof, 4 hole</t>
  </si>
  <si>
    <t>Tank, Freeze Proof with 4 drinking holes</t>
  </si>
  <si>
    <t>Tank, Galvanized Steel Bottomless Livestock, &gt; 6,000 gallon</t>
  </si>
  <si>
    <t>Includes tank materials and float valve, no liner</t>
  </si>
  <si>
    <t>Tank, Galvanized Steel Bottomless Livestock, ≤ 6,000 gallon</t>
  </si>
  <si>
    <t>Tank, Galvanized Steel Bottomless w/liner Livestock, &gt; 6,000 gallon</t>
  </si>
  <si>
    <t>Includes tank materials with liner and float valve</t>
  </si>
  <si>
    <t>Tank, Galvanized Steel Bottomless w/liner Livestock, ≤ 6,000 gallon</t>
  </si>
  <si>
    <t>Tank, Galvanized Steel Livestock, &gt; 300 - 1,000 gallon</t>
  </si>
  <si>
    <t>Includes tank materials and float valve</t>
  </si>
  <si>
    <t>Tank, Galvanized Steel Livestock, &gt;75 - 300 gallon</t>
  </si>
  <si>
    <t>Tank, Galvanized Steel Livestock, ≤ 75 gallon</t>
  </si>
  <si>
    <t>Tank, Galvanized, 200 gallon</t>
  </si>
  <si>
    <t>Tank Galvanized - 200 gallon capacity</t>
  </si>
  <si>
    <t>Tank, Galvanized, 400 gallon</t>
  </si>
  <si>
    <t>Tank Galvanized - 400 gallon capacity</t>
  </si>
  <si>
    <t>Tank, Geothermal Tube Waterer</t>
  </si>
  <si>
    <t>Includes materials for 2 head 18 gal waterer</t>
  </si>
  <si>
    <t>Tank, Poly Enclosed Storage, &gt;1,000</t>
  </si>
  <si>
    <t>Tank, Poly Enclosed Storage, ≤ 300 gallon</t>
  </si>
  <si>
    <t>Tank, Poly enclosed Storage, 300-1000 gal</t>
  </si>
  <si>
    <t>Tank, Poly Livestock, &gt;300 - 1,000 gallon</t>
  </si>
  <si>
    <t>Tank, Poly Livestock, &gt;75 - 300 gallon</t>
  </si>
  <si>
    <t>Tank, Poly Livestock, ≤ 75 gallon</t>
  </si>
  <si>
    <t>Tank, Polyethylene, 100 gallon</t>
  </si>
  <si>
    <t>Portable heavy duty rubber stock tank</t>
  </si>
  <si>
    <t>Tank, Polyethylene, 300 gallon</t>
  </si>
  <si>
    <t>Tank, Polyethylene, 50 gallon</t>
  </si>
  <si>
    <t>Tank, rinsate or chemical storage, &lt; 100 gal</t>
  </si>
  <si>
    <t>Poly tank reservoir for storing rinsate or other liquid agrichemicals. Materials only.</t>
  </si>
  <si>
    <t>Tank, rinsate or chemical storage, 100-300 gal</t>
  </si>
  <si>
    <t>Tank, Spring or Trough, concrete, &lt; 200 gallons</t>
  </si>
  <si>
    <t>Concrete tank with sloping sides</t>
  </si>
  <si>
    <t>Tank, Spring or Trough, concrete, ≥ 200 gallons</t>
  </si>
  <si>
    <t>Tank, storage tank, double wall, 4000 gallon, horizontal, steel, above ground</t>
  </si>
  <si>
    <t>Double wall horizontal steel storage tank.  Includes cradles, coating, fittings, labor, equipment.  Excludes foundations, pumps or piping.</t>
  </si>
  <si>
    <t>Tank, storage tank, upgrade to a double wall from a single wall, horizontal, steel, above ground</t>
  </si>
  <si>
    <t>Difference in cost between a single wall and double wall horizontal steel storage tank.  Includes cradles, coating, fittings, labor, equipment.  Excludes foundations, pumps or piping.</t>
  </si>
  <si>
    <t>Tank, storage tank, upgrade to a double wall from a single wall, horizontal, steel, above ground, fixed cost portion</t>
  </si>
  <si>
    <t>Fixed cost portion of the difference between a single wall and double wall horizontal steel storage tank.  Includes cradles, coating, fittings, labor, equipment.  Excludes foundations, pumps or piping.</t>
  </si>
  <si>
    <t>Tank, Tire, 10' diameter</t>
  </si>
  <si>
    <t>Tire, includes material cost for tank and shipping.  Labor and other appurtenance costs not included.</t>
  </si>
  <si>
    <t>Tank, Tire, 12' diameter</t>
  </si>
  <si>
    <t>Tank, Tire, 8' diameter</t>
  </si>
  <si>
    <t>Teff Grass (Eragrostis tef)</t>
  </si>
  <si>
    <t>Test, Compost Analysis</t>
  </si>
  <si>
    <t>Moisture, Total N, P, K</t>
  </si>
  <si>
    <t>Test, comprehensive specialized water test, well water</t>
  </si>
  <si>
    <t>Comprehensive testing for a broad spectrum of pesticides, inorganic chemicals or volatile organics not included in a basic well suitability test.</t>
  </si>
  <si>
    <t>Test, Feed Analysis</t>
  </si>
  <si>
    <t>Representative sample of feed</t>
  </si>
  <si>
    <t>Test, Manure Analysis</t>
  </si>
  <si>
    <t>Test, MUN Testing</t>
  </si>
  <si>
    <t>Testing nitrogen level in milk as a measure of nitrogen that will be exhibited in manure</t>
  </si>
  <si>
    <t>Test, Plant Tissue Test</t>
  </si>
  <si>
    <t>Tissue analysis for crops</t>
  </si>
  <si>
    <t>Test, Pump Test</t>
  </si>
  <si>
    <t>High-volume pumping of well for at least 24 hours. Labor and equipment.</t>
  </si>
  <si>
    <t>Test, singular specialized water test, well water</t>
  </si>
  <si>
    <t>Testing for specific pesticide, inorganic chemical or volatile organic not included in a basic well suitability test.</t>
  </si>
  <si>
    <t>Test, Soil Nitrogen Testing</t>
  </si>
  <si>
    <t>Pre-Side Dress/Deep Soil Testing</t>
  </si>
  <si>
    <t>Test, Soil Test, Precision, Grid or Zone</t>
  </si>
  <si>
    <t>Includes materials, labor, and equipment costs.</t>
  </si>
  <si>
    <t>Test, Soil Test, Standard</t>
  </si>
  <si>
    <t>Test, Soil-Cement, Freezing and Thawing</t>
  </si>
  <si>
    <t>Freezing and Thawing Test for Compacted Soil-Cement Mixtures (ASTM D560)</t>
  </si>
  <si>
    <t>Test, Soil-Cement, Moisture-Density</t>
  </si>
  <si>
    <t>Moisture-Density Test for Soil-Cement Mixtures (ASTM D558)</t>
  </si>
  <si>
    <t>Test, Soil-Cement, Wetting and Drying Test</t>
  </si>
  <si>
    <t>Wetting and Drying Test for Compacted Soil-Cement Mixtures (ASTM D559)</t>
  </si>
  <si>
    <t>Test, Standard Water Test, Irrigation Suitability</t>
  </si>
  <si>
    <t>Irrigation water suitability lab analysis. Includes pH, alkalinity, carbonates/bicarbonates, EC, dissolved solids, B, Cl, Ca, Mg, Na, SAR, and hardness.</t>
  </si>
  <si>
    <t>Test, Standard Water Test, Well Water</t>
  </si>
  <si>
    <t>Domestic Well Water Suitability</t>
  </si>
  <si>
    <t>Testing, Electro-Magnetic Induction (EMI) Survey and Evaluation (EM38, Dual-EM, or Dual Dipole)</t>
  </si>
  <si>
    <t>Electro-Magnetic Induction (EMI) Survey and Evaluation (EM38, Dual-EM, or Dual Dipole) inlcuding ESAP analysis of data and report.  Inlcudes labor and equipment.</t>
  </si>
  <si>
    <t>Testing, Piezometer Tubes, water table measurement</t>
  </si>
  <si>
    <t>Piezometer Tubes to Measure Water Table Elevation.  Inlcudes, materials labor and equipment to install</t>
  </si>
  <si>
    <t>Testing, soil sampling and EC analysis, bore hole</t>
  </si>
  <si>
    <t>" Collecting and testing 5 soil samples per 60"" bore hole.  Inclueds EC measurements. Includes equipment and labor."</t>
  </si>
  <si>
    <t>Thermal blanket  10,001 - 50,000 square foot</t>
  </si>
  <si>
    <t>Thermal blanket greenhouse screens: mechanical energy screen system consists of a drive motor, support cables, controls, and shade material, which may be woven, knitted, or non-woven.  Size Range is 10,001 to 50,000 square feet. Materials only.</t>
  </si>
  <si>
    <t>Thermal blanket &gt; 50,000 square foot</t>
  </si>
  <si>
    <t>Thermal blanket greenhouse screens: mechanical energy screen system consists of a drive motor, support cables, controls, and shade material, which may be woven, knitted, or non-woven.  Size range is greater than 50,000 square feet. Materials only.</t>
  </si>
  <si>
    <t>Thermal blanket, ≤ 10,000 square foot</t>
  </si>
  <si>
    <t>Thermal blanket greenhouse screens: mechanical energy screen system consists of a drive motor, support cables, controls, and shade material, which may be woven, knitted, or non-woven.  Size range is less than 10,000 square feet.  Materials only.</t>
  </si>
  <si>
    <t>Thickspike Wheatgrass (Elymus lanceolatus)</t>
  </si>
  <si>
    <t>Timothy (Phleum pratense)</t>
  </si>
  <si>
    <t>Toxicant, Rotenone</t>
  </si>
  <si>
    <t>Piscicide used for controlling invasive fish species</t>
  </si>
  <si>
    <t>Trail Marker</t>
  </si>
  <si>
    <t>Carsonite CRM375 fiberglass utility marker or equivalent, 66” tall by 3.5” wide, available with custom 3”x3” reflective decal applied</t>
  </si>
  <si>
    <t>Trash Guard, metal</t>
  </si>
  <si>
    <t>Trash Guard, fabricated-steel, includes materials, equipment, and labor to transport and place Conical shaped trash guard for drop inlet spillway.  Typically fabricated of CMP and steel.  Includes materials, equipment, and labor to fabricate and transport</t>
  </si>
  <si>
    <t>Tree Marking Paint</t>
  </si>
  <si>
    <t>Trees to be cut through tree marking are physically identified through the application of paint on the tree. Typically one quart of paint is used to mark one acre of trees.</t>
  </si>
  <si>
    <t>Tree or shrub seedling, Tropical, native or non-native, 1 gal</t>
  </si>
  <si>
    <t>tree or shrub topical seedling, native or non-native, 1 gallon pot.  Materials only.</t>
  </si>
  <si>
    <t>Tree or shrub seedling, Tropical, native or non-native, 1 qt.</t>
  </si>
  <si>
    <t>Tree or shrub tropical seedling, native or non-native, 1 quart pot size.  Materials only.</t>
  </si>
  <si>
    <t>Tree or shrub seedling, Tropical, native or non-native, 1/2 gal</t>
  </si>
  <si>
    <t>tree or shrub topical seedling, native or non-native, 1/2 gallon pot.  Materials only.</t>
  </si>
  <si>
    <t>Tree or shrub seedling, Tropical, native or non-native, 2-3 gal</t>
  </si>
  <si>
    <t>tree or shrub topical seedling, native or non-native, 2-3gallon pot.  Materials only.</t>
  </si>
  <si>
    <t>Tree or shrub seedling, Tropical, native, bare root</t>
  </si>
  <si>
    <t>Tree or shrub, tropical, native, bare root. Materials only.</t>
  </si>
  <si>
    <t>Tree or shrub seedling, Tropical, native, containerized, 10 cu in</t>
  </si>
  <si>
    <t>"tree or shrub tropical seedling, native, containerized, 10 cubic in size,  1.7"" x 6.0"".  Materials only."</t>
  </si>
  <si>
    <t>Tree or shrub seedling, Tropical, native, containerized, 15 cu in</t>
  </si>
  <si>
    <t>"tree or shrub tropical seedling, native, containerized, 15 cubic in size, 2.0"" x 6.0"".  Materials only."</t>
  </si>
  <si>
    <t>Tree or shrub seedling, Tropical, native, containerized, 4 cu in</t>
  </si>
  <si>
    <t>"tree or shrub tropical seedling, native, containerized, 4 cubic in size, 1.1"" x 5.2"".  Materials only."</t>
  </si>
  <si>
    <t>Tree or shrub seedling, Tropical, native, containerized, 6 cu in</t>
  </si>
  <si>
    <t>"tree or shrub tropical seedling, native, containerized, 6 cubic in size, 1.4"" x 4.6"".  Materials only."</t>
  </si>
  <si>
    <t>Tree or shrub seedling, Tropical, native, containerized, 8 cu in</t>
  </si>
  <si>
    <t>"tree or shrub tropical seedling, native, containerized, 8 cubic in size, 1.5"" x 6.0"".  Materials only."</t>
  </si>
  <si>
    <t>Tree or shrub seedling, Tropical, non-native, bare root</t>
  </si>
  <si>
    <t>Tree or shrub, tropical, non-native, bare root. Materials only.</t>
  </si>
  <si>
    <t>Tree or shrub seedling, Tropical, non-native, containerized, 10 cu in</t>
  </si>
  <si>
    <t>"tree or shrub tropical seedling, non-native, containerized, 10 cubic in size, 1.7"" x 6.0"".  Materials only."</t>
  </si>
  <si>
    <t>Tree or shrub seedling, Tropical, non-native, containerized, 15 cu in</t>
  </si>
  <si>
    <t>"tree or shrub tropical seedling, non-native, containerized, 15 cubic in size, 2.0"" x 6.0"".  Materials only."</t>
  </si>
  <si>
    <t>Tree or shrub seedling, Tropical, non-native, containerized, 4 cu in</t>
  </si>
  <si>
    <t>"tree or shrub tropical seedling, non-native, containerized, 4 cubic in size, 1.1"" x 5.2"".  Materials only."</t>
  </si>
  <si>
    <t>Tree or shrub seedling, Tropical, non-native, containerized, 6 cu in</t>
  </si>
  <si>
    <t>"tree or shrub tropical seedling, non-native, containerized, 6 cubic in size, 1.4"" x 4.6"".  Materials only."</t>
  </si>
  <si>
    <t>Tree or shrub seedling, Tropical, non-native, containerized, 8 cu in</t>
  </si>
  <si>
    <t>"tree or shrub tropical seedling, non-native, containerized, 8 cubic in size, 1.5"" x 6.0"".  Materials only."</t>
  </si>
  <si>
    <t>Tree or Shrub, band pots, common species</t>
  </si>
  <si>
    <t>Band pots of common species trees or shrubs (e.g. Crabapple). Materials and shipping.</t>
  </si>
  <si>
    <t>Tree or Shrub, band pots, less common species</t>
  </si>
  <si>
    <t>Band pots of less common species trees or shrubs (e.g. Siberian Larch ). Materials only.</t>
  </si>
  <si>
    <t>Tree shelter, wire mesh</t>
  </si>
  <si>
    <t>"5 feet tall, Woven Wire mesh, 6""x 6"" opening or smaller, 10 gauge wire (minimum) , cage placed around seedling for animal protection.  Materials only."</t>
  </si>
  <si>
    <t>Tree wrap</t>
  </si>
  <si>
    <t>Tree wrap bole for protection from freezing and animal damage. Materials only.</t>
  </si>
  <si>
    <t>Tree, conifer, seedling or transplant, potted or B&amp;B, 2-3 gal.</t>
  </si>
  <si>
    <t>Potted or balled and burlapped conifer tree, 2-3 gal. Materials only.</t>
  </si>
  <si>
    <t>Tree, conifer, seedling or transplant, potted or B&amp;B, 5 gal.</t>
  </si>
  <si>
    <t>Potted or balled and burlapped conifer tree, 5 gal. Materials only.</t>
  </si>
  <si>
    <t>Tree, conifer, seedling or transplant, potted, 1 gal.</t>
  </si>
  <si>
    <t>Potted conifer, 1 gal. Materials only.</t>
  </si>
  <si>
    <t>Tree, conifer, seedling or transplant, potted, 1 qt.</t>
  </si>
  <si>
    <t>Potted conifer tree, 1 quart. Materials only.</t>
  </si>
  <si>
    <t>Tree, conifer, seedling or transplant, potted, 1/2 gal.</t>
  </si>
  <si>
    <t>Potted conifer tree, 1/2 gallon. Materials only.</t>
  </si>
  <si>
    <t>Tree, conifer, seedling, bare root, 1-0</t>
  </si>
  <si>
    <t>Bare root conifer trees,  1-0 (1 year old). Materials only.</t>
  </si>
  <si>
    <t>Tree, conifer, seedling, bare root, 1-1</t>
  </si>
  <si>
    <t>Bare root conifer trees,  1-1 (2 years old). Materials only.</t>
  </si>
  <si>
    <t>Tree, conifer, seedling, bare root, 2-0</t>
  </si>
  <si>
    <t>Bare root conifer trees, 2-0 (2 years old).  Materials and Shipping included.</t>
  </si>
  <si>
    <t>Tree, conifer, seedling, bare root, 2-1</t>
  </si>
  <si>
    <t>Bare root conifer trees,  2-1 (3 years old). Materials only.</t>
  </si>
  <si>
    <t>Tree, conifer, seedling, bare root, 3-0</t>
  </si>
  <si>
    <t>Bare root conifer trees,  3-0 (3 years old). Materials only.</t>
  </si>
  <si>
    <t>Tree, conifer, seedling, containerized, 10 cu. in.</t>
  </si>
  <si>
    <t>"Containerized conifer stock, 10 cubic inches (approx 6"" plug), 1.7"" x 6""). Materials and shipping."</t>
  </si>
  <si>
    <t>Tree, conifer, seedling, containerized, 15 cu. in.</t>
  </si>
  <si>
    <t>"Containerized conifer  stock, 15 cubic inches (e.g. 2.0"" x 6""). Materials and shipping."</t>
  </si>
  <si>
    <t>Tree, conifer, seedling, containerized, 20 cu. in.</t>
  </si>
  <si>
    <t>"Containerized conifer stock, 20 cubic inches (e.g. ""Styro 45"" plug), 2.4"" x 6"". Materials and shipping."</t>
  </si>
  <si>
    <t>Tree, conifer, seedling, containerized, 4 cu. in.</t>
  </si>
  <si>
    <t>"Containerized conifer stock, 4 cubic inches (e.g., ""4a"" plug), 1.1"" x 5.2"". Materials and shipping."</t>
  </si>
  <si>
    <t>Tree, conifer, seedling, containerized, 6 cu. in.</t>
  </si>
  <si>
    <t>"Containerized conifer stock, 6 cubic inches (e.g., ""multipot"" plug), 1.4"" x 4.6"". Materials and shipping."</t>
  </si>
  <si>
    <t>Tree, conifer, seedling, containerized, 8 cu. in.</t>
  </si>
  <si>
    <t>"Containerized conifer stock, 8 cubic inches (e.g. 1.5"" x 6""). Materials and shipping."</t>
  </si>
  <si>
    <t>Tree, hardwood, seedling or transplant, potted or B&amp;B, 2-3 gal.</t>
  </si>
  <si>
    <t>Potted or balled and burlapped hardwood tree, 2-3 gal. Materials only.</t>
  </si>
  <si>
    <t>Tree, hardwood, seedling or transplant, potted or B&amp;B, 5 gal.</t>
  </si>
  <si>
    <t>Potted or balled and burlapped hardwood tree, 5 gal. Materials only.</t>
  </si>
  <si>
    <t>Tree, hardwood, seedling or transplant, potted, 1 gal.</t>
  </si>
  <si>
    <t>Potted hardwood tree, 1 gal. Materials only.</t>
  </si>
  <si>
    <t>Tree, hardwood, seedling or transplant, potted, 1 qt.</t>
  </si>
  <si>
    <t>Potted hardwood tree, 1 quart. Materials only.</t>
  </si>
  <si>
    <t>Tree, hardwood, seedling or transplant, potted, 1/2 gal.</t>
  </si>
  <si>
    <t>Potted hardwood tree, 1/2 gallon. Materials only.</t>
  </si>
  <si>
    <t>Tree, willow</t>
  </si>
  <si>
    <t>"Willow tree for planting, 18"" to 36"" seedling.  Materials only."</t>
  </si>
  <si>
    <t>Trees and shrubs, seed</t>
  </si>
  <si>
    <t>Tree or shrub seed, e.g., acorns, to establish trees.  Materials only.</t>
  </si>
  <si>
    <t>Triticale (Triticosecale rimpaui)</t>
  </si>
  <si>
    <t>Turf reinforcement mat</t>
  </si>
  <si>
    <t>Synthetic turf reinforcement mat with staple anchoring.  Includes materials, equipment and labor.</t>
  </si>
  <si>
    <t>Turnips (Brassica rapa var. rapa)</t>
  </si>
  <si>
    <t>Upright Coneflower (Ratibida columnifera)</t>
  </si>
  <si>
    <t>Valve, Air Vacuum Release, Continuous</t>
  </si>
  <si>
    <t>"Materials for &lt;2"" Automatic Air/Vacuum Relief Valve (3 - Way Air Vac)"</t>
  </si>
  <si>
    <t>Valve, Air Vacuum Release, Manual</t>
  </si>
  <si>
    <t>"Materials for &lt;2"" Manual Air/Vacuum Relief Valve"</t>
  </si>
  <si>
    <t>Valve, distribution</t>
  </si>
  <si>
    <t>Sequencing valve, 4 or 6 way, for pressure dosing wastewater.  Materials only.</t>
  </si>
  <si>
    <t>Valve, Pressure Relief</t>
  </si>
  <si>
    <t>"Materials for &lt;2""  Pressure Relief Valve"</t>
  </si>
  <si>
    <t>Valve, Safety, Shut off valve for liquid storage tank</t>
  </si>
  <si>
    <t>"Shut off valve for liquid storage tank. Typical 12"" diameter. Materials and shipping only."</t>
  </si>
  <si>
    <t>Valve, V-notch Gate Valve</t>
  </si>
  <si>
    <t>"V-notch Gate Valve used to throttle low liquid manure flows without plugging typical diameter of 12"".  Materials only."</t>
  </si>
  <si>
    <t>Variable Speed Drive, 10 HP</t>
  </si>
  <si>
    <t>Variable speed drive for 10 Horsepower electric motor.  Does not include motor. Materials only.</t>
  </si>
  <si>
    <t>Variable Speed Drive, 100 HP</t>
  </si>
  <si>
    <t>Variable speed drive for 100 Horsepower electric motor.  Does not include motor. Materials only.</t>
  </si>
  <si>
    <t>Variable Speed Drive, 200 HP</t>
  </si>
  <si>
    <t>Variable speed drive for 200 Horsepower electric motor.  Does not include motor. Materials only.</t>
  </si>
  <si>
    <t>Variable Speed Drive, 50 HP</t>
  </si>
  <si>
    <t>Variable speed drive for 50 Horsepower electric motor.  Does not include motor. Materials only.</t>
  </si>
  <si>
    <t>Vetiver Grass, plug</t>
  </si>
  <si>
    <t>Introduced Perennial Grasses established as plugs. Materials only.</t>
  </si>
  <si>
    <t>Vetiver Grass, slips</t>
  </si>
  <si>
    <t>Introduced Perennial Grasses.  Sold as slips.  Material and shipping cost included.</t>
  </si>
  <si>
    <t>Vibratory or Rotating Screen</t>
  </si>
  <si>
    <t>Vibratory or Rotating Screen, includes materials, shipping and equipment.</t>
  </si>
  <si>
    <t>Vinyl Undersill Strips</t>
  </si>
  <si>
    <t>"Marking material using the ""undersill"" strips of vinyl siding made by Georgia Pacific.  Priced per foot of fence per each wire.  Materials only."</t>
  </si>
  <si>
    <t>Virginia Mountain Mint (Pycnanthemum virginianum)</t>
  </si>
  <si>
    <t>Waste Storage, Glass lined steel structure (&lt;25,000 ft3)</t>
  </si>
  <si>
    <t>Includes materials, equipment and labor to install 31' (diameter) X19' (height) steel lined structure.  Includes materials, equipment and labor.</t>
  </si>
  <si>
    <t>Waste Storage, glass lined steel structure &gt;200,000 cubic foot</t>
  </si>
  <si>
    <t>Includes materials, equipment and labor to install a steel glass lined structure (based on typical 129' diameter X 19' height) .  Includes materials, equipment and labor.</t>
  </si>
  <si>
    <t>Waste Storage, glass lined steel structure, 100,000-200,000 cubic foot</t>
  </si>
  <si>
    <t>Includes materials, equipment and labor to install a steel glass lined structure (based on typical 112' diameter X 19' height) .  Includes materials, equipment and labor.</t>
  </si>
  <si>
    <t>Waste Storage, glass lined steel structure, 25,000 - 100,000 cubic foot</t>
  </si>
  <si>
    <t>Includes materials, equipment and labor to install a steel glass lined structure (based on typical 73' diameter X 19' height) .  Includes materials, equipment and labor.</t>
  </si>
  <si>
    <t>Water</t>
  </si>
  <si>
    <t>Purchased water typically used during tree planting.  Material cost only.</t>
  </si>
  <si>
    <t>Thousand Gallon</t>
  </si>
  <si>
    <t>Water Control Structure, Stoplog, Inline, fixed costs portion</t>
  </si>
  <si>
    <t>Fixed cost portion of Water Level Control Structure, Inline stoplog type. Typically made of PVC or fiberglass materials.  Fixed cost portion.  Materials only.</t>
  </si>
  <si>
    <t>Water Control Structure, Stoplog, Inline, variable cost portion</t>
  </si>
  <si>
    <t>Variable cost portion of a Water Level Control Structure, Inline stoplog type.  Typically made of PVC or fiberglass materials.  Calculate total variable costs by multiplying by the structure height x pipe diameter.  Materials only.</t>
  </si>
  <si>
    <t>Height x Diameter</t>
  </si>
  <si>
    <t>Water Level Control Structure, Inline, 1 Baffle</t>
  </si>
  <si>
    <t>"Inline Outlet WCS 6' High x 10"" Dia. connections, 1 baffle (2 compartments)"</t>
  </si>
  <si>
    <t>Water Level Control Valve, Inline</t>
  </si>
  <si>
    <t>"Automatic float valve for drainage pipes up to 8""dia.  To maintain head differential in flowing agricultural drains."</t>
  </si>
  <si>
    <t>Wattles or facines, 4 to 5 inch diameter</t>
  </si>
  <si>
    <t>"Facines, or wattles: bundles of live tree stems of species that sprout roots, bound together.  4""-5"" diameter.  Materials only."</t>
  </si>
  <si>
    <t>Wattles or facines, 6 to 8 inch diameter</t>
  </si>
  <si>
    <t>"Facines, or wattles: bundles of live tree stems of species that sprout roots, bound together.  6""-8"" diameter.  Materials only."</t>
  </si>
  <si>
    <t>Wattles or facines, 9 to 12 inch diameter</t>
  </si>
  <si>
    <t>"Facines, or wattles: bundles of live tree stems of species that sprout roots, bound together.  9""- 12"" diameter.  Materials only."</t>
  </si>
  <si>
    <t>Weather Station</t>
  </si>
  <si>
    <t>Portable device which collects site specific atmospheric and weather related measurements.</t>
  </si>
  <si>
    <t>Weeping Wall</t>
  </si>
  <si>
    <t xml:space="preserve"> Weeping wall or picket screen structure for solid settling basin. Materials only.</t>
  </si>
  <si>
    <t>Welded Bar Grate, metal</t>
  </si>
  <si>
    <t>"Heavy duty vertical bar welded grating, typically 1-1/4""x 3/16"" bars on 1"" spacing with cross rod on 4"" spacing. Materials only."</t>
  </si>
  <si>
    <t>Well Casing, Concrete</t>
  </si>
  <si>
    <t>Concrete tile 3' diameter x 8' long.  Materials only.</t>
  </si>
  <si>
    <t>Well Casing, Concrete, perforated</t>
  </si>
  <si>
    <t>Perforated concrete tile 3' diameter x 8' long.  Materials only.</t>
  </si>
  <si>
    <t>Western Ironweed (Vernonia fasciculata)</t>
  </si>
  <si>
    <t>Western Sunflower (Helianthus occidentalis)</t>
  </si>
  <si>
    <t>Western Wheatgrass (Pascopyrum smithii)</t>
  </si>
  <si>
    <t>Wheat, Winter (Triticum aestivum)</t>
  </si>
  <si>
    <t>White Wild Indigo (Baptisia lactea)</t>
  </si>
  <si>
    <t>Wild Begamot (Monarda fistulosa)</t>
  </si>
  <si>
    <t>Wild Rye, Canada (Elymus canadensis)</t>
  </si>
  <si>
    <t>Wild Rye, Virginia (Elymus virginicus)</t>
  </si>
  <si>
    <t>Wild Senna (Cassia hebecarpa)</t>
  </si>
  <si>
    <t>Wildlife Escape Ramp</t>
  </si>
  <si>
    <t>Pool size 15' x 30', for small mammals less than one pound</t>
  </si>
  <si>
    <t>Windmill, 10', fan diameter</t>
  </si>
  <si>
    <t>Includes materials costs for windmill head and 27’ tower</t>
  </si>
  <si>
    <t>Windmill, 12' or larger, fan diameter</t>
  </si>
  <si>
    <t>Windmill, 6 or 8', fan diameter</t>
  </si>
  <si>
    <t>Wire flags</t>
  </si>
  <si>
    <t>"Small vinyl flags attached to wire stakes, typically, 36"" in length, for marking tree rows"</t>
  </si>
  <si>
    <t>Wire Mesh Screen, galvanized, 1/16 in</t>
  </si>
  <si>
    <t>Wire Mesh Screen, galvanized, 1/16 inch grid spacing.  Materials only.</t>
  </si>
  <si>
    <t>Wire, Barbed, Galvanized, 12.5 Gauge, 1,320' roll</t>
  </si>
  <si>
    <t>Galvanized 12.5 gauge, 1,320' roll</t>
  </si>
  <si>
    <t>Wire, High Tensile, 12.5 Gauge, 4,000' roll</t>
  </si>
  <si>
    <t>High Tensile 12.5 gauge, 4,000' roll</t>
  </si>
  <si>
    <t>Wire, Polytape</t>
  </si>
  <si>
    <t>Wire, Polytape for electric fence.  Rolls of 655' to 825'.</t>
  </si>
  <si>
    <t>Wire, Polywire</t>
  </si>
  <si>
    <t>Wire, Polywire for electric fence - 1,300 roll.</t>
  </si>
  <si>
    <t>Mobilization, General labor</t>
  </si>
  <si>
    <t>Mobilization of general labor:  Ex. pipe layer, herder, concrete placement, materials spreader, flagger, etc.</t>
  </si>
  <si>
    <t>Mobilization, Heavy Equipment Operator</t>
  </si>
  <si>
    <t>Mobilization of heavy equipment operators:  Hydraulic Excavators &gt;=50 HP, Dozers, Paving Machines, Rock Trenchers, Trenchers &gt;=12”, Dump Trucks, Ag Equipment &gt;=150 HP, Scrapers, Water Wagons.</t>
  </si>
  <si>
    <t>Mobilization, large equipment</t>
  </si>
  <si>
    <t>Equipment &gt;150HP or typical weights greater than 30,000 pounds or loads requiring over width or over length permits.</t>
  </si>
  <si>
    <t>Mobilization, Light Equipment Operator</t>
  </si>
  <si>
    <t>Mobilization of light equipment operators: Skid Steer Loaders, Hydraulic Excavators  &lt;50 HP, Trenchers &lt;12”, Ag Equipment &lt;150 HP, Pickup Trucks, Forklifts, Mulchers</t>
  </si>
  <si>
    <t>Mobilization, Material, distance &gt; 50 miles</t>
  </si>
  <si>
    <t>Mobilization cost of materials for special cases where the distance from the supplier delivery point to the job site exceeds 50 miles. The costs for shipping by UPS or bulk freight shipping to a location within 50 miles of the job site have already been i</t>
  </si>
  <si>
    <t>Dollar</t>
  </si>
  <si>
    <t>Mobilization, medium equipment</t>
  </si>
  <si>
    <t>Equipment with 70-150 HP or typical weights between 14,000 and 30,000 pounds.</t>
  </si>
  <si>
    <t>Mobilization, Skilled labor</t>
  </si>
  <si>
    <t>Mobilization of skilled labor: Includes carpenters, welders, electricians, conservation professionals involved with data collection, monitoring, and or record keeping, etc.</t>
  </si>
  <si>
    <t>Mobilization, small equipment</t>
  </si>
  <si>
    <t>Equipment &lt;70 HP but can't be transported by a pick-up truck or with typical weights between 3,500 to 14,000 pounds.</t>
  </si>
  <si>
    <t>Mobilization, Specialist Labor</t>
  </si>
  <si>
    <t>Mobilization of Specialist Labor.  Includes Agronomists, Foresters, Biologists, etc.</t>
  </si>
  <si>
    <t>Mobilization, Supervisor or Manager</t>
  </si>
  <si>
    <t>Mobilization of supervisors or management.  Includes crew supervisors, foremen and farm/ranch managers, etc.</t>
  </si>
  <si>
    <t>Mobilization, very small equipment</t>
  </si>
  <si>
    <t>Equipment that is small enough to be transported by a pick-up truck with typical weights less than 3,500 pounds.  Can be multiple pieces of equipment if all hauled simultaneously.</t>
  </si>
  <si>
    <t>Analysis of site, make decisions, and document decisions &amp; actions, Farm Manager</t>
  </si>
  <si>
    <t>General Labor hand work and/or work with hand tools</t>
  </si>
  <si>
    <t>National Cost Data Team BLS data</t>
  </si>
  <si>
    <t>Skilled Labor. Includes carpenters, welders, electricians, plumbers</t>
  </si>
  <si>
    <t>Carpenter</t>
  </si>
  <si>
    <t>Welder</t>
  </si>
  <si>
    <t>Cement Finisher</t>
  </si>
  <si>
    <t>background data</t>
  </si>
  <si>
    <t>MI adj zip code ave is .923 of RS Means totals</t>
  </si>
  <si>
    <t>Specialist Labor, consultants, forester, biologist, etc.</t>
  </si>
  <si>
    <t>Equipment Operators, light (approx up to 100 HP construction equipement)</t>
  </si>
  <si>
    <t>Equipment Operators, Med-Heavy construction equipment</t>
  </si>
  <si>
    <t>RS Means 2012</t>
  </si>
  <si>
    <t>all RS Means MI zip adjusted</t>
  </si>
  <si>
    <t>RS Means2012</t>
  </si>
  <si>
    <t>Place and staple rolled erosion control mats and blankets</t>
  </si>
  <si>
    <t>RS Means 2012 adj zip</t>
  </si>
  <si>
    <t>Contingency, user defined, type percent amount</t>
  </si>
  <si>
    <t>RS Means average 2012 cacluated below</t>
  </si>
  <si>
    <t>Fence post auger, gas engine, hand held, rent equipment only</t>
  </si>
  <si>
    <t>Seeding, mechanical seeding, hydro or air seeding for large areas, includes seed, fertilizer and lime</t>
  </si>
  <si>
    <t>2011 MSUE Custom Rates</t>
  </si>
  <si>
    <t>Chisel - front disk including operator</t>
  </si>
  <si>
    <t>Planting, No-Till Drill includes operator</t>
  </si>
  <si>
    <t>Pest control - scouting</t>
  </si>
  <si>
    <t>Brush hogging</t>
  </si>
  <si>
    <t>Skid  Loader $75 to $130 per day</t>
  </si>
  <si>
    <t>Contingencies, 20% at conceptual stage</t>
  </si>
  <si>
    <t>Contingencies, 15% at schematic design stage</t>
  </si>
  <si>
    <t>Contingencies,10% at preliminary working drawings stage (Design Dev.)</t>
  </si>
  <si>
    <t>Contingencies, 3% at final working drawings stage</t>
  </si>
  <si>
    <t>Mobilization/demobilization, equipment on flatbed trailer behind pickup truck, round trip</t>
  </si>
  <si>
    <t>Mobilization/demobilization, small equipment placed in rear of, or towed by pickup, round trip</t>
  </si>
  <si>
    <t>Mobilization or demobilization, dozer, loader, backhoe or excavator, 70 H.P. to 150 H.P., up to 50 miles round trip</t>
  </si>
  <si>
    <t>Mobilization or demobilization, dozer, loader, backhoe or excavator, above 150 H.P., up to 50 miles round trip</t>
  </si>
  <si>
    <t>Shovel or dragline 1 1/2 CY, round trip</t>
  </si>
  <si>
    <t>Shovel or dragline 3/4 CY, round trip</t>
  </si>
  <si>
    <t xml:space="preserve">For over 50 miles round trip, each additional 5 miles haul distance, add 10% </t>
  </si>
  <si>
    <t>Removal of cut trees, brush dump charges</t>
  </si>
  <si>
    <t>Backfill, Dozer Compacting backfill, 6" to 12" lifts, vibrating roller</t>
  </si>
  <si>
    <t>Backfill, Dozer backfilling, bulk, up to 300' haul, no compaction</t>
  </si>
  <si>
    <t>Backhoe 1/2 C.Y. Bucket, common earth, including operator</t>
  </si>
  <si>
    <t>312316166030 -crew</t>
  </si>
  <si>
    <t>Backhoe 1/2 CY bucket, including operator</t>
  </si>
  <si>
    <t>B12E crew</t>
  </si>
  <si>
    <t>Trencher, chain trencher including operator digging 4ft deep trench and backfill</t>
  </si>
  <si>
    <t>Exccavating Trench or continuous footing, common earth, no sheeting or dewatering included, 1' to 4' deep 1/2 CY excavator.</t>
  </si>
  <si>
    <t>Dozer 200 HP, includes operator</t>
  </si>
  <si>
    <t>Crew B-10B</t>
  </si>
  <si>
    <t>Crew B-10W</t>
  </si>
  <si>
    <t>Dozer 105 HP, includes operator</t>
  </si>
  <si>
    <t>Crew B-10L</t>
  </si>
  <si>
    <t>Dozer 80 HP, includes operator</t>
  </si>
  <si>
    <t>Dozer, small, earth fill, excavation, bulk</t>
  </si>
  <si>
    <t>Excavation, common earth, hydraulic backhoe, 1/2 CY bucket</t>
  </si>
  <si>
    <t>Crew B-12E</t>
  </si>
  <si>
    <t>Crew B-12F</t>
  </si>
  <si>
    <t>Backhoe, Hydraulic and wheel mounted backhoe 3/4 CY bucket, includes operator</t>
  </si>
  <si>
    <t>Backhoe, Hydraulic and wheel mounted backhoe 1/2 CY bucket, includes operator</t>
  </si>
  <si>
    <t>Crew B7</t>
  </si>
  <si>
    <t>Crew B7 with chipper</t>
  </si>
  <si>
    <t>Cut and Chip Trees (RS Means) 2 chainsaws, 4 labors, 1 chipper, crawler loader &amp; operator, &amp; foreman</t>
  </si>
  <si>
    <t>3111100250A</t>
  </si>
  <si>
    <t>Clearing &amp; grubbing, orchard trees, cut and pile for burning</t>
  </si>
  <si>
    <t>Clearing vineyards to reomove pest harbor materials</t>
  </si>
  <si>
    <t>MSU Extension Estimate</t>
  </si>
  <si>
    <t>015433204900</t>
  </si>
  <si>
    <t>Trencher, chain, boom type, gas, operator walking, 12 H.P., rent cost per day</t>
  </si>
  <si>
    <t>Trencher, skid steer attachment, rent cost per day</t>
  </si>
  <si>
    <t>015433200550</t>
  </si>
  <si>
    <t>Brush Chipper, diesel engine, 12" cuttter head, 130 HP, rent per day</t>
  </si>
  <si>
    <t>015433200500</t>
  </si>
  <si>
    <t>Brush Chipper, gas engine, 6" cuttter head, 35 HP, rent per day</t>
  </si>
  <si>
    <t>015433201200</t>
  </si>
  <si>
    <t>Compactor, manually guided 2-drum vibratory smooth roller, 7.5 HP, rent per day</t>
  </si>
  <si>
    <t>Crew B10A</t>
  </si>
  <si>
    <t>Compation in 6" lifts, 1 roller, 2-drumn, walk behind, 7.5 HP and operator</t>
  </si>
  <si>
    <t>Compaction heavy fill backfill in 6" lifts with roller compator and operator walking</t>
  </si>
  <si>
    <t>Compaction backfill in 6 to 12" lifts, sheepsfoot or wobbly wheel roller</t>
  </si>
  <si>
    <t>Crew B10D</t>
  </si>
  <si>
    <t>Raking out cut materials with dozer and brush rack</t>
  </si>
  <si>
    <t>Hr</t>
  </si>
  <si>
    <t>Raking out cut materials with tractor and front end loader, inlcudes operator</t>
  </si>
  <si>
    <t>Skid Steer Loader with operator</t>
  </si>
  <si>
    <t>Crew B11W</t>
  </si>
  <si>
    <t>Grade and shape with small dozer (105HP) and/or track hoe includes operator</t>
  </si>
  <si>
    <t>Crew B11M</t>
  </si>
  <si>
    <t>Backhoe Loader, 80 HP, includes operator</t>
  </si>
  <si>
    <t>Grading and Shaping site, small dozer, includes operator</t>
  </si>
  <si>
    <t>Mulching, straw 1 " deep, hand spread</t>
  </si>
  <si>
    <t>Bentonite, granular, 50 lb. bags (.625 C.F.) by Cu Ft.</t>
  </si>
  <si>
    <t>07171 310 0300 cf</t>
  </si>
  <si>
    <t>03310 535 1520</t>
  </si>
  <si>
    <t>For short load (less than 4 C.Y.), add per load</t>
  </si>
  <si>
    <t>040513950020</t>
  </si>
  <si>
    <t>040513950200</t>
  </si>
  <si>
    <t>Sand, screened and washed at pit per Cu Yd</t>
  </si>
  <si>
    <t>Sand, screened and washed at pit per ton</t>
  </si>
  <si>
    <t>Sand, spread with 200H.P. dozer, no compaction</t>
  </si>
  <si>
    <t>Jenson Bridge &amp; Supply Co., Michigan Precast Concrete Co. Kawkawlin, MI</t>
  </si>
  <si>
    <t>Sodding, includes labor and materials, small sites up to 4000 sq ft</t>
  </si>
  <si>
    <t>03305340 4770</t>
  </si>
  <si>
    <t>03305340 4820</t>
  </si>
  <si>
    <t>S. F.</t>
  </si>
  <si>
    <t>Concrete poured in place, Flat work, 6" thick by Cu Yd</t>
  </si>
  <si>
    <t>Concrete poured in place, Flat work, 6" thick by Sq Ft</t>
  </si>
  <si>
    <t>03211060 0600</t>
  </si>
  <si>
    <t>32901913 1000</t>
  </si>
  <si>
    <t>32901913 1100</t>
  </si>
  <si>
    <t>Hydro or Air seeding, includes seed &amp; fertilizer materials, equipment, and labor, custom contractor</t>
  </si>
  <si>
    <t>Hydro or Air seeding, includes seed, fertilizer, and mulch materials, equipment, and labor, custom contractor</t>
  </si>
  <si>
    <t>32921913 0100</t>
  </si>
  <si>
    <t>Seeding small sites distrubed during construction, Seed &amp; Fertilizer, includes seedbed prep</t>
  </si>
  <si>
    <t>Roller Crimper for termination of cover crop with out chemicals</t>
  </si>
  <si>
    <t>bu.</t>
  </si>
  <si>
    <t>No Contingency</t>
  </si>
  <si>
    <t>2012 U of MN Extension</t>
  </si>
  <si>
    <t>Prairie Grass Drill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</si>
</sst>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7" formatCode="&quot;$&quot;#,##0.00_);\(&quot;$&quot;#,##0.00\)"/>
    <numFmt numFmtId="44" formatCode="_(&quot;$&quot;* #,##0.00_);_(&quot;$&quot;* \(#,##0.00\);_(&quot;$&quot;* &quot;-&quot;??_);_(@_)"/>
    <numFmt numFmtId="164" formatCode="&quot;$&quot;#,##0.00"/>
    <numFmt numFmtId="165" formatCode="&quot;$&quot;#,##0.000"/>
    <numFmt numFmtId="166" formatCode="m/d/yy;@"/>
    <numFmt numFmtId="167" formatCode="0.0"/>
    <numFmt numFmtId="168" formatCode="[$$]#,##0.00;\([$$]#,##0.00\)"/>
    <numFmt numFmtId="169" formatCode="#,##0.0"/>
  </numFmts>
  <fonts count="42" x14ac:knownFonts="1">
    <font>
      <sz val="10"/>
      <name val="Arial"/>
    </font>
    <font>
      <sz val="10"/>
      <name val="Arial"/>
      <family val="2"/>
    </font>
    <font>
      <sz val="10"/>
      <name val="Arial"/>
      <family val="2"/>
    </font>
    <font>
      <sz val="10"/>
      <name val="Times New Roman"/>
      <family val="1"/>
    </font>
    <font>
      <b/>
      <sz val="10"/>
      <name val="Arial"/>
      <family val="2"/>
    </font>
    <font>
      <b/>
      <sz val="10"/>
      <name val="Times New Roman"/>
      <family val="1"/>
    </font>
    <font>
      <sz val="8"/>
      <name val="Arial"/>
      <family val="2"/>
    </font>
    <font>
      <sz val="9"/>
      <name val="Arial"/>
      <family val="2"/>
    </font>
    <font>
      <b/>
      <sz val="9"/>
      <name val="Times New Roman"/>
      <family val="1"/>
    </font>
    <font>
      <sz val="9"/>
      <name val="Times New Roman"/>
      <family val="1"/>
    </font>
    <font>
      <sz val="9"/>
      <color indexed="0"/>
      <name val="Times New Roman"/>
      <family val="1"/>
    </font>
    <font>
      <sz val="9"/>
      <color indexed="0"/>
      <name val="Arial"/>
      <family val="2"/>
    </font>
    <font>
      <b/>
      <sz val="9"/>
      <name val="Arial"/>
      <family val="2"/>
    </font>
    <font>
      <b/>
      <sz val="12"/>
      <name val="Arial"/>
      <family val="2"/>
    </font>
    <font>
      <sz val="9"/>
      <color indexed="17"/>
      <name val="Arial"/>
      <family val="2"/>
    </font>
    <font>
      <b/>
      <u/>
      <sz val="10"/>
      <name val="Arial"/>
      <family val="2"/>
    </font>
    <font>
      <b/>
      <sz val="9"/>
      <color indexed="57"/>
      <name val="Arial"/>
      <family val="2"/>
    </font>
    <font>
      <b/>
      <u/>
      <sz val="9"/>
      <name val="Arial"/>
      <family val="2"/>
    </font>
    <font>
      <sz val="10"/>
      <name val="Century Gothic"/>
      <family val="2"/>
    </font>
    <font>
      <sz val="9"/>
      <name val="Century Gothic"/>
      <family val="2"/>
    </font>
    <font>
      <sz val="8"/>
      <name val="Century Gothic"/>
      <family val="2"/>
    </font>
    <font>
      <sz val="10"/>
      <name val="Arial"/>
      <family val="2"/>
    </font>
    <font>
      <b/>
      <sz val="8"/>
      <name val="MS Sans Serif"/>
      <family val="2"/>
    </font>
    <font>
      <sz val="8"/>
      <name val="Arial"/>
      <family val="2"/>
    </font>
    <font>
      <b/>
      <sz val="8"/>
      <name val="Arial"/>
      <family val="2"/>
    </font>
    <font>
      <sz val="12"/>
      <name val="Arial"/>
      <family val="2"/>
    </font>
    <font>
      <sz val="12"/>
      <name val="Arial"/>
      <family val="2"/>
    </font>
    <font>
      <sz val="10"/>
      <name val="Arial"/>
      <family val="2"/>
    </font>
    <font>
      <sz val="10"/>
      <name val="Arial"/>
      <family val="2"/>
    </font>
    <font>
      <sz val="10"/>
      <color indexed="8"/>
      <name val="Arial"/>
      <family val="2"/>
    </font>
    <font>
      <b/>
      <sz val="10"/>
      <color indexed="8"/>
      <name val="Arial"/>
      <family val="2"/>
    </font>
    <font>
      <b/>
      <sz val="10"/>
      <color indexed="8"/>
      <name val="Arial"/>
      <family val="2"/>
    </font>
    <font>
      <sz val="9"/>
      <color indexed="8"/>
      <name val="Arial"/>
      <family val="2"/>
    </font>
    <font>
      <sz val="8"/>
      <color indexed="8"/>
      <name val="Arial"/>
      <family val="2"/>
    </font>
    <font>
      <b/>
      <sz val="8"/>
      <color indexed="8"/>
      <name val="Arial"/>
      <family val="2"/>
    </font>
    <font>
      <sz val="8"/>
      <color theme="1"/>
      <name val="Arial"/>
      <family val="2"/>
    </font>
    <font>
      <b/>
      <sz val="16"/>
      <color rgb="FF2C69B2"/>
      <name val="Arial"/>
      <family val="2"/>
    </font>
    <font>
      <u/>
      <sz val="10"/>
      <name val="Arial"/>
      <family val="2"/>
    </font>
    <font>
      <b/>
      <sz val="16"/>
      <name val="Arial"/>
      <family val="2"/>
    </font>
    <font>
      <sz val="8"/>
      <color indexed="81"/>
      <name val="Tahoma"/>
      <family val="2"/>
    </font>
    <font>
      <b/>
      <sz val="8"/>
      <color indexed="81"/>
      <name val="Tahoma"/>
      <family val="2"/>
    </font>
    <font>
      <sz val="10"/>
      <name val="Arial"/>
      <family val="2"/>
    </font>
  </fonts>
  <fills count="15">
    <fill>
      <patternFill patternType="none"/>
    </fill>
    <fill>
      <patternFill patternType="gray125"/>
    </fill>
    <fill>
      <patternFill patternType="solid">
        <fgColor indexed="45"/>
        <bgColor indexed="64"/>
      </patternFill>
    </fill>
    <fill>
      <patternFill patternType="solid">
        <fgColor indexed="41"/>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22"/>
        <bgColor indexed="64"/>
      </patternFill>
    </fill>
    <fill>
      <patternFill patternType="solid">
        <fgColor rgb="FFFFFFCC"/>
        <bgColor indexed="64"/>
      </patternFill>
    </fill>
    <fill>
      <patternFill patternType="solid">
        <fgColor rgb="FF2E46BC"/>
        <bgColor indexed="64"/>
      </patternFill>
    </fill>
    <fill>
      <patternFill patternType="solid">
        <fgColor theme="0"/>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auto="1"/>
      </left>
      <right/>
      <top style="medium">
        <color auto="1"/>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s>
  <cellStyleXfs count="3">
    <xf numFmtId="0" fontId="0" fillId="0" borderId="0"/>
    <xf numFmtId="0" fontId="27" fillId="0" borderId="0"/>
    <xf numFmtId="44" fontId="41" fillId="0" borderId="0" applyFont="0" applyFill="0" applyBorder="0" applyAlignment="0" applyProtection="0"/>
  </cellStyleXfs>
  <cellXfs count="569">
    <xf numFmtId="0" fontId="0" fillId="0" borderId="0" xfId="0"/>
    <xf numFmtId="0" fontId="3" fillId="0" borderId="0" xfId="0" applyFont="1" applyFill="1" applyAlignment="1">
      <alignment horizontal="left" vertical="top" wrapText="1"/>
    </xf>
    <xf numFmtId="0" fontId="3" fillId="0" borderId="0" xfId="0" applyFont="1" applyAlignment="1">
      <alignment horizontal="left" vertical="top" wrapText="1"/>
    </xf>
    <xf numFmtId="0" fontId="3" fillId="0" borderId="0" xfId="0" applyFont="1" applyFill="1" applyAlignment="1">
      <alignment horizontal="left" vertical="justify" wrapText="1"/>
    </xf>
    <xf numFmtId="0" fontId="3" fillId="0" borderId="0" xfId="0" applyFont="1" applyAlignment="1">
      <alignment wrapText="1"/>
    </xf>
    <xf numFmtId="0" fontId="3" fillId="0" borderId="0" xfId="0" applyFont="1" applyFill="1" applyAlignment="1">
      <alignment vertical="top" wrapText="1"/>
    </xf>
    <xf numFmtId="0" fontId="3" fillId="0" borderId="0" xfId="0" quotePrefix="1" applyFont="1" applyFill="1" applyAlignment="1">
      <alignment horizontal="left" vertical="top" wrapText="1"/>
    </xf>
    <xf numFmtId="0" fontId="3" fillId="0" borderId="0" xfId="0" applyFont="1" applyAlignment="1">
      <alignment horizontal="left" wrapText="1"/>
    </xf>
    <xf numFmtId="0" fontId="3" fillId="0" borderId="0" xfId="0" applyFont="1" applyAlignment="1">
      <alignment horizontal="left" vertical="center"/>
    </xf>
    <xf numFmtId="0" fontId="3" fillId="0" borderId="0" xfId="0" applyFont="1" applyFill="1" applyAlignment="1">
      <alignment wrapText="1"/>
    </xf>
    <xf numFmtId="0" fontId="3" fillId="0" borderId="0" xfId="0" applyFont="1" applyAlignment="1">
      <alignment horizontal="left" vertical="center" wrapText="1"/>
    </xf>
    <xf numFmtId="0" fontId="3" fillId="0" borderId="0" xfId="0" applyFont="1" applyAlignment="1">
      <alignment horizontal="left" vertical="justify" wrapText="1"/>
    </xf>
    <xf numFmtId="0" fontId="5" fillId="0" borderId="0" xfId="0" applyFont="1" applyAlignment="1">
      <alignment horizontal="left" vertical="justify" wrapText="1"/>
    </xf>
    <xf numFmtId="164" fontId="3" fillId="0" borderId="0" xfId="0" applyNumberFormat="1" applyFont="1" applyAlignment="1">
      <alignment horizontal="center"/>
    </xf>
    <xf numFmtId="164" fontId="3" fillId="0" borderId="0" xfId="0" applyNumberFormat="1" applyFont="1" applyAlignment="1">
      <alignment horizontal="center" wrapText="1"/>
    </xf>
    <xf numFmtId="164" fontId="5" fillId="0" borderId="0" xfId="0" applyNumberFormat="1" applyFont="1" applyAlignment="1">
      <alignment horizontal="center" wrapText="1"/>
    </xf>
    <xf numFmtId="0" fontId="2" fillId="0" borderId="0" xfId="0" applyFont="1" applyAlignment="1">
      <alignment horizontal="left" wrapText="1"/>
    </xf>
    <xf numFmtId="0" fontId="2" fillId="0" borderId="0" xfId="0" applyFont="1" applyFill="1" applyAlignment="1">
      <alignment horizontal="left" vertical="top" wrapText="1"/>
    </xf>
    <xf numFmtId="0" fontId="4" fillId="0" borderId="0" xfId="0" applyFont="1"/>
    <xf numFmtId="0" fontId="4" fillId="0" borderId="0" xfId="0" applyFont="1" applyAlignment="1">
      <alignment horizontal="center" vertical="justify" wrapText="1"/>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164" fontId="4" fillId="0" borderId="1" xfId="0" applyNumberFormat="1" applyFont="1" applyBorder="1" applyAlignment="1">
      <alignment horizontal="center" vertical="center" wrapText="1"/>
    </xf>
    <xf numFmtId="164" fontId="3" fillId="0" borderId="0" xfId="0" applyNumberFormat="1" applyFont="1" applyAlignment="1">
      <alignment horizontal="center" vertical="center"/>
    </xf>
    <xf numFmtId="164" fontId="2" fillId="0" borderId="0" xfId="0" applyNumberFormat="1" applyFont="1" applyFill="1" applyAlignment="1">
      <alignment horizontal="left" vertical="top"/>
    </xf>
    <xf numFmtId="49" fontId="7" fillId="0" borderId="0" xfId="0" applyNumberFormat="1" applyFont="1" applyAlignment="1">
      <alignment horizontal="center" vertical="center" wrapText="1"/>
    </xf>
    <xf numFmtId="0" fontId="9" fillId="0" borderId="0" xfId="0" applyFont="1" applyFill="1" applyAlignment="1">
      <alignment horizontal="left" vertical="top" wrapText="1"/>
    </xf>
    <xf numFmtId="0" fontId="9" fillId="0" borderId="0" xfId="0" quotePrefix="1" applyFont="1" applyFill="1" applyAlignment="1">
      <alignment horizontal="left" vertical="top" wrapText="1"/>
    </xf>
    <xf numFmtId="0" fontId="9" fillId="0" borderId="0" xfId="0" applyFont="1" applyAlignment="1">
      <alignment horizontal="left" vertical="top" wrapText="1"/>
    </xf>
    <xf numFmtId="0" fontId="9" fillId="0" borderId="0" xfId="0" applyFont="1" applyFill="1" applyBorder="1" applyAlignment="1">
      <alignment horizontal="left" vertical="top" wrapText="1"/>
    </xf>
    <xf numFmtId="164" fontId="9" fillId="0" borderId="0" xfId="0" applyNumberFormat="1" applyFont="1" applyFill="1" applyBorder="1" applyAlignment="1">
      <alignment horizontal="center" vertical="top" wrapText="1"/>
    </xf>
    <xf numFmtId="0" fontId="9" fillId="0" borderId="0" xfId="0" applyFont="1" applyFill="1" applyAlignment="1">
      <alignment horizontal="center" vertical="top" wrapText="1"/>
    </xf>
    <xf numFmtId="164" fontId="9" fillId="0" borderId="0" xfId="0" applyNumberFormat="1" applyFont="1" applyFill="1" applyAlignment="1">
      <alignment horizontal="center" vertical="top" wrapText="1"/>
    </xf>
    <xf numFmtId="0" fontId="9" fillId="0" borderId="0" xfId="0" applyFont="1" applyFill="1" applyBorder="1" applyAlignment="1">
      <alignment horizontal="center" vertical="top" wrapText="1"/>
    </xf>
    <xf numFmtId="0" fontId="9" fillId="0" borderId="0" xfId="0" applyFont="1" applyAlignment="1">
      <alignment horizontal="center" vertical="top" wrapText="1"/>
    </xf>
    <xf numFmtId="0" fontId="9" fillId="0" borderId="0" xfId="0" applyFont="1" applyAlignment="1" applyProtection="1">
      <alignment horizontal="left" vertical="top" wrapText="1"/>
    </xf>
    <xf numFmtId="0" fontId="9" fillId="0" borderId="0" xfId="0" applyFont="1" applyAlignment="1" applyProtection="1">
      <alignment horizontal="center" vertical="top" wrapText="1"/>
    </xf>
    <xf numFmtId="164" fontId="9" fillId="0" borderId="0" xfId="0" applyNumberFormat="1" applyFont="1" applyAlignment="1" applyProtection="1">
      <alignment horizontal="center" vertical="top" wrapText="1"/>
    </xf>
    <xf numFmtId="164" fontId="10" fillId="0" borderId="0" xfId="0" applyNumberFormat="1" applyFont="1" applyAlignment="1" applyProtection="1">
      <alignment horizontal="center" vertical="top" wrapText="1"/>
    </xf>
    <xf numFmtId="0" fontId="9" fillId="0" borderId="0" xfId="0" applyFont="1" applyFill="1" applyAlignment="1" applyProtection="1">
      <alignment horizontal="left" vertical="top" wrapText="1"/>
    </xf>
    <xf numFmtId="0" fontId="9" fillId="0" borderId="0" xfId="0" applyFont="1" applyFill="1" applyAlignment="1" applyProtection="1">
      <alignment horizontal="center" vertical="top" wrapText="1"/>
    </xf>
    <xf numFmtId="164" fontId="9" fillId="0" borderId="0" xfId="0" applyNumberFormat="1" applyFont="1" applyFill="1" applyAlignment="1" applyProtection="1">
      <alignment horizontal="center" vertical="top" wrapText="1"/>
    </xf>
    <xf numFmtId="164" fontId="10" fillId="0" borderId="0" xfId="0" applyNumberFormat="1" applyFont="1" applyFill="1" applyAlignment="1" applyProtection="1">
      <alignment horizontal="center" vertical="top" wrapText="1"/>
    </xf>
    <xf numFmtId="49" fontId="9" fillId="0" borderId="0" xfId="0" applyNumberFormat="1" applyFont="1" applyAlignment="1">
      <alignment horizontal="left" vertical="top" wrapText="1"/>
    </xf>
    <xf numFmtId="49" fontId="9" fillId="0" borderId="0" xfId="0" applyNumberFormat="1" applyFont="1" applyAlignment="1">
      <alignment horizontal="center" vertical="top" wrapText="1"/>
    </xf>
    <xf numFmtId="164" fontId="9" fillId="0" borderId="0" xfId="0" applyNumberFormat="1" applyFont="1" applyAlignment="1">
      <alignment horizontal="center" vertical="top" wrapText="1"/>
    </xf>
    <xf numFmtId="3" fontId="9" fillId="0" borderId="0" xfId="0" applyNumberFormat="1" applyFont="1" applyAlignment="1" applyProtection="1">
      <alignment horizontal="center" vertical="top" wrapText="1"/>
    </xf>
    <xf numFmtId="0" fontId="0" fillId="0" borderId="0" xfId="0" applyAlignment="1">
      <alignment wrapText="1"/>
    </xf>
    <xf numFmtId="0" fontId="8" fillId="0" borderId="0" xfId="0" applyFont="1" applyAlignment="1">
      <alignment wrapText="1"/>
    </xf>
    <xf numFmtId="0" fontId="9" fillId="0" borderId="0" xfId="0" applyFont="1" applyAlignment="1">
      <alignment horizontal="center" vertical="center" wrapText="1"/>
    </xf>
    <xf numFmtId="164" fontId="9" fillId="0" borderId="0" xfId="0" applyNumberFormat="1" applyFont="1" applyFill="1" applyBorder="1" applyAlignment="1">
      <alignment horizontal="center" vertical="center" wrapText="1"/>
    </xf>
    <xf numFmtId="0" fontId="7" fillId="0" borderId="0" xfId="0" applyFont="1" applyFill="1" applyBorder="1" applyAlignment="1">
      <alignment horizontal="left" vertical="center" wrapText="1"/>
    </xf>
    <xf numFmtId="0" fontId="7" fillId="0" borderId="0" xfId="0" applyFont="1" applyBorder="1" applyAlignment="1">
      <alignment horizontal="left" vertical="center" wrapText="1"/>
    </xf>
    <xf numFmtId="0" fontId="7" fillId="0" borderId="0" xfId="0" quotePrefix="1" applyFont="1" applyBorder="1" applyAlignment="1">
      <alignment horizontal="left" vertical="center" wrapText="1"/>
    </xf>
    <xf numFmtId="0" fontId="7" fillId="0" borderId="0" xfId="0" quotePrefix="1" applyFont="1" applyFill="1" applyBorder="1" applyAlignment="1">
      <alignment horizontal="left" vertical="center" wrapText="1"/>
    </xf>
    <xf numFmtId="49" fontId="7" fillId="0" borderId="0" xfId="0" applyNumberFormat="1" applyFont="1" applyBorder="1" applyAlignment="1">
      <alignment horizontal="left" vertical="center" wrapText="1"/>
    </xf>
    <xf numFmtId="0" fontId="7" fillId="0" borderId="0" xfId="0" applyFont="1" applyFill="1" applyBorder="1" applyAlignment="1">
      <alignment horizontal="center" vertical="center" wrapText="1"/>
    </xf>
    <xf numFmtId="164" fontId="7" fillId="0" borderId="0" xfId="0" applyNumberFormat="1" applyFont="1" applyFill="1" applyBorder="1" applyAlignment="1">
      <alignment horizontal="center" vertical="center" wrapText="1"/>
    </xf>
    <xf numFmtId="0" fontId="7" fillId="0" borderId="0" xfId="0" applyFont="1" applyBorder="1" applyAlignment="1">
      <alignment horizontal="center" vertical="center" wrapText="1"/>
    </xf>
    <xf numFmtId="0" fontId="7" fillId="0" borderId="0" xfId="0" applyFont="1" applyBorder="1" applyAlignment="1" applyProtection="1">
      <alignment horizontal="center" vertical="center" wrapText="1"/>
    </xf>
    <xf numFmtId="164" fontId="7" fillId="0" borderId="0" xfId="0" applyNumberFormat="1" applyFont="1" applyBorder="1" applyAlignment="1" applyProtection="1">
      <alignment horizontal="center" vertical="center" wrapText="1"/>
    </xf>
    <xf numFmtId="164" fontId="7" fillId="0" borderId="0" xfId="0" applyNumberFormat="1" applyFont="1" applyBorder="1" applyAlignment="1">
      <alignment horizontal="center" vertical="center" wrapText="1"/>
    </xf>
    <xf numFmtId="164" fontId="11" fillId="0" borderId="0" xfId="0" applyNumberFormat="1" applyFont="1" applyBorder="1" applyAlignment="1" applyProtection="1">
      <alignment horizontal="center" vertical="center" wrapText="1"/>
    </xf>
    <xf numFmtId="164" fontId="7" fillId="0" borderId="0" xfId="0" quotePrefix="1" applyNumberFormat="1" applyFont="1" applyFill="1" applyBorder="1" applyAlignment="1">
      <alignment horizontal="center" vertical="center" wrapText="1"/>
    </xf>
    <xf numFmtId="49" fontId="7" fillId="0" borderId="0" xfId="0" applyNumberFormat="1" applyFont="1" applyBorder="1" applyAlignment="1">
      <alignment horizontal="center" vertical="center" wrapText="1"/>
    </xf>
    <xf numFmtId="0" fontId="12" fillId="0" borderId="0" xfId="0" applyFont="1" applyFill="1" applyBorder="1" applyAlignment="1">
      <alignment horizontal="left" vertical="center" wrapText="1"/>
    </xf>
    <xf numFmtId="0" fontId="12" fillId="0" borderId="0" xfId="0" applyFont="1" applyFill="1" applyBorder="1" applyAlignment="1">
      <alignment horizontal="center" vertical="center" wrapText="1"/>
    </xf>
    <xf numFmtId="164" fontId="12" fillId="0" borderId="0" xfId="0" applyNumberFormat="1" applyFont="1" applyFill="1" applyBorder="1" applyAlignment="1">
      <alignment horizontal="center" vertical="center" wrapText="1"/>
    </xf>
    <xf numFmtId="0" fontId="12" fillId="0" borderId="0" xfId="0" applyFont="1" applyBorder="1" applyAlignment="1">
      <alignment horizontal="left" vertical="center" wrapText="1"/>
    </xf>
    <xf numFmtId="0" fontId="13" fillId="0" borderId="0" xfId="0" applyFont="1"/>
    <xf numFmtId="164" fontId="9" fillId="0" borderId="0" xfId="0" applyNumberFormat="1" applyFont="1" applyBorder="1" applyAlignment="1">
      <alignment horizontal="center" vertical="top" wrapText="1"/>
    </xf>
    <xf numFmtId="165" fontId="9" fillId="0" borderId="0" xfId="0" applyNumberFormat="1" applyFont="1" applyFill="1" applyBorder="1" applyAlignment="1">
      <alignment horizontal="center" vertical="top" wrapText="1"/>
    </xf>
    <xf numFmtId="0" fontId="9" fillId="0" borderId="0" xfId="0" quotePrefix="1" applyFont="1" applyBorder="1" applyAlignment="1">
      <alignment horizontal="left" vertical="top" wrapText="1"/>
    </xf>
    <xf numFmtId="0" fontId="9" fillId="0" borderId="0" xfId="0" applyFont="1" applyBorder="1" applyAlignment="1">
      <alignment horizontal="left" vertical="top" wrapText="1"/>
    </xf>
    <xf numFmtId="0" fontId="9" fillId="0" borderId="0" xfId="0" applyFont="1" applyBorder="1" applyAlignment="1">
      <alignment horizontal="center" vertical="top" wrapText="1"/>
    </xf>
    <xf numFmtId="164" fontId="9" fillId="0" borderId="0" xfId="0" quotePrefix="1" applyNumberFormat="1" applyFont="1" applyFill="1" applyBorder="1" applyAlignment="1">
      <alignment horizontal="center" vertical="top" wrapText="1"/>
    </xf>
    <xf numFmtId="49" fontId="15" fillId="0" borderId="0" xfId="0" applyNumberFormat="1" applyFont="1" applyFill="1" applyBorder="1" applyAlignment="1">
      <alignment horizontal="center"/>
    </xf>
    <xf numFmtId="0" fontId="4" fillId="0" borderId="0" xfId="0" applyFont="1" applyFill="1" applyBorder="1" applyAlignment="1">
      <alignment wrapText="1"/>
    </xf>
    <xf numFmtId="49" fontId="2" fillId="0" borderId="0" xfId="0" applyNumberFormat="1" applyFont="1" applyFill="1" applyBorder="1" applyAlignment="1">
      <alignment horizontal="center"/>
    </xf>
    <xf numFmtId="49" fontId="7" fillId="0" borderId="0" xfId="0" applyNumberFormat="1" applyFont="1" applyAlignment="1">
      <alignment horizontal="left" vertical="center" wrapText="1"/>
    </xf>
    <xf numFmtId="49" fontId="2" fillId="0" borderId="0" xfId="0" applyNumberFormat="1" applyFont="1" applyFill="1" applyBorder="1" applyAlignment="1">
      <alignment horizontal="left" wrapText="1"/>
    </xf>
    <xf numFmtId="0" fontId="2" fillId="0" borderId="0" xfId="0" applyFont="1" applyFill="1" applyBorder="1" applyAlignment="1">
      <alignment wrapText="1"/>
    </xf>
    <xf numFmtId="0" fontId="7" fillId="0" borderId="0" xfId="0" applyFont="1" applyBorder="1" applyAlignment="1">
      <alignment horizontal="left" vertical="top" wrapText="1"/>
    </xf>
    <xf numFmtId="0" fontId="7" fillId="2" borderId="0" xfId="0" applyFont="1" applyFill="1" applyBorder="1" applyAlignment="1">
      <alignment horizontal="center" vertical="center" wrapText="1"/>
    </xf>
    <xf numFmtId="0" fontId="0" fillId="2" borderId="0" xfId="0" applyFill="1" applyBorder="1"/>
    <xf numFmtId="164" fontId="7" fillId="2" borderId="0" xfId="0" applyNumberFormat="1" applyFont="1" applyFill="1" applyBorder="1" applyAlignment="1">
      <alignment horizontal="center" vertical="center" wrapText="1"/>
    </xf>
    <xf numFmtId="0" fontId="7" fillId="2" borderId="0" xfId="0" applyFont="1" applyFill="1" applyBorder="1" applyAlignment="1">
      <alignment vertical="center" wrapText="1"/>
    </xf>
    <xf numFmtId="0" fontId="7" fillId="3" borderId="0" xfId="0" applyFont="1" applyFill="1" applyBorder="1" applyAlignment="1">
      <alignment horizontal="left" vertical="center" wrapText="1"/>
    </xf>
    <xf numFmtId="0" fontId="12" fillId="3" borderId="0" xfId="0" applyFont="1" applyFill="1" applyBorder="1" applyAlignment="1">
      <alignment horizontal="left" vertical="center" wrapText="1"/>
    </xf>
    <xf numFmtId="0" fontId="7" fillId="4" borderId="0" xfId="0" applyFont="1" applyFill="1" applyBorder="1" applyAlignment="1">
      <alignment horizontal="left" vertical="center" wrapText="1"/>
    </xf>
    <xf numFmtId="0" fontId="0" fillId="0" borderId="0" xfId="0" applyFill="1" applyBorder="1"/>
    <xf numFmtId="0" fontId="12" fillId="0" borderId="0" xfId="0" applyFont="1" applyFill="1" applyBorder="1" applyAlignment="1">
      <alignment horizontal="left" vertical="top" wrapText="1"/>
    </xf>
    <xf numFmtId="0" fontId="12" fillId="0" borderId="0" xfId="0" applyFont="1" applyBorder="1" applyAlignment="1">
      <alignment horizontal="left" vertical="top" wrapText="1"/>
    </xf>
    <xf numFmtId="0" fontId="7" fillId="0" borderId="0" xfId="0" applyFont="1" applyFill="1" applyBorder="1" applyAlignment="1">
      <alignment horizontal="left" vertical="top" wrapText="1"/>
    </xf>
    <xf numFmtId="0" fontId="4" fillId="0" borderId="0" xfId="0" applyFont="1" applyAlignment="1">
      <alignment horizontal="left" vertical="top" wrapText="1"/>
    </xf>
    <xf numFmtId="0" fontId="0" fillId="0" borderId="0" xfId="0" applyAlignment="1">
      <alignment horizontal="left" vertical="top" wrapText="1"/>
    </xf>
    <xf numFmtId="0" fontId="7" fillId="0" borderId="0" xfId="0" applyFont="1" applyFill="1" applyAlignment="1">
      <alignment horizontal="left" vertical="top" wrapText="1"/>
    </xf>
    <xf numFmtId="0" fontId="2" fillId="0" borderId="0" xfId="0" applyFont="1" applyAlignment="1">
      <alignment horizontal="center" vertical="center" wrapText="1"/>
    </xf>
    <xf numFmtId="0" fontId="12" fillId="0" borderId="0" xfId="0" applyFont="1" applyAlignment="1">
      <alignment horizontal="left" vertical="center" wrapText="1"/>
    </xf>
    <xf numFmtId="164" fontId="12" fillId="0" borderId="0" xfId="0" applyNumberFormat="1" applyFont="1" applyAlignment="1">
      <alignment horizontal="center" vertical="center" wrapText="1"/>
    </xf>
    <xf numFmtId="0" fontId="7" fillId="0" borderId="0" xfId="0" applyFont="1" applyAlignment="1">
      <alignment horizontal="left" vertical="top" wrapText="1"/>
    </xf>
    <xf numFmtId="164" fontId="7" fillId="0" borderId="0" xfId="0" applyNumberFormat="1" applyFont="1" applyFill="1" applyBorder="1" applyAlignment="1">
      <alignment horizontal="center" vertical="top" wrapText="1"/>
    </xf>
    <xf numFmtId="0" fontId="7" fillId="0" borderId="0" xfId="0" applyFont="1" applyFill="1" applyAlignment="1">
      <alignment horizontal="center" vertical="top" wrapText="1"/>
    </xf>
    <xf numFmtId="0" fontId="7" fillId="0" borderId="0" xfId="0" applyFont="1" applyAlignment="1" applyProtection="1">
      <alignment horizontal="left" vertical="top" wrapText="1"/>
    </xf>
    <xf numFmtId="0" fontId="7" fillId="0" borderId="0" xfId="0" applyFont="1" applyAlignment="1">
      <alignment horizontal="center" vertical="top" wrapText="1"/>
    </xf>
    <xf numFmtId="0" fontId="12" fillId="5" borderId="0" xfId="0" applyFont="1" applyFill="1" applyAlignment="1">
      <alignment horizontal="left" vertical="justify" wrapText="1"/>
    </xf>
    <xf numFmtId="0" fontId="7" fillId="0" borderId="0" xfId="0" applyFont="1" applyAlignment="1">
      <alignment horizontal="left" vertical="justify" wrapText="1"/>
    </xf>
    <xf numFmtId="0" fontId="7" fillId="0" borderId="0" xfId="0" applyFont="1" applyFill="1" applyBorder="1" applyAlignment="1">
      <alignment horizontal="left" wrapText="1"/>
    </xf>
    <xf numFmtId="0" fontId="7" fillId="0" borderId="0" xfId="0" applyFont="1" applyAlignment="1">
      <alignment horizontal="left" wrapText="1"/>
    </xf>
    <xf numFmtId="0" fontId="12" fillId="0" borderId="0" xfId="0" applyFont="1" applyAlignment="1">
      <alignment horizontal="left" vertical="justify" wrapText="1"/>
    </xf>
    <xf numFmtId="164" fontId="7" fillId="0" borderId="0" xfId="0" applyNumberFormat="1" applyFont="1" applyFill="1" applyBorder="1" applyAlignment="1">
      <alignment horizontal="center" vertical="center"/>
    </xf>
    <xf numFmtId="0" fontId="7" fillId="0" borderId="0" xfId="0" applyFont="1"/>
    <xf numFmtId="164" fontId="7" fillId="0" borderId="0" xfId="0" applyNumberFormat="1" applyFont="1" applyAlignment="1">
      <alignment horizontal="center"/>
    </xf>
    <xf numFmtId="0" fontId="7" fillId="0" borderId="0" xfId="0" applyFont="1" applyFill="1" applyAlignment="1">
      <alignment horizontal="left" vertical="justify" wrapText="1"/>
    </xf>
    <xf numFmtId="0" fontId="7" fillId="0" borderId="0" xfId="0" applyFont="1" applyFill="1" applyAlignment="1">
      <alignment vertical="top" wrapText="1"/>
    </xf>
    <xf numFmtId="0" fontId="7" fillId="0" borderId="0" xfId="0" quotePrefix="1" applyFont="1" applyFill="1" applyAlignment="1">
      <alignment horizontal="left" vertical="top" wrapText="1"/>
    </xf>
    <xf numFmtId="0" fontId="17" fillId="0" borderId="0" xfId="0" applyFont="1" applyAlignment="1">
      <alignment horizontal="center" vertical="center" wrapText="1"/>
    </xf>
    <xf numFmtId="164" fontId="12" fillId="0" borderId="0" xfId="0" applyNumberFormat="1" applyFont="1" applyAlignment="1">
      <alignment horizontal="center" wrapText="1"/>
    </xf>
    <xf numFmtId="0" fontId="7" fillId="0" borderId="0" xfId="0" applyFont="1" applyAlignment="1">
      <alignment horizontal="center"/>
    </xf>
    <xf numFmtId="0" fontId="7" fillId="5" borderId="0" xfId="0" applyFont="1" applyFill="1" applyAlignment="1">
      <alignment horizontal="left" vertical="justify" wrapText="1"/>
    </xf>
    <xf numFmtId="164" fontId="7" fillId="0" borderId="0" xfId="0" applyNumberFormat="1" applyFont="1" applyAlignment="1">
      <alignment horizontal="center" wrapText="1"/>
    </xf>
    <xf numFmtId="0" fontId="7" fillId="5" borderId="0" xfId="0" applyFont="1" applyFill="1" applyAlignment="1">
      <alignment vertical="top" wrapText="1"/>
    </xf>
    <xf numFmtId="0" fontId="7" fillId="5" borderId="0" xfId="0" quotePrefix="1" applyFont="1" applyFill="1" applyAlignment="1">
      <alignment horizontal="left" vertical="top" wrapText="1"/>
    </xf>
    <xf numFmtId="164" fontId="7" fillId="0" borderId="0" xfId="0" applyNumberFormat="1" applyFont="1" applyFill="1" applyAlignment="1">
      <alignment horizontal="center" wrapText="1"/>
    </xf>
    <xf numFmtId="0" fontId="7" fillId="5" borderId="0" xfId="0" applyFont="1" applyFill="1" applyAlignment="1">
      <alignment horizontal="left" vertical="top"/>
    </xf>
    <xf numFmtId="0" fontId="7" fillId="0" borderId="0" xfId="0" applyFont="1" applyFill="1" applyAlignment="1">
      <alignment wrapText="1"/>
    </xf>
    <xf numFmtId="0" fontId="7" fillId="0" borderId="0" xfId="0" applyFont="1" applyAlignment="1" applyProtection="1">
      <alignment wrapText="1"/>
    </xf>
    <xf numFmtId="0" fontId="7" fillId="0" borderId="0" xfId="0" applyFont="1" applyFill="1" applyAlignment="1" applyProtection="1">
      <alignment wrapText="1"/>
    </xf>
    <xf numFmtId="49" fontId="7" fillId="0" borderId="0" xfId="0" applyNumberFormat="1" applyFont="1" applyAlignment="1">
      <alignment horizontal="left" wrapText="1"/>
    </xf>
    <xf numFmtId="0" fontId="7" fillId="0" borderId="0" xfId="0" applyFont="1" applyAlignment="1">
      <alignment horizontal="left" vertical="center"/>
    </xf>
    <xf numFmtId="0" fontId="7" fillId="0" borderId="0" xfId="0" applyFont="1" applyAlignment="1">
      <alignment horizontal="left" vertical="center" wrapText="1"/>
    </xf>
    <xf numFmtId="0" fontId="7" fillId="0" borderId="0" xfId="0" applyFont="1" applyAlignment="1">
      <alignment horizontal="center" vertical="center"/>
    </xf>
    <xf numFmtId="0" fontId="0" fillId="0" borderId="0" xfId="0" applyBorder="1" applyAlignment="1">
      <alignment horizontal="center" vertical="center" wrapText="1"/>
    </xf>
    <xf numFmtId="0" fontId="0" fillId="0" borderId="0" xfId="0" applyBorder="1" applyAlignment="1">
      <alignment horizontal="left" vertical="center" wrapText="1"/>
    </xf>
    <xf numFmtId="0" fontId="0" fillId="0" borderId="0" xfId="0" applyFill="1" applyBorder="1" applyAlignment="1">
      <alignment horizontal="center" vertical="center" wrapText="1"/>
    </xf>
    <xf numFmtId="0" fontId="0" fillId="0" borderId="0"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NumberFormat="1" applyFill="1" applyBorder="1" applyAlignment="1">
      <alignment horizontal="center" vertical="center" wrapText="1"/>
    </xf>
    <xf numFmtId="0" fontId="4" fillId="0" borderId="0" xfId="0" applyFont="1" applyAlignment="1" applyProtection="1">
      <alignment wrapText="1"/>
    </xf>
    <xf numFmtId="0" fontId="4" fillId="0" borderId="0" xfId="0" applyFont="1" applyFill="1" applyBorder="1" applyAlignment="1">
      <alignment horizontal="left" vertical="center" wrapText="1"/>
    </xf>
    <xf numFmtId="0" fontId="4"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0" fontId="21" fillId="0" borderId="0" xfId="0" applyFont="1" applyAlignment="1">
      <alignment wrapText="1"/>
    </xf>
    <xf numFmtId="0" fontId="2" fillId="0" borderId="0" xfId="0" applyFont="1" applyAlignment="1">
      <alignment horizontal="left" vertical="top" wrapText="1"/>
    </xf>
    <xf numFmtId="0" fontId="2" fillId="0" borderId="0" xfId="0" applyFont="1" applyAlignment="1">
      <alignment horizontal="center" vertical="top" wrapText="1"/>
    </xf>
    <xf numFmtId="164" fontId="2" fillId="0" borderId="0" xfId="0" applyNumberFormat="1" applyFont="1" applyFill="1" applyBorder="1" applyAlignment="1">
      <alignment horizontal="center" vertical="top" wrapText="1"/>
    </xf>
    <xf numFmtId="164" fontId="3" fillId="0" borderId="0" xfId="0" applyNumberFormat="1" applyFont="1" applyFill="1" applyBorder="1" applyAlignment="1">
      <alignment horizontal="center" vertical="top" wrapText="1"/>
    </xf>
    <xf numFmtId="0" fontId="2" fillId="0" borderId="0" xfId="0" applyFont="1" applyAlignment="1" applyProtection="1">
      <alignment horizontal="left" vertical="top" wrapText="1"/>
    </xf>
    <xf numFmtId="0" fontId="2" fillId="0" borderId="0" xfId="0" applyFont="1" applyAlignment="1" applyProtection="1">
      <alignment horizontal="center" vertical="top" wrapText="1"/>
    </xf>
    <xf numFmtId="0" fontId="2" fillId="0" borderId="0" xfId="0" applyFont="1" applyFill="1" applyAlignment="1">
      <alignment horizontal="center" vertical="top" wrapText="1"/>
    </xf>
    <xf numFmtId="164" fontId="3" fillId="0" borderId="0" xfId="0" applyNumberFormat="1" applyFont="1" applyFill="1" applyAlignment="1">
      <alignment horizontal="center" vertical="top" wrapText="1"/>
    </xf>
    <xf numFmtId="164" fontId="2" fillId="0" borderId="0" xfId="0" applyNumberFormat="1" applyFont="1" applyFill="1" applyBorder="1" applyAlignment="1">
      <alignment horizontal="center" vertical="center" wrapText="1"/>
    </xf>
    <xf numFmtId="164" fontId="3" fillId="0" borderId="0" xfId="0" applyNumberFormat="1" applyFont="1" applyAlignment="1" applyProtection="1">
      <alignment horizontal="center" vertical="top" wrapText="1"/>
    </xf>
    <xf numFmtId="0" fontId="2" fillId="0" borderId="0" xfId="0" applyFont="1" applyBorder="1" applyAlignment="1">
      <alignment horizontal="center" vertical="center" wrapText="1"/>
    </xf>
    <xf numFmtId="0" fontId="2" fillId="0" borderId="0" xfId="0" quotePrefix="1" applyFont="1" applyFill="1" applyAlignment="1">
      <alignment horizontal="left" vertical="top" wrapText="1"/>
    </xf>
    <xf numFmtId="0" fontId="2" fillId="0" borderId="0" xfId="0" applyFont="1" applyFill="1" applyBorder="1" applyAlignment="1">
      <alignment horizontal="left" vertical="center" wrapText="1"/>
    </xf>
    <xf numFmtId="0" fontId="2" fillId="0" borderId="0" xfId="0" applyFont="1" applyFill="1" applyBorder="1" applyAlignment="1">
      <alignment horizontal="center" vertical="center" wrapText="1"/>
    </xf>
    <xf numFmtId="0" fontId="2" fillId="0" borderId="0" xfId="0" applyFont="1" applyAlignment="1">
      <alignment horizontal="left" vertical="justify" wrapText="1"/>
    </xf>
    <xf numFmtId="0" fontId="2" fillId="0" borderId="0" xfId="0" quotePrefix="1" applyFont="1" applyFill="1" applyBorder="1" applyAlignment="1">
      <alignment horizontal="left" vertical="center" wrapText="1"/>
    </xf>
    <xf numFmtId="0" fontId="2" fillId="0" borderId="0" xfId="0" applyFont="1" applyBorder="1" applyAlignment="1">
      <alignment horizontal="left" vertical="center" wrapText="1"/>
    </xf>
    <xf numFmtId="0" fontId="2" fillId="0" borderId="0" xfId="0" quotePrefix="1" applyFont="1" applyBorder="1" applyAlignment="1">
      <alignment horizontal="left" vertical="center" wrapText="1"/>
    </xf>
    <xf numFmtId="165" fontId="3" fillId="0" borderId="0" xfId="0" applyNumberFormat="1" applyFont="1" applyFill="1" applyBorder="1" applyAlignment="1">
      <alignment horizontal="center" vertical="top" wrapText="1"/>
    </xf>
    <xf numFmtId="0" fontId="2" fillId="0" borderId="0" xfId="0" applyFont="1" applyFill="1" applyBorder="1" applyAlignment="1">
      <alignment horizontal="center" vertical="top" wrapText="1"/>
    </xf>
    <xf numFmtId="164" fontId="0" fillId="0" borderId="0" xfId="0" applyNumberFormat="1"/>
    <xf numFmtId="0" fontId="22" fillId="0" borderId="0" xfId="0" applyFont="1"/>
    <xf numFmtId="164" fontId="22" fillId="0" borderId="0" xfId="0" applyNumberFormat="1" applyFont="1" applyAlignment="1">
      <alignment vertical="top" wrapText="1"/>
    </xf>
    <xf numFmtId="0" fontId="23" fillId="0" borderId="0" xfId="0" applyFont="1"/>
    <xf numFmtId="0" fontId="12" fillId="0" borderId="0" xfId="0" applyFont="1" applyFill="1" applyBorder="1" applyAlignment="1">
      <alignment horizontal="left" vertical="center"/>
    </xf>
    <xf numFmtId="0" fontId="12" fillId="0" borderId="0" xfId="0" applyFont="1" applyAlignment="1">
      <alignment horizontal="center" wrapText="1"/>
    </xf>
    <xf numFmtId="0" fontId="12" fillId="0" borderId="0" xfId="0" applyFont="1" applyAlignment="1">
      <alignment horizontal="center"/>
    </xf>
    <xf numFmtId="0" fontId="12" fillId="5" borderId="0" xfId="0" applyFont="1" applyFill="1" applyAlignment="1">
      <alignment horizontal="center"/>
    </xf>
    <xf numFmtId="0" fontId="12" fillId="5" borderId="0" xfId="0" applyNumberFormat="1" applyFont="1" applyFill="1" applyAlignment="1">
      <alignment horizontal="left" vertical="center"/>
    </xf>
    <xf numFmtId="0" fontId="12" fillId="0" borderId="0" xfId="0" applyFont="1" applyAlignment="1">
      <alignment horizontal="left" vertical="center"/>
    </xf>
    <xf numFmtId="0" fontId="12" fillId="0" borderId="0" xfId="0" applyNumberFormat="1" applyFont="1" applyAlignment="1">
      <alignment horizontal="left" vertical="center"/>
    </xf>
    <xf numFmtId="0" fontId="12" fillId="0" borderId="0" xfId="0" applyNumberFormat="1" applyFont="1" applyFill="1" applyAlignment="1">
      <alignment horizontal="left" vertical="center"/>
    </xf>
    <xf numFmtId="164" fontId="12" fillId="0" borderId="0" xfId="0" applyNumberFormat="1" applyFont="1" applyFill="1" applyBorder="1" applyAlignment="1">
      <alignment horizontal="left" vertical="center"/>
    </xf>
    <xf numFmtId="0" fontId="12" fillId="0" borderId="0" xfId="0" applyFont="1" applyFill="1" applyAlignment="1">
      <alignment horizontal="left" vertical="center"/>
    </xf>
    <xf numFmtId="0" fontId="12" fillId="0" borderId="0" xfId="0" applyFont="1" applyAlignment="1" applyProtection="1">
      <alignment horizontal="left" vertical="center"/>
    </xf>
    <xf numFmtId="0" fontId="12" fillId="0" borderId="0" xfId="0" applyFont="1" applyFill="1" applyAlignment="1" applyProtection="1">
      <alignment horizontal="left" vertical="center"/>
    </xf>
    <xf numFmtId="0" fontId="7" fillId="0" borderId="0" xfId="0" applyNumberFormat="1" applyFont="1" applyAlignment="1">
      <alignment horizontal="left" vertical="center"/>
    </xf>
    <xf numFmtId="0" fontId="12" fillId="5" borderId="0" xfId="0" applyFont="1" applyFill="1" applyAlignment="1">
      <alignment horizontal="left" vertical="center"/>
    </xf>
    <xf numFmtId="0" fontId="16" fillId="0" borderId="0" xfId="0" applyNumberFormat="1" applyFont="1" applyFill="1" applyAlignment="1">
      <alignment horizontal="left" vertical="center"/>
    </xf>
    <xf numFmtId="0" fontId="0" fillId="0" borderId="0" xfId="0" applyAlignment="1">
      <alignment horizontal="center"/>
    </xf>
    <xf numFmtId="164" fontId="7" fillId="0" borderId="0" xfId="0" applyNumberFormat="1" applyFont="1"/>
    <xf numFmtId="0" fontId="23" fillId="0" borderId="0" xfId="0" applyFont="1" applyAlignment="1">
      <alignment wrapText="1"/>
    </xf>
    <xf numFmtId="49" fontId="15" fillId="0" borderId="0" xfId="0" applyNumberFormat="1" applyFont="1" applyFill="1" applyBorder="1" applyAlignment="1">
      <alignment horizontal="center" vertical="center" wrapText="1"/>
    </xf>
    <xf numFmtId="0" fontId="12" fillId="0" borderId="0" xfId="0" applyNumberFormat="1" applyFont="1" applyFill="1" applyAlignment="1">
      <alignment horizontal="left" vertical="center" wrapText="1"/>
    </xf>
    <xf numFmtId="0" fontId="21" fillId="0" borderId="0" xfId="0" applyFont="1" applyAlignment="1">
      <alignment horizontal="center" wrapText="1"/>
    </xf>
    <xf numFmtId="164" fontId="1" fillId="0" borderId="0" xfId="0" applyNumberFormat="1" applyFont="1" applyAlignment="1">
      <alignment horizontal="center" wrapText="1"/>
    </xf>
    <xf numFmtId="0" fontId="12" fillId="0" borderId="0" xfId="0" applyNumberFormat="1" applyFont="1" applyFill="1" applyBorder="1" applyAlignment="1">
      <alignment horizontal="left" vertical="center" wrapText="1"/>
    </xf>
    <xf numFmtId="164" fontId="7" fillId="0" borderId="0" xfId="0" applyNumberFormat="1" applyFont="1" applyAlignment="1">
      <alignment horizontal="center" vertical="justify" wrapText="1"/>
    </xf>
    <xf numFmtId="0" fontId="23" fillId="0" borderId="0" xfId="0" applyFont="1" applyAlignment="1">
      <alignment horizontal="center" wrapText="1"/>
    </xf>
    <xf numFmtId="164" fontId="7" fillId="0" borderId="0" xfId="0" applyNumberFormat="1" applyFont="1" applyAlignment="1">
      <alignment horizontal="left" vertical="justify" wrapText="1"/>
    </xf>
    <xf numFmtId="0" fontId="0" fillId="0" borderId="0" xfId="0" applyFill="1"/>
    <xf numFmtId="0" fontId="2" fillId="0" borderId="0" xfId="0" applyFont="1"/>
    <xf numFmtId="0" fontId="7" fillId="0" borderId="0" xfId="0" applyFont="1" applyFill="1" applyBorder="1" applyAlignment="1" applyProtection="1">
      <protection locked="0"/>
    </xf>
    <xf numFmtId="0" fontId="19" fillId="0" borderId="0" xfId="0" applyFont="1" applyFill="1" applyBorder="1" applyAlignment="1" applyProtection="1">
      <alignment vertical="center" wrapText="1"/>
      <protection locked="0"/>
    </xf>
    <xf numFmtId="164" fontId="19" fillId="0" borderId="0" xfId="0" applyNumberFormat="1" applyFont="1" applyFill="1" applyBorder="1" applyAlignment="1" applyProtection="1">
      <alignment horizontal="left" vertical="center" wrapText="1"/>
      <protection locked="0"/>
    </xf>
    <xf numFmtId="0" fontId="19" fillId="0" borderId="0" xfId="0" applyFont="1" applyFill="1" applyBorder="1" applyAlignment="1" applyProtection="1">
      <alignment horizontal="left" vertical="center" wrapText="1"/>
      <protection locked="0"/>
    </xf>
    <xf numFmtId="4" fontId="19" fillId="0" borderId="0" xfId="0" applyNumberFormat="1" applyFont="1" applyFill="1" applyBorder="1" applyAlignment="1" applyProtection="1">
      <alignment horizontal="left" vertical="center" wrapText="1"/>
      <protection locked="0"/>
    </xf>
    <xf numFmtId="0" fontId="7" fillId="0" borderId="0" xfId="0" applyFont="1" applyFill="1" applyBorder="1" applyAlignment="1" applyProtection="1">
      <alignment wrapText="1"/>
      <protection locked="0"/>
    </xf>
    <xf numFmtId="0" fontId="7" fillId="0" borderId="0" xfId="0" applyFont="1" applyFill="1" applyBorder="1" applyAlignment="1" applyProtection="1">
      <alignment vertical="top" wrapText="1"/>
      <protection locked="0"/>
    </xf>
    <xf numFmtId="0" fontId="20" fillId="0" borderId="0" xfId="0" applyFont="1" applyFill="1" applyBorder="1" applyAlignment="1" applyProtection="1">
      <alignment horizontal="left" vertical="center" wrapText="1"/>
      <protection locked="0"/>
    </xf>
    <xf numFmtId="4" fontId="20" fillId="0" borderId="0" xfId="0" applyNumberFormat="1" applyFont="1" applyFill="1" applyBorder="1" applyAlignment="1" applyProtection="1">
      <alignment horizontal="left" vertical="center" wrapText="1"/>
      <protection locked="0"/>
    </xf>
    <xf numFmtId="164" fontId="20" fillId="0" borderId="0" xfId="0" applyNumberFormat="1" applyFont="1" applyFill="1" applyBorder="1" applyAlignment="1" applyProtection="1">
      <alignment horizontal="left" vertical="center" wrapText="1"/>
      <protection locked="0"/>
    </xf>
    <xf numFmtId="0" fontId="18" fillId="0" borderId="0" xfId="0" applyFont="1" applyFill="1" applyBorder="1" applyAlignment="1">
      <alignment vertical="center" wrapText="1"/>
    </xf>
    <xf numFmtId="0" fontId="18"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xf>
    <xf numFmtId="164" fontId="0" fillId="0" borderId="0" xfId="0" applyNumberFormat="1" applyFill="1" applyBorder="1" applyAlignment="1">
      <alignment horizontal="center" vertical="center"/>
    </xf>
    <xf numFmtId="0" fontId="2" fillId="0" borderId="0" xfId="0" applyFont="1" applyFill="1" applyBorder="1" applyAlignment="1">
      <alignment horizontal="center"/>
    </xf>
    <xf numFmtId="0" fontId="2" fillId="0" borderId="0" xfId="0" applyFont="1" applyFill="1" applyBorder="1" applyAlignment="1">
      <alignment horizontal="center" wrapText="1"/>
    </xf>
    <xf numFmtId="164" fontId="2" fillId="0" borderId="0" xfId="0" applyNumberFormat="1" applyFont="1" applyAlignment="1">
      <alignment horizontal="center"/>
    </xf>
    <xf numFmtId="0" fontId="4" fillId="0" borderId="0" xfId="0" applyFont="1" applyBorder="1" applyAlignment="1">
      <alignment horizontal="left" vertical="center"/>
    </xf>
    <xf numFmtId="0" fontId="0" fillId="0" borderId="0" xfId="0" applyBorder="1" applyAlignment="1">
      <alignment horizontal="left" vertical="center"/>
    </xf>
    <xf numFmtId="0" fontId="4" fillId="0" borderId="0" xfId="0" applyFont="1" applyFill="1" applyBorder="1" applyAlignment="1">
      <alignment horizontal="left" vertical="center"/>
    </xf>
    <xf numFmtId="0" fontId="0" fillId="0" borderId="0" xfId="0" applyFill="1" applyBorder="1" applyAlignment="1">
      <alignment horizontal="left" vertical="center"/>
    </xf>
    <xf numFmtId="0" fontId="7" fillId="0" borderId="0" xfId="0" applyFont="1" applyAlignment="1">
      <alignment horizontal="left" vertical="top"/>
    </xf>
    <xf numFmtId="0" fontId="0" fillId="0" borderId="0" xfId="0" applyAlignment="1"/>
    <xf numFmtId="0" fontId="4" fillId="0" borderId="0" xfId="0" applyFont="1" applyBorder="1" applyAlignment="1">
      <alignment horizontal="center" vertical="center"/>
    </xf>
    <xf numFmtId="0" fontId="0" fillId="0" borderId="0" xfId="0" applyBorder="1" applyAlignment="1">
      <alignment horizontal="center" vertical="center"/>
    </xf>
    <xf numFmtId="0" fontId="25" fillId="0" borderId="0" xfId="0" applyFont="1" applyAlignment="1"/>
    <xf numFmtId="0" fontId="4" fillId="0" borderId="0" xfId="0" applyFont="1" applyFill="1" applyBorder="1" applyAlignment="1">
      <alignment horizontal="center" vertical="center"/>
    </xf>
    <xf numFmtId="0" fontId="0" fillId="0" borderId="0" xfId="0" applyFill="1" applyBorder="1" applyAlignment="1">
      <alignment horizontal="center" vertical="center"/>
    </xf>
    <xf numFmtId="0" fontId="26" fillId="0" borderId="0" xfId="0" applyFont="1" applyAlignment="1"/>
    <xf numFmtId="0" fontId="4" fillId="0" borderId="0" xfId="0" applyFont="1" applyAlignment="1">
      <alignment vertical="top"/>
    </xf>
    <xf numFmtId="0" fontId="12" fillId="0" borderId="0" xfId="0" applyFont="1" applyAlignment="1">
      <alignment horizontal="center" vertical="top"/>
    </xf>
    <xf numFmtId="0" fontId="12" fillId="0" borderId="0" xfId="0" applyFont="1" applyAlignment="1">
      <alignment horizontal="left" vertical="top"/>
    </xf>
    <xf numFmtId="49" fontId="15" fillId="0" borderId="0" xfId="0" applyNumberFormat="1" applyFont="1" applyFill="1" applyBorder="1" applyAlignment="1">
      <alignment horizontal="left" vertical="top"/>
    </xf>
    <xf numFmtId="0" fontId="4" fillId="0" borderId="0" xfId="0" applyFont="1" applyBorder="1" applyAlignment="1">
      <alignment horizontal="left" vertical="top"/>
    </xf>
    <xf numFmtId="0" fontId="7" fillId="0" borderId="0" xfId="0" applyFont="1" applyFill="1" applyAlignment="1">
      <alignment horizontal="left" vertical="top"/>
    </xf>
    <xf numFmtId="49" fontId="2" fillId="0" borderId="0" xfId="0" applyNumberFormat="1" applyFont="1" applyFill="1" applyBorder="1" applyAlignment="1">
      <alignment horizontal="left" vertical="top"/>
    </xf>
    <xf numFmtId="0" fontId="0" fillId="0" borderId="0" xfId="0" applyBorder="1" applyAlignment="1">
      <alignment horizontal="left" vertical="top"/>
    </xf>
    <xf numFmtId="0" fontId="4" fillId="0" borderId="0" xfId="0" applyFont="1" applyFill="1" applyBorder="1" applyAlignment="1">
      <alignment horizontal="left" vertical="top"/>
    </xf>
    <xf numFmtId="0" fontId="0" fillId="0" borderId="0" xfId="0" applyFill="1" applyBorder="1" applyAlignment="1">
      <alignment horizontal="left" vertical="top"/>
    </xf>
    <xf numFmtId="0" fontId="17" fillId="0" borderId="0" xfId="0" applyFont="1" applyAlignment="1">
      <alignment horizontal="left" vertical="top"/>
    </xf>
    <xf numFmtId="49" fontId="4" fillId="0" borderId="0" xfId="0" applyNumberFormat="1" applyFont="1" applyFill="1" applyBorder="1" applyAlignment="1">
      <alignment horizontal="left" vertical="top"/>
    </xf>
    <xf numFmtId="49" fontId="15" fillId="0" borderId="0" xfId="0" applyNumberFormat="1" applyFont="1" applyFill="1" applyBorder="1" applyAlignment="1">
      <alignment horizontal="left" vertical="center"/>
    </xf>
    <xf numFmtId="49" fontId="2" fillId="0" borderId="0" xfId="0" applyNumberFormat="1" applyFont="1" applyFill="1" applyBorder="1" applyAlignment="1">
      <alignment horizontal="left" vertical="center"/>
    </xf>
    <xf numFmtId="0" fontId="7" fillId="0" borderId="0" xfId="0" applyFont="1" applyFill="1" applyAlignment="1">
      <alignment horizontal="left" vertical="center"/>
    </xf>
    <xf numFmtId="0" fontId="17" fillId="0" borderId="0" xfId="0" applyFont="1" applyAlignment="1">
      <alignment horizontal="left" vertical="center"/>
    </xf>
    <xf numFmtId="49" fontId="4" fillId="0" borderId="0" xfId="0" applyNumberFormat="1" applyFont="1" applyFill="1" applyBorder="1" applyAlignment="1">
      <alignment horizontal="left" vertical="center"/>
    </xf>
    <xf numFmtId="0" fontId="0" fillId="0" borderId="0" xfId="0" applyAlignment="1">
      <alignment horizontal="center"/>
    </xf>
    <xf numFmtId="0" fontId="4" fillId="9" borderId="0" xfId="0" applyFont="1" applyFill="1" applyAlignment="1" applyProtection="1">
      <alignment wrapText="1"/>
    </xf>
    <xf numFmtId="0" fontId="4" fillId="10" borderId="0" xfId="0" applyFont="1" applyFill="1" applyAlignment="1" applyProtection="1">
      <alignment wrapText="1"/>
    </xf>
    <xf numFmtId="0" fontId="0" fillId="0" borderId="0" xfId="0" applyBorder="1"/>
    <xf numFmtId="0" fontId="4" fillId="10" borderId="0" xfId="0" applyFont="1" applyFill="1" applyBorder="1" applyAlignment="1" applyProtection="1">
      <alignment wrapText="1"/>
    </xf>
    <xf numFmtId="0" fontId="1" fillId="0" borderId="0" xfId="0" applyFont="1"/>
    <xf numFmtId="164" fontId="4" fillId="0" borderId="0" xfId="0" applyNumberFormat="1" applyFont="1" applyAlignment="1">
      <alignment horizontal="center" vertical="center" wrapText="1"/>
    </xf>
    <xf numFmtId="164" fontId="0" fillId="0" borderId="0" xfId="0" applyNumberFormat="1" applyAlignment="1">
      <alignment horizontal="center" vertical="center"/>
    </xf>
    <xf numFmtId="0" fontId="0" fillId="0" borderId="0" xfId="0" applyBorder="1" applyAlignment="1">
      <alignment wrapText="1"/>
    </xf>
    <xf numFmtId="0" fontId="7" fillId="0" borderId="0" xfId="1" applyFont="1" applyBorder="1" applyAlignment="1">
      <alignment horizontal="left" vertical="justify" wrapText="1"/>
    </xf>
    <xf numFmtId="164" fontId="7" fillId="0" borderId="0" xfId="1" applyNumberFormat="1" applyFont="1" applyBorder="1" applyAlignment="1">
      <alignment horizontal="center" wrapText="1"/>
    </xf>
    <xf numFmtId="164" fontId="1" fillId="0" borderId="0" xfId="0" applyNumberFormat="1" applyFont="1" applyBorder="1" applyAlignment="1">
      <alignment horizontal="center" wrapText="1"/>
    </xf>
    <xf numFmtId="0" fontId="7" fillId="0" borderId="0" xfId="1" applyFont="1" applyFill="1" applyBorder="1" applyAlignment="1">
      <alignment horizontal="left" vertical="top" wrapText="1"/>
    </xf>
    <xf numFmtId="0" fontId="7" fillId="0" borderId="0" xfId="1" applyFont="1" applyBorder="1" applyAlignment="1">
      <alignment horizontal="left" vertical="top" wrapText="1"/>
    </xf>
    <xf numFmtId="164" fontId="1" fillId="0" borderId="0" xfId="0" applyNumberFormat="1" applyFont="1" applyAlignment="1">
      <alignment horizontal="center" vertical="center"/>
    </xf>
    <xf numFmtId="0" fontId="1" fillId="0" borderId="0" xfId="0" applyFont="1" applyBorder="1" applyAlignment="1">
      <alignment horizontal="left" vertical="center" wrapText="1"/>
    </xf>
    <xf numFmtId="0" fontId="1" fillId="0" borderId="0" xfId="0" applyFont="1" applyBorder="1" applyAlignment="1">
      <alignment horizontal="center" vertical="center" wrapText="1"/>
    </xf>
    <xf numFmtId="0" fontId="6" fillId="0" borderId="0" xfId="0" applyFont="1" applyAlignment="1">
      <alignment wrapText="1"/>
    </xf>
    <xf numFmtId="0" fontId="6" fillId="0" borderId="0" xfId="0" quotePrefix="1" applyFont="1" applyAlignment="1">
      <alignment horizontal="left" wrapText="1"/>
    </xf>
    <xf numFmtId="0" fontId="1" fillId="0" borderId="0" xfId="0" applyFont="1" applyFill="1" applyBorder="1"/>
    <xf numFmtId="0" fontId="1" fillId="0" borderId="0" xfId="0" applyFont="1" applyFill="1" applyBorder="1" applyAlignment="1">
      <alignment horizontal="left" vertical="center" wrapText="1"/>
    </xf>
    <xf numFmtId="164" fontId="1" fillId="0" borderId="0" xfId="0" applyNumberFormat="1" applyFont="1" applyFill="1" applyBorder="1" applyAlignment="1">
      <alignment horizontal="center" vertical="center" wrapText="1"/>
    </xf>
    <xf numFmtId="0" fontId="1" fillId="0" borderId="0" xfId="0" applyFont="1" applyAlignment="1">
      <alignment horizontal="left" vertical="top" wrapText="1"/>
    </xf>
    <xf numFmtId="0" fontId="1" fillId="0" borderId="0" xfId="0" applyFont="1" applyFill="1" applyAlignment="1">
      <alignment horizontal="left" vertical="top" wrapText="1"/>
    </xf>
    <xf numFmtId="0" fontId="1" fillId="0" borderId="0" xfId="0" applyFont="1" applyFill="1" applyAlignment="1">
      <alignment horizontal="center" vertical="center" wrapText="1"/>
    </xf>
    <xf numFmtId="164" fontId="1" fillId="0" borderId="0" xfId="0" applyNumberFormat="1" applyFont="1" applyAlignment="1">
      <alignment horizontal="center" vertical="center" wrapText="1"/>
    </xf>
    <xf numFmtId="0" fontId="0" fillId="0" borderId="0" xfId="0" applyAlignment="1">
      <alignment horizontal="center" vertical="center" wrapText="1"/>
    </xf>
    <xf numFmtId="164" fontId="7" fillId="0" borderId="0" xfId="0" applyNumberFormat="1" applyFont="1" applyAlignment="1">
      <alignment horizontal="center" vertical="center"/>
    </xf>
    <xf numFmtId="0" fontId="19" fillId="0" borderId="0" xfId="0" applyFont="1" applyFill="1" applyBorder="1" applyAlignment="1" applyProtection="1">
      <alignment horizontal="center" vertical="center" wrapText="1"/>
      <protection locked="0"/>
    </xf>
    <xf numFmtId="164" fontId="7" fillId="0" borderId="0" xfId="0" applyNumberFormat="1" applyFont="1" applyAlignment="1">
      <alignment horizontal="center" vertical="center" wrapText="1"/>
    </xf>
    <xf numFmtId="164" fontId="19" fillId="0" borderId="0" xfId="0" applyNumberFormat="1" applyFont="1" applyFill="1" applyBorder="1" applyAlignment="1" applyProtection="1">
      <alignment horizontal="center" vertical="center" wrapText="1"/>
      <protection locked="0"/>
    </xf>
    <xf numFmtId="0" fontId="1" fillId="0" borderId="0" xfId="0" applyFont="1" applyAlignment="1">
      <alignment horizontal="center" vertical="top" wrapText="1"/>
    </xf>
    <xf numFmtId="164" fontId="1" fillId="0" borderId="0" xfId="0" applyNumberFormat="1" applyFont="1" applyFill="1" applyBorder="1" applyAlignment="1">
      <alignment horizontal="center" vertical="top" wrapText="1"/>
    </xf>
    <xf numFmtId="0" fontId="6" fillId="0" borderId="0" xfId="0" applyFont="1" applyAlignment="1">
      <alignment horizontal="center" wrapText="1"/>
    </xf>
    <xf numFmtId="0" fontId="1" fillId="0" borderId="0" xfId="0" applyFont="1" applyAlignment="1" applyProtection="1">
      <alignment horizontal="left" vertical="top" wrapText="1"/>
    </xf>
    <xf numFmtId="0" fontId="12" fillId="0" borderId="0" xfId="0" applyFont="1" applyAlignment="1" applyProtection="1">
      <alignment horizontal="left" vertical="center"/>
      <protection locked="0"/>
    </xf>
    <xf numFmtId="0" fontId="0" fillId="0" borderId="0" xfId="0" applyAlignment="1">
      <alignment horizontal="center" wrapText="1"/>
    </xf>
    <xf numFmtId="0" fontId="0" fillId="0" borderId="0" xfId="0" applyAlignment="1">
      <alignment vertical="center" wrapText="1"/>
    </xf>
    <xf numFmtId="0" fontId="1" fillId="0" borderId="0" xfId="0" applyFont="1" applyFill="1" applyAlignment="1">
      <alignment horizontal="center" vertical="top" wrapText="1"/>
    </xf>
    <xf numFmtId="0" fontId="0" fillId="0" borderId="0" xfId="0" applyAlignment="1">
      <alignment horizontal="center" vertical="center"/>
    </xf>
    <xf numFmtId="0" fontId="1" fillId="0" borderId="0" xfId="0" applyFont="1" applyAlignment="1">
      <alignment wrapText="1"/>
    </xf>
    <xf numFmtId="0" fontId="0" fillId="0" borderId="0" xfId="0" applyAlignment="1">
      <alignment horizontal="center" wrapText="1"/>
    </xf>
    <xf numFmtId="0" fontId="1" fillId="0" borderId="0" xfId="0" applyFont="1" applyFill="1" applyBorder="1" applyAlignment="1">
      <alignment vertical="center" wrapText="1"/>
    </xf>
    <xf numFmtId="0" fontId="0" fillId="0" borderId="0" xfId="0" applyAlignment="1">
      <alignment horizontal="center" wrapText="1"/>
    </xf>
    <xf numFmtId="0" fontId="1" fillId="0" borderId="0" xfId="0" applyFont="1" applyAlignment="1">
      <alignment horizontal="center" wrapText="1"/>
    </xf>
    <xf numFmtId="0" fontId="1" fillId="0" borderId="0" xfId="0" applyFont="1" applyFill="1" applyBorder="1" applyAlignment="1">
      <alignment horizontal="center" vertical="center" wrapText="1"/>
    </xf>
    <xf numFmtId="0" fontId="6" fillId="0" borderId="0" xfId="0" applyFont="1"/>
    <xf numFmtId="0" fontId="29" fillId="0" borderId="0" xfId="0" applyFont="1" applyAlignment="1" applyProtection="1">
      <alignment horizontal="left" vertical="center"/>
    </xf>
    <xf numFmtId="164" fontId="0" fillId="0" borderId="0" xfId="0" applyNumberFormat="1" applyAlignment="1" applyProtection="1">
      <alignment horizontal="center" vertical="center"/>
    </xf>
    <xf numFmtId="0" fontId="0" fillId="0" borderId="0" xfId="0" applyAlignment="1" applyProtection="1">
      <alignment horizontal="center" vertical="center"/>
    </xf>
    <xf numFmtId="0" fontId="29" fillId="0" borderId="0" xfId="0" applyFont="1" applyAlignment="1" applyProtection="1">
      <alignment vertical="top"/>
    </xf>
    <xf numFmtId="0" fontId="0" fillId="0" borderId="0" xfId="0" applyAlignment="1" applyProtection="1">
      <alignment vertical="top"/>
    </xf>
    <xf numFmtId="0" fontId="28" fillId="0" borderId="0" xfId="0" applyFont="1" applyBorder="1" applyAlignment="1" applyProtection="1">
      <alignment horizontal="left"/>
    </xf>
    <xf numFmtId="7" fontId="0" fillId="0" borderId="0" xfId="0" applyNumberFormat="1" applyAlignment="1" applyProtection="1">
      <alignment horizontal="center" vertical="center" wrapText="1"/>
    </xf>
    <xf numFmtId="0" fontId="0" fillId="0" borderId="0" xfId="0" applyAlignment="1" applyProtection="1">
      <alignment horizontal="center" vertical="center" wrapText="1"/>
    </xf>
    <xf numFmtId="0" fontId="1" fillId="0" borderId="0" xfId="0" applyFont="1" applyBorder="1" applyAlignment="1" applyProtection="1">
      <alignment horizontal="left"/>
    </xf>
    <xf numFmtId="0" fontId="4" fillId="0" borderId="1" xfId="0" applyFont="1" applyBorder="1" applyAlignment="1" applyProtection="1">
      <alignment horizontal="left"/>
    </xf>
    <xf numFmtId="7" fontId="31" fillId="0" borderId="1" xfId="0" applyNumberFormat="1" applyFont="1" applyBorder="1" applyAlignment="1" applyProtection="1">
      <alignment horizontal="center" vertical="center" wrapText="1"/>
    </xf>
    <xf numFmtId="0" fontId="29" fillId="0" borderId="1" xfId="0" applyFont="1" applyBorder="1" applyAlignment="1" applyProtection="1">
      <alignment horizontal="center" vertical="center" wrapText="1"/>
    </xf>
    <xf numFmtId="49" fontId="29" fillId="0" borderId="1" xfId="0" applyNumberFormat="1" applyFont="1" applyBorder="1" applyAlignment="1" applyProtection="1">
      <alignment horizontal="center" vertical="center" wrapText="1"/>
    </xf>
    <xf numFmtId="0" fontId="0" fillId="0" borderId="1" xfId="0" applyBorder="1" applyAlignment="1" applyProtection="1">
      <alignment horizontal="center" vertical="center" wrapText="1"/>
    </xf>
    <xf numFmtId="0" fontId="29" fillId="0" borderId="1" xfId="0" applyFont="1" applyBorder="1" applyAlignment="1" applyProtection="1">
      <alignment vertical="top" wrapText="1"/>
    </xf>
    <xf numFmtId="0" fontId="1" fillId="0" borderId="1" xfId="0" applyFont="1" applyBorder="1" applyAlignment="1" applyProtection="1">
      <alignment horizontal="left"/>
    </xf>
    <xf numFmtId="7" fontId="0" fillId="0" borderId="1" xfId="0" applyNumberFormat="1" applyBorder="1" applyAlignment="1" applyProtection="1">
      <alignment horizontal="center" vertical="center" wrapText="1"/>
    </xf>
    <xf numFmtId="164" fontId="0" fillId="0" borderId="1" xfId="0" applyNumberFormat="1" applyBorder="1" applyAlignment="1" applyProtection="1">
      <alignment horizontal="center" vertical="center"/>
    </xf>
    <xf numFmtId="7" fontId="29" fillId="0" borderId="1" xfId="0" applyNumberFormat="1" applyFont="1" applyBorder="1" applyAlignment="1" applyProtection="1">
      <alignment horizontal="center" vertical="center"/>
    </xf>
    <xf numFmtId="7" fontId="29" fillId="0" borderId="1" xfId="0" applyNumberFormat="1" applyFont="1" applyBorder="1" applyAlignment="1" applyProtection="1">
      <alignment horizontal="center" vertical="center" wrapText="1"/>
    </xf>
    <xf numFmtId="0" fontId="29" fillId="0" borderId="1" xfId="0" applyFont="1" applyBorder="1" applyAlignment="1" applyProtection="1">
      <alignment horizontal="left" vertical="top"/>
    </xf>
    <xf numFmtId="0" fontId="0" fillId="0" borderId="0" xfId="0" applyFont="1" applyBorder="1" applyAlignment="1" applyProtection="1">
      <alignment horizontal="right" vertical="top"/>
    </xf>
    <xf numFmtId="0" fontId="30" fillId="0" borderId="0" xfId="0" applyFont="1" applyBorder="1" applyAlignment="1" applyProtection="1">
      <alignment horizontal="right"/>
    </xf>
    <xf numFmtId="0" fontId="0" fillId="0" borderId="0" xfId="0" applyFont="1" applyBorder="1" applyAlignment="1" applyProtection="1">
      <alignment horizontal="right"/>
    </xf>
    <xf numFmtId="0" fontId="6" fillId="0" borderId="0" xfId="0" applyFont="1" applyBorder="1" applyAlignment="1" applyProtection="1">
      <alignment horizontal="center" vertical="center"/>
    </xf>
    <xf numFmtId="168" fontId="6" fillId="0" borderId="0" xfId="0" applyNumberFormat="1" applyFont="1" applyBorder="1" applyAlignment="1" applyProtection="1">
      <alignment horizontal="center" vertical="center"/>
    </xf>
    <xf numFmtId="0" fontId="33" fillId="0" borderId="0" xfId="0" applyFont="1" applyBorder="1" applyAlignment="1" applyProtection="1">
      <alignment horizontal="left" vertical="center"/>
    </xf>
    <xf numFmtId="164" fontId="6" fillId="0" borderId="0" xfId="0" applyNumberFormat="1" applyFont="1" applyBorder="1" applyAlignment="1" applyProtection="1">
      <alignment horizontal="center" vertical="center"/>
    </xf>
    <xf numFmtId="0" fontId="33" fillId="0" borderId="0" xfId="0" applyFont="1" applyBorder="1" applyAlignment="1" applyProtection="1">
      <alignment vertical="top"/>
    </xf>
    <xf numFmtId="0" fontId="6" fillId="0" borderId="0" xfId="0" applyFont="1" applyBorder="1"/>
    <xf numFmtId="0" fontId="34" fillId="0" borderId="0" xfId="0" applyFont="1" applyBorder="1" applyAlignment="1" applyProtection="1">
      <alignment horizontal="center" vertical="center"/>
    </xf>
    <xf numFmtId="0" fontId="34" fillId="0" borderId="0" xfId="0" applyFont="1" applyBorder="1" applyAlignment="1" applyProtection="1">
      <alignment horizontal="left" vertical="center" wrapText="1"/>
    </xf>
    <xf numFmtId="0" fontId="24" fillId="0" borderId="0" xfId="0" applyFont="1" applyBorder="1" applyAlignment="1" applyProtection="1">
      <alignment horizontal="center" vertical="center"/>
    </xf>
    <xf numFmtId="0" fontId="33" fillId="0" borderId="0" xfId="0" applyFont="1" applyBorder="1" applyAlignment="1" applyProtection="1">
      <alignment horizontal="center" vertical="center" wrapText="1"/>
    </xf>
    <xf numFmtId="49" fontId="33"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33" fillId="0" borderId="0" xfId="0" applyFont="1" applyBorder="1" applyAlignment="1" applyProtection="1">
      <alignment vertical="top" wrapText="1"/>
    </xf>
    <xf numFmtId="0" fontId="6" fillId="0" borderId="0" xfId="0" applyFont="1" applyBorder="1" applyAlignment="1" applyProtection="1">
      <alignment horizontal="left" vertical="center" wrapText="1"/>
    </xf>
    <xf numFmtId="0" fontId="6" fillId="0" borderId="0" xfId="0" applyFont="1" applyBorder="1" applyAlignment="1" applyProtection="1">
      <alignment horizontal="center" vertical="center"/>
      <protection locked="0"/>
    </xf>
    <xf numFmtId="0" fontId="6" fillId="0" borderId="0" xfId="0" applyFont="1" applyBorder="1" applyAlignment="1" applyProtection="1">
      <alignment vertical="top"/>
      <protection locked="0"/>
    </xf>
    <xf numFmtId="2" fontId="6" fillId="0" borderId="0" xfId="0" applyNumberFormat="1" applyFont="1" applyBorder="1" applyAlignment="1" applyProtection="1">
      <alignment horizontal="center" vertical="center"/>
      <protection locked="0"/>
    </xf>
    <xf numFmtId="4" fontId="6" fillId="0" borderId="0" xfId="0" applyNumberFormat="1" applyFont="1" applyBorder="1" applyAlignment="1" applyProtection="1">
      <alignment horizontal="center" vertical="center"/>
    </xf>
    <xf numFmtId="7" fontId="6" fillId="0" borderId="0" xfId="0" applyNumberFormat="1" applyFont="1" applyBorder="1" applyAlignment="1" applyProtection="1">
      <alignment horizontal="center" vertical="center" wrapText="1"/>
    </xf>
    <xf numFmtId="7" fontId="33" fillId="0" borderId="0" xfId="0" applyNumberFormat="1" applyFont="1" applyBorder="1" applyAlignment="1" applyProtection="1">
      <alignment horizontal="center" vertical="center"/>
    </xf>
    <xf numFmtId="168" fontId="34" fillId="0" borderId="0" xfId="0" applyNumberFormat="1" applyFont="1" applyBorder="1" applyAlignment="1" applyProtection="1">
      <alignment horizontal="center" vertical="center"/>
    </xf>
    <xf numFmtId="2" fontId="24" fillId="0" borderId="0" xfId="0" applyNumberFormat="1" applyFont="1" applyBorder="1" applyAlignment="1" applyProtection="1">
      <alignment horizontal="center" vertical="center"/>
    </xf>
    <xf numFmtId="0" fontId="24" fillId="0" borderId="0" xfId="0" applyFont="1" applyBorder="1" applyAlignment="1" applyProtection="1">
      <alignment horizontal="left"/>
    </xf>
    <xf numFmtId="2" fontId="6" fillId="0" borderId="0" xfId="0" applyNumberFormat="1"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Alignment="1" applyProtection="1">
      <alignment vertical="top"/>
    </xf>
    <xf numFmtId="0" fontId="34" fillId="0" borderId="0" xfId="0" applyFont="1" applyBorder="1" applyAlignment="1" applyProtection="1">
      <alignment vertical="center"/>
    </xf>
    <xf numFmtId="0" fontId="6" fillId="0" borderId="0" xfId="0" applyFont="1" applyBorder="1" applyAlignment="1">
      <alignment wrapText="1"/>
    </xf>
    <xf numFmtId="0" fontId="0" fillId="13" borderId="0" xfId="0" applyFill="1"/>
    <xf numFmtId="0" fontId="6" fillId="13" borderId="0" xfId="0" applyFont="1" applyFill="1"/>
    <xf numFmtId="0" fontId="6" fillId="13" borderId="0" xfId="0" applyFont="1" applyFill="1" applyBorder="1" applyAlignment="1">
      <alignment vertical="center" wrapText="1"/>
    </xf>
    <xf numFmtId="0" fontId="6" fillId="13" borderId="0" xfId="0" applyFont="1" applyFill="1" applyBorder="1" applyAlignment="1">
      <alignment horizontal="center" vertical="center" wrapText="1"/>
    </xf>
    <xf numFmtId="164" fontId="35" fillId="13" borderId="0" xfId="0" applyNumberFormat="1" applyFont="1" applyFill="1" applyAlignment="1">
      <alignment horizontal="center" vertical="center" wrapText="1"/>
    </xf>
    <xf numFmtId="0" fontId="6" fillId="13" borderId="0" xfId="0" applyFont="1" applyFill="1" applyAlignment="1">
      <alignment wrapText="1"/>
    </xf>
    <xf numFmtId="0" fontId="6" fillId="13" borderId="0" xfId="0" applyFont="1" applyFill="1" applyBorder="1" applyAlignment="1">
      <alignment horizontal="left" vertical="center" wrapText="1"/>
    </xf>
    <xf numFmtId="0" fontId="7" fillId="0" borderId="17" xfId="0" applyFont="1" applyBorder="1" applyAlignment="1">
      <alignment wrapText="1"/>
    </xf>
    <xf numFmtId="0" fontId="32" fillId="0" borderId="19" xfId="0" applyFont="1" applyFill="1" applyBorder="1" applyAlignment="1" applyProtection="1">
      <alignment horizontal="center" vertical="center" wrapText="1"/>
    </xf>
    <xf numFmtId="0" fontId="32" fillId="0" borderId="19" xfId="0" applyFont="1" applyFill="1" applyBorder="1" applyAlignment="1" applyProtection="1">
      <alignment horizontal="center" wrapText="1"/>
    </xf>
    <xf numFmtId="0" fontId="7" fillId="0" borderId="19" xfId="0" applyFont="1" applyBorder="1"/>
    <xf numFmtId="164" fontId="6" fillId="13" borderId="0" xfId="0" applyNumberFormat="1" applyFont="1" applyFill="1" applyAlignment="1">
      <alignment horizontal="center" vertical="center" wrapText="1"/>
    </xf>
    <xf numFmtId="164" fontId="6" fillId="13" borderId="0" xfId="0" applyNumberFormat="1" applyFont="1" applyFill="1"/>
    <xf numFmtId="0" fontId="35" fillId="13" borderId="0" xfId="0" applyFont="1" applyFill="1"/>
    <xf numFmtId="0" fontId="6" fillId="0" borderId="0" xfId="0" applyFont="1" applyFill="1" applyBorder="1" applyAlignment="1">
      <alignment vertical="center" wrapText="1"/>
    </xf>
    <xf numFmtId="0" fontId="6" fillId="0" borderId="0" xfId="0" applyFont="1" applyFill="1" applyBorder="1" applyAlignment="1">
      <alignment horizontal="center" vertical="center" wrapText="1"/>
    </xf>
    <xf numFmtId="0" fontId="6" fillId="13" borderId="0" xfId="0" applyFont="1" applyFill="1" applyBorder="1"/>
    <xf numFmtId="164" fontId="35" fillId="0" borderId="0" xfId="0" applyNumberFormat="1" applyFont="1" applyFill="1" applyAlignment="1">
      <alignment horizontal="center" vertical="center" wrapText="1"/>
    </xf>
    <xf numFmtId="0" fontId="6" fillId="0" borderId="0" xfId="0" applyFont="1" applyFill="1" applyAlignment="1">
      <alignment wrapText="1"/>
    </xf>
    <xf numFmtId="0" fontId="6" fillId="0" borderId="0" xfId="0" applyFont="1" applyBorder="1" applyAlignment="1">
      <alignment horizontal="center"/>
    </xf>
    <xf numFmtId="0" fontId="1" fillId="0" borderId="0" xfId="0" applyFont="1" applyFill="1"/>
    <xf numFmtId="0" fontId="32" fillId="0" borderId="19" xfId="0" applyFont="1" applyFill="1" applyBorder="1" applyAlignment="1" applyProtection="1">
      <alignment horizontal="left" wrapText="1"/>
    </xf>
    <xf numFmtId="0" fontId="7" fillId="0" borderId="0" xfId="0" applyFont="1" applyBorder="1" applyAlignment="1">
      <alignment horizontal="left" wrapText="1"/>
    </xf>
    <xf numFmtId="0" fontId="7" fillId="0" borderId="0" xfId="0" applyFont="1" applyBorder="1" applyAlignment="1">
      <alignment horizontal="center" wrapText="1"/>
    </xf>
    <xf numFmtId="0" fontId="7" fillId="0" borderId="0" xfId="0" applyFont="1" applyBorder="1" applyAlignment="1">
      <alignment wrapText="1"/>
    </xf>
    <xf numFmtId="0" fontId="32" fillId="0" borderId="0" xfId="0" applyFont="1" applyFill="1" applyBorder="1" applyAlignment="1" applyProtection="1">
      <alignment horizontal="center" vertical="center" wrapText="1"/>
    </xf>
    <xf numFmtId="0" fontId="32" fillId="0" borderId="0" xfId="0" applyFont="1" applyFill="1" applyBorder="1" applyAlignment="1" applyProtection="1">
      <alignment horizontal="left" wrapText="1"/>
    </xf>
    <xf numFmtId="0" fontId="7" fillId="0" borderId="0" xfId="0" applyFont="1" applyBorder="1"/>
    <xf numFmtId="0" fontId="6" fillId="0" borderId="0" xfId="0" applyFont="1" applyFill="1"/>
    <xf numFmtId="0" fontId="32" fillId="0" borderId="0" xfId="0" applyFont="1" applyFill="1" applyBorder="1" applyAlignment="1" applyProtection="1">
      <alignment horizontal="center" wrapText="1"/>
    </xf>
    <xf numFmtId="164" fontId="6" fillId="0" borderId="0" xfId="0" applyNumberFormat="1" applyFont="1" applyFill="1"/>
    <xf numFmtId="0" fontId="7" fillId="0" borderId="0" xfId="0" applyFont="1" applyFill="1" applyBorder="1"/>
    <xf numFmtId="0" fontId="7" fillId="0" borderId="0" xfId="0" applyFont="1" applyFill="1" applyBorder="1" applyAlignment="1">
      <alignment wrapText="1"/>
    </xf>
    <xf numFmtId="0" fontId="6" fillId="0" borderId="0" xfId="0" applyFont="1" applyFill="1" applyBorder="1"/>
    <xf numFmtId="0" fontId="35" fillId="0" borderId="0" xfId="0" applyFont="1" applyFill="1" applyBorder="1" applyAlignment="1">
      <alignment horizontal="center"/>
    </xf>
    <xf numFmtId="164" fontId="7" fillId="0" borderId="17" xfId="0" applyNumberFormat="1" applyFont="1" applyBorder="1" applyAlignment="1">
      <alignment wrapText="1"/>
    </xf>
    <xf numFmtId="164" fontId="32" fillId="0" borderId="19" xfId="0" applyNumberFormat="1" applyFont="1" applyFill="1" applyBorder="1" applyAlignment="1" applyProtection="1">
      <alignment horizontal="center" vertical="center" wrapText="1"/>
    </xf>
    <xf numFmtId="164" fontId="32" fillId="0" borderId="0" xfId="0" applyNumberFormat="1" applyFont="1" applyFill="1" applyBorder="1" applyAlignment="1" applyProtection="1">
      <alignment horizontal="center" vertical="center" wrapText="1"/>
    </xf>
    <xf numFmtId="164" fontId="1" fillId="0" borderId="0" xfId="0" applyNumberFormat="1" applyFont="1"/>
    <xf numFmtId="0" fontId="4" fillId="10" borderId="0" xfId="0" applyFont="1" applyFill="1" applyAlignment="1" applyProtection="1">
      <alignment horizontal="right" wrapText="1"/>
    </xf>
    <xf numFmtId="0" fontId="4" fillId="9" borderId="0" xfId="0" applyFont="1" applyFill="1" applyAlignment="1" applyProtection="1">
      <alignment horizontal="right" wrapText="1"/>
    </xf>
    <xf numFmtId="0" fontId="4" fillId="0" borderId="0" xfId="0" applyFont="1" applyAlignment="1" applyProtection="1">
      <alignment horizontal="right" wrapText="1"/>
    </xf>
    <xf numFmtId="0" fontId="1" fillId="14" borderId="0" xfId="0" applyFont="1" applyFill="1"/>
    <xf numFmtId="164" fontId="1" fillId="14" borderId="0" xfId="0" applyNumberFormat="1" applyFont="1" applyFill="1"/>
    <xf numFmtId="0" fontId="1" fillId="0" borderId="0" xfId="0" applyFont="1" applyProtection="1"/>
    <xf numFmtId="0" fontId="36" fillId="10" borderId="0" xfId="0" applyFont="1" applyFill="1" applyAlignment="1" applyProtection="1">
      <alignment horizontal="center" wrapText="1"/>
    </xf>
    <xf numFmtId="164" fontId="1" fillId="10" borderId="0" xfId="0" applyNumberFormat="1" applyFont="1" applyFill="1" applyBorder="1" applyAlignment="1" applyProtection="1">
      <alignment horizontal="right" vertical="center" wrapText="1"/>
    </xf>
    <xf numFmtId="164" fontId="1" fillId="8" borderId="1" xfId="0" applyNumberFormat="1" applyFont="1" applyFill="1" applyBorder="1" applyAlignment="1" applyProtection="1">
      <alignment horizontal="left" wrapText="1"/>
    </xf>
    <xf numFmtId="164" fontId="1" fillId="0" borderId="0" xfId="0" applyNumberFormat="1" applyFont="1" applyFill="1" applyBorder="1" applyAlignment="1" applyProtection="1">
      <alignment horizontal="right" wrapText="1"/>
    </xf>
    <xf numFmtId="166" fontId="7" fillId="5" borderId="1" xfId="0" applyNumberFormat="1" applyFont="1" applyFill="1" applyBorder="1" applyAlignment="1" applyProtection="1">
      <alignment horizontal="center" wrapText="1"/>
      <protection locked="0"/>
    </xf>
    <xf numFmtId="0" fontId="1" fillId="0" borderId="2" xfId="0" applyFont="1" applyFill="1" applyBorder="1" applyAlignment="1" applyProtection="1">
      <alignment horizontal="right"/>
    </xf>
    <xf numFmtId="0" fontId="1" fillId="0" borderId="0" xfId="0" applyFont="1" applyBorder="1" applyAlignment="1">
      <alignment horizontal="left" vertical="center"/>
    </xf>
    <xf numFmtId="0" fontId="1" fillId="0" borderId="8" xfId="0" applyFont="1" applyFill="1" applyBorder="1" applyAlignment="1" applyProtection="1">
      <alignment horizontal="left"/>
      <protection locked="0"/>
    </xf>
    <xf numFmtId="0" fontId="7" fillId="5" borderId="1" xfId="0" applyFont="1" applyFill="1" applyBorder="1" applyAlignment="1" applyProtection="1">
      <alignment horizontal="center"/>
      <protection locked="0"/>
    </xf>
    <xf numFmtId="0" fontId="7" fillId="8" borderId="1" xfId="0" applyFont="1" applyFill="1" applyBorder="1" applyAlignment="1" applyProtection="1">
      <alignment horizontal="left" vertical="center" wrapText="1"/>
      <protection locked="0"/>
    </xf>
    <xf numFmtId="0" fontId="7" fillId="0" borderId="1" xfId="0" applyFont="1" applyFill="1" applyBorder="1" applyAlignment="1" applyProtection="1">
      <alignment horizontal="center" vertical="center"/>
      <protection locked="0"/>
    </xf>
    <xf numFmtId="0" fontId="6" fillId="0" borderId="0" xfId="0" applyFont="1" applyAlignment="1"/>
    <xf numFmtId="0" fontId="1" fillId="0" borderId="0" xfId="0" applyFont="1" applyAlignment="1" applyProtection="1">
      <alignment horizontal="center"/>
    </xf>
    <xf numFmtId="0" fontId="4" fillId="12" borderId="8" xfId="0" applyFont="1" applyFill="1" applyBorder="1" applyAlignment="1" applyProtection="1">
      <alignment horizontal="center" vertical="center" wrapText="1"/>
    </xf>
    <xf numFmtId="0" fontId="12" fillId="12" borderId="1" xfId="0" applyFont="1" applyFill="1" applyBorder="1" applyAlignment="1" applyProtection="1">
      <alignment horizontal="center" vertical="center" wrapText="1"/>
    </xf>
    <xf numFmtId="164" fontId="4" fillId="12" borderId="3" xfId="0" applyNumberFormat="1" applyFont="1" applyFill="1" applyBorder="1" applyAlignment="1" applyProtection="1">
      <alignment horizontal="center" vertical="center" wrapText="1"/>
    </xf>
    <xf numFmtId="164" fontId="1" fillId="12" borderId="3" xfId="0" applyNumberFormat="1" applyFont="1" applyFill="1" applyBorder="1" applyAlignment="1" applyProtection="1">
      <alignment horizontal="center" vertical="center" wrapText="1"/>
    </xf>
    <xf numFmtId="0" fontId="4" fillId="10" borderId="0" xfId="0" applyFont="1" applyFill="1" applyBorder="1" applyAlignment="1" applyProtection="1">
      <alignment horizontal="center" wrapText="1"/>
    </xf>
    <xf numFmtId="0" fontId="4" fillId="10" borderId="12" xfId="0" applyFont="1" applyFill="1" applyBorder="1" applyAlignment="1" applyProtection="1">
      <alignment horizontal="center" wrapText="1"/>
    </xf>
    <xf numFmtId="0" fontId="4" fillId="10" borderId="9" xfId="0" applyFont="1" applyFill="1" applyBorder="1" applyAlignment="1" applyProtection="1">
      <alignment horizontal="center" vertical="center" wrapText="1"/>
    </xf>
    <xf numFmtId="0" fontId="4" fillId="10" borderId="10" xfId="0" applyFont="1" applyFill="1" applyBorder="1" applyAlignment="1" applyProtection="1">
      <alignment horizontal="right" vertical="center" wrapText="1"/>
    </xf>
    <xf numFmtId="167" fontId="6" fillId="0" borderId="10" xfId="0" applyNumberFormat="1" applyFont="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164" fontId="6" fillId="11" borderId="1" xfId="0" applyNumberFormat="1" applyFont="1" applyFill="1" applyBorder="1" applyAlignment="1" applyProtection="1">
      <alignment horizontal="right" vertical="center" wrapText="1"/>
    </xf>
    <xf numFmtId="0" fontId="7" fillId="0" borderId="0" xfId="0" applyFont="1" applyAlignment="1" applyProtection="1"/>
    <xf numFmtId="0" fontId="1" fillId="0" borderId="0" xfId="0" quotePrefix="1" applyFont="1" applyFill="1" applyBorder="1" applyAlignment="1">
      <alignment horizontal="left" vertical="center"/>
    </xf>
    <xf numFmtId="0" fontId="7" fillId="11" borderId="14" xfId="0" applyFont="1" applyFill="1" applyBorder="1" applyAlignment="1" applyProtection="1">
      <alignment vertical="center" wrapText="1"/>
    </xf>
    <xf numFmtId="0" fontId="1" fillId="11" borderId="11" xfId="0" applyFont="1" applyFill="1" applyBorder="1" applyAlignment="1" applyProtection="1">
      <alignment vertical="center" wrapText="1"/>
    </xf>
    <xf numFmtId="0" fontId="1" fillId="11" borderId="9" xfId="0" applyFont="1" applyFill="1" applyBorder="1" applyAlignment="1" applyProtection="1">
      <alignment vertical="center" wrapText="1"/>
    </xf>
    <xf numFmtId="164" fontId="7" fillId="11" borderId="1" xfId="0" applyNumberFormat="1" applyFont="1" applyFill="1" applyBorder="1" applyAlignment="1" applyProtection="1">
      <alignment horizontal="right" vertical="center" wrapText="1"/>
    </xf>
    <xf numFmtId="0" fontId="1" fillId="0" borderId="0" xfId="0" applyFont="1" applyAlignment="1" applyProtection="1"/>
    <xf numFmtId="0" fontId="7" fillId="11" borderId="8" xfId="0" applyFont="1" applyFill="1" applyBorder="1" applyAlignment="1" applyProtection="1">
      <alignment horizontal="left" vertical="center"/>
    </xf>
    <xf numFmtId="0" fontId="7" fillId="11" borderId="9" xfId="0" applyFont="1" applyFill="1" applyBorder="1" applyAlignment="1" applyProtection="1">
      <alignment vertical="center" wrapText="1"/>
    </xf>
    <xf numFmtId="0" fontId="7" fillId="11" borderId="8" xfId="0" applyFont="1" applyFill="1" applyBorder="1" applyAlignment="1" applyProtection="1">
      <alignment vertical="center" wrapText="1"/>
    </xf>
    <xf numFmtId="0" fontId="7" fillId="11" borderId="5" xfId="0" applyFont="1" applyFill="1" applyBorder="1" applyAlignment="1" applyProtection="1">
      <alignment vertical="center" wrapText="1"/>
    </xf>
    <xf numFmtId="0" fontId="7" fillId="11" borderId="6" xfId="0" applyFont="1" applyFill="1" applyBorder="1" applyAlignment="1" applyProtection="1">
      <alignment vertical="center" wrapText="1"/>
    </xf>
    <xf numFmtId="0" fontId="7" fillId="10" borderId="0" xfId="0" applyFont="1" applyFill="1" applyBorder="1" applyAlignment="1" applyProtection="1">
      <alignment vertical="center" wrapText="1"/>
    </xf>
    <xf numFmtId="0" fontId="4" fillId="6" borderId="6" xfId="0" applyFont="1" applyFill="1" applyBorder="1" applyAlignment="1" applyProtection="1">
      <alignment horizontal="right" vertical="top" wrapText="1"/>
    </xf>
    <xf numFmtId="0" fontId="7" fillId="0" borderId="0" xfId="0" applyFont="1" applyFill="1" applyBorder="1" applyAlignment="1" applyProtection="1"/>
    <xf numFmtId="0" fontId="4" fillId="6" borderId="0" xfId="0" applyFont="1" applyFill="1" applyBorder="1" applyAlignment="1" applyProtection="1">
      <alignment horizontal="right" vertical="top" wrapText="1"/>
    </xf>
    <xf numFmtId="0" fontId="4" fillId="6" borderId="0" xfId="0" applyFont="1" applyFill="1" applyBorder="1" applyAlignment="1" applyProtection="1">
      <alignment horizontal="left" vertical="top" wrapText="1"/>
    </xf>
    <xf numFmtId="0" fontId="4" fillId="6" borderId="0" xfId="0" applyFont="1" applyFill="1" applyBorder="1" applyAlignment="1" applyProtection="1">
      <alignment horizontal="center" vertical="center" wrapText="1"/>
    </xf>
    <xf numFmtId="0" fontId="4" fillId="0" borderId="1" xfId="0" applyFont="1" applyFill="1" applyBorder="1" applyAlignment="1" applyProtection="1">
      <alignment vertical="center" wrapText="1"/>
    </xf>
    <xf numFmtId="0" fontId="1" fillId="0" borderId="0" xfId="0" applyFont="1" applyFill="1" applyBorder="1" applyAlignment="1" applyProtection="1"/>
    <xf numFmtId="0" fontId="1" fillId="0" borderId="0" xfId="0" applyFont="1" applyFill="1" applyBorder="1" applyAlignment="1">
      <alignment horizontal="left" vertical="center"/>
    </xf>
    <xf numFmtId="0" fontId="1" fillId="10" borderId="0" xfId="0" applyFont="1" applyFill="1" applyBorder="1" applyAlignment="1">
      <alignment horizontal="left" vertical="center"/>
    </xf>
    <xf numFmtId="0" fontId="7" fillId="10" borderId="0" xfId="0" applyFont="1" applyFill="1" applyBorder="1" applyAlignment="1" applyProtection="1"/>
    <xf numFmtId="0" fontId="6" fillId="10" borderId="0" xfId="0" applyNumberFormat="1" applyFont="1" applyFill="1" applyBorder="1" applyAlignment="1" applyProtection="1">
      <alignment horizontal="left" vertical="center" wrapText="1"/>
    </xf>
    <xf numFmtId="167" fontId="6" fillId="10" borderId="0" xfId="0" applyNumberFormat="1" applyFont="1" applyFill="1" applyBorder="1" applyAlignment="1" applyProtection="1">
      <alignment horizontal="center" vertical="center" wrapText="1"/>
      <protection locked="0"/>
    </xf>
    <xf numFmtId="0" fontId="6" fillId="10" borderId="0" xfId="0" applyFont="1" applyFill="1" applyBorder="1" applyAlignment="1" applyProtection="1">
      <alignment horizontal="center" vertical="center" wrapText="1"/>
      <protection locked="0"/>
    </xf>
    <xf numFmtId="164" fontId="6" fillId="10" borderId="0" xfId="0" applyNumberFormat="1" applyFont="1" applyFill="1" applyBorder="1" applyAlignment="1" applyProtection="1">
      <alignment horizontal="right" vertical="center" wrapText="1"/>
    </xf>
    <xf numFmtId="0" fontId="1" fillId="10" borderId="0" xfId="0" applyFont="1" applyFill="1" applyBorder="1"/>
    <xf numFmtId="0" fontId="1" fillId="10" borderId="0" xfId="0" applyFont="1" applyFill="1" applyBorder="1" applyProtection="1"/>
    <xf numFmtId="0" fontId="4" fillId="10" borderId="0" xfId="0" applyFont="1" applyFill="1" applyBorder="1" applyAlignment="1" applyProtection="1">
      <alignment horizontal="right" wrapText="1"/>
    </xf>
    <xf numFmtId="164" fontId="1" fillId="0" borderId="0" xfId="0" applyNumberFormat="1" applyFont="1" applyFill="1"/>
    <xf numFmtId="2" fontId="6" fillId="0" borderId="10" xfId="0" applyNumberFormat="1" applyFont="1" applyBorder="1" applyAlignment="1" applyProtection="1">
      <alignment horizontal="center" vertical="center" wrapText="1"/>
      <protection locked="0"/>
    </xf>
    <xf numFmtId="2" fontId="4" fillId="10" borderId="9" xfId="0" applyNumberFormat="1" applyFont="1" applyFill="1" applyBorder="1" applyAlignment="1" applyProtection="1">
      <alignment horizontal="center" vertical="center" wrapText="1"/>
    </xf>
    <xf numFmtId="2" fontId="6" fillId="10" borderId="0" xfId="0" applyNumberFormat="1" applyFont="1" applyFill="1" applyBorder="1" applyAlignment="1" applyProtection="1">
      <alignment horizontal="center" vertical="center" wrapText="1"/>
      <protection locked="0"/>
    </xf>
    <xf numFmtId="2" fontId="4" fillId="10" borderId="0" xfId="0" applyNumberFormat="1" applyFont="1" applyFill="1" applyBorder="1" applyAlignment="1" applyProtection="1">
      <alignment wrapText="1"/>
    </xf>
    <xf numFmtId="2" fontId="7" fillId="10" borderId="0" xfId="0" applyNumberFormat="1" applyFont="1" applyFill="1" applyBorder="1" applyAlignment="1" applyProtection="1">
      <alignment horizontal="center" wrapText="1"/>
      <protection locked="0"/>
    </xf>
    <xf numFmtId="2" fontId="4" fillId="9" borderId="0" xfId="0" applyNumberFormat="1" applyFont="1" applyFill="1" applyAlignment="1" applyProtection="1">
      <alignment wrapText="1"/>
    </xf>
    <xf numFmtId="2" fontId="4" fillId="10" borderId="0" xfId="0" applyNumberFormat="1" applyFont="1" applyFill="1" applyBorder="1" applyAlignment="1" applyProtection="1">
      <alignment horizontal="center" wrapText="1"/>
    </xf>
    <xf numFmtId="2" fontId="4" fillId="6" borderId="0" xfId="0" applyNumberFormat="1" applyFont="1" applyFill="1" applyBorder="1" applyAlignment="1" applyProtection="1">
      <alignment horizontal="left" vertical="top" wrapText="1"/>
    </xf>
    <xf numFmtId="2" fontId="4" fillId="0" borderId="0" xfId="0" applyNumberFormat="1" applyFont="1" applyAlignment="1" applyProtection="1">
      <alignment wrapText="1"/>
    </xf>
    <xf numFmtId="169" fontId="35" fillId="0" borderId="0" xfId="0" applyNumberFormat="1" applyFont="1" applyFill="1" applyAlignment="1">
      <alignment horizontal="center" vertical="center" wrapText="1"/>
    </xf>
    <xf numFmtId="49" fontId="6" fillId="0" borderId="0" xfId="0" applyNumberFormat="1" applyFont="1" applyBorder="1" applyAlignment="1" applyProtection="1">
      <alignment horizontal="center" vertical="center"/>
    </xf>
    <xf numFmtId="1" fontId="4" fillId="0" borderId="0" xfId="0" applyNumberFormat="1" applyFont="1" applyFill="1" applyBorder="1" applyAlignment="1">
      <alignment horizontal="center" vertical="center" wrapText="1"/>
    </xf>
    <xf numFmtId="0" fontId="1" fillId="0" borderId="0" xfId="0" applyNumberFormat="1" applyFont="1" applyFill="1" applyBorder="1" applyAlignment="1">
      <alignment horizontal="center" vertical="center"/>
    </xf>
    <xf numFmtId="0" fontId="0" fillId="0" borderId="0" xfId="0" applyAlignment="1">
      <alignment vertical="center"/>
    </xf>
    <xf numFmtId="1" fontId="1" fillId="0" borderId="0" xfId="0" applyNumberFormat="1" applyFont="1" applyFill="1" applyBorder="1" applyAlignment="1">
      <alignment horizontal="center" vertical="center"/>
    </xf>
    <xf numFmtId="0" fontId="4" fillId="0" borderId="0" xfId="0" applyFont="1" applyBorder="1" applyAlignment="1">
      <alignment horizontal="center" vertical="center" wrapText="1"/>
    </xf>
    <xf numFmtId="0" fontId="0" fillId="0" borderId="0" xfId="0" applyBorder="1" applyAlignment="1">
      <alignment vertical="center" wrapText="1"/>
    </xf>
    <xf numFmtId="0" fontId="0" fillId="0" borderId="0" xfId="0" applyBorder="1" applyAlignment="1">
      <alignment vertical="center"/>
    </xf>
    <xf numFmtId="0" fontId="7" fillId="0" borderId="0" xfId="0" applyFont="1" applyFill="1" applyBorder="1" applyProtection="1"/>
    <xf numFmtId="0" fontId="1" fillId="0" borderId="0" xfId="0" applyFont="1" applyFill="1" applyBorder="1" applyAlignment="1">
      <alignment horizontal="left" vertical="top" wrapText="1"/>
    </xf>
    <xf numFmtId="0" fontId="1" fillId="0" borderId="0" xfId="0" applyNumberFormat="1" applyFont="1" applyFill="1" applyBorder="1" applyAlignment="1">
      <alignment horizontal="center" vertical="top" wrapText="1"/>
    </xf>
    <xf numFmtId="0" fontId="1" fillId="0" borderId="0" xfId="0" applyFont="1" applyFill="1" applyBorder="1" applyAlignment="1">
      <alignment horizontal="center" vertical="top" wrapText="1"/>
    </xf>
    <xf numFmtId="0" fontId="0" fillId="0" borderId="0" xfId="0" applyNumberFormat="1" applyFill="1" applyBorder="1" applyAlignment="1">
      <alignment horizontal="center"/>
    </xf>
    <xf numFmtId="0" fontId="0" fillId="0" borderId="0" xfId="0" applyFill="1" applyBorder="1" applyAlignment="1">
      <alignment horizontal="center"/>
    </xf>
    <xf numFmtId="0" fontId="0" fillId="0" borderId="0" xfId="0" applyAlignment="1">
      <alignment horizontal="left" vertical="center"/>
    </xf>
    <xf numFmtId="0" fontId="0" fillId="0" borderId="0" xfId="0" applyNumberFormat="1" applyAlignment="1">
      <alignment horizontal="center" vertical="center"/>
    </xf>
    <xf numFmtId="49" fontId="0" fillId="0" borderId="0" xfId="0" applyNumberFormat="1" applyAlignment="1">
      <alignment vertical="center"/>
    </xf>
    <xf numFmtId="0" fontId="0" fillId="0" borderId="0" xfId="0" applyAlignment="1">
      <alignment horizontal="left" vertical="center" wrapText="1"/>
    </xf>
    <xf numFmtId="49" fontId="0" fillId="0" borderId="0" xfId="0" applyNumberFormat="1" applyAlignment="1">
      <alignment horizontal="center" vertical="center"/>
    </xf>
    <xf numFmtId="0" fontId="0" fillId="0" borderId="6" xfId="0" applyBorder="1"/>
    <xf numFmtId="0" fontId="6" fillId="13" borderId="6" xfId="0" applyFont="1" applyFill="1" applyBorder="1" applyAlignment="1">
      <alignment vertical="center" wrapText="1"/>
    </xf>
    <xf numFmtId="0" fontId="6" fillId="13" borderId="6" xfId="0" applyFont="1" applyFill="1" applyBorder="1" applyAlignment="1">
      <alignment horizontal="center" vertical="center" wrapText="1"/>
    </xf>
    <xf numFmtId="164" fontId="35" fillId="13" borderId="6" xfId="0" applyNumberFormat="1" applyFont="1" applyFill="1" applyBorder="1" applyAlignment="1">
      <alignment horizontal="center" vertical="center" wrapText="1"/>
    </xf>
    <xf numFmtId="0" fontId="6" fillId="13" borderId="6" xfId="0" applyFont="1" applyFill="1" applyBorder="1" applyAlignment="1">
      <alignment wrapText="1"/>
    </xf>
    <xf numFmtId="0" fontId="1" fillId="0" borderId="6" xfId="0" applyFont="1" applyBorder="1"/>
    <xf numFmtId="1" fontId="6" fillId="13" borderId="0" xfId="0" applyNumberFormat="1" applyFont="1" applyFill="1" applyAlignment="1">
      <alignment horizontal="center"/>
    </xf>
    <xf numFmtId="7" fontId="35" fillId="0" borderId="0" xfId="0" applyNumberFormat="1" applyFont="1" applyFill="1" applyAlignment="1">
      <alignment horizontal="center" vertical="center" wrapText="1"/>
    </xf>
    <xf numFmtId="7" fontId="35" fillId="13" borderId="0" xfId="0" applyNumberFormat="1" applyFont="1" applyFill="1" applyAlignment="1">
      <alignment horizontal="center" vertical="center" wrapText="1"/>
    </xf>
    <xf numFmtId="7" fontId="35" fillId="13" borderId="6" xfId="0" applyNumberFormat="1" applyFont="1" applyFill="1" applyBorder="1" applyAlignment="1">
      <alignment horizontal="center" vertical="center" wrapText="1"/>
    </xf>
    <xf numFmtId="7" fontId="6" fillId="0" borderId="0" xfId="0" applyNumberFormat="1" applyFont="1"/>
    <xf numFmtId="7" fontId="6" fillId="13" borderId="0" xfId="0" applyNumberFormat="1" applyFont="1" applyFill="1" applyAlignment="1">
      <alignment horizontal="center"/>
    </xf>
    <xf numFmtId="7" fontId="6" fillId="13" borderId="0" xfId="0" applyNumberFormat="1" applyFont="1" applyFill="1" applyBorder="1" applyAlignment="1">
      <alignment horizontal="center" vertical="center" wrapText="1"/>
    </xf>
    <xf numFmtId="0" fontId="6" fillId="13" borderId="0" xfId="0" applyFont="1" applyFill="1" applyBorder="1" applyAlignment="1"/>
    <xf numFmtId="0" fontId="6" fillId="13" borderId="0" xfId="0" applyFont="1" applyFill="1" applyBorder="1" applyAlignment="1">
      <alignment horizontal="center" wrapText="1"/>
    </xf>
    <xf numFmtId="0" fontId="6" fillId="13" borderId="0" xfId="0" applyFont="1" applyFill="1" applyAlignment="1"/>
    <xf numFmtId="164" fontId="35" fillId="13" borderId="0" xfId="0" applyNumberFormat="1" applyFont="1" applyFill="1" applyAlignment="1">
      <alignment horizontal="center" wrapText="1"/>
    </xf>
    <xf numFmtId="0" fontId="6" fillId="13" borderId="0" xfId="0" applyFont="1" applyFill="1" applyBorder="1" applyAlignment="1">
      <alignment wrapText="1"/>
    </xf>
    <xf numFmtId="0" fontId="6" fillId="0" borderId="0" xfId="0" applyFont="1" applyFill="1" applyBorder="1" applyAlignment="1"/>
    <xf numFmtId="1" fontId="6" fillId="13" borderId="0" xfId="0" applyNumberFormat="1" applyFont="1" applyFill="1"/>
    <xf numFmtId="44" fontId="6" fillId="13" borderId="0" xfId="2" applyFont="1" applyFill="1"/>
    <xf numFmtId="164" fontId="33" fillId="0" borderId="0" xfId="0" applyNumberFormat="1" applyFont="1" applyBorder="1" applyAlignment="1" applyProtection="1">
      <alignment horizontal="center" vertical="center"/>
    </xf>
    <xf numFmtId="1" fontId="6" fillId="0" borderId="0" xfId="0" applyNumberFormat="1" applyFont="1" applyFill="1"/>
    <xf numFmtId="7" fontId="33" fillId="0" borderId="0" xfId="0" applyNumberFormat="1" applyFont="1" applyFill="1" applyBorder="1" applyAlignment="1" applyProtection="1">
      <alignment horizontal="center" vertical="center"/>
    </xf>
    <xf numFmtId="164" fontId="6" fillId="0" borderId="0" xfId="0" applyNumberFormat="1" applyFont="1" applyFill="1" applyAlignment="1">
      <alignment horizontal="center" vertical="center" wrapText="1"/>
    </xf>
    <xf numFmtId="0" fontId="6" fillId="0" borderId="0" xfId="0" applyFont="1" applyFill="1" applyBorder="1" applyAlignment="1" applyProtection="1">
      <alignment horizontal="center" vertical="center"/>
    </xf>
    <xf numFmtId="0" fontId="6" fillId="0" borderId="0" xfId="0" applyFont="1" applyFill="1" applyBorder="1" applyAlignment="1" applyProtection="1">
      <alignment horizontal="left" vertical="center" wrapText="1"/>
    </xf>
    <xf numFmtId="4" fontId="6" fillId="0" borderId="0" xfId="0" applyNumberFormat="1" applyFont="1" applyFill="1" applyBorder="1" applyAlignment="1" applyProtection="1">
      <alignment horizontal="center" vertical="center"/>
    </xf>
    <xf numFmtId="1" fontId="7" fillId="0" borderId="0" xfId="0" applyNumberFormat="1" applyFont="1" applyBorder="1" applyAlignment="1">
      <alignment horizontal="left" wrapText="1"/>
    </xf>
    <xf numFmtId="1" fontId="1" fillId="14" borderId="0" xfId="0" applyNumberFormat="1" applyFont="1" applyFill="1"/>
    <xf numFmtId="1" fontId="1" fillId="0" borderId="0" xfId="0" applyNumberFormat="1" applyFont="1" applyFill="1"/>
    <xf numFmtId="1" fontId="6" fillId="0" borderId="0" xfId="0" applyNumberFormat="1" applyFont="1" applyBorder="1" applyAlignment="1" applyProtection="1">
      <alignment horizontal="center" vertical="center"/>
    </xf>
    <xf numFmtId="1" fontId="6" fillId="0" borderId="0" xfId="0" applyNumberFormat="1" applyFont="1" applyFill="1" applyBorder="1" applyAlignment="1" applyProtection="1">
      <alignment horizontal="center" vertical="center"/>
    </xf>
    <xf numFmtId="1" fontId="0" fillId="0" borderId="0" xfId="0" applyNumberFormat="1"/>
    <xf numFmtId="1" fontId="6" fillId="0" borderId="0" xfId="0" applyNumberFormat="1" applyFont="1" applyFill="1" applyAlignment="1">
      <alignment horizontal="center"/>
    </xf>
    <xf numFmtId="1" fontId="6" fillId="0" borderId="0" xfId="0" quotePrefix="1" applyNumberFormat="1" applyFont="1" applyFill="1" applyAlignment="1">
      <alignment horizontal="center"/>
    </xf>
    <xf numFmtId="1" fontId="7" fillId="0" borderId="0" xfId="0" quotePrefix="1" applyNumberFormat="1" applyFont="1" applyBorder="1" applyAlignment="1">
      <alignment horizontal="left" wrapText="1"/>
    </xf>
    <xf numFmtId="1" fontId="6" fillId="0" borderId="0" xfId="0" quotePrefix="1" applyNumberFormat="1" applyFont="1" applyFill="1"/>
    <xf numFmtId="1" fontId="7" fillId="0" borderId="0" xfId="0" applyNumberFormat="1" applyFont="1" applyFill="1" applyBorder="1" applyAlignment="1">
      <alignment horizontal="left" wrapText="1"/>
    </xf>
    <xf numFmtId="0" fontId="7" fillId="0" borderId="0" xfId="0" applyFont="1" applyFill="1" applyBorder="1" applyAlignment="1">
      <alignment horizontal="center" wrapText="1"/>
    </xf>
    <xf numFmtId="0" fontId="6" fillId="0" borderId="0" xfId="0" applyFont="1" applyFill="1" applyAlignment="1">
      <alignment horizontal="center"/>
    </xf>
    <xf numFmtId="0" fontId="1" fillId="14" borderId="0" xfId="0" applyFont="1" applyFill="1" applyAlignment="1">
      <alignment horizontal="center"/>
    </xf>
    <xf numFmtId="0" fontId="1" fillId="0" borderId="0" xfId="0" applyFont="1" applyFill="1" applyAlignment="1">
      <alignment horizontal="center"/>
    </xf>
    <xf numFmtId="0" fontId="6" fillId="13" borderId="0" xfId="0" applyFont="1" applyFill="1" applyAlignment="1">
      <alignment horizontal="center"/>
    </xf>
    <xf numFmtId="0" fontId="6" fillId="0" borderId="0" xfId="0" quotePrefix="1" applyFont="1" applyFill="1" applyAlignment="1">
      <alignment horizontal="center"/>
    </xf>
    <xf numFmtId="0" fontId="6" fillId="0" borderId="0" xfId="0" applyFont="1" applyFill="1" applyBorder="1" applyAlignment="1">
      <alignment horizontal="left" vertical="center" wrapText="1"/>
    </xf>
    <xf numFmtId="0" fontId="6" fillId="0" borderId="0" xfId="0" applyFont="1" applyFill="1" applyAlignment="1">
      <alignment horizontal="center" wrapText="1"/>
    </xf>
    <xf numFmtId="0" fontId="35" fillId="0" borderId="0" xfId="0" applyFont="1" applyFill="1" applyBorder="1" applyAlignment="1">
      <alignment horizontal="center" wrapText="1"/>
    </xf>
    <xf numFmtId="0" fontId="7" fillId="0" borderId="0" xfId="0" applyFont="1" applyAlignment="1" applyProtection="1">
      <alignment horizontal="center"/>
    </xf>
    <xf numFmtId="0" fontId="4" fillId="6" borderId="6" xfId="0" applyFont="1" applyFill="1" applyBorder="1" applyAlignment="1" applyProtection="1">
      <alignment horizontal="left" vertical="top" wrapText="1"/>
    </xf>
    <xf numFmtId="0" fontId="4" fillId="7" borderId="8" xfId="0" applyFont="1" applyFill="1" applyBorder="1" applyAlignment="1" applyProtection="1">
      <alignment horizontal="left" vertical="top" wrapText="1"/>
    </xf>
    <xf numFmtId="0" fontId="4" fillId="7" borderId="9" xfId="0" applyFont="1" applyFill="1" applyBorder="1" applyAlignment="1" applyProtection="1">
      <alignment horizontal="left" vertical="top" wrapText="1"/>
    </xf>
    <xf numFmtId="0" fontId="4" fillId="7" borderId="10" xfId="0" applyFont="1" applyFill="1" applyBorder="1" applyAlignment="1" applyProtection="1">
      <alignment horizontal="left" vertical="top" wrapText="1"/>
    </xf>
    <xf numFmtId="0" fontId="6" fillId="0" borderId="8" xfId="0" applyNumberFormat="1" applyFont="1" applyBorder="1" applyAlignment="1" applyProtection="1">
      <alignment horizontal="left" vertical="center" wrapText="1"/>
    </xf>
    <xf numFmtId="0" fontId="6" fillId="0" borderId="10" xfId="0" applyNumberFormat="1" applyFont="1" applyBorder="1" applyAlignment="1" applyProtection="1">
      <alignment horizontal="left" vertical="center" wrapText="1"/>
    </xf>
    <xf numFmtId="0" fontId="4" fillId="10" borderId="8" xfId="0" applyFont="1" applyFill="1" applyBorder="1" applyAlignment="1" applyProtection="1">
      <alignment horizontal="left" vertical="center" wrapText="1"/>
    </xf>
    <xf numFmtId="0" fontId="4" fillId="10" borderId="9" xfId="0" applyFont="1" applyFill="1" applyBorder="1" applyAlignment="1" applyProtection="1">
      <alignment horizontal="left" vertical="center" wrapText="1"/>
    </xf>
    <xf numFmtId="0" fontId="6" fillId="0" borderId="8" xfId="0" applyFont="1" applyBorder="1" applyAlignment="1" applyProtection="1">
      <alignment horizontal="left" vertical="center" wrapText="1"/>
      <protection locked="0"/>
    </xf>
    <xf numFmtId="0" fontId="6" fillId="0" borderId="10" xfId="0" applyFont="1" applyBorder="1" applyAlignment="1" applyProtection="1">
      <alignment horizontal="left" vertical="center" wrapText="1"/>
      <protection locked="0"/>
    </xf>
    <xf numFmtId="0" fontId="1" fillId="11" borderId="9" xfId="0" applyFont="1" applyFill="1" applyBorder="1" applyAlignment="1" applyProtection="1">
      <alignment horizontal="right" vertical="center" wrapText="1"/>
    </xf>
    <xf numFmtId="0" fontId="1" fillId="11" borderId="10" xfId="0" applyFont="1" applyFill="1" applyBorder="1" applyAlignment="1" applyProtection="1">
      <alignment horizontal="right" vertical="center" wrapText="1"/>
    </xf>
    <xf numFmtId="0" fontId="1" fillId="11" borderId="6" xfId="0" applyFont="1" applyFill="1" applyBorder="1" applyAlignment="1" applyProtection="1">
      <alignment horizontal="center" vertical="center" wrapText="1"/>
    </xf>
    <xf numFmtId="0" fontId="1" fillId="0" borderId="2" xfId="0" applyFont="1" applyFill="1" applyBorder="1" applyAlignment="1" applyProtection="1">
      <alignment horizontal="center" vertical="center" wrapText="1"/>
    </xf>
    <xf numFmtId="0" fontId="1" fillId="0" borderId="15" xfId="0" applyFont="1" applyFill="1" applyBorder="1" applyAlignment="1" applyProtection="1">
      <alignment horizontal="center" vertical="center" wrapText="1"/>
    </xf>
    <xf numFmtId="0" fontId="1" fillId="0" borderId="3" xfId="0" applyFont="1" applyFill="1" applyBorder="1" applyAlignment="1" applyProtection="1">
      <alignment horizontal="center" vertical="center" wrapText="1"/>
    </xf>
    <xf numFmtId="0" fontId="7" fillId="10" borderId="0" xfId="0" applyFont="1" applyFill="1" applyBorder="1" applyAlignment="1" applyProtection="1">
      <alignment horizontal="right" vertical="center" wrapText="1"/>
    </xf>
    <xf numFmtId="0" fontId="1" fillId="8" borderId="1" xfId="0" applyFont="1" applyFill="1" applyBorder="1" applyAlignment="1" applyProtection="1">
      <alignment horizontal="left" vertical="top" wrapText="1"/>
    </xf>
    <xf numFmtId="0" fontId="12" fillId="12" borderId="14" xfId="0" applyFont="1" applyFill="1" applyBorder="1" applyAlignment="1" applyProtection="1">
      <alignment horizontal="center" vertical="center" wrapText="1"/>
    </xf>
    <xf numFmtId="0" fontId="12" fillId="12" borderId="4" xfId="0" applyFont="1" applyFill="1" applyBorder="1" applyAlignment="1" applyProtection="1">
      <alignment horizontal="center" vertical="center" wrapText="1"/>
    </xf>
    <xf numFmtId="0" fontId="13" fillId="10" borderId="9" xfId="0" applyFont="1" applyFill="1" applyBorder="1" applyAlignment="1" applyProtection="1">
      <alignment horizontal="center" vertical="center" wrapText="1"/>
    </xf>
    <xf numFmtId="0" fontId="13" fillId="10" borderId="10" xfId="0" applyFont="1" applyFill="1" applyBorder="1" applyAlignment="1" applyProtection="1">
      <alignment horizontal="center" vertical="center" wrapText="1"/>
    </xf>
    <xf numFmtId="0" fontId="4" fillId="6" borderId="8" xfId="0" applyFont="1" applyFill="1" applyBorder="1" applyAlignment="1" applyProtection="1">
      <alignment horizontal="center" vertical="center" wrapText="1"/>
    </xf>
    <xf numFmtId="0" fontId="4" fillId="6" borderId="9" xfId="0" applyFont="1" applyFill="1" applyBorder="1" applyAlignment="1" applyProtection="1">
      <alignment horizontal="center" vertical="center" wrapText="1"/>
    </xf>
    <xf numFmtId="0" fontId="4" fillId="6" borderId="10" xfId="0" applyFont="1" applyFill="1" applyBorder="1" applyAlignment="1" applyProtection="1">
      <alignment horizontal="center" vertical="center" wrapText="1"/>
    </xf>
    <xf numFmtId="0" fontId="38" fillId="10" borderId="0" xfId="0" applyFont="1" applyFill="1" applyAlignment="1" applyProtection="1">
      <alignment horizontal="center" vertical="center" wrapText="1"/>
    </xf>
    <xf numFmtId="0" fontId="37" fillId="0" borderId="5" xfId="0" applyFont="1" applyBorder="1" applyAlignment="1" applyProtection="1">
      <alignment horizontal="center" wrapText="1"/>
    </xf>
    <xf numFmtId="0" fontId="37" fillId="0" borderId="7" xfId="0" applyFont="1" applyBorder="1" applyAlignment="1" applyProtection="1">
      <alignment horizontal="center" wrapText="1"/>
    </xf>
    <xf numFmtId="0" fontId="37" fillId="0" borderId="13" xfId="0" applyFont="1" applyBorder="1" applyAlignment="1" applyProtection="1">
      <alignment horizontal="center" wrapText="1"/>
    </xf>
    <xf numFmtId="0" fontId="37" fillId="0" borderId="12" xfId="0" applyFont="1" applyBorder="1" applyAlignment="1" applyProtection="1">
      <alignment horizontal="center" wrapText="1"/>
    </xf>
    <xf numFmtId="0" fontId="7" fillId="5" borderId="8" xfId="0" applyFont="1" applyFill="1" applyBorder="1" applyAlignment="1" applyProtection="1">
      <alignment horizontal="left"/>
      <protection locked="0"/>
    </xf>
    <xf numFmtId="0" fontId="7" fillId="5" borderId="9" xfId="0" applyFont="1" applyFill="1" applyBorder="1" applyAlignment="1" applyProtection="1">
      <alignment horizontal="left"/>
      <protection locked="0"/>
    </xf>
    <xf numFmtId="0" fontId="7" fillId="5" borderId="10" xfId="0" applyFont="1" applyFill="1" applyBorder="1" applyAlignment="1" applyProtection="1">
      <alignment horizontal="left"/>
      <protection locked="0"/>
    </xf>
    <xf numFmtId="0" fontId="7" fillId="5" borderId="8" xfId="0" applyFont="1" applyFill="1" applyBorder="1" applyAlignment="1" applyProtection="1">
      <alignment horizontal="center"/>
      <protection locked="0"/>
    </xf>
    <xf numFmtId="0" fontId="1" fillId="0" borderId="9" xfId="0" applyFont="1" applyBorder="1"/>
    <xf numFmtId="0" fontId="1" fillId="0" borderId="10" xfId="0" applyFont="1" applyBorder="1"/>
    <xf numFmtId="2" fontId="1" fillId="8" borderId="13" xfId="0" applyNumberFormat="1" applyFont="1" applyFill="1" applyBorder="1" applyAlignment="1" applyProtection="1">
      <alignment horizontal="left" vertical="top" wrapText="1"/>
    </xf>
    <xf numFmtId="2" fontId="37" fillId="8" borderId="12" xfId="0" applyNumberFormat="1" applyFont="1" applyFill="1" applyBorder="1" applyAlignment="1" applyProtection="1">
      <alignment horizontal="left" vertical="top" wrapText="1"/>
    </xf>
    <xf numFmtId="2" fontId="37" fillId="8" borderId="13" xfId="0" applyNumberFormat="1" applyFont="1" applyFill="1" applyBorder="1" applyAlignment="1" applyProtection="1">
      <alignment horizontal="left" vertical="top" wrapText="1"/>
    </xf>
    <xf numFmtId="2" fontId="37" fillId="8" borderId="14" xfId="0" applyNumberFormat="1" applyFont="1" applyFill="1" applyBorder="1" applyAlignment="1" applyProtection="1">
      <alignment horizontal="left" vertical="top" wrapText="1"/>
    </xf>
    <xf numFmtId="2" fontId="37" fillId="8" borderId="4" xfId="0" applyNumberFormat="1" applyFont="1" applyFill="1" applyBorder="1" applyAlignment="1" applyProtection="1">
      <alignment horizontal="left" vertical="top" wrapText="1"/>
    </xf>
    <xf numFmtId="0" fontId="7" fillId="0" borderId="17" xfId="0" applyFont="1" applyBorder="1" applyAlignment="1">
      <alignment wrapText="1"/>
    </xf>
    <xf numFmtId="0" fontId="7" fillId="0" borderId="19" xfId="0" applyFont="1" applyBorder="1" applyAlignment="1">
      <alignment wrapText="1"/>
    </xf>
    <xf numFmtId="0" fontId="7" fillId="0" borderId="16" xfId="0" applyFont="1" applyBorder="1" applyAlignment="1">
      <alignment horizontal="left" wrapText="1"/>
    </xf>
    <xf numFmtId="0" fontId="7" fillId="0" borderId="18" xfId="0" applyFont="1" applyBorder="1" applyAlignment="1">
      <alignment horizontal="left" wrapText="1"/>
    </xf>
    <xf numFmtId="0" fontId="7" fillId="0" borderId="17" xfId="0" applyFont="1" applyBorder="1" applyAlignment="1">
      <alignment horizontal="center" wrapText="1"/>
    </xf>
    <xf numFmtId="0" fontId="7" fillId="0" borderId="19" xfId="0" applyFont="1" applyBorder="1" applyAlignment="1">
      <alignment horizontal="center" wrapText="1"/>
    </xf>
    <xf numFmtId="1" fontId="7" fillId="0" borderId="16" xfId="0" applyNumberFormat="1" applyFont="1" applyBorder="1" applyAlignment="1">
      <alignment horizontal="left" wrapText="1"/>
    </xf>
    <xf numFmtId="1" fontId="7" fillId="0" borderId="18" xfId="0" applyNumberFormat="1" applyFont="1" applyBorder="1" applyAlignment="1">
      <alignment horizontal="left" wrapText="1"/>
    </xf>
    <xf numFmtId="0" fontId="12" fillId="2" borderId="0" xfId="0" applyFont="1" applyFill="1" applyBorder="1" applyAlignment="1">
      <alignment horizontal="center" vertical="center" wrapText="1"/>
    </xf>
    <xf numFmtId="0" fontId="0" fillId="0" borderId="0" xfId="0" applyAlignment="1">
      <alignment horizontal="center" wrapText="1"/>
    </xf>
  </cellXfs>
  <cellStyles count="3">
    <cellStyle name="Currency" xfId="2" builtinId="4"/>
    <cellStyle name="Normal" xfId="0" builtinId="0"/>
    <cellStyle name="Normal 2" xfId="1"/>
  </cellStyles>
  <dxfs count="0"/>
  <tableStyles count="0" defaultTableStyle="TableStyleMedium9" defaultPivotStyle="PivotStyleLight16"/>
  <colors>
    <mruColors>
      <color rgb="FFFFFFCC"/>
      <color rgb="FF2C69B2"/>
      <color rgb="FF3278CC"/>
      <color rgb="FF2E46BC"/>
      <color rgb="FFFBF6B3"/>
      <color rgb="FFF6EB5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144199</xdr:colOff>
      <xdr:row>1</xdr:row>
      <xdr:rowOff>7144</xdr:rowOff>
    </xdr:from>
    <xdr:to>
      <xdr:col>1</xdr:col>
      <xdr:colOff>1138995</xdr:colOff>
      <xdr:row>1</xdr:row>
      <xdr:rowOff>273843</xdr:rowOff>
    </xdr:to>
    <xdr:pic>
      <xdr:nvPicPr>
        <xdr:cNvPr id="3" name="Picture 2" descr="NRCS_LetterHead"/>
        <xdr:cNvPicPr>
          <a:picLocks noChangeAspect="1" noChangeArrowheads="1"/>
        </xdr:cNvPicPr>
      </xdr:nvPicPr>
      <xdr:blipFill>
        <a:blip xmlns:r="http://schemas.openxmlformats.org/officeDocument/2006/relationships" r:embed="rId1" cstate="print"/>
        <a:srcRect/>
        <a:stretch>
          <a:fillRect/>
        </a:stretch>
      </xdr:blipFill>
      <xdr:spPr bwMode="auto">
        <a:xfrm>
          <a:off x="453762" y="257175"/>
          <a:ext cx="994796" cy="266699"/>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128"/>
  <sheetViews>
    <sheetView tabSelected="1" zoomScaleNormal="100" workbookViewId="0">
      <selection activeCell="N83" sqref="N80:N83"/>
    </sheetView>
  </sheetViews>
  <sheetFormatPr defaultColWidth="9.109375" defaultRowHeight="13.2" x14ac:dyDescent="0.25"/>
  <cols>
    <col min="1" max="1" width="4.6640625" style="384" customWidth="1"/>
    <col min="2" max="2" width="18.44140625" style="138" customWidth="1"/>
    <col min="3" max="3" width="39.5546875" style="138" customWidth="1"/>
    <col min="4" max="4" width="11.109375" style="138" customWidth="1"/>
    <col min="5" max="5" width="10.33203125" style="138" customWidth="1"/>
    <col min="6" max="6" width="10.109375" style="448" customWidth="1"/>
    <col min="7" max="7" width="12" style="381" customWidth="1"/>
    <col min="8" max="8" width="3" style="246" customWidth="1"/>
    <col min="9" max="9" width="25.88671875" style="246" customWidth="1"/>
    <col min="10" max="10" width="13" style="246" customWidth="1"/>
    <col min="11" max="11" width="12.6640625" style="246" customWidth="1"/>
    <col min="12" max="12" width="15.6640625" style="246" customWidth="1"/>
    <col min="13" max="13" width="12" style="246" customWidth="1"/>
    <col min="14" max="14" width="18.33203125" style="246" customWidth="1"/>
    <col min="15" max="15" width="15.33203125" style="246" customWidth="1"/>
    <col min="16" max="16384" width="9.109375" style="246"/>
  </cols>
  <sheetData>
    <row r="1" spans="1:16" ht="19.5" customHeight="1" x14ac:dyDescent="0.4">
      <c r="B1" s="385" t="s">
        <v>2609</v>
      </c>
      <c r="C1" s="543" t="s">
        <v>3086</v>
      </c>
      <c r="D1" s="543"/>
      <c r="E1" s="543"/>
      <c r="F1" s="543"/>
      <c r="G1" s="379"/>
    </row>
    <row r="2" spans="1:16" ht="24" customHeight="1" x14ac:dyDescent="0.25">
      <c r="B2" s="243"/>
      <c r="C2" s="543"/>
      <c r="D2" s="543"/>
      <c r="E2" s="543"/>
      <c r="F2" s="543"/>
      <c r="G2" s="379"/>
    </row>
    <row r="3" spans="1:16" ht="18" customHeight="1" x14ac:dyDescent="0.25">
      <c r="B3" s="386" t="s">
        <v>2089</v>
      </c>
      <c r="C3" s="387"/>
      <c r="D3" s="388" t="s">
        <v>2087</v>
      </c>
      <c r="E3" s="389">
        <f ca="1">TODAY()</f>
        <v>41530</v>
      </c>
      <c r="F3" s="444"/>
      <c r="G3" s="379"/>
    </row>
    <row r="4" spans="1:16" ht="18.75" customHeight="1" x14ac:dyDescent="0.25">
      <c r="B4" s="390" t="s">
        <v>2088</v>
      </c>
      <c r="C4" s="548"/>
      <c r="D4" s="549"/>
      <c r="E4" s="550"/>
      <c r="F4" s="544" t="s">
        <v>3087</v>
      </c>
      <c r="G4" s="545"/>
      <c r="P4" s="391"/>
    </row>
    <row r="5" spans="1:16" ht="15.9" customHeight="1" x14ac:dyDescent="0.25">
      <c r="B5" s="390" t="s">
        <v>4707</v>
      </c>
      <c r="C5" s="551"/>
      <c r="D5" s="552"/>
      <c r="E5" s="553"/>
      <c r="F5" s="546"/>
      <c r="G5" s="547"/>
      <c r="P5" s="391"/>
    </row>
    <row r="6" spans="1:16" ht="15.9" customHeight="1" x14ac:dyDescent="0.25">
      <c r="B6" s="390"/>
      <c r="C6" s="392"/>
      <c r="D6" s="393" t="s">
        <v>4709</v>
      </c>
      <c r="E6" s="393" t="s">
        <v>2372</v>
      </c>
      <c r="F6" s="554"/>
      <c r="G6" s="555"/>
      <c r="P6" s="391"/>
    </row>
    <row r="7" spans="1:16" ht="20.100000000000001" customHeight="1" x14ac:dyDescent="0.25">
      <c r="B7" s="531" t="s">
        <v>4708</v>
      </c>
      <c r="C7" s="394"/>
      <c r="D7" s="395" t="str">
        <f>IF(C7&gt;0,VLOOKUP(C7,Practices!$A$2:$E$193,2)," ")</f>
        <v xml:space="preserve"> </v>
      </c>
      <c r="E7" s="395" t="str">
        <f>IF(C7&gt;0,VLOOKUP(C7,Practices!$A$2:$E$193,4)," ")</f>
        <v xml:space="preserve"> </v>
      </c>
      <c r="F7" s="556"/>
      <c r="G7" s="555"/>
      <c r="P7" s="391"/>
    </row>
    <row r="8" spans="1:16" ht="20.100000000000001" customHeight="1" x14ac:dyDescent="0.25">
      <c r="B8" s="532"/>
      <c r="C8" s="394"/>
      <c r="D8" s="395" t="str">
        <f>IF(C8&gt;0,VLOOKUP(C8,Practices!$A$2:$E$193,2)," ")</f>
        <v xml:space="preserve"> </v>
      </c>
      <c r="E8" s="395" t="str">
        <f>IF(C8&gt;0,VLOOKUP(C8,Practices!$A$2:$E$193,4)," ")</f>
        <v xml:space="preserve"> </v>
      </c>
      <c r="F8" s="556"/>
      <c r="G8" s="555"/>
      <c r="P8" s="391"/>
    </row>
    <row r="9" spans="1:16" ht="20.100000000000001" customHeight="1" x14ac:dyDescent="0.25">
      <c r="B9" s="532"/>
      <c r="C9" s="394"/>
      <c r="D9" s="395" t="str">
        <f>IF(C9&gt;0,VLOOKUP(C9,Practices!$A$2:$E$193,2)," ")</f>
        <v xml:space="preserve"> </v>
      </c>
      <c r="E9" s="395" t="str">
        <f>IF(C9&gt;0,VLOOKUP(C9,Practices!$A$2:$E$193,4)," ")</f>
        <v xml:space="preserve"> </v>
      </c>
      <c r="F9" s="556"/>
      <c r="G9" s="555"/>
      <c r="P9" s="391"/>
    </row>
    <row r="10" spans="1:16" ht="20.100000000000001" customHeight="1" x14ac:dyDescent="0.25">
      <c r="B10" s="533"/>
      <c r="C10" s="394"/>
      <c r="D10" s="395" t="str">
        <f>IF(C10&gt;0,VLOOKUP(C10,Practices!$A$2:$E$193,2)," ")</f>
        <v xml:space="preserve"> </v>
      </c>
      <c r="E10" s="395" t="str">
        <f>IF(C10&gt;0,VLOOKUP(C10,Practices!$A$2:$E$193,4)," ")</f>
        <v xml:space="preserve"> </v>
      </c>
      <c r="F10" s="557"/>
      <c r="G10" s="558"/>
      <c r="P10" s="391"/>
    </row>
    <row r="11" spans="1:16" ht="3.75" customHeight="1" x14ac:dyDescent="0.25">
      <c r="B11" s="242"/>
      <c r="C11" s="242"/>
      <c r="D11" s="242"/>
      <c r="E11" s="242"/>
      <c r="F11" s="445"/>
      <c r="G11" s="380"/>
      <c r="L11" s="396"/>
      <c r="P11" s="391"/>
    </row>
    <row r="12" spans="1:16" ht="28.5" customHeight="1" x14ac:dyDescent="0.25">
      <c r="A12" s="397"/>
      <c r="B12" s="398" t="s">
        <v>2610</v>
      </c>
      <c r="C12" s="399" t="s">
        <v>2608</v>
      </c>
      <c r="D12" s="400">
        <f>G115</f>
        <v>0</v>
      </c>
      <c r="E12" s="536" t="s">
        <v>3094</v>
      </c>
      <c r="F12" s="537"/>
      <c r="G12" s="401">
        <f>G114</f>
        <v>0</v>
      </c>
      <c r="K12" s="396"/>
      <c r="O12" s="391"/>
    </row>
    <row r="13" spans="1:16" ht="21" customHeight="1" x14ac:dyDescent="0.25">
      <c r="B13" s="538" t="s">
        <v>4726</v>
      </c>
      <c r="C13" s="538"/>
      <c r="D13" s="538"/>
      <c r="E13" s="538"/>
      <c r="F13" s="538"/>
      <c r="G13" s="539"/>
      <c r="K13" s="396"/>
      <c r="O13" s="391"/>
    </row>
    <row r="14" spans="1:16" x14ac:dyDescent="0.25">
      <c r="B14" s="524" t="s">
        <v>4710</v>
      </c>
      <c r="C14" s="525"/>
      <c r="D14" s="402" t="s">
        <v>2372</v>
      </c>
      <c r="E14" s="402" t="s">
        <v>2091</v>
      </c>
      <c r="F14" s="446" t="s">
        <v>2092</v>
      </c>
      <c r="G14" s="403" t="s">
        <v>2093</v>
      </c>
      <c r="O14" s="391"/>
    </row>
    <row r="15" spans="1:16" ht="27" customHeight="1" x14ac:dyDescent="0.25">
      <c r="B15" s="522"/>
      <c r="C15" s="523"/>
      <c r="D15" s="406" t="str">
        <f>IF(B15&gt;0,VLOOKUP(B15,Materialslookup!$B$5:$H$101,3),"")</f>
        <v/>
      </c>
      <c r="E15" s="407"/>
      <c r="F15" s="440" t="str">
        <f>IF(B15&gt;0,VLOOKUP(B15,Materialslookup!$B$5:$H$101,7),"")</f>
        <v/>
      </c>
      <c r="G15" s="408" t="str">
        <f t="shared" ref="G15:G25" si="0">IF(E15&gt;0,E15*F15,"")</f>
        <v/>
      </c>
      <c r="O15" s="391"/>
    </row>
    <row r="16" spans="1:16" x14ac:dyDescent="0.25">
      <c r="B16" s="522"/>
      <c r="C16" s="523"/>
      <c r="D16" s="406" t="str">
        <f>IF(B16&gt;0,VLOOKUP(B16,Materialslookup!$B$5:$H$101,3),"")</f>
        <v/>
      </c>
      <c r="E16" s="407"/>
      <c r="F16" s="440" t="str">
        <f>IF(B16&gt;0,VLOOKUP(B16,Materialslookup!$B$5:$H$101,7),"")</f>
        <v/>
      </c>
      <c r="G16" s="408" t="str">
        <f t="shared" si="0"/>
        <v/>
      </c>
      <c r="O16" s="391"/>
    </row>
    <row r="17" spans="1:16" x14ac:dyDescent="0.25">
      <c r="A17" s="409"/>
      <c r="B17" s="522"/>
      <c r="C17" s="523"/>
      <c r="D17" s="406" t="str">
        <f>IF(B17&gt;0,VLOOKUP(B17,Materialslookup!$B$5:$H$101,3),"")</f>
        <v/>
      </c>
      <c r="E17" s="407"/>
      <c r="F17" s="440" t="str">
        <f>IF(B17&gt;0,VLOOKUP(B17,Materialslookup!$B$5:$H$101,7),"")</f>
        <v/>
      </c>
      <c r="G17" s="408" t="str">
        <f t="shared" si="0"/>
        <v/>
      </c>
      <c r="O17" s="410"/>
    </row>
    <row r="18" spans="1:16" x14ac:dyDescent="0.25">
      <c r="A18" s="409"/>
      <c r="B18" s="522"/>
      <c r="C18" s="523"/>
      <c r="D18" s="406" t="str">
        <f>IF(B18&gt;0,VLOOKUP(B18,Materialslookup!$B$5:$H$101,3),"")</f>
        <v/>
      </c>
      <c r="E18" s="407"/>
      <c r="F18" s="440" t="str">
        <f>IF(B18&gt;0,VLOOKUP(B18,Materialslookup!$B$5:$H$101,7),"")</f>
        <v/>
      </c>
      <c r="G18" s="408" t="str">
        <f t="shared" si="0"/>
        <v/>
      </c>
      <c r="O18" s="410"/>
    </row>
    <row r="19" spans="1:16" x14ac:dyDescent="0.25">
      <c r="A19" s="409"/>
      <c r="B19" s="522"/>
      <c r="C19" s="523"/>
      <c r="D19" s="406" t="str">
        <f>IF(B19&gt;0,VLOOKUP(B19,Materialslookup!$B$5:$H$101,3),"")</f>
        <v/>
      </c>
      <c r="E19" s="407"/>
      <c r="F19" s="440" t="str">
        <f>IF(B19&gt;0,VLOOKUP(B19,Materialslookup!$B$5:$H$101,7),"")</f>
        <v/>
      </c>
      <c r="G19" s="408" t="str">
        <f t="shared" si="0"/>
        <v/>
      </c>
      <c r="O19" s="410"/>
    </row>
    <row r="20" spans="1:16" x14ac:dyDescent="0.25">
      <c r="A20" s="409"/>
      <c r="B20" s="522"/>
      <c r="C20" s="523"/>
      <c r="D20" s="406" t="str">
        <f>IF(B20&gt;0,VLOOKUP(B20,Materialslookup!$B$5:$H$101,3),"")</f>
        <v/>
      </c>
      <c r="E20" s="407"/>
      <c r="F20" s="440" t="str">
        <f>IF(B20&gt;0,VLOOKUP(B20,Materialslookup!$B$5:$H$101,7),"")</f>
        <v/>
      </c>
      <c r="G20" s="408" t="str">
        <f t="shared" si="0"/>
        <v/>
      </c>
      <c r="O20" s="410"/>
    </row>
    <row r="21" spans="1:16" x14ac:dyDescent="0.25">
      <c r="A21" s="409"/>
      <c r="B21" s="522"/>
      <c r="C21" s="523"/>
      <c r="D21" s="406" t="str">
        <f>IF(B21&gt;0,VLOOKUP(B21,Materialslookup!$B$5:$H$101,3),"")</f>
        <v/>
      </c>
      <c r="E21" s="407"/>
      <c r="F21" s="440" t="str">
        <f>IF(B21&gt;0,VLOOKUP(B21,Materialslookup!$B$5:$H$101,7),"")</f>
        <v/>
      </c>
      <c r="G21" s="408" t="str">
        <f t="shared" si="0"/>
        <v/>
      </c>
      <c r="O21" s="410"/>
    </row>
    <row r="22" spans="1:16" x14ac:dyDescent="0.25">
      <c r="A22" s="409"/>
      <c r="B22" s="522"/>
      <c r="C22" s="523"/>
      <c r="D22" s="406" t="str">
        <f>IF(B22&gt;0,VLOOKUP(B22,Materialslookup!$B$5:$H$101,3),"")</f>
        <v/>
      </c>
      <c r="E22" s="407"/>
      <c r="F22" s="440" t="str">
        <f>IF(B22&gt;0,VLOOKUP(B22,Materialslookup!$B$5:$H$101,7),"")</f>
        <v/>
      </c>
      <c r="G22" s="408" t="str">
        <f t="shared" si="0"/>
        <v/>
      </c>
      <c r="O22" s="410"/>
    </row>
    <row r="23" spans="1:16" x14ac:dyDescent="0.25">
      <c r="A23" s="409"/>
      <c r="B23" s="522"/>
      <c r="C23" s="523"/>
      <c r="D23" s="406" t="str">
        <f>IF(B23&gt;0,VLOOKUP(B23,Materialslookup!$B$5:$H$101,3),"")</f>
        <v/>
      </c>
      <c r="E23" s="407"/>
      <c r="F23" s="440" t="str">
        <f>IF(B23&gt;0,VLOOKUP(B23,Materialslookup!$B$5:$H$101,7),"")</f>
        <v/>
      </c>
      <c r="G23" s="408" t="str">
        <f t="shared" si="0"/>
        <v/>
      </c>
      <c r="O23" s="410"/>
    </row>
    <row r="24" spans="1:16" x14ac:dyDescent="0.25">
      <c r="A24" s="409"/>
      <c r="B24" s="522"/>
      <c r="C24" s="523"/>
      <c r="D24" s="406" t="str">
        <f>IF(B24&gt;0,VLOOKUP(B24,Materialslookup!$B$5:$H$101,3),"")</f>
        <v/>
      </c>
      <c r="E24" s="407"/>
      <c r="F24" s="440" t="str">
        <f>IF(B24&gt;0,VLOOKUP(B24,Materialslookup!$B$5:$H$101,7),"")</f>
        <v/>
      </c>
      <c r="G24" s="408" t="str">
        <f t="shared" si="0"/>
        <v/>
      </c>
      <c r="O24" s="410"/>
    </row>
    <row r="25" spans="1:16" x14ac:dyDescent="0.25">
      <c r="A25" s="409"/>
      <c r="B25" s="522"/>
      <c r="C25" s="523"/>
      <c r="D25" s="406" t="str">
        <f>IF(B25&gt;0,VLOOKUP(B25,Materialslookup!$B$5:$H$101,3),"")</f>
        <v/>
      </c>
      <c r="E25" s="407"/>
      <c r="F25" s="440" t="str">
        <f>IF(B25&gt;0,VLOOKUP(B25,Materialslookup!$B$5:$H$101,7),"")</f>
        <v/>
      </c>
      <c r="G25" s="408" t="str">
        <f t="shared" si="0"/>
        <v/>
      </c>
      <c r="O25" s="410"/>
    </row>
    <row r="26" spans="1:16" x14ac:dyDescent="0.25">
      <c r="A26" s="409"/>
      <c r="B26" s="524" t="s">
        <v>4719</v>
      </c>
      <c r="C26" s="525"/>
      <c r="D26" s="404"/>
      <c r="E26" s="404"/>
      <c r="F26" s="441"/>
      <c r="G26" s="405"/>
      <c r="P26" s="410"/>
    </row>
    <row r="27" spans="1:16" x14ac:dyDescent="0.25">
      <c r="B27" s="522"/>
      <c r="C27" s="523"/>
      <c r="D27" s="406" t="str">
        <f>IF(B27&gt;0,VLOOKUP(B27,Materialslookup!$B$106:$H$191,3),"")</f>
        <v/>
      </c>
      <c r="E27" s="407"/>
      <c r="F27" s="440" t="str">
        <f>IF(B27&gt;0,VLOOKUP(B27,Materialslookup!$B$106:$H$191,7),"")</f>
        <v/>
      </c>
      <c r="G27" s="408" t="str">
        <f t="shared" ref="G27:G35" si="1">IF(E27&gt;0,E27*F27,"")</f>
        <v/>
      </c>
      <c r="O27" s="391"/>
    </row>
    <row r="28" spans="1:16" x14ac:dyDescent="0.25">
      <c r="A28" s="409"/>
      <c r="B28" s="522"/>
      <c r="C28" s="523"/>
      <c r="D28" s="406" t="str">
        <f>IF(B28&gt;0,VLOOKUP(B28,Materialslookup!$B$106:$H$191,3),"")</f>
        <v/>
      </c>
      <c r="E28" s="407"/>
      <c r="F28" s="440" t="str">
        <f>IF(B28&gt;0,VLOOKUP(B28,Materialslookup!$B$106:$H$191,7),"")</f>
        <v/>
      </c>
      <c r="G28" s="408" t="str">
        <f t="shared" si="1"/>
        <v/>
      </c>
      <c r="O28" s="391"/>
    </row>
    <row r="29" spans="1:16" x14ac:dyDescent="0.25">
      <c r="A29" s="409"/>
      <c r="B29" s="522"/>
      <c r="C29" s="523"/>
      <c r="D29" s="406" t="str">
        <f>IF(B29&gt;0,VLOOKUP(B29,Materialslookup!$B$106:$H$191,3),"")</f>
        <v/>
      </c>
      <c r="E29" s="407"/>
      <c r="F29" s="440" t="str">
        <f>IF(B29&gt;0,VLOOKUP(B29,Materialslookup!$B$106:$H$191,7),"")</f>
        <v/>
      </c>
      <c r="G29" s="408" t="str">
        <f t="shared" si="1"/>
        <v/>
      </c>
      <c r="O29" s="391"/>
    </row>
    <row r="30" spans="1:16" x14ac:dyDescent="0.25">
      <c r="A30" s="409"/>
      <c r="B30" s="522"/>
      <c r="C30" s="523"/>
      <c r="D30" s="406" t="str">
        <f>IF(B30&gt;0,VLOOKUP(B30,Materialslookup!$B$106:$H$191,3),"")</f>
        <v/>
      </c>
      <c r="E30" s="407"/>
      <c r="F30" s="440" t="str">
        <f>IF(B30&gt;0,VLOOKUP(B30,Materialslookup!$B$106:$H$191,7),"")</f>
        <v/>
      </c>
      <c r="G30" s="408" t="str">
        <f t="shared" si="1"/>
        <v/>
      </c>
      <c r="O30" s="391"/>
    </row>
    <row r="31" spans="1:16" x14ac:dyDescent="0.25">
      <c r="A31" s="409"/>
      <c r="B31" s="522"/>
      <c r="C31" s="523"/>
      <c r="D31" s="406" t="str">
        <f>IF(B31&gt;0,VLOOKUP(B31,Materialslookup!$B$106:$H$191,3),"")</f>
        <v/>
      </c>
      <c r="E31" s="407"/>
      <c r="F31" s="440" t="str">
        <f>IF(B31&gt;0,VLOOKUP(B31,Materialslookup!$B$106:$H$191,7),"")</f>
        <v/>
      </c>
      <c r="G31" s="408" t="str">
        <f t="shared" si="1"/>
        <v/>
      </c>
      <c r="O31" s="391"/>
    </row>
    <row r="32" spans="1:16" x14ac:dyDescent="0.25">
      <c r="A32" s="409"/>
      <c r="B32" s="522"/>
      <c r="C32" s="523"/>
      <c r="D32" s="406" t="str">
        <f>IF(B32&gt;0,VLOOKUP(B32,Materialslookup!$B$106:$H$191,3),"")</f>
        <v/>
      </c>
      <c r="E32" s="407"/>
      <c r="F32" s="440" t="str">
        <f>IF(B32&gt;0,VLOOKUP(B32,Materialslookup!$B$106:$H$191,7),"")</f>
        <v/>
      </c>
      <c r="G32" s="408" t="str">
        <f t="shared" si="1"/>
        <v/>
      </c>
      <c r="O32" s="391"/>
    </row>
    <row r="33" spans="1:16" x14ac:dyDescent="0.25">
      <c r="A33" s="409"/>
      <c r="B33" s="522"/>
      <c r="C33" s="523"/>
      <c r="D33" s="406" t="str">
        <f>IF(B33&gt;0,VLOOKUP(B33,Materialslookup!$B$106:$H$191,3),"")</f>
        <v/>
      </c>
      <c r="E33" s="407"/>
      <c r="F33" s="440" t="str">
        <f>IF(B33&gt;0,VLOOKUP(B33,Materialslookup!$B$106:$H$191,7),"")</f>
        <v/>
      </c>
      <c r="G33" s="408" t="str">
        <f t="shared" si="1"/>
        <v/>
      </c>
      <c r="O33" s="391"/>
    </row>
    <row r="34" spans="1:16" x14ac:dyDescent="0.25">
      <c r="A34" s="409"/>
      <c r="B34" s="522"/>
      <c r="C34" s="523"/>
      <c r="D34" s="406" t="str">
        <f>IF(B34&gt;0,VLOOKUP(B34,Materialslookup!$B$106:$H$191,3),"")</f>
        <v/>
      </c>
      <c r="E34" s="407"/>
      <c r="F34" s="440" t="str">
        <f>IF(B34&gt;0,VLOOKUP(B34,Materialslookup!$B$106:$H$191,7),"")</f>
        <v/>
      </c>
      <c r="G34" s="408" t="str">
        <f t="shared" si="1"/>
        <v/>
      </c>
      <c r="O34" s="391"/>
    </row>
    <row r="35" spans="1:16" x14ac:dyDescent="0.25">
      <c r="A35" s="409"/>
      <c r="B35" s="522"/>
      <c r="C35" s="523"/>
      <c r="D35" s="406" t="str">
        <f>IF(B35&gt;0,VLOOKUP(B35,Materialslookup!$B$106:$H$191,3),"")</f>
        <v/>
      </c>
      <c r="E35" s="407"/>
      <c r="F35" s="440" t="str">
        <f>IF(B35&gt;0,VLOOKUP(B35,Materialslookup!$B$106:$H$191,7),"")</f>
        <v/>
      </c>
      <c r="G35" s="408" t="str">
        <f t="shared" si="1"/>
        <v/>
      </c>
      <c r="O35" s="391"/>
    </row>
    <row r="36" spans="1:16" x14ac:dyDescent="0.25">
      <c r="A36" s="409"/>
      <c r="B36" s="524" t="s">
        <v>4724</v>
      </c>
      <c r="C36" s="525"/>
      <c r="D36" s="404"/>
      <c r="E36" s="404"/>
      <c r="F36" s="441"/>
      <c r="G36" s="405"/>
      <c r="O36" s="391"/>
    </row>
    <row r="37" spans="1:16" x14ac:dyDescent="0.25">
      <c r="B37" s="522"/>
      <c r="C37" s="523"/>
      <c r="D37" s="406" t="str">
        <f>IF(B37&gt;0,VLOOKUP(B37,Materialslookup!$B$196:$H$226,3),"")</f>
        <v/>
      </c>
      <c r="E37" s="407"/>
      <c r="F37" s="440" t="str">
        <f>IF(B37&gt;0,VLOOKUP(B37,Materialslookup!$B$196:$H$226,7),"")</f>
        <v/>
      </c>
      <c r="G37" s="408" t="str">
        <f>IF(E37&gt;0,E37*F37,"")</f>
        <v/>
      </c>
      <c r="O37" s="391"/>
    </row>
    <row r="38" spans="1:16" x14ac:dyDescent="0.25">
      <c r="A38" s="409"/>
      <c r="B38" s="522"/>
      <c r="C38" s="523"/>
      <c r="D38" s="406" t="str">
        <f>IF(B38&gt;0,VLOOKUP(B38,Materialslookup!$B$196:$H$226,3),"")</f>
        <v/>
      </c>
      <c r="E38" s="407"/>
      <c r="F38" s="440" t="str">
        <f>IF(B38&gt;0,VLOOKUP(B38,Materialslookup!$B$196:$H$226,7),"")</f>
        <v/>
      </c>
      <c r="G38" s="408" t="str">
        <f>IF(E38&gt;0,E38*F38,"")</f>
        <v/>
      </c>
      <c r="P38" s="391"/>
    </row>
    <row r="39" spans="1:16" x14ac:dyDescent="0.25">
      <c r="A39" s="409"/>
      <c r="B39" s="522"/>
      <c r="C39" s="523"/>
      <c r="D39" s="406" t="str">
        <f>IF(B39&gt;0,VLOOKUP(B39,Materialslookup!$B$196:$H$226,3),"")</f>
        <v/>
      </c>
      <c r="E39" s="407"/>
      <c r="F39" s="440" t="str">
        <f>IF(B39&gt;0,VLOOKUP(B39,Materialslookup!$B$196:$H$226,7),"")</f>
        <v/>
      </c>
      <c r="G39" s="408" t="str">
        <f>IF(E39&gt;0,E39*F39,"")</f>
        <v/>
      </c>
      <c r="P39" s="391"/>
    </row>
    <row r="40" spans="1:16" x14ac:dyDescent="0.25">
      <c r="A40" s="409"/>
      <c r="B40" s="524" t="s">
        <v>4711</v>
      </c>
      <c r="C40" s="525"/>
      <c r="D40" s="404"/>
      <c r="E40" s="404"/>
      <c r="F40" s="441"/>
      <c r="G40" s="405"/>
      <c r="O40" s="391"/>
    </row>
    <row r="41" spans="1:16" x14ac:dyDescent="0.25">
      <c r="A41" s="409"/>
      <c r="B41" s="522"/>
      <c r="C41" s="523"/>
      <c r="D41" s="406" t="str">
        <f>IF(B41&gt;0,VLOOKUP(B41,Materialslookup!$B$231:$H$258,3),"")</f>
        <v/>
      </c>
      <c r="E41" s="407"/>
      <c r="F41" s="440" t="str">
        <f>IF(B41&gt;0,VLOOKUP(B41,Materialslookup!$B$231:$H$258,7),"")</f>
        <v/>
      </c>
      <c r="G41" s="408" t="str">
        <f t="shared" ref="G41:G47" si="2">IF(E41&gt;0,E41*F41,"")</f>
        <v/>
      </c>
      <c r="P41" s="391"/>
    </row>
    <row r="42" spans="1:16" x14ac:dyDescent="0.25">
      <c r="A42" s="409"/>
      <c r="B42" s="522"/>
      <c r="C42" s="523"/>
      <c r="D42" s="406" t="str">
        <f>IF(B42&gt;0,VLOOKUP(B42,Materialslookup!$B$231:$H$258,3),"")</f>
        <v/>
      </c>
      <c r="E42" s="407"/>
      <c r="F42" s="440" t="str">
        <f>IF(B42&gt;0,VLOOKUP(B42,Materialslookup!$B$231:$H$258,7),"")</f>
        <v/>
      </c>
      <c r="G42" s="408" t="str">
        <f t="shared" si="2"/>
        <v/>
      </c>
      <c r="P42" s="391"/>
    </row>
    <row r="43" spans="1:16" x14ac:dyDescent="0.25">
      <c r="A43" s="409"/>
      <c r="B43" s="522"/>
      <c r="C43" s="523"/>
      <c r="D43" s="406" t="str">
        <f>IF(B43&gt;0,VLOOKUP(B43,Materialslookup!$B$231:$H$258,3),"")</f>
        <v/>
      </c>
      <c r="E43" s="407"/>
      <c r="F43" s="440" t="str">
        <f>IF(B43&gt;0,VLOOKUP(B43,Materialslookup!$B$231:$H$258,7),"")</f>
        <v/>
      </c>
      <c r="G43" s="408" t="str">
        <f t="shared" si="2"/>
        <v/>
      </c>
      <c r="P43" s="391"/>
    </row>
    <row r="44" spans="1:16" x14ac:dyDescent="0.25">
      <c r="A44" s="409"/>
      <c r="B44" s="522"/>
      <c r="C44" s="523"/>
      <c r="D44" s="406" t="str">
        <f>IF(B44&gt;0,VLOOKUP(B44,Materialslookup!$B$231:$H$258,3),"")</f>
        <v/>
      </c>
      <c r="E44" s="407"/>
      <c r="F44" s="440" t="str">
        <f>IF(B44&gt;0,VLOOKUP(B44,Materialslookup!$B$231:$H$258,7),"")</f>
        <v/>
      </c>
      <c r="G44" s="408" t="str">
        <f t="shared" si="2"/>
        <v/>
      </c>
      <c r="P44" s="391"/>
    </row>
    <row r="45" spans="1:16" x14ac:dyDescent="0.25">
      <c r="A45" s="409"/>
      <c r="B45" s="522"/>
      <c r="C45" s="523"/>
      <c r="D45" s="406" t="str">
        <f>IF(B45&gt;0,VLOOKUP(B45,Materialslookup!$B$231:$H$258,3),"")</f>
        <v/>
      </c>
      <c r="E45" s="407"/>
      <c r="F45" s="440" t="str">
        <f>IF(B45&gt;0,VLOOKUP(B45,Materialslookup!$B$231:$H$258,7),"")</f>
        <v/>
      </c>
      <c r="G45" s="408" t="str">
        <f t="shared" si="2"/>
        <v/>
      </c>
      <c r="P45" s="391"/>
    </row>
    <row r="46" spans="1:16" x14ac:dyDescent="0.25">
      <c r="A46" s="409"/>
      <c r="B46" s="522"/>
      <c r="C46" s="523"/>
      <c r="D46" s="406" t="str">
        <f>IF(B46&gt;0,VLOOKUP(B46,Materialslookup!$B$231:$H$258,3),"")</f>
        <v/>
      </c>
      <c r="E46" s="407"/>
      <c r="F46" s="440" t="str">
        <f>IF(B46&gt;0,VLOOKUP(B46,Materialslookup!$B$231:$H$258,7),"")</f>
        <v/>
      </c>
      <c r="G46" s="408" t="str">
        <f t="shared" si="2"/>
        <v/>
      </c>
      <c r="P46" s="391"/>
    </row>
    <row r="47" spans="1:16" x14ac:dyDescent="0.25">
      <c r="A47" s="409"/>
      <c r="B47" s="522"/>
      <c r="C47" s="523"/>
      <c r="D47" s="406" t="str">
        <f>IF(B47&gt;0,VLOOKUP(B47,Materialslookup!$B$231:$H$258,3),"")</f>
        <v/>
      </c>
      <c r="E47" s="407"/>
      <c r="F47" s="440" t="str">
        <f>IF(B47&gt;0,VLOOKUP(B47,Materialslookup!$B$231:$H$258,7),"")</f>
        <v/>
      </c>
      <c r="G47" s="408" t="str">
        <f t="shared" si="2"/>
        <v/>
      </c>
      <c r="P47" s="391"/>
    </row>
    <row r="48" spans="1:16" s="436" customFormat="1" x14ac:dyDescent="0.25">
      <c r="A48" s="431"/>
      <c r="B48" s="432"/>
      <c r="C48" s="432"/>
      <c r="D48" s="433"/>
      <c r="E48" s="434"/>
      <c r="F48" s="442"/>
      <c r="G48" s="435"/>
      <c r="P48" s="430"/>
    </row>
    <row r="49" spans="1:16" s="436" customFormat="1" x14ac:dyDescent="0.25">
      <c r="A49" s="437"/>
      <c r="B49" s="245"/>
      <c r="C49" s="245"/>
      <c r="D49" s="245"/>
      <c r="E49" s="245"/>
      <c r="F49" s="443"/>
      <c r="G49" s="438"/>
    </row>
    <row r="50" spans="1:16" ht="12.75" customHeight="1" x14ac:dyDescent="0.25">
      <c r="A50" s="409"/>
      <c r="B50" s="524" t="s">
        <v>4725</v>
      </c>
      <c r="C50" s="525"/>
      <c r="D50" s="404"/>
      <c r="E50" s="404"/>
      <c r="F50" s="441"/>
      <c r="G50" s="405"/>
      <c r="O50" s="391"/>
    </row>
    <row r="51" spans="1:16" x14ac:dyDescent="0.25">
      <c r="A51" s="409"/>
      <c r="B51" s="522"/>
      <c r="C51" s="523"/>
      <c r="D51" s="406" t="str">
        <f>IF(B51&gt;0,VLOOKUP(B51,Materialslookup!$B$264:$H$305,3),"")</f>
        <v/>
      </c>
      <c r="E51" s="407"/>
      <c r="F51" s="440" t="str">
        <f>IF(B51&gt;0,VLOOKUP(B51,Materialslookup!$B$264:$H$305,7),"")</f>
        <v/>
      </c>
      <c r="G51" s="408" t="str">
        <f>IF(E51&gt;0,E51*F51,"")</f>
        <v/>
      </c>
      <c r="P51" s="391"/>
    </row>
    <row r="52" spans="1:16" x14ac:dyDescent="0.25">
      <c r="A52" s="409"/>
      <c r="B52" s="522"/>
      <c r="C52" s="523"/>
      <c r="D52" s="406" t="str">
        <f>IF(B52&gt;0,VLOOKUP(B52,Materialslookup!$B$264:$H$305,3),"")</f>
        <v/>
      </c>
      <c r="E52" s="407"/>
      <c r="F52" s="440" t="str">
        <f>IF(B52&gt;0,VLOOKUP(B52,Materialslookup!$B$264:$H$305,7),"")</f>
        <v/>
      </c>
      <c r="G52" s="408" t="str">
        <f>IF(E52&gt;0,E52*F52,"")</f>
        <v/>
      </c>
      <c r="P52" s="391"/>
    </row>
    <row r="53" spans="1:16" x14ac:dyDescent="0.25">
      <c r="A53" s="409"/>
      <c r="B53" s="522"/>
      <c r="C53" s="523"/>
      <c r="D53" s="406" t="str">
        <f>IF(B53&gt;0,VLOOKUP(B53,Materialslookup!$B$264:$H$305,3),"")</f>
        <v/>
      </c>
      <c r="E53" s="407"/>
      <c r="F53" s="440" t="str">
        <f>IF(B53&gt;0,VLOOKUP(B53,Materialslookup!$B$264:$H$305,7),"")</f>
        <v/>
      </c>
      <c r="G53" s="408" t="str">
        <f t="shared" ref="G53:G60" si="3">IF(E53&gt;0,E53*F53,"")</f>
        <v/>
      </c>
      <c r="P53" s="391"/>
    </row>
    <row r="54" spans="1:16" x14ac:dyDescent="0.25">
      <c r="A54" s="409"/>
      <c r="B54" s="522"/>
      <c r="C54" s="523"/>
      <c r="D54" s="406" t="str">
        <f>IF(B54&gt;0,VLOOKUP(B54,Materialslookup!$B$264:$H$305,3),"")</f>
        <v/>
      </c>
      <c r="E54" s="407"/>
      <c r="F54" s="440" t="str">
        <f>IF(B54&gt;0,VLOOKUP(B54,Materialslookup!$B$264:$H$305,7),"")</f>
        <v/>
      </c>
      <c r="G54" s="408" t="str">
        <f t="shared" si="3"/>
        <v/>
      </c>
      <c r="P54" s="391"/>
    </row>
    <row r="55" spans="1:16" x14ac:dyDescent="0.25">
      <c r="A55" s="409"/>
      <c r="B55" s="522"/>
      <c r="C55" s="523"/>
      <c r="D55" s="406" t="str">
        <f>IF(B55&gt;0,VLOOKUP(B55,Materialslookup!$B$264:$H$305,3),"")</f>
        <v/>
      </c>
      <c r="E55" s="407"/>
      <c r="F55" s="440" t="str">
        <f>IF(B55&gt;0,VLOOKUP(B55,Materialslookup!$B$264:$H$305,7),"")</f>
        <v/>
      </c>
      <c r="G55" s="408" t="str">
        <f t="shared" si="3"/>
        <v/>
      </c>
      <c r="P55" s="391"/>
    </row>
    <row r="56" spans="1:16" x14ac:dyDescent="0.25">
      <c r="A56" s="409"/>
      <c r="B56" s="522"/>
      <c r="C56" s="523"/>
      <c r="D56" s="406" t="str">
        <f>IF(B56&gt;0,VLOOKUP(B56,Materialslookup!$B$264:$H$305,3),"")</f>
        <v/>
      </c>
      <c r="E56" s="407"/>
      <c r="F56" s="440" t="str">
        <f>IF(B56&gt;0,VLOOKUP(B56,Materialslookup!$B$264:$H$305,7),"")</f>
        <v/>
      </c>
      <c r="G56" s="408" t="str">
        <f t="shared" si="3"/>
        <v/>
      </c>
      <c r="P56" s="391"/>
    </row>
    <row r="57" spans="1:16" x14ac:dyDescent="0.25">
      <c r="A57" s="409"/>
      <c r="B57" s="522"/>
      <c r="C57" s="523"/>
      <c r="D57" s="406" t="str">
        <f>IF(B57&gt;0,VLOOKUP(B57,Materialslookup!$B$264:$H$305,3),"")</f>
        <v/>
      </c>
      <c r="E57" s="407"/>
      <c r="F57" s="440" t="str">
        <f>IF(B57&gt;0,VLOOKUP(B57,Materialslookup!$B$264:$H$305,7),"")</f>
        <v/>
      </c>
      <c r="G57" s="408" t="str">
        <f>IF(E57&gt;0,E57*F57,"")</f>
        <v/>
      </c>
      <c r="P57" s="391"/>
    </row>
    <row r="58" spans="1:16" x14ac:dyDescent="0.25">
      <c r="A58" s="409"/>
      <c r="B58" s="522"/>
      <c r="C58" s="523"/>
      <c r="D58" s="406" t="str">
        <f>IF(B58&gt;0,VLOOKUP(B58,Materialslookup!$B$264:$H$305,3),"")</f>
        <v/>
      </c>
      <c r="E58" s="407"/>
      <c r="F58" s="440" t="str">
        <f>IF(B58&gt;0,VLOOKUP(B58,Materialslookup!$B$264:$H$305,7),"")</f>
        <v/>
      </c>
      <c r="G58" s="408" t="str">
        <f t="shared" si="3"/>
        <v/>
      </c>
      <c r="P58" s="391"/>
    </row>
    <row r="59" spans="1:16" x14ac:dyDescent="0.25">
      <c r="A59" s="409"/>
      <c r="B59" s="522"/>
      <c r="C59" s="523"/>
      <c r="D59" s="406" t="str">
        <f>IF(B59&gt;0,VLOOKUP(B59,Materialslookup!$B$264:$H$305,3),"")</f>
        <v/>
      </c>
      <c r="E59" s="407"/>
      <c r="F59" s="440" t="str">
        <f>IF(B59&gt;0,VLOOKUP(B59,Materialslookup!$B$264:$H$305,7),"")</f>
        <v/>
      </c>
      <c r="G59" s="408" t="str">
        <f t="shared" si="3"/>
        <v/>
      </c>
      <c r="P59" s="391"/>
    </row>
    <row r="60" spans="1:16" x14ac:dyDescent="0.25">
      <c r="A60" s="409"/>
      <c r="B60" s="522"/>
      <c r="C60" s="523"/>
      <c r="D60" s="406" t="str">
        <f>IF(B60&gt;0,VLOOKUP(B60,Materialslookup!$B$264:$H$305,3),"")</f>
        <v/>
      </c>
      <c r="E60" s="407"/>
      <c r="F60" s="440" t="str">
        <f>IF(B60&gt;0,VLOOKUP(B60,Materialslookup!$B$264:$H$305,7),"")</f>
        <v/>
      </c>
      <c r="G60" s="408" t="str">
        <f t="shared" si="3"/>
        <v/>
      </c>
      <c r="P60" s="391"/>
    </row>
    <row r="61" spans="1:16" x14ac:dyDescent="0.25">
      <c r="A61" s="409"/>
      <c r="B61" s="524" t="s">
        <v>4714</v>
      </c>
      <c r="C61" s="525"/>
      <c r="D61" s="404"/>
      <c r="E61" s="404"/>
      <c r="F61" s="441"/>
      <c r="G61" s="405"/>
      <c r="O61" s="391"/>
    </row>
    <row r="62" spans="1:16" x14ac:dyDescent="0.25">
      <c r="A62" s="409"/>
      <c r="B62" s="522"/>
      <c r="C62" s="523"/>
      <c r="D62" s="406" t="str">
        <f>IF(B62&gt;0,VLOOKUP(B62,Materialslookup!$B$310:$H$398,3),"")</f>
        <v/>
      </c>
      <c r="E62" s="407"/>
      <c r="F62" s="440" t="str">
        <f>IF(B62&gt;0,VLOOKUP(B62,Materialslookup!$B$310:$H$398,7),"")</f>
        <v/>
      </c>
      <c r="G62" s="408" t="str">
        <f t="shared" ref="G62:G69" si="4">IF(E62&gt;0,E62*F62,"")</f>
        <v/>
      </c>
      <c r="P62" s="391"/>
    </row>
    <row r="63" spans="1:16" x14ac:dyDescent="0.25">
      <c r="A63" s="409"/>
      <c r="B63" s="522"/>
      <c r="C63" s="523"/>
      <c r="D63" s="406" t="str">
        <f>IF(B63&gt;0,VLOOKUP(B63,Materialslookup!$B$310:$H$398,3),"")</f>
        <v/>
      </c>
      <c r="E63" s="407"/>
      <c r="F63" s="440" t="str">
        <f>IF(B63&gt;0,VLOOKUP(B63,Materialslookup!$B$310:$H$398,7),"")</f>
        <v/>
      </c>
      <c r="G63" s="408" t="str">
        <f>IF(E63&gt;0,E63*F63,"")</f>
        <v/>
      </c>
      <c r="P63" s="391"/>
    </row>
    <row r="64" spans="1:16" x14ac:dyDescent="0.25">
      <c r="A64" s="409"/>
      <c r="B64" s="522"/>
      <c r="C64" s="523"/>
      <c r="D64" s="406" t="str">
        <f>IF(B64&gt;0,VLOOKUP(B64,Materialslookup!$B$310:$H$398,3),"")</f>
        <v/>
      </c>
      <c r="E64" s="407"/>
      <c r="F64" s="440" t="str">
        <f>IF(B64&gt;0,VLOOKUP(B64,Materialslookup!$B$310:$H$398,7),"")</f>
        <v/>
      </c>
      <c r="G64" s="408" t="str">
        <f>IF(E64&gt;0,E64*F64,"")</f>
        <v/>
      </c>
      <c r="P64" s="391"/>
    </row>
    <row r="65" spans="1:16" x14ac:dyDescent="0.25">
      <c r="A65" s="409"/>
      <c r="B65" s="522"/>
      <c r="C65" s="523"/>
      <c r="D65" s="406" t="str">
        <f>IF(B65&gt;0,VLOOKUP(B65,Materialslookup!$B$310:$H$398,3),"")</f>
        <v/>
      </c>
      <c r="E65" s="407"/>
      <c r="F65" s="440" t="str">
        <f>IF(B65&gt;0,VLOOKUP(B65,Materialslookup!$B$310:$H$398,7),"")</f>
        <v/>
      </c>
      <c r="G65" s="408" t="str">
        <f t="shared" si="4"/>
        <v/>
      </c>
      <c r="P65" s="391"/>
    </row>
    <row r="66" spans="1:16" x14ac:dyDescent="0.25">
      <c r="A66" s="409"/>
      <c r="B66" s="522"/>
      <c r="C66" s="523"/>
      <c r="D66" s="406" t="str">
        <f>IF(B66&gt;0,VLOOKUP(B66,Materialslookup!$B$310:$H$398,3),"")</f>
        <v/>
      </c>
      <c r="E66" s="407"/>
      <c r="F66" s="440" t="str">
        <f>IF(B66&gt;0,VLOOKUP(B66,Materialslookup!$B$310:$H$398,7),"")</f>
        <v/>
      </c>
      <c r="G66" s="408" t="str">
        <f t="shared" si="4"/>
        <v/>
      </c>
      <c r="P66" s="391"/>
    </row>
    <row r="67" spans="1:16" x14ac:dyDescent="0.25">
      <c r="A67" s="409"/>
      <c r="B67" s="522"/>
      <c r="C67" s="523"/>
      <c r="D67" s="406" t="str">
        <f>IF(B67&gt;0,VLOOKUP(B67,Materialslookup!$B$310:$H$398,3),"")</f>
        <v/>
      </c>
      <c r="E67" s="407"/>
      <c r="F67" s="440" t="str">
        <f>IF(B67&gt;0,VLOOKUP(B67,Materialslookup!$B$310:$H$398,7),"")</f>
        <v/>
      </c>
      <c r="G67" s="408" t="str">
        <f t="shared" si="4"/>
        <v/>
      </c>
      <c r="P67" s="391"/>
    </row>
    <row r="68" spans="1:16" x14ac:dyDescent="0.25">
      <c r="A68" s="409"/>
      <c r="B68" s="522"/>
      <c r="C68" s="523"/>
      <c r="D68" s="406" t="str">
        <f>IF(B68&gt;0,VLOOKUP(B68,Materialslookup!$B$310:$H$398,3),"")</f>
        <v/>
      </c>
      <c r="E68" s="407"/>
      <c r="F68" s="440" t="str">
        <f>IF(B68&gt;0,VLOOKUP(B68,Materialslookup!$B$310:$H$398,7),"")</f>
        <v/>
      </c>
      <c r="G68" s="408" t="str">
        <f t="shared" si="4"/>
        <v/>
      </c>
      <c r="P68" s="391"/>
    </row>
    <row r="69" spans="1:16" x14ac:dyDescent="0.25">
      <c r="A69" s="409"/>
      <c r="B69" s="522"/>
      <c r="C69" s="523"/>
      <c r="D69" s="406" t="str">
        <f>IF(B69&gt;0,VLOOKUP(B69,Materialslookup!$B$310:$H$398,3),"")</f>
        <v/>
      </c>
      <c r="E69" s="407"/>
      <c r="F69" s="440" t="str">
        <f>IF(B69&gt;0,VLOOKUP(B69,Materialslookup!$B$310:$H$398,7),"")</f>
        <v/>
      </c>
      <c r="G69" s="408" t="str">
        <f t="shared" si="4"/>
        <v/>
      </c>
      <c r="P69" s="391"/>
    </row>
    <row r="70" spans="1:16" x14ac:dyDescent="0.25">
      <c r="A70" s="409"/>
      <c r="B70" s="524" t="s">
        <v>4717</v>
      </c>
      <c r="C70" s="525"/>
      <c r="D70" s="404"/>
      <c r="E70" s="404"/>
      <c r="F70" s="441"/>
      <c r="G70" s="405"/>
      <c r="O70" s="391"/>
    </row>
    <row r="71" spans="1:16" x14ac:dyDescent="0.25">
      <c r="A71" s="409"/>
      <c r="B71" s="522"/>
      <c r="C71" s="523"/>
      <c r="D71" s="406" t="str">
        <f>IF(B71&gt;0,VLOOKUP(B71,Materialslookup!$B$403:$H$436,3),"")</f>
        <v/>
      </c>
      <c r="E71" s="407"/>
      <c r="F71" s="440" t="str">
        <f>IF(B71&gt;0,VLOOKUP(B71,Materialslookup!$B$403:$H$436,7),"")</f>
        <v/>
      </c>
      <c r="G71" s="408" t="str">
        <f>IF(E71&gt;0,E71*F71,"")</f>
        <v/>
      </c>
      <c r="P71" s="391"/>
    </row>
    <row r="72" spans="1:16" x14ac:dyDescent="0.25">
      <c r="A72" s="409"/>
      <c r="B72" s="522"/>
      <c r="C72" s="523"/>
      <c r="D72" s="406" t="str">
        <f>IF(B72&gt;0,VLOOKUP(B72,Materialslookup!$B$403:$H$436,3),"")</f>
        <v/>
      </c>
      <c r="E72" s="407"/>
      <c r="F72" s="440" t="str">
        <f>IF(B72&gt;0,VLOOKUP(B72,Materialslookup!$B$403:$H$436,7),"")</f>
        <v/>
      </c>
      <c r="G72" s="408" t="str">
        <f>IF(E72&gt;0,E72*F72,"")</f>
        <v/>
      </c>
      <c r="P72" s="391"/>
    </row>
    <row r="73" spans="1:16" x14ac:dyDescent="0.25">
      <c r="A73" s="409"/>
      <c r="B73" s="522"/>
      <c r="C73" s="523"/>
      <c r="D73" s="406" t="str">
        <f>IF(B73&gt;0,VLOOKUP(B73,Materialslookup!$B$403:$H$436,3),"")</f>
        <v/>
      </c>
      <c r="E73" s="407"/>
      <c r="F73" s="440" t="str">
        <f>IF(B73&gt;0,VLOOKUP(B73,Materialslookup!$B$403:$H$436,7),"")</f>
        <v/>
      </c>
      <c r="G73" s="408" t="str">
        <f>IF(E73&gt;0,E73*F73,"")</f>
        <v/>
      </c>
      <c r="P73" s="391"/>
    </row>
    <row r="74" spans="1:16" x14ac:dyDescent="0.25">
      <c r="A74" s="409"/>
      <c r="B74" s="411"/>
      <c r="C74" s="412"/>
      <c r="D74" s="413"/>
      <c r="E74" s="528" t="s">
        <v>3090</v>
      </c>
      <c r="F74" s="529"/>
      <c r="G74" s="414">
        <f>SUM(G15:G73)</f>
        <v>0</v>
      </c>
      <c r="P74" s="391"/>
    </row>
    <row r="75" spans="1:16" ht="20.25" customHeight="1" x14ac:dyDescent="0.25">
      <c r="A75" s="415"/>
      <c r="B75" s="538" t="s">
        <v>4727</v>
      </c>
      <c r="C75" s="538"/>
      <c r="D75" s="538"/>
      <c r="E75" s="538"/>
      <c r="F75" s="538"/>
      <c r="G75" s="539"/>
      <c r="P75" s="391"/>
    </row>
    <row r="76" spans="1:16" x14ac:dyDescent="0.25">
      <c r="A76" s="409"/>
      <c r="B76" s="524" t="s">
        <v>4713</v>
      </c>
      <c r="C76" s="525"/>
      <c r="D76" s="404"/>
      <c r="E76" s="404"/>
      <c r="F76" s="441"/>
      <c r="G76" s="405"/>
      <c r="O76" s="391"/>
    </row>
    <row r="77" spans="1:16" x14ac:dyDescent="0.25">
      <c r="A77" s="409"/>
      <c r="B77" s="522"/>
      <c r="C77" s="523"/>
      <c r="D77" s="406" t="str">
        <f>IF(B77&gt;0,VLOOKUP(B77,Equipmentlookup!$B$5:$H$45,3),"")</f>
        <v/>
      </c>
      <c r="E77" s="407"/>
      <c r="F77" s="440" t="str">
        <f>IF(B77&gt;0,VLOOKUP(B77,Equipmentlookup!$B$5:$H$45,7),"")</f>
        <v/>
      </c>
      <c r="G77" s="408" t="str">
        <f t="shared" ref="G77:G83" si="5">IF(E77&gt;0,E77*F77,"")</f>
        <v/>
      </c>
      <c r="O77" s="391"/>
    </row>
    <row r="78" spans="1:16" x14ac:dyDescent="0.25">
      <c r="A78" s="409"/>
      <c r="B78" s="522"/>
      <c r="C78" s="523"/>
      <c r="D78" s="406" t="str">
        <f>IF(B78&gt;0,VLOOKUP(B78,Equipmentlookup!$B$5:$H$45,3),"")</f>
        <v/>
      </c>
      <c r="E78" s="407"/>
      <c r="F78" s="440" t="str">
        <f>IF(B78&gt;0,VLOOKUP(B78,Equipmentlookup!$B$5:$H$45,7),"")</f>
        <v/>
      </c>
      <c r="G78" s="408" t="str">
        <f t="shared" si="5"/>
        <v/>
      </c>
      <c r="O78" s="391"/>
    </row>
    <row r="79" spans="1:16" x14ac:dyDescent="0.25">
      <c r="A79" s="409"/>
      <c r="B79" s="522"/>
      <c r="C79" s="523"/>
      <c r="D79" s="406" t="str">
        <f>IF(B79&gt;0,VLOOKUP(B79,Equipmentlookup!$B$5:$H$45,3),"")</f>
        <v/>
      </c>
      <c r="E79" s="407"/>
      <c r="F79" s="440" t="str">
        <f>IF(B79&gt;0,VLOOKUP(B79,Equipmentlookup!$B$5:$H$45,7),"")</f>
        <v/>
      </c>
      <c r="G79" s="408" t="str">
        <f t="shared" si="5"/>
        <v/>
      </c>
      <c r="O79" s="391"/>
    </row>
    <row r="80" spans="1:16" x14ac:dyDescent="0.25">
      <c r="A80" s="409"/>
      <c r="B80" s="524" t="s">
        <v>4721</v>
      </c>
      <c r="C80" s="525"/>
      <c r="D80" s="404"/>
      <c r="E80" s="404"/>
      <c r="F80" s="440"/>
      <c r="G80" s="405"/>
      <c r="O80" s="391"/>
    </row>
    <row r="81" spans="1:16" ht="23.25" customHeight="1" x14ac:dyDescent="0.25">
      <c r="A81" s="409"/>
      <c r="B81" s="522"/>
      <c r="C81" s="523"/>
      <c r="D81" s="406" t="str">
        <f>IF(B81&gt;0,VLOOKUP(B81,Equipmentlookup!$B$50:$H$61,3),"")</f>
        <v/>
      </c>
      <c r="E81" s="407"/>
      <c r="F81" s="440" t="str">
        <f>IF(B81&gt;0,VLOOKUP(B81,Equipmentlookup!$B$50:$H$61,7),"")</f>
        <v/>
      </c>
      <c r="G81" s="408" t="str">
        <f t="shared" si="5"/>
        <v/>
      </c>
      <c r="P81" s="391"/>
    </row>
    <row r="82" spans="1:16" x14ac:dyDescent="0.25">
      <c r="A82" s="409"/>
      <c r="B82" s="522"/>
      <c r="C82" s="523"/>
      <c r="D82" s="406" t="str">
        <f>IF(B82&gt;0,VLOOKUP(B82,Equipmentlookup!$B$50:$H$61,3),"")</f>
        <v/>
      </c>
      <c r="E82" s="407"/>
      <c r="F82" s="440" t="str">
        <f>IF(B82&gt;0,VLOOKUP(B82,Equipmentlookup!$B$50:$H$61,7),"")</f>
        <v/>
      </c>
      <c r="G82" s="408" t="str">
        <f t="shared" si="5"/>
        <v/>
      </c>
      <c r="P82" s="391"/>
    </row>
    <row r="83" spans="1:16" x14ac:dyDescent="0.25">
      <c r="A83" s="409"/>
      <c r="B83" s="522"/>
      <c r="C83" s="523"/>
      <c r="D83" s="406" t="str">
        <f>IF(B83&gt;0,VLOOKUP(B83,Equipmentlookup!$B$50:$H$61,3),"")</f>
        <v/>
      </c>
      <c r="E83" s="407"/>
      <c r="F83" s="440" t="str">
        <f>IF(B83&gt;0,VLOOKUP(B83,Equipmentlookup!$B$50:$H$61,7),"")</f>
        <v/>
      </c>
      <c r="G83" s="408" t="str">
        <f t="shared" si="5"/>
        <v/>
      </c>
      <c r="P83" s="391"/>
    </row>
    <row r="84" spans="1:16" x14ac:dyDescent="0.25">
      <c r="A84" s="409"/>
      <c r="B84" s="524" t="s">
        <v>2536</v>
      </c>
      <c r="C84" s="525"/>
      <c r="D84" s="406"/>
      <c r="E84" s="404"/>
      <c r="F84" s="440"/>
      <c r="G84" s="405"/>
      <c r="O84" s="391"/>
    </row>
    <row r="85" spans="1:16" x14ac:dyDescent="0.25">
      <c r="A85" s="409"/>
      <c r="B85" s="522"/>
      <c r="C85" s="523"/>
      <c r="D85" s="406" t="str">
        <f>IF(B85&gt;0,VLOOKUP(B85,Equipmentlookup!$B$66:$H$143,3),"")</f>
        <v/>
      </c>
      <c r="E85" s="407"/>
      <c r="F85" s="440" t="str">
        <f>IF(B85&gt;0,VLOOKUP(B85,Equipmentlookup!$B$66:$H$143,7),"")</f>
        <v/>
      </c>
      <c r="G85" s="408" t="str">
        <f>IF(E85&gt;0,E85*F85,"")</f>
        <v/>
      </c>
      <c r="P85" s="391"/>
    </row>
    <row r="86" spans="1:16" x14ac:dyDescent="0.25">
      <c r="A86" s="409"/>
      <c r="B86" s="522"/>
      <c r="C86" s="523"/>
      <c r="D86" s="406" t="str">
        <f>IF(B86&gt;0,VLOOKUP(B86,Equipmentlookup!$B$66:$H$143,3),"")</f>
        <v/>
      </c>
      <c r="E86" s="407"/>
      <c r="F86" s="440" t="str">
        <f>IF(B86&gt;0,VLOOKUP(B86,Equipmentlookup!$B$66:$H$143,7),"")</f>
        <v/>
      </c>
      <c r="G86" s="408" t="str">
        <f>IF(E86&gt;0,E86*F86,"")</f>
        <v/>
      </c>
      <c r="P86" s="391"/>
    </row>
    <row r="87" spans="1:16" x14ac:dyDescent="0.25">
      <c r="A87" s="409"/>
      <c r="B87" s="522"/>
      <c r="C87" s="523"/>
      <c r="D87" s="406" t="str">
        <f>IF(B87&gt;0,VLOOKUP(B87,Equipmentlookup!$B$66:$H$143,3),"")</f>
        <v/>
      </c>
      <c r="E87" s="407"/>
      <c r="F87" s="440" t="str">
        <f>IF(B87&gt;0,VLOOKUP(B87,Equipmentlookup!$B$66:$H$143,7),"")</f>
        <v/>
      </c>
      <c r="G87" s="408" t="str">
        <f>IF(E87&gt;0,E87*F87,"")</f>
        <v/>
      </c>
      <c r="P87" s="391"/>
    </row>
    <row r="88" spans="1:16" x14ac:dyDescent="0.25">
      <c r="A88" s="409"/>
      <c r="B88" s="524" t="s">
        <v>2859</v>
      </c>
      <c r="C88" s="525"/>
      <c r="D88" s="406"/>
      <c r="E88" s="404"/>
      <c r="F88" s="440"/>
      <c r="G88" s="405"/>
      <c r="O88" s="391"/>
    </row>
    <row r="89" spans="1:16" x14ac:dyDescent="0.25">
      <c r="A89" s="409"/>
      <c r="B89" s="522"/>
      <c r="C89" s="523"/>
      <c r="D89" s="406" t="str">
        <f>IF(B89&gt;0,VLOOKUP(B89,Equipmentlookup!$B$148:$H$177,3),"")</f>
        <v/>
      </c>
      <c r="E89" s="407"/>
      <c r="F89" s="440" t="str">
        <f>IF(B89&gt;0,VLOOKUP(B89,Equipmentlookup!$B$148:$H$177,7),"")</f>
        <v/>
      </c>
      <c r="G89" s="408" t="str">
        <f>IF(E89&gt;0,E89*F89,"")</f>
        <v/>
      </c>
      <c r="P89" s="391"/>
    </row>
    <row r="90" spans="1:16" x14ac:dyDescent="0.25">
      <c r="A90" s="409"/>
      <c r="B90" s="522"/>
      <c r="C90" s="523"/>
      <c r="D90" s="406" t="str">
        <f>IF(B90&gt;0,VLOOKUP(B90,Equipmentlookup!$B$148:$H$177,3),"")</f>
        <v/>
      </c>
      <c r="E90" s="407"/>
      <c r="F90" s="440" t="str">
        <f>IF(B90&gt;0,VLOOKUP(B90,Equipmentlookup!$B$148:$H$177,7),"")</f>
        <v/>
      </c>
      <c r="G90" s="408" t="str">
        <f>IF(E90&gt;0,E90*F90,"")</f>
        <v/>
      </c>
      <c r="P90" s="391"/>
    </row>
    <row r="91" spans="1:16" x14ac:dyDescent="0.25">
      <c r="A91" s="409"/>
      <c r="B91" s="522"/>
      <c r="C91" s="523"/>
      <c r="D91" s="406" t="str">
        <f>IF(B91&gt;0,VLOOKUP(B91,Equipmentlookup!$B$148:$H$177,3),"")</f>
        <v/>
      </c>
      <c r="E91" s="407"/>
      <c r="F91" s="440" t="str">
        <f>IF(B91&gt;0,VLOOKUP(B91,Equipmentlookup!$B$148:$H$177,7),"")</f>
        <v/>
      </c>
      <c r="G91" s="408" t="str">
        <f>IF(E91&gt;0,E91*F91,"")</f>
        <v/>
      </c>
      <c r="P91" s="391"/>
    </row>
    <row r="92" spans="1:16" x14ac:dyDescent="0.25">
      <c r="A92" s="409"/>
      <c r="B92" s="524" t="s">
        <v>2151</v>
      </c>
      <c r="C92" s="525"/>
      <c r="D92" s="406"/>
      <c r="E92" s="404"/>
      <c r="F92" s="440"/>
      <c r="G92" s="405"/>
      <c r="O92" s="391"/>
    </row>
    <row r="93" spans="1:16" x14ac:dyDescent="0.25">
      <c r="A93" s="409"/>
      <c r="B93" s="522"/>
      <c r="C93" s="523"/>
      <c r="D93" s="406" t="str">
        <f>IF(B93&gt;0,VLOOKUP(B93,Equipmentlookup!$B$182:$H$212,3),"")</f>
        <v/>
      </c>
      <c r="E93" s="407"/>
      <c r="F93" s="440" t="str">
        <f>IF(B93&gt;0,VLOOKUP(B93,Equipmentlookup!$B$182:$H$212,7),"")</f>
        <v/>
      </c>
      <c r="G93" s="408" t="str">
        <f>IF(E93&gt;0,E93*F93,"")</f>
        <v/>
      </c>
      <c r="P93" s="391"/>
    </row>
    <row r="94" spans="1:16" x14ac:dyDescent="0.25">
      <c r="A94" s="409"/>
      <c r="B94" s="522"/>
      <c r="C94" s="523"/>
      <c r="D94" s="406" t="str">
        <f>IF(B94&gt;0,VLOOKUP(B94,Equipmentlookup!$B$182:$H$212,3),"")</f>
        <v/>
      </c>
      <c r="E94" s="407"/>
      <c r="F94" s="440" t="str">
        <f>IF(B94&gt;0,VLOOKUP(B94,Equipmentlookup!$B$182:$H$212,7),"")</f>
        <v/>
      </c>
      <c r="G94" s="408" t="str">
        <f>IF(E94&gt;0,E94*F94,"")</f>
        <v/>
      </c>
      <c r="P94" s="391"/>
    </row>
    <row r="95" spans="1:16" x14ac:dyDescent="0.25">
      <c r="A95" s="409"/>
      <c r="B95" s="522"/>
      <c r="C95" s="523"/>
      <c r="D95" s="406" t="str">
        <f>IF(B95&gt;0,VLOOKUP(B95,Equipmentlookup!$B$182:$H$212,3),"")</f>
        <v/>
      </c>
      <c r="E95" s="407"/>
      <c r="F95" s="440" t="str">
        <f>IF(B95&gt;0,VLOOKUP(B95,Equipmentlookup!$B$182:$H$212,7),"")</f>
        <v/>
      </c>
      <c r="G95" s="408" t="str">
        <f>IF(E95&gt;0,E95*F95,"")</f>
        <v/>
      </c>
      <c r="P95" s="391"/>
    </row>
    <row r="96" spans="1:16" x14ac:dyDescent="0.25">
      <c r="A96" s="409"/>
      <c r="B96" s="416"/>
      <c r="C96" s="417"/>
      <c r="D96" s="528" t="s">
        <v>3091</v>
      </c>
      <c r="E96" s="528"/>
      <c r="F96" s="529"/>
      <c r="G96" s="414">
        <f>SUM(G76:G95)</f>
        <v>0</v>
      </c>
      <c r="P96" s="391"/>
    </row>
    <row r="97" spans="1:16" ht="20.25" customHeight="1" x14ac:dyDescent="0.25">
      <c r="A97" s="409"/>
      <c r="B97" s="538" t="s">
        <v>4728</v>
      </c>
      <c r="C97" s="538"/>
      <c r="D97" s="538"/>
      <c r="E97" s="538"/>
      <c r="F97" s="538"/>
      <c r="G97" s="539"/>
      <c r="P97" s="391"/>
    </row>
    <row r="98" spans="1:16" x14ac:dyDescent="0.25">
      <c r="A98" s="409"/>
      <c r="B98" s="524" t="s">
        <v>424</v>
      </c>
      <c r="C98" s="525"/>
      <c r="D98" s="404"/>
      <c r="E98" s="404"/>
      <c r="F98" s="441"/>
      <c r="G98" s="405"/>
      <c r="O98" s="391"/>
    </row>
    <row r="99" spans="1:16" ht="18.600000000000001" customHeight="1" x14ac:dyDescent="0.25">
      <c r="A99" s="409"/>
      <c r="B99" s="522"/>
      <c r="C99" s="523"/>
      <c r="D99" s="406" t="str">
        <f>IF(B99&gt;0,VLOOKUP(B99,Mobilizationlookup!$B$4:$H$15,3),"")</f>
        <v/>
      </c>
      <c r="E99" s="407"/>
      <c r="F99" s="440" t="str">
        <f>IF(B99&gt;0,VLOOKUP(B99,Mobilizationlookup!$B$4:$H$15,7),"")</f>
        <v/>
      </c>
      <c r="G99" s="408" t="str">
        <f>IF(E99&gt;0,E99*F99,"")</f>
        <v/>
      </c>
      <c r="P99" s="391"/>
    </row>
    <row r="100" spans="1:16" x14ac:dyDescent="0.25">
      <c r="A100" s="409"/>
      <c r="B100" s="522"/>
      <c r="C100" s="523"/>
      <c r="D100" s="406" t="str">
        <f>IF(B100&gt;0,VLOOKUP(B100,Mobilizationlookup!$B$4:$H$15,3),"")</f>
        <v/>
      </c>
      <c r="E100" s="407"/>
      <c r="F100" s="440" t="str">
        <f>IF(B100&gt;0,VLOOKUP(B100,Mobilizationlookup!$B$4:$H$15,7),"")</f>
        <v/>
      </c>
      <c r="G100" s="408" t="str">
        <f>IF(E100&gt;0,E100*F100,"")</f>
        <v/>
      </c>
      <c r="P100" s="391"/>
    </row>
    <row r="101" spans="1:16" x14ac:dyDescent="0.25">
      <c r="A101" s="409"/>
      <c r="B101" s="522"/>
      <c r="C101" s="523"/>
      <c r="D101" s="406" t="str">
        <f>IF(B101&gt;0,VLOOKUP(B101,Mobilizationlookup!$B$4:$H$15,3),"")</f>
        <v/>
      </c>
      <c r="E101" s="407"/>
      <c r="F101" s="440" t="str">
        <f>IF(B101&gt;0,VLOOKUP(B101,Mobilizationlookup!$B$4:$H$15,7),"")</f>
        <v/>
      </c>
      <c r="G101" s="408" t="str">
        <f>IF(E101&gt;0,E101*F101,"")</f>
        <v/>
      </c>
      <c r="P101" s="391"/>
    </row>
    <row r="102" spans="1:16" x14ac:dyDescent="0.25">
      <c r="A102" s="409"/>
      <c r="B102" s="524" t="s">
        <v>1047</v>
      </c>
      <c r="C102" s="525"/>
      <c r="D102" s="404"/>
      <c r="E102" s="404"/>
      <c r="F102" s="441"/>
      <c r="G102" s="405"/>
      <c r="O102" s="391"/>
    </row>
    <row r="103" spans="1:16" x14ac:dyDescent="0.25">
      <c r="A103" s="409"/>
      <c r="B103" s="522"/>
      <c r="C103" s="523"/>
      <c r="D103" s="406" t="str">
        <f>IF(B103&gt;0,VLOOKUP(B103,Laborlookup!$B$4:$H$29,3),"")</f>
        <v/>
      </c>
      <c r="E103" s="407"/>
      <c r="F103" s="440" t="str">
        <f>IF(B103&gt;0,VLOOKUP(B103,Laborlookup!$B$4:$H$29,7),"")</f>
        <v/>
      </c>
      <c r="G103" s="408" t="str">
        <f>IF(E103&gt;0,E103*F103,"")</f>
        <v/>
      </c>
      <c r="P103" s="391"/>
    </row>
    <row r="104" spans="1:16" x14ac:dyDescent="0.25">
      <c r="A104" s="409"/>
      <c r="B104" s="522"/>
      <c r="C104" s="523"/>
      <c r="D104" s="406" t="str">
        <f>IF(B104&gt;0,VLOOKUP(B104,Laborlookup!$B$4:$H$29,3),"")</f>
        <v/>
      </c>
      <c r="E104" s="407"/>
      <c r="F104" s="440" t="str">
        <f>IF(B104&gt;0,VLOOKUP(B104,Laborlookup!$B$4:$H$29,7),"")</f>
        <v/>
      </c>
      <c r="G104" s="408" t="str">
        <f>IF(E104&gt;0,E104*F104,"")</f>
        <v/>
      </c>
      <c r="P104" s="391"/>
    </row>
    <row r="105" spans="1:16" x14ac:dyDescent="0.25">
      <c r="A105" s="409"/>
      <c r="B105" s="522"/>
      <c r="C105" s="523"/>
      <c r="D105" s="406" t="str">
        <f>IF(B105&gt;0,VLOOKUP(B105,Laborlookup!$B$4:$H$29,3),"")</f>
        <v/>
      </c>
      <c r="E105" s="407"/>
      <c r="F105" s="440" t="str">
        <f>IF(B105&gt;0,VLOOKUP(B105,Laborlookup!$B$4:$H$29,7),"")</f>
        <v/>
      </c>
      <c r="G105" s="408" t="str">
        <f>IF(E105&gt;0,E105*F105,"")</f>
        <v/>
      </c>
      <c r="P105" s="391"/>
    </row>
    <row r="106" spans="1:16" ht="12.75" customHeight="1" x14ac:dyDescent="0.25">
      <c r="A106" s="409"/>
      <c r="B106" s="418"/>
      <c r="C106" s="417"/>
      <c r="D106" s="528" t="s">
        <v>4732</v>
      </c>
      <c r="E106" s="528"/>
      <c r="F106" s="529"/>
      <c r="G106" s="414">
        <f>SUM(G99:G105)</f>
        <v>0</v>
      </c>
      <c r="P106" s="391"/>
    </row>
    <row r="107" spans="1:16" ht="20.25" customHeight="1" x14ac:dyDescent="0.25">
      <c r="A107" s="409"/>
      <c r="B107" s="538" t="s">
        <v>3092</v>
      </c>
      <c r="C107" s="538"/>
      <c r="D107" s="538"/>
      <c r="E107" s="538"/>
      <c r="F107" s="538"/>
      <c r="G107" s="539"/>
      <c r="P107" s="391"/>
    </row>
    <row r="108" spans="1:16" x14ac:dyDescent="0.25">
      <c r="A108" s="409"/>
      <c r="B108" s="524" t="s">
        <v>4735</v>
      </c>
      <c r="C108" s="525"/>
      <c r="D108" s="404"/>
      <c r="E108" s="404"/>
      <c r="F108" s="441"/>
      <c r="G108" s="405"/>
      <c r="O108" s="391"/>
    </row>
    <row r="109" spans="1:16" x14ac:dyDescent="0.25">
      <c r="A109" s="409"/>
      <c r="B109" s="526"/>
      <c r="C109" s="527"/>
      <c r="D109" s="406" t="str">
        <f>IF(B109&gt;0,VLOOKUP(B109,Customercostlookup!$B$9:$G$13,3),"")</f>
        <v/>
      </c>
      <c r="E109" s="407"/>
      <c r="F109" s="440" t="str">
        <f>IF(B109&gt;0,VLOOKUP(B109,Customercostlookup!$B$9:$G$13,6),"")</f>
        <v/>
      </c>
      <c r="G109" s="408" t="str">
        <f>IF(E109&gt;0,E109*F109,"")</f>
        <v/>
      </c>
      <c r="P109" s="391"/>
    </row>
    <row r="110" spans="1:16" x14ac:dyDescent="0.25">
      <c r="A110" s="517"/>
      <c r="B110" s="526"/>
      <c r="C110" s="527"/>
      <c r="D110" s="406" t="str">
        <f>IF(B110&gt;0,VLOOKUP(B110,Customercostlookup!$B$9:$G$13,3),"")</f>
        <v/>
      </c>
      <c r="E110" s="407"/>
      <c r="F110" s="440" t="str">
        <f>IF(B110&gt;0,VLOOKUP(B110,Customercostlookup!$B$9:$G$13,6),"")</f>
        <v/>
      </c>
      <c r="G110" s="408" t="str">
        <f>IF(E110&gt;0,E110*F110,"")</f>
        <v/>
      </c>
      <c r="P110" s="391"/>
    </row>
    <row r="111" spans="1:16" ht="12.75" customHeight="1" x14ac:dyDescent="0.25">
      <c r="A111" s="409"/>
      <c r="B111" s="419"/>
      <c r="C111" s="528" t="s">
        <v>4733</v>
      </c>
      <c r="D111" s="528"/>
      <c r="E111" s="528"/>
      <c r="F111" s="529"/>
      <c r="G111" s="414">
        <f>SUM(G108:G110)</f>
        <v>0</v>
      </c>
      <c r="P111" s="391"/>
    </row>
    <row r="112" spans="1:16" x14ac:dyDescent="0.25">
      <c r="A112" s="409"/>
      <c r="B112" s="419"/>
      <c r="C112" s="420"/>
      <c r="D112" s="420"/>
      <c r="E112" s="530" t="s">
        <v>3093</v>
      </c>
      <c r="F112" s="530"/>
      <c r="G112" s="414">
        <f>G74+G96+G106+G111</f>
        <v>0</v>
      </c>
      <c r="P112" s="391"/>
    </row>
    <row r="113" spans="1:16" x14ac:dyDescent="0.25">
      <c r="A113" s="409"/>
      <c r="B113" s="524" t="s">
        <v>4734</v>
      </c>
      <c r="C113" s="525"/>
      <c r="D113" s="404"/>
      <c r="E113" s="404"/>
      <c r="F113" s="441"/>
      <c r="G113" s="405"/>
      <c r="O113" s="391"/>
    </row>
    <row r="114" spans="1:16" ht="17.25" customHeight="1" x14ac:dyDescent="0.25">
      <c r="A114" s="415"/>
      <c r="B114" s="526" t="s">
        <v>7611</v>
      </c>
      <c r="C114" s="527"/>
      <c r="D114" s="406" t="str">
        <f>IF(B114&gt;0,VLOOKUP(B114,Customercostlookup!$B$3:$G$7,3),"")</f>
        <v>%</v>
      </c>
      <c r="E114" s="406">
        <f>VLOOKUP(B114,Customercostlookup!$B$3:$G$7,6)</f>
        <v>0</v>
      </c>
      <c r="F114" s="246"/>
      <c r="G114" s="408">
        <f>IF(E114&gt;0,E114*G112,0)</f>
        <v>0</v>
      </c>
      <c r="P114" s="391"/>
    </row>
    <row r="115" spans="1:16" ht="15.75" customHeight="1" x14ac:dyDescent="0.25">
      <c r="A115" s="415"/>
      <c r="B115" s="421"/>
      <c r="C115" s="421"/>
      <c r="D115" s="421"/>
      <c r="E115" s="534" t="s">
        <v>3096</v>
      </c>
      <c r="F115" s="534"/>
      <c r="G115" s="414">
        <f>G112+G114</f>
        <v>0</v>
      </c>
      <c r="P115" s="391"/>
    </row>
    <row r="116" spans="1:16" x14ac:dyDescent="0.25">
      <c r="A116" s="409"/>
      <c r="B116" s="518"/>
      <c r="C116" s="518"/>
      <c r="D116" s="518"/>
      <c r="E116" s="518"/>
      <c r="F116" s="518"/>
      <c r="G116" s="422"/>
      <c r="P116" s="391"/>
    </row>
    <row r="117" spans="1:16" x14ac:dyDescent="0.25">
      <c r="A117" s="423"/>
      <c r="B117" s="424" t="s">
        <v>2089</v>
      </c>
      <c r="C117" s="540" t="str">
        <f>IF(C3="","",C3)</f>
        <v/>
      </c>
      <c r="D117" s="541"/>
      <c r="E117" s="542"/>
      <c r="F117" s="447"/>
      <c r="G117" s="424"/>
      <c r="P117" s="391"/>
    </row>
    <row r="118" spans="1:16" x14ac:dyDescent="0.25">
      <c r="A118" s="423"/>
      <c r="B118" s="424"/>
      <c r="C118" s="426"/>
      <c r="D118" s="426"/>
      <c r="E118" s="426"/>
      <c r="F118" s="447"/>
      <c r="G118" s="424"/>
      <c r="P118" s="391"/>
    </row>
    <row r="119" spans="1:16" x14ac:dyDescent="0.25">
      <c r="A119" s="423"/>
      <c r="B119" s="424"/>
      <c r="C119" s="426"/>
      <c r="D119" s="426"/>
      <c r="E119" s="426"/>
      <c r="F119" s="447"/>
      <c r="G119" s="424"/>
      <c r="P119" s="391"/>
    </row>
    <row r="120" spans="1:16" x14ac:dyDescent="0.25">
      <c r="A120" s="423"/>
      <c r="B120" s="424"/>
      <c r="C120" s="426"/>
      <c r="D120" s="426"/>
      <c r="E120" s="426"/>
      <c r="F120" s="447"/>
      <c r="G120" s="424"/>
      <c r="P120" s="391"/>
    </row>
    <row r="121" spans="1:16" x14ac:dyDescent="0.25">
      <c r="A121" s="423"/>
      <c r="B121" s="425"/>
      <c r="C121" s="425"/>
      <c r="D121" s="425"/>
      <c r="E121" s="425"/>
      <c r="F121" s="447"/>
      <c r="G121" s="424"/>
      <c r="P121" s="391"/>
    </row>
    <row r="122" spans="1:16" x14ac:dyDescent="0.25">
      <c r="A122" s="423"/>
      <c r="B122" s="519" t="s">
        <v>3088</v>
      </c>
      <c r="C122" s="520"/>
      <c r="D122" s="520"/>
      <c r="E122" s="520"/>
      <c r="F122" s="520"/>
      <c r="G122" s="521"/>
      <c r="P122" s="391"/>
    </row>
    <row r="123" spans="1:16" ht="28.5" customHeight="1" x14ac:dyDescent="0.25">
      <c r="A123" s="409"/>
      <c r="B123" s="427" t="s">
        <v>3095</v>
      </c>
      <c r="C123" s="535" t="s">
        <v>4661</v>
      </c>
      <c r="D123" s="535"/>
      <c r="E123" s="535"/>
      <c r="F123" s="535"/>
      <c r="G123" s="535"/>
      <c r="P123" s="391"/>
    </row>
    <row r="124" spans="1:16" s="260" customFormat="1" ht="26.25" customHeight="1" x14ac:dyDescent="0.25">
      <c r="A124" s="428"/>
      <c r="B124" s="427" t="s">
        <v>2298</v>
      </c>
      <c r="C124" s="535" t="s">
        <v>3375</v>
      </c>
      <c r="D124" s="535"/>
      <c r="E124" s="535"/>
      <c r="F124" s="535"/>
      <c r="G124" s="535"/>
      <c r="P124" s="429"/>
    </row>
    <row r="125" spans="1:16" s="260" customFormat="1" ht="40.5" customHeight="1" x14ac:dyDescent="0.25">
      <c r="A125" s="428"/>
      <c r="B125" s="427" t="s">
        <v>4730</v>
      </c>
      <c r="C125" s="535" t="s">
        <v>4729</v>
      </c>
      <c r="D125" s="535"/>
      <c r="E125" s="535"/>
      <c r="F125" s="535"/>
      <c r="G125" s="535"/>
      <c r="P125" s="429"/>
    </row>
    <row r="126" spans="1:16" s="260" customFormat="1" ht="45" customHeight="1" x14ac:dyDescent="0.25">
      <c r="A126" s="423"/>
      <c r="B126" s="427" t="s">
        <v>4731</v>
      </c>
      <c r="C126" s="535" t="s">
        <v>3376</v>
      </c>
      <c r="D126" s="535"/>
      <c r="E126" s="535"/>
      <c r="F126" s="535"/>
      <c r="G126" s="535"/>
      <c r="P126" s="410"/>
    </row>
    <row r="127" spans="1:16" s="260" customFormat="1" ht="44.25" customHeight="1" x14ac:dyDescent="0.25">
      <c r="A127" s="423"/>
      <c r="B127" s="427" t="s">
        <v>3089</v>
      </c>
      <c r="C127" s="535" t="s">
        <v>3377</v>
      </c>
      <c r="D127" s="535"/>
      <c r="E127" s="535"/>
      <c r="F127" s="535"/>
      <c r="G127" s="535"/>
      <c r="P127" s="429"/>
    </row>
    <row r="128" spans="1:16" s="260" customFormat="1" ht="46.5" customHeight="1" x14ac:dyDescent="0.25">
      <c r="A128" s="423"/>
      <c r="B128" s="427" t="s">
        <v>3097</v>
      </c>
      <c r="C128" s="535" t="s">
        <v>3378</v>
      </c>
      <c r="D128" s="535"/>
      <c r="E128" s="535"/>
      <c r="F128" s="535"/>
      <c r="G128" s="535"/>
      <c r="P128" s="429"/>
    </row>
  </sheetData>
  <dataConsolidate/>
  <mergeCells count="117">
    <mergeCell ref="B99:C99"/>
    <mergeCell ref="B100:C100"/>
    <mergeCell ref="B101:C101"/>
    <mergeCell ref="B87:C87"/>
    <mergeCell ref="B88:C88"/>
    <mergeCell ref="B89:C89"/>
    <mergeCell ref="B90:C90"/>
    <mergeCell ref="B91:C91"/>
    <mergeCell ref="B92:C92"/>
    <mergeCell ref="B93:C93"/>
    <mergeCell ref="B94:C94"/>
    <mergeCell ref="B95:C95"/>
    <mergeCell ref="B43:C43"/>
    <mergeCell ref="B44:C44"/>
    <mergeCell ref="B51:C51"/>
    <mergeCell ref="B52:C52"/>
    <mergeCell ref="B54:C54"/>
    <mergeCell ref="B69:C69"/>
    <mergeCell ref="B63:C63"/>
    <mergeCell ref="B64:C64"/>
    <mergeCell ref="B98:C98"/>
    <mergeCell ref="C1:F2"/>
    <mergeCell ref="F4:G5"/>
    <mergeCell ref="B55:C55"/>
    <mergeCell ref="B56:C56"/>
    <mergeCell ref="B57:C57"/>
    <mergeCell ref="B67:C67"/>
    <mergeCell ref="B68:C68"/>
    <mergeCell ref="B26:C26"/>
    <mergeCell ref="B14:C14"/>
    <mergeCell ref="B36:C36"/>
    <mergeCell ref="B19:C19"/>
    <mergeCell ref="B20:C20"/>
    <mergeCell ref="B32:C32"/>
    <mergeCell ref="B33:C33"/>
    <mergeCell ref="B21:C21"/>
    <mergeCell ref="B22:C22"/>
    <mergeCell ref="C4:E4"/>
    <mergeCell ref="C5:E5"/>
    <mergeCell ref="B23:C23"/>
    <mergeCell ref="B28:C28"/>
    <mergeCell ref="B29:C29"/>
    <mergeCell ref="B30:C30"/>
    <mergeCell ref="B31:C31"/>
    <mergeCell ref="F6:G10"/>
    <mergeCell ref="B13:G13"/>
    <mergeCell ref="B97:G97"/>
    <mergeCell ref="B53:C53"/>
    <mergeCell ref="B58:C58"/>
    <mergeCell ref="B59:C59"/>
    <mergeCell ref="B60:C60"/>
    <mergeCell ref="B38:C38"/>
    <mergeCell ref="B39:C39"/>
    <mergeCell ref="B45:C45"/>
    <mergeCell ref="B46:C46"/>
    <mergeCell ref="B47:C47"/>
    <mergeCell ref="B40:C40"/>
    <mergeCell ref="B50:C50"/>
    <mergeCell ref="B61:C61"/>
    <mergeCell ref="B70:C70"/>
    <mergeCell ref="B65:C65"/>
    <mergeCell ref="B41:C41"/>
    <mergeCell ref="B42:C42"/>
    <mergeCell ref="B78:C78"/>
    <mergeCell ref="B77:C77"/>
    <mergeCell ref="B76:C76"/>
    <mergeCell ref="B80:C80"/>
    <mergeCell ref="B85:C85"/>
    <mergeCell ref="B86:C86"/>
    <mergeCell ref="B7:B10"/>
    <mergeCell ref="E115:F115"/>
    <mergeCell ref="C128:G128"/>
    <mergeCell ref="E12:F12"/>
    <mergeCell ref="B114:C114"/>
    <mergeCell ref="B110:C110"/>
    <mergeCell ref="B104:C104"/>
    <mergeCell ref="B105:C105"/>
    <mergeCell ref="B102:C102"/>
    <mergeCell ref="B103:C103"/>
    <mergeCell ref="B18:C18"/>
    <mergeCell ref="B24:C24"/>
    <mergeCell ref="C126:G126"/>
    <mergeCell ref="C127:G127"/>
    <mergeCell ref="C123:G123"/>
    <mergeCell ref="C125:G125"/>
    <mergeCell ref="B25:C25"/>
    <mergeCell ref="B75:G75"/>
    <mergeCell ref="C124:G124"/>
    <mergeCell ref="C117:E117"/>
    <mergeCell ref="E74:F74"/>
    <mergeCell ref="D96:F96"/>
    <mergeCell ref="B79:C79"/>
    <mergeCell ref="B107:G107"/>
    <mergeCell ref="B116:F116"/>
    <mergeCell ref="B122:G122"/>
    <mergeCell ref="B15:C15"/>
    <mergeCell ref="B16:C16"/>
    <mergeCell ref="B17:C17"/>
    <mergeCell ref="B73:C73"/>
    <mergeCell ref="B27:C27"/>
    <mergeCell ref="B34:C34"/>
    <mergeCell ref="B35:C35"/>
    <mergeCell ref="B37:C37"/>
    <mergeCell ref="B62:C62"/>
    <mergeCell ref="B66:C66"/>
    <mergeCell ref="B71:C71"/>
    <mergeCell ref="B72:C72"/>
    <mergeCell ref="B81:C81"/>
    <mergeCell ref="B82:C82"/>
    <mergeCell ref="B83:C83"/>
    <mergeCell ref="B84:C84"/>
    <mergeCell ref="B109:C109"/>
    <mergeCell ref="D106:F106"/>
    <mergeCell ref="C111:F111"/>
    <mergeCell ref="B113:C113"/>
    <mergeCell ref="B108:C108"/>
    <mergeCell ref="E112:F112"/>
  </mergeCells>
  <phoneticPr fontId="6" type="noConversion"/>
  <dataValidations count="13">
    <dataValidation type="list" allowBlank="1" showInputMessage="1" showErrorMessage="1" sqref="B15:C25">
      <formula1>Aggregates</formula1>
    </dataValidation>
    <dataValidation type="list" allowBlank="1" showInputMessage="1" showErrorMessage="1" sqref="B27:C35">
      <formula1>AgChemicals</formula1>
    </dataValidation>
    <dataValidation type="list" allowBlank="1" showInputMessage="1" showErrorMessage="1" sqref="B37:C39">
      <formula1>Fencing</formula1>
    </dataValidation>
    <dataValidation type="list" allowBlank="1" showInputMessage="1" showErrorMessage="1" sqref="B41:C47">
      <formula1>Geotextile</formula1>
    </dataValidation>
    <dataValidation type="list" allowBlank="1" showInputMessage="1" showErrorMessage="1" sqref="B51:C60">
      <formula1>Gutters</formula1>
    </dataValidation>
    <dataValidation type="list" allowBlank="1" showInputMessage="1" showErrorMessage="1" sqref="B62:C69">
      <formula1>Piping</formula1>
    </dataValidation>
    <dataValidation type="list" allowBlank="1" showInputMessage="1" showErrorMessage="1" sqref="B71:C73">
      <formula1>Prefab</formula1>
    </dataValidation>
    <dataValidation type="list" errorStyle="information" allowBlank="1" showInputMessage="1" showErrorMessage="1" error="Do you want to skip the list?" sqref="B77:C79">
      <formula1>Agri</formula1>
    </dataValidation>
    <dataValidation type="list" errorStyle="information" allowBlank="1" showInputMessage="1" showErrorMessage="1" error="Do you want to skip the list?" sqref="B81:C83">
      <formula1>Demo</formula1>
    </dataValidation>
    <dataValidation type="list" errorStyle="information" allowBlank="1" showInputMessage="1" showErrorMessage="1" error="Do you want to skip the list?" sqref="B85:C87">
      <formula1>Excav</formula1>
    </dataValidation>
    <dataValidation type="list" errorStyle="information" allowBlank="1" showInputMessage="1" showErrorMessage="1" error="Do you want to skip the list?" sqref="B89:C91">
      <formula1>Forestry</formula1>
    </dataValidation>
    <dataValidation type="list" errorStyle="information" allowBlank="1" showInputMessage="1" showErrorMessage="1" error="Do you want to skip the list?" sqref="B93:C95">
      <formula1>SitePrep</formula1>
    </dataValidation>
    <dataValidation type="list" errorStyle="information" allowBlank="1" showInputMessage="1" showErrorMessage="1" error="Do you want to skip the list?" sqref="B103:C105">
      <formula1>LaborCost</formula1>
    </dataValidation>
  </dataValidations>
  <pageMargins left="0.25" right="0.25" top="0.75" bottom="0.75" header="0.3" footer="0.3"/>
  <pageSetup orientation="portrait" r:id="rId1"/>
  <headerFooter alignWithMargins="0"/>
  <rowBreaks count="1" manualBreakCount="1">
    <brk id="96" min="1" max="6" man="1"/>
  </rowBreaks>
  <drawing r:id="rId2"/>
  <legacyDrawing r:id="rId3"/>
  <extLst>
    <ext xmlns:x14="http://schemas.microsoft.com/office/spreadsheetml/2009/9/main" uri="{CCE6A557-97BC-4b89-ADB6-D9C93CAAB3DF}">
      <x14:dataValidations xmlns:xm="http://schemas.microsoft.com/office/excel/2006/main" count="6">
        <x14:dataValidation type="list" errorStyle="information" allowBlank="1" showInputMessage="1" showErrorMessage="1" error="Do you want to skip the list?">
          <x14:formula1>
            <xm:f>Mobilizationlookup!$B$4:$B$14</xm:f>
          </x14:formula1>
          <xm:sqref>B99:C101</xm:sqref>
        </x14:dataValidation>
        <x14:dataValidation type="list" allowBlank="1" showInputMessage="1" showErrorMessage="1">
          <x14:formula1>
            <xm:f>Customercostlookup!$B$3:$B$8</xm:f>
          </x14:formula1>
          <xm:sqref>B114:C114</xm:sqref>
        </x14:dataValidation>
        <x14:dataValidation type="list" allowBlank="1" showInputMessage="1" showErrorMessage="1">
          <x14:formula1>
            <xm:f>Customercostlookup!$B$9:$B$13</xm:f>
          </x14:formula1>
          <xm:sqref>B109:C110</xm:sqref>
        </x14:dataValidation>
        <x14:dataValidation type="list" allowBlank="1" showInputMessage="1" showErrorMessage="1">
          <x14:formula1>
            <xm:f>Practices!$A$2:$A$126</xm:f>
          </x14:formula1>
          <xm:sqref>C7:C10</xm:sqref>
        </x14:dataValidation>
        <x14:dataValidation type="list" errorStyle="information" allowBlank="1" showInputMessage="1" showErrorMessage="1" error="Not a practice in the current conservation practice list.  Are you sure you want to use this?">
          <x14:formula1>
            <xm:f>Practices!$A$2:$A$112</xm:f>
          </x14:formula1>
          <xm:sqref>C7:C10</xm:sqref>
        </x14:dataValidation>
        <x14:dataValidation type="list" allowBlank="1" showInputMessage="1" showErrorMessage="1">
          <x14:formula1>
            <xm:f>lookup!B2:B1255</xm:f>
          </x14:formula1>
          <xm:sqref>B48:C48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Q458"/>
  <sheetViews>
    <sheetView zoomScale="90" zoomScaleNormal="90" workbookViewId="0">
      <pane ySplit="2" topLeftCell="A108" activePane="bottomLeft" state="frozen"/>
      <selection pane="bottomLeft" activeCell="D125" sqref="D125"/>
    </sheetView>
  </sheetViews>
  <sheetFormatPr defaultColWidth="9.109375" defaultRowHeight="13.2" x14ac:dyDescent="0.25"/>
  <cols>
    <col min="1" max="1" width="16" style="246" customWidth="1"/>
    <col min="2" max="2" width="52" style="246" customWidth="1"/>
    <col min="3" max="3" width="11.44140625" style="246" customWidth="1"/>
    <col min="4" max="4" width="6" style="246" customWidth="1"/>
    <col min="5" max="5" width="10.109375" style="246" customWidth="1"/>
    <col min="6" max="6" width="11.33203125" style="246" customWidth="1"/>
    <col min="7" max="7" width="7.88671875" style="246" bestFit="1" customWidth="1"/>
    <col min="8" max="8" width="9.109375" style="378"/>
    <col min="9" max="9" width="53.21875" style="246" customWidth="1"/>
    <col min="10" max="17" width="9.109375" style="260"/>
    <col min="18" max="16384" width="9.109375" style="246"/>
  </cols>
  <sheetData>
    <row r="1" spans="1:17" s="347" customFormat="1" ht="15" customHeight="1" x14ac:dyDescent="0.2">
      <c r="A1" s="561" t="s">
        <v>4400</v>
      </c>
      <c r="B1" s="563" t="s">
        <v>4401</v>
      </c>
      <c r="C1" s="559" t="s">
        <v>4402</v>
      </c>
      <c r="D1" s="563" t="s">
        <v>2372</v>
      </c>
      <c r="E1" s="559" t="s">
        <v>4663</v>
      </c>
      <c r="F1" s="559" t="s">
        <v>4403</v>
      </c>
      <c r="H1" s="375"/>
      <c r="J1" s="372"/>
      <c r="K1" s="372"/>
      <c r="L1" s="372"/>
      <c r="M1" s="372"/>
      <c r="N1" s="372"/>
      <c r="O1" s="372"/>
      <c r="P1" s="372"/>
      <c r="Q1" s="372"/>
    </row>
    <row r="2" spans="1:17" s="350" customFormat="1" ht="23.4" thickBot="1" x14ac:dyDescent="0.25">
      <c r="A2" s="562"/>
      <c r="B2" s="564"/>
      <c r="C2" s="560"/>
      <c r="D2" s="564"/>
      <c r="E2" s="560"/>
      <c r="F2" s="560"/>
      <c r="G2" s="348" t="s">
        <v>4404</v>
      </c>
      <c r="H2" s="376" t="s">
        <v>1048</v>
      </c>
      <c r="I2" s="361" t="s">
        <v>4405</v>
      </c>
      <c r="J2" s="371"/>
      <c r="K2" s="371"/>
      <c r="L2" s="371"/>
      <c r="M2" s="371"/>
      <c r="N2" s="371"/>
      <c r="O2" s="371"/>
      <c r="P2" s="371"/>
      <c r="Q2" s="371"/>
    </row>
    <row r="3" spans="1:17" s="367" customFormat="1" ht="11.4" x14ac:dyDescent="0.2">
      <c r="A3" s="362"/>
      <c r="B3" s="363"/>
      <c r="C3" s="364"/>
      <c r="D3" s="363"/>
      <c r="E3" s="364"/>
      <c r="F3" s="364"/>
      <c r="G3" s="365"/>
      <c r="H3" s="377"/>
      <c r="I3" s="366"/>
      <c r="J3" s="371"/>
      <c r="K3" s="371"/>
      <c r="L3" s="371"/>
      <c r="M3" s="371"/>
      <c r="N3" s="371"/>
      <c r="O3" s="371"/>
      <c r="P3" s="371"/>
      <c r="Q3" s="371"/>
    </row>
    <row r="4" spans="1:17" x14ac:dyDescent="0.25">
      <c r="A4" s="382" t="s">
        <v>4710</v>
      </c>
      <c r="B4" s="382"/>
      <c r="C4" s="382"/>
      <c r="D4" s="382"/>
      <c r="E4" s="382"/>
      <c r="F4" s="382"/>
      <c r="G4" s="382"/>
      <c r="H4" s="383"/>
      <c r="I4" s="382"/>
    </row>
    <row r="5" spans="1:17" s="360" customFormat="1" x14ac:dyDescent="0.25">
      <c r="H5" s="439"/>
      <c r="J5" s="260"/>
      <c r="K5" s="260"/>
      <c r="L5" s="260"/>
      <c r="M5" s="260"/>
      <c r="N5" s="260"/>
      <c r="O5" s="260"/>
      <c r="P5" s="260"/>
      <c r="Q5" s="260"/>
    </row>
    <row r="6" spans="1:17" s="341" customFormat="1" ht="20.399999999999999" x14ac:dyDescent="0.2">
      <c r="A6" s="312" t="s">
        <v>3928</v>
      </c>
      <c r="B6" s="325" t="s">
        <v>3929</v>
      </c>
      <c r="C6" s="312">
        <v>0.04</v>
      </c>
      <c r="D6" s="312" t="s">
        <v>2840</v>
      </c>
      <c r="E6" s="329">
        <v>5.35</v>
      </c>
      <c r="F6" s="331">
        <f>E6*0.923</f>
        <v>4.9380499999999996</v>
      </c>
      <c r="G6" s="357"/>
      <c r="H6" s="357">
        <f>IF(G6&gt;0,G6,F6)</f>
        <v>4.9380499999999996</v>
      </c>
      <c r="I6" s="358" t="s">
        <v>7508</v>
      </c>
      <c r="J6" s="373"/>
      <c r="K6" s="373"/>
      <c r="L6" s="373"/>
      <c r="M6" s="373"/>
      <c r="N6" s="373"/>
      <c r="O6" s="373"/>
      <c r="P6" s="373"/>
      <c r="Q6" s="373"/>
    </row>
    <row r="7" spans="1:17" s="341" customFormat="1" ht="20.399999999999999" x14ac:dyDescent="0.2">
      <c r="A7" s="312" t="s">
        <v>3906</v>
      </c>
      <c r="B7" s="325" t="s">
        <v>1049</v>
      </c>
      <c r="C7" s="312">
        <v>4.7E-2</v>
      </c>
      <c r="D7" s="312" t="s">
        <v>2840</v>
      </c>
      <c r="E7" s="329">
        <v>32</v>
      </c>
      <c r="F7" s="331">
        <f t="shared" ref="F7:F68" si="0">E7*0.923</f>
        <v>29.536000000000001</v>
      </c>
      <c r="G7" s="368"/>
      <c r="H7" s="357">
        <f t="shared" ref="H7:H68" si="1">IF(G7&gt;0,G7,F7)</f>
        <v>29.536000000000001</v>
      </c>
      <c r="I7" s="358" t="s">
        <v>7508</v>
      </c>
      <c r="J7" s="373"/>
      <c r="K7" s="373"/>
      <c r="L7" s="373"/>
      <c r="M7" s="373"/>
      <c r="N7" s="373"/>
      <c r="O7" s="373"/>
      <c r="P7" s="373"/>
      <c r="Q7" s="373"/>
    </row>
    <row r="8" spans="1:17" s="341" customFormat="1" ht="30.6" x14ac:dyDescent="0.2">
      <c r="A8" s="312" t="s">
        <v>3914</v>
      </c>
      <c r="B8" s="325" t="s">
        <v>1050</v>
      </c>
      <c r="C8" s="312">
        <v>4.7E-2</v>
      </c>
      <c r="D8" s="312" t="s">
        <v>2840</v>
      </c>
      <c r="E8" s="329">
        <v>55.5</v>
      </c>
      <c r="F8" s="331">
        <f t="shared" si="0"/>
        <v>51.226500000000001</v>
      </c>
      <c r="G8" s="357"/>
      <c r="H8" s="357">
        <f t="shared" si="1"/>
        <v>51.226500000000001</v>
      </c>
      <c r="I8" s="358" t="s">
        <v>7508</v>
      </c>
      <c r="J8" s="373"/>
      <c r="K8" s="373"/>
      <c r="L8" s="373"/>
      <c r="M8" s="373"/>
      <c r="N8" s="373"/>
      <c r="O8" s="373"/>
      <c r="P8" s="373"/>
      <c r="Q8" s="373"/>
    </row>
    <row r="9" spans="1:17" s="341" customFormat="1" ht="30.6" x14ac:dyDescent="0.2">
      <c r="A9" s="312" t="s">
        <v>3908</v>
      </c>
      <c r="B9" s="325" t="s">
        <v>3909</v>
      </c>
      <c r="C9" s="312">
        <v>4.7E-2</v>
      </c>
      <c r="D9" s="312" t="s">
        <v>2840</v>
      </c>
      <c r="E9" s="329">
        <v>41.5</v>
      </c>
      <c r="F9" s="331">
        <f t="shared" si="0"/>
        <v>38.304500000000004</v>
      </c>
      <c r="G9" s="357"/>
      <c r="H9" s="357">
        <f t="shared" si="1"/>
        <v>38.304500000000004</v>
      </c>
      <c r="I9" s="358" t="s">
        <v>7508</v>
      </c>
      <c r="J9" s="373"/>
      <c r="K9" s="373"/>
      <c r="L9" s="373"/>
      <c r="M9" s="373"/>
      <c r="N9" s="373"/>
      <c r="O9" s="373"/>
      <c r="P9" s="373"/>
      <c r="Q9" s="373"/>
    </row>
    <row r="10" spans="1:17" s="341" customFormat="1" ht="30.6" x14ac:dyDescent="0.2">
      <c r="A10" s="312" t="s">
        <v>3911</v>
      </c>
      <c r="B10" s="325" t="s">
        <v>3912</v>
      </c>
      <c r="C10" s="312">
        <v>4.7E-2</v>
      </c>
      <c r="D10" s="312" t="s">
        <v>2840</v>
      </c>
      <c r="E10" s="329">
        <v>41.5</v>
      </c>
      <c r="F10" s="331">
        <f t="shared" si="0"/>
        <v>38.304500000000004</v>
      </c>
      <c r="G10" s="357"/>
      <c r="H10" s="357">
        <f t="shared" si="1"/>
        <v>38.304500000000004</v>
      </c>
      <c r="I10" s="358" t="s">
        <v>7508</v>
      </c>
      <c r="J10" s="373"/>
      <c r="K10" s="373"/>
      <c r="L10" s="373"/>
      <c r="M10" s="373"/>
      <c r="N10" s="373"/>
      <c r="O10" s="373"/>
      <c r="P10" s="373"/>
      <c r="Q10" s="373"/>
    </row>
    <row r="11" spans="1:17" s="341" customFormat="1" ht="30.6" x14ac:dyDescent="0.2">
      <c r="A11" s="312" t="s">
        <v>3916</v>
      </c>
      <c r="B11" s="325" t="s">
        <v>3917</v>
      </c>
      <c r="C11" s="312">
        <v>4.7E-2</v>
      </c>
      <c r="D11" s="312" t="s">
        <v>2840</v>
      </c>
      <c r="E11" s="329">
        <v>43</v>
      </c>
      <c r="F11" s="331">
        <f t="shared" si="0"/>
        <v>39.689</v>
      </c>
      <c r="G11" s="357"/>
      <c r="H11" s="357">
        <f t="shared" si="1"/>
        <v>39.689</v>
      </c>
      <c r="I11" s="358" t="s">
        <v>7508</v>
      </c>
      <c r="J11" s="373"/>
      <c r="K11" s="373"/>
      <c r="L11" s="373"/>
      <c r="M11" s="373"/>
      <c r="N11" s="373"/>
      <c r="O11" s="373"/>
      <c r="P11" s="373"/>
      <c r="Q11" s="373"/>
    </row>
    <row r="12" spans="1:17" s="341" customFormat="1" ht="20.399999999999999" x14ac:dyDescent="0.2">
      <c r="A12" s="312" t="s">
        <v>3922</v>
      </c>
      <c r="B12" s="325" t="s">
        <v>3923</v>
      </c>
      <c r="C12" s="312">
        <v>4.7E-2</v>
      </c>
      <c r="D12" s="312" t="s">
        <v>2840</v>
      </c>
      <c r="E12" s="329">
        <v>26</v>
      </c>
      <c r="F12" s="331">
        <f t="shared" si="0"/>
        <v>23.998000000000001</v>
      </c>
      <c r="G12" s="357"/>
      <c r="H12" s="357">
        <f t="shared" si="1"/>
        <v>23.998000000000001</v>
      </c>
      <c r="I12" s="358" t="s">
        <v>7508</v>
      </c>
      <c r="J12" s="373"/>
      <c r="K12" s="373"/>
      <c r="L12" s="373"/>
      <c r="M12" s="373"/>
      <c r="N12" s="373"/>
      <c r="O12" s="373"/>
      <c r="P12" s="373"/>
      <c r="Q12" s="373"/>
    </row>
    <row r="13" spans="1:17" s="341" customFormat="1" ht="20.399999999999999" x14ac:dyDescent="0.2">
      <c r="A13" s="312" t="s">
        <v>3919</v>
      </c>
      <c r="B13" s="325" t="s">
        <v>3920</v>
      </c>
      <c r="C13" s="312">
        <v>4.7E-2</v>
      </c>
      <c r="D13" s="312" t="s">
        <v>2840</v>
      </c>
      <c r="E13" s="329">
        <v>47</v>
      </c>
      <c r="F13" s="331">
        <f t="shared" si="0"/>
        <v>43.381</v>
      </c>
      <c r="G13" s="357"/>
      <c r="H13" s="357">
        <f t="shared" si="1"/>
        <v>43.381</v>
      </c>
      <c r="I13" s="358" t="s">
        <v>7508</v>
      </c>
      <c r="J13" s="373"/>
      <c r="K13" s="373"/>
      <c r="L13" s="373"/>
      <c r="M13" s="373"/>
      <c r="N13" s="373"/>
      <c r="O13" s="373"/>
      <c r="P13" s="373"/>
      <c r="Q13" s="373"/>
    </row>
    <row r="14" spans="1:17" s="341" customFormat="1" ht="20.399999999999999" x14ac:dyDescent="0.2">
      <c r="A14" s="312" t="s">
        <v>3925</v>
      </c>
      <c r="B14" s="325" t="s">
        <v>3926</v>
      </c>
      <c r="C14" s="312">
        <v>4.7E-2</v>
      </c>
      <c r="D14" s="312" t="s">
        <v>2840</v>
      </c>
      <c r="E14" s="329">
        <v>30.5</v>
      </c>
      <c r="F14" s="331">
        <f t="shared" si="0"/>
        <v>28.151500000000002</v>
      </c>
      <c r="G14" s="357"/>
      <c r="H14" s="357">
        <f t="shared" si="1"/>
        <v>28.151500000000002</v>
      </c>
      <c r="I14" s="358" t="s">
        <v>7508</v>
      </c>
      <c r="J14" s="373"/>
      <c r="K14" s="373"/>
      <c r="L14" s="373"/>
      <c r="M14" s="373"/>
      <c r="N14" s="373"/>
      <c r="O14" s="373"/>
      <c r="P14" s="373"/>
      <c r="Q14" s="373"/>
    </row>
    <row r="15" spans="1:17" s="341" customFormat="1" ht="10.199999999999999" x14ac:dyDescent="0.2">
      <c r="A15" s="312" t="s">
        <v>3493</v>
      </c>
      <c r="B15" s="325" t="s">
        <v>3494</v>
      </c>
      <c r="C15" s="312"/>
      <c r="D15" s="312" t="s">
        <v>2377</v>
      </c>
      <c r="E15" s="329">
        <v>19.05</v>
      </c>
      <c r="F15" s="331">
        <f t="shared" si="0"/>
        <v>17.58315</v>
      </c>
      <c r="G15" s="357"/>
      <c r="H15" s="357">
        <f t="shared" si="1"/>
        <v>17.58315</v>
      </c>
      <c r="I15" s="358" t="s">
        <v>7508</v>
      </c>
      <c r="J15" s="373"/>
      <c r="K15" s="373"/>
      <c r="L15" s="373"/>
      <c r="M15" s="373"/>
      <c r="N15" s="373"/>
      <c r="O15" s="373"/>
      <c r="P15" s="373"/>
      <c r="Q15" s="373"/>
    </row>
    <row r="16" spans="1:17" s="341" customFormat="1" ht="10.199999999999999" x14ac:dyDescent="0.2">
      <c r="A16" s="312" t="s">
        <v>3505</v>
      </c>
      <c r="B16" s="325" t="s">
        <v>3494</v>
      </c>
      <c r="C16" s="312"/>
      <c r="D16" s="312" t="s">
        <v>2840</v>
      </c>
      <c r="E16" s="329">
        <v>26.5</v>
      </c>
      <c r="F16" s="331">
        <f t="shared" si="0"/>
        <v>24.459500000000002</v>
      </c>
      <c r="G16" s="357"/>
      <c r="H16" s="357">
        <f t="shared" si="1"/>
        <v>24.459500000000002</v>
      </c>
      <c r="I16" s="358" t="s">
        <v>7508</v>
      </c>
      <c r="J16" s="373"/>
      <c r="K16" s="373"/>
      <c r="L16" s="373"/>
      <c r="M16" s="373"/>
      <c r="N16" s="373"/>
      <c r="O16" s="373"/>
      <c r="P16" s="373"/>
      <c r="Q16" s="373"/>
    </row>
    <row r="17" spans="1:17" s="341" customFormat="1" ht="10.199999999999999" x14ac:dyDescent="0.2">
      <c r="A17" s="312" t="s">
        <v>3502</v>
      </c>
      <c r="B17" s="325" t="s">
        <v>3503</v>
      </c>
      <c r="C17" s="312"/>
      <c r="D17" s="312" t="s">
        <v>2377</v>
      </c>
      <c r="E17" s="329">
        <v>26.5</v>
      </c>
      <c r="F17" s="331">
        <f t="shared" si="0"/>
        <v>24.459500000000002</v>
      </c>
      <c r="G17" s="357"/>
      <c r="H17" s="357">
        <f t="shared" si="1"/>
        <v>24.459500000000002</v>
      </c>
      <c r="I17" s="358" t="s">
        <v>7508</v>
      </c>
      <c r="J17" s="373"/>
      <c r="K17" s="373"/>
      <c r="L17" s="373"/>
      <c r="M17" s="373"/>
      <c r="N17" s="373"/>
      <c r="O17" s="373"/>
      <c r="P17" s="373"/>
      <c r="Q17" s="373"/>
    </row>
    <row r="18" spans="1:17" s="341" customFormat="1" ht="20.399999999999999" x14ac:dyDescent="0.2">
      <c r="A18" s="312" t="s">
        <v>3496</v>
      </c>
      <c r="B18" s="325" t="s">
        <v>3497</v>
      </c>
      <c r="C18" s="312"/>
      <c r="D18" s="312" t="s">
        <v>2377</v>
      </c>
      <c r="E18" s="329">
        <v>18.25</v>
      </c>
      <c r="F18" s="331">
        <f t="shared" si="0"/>
        <v>16.844750000000001</v>
      </c>
      <c r="G18" s="357"/>
      <c r="H18" s="357">
        <f t="shared" si="1"/>
        <v>16.844750000000001</v>
      </c>
      <c r="I18" s="358" t="s">
        <v>7508</v>
      </c>
      <c r="J18" s="373"/>
      <c r="K18" s="373"/>
      <c r="L18" s="373"/>
      <c r="M18" s="373"/>
      <c r="N18" s="373"/>
      <c r="O18" s="373"/>
      <c r="P18" s="373"/>
      <c r="Q18" s="373"/>
    </row>
    <row r="19" spans="1:17" s="341" customFormat="1" ht="10.199999999999999" x14ac:dyDescent="0.2">
      <c r="A19" s="312" t="s">
        <v>3499</v>
      </c>
      <c r="B19" s="325" t="s">
        <v>3500</v>
      </c>
      <c r="C19" s="312"/>
      <c r="D19" s="312" t="s">
        <v>2377</v>
      </c>
      <c r="E19" s="329">
        <v>21</v>
      </c>
      <c r="F19" s="331">
        <f t="shared" si="0"/>
        <v>19.383000000000003</v>
      </c>
      <c r="G19" s="357"/>
      <c r="H19" s="357">
        <f t="shared" si="1"/>
        <v>19.383000000000003</v>
      </c>
      <c r="I19" s="358" t="s">
        <v>7508</v>
      </c>
      <c r="J19" s="373"/>
      <c r="K19" s="373"/>
      <c r="L19" s="373"/>
      <c r="M19" s="373"/>
      <c r="N19" s="373"/>
      <c r="O19" s="373"/>
      <c r="P19" s="373"/>
      <c r="Q19" s="373"/>
    </row>
    <row r="20" spans="1:17" s="341" customFormat="1" ht="10.199999999999999" x14ac:dyDescent="0.2">
      <c r="A20" s="312" t="s">
        <v>3507</v>
      </c>
      <c r="B20" s="325" t="s">
        <v>3500</v>
      </c>
      <c r="C20" s="312"/>
      <c r="D20" s="312" t="s">
        <v>2840</v>
      </c>
      <c r="E20" s="329">
        <v>40.5</v>
      </c>
      <c r="F20" s="331">
        <f t="shared" si="0"/>
        <v>37.381500000000003</v>
      </c>
      <c r="G20" s="357"/>
      <c r="H20" s="357">
        <f t="shared" si="1"/>
        <v>37.381500000000003</v>
      </c>
      <c r="I20" s="358" t="s">
        <v>7508</v>
      </c>
      <c r="J20" s="373"/>
      <c r="K20" s="373"/>
      <c r="L20" s="373"/>
      <c r="M20" s="373"/>
      <c r="N20" s="373"/>
      <c r="O20" s="373"/>
      <c r="P20" s="373"/>
      <c r="Q20" s="373"/>
    </row>
    <row r="21" spans="1:17" s="341" customFormat="1" ht="10.199999999999999" x14ac:dyDescent="0.2">
      <c r="A21" s="312" t="s">
        <v>7587</v>
      </c>
      <c r="B21" s="325" t="s">
        <v>7586</v>
      </c>
      <c r="C21" s="368"/>
      <c r="D21" s="355" t="s">
        <v>4666</v>
      </c>
      <c r="E21" s="355"/>
      <c r="F21" s="331">
        <v>17.440000000000001</v>
      </c>
      <c r="G21" s="357"/>
      <c r="H21" s="357">
        <f t="shared" si="1"/>
        <v>17.440000000000001</v>
      </c>
      <c r="I21" s="358" t="s">
        <v>7508</v>
      </c>
      <c r="J21" s="373"/>
      <c r="K21" s="373"/>
      <c r="L21" s="373"/>
      <c r="M21" s="373"/>
      <c r="N21" s="373"/>
      <c r="O21" s="373"/>
      <c r="P21" s="373"/>
      <c r="Q21" s="373"/>
    </row>
    <row r="22" spans="1:17" s="341" customFormat="1" ht="10.199999999999999" x14ac:dyDescent="0.2">
      <c r="A22" s="312" t="s">
        <v>3628</v>
      </c>
      <c r="B22" s="325" t="s">
        <v>3629</v>
      </c>
      <c r="C22" s="312"/>
      <c r="D22" s="312" t="s">
        <v>1589</v>
      </c>
      <c r="E22" s="329">
        <v>10.9</v>
      </c>
      <c r="F22" s="331">
        <f t="shared" si="0"/>
        <v>10.060700000000001</v>
      </c>
      <c r="G22" s="357"/>
      <c r="H22" s="357">
        <f t="shared" si="1"/>
        <v>10.060700000000001</v>
      </c>
      <c r="I22" s="358" t="s">
        <v>7508</v>
      </c>
      <c r="J22" s="373"/>
      <c r="K22" s="373"/>
      <c r="L22" s="373"/>
      <c r="M22" s="373"/>
      <c r="N22" s="373"/>
      <c r="O22" s="373"/>
      <c r="P22" s="373"/>
      <c r="Q22" s="373"/>
    </row>
    <row r="23" spans="1:17" s="341" customFormat="1" ht="10.199999999999999" x14ac:dyDescent="0.2">
      <c r="A23" s="312" t="s">
        <v>3631</v>
      </c>
      <c r="B23" s="325" t="s">
        <v>3632</v>
      </c>
      <c r="C23" s="312">
        <v>1.7000000000000001E-2</v>
      </c>
      <c r="D23" s="312" t="s">
        <v>399</v>
      </c>
      <c r="E23" s="329">
        <v>1.6</v>
      </c>
      <c r="F23" s="331">
        <f t="shared" si="0"/>
        <v>1.4768000000000001</v>
      </c>
      <c r="G23" s="357"/>
      <c r="H23" s="357">
        <f t="shared" si="1"/>
        <v>1.4768000000000001</v>
      </c>
      <c r="I23" s="358" t="s">
        <v>7508</v>
      </c>
      <c r="J23" s="373"/>
      <c r="K23" s="373"/>
      <c r="L23" s="373"/>
      <c r="M23" s="373"/>
      <c r="N23" s="373"/>
      <c r="O23" s="373"/>
      <c r="P23" s="373"/>
      <c r="Q23" s="373"/>
    </row>
    <row r="24" spans="1:17" x14ac:dyDescent="0.25">
      <c r="A24" s="368"/>
      <c r="B24" s="354" t="s">
        <v>4716</v>
      </c>
      <c r="C24" s="368"/>
      <c r="D24" s="355" t="s">
        <v>745</v>
      </c>
      <c r="E24" s="355"/>
      <c r="F24" s="492">
        <f t="shared" si="0"/>
        <v>0</v>
      </c>
      <c r="G24" s="357"/>
      <c r="H24" s="357">
        <f t="shared" si="1"/>
        <v>0</v>
      </c>
      <c r="I24" s="358"/>
    </row>
    <row r="25" spans="1:17" s="341" customFormat="1" ht="10.199999999999999" x14ac:dyDescent="0.2">
      <c r="A25" s="494" t="s">
        <v>3509</v>
      </c>
      <c r="B25" s="495" t="s">
        <v>3510</v>
      </c>
      <c r="C25" s="494"/>
      <c r="D25" s="494" t="s">
        <v>1589</v>
      </c>
      <c r="E25" s="496">
        <v>12.65</v>
      </c>
      <c r="F25" s="492">
        <f t="shared" si="0"/>
        <v>11.67595</v>
      </c>
      <c r="G25" s="357"/>
      <c r="H25" s="357">
        <f t="shared" si="1"/>
        <v>11.67595</v>
      </c>
      <c r="I25" s="358" t="s">
        <v>7508</v>
      </c>
      <c r="J25" s="373"/>
      <c r="K25" s="373"/>
      <c r="L25" s="373"/>
      <c r="M25" s="373"/>
      <c r="N25" s="373"/>
      <c r="O25" s="373"/>
      <c r="P25" s="373"/>
      <c r="Q25" s="373"/>
    </row>
    <row r="26" spans="1:17" s="341" customFormat="1" ht="10.199999999999999" x14ac:dyDescent="0.2">
      <c r="A26" s="368"/>
      <c r="B26" s="354" t="s">
        <v>4407</v>
      </c>
      <c r="C26" s="368"/>
      <c r="D26" s="355" t="s">
        <v>2377</v>
      </c>
      <c r="E26" s="355"/>
      <c r="F26" s="357">
        <v>30</v>
      </c>
      <c r="G26" s="368"/>
      <c r="H26" s="357">
        <f>IF(F26&gt;0,F26,#REF!)</f>
        <v>30</v>
      </c>
      <c r="I26" s="358" t="s">
        <v>4536</v>
      </c>
      <c r="J26" s="373"/>
      <c r="K26" s="373"/>
      <c r="L26" s="373"/>
      <c r="M26" s="373"/>
      <c r="N26" s="373"/>
      <c r="O26" s="373"/>
      <c r="P26" s="373"/>
      <c r="Q26" s="373"/>
    </row>
    <row r="27" spans="1:17" s="341" customFormat="1" ht="10.199999999999999" x14ac:dyDescent="0.2">
      <c r="A27" s="368"/>
      <c r="B27" s="354" t="s">
        <v>4408</v>
      </c>
      <c r="C27" s="368"/>
      <c r="D27" s="355" t="s">
        <v>4665</v>
      </c>
      <c r="E27" s="355"/>
      <c r="F27" s="357">
        <v>80</v>
      </c>
      <c r="G27" s="368"/>
      <c r="H27" s="357">
        <f>IF(F27&gt;0,F27,#REF!)</f>
        <v>80</v>
      </c>
      <c r="I27" s="358" t="s">
        <v>7595</v>
      </c>
      <c r="J27" s="373"/>
      <c r="K27" s="373"/>
      <c r="L27" s="373"/>
      <c r="M27" s="373"/>
      <c r="N27" s="373"/>
      <c r="O27" s="373"/>
      <c r="P27" s="373"/>
      <c r="Q27" s="373"/>
    </row>
    <row r="28" spans="1:17" s="341" customFormat="1" ht="10.199999999999999" x14ac:dyDescent="0.2">
      <c r="A28" s="368"/>
      <c r="B28" s="354" t="s">
        <v>4409</v>
      </c>
      <c r="C28" s="368"/>
      <c r="D28" s="355" t="s">
        <v>4665</v>
      </c>
      <c r="E28" s="355"/>
      <c r="F28" s="357">
        <v>100</v>
      </c>
      <c r="G28" s="368"/>
      <c r="H28" s="357">
        <f>IF(F28&gt;0,F28,#REF!)</f>
        <v>100</v>
      </c>
      <c r="I28" s="358" t="s">
        <v>7595</v>
      </c>
      <c r="J28" s="373"/>
      <c r="K28" s="373"/>
      <c r="L28" s="373"/>
      <c r="M28" s="373"/>
      <c r="N28" s="373"/>
      <c r="O28" s="373"/>
      <c r="P28" s="373"/>
      <c r="Q28" s="373"/>
    </row>
    <row r="29" spans="1:17" s="341" customFormat="1" ht="30.6" x14ac:dyDescent="0.2">
      <c r="A29" s="494" t="s">
        <v>4341</v>
      </c>
      <c r="B29" s="495" t="s">
        <v>4342</v>
      </c>
      <c r="C29" s="494">
        <v>0.38400000000000001</v>
      </c>
      <c r="D29" s="494" t="s">
        <v>2202</v>
      </c>
      <c r="E29" s="496">
        <v>56</v>
      </c>
      <c r="F29" s="492">
        <f t="shared" si="0"/>
        <v>51.688000000000002</v>
      </c>
      <c r="G29" s="357"/>
      <c r="H29" s="357">
        <f t="shared" si="1"/>
        <v>51.688000000000002</v>
      </c>
      <c r="I29" s="358" t="s">
        <v>7508</v>
      </c>
      <c r="J29" s="373"/>
      <c r="K29" s="373"/>
      <c r="L29" s="373"/>
      <c r="M29" s="373"/>
      <c r="N29" s="373"/>
      <c r="O29" s="373"/>
      <c r="P29" s="373"/>
      <c r="Q29" s="373"/>
    </row>
    <row r="30" spans="1:17" s="341" customFormat="1" ht="30.6" x14ac:dyDescent="0.2">
      <c r="A30" s="312" t="s">
        <v>4327</v>
      </c>
      <c r="B30" s="325" t="s">
        <v>4328</v>
      </c>
      <c r="C30" s="312">
        <v>0.48</v>
      </c>
      <c r="D30" s="312" t="s">
        <v>2202</v>
      </c>
      <c r="E30" s="329">
        <v>68.5</v>
      </c>
      <c r="F30" s="331">
        <f t="shared" si="0"/>
        <v>63.225500000000004</v>
      </c>
      <c r="G30" s="357"/>
      <c r="H30" s="357">
        <f t="shared" si="1"/>
        <v>63.225500000000004</v>
      </c>
      <c r="I30" s="358" t="s">
        <v>7508</v>
      </c>
      <c r="J30" s="373"/>
      <c r="K30" s="373"/>
      <c r="L30" s="373"/>
      <c r="M30" s="373"/>
      <c r="N30" s="373"/>
      <c r="O30" s="373"/>
      <c r="P30" s="373"/>
      <c r="Q30" s="373"/>
    </row>
    <row r="31" spans="1:17" s="341" customFormat="1" ht="30.6" x14ac:dyDescent="0.2">
      <c r="A31" s="312" t="s">
        <v>4330</v>
      </c>
      <c r="B31" s="325" t="s">
        <v>4331</v>
      </c>
      <c r="C31" s="312">
        <v>0.48</v>
      </c>
      <c r="D31" s="312" t="s">
        <v>2202</v>
      </c>
      <c r="E31" s="329">
        <v>83</v>
      </c>
      <c r="F31" s="331">
        <f t="shared" si="0"/>
        <v>76.609000000000009</v>
      </c>
      <c r="G31" s="357"/>
      <c r="H31" s="357">
        <f t="shared" si="1"/>
        <v>76.609000000000009</v>
      </c>
      <c r="I31" s="358" t="s">
        <v>7508</v>
      </c>
      <c r="J31" s="373"/>
      <c r="K31" s="373"/>
      <c r="L31" s="373"/>
      <c r="M31" s="373"/>
      <c r="N31" s="373"/>
      <c r="O31" s="373"/>
      <c r="P31" s="373"/>
      <c r="Q31" s="373"/>
    </row>
    <row r="32" spans="1:17" s="341" customFormat="1" ht="30.6" x14ac:dyDescent="0.2">
      <c r="A32" s="312" t="s">
        <v>4333</v>
      </c>
      <c r="B32" s="325" t="s">
        <v>4334</v>
      </c>
      <c r="C32" s="312">
        <v>0.53300000000000003</v>
      </c>
      <c r="D32" s="312" t="s">
        <v>2202</v>
      </c>
      <c r="E32" s="329">
        <v>98.5</v>
      </c>
      <c r="F32" s="331">
        <f t="shared" si="0"/>
        <v>90.915500000000009</v>
      </c>
      <c r="G32" s="357"/>
      <c r="H32" s="357">
        <f t="shared" si="1"/>
        <v>90.915500000000009</v>
      </c>
      <c r="I32" s="358" t="s">
        <v>7508</v>
      </c>
      <c r="J32" s="373"/>
      <c r="K32" s="373"/>
      <c r="L32" s="373"/>
      <c r="M32" s="373"/>
      <c r="N32" s="373"/>
      <c r="O32" s="373"/>
      <c r="P32" s="373"/>
      <c r="Q32" s="373"/>
    </row>
    <row r="33" spans="1:17" s="341" customFormat="1" ht="30.6" x14ac:dyDescent="0.2">
      <c r="A33" s="312" t="s">
        <v>4336</v>
      </c>
      <c r="B33" s="325" t="s">
        <v>415</v>
      </c>
      <c r="C33" s="312">
        <v>0.64</v>
      </c>
      <c r="D33" s="312" t="s">
        <v>2202</v>
      </c>
      <c r="E33" s="329">
        <v>118</v>
      </c>
      <c r="F33" s="331">
        <f t="shared" si="0"/>
        <v>108.914</v>
      </c>
      <c r="G33" s="357"/>
      <c r="H33" s="357">
        <f t="shared" si="1"/>
        <v>108.914</v>
      </c>
      <c r="I33" s="358" t="s">
        <v>7508</v>
      </c>
      <c r="J33" s="373"/>
      <c r="K33" s="373"/>
      <c r="L33" s="373"/>
      <c r="M33" s="373"/>
      <c r="N33" s="373"/>
      <c r="O33" s="373"/>
      <c r="P33" s="373"/>
      <c r="Q33" s="373"/>
    </row>
    <row r="34" spans="1:17" s="341" customFormat="1" ht="10.199999999999999" x14ac:dyDescent="0.2">
      <c r="A34" s="312" t="s">
        <v>4354</v>
      </c>
      <c r="B34" s="325" t="s">
        <v>4355</v>
      </c>
      <c r="C34" s="312">
        <v>1.4E-2</v>
      </c>
      <c r="D34" s="312" t="s">
        <v>1627</v>
      </c>
      <c r="E34" s="329">
        <v>2.2400000000000002</v>
      </c>
      <c r="F34" s="331">
        <f t="shared" si="0"/>
        <v>2.0675200000000005</v>
      </c>
      <c r="G34" s="357"/>
      <c r="H34" s="357">
        <f t="shared" si="1"/>
        <v>2.0675200000000005</v>
      </c>
      <c r="I34" s="358" t="s">
        <v>7508</v>
      </c>
      <c r="J34" s="373"/>
      <c r="K34" s="373"/>
      <c r="L34" s="373"/>
      <c r="M34" s="373"/>
      <c r="N34" s="373"/>
      <c r="O34" s="373"/>
      <c r="P34" s="373"/>
      <c r="Q34" s="373"/>
    </row>
    <row r="35" spans="1:17" s="341" customFormat="1" ht="20.399999999999999" x14ac:dyDescent="0.2">
      <c r="A35" s="312" t="s">
        <v>4352</v>
      </c>
      <c r="B35" s="325" t="s">
        <v>417</v>
      </c>
      <c r="C35" s="312">
        <v>2.8239999999999998</v>
      </c>
      <c r="D35" s="312" t="s">
        <v>2265</v>
      </c>
      <c r="E35" s="329">
        <v>630</v>
      </c>
      <c r="F35" s="331">
        <f t="shared" si="0"/>
        <v>581.49</v>
      </c>
      <c r="G35" s="357"/>
      <c r="H35" s="357">
        <f t="shared" si="1"/>
        <v>581.49</v>
      </c>
      <c r="I35" s="358" t="s">
        <v>7508</v>
      </c>
      <c r="J35" s="373"/>
      <c r="K35" s="373"/>
      <c r="L35" s="373"/>
      <c r="M35" s="373"/>
      <c r="N35" s="373"/>
      <c r="O35" s="373"/>
      <c r="P35" s="373"/>
      <c r="Q35" s="373"/>
    </row>
    <row r="36" spans="1:17" s="341" customFormat="1" ht="20.399999999999999" x14ac:dyDescent="0.2">
      <c r="A36" s="312" t="s">
        <v>4338</v>
      </c>
      <c r="B36" s="325" t="s">
        <v>4339</v>
      </c>
      <c r="C36" s="312">
        <v>0.44400000000000001</v>
      </c>
      <c r="D36" s="312" t="s">
        <v>2202</v>
      </c>
      <c r="E36" s="329">
        <v>67</v>
      </c>
      <c r="F36" s="331">
        <f t="shared" si="0"/>
        <v>61.841000000000001</v>
      </c>
      <c r="G36" s="357"/>
      <c r="H36" s="357">
        <f t="shared" si="1"/>
        <v>61.841000000000001</v>
      </c>
      <c r="I36" s="358" t="s">
        <v>7508</v>
      </c>
      <c r="J36" s="373"/>
      <c r="K36" s="373"/>
      <c r="L36" s="373"/>
      <c r="M36" s="373"/>
      <c r="N36" s="373"/>
      <c r="O36" s="373"/>
      <c r="P36" s="373"/>
      <c r="Q36" s="373"/>
    </row>
    <row r="37" spans="1:17" s="341" customFormat="1" ht="20.399999999999999" x14ac:dyDescent="0.2">
      <c r="A37" s="312" t="s">
        <v>4344</v>
      </c>
      <c r="B37" s="325" t="s">
        <v>4345</v>
      </c>
      <c r="C37" s="312">
        <v>0.44400000000000001</v>
      </c>
      <c r="D37" s="312" t="s">
        <v>2202</v>
      </c>
      <c r="E37" s="329">
        <v>75</v>
      </c>
      <c r="F37" s="331">
        <f t="shared" si="0"/>
        <v>69.225000000000009</v>
      </c>
      <c r="G37" s="357"/>
      <c r="H37" s="357">
        <f t="shared" si="1"/>
        <v>69.225000000000009</v>
      </c>
      <c r="I37" s="358" t="s">
        <v>7508</v>
      </c>
      <c r="J37" s="373"/>
      <c r="K37" s="373"/>
      <c r="L37" s="373"/>
      <c r="M37" s="373"/>
      <c r="N37" s="373"/>
      <c r="O37" s="373"/>
      <c r="P37" s="373"/>
      <c r="Q37" s="373"/>
    </row>
    <row r="38" spans="1:17" s="341" customFormat="1" ht="20.399999999999999" x14ac:dyDescent="0.2">
      <c r="A38" s="312" t="s">
        <v>4347</v>
      </c>
      <c r="B38" s="325" t="s">
        <v>4348</v>
      </c>
      <c r="C38" s="312">
        <v>0.52200000000000002</v>
      </c>
      <c r="D38" s="312" t="s">
        <v>2202</v>
      </c>
      <c r="E38" s="329">
        <v>92.5</v>
      </c>
      <c r="F38" s="331">
        <f t="shared" si="0"/>
        <v>85.377499999999998</v>
      </c>
      <c r="G38" s="357"/>
      <c r="H38" s="357">
        <f t="shared" si="1"/>
        <v>85.377499999999998</v>
      </c>
      <c r="I38" s="358" t="s">
        <v>7508</v>
      </c>
      <c r="J38" s="373"/>
      <c r="K38" s="373"/>
      <c r="L38" s="373"/>
      <c r="M38" s="373"/>
      <c r="N38" s="373"/>
      <c r="O38" s="373"/>
      <c r="P38" s="373"/>
      <c r="Q38" s="373"/>
    </row>
    <row r="39" spans="1:17" s="341" customFormat="1" ht="20.399999999999999" x14ac:dyDescent="0.2">
      <c r="A39" s="312" t="s">
        <v>4350</v>
      </c>
      <c r="B39" s="325" t="s">
        <v>418</v>
      </c>
      <c r="C39" s="312">
        <v>0.64</v>
      </c>
      <c r="D39" s="312" t="s">
        <v>2202</v>
      </c>
      <c r="E39" s="329">
        <v>112</v>
      </c>
      <c r="F39" s="331">
        <f t="shared" si="0"/>
        <v>103.376</v>
      </c>
      <c r="G39" s="357"/>
      <c r="H39" s="357">
        <f t="shared" si="1"/>
        <v>103.376</v>
      </c>
      <c r="I39" s="358" t="s">
        <v>7508</v>
      </c>
      <c r="J39" s="373"/>
      <c r="K39" s="373"/>
      <c r="L39" s="373"/>
      <c r="M39" s="373"/>
      <c r="N39" s="373"/>
      <c r="O39" s="373"/>
      <c r="P39" s="373"/>
      <c r="Q39" s="373"/>
    </row>
    <row r="40" spans="1:17" s="341" customFormat="1" ht="10.199999999999999" x14ac:dyDescent="0.2">
      <c r="A40" s="368"/>
      <c r="B40" s="354"/>
      <c r="C40" s="368"/>
      <c r="D40" s="355"/>
      <c r="E40" s="355"/>
      <c r="F40" s="357"/>
      <c r="G40" s="357"/>
      <c r="H40" s="357"/>
      <c r="I40" s="358"/>
      <c r="J40" s="373"/>
      <c r="K40" s="373"/>
      <c r="L40" s="373"/>
      <c r="M40" s="373"/>
      <c r="N40" s="373"/>
      <c r="O40" s="373"/>
      <c r="P40" s="373"/>
      <c r="Q40" s="373"/>
    </row>
    <row r="41" spans="1:17" s="341" customFormat="1" ht="10.199999999999999" x14ac:dyDescent="0.2">
      <c r="A41" s="368" t="s">
        <v>7597</v>
      </c>
      <c r="B41" s="354" t="s">
        <v>7600</v>
      </c>
      <c r="C41" s="368"/>
      <c r="D41" s="355" t="s">
        <v>2772</v>
      </c>
      <c r="E41" s="355">
        <v>190</v>
      </c>
      <c r="F41" s="331">
        <f t="shared" si="0"/>
        <v>175.37</v>
      </c>
      <c r="G41" s="357"/>
      <c r="H41" s="357">
        <f t="shared" si="1"/>
        <v>175.37</v>
      </c>
      <c r="I41" s="358" t="s">
        <v>7508</v>
      </c>
      <c r="J41" s="373"/>
      <c r="K41" s="373"/>
      <c r="L41" s="373"/>
      <c r="M41" s="373"/>
      <c r="N41" s="373"/>
      <c r="O41" s="373"/>
      <c r="P41" s="373"/>
      <c r="Q41" s="373"/>
    </row>
    <row r="42" spans="1:17" s="341" customFormat="1" ht="10.199999999999999" x14ac:dyDescent="0.2">
      <c r="A42" s="368" t="s">
        <v>7598</v>
      </c>
      <c r="B42" s="354" t="s">
        <v>7601</v>
      </c>
      <c r="C42" s="368"/>
      <c r="D42" s="355" t="s">
        <v>7599</v>
      </c>
      <c r="E42" s="355">
        <v>3.38</v>
      </c>
      <c r="F42" s="331">
        <f t="shared" si="0"/>
        <v>3.1197400000000002</v>
      </c>
      <c r="G42" s="357"/>
      <c r="H42" s="357">
        <f t="shared" si="1"/>
        <v>3.1197400000000002</v>
      </c>
      <c r="I42" s="358" t="s">
        <v>7508</v>
      </c>
      <c r="J42" s="373"/>
      <c r="K42" s="373"/>
      <c r="L42" s="373"/>
      <c r="M42" s="373"/>
      <c r="N42" s="373"/>
      <c r="O42" s="373"/>
      <c r="P42" s="373"/>
      <c r="Q42" s="373"/>
    </row>
    <row r="43" spans="1:17" s="341" customFormat="1" ht="20.399999999999999" x14ac:dyDescent="0.2">
      <c r="A43" s="494" t="s">
        <v>3487</v>
      </c>
      <c r="B43" s="495" t="s">
        <v>3488</v>
      </c>
      <c r="C43" s="494"/>
      <c r="D43" s="494" t="s">
        <v>2241</v>
      </c>
      <c r="E43" s="496">
        <v>65.5</v>
      </c>
      <c r="F43" s="492">
        <f t="shared" si="0"/>
        <v>60.456500000000005</v>
      </c>
      <c r="G43" s="357"/>
      <c r="H43" s="357">
        <f t="shared" si="1"/>
        <v>60.456500000000005</v>
      </c>
      <c r="I43" s="358" t="s">
        <v>7508</v>
      </c>
      <c r="J43" s="373"/>
      <c r="K43" s="373"/>
      <c r="L43" s="373"/>
      <c r="M43" s="373"/>
      <c r="N43" s="373"/>
      <c r="O43" s="373"/>
      <c r="P43" s="373"/>
      <c r="Q43" s="373"/>
    </row>
    <row r="44" spans="1:17" s="341" customFormat="1" ht="20.399999999999999" x14ac:dyDescent="0.2">
      <c r="A44" s="494" t="s">
        <v>3490</v>
      </c>
      <c r="B44" s="495" t="s">
        <v>3491</v>
      </c>
      <c r="C44" s="494"/>
      <c r="D44" s="494" t="s">
        <v>2241</v>
      </c>
      <c r="E44" s="496">
        <v>29.5</v>
      </c>
      <c r="F44" s="492">
        <f t="shared" si="0"/>
        <v>27.2285</v>
      </c>
      <c r="G44" s="357"/>
      <c r="H44" s="357">
        <f t="shared" si="1"/>
        <v>27.2285</v>
      </c>
      <c r="I44" s="358" t="s">
        <v>7508</v>
      </c>
      <c r="J44" s="373"/>
      <c r="K44" s="373"/>
      <c r="L44" s="373"/>
      <c r="M44" s="373"/>
      <c r="N44" s="373"/>
      <c r="O44" s="373"/>
      <c r="P44" s="373"/>
      <c r="Q44" s="373"/>
    </row>
    <row r="45" spans="1:17" s="341" customFormat="1" ht="10.199999999999999" x14ac:dyDescent="0.2">
      <c r="A45" s="368"/>
      <c r="B45" s="354" t="s">
        <v>4410</v>
      </c>
      <c r="C45" s="368"/>
      <c r="D45" s="355" t="s">
        <v>2840</v>
      </c>
      <c r="E45" s="355"/>
      <c r="F45" s="357">
        <v>250</v>
      </c>
      <c r="G45" s="357"/>
      <c r="H45" s="357">
        <f t="shared" si="1"/>
        <v>250</v>
      </c>
      <c r="I45" s="358" t="s">
        <v>4538</v>
      </c>
      <c r="J45" s="373"/>
      <c r="K45" s="373"/>
      <c r="L45" s="373"/>
      <c r="M45" s="373"/>
      <c r="N45" s="373"/>
      <c r="O45" s="373"/>
      <c r="P45" s="373"/>
      <c r="Q45" s="373"/>
    </row>
    <row r="46" spans="1:17" s="341" customFormat="1" ht="10.199999999999999" x14ac:dyDescent="0.2">
      <c r="A46" s="368"/>
      <c r="B46" s="354" t="s">
        <v>4411</v>
      </c>
      <c r="C46" s="368"/>
      <c r="D46" s="355" t="s">
        <v>2840</v>
      </c>
      <c r="E46" s="355"/>
      <c r="F46" s="357">
        <v>350</v>
      </c>
      <c r="G46" s="357"/>
      <c r="H46" s="357">
        <f t="shared" si="1"/>
        <v>350</v>
      </c>
      <c r="I46" s="358" t="s">
        <v>4538</v>
      </c>
      <c r="J46" s="373"/>
      <c r="K46" s="373"/>
      <c r="L46" s="373"/>
      <c r="M46" s="373"/>
      <c r="N46" s="373"/>
      <c r="O46" s="373"/>
      <c r="P46" s="373"/>
      <c r="Q46" s="373"/>
    </row>
    <row r="47" spans="1:17" s="341" customFormat="1" ht="10.199999999999999" x14ac:dyDescent="0.2">
      <c r="A47" s="368"/>
      <c r="B47" s="354" t="s">
        <v>4412</v>
      </c>
      <c r="C47" s="368"/>
      <c r="D47" s="355" t="s">
        <v>2840</v>
      </c>
      <c r="E47" s="355"/>
      <c r="F47" s="357">
        <v>350</v>
      </c>
      <c r="G47" s="357"/>
      <c r="H47" s="357">
        <f t="shared" si="1"/>
        <v>350</v>
      </c>
      <c r="I47" s="358" t="s">
        <v>4538</v>
      </c>
      <c r="J47" s="373"/>
      <c r="K47" s="373"/>
      <c r="L47" s="373"/>
      <c r="M47" s="373"/>
      <c r="N47" s="373"/>
      <c r="O47" s="373"/>
      <c r="P47" s="373"/>
      <c r="Q47" s="373"/>
    </row>
    <row r="48" spans="1:17" s="341" customFormat="1" ht="10.199999999999999" x14ac:dyDescent="0.2">
      <c r="A48" s="368"/>
      <c r="B48" s="354" t="s">
        <v>4413</v>
      </c>
      <c r="C48" s="368"/>
      <c r="D48" s="355" t="s">
        <v>2840</v>
      </c>
      <c r="E48" s="355"/>
      <c r="F48" s="357">
        <v>200</v>
      </c>
      <c r="G48" s="357"/>
      <c r="H48" s="357">
        <f t="shared" si="1"/>
        <v>200</v>
      </c>
      <c r="I48" s="358" t="s">
        <v>4537</v>
      </c>
      <c r="J48" s="373"/>
      <c r="K48" s="373"/>
      <c r="L48" s="373"/>
      <c r="M48" s="373"/>
      <c r="N48" s="373"/>
      <c r="O48" s="373"/>
      <c r="P48" s="373"/>
      <c r="Q48" s="373"/>
    </row>
    <row r="49" spans="1:17" s="341" customFormat="1" ht="10.199999999999999" x14ac:dyDescent="0.2">
      <c r="A49" s="368"/>
      <c r="B49" s="354" t="s">
        <v>4414</v>
      </c>
      <c r="C49" s="368"/>
      <c r="D49" s="355" t="s">
        <v>2840</v>
      </c>
      <c r="E49" s="355"/>
      <c r="F49" s="357">
        <v>350</v>
      </c>
      <c r="G49" s="357"/>
      <c r="H49" s="357">
        <f t="shared" si="1"/>
        <v>350</v>
      </c>
      <c r="I49" s="358" t="s">
        <v>4538</v>
      </c>
      <c r="J49" s="373"/>
      <c r="K49" s="373"/>
      <c r="L49" s="373"/>
      <c r="M49" s="373"/>
      <c r="N49" s="373"/>
      <c r="O49" s="373"/>
      <c r="P49" s="373"/>
      <c r="Q49" s="373"/>
    </row>
    <row r="50" spans="1:17" s="341" customFormat="1" ht="10.199999999999999" x14ac:dyDescent="0.2">
      <c r="A50" s="368"/>
      <c r="B50" s="354" t="s">
        <v>4415</v>
      </c>
      <c r="C50" s="368"/>
      <c r="D50" s="355" t="s">
        <v>399</v>
      </c>
      <c r="E50" s="355"/>
      <c r="F50" s="357">
        <v>6.5</v>
      </c>
      <c r="G50" s="357"/>
      <c r="H50" s="357">
        <f t="shared" si="1"/>
        <v>6.5</v>
      </c>
      <c r="I50" s="358" t="s">
        <v>4538</v>
      </c>
      <c r="J50" s="373"/>
      <c r="K50" s="373"/>
      <c r="L50" s="373"/>
      <c r="M50" s="373"/>
      <c r="N50" s="373"/>
      <c r="O50" s="373"/>
      <c r="P50" s="373"/>
      <c r="Q50" s="373"/>
    </row>
    <row r="51" spans="1:17" s="341" customFormat="1" ht="10.199999999999999" x14ac:dyDescent="0.2">
      <c r="A51" s="368"/>
      <c r="B51" s="354" t="s">
        <v>4416</v>
      </c>
      <c r="C51" s="368"/>
      <c r="D51" s="355" t="s">
        <v>399</v>
      </c>
      <c r="E51" s="355"/>
      <c r="F51" s="357">
        <v>8</v>
      </c>
      <c r="G51" s="357"/>
      <c r="H51" s="357">
        <f t="shared" si="1"/>
        <v>8</v>
      </c>
      <c r="I51" s="358" t="s">
        <v>4538</v>
      </c>
      <c r="J51" s="373"/>
      <c r="K51" s="373"/>
      <c r="L51" s="373"/>
      <c r="M51" s="373"/>
      <c r="N51" s="373"/>
      <c r="O51" s="373"/>
      <c r="P51" s="373"/>
      <c r="Q51" s="373"/>
    </row>
    <row r="52" spans="1:17" s="341" customFormat="1" ht="10.199999999999999" x14ac:dyDescent="0.2">
      <c r="A52" s="368"/>
      <c r="B52" s="354" t="s">
        <v>3227</v>
      </c>
      <c r="C52" s="368"/>
      <c r="D52" s="355" t="s">
        <v>2840</v>
      </c>
      <c r="E52" s="355"/>
      <c r="F52" s="357">
        <v>102.54</v>
      </c>
      <c r="G52" s="357"/>
      <c r="H52" s="357">
        <f t="shared" si="1"/>
        <v>102.54</v>
      </c>
      <c r="I52" s="358" t="s">
        <v>4538</v>
      </c>
      <c r="J52" s="373"/>
      <c r="K52" s="373"/>
      <c r="L52" s="373"/>
      <c r="M52" s="373"/>
      <c r="N52" s="373"/>
      <c r="O52" s="373"/>
      <c r="P52" s="373"/>
      <c r="Q52" s="373"/>
    </row>
    <row r="53" spans="1:17" s="341" customFormat="1" ht="10.199999999999999" x14ac:dyDescent="0.2">
      <c r="A53" s="368"/>
      <c r="B53" s="354" t="s">
        <v>4417</v>
      </c>
      <c r="C53" s="368"/>
      <c r="D53" s="355" t="s">
        <v>399</v>
      </c>
      <c r="E53" s="355"/>
      <c r="F53" s="357">
        <v>7</v>
      </c>
      <c r="G53" s="357"/>
      <c r="H53" s="357">
        <f t="shared" si="1"/>
        <v>7</v>
      </c>
      <c r="I53" s="358" t="s">
        <v>4538</v>
      </c>
      <c r="J53" s="373"/>
      <c r="K53" s="373"/>
      <c r="L53" s="373"/>
      <c r="M53" s="373"/>
      <c r="N53" s="373"/>
      <c r="O53" s="373"/>
      <c r="P53" s="373"/>
      <c r="Q53" s="373"/>
    </row>
    <row r="54" spans="1:17" s="341" customFormat="1" ht="10.199999999999999" x14ac:dyDescent="0.2">
      <c r="A54" s="368"/>
      <c r="B54" s="354" t="s">
        <v>4418</v>
      </c>
      <c r="C54" s="368"/>
      <c r="D54" s="355" t="s">
        <v>2840</v>
      </c>
      <c r="E54" s="355"/>
      <c r="F54" s="357">
        <v>300</v>
      </c>
      <c r="G54" s="357"/>
      <c r="H54" s="357">
        <f t="shared" si="1"/>
        <v>300</v>
      </c>
      <c r="I54" s="358" t="s">
        <v>4538</v>
      </c>
      <c r="J54" s="373"/>
      <c r="K54" s="373"/>
      <c r="L54" s="373"/>
      <c r="M54" s="373"/>
      <c r="N54" s="373"/>
      <c r="O54" s="373"/>
      <c r="P54" s="373"/>
      <c r="Q54" s="373"/>
    </row>
    <row r="55" spans="1:17" s="341" customFormat="1" ht="10.199999999999999" x14ac:dyDescent="0.2">
      <c r="A55" s="368"/>
      <c r="B55" s="354" t="s">
        <v>4421</v>
      </c>
      <c r="C55" s="368"/>
      <c r="D55" s="355" t="s">
        <v>2840</v>
      </c>
      <c r="E55" s="355"/>
      <c r="F55" s="357">
        <v>4</v>
      </c>
      <c r="G55" s="357"/>
      <c r="H55" s="357">
        <f t="shared" si="1"/>
        <v>4</v>
      </c>
      <c r="I55" s="358" t="s">
        <v>4538</v>
      </c>
      <c r="J55" s="373"/>
      <c r="K55" s="373"/>
      <c r="L55" s="373"/>
      <c r="M55" s="373"/>
      <c r="N55" s="373"/>
      <c r="O55" s="373"/>
      <c r="P55" s="373"/>
      <c r="Q55" s="373"/>
    </row>
    <row r="56" spans="1:17" s="341" customFormat="1" ht="10.199999999999999" x14ac:dyDescent="0.2">
      <c r="A56" s="368"/>
      <c r="B56" s="354" t="s">
        <v>4439</v>
      </c>
      <c r="C56" s="368"/>
      <c r="D56" s="355" t="s">
        <v>2840</v>
      </c>
      <c r="E56" s="355"/>
      <c r="F56" s="357">
        <v>12</v>
      </c>
      <c r="G56" s="357"/>
      <c r="H56" s="357">
        <f t="shared" si="1"/>
        <v>12</v>
      </c>
      <c r="I56" s="358" t="s">
        <v>4545</v>
      </c>
      <c r="J56" s="373"/>
      <c r="K56" s="373"/>
      <c r="L56" s="373"/>
      <c r="M56" s="373"/>
      <c r="N56" s="373"/>
      <c r="O56" s="373"/>
      <c r="P56" s="373"/>
      <c r="Q56" s="373"/>
    </row>
    <row r="57" spans="1:17" s="341" customFormat="1" ht="10.199999999999999" x14ac:dyDescent="0.2">
      <c r="A57" s="494" t="s">
        <v>4169</v>
      </c>
      <c r="B57" s="495" t="s">
        <v>1568</v>
      </c>
      <c r="C57" s="494">
        <v>8.0000000000000002E-3</v>
      </c>
      <c r="D57" s="494" t="s">
        <v>1181</v>
      </c>
      <c r="E57" s="496">
        <v>2.15</v>
      </c>
      <c r="F57" s="492">
        <f t="shared" si="0"/>
        <v>1.98445</v>
      </c>
      <c r="G57" s="357"/>
      <c r="H57" s="357">
        <f t="shared" si="1"/>
        <v>1.98445</v>
      </c>
      <c r="I57" s="358" t="s">
        <v>7508</v>
      </c>
      <c r="J57" s="373"/>
      <c r="K57" s="373"/>
      <c r="L57" s="373"/>
      <c r="M57" s="373"/>
      <c r="N57" s="373"/>
      <c r="O57" s="373"/>
      <c r="P57" s="373"/>
      <c r="Q57" s="373"/>
    </row>
    <row r="58" spans="1:17" s="341" customFormat="1" ht="10.199999999999999" x14ac:dyDescent="0.2">
      <c r="A58" s="494" t="s">
        <v>4172</v>
      </c>
      <c r="B58" s="495" t="s">
        <v>4173</v>
      </c>
      <c r="C58" s="494">
        <v>5.0000000000000001E-3</v>
      </c>
      <c r="D58" s="494" t="s">
        <v>399</v>
      </c>
      <c r="E58" s="496">
        <v>0.76</v>
      </c>
      <c r="F58" s="492">
        <f t="shared" si="0"/>
        <v>0.70147999999999999</v>
      </c>
      <c r="G58" s="357"/>
      <c r="H58" s="357">
        <f t="shared" si="1"/>
        <v>0.70147999999999999</v>
      </c>
      <c r="I58" s="358" t="s">
        <v>7508</v>
      </c>
      <c r="J58" s="373"/>
      <c r="K58" s="373"/>
      <c r="L58" s="373"/>
      <c r="M58" s="373"/>
      <c r="N58" s="373"/>
      <c r="O58" s="373"/>
      <c r="P58" s="373"/>
      <c r="Q58" s="373"/>
    </row>
    <row r="59" spans="1:17" s="341" customFormat="1" ht="40.799999999999997" x14ac:dyDescent="0.2">
      <c r="A59" s="368"/>
      <c r="B59" s="354" t="s">
        <v>1124</v>
      </c>
      <c r="C59" s="368"/>
      <c r="D59" s="355" t="s">
        <v>2840</v>
      </c>
      <c r="E59" s="355"/>
      <c r="F59" s="357">
        <v>5.41</v>
      </c>
      <c r="G59" s="357"/>
      <c r="H59" s="357">
        <f t="shared" si="1"/>
        <v>5.41</v>
      </c>
      <c r="I59" s="358" t="s">
        <v>4551</v>
      </c>
      <c r="J59" s="373"/>
      <c r="K59" s="373"/>
      <c r="L59" s="373"/>
      <c r="M59" s="373"/>
      <c r="N59" s="373"/>
      <c r="O59" s="373"/>
      <c r="P59" s="373"/>
      <c r="Q59" s="373"/>
    </row>
    <row r="60" spans="1:17" s="341" customFormat="1" ht="40.799999999999997" x14ac:dyDescent="0.2">
      <c r="A60" s="368"/>
      <c r="B60" s="354" t="s">
        <v>4446</v>
      </c>
      <c r="C60" s="368"/>
      <c r="D60" s="355" t="s">
        <v>2377</v>
      </c>
      <c r="E60" s="355"/>
      <c r="F60" s="357">
        <v>30</v>
      </c>
      <c r="G60" s="357"/>
      <c r="H60" s="357">
        <f t="shared" si="1"/>
        <v>30</v>
      </c>
      <c r="I60" s="358" t="s">
        <v>4551</v>
      </c>
      <c r="J60" s="373"/>
      <c r="K60" s="373"/>
      <c r="L60" s="373"/>
      <c r="M60" s="373"/>
      <c r="N60" s="373"/>
      <c r="O60" s="373"/>
      <c r="P60" s="373"/>
      <c r="Q60" s="373"/>
    </row>
    <row r="61" spans="1:17" s="341" customFormat="1" ht="30.6" x14ac:dyDescent="0.2">
      <c r="A61" s="368"/>
      <c r="B61" s="354" t="s">
        <v>4447</v>
      </c>
      <c r="C61" s="368"/>
      <c r="D61" s="355" t="s">
        <v>2377</v>
      </c>
      <c r="E61" s="355"/>
      <c r="F61" s="357">
        <v>8</v>
      </c>
      <c r="G61" s="357"/>
      <c r="H61" s="357">
        <f t="shared" si="1"/>
        <v>8</v>
      </c>
      <c r="I61" s="358" t="s">
        <v>4552</v>
      </c>
      <c r="J61" s="373"/>
      <c r="K61" s="373"/>
      <c r="L61" s="373"/>
      <c r="M61" s="373"/>
      <c r="N61" s="373"/>
      <c r="O61" s="373"/>
      <c r="P61" s="373"/>
      <c r="Q61" s="373"/>
    </row>
    <row r="62" spans="1:17" s="341" customFormat="1" ht="40.799999999999997" x14ac:dyDescent="0.2">
      <c r="A62" s="368"/>
      <c r="B62" s="354" t="s">
        <v>4448</v>
      </c>
      <c r="C62" s="368"/>
      <c r="D62" s="355" t="s">
        <v>2377</v>
      </c>
      <c r="E62" s="355"/>
      <c r="F62" s="357">
        <v>20</v>
      </c>
      <c r="G62" s="357"/>
      <c r="H62" s="357">
        <f t="shared" si="1"/>
        <v>20</v>
      </c>
      <c r="I62" s="358" t="s">
        <v>4551</v>
      </c>
      <c r="J62" s="373"/>
      <c r="K62" s="373"/>
      <c r="L62" s="373"/>
      <c r="M62" s="373"/>
      <c r="N62" s="373"/>
      <c r="O62" s="373"/>
      <c r="P62" s="373"/>
      <c r="Q62" s="373"/>
    </row>
    <row r="63" spans="1:17" s="341" customFormat="1" ht="40.799999999999997" x14ac:dyDescent="0.2">
      <c r="A63" s="368"/>
      <c r="B63" s="354" t="s">
        <v>4449</v>
      </c>
      <c r="C63" s="368"/>
      <c r="D63" s="355" t="s">
        <v>2377</v>
      </c>
      <c r="E63" s="355"/>
      <c r="F63" s="492">
        <v>25</v>
      </c>
      <c r="G63" s="357"/>
      <c r="H63" s="357">
        <f t="shared" si="1"/>
        <v>25</v>
      </c>
      <c r="I63" s="358" t="s">
        <v>4551</v>
      </c>
      <c r="J63" s="373"/>
      <c r="K63" s="373"/>
      <c r="L63" s="373"/>
      <c r="M63" s="373"/>
      <c r="N63" s="373"/>
      <c r="O63" s="373"/>
      <c r="P63" s="373"/>
      <c r="Q63" s="373"/>
    </row>
    <row r="64" spans="1:17" s="341" customFormat="1" ht="30.6" x14ac:dyDescent="0.2">
      <c r="A64" s="368"/>
      <c r="B64" s="354" t="s">
        <v>4450</v>
      </c>
      <c r="C64" s="368"/>
      <c r="D64" s="355" t="s">
        <v>2377</v>
      </c>
      <c r="E64" s="355"/>
      <c r="F64" s="492">
        <v>20</v>
      </c>
      <c r="G64" s="357"/>
      <c r="H64" s="357">
        <f t="shared" si="1"/>
        <v>20</v>
      </c>
      <c r="I64" s="358" t="s">
        <v>4552</v>
      </c>
      <c r="J64" s="373"/>
      <c r="K64" s="373"/>
      <c r="L64" s="373"/>
      <c r="M64" s="373"/>
      <c r="N64" s="373"/>
      <c r="O64" s="373"/>
      <c r="P64" s="373"/>
      <c r="Q64" s="373"/>
    </row>
    <row r="65" spans="1:17" s="341" customFormat="1" ht="30.6" x14ac:dyDescent="0.2">
      <c r="A65" s="368"/>
      <c r="B65" s="354" t="s">
        <v>4451</v>
      </c>
      <c r="C65" s="368"/>
      <c r="D65" s="355" t="s">
        <v>2377</v>
      </c>
      <c r="E65" s="355"/>
      <c r="F65" s="492">
        <v>20</v>
      </c>
      <c r="G65" s="357"/>
      <c r="H65" s="357">
        <f t="shared" si="1"/>
        <v>20</v>
      </c>
      <c r="I65" s="358" t="s">
        <v>4552</v>
      </c>
      <c r="J65" s="373"/>
      <c r="K65" s="373"/>
      <c r="L65" s="373"/>
      <c r="M65" s="373"/>
      <c r="N65" s="373"/>
      <c r="O65" s="373"/>
      <c r="P65" s="373"/>
      <c r="Q65" s="373"/>
    </row>
    <row r="66" spans="1:17" s="341" customFormat="1" ht="10.199999999999999" x14ac:dyDescent="0.2">
      <c r="A66" s="494" t="s">
        <v>4290</v>
      </c>
      <c r="B66" s="495" t="s">
        <v>4291</v>
      </c>
      <c r="C66" s="494">
        <v>0.85699999999999998</v>
      </c>
      <c r="D66" s="494" t="s">
        <v>2377</v>
      </c>
      <c r="E66" s="496">
        <v>80.5</v>
      </c>
      <c r="F66" s="492">
        <f t="shared" si="0"/>
        <v>74.301500000000004</v>
      </c>
      <c r="G66" s="357"/>
      <c r="H66" s="357">
        <f t="shared" si="1"/>
        <v>74.301500000000004</v>
      </c>
      <c r="I66" s="358" t="s">
        <v>7508</v>
      </c>
      <c r="J66" s="373"/>
      <c r="K66" s="373"/>
      <c r="L66" s="373"/>
      <c r="M66" s="373"/>
      <c r="N66" s="373"/>
      <c r="O66" s="373"/>
      <c r="P66" s="373"/>
      <c r="Q66" s="373"/>
    </row>
    <row r="67" spans="1:17" x14ac:dyDescent="0.25">
      <c r="A67" s="368" t="s">
        <v>7602</v>
      </c>
      <c r="B67" s="354" t="s">
        <v>3225</v>
      </c>
      <c r="C67" s="368"/>
      <c r="D67" s="355" t="s">
        <v>745</v>
      </c>
      <c r="E67" s="355">
        <v>1.6</v>
      </c>
      <c r="F67" s="492">
        <f t="shared" si="0"/>
        <v>1.4768000000000001</v>
      </c>
      <c r="G67" s="357"/>
      <c r="H67" s="357">
        <f t="shared" si="1"/>
        <v>1.4768000000000001</v>
      </c>
      <c r="I67" s="358" t="s">
        <v>7508</v>
      </c>
    </row>
    <row r="68" spans="1:17" x14ac:dyDescent="0.25">
      <c r="A68" s="494" t="s">
        <v>4212</v>
      </c>
      <c r="B68" s="495" t="s">
        <v>2885</v>
      </c>
      <c r="C68" s="494">
        <v>2.3E-2</v>
      </c>
      <c r="D68" s="494" t="s">
        <v>2377</v>
      </c>
      <c r="E68" s="496">
        <v>29</v>
      </c>
      <c r="F68" s="492">
        <f t="shared" si="0"/>
        <v>26.767000000000003</v>
      </c>
      <c r="G68" s="357"/>
      <c r="H68" s="357">
        <f t="shared" si="1"/>
        <v>26.767000000000003</v>
      </c>
      <c r="I68" s="358" t="s">
        <v>7508</v>
      </c>
    </row>
    <row r="69" spans="1:17" ht="20.399999999999999" x14ac:dyDescent="0.25">
      <c r="A69" s="312" t="s">
        <v>4208</v>
      </c>
      <c r="B69" s="325" t="s">
        <v>2886</v>
      </c>
      <c r="C69" s="312">
        <v>1.0569999999999999</v>
      </c>
      <c r="D69" s="312" t="s">
        <v>1802</v>
      </c>
      <c r="E69" s="329">
        <v>97.5</v>
      </c>
      <c r="F69" s="331">
        <f t="shared" ref="F69:F127" si="2">E69*0.923</f>
        <v>89.992500000000007</v>
      </c>
      <c r="G69" s="357"/>
      <c r="H69" s="357">
        <f t="shared" ref="H69:H127" si="3">IF(G69&gt;0,G69,F69)</f>
        <v>89.992500000000007</v>
      </c>
      <c r="I69" s="358" t="s">
        <v>7508</v>
      </c>
    </row>
    <row r="70" spans="1:17" ht="20.399999999999999" x14ac:dyDescent="0.25">
      <c r="A70" s="312" t="s">
        <v>4205</v>
      </c>
      <c r="B70" s="325" t="s">
        <v>4206</v>
      </c>
      <c r="C70" s="312">
        <v>0.7</v>
      </c>
      <c r="D70" s="312" t="s">
        <v>1802</v>
      </c>
      <c r="E70" s="329">
        <v>125</v>
      </c>
      <c r="F70" s="331">
        <f t="shared" si="2"/>
        <v>115.375</v>
      </c>
      <c r="G70" s="357"/>
      <c r="H70" s="357">
        <f t="shared" si="3"/>
        <v>115.375</v>
      </c>
      <c r="I70" s="358" t="s">
        <v>7508</v>
      </c>
    </row>
    <row r="71" spans="1:17" x14ac:dyDescent="0.25">
      <c r="A71" s="312" t="s">
        <v>4214</v>
      </c>
      <c r="B71" s="325" t="s">
        <v>4215</v>
      </c>
      <c r="C71" s="312">
        <v>2.7E-2</v>
      </c>
      <c r="D71" s="312" t="s">
        <v>2377</v>
      </c>
      <c r="E71" s="329">
        <v>29.5</v>
      </c>
      <c r="F71" s="331">
        <f t="shared" si="2"/>
        <v>27.2285</v>
      </c>
      <c r="G71" s="357"/>
      <c r="H71" s="357">
        <f t="shared" si="3"/>
        <v>27.2285</v>
      </c>
      <c r="I71" s="358" t="s">
        <v>7508</v>
      </c>
    </row>
    <row r="72" spans="1:17" x14ac:dyDescent="0.25">
      <c r="A72" s="312" t="s">
        <v>4210</v>
      </c>
      <c r="B72" s="325" t="s">
        <v>2887</v>
      </c>
      <c r="C72" s="312">
        <v>0.02</v>
      </c>
      <c r="D72" s="312" t="s">
        <v>2377</v>
      </c>
      <c r="E72" s="329">
        <v>28.5</v>
      </c>
      <c r="F72" s="331">
        <f t="shared" si="2"/>
        <v>26.305500000000002</v>
      </c>
      <c r="G72" s="357"/>
      <c r="H72" s="357">
        <f t="shared" si="3"/>
        <v>26.305500000000002</v>
      </c>
      <c r="I72" s="358" t="s">
        <v>7508</v>
      </c>
    </row>
    <row r="73" spans="1:17" ht="20.399999999999999" x14ac:dyDescent="0.25">
      <c r="A73" s="312" t="s">
        <v>4203</v>
      </c>
      <c r="B73" s="325" t="s">
        <v>2888</v>
      </c>
      <c r="C73" s="312">
        <v>0.25800000000000001</v>
      </c>
      <c r="D73" s="312" t="s">
        <v>1181</v>
      </c>
      <c r="E73" s="329">
        <v>63.5</v>
      </c>
      <c r="F73" s="331">
        <f t="shared" si="2"/>
        <v>58.610500000000002</v>
      </c>
      <c r="G73" s="357"/>
      <c r="H73" s="357">
        <f t="shared" si="3"/>
        <v>58.610500000000002</v>
      </c>
      <c r="I73" s="358" t="s">
        <v>7508</v>
      </c>
    </row>
    <row r="74" spans="1:17" x14ac:dyDescent="0.25">
      <c r="A74" s="368"/>
      <c r="B74" s="354" t="s">
        <v>3224</v>
      </c>
      <c r="C74" s="368"/>
      <c r="D74" s="355" t="s">
        <v>2377</v>
      </c>
      <c r="E74" s="355"/>
      <c r="F74" s="357">
        <v>22.87</v>
      </c>
      <c r="G74" s="357">
        <v>22.87</v>
      </c>
      <c r="H74" s="357">
        <f t="shared" si="3"/>
        <v>22.87</v>
      </c>
      <c r="I74" s="358"/>
    </row>
    <row r="75" spans="1:17" ht="20.399999999999999" x14ac:dyDescent="0.25">
      <c r="A75" s="312" t="s">
        <v>3526</v>
      </c>
      <c r="B75" s="325" t="s">
        <v>3527</v>
      </c>
      <c r="C75" s="312">
        <v>2.1000000000000001E-2</v>
      </c>
      <c r="D75" s="312" t="s">
        <v>399</v>
      </c>
      <c r="E75" s="329">
        <v>3.05</v>
      </c>
      <c r="F75" s="331">
        <f t="shared" si="2"/>
        <v>2.81515</v>
      </c>
      <c r="G75" s="357"/>
      <c r="H75" s="357">
        <f t="shared" si="3"/>
        <v>2.81515</v>
      </c>
      <c r="I75" s="358" t="s">
        <v>7508</v>
      </c>
    </row>
    <row r="76" spans="1:17" ht="20.399999999999999" x14ac:dyDescent="0.25">
      <c r="A76" s="312" t="s">
        <v>3531</v>
      </c>
      <c r="B76" s="325" t="s">
        <v>3532</v>
      </c>
      <c r="C76" s="312">
        <v>2.1999999999999999E-2</v>
      </c>
      <c r="D76" s="312" t="s">
        <v>399</v>
      </c>
      <c r="E76" s="329">
        <v>3.75</v>
      </c>
      <c r="F76" s="331">
        <f t="shared" si="2"/>
        <v>3.4612500000000002</v>
      </c>
      <c r="G76" s="357"/>
      <c r="H76" s="357">
        <f t="shared" si="3"/>
        <v>3.4612500000000002</v>
      </c>
      <c r="I76" s="358" t="s">
        <v>7508</v>
      </c>
    </row>
    <row r="77" spans="1:17" ht="20.399999999999999" x14ac:dyDescent="0.25">
      <c r="A77" s="312" t="s">
        <v>3544</v>
      </c>
      <c r="B77" s="325" t="s">
        <v>3545</v>
      </c>
      <c r="C77" s="312">
        <v>4.3639999999999999</v>
      </c>
      <c r="D77" s="312" t="s">
        <v>2840</v>
      </c>
      <c r="E77" s="329">
        <v>495</v>
      </c>
      <c r="F77" s="331">
        <f t="shared" si="2"/>
        <v>456.88500000000005</v>
      </c>
      <c r="G77" s="357"/>
      <c r="H77" s="357">
        <f t="shared" si="3"/>
        <v>456.88500000000005</v>
      </c>
      <c r="I77" s="358" t="s">
        <v>7508</v>
      </c>
    </row>
    <row r="78" spans="1:17" ht="20.399999999999999" x14ac:dyDescent="0.25">
      <c r="A78" s="312" t="s">
        <v>3548</v>
      </c>
      <c r="B78" s="325" t="s">
        <v>3549</v>
      </c>
      <c r="C78" s="312">
        <v>1.4490000000000001</v>
      </c>
      <c r="D78" s="312" t="s">
        <v>2840</v>
      </c>
      <c r="E78" s="329">
        <v>228</v>
      </c>
      <c r="F78" s="331">
        <f t="shared" si="2"/>
        <v>210.44400000000002</v>
      </c>
      <c r="G78" s="357"/>
      <c r="H78" s="357">
        <f t="shared" si="3"/>
        <v>210.44400000000002</v>
      </c>
      <c r="I78" s="358" t="s">
        <v>7508</v>
      </c>
    </row>
    <row r="79" spans="1:17" ht="20.399999999999999" x14ac:dyDescent="0.25">
      <c r="A79" s="312" t="s">
        <v>3552</v>
      </c>
      <c r="B79" s="325" t="s">
        <v>3553</v>
      </c>
      <c r="C79" s="312">
        <v>0.95699999999999996</v>
      </c>
      <c r="D79" s="312" t="s">
        <v>2840</v>
      </c>
      <c r="E79" s="329">
        <v>190</v>
      </c>
      <c r="F79" s="331">
        <f t="shared" si="2"/>
        <v>175.37</v>
      </c>
      <c r="G79" s="357"/>
      <c r="H79" s="357">
        <f t="shared" si="3"/>
        <v>175.37</v>
      </c>
      <c r="I79" s="358" t="s">
        <v>7508</v>
      </c>
    </row>
    <row r="80" spans="1:17" ht="20.399999999999999" x14ac:dyDescent="0.25">
      <c r="A80" s="312" t="s">
        <v>3538</v>
      </c>
      <c r="B80" s="325" t="s">
        <v>3539</v>
      </c>
      <c r="C80" s="312">
        <v>2.605</v>
      </c>
      <c r="D80" s="312" t="s">
        <v>2840</v>
      </c>
      <c r="E80" s="329">
        <v>380</v>
      </c>
      <c r="F80" s="331">
        <f t="shared" si="2"/>
        <v>350.74</v>
      </c>
      <c r="G80" s="357"/>
      <c r="H80" s="357">
        <f t="shared" si="3"/>
        <v>350.74</v>
      </c>
      <c r="I80" s="358" t="s">
        <v>7508</v>
      </c>
    </row>
    <row r="81" spans="1:17" ht="20.399999999999999" x14ac:dyDescent="0.25">
      <c r="A81" s="312" t="s">
        <v>3541</v>
      </c>
      <c r="B81" s="325" t="s">
        <v>3542</v>
      </c>
      <c r="C81" s="312">
        <v>1.4930000000000001</v>
      </c>
      <c r="D81" s="312" t="s">
        <v>2840</v>
      </c>
      <c r="E81" s="329">
        <v>293</v>
      </c>
      <c r="F81" s="331">
        <f t="shared" si="2"/>
        <v>270.43900000000002</v>
      </c>
      <c r="G81" s="357"/>
      <c r="H81" s="357">
        <f t="shared" si="3"/>
        <v>270.43900000000002</v>
      </c>
      <c r="I81" s="358" t="s">
        <v>7508</v>
      </c>
    </row>
    <row r="82" spans="1:17" ht="20.399999999999999" x14ac:dyDescent="0.25">
      <c r="A82" s="312" t="s">
        <v>3535</v>
      </c>
      <c r="B82" s="325" t="s">
        <v>3536</v>
      </c>
      <c r="C82" s="312">
        <v>4</v>
      </c>
      <c r="D82" s="312" t="s">
        <v>2840</v>
      </c>
      <c r="E82" s="329">
        <v>445</v>
      </c>
      <c r="F82" s="331">
        <f t="shared" si="2"/>
        <v>410.73500000000001</v>
      </c>
      <c r="G82" s="357"/>
      <c r="H82" s="357">
        <f t="shared" si="3"/>
        <v>410.73500000000001</v>
      </c>
      <c r="I82" s="358" t="s">
        <v>7508</v>
      </c>
    </row>
    <row r="83" spans="1:17" ht="20.399999999999999" x14ac:dyDescent="0.25">
      <c r="A83" s="312" t="s">
        <v>3585</v>
      </c>
      <c r="B83" s="325" t="s">
        <v>3586</v>
      </c>
      <c r="C83" s="312">
        <v>0.436</v>
      </c>
      <c r="D83" s="312" t="s">
        <v>2840</v>
      </c>
      <c r="E83" s="329">
        <v>25</v>
      </c>
      <c r="F83" s="331">
        <f t="shared" si="2"/>
        <v>23.075000000000003</v>
      </c>
      <c r="G83" s="357"/>
      <c r="H83" s="357">
        <f t="shared" si="3"/>
        <v>23.075000000000003</v>
      </c>
      <c r="I83" s="358" t="s">
        <v>7508</v>
      </c>
    </row>
    <row r="84" spans="1:17" ht="20.399999999999999" x14ac:dyDescent="0.25">
      <c r="A84" s="312" t="s">
        <v>3588</v>
      </c>
      <c r="B84" s="325" t="s">
        <v>3589</v>
      </c>
      <c r="C84" s="312">
        <v>0.49199999999999999</v>
      </c>
      <c r="D84" s="312" t="s">
        <v>2840</v>
      </c>
      <c r="E84" s="329">
        <v>35</v>
      </c>
      <c r="F84" s="331">
        <f t="shared" si="2"/>
        <v>32.305</v>
      </c>
      <c r="G84" s="357"/>
      <c r="H84" s="357">
        <f t="shared" si="3"/>
        <v>32.305</v>
      </c>
      <c r="I84" s="358" t="s">
        <v>7508</v>
      </c>
    </row>
    <row r="85" spans="1:17" ht="30.6" x14ac:dyDescent="0.25">
      <c r="A85" s="312" t="s">
        <v>3558</v>
      </c>
      <c r="B85" s="325" t="s">
        <v>1313</v>
      </c>
      <c r="C85" s="312"/>
      <c r="D85" s="312" t="s">
        <v>2840</v>
      </c>
      <c r="E85" s="329">
        <v>101</v>
      </c>
      <c r="F85" s="331">
        <f t="shared" si="2"/>
        <v>93.222999999999999</v>
      </c>
      <c r="G85" s="357"/>
      <c r="H85" s="357">
        <f t="shared" si="3"/>
        <v>93.222999999999999</v>
      </c>
      <c r="I85" s="358" t="s">
        <v>7508</v>
      </c>
    </row>
    <row r="86" spans="1:17" ht="30.6" x14ac:dyDescent="0.25">
      <c r="A86" s="312" t="s">
        <v>3560</v>
      </c>
      <c r="B86" s="325" t="s">
        <v>3561</v>
      </c>
      <c r="C86" s="312"/>
      <c r="D86" s="312" t="s">
        <v>2840</v>
      </c>
      <c r="E86" s="329">
        <v>103</v>
      </c>
      <c r="F86" s="331">
        <f t="shared" si="2"/>
        <v>95.069000000000003</v>
      </c>
      <c r="G86" s="357"/>
      <c r="H86" s="357">
        <f t="shared" si="3"/>
        <v>95.069000000000003</v>
      </c>
      <c r="I86" s="358" t="s">
        <v>7508</v>
      </c>
    </row>
    <row r="87" spans="1:17" ht="30.6" x14ac:dyDescent="0.25">
      <c r="A87" s="312" t="s">
        <v>3563</v>
      </c>
      <c r="B87" s="325" t="s">
        <v>1315</v>
      </c>
      <c r="C87" s="312"/>
      <c r="D87" s="312" t="s">
        <v>2840</v>
      </c>
      <c r="E87" s="329">
        <v>112</v>
      </c>
      <c r="F87" s="331">
        <f t="shared" si="2"/>
        <v>103.376</v>
      </c>
      <c r="G87" s="357"/>
      <c r="H87" s="357">
        <f t="shared" si="3"/>
        <v>103.376</v>
      </c>
      <c r="I87" s="358" t="s">
        <v>7508</v>
      </c>
    </row>
    <row r="88" spans="1:17" ht="30.6" x14ac:dyDescent="0.25">
      <c r="A88" s="312" t="s">
        <v>3565</v>
      </c>
      <c r="B88" s="325" t="s">
        <v>3566</v>
      </c>
      <c r="C88" s="312"/>
      <c r="D88" s="312" t="s">
        <v>2840</v>
      </c>
      <c r="E88" s="329">
        <v>110</v>
      </c>
      <c r="F88" s="331">
        <f t="shared" si="2"/>
        <v>101.53</v>
      </c>
      <c r="G88" s="357"/>
      <c r="H88" s="357">
        <f t="shared" si="3"/>
        <v>101.53</v>
      </c>
      <c r="I88" s="358" t="s">
        <v>7508</v>
      </c>
    </row>
    <row r="89" spans="1:17" ht="30.6" x14ac:dyDescent="0.25">
      <c r="A89" s="312" t="s">
        <v>3568</v>
      </c>
      <c r="B89" s="325" t="s">
        <v>1316</v>
      </c>
      <c r="C89" s="312"/>
      <c r="D89" s="312" t="s">
        <v>2840</v>
      </c>
      <c r="E89" s="329">
        <v>113</v>
      </c>
      <c r="F89" s="331">
        <f t="shared" si="2"/>
        <v>104.29900000000001</v>
      </c>
      <c r="G89" s="357"/>
      <c r="H89" s="357">
        <f t="shared" si="3"/>
        <v>104.29900000000001</v>
      </c>
      <c r="I89" s="358" t="s">
        <v>7508</v>
      </c>
    </row>
    <row r="90" spans="1:17" ht="30.6" x14ac:dyDescent="0.25">
      <c r="A90" s="312" t="s">
        <v>3570</v>
      </c>
      <c r="B90" s="325" t="s">
        <v>3571</v>
      </c>
      <c r="C90" s="312"/>
      <c r="D90" s="312" t="s">
        <v>2840</v>
      </c>
      <c r="E90" s="329">
        <v>116</v>
      </c>
      <c r="F90" s="331">
        <f t="shared" si="2"/>
        <v>107.06800000000001</v>
      </c>
      <c r="G90" s="357"/>
      <c r="H90" s="357">
        <f t="shared" si="3"/>
        <v>107.06800000000001</v>
      </c>
      <c r="I90" s="358" t="s">
        <v>7508</v>
      </c>
    </row>
    <row r="91" spans="1:17" ht="30.6" x14ac:dyDescent="0.25">
      <c r="A91" s="312" t="s">
        <v>3573</v>
      </c>
      <c r="B91" s="325" t="s">
        <v>3574</v>
      </c>
      <c r="C91" s="312"/>
      <c r="D91" s="312" t="s">
        <v>2840</v>
      </c>
      <c r="E91" s="329">
        <v>120</v>
      </c>
      <c r="F91" s="331">
        <f t="shared" si="2"/>
        <v>110.76</v>
      </c>
      <c r="G91" s="357"/>
      <c r="H91" s="357">
        <f t="shared" si="3"/>
        <v>110.76</v>
      </c>
      <c r="I91" s="358" t="s">
        <v>7508</v>
      </c>
    </row>
    <row r="92" spans="1:17" ht="30.6" x14ac:dyDescent="0.25">
      <c r="A92" s="312" t="s">
        <v>3576</v>
      </c>
      <c r="B92" s="325" t="s">
        <v>3577</v>
      </c>
      <c r="C92" s="312"/>
      <c r="D92" s="312" t="s">
        <v>2840</v>
      </c>
      <c r="E92" s="329">
        <v>136</v>
      </c>
      <c r="F92" s="331">
        <f t="shared" si="2"/>
        <v>125.52800000000001</v>
      </c>
      <c r="G92" s="357"/>
      <c r="H92" s="357">
        <f t="shared" si="3"/>
        <v>125.52800000000001</v>
      </c>
      <c r="I92" s="358" t="s">
        <v>7508</v>
      </c>
    </row>
    <row r="93" spans="1:17" ht="30.6" x14ac:dyDescent="0.25">
      <c r="A93" s="312" t="s">
        <v>3579</v>
      </c>
      <c r="B93" s="325" t="s">
        <v>3580</v>
      </c>
      <c r="C93" s="312"/>
      <c r="D93" s="312" t="s">
        <v>2840</v>
      </c>
      <c r="E93" s="329">
        <v>223</v>
      </c>
      <c r="F93" s="331">
        <f t="shared" si="2"/>
        <v>205.82900000000001</v>
      </c>
      <c r="G93" s="357"/>
      <c r="H93" s="357">
        <f t="shared" si="3"/>
        <v>205.82900000000001</v>
      </c>
      <c r="I93" s="358" t="s">
        <v>7508</v>
      </c>
    </row>
    <row r="94" spans="1:17" x14ac:dyDescent="0.25">
      <c r="A94" s="312" t="s">
        <v>3582</v>
      </c>
      <c r="B94" s="325" t="s">
        <v>3583</v>
      </c>
      <c r="C94" s="312"/>
      <c r="D94" s="312" t="s">
        <v>2840</v>
      </c>
      <c r="E94" s="329">
        <v>4.6749999999999998</v>
      </c>
      <c r="F94" s="331">
        <f t="shared" si="2"/>
        <v>4.3150250000000003</v>
      </c>
      <c r="G94" s="357"/>
      <c r="H94" s="357">
        <f t="shared" si="3"/>
        <v>4.3150250000000003</v>
      </c>
      <c r="I94" s="358" t="s">
        <v>7508</v>
      </c>
    </row>
    <row r="95" spans="1:17" x14ac:dyDescent="0.25">
      <c r="A95" s="312" t="s">
        <v>7588</v>
      </c>
      <c r="B95" s="325" t="s">
        <v>7589</v>
      </c>
      <c r="C95" s="312"/>
      <c r="D95" s="312" t="s">
        <v>2734</v>
      </c>
      <c r="E95" s="329">
        <v>124</v>
      </c>
      <c r="F95" s="331">
        <f t="shared" si="2"/>
        <v>114.452</v>
      </c>
      <c r="G95" s="357"/>
      <c r="H95" s="357">
        <f t="shared" si="3"/>
        <v>114.452</v>
      </c>
      <c r="I95" s="358" t="s">
        <v>7508</v>
      </c>
    </row>
    <row r="96" spans="1:17" s="360" customFormat="1" x14ac:dyDescent="0.25">
      <c r="A96" s="513" t="s">
        <v>7590</v>
      </c>
      <c r="B96" s="354" t="s">
        <v>7593</v>
      </c>
      <c r="C96" s="368"/>
      <c r="D96" s="355" t="s">
        <v>2377</v>
      </c>
      <c r="E96" s="355">
        <v>18.25</v>
      </c>
      <c r="F96" s="331">
        <f t="shared" si="2"/>
        <v>16.844750000000001</v>
      </c>
      <c r="H96" s="357">
        <f t="shared" si="3"/>
        <v>16.844750000000001</v>
      </c>
      <c r="I96" s="358" t="s">
        <v>7508</v>
      </c>
      <c r="J96" s="260"/>
      <c r="K96" s="260"/>
      <c r="L96" s="260"/>
      <c r="M96" s="260"/>
      <c r="N96" s="260"/>
      <c r="O96" s="260"/>
      <c r="P96" s="260"/>
      <c r="Q96" s="260"/>
    </row>
    <row r="97" spans="1:17" s="360" customFormat="1" x14ac:dyDescent="0.25">
      <c r="A97" s="513" t="s">
        <v>7591</v>
      </c>
      <c r="B97" s="354" t="s">
        <v>7592</v>
      </c>
      <c r="C97" s="368"/>
      <c r="D97" s="355" t="s">
        <v>2772</v>
      </c>
      <c r="E97" s="355">
        <v>25.5</v>
      </c>
      <c r="F97" s="331">
        <f t="shared" si="2"/>
        <v>23.5365</v>
      </c>
      <c r="H97" s="357">
        <f t="shared" si="3"/>
        <v>23.5365</v>
      </c>
      <c r="I97" s="358" t="s">
        <v>7508</v>
      </c>
      <c r="J97" s="260"/>
      <c r="K97" s="260"/>
      <c r="L97" s="260"/>
      <c r="M97" s="260"/>
      <c r="N97" s="260"/>
      <c r="O97" s="260"/>
      <c r="P97" s="260"/>
      <c r="Q97" s="260"/>
    </row>
    <row r="98" spans="1:17" s="360" customFormat="1" x14ac:dyDescent="0.25">
      <c r="A98" s="368"/>
      <c r="B98" s="354"/>
      <c r="C98" s="368"/>
      <c r="D98" s="355"/>
      <c r="E98" s="355"/>
      <c r="F98" s="357"/>
      <c r="H98" s="357">
        <f t="shared" si="3"/>
        <v>0</v>
      </c>
      <c r="I98" s="358"/>
      <c r="J98" s="260"/>
      <c r="K98" s="260"/>
      <c r="L98" s="260"/>
      <c r="M98" s="260"/>
      <c r="N98" s="260"/>
      <c r="O98" s="260"/>
      <c r="P98" s="260"/>
      <c r="Q98" s="260"/>
    </row>
    <row r="99" spans="1:17" s="360" customFormat="1" x14ac:dyDescent="0.25">
      <c r="A99" s="503">
        <v>310516100400</v>
      </c>
      <c r="B99" s="354" t="s">
        <v>7594</v>
      </c>
      <c r="C99" s="368">
        <v>4.7E-2</v>
      </c>
      <c r="D99" s="355" t="s">
        <v>2840</v>
      </c>
      <c r="E99" s="355">
        <v>47</v>
      </c>
      <c r="F99" s="357">
        <v>16.2</v>
      </c>
      <c r="H99" s="357">
        <f t="shared" si="3"/>
        <v>16.2</v>
      </c>
      <c r="I99" s="358" t="s">
        <v>7508</v>
      </c>
      <c r="J99" s="260"/>
      <c r="K99" s="260"/>
      <c r="L99" s="260"/>
      <c r="M99" s="260"/>
      <c r="N99" s="260"/>
      <c r="O99" s="260"/>
      <c r="P99" s="260"/>
      <c r="Q99" s="260"/>
    </row>
    <row r="100" spans="1:17" s="360" customFormat="1" ht="20.399999999999999" x14ac:dyDescent="0.25">
      <c r="A100" s="494" t="s">
        <v>3903</v>
      </c>
      <c r="B100" s="495" t="s">
        <v>3904</v>
      </c>
      <c r="C100" s="368">
        <v>4.7E-2</v>
      </c>
      <c r="D100" s="355" t="s">
        <v>2840</v>
      </c>
      <c r="E100" s="355">
        <v>23</v>
      </c>
      <c r="F100" s="492">
        <f t="shared" si="2"/>
        <v>21.228999999999999</v>
      </c>
      <c r="G100" s="357"/>
      <c r="H100" s="357">
        <f t="shared" si="3"/>
        <v>21.228999999999999</v>
      </c>
      <c r="I100" s="358" t="s">
        <v>7508</v>
      </c>
      <c r="J100" s="260"/>
      <c r="K100" s="260"/>
      <c r="L100" s="260"/>
      <c r="M100" s="260"/>
      <c r="N100" s="260"/>
      <c r="O100" s="260"/>
      <c r="P100" s="260"/>
      <c r="Q100" s="260"/>
    </row>
    <row r="101" spans="1:17" s="360" customFormat="1" x14ac:dyDescent="0.25">
      <c r="A101" s="368"/>
      <c r="B101" s="354" t="s">
        <v>4533</v>
      </c>
      <c r="C101" s="368"/>
      <c r="D101" s="355" t="s">
        <v>2840</v>
      </c>
      <c r="E101" s="355"/>
      <c r="F101" s="492">
        <v>9.25</v>
      </c>
      <c r="G101" s="357"/>
      <c r="H101" s="357">
        <f t="shared" si="3"/>
        <v>9.25</v>
      </c>
      <c r="I101" s="358" t="s">
        <v>4591</v>
      </c>
      <c r="J101" s="260"/>
      <c r="K101" s="260"/>
      <c r="L101" s="260"/>
      <c r="M101" s="260"/>
      <c r="N101" s="260"/>
      <c r="O101" s="260"/>
      <c r="P101" s="260"/>
      <c r="Q101" s="260"/>
    </row>
    <row r="102" spans="1:17" s="368" customFormat="1" ht="10.199999999999999" x14ac:dyDescent="0.2">
      <c r="A102" s="494"/>
      <c r="B102" s="495"/>
      <c r="C102" s="494"/>
      <c r="D102" s="494"/>
      <c r="E102" s="496"/>
      <c r="F102" s="492"/>
      <c r="G102" s="357"/>
      <c r="H102" s="357"/>
      <c r="I102" s="358"/>
      <c r="J102" s="373"/>
      <c r="K102" s="373"/>
      <c r="L102" s="373"/>
      <c r="M102" s="373"/>
      <c r="N102" s="373"/>
      <c r="O102" s="373"/>
      <c r="P102" s="373"/>
      <c r="Q102" s="373"/>
    </row>
    <row r="103" spans="1:17" s="368" customFormat="1" ht="10.199999999999999" x14ac:dyDescent="0.2">
      <c r="A103" s="494"/>
      <c r="B103" s="495"/>
      <c r="C103" s="494"/>
      <c r="D103" s="494"/>
      <c r="E103" s="496"/>
      <c r="F103" s="492">
        <f t="shared" si="2"/>
        <v>0</v>
      </c>
      <c r="G103" s="357"/>
      <c r="H103" s="357">
        <f t="shared" si="3"/>
        <v>0</v>
      </c>
      <c r="I103" s="358"/>
      <c r="J103" s="373"/>
      <c r="K103" s="373"/>
      <c r="L103" s="373"/>
      <c r="M103" s="373"/>
      <c r="N103" s="373"/>
      <c r="O103" s="373"/>
      <c r="P103" s="373"/>
      <c r="Q103" s="373"/>
    </row>
    <row r="104" spans="1:17" s="341" customFormat="1" ht="10.199999999999999" x14ac:dyDescent="0.2">
      <c r="A104" s="312"/>
      <c r="B104" s="325"/>
      <c r="C104" s="312"/>
      <c r="D104" s="312"/>
      <c r="E104" s="329"/>
      <c r="F104" s="331">
        <f t="shared" si="2"/>
        <v>0</v>
      </c>
      <c r="G104" s="357"/>
      <c r="H104" s="357">
        <f t="shared" si="3"/>
        <v>0</v>
      </c>
      <c r="I104" s="358"/>
      <c r="J104" s="373"/>
      <c r="K104" s="373"/>
      <c r="L104" s="373"/>
      <c r="M104" s="373"/>
      <c r="N104" s="373"/>
      <c r="O104" s="373"/>
      <c r="P104" s="373"/>
      <c r="Q104" s="373"/>
    </row>
    <row r="105" spans="1:17" x14ac:dyDescent="0.25">
      <c r="A105" s="382" t="s">
        <v>4719</v>
      </c>
      <c r="B105" s="382"/>
      <c r="C105" s="382"/>
      <c r="D105" s="382"/>
      <c r="E105" s="382"/>
      <c r="F105" s="331">
        <f t="shared" si="2"/>
        <v>0</v>
      </c>
      <c r="G105" s="382"/>
      <c r="H105" s="357">
        <f t="shared" si="3"/>
        <v>0</v>
      </c>
      <c r="I105" s="382"/>
    </row>
    <row r="106" spans="1:17" s="360" customFormat="1" x14ac:dyDescent="0.25">
      <c r="F106" s="331">
        <f t="shared" si="2"/>
        <v>0</v>
      </c>
      <c r="H106" s="357">
        <f t="shared" si="3"/>
        <v>0</v>
      </c>
      <c r="J106" s="260"/>
      <c r="K106" s="260"/>
      <c r="L106" s="260"/>
      <c r="M106" s="260"/>
      <c r="N106" s="260"/>
      <c r="O106" s="260"/>
      <c r="P106" s="260"/>
      <c r="Q106" s="260"/>
    </row>
    <row r="107" spans="1:17" s="341" customFormat="1" ht="10.199999999999999" x14ac:dyDescent="0.2">
      <c r="A107" s="368"/>
      <c r="B107" s="354" t="s">
        <v>4452</v>
      </c>
      <c r="C107" s="368"/>
      <c r="D107" s="355" t="s">
        <v>2241</v>
      </c>
      <c r="E107" s="355"/>
      <c r="F107" s="492">
        <f t="shared" si="2"/>
        <v>0</v>
      </c>
      <c r="G107" s="357">
        <v>45</v>
      </c>
      <c r="H107" s="357">
        <f t="shared" si="3"/>
        <v>45</v>
      </c>
      <c r="I107" s="358" t="s">
        <v>4553</v>
      </c>
      <c r="J107" s="373"/>
      <c r="K107" s="373"/>
      <c r="L107" s="373"/>
      <c r="M107" s="373"/>
      <c r="N107" s="373"/>
      <c r="O107" s="373"/>
      <c r="P107" s="373"/>
      <c r="Q107" s="373"/>
    </row>
    <row r="108" spans="1:17" s="341" customFormat="1" ht="10.199999999999999" x14ac:dyDescent="0.2">
      <c r="A108" s="368"/>
      <c r="B108" s="354" t="s">
        <v>4669</v>
      </c>
      <c r="C108" s="368"/>
      <c r="D108" s="355" t="s">
        <v>2376</v>
      </c>
      <c r="E108" s="355"/>
      <c r="F108" s="492">
        <f t="shared" si="2"/>
        <v>0</v>
      </c>
      <c r="G108" s="357">
        <v>10</v>
      </c>
      <c r="H108" s="357">
        <f t="shared" si="3"/>
        <v>10</v>
      </c>
      <c r="I108" s="358" t="s">
        <v>4554</v>
      </c>
      <c r="J108" s="373"/>
      <c r="K108" s="373"/>
      <c r="L108" s="373"/>
      <c r="M108" s="373"/>
      <c r="N108" s="373"/>
      <c r="O108" s="373"/>
      <c r="P108" s="373"/>
      <c r="Q108" s="373"/>
    </row>
    <row r="109" spans="1:17" s="341" customFormat="1" ht="10.199999999999999" x14ac:dyDescent="0.2">
      <c r="A109" s="368"/>
      <c r="B109" s="354" t="s">
        <v>4453</v>
      </c>
      <c r="C109" s="368"/>
      <c r="D109" s="355" t="s">
        <v>2241</v>
      </c>
      <c r="E109" s="355"/>
      <c r="F109" s="492">
        <f t="shared" si="2"/>
        <v>0</v>
      </c>
      <c r="G109" s="357">
        <v>30</v>
      </c>
      <c r="H109" s="357">
        <f t="shared" si="3"/>
        <v>30</v>
      </c>
      <c r="I109" s="358" t="s">
        <v>4553</v>
      </c>
      <c r="J109" s="373"/>
      <c r="K109" s="373"/>
      <c r="L109" s="373"/>
      <c r="M109" s="373"/>
      <c r="N109" s="373"/>
      <c r="O109" s="373"/>
      <c r="P109" s="373"/>
      <c r="Q109" s="373"/>
    </row>
    <row r="110" spans="1:17" s="341" customFormat="1" ht="10.199999999999999" x14ac:dyDescent="0.2">
      <c r="A110" s="368"/>
      <c r="B110" s="354" t="s">
        <v>4454</v>
      </c>
      <c r="C110" s="368"/>
      <c r="D110" s="355" t="s">
        <v>2241</v>
      </c>
      <c r="E110" s="355"/>
      <c r="F110" s="492">
        <f t="shared" si="2"/>
        <v>0</v>
      </c>
      <c r="G110" s="357">
        <v>43.6</v>
      </c>
      <c r="H110" s="357">
        <f t="shared" si="3"/>
        <v>43.6</v>
      </c>
      <c r="I110" s="358" t="s">
        <v>4553</v>
      </c>
      <c r="J110" s="373"/>
      <c r="K110" s="373"/>
      <c r="L110" s="373"/>
      <c r="M110" s="373"/>
      <c r="N110" s="373"/>
      <c r="O110" s="373"/>
      <c r="P110" s="373"/>
      <c r="Q110" s="373"/>
    </row>
    <row r="111" spans="1:17" s="341" customFormat="1" ht="10.199999999999999" x14ac:dyDescent="0.2">
      <c r="A111" s="368"/>
      <c r="B111" s="354" t="s">
        <v>4718</v>
      </c>
      <c r="C111" s="368"/>
      <c r="D111" s="355" t="s">
        <v>745</v>
      </c>
      <c r="E111" s="355"/>
      <c r="F111" s="492">
        <f t="shared" si="2"/>
        <v>0</v>
      </c>
      <c r="G111" s="357">
        <v>220</v>
      </c>
      <c r="H111" s="357">
        <f t="shared" si="3"/>
        <v>220</v>
      </c>
      <c r="I111" s="358" t="s">
        <v>4570</v>
      </c>
      <c r="J111" s="373"/>
      <c r="K111" s="373"/>
      <c r="L111" s="373"/>
      <c r="M111" s="373"/>
      <c r="N111" s="373"/>
      <c r="O111" s="373"/>
      <c r="P111" s="373"/>
      <c r="Q111" s="373"/>
    </row>
    <row r="112" spans="1:17" s="341" customFormat="1" ht="20.399999999999999" x14ac:dyDescent="0.2">
      <c r="A112" s="368" t="s">
        <v>7603</v>
      </c>
      <c r="B112" s="354" t="s">
        <v>7605</v>
      </c>
      <c r="C112" s="368"/>
      <c r="D112" s="355" t="s">
        <v>1802</v>
      </c>
      <c r="E112" s="355">
        <v>0.68</v>
      </c>
      <c r="F112" s="492">
        <f t="shared" si="2"/>
        <v>0.62764000000000009</v>
      </c>
      <c r="G112" s="357"/>
      <c r="H112" s="357">
        <f t="shared" si="3"/>
        <v>0.62764000000000009</v>
      </c>
      <c r="I112" s="358" t="s">
        <v>7508</v>
      </c>
      <c r="J112" s="373"/>
      <c r="K112" s="373"/>
      <c r="L112" s="373"/>
      <c r="M112" s="373"/>
      <c r="N112" s="373"/>
      <c r="O112" s="373"/>
      <c r="P112" s="373"/>
      <c r="Q112" s="373"/>
    </row>
    <row r="113" spans="1:17" s="341" customFormat="1" ht="20.399999999999999" x14ac:dyDescent="0.2">
      <c r="A113" s="368" t="s">
        <v>7604</v>
      </c>
      <c r="B113" s="354" t="s">
        <v>7606</v>
      </c>
      <c r="C113" s="368"/>
      <c r="D113" s="355" t="s">
        <v>1802</v>
      </c>
      <c r="E113" s="355">
        <v>2.0699999999999998</v>
      </c>
      <c r="F113" s="492">
        <f>E113*0.923</f>
        <v>1.9106099999999999</v>
      </c>
      <c r="G113" s="357"/>
      <c r="H113" s="357">
        <f>IF(G113&gt;0,G113,F113)</f>
        <v>1.9106099999999999</v>
      </c>
      <c r="I113" s="358" t="s">
        <v>7508</v>
      </c>
      <c r="J113" s="373"/>
      <c r="K113" s="373"/>
      <c r="L113" s="373"/>
      <c r="M113" s="373"/>
      <c r="N113" s="373"/>
      <c r="O113" s="373"/>
      <c r="P113" s="373"/>
      <c r="Q113" s="373"/>
    </row>
    <row r="114" spans="1:17" s="341" customFormat="1" ht="10.199999999999999" x14ac:dyDescent="0.2">
      <c r="A114" s="368"/>
      <c r="B114" s="354" t="s">
        <v>3151</v>
      </c>
      <c r="C114" s="368"/>
      <c r="D114" s="355" t="s">
        <v>2377</v>
      </c>
      <c r="E114" s="355"/>
      <c r="F114" s="492">
        <f t="shared" si="2"/>
        <v>0</v>
      </c>
      <c r="G114" s="357">
        <v>26</v>
      </c>
      <c r="H114" s="357">
        <f t="shared" si="3"/>
        <v>26</v>
      </c>
      <c r="I114" s="358" t="s">
        <v>4556</v>
      </c>
      <c r="J114" s="373"/>
      <c r="K114" s="373"/>
      <c r="L114" s="373"/>
      <c r="M114" s="373"/>
      <c r="N114" s="373"/>
      <c r="O114" s="373"/>
      <c r="P114" s="373"/>
      <c r="Q114" s="373"/>
    </row>
    <row r="115" spans="1:17" s="341" customFormat="1" ht="10.199999999999999" x14ac:dyDescent="0.2">
      <c r="A115" s="368"/>
      <c r="B115" s="354" t="s">
        <v>4671</v>
      </c>
      <c r="C115" s="368"/>
      <c r="D115" s="355" t="s">
        <v>2377</v>
      </c>
      <c r="E115" s="355"/>
      <c r="F115" s="492">
        <f t="shared" si="2"/>
        <v>0</v>
      </c>
      <c r="G115" s="357">
        <v>1380</v>
      </c>
      <c r="H115" s="357">
        <f t="shared" si="3"/>
        <v>1380</v>
      </c>
      <c r="I115" s="358" t="s">
        <v>4565</v>
      </c>
      <c r="J115" s="373"/>
      <c r="K115" s="373"/>
      <c r="L115" s="373"/>
      <c r="M115" s="373"/>
      <c r="N115" s="373"/>
      <c r="O115" s="373"/>
      <c r="P115" s="373"/>
      <c r="Q115" s="373"/>
    </row>
    <row r="116" spans="1:17" s="341" customFormat="1" ht="10.199999999999999" x14ac:dyDescent="0.2">
      <c r="A116" s="368"/>
      <c r="B116" s="354" t="s">
        <v>4672</v>
      </c>
      <c r="C116" s="368"/>
      <c r="D116" s="355" t="s">
        <v>2241</v>
      </c>
      <c r="E116" s="355"/>
      <c r="F116" s="492">
        <f t="shared" si="2"/>
        <v>0</v>
      </c>
      <c r="G116" s="357">
        <v>18.48</v>
      </c>
      <c r="H116" s="357">
        <f t="shared" si="3"/>
        <v>18.48</v>
      </c>
      <c r="I116" s="358" t="s">
        <v>4566</v>
      </c>
      <c r="J116" s="373"/>
      <c r="K116" s="373"/>
      <c r="L116" s="373"/>
      <c r="M116" s="373"/>
      <c r="N116" s="373"/>
      <c r="O116" s="373"/>
      <c r="P116" s="373"/>
      <c r="Q116" s="373"/>
    </row>
    <row r="117" spans="1:17" s="341" customFormat="1" ht="10.199999999999999" x14ac:dyDescent="0.2">
      <c r="A117" s="368"/>
      <c r="B117" s="354" t="s">
        <v>4465</v>
      </c>
      <c r="C117" s="368"/>
      <c r="D117" s="355" t="s">
        <v>2376</v>
      </c>
      <c r="E117" s="355"/>
      <c r="F117" s="492">
        <f t="shared" si="2"/>
        <v>0</v>
      </c>
      <c r="G117" s="357">
        <v>1306.8</v>
      </c>
      <c r="H117" s="357">
        <f t="shared" si="3"/>
        <v>1306.8</v>
      </c>
      <c r="I117" s="358" t="s">
        <v>4567</v>
      </c>
      <c r="J117" s="373"/>
      <c r="K117" s="373"/>
      <c r="L117" s="373"/>
      <c r="M117" s="373"/>
      <c r="N117" s="373"/>
      <c r="O117" s="373"/>
      <c r="P117" s="373"/>
      <c r="Q117" s="373"/>
    </row>
    <row r="118" spans="1:17" s="341" customFormat="1" ht="10.199999999999999" x14ac:dyDescent="0.2">
      <c r="A118" s="368"/>
      <c r="B118" s="354" t="s">
        <v>4466</v>
      </c>
      <c r="C118" s="368"/>
      <c r="D118" s="355" t="s">
        <v>4665</v>
      </c>
      <c r="E118" s="355"/>
      <c r="F118" s="492">
        <f t="shared" si="2"/>
        <v>0</v>
      </c>
      <c r="G118" s="357">
        <v>5</v>
      </c>
      <c r="H118" s="357">
        <f t="shared" si="3"/>
        <v>5</v>
      </c>
      <c r="I118" s="358" t="s">
        <v>4568</v>
      </c>
      <c r="J118" s="373"/>
      <c r="K118" s="373"/>
      <c r="L118" s="373"/>
      <c r="M118" s="373"/>
      <c r="N118" s="373"/>
      <c r="O118" s="373"/>
      <c r="P118" s="373"/>
      <c r="Q118" s="373"/>
    </row>
    <row r="119" spans="1:17" ht="20.399999999999999" x14ac:dyDescent="0.25">
      <c r="A119" s="368"/>
      <c r="B119" s="354" t="s">
        <v>4484</v>
      </c>
      <c r="C119" s="368"/>
      <c r="D119" s="355" t="s">
        <v>2376</v>
      </c>
      <c r="E119" s="355"/>
      <c r="F119" s="492">
        <f t="shared" si="2"/>
        <v>0</v>
      </c>
      <c r="G119" s="357">
        <v>1306.8</v>
      </c>
      <c r="H119" s="357">
        <f t="shared" si="3"/>
        <v>1306.8</v>
      </c>
      <c r="I119" s="358" t="s">
        <v>4578</v>
      </c>
    </row>
    <row r="120" spans="1:17" x14ac:dyDescent="0.25">
      <c r="A120" s="368"/>
      <c r="B120" s="354" t="s">
        <v>4485</v>
      </c>
      <c r="C120" s="368"/>
      <c r="D120" s="355" t="s">
        <v>745</v>
      </c>
      <c r="E120" s="355"/>
      <c r="F120" s="492">
        <f t="shared" si="2"/>
        <v>0</v>
      </c>
      <c r="G120" s="357">
        <v>4.3499999999999996</v>
      </c>
      <c r="H120" s="357">
        <f t="shared" si="3"/>
        <v>4.3499999999999996</v>
      </c>
      <c r="I120" s="358" t="s">
        <v>4574</v>
      </c>
    </row>
    <row r="121" spans="1:17" x14ac:dyDescent="0.25">
      <c r="A121" s="368"/>
      <c r="B121" s="354" t="s">
        <v>4486</v>
      </c>
      <c r="C121" s="368"/>
      <c r="D121" s="355" t="s">
        <v>745</v>
      </c>
      <c r="E121" s="355"/>
      <c r="F121" s="492">
        <f t="shared" si="2"/>
        <v>0</v>
      </c>
      <c r="G121" s="357">
        <v>0.6</v>
      </c>
      <c r="H121" s="357">
        <f t="shared" si="3"/>
        <v>0.6</v>
      </c>
      <c r="I121" s="358" t="s">
        <v>4579</v>
      </c>
    </row>
    <row r="122" spans="1:17" x14ac:dyDescent="0.25">
      <c r="A122" s="368"/>
      <c r="B122" s="354" t="s">
        <v>4487</v>
      </c>
      <c r="C122" s="368"/>
      <c r="D122" s="355" t="s">
        <v>745</v>
      </c>
      <c r="E122" s="355"/>
      <c r="F122" s="492">
        <f t="shared" si="2"/>
        <v>0</v>
      </c>
      <c r="G122" s="357">
        <v>0.9</v>
      </c>
      <c r="H122" s="357">
        <f t="shared" si="3"/>
        <v>0.9</v>
      </c>
      <c r="I122" s="358" t="s">
        <v>4579</v>
      </c>
    </row>
    <row r="123" spans="1:17" x14ac:dyDescent="0.25">
      <c r="A123" s="368"/>
      <c r="B123" s="354" t="s">
        <v>4488</v>
      </c>
      <c r="C123" s="368"/>
      <c r="D123" s="355" t="s">
        <v>745</v>
      </c>
      <c r="E123" s="355"/>
      <c r="F123" s="492">
        <f t="shared" si="2"/>
        <v>0</v>
      </c>
      <c r="G123" s="357">
        <v>16</v>
      </c>
      <c r="H123" s="357">
        <f t="shared" si="3"/>
        <v>16</v>
      </c>
      <c r="I123" s="358" t="s">
        <v>4569</v>
      </c>
    </row>
    <row r="124" spans="1:17" x14ac:dyDescent="0.25">
      <c r="A124" s="368"/>
      <c r="B124" s="354" t="s">
        <v>4489</v>
      </c>
      <c r="C124" s="368"/>
      <c r="D124" s="355" t="s">
        <v>745</v>
      </c>
      <c r="E124" s="355"/>
      <c r="F124" s="492">
        <f t="shared" si="2"/>
        <v>0</v>
      </c>
      <c r="G124" s="357">
        <v>12</v>
      </c>
      <c r="H124" s="357">
        <f t="shared" si="3"/>
        <v>12</v>
      </c>
      <c r="I124" s="358" t="s">
        <v>4569</v>
      </c>
    </row>
    <row r="125" spans="1:17" x14ac:dyDescent="0.25">
      <c r="A125" s="368"/>
      <c r="B125" s="354" t="s">
        <v>4490</v>
      </c>
      <c r="C125" s="368"/>
      <c r="D125" s="355" t="s">
        <v>7610</v>
      </c>
      <c r="E125" s="355"/>
      <c r="F125" s="492">
        <f t="shared" si="2"/>
        <v>0</v>
      </c>
      <c r="G125" s="357">
        <v>8.4</v>
      </c>
      <c r="H125" s="357">
        <f t="shared" si="3"/>
        <v>8.4</v>
      </c>
      <c r="I125" s="358" t="s">
        <v>4579</v>
      </c>
    </row>
    <row r="126" spans="1:17" x14ac:dyDescent="0.25">
      <c r="A126" s="368"/>
      <c r="B126" s="354" t="s">
        <v>4491</v>
      </c>
      <c r="C126" s="368"/>
      <c r="D126" s="355" t="s">
        <v>745</v>
      </c>
      <c r="E126" s="355"/>
      <c r="F126" s="492">
        <f t="shared" si="2"/>
        <v>0</v>
      </c>
      <c r="G126" s="357">
        <v>2.2000000000000002</v>
      </c>
      <c r="H126" s="357">
        <f t="shared" si="3"/>
        <v>2.2000000000000002</v>
      </c>
      <c r="I126" s="358" t="s">
        <v>4580</v>
      </c>
    </row>
    <row r="127" spans="1:17" x14ac:dyDescent="0.25">
      <c r="A127" s="368"/>
      <c r="B127" s="354" t="s">
        <v>4492</v>
      </c>
      <c r="C127" s="368"/>
      <c r="D127" s="355" t="s">
        <v>745</v>
      </c>
      <c r="E127" s="355"/>
      <c r="F127" s="492">
        <f t="shared" si="2"/>
        <v>0</v>
      </c>
      <c r="G127" s="357">
        <v>4.7</v>
      </c>
      <c r="H127" s="357">
        <f t="shared" si="3"/>
        <v>4.7</v>
      </c>
      <c r="I127" s="358" t="s">
        <v>4580</v>
      </c>
    </row>
    <row r="128" spans="1:17" ht="20.399999999999999" x14ac:dyDescent="0.25">
      <c r="A128" s="368" t="s">
        <v>7607</v>
      </c>
      <c r="B128" s="354" t="s">
        <v>7608</v>
      </c>
      <c r="C128" s="368"/>
      <c r="D128" s="355" t="s">
        <v>1802</v>
      </c>
      <c r="E128" s="355">
        <v>0.51</v>
      </c>
      <c r="F128" s="492">
        <f t="shared" ref="F128:F179" si="4">E128*0.923</f>
        <v>0.47073000000000004</v>
      </c>
      <c r="G128" s="357"/>
      <c r="H128" s="357">
        <f t="shared" ref="H128:H191" si="5">IF(G128&gt;0,G128,F128)</f>
        <v>0.47073000000000004</v>
      </c>
      <c r="I128" s="358" t="s">
        <v>7508</v>
      </c>
    </row>
    <row r="129" spans="1:17" x14ac:dyDescent="0.25">
      <c r="A129" s="368"/>
      <c r="B129" s="354" t="s">
        <v>4493</v>
      </c>
      <c r="C129" s="368"/>
      <c r="D129" s="355" t="s">
        <v>745</v>
      </c>
      <c r="E129" s="355"/>
      <c r="F129" s="492">
        <f t="shared" si="4"/>
        <v>0</v>
      </c>
      <c r="G129" s="357">
        <v>0.6</v>
      </c>
      <c r="H129" s="357">
        <f t="shared" si="5"/>
        <v>0.6</v>
      </c>
      <c r="I129" s="358" t="s">
        <v>4579</v>
      </c>
    </row>
    <row r="130" spans="1:17" x14ac:dyDescent="0.25">
      <c r="A130" s="368"/>
      <c r="B130" s="354" t="s">
        <v>4494</v>
      </c>
      <c r="C130" s="368"/>
      <c r="D130" s="355" t="s">
        <v>745</v>
      </c>
      <c r="E130" s="355"/>
      <c r="F130" s="492">
        <f t="shared" si="4"/>
        <v>0</v>
      </c>
      <c r="G130" s="357">
        <v>4.3499999999999996</v>
      </c>
      <c r="H130" s="357">
        <f t="shared" si="5"/>
        <v>4.3499999999999996</v>
      </c>
      <c r="I130" s="358" t="s">
        <v>4579</v>
      </c>
    </row>
    <row r="131" spans="1:17" x14ac:dyDescent="0.25">
      <c r="A131" s="368"/>
      <c r="B131" s="354" t="s">
        <v>1459</v>
      </c>
      <c r="C131" s="368"/>
      <c r="D131" s="355" t="s">
        <v>745</v>
      </c>
      <c r="E131" s="355"/>
      <c r="F131" s="492">
        <f t="shared" si="4"/>
        <v>0</v>
      </c>
      <c r="G131" s="357">
        <v>1.2</v>
      </c>
      <c r="H131" s="357">
        <f t="shared" si="5"/>
        <v>1.2</v>
      </c>
      <c r="I131" s="358" t="s">
        <v>4579</v>
      </c>
    </row>
    <row r="132" spans="1:17" x14ac:dyDescent="0.25">
      <c r="A132" s="368"/>
      <c r="B132" s="514" t="s">
        <v>4495</v>
      </c>
      <c r="C132" s="368"/>
      <c r="D132" s="355" t="s">
        <v>745</v>
      </c>
      <c r="E132" s="515"/>
      <c r="F132" s="492">
        <f t="shared" si="4"/>
        <v>0</v>
      </c>
      <c r="G132" s="357">
        <v>2</v>
      </c>
      <c r="H132" s="357">
        <f t="shared" si="5"/>
        <v>2</v>
      </c>
      <c r="I132" s="358" t="s">
        <v>4579</v>
      </c>
    </row>
    <row r="133" spans="1:17" x14ac:dyDescent="0.25">
      <c r="A133" s="368"/>
      <c r="B133" s="354" t="s">
        <v>3074</v>
      </c>
      <c r="C133" s="368"/>
      <c r="D133" s="355" t="s">
        <v>745</v>
      </c>
      <c r="E133" s="355"/>
      <c r="F133" s="492">
        <f t="shared" si="4"/>
        <v>0</v>
      </c>
      <c r="G133" s="357">
        <v>9</v>
      </c>
      <c r="H133" s="357">
        <f t="shared" si="5"/>
        <v>9</v>
      </c>
      <c r="I133" s="358" t="s">
        <v>4569</v>
      </c>
    </row>
    <row r="134" spans="1:17" x14ac:dyDescent="0.25">
      <c r="A134" s="368"/>
      <c r="B134" s="354" t="s">
        <v>595</v>
      </c>
      <c r="C134" s="368"/>
      <c r="D134" s="355" t="s">
        <v>745</v>
      </c>
      <c r="E134" s="355"/>
      <c r="F134" s="492">
        <f t="shared" si="4"/>
        <v>0</v>
      </c>
      <c r="G134" s="357">
        <v>1.99</v>
      </c>
      <c r="H134" s="357">
        <f t="shared" si="5"/>
        <v>1.99</v>
      </c>
      <c r="I134" s="358" t="s">
        <v>4579</v>
      </c>
    </row>
    <row r="135" spans="1:17" x14ac:dyDescent="0.25">
      <c r="A135" s="368"/>
      <c r="B135" s="354" t="s">
        <v>4496</v>
      </c>
      <c r="C135" s="368"/>
      <c r="D135" s="355" t="s">
        <v>745</v>
      </c>
      <c r="E135" s="355"/>
      <c r="F135" s="492">
        <f t="shared" si="4"/>
        <v>0</v>
      </c>
      <c r="G135" s="357">
        <v>19</v>
      </c>
      <c r="H135" s="357">
        <f t="shared" si="5"/>
        <v>19</v>
      </c>
      <c r="I135" s="358" t="s">
        <v>4569</v>
      </c>
    </row>
    <row r="136" spans="1:17" ht="31.2" x14ac:dyDescent="0.25">
      <c r="A136" s="368"/>
      <c r="B136" s="354" t="s">
        <v>4497</v>
      </c>
      <c r="C136" s="368"/>
      <c r="D136" s="355" t="s">
        <v>745</v>
      </c>
      <c r="E136" s="355"/>
      <c r="F136" s="492">
        <f t="shared" si="4"/>
        <v>0</v>
      </c>
      <c r="G136" s="357">
        <v>2</v>
      </c>
      <c r="H136" s="357">
        <f t="shared" si="5"/>
        <v>2</v>
      </c>
      <c r="I136" s="358" t="s">
        <v>4564</v>
      </c>
    </row>
    <row r="137" spans="1:17" x14ac:dyDescent="0.25">
      <c r="A137" s="368"/>
      <c r="B137" s="354" t="s">
        <v>4498</v>
      </c>
      <c r="C137" s="368"/>
      <c r="D137" s="355" t="s">
        <v>745</v>
      </c>
      <c r="E137" s="516"/>
      <c r="F137" s="492">
        <f t="shared" si="4"/>
        <v>0</v>
      </c>
      <c r="G137" s="357">
        <v>29</v>
      </c>
      <c r="H137" s="357">
        <f t="shared" si="5"/>
        <v>29</v>
      </c>
      <c r="I137" s="358" t="s">
        <v>4569</v>
      </c>
    </row>
    <row r="138" spans="1:17" x14ac:dyDescent="0.25">
      <c r="A138" s="368"/>
      <c r="B138" s="354" t="s">
        <v>4499</v>
      </c>
      <c r="C138" s="368"/>
      <c r="D138" s="355" t="s">
        <v>745</v>
      </c>
      <c r="E138" s="355"/>
      <c r="F138" s="492">
        <f t="shared" si="4"/>
        <v>0</v>
      </c>
      <c r="G138" s="357"/>
      <c r="H138" s="357">
        <f t="shared" si="5"/>
        <v>0</v>
      </c>
      <c r="I138" s="358"/>
    </row>
    <row r="139" spans="1:17" x14ac:dyDescent="0.25">
      <c r="A139" s="368"/>
      <c r="B139" s="354" t="s">
        <v>4500</v>
      </c>
      <c r="C139" s="368"/>
      <c r="D139" s="355" t="s">
        <v>745</v>
      </c>
      <c r="E139" s="355"/>
      <c r="F139" s="492">
        <f t="shared" si="4"/>
        <v>0</v>
      </c>
      <c r="G139" s="357">
        <v>4.3499999999999996</v>
      </c>
      <c r="H139" s="357">
        <f t="shared" si="5"/>
        <v>4.3499999999999996</v>
      </c>
      <c r="I139" s="358" t="s">
        <v>4579</v>
      </c>
    </row>
    <row r="140" spans="1:17" s="341" customFormat="1" ht="10.199999999999999" x14ac:dyDescent="0.2">
      <c r="A140" s="368"/>
      <c r="B140" s="354" t="s">
        <v>4705</v>
      </c>
      <c r="C140" s="368"/>
      <c r="D140" s="355" t="s">
        <v>745</v>
      </c>
      <c r="E140" s="355"/>
      <c r="F140" s="492">
        <f t="shared" si="4"/>
        <v>0</v>
      </c>
      <c r="G140" s="357">
        <v>5.85</v>
      </c>
      <c r="H140" s="357">
        <f t="shared" si="5"/>
        <v>5.85</v>
      </c>
      <c r="I140" s="358" t="s">
        <v>4563</v>
      </c>
      <c r="J140" s="373"/>
      <c r="K140" s="373"/>
      <c r="L140" s="373"/>
      <c r="M140" s="373"/>
      <c r="N140" s="373"/>
      <c r="O140" s="373"/>
      <c r="P140" s="373"/>
      <c r="Q140" s="373"/>
    </row>
    <row r="141" spans="1:17" s="341" customFormat="1" ht="30.6" x14ac:dyDescent="0.2">
      <c r="A141" s="368"/>
      <c r="B141" s="354" t="s">
        <v>4501</v>
      </c>
      <c r="C141" s="368"/>
      <c r="D141" s="355" t="s">
        <v>745</v>
      </c>
      <c r="E141" s="355"/>
      <c r="F141" s="492">
        <f t="shared" si="4"/>
        <v>0</v>
      </c>
      <c r="G141" s="357">
        <v>2.6</v>
      </c>
      <c r="H141" s="357">
        <f t="shared" si="5"/>
        <v>2.6</v>
      </c>
      <c r="I141" s="358" t="s">
        <v>4706</v>
      </c>
      <c r="J141" s="373"/>
      <c r="K141" s="373"/>
      <c r="L141" s="373"/>
      <c r="M141" s="373"/>
      <c r="N141" s="373"/>
      <c r="O141" s="373"/>
      <c r="P141" s="373"/>
      <c r="Q141" s="373"/>
    </row>
    <row r="142" spans="1:17" s="341" customFormat="1" ht="10.199999999999999" x14ac:dyDescent="0.2">
      <c r="A142" s="368"/>
      <c r="B142" s="354" t="s">
        <v>4693</v>
      </c>
      <c r="C142" s="368"/>
      <c r="D142" s="355" t="s">
        <v>745</v>
      </c>
      <c r="E142" s="355"/>
      <c r="F142" s="492">
        <f t="shared" si="4"/>
        <v>0</v>
      </c>
      <c r="G142" s="357">
        <v>0.9</v>
      </c>
      <c r="H142" s="357">
        <f t="shared" si="5"/>
        <v>0.9</v>
      </c>
      <c r="I142" s="358" t="s">
        <v>4563</v>
      </c>
      <c r="J142" s="373"/>
      <c r="K142" s="373"/>
      <c r="L142" s="373"/>
      <c r="M142" s="373"/>
      <c r="N142" s="373"/>
      <c r="O142" s="373"/>
      <c r="P142" s="373"/>
      <c r="Q142" s="373"/>
    </row>
    <row r="143" spans="1:17" s="341" customFormat="1" ht="10.199999999999999" x14ac:dyDescent="0.2">
      <c r="A143" s="368"/>
      <c r="B143" s="354" t="s">
        <v>4694</v>
      </c>
      <c r="C143" s="368"/>
      <c r="D143" s="355" t="s">
        <v>745</v>
      </c>
      <c r="E143" s="355"/>
      <c r="F143" s="492">
        <f t="shared" si="4"/>
        <v>0</v>
      </c>
      <c r="G143" s="357">
        <v>1.99</v>
      </c>
      <c r="H143" s="357">
        <f t="shared" si="5"/>
        <v>1.99</v>
      </c>
      <c r="I143" s="358" t="s">
        <v>4563</v>
      </c>
      <c r="J143" s="373"/>
      <c r="K143" s="373"/>
      <c r="L143" s="373"/>
      <c r="M143" s="373"/>
      <c r="N143" s="373"/>
      <c r="O143" s="373"/>
      <c r="P143" s="373"/>
      <c r="Q143" s="373"/>
    </row>
    <row r="144" spans="1:17" s="341" customFormat="1" ht="30.6" x14ac:dyDescent="0.2">
      <c r="A144" s="368"/>
      <c r="B144" s="354" t="s">
        <v>4695</v>
      </c>
      <c r="C144" s="368"/>
      <c r="D144" s="355" t="s">
        <v>745</v>
      </c>
      <c r="E144" s="355"/>
      <c r="F144" s="492">
        <f t="shared" si="4"/>
        <v>0</v>
      </c>
      <c r="G144" s="357">
        <v>2.2000000000000002</v>
      </c>
      <c r="H144" s="357">
        <f t="shared" si="5"/>
        <v>2.2000000000000002</v>
      </c>
      <c r="I144" s="358" t="s">
        <v>4564</v>
      </c>
      <c r="J144" s="373"/>
      <c r="K144" s="373"/>
      <c r="L144" s="373"/>
      <c r="M144" s="373"/>
      <c r="N144" s="373"/>
      <c r="O144" s="373"/>
      <c r="P144" s="373"/>
      <c r="Q144" s="373"/>
    </row>
    <row r="145" spans="1:17" s="341" customFormat="1" ht="30.6" x14ac:dyDescent="0.2">
      <c r="A145" s="368"/>
      <c r="B145" s="354" t="s">
        <v>4696</v>
      </c>
      <c r="C145" s="368"/>
      <c r="D145" s="355" t="s">
        <v>745</v>
      </c>
      <c r="E145" s="355"/>
      <c r="F145" s="492">
        <f t="shared" si="4"/>
        <v>0</v>
      </c>
      <c r="G145" s="357">
        <v>4.7</v>
      </c>
      <c r="H145" s="357">
        <f t="shared" si="5"/>
        <v>4.7</v>
      </c>
      <c r="I145" s="358" t="s">
        <v>4564</v>
      </c>
      <c r="J145" s="373"/>
      <c r="K145" s="373"/>
      <c r="L145" s="373"/>
      <c r="M145" s="373"/>
      <c r="N145" s="373"/>
      <c r="O145" s="373"/>
      <c r="P145" s="373"/>
      <c r="Q145" s="373"/>
    </row>
    <row r="146" spans="1:17" s="341" customFormat="1" ht="10.199999999999999" x14ac:dyDescent="0.2">
      <c r="A146" s="368"/>
      <c r="B146" s="354" t="s">
        <v>4697</v>
      </c>
      <c r="C146" s="368"/>
      <c r="D146" s="355" t="s">
        <v>745</v>
      </c>
      <c r="E146" s="355"/>
      <c r="F146" s="492">
        <f t="shared" si="4"/>
        <v>0</v>
      </c>
      <c r="G146" s="357">
        <v>0.9</v>
      </c>
      <c r="H146" s="357">
        <f t="shared" si="5"/>
        <v>0.9</v>
      </c>
      <c r="I146" s="358" t="s">
        <v>4563</v>
      </c>
      <c r="J146" s="373"/>
      <c r="K146" s="373"/>
      <c r="L146" s="373"/>
      <c r="M146" s="373"/>
      <c r="N146" s="373"/>
      <c r="O146" s="373"/>
      <c r="P146" s="373"/>
      <c r="Q146" s="373"/>
    </row>
    <row r="147" spans="1:17" s="341" customFormat="1" ht="30.6" x14ac:dyDescent="0.2">
      <c r="A147" s="368"/>
      <c r="B147" s="514" t="s">
        <v>4698</v>
      </c>
      <c r="C147" s="368"/>
      <c r="D147" s="355" t="s">
        <v>745</v>
      </c>
      <c r="E147" s="515"/>
      <c r="F147" s="492">
        <f t="shared" si="4"/>
        <v>0</v>
      </c>
      <c r="G147" s="357">
        <v>2.5</v>
      </c>
      <c r="H147" s="357">
        <f t="shared" si="5"/>
        <v>2.5</v>
      </c>
      <c r="I147" s="358" t="s">
        <v>4564</v>
      </c>
      <c r="J147" s="373"/>
      <c r="K147" s="373"/>
      <c r="L147" s="373"/>
      <c r="M147" s="373"/>
      <c r="N147" s="373"/>
      <c r="O147" s="373"/>
      <c r="P147" s="373"/>
      <c r="Q147" s="373"/>
    </row>
    <row r="148" spans="1:17" s="341" customFormat="1" ht="30.6" x14ac:dyDescent="0.2">
      <c r="A148" s="368"/>
      <c r="B148" s="354" t="s">
        <v>4699</v>
      </c>
      <c r="C148" s="368"/>
      <c r="D148" s="355" t="s">
        <v>745</v>
      </c>
      <c r="E148" s="355"/>
      <c r="F148" s="492">
        <f t="shared" si="4"/>
        <v>0</v>
      </c>
      <c r="G148" s="357">
        <v>4.5999999999999996</v>
      </c>
      <c r="H148" s="357">
        <f t="shared" si="5"/>
        <v>4.5999999999999996</v>
      </c>
      <c r="I148" s="358" t="s">
        <v>4564</v>
      </c>
      <c r="J148" s="373"/>
      <c r="K148" s="373"/>
      <c r="L148" s="373"/>
      <c r="M148" s="373"/>
      <c r="N148" s="373"/>
      <c r="O148" s="373"/>
      <c r="P148" s="373"/>
      <c r="Q148" s="373"/>
    </row>
    <row r="149" spans="1:17" x14ac:dyDescent="0.25">
      <c r="A149" s="368"/>
      <c r="B149" s="354" t="s">
        <v>4502</v>
      </c>
      <c r="C149" s="368"/>
      <c r="D149" s="355" t="s">
        <v>2953</v>
      </c>
      <c r="E149" s="355"/>
      <c r="F149" s="492">
        <f t="shared" si="4"/>
        <v>0</v>
      </c>
      <c r="G149" s="357">
        <v>8.6</v>
      </c>
      <c r="H149" s="357">
        <f t="shared" si="5"/>
        <v>8.6</v>
      </c>
      <c r="I149" s="358" t="s">
        <v>4563</v>
      </c>
    </row>
    <row r="150" spans="1:17" s="341" customFormat="1" ht="30.6" x14ac:dyDescent="0.2">
      <c r="A150" s="368"/>
      <c r="B150" s="354" t="s">
        <v>4700</v>
      </c>
      <c r="C150" s="368"/>
      <c r="D150" s="355" t="s">
        <v>745</v>
      </c>
      <c r="E150" s="355"/>
      <c r="F150" s="492">
        <f t="shared" si="4"/>
        <v>0</v>
      </c>
      <c r="G150" s="357">
        <v>6</v>
      </c>
      <c r="H150" s="357">
        <f t="shared" si="5"/>
        <v>6</v>
      </c>
      <c r="I150" s="358" t="s">
        <v>4564</v>
      </c>
      <c r="J150" s="373"/>
      <c r="K150" s="373"/>
      <c r="L150" s="373"/>
      <c r="M150" s="373"/>
      <c r="N150" s="373"/>
      <c r="O150" s="373"/>
      <c r="P150" s="373"/>
      <c r="Q150" s="373"/>
    </row>
    <row r="151" spans="1:17" s="341" customFormat="1" ht="30.6" x14ac:dyDescent="0.2">
      <c r="A151" s="368"/>
      <c r="B151" s="354" t="s">
        <v>4701</v>
      </c>
      <c r="C151" s="368"/>
      <c r="D151" s="355" t="s">
        <v>745</v>
      </c>
      <c r="E151" s="355"/>
      <c r="F151" s="492">
        <f t="shared" si="4"/>
        <v>0</v>
      </c>
      <c r="G151" s="357">
        <v>2.5</v>
      </c>
      <c r="H151" s="357">
        <f t="shared" si="5"/>
        <v>2.5</v>
      </c>
      <c r="I151" s="358" t="s">
        <v>4564</v>
      </c>
      <c r="J151" s="373"/>
      <c r="K151" s="373"/>
      <c r="L151" s="373"/>
      <c r="M151" s="373"/>
      <c r="N151" s="373"/>
      <c r="O151" s="373"/>
      <c r="P151" s="373"/>
      <c r="Q151" s="373"/>
    </row>
    <row r="152" spans="1:17" s="341" customFormat="1" ht="10.199999999999999" x14ac:dyDescent="0.2">
      <c r="A152" s="368"/>
      <c r="B152" s="354" t="s">
        <v>4702</v>
      </c>
      <c r="C152" s="368"/>
      <c r="D152" s="355" t="s">
        <v>2953</v>
      </c>
      <c r="E152" s="355"/>
      <c r="F152" s="492">
        <f t="shared" si="4"/>
        <v>0</v>
      </c>
      <c r="G152" s="357">
        <v>2.2000000000000002</v>
      </c>
      <c r="H152" s="357">
        <f t="shared" si="5"/>
        <v>2.2000000000000002</v>
      </c>
      <c r="I152" s="358" t="s">
        <v>4563</v>
      </c>
      <c r="J152" s="373"/>
      <c r="K152" s="373"/>
      <c r="L152" s="373"/>
      <c r="M152" s="373"/>
      <c r="N152" s="373"/>
      <c r="O152" s="373"/>
      <c r="P152" s="373"/>
      <c r="Q152" s="373"/>
    </row>
    <row r="153" spans="1:17" s="341" customFormat="1" ht="10.199999999999999" x14ac:dyDescent="0.2">
      <c r="A153" s="368"/>
      <c r="B153" s="354" t="s">
        <v>4703</v>
      </c>
      <c r="C153" s="368"/>
      <c r="D153" s="355" t="s">
        <v>745</v>
      </c>
      <c r="E153" s="355"/>
      <c r="F153" s="492">
        <f t="shared" si="4"/>
        <v>0</v>
      </c>
      <c r="G153" s="357">
        <v>0.9</v>
      </c>
      <c r="H153" s="357">
        <f t="shared" si="5"/>
        <v>0.9</v>
      </c>
      <c r="I153" s="358" t="s">
        <v>4563</v>
      </c>
      <c r="J153" s="373"/>
      <c r="K153" s="373"/>
      <c r="L153" s="373"/>
      <c r="M153" s="373"/>
      <c r="N153" s="373"/>
      <c r="O153" s="373"/>
      <c r="P153" s="373"/>
      <c r="Q153" s="373"/>
    </row>
    <row r="154" spans="1:17" s="341" customFormat="1" ht="10.199999999999999" x14ac:dyDescent="0.2">
      <c r="A154" s="368"/>
      <c r="B154" s="354" t="s">
        <v>4704</v>
      </c>
      <c r="C154" s="368"/>
      <c r="D154" s="355" t="s">
        <v>745</v>
      </c>
      <c r="E154" s="355"/>
      <c r="F154" s="492">
        <f t="shared" si="4"/>
        <v>0</v>
      </c>
      <c r="G154" s="357">
        <v>9.94</v>
      </c>
      <c r="H154" s="357">
        <f t="shared" si="5"/>
        <v>9.94</v>
      </c>
      <c r="I154" s="358" t="s">
        <v>4569</v>
      </c>
      <c r="J154" s="373"/>
      <c r="K154" s="373"/>
      <c r="L154" s="373"/>
      <c r="M154" s="373"/>
      <c r="N154" s="373"/>
      <c r="O154" s="373"/>
      <c r="P154" s="373"/>
      <c r="Q154" s="373"/>
    </row>
    <row r="155" spans="1:17" x14ac:dyDescent="0.25">
      <c r="A155" s="368"/>
      <c r="B155" s="354" t="s">
        <v>4503</v>
      </c>
      <c r="C155" s="368"/>
      <c r="D155" s="355" t="s">
        <v>2953</v>
      </c>
      <c r="E155" s="355"/>
      <c r="F155" s="492">
        <f t="shared" si="4"/>
        <v>0</v>
      </c>
      <c r="G155" s="357">
        <v>15.75</v>
      </c>
      <c r="H155" s="357">
        <f t="shared" si="5"/>
        <v>15.75</v>
      </c>
      <c r="I155" s="358" t="s">
        <v>4563</v>
      </c>
    </row>
    <row r="156" spans="1:17" x14ac:dyDescent="0.25">
      <c r="A156" s="368"/>
      <c r="B156" s="354" t="s">
        <v>4504</v>
      </c>
      <c r="C156" s="368"/>
      <c r="D156" s="355" t="s">
        <v>2953</v>
      </c>
      <c r="E156" s="355"/>
      <c r="F156" s="492">
        <f t="shared" si="4"/>
        <v>0</v>
      </c>
      <c r="G156" s="357">
        <v>13.5</v>
      </c>
      <c r="H156" s="357">
        <f t="shared" si="5"/>
        <v>13.5</v>
      </c>
      <c r="I156" s="358" t="s">
        <v>4563</v>
      </c>
    </row>
    <row r="157" spans="1:17" x14ac:dyDescent="0.25">
      <c r="A157" s="368"/>
      <c r="B157" s="354" t="s">
        <v>4715</v>
      </c>
      <c r="C157" s="368"/>
      <c r="D157" s="355" t="s">
        <v>745</v>
      </c>
      <c r="E157" s="355"/>
      <c r="F157" s="492">
        <f t="shared" si="4"/>
        <v>0</v>
      </c>
      <c r="G157" s="357">
        <v>0.9</v>
      </c>
      <c r="H157" s="357">
        <f t="shared" si="5"/>
        <v>0.9</v>
      </c>
      <c r="I157" s="358" t="s">
        <v>4574</v>
      </c>
    </row>
    <row r="158" spans="1:17" x14ac:dyDescent="0.25">
      <c r="A158" s="368"/>
      <c r="B158" s="354" t="s">
        <v>3168</v>
      </c>
      <c r="C158" s="368"/>
      <c r="D158" s="355" t="s">
        <v>2953</v>
      </c>
      <c r="E158" s="355"/>
      <c r="F158" s="492">
        <f t="shared" si="4"/>
        <v>0</v>
      </c>
      <c r="G158" s="357">
        <v>0.2</v>
      </c>
      <c r="H158" s="357">
        <f t="shared" si="5"/>
        <v>0.2</v>
      </c>
      <c r="I158" s="358" t="s">
        <v>4579</v>
      </c>
    </row>
    <row r="159" spans="1:17" x14ac:dyDescent="0.25">
      <c r="A159" s="368"/>
      <c r="B159" s="354" t="s">
        <v>4505</v>
      </c>
      <c r="C159" s="368"/>
      <c r="D159" s="355" t="s">
        <v>745</v>
      </c>
      <c r="E159" s="355"/>
      <c r="F159" s="492">
        <f t="shared" si="4"/>
        <v>0</v>
      </c>
      <c r="G159" s="357">
        <v>0.36</v>
      </c>
      <c r="H159" s="357">
        <f t="shared" si="5"/>
        <v>0.36</v>
      </c>
      <c r="I159" s="358" t="s">
        <v>4579</v>
      </c>
    </row>
    <row r="160" spans="1:17" x14ac:dyDescent="0.25">
      <c r="A160" s="368"/>
      <c r="B160" s="354" t="s">
        <v>1505</v>
      </c>
      <c r="C160" s="368"/>
      <c r="D160" s="355" t="s">
        <v>745</v>
      </c>
      <c r="E160" s="355"/>
      <c r="F160" s="492">
        <f t="shared" si="4"/>
        <v>0</v>
      </c>
      <c r="G160" s="357">
        <v>11</v>
      </c>
      <c r="H160" s="357">
        <f t="shared" si="5"/>
        <v>11</v>
      </c>
      <c r="I160" s="358" t="s">
        <v>4569</v>
      </c>
    </row>
    <row r="161" spans="1:9" x14ac:dyDescent="0.25">
      <c r="A161" s="368"/>
      <c r="B161" s="354" t="s">
        <v>4506</v>
      </c>
      <c r="C161" s="368"/>
      <c r="D161" s="355" t="s">
        <v>745</v>
      </c>
      <c r="E161" s="355"/>
      <c r="F161" s="492">
        <f t="shared" si="4"/>
        <v>0</v>
      </c>
      <c r="G161" s="357">
        <v>200</v>
      </c>
      <c r="H161" s="357">
        <f t="shared" si="5"/>
        <v>200</v>
      </c>
      <c r="I161" s="358" t="s">
        <v>4569</v>
      </c>
    </row>
    <row r="162" spans="1:9" x14ac:dyDescent="0.25">
      <c r="A162" s="368"/>
      <c r="B162" s="354" t="s">
        <v>2034</v>
      </c>
      <c r="C162" s="368"/>
      <c r="D162" s="355" t="s">
        <v>745</v>
      </c>
      <c r="E162" s="355"/>
      <c r="F162" s="492">
        <f t="shared" si="4"/>
        <v>0</v>
      </c>
      <c r="G162" s="357">
        <v>10</v>
      </c>
      <c r="H162" s="357">
        <f t="shared" si="5"/>
        <v>10</v>
      </c>
      <c r="I162" s="358" t="s">
        <v>4569</v>
      </c>
    </row>
    <row r="163" spans="1:9" x14ac:dyDescent="0.25">
      <c r="A163" s="368"/>
      <c r="B163" s="354" t="s">
        <v>4507</v>
      </c>
      <c r="C163" s="368"/>
      <c r="D163" s="355" t="s">
        <v>745</v>
      </c>
      <c r="E163" s="355"/>
      <c r="F163" s="492">
        <f t="shared" si="4"/>
        <v>0</v>
      </c>
      <c r="G163" s="357">
        <v>100</v>
      </c>
      <c r="H163" s="357">
        <f t="shared" si="5"/>
        <v>100</v>
      </c>
      <c r="I163" s="358" t="s">
        <v>4569</v>
      </c>
    </row>
    <row r="164" spans="1:9" x14ac:dyDescent="0.25">
      <c r="A164" s="368"/>
      <c r="B164" s="354" t="s">
        <v>4508</v>
      </c>
      <c r="C164" s="368"/>
      <c r="D164" s="355" t="s">
        <v>745</v>
      </c>
      <c r="E164" s="355"/>
      <c r="F164" s="492">
        <f t="shared" si="4"/>
        <v>0</v>
      </c>
      <c r="G164" s="357">
        <v>17</v>
      </c>
      <c r="H164" s="357">
        <f t="shared" si="5"/>
        <v>17</v>
      </c>
      <c r="I164" s="358" t="s">
        <v>4569</v>
      </c>
    </row>
    <row r="165" spans="1:9" x14ac:dyDescent="0.25">
      <c r="A165" s="368"/>
      <c r="B165" s="354" t="s">
        <v>4509</v>
      </c>
      <c r="C165" s="368"/>
      <c r="D165" s="355" t="s">
        <v>745</v>
      </c>
      <c r="E165" s="355"/>
      <c r="F165" s="492">
        <f t="shared" si="4"/>
        <v>0</v>
      </c>
      <c r="G165" s="357">
        <v>300</v>
      </c>
      <c r="H165" s="357">
        <f t="shared" si="5"/>
        <v>300</v>
      </c>
      <c r="I165" s="358" t="s">
        <v>4569</v>
      </c>
    </row>
    <row r="166" spans="1:9" x14ac:dyDescent="0.25">
      <c r="A166" s="368"/>
      <c r="B166" s="354" t="s">
        <v>4510</v>
      </c>
      <c r="C166" s="368"/>
      <c r="D166" s="355" t="s">
        <v>745</v>
      </c>
      <c r="E166" s="355"/>
      <c r="F166" s="492">
        <f t="shared" si="4"/>
        <v>0</v>
      </c>
      <c r="G166" s="357">
        <v>0.2</v>
      </c>
      <c r="H166" s="357">
        <f t="shared" si="5"/>
        <v>0.2</v>
      </c>
      <c r="I166" s="358" t="s">
        <v>4579</v>
      </c>
    </row>
    <row r="167" spans="1:9" x14ac:dyDescent="0.25">
      <c r="A167" s="368"/>
      <c r="B167" s="358" t="s">
        <v>4511</v>
      </c>
      <c r="C167" s="368"/>
      <c r="D167" s="355" t="s">
        <v>745</v>
      </c>
      <c r="E167" s="515"/>
      <c r="F167" s="492">
        <f t="shared" si="4"/>
        <v>0</v>
      </c>
      <c r="G167" s="357">
        <v>40</v>
      </c>
      <c r="H167" s="357">
        <f t="shared" si="5"/>
        <v>40</v>
      </c>
      <c r="I167" s="358" t="s">
        <v>4569</v>
      </c>
    </row>
    <row r="168" spans="1:9" x14ac:dyDescent="0.25">
      <c r="A168" s="368"/>
      <c r="B168" s="358" t="s">
        <v>4512</v>
      </c>
      <c r="C168" s="368"/>
      <c r="D168" s="355" t="s">
        <v>745</v>
      </c>
      <c r="E168" s="515"/>
      <c r="F168" s="492">
        <f t="shared" si="4"/>
        <v>0</v>
      </c>
      <c r="G168" s="357">
        <v>172</v>
      </c>
      <c r="H168" s="357">
        <f t="shared" si="5"/>
        <v>172</v>
      </c>
      <c r="I168" s="358" t="s">
        <v>4569</v>
      </c>
    </row>
    <row r="169" spans="1:9" x14ac:dyDescent="0.25">
      <c r="A169" s="368"/>
      <c r="B169" s="354" t="s">
        <v>3053</v>
      </c>
      <c r="C169" s="368"/>
      <c r="D169" s="355" t="s">
        <v>2108</v>
      </c>
      <c r="E169" s="355"/>
      <c r="F169" s="492">
        <f t="shared" si="4"/>
        <v>0</v>
      </c>
      <c r="G169" s="357">
        <v>100</v>
      </c>
      <c r="H169" s="357">
        <f t="shared" si="5"/>
        <v>100</v>
      </c>
      <c r="I169" s="358" t="s">
        <v>4581</v>
      </c>
    </row>
    <row r="170" spans="1:9" x14ac:dyDescent="0.25">
      <c r="A170" s="368"/>
      <c r="B170" s="354" t="s">
        <v>4513</v>
      </c>
      <c r="C170" s="368"/>
      <c r="D170" s="355" t="s">
        <v>4665</v>
      </c>
      <c r="E170" s="355"/>
      <c r="F170" s="492">
        <f t="shared" si="4"/>
        <v>0</v>
      </c>
      <c r="G170" s="357">
        <v>1</v>
      </c>
      <c r="H170" s="357">
        <f t="shared" si="5"/>
        <v>1</v>
      </c>
      <c r="I170" s="358" t="s">
        <v>4582</v>
      </c>
    </row>
    <row r="171" spans="1:9" x14ac:dyDescent="0.25">
      <c r="A171" s="368"/>
      <c r="B171" s="354" t="s">
        <v>3068</v>
      </c>
      <c r="C171" s="368"/>
      <c r="D171" s="355" t="s">
        <v>4665</v>
      </c>
      <c r="E171" s="355"/>
      <c r="F171" s="492">
        <f t="shared" si="4"/>
        <v>0</v>
      </c>
      <c r="G171" s="357">
        <v>1</v>
      </c>
      <c r="H171" s="357">
        <f t="shared" si="5"/>
        <v>1</v>
      </c>
      <c r="I171" s="358" t="s">
        <v>4582</v>
      </c>
    </row>
    <row r="172" spans="1:9" x14ac:dyDescent="0.25">
      <c r="A172" s="368"/>
      <c r="B172" s="354" t="s">
        <v>4680</v>
      </c>
      <c r="C172" s="368"/>
      <c r="D172" s="355" t="s">
        <v>2953</v>
      </c>
      <c r="E172" s="355"/>
      <c r="F172" s="492">
        <f t="shared" si="4"/>
        <v>0</v>
      </c>
      <c r="G172" s="357">
        <v>0.2</v>
      </c>
      <c r="H172" s="357">
        <f t="shared" si="5"/>
        <v>0.2</v>
      </c>
      <c r="I172" s="358" t="s">
        <v>4579</v>
      </c>
    </row>
    <row r="173" spans="1:9" x14ac:dyDescent="0.25">
      <c r="A173" s="368"/>
      <c r="B173" s="354" t="s">
        <v>4681</v>
      </c>
      <c r="C173" s="368"/>
      <c r="D173" s="355" t="s">
        <v>745</v>
      </c>
      <c r="E173" s="355"/>
      <c r="F173" s="492">
        <f t="shared" si="4"/>
        <v>0</v>
      </c>
      <c r="G173" s="357">
        <v>0.03</v>
      </c>
      <c r="H173" s="357">
        <f t="shared" si="5"/>
        <v>0.03</v>
      </c>
      <c r="I173" s="358"/>
    </row>
    <row r="174" spans="1:9" x14ac:dyDescent="0.25">
      <c r="A174" s="494" t="s">
        <v>4277</v>
      </c>
      <c r="B174" s="495" t="s">
        <v>4278</v>
      </c>
      <c r="C174" s="494">
        <v>2.3530000000000002</v>
      </c>
      <c r="D174" s="494" t="s">
        <v>2108</v>
      </c>
      <c r="E174" s="496">
        <v>405</v>
      </c>
      <c r="F174" s="492">
        <f t="shared" si="4"/>
        <v>373.815</v>
      </c>
      <c r="G174" s="357"/>
      <c r="H174" s="357">
        <f t="shared" si="5"/>
        <v>373.815</v>
      </c>
      <c r="I174" s="358" t="s">
        <v>7508</v>
      </c>
    </row>
    <row r="175" spans="1:9" x14ac:dyDescent="0.25">
      <c r="A175" s="494" t="s">
        <v>4274</v>
      </c>
      <c r="B175" s="495" t="s">
        <v>4275</v>
      </c>
      <c r="C175" s="494">
        <v>1.8180000000000001</v>
      </c>
      <c r="D175" s="494" t="s">
        <v>2108</v>
      </c>
      <c r="E175" s="496">
        <v>305</v>
      </c>
      <c r="F175" s="492">
        <f t="shared" si="4"/>
        <v>281.51499999999999</v>
      </c>
      <c r="G175" s="357"/>
      <c r="H175" s="357">
        <f t="shared" si="5"/>
        <v>281.51499999999999</v>
      </c>
      <c r="I175" s="358" t="s">
        <v>7508</v>
      </c>
    </row>
    <row r="176" spans="1:9" x14ac:dyDescent="0.25">
      <c r="A176" s="494" t="s">
        <v>4280</v>
      </c>
      <c r="B176" s="495" t="s">
        <v>2910</v>
      </c>
      <c r="C176" s="494">
        <v>2.9630000000000001</v>
      </c>
      <c r="D176" s="494" t="s">
        <v>2108</v>
      </c>
      <c r="E176" s="496">
        <v>295</v>
      </c>
      <c r="F176" s="492">
        <f t="shared" si="4"/>
        <v>272.28500000000003</v>
      </c>
      <c r="G176" s="357"/>
      <c r="H176" s="357">
        <f t="shared" si="5"/>
        <v>272.28500000000003</v>
      </c>
      <c r="I176" s="358" t="s">
        <v>7508</v>
      </c>
    </row>
    <row r="177" spans="1:17" x14ac:dyDescent="0.25">
      <c r="A177" s="494" t="s">
        <v>4288</v>
      </c>
      <c r="B177" s="495" t="s">
        <v>1885</v>
      </c>
      <c r="C177" s="494">
        <v>10</v>
      </c>
      <c r="D177" s="494" t="s">
        <v>2108</v>
      </c>
      <c r="E177" s="496">
        <v>935</v>
      </c>
      <c r="F177" s="492">
        <f t="shared" si="4"/>
        <v>863.005</v>
      </c>
      <c r="G177" s="357"/>
      <c r="H177" s="357">
        <f t="shared" si="5"/>
        <v>863.005</v>
      </c>
      <c r="I177" s="358" t="s">
        <v>7508</v>
      </c>
    </row>
    <row r="178" spans="1:17" x14ac:dyDescent="0.25">
      <c r="A178" s="494" t="s">
        <v>4285</v>
      </c>
      <c r="B178" s="495" t="s">
        <v>4286</v>
      </c>
      <c r="C178" s="494">
        <v>8</v>
      </c>
      <c r="D178" s="494" t="s">
        <v>2108</v>
      </c>
      <c r="E178" s="496">
        <v>755</v>
      </c>
      <c r="F178" s="492">
        <f t="shared" si="4"/>
        <v>696.86500000000001</v>
      </c>
      <c r="G178" s="357"/>
      <c r="H178" s="357">
        <f t="shared" si="5"/>
        <v>696.86500000000001</v>
      </c>
      <c r="I178" s="358" t="s">
        <v>7508</v>
      </c>
    </row>
    <row r="179" spans="1:17" x14ac:dyDescent="0.25">
      <c r="A179" s="494" t="s">
        <v>4282</v>
      </c>
      <c r="B179" s="495" t="s">
        <v>4283</v>
      </c>
      <c r="C179" s="494">
        <v>6.6669999999999998</v>
      </c>
      <c r="D179" s="494" t="s">
        <v>2108</v>
      </c>
      <c r="E179" s="496">
        <v>605</v>
      </c>
      <c r="F179" s="492">
        <f t="shared" si="4"/>
        <v>558.41500000000008</v>
      </c>
      <c r="G179" s="357"/>
      <c r="H179" s="357">
        <f t="shared" si="5"/>
        <v>558.41500000000008</v>
      </c>
      <c r="I179" s="358" t="s">
        <v>7508</v>
      </c>
    </row>
    <row r="180" spans="1:17" x14ac:dyDescent="0.25">
      <c r="A180" s="368"/>
      <c r="B180" s="354" t="s">
        <v>7596</v>
      </c>
      <c r="C180" s="368"/>
      <c r="D180" s="355" t="s">
        <v>399</v>
      </c>
      <c r="E180" s="355"/>
      <c r="F180" s="492">
        <v>0.7</v>
      </c>
      <c r="G180" s="357"/>
      <c r="H180" s="357">
        <f t="shared" si="5"/>
        <v>0.7</v>
      </c>
      <c r="I180" s="358" t="s">
        <v>7508</v>
      </c>
    </row>
    <row r="181" spans="1:17" x14ac:dyDescent="0.25">
      <c r="A181" s="368"/>
      <c r="B181" s="354" t="s">
        <v>4682</v>
      </c>
      <c r="C181" s="368"/>
      <c r="D181" s="355" t="s">
        <v>745</v>
      </c>
      <c r="E181" s="355"/>
      <c r="F181" s="357">
        <v>0.36</v>
      </c>
      <c r="G181" s="357"/>
      <c r="H181" s="357">
        <f t="shared" si="5"/>
        <v>0.36</v>
      </c>
      <c r="I181" s="358" t="s">
        <v>4579</v>
      </c>
    </row>
    <row r="182" spans="1:17" x14ac:dyDescent="0.25">
      <c r="A182" s="368"/>
      <c r="B182" s="354" t="s">
        <v>4517</v>
      </c>
      <c r="C182" s="368"/>
      <c r="D182" s="355" t="s">
        <v>4665</v>
      </c>
      <c r="E182" s="355"/>
      <c r="F182" s="357">
        <v>2</v>
      </c>
      <c r="G182" s="357"/>
      <c r="H182" s="357">
        <f t="shared" si="5"/>
        <v>2</v>
      </c>
      <c r="I182" s="358" t="s">
        <v>4570</v>
      </c>
    </row>
    <row r="183" spans="1:17" x14ac:dyDescent="0.25">
      <c r="A183" s="368"/>
      <c r="B183" s="354" t="s">
        <v>4518</v>
      </c>
      <c r="C183" s="368"/>
      <c r="D183" s="355" t="s">
        <v>4665</v>
      </c>
      <c r="E183" s="355"/>
      <c r="F183" s="357">
        <v>7.5</v>
      </c>
      <c r="G183" s="357"/>
      <c r="H183" s="357">
        <f t="shared" si="5"/>
        <v>7.5</v>
      </c>
      <c r="I183" s="358" t="s">
        <v>4570</v>
      </c>
    </row>
    <row r="184" spans="1:17" x14ac:dyDescent="0.25">
      <c r="A184" s="368"/>
      <c r="B184" s="354" t="s">
        <v>4519</v>
      </c>
      <c r="C184" s="368"/>
      <c r="D184" s="355" t="s">
        <v>4665</v>
      </c>
      <c r="E184" s="355"/>
      <c r="F184" s="357">
        <v>4.75</v>
      </c>
      <c r="G184" s="357"/>
      <c r="H184" s="357">
        <f t="shared" si="5"/>
        <v>4.75</v>
      </c>
      <c r="I184" s="358" t="s">
        <v>4582</v>
      </c>
    </row>
    <row r="185" spans="1:17" x14ac:dyDescent="0.25">
      <c r="A185" s="368"/>
      <c r="B185" s="354" t="s">
        <v>4520</v>
      </c>
      <c r="C185" s="368"/>
      <c r="D185" s="355" t="s">
        <v>4665</v>
      </c>
      <c r="E185" s="355"/>
      <c r="F185" s="357">
        <v>1.2</v>
      </c>
      <c r="G185" s="357"/>
      <c r="H185" s="357">
        <f t="shared" si="5"/>
        <v>1.2</v>
      </c>
      <c r="I185" s="358" t="s">
        <v>4582</v>
      </c>
    </row>
    <row r="186" spans="1:17" x14ac:dyDescent="0.25">
      <c r="A186" s="368"/>
      <c r="B186" s="354" t="s">
        <v>4521</v>
      </c>
      <c r="C186" s="368"/>
      <c r="D186" s="355" t="s">
        <v>4665</v>
      </c>
      <c r="E186" s="355"/>
      <c r="F186" s="357">
        <v>1.5</v>
      </c>
      <c r="G186" s="357"/>
      <c r="H186" s="357">
        <f t="shared" si="5"/>
        <v>1.5</v>
      </c>
      <c r="I186" s="358" t="s">
        <v>4582</v>
      </c>
    </row>
    <row r="187" spans="1:17" x14ac:dyDescent="0.25">
      <c r="A187" s="368"/>
      <c r="B187" s="354" t="s">
        <v>4522</v>
      </c>
      <c r="C187" s="368"/>
      <c r="D187" s="355" t="s">
        <v>4665</v>
      </c>
      <c r="E187" s="355"/>
      <c r="F187" s="357">
        <v>0.8</v>
      </c>
      <c r="G187" s="357"/>
      <c r="H187" s="357">
        <f t="shared" si="5"/>
        <v>0.8</v>
      </c>
      <c r="I187" s="358" t="s">
        <v>4582</v>
      </c>
    </row>
    <row r="188" spans="1:17" x14ac:dyDescent="0.25">
      <c r="A188" s="368"/>
      <c r="B188" s="354" t="s">
        <v>4523</v>
      </c>
      <c r="C188" s="368"/>
      <c r="D188" s="355" t="s">
        <v>4665</v>
      </c>
      <c r="E188" s="355"/>
      <c r="F188" s="357">
        <v>10</v>
      </c>
      <c r="G188" s="357"/>
      <c r="H188" s="357">
        <f t="shared" si="5"/>
        <v>10</v>
      </c>
      <c r="I188" s="358" t="s">
        <v>4582</v>
      </c>
    </row>
    <row r="189" spans="1:17" x14ac:dyDescent="0.25">
      <c r="A189" s="368"/>
      <c r="B189" s="354" t="s">
        <v>4524</v>
      </c>
      <c r="C189" s="368"/>
      <c r="D189" s="355" t="s">
        <v>4665</v>
      </c>
      <c r="E189" s="355"/>
      <c r="F189" s="357">
        <v>0.8</v>
      </c>
      <c r="G189" s="357"/>
      <c r="H189" s="357">
        <f t="shared" si="5"/>
        <v>0.8</v>
      </c>
      <c r="I189" s="358" t="s">
        <v>4582</v>
      </c>
    </row>
    <row r="190" spans="1:17" x14ac:dyDescent="0.25">
      <c r="A190" s="368"/>
      <c r="B190" s="354" t="s">
        <v>3308</v>
      </c>
      <c r="C190" s="368"/>
      <c r="D190" s="355" t="s">
        <v>4665</v>
      </c>
      <c r="E190" s="355"/>
      <c r="F190" s="357">
        <v>0.8</v>
      </c>
      <c r="G190" s="357"/>
      <c r="H190" s="357">
        <f t="shared" si="5"/>
        <v>0.8</v>
      </c>
      <c r="I190" s="358" t="s">
        <v>4582</v>
      </c>
    </row>
    <row r="191" spans="1:17" x14ac:dyDescent="0.25">
      <c r="A191" s="368"/>
      <c r="B191" s="354" t="s">
        <v>4525</v>
      </c>
      <c r="C191" s="368"/>
      <c r="D191" s="355" t="s">
        <v>4665</v>
      </c>
      <c r="E191" s="355"/>
      <c r="F191" s="357">
        <v>1.2</v>
      </c>
      <c r="G191" s="357"/>
      <c r="H191" s="357">
        <f t="shared" si="5"/>
        <v>1.2</v>
      </c>
      <c r="I191" s="358" t="s">
        <v>4589</v>
      </c>
    </row>
    <row r="192" spans="1:17" s="341" customFormat="1" ht="10.199999999999999" x14ac:dyDescent="0.2">
      <c r="A192" s="494"/>
      <c r="B192" s="495"/>
      <c r="C192" s="494"/>
      <c r="D192" s="494"/>
      <c r="E192" s="496"/>
      <c r="F192" s="492">
        <f t="shared" ref="F192:F255" si="6">E192*0.923</f>
        <v>0</v>
      </c>
      <c r="G192" s="357"/>
      <c r="H192" s="357">
        <f t="shared" ref="H192:H255" si="7">IF(G192&gt;0,G192,F192)</f>
        <v>0</v>
      </c>
      <c r="I192" s="358"/>
      <c r="J192" s="373"/>
      <c r="K192" s="373"/>
      <c r="L192" s="373"/>
      <c r="M192" s="373"/>
      <c r="N192" s="373"/>
      <c r="O192" s="373"/>
      <c r="P192" s="373"/>
      <c r="Q192" s="373"/>
    </row>
    <row r="193" spans="1:17" s="341" customFormat="1" ht="10.199999999999999" x14ac:dyDescent="0.2">
      <c r="A193" s="494"/>
      <c r="B193" s="495"/>
      <c r="C193" s="494"/>
      <c r="D193" s="494"/>
      <c r="E193" s="496"/>
      <c r="F193" s="492">
        <f t="shared" si="6"/>
        <v>0</v>
      </c>
      <c r="G193" s="357"/>
      <c r="H193" s="357">
        <f t="shared" si="7"/>
        <v>0</v>
      </c>
      <c r="I193" s="358"/>
      <c r="J193" s="373"/>
      <c r="K193" s="373"/>
      <c r="L193" s="373"/>
      <c r="M193" s="373"/>
      <c r="N193" s="373"/>
      <c r="O193" s="373"/>
      <c r="P193" s="373"/>
      <c r="Q193" s="373"/>
    </row>
    <row r="194" spans="1:17" x14ac:dyDescent="0.25">
      <c r="A194" s="360"/>
      <c r="B194" s="360"/>
      <c r="C194" s="360"/>
      <c r="D194" s="360"/>
      <c r="E194" s="360"/>
      <c r="F194" s="492">
        <f t="shared" si="6"/>
        <v>0</v>
      </c>
      <c r="G194" s="360"/>
      <c r="H194" s="357">
        <f t="shared" si="7"/>
        <v>0</v>
      </c>
      <c r="I194" s="360"/>
    </row>
    <row r="195" spans="1:17" x14ac:dyDescent="0.25">
      <c r="A195" s="360" t="s">
        <v>4724</v>
      </c>
      <c r="B195" s="360"/>
      <c r="C195" s="360"/>
      <c r="D195" s="360"/>
      <c r="E195" s="360"/>
      <c r="F195" s="492">
        <f t="shared" si="6"/>
        <v>0</v>
      </c>
      <c r="G195" s="360"/>
      <c r="H195" s="357">
        <f t="shared" si="7"/>
        <v>0</v>
      </c>
      <c r="I195" s="360"/>
    </row>
    <row r="196" spans="1:17" s="360" customFormat="1" x14ac:dyDescent="0.25">
      <c r="F196" s="492">
        <f t="shared" si="6"/>
        <v>0</v>
      </c>
      <c r="H196" s="357">
        <f t="shared" si="7"/>
        <v>0</v>
      </c>
      <c r="J196" s="260"/>
      <c r="K196" s="260"/>
      <c r="L196" s="260"/>
      <c r="M196" s="260"/>
      <c r="N196" s="260"/>
      <c r="O196" s="260"/>
      <c r="P196" s="260"/>
      <c r="Q196" s="260"/>
    </row>
    <row r="197" spans="1:17" s="341" customFormat="1" ht="10.199999999999999" x14ac:dyDescent="0.2">
      <c r="A197" s="368"/>
      <c r="B197" s="354" t="s">
        <v>4422</v>
      </c>
      <c r="C197" s="368"/>
      <c r="D197" s="355" t="s">
        <v>2016</v>
      </c>
      <c r="E197" s="355"/>
      <c r="F197" s="492">
        <f t="shared" si="6"/>
        <v>0</v>
      </c>
      <c r="G197" s="357">
        <v>1.25</v>
      </c>
      <c r="H197" s="357">
        <f t="shared" si="7"/>
        <v>1.25</v>
      </c>
      <c r="I197" s="358" t="s">
        <v>4541</v>
      </c>
      <c r="J197" s="373"/>
      <c r="K197" s="373"/>
      <c r="L197" s="373"/>
      <c r="M197" s="373"/>
      <c r="N197" s="373"/>
      <c r="O197" s="373"/>
      <c r="P197" s="373"/>
      <c r="Q197" s="373"/>
    </row>
    <row r="198" spans="1:17" s="341" customFormat="1" ht="10.199999999999999" x14ac:dyDescent="0.2">
      <c r="A198" s="368"/>
      <c r="B198" s="354" t="s">
        <v>4423</v>
      </c>
      <c r="C198" s="368"/>
      <c r="D198" s="355" t="s">
        <v>2016</v>
      </c>
      <c r="E198" s="355"/>
      <c r="F198" s="492">
        <f t="shared" si="6"/>
        <v>0</v>
      </c>
      <c r="G198" s="357">
        <v>2.5</v>
      </c>
      <c r="H198" s="357">
        <f t="shared" si="7"/>
        <v>2.5</v>
      </c>
      <c r="I198" s="358" t="s">
        <v>4541</v>
      </c>
      <c r="J198" s="373"/>
      <c r="K198" s="373"/>
      <c r="L198" s="373"/>
      <c r="M198" s="373"/>
      <c r="N198" s="373"/>
      <c r="O198" s="373"/>
      <c r="P198" s="373"/>
      <c r="Q198" s="373"/>
    </row>
    <row r="199" spans="1:17" s="341" customFormat="1" ht="10.199999999999999" x14ac:dyDescent="0.2">
      <c r="A199" s="368"/>
      <c r="B199" s="354" t="s">
        <v>4424</v>
      </c>
      <c r="C199" s="368"/>
      <c r="D199" s="355" t="s">
        <v>2016</v>
      </c>
      <c r="E199" s="355"/>
      <c r="F199" s="492">
        <f t="shared" si="6"/>
        <v>0</v>
      </c>
      <c r="G199" s="357">
        <v>1.81</v>
      </c>
      <c r="H199" s="357">
        <f t="shared" si="7"/>
        <v>1.81</v>
      </c>
      <c r="I199" s="358" t="s">
        <v>4541</v>
      </c>
      <c r="J199" s="373"/>
      <c r="K199" s="373"/>
      <c r="L199" s="373"/>
      <c r="M199" s="373"/>
      <c r="N199" s="373"/>
      <c r="O199" s="373"/>
      <c r="P199" s="373"/>
      <c r="Q199" s="373"/>
    </row>
    <row r="200" spans="1:17" s="341" customFormat="1" ht="10.199999999999999" x14ac:dyDescent="0.2">
      <c r="A200" s="368"/>
      <c r="B200" s="354" t="s">
        <v>4425</v>
      </c>
      <c r="C200" s="368"/>
      <c r="D200" s="355" t="s">
        <v>2016</v>
      </c>
      <c r="E200" s="355"/>
      <c r="F200" s="492">
        <f t="shared" si="6"/>
        <v>0</v>
      </c>
      <c r="G200" s="357">
        <v>0.05</v>
      </c>
      <c r="H200" s="357">
        <f t="shared" si="7"/>
        <v>0.05</v>
      </c>
      <c r="I200" s="358" t="s">
        <v>4541</v>
      </c>
      <c r="J200" s="373"/>
      <c r="K200" s="373"/>
      <c r="L200" s="373"/>
      <c r="M200" s="373"/>
      <c r="N200" s="373"/>
      <c r="O200" s="373"/>
      <c r="P200" s="373"/>
      <c r="Q200" s="373"/>
    </row>
    <row r="201" spans="1:17" s="341" customFormat="1" ht="10.199999999999999" x14ac:dyDescent="0.2">
      <c r="A201" s="368"/>
      <c r="B201" s="354" t="s">
        <v>4426</v>
      </c>
      <c r="C201" s="368"/>
      <c r="D201" s="355" t="s">
        <v>4665</v>
      </c>
      <c r="E201" s="355"/>
      <c r="F201" s="492">
        <f t="shared" si="6"/>
        <v>0</v>
      </c>
      <c r="G201" s="357">
        <v>60</v>
      </c>
      <c r="H201" s="357">
        <f t="shared" si="7"/>
        <v>60</v>
      </c>
      <c r="I201" s="358" t="s">
        <v>4541</v>
      </c>
      <c r="J201" s="373"/>
      <c r="K201" s="373"/>
      <c r="L201" s="373"/>
      <c r="M201" s="373"/>
      <c r="N201" s="373"/>
      <c r="O201" s="373"/>
      <c r="P201" s="373"/>
      <c r="Q201" s="373"/>
    </row>
    <row r="202" spans="1:17" s="341" customFormat="1" ht="10.199999999999999" x14ac:dyDescent="0.2">
      <c r="A202" s="368"/>
      <c r="B202" s="354" t="s">
        <v>4427</v>
      </c>
      <c r="C202" s="368"/>
      <c r="D202" s="355" t="s">
        <v>4665</v>
      </c>
      <c r="E202" s="355"/>
      <c r="F202" s="492">
        <f t="shared" si="6"/>
        <v>0</v>
      </c>
      <c r="G202" s="357">
        <v>150</v>
      </c>
      <c r="H202" s="357">
        <f t="shared" si="7"/>
        <v>150</v>
      </c>
      <c r="I202" s="358" t="s">
        <v>4541</v>
      </c>
      <c r="J202" s="373"/>
      <c r="K202" s="373"/>
      <c r="L202" s="373"/>
      <c r="M202" s="373"/>
      <c r="N202" s="373"/>
      <c r="O202" s="373"/>
      <c r="P202" s="373"/>
      <c r="Q202" s="373"/>
    </row>
    <row r="203" spans="1:17" s="341" customFormat="1" ht="10.199999999999999" x14ac:dyDescent="0.2">
      <c r="A203" s="368"/>
      <c r="B203" s="354" t="s">
        <v>4428</v>
      </c>
      <c r="C203" s="368"/>
      <c r="D203" s="355" t="s">
        <v>2016</v>
      </c>
      <c r="E203" s="355"/>
      <c r="F203" s="492">
        <f t="shared" si="6"/>
        <v>0</v>
      </c>
      <c r="G203" s="357">
        <v>0.05</v>
      </c>
      <c r="H203" s="357">
        <f t="shared" si="7"/>
        <v>0.05</v>
      </c>
      <c r="I203" s="358" t="s">
        <v>4541</v>
      </c>
      <c r="J203" s="373"/>
      <c r="K203" s="373"/>
      <c r="L203" s="373"/>
      <c r="M203" s="373"/>
      <c r="N203" s="373"/>
      <c r="O203" s="373"/>
      <c r="P203" s="373"/>
      <c r="Q203" s="373"/>
    </row>
    <row r="204" spans="1:17" s="341" customFormat="1" ht="10.199999999999999" x14ac:dyDescent="0.2">
      <c r="A204" s="368"/>
      <c r="B204" s="354" t="s">
        <v>4429</v>
      </c>
      <c r="C204" s="368"/>
      <c r="D204" s="355" t="s">
        <v>4665</v>
      </c>
      <c r="E204" s="355"/>
      <c r="F204" s="492">
        <f t="shared" si="6"/>
        <v>0</v>
      </c>
      <c r="G204" s="357">
        <v>7.31</v>
      </c>
      <c r="H204" s="357">
        <f t="shared" si="7"/>
        <v>7.31</v>
      </c>
      <c r="I204" s="358" t="s">
        <v>4541</v>
      </c>
      <c r="J204" s="373"/>
      <c r="K204" s="373"/>
      <c r="L204" s="373"/>
      <c r="M204" s="373"/>
      <c r="N204" s="373"/>
      <c r="O204" s="373"/>
      <c r="P204" s="373"/>
      <c r="Q204" s="373"/>
    </row>
    <row r="205" spans="1:17" s="341" customFormat="1" ht="10.199999999999999" x14ac:dyDescent="0.2">
      <c r="A205" s="368"/>
      <c r="B205" s="354" t="s">
        <v>4430</v>
      </c>
      <c r="C205" s="368"/>
      <c r="D205" s="355" t="s">
        <v>4665</v>
      </c>
      <c r="E205" s="355"/>
      <c r="F205" s="492">
        <f t="shared" si="6"/>
        <v>0</v>
      </c>
      <c r="G205" s="357">
        <v>13.5</v>
      </c>
      <c r="H205" s="357">
        <f t="shared" si="7"/>
        <v>13.5</v>
      </c>
      <c r="I205" s="358" t="s">
        <v>4541</v>
      </c>
      <c r="J205" s="373"/>
      <c r="K205" s="373"/>
      <c r="L205" s="373"/>
      <c r="M205" s="373"/>
      <c r="N205" s="373"/>
      <c r="O205" s="373"/>
      <c r="P205" s="373"/>
      <c r="Q205" s="373"/>
    </row>
    <row r="206" spans="1:17" s="341" customFormat="1" ht="10.199999999999999" x14ac:dyDescent="0.2">
      <c r="A206" s="368"/>
      <c r="B206" s="354" t="s">
        <v>4431</v>
      </c>
      <c r="C206" s="368"/>
      <c r="D206" s="355" t="s">
        <v>4665</v>
      </c>
      <c r="E206" s="355"/>
      <c r="F206" s="492">
        <f t="shared" si="6"/>
        <v>0</v>
      </c>
      <c r="G206" s="357">
        <v>16.21</v>
      </c>
      <c r="H206" s="357">
        <f t="shared" si="7"/>
        <v>16.21</v>
      </c>
      <c r="I206" s="358" t="s">
        <v>4542</v>
      </c>
      <c r="J206" s="373"/>
      <c r="K206" s="373"/>
      <c r="L206" s="373"/>
      <c r="M206" s="373"/>
      <c r="N206" s="373"/>
      <c r="O206" s="373"/>
      <c r="P206" s="373"/>
      <c r="Q206" s="373"/>
    </row>
    <row r="207" spans="1:17" s="341" customFormat="1" ht="10.199999999999999" x14ac:dyDescent="0.2">
      <c r="A207" s="368"/>
      <c r="B207" s="354" t="s">
        <v>4432</v>
      </c>
      <c r="C207" s="368"/>
      <c r="D207" s="355" t="s">
        <v>2016</v>
      </c>
      <c r="E207" s="355"/>
      <c r="F207" s="492">
        <f t="shared" si="6"/>
        <v>0</v>
      </c>
      <c r="G207" s="357">
        <v>0.02</v>
      </c>
      <c r="H207" s="357">
        <f t="shared" si="7"/>
        <v>0.02</v>
      </c>
      <c r="I207" s="358" t="s">
        <v>4541</v>
      </c>
      <c r="J207" s="373"/>
      <c r="K207" s="373"/>
      <c r="L207" s="373"/>
      <c r="M207" s="373"/>
      <c r="N207" s="373"/>
      <c r="O207" s="373"/>
      <c r="P207" s="373"/>
      <c r="Q207" s="373"/>
    </row>
    <row r="208" spans="1:17" s="341" customFormat="1" ht="10.199999999999999" x14ac:dyDescent="0.2">
      <c r="A208" s="368"/>
      <c r="B208" s="354" t="s">
        <v>4433</v>
      </c>
      <c r="C208" s="368"/>
      <c r="D208" s="355" t="s">
        <v>4665</v>
      </c>
      <c r="E208" s="355"/>
      <c r="F208" s="492">
        <f t="shared" si="6"/>
        <v>0</v>
      </c>
      <c r="G208" s="357">
        <v>18</v>
      </c>
      <c r="H208" s="357">
        <f t="shared" si="7"/>
        <v>18</v>
      </c>
      <c r="I208" s="358" t="s">
        <v>4541</v>
      </c>
      <c r="J208" s="373"/>
      <c r="K208" s="373"/>
      <c r="L208" s="373"/>
      <c r="M208" s="373"/>
      <c r="N208" s="373"/>
      <c r="O208" s="373"/>
      <c r="P208" s="373"/>
      <c r="Q208" s="373"/>
    </row>
    <row r="209" spans="1:17" s="341" customFormat="1" ht="10.199999999999999" x14ac:dyDescent="0.2">
      <c r="A209" s="368"/>
      <c r="B209" s="354" t="s">
        <v>4434</v>
      </c>
      <c r="C209" s="368"/>
      <c r="D209" s="355" t="s">
        <v>4665</v>
      </c>
      <c r="E209" s="355"/>
      <c r="F209" s="492">
        <f t="shared" si="6"/>
        <v>0</v>
      </c>
      <c r="G209" s="357">
        <v>9</v>
      </c>
      <c r="H209" s="357">
        <f t="shared" si="7"/>
        <v>9</v>
      </c>
      <c r="I209" s="358" t="s">
        <v>4541</v>
      </c>
      <c r="J209" s="373"/>
      <c r="K209" s="373"/>
      <c r="L209" s="373"/>
      <c r="M209" s="373"/>
      <c r="N209" s="373"/>
      <c r="O209" s="373"/>
      <c r="P209" s="373"/>
      <c r="Q209" s="373"/>
    </row>
    <row r="210" spans="1:17" s="341" customFormat="1" ht="10.199999999999999" x14ac:dyDescent="0.2">
      <c r="A210" s="368"/>
      <c r="B210" s="354" t="s">
        <v>4435</v>
      </c>
      <c r="C210" s="368"/>
      <c r="D210" s="355" t="s">
        <v>2016</v>
      </c>
      <c r="E210" s="355"/>
      <c r="F210" s="492">
        <f t="shared" si="6"/>
        <v>0</v>
      </c>
      <c r="G210" s="357">
        <v>0.06</v>
      </c>
      <c r="H210" s="357">
        <f t="shared" si="7"/>
        <v>0.06</v>
      </c>
      <c r="I210" s="358" t="s">
        <v>4541</v>
      </c>
      <c r="J210" s="373"/>
      <c r="K210" s="373"/>
      <c r="L210" s="373"/>
      <c r="M210" s="373"/>
      <c r="N210" s="373"/>
      <c r="O210" s="373"/>
      <c r="P210" s="373"/>
      <c r="Q210" s="373"/>
    </row>
    <row r="211" spans="1:17" s="341" customFormat="1" ht="10.199999999999999" x14ac:dyDescent="0.2">
      <c r="A211" s="368"/>
      <c r="B211" s="354" t="s">
        <v>4436</v>
      </c>
      <c r="C211" s="368"/>
      <c r="D211" s="355" t="s">
        <v>2016</v>
      </c>
      <c r="E211" s="355"/>
      <c r="F211" s="492">
        <f t="shared" si="6"/>
        <v>0</v>
      </c>
      <c r="G211" s="357">
        <v>1.35</v>
      </c>
      <c r="H211" s="357">
        <f t="shared" si="7"/>
        <v>1.35</v>
      </c>
      <c r="I211" s="358" t="s">
        <v>4541</v>
      </c>
      <c r="J211" s="373"/>
      <c r="K211" s="373"/>
      <c r="L211" s="373"/>
      <c r="M211" s="373"/>
      <c r="N211" s="373"/>
      <c r="O211" s="373"/>
      <c r="P211" s="373"/>
      <c r="Q211" s="373"/>
    </row>
    <row r="212" spans="1:17" s="341" customFormat="1" ht="10.199999999999999" x14ac:dyDescent="0.2">
      <c r="A212" s="368"/>
      <c r="B212" s="354" t="s">
        <v>4437</v>
      </c>
      <c r="C212" s="368"/>
      <c r="D212" s="355" t="s">
        <v>2016</v>
      </c>
      <c r="E212" s="355"/>
      <c r="F212" s="492">
        <f t="shared" si="6"/>
        <v>0</v>
      </c>
      <c r="G212" s="357">
        <v>1.81</v>
      </c>
      <c r="H212" s="357">
        <f t="shared" si="7"/>
        <v>1.81</v>
      </c>
      <c r="I212" s="358" t="s">
        <v>4541</v>
      </c>
      <c r="J212" s="373"/>
      <c r="K212" s="373"/>
      <c r="L212" s="373"/>
      <c r="M212" s="373"/>
      <c r="N212" s="373"/>
      <c r="O212" s="373"/>
      <c r="P212" s="373"/>
      <c r="Q212" s="373"/>
    </row>
    <row r="213" spans="1:17" s="341" customFormat="1" ht="10.199999999999999" x14ac:dyDescent="0.2">
      <c r="A213" s="368"/>
      <c r="B213" s="354" t="s">
        <v>4438</v>
      </c>
      <c r="C213" s="368"/>
      <c r="D213" s="355" t="s">
        <v>745</v>
      </c>
      <c r="E213" s="355"/>
      <c r="F213" s="492">
        <f t="shared" si="6"/>
        <v>0</v>
      </c>
      <c r="G213" s="357">
        <v>0.6</v>
      </c>
      <c r="H213" s="357">
        <f t="shared" si="7"/>
        <v>0.6</v>
      </c>
      <c r="I213" s="358" t="s">
        <v>4543</v>
      </c>
      <c r="J213" s="373"/>
      <c r="K213" s="373"/>
      <c r="L213" s="373"/>
      <c r="M213" s="373"/>
      <c r="N213" s="373"/>
      <c r="O213" s="373"/>
      <c r="P213" s="373"/>
      <c r="Q213" s="373"/>
    </row>
    <row r="214" spans="1:17" s="341" customFormat="1" ht="10.199999999999999" x14ac:dyDescent="0.2">
      <c r="A214" s="368"/>
      <c r="B214" s="354" t="s">
        <v>4668</v>
      </c>
      <c r="C214" s="368"/>
      <c r="D214" s="355" t="s">
        <v>2377</v>
      </c>
      <c r="E214" s="355"/>
      <c r="F214" s="492">
        <f t="shared" si="6"/>
        <v>0</v>
      </c>
      <c r="G214" s="357">
        <v>1200</v>
      </c>
      <c r="H214" s="357">
        <f t="shared" si="7"/>
        <v>1200</v>
      </c>
      <c r="I214" s="358" t="s">
        <v>4544</v>
      </c>
      <c r="J214" s="373"/>
      <c r="K214" s="373"/>
      <c r="L214" s="373"/>
      <c r="M214" s="373"/>
      <c r="N214" s="373"/>
      <c r="O214" s="373"/>
      <c r="P214" s="373"/>
      <c r="Q214" s="373"/>
    </row>
    <row r="215" spans="1:17" s="341" customFormat="1" ht="20.399999999999999" x14ac:dyDescent="0.2">
      <c r="A215" s="494" t="s">
        <v>4227</v>
      </c>
      <c r="B215" s="495" t="s">
        <v>4228</v>
      </c>
      <c r="C215" s="494">
        <v>0.06</v>
      </c>
      <c r="D215" s="494" t="s">
        <v>2202</v>
      </c>
      <c r="E215" s="496">
        <v>10.6</v>
      </c>
      <c r="F215" s="492">
        <f t="shared" si="6"/>
        <v>9.7837999999999994</v>
      </c>
      <c r="G215" s="357"/>
      <c r="H215" s="357">
        <f t="shared" si="7"/>
        <v>9.7837999999999994</v>
      </c>
      <c r="I215" s="358" t="s">
        <v>7508</v>
      </c>
      <c r="J215" s="373"/>
      <c r="K215" s="373"/>
      <c r="L215" s="373"/>
      <c r="M215" s="373"/>
      <c r="N215" s="373"/>
      <c r="O215" s="373"/>
      <c r="P215" s="373"/>
      <c r="Q215" s="373"/>
    </row>
    <row r="216" spans="1:17" s="341" customFormat="1" ht="20.399999999999999" x14ac:dyDescent="0.2">
      <c r="A216" s="494" t="s">
        <v>4224</v>
      </c>
      <c r="B216" s="495" t="s">
        <v>4225</v>
      </c>
      <c r="C216" s="494">
        <v>0.05</v>
      </c>
      <c r="D216" s="494" t="s">
        <v>2202</v>
      </c>
      <c r="E216" s="496">
        <v>48</v>
      </c>
      <c r="F216" s="492">
        <f t="shared" si="6"/>
        <v>44.304000000000002</v>
      </c>
      <c r="G216" s="357"/>
      <c r="H216" s="357">
        <f t="shared" si="7"/>
        <v>44.304000000000002</v>
      </c>
      <c r="I216" s="358" t="s">
        <v>7508</v>
      </c>
      <c r="J216" s="373"/>
      <c r="K216" s="373"/>
      <c r="L216" s="373"/>
      <c r="M216" s="373"/>
      <c r="N216" s="373"/>
      <c r="O216" s="373"/>
      <c r="P216" s="373"/>
      <c r="Q216" s="373"/>
    </row>
    <row r="217" spans="1:17" ht="20.399999999999999" x14ac:dyDescent="0.25">
      <c r="A217" s="494" t="s">
        <v>4217</v>
      </c>
      <c r="B217" s="495" t="s">
        <v>4218</v>
      </c>
      <c r="C217" s="494">
        <v>0.126</v>
      </c>
      <c r="D217" s="494" t="s">
        <v>2202</v>
      </c>
      <c r="E217" s="496">
        <v>37.5</v>
      </c>
      <c r="F217" s="492">
        <f t="shared" si="6"/>
        <v>34.612500000000004</v>
      </c>
      <c r="G217" s="357"/>
      <c r="H217" s="357">
        <f t="shared" si="7"/>
        <v>34.612500000000004</v>
      </c>
      <c r="I217" s="358" t="s">
        <v>7508</v>
      </c>
    </row>
    <row r="218" spans="1:17" ht="20.399999999999999" x14ac:dyDescent="0.25">
      <c r="A218" s="494" t="s">
        <v>4221</v>
      </c>
      <c r="B218" s="495" t="s">
        <v>4222</v>
      </c>
      <c r="C218" s="494">
        <v>0.14099999999999999</v>
      </c>
      <c r="D218" s="494" t="s">
        <v>2202</v>
      </c>
      <c r="E218" s="496">
        <v>39</v>
      </c>
      <c r="F218" s="492">
        <f t="shared" si="6"/>
        <v>35.997</v>
      </c>
      <c r="G218" s="357"/>
      <c r="H218" s="357">
        <f t="shared" si="7"/>
        <v>35.997</v>
      </c>
      <c r="I218" s="358" t="s">
        <v>7508</v>
      </c>
    </row>
    <row r="219" spans="1:17" ht="20.399999999999999" x14ac:dyDescent="0.25">
      <c r="A219" s="494" t="s">
        <v>4230</v>
      </c>
      <c r="B219" s="495" t="s">
        <v>686</v>
      </c>
      <c r="C219" s="494"/>
      <c r="D219" s="494" t="s">
        <v>603</v>
      </c>
      <c r="E219" s="496">
        <v>153</v>
      </c>
      <c r="F219" s="492">
        <f t="shared" si="6"/>
        <v>141.21899999999999</v>
      </c>
      <c r="G219" s="357"/>
      <c r="H219" s="357">
        <f t="shared" si="7"/>
        <v>141.21899999999999</v>
      </c>
      <c r="I219" s="358" t="s">
        <v>7508</v>
      </c>
    </row>
    <row r="220" spans="1:17" ht="20.399999999999999" x14ac:dyDescent="0.25">
      <c r="A220" s="494" t="s">
        <v>4232</v>
      </c>
      <c r="B220" s="495" t="s">
        <v>687</v>
      </c>
      <c r="C220" s="494"/>
      <c r="D220" s="494" t="s">
        <v>603</v>
      </c>
      <c r="E220" s="496">
        <v>176</v>
      </c>
      <c r="F220" s="492">
        <f t="shared" si="6"/>
        <v>162.44800000000001</v>
      </c>
      <c r="G220" s="357"/>
      <c r="H220" s="357">
        <f t="shared" si="7"/>
        <v>162.44800000000001</v>
      </c>
      <c r="I220" s="358" t="s">
        <v>7508</v>
      </c>
    </row>
    <row r="221" spans="1:17" ht="20.399999999999999" x14ac:dyDescent="0.25">
      <c r="A221" s="368"/>
      <c r="B221" s="354" t="s">
        <v>4528</v>
      </c>
      <c r="C221" s="368"/>
      <c r="D221" s="355" t="s">
        <v>2376</v>
      </c>
      <c r="E221" s="355"/>
      <c r="F221" s="357">
        <v>120</v>
      </c>
      <c r="H221" s="357">
        <f>IF(F221&gt;0,F221,#REF!)</f>
        <v>120</v>
      </c>
      <c r="I221" s="358" t="s">
        <v>4590</v>
      </c>
    </row>
    <row r="222" spans="1:17" x14ac:dyDescent="0.25">
      <c r="A222" s="368"/>
      <c r="B222" s="354" t="s">
        <v>4529</v>
      </c>
      <c r="C222" s="368"/>
      <c r="D222" s="355" t="s">
        <v>4665</v>
      </c>
      <c r="E222" s="355"/>
      <c r="F222" s="357">
        <v>75</v>
      </c>
      <c r="H222" s="357">
        <f>IF(F222&gt;0,F222,#REF!)</f>
        <v>75</v>
      </c>
      <c r="I222" s="358" t="s">
        <v>4590</v>
      </c>
    </row>
    <row r="223" spans="1:17" x14ac:dyDescent="0.25">
      <c r="A223" s="368"/>
      <c r="B223" s="354" t="s">
        <v>4530</v>
      </c>
      <c r="C223" s="368"/>
      <c r="D223" s="355" t="s">
        <v>4665</v>
      </c>
      <c r="E223" s="355"/>
      <c r="F223" s="357">
        <v>9.9499999999999993</v>
      </c>
      <c r="H223" s="357">
        <f>IF(F223&gt;0,F223,#REF!)</f>
        <v>9.9499999999999993</v>
      </c>
      <c r="I223" s="358" t="s">
        <v>4590</v>
      </c>
    </row>
    <row r="224" spans="1:17" x14ac:dyDescent="0.25">
      <c r="A224" s="368"/>
      <c r="B224" s="354" t="s">
        <v>4531</v>
      </c>
      <c r="C224" s="368"/>
      <c r="D224" s="355" t="s">
        <v>4665</v>
      </c>
      <c r="E224" s="355"/>
      <c r="F224" s="357">
        <v>40</v>
      </c>
      <c r="H224" s="357">
        <f>IF(F224&gt;0,F224,#REF!)</f>
        <v>40</v>
      </c>
      <c r="I224" s="358" t="s">
        <v>4590</v>
      </c>
    </row>
    <row r="225" spans="1:17" x14ac:dyDescent="0.25">
      <c r="A225" s="368"/>
      <c r="B225" s="354" t="s">
        <v>4532</v>
      </c>
      <c r="C225" s="368"/>
      <c r="D225" s="355" t="s">
        <v>4665</v>
      </c>
      <c r="E225" s="355"/>
      <c r="F225" s="357">
        <v>35</v>
      </c>
      <c r="H225" s="357">
        <f>IF(F225&gt;0,F225,#REF!)</f>
        <v>35</v>
      </c>
      <c r="I225" s="358" t="s">
        <v>4590</v>
      </c>
    </row>
    <row r="226" spans="1:17" s="341" customFormat="1" ht="10.199999999999999" x14ac:dyDescent="0.2">
      <c r="A226" s="368"/>
      <c r="B226" s="354" t="s">
        <v>4723</v>
      </c>
      <c r="C226" s="368"/>
      <c r="D226" s="355" t="s">
        <v>4665</v>
      </c>
      <c r="E226" s="355"/>
      <c r="F226" s="357">
        <v>120</v>
      </c>
      <c r="G226" s="368"/>
      <c r="H226" s="357">
        <f>IF(F226&gt;0,F226,#REF!)</f>
        <v>120</v>
      </c>
      <c r="I226" s="358" t="s">
        <v>4562</v>
      </c>
      <c r="J226" s="373"/>
      <c r="K226" s="373"/>
      <c r="L226" s="373"/>
      <c r="M226" s="373"/>
      <c r="N226" s="373"/>
      <c r="O226" s="373"/>
      <c r="P226" s="373"/>
      <c r="Q226" s="373"/>
    </row>
    <row r="227" spans="1:17" x14ac:dyDescent="0.25">
      <c r="A227" s="360"/>
      <c r="B227" s="360"/>
      <c r="C227" s="360"/>
      <c r="D227" s="360"/>
      <c r="E227" s="360"/>
      <c r="F227" s="492">
        <f t="shared" si="6"/>
        <v>0</v>
      </c>
      <c r="G227" s="360"/>
      <c r="H227" s="357">
        <f t="shared" si="7"/>
        <v>0</v>
      </c>
      <c r="I227" s="360"/>
    </row>
    <row r="228" spans="1:17" x14ac:dyDescent="0.25">
      <c r="A228" s="360"/>
      <c r="B228" s="360"/>
      <c r="C228" s="360"/>
      <c r="D228" s="360"/>
      <c r="E228" s="360"/>
      <c r="F228" s="492">
        <f t="shared" si="6"/>
        <v>0</v>
      </c>
      <c r="G228" s="360"/>
      <c r="H228" s="357">
        <f t="shared" si="7"/>
        <v>0</v>
      </c>
      <c r="I228" s="360"/>
    </row>
    <row r="229" spans="1:17" x14ac:dyDescent="0.25">
      <c r="A229" s="360"/>
      <c r="B229" s="360"/>
      <c r="C229" s="360"/>
      <c r="D229" s="360"/>
      <c r="E229" s="360"/>
      <c r="F229" s="492">
        <f t="shared" si="6"/>
        <v>0</v>
      </c>
      <c r="G229" s="360"/>
      <c r="H229" s="357">
        <f t="shared" si="7"/>
        <v>0</v>
      </c>
      <c r="I229" s="360"/>
    </row>
    <row r="230" spans="1:17" x14ac:dyDescent="0.25">
      <c r="A230" s="382" t="s">
        <v>4711</v>
      </c>
      <c r="B230" s="382"/>
      <c r="C230" s="382"/>
      <c r="D230" s="382"/>
      <c r="E230" s="382"/>
      <c r="F230" s="331">
        <f t="shared" si="6"/>
        <v>0</v>
      </c>
      <c r="G230" s="382"/>
      <c r="H230" s="357">
        <f t="shared" si="7"/>
        <v>0</v>
      </c>
      <c r="I230" s="382"/>
    </row>
    <row r="231" spans="1:17" s="360" customFormat="1" x14ac:dyDescent="0.25">
      <c r="F231" s="492">
        <f t="shared" si="6"/>
        <v>0</v>
      </c>
      <c r="H231" s="357">
        <f t="shared" si="7"/>
        <v>0</v>
      </c>
      <c r="J231" s="260"/>
      <c r="K231" s="260"/>
      <c r="L231" s="260"/>
      <c r="M231" s="260"/>
      <c r="N231" s="260"/>
      <c r="O231" s="260"/>
      <c r="P231" s="260"/>
      <c r="Q231" s="260"/>
    </row>
    <row r="232" spans="1:17" s="341" customFormat="1" ht="10.199999999999999" x14ac:dyDescent="0.2">
      <c r="A232" s="368"/>
      <c r="B232" s="354" t="s">
        <v>4712</v>
      </c>
      <c r="C232" s="368"/>
      <c r="D232" s="355" t="s">
        <v>1802</v>
      </c>
      <c r="E232" s="355"/>
      <c r="F232" s="357">
        <v>2</v>
      </c>
      <c r="G232" s="368"/>
      <c r="H232" s="357">
        <f>IF(F232&gt;0,F232,#REF!)</f>
        <v>2</v>
      </c>
      <c r="I232" s="358" t="s">
        <v>4540</v>
      </c>
      <c r="J232" s="373"/>
      <c r="K232" s="373"/>
      <c r="L232" s="373"/>
      <c r="M232" s="373"/>
      <c r="N232" s="373"/>
      <c r="O232" s="373"/>
      <c r="P232" s="373"/>
      <c r="Q232" s="373"/>
    </row>
    <row r="233" spans="1:17" s="341" customFormat="1" ht="10.199999999999999" x14ac:dyDescent="0.2">
      <c r="A233" s="368"/>
      <c r="B233" s="354" t="s">
        <v>4440</v>
      </c>
      <c r="C233" s="368"/>
      <c r="D233" s="355" t="s">
        <v>4665</v>
      </c>
      <c r="E233" s="355"/>
      <c r="F233" s="357">
        <v>400</v>
      </c>
      <c r="G233" s="368"/>
      <c r="H233" s="357">
        <f>IF(F233&gt;0,F233,#REF!)</f>
        <v>400</v>
      </c>
      <c r="I233" s="358" t="s">
        <v>4546</v>
      </c>
      <c r="J233" s="373"/>
      <c r="K233" s="373"/>
      <c r="L233" s="373"/>
      <c r="M233" s="373"/>
      <c r="N233" s="373"/>
      <c r="O233" s="373"/>
      <c r="P233" s="373"/>
      <c r="Q233" s="373"/>
    </row>
    <row r="234" spans="1:17" s="341" customFormat="1" ht="10.199999999999999" x14ac:dyDescent="0.2">
      <c r="A234" s="368"/>
      <c r="B234" s="354" t="s">
        <v>4441</v>
      </c>
      <c r="C234" s="368"/>
      <c r="D234" s="355" t="s">
        <v>399</v>
      </c>
      <c r="E234" s="355"/>
      <c r="F234" s="357">
        <v>1.1000000000000001</v>
      </c>
      <c r="G234" s="368"/>
      <c r="H234" s="357">
        <f>IF(F234&gt;0,F234,#REF!)</f>
        <v>1.1000000000000001</v>
      </c>
      <c r="I234" s="358" t="s">
        <v>4547</v>
      </c>
      <c r="J234" s="373"/>
      <c r="K234" s="373"/>
      <c r="L234" s="373"/>
      <c r="M234" s="373"/>
      <c r="N234" s="373"/>
      <c r="O234" s="373"/>
      <c r="P234" s="373"/>
      <c r="Q234" s="373"/>
    </row>
    <row r="235" spans="1:17" s="341" customFormat="1" ht="10.199999999999999" x14ac:dyDescent="0.2">
      <c r="A235" s="494" t="s">
        <v>4194</v>
      </c>
      <c r="B235" s="495" t="s">
        <v>1574</v>
      </c>
      <c r="C235" s="494">
        <v>0.36599999999999999</v>
      </c>
      <c r="D235" s="494" t="s">
        <v>1802</v>
      </c>
      <c r="E235" s="496">
        <v>86</v>
      </c>
      <c r="F235" s="492">
        <f t="shared" si="6"/>
        <v>79.378</v>
      </c>
      <c r="G235" s="357"/>
      <c r="H235" s="357">
        <f t="shared" si="7"/>
        <v>79.378</v>
      </c>
      <c r="I235" s="358" t="s">
        <v>7508</v>
      </c>
      <c r="J235" s="373"/>
      <c r="K235" s="373"/>
      <c r="L235" s="373"/>
      <c r="M235" s="373"/>
      <c r="N235" s="373"/>
      <c r="O235" s="373"/>
      <c r="P235" s="373"/>
      <c r="Q235" s="373"/>
    </row>
    <row r="236" spans="1:17" s="341" customFormat="1" ht="10.199999999999999" x14ac:dyDescent="0.2">
      <c r="A236" s="494" t="s">
        <v>4196</v>
      </c>
      <c r="B236" s="495" t="s">
        <v>1575</v>
      </c>
      <c r="C236" s="494">
        <v>0.54900000000000004</v>
      </c>
      <c r="D236" s="494" t="s">
        <v>1802</v>
      </c>
      <c r="E236" s="496">
        <v>118</v>
      </c>
      <c r="F236" s="492">
        <f t="shared" si="6"/>
        <v>108.914</v>
      </c>
      <c r="G236" s="357"/>
      <c r="H236" s="357">
        <f t="shared" si="7"/>
        <v>108.914</v>
      </c>
      <c r="I236" s="358" t="s">
        <v>7508</v>
      </c>
      <c r="J236" s="373"/>
      <c r="K236" s="373"/>
      <c r="L236" s="373"/>
      <c r="M236" s="373"/>
      <c r="N236" s="373"/>
      <c r="O236" s="373"/>
      <c r="P236" s="373"/>
      <c r="Q236" s="373"/>
    </row>
    <row r="237" spans="1:17" s="341" customFormat="1" ht="10.199999999999999" x14ac:dyDescent="0.2">
      <c r="A237" s="494" t="s">
        <v>4198</v>
      </c>
      <c r="B237" s="495" t="s">
        <v>1576</v>
      </c>
      <c r="C237" s="494">
        <v>0.93300000000000005</v>
      </c>
      <c r="D237" s="494" t="s">
        <v>1802</v>
      </c>
      <c r="E237" s="496">
        <v>195</v>
      </c>
      <c r="F237" s="492">
        <f t="shared" si="6"/>
        <v>179.98500000000001</v>
      </c>
      <c r="G237" s="357"/>
      <c r="H237" s="357">
        <f t="shared" si="7"/>
        <v>179.98500000000001</v>
      </c>
      <c r="I237" s="358" t="s">
        <v>7508</v>
      </c>
      <c r="J237" s="373"/>
      <c r="K237" s="373"/>
      <c r="L237" s="373"/>
      <c r="M237" s="373"/>
      <c r="N237" s="373"/>
      <c r="O237" s="373"/>
      <c r="P237" s="373"/>
      <c r="Q237" s="373"/>
    </row>
    <row r="238" spans="1:17" s="341" customFormat="1" ht="10.199999999999999" x14ac:dyDescent="0.2">
      <c r="A238" s="494" t="s">
        <v>4191</v>
      </c>
      <c r="B238" s="495" t="s">
        <v>4192</v>
      </c>
      <c r="C238" s="494">
        <v>0.34399999999999997</v>
      </c>
      <c r="D238" s="494" t="s">
        <v>1802</v>
      </c>
      <c r="E238" s="496">
        <v>65</v>
      </c>
      <c r="F238" s="492">
        <f t="shared" si="6"/>
        <v>59.995000000000005</v>
      </c>
      <c r="G238" s="357"/>
      <c r="H238" s="357">
        <f t="shared" si="7"/>
        <v>59.995000000000005</v>
      </c>
      <c r="I238" s="358" t="s">
        <v>7508</v>
      </c>
      <c r="J238" s="373"/>
      <c r="K238" s="373"/>
      <c r="L238" s="373"/>
      <c r="M238" s="373"/>
      <c r="N238" s="373"/>
      <c r="O238" s="373"/>
      <c r="P238" s="373"/>
      <c r="Q238" s="373"/>
    </row>
    <row r="239" spans="1:17" s="341" customFormat="1" ht="20.399999999999999" x14ac:dyDescent="0.2">
      <c r="A239" s="494" t="s">
        <v>4234</v>
      </c>
      <c r="B239" s="495" t="s">
        <v>4235</v>
      </c>
      <c r="C239" s="494">
        <v>1.143</v>
      </c>
      <c r="D239" s="494" t="s">
        <v>2202</v>
      </c>
      <c r="E239" s="496">
        <v>127</v>
      </c>
      <c r="F239" s="492">
        <f t="shared" si="6"/>
        <v>117.221</v>
      </c>
      <c r="G239" s="357"/>
      <c r="H239" s="357">
        <f t="shared" si="7"/>
        <v>117.221</v>
      </c>
      <c r="I239" s="358" t="s">
        <v>7508</v>
      </c>
      <c r="J239" s="373"/>
      <c r="K239" s="373"/>
      <c r="L239" s="373"/>
      <c r="M239" s="373"/>
      <c r="N239" s="373"/>
      <c r="O239" s="373"/>
      <c r="P239" s="373"/>
      <c r="Q239" s="373"/>
    </row>
    <row r="240" spans="1:17" s="341" customFormat="1" ht="20.399999999999999" x14ac:dyDescent="0.2">
      <c r="A240" s="494" t="s">
        <v>4240</v>
      </c>
      <c r="B240" s="495" t="s">
        <v>4241</v>
      </c>
      <c r="C240" s="494">
        <v>4</v>
      </c>
      <c r="D240" s="494" t="s">
        <v>2202</v>
      </c>
      <c r="E240" s="496">
        <v>445</v>
      </c>
      <c r="F240" s="492">
        <f t="shared" si="6"/>
        <v>410.73500000000001</v>
      </c>
      <c r="G240" s="357"/>
      <c r="H240" s="357">
        <f t="shared" si="7"/>
        <v>410.73500000000001</v>
      </c>
      <c r="I240" s="358" t="s">
        <v>7508</v>
      </c>
      <c r="J240" s="373"/>
      <c r="K240" s="373"/>
      <c r="L240" s="373"/>
      <c r="M240" s="373"/>
      <c r="N240" s="373"/>
      <c r="O240" s="373"/>
      <c r="P240" s="373"/>
      <c r="Q240" s="373"/>
    </row>
    <row r="241" spans="1:17" s="341" customFormat="1" ht="20.399999999999999" x14ac:dyDescent="0.2">
      <c r="A241" s="494" t="s">
        <v>4237</v>
      </c>
      <c r="B241" s="495" t="s">
        <v>4238</v>
      </c>
      <c r="C241" s="494">
        <v>2.3330000000000002</v>
      </c>
      <c r="D241" s="494" t="s">
        <v>2202</v>
      </c>
      <c r="E241" s="496">
        <v>269</v>
      </c>
      <c r="F241" s="492">
        <f t="shared" si="6"/>
        <v>248.28700000000001</v>
      </c>
      <c r="G241" s="357"/>
      <c r="H241" s="357">
        <f t="shared" si="7"/>
        <v>248.28700000000001</v>
      </c>
      <c r="I241" s="358" t="s">
        <v>7508</v>
      </c>
      <c r="J241" s="373"/>
      <c r="K241" s="373"/>
      <c r="L241" s="373"/>
      <c r="M241" s="373"/>
      <c r="N241" s="373"/>
      <c r="O241" s="373"/>
      <c r="P241" s="373"/>
      <c r="Q241" s="373"/>
    </row>
    <row r="242" spans="1:17" s="341" customFormat="1" ht="10.199999999999999" x14ac:dyDescent="0.2">
      <c r="A242" s="368"/>
      <c r="B242" s="354" t="s">
        <v>4442</v>
      </c>
      <c r="C242" s="368"/>
      <c r="D242" s="355" t="s">
        <v>1802</v>
      </c>
      <c r="E242" s="355"/>
      <c r="F242" s="357">
        <v>4</v>
      </c>
      <c r="G242" s="368"/>
      <c r="H242" s="357">
        <f>IF(F242&gt;0,F242,#REF!)</f>
        <v>4</v>
      </c>
      <c r="I242" s="358" t="s">
        <v>4548</v>
      </c>
      <c r="J242" s="373"/>
      <c r="K242" s="373"/>
      <c r="L242" s="373"/>
      <c r="M242" s="373"/>
      <c r="N242" s="373"/>
      <c r="O242" s="373"/>
      <c r="P242" s="373"/>
      <c r="Q242" s="373"/>
    </row>
    <row r="243" spans="1:17" s="341" customFormat="1" ht="10.199999999999999" x14ac:dyDescent="0.2">
      <c r="A243" s="368"/>
      <c r="B243" s="354" t="s">
        <v>4443</v>
      </c>
      <c r="C243" s="368"/>
      <c r="D243" s="355" t="s">
        <v>399</v>
      </c>
      <c r="E243" s="355"/>
      <c r="F243" s="357">
        <v>1.5</v>
      </c>
      <c r="G243" s="368"/>
      <c r="H243" s="357">
        <f>IF(F243&gt;0,F243,#REF!)</f>
        <v>1.5</v>
      </c>
      <c r="I243" s="358" t="s">
        <v>4548</v>
      </c>
      <c r="J243" s="373"/>
      <c r="K243" s="373"/>
      <c r="L243" s="373"/>
      <c r="M243" s="373"/>
      <c r="N243" s="373"/>
      <c r="O243" s="373"/>
      <c r="P243" s="373"/>
      <c r="Q243" s="373"/>
    </row>
    <row r="244" spans="1:17" s="341" customFormat="1" ht="20.399999999999999" x14ac:dyDescent="0.2">
      <c r="A244" s="368"/>
      <c r="B244" s="354" t="s">
        <v>4444</v>
      </c>
      <c r="C244" s="368"/>
      <c r="D244" s="355" t="s">
        <v>1802</v>
      </c>
      <c r="E244" s="355"/>
      <c r="F244" s="357">
        <v>2.5</v>
      </c>
      <c r="G244" s="368"/>
      <c r="H244" s="357">
        <f>IF(F244&gt;0,F244,#REF!)</f>
        <v>2.5</v>
      </c>
      <c r="I244" s="358" t="s">
        <v>4549</v>
      </c>
      <c r="J244" s="373"/>
      <c r="K244" s="373"/>
      <c r="L244" s="373"/>
      <c r="M244" s="373"/>
      <c r="N244" s="373"/>
      <c r="O244" s="373"/>
      <c r="P244" s="373"/>
      <c r="Q244" s="373"/>
    </row>
    <row r="245" spans="1:17" s="341" customFormat="1" ht="10.199999999999999" x14ac:dyDescent="0.2">
      <c r="A245" s="368"/>
      <c r="B245" s="354" t="s">
        <v>4445</v>
      </c>
      <c r="C245" s="368"/>
      <c r="D245" s="355" t="s">
        <v>1802</v>
      </c>
      <c r="E245" s="355"/>
      <c r="F245" s="357">
        <v>1.8</v>
      </c>
      <c r="G245" s="368"/>
      <c r="H245" s="357">
        <f>IF(F245&gt;0,F245,#REF!)</f>
        <v>1.8</v>
      </c>
      <c r="I245" s="358" t="s">
        <v>4550</v>
      </c>
      <c r="J245" s="373"/>
      <c r="K245" s="373"/>
      <c r="L245" s="373"/>
      <c r="M245" s="373"/>
      <c r="N245" s="373"/>
      <c r="O245" s="373"/>
      <c r="P245" s="373"/>
      <c r="Q245" s="373"/>
    </row>
    <row r="246" spans="1:17" s="341" customFormat="1" ht="10.199999999999999" x14ac:dyDescent="0.2">
      <c r="A246" s="368"/>
      <c r="B246" s="354" t="s">
        <v>4461</v>
      </c>
      <c r="C246" s="368"/>
      <c r="D246" s="355" t="s">
        <v>399</v>
      </c>
      <c r="E246" s="355"/>
      <c r="F246" s="357">
        <v>0.02</v>
      </c>
      <c r="G246" s="368"/>
      <c r="H246" s="357">
        <f>IF(F246&gt;0,F246,#REF!)</f>
        <v>0.02</v>
      </c>
      <c r="I246" s="358" t="s">
        <v>4537</v>
      </c>
      <c r="J246" s="373"/>
      <c r="K246" s="373"/>
      <c r="L246" s="373"/>
      <c r="M246" s="373"/>
      <c r="N246" s="373"/>
      <c r="O246" s="373"/>
      <c r="P246" s="373"/>
      <c r="Q246" s="373"/>
    </row>
    <row r="247" spans="1:17" s="341" customFormat="1" ht="10.199999999999999" x14ac:dyDescent="0.2">
      <c r="A247" s="368"/>
      <c r="B247" s="354" t="s">
        <v>4462</v>
      </c>
      <c r="C247" s="368"/>
      <c r="D247" s="355" t="s">
        <v>1802</v>
      </c>
      <c r="E247" s="355"/>
      <c r="F247" s="357">
        <v>0.5</v>
      </c>
      <c r="G247" s="368"/>
      <c r="H247" s="357">
        <f>IF(F247&gt;0,F247,#REF!)</f>
        <v>0.5</v>
      </c>
      <c r="I247" s="358" t="s">
        <v>4558</v>
      </c>
      <c r="J247" s="373"/>
      <c r="K247" s="373"/>
      <c r="L247" s="373"/>
      <c r="M247" s="373"/>
      <c r="N247" s="373"/>
      <c r="O247" s="373"/>
      <c r="P247" s="373"/>
      <c r="Q247" s="373"/>
    </row>
    <row r="248" spans="1:17" s="341" customFormat="1" ht="10.199999999999999" x14ac:dyDescent="0.2">
      <c r="A248" s="368"/>
      <c r="B248" s="354" t="s">
        <v>2936</v>
      </c>
      <c r="C248" s="368"/>
      <c r="D248" s="355" t="s">
        <v>2377</v>
      </c>
      <c r="E248" s="355"/>
      <c r="F248" s="357">
        <v>100</v>
      </c>
      <c r="G248" s="368"/>
      <c r="H248" s="357">
        <f>IF(F248&gt;0,F248,#REF!)</f>
        <v>100</v>
      </c>
      <c r="I248" s="358" t="s">
        <v>4559</v>
      </c>
      <c r="J248" s="373"/>
      <c r="K248" s="373"/>
      <c r="L248" s="373"/>
      <c r="M248" s="373"/>
      <c r="N248" s="373"/>
      <c r="O248" s="373"/>
      <c r="P248" s="373"/>
      <c r="Q248" s="373"/>
    </row>
    <row r="249" spans="1:17" s="341" customFormat="1" ht="10.199999999999999" x14ac:dyDescent="0.2">
      <c r="A249" s="368"/>
      <c r="B249" s="354" t="s">
        <v>4670</v>
      </c>
      <c r="C249" s="368"/>
      <c r="D249" s="355" t="s">
        <v>4667</v>
      </c>
      <c r="E249" s="355"/>
      <c r="F249" s="357">
        <v>65</v>
      </c>
      <c r="G249" s="368"/>
      <c r="H249" s="357">
        <f>IF(F249&gt;0,F249,#REF!)</f>
        <v>65</v>
      </c>
      <c r="I249" s="358" t="s">
        <v>4560</v>
      </c>
      <c r="J249" s="373"/>
      <c r="K249" s="373"/>
      <c r="L249" s="373"/>
      <c r="M249" s="373"/>
      <c r="N249" s="373"/>
      <c r="O249" s="373"/>
      <c r="P249" s="373"/>
      <c r="Q249" s="373"/>
    </row>
    <row r="250" spans="1:17" s="341" customFormat="1" ht="10.199999999999999" x14ac:dyDescent="0.2">
      <c r="A250" s="368"/>
      <c r="B250" s="354" t="s">
        <v>4463</v>
      </c>
      <c r="C250" s="368"/>
      <c r="D250" s="355" t="s">
        <v>4665</v>
      </c>
      <c r="E250" s="355"/>
      <c r="F250" s="357">
        <v>3.5</v>
      </c>
      <c r="G250" s="368"/>
      <c r="H250" s="357">
        <f>IF(F250&gt;0,F250,#REF!)</f>
        <v>3.5</v>
      </c>
      <c r="I250" s="358" t="s">
        <v>4561</v>
      </c>
      <c r="J250" s="373"/>
      <c r="K250" s="373"/>
      <c r="L250" s="373"/>
      <c r="M250" s="373"/>
      <c r="N250" s="373"/>
      <c r="O250" s="373"/>
      <c r="P250" s="373"/>
      <c r="Q250" s="373"/>
    </row>
    <row r="251" spans="1:17" x14ac:dyDescent="0.25">
      <c r="A251" s="368"/>
      <c r="B251" s="354" t="s">
        <v>4514</v>
      </c>
      <c r="C251" s="368"/>
      <c r="D251" s="355" t="s">
        <v>4665</v>
      </c>
      <c r="E251" s="355"/>
      <c r="F251" s="357">
        <v>200</v>
      </c>
      <c r="G251" s="360"/>
      <c r="H251" s="357">
        <f>IF(F251&gt;0,F251,#REF!)</f>
        <v>200</v>
      </c>
      <c r="I251" s="358" t="s">
        <v>4583</v>
      </c>
    </row>
    <row r="252" spans="1:17" x14ac:dyDescent="0.25">
      <c r="A252" s="494" t="s">
        <v>4189</v>
      </c>
      <c r="B252" s="495" t="s">
        <v>1319</v>
      </c>
      <c r="C252" s="494">
        <v>0.01</v>
      </c>
      <c r="D252" s="494" t="s">
        <v>2202</v>
      </c>
      <c r="E252" s="496">
        <v>12.25</v>
      </c>
      <c r="F252" s="492">
        <f t="shared" si="6"/>
        <v>11.306750000000001</v>
      </c>
      <c r="G252" s="357"/>
      <c r="H252" s="357">
        <f t="shared" si="7"/>
        <v>11.306750000000001</v>
      </c>
      <c r="I252" s="358" t="s">
        <v>7508</v>
      </c>
    </row>
    <row r="253" spans="1:17" x14ac:dyDescent="0.25">
      <c r="A253" s="494" t="s">
        <v>4179</v>
      </c>
      <c r="B253" s="495" t="s">
        <v>2252</v>
      </c>
      <c r="C253" s="494">
        <v>0.01</v>
      </c>
      <c r="D253" s="494" t="s">
        <v>1802</v>
      </c>
      <c r="E253" s="496">
        <v>1.32</v>
      </c>
      <c r="F253" s="492">
        <f t="shared" si="6"/>
        <v>1.2183600000000001</v>
      </c>
      <c r="G253" s="357"/>
      <c r="H253" s="357">
        <f t="shared" si="7"/>
        <v>1.2183600000000001</v>
      </c>
      <c r="I253" s="358" t="s">
        <v>7508</v>
      </c>
    </row>
    <row r="254" spans="1:17" x14ac:dyDescent="0.25">
      <c r="A254" s="494" t="s">
        <v>4187</v>
      </c>
      <c r="B254" s="495" t="s">
        <v>1320</v>
      </c>
      <c r="C254" s="494">
        <v>8</v>
      </c>
      <c r="D254" s="494" t="s">
        <v>2377</v>
      </c>
      <c r="E254" s="496">
        <v>795</v>
      </c>
      <c r="F254" s="492">
        <f t="shared" si="6"/>
        <v>733.78500000000008</v>
      </c>
      <c r="G254" s="357"/>
      <c r="H254" s="357">
        <f t="shared" si="7"/>
        <v>733.78500000000008</v>
      </c>
      <c r="I254" s="358" t="s">
        <v>7508</v>
      </c>
    </row>
    <row r="255" spans="1:17" x14ac:dyDescent="0.25">
      <c r="A255" s="494" t="s">
        <v>4182</v>
      </c>
      <c r="B255" s="495" t="s">
        <v>2810</v>
      </c>
      <c r="C255" s="494">
        <v>0.01</v>
      </c>
      <c r="D255" s="494" t="s">
        <v>1802</v>
      </c>
      <c r="E255" s="496">
        <v>0.9</v>
      </c>
      <c r="F255" s="492">
        <f t="shared" si="6"/>
        <v>0.8307000000000001</v>
      </c>
      <c r="G255" s="357"/>
      <c r="H255" s="357">
        <f t="shared" si="7"/>
        <v>0.8307000000000001</v>
      </c>
      <c r="I255" s="358" t="s">
        <v>7508</v>
      </c>
    </row>
    <row r="256" spans="1:17" x14ac:dyDescent="0.25">
      <c r="A256" s="494" t="s">
        <v>4185</v>
      </c>
      <c r="B256" s="495" t="s">
        <v>2812</v>
      </c>
      <c r="C256" s="494">
        <v>0.01</v>
      </c>
      <c r="D256" s="494" t="s">
        <v>2202</v>
      </c>
      <c r="E256" s="496">
        <v>0.82</v>
      </c>
      <c r="F256" s="492">
        <f t="shared" ref="F256:F319" si="8">E256*0.923</f>
        <v>0.75685999999999998</v>
      </c>
      <c r="G256" s="357"/>
      <c r="H256" s="357">
        <f t="shared" ref="H256:H319" si="9">IF(G256&gt;0,G256,F256)</f>
        <v>0.75685999999999998</v>
      </c>
      <c r="I256" s="358" t="s">
        <v>7508</v>
      </c>
    </row>
    <row r="257" spans="1:17" x14ac:dyDescent="0.25">
      <c r="A257" s="368"/>
      <c r="B257" s="354" t="s">
        <v>4683</v>
      </c>
      <c r="C257" s="368"/>
      <c r="D257" s="355" t="s">
        <v>2030</v>
      </c>
      <c r="E257" s="355"/>
      <c r="F257" s="492">
        <f t="shared" si="8"/>
        <v>0</v>
      </c>
      <c r="G257" s="357">
        <v>50</v>
      </c>
      <c r="H257" s="357">
        <f t="shared" si="9"/>
        <v>50</v>
      </c>
      <c r="I257" s="358" t="s">
        <v>4587</v>
      </c>
    </row>
    <row r="258" spans="1:17" x14ac:dyDescent="0.25">
      <c r="A258" s="368"/>
      <c r="B258" s="354" t="s">
        <v>4533</v>
      </c>
      <c r="C258" s="368"/>
      <c r="D258" s="355" t="s">
        <v>2840</v>
      </c>
      <c r="E258" s="355"/>
      <c r="F258" s="492">
        <f t="shared" si="8"/>
        <v>0</v>
      </c>
      <c r="G258" s="357">
        <v>9.25</v>
      </c>
      <c r="H258" s="357">
        <f t="shared" si="9"/>
        <v>9.25</v>
      </c>
      <c r="I258" s="358" t="s">
        <v>4591</v>
      </c>
    </row>
    <row r="259" spans="1:17" s="341" customFormat="1" ht="10.199999999999999" x14ac:dyDescent="0.2">
      <c r="A259" s="494"/>
      <c r="B259" s="495"/>
      <c r="C259" s="494"/>
      <c r="D259" s="494"/>
      <c r="E259" s="496"/>
      <c r="F259" s="492">
        <f t="shared" si="8"/>
        <v>0</v>
      </c>
      <c r="G259" s="357"/>
      <c r="H259" s="357">
        <f t="shared" si="9"/>
        <v>0</v>
      </c>
      <c r="I259" s="358"/>
      <c r="J259" s="373"/>
      <c r="K259" s="373"/>
      <c r="L259" s="373"/>
      <c r="M259" s="373"/>
      <c r="N259" s="373"/>
      <c r="O259" s="373"/>
      <c r="P259" s="373"/>
      <c r="Q259" s="373"/>
    </row>
    <row r="260" spans="1:17" s="341" customFormat="1" ht="10.199999999999999" x14ac:dyDescent="0.2">
      <c r="A260" s="312"/>
      <c r="B260" s="325"/>
      <c r="C260" s="312"/>
      <c r="D260" s="312"/>
      <c r="E260" s="329"/>
      <c r="F260" s="331">
        <f t="shared" si="8"/>
        <v>0</v>
      </c>
      <c r="G260" s="357"/>
      <c r="H260" s="357">
        <f t="shared" si="9"/>
        <v>0</v>
      </c>
      <c r="I260" s="358"/>
      <c r="J260" s="373"/>
      <c r="K260" s="373"/>
      <c r="L260" s="373"/>
      <c r="M260" s="373"/>
      <c r="N260" s="373"/>
      <c r="O260" s="373"/>
      <c r="P260" s="373"/>
      <c r="Q260" s="373"/>
    </row>
    <row r="261" spans="1:17" s="367" customFormat="1" ht="11.4" x14ac:dyDescent="0.2">
      <c r="A261" s="362"/>
      <c r="B261" s="363"/>
      <c r="C261" s="364"/>
      <c r="D261" s="363"/>
      <c r="E261" s="364"/>
      <c r="F261" s="331">
        <f t="shared" si="8"/>
        <v>0</v>
      </c>
      <c r="G261" s="365"/>
      <c r="H261" s="357">
        <f t="shared" si="9"/>
        <v>0</v>
      </c>
      <c r="I261" s="366"/>
      <c r="J261" s="371"/>
      <c r="K261" s="371"/>
      <c r="L261" s="371"/>
      <c r="M261" s="371"/>
      <c r="N261" s="371"/>
      <c r="O261" s="371"/>
      <c r="P261" s="371"/>
      <c r="Q261" s="371"/>
    </row>
    <row r="262" spans="1:17" x14ac:dyDescent="0.25">
      <c r="A262" s="382" t="s">
        <v>4725</v>
      </c>
      <c r="B262" s="382"/>
      <c r="C262" s="382"/>
      <c r="D262" s="382"/>
      <c r="E262" s="382"/>
      <c r="F262" s="331">
        <f t="shared" si="8"/>
        <v>0</v>
      </c>
      <c r="G262" s="382"/>
      <c r="H262" s="357">
        <f t="shared" si="9"/>
        <v>0</v>
      </c>
      <c r="I262" s="382"/>
    </row>
    <row r="263" spans="1:17" s="360" customFormat="1" x14ac:dyDescent="0.25">
      <c r="F263" s="331">
        <f t="shared" si="8"/>
        <v>0</v>
      </c>
      <c r="H263" s="357">
        <f t="shared" si="9"/>
        <v>0</v>
      </c>
      <c r="J263" s="260"/>
      <c r="K263" s="260"/>
      <c r="L263" s="260"/>
      <c r="M263" s="260"/>
      <c r="N263" s="260"/>
      <c r="O263" s="260"/>
      <c r="P263" s="260"/>
      <c r="Q263" s="260"/>
    </row>
    <row r="264" spans="1:17" s="341" customFormat="1" ht="10.199999999999999" x14ac:dyDescent="0.2">
      <c r="A264" s="312" t="s">
        <v>3642</v>
      </c>
      <c r="B264" s="325" t="s">
        <v>3643</v>
      </c>
      <c r="C264" s="312">
        <v>4.2000000000000003E-2</v>
      </c>
      <c r="D264" s="312" t="s">
        <v>2202</v>
      </c>
      <c r="E264" s="329">
        <v>4.42</v>
      </c>
      <c r="F264" s="331">
        <f t="shared" si="8"/>
        <v>4.0796600000000005</v>
      </c>
      <c r="G264" s="357"/>
      <c r="H264" s="357">
        <f t="shared" si="9"/>
        <v>4.0796600000000005</v>
      </c>
      <c r="I264" s="358" t="s">
        <v>7508</v>
      </c>
      <c r="J264" s="373"/>
      <c r="K264" s="373"/>
      <c r="L264" s="373"/>
      <c r="M264" s="373"/>
      <c r="N264" s="373"/>
      <c r="O264" s="373"/>
      <c r="P264" s="373"/>
      <c r="Q264" s="373"/>
    </row>
    <row r="265" spans="1:17" s="341" customFormat="1" ht="10.199999999999999" x14ac:dyDescent="0.2">
      <c r="A265" s="312" t="s">
        <v>3645</v>
      </c>
      <c r="B265" s="325" t="s">
        <v>3646</v>
      </c>
      <c r="C265" s="312">
        <v>4.2000000000000003E-2</v>
      </c>
      <c r="D265" s="312" t="s">
        <v>2202</v>
      </c>
      <c r="E265" s="329">
        <v>5.25</v>
      </c>
      <c r="F265" s="331">
        <f t="shared" si="8"/>
        <v>4.8457500000000007</v>
      </c>
      <c r="G265" s="357"/>
      <c r="H265" s="357">
        <f t="shared" si="9"/>
        <v>4.8457500000000007</v>
      </c>
      <c r="I265" s="358" t="s">
        <v>7508</v>
      </c>
      <c r="J265" s="373"/>
      <c r="K265" s="373"/>
      <c r="L265" s="373"/>
      <c r="M265" s="373"/>
      <c r="N265" s="373"/>
      <c r="O265" s="373"/>
      <c r="P265" s="373"/>
      <c r="Q265" s="373"/>
    </row>
    <row r="266" spans="1:17" s="341" customFormat="1" ht="10.199999999999999" x14ac:dyDescent="0.2">
      <c r="A266" s="312" t="s">
        <v>3648</v>
      </c>
      <c r="B266" s="325" t="s">
        <v>3649</v>
      </c>
      <c r="C266" s="312">
        <v>5.7000000000000002E-2</v>
      </c>
      <c r="D266" s="312" t="s">
        <v>2202</v>
      </c>
      <c r="E266" s="329">
        <v>7.45</v>
      </c>
      <c r="F266" s="331">
        <f t="shared" si="8"/>
        <v>6.8763500000000004</v>
      </c>
      <c r="G266" s="357"/>
      <c r="H266" s="357">
        <f t="shared" si="9"/>
        <v>6.8763500000000004</v>
      </c>
      <c r="I266" s="358" t="s">
        <v>7508</v>
      </c>
      <c r="J266" s="373"/>
      <c r="K266" s="373"/>
      <c r="L266" s="373"/>
      <c r="M266" s="373"/>
      <c r="N266" s="373"/>
      <c r="O266" s="373"/>
      <c r="P266" s="373"/>
      <c r="Q266" s="373"/>
    </row>
    <row r="267" spans="1:17" s="341" customFormat="1" ht="10.199999999999999" x14ac:dyDescent="0.2">
      <c r="A267" s="312" t="s">
        <v>3694</v>
      </c>
      <c r="B267" s="325" t="s">
        <v>3695</v>
      </c>
      <c r="C267" s="312">
        <v>4.2000000000000003E-2</v>
      </c>
      <c r="D267" s="312" t="s">
        <v>2202</v>
      </c>
      <c r="E267" s="329">
        <v>4.74</v>
      </c>
      <c r="F267" s="331">
        <f t="shared" si="8"/>
        <v>4.3750200000000001</v>
      </c>
      <c r="G267" s="357"/>
      <c r="H267" s="357">
        <f t="shared" si="9"/>
        <v>4.3750200000000001</v>
      </c>
      <c r="I267" s="358" t="s">
        <v>7508</v>
      </c>
      <c r="J267" s="373"/>
      <c r="K267" s="373"/>
      <c r="L267" s="373"/>
      <c r="M267" s="373"/>
      <c r="N267" s="373"/>
      <c r="O267" s="373"/>
      <c r="P267" s="373"/>
      <c r="Q267" s="373"/>
    </row>
    <row r="268" spans="1:17" s="341" customFormat="1" ht="10.199999999999999" x14ac:dyDescent="0.2">
      <c r="A268" s="312" t="s">
        <v>3700</v>
      </c>
      <c r="B268" s="325" t="s">
        <v>3701</v>
      </c>
      <c r="C268" s="312">
        <v>5.7000000000000002E-2</v>
      </c>
      <c r="D268" s="312" t="s">
        <v>2202</v>
      </c>
      <c r="E268" s="329">
        <v>7.55</v>
      </c>
      <c r="F268" s="331">
        <f t="shared" si="8"/>
        <v>6.9686500000000002</v>
      </c>
      <c r="G268" s="357"/>
      <c r="H268" s="357">
        <f t="shared" si="9"/>
        <v>6.9686500000000002</v>
      </c>
      <c r="I268" s="358" t="s">
        <v>7508</v>
      </c>
      <c r="J268" s="373"/>
      <c r="K268" s="373"/>
      <c r="L268" s="373"/>
      <c r="M268" s="373"/>
      <c r="N268" s="373"/>
      <c r="O268" s="373"/>
      <c r="P268" s="373"/>
      <c r="Q268" s="373"/>
    </row>
    <row r="269" spans="1:17" s="341" customFormat="1" ht="10.199999999999999" x14ac:dyDescent="0.2">
      <c r="A269" s="312" t="s">
        <v>3691</v>
      </c>
      <c r="B269" s="325" t="s">
        <v>3692</v>
      </c>
      <c r="C269" s="312">
        <v>6.7000000000000004E-2</v>
      </c>
      <c r="D269" s="312" t="s">
        <v>2202</v>
      </c>
      <c r="E269" s="329">
        <v>8.25</v>
      </c>
      <c r="F269" s="331">
        <f t="shared" si="8"/>
        <v>7.6147500000000008</v>
      </c>
      <c r="G269" s="357"/>
      <c r="H269" s="357">
        <f t="shared" si="9"/>
        <v>7.6147500000000008</v>
      </c>
      <c r="I269" s="358" t="s">
        <v>7508</v>
      </c>
      <c r="J269" s="373"/>
      <c r="K269" s="373"/>
      <c r="L269" s="373"/>
      <c r="M269" s="373"/>
      <c r="N269" s="373"/>
      <c r="O269" s="373"/>
      <c r="P269" s="373"/>
      <c r="Q269" s="373"/>
    </row>
    <row r="270" spans="1:17" s="341" customFormat="1" ht="10.199999999999999" x14ac:dyDescent="0.2">
      <c r="A270" s="312" t="s">
        <v>3697</v>
      </c>
      <c r="B270" s="325" t="s">
        <v>3698</v>
      </c>
      <c r="C270" s="312">
        <v>6.7000000000000004E-2</v>
      </c>
      <c r="D270" s="312" t="s">
        <v>2202</v>
      </c>
      <c r="E270" s="329">
        <v>8.4499999999999993</v>
      </c>
      <c r="F270" s="331">
        <f t="shared" si="8"/>
        <v>7.7993499999999996</v>
      </c>
      <c r="G270" s="357"/>
      <c r="H270" s="357">
        <f t="shared" si="9"/>
        <v>7.7993499999999996</v>
      </c>
      <c r="I270" s="358" t="s">
        <v>7508</v>
      </c>
      <c r="J270" s="373"/>
      <c r="K270" s="373"/>
      <c r="L270" s="373"/>
      <c r="M270" s="373"/>
      <c r="N270" s="373"/>
      <c r="O270" s="373"/>
      <c r="P270" s="373"/>
      <c r="Q270" s="373"/>
    </row>
    <row r="271" spans="1:17" s="341" customFormat="1" ht="10.199999999999999" x14ac:dyDescent="0.2">
      <c r="A271" s="312" t="s">
        <v>3637</v>
      </c>
      <c r="B271" s="325" t="s">
        <v>1052</v>
      </c>
      <c r="C271" s="312">
        <v>1.4550000000000001</v>
      </c>
      <c r="D271" s="312" t="s">
        <v>1053</v>
      </c>
      <c r="E271" s="329">
        <v>174</v>
      </c>
      <c r="F271" s="331">
        <f t="shared" si="8"/>
        <v>160.602</v>
      </c>
      <c r="G271" s="357"/>
      <c r="H271" s="357">
        <f t="shared" si="9"/>
        <v>160.602</v>
      </c>
      <c r="I271" s="358" t="s">
        <v>7508</v>
      </c>
      <c r="J271" s="373"/>
      <c r="K271" s="373"/>
      <c r="L271" s="373"/>
      <c r="M271" s="373"/>
      <c r="N271" s="373"/>
      <c r="O271" s="373"/>
      <c r="P271" s="373"/>
      <c r="Q271" s="373"/>
    </row>
    <row r="272" spans="1:17" s="341" customFormat="1" ht="20.399999999999999" x14ac:dyDescent="0.2">
      <c r="A272" s="312" t="s">
        <v>3639</v>
      </c>
      <c r="B272" s="325" t="s">
        <v>3640</v>
      </c>
      <c r="C272" s="312">
        <v>1.143</v>
      </c>
      <c r="D272" s="312" t="s">
        <v>1053</v>
      </c>
      <c r="E272" s="329">
        <v>155</v>
      </c>
      <c r="F272" s="331">
        <f t="shared" si="8"/>
        <v>143.065</v>
      </c>
      <c r="G272" s="357"/>
      <c r="H272" s="357">
        <f t="shared" si="9"/>
        <v>143.065</v>
      </c>
      <c r="I272" s="358" t="s">
        <v>7508</v>
      </c>
      <c r="J272" s="373"/>
      <c r="K272" s="373"/>
      <c r="L272" s="373"/>
      <c r="M272" s="373"/>
      <c r="N272" s="373"/>
      <c r="O272" s="373"/>
      <c r="P272" s="373"/>
      <c r="Q272" s="373"/>
    </row>
    <row r="273" spans="1:17" s="341" customFormat="1" ht="10.199999999999999" x14ac:dyDescent="0.2">
      <c r="A273" s="368"/>
      <c r="B273" s="354"/>
      <c r="C273" s="368"/>
      <c r="D273" s="355"/>
      <c r="E273" s="355"/>
      <c r="F273" s="492"/>
      <c r="G273" s="357"/>
      <c r="H273" s="357"/>
      <c r="I273" s="358"/>
      <c r="J273" s="373"/>
      <c r="K273" s="373"/>
      <c r="L273" s="373"/>
      <c r="M273" s="373"/>
      <c r="N273" s="373"/>
      <c r="O273" s="373"/>
      <c r="P273" s="373"/>
      <c r="Q273" s="373"/>
    </row>
    <row r="274" spans="1:17" s="341" customFormat="1" ht="10.199999999999999" x14ac:dyDescent="0.2">
      <c r="A274" s="368"/>
      <c r="B274" s="354"/>
      <c r="C274" s="368"/>
      <c r="D274" s="355"/>
      <c r="E274" s="355"/>
      <c r="F274" s="492"/>
      <c r="G274" s="357"/>
      <c r="H274" s="357"/>
      <c r="I274" s="358"/>
      <c r="J274" s="373"/>
      <c r="K274" s="373"/>
      <c r="L274" s="373"/>
      <c r="M274" s="373"/>
      <c r="N274" s="373"/>
      <c r="O274" s="373"/>
      <c r="P274" s="373"/>
      <c r="Q274" s="373"/>
    </row>
    <row r="275" spans="1:17" s="341" customFormat="1" ht="10.199999999999999" x14ac:dyDescent="0.2">
      <c r="A275" s="312" t="s">
        <v>3680</v>
      </c>
      <c r="B275" s="325" t="s">
        <v>3681</v>
      </c>
      <c r="C275" s="312">
        <v>0.08</v>
      </c>
      <c r="D275" s="312" t="s">
        <v>2265</v>
      </c>
      <c r="E275" s="329">
        <v>10.199999999999999</v>
      </c>
      <c r="F275" s="331">
        <f t="shared" si="8"/>
        <v>9.4146000000000001</v>
      </c>
      <c r="G275" s="357"/>
      <c r="H275" s="357">
        <f t="shared" si="9"/>
        <v>9.4146000000000001</v>
      </c>
      <c r="I275" s="358" t="s">
        <v>7508</v>
      </c>
      <c r="J275" s="373"/>
      <c r="K275" s="373"/>
      <c r="L275" s="373"/>
      <c r="M275" s="373"/>
      <c r="N275" s="373"/>
      <c r="O275" s="373"/>
      <c r="P275" s="373"/>
      <c r="Q275" s="373"/>
    </row>
    <row r="276" spans="1:17" s="341" customFormat="1" ht="10.199999999999999" x14ac:dyDescent="0.2">
      <c r="A276" s="312" t="s">
        <v>3674</v>
      </c>
      <c r="B276" s="325" t="s">
        <v>3675</v>
      </c>
      <c r="C276" s="312">
        <v>0.08</v>
      </c>
      <c r="D276" s="312" t="s">
        <v>2265</v>
      </c>
      <c r="E276" s="329">
        <v>7.45</v>
      </c>
      <c r="F276" s="331">
        <f t="shared" si="8"/>
        <v>6.8763500000000004</v>
      </c>
      <c r="G276" s="357"/>
      <c r="H276" s="357">
        <f t="shared" si="9"/>
        <v>6.8763500000000004</v>
      </c>
      <c r="I276" s="358" t="s">
        <v>7508</v>
      </c>
      <c r="J276" s="373"/>
      <c r="K276" s="373"/>
      <c r="L276" s="373"/>
      <c r="M276" s="373"/>
      <c r="N276" s="373"/>
      <c r="O276" s="373"/>
      <c r="P276" s="373"/>
      <c r="Q276" s="373"/>
    </row>
    <row r="277" spans="1:17" s="341" customFormat="1" ht="10.199999999999999" x14ac:dyDescent="0.2">
      <c r="A277" s="312" t="s">
        <v>3683</v>
      </c>
      <c r="B277" s="325" t="s">
        <v>3684</v>
      </c>
      <c r="C277" s="312">
        <v>0.08</v>
      </c>
      <c r="D277" s="312" t="s">
        <v>2265</v>
      </c>
      <c r="E277" s="329">
        <v>8.5500000000000007</v>
      </c>
      <c r="F277" s="331">
        <f t="shared" si="8"/>
        <v>7.8916500000000012</v>
      </c>
      <c r="G277" s="357"/>
      <c r="H277" s="357">
        <f t="shared" si="9"/>
        <v>7.8916500000000012</v>
      </c>
      <c r="I277" s="358" t="s">
        <v>7508</v>
      </c>
      <c r="J277" s="373"/>
      <c r="K277" s="373"/>
      <c r="L277" s="373"/>
      <c r="M277" s="373"/>
      <c r="N277" s="373"/>
      <c r="O277" s="373"/>
      <c r="P277" s="373"/>
      <c r="Q277" s="373"/>
    </row>
    <row r="278" spans="1:17" s="341" customFormat="1" ht="10.199999999999999" x14ac:dyDescent="0.2">
      <c r="A278" s="312" t="s">
        <v>3677</v>
      </c>
      <c r="B278" s="325" t="s">
        <v>3678</v>
      </c>
      <c r="C278" s="312">
        <v>0.08</v>
      </c>
      <c r="D278" s="312" t="s">
        <v>2265</v>
      </c>
      <c r="E278" s="329">
        <v>7.45</v>
      </c>
      <c r="F278" s="331">
        <f t="shared" si="8"/>
        <v>6.8763500000000004</v>
      </c>
      <c r="G278" s="357"/>
      <c r="H278" s="357">
        <f t="shared" si="9"/>
        <v>6.8763500000000004</v>
      </c>
      <c r="I278" s="358" t="s">
        <v>7508</v>
      </c>
      <c r="J278" s="373"/>
      <c r="K278" s="373"/>
      <c r="L278" s="373"/>
      <c r="M278" s="373"/>
      <c r="N278" s="373"/>
      <c r="O278" s="373"/>
      <c r="P278" s="373"/>
      <c r="Q278" s="373"/>
    </row>
    <row r="279" spans="1:17" s="341" customFormat="1" ht="10.199999999999999" x14ac:dyDescent="0.2">
      <c r="A279" s="312" t="s">
        <v>3686</v>
      </c>
      <c r="B279" s="325" t="s">
        <v>3687</v>
      </c>
      <c r="C279" s="312">
        <v>0.08</v>
      </c>
      <c r="D279" s="312" t="s">
        <v>2265</v>
      </c>
      <c r="E279" s="329">
        <v>9.35</v>
      </c>
      <c r="F279" s="331">
        <f t="shared" si="8"/>
        <v>8.6300500000000007</v>
      </c>
      <c r="G279" s="357"/>
      <c r="H279" s="357">
        <f t="shared" si="9"/>
        <v>8.6300500000000007</v>
      </c>
      <c r="I279" s="358" t="s">
        <v>7508</v>
      </c>
      <c r="J279" s="373"/>
      <c r="K279" s="373"/>
      <c r="L279" s="373"/>
      <c r="M279" s="373"/>
      <c r="N279" s="373"/>
      <c r="O279" s="373"/>
      <c r="P279" s="373"/>
      <c r="Q279" s="373"/>
    </row>
    <row r="280" spans="1:17" s="341" customFormat="1" ht="10.199999999999999" x14ac:dyDescent="0.2">
      <c r="A280" s="312" t="s">
        <v>3689</v>
      </c>
      <c r="B280" s="325" t="s">
        <v>1536</v>
      </c>
      <c r="C280" s="312">
        <v>0.08</v>
      </c>
      <c r="D280" s="312" t="s">
        <v>2265</v>
      </c>
      <c r="E280" s="329">
        <v>12.7</v>
      </c>
      <c r="F280" s="331">
        <f t="shared" si="8"/>
        <v>11.722099999999999</v>
      </c>
      <c r="G280" s="357"/>
      <c r="H280" s="357">
        <f t="shared" si="9"/>
        <v>11.722099999999999</v>
      </c>
      <c r="I280" s="358" t="s">
        <v>7508</v>
      </c>
      <c r="J280" s="373"/>
      <c r="K280" s="373"/>
      <c r="L280" s="373"/>
      <c r="M280" s="373"/>
      <c r="N280" s="373"/>
      <c r="O280" s="373"/>
      <c r="P280" s="373"/>
      <c r="Q280" s="373"/>
    </row>
    <row r="281" spans="1:17" s="341" customFormat="1" ht="10.199999999999999" x14ac:dyDescent="0.2">
      <c r="A281" s="368"/>
      <c r="B281" s="354"/>
      <c r="C281" s="368"/>
      <c r="D281" s="355"/>
      <c r="E281" s="355"/>
      <c r="F281" s="492"/>
      <c r="G281" s="357"/>
      <c r="H281" s="357"/>
      <c r="I281" s="358"/>
      <c r="J281" s="373"/>
      <c r="K281" s="373"/>
      <c r="L281" s="373"/>
      <c r="M281" s="373"/>
      <c r="N281" s="373"/>
      <c r="O281" s="373"/>
      <c r="P281" s="373"/>
      <c r="Q281" s="373"/>
    </row>
    <row r="282" spans="1:17" s="341" customFormat="1" ht="10.199999999999999" x14ac:dyDescent="0.2">
      <c r="A282" s="368"/>
      <c r="B282" s="354"/>
      <c r="C282" s="368"/>
      <c r="D282" s="355"/>
      <c r="E282" s="355"/>
      <c r="F282" s="492"/>
      <c r="G282" s="357"/>
      <c r="H282" s="357"/>
      <c r="I282" s="358"/>
      <c r="J282" s="373"/>
      <c r="K282" s="373"/>
      <c r="L282" s="373"/>
      <c r="M282" s="373"/>
      <c r="N282" s="373"/>
      <c r="O282" s="373"/>
      <c r="P282" s="373"/>
      <c r="Q282" s="373"/>
    </row>
    <row r="283" spans="1:17" x14ac:dyDescent="0.25">
      <c r="A283" s="312" t="s">
        <v>3663</v>
      </c>
      <c r="B283" s="325" t="s">
        <v>3664</v>
      </c>
      <c r="C283" s="312">
        <v>4.2000000000000003E-2</v>
      </c>
      <c r="D283" s="312" t="s">
        <v>2202</v>
      </c>
      <c r="E283" s="329">
        <v>4.76</v>
      </c>
      <c r="F283" s="331">
        <f t="shared" si="8"/>
        <v>4.3934800000000003</v>
      </c>
      <c r="G283" s="357"/>
      <c r="H283" s="357">
        <f t="shared" si="9"/>
        <v>4.3934800000000003</v>
      </c>
      <c r="I283" s="358" t="s">
        <v>7508</v>
      </c>
    </row>
    <row r="284" spans="1:17" x14ac:dyDescent="0.25">
      <c r="A284" s="312" t="s">
        <v>3666</v>
      </c>
      <c r="B284" s="325" t="s">
        <v>1274</v>
      </c>
      <c r="C284" s="312">
        <v>5.5E-2</v>
      </c>
      <c r="D284" s="312" t="s">
        <v>2202</v>
      </c>
      <c r="E284" s="329">
        <v>6.4</v>
      </c>
      <c r="F284" s="331">
        <f t="shared" si="8"/>
        <v>5.9072000000000005</v>
      </c>
      <c r="G284" s="357"/>
      <c r="H284" s="357">
        <f t="shared" si="9"/>
        <v>5.9072000000000005</v>
      </c>
      <c r="I284" s="358" t="s">
        <v>7508</v>
      </c>
    </row>
    <row r="285" spans="1:17" x14ac:dyDescent="0.25">
      <c r="A285" s="312" t="s">
        <v>3668</v>
      </c>
      <c r="B285" s="325" t="s">
        <v>3669</v>
      </c>
      <c r="C285" s="312">
        <v>4.2000000000000003E-2</v>
      </c>
      <c r="D285" s="312" t="s">
        <v>2202</v>
      </c>
      <c r="E285" s="329">
        <v>4.76</v>
      </c>
      <c r="F285" s="331">
        <f t="shared" si="8"/>
        <v>4.3934800000000003</v>
      </c>
      <c r="G285" s="357"/>
      <c r="H285" s="357">
        <f t="shared" si="9"/>
        <v>4.3934800000000003</v>
      </c>
      <c r="I285" s="358" t="s">
        <v>7508</v>
      </c>
    </row>
    <row r="286" spans="1:17" x14ac:dyDescent="0.25">
      <c r="A286" s="312" t="s">
        <v>3671</v>
      </c>
      <c r="B286" s="325" t="s">
        <v>3672</v>
      </c>
      <c r="C286" s="312">
        <v>5.5E-2</v>
      </c>
      <c r="D286" s="312" t="s">
        <v>2202</v>
      </c>
      <c r="E286" s="329">
        <v>7.05</v>
      </c>
      <c r="F286" s="331">
        <f t="shared" si="8"/>
        <v>6.5071500000000002</v>
      </c>
      <c r="G286" s="357"/>
      <c r="H286" s="357">
        <f t="shared" si="9"/>
        <v>6.5071500000000002</v>
      </c>
      <c r="I286" s="358" t="s">
        <v>7508</v>
      </c>
    </row>
    <row r="287" spans="1:17" x14ac:dyDescent="0.25">
      <c r="A287" s="312" t="s">
        <v>3651</v>
      </c>
      <c r="B287" s="325" t="s">
        <v>3652</v>
      </c>
      <c r="C287" s="312">
        <v>4.2000000000000003E-2</v>
      </c>
      <c r="D287" s="312" t="s">
        <v>2202</v>
      </c>
      <c r="E287" s="329">
        <v>5.35</v>
      </c>
      <c r="F287" s="331">
        <f t="shared" si="8"/>
        <v>4.9380499999999996</v>
      </c>
      <c r="G287" s="357"/>
      <c r="H287" s="357">
        <f t="shared" si="9"/>
        <v>4.9380499999999996</v>
      </c>
      <c r="I287" s="358" t="s">
        <v>7508</v>
      </c>
    </row>
    <row r="288" spans="1:17" x14ac:dyDescent="0.25">
      <c r="A288" s="312" t="s">
        <v>3654</v>
      </c>
      <c r="B288" s="325" t="s">
        <v>3655</v>
      </c>
      <c r="C288" s="312">
        <v>5.5E-2</v>
      </c>
      <c r="D288" s="312" t="s">
        <v>2202</v>
      </c>
      <c r="E288" s="329">
        <v>7.2</v>
      </c>
      <c r="F288" s="331">
        <f t="shared" si="8"/>
        <v>6.6456000000000008</v>
      </c>
      <c r="G288" s="357"/>
      <c r="H288" s="357">
        <f t="shared" si="9"/>
        <v>6.6456000000000008</v>
      </c>
      <c r="I288" s="358" t="s">
        <v>7508</v>
      </c>
    </row>
    <row r="289" spans="1:17" x14ac:dyDescent="0.25">
      <c r="A289" s="312" t="s">
        <v>3657</v>
      </c>
      <c r="B289" s="325" t="s">
        <v>3658</v>
      </c>
      <c r="C289" s="312">
        <v>6.2E-2</v>
      </c>
      <c r="D289" s="312" t="s">
        <v>2202</v>
      </c>
      <c r="E289" s="329">
        <v>8.85</v>
      </c>
      <c r="F289" s="331">
        <f t="shared" si="8"/>
        <v>8.1685499999999998</v>
      </c>
      <c r="G289" s="357"/>
      <c r="H289" s="357">
        <f t="shared" si="9"/>
        <v>8.1685499999999998</v>
      </c>
      <c r="I289" s="358" t="s">
        <v>7508</v>
      </c>
    </row>
    <row r="290" spans="1:17" x14ac:dyDescent="0.25">
      <c r="A290" s="312" t="s">
        <v>3660</v>
      </c>
      <c r="B290" s="325" t="s">
        <v>3661</v>
      </c>
      <c r="C290" s="312">
        <v>7.5999999999999998E-2</v>
      </c>
      <c r="D290" s="312" t="s">
        <v>2202</v>
      </c>
      <c r="E290" s="329">
        <v>10.45</v>
      </c>
      <c r="F290" s="331">
        <f t="shared" si="8"/>
        <v>9.6453500000000005</v>
      </c>
      <c r="G290" s="357"/>
      <c r="H290" s="357">
        <f t="shared" si="9"/>
        <v>9.6453500000000005</v>
      </c>
      <c r="I290" s="358" t="s">
        <v>7508</v>
      </c>
    </row>
    <row r="291" spans="1:17" x14ac:dyDescent="0.25">
      <c r="A291" s="312" t="s">
        <v>3703</v>
      </c>
      <c r="B291" s="325" t="s">
        <v>3704</v>
      </c>
      <c r="C291" s="312">
        <v>7.2999999999999995E-2</v>
      </c>
      <c r="D291" s="312" t="s">
        <v>2202</v>
      </c>
      <c r="E291" s="329">
        <v>6.1</v>
      </c>
      <c r="F291" s="331">
        <f t="shared" si="8"/>
        <v>5.6303000000000001</v>
      </c>
      <c r="G291" s="357"/>
      <c r="H291" s="357">
        <f t="shared" si="9"/>
        <v>5.6303000000000001</v>
      </c>
      <c r="I291" s="358" t="s">
        <v>7508</v>
      </c>
    </row>
    <row r="292" spans="1:17" x14ac:dyDescent="0.25">
      <c r="A292" s="312" t="s">
        <v>3634</v>
      </c>
      <c r="B292" s="325" t="s">
        <v>3635</v>
      </c>
      <c r="C292" s="312">
        <v>0.216</v>
      </c>
      <c r="D292" s="312" t="s">
        <v>1053</v>
      </c>
      <c r="E292" s="329">
        <v>21</v>
      </c>
      <c r="F292" s="331">
        <f t="shared" si="8"/>
        <v>19.383000000000003</v>
      </c>
      <c r="G292" s="357"/>
      <c r="H292" s="357">
        <f t="shared" si="9"/>
        <v>19.383000000000003</v>
      </c>
      <c r="I292" s="358" t="s">
        <v>7508</v>
      </c>
    </row>
    <row r="293" spans="1:17" s="341" customFormat="1" ht="10.199999999999999" x14ac:dyDescent="0.2">
      <c r="A293" s="368"/>
      <c r="B293" s="354" t="s">
        <v>4420</v>
      </c>
      <c r="C293" s="368"/>
      <c r="D293" s="355" t="s">
        <v>4665</v>
      </c>
      <c r="E293" s="355"/>
      <c r="F293" s="357">
        <v>425</v>
      </c>
      <c r="G293" s="368"/>
      <c r="H293" s="357">
        <f>IF(F293&gt;0,F293,#REF!)</f>
        <v>425</v>
      </c>
      <c r="I293" s="358" t="s">
        <v>4539</v>
      </c>
      <c r="J293" s="373"/>
      <c r="K293" s="373"/>
      <c r="L293" s="373"/>
      <c r="M293" s="373"/>
      <c r="N293" s="373"/>
      <c r="O293" s="373"/>
      <c r="P293" s="373"/>
      <c r="Q293" s="373"/>
    </row>
    <row r="294" spans="1:17" s="341" customFormat="1" ht="10.199999999999999" x14ac:dyDescent="0.2">
      <c r="A294" s="368"/>
      <c r="B294" s="354" t="s">
        <v>4457</v>
      </c>
      <c r="C294" s="368"/>
      <c r="D294" s="355" t="s">
        <v>4665</v>
      </c>
      <c r="E294" s="355"/>
      <c r="F294" s="357">
        <v>660</v>
      </c>
      <c r="G294" s="368"/>
      <c r="H294" s="357">
        <f>IF(F294&gt;0,F294,#REF!)</f>
        <v>660</v>
      </c>
      <c r="I294" s="358" t="s">
        <v>4557</v>
      </c>
      <c r="J294" s="373"/>
      <c r="K294" s="373"/>
      <c r="L294" s="373"/>
      <c r="M294" s="373"/>
      <c r="N294" s="373"/>
      <c r="O294" s="373"/>
      <c r="P294" s="373"/>
      <c r="Q294" s="373"/>
    </row>
    <row r="295" spans="1:17" s="341" customFormat="1" ht="10.199999999999999" x14ac:dyDescent="0.2">
      <c r="A295" s="368"/>
      <c r="B295" s="354" t="s">
        <v>4458</v>
      </c>
      <c r="C295" s="368"/>
      <c r="D295" s="355" t="s">
        <v>4665</v>
      </c>
      <c r="E295" s="355"/>
      <c r="F295" s="357">
        <v>250</v>
      </c>
      <c r="G295" s="368"/>
      <c r="H295" s="357">
        <f>IF(F295&gt;0,F295,#REF!)</f>
        <v>250</v>
      </c>
      <c r="I295" s="358" t="s">
        <v>4557</v>
      </c>
      <c r="J295" s="373"/>
      <c r="K295" s="373"/>
      <c r="L295" s="373"/>
      <c r="M295" s="373"/>
      <c r="N295" s="373"/>
      <c r="O295" s="373"/>
      <c r="P295" s="373"/>
      <c r="Q295" s="373"/>
    </row>
    <row r="296" spans="1:17" s="341" customFormat="1" ht="10.199999999999999" x14ac:dyDescent="0.2">
      <c r="A296" s="368"/>
      <c r="B296" s="354" t="s">
        <v>4459</v>
      </c>
      <c r="C296" s="368"/>
      <c r="D296" s="355" t="s">
        <v>4665</v>
      </c>
      <c r="E296" s="355"/>
      <c r="F296" s="357">
        <v>700</v>
      </c>
      <c r="G296" s="368"/>
      <c r="H296" s="357">
        <f>IF(F296&gt;0,F296,#REF!)</f>
        <v>700</v>
      </c>
      <c r="I296" s="358" t="s">
        <v>4557</v>
      </c>
      <c r="J296" s="373"/>
      <c r="K296" s="373"/>
      <c r="L296" s="373"/>
      <c r="M296" s="373"/>
      <c r="N296" s="373"/>
      <c r="O296" s="373"/>
      <c r="P296" s="373"/>
      <c r="Q296" s="373"/>
    </row>
    <row r="297" spans="1:17" s="341" customFormat="1" ht="10.199999999999999" x14ac:dyDescent="0.2">
      <c r="A297" s="368"/>
      <c r="B297" s="354" t="s">
        <v>4460</v>
      </c>
      <c r="C297" s="368"/>
      <c r="D297" s="355" t="s">
        <v>4665</v>
      </c>
      <c r="E297" s="355"/>
      <c r="F297" s="357">
        <v>150</v>
      </c>
      <c r="G297" s="368"/>
      <c r="H297" s="357">
        <f>IF(F297&gt;0,F297,#REF!)</f>
        <v>150</v>
      </c>
      <c r="I297" s="358" t="s">
        <v>4557</v>
      </c>
      <c r="J297" s="373"/>
      <c r="K297" s="373"/>
      <c r="L297" s="373"/>
      <c r="M297" s="373"/>
      <c r="N297" s="373"/>
      <c r="O297" s="373"/>
      <c r="P297" s="373"/>
      <c r="Q297" s="373"/>
    </row>
    <row r="298" spans="1:17" x14ac:dyDescent="0.25">
      <c r="A298" s="368"/>
      <c r="B298" s="354" t="s">
        <v>4515</v>
      </c>
      <c r="C298" s="368"/>
      <c r="D298" s="355" t="s">
        <v>4665</v>
      </c>
      <c r="E298" s="355"/>
      <c r="F298" s="357">
        <v>120</v>
      </c>
      <c r="H298" s="357">
        <f>IF(F298&gt;0,F298,#REF!)</f>
        <v>120</v>
      </c>
      <c r="I298" s="358" t="s">
        <v>4585</v>
      </c>
    </row>
    <row r="299" spans="1:17" ht="20.399999999999999" x14ac:dyDescent="0.25">
      <c r="A299" s="312" t="s">
        <v>4321</v>
      </c>
      <c r="B299" s="325" t="s">
        <v>4322</v>
      </c>
      <c r="C299" s="312">
        <v>0.11</v>
      </c>
      <c r="D299" s="312" t="s">
        <v>2840</v>
      </c>
      <c r="E299" s="329">
        <v>11.85</v>
      </c>
      <c r="F299" s="331">
        <f t="shared" si="8"/>
        <v>10.93755</v>
      </c>
      <c r="G299" s="357"/>
      <c r="H299" s="357">
        <f t="shared" si="9"/>
        <v>10.93755</v>
      </c>
      <c r="I299" s="358" t="s">
        <v>7508</v>
      </c>
    </row>
    <row r="300" spans="1:17" ht="20.399999999999999" x14ac:dyDescent="0.25">
      <c r="A300" s="312" t="s">
        <v>4324</v>
      </c>
      <c r="B300" s="325" t="s">
        <v>4325</v>
      </c>
      <c r="C300" s="312">
        <v>4.8000000000000001E-2</v>
      </c>
      <c r="D300" s="312" t="s">
        <v>2202</v>
      </c>
      <c r="E300" s="329">
        <v>5.15</v>
      </c>
      <c r="F300" s="331">
        <f t="shared" si="8"/>
        <v>4.7534500000000008</v>
      </c>
      <c r="G300" s="357"/>
      <c r="H300" s="357">
        <f t="shared" si="9"/>
        <v>4.7534500000000008</v>
      </c>
      <c r="I300" s="358" t="s">
        <v>7508</v>
      </c>
    </row>
    <row r="301" spans="1:17" ht="20.399999999999999" x14ac:dyDescent="0.25">
      <c r="A301" s="312" t="s">
        <v>4319</v>
      </c>
      <c r="B301" s="325" t="s">
        <v>2825</v>
      </c>
      <c r="C301" s="312">
        <v>0.16</v>
      </c>
      <c r="D301" s="312" t="s">
        <v>2840</v>
      </c>
      <c r="E301" s="329">
        <v>35</v>
      </c>
      <c r="F301" s="331">
        <f t="shared" si="8"/>
        <v>32.305</v>
      </c>
      <c r="G301" s="357"/>
      <c r="H301" s="357">
        <f t="shared" si="9"/>
        <v>32.305</v>
      </c>
      <c r="I301" s="358" t="s">
        <v>7508</v>
      </c>
    </row>
    <row r="302" spans="1:17" ht="20.399999999999999" x14ac:dyDescent="0.25">
      <c r="A302" s="312" t="s">
        <v>4311</v>
      </c>
      <c r="B302" s="325" t="s">
        <v>4312</v>
      </c>
      <c r="C302" s="312">
        <v>3.5</v>
      </c>
      <c r="D302" s="312" t="s">
        <v>2265</v>
      </c>
      <c r="E302" s="329">
        <v>1350</v>
      </c>
      <c r="F302" s="331">
        <f t="shared" si="8"/>
        <v>1246.05</v>
      </c>
      <c r="G302" s="357"/>
      <c r="H302" s="357">
        <f t="shared" si="9"/>
        <v>1246.05</v>
      </c>
      <c r="I302" s="358" t="s">
        <v>7508</v>
      </c>
    </row>
    <row r="303" spans="1:17" ht="20.399999999999999" x14ac:dyDescent="0.25">
      <c r="A303" s="312" t="s">
        <v>4314</v>
      </c>
      <c r="B303" s="325" t="s">
        <v>4315</v>
      </c>
      <c r="C303" s="312">
        <v>4</v>
      </c>
      <c r="D303" s="312" t="s">
        <v>2265</v>
      </c>
      <c r="E303" s="329">
        <v>2025</v>
      </c>
      <c r="F303" s="331">
        <f t="shared" si="8"/>
        <v>1869.075</v>
      </c>
      <c r="G303" s="357"/>
      <c r="H303" s="357">
        <f t="shared" si="9"/>
        <v>1869.075</v>
      </c>
      <c r="I303" s="358" t="s">
        <v>7508</v>
      </c>
    </row>
    <row r="304" spans="1:17" ht="20.399999999999999" x14ac:dyDescent="0.25">
      <c r="A304" s="312" t="s">
        <v>4317</v>
      </c>
      <c r="B304" s="325" t="s">
        <v>2827</v>
      </c>
      <c r="C304" s="312">
        <v>5.6</v>
      </c>
      <c r="D304" s="312" t="s">
        <v>2265</v>
      </c>
      <c r="E304" s="329">
        <v>2575</v>
      </c>
      <c r="F304" s="331">
        <f t="shared" si="8"/>
        <v>2376.7249999999999</v>
      </c>
      <c r="G304" s="357"/>
      <c r="H304" s="357">
        <f t="shared" si="9"/>
        <v>2376.7249999999999</v>
      </c>
      <c r="I304" s="358" t="s">
        <v>7508</v>
      </c>
    </row>
    <row r="305" spans="1:17" x14ac:dyDescent="0.25">
      <c r="A305" s="368"/>
      <c r="B305" s="354" t="s">
        <v>4684</v>
      </c>
      <c r="C305" s="368"/>
      <c r="D305" s="355" t="s">
        <v>4665</v>
      </c>
      <c r="E305" s="515"/>
      <c r="F305" s="492">
        <v>750</v>
      </c>
      <c r="G305" s="357"/>
      <c r="H305" s="357">
        <f t="shared" si="9"/>
        <v>750</v>
      </c>
      <c r="I305" s="358" t="s">
        <v>4588</v>
      </c>
    </row>
    <row r="306" spans="1:17" s="367" customFormat="1" ht="11.4" x14ac:dyDescent="0.2">
      <c r="A306" s="362"/>
      <c r="B306" s="363"/>
      <c r="C306" s="364"/>
      <c r="D306" s="363"/>
      <c r="E306" s="364"/>
      <c r="F306" s="331">
        <f t="shared" si="8"/>
        <v>0</v>
      </c>
      <c r="G306" s="365"/>
      <c r="H306" s="357">
        <f t="shared" si="9"/>
        <v>0</v>
      </c>
      <c r="I306" s="366"/>
      <c r="J306" s="371"/>
      <c r="K306" s="371"/>
      <c r="L306" s="371"/>
      <c r="M306" s="371"/>
      <c r="N306" s="371"/>
      <c r="O306" s="371"/>
      <c r="P306" s="371"/>
      <c r="Q306" s="371"/>
    </row>
    <row r="307" spans="1:17" s="367" customFormat="1" ht="11.4" x14ac:dyDescent="0.2">
      <c r="A307" s="362"/>
      <c r="B307" s="363"/>
      <c r="C307" s="364"/>
      <c r="D307" s="363"/>
      <c r="E307" s="364"/>
      <c r="F307" s="331">
        <f t="shared" si="8"/>
        <v>0</v>
      </c>
      <c r="G307" s="365"/>
      <c r="H307" s="357">
        <f t="shared" si="9"/>
        <v>0</v>
      </c>
      <c r="I307" s="366"/>
      <c r="J307" s="371"/>
      <c r="K307" s="371"/>
      <c r="L307" s="371"/>
      <c r="M307" s="371"/>
      <c r="N307" s="371"/>
      <c r="O307" s="371"/>
      <c r="P307" s="371"/>
      <c r="Q307" s="371"/>
    </row>
    <row r="308" spans="1:17" s="367" customFormat="1" ht="11.4" x14ac:dyDescent="0.2">
      <c r="A308" s="362"/>
      <c r="B308" s="363"/>
      <c r="C308" s="364"/>
      <c r="D308" s="363"/>
      <c r="E308" s="364"/>
      <c r="F308" s="331">
        <f t="shared" si="8"/>
        <v>0</v>
      </c>
      <c r="G308" s="365"/>
      <c r="H308" s="357">
        <f t="shared" si="9"/>
        <v>0</v>
      </c>
      <c r="I308" s="366"/>
      <c r="J308" s="371"/>
      <c r="K308" s="371"/>
      <c r="L308" s="371"/>
      <c r="M308" s="371"/>
      <c r="N308" s="371"/>
      <c r="O308" s="371"/>
      <c r="P308" s="371"/>
      <c r="Q308" s="371"/>
    </row>
    <row r="309" spans="1:17" x14ac:dyDescent="0.25">
      <c r="A309" s="382" t="s">
        <v>4714</v>
      </c>
      <c r="B309" s="382"/>
      <c r="C309" s="382"/>
      <c r="D309" s="382"/>
      <c r="E309" s="382"/>
      <c r="F309" s="382"/>
      <c r="G309" s="382"/>
      <c r="H309" s="382"/>
      <c r="I309" s="382"/>
    </row>
    <row r="310" spans="1:17" s="360" customFormat="1" x14ac:dyDescent="0.25">
      <c r="F310" s="331">
        <f t="shared" si="8"/>
        <v>0</v>
      </c>
      <c r="H310" s="357">
        <f t="shared" si="9"/>
        <v>0</v>
      </c>
      <c r="J310" s="260"/>
      <c r="K310" s="260"/>
      <c r="L310" s="260"/>
      <c r="M310" s="260"/>
      <c r="N310" s="260"/>
      <c r="O310" s="260"/>
      <c r="P310" s="260"/>
      <c r="Q310" s="260"/>
    </row>
    <row r="311" spans="1:17" s="341" customFormat="1" ht="30.6" x14ac:dyDescent="0.2">
      <c r="A311" s="312" t="s">
        <v>3827</v>
      </c>
      <c r="B311" s="325" t="s">
        <v>3828</v>
      </c>
      <c r="C311" s="312">
        <v>0.57099999999999995</v>
      </c>
      <c r="D311" s="312" t="s">
        <v>2265</v>
      </c>
      <c r="E311" s="329">
        <v>545</v>
      </c>
      <c r="F311" s="331">
        <f t="shared" si="8"/>
        <v>503.03500000000003</v>
      </c>
      <c r="G311" s="357"/>
      <c r="H311" s="357">
        <f t="shared" si="9"/>
        <v>503.03500000000003</v>
      </c>
      <c r="I311" s="358" t="s">
        <v>7508</v>
      </c>
      <c r="J311" s="373"/>
      <c r="K311" s="373"/>
      <c r="L311" s="373"/>
      <c r="M311" s="373"/>
      <c r="N311" s="373"/>
      <c r="O311" s="373"/>
      <c r="P311" s="373"/>
      <c r="Q311" s="373"/>
    </row>
    <row r="312" spans="1:17" s="341" customFormat="1" ht="30.6" x14ac:dyDescent="0.2">
      <c r="A312" s="312" t="s">
        <v>3833</v>
      </c>
      <c r="B312" s="325" t="s">
        <v>3834</v>
      </c>
      <c r="C312" s="312">
        <v>0.8</v>
      </c>
      <c r="D312" s="312" t="s">
        <v>2265</v>
      </c>
      <c r="E312" s="329">
        <v>1075</v>
      </c>
      <c r="F312" s="331">
        <f t="shared" si="8"/>
        <v>992.22500000000002</v>
      </c>
      <c r="G312" s="357"/>
      <c r="H312" s="357">
        <f t="shared" si="9"/>
        <v>992.22500000000002</v>
      </c>
      <c r="I312" s="358" t="s">
        <v>7508</v>
      </c>
      <c r="J312" s="373"/>
      <c r="K312" s="373"/>
      <c r="L312" s="373"/>
      <c r="M312" s="373"/>
      <c r="N312" s="373"/>
      <c r="O312" s="373"/>
      <c r="P312" s="373"/>
      <c r="Q312" s="373"/>
    </row>
    <row r="313" spans="1:17" s="341" customFormat="1" ht="30.6" x14ac:dyDescent="0.2">
      <c r="A313" s="312" t="s">
        <v>3830</v>
      </c>
      <c r="B313" s="325" t="s">
        <v>3831</v>
      </c>
      <c r="C313" s="312">
        <v>0.66700000000000004</v>
      </c>
      <c r="D313" s="312" t="s">
        <v>2265</v>
      </c>
      <c r="E313" s="329">
        <v>975</v>
      </c>
      <c r="F313" s="331">
        <f t="shared" si="8"/>
        <v>899.92500000000007</v>
      </c>
      <c r="G313" s="357"/>
      <c r="H313" s="357">
        <f t="shared" si="9"/>
        <v>899.92500000000007</v>
      </c>
      <c r="I313" s="358" t="s">
        <v>7508</v>
      </c>
      <c r="J313" s="373"/>
      <c r="K313" s="373"/>
      <c r="L313" s="373"/>
      <c r="M313" s="373"/>
      <c r="N313" s="373"/>
      <c r="O313" s="373"/>
      <c r="P313" s="373"/>
      <c r="Q313" s="373"/>
    </row>
    <row r="314" spans="1:17" s="341" customFormat="1" ht="30.6" x14ac:dyDescent="0.2">
      <c r="A314" s="312" t="s">
        <v>3836</v>
      </c>
      <c r="B314" s="325" t="s">
        <v>3837</v>
      </c>
      <c r="C314" s="312">
        <v>1.143</v>
      </c>
      <c r="D314" s="312" t="s">
        <v>2265</v>
      </c>
      <c r="E314" s="329">
        <v>1225</v>
      </c>
      <c r="F314" s="331">
        <f t="shared" si="8"/>
        <v>1130.675</v>
      </c>
      <c r="G314" s="357"/>
      <c r="H314" s="357">
        <f t="shared" si="9"/>
        <v>1130.675</v>
      </c>
      <c r="I314" s="358" t="s">
        <v>7508</v>
      </c>
      <c r="J314" s="373"/>
      <c r="K314" s="373"/>
      <c r="L314" s="373"/>
      <c r="M314" s="373"/>
      <c r="N314" s="373"/>
      <c r="O314" s="373"/>
      <c r="P314" s="373"/>
      <c r="Q314" s="373"/>
    </row>
    <row r="315" spans="1:17" s="341" customFormat="1" ht="30.6" x14ac:dyDescent="0.2">
      <c r="A315" s="312" t="s">
        <v>3824</v>
      </c>
      <c r="B315" s="325" t="s">
        <v>3825</v>
      </c>
      <c r="C315" s="312">
        <v>0.5</v>
      </c>
      <c r="D315" s="312" t="s">
        <v>2265</v>
      </c>
      <c r="E315" s="329">
        <v>505</v>
      </c>
      <c r="F315" s="331">
        <f t="shared" si="8"/>
        <v>466.11500000000001</v>
      </c>
      <c r="G315" s="357"/>
      <c r="H315" s="357">
        <f t="shared" si="9"/>
        <v>466.11500000000001</v>
      </c>
      <c r="I315" s="358" t="s">
        <v>7508</v>
      </c>
      <c r="J315" s="373"/>
      <c r="K315" s="373"/>
      <c r="L315" s="373"/>
      <c r="M315" s="373"/>
      <c r="N315" s="373"/>
      <c r="O315" s="373"/>
      <c r="P315" s="373"/>
      <c r="Q315" s="373"/>
    </row>
    <row r="316" spans="1:17" s="368" customFormat="1" ht="10.199999999999999" x14ac:dyDescent="0.2">
      <c r="A316" s="503">
        <v>333113252160</v>
      </c>
      <c r="B316" s="354" t="s">
        <v>4419</v>
      </c>
      <c r="C316" s="368">
        <v>8.7999999999999995E-2</v>
      </c>
      <c r="D316" s="355" t="s">
        <v>2202</v>
      </c>
      <c r="E316" s="355">
        <v>22</v>
      </c>
      <c r="F316" s="492">
        <f t="shared" si="8"/>
        <v>20.306000000000001</v>
      </c>
      <c r="G316" s="357"/>
      <c r="H316" s="357">
        <f t="shared" si="9"/>
        <v>20.306000000000001</v>
      </c>
      <c r="I316" s="358" t="s">
        <v>7508</v>
      </c>
      <c r="J316" s="373"/>
      <c r="K316" s="373"/>
      <c r="L316" s="373"/>
      <c r="M316" s="373"/>
      <c r="N316" s="373"/>
      <c r="O316" s="373"/>
      <c r="P316" s="373"/>
      <c r="Q316" s="373"/>
    </row>
    <row r="317" spans="1:17" s="341" customFormat="1" ht="20.399999999999999" x14ac:dyDescent="0.2">
      <c r="A317" s="312" t="s">
        <v>3857</v>
      </c>
      <c r="B317" s="325" t="s">
        <v>3858</v>
      </c>
      <c r="C317" s="312">
        <v>0.57099999999999995</v>
      </c>
      <c r="D317" s="312" t="s">
        <v>2265</v>
      </c>
      <c r="E317" s="329">
        <v>820</v>
      </c>
      <c r="F317" s="331">
        <f t="shared" si="8"/>
        <v>756.86</v>
      </c>
      <c r="G317" s="357"/>
      <c r="H317" s="357">
        <f t="shared" si="9"/>
        <v>756.86</v>
      </c>
      <c r="I317" s="358" t="s">
        <v>7508</v>
      </c>
      <c r="J317" s="373"/>
      <c r="K317" s="373"/>
      <c r="L317" s="373"/>
      <c r="M317" s="373"/>
      <c r="N317" s="373"/>
      <c r="O317" s="373"/>
      <c r="P317" s="373"/>
      <c r="Q317" s="373"/>
    </row>
    <row r="318" spans="1:17" s="341" customFormat="1" ht="20.399999999999999" x14ac:dyDescent="0.2">
      <c r="A318" s="312" t="s">
        <v>3854</v>
      </c>
      <c r="B318" s="325" t="s">
        <v>3855</v>
      </c>
      <c r="C318" s="312">
        <v>0.5</v>
      </c>
      <c r="D318" s="312" t="s">
        <v>2265</v>
      </c>
      <c r="E318" s="329">
        <v>670</v>
      </c>
      <c r="F318" s="331">
        <f t="shared" si="8"/>
        <v>618.41000000000008</v>
      </c>
      <c r="G318" s="357"/>
      <c r="H318" s="357">
        <f t="shared" si="9"/>
        <v>618.41000000000008</v>
      </c>
      <c r="I318" s="358" t="s">
        <v>7508</v>
      </c>
      <c r="J318" s="373"/>
      <c r="K318" s="373"/>
      <c r="L318" s="373"/>
      <c r="M318" s="373"/>
      <c r="N318" s="373"/>
      <c r="O318" s="373"/>
      <c r="P318" s="373"/>
      <c r="Q318" s="373"/>
    </row>
    <row r="319" spans="1:17" s="341" customFormat="1" ht="20.399999999999999" x14ac:dyDescent="0.2">
      <c r="A319" s="312" t="s">
        <v>3848</v>
      </c>
      <c r="B319" s="325" t="s">
        <v>3849</v>
      </c>
      <c r="C319" s="312">
        <v>1</v>
      </c>
      <c r="D319" s="312" t="s">
        <v>2265</v>
      </c>
      <c r="E319" s="329">
        <v>995</v>
      </c>
      <c r="F319" s="331">
        <f t="shared" si="8"/>
        <v>918.38499999999999</v>
      </c>
      <c r="G319" s="357"/>
      <c r="H319" s="357">
        <f t="shared" si="9"/>
        <v>918.38499999999999</v>
      </c>
      <c r="I319" s="358" t="s">
        <v>7508</v>
      </c>
      <c r="J319" s="373"/>
      <c r="K319" s="373"/>
      <c r="L319" s="373"/>
      <c r="M319" s="373"/>
      <c r="N319" s="373"/>
      <c r="O319" s="373"/>
      <c r="P319" s="373"/>
      <c r="Q319" s="373"/>
    </row>
    <row r="320" spans="1:17" s="341" customFormat="1" ht="20.399999999999999" x14ac:dyDescent="0.2">
      <c r="A320" s="312" t="s">
        <v>3851</v>
      </c>
      <c r="B320" s="325" t="s">
        <v>3852</v>
      </c>
      <c r="C320" s="312">
        <v>1.143</v>
      </c>
      <c r="D320" s="312" t="s">
        <v>2265</v>
      </c>
      <c r="E320" s="329">
        <v>1300</v>
      </c>
      <c r="F320" s="331">
        <f t="shared" ref="F320:F380" si="10">E320*0.923</f>
        <v>1199.9000000000001</v>
      </c>
      <c r="G320" s="357"/>
      <c r="H320" s="357">
        <f t="shared" ref="H320:H380" si="11">IF(G320&gt;0,G320,F320)</f>
        <v>1199.9000000000001</v>
      </c>
      <c r="I320" s="358" t="s">
        <v>7508</v>
      </c>
      <c r="J320" s="373"/>
      <c r="K320" s="373"/>
      <c r="L320" s="373"/>
      <c r="M320" s="373"/>
      <c r="N320" s="373"/>
      <c r="O320" s="373"/>
      <c r="P320" s="373"/>
      <c r="Q320" s="373"/>
    </row>
    <row r="321" spans="1:17" s="341" customFormat="1" ht="20.399999999999999" x14ac:dyDescent="0.2">
      <c r="A321" s="312" t="s">
        <v>3845</v>
      </c>
      <c r="B321" s="325" t="s">
        <v>3846</v>
      </c>
      <c r="C321" s="312">
        <v>0.57099999999999995</v>
      </c>
      <c r="D321" s="312" t="s">
        <v>2265</v>
      </c>
      <c r="E321" s="329">
        <v>1275</v>
      </c>
      <c r="F321" s="331">
        <f t="shared" si="10"/>
        <v>1176.825</v>
      </c>
      <c r="G321" s="357"/>
      <c r="H321" s="357">
        <f t="shared" si="11"/>
        <v>1176.825</v>
      </c>
      <c r="I321" s="358" t="s">
        <v>7508</v>
      </c>
      <c r="J321" s="373"/>
      <c r="K321" s="373"/>
      <c r="L321" s="373"/>
      <c r="M321" s="373"/>
      <c r="N321" s="373"/>
      <c r="O321" s="373"/>
      <c r="P321" s="373"/>
      <c r="Q321" s="373"/>
    </row>
    <row r="322" spans="1:17" s="341" customFormat="1" ht="20.399999999999999" x14ac:dyDescent="0.2">
      <c r="A322" s="312" t="s">
        <v>3842</v>
      </c>
      <c r="B322" s="325" t="s">
        <v>3843</v>
      </c>
      <c r="C322" s="312">
        <v>0.66700000000000004</v>
      </c>
      <c r="D322" s="312" t="s">
        <v>2265</v>
      </c>
      <c r="E322" s="329">
        <v>575</v>
      </c>
      <c r="F322" s="331">
        <f t="shared" si="10"/>
        <v>530.72500000000002</v>
      </c>
      <c r="G322" s="357"/>
      <c r="H322" s="357">
        <f t="shared" si="11"/>
        <v>530.72500000000002</v>
      </c>
      <c r="I322" s="358" t="s">
        <v>7508</v>
      </c>
      <c r="J322" s="373"/>
      <c r="K322" s="373"/>
      <c r="L322" s="373"/>
      <c r="M322" s="373"/>
      <c r="N322" s="373"/>
      <c r="O322" s="373"/>
      <c r="P322" s="373"/>
      <c r="Q322" s="373"/>
    </row>
    <row r="323" spans="1:17" s="341" customFormat="1" ht="20.399999999999999" x14ac:dyDescent="0.2">
      <c r="A323" s="312" t="s">
        <v>3839</v>
      </c>
      <c r="B323" s="325" t="s">
        <v>3840</v>
      </c>
      <c r="C323" s="312">
        <v>0.57099999999999995</v>
      </c>
      <c r="D323" s="312" t="s">
        <v>2265</v>
      </c>
      <c r="E323" s="329">
        <v>530</v>
      </c>
      <c r="F323" s="331">
        <f t="shared" si="10"/>
        <v>489.19</v>
      </c>
      <c r="G323" s="357"/>
      <c r="H323" s="357">
        <f t="shared" si="11"/>
        <v>489.19</v>
      </c>
      <c r="I323" s="358" t="s">
        <v>7508</v>
      </c>
      <c r="J323" s="373"/>
      <c r="K323" s="373"/>
      <c r="L323" s="373"/>
      <c r="M323" s="373"/>
      <c r="N323" s="373"/>
      <c r="O323" s="373"/>
      <c r="P323" s="373"/>
      <c r="Q323" s="373"/>
    </row>
    <row r="324" spans="1:17" s="341" customFormat="1" ht="20.399999999999999" x14ac:dyDescent="0.2">
      <c r="A324" s="368"/>
      <c r="B324" s="354" t="s">
        <v>4455</v>
      </c>
      <c r="C324" s="368"/>
      <c r="D324" s="355" t="s">
        <v>4665</v>
      </c>
      <c r="E324" s="355"/>
      <c r="F324" s="492">
        <f t="shared" si="10"/>
        <v>0</v>
      </c>
      <c r="G324" s="357">
        <v>900</v>
      </c>
      <c r="H324" s="357">
        <f t="shared" si="11"/>
        <v>900</v>
      </c>
      <c r="I324" s="358" t="s">
        <v>4555</v>
      </c>
      <c r="J324" s="373"/>
      <c r="K324" s="373"/>
      <c r="L324" s="373"/>
      <c r="M324" s="373"/>
      <c r="N324" s="373"/>
      <c r="O324" s="373"/>
      <c r="P324" s="373"/>
      <c r="Q324" s="373"/>
    </row>
    <row r="325" spans="1:17" s="341" customFormat="1" ht="20.399999999999999" x14ac:dyDescent="0.2">
      <c r="A325" s="368"/>
      <c r="B325" s="354" t="s">
        <v>4456</v>
      </c>
      <c r="C325" s="368"/>
      <c r="D325" s="355" t="s">
        <v>4665</v>
      </c>
      <c r="E325" s="355"/>
      <c r="F325" s="492">
        <f t="shared" si="10"/>
        <v>0</v>
      </c>
      <c r="G325" s="357">
        <v>1000</v>
      </c>
      <c r="H325" s="357">
        <f t="shared" si="11"/>
        <v>1000</v>
      </c>
      <c r="I325" s="358" t="s">
        <v>4555</v>
      </c>
      <c r="J325" s="373"/>
      <c r="K325" s="373"/>
      <c r="L325" s="373"/>
      <c r="M325" s="373"/>
      <c r="N325" s="373"/>
      <c r="O325" s="373"/>
      <c r="P325" s="373"/>
      <c r="Q325" s="373"/>
    </row>
    <row r="326" spans="1:17" s="341" customFormat="1" ht="10.199999999999999" x14ac:dyDescent="0.2">
      <c r="A326" s="368"/>
      <c r="B326" s="354" t="s">
        <v>4673</v>
      </c>
      <c r="C326" s="368"/>
      <c r="D326" s="355" t="s">
        <v>2016</v>
      </c>
      <c r="E326" s="515"/>
      <c r="F326" s="492">
        <v>1.25</v>
      </c>
      <c r="G326" s="357"/>
      <c r="H326" s="357">
        <f t="shared" si="11"/>
        <v>1.25</v>
      </c>
      <c r="I326" s="358" t="s">
        <v>4540</v>
      </c>
      <c r="J326" s="373"/>
      <c r="K326" s="373"/>
      <c r="L326" s="373"/>
      <c r="M326" s="373"/>
      <c r="N326" s="373"/>
      <c r="O326" s="373"/>
      <c r="P326" s="373"/>
      <c r="Q326" s="373"/>
    </row>
    <row r="327" spans="1:17" s="341" customFormat="1" ht="10.199999999999999" x14ac:dyDescent="0.2">
      <c r="A327" s="368"/>
      <c r="B327" s="354" t="s">
        <v>4674</v>
      </c>
      <c r="C327" s="368"/>
      <c r="D327" s="355" t="s">
        <v>2016</v>
      </c>
      <c r="E327" s="355"/>
      <c r="F327" s="357">
        <v>2</v>
      </c>
      <c r="G327" s="368"/>
      <c r="H327" s="357">
        <f>IF(F327&gt;0,F327,#REF!)</f>
        <v>2</v>
      </c>
      <c r="I327" s="358" t="s">
        <v>4540</v>
      </c>
      <c r="J327" s="373"/>
      <c r="K327" s="373"/>
      <c r="L327" s="373"/>
      <c r="M327" s="373"/>
      <c r="N327" s="373"/>
      <c r="O327" s="373"/>
      <c r="P327" s="373"/>
      <c r="Q327" s="373"/>
    </row>
    <row r="328" spans="1:17" s="341" customFormat="1" ht="10.199999999999999" x14ac:dyDescent="0.2">
      <c r="A328" s="368"/>
      <c r="B328" s="354" t="s">
        <v>4675</v>
      </c>
      <c r="C328" s="368"/>
      <c r="D328" s="355" t="s">
        <v>2016</v>
      </c>
      <c r="E328" s="355"/>
      <c r="F328" s="357">
        <v>2.5</v>
      </c>
      <c r="G328" s="368"/>
      <c r="H328" s="357">
        <f>IF(F328&gt;0,F328,#REF!)</f>
        <v>2.5</v>
      </c>
      <c r="I328" s="358" t="s">
        <v>4540</v>
      </c>
      <c r="J328" s="373"/>
      <c r="K328" s="373"/>
      <c r="L328" s="373"/>
      <c r="M328" s="373"/>
      <c r="N328" s="373"/>
      <c r="O328" s="373"/>
      <c r="P328" s="373"/>
      <c r="Q328" s="373"/>
    </row>
    <row r="329" spans="1:17" s="341" customFormat="1" ht="10.199999999999999" x14ac:dyDescent="0.2">
      <c r="A329" s="368"/>
      <c r="B329" s="354" t="s">
        <v>4676</v>
      </c>
      <c r="C329" s="368"/>
      <c r="D329" s="355" t="s">
        <v>4665</v>
      </c>
      <c r="E329" s="515"/>
      <c r="F329" s="357">
        <v>20</v>
      </c>
      <c r="G329" s="368"/>
      <c r="H329" s="357">
        <f>IF(F329&gt;0,F329,#REF!)</f>
        <v>20</v>
      </c>
      <c r="I329" s="358" t="s">
        <v>4540</v>
      </c>
      <c r="J329" s="373"/>
      <c r="K329" s="373"/>
      <c r="L329" s="373"/>
      <c r="M329" s="373"/>
      <c r="N329" s="373"/>
      <c r="O329" s="373"/>
      <c r="P329" s="373"/>
      <c r="Q329" s="373"/>
    </row>
    <row r="330" spans="1:17" s="341" customFormat="1" ht="10.199999999999999" x14ac:dyDescent="0.2">
      <c r="A330" s="368"/>
      <c r="B330" s="354" t="s">
        <v>4677</v>
      </c>
      <c r="C330" s="368"/>
      <c r="D330" s="355" t="s">
        <v>4665</v>
      </c>
      <c r="E330" s="355"/>
      <c r="F330" s="357">
        <v>60</v>
      </c>
      <c r="G330" s="368"/>
      <c r="H330" s="357">
        <f>IF(F330&gt;0,F330,#REF!)</f>
        <v>60</v>
      </c>
      <c r="I330" s="358" t="s">
        <v>4540</v>
      </c>
      <c r="J330" s="373"/>
      <c r="K330" s="373"/>
      <c r="L330" s="373"/>
      <c r="M330" s="373"/>
      <c r="N330" s="373"/>
      <c r="O330" s="373"/>
      <c r="P330" s="373"/>
      <c r="Q330" s="373"/>
    </row>
    <row r="331" spans="1:17" s="341" customFormat="1" ht="10.199999999999999" x14ac:dyDescent="0.2">
      <c r="A331" s="368"/>
      <c r="B331" s="354" t="s">
        <v>4678</v>
      </c>
      <c r="C331" s="368"/>
      <c r="D331" s="355" t="s">
        <v>4665</v>
      </c>
      <c r="E331" s="355"/>
      <c r="F331" s="357">
        <v>80</v>
      </c>
      <c r="G331" s="368"/>
      <c r="H331" s="357">
        <f>IF(F331&gt;0,F331,#REF!)</f>
        <v>80</v>
      </c>
      <c r="I331" s="358" t="s">
        <v>4540</v>
      </c>
      <c r="J331" s="373"/>
      <c r="K331" s="373"/>
      <c r="L331" s="373"/>
      <c r="M331" s="373"/>
      <c r="N331" s="373"/>
      <c r="O331" s="373"/>
      <c r="P331" s="373"/>
      <c r="Q331" s="373"/>
    </row>
    <row r="332" spans="1:17" s="341" customFormat="1" ht="10.199999999999999" x14ac:dyDescent="0.2">
      <c r="A332" s="368"/>
      <c r="B332" s="354" t="s">
        <v>4467</v>
      </c>
      <c r="C332" s="368"/>
      <c r="D332" s="355" t="s">
        <v>2202</v>
      </c>
      <c r="E332" s="355"/>
      <c r="F332" s="357">
        <v>5.05</v>
      </c>
      <c r="G332" s="368"/>
      <c r="H332" s="357">
        <f>IF(F332&gt;0,F332,#REF!)</f>
        <v>5.05</v>
      </c>
      <c r="I332" s="358" t="s">
        <v>4540</v>
      </c>
      <c r="J332" s="373"/>
      <c r="K332" s="373"/>
      <c r="L332" s="373"/>
      <c r="M332" s="373"/>
      <c r="N332" s="373"/>
      <c r="O332" s="373"/>
      <c r="P332" s="373"/>
      <c r="Q332" s="373"/>
    </row>
    <row r="333" spans="1:17" s="341" customFormat="1" ht="10.199999999999999" x14ac:dyDescent="0.2">
      <c r="A333" s="368"/>
      <c r="B333" s="354" t="s">
        <v>4468</v>
      </c>
      <c r="C333" s="368"/>
      <c r="D333" s="355" t="s">
        <v>2016</v>
      </c>
      <c r="E333" s="355"/>
      <c r="F333" s="357">
        <v>12</v>
      </c>
      <c r="G333" s="368"/>
      <c r="H333" s="357">
        <f>IF(F333&gt;0,F333,#REF!)</f>
        <v>12</v>
      </c>
      <c r="I333" s="358" t="s">
        <v>4540</v>
      </c>
      <c r="J333" s="373"/>
      <c r="K333" s="373"/>
      <c r="L333" s="373"/>
      <c r="M333" s="373"/>
      <c r="N333" s="373"/>
      <c r="O333" s="373"/>
      <c r="P333" s="373"/>
      <c r="Q333" s="373"/>
    </row>
    <row r="334" spans="1:17" s="341" customFormat="1" ht="10.199999999999999" x14ac:dyDescent="0.2">
      <c r="A334" s="368"/>
      <c r="B334" s="354" t="s">
        <v>4469</v>
      </c>
      <c r="C334" s="368"/>
      <c r="D334" s="355" t="s">
        <v>4534</v>
      </c>
      <c r="E334" s="355"/>
      <c r="F334" s="357">
        <v>52.91</v>
      </c>
      <c r="G334" s="368"/>
      <c r="H334" s="357">
        <f>IF(F334&gt;0,F334,#REF!)</f>
        <v>52.91</v>
      </c>
      <c r="I334" s="358" t="s">
        <v>4571</v>
      </c>
      <c r="J334" s="373"/>
      <c r="K334" s="373"/>
      <c r="L334" s="373"/>
      <c r="M334" s="373"/>
      <c r="N334" s="373"/>
      <c r="O334" s="373"/>
      <c r="P334" s="373"/>
      <c r="Q334" s="373"/>
    </row>
    <row r="335" spans="1:17" s="341" customFormat="1" ht="10.199999999999999" x14ac:dyDescent="0.2">
      <c r="A335" s="368"/>
      <c r="B335" s="354" t="s">
        <v>4470</v>
      </c>
      <c r="C335" s="368"/>
      <c r="D335" s="355" t="s">
        <v>2016</v>
      </c>
      <c r="E335" s="515"/>
      <c r="F335" s="357">
        <v>0.5</v>
      </c>
      <c r="G335" s="368"/>
      <c r="H335" s="357">
        <f>IF(F335&gt;0,F335,#REF!)</f>
        <v>0.5</v>
      </c>
      <c r="I335" s="358" t="s">
        <v>4572</v>
      </c>
      <c r="J335" s="373"/>
      <c r="K335" s="373"/>
      <c r="L335" s="373"/>
      <c r="M335" s="373"/>
      <c r="N335" s="373"/>
      <c r="O335" s="373"/>
      <c r="P335" s="373"/>
      <c r="Q335" s="373"/>
    </row>
    <row r="336" spans="1:17" s="341" customFormat="1" ht="10.199999999999999" x14ac:dyDescent="0.2">
      <c r="A336" s="368"/>
      <c r="B336" s="354" t="s">
        <v>4471</v>
      </c>
      <c r="C336" s="368"/>
      <c r="D336" s="355" t="s">
        <v>2202</v>
      </c>
      <c r="E336" s="355"/>
      <c r="F336" s="357">
        <v>2.11</v>
      </c>
      <c r="G336" s="368"/>
      <c r="H336" s="357">
        <f>IF(F336&gt;0,F336,#REF!)</f>
        <v>2.11</v>
      </c>
      <c r="I336" s="358" t="s">
        <v>4540</v>
      </c>
      <c r="J336" s="373"/>
      <c r="K336" s="373"/>
      <c r="L336" s="373"/>
      <c r="M336" s="373"/>
      <c r="N336" s="373"/>
      <c r="O336" s="373"/>
      <c r="P336" s="373"/>
      <c r="Q336" s="373"/>
    </row>
    <row r="337" spans="1:17" s="341" customFormat="1" ht="10.199999999999999" x14ac:dyDescent="0.2">
      <c r="A337" s="368"/>
      <c r="B337" s="354" t="s">
        <v>4472</v>
      </c>
      <c r="C337" s="368"/>
      <c r="D337" s="355" t="s">
        <v>2202</v>
      </c>
      <c r="E337" s="355"/>
      <c r="F337" s="492">
        <f t="shared" si="10"/>
        <v>0</v>
      </c>
      <c r="G337" s="357">
        <v>25</v>
      </c>
      <c r="H337" s="357">
        <f t="shared" si="11"/>
        <v>25</v>
      </c>
      <c r="I337" s="358" t="s">
        <v>4537</v>
      </c>
      <c r="J337" s="373"/>
      <c r="K337" s="373"/>
      <c r="L337" s="373"/>
      <c r="M337" s="373"/>
      <c r="N337" s="373"/>
      <c r="O337" s="373"/>
      <c r="P337" s="373"/>
      <c r="Q337" s="373"/>
    </row>
    <row r="338" spans="1:17" s="341" customFormat="1" ht="10.199999999999999" x14ac:dyDescent="0.2">
      <c r="A338" s="368"/>
      <c r="B338" s="354" t="s">
        <v>4473</v>
      </c>
      <c r="C338" s="368"/>
      <c r="D338" s="355" t="s">
        <v>2016</v>
      </c>
      <c r="E338" s="355">
        <v>24.5</v>
      </c>
      <c r="F338" s="492">
        <f t="shared" si="10"/>
        <v>22.613500000000002</v>
      </c>
      <c r="G338" s="357">
        <v>15</v>
      </c>
      <c r="H338" s="357">
        <f t="shared" si="11"/>
        <v>15</v>
      </c>
      <c r="I338" s="358" t="s">
        <v>7508</v>
      </c>
      <c r="J338" s="373"/>
      <c r="K338" s="373"/>
      <c r="L338" s="373"/>
      <c r="M338" s="373"/>
      <c r="N338" s="373"/>
      <c r="O338" s="373"/>
      <c r="P338" s="373"/>
      <c r="Q338" s="373"/>
    </row>
    <row r="339" spans="1:17" s="341" customFormat="1" ht="10.199999999999999" x14ac:dyDescent="0.2">
      <c r="A339" s="368"/>
      <c r="B339" s="354" t="s">
        <v>4474</v>
      </c>
      <c r="C339" s="368"/>
      <c r="D339" s="355" t="s">
        <v>2016</v>
      </c>
      <c r="E339" s="355"/>
      <c r="F339" s="492">
        <f t="shared" si="10"/>
        <v>0</v>
      </c>
      <c r="G339" s="357">
        <v>15</v>
      </c>
      <c r="H339" s="357">
        <f t="shared" si="11"/>
        <v>15</v>
      </c>
      <c r="I339" s="358" t="s">
        <v>4537</v>
      </c>
      <c r="J339" s="373"/>
      <c r="K339" s="373"/>
      <c r="L339" s="373"/>
      <c r="M339" s="373"/>
      <c r="N339" s="373"/>
      <c r="O339" s="373"/>
      <c r="P339" s="373"/>
      <c r="Q339" s="373"/>
    </row>
    <row r="340" spans="1:17" s="341" customFormat="1" ht="10.199999999999999" x14ac:dyDescent="0.2">
      <c r="A340" s="368"/>
      <c r="B340" s="354" t="s">
        <v>4475</v>
      </c>
      <c r="C340" s="368"/>
      <c r="D340" s="355" t="s">
        <v>4665</v>
      </c>
      <c r="E340" s="355"/>
      <c r="F340" s="492">
        <f t="shared" si="10"/>
        <v>0</v>
      </c>
      <c r="G340" s="357">
        <v>300</v>
      </c>
      <c r="H340" s="357">
        <f t="shared" si="11"/>
        <v>300</v>
      </c>
      <c r="I340" s="358" t="s">
        <v>4537</v>
      </c>
      <c r="J340" s="373"/>
      <c r="K340" s="373"/>
      <c r="L340" s="373"/>
      <c r="M340" s="373"/>
      <c r="N340" s="373"/>
      <c r="O340" s="373"/>
      <c r="P340" s="373"/>
      <c r="Q340" s="373"/>
    </row>
    <row r="341" spans="1:17" s="341" customFormat="1" ht="10.199999999999999" x14ac:dyDescent="0.2">
      <c r="A341" s="368"/>
      <c r="B341" s="354" t="s">
        <v>4476</v>
      </c>
      <c r="C341" s="368"/>
      <c r="D341" s="355" t="s">
        <v>2016</v>
      </c>
      <c r="E341" s="355"/>
      <c r="F341" s="492">
        <f t="shared" si="10"/>
        <v>0</v>
      </c>
      <c r="G341" s="357">
        <v>30</v>
      </c>
      <c r="H341" s="357">
        <f t="shared" si="11"/>
        <v>30</v>
      </c>
      <c r="I341" s="358" t="s">
        <v>4537</v>
      </c>
      <c r="J341" s="373"/>
      <c r="K341" s="373"/>
      <c r="L341" s="373"/>
      <c r="M341" s="373"/>
      <c r="N341" s="373"/>
      <c r="O341" s="373"/>
      <c r="P341" s="373"/>
      <c r="Q341" s="373"/>
    </row>
    <row r="342" spans="1:17" s="341" customFormat="1" ht="10.199999999999999" x14ac:dyDescent="0.2">
      <c r="A342" s="368"/>
      <c r="B342" s="354" t="s">
        <v>4477</v>
      </c>
      <c r="C342" s="368"/>
      <c r="D342" s="355" t="s">
        <v>4665</v>
      </c>
      <c r="E342" s="355"/>
      <c r="F342" s="492">
        <f t="shared" si="10"/>
        <v>0</v>
      </c>
      <c r="G342" s="357">
        <v>500</v>
      </c>
      <c r="H342" s="357">
        <f t="shared" si="11"/>
        <v>500</v>
      </c>
      <c r="I342" s="358" t="s">
        <v>4537</v>
      </c>
      <c r="J342" s="373"/>
      <c r="K342" s="373"/>
      <c r="L342" s="373"/>
      <c r="M342" s="373"/>
      <c r="N342" s="373"/>
      <c r="O342" s="373"/>
      <c r="P342" s="373"/>
      <c r="Q342" s="373"/>
    </row>
    <row r="343" spans="1:17" s="341" customFormat="1" ht="10.199999999999999" x14ac:dyDescent="0.2">
      <c r="A343" s="368"/>
      <c r="B343" s="354" t="s">
        <v>4478</v>
      </c>
      <c r="C343" s="368"/>
      <c r="D343" s="355" t="s">
        <v>2202</v>
      </c>
      <c r="E343" s="355">
        <v>28</v>
      </c>
      <c r="F343" s="492">
        <f t="shared" si="10"/>
        <v>25.844000000000001</v>
      </c>
      <c r="G343" s="357">
        <v>20</v>
      </c>
      <c r="H343" s="357">
        <f t="shared" si="11"/>
        <v>20</v>
      </c>
      <c r="I343" s="358" t="s">
        <v>4540</v>
      </c>
      <c r="J343" s="373"/>
      <c r="K343" s="373"/>
      <c r="L343" s="373"/>
      <c r="M343" s="373"/>
      <c r="N343" s="373"/>
      <c r="O343" s="373"/>
      <c r="P343" s="373"/>
      <c r="Q343" s="373"/>
    </row>
    <row r="344" spans="1:17" s="341" customFormat="1" ht="10.199999999999999" x14ac:dyDescent="0.2">
      <c r="A344" s="368"/>
      <c r="B344" s="354" t="s">
        <v>4479</v>
      </c>
      <c r="C344" s="368"/>
      <c r="D344" s="355" t="s">
        <v>2016</v>
      </c>
      <c r="E344" s="515">
        <v>9.85</v>
      </c>
      <c r="F344" s="492">
        <f t="shared" si="10"/>
        <v>9.0915499999999998</v>
      </c>
      <c r="G344" s="357">
        <v>0.24</v>
      </c>
      <c r="H344" s="357">
        <f t="shared" si="11"/>
        <v>0.24</v>
      </c>
      <c r="I344" s="358" t="s">
        <v>4573</v>
      </c>
      <c r="J344" s="373"/>
      <c r="K344" s="373"/>
      <c r="L344" s="373"/>
      <c r="M344" s="373"/>
      <c r="N344" s="373"/>
      <c r="O344" s="373"/>
      <c r="P344" s="373"/>
      <c r="Q344" s="373"/>
    </row>
    <row r="345" spans="1:17" s="341" customFormat="1" ht="10.199999999999999" x14ac:dyDescent="0.2">
      <c r="A345" s="368"/>
      <c r="B345" s="354" t="s">
        <v>4480</v>
      </c>
      <c r="C345" s="368"/>
      <c r="D345" s="355" t="s">
        <v>4665</v>
      </c>
      <c r="E345" s="515"/>
      <c r="F345" s="492">
        <f t="shared" si="10"/>
        <v>0</v>
      </c>
      <c r="G345" s="357">
        <v>100</v>
      </c>
      <c r="H345" s="357">
        <f t="shared" si="11"/>
        <v>100</v>
      </c>
      <c r="I345" s="358" t="s">
        <v>4540</v>
      </c>
      <c r="J345" s="373"/>
      <c r="K345" s="373"/>
      <c r="L345" s="373"/>
      <c r="M345" s="373"/>
      <c r="N345" s="373"/>
      <c r="O345" s="373"/>
      <c r="P345" s="373"/>
      <c r="Q345" s="373"/>
    </row>
    <row r="346" spans="1:17" s="341" customFormat="1" ht="10.199999999999999" x14ac:dyDescent="0.2">
      <c r="A346" s="368"/>
      <c r="B346" s="354" t="s">
        <v>3371</v>
      </c>
      <c r="C346" s="368"/>
      <c r="D346" s="355" t="s">
        <v>2202</v>
      </c>
      <c r="E346" s="355"/>
      <c r="F346" s="492">
        <f t="shared" si="10"/>
        <v>0</v>
      </c>
      <c r="G346" s="357">
        <v>20</v>
      </c>
      <c r="H346" s="357">
        <f t="shared" si="11"/>
        <v>20</v>
      </c>
      <c r="I346" s="358" t="s">
        <v>4537</v>
      </c>
      <c r="J346" s="373"/>
      <c r="K346" s="373"/>
      <c r="L346" s="373"/>
      <c r="M346" s="373"/>
      <c r="N346" s="373"/>
      <c r="O346" s="373"/>
      <c r="P346" s="373"/>
      <c r="Q346" s="373"/>
    </row>
    <row r="347" spans="1:17" s="341" customFormat="1" ht="20.399999999999999" x14ac:dyDescent="0.2">
      <c r="A347" s="312" t="s">
        <v>3800</v>
      </c>
      <c r="B347" s="325" t="s">
        <v>3801</v>
      </c>
      <c r="C347" s="312"/>
      <c r="D347" s="312" t="s">
        <v>2202</v>
      </c>
      <c r="E347" s="329">
        <v>1.98</v>
      </c>
      <c r="F347" s="331">
        <f t="shared" si="10"/>
        <v>1.8275400000000002</v>
      </c>
      <c r="G347" s="357"/>
      <c r="H347" s="357">
        <f t="shared" si="11"/>
        <v>1.8275400000000002</v>
      </c>
      <c r="I347" s="358" t="s">
        <v>7508</v>
      </c>
      <c r="J347" s="373"/>
      <c r="K347" s="373"/>
      <c r="L347" s="373"/>
      <c r="M347" s="373"/>
      <c r="N347" s="373"/>
      <c r="O347" s="373"/>
      <c r="P347" s="373"/>
      <c r="Q347" s="373"/>
    </row>
    <row r="348" spans="1:17" s="341" customFormat="1" ht="20.399999999999999" x14ac:dyDescent="0.2">
      <c r="A348" s="312" t="s">
        <v>3803</v>
      </c>
      <c r="B348" s="325" t="s">
        <v>3804</v>
      </c>
      <c r="C348" s="312"/>
      <c r="D348" s="312" t="s">
        <v>2202</v>
      </c>
      <c r="E348" s="329">
        <v>1.98</v>
      </c>
      <c r="F348" s="331">
        <f t="shared" si="10"/>
        <v>1.8275400000000002</v>
      </c>
      <c r="G348" s="357"/>
      <c r="H348" s="357">
        <f t="shared" si="11"/>
        <v>1.8275400000000002</v>
      </c>
      <c r="I348" s="358" t="s">
        <v>7508</v>
      </c>
      <c r="J348" s="373"/>
      <c r="K348" s="373"/>
      <c r="L348" s="373"/>
      <c r="M348" s="373"/>
      <c r="N348" s="373"/>
      <c r="O348" s="373"/>
      <c r="P348" s="373"/>
      <c r="Q348" s="373"/>
    </row>
    <row r="349" spans="1:17" s="341" customFormat="1" ht="20.399999999999999" x14ac:dyDescent="0.2">
      <c r="A349" s="312" t="s">
        <v>3806</v>
      </c>
      <c r="B349" s="325" t="s">
        <v>3807</v>
      </c>
      <c r="C349" s="312"/>
      <c r="D349" s="312" t="s">
        <v>2202</v>
      </c>
      <c r="E349" s="329">
        <v>1.958</v>
      </c>
      <c r="F349" s="331">
        <f t="shared" si="10"/>
        <v>1.807234</v>
      </c>
      <c r="G349" s="357"/>
      <c r="H349" s="357">
        <f t="shared" si="11"/>
        <v>1.807234</v>
      </c>
      <c r="I349" s="358" t="s">
        <v>7508</v>
      </c>
      <c r="J349" s="373"/>
      <c r="K349" s="373"/>
      <c r="L349" s="373"/>
      <c r="M349" s="373"/>
      <c r="N349" s="373"/>
      <c r="O349" s="373"/>
      <c r="P349" s="373"/>
      <c r="Q349" s="373"/>
    </row>
    <row r="350" spans="1:17" s="341" customFormat="1" ht="20.399999999999999" x14ac:dyDescent="0.2">
      <c r="A350" s="312" t="s">
        <v>3815</v>
      </c>
      <c r="B350" s="325" t="s">
        <v>3816</v>
      </c>
      <c r="C350" s="312"/>
      <c r="D350" s="312" t="s">
        <v>2202</v>
      </c>
      <c r="E350" s="329">
        <v>4.57</v>
      </c>
      <c r="F350" s="331">
        <f t="shared" si="10"/>
        <v>4.2181100000000002</v>
      </c>
      <c r="G350" s="357"/>
      <c r="H350" s="357">
        <f t="shared" si="11"/>
        <v>4.2181100000000002</v>
      </c>
      <c r="I350" s="358" t="s">
        <v>7508</v>
      </c>
      <c r="J350" s="373"/>
      <c r="K350" s="373"/>
      <c r="L350" s="373"/>
      <c r="M350" s="373"/>
      <c r="N350" s="373"/>
      <c r="O350" s="373"/>
      <c r="P350" s="373"/>
      <c r="Q350" s="373"/>
    </row>
    <row r="351" spans="1:17" s="341" customFormat="1" ht="20.399999999999999" x14ac:dyDescent="0.2">
      <c r="A351" s="312" t="s">
        <v>3818</v>
      </c>
      <c r="B351" s="325" t="s">
        <v>3819</v>
      </c>
      <c r="C351" s="312"/>
      <c r="D351" s="312" t="s">
        <v>2202</v>
      </c>
      <c r="E351" s="329">
        <v>4.57</v>
      </c>
      <c r="F351" s="331">
        <f t="shared" si="10"/>
        <v>4.2181100000000002</v>
      </c>
      <c r="G351" s="357"/>
      <c r="H351" s="357">
        <f t="shared" si="11"/>
        <v>4.2181100000000002</v>
      </c>
      <c r="I351" s="358" t="s">
        <v>7508</v>
      </c>
      <c r="J351" s="373"/>
      <c r="K351" s="373"/>
      <c r="L351" s="373"/>
      <c r="M351" s="373"/>
      <c r="N351" s="373"/>
      <c r="O351" s="373"/>
      <c r="P351" s="373"/>
      <c r="Q351" s="373"/>
    </row>
    <row r="352" spans="1:17" s="341" customFormat="1" ht="20.399999999999999" x14ac:dyDescent="0.2">
      <c r="A352" s="312" t="s">
        <v>3809</v>
      </c>
      <c r="B352" s="325" t="s">
        <v>3810</v>
      </c>
      <c r="C352" s="312"/>
      <c r="D352" s="312" t="s">
        <v>2202</v>
      </c>
      <c r="E352" s="329">
        <v>3.3439999999999999</v>
      </c>
      <c r="F352" s="331">
        <f t="shared" si="10"/>
        <v>3.0865119999999999</v>
      </c>
      <c r="G352" s="357"/>
      <c r="H352" s="357">
        <f t="shared" si="11"/>
        <v>3.0865119999999999</v>
      </c>
      <c r="I352" s="358" t="s">
        <v>7508</v>
      </c>
      <c r="J352" s="373"/>
      <c r="K352" s="373"/>
      <c r="L352" s="373"/>
      <c r="M352" s="373"/>
      <c r="N352" s="373"/>
      <c r="O352" s="373"/>
      <c r="P352" s="373"/>
      <c r="Q352" s="373"/>
    </row>
    <row r="353" spans="1:17" s="341" customFormat="1" ht="20.399999999999999" x14ac:dyDescent="0.2">
      <c r="A353" s="312" t="s">
        <v>3812</v>
      </c>
      <c r="B353" s="325" t="s">
        <v>3813</v>
      </c>
      <c r="C353" s="312"/>
      <c r="D353" s="312" t="s">
        <v>2202</v>
      </c>
      <c r="E353" s="329">
        <v>3.3439999999999999</v>
      </c>
      <c r="F353" s="331">
        <f t="shared" si="10"/>
        <v>3.0865119999999999</v>
      </c>
      <c r="G353" s="357"/>
      <c r="H353" s="357">
        <f t="shared" si="11"/>
        <v>3.0865119999999999</v>
      </c>
      <c r="I353" s="358" t="s">
        <v>7508</v>
      </c>
      <c r="J353" s="373"/>
      <c r="K353" s="373"/>
      <c r="L353" s="373"/>
      <c r="M353" s="373"/>
      <c r="N353" s="373"/>
      <c r="O353" s="373"/>
      <c r="P353" s="373"/>
      <c r="Q353" s="373"/>
    </row>
    <row r="354" spans="1:17" s="341" customFormat="1" ht="20.399999999999999" x14ac:dyDescent="0.2">
      <c r="A354" s="312" t="s">
        <v>3773</v>
      </c>
      <c r="B354" s="325" t="s">
        <v>3774</v>
      </c>
      <c r="C354" s="312">
        <v>0.17399999999999999</v>
      </c>
      <c r="D354" s="312" t="s">
        <v>2202</v>
      </c>
      <c r="E354" s="329">
        <v>18.25</v>
      </c>
      <c r="F354" s="331">
        <f t="shared" si="10"/>
        <v>16.844750000000001</v>
      </c>
      <c r="G354" s="357"/>
      <c r="H354" s="357">
        <f t="shared" si="11"/>
        <v>16.844750000000001</v>
      </c>
      <c r="I354" s="358" t="s">
        <v>7508</v>
      </c>
      <c r="J354" s="373"/>
      <c r="K354" s="373"/>
      <c r="L354" s="373"/>
      <c r="M354" s="373"/>
      <c r="N354" s="373"/>
      <c r="O354" s="373"/>
      <c r="P354" s="373"/>
      <c r="Q354" s="373"/>
    </row>
    <row r="355" spans="1:17" s="341" customFormat="1" ht="20.399999999999999" x14ac:dyDescent="0.2">
      <c r="A355" s="312" t="s">
        <v>3767</v>
      </c>
      <c r="B355" s="325" t="s">
        <v>3768</v>
      </c>
      <c r="C355" s="312">
        <v>0.14799999999999999</v>
      </c>
      <c r="D355" s="312" t="s">
        <v>2202</v>
      </c>
      <c r="E355" s="329">
        <v>15.3</v>
      </c>
      <c r="F355" s="331">
        <f t="shared" si="10"/>
        <v>14.121900000000002</v>
      </c>
      <c r="G355" s="357"/>
      <c r="H355" s="357">
        <f t="shared" si="11"/>
        <v>14.121900000000002</v>
      </c>
      <c r="I355" s="358" t="s">
        <v>7508</v>
      </c>
      <c r="J355" s="373"/>
      <c r="K355" s="373"/>
      <c r="L355" s="373"/>
      <c r="M355" s="373"/>
      <c r="N355" s="373"/>
      <c r="O355" s="373"/>
      <c r="P355" s="373"/>
      <c r="Q355" s="373"/>
    </row>
    <row r="356" spans="1:17" s="341" customFormat="1" ht="20.399999999999999" x14ac:dyDescent="0.2">
      <c r="A356" s="312" t="s">
        <v>3779</v>
      </c>
      <c r="B356" s="325" t="s">
        <v>3780</v>
      </c>
      <c r="C356" s="312">
        <v>0.222</v>
      </c>
      <c r="D356" s="312" t="s">
        <v>2202</v>
      </c>
      <c r="E356" s="329">
        <v>23.5</v>
      </c>
      <c r="F356" s="331">
        <f t="shared" si="10"/>
        <v>21.6905</v>
      </c>
      <c r="G356" s="357"/>
      <c r="H356" s="357">
        <f t="shared" si="11"/>
        <v>21.6905</v>
      </c>
      <c r="I356" s="358" t="s">
        <v>7508</v>
      </c>
      <c r="J356" s="373"/>
      <c r="K356" s="373"/>
      <c r="L356" s="373"/>
      <c r="M356" s="373"/>
      <c r="N356" s="373"/>
      <c r="O356" s="373"/>
      <c r="P356" s="373"/>
      <c r="Q356" s="373"/>
    </row>
    <row r="357" spans="1:17" s="341" customFormat="1" ht="20.399999999999999" x14ac:dyDescent="0.2">
      <c r="A357" s="312" t="s">
        <v>3776</v>
      </c>
      <c r="B357" s="325" t="s">
        <v>3777</v>
      </c>
      <c r="C357" s="312">
        <v>0.19</v>
      </c>
      <c r="D357" s="312" t="s">
        <v>2202</v>
      </c>
      <c r="E357" s="329">
        <v>20.5</v>
      </c>
      <c r="F357" s="331">
        <f t="shared" si="10"/>
        <v>18.921500000000002</v>
      </c>
      <c r="G357" s="357"/>
      <c r="H357" s="357">
        <f t="shared" si="11"/>
        <v>18.921500000000002</v>
      </c>
      <c r="I357" s="358" t="s">
        <v>7508</v>
      </c>
      <c r="J357" s="373"/>
      <c r="K357" s="373"/>
      <c r="L357" s="373"/>
      <c r="M357" s="373"/>
      <c r="N357" s="373"/>
      <c r="O357" s="373"/>
      <c r="P357" s="373"/>
      <c r="Q357" s="373"/>
    </row>
    <row r="358" spans="1:17" s="341" customFormat="1" ht="20.399999999999999" x14ac:dyDescent="0.2">
      <c r="A358" s="312" t="s">
        <v>3782</v>
      </c>
      <c r="B358" s="325" t="s">
        <v>3783</v>
      </c>
      <c r="C358" s="312">
        <v>0.27100000000000002</v>
      </c>
      <c r="D358" s="312" t="s">
        <v>2202</v>
      </c>
      <c r="E358" s="329">
        <v>26.5</v>
      </c>
      <c r="F358" s="331">
        <f t="shared" si="10"/>
        <v>24.459500000000002</v>
      </c>
      <c r="G358" s="357"/>
      <c r="H358" s="357">
        <f t="shared" si="11"/>
        <v>24.459500000000002</v>
      </c>
      <c r="I358" s="358" t="s">
        <v>7508</v>
      </c>
      <c r="J358" s="373"/>
      <c r="K358" s="373"/>
      <c r="L358" s="373"/>
      <c r="M358" s="373"/>
      <c r="N358" s="373"/>
      <c r="O358" s="373"/>
      <c r="P358" s="373"/>
      <c r="Q358" s="373"/>
    </row>
    <row r="359" spans="1:17" s="341" customFormat="1" ht="20.399999999999999" x14ac:dyDescent="0.2">
      <c r="A359" s="312" t="s">
        <v>3785</v>
      </c>
      <c r="B359" s="325" t="s">
        <v>3786</v>
      </c>
      <c r="C359" s="312">
        <v>0.28599999999999998</v>
      </c>
      <c r="D359" s="312" t="s">
        <v>2202</v>
      </c>
      <c r="E359" s="329">
        <v>30.5</v>
      </c>
      <c r="F359" s="331">
        <f t="shared" si="10"/>
        <v>28.151500000000002</v>
      </c>
      <c r="G359" s="357"/>
      <c r="H359" s="357">
        <f t="shared" si="11"/>
        <v>28.151500000000002</v>
      </c>
      <c r="I359" s="358" t="s">
        <v>7508</v>
      </c>
      <c r="J359" s="373"/>
      <c r="K359" s="373"/>
      <c r="L359" s="373"/>
      <c r="M359" s="373"/>
      <c r="N359" s="373"/>
      <c r="O359" s="373"/>
      <c r="P359" s="373"/>
      <c r="Q359" s="373"/>
    </row>
    <row r="360" spans="1:17" s="341" customFormat="1" ht="20.399999999999999" x14ac:dyDescent="0.2">
      <c r="A360" s="312" t="s">
        <v>3788</v>
      </c>
      <c r="B360" s="325" t="s">
        <v>3789</v>
      </c>
      <c r="C360" s="312">
        <v>0.30199999999999999</v>
      </c>
      <c r="D360" s="312" t="s">
        <v>2202</v>
      </c>
      <c r="E360" s="329">
        <v>34.5</v>
      </c>
      <c r="F360" s="331">
        <f t="shared" si="10"/>
        <v>31.843500000000002</v>
      </c>
      <c r="G360" s="357"/>
      <c r="H360" s="357">
        <f t="shared" si="11"/>
        <v>31.843500000000002</v>
      </c>
      <c r="I360" s="358" t="s">
        <v>7508</v>
      </c>
      <c r="J360" s="373"/>
      <c r="K360" s="373"/>
      <c r="L360" s="373"/>
      <c r="M360" s="373"/>
      <c r="N360" s="373"/>
      <c r="O360" s="373"/>
      <c r="P360" s="373"/>
      <c r="Q360" s="373"/>
    </row>
    <row r="361" spans="1:17" s="341" customFormat="1" ht="20.399999999999999" x14ac:dyDescent="0.2">
      <c r="A361" s="312" t="s">
        <v>3770</v>
      </c>
      <c r="B361" s="325" t="s">
        <v>3771</v>
      </c>
      <c r="C361" s="312">
        <v>0.157</v>
      </c>
      <c r="D361" s="312" t="s">
        <v>2202</v>
      </c>
      <c r="E361" s="329">
        <v>16.399999999999999</v>
      </c>
      <c r="F361" s="331">
        <f t="shared" si="10"/>
        <v>15.1372</v>
      </c>
      <c r="G361" s="357"/>
      <c r="H361" s="357">
        <f t="shared" si="11"/>
        <v>15.1372</v>
      </c>
      <c r="I361" s="358" t="s">
        <v>7508</v>
      </c>
      <c r="J361" s="373"/>
      <c r="K361" s="373"/>
      <c r="L361" s="373"/>
      <c r="M361" s="373"/>
      <c r="N361" s="373"/>
      <c r="O361" s="373"/>
      <c r="P361" s="373"/>
      <c r="Q361" s="373"/>
    </row>
    <row r="362" spans="1:17" s="341" customFormat="1" ht="20.399999999999999" x14ac:dyDescent="0.2">
      <c r="A362" s="312" t="s">
        <v>3791</v>
      </c>
      <c r="B362" s="325" t="s">
        <v>3792</v>
      </c>
      <c r="C362" s="312">
        <v>0.33300000000000002</v>
      </c>
      <c r="D362" s="312" t="s">
        <v>2202</v>
      </c>
      <c r="E362" s="329">
        <v>40.5</v>
      </c>
      <c r="F362" s="331">
        <f t="shared" si="10"/>
        <v>37.381500000000003</v>
      </c>
      <c r="G362" s="357"/>
      <c r="H362" s="357">
        <f t="shared" si="11"/>
        <v>37.381500000000003</v>
      </c>
      <c r="I362" s="358" t="s">
        <v>7508</v>
      </c>
      <c r="J362" s="373"/>
      <c r="K362" s="373"/>
      <c r="L362" s="373"/>
      <c r="M362" s="373"/>
      <c r="N362" s="373"/>
      <c r="O362" s="373"/>
      <c r="P362" s="373"/>
      <c r="Q362" s="373"/>
    </row>
    <row r="363" spans="1:17" ht="20.399999999999999" x14ac:dyDescent="0.25">
      <c r="A363" s="312" t="s">
        <v>3794</v>
      </c>
      <c r="B363" s="325" t="s">
        <v>3795</v>
      </c>
      <c r="C363" s="312">
        <v>0.372</v>
      </c>
      <c r="D363" s="312" t="s">
        <v>2202</v>
      </c>
      <c r="E363" s="329">
        <v>49.5</v>
      </c>
      <c r="F363" s="331">
        <f t="shared" si="10"/>
        <v>45.688500000000005</v>
      </c>
      <c r="G363" s="357"/>
      <c r="H363" s="357">
        <f t="shared" si="11"/>
        <v>45.688500000000005</v>
      </c>
      <c r="I363" s="358" t="s">
        <v>7508</v>
      </c>
    </row>
    <row r="364" spans="1:17" ht="20.399999999999999" x14ac:dyDescent="0.25">
      <c r="A364" s="312" t="s">
        <v>3797</v>
      </c>
      <c r="B364" s="325" t="s">
        <v>3798</v>
      </c>
      <c r="C364" s="312">
        <v>0.41</v>
      </c>
      <c r="D364" s="312" t="s">
        <v>2202</v>
      </c>
      <c r="E364" s="329">
        <v>59.5</v>
      </c>
      <c r="F364" s="331">
        <f t="shared" si="10"/>
        <v>54.918500000000002</v>
      </c>
      <c r="G364" s="357"/>
      <c r="H364" s="357">
        <f t="shared" si="11"/>
        <v>54.918500000000002</v>
      </c>
      <c r="I364" s="358" t="s">
        <v>7508</v>
      </c>
    </row>
    <row r="365" spans="1:17" s="360" customFormat="1" x14ac:dyDescent="0.25">
      <c r="A365" s="368"/>
      <c r="B365" s="354" t="s">
        <v>3226</v>
      </c>
      <c r="C365" s="368"/>
      <c r="D365" s="355" t="s">
        <v>2202</v>
      </c>
      <c r="E365" s="355"/>
      <c r="F365" s="492">
        <f t="shared" si="10"/>
        <v>0</v>
      </c>
      <c r="G365" s="357">
        <v>4.47</v>
      </c>
      <c r="H365" s="357">
        <f t="shared" si="11"/>
        <v>4.47</v>
      </c>
      <c r="I365" s="358" t="s">
        <v>4540</v>
      </c>
      <c r="J365" s="260"/>
      <c r="K365" s="260"/>
      <c r="L365" s="260"/>
      <c r="M365" s="260"/>
      <c r="N365" s="260"/>
      <c r="O365" s="260"/>
      <c r="P365" s="260"/>
      <c r="Q365" s="260"/>
    </row>
    <row r="366" spans="1:17" s="360" customFormat="1" x14ac:dyDescent="0.25">
      <c r="A366" s="368"/>
      <c r="B366" s="354" t="s">
        <v>4679</v>
      </c>
      <c r="C366" s="368"/>
      <c r="D366" s="355" t="s">
        <v>2016</v>
      </c>
      <c r="E366" s="515"/>
      <c r="F366" s="492">
        <f t="shared" si="10"/>
        <v>0</v>
      </c>
      <c r="G366" s="357">
        <v>5</v>
      </c>
      <c r="H366" s="357">
        <f t="shared" si="11"/>
        <v>5</v>
      </c>
      <c r="I366" s="358" t="s">
        <v>4540</v>
      </c>
      <c r="J366" s="260"/>
      <c r="K366" s="260"/>
      <c r="L366" s="260"/>
      <c r="M366" s="260"/>
      <c r="N366" s="260"/>
      <c r="O366" s="260"/>
      <c r="P366" s="260"/>
      <c r="Q366" s="260"/>
    </row>
    <row r="367" spans="1:17" ht="20.399999999999999" x14ac:dyDescent="0.25">
      <c r="A367" s="312" t="s">
        <v>4358</v>
      </c>
      <c r="B367" s="325" t="s">
        <v>1913</v>
      </c>
      <c r="C367" s="312">
        <v>6.4000000000000001E-2</v>
      </c>
      <c r="D367" s="312" t="s">
        <v>2202</v>
      </c>
      <c r="E367" s="329">
        <v>5.65</v>
      </c>
      <c r="F367" s="331">
        <f t="shared" si="10"/>
        <v>5.2149500000000009</v>
      </c>
      <c r="G367" s="357"/>
      <c r="H367" s="357">
        <f t="shared" si="11"/>
        <v>5.2149500000000009</v>
      </c>
      <c r="I367" s="358" t="s">
        <v>7508</v>
      </c>
    </row>
    <row r="368" spans="1:17" ht="20.399999999999999" x14ac:dyDescent="0.25">
      <c r="A368" s="312" t="s">
        <v>4309</v>
      </c>
      <c r="B368" s="325" t="s">
        <v>1914</v>
      </c>
      <c r="C368" s="312">
        <v>6.9000000000000006E-2</v>
      </c>
      <c r="D368" s="312" t="s">
        <v>2202</v>
      </c>
      <c r="E368" s="329">
        <v>7.95</v>
      </c>
      <c r="F368" s="331">
        <f t="shared" si="10"/>
        <v>7.3378500000000004</v>
      </c>
      <c r="G368" s="357"/>
      <c r="H368" s="357">
        <f t="shared" si="11"/>
        <v>7.3378500000000004</v>
      </c>
      <c r="I368" s="358" t="s">
        <v>7508</v>
      </c>
    </row>
    <row r="369" spans="1:9" x14ac:dyDescent="0.25">
      <c r="A369" s="312" t="s">
        <v>4297</v>
      </c>
      <c r="B369" s="325" t="s">
        <v>2877</v>
      </c>
      <c r="C369" s="312">
        <v>0.33300000000000002</v>
      </c>
      <c r="D369" s="312" t="s">
        <v>2202</v>
      </c>
      <c r="E369" s="329">
        <v>43</v>
      </c>
      <c r="F369" s="331">
        <f t="shared" si="10"/>
        <v>39.689</v>
      </c>
      <c r="G369" s="357"/>
      <c r="H369" s="357">
        <f t="shared" si="11"/>
        <v>39.689</v>
      </c>
      <c r="I369" s="358" t="s">
        <v>7508</v>
      </c>
    </row>
    <row r="370" spans="1:9" ht="20.399999999999999" x14ac:dyDescent="0.25">
      <c r="A370" s="312" t="s">
        <v>4303</v>
      </c>
      <c r="B370" s="325" t="s">
        <v>2879</v>
      </c>
      <c r="C370" s="312">
        <v>6.9870000000000001</v>
      </c>
      <c r="D370" s="312" t="s">
        <v>2265</v>
      </c>
      <c r="E370" s="329">
        <v>1275</v>
      </c>
      <c r="F370" s="331">
        <f t="shared" si="10"/>
        <v>1176.825</v>
      </c>
      <c r="G370" s="357"/>
      <c r="H370" s="357">
        <f t="shared" si="11"/>
        <v>1176.825</v>
      </c>
      <c r="I370" s="358" t="s">
        <v>7508</v>
      </c>
    </row>
    <row r="371" spans="1:9" ht="20.399999999999999" x14ac:dyDescent="0.25">
      <c r="A371" s="312" t="s">
        <v>4299</v>
      </c>
      <c r="B371" s="325" t="s">
        <v>2880</v>
      </c>
      <c r="C371" s="312">
        <v>4.9690000000000003</v>
      </c>
      <c r="D371" s="312" t="s">
        <v>2265</v>
      </c>
      <c r="E371" s="329">
        <v>830</v>
      </c>
      <c r="F371" s="331">
        <f t="shared" si="10"/>
        <v>766.09</v>
      </c>
      <c r="G371" s="357"/>
      <c r="H371" s="357">
        <f t="shared" si="11"/>
        <v>766.09</v>
      </c>
      <c r="I371" s="358" t="s">
        <v>7508</v>
      </c>
    </row>
    <row r="372" spans="1:9" ht="20.399999999999999" x14ac:dyDescent="0.25">
      <c r="A372" s="312" t="s">
        <v>4301</v>
      </c>
      <c r="B372" s="325" t="s">
        <v>2882</v>
      </c>
      <c r="C372" s="312">
        <v>6.0149999999999997</v>
      </c>
      <c r="D372" s="312" t="s">
        <v>2265</v>
      </c>
      <c r="E372" s="329">
        <v>1125</v>
      </c>
      <c r="F372" s="331">
        <f t="shared" si="10"/>
        <v>1038.375</v>
      </c>
      <c r="G372" s="357"/>
      <c r="H372" s="357">
        <f t="shared" si="11"/>
        <v>1038.375</v>
      </c>
      <c r="I372" s="358" t="s">
        <v>7508</v>
      </c>
    </row>
    <row r="373" spans="1:9" ht="20.399999999999999" x14ac:dyDescent="0.25">
      <c r="A373" s="312" t="s">
        <v>4305</v>
      </c>
      <c r="B373" s="325" t="s">
        <v>2883</v>
      </c>
      <c r="C373" s="312">
        <v>10</v>
      </c>
      <c r="D373" s="312" t="s">
        <v>2265</v>
      </c>
      <c r="E373" s="329">
        <v>2300</v>
      </c>
      <c r="F373" s="331">
        <f t="shared" si="10"/>
        <v>2122.9</v>
      </c>
      <c r="G373" s="357"/>
      <c r="H373" s="357">
        <f t="shared" si="11"/>
        <v>2122.9</v>
      </c>
      <c r="I373" s="358" t="s">
        <v>7508</v>
      </c>
    </row>
    <row r="374" spans="1:9" ht="20.399999999999999" x14ac:dyDescent="0.25">
      <c r="A374" s="312" t="s">
        <v>3864</v>
      </c>
      <c r="B374" s="325" t="s">
        <v>3865</v>
      </c>
      <c r="C374" s="312">
        <v>123</v>
      </c>
      <c r="D374" s="312" t="s">
        <v>2265</v>
      </c>
      <c r="E374" s="329">
        <v>37400</v>
      </c>
      <c r="F374" s="331">
        <f t="shared" si="10"/>
        <v>34520.200000000004</v>
      </c>
      <c r="G374" s="357"/>
      <c r="H374" s="357">
        <f t="shared" si="11"/>
        <v>34520.200000000004</v>
      </c>
      <c r="I374" s="358" t="s">
        <v>7508</v>
      </c>
    </row>
    <row r="375" spans="1:9" ht="20.399999999999999" x14ac:dyDescent="0.25">
      <c r="A375" s="312" t="s">
        <v>3867</v>
      </c>
      <c r="B375" s="325" t="s">
        <v>3868</v>
      </c>
      <c r="C375" s="312">
        <v>133</v>
      </c>
      <c r="D375" s="312" t="s">
        <v>2265</v>
      </c>
      <c r="E375" s="329">
        <v>49400</v>
      </c>
      <c r="F375" s="331">
        <f t="shared" si="10"/>
        <v>45596.200000000004</v>
      </c>
      <c r="G375" s="357"/>
      <c r="H375" s="357">
        <f t="shared" si="11"/>
        <v>45596.200000000004</v>
      </c>
      <c r="I375" s="358" t="s">
        <v>7508</v>
      </c>
    </row>
    <row r="376" spans="1:9" ht="20.399999999999999" x14ac:dyDescent="0.25">
      <c r="A376" s="312" t="s">
        <v>3860</v>
      </c>
      <c r="B376" s="325" t="s">
        <v>3861</v>
      </c>
      <c r="C376" s="312">
        <v>114</v>
      </c>
      <c r="D376" s="312" t="s">
        <v>2265</v>
      </c>
      <c r="E376" s="329">
        <v>30800</v>
      </c>
      <c r="F376" s="331">
        <f t="shared" si="10"/>
        <v>28428.400000000001</v>
      </c>
      <c r="G376" s="357"/>
      <c r="H376" s="357">
        <f t="shared" si="11"/>
        <v>28428.400000000001</v>
      </c>
      <c r="I376" s="358" t="s">
        <v>7508</v>
      </c>
    </row>
    <row r="377" spans="1:9" ht="30.6" x14ac:dyDescent="0.25">
      <c r="A377" s="312" t="s">
        <v>3873</v>
      </c>
      <c r="B377" s="325" t="s">
        <v>3874</v>
      </c>
      <c r="C377" s="312"/>
      <c r="D377" s="312" t="s">
        <v>2265</v>
      </c>
      <c r="E377" s="329">
        <v>3950</v>
      </c>
      <c r="F377" s="331">
        <f t="shared" si="10"/>
        <v>3645.8500000000004</v>
      </c>
      <c r="G377" s="357"/>
      <c r="H377" s="357">
        <f t="shared" si="11"/>
        <v>3645.8500000000004</v>
      </c>
      <c r="I377" s="358" t="s">
        <v>7508</v>
      </c>
    </row>
    <row r="378" spans="1:9" ht="30.6" x14ac:dyDescent="0.25">
      <c r="A378" s="312" t="s">
        <v>3876</v>
      </c>
      <c r="B378" s="325" t="s">
        <v>3877</v>
      </c>
      <c r="C378" s="312"/>
      <c r="D378" s="312" t="s">
        <v>2265</v>
      </c>
      <c r="E378" s="329">
        <v>4000</v>
      </c>
      <c r="F378" s="331">
        <f t="shared" si="10"/>
        <v>3692</v>
      </c>
      <c r="G378" s="357"/>
      <c r="H378" s="357">
        <f t="shared" si="11"/>
        <v>3692</v>
      </c>
      <c r="I378" s="358" t="s">
        <v>7508</v>
      </c>
    </row>
    <row r="379" spans="1:9" ht="30.6" x14ac:dyDescent="0.25">
      <c r="A379" s="312" t="s">
        <v>3879</v>
      </c>
      <c r="B379" s="325" t="s">
        <v>3880</v>
      </c>
      <c r="C379" s="312"/>
      <c r="D379" s="312" t="s">
        <v>2265</v>
      </c>
      <c r="E379" s="329">
        <v>4125</v>
      </c>
      <c r="F379" s="331">
        <f t="shared" si="10"/>
        <v>3807.375</v>
      </c>
      <c r="G379" s="357"/>
      <c r="H379" s="357">
        <f t="shared" si="11"/>
        <v>3807.375</v>
      </c>
      <c r="I379" s="358" t="s">
        <v>7508</v>
      </c>
    </row>
    <row r="380" spans="1:9" ht="30.6" x14ac:dyDescent="0.25">
      <c r="A380" s="312" t="s">
        <v>3870</v>
      </c>
      <c r="B380" s="325" t="s">
        <v>3871</v>
      </c>
      <c r="C380" s="312"/>
      <c r="D380" s="312" t="s">
        <v>2265</v>
      </c>
      <c r="E380" s="329">
        <v>3450</v>
      </c>
      <c r="F380" s="331">
        <f t="shared" si="10"/>
        <v>3184.3500000000004</v>
      </c>
      <c r="G380" s="357"/>
      <c r="H380" s="357">
        <f t="shared" si="11"/>
        <v>3184.3500000000004</v>
      </c>
      <c r="I380" s="358" t="s">
        <v>7508</v>
      </c>
    </row>
    <row r="381" spans="1:9" ht="20.399999999999999" x14ac:dyDescent="0.25">
      <c r="A381" s="312" t="s">
        <v>3885</v>
      </c>
      <c r="B381" s="325" t="s">
        <v>3886</v>
      </c>
      <c r="C381" s="312">
        <v>1.6</v>
      </c>
      <c r="D381" s="312" t="s">
        <v>2265</v>
      </c>
      <c r="E381" s="329">
        <v>305</v>
      </c>
      <c r="F381" s="331">
        <f t="shared" ref="F381:F436" si="12">E381*0.923</f>
        <v>281.51499999999999</v>
      </c>
      <c r="G381" s="357"/>
      <c r="H381" s="357">
        <f t="shared" ref="H381:H444" si="13">IF(G381&gt;0,G381,F381)</f>
        <v>281.51499999999999</v>
      </c>
      <c r="I381" s="358" t="s">
        <v>7508</v>
      </c>
    </row>
    <row r="382" spans="1:9" ht="20.399999999999999" x14ac:dyDescent="0.25">
      <c r="A382" s="312" t="s">
        <v>3882</v>
      </c>
      <c r="B382" s="325" t="s">
        <v>3883</v>
      </c>
      <c r="C382" s="312">
        <v>1.6</v>
      </c>
      <c r="D382" s="312" t="s">
        <v>2265</v>
      </c>
      <c r="E382" s="329">
        <v>272</v>
      </c>
      <c r="F382" s="331">
        <f t="shared" si="12"/>
        <v>251.05600000000001</v>
      </c>
      <c r="G382" s="357"/>
      <c r="H382" s="357">
        <f t="shared" si="13"/>
        <v>251.05600000000001</v>
      </c>
      <c r="I382" s="358" t="s">
        <v>7508</v>
      </c>
    </row>
    <row r="383" spans="1:9" ht="20.399999999999999" x14ac:dyDescent="0.25">
      <c r="A383" s="312" t="s">
        <v>3888</v>
      </c>
      <c r="B383" s="325" t="s">
        <v>3889</v>
      </c>
      <c r="C383" s="312">
        <v>1.6</v>
      </c>
      <c r="D383" s="312" t="s">
        <v>2265</v>
      </c>
      <c r="E383" s="329">
        <v>430</v>
      </c>
      <c r="F383" s="331">
        <f t="shared" si="12"/>
        <v>396.89000000000004</v>
      </c>
      <c r="G383" s="357"/>
      <c r="H383" s="357">
        <f t="shared" si="13"/>
        <v>396.89000000000004</v>
      </c>
      <c r="I383" s="358" t="s">
        <v>7508</v>
      </c>
    </row>
    <row r="384" spans="1:9" x14ac:dyDescent="0.25">
      <c r="A384" s="312" t="s">
        <v>3900</v>
      </c>
      <c r="B384" s="325" t="s">
        <v>3901</v>
      </c>
      <c r="C384" s="312">
        <v>1.6</v>
      </c>
      <c r="D384" s="312" t="s">
        <v>2265</v>
      </c>
      <c r="E384" s="329">
        <v>410</v>
      </c>
      <c r="F384" s="331">
        <f t="shared" si="12"/>
        <v>378.43</v>
      </c>
      <c r="G384" s="357"/>
      <c r="H384" s="357">
        <f t="shared" si="13"/>
        <v>378.43</v>
      </c>
      <c r="I384" s="358" t="s">
        <v>7508</v>
      </c>
    </row>
    <row r="385" spans="1:17" x14ac:dyDescent="0.25">
      <c r="A385" s="312" t="s">
        <v>3897</v>
      </c>
      <c r="B385" s="325" t="s">
        <v>3898</v>
      </c>
      <c r="C385" s="312">
        <v>1.333</v>
      </c>
      <c r="D385" s="312" t="s">
        <v>2265</v>
      </c>
      <c r="E385" s="329">
        <v>305</v>
      </c>
      <c r="F385" s="331">
        <f t="shared" si="12"/>
        <v>281.51499999999999</v>
      </c>
      <c r="G385" s="357"/>
      <c r="H385" s="357">
        <f t="shared" si="13"/>
        <v>281.51499999999999</v>
      </c>
      <c r="I385" s="358" t="s">
        <v>7508</v>
      </c>
    </row>
    <row r="386" spans="1:17" x14ac:dyDescent="0.25">
      <c r="A386" s="312" t="s">
        <v>3894</v>
      </c>
      <c r="B386" s="325" t="s">
        <v>3895</v>
      </c>
      <c r="C386" s="312">
        <v>1.6</v>
      </c>
      <c r="D386" s="312" t="s">
        <v>2265</v>
      </c>
      <c r="E386" s="329">
        <v>360</v>
      </c>
      <c r="F386" s="331">
        <f t="shared" si="12"/>
        <v>332.28000000000003</v>
      </c>
      <c r="G386" s="357"/>
      <c r="H386" s="357">
        <f t="shared" si="13"/>
        <v>332.28000000000003</v>
      </c>
      <c r="I386" s="358" t="s">
        <v>7508</v>
      </c>
    </row>
    <row r="387" spans="1:17" x14ac:dyDescent="0.25">
      <c r="A387" s="312" t="s">
        <v>3891</v>
      </c>
      <c r="B387" s="325" t="s">
        <v>3892</v>
      </c>
      <c r="C387" s="312">
        <v>1.333</v>
      </c>
      <c r="D387" s="312" t="s">
        <v>2265</v>
      </c>
      <c r="E387" s="329">
        <v>249</v>
      </c>
      <c r="F387" s="331">
        <f t="shared" si="12"/>
        <v>229.827</v>
      </c>
      <c r="G387" s="357"/>
      <c r="H387" s="357">
        <f t="shared" si="13"/>
        <v>229.827</v>
      </c>
      <c r="I387" s="358" t="s">
        <v>7508</v>
      </c>
    </row>
    <row r="388" spans="1:17" x14ac:dyDescent="0.25">
      <c r="A388" s="368"/>
      <c r="B388" s="354" t="s">
        <v>2958</v>
      </c>
      <c r="C388" s="368"/>
      <c r="D388" s="355" t="s">
        <v>4665</v>
      </c>
      <c r="E388" s="355"/>
      <c r="F388" s="492">
        <f t="shared" si="12"/>
        <v>0</v>
      </c>
      <c r="G388" s="357">
        <v>12</v>
      </c>
      <c r="H388" s="357">
        <f t="shared" si="13"/>
        <v>12</v>
      </c>
      <c r="I388" s="358" t="s">
        <v>4584</v>
      </c>
    </row>
    <row r="389" spans="1:17" x14ac:dyDescent="0.25">
      <c r="A389" s="368"/>
      <c r="B389" s="354" t="s">
        <v>2959</v>
      </c>
      <c r="C389" s="368"/>
      <c r="D389" s="355" t="s">
        <v>2960</v>
      </c>
      <c r="E389" s="355"/>
      <c r="F389" s="492">
        <f t="shared" si="12"/>
        <v>0</v>
      </c>
      <c r="G389" s="357">
        <v>3500</v>
      </c>
      <c r="H389" s="357">
        <f t="shared" si="13"/>
        <v>3500</v>
      </c>
      <c r="I389" s="358" t="s">
        <v>4584</v>
      </c>
    </row>
    <row r="390" spans="1:17" x14ac:dyDescent="0.25">
      <c r="A390" s="368"/>
      <c r="B390" s="354" t="s">
        <v>4526</v>
      </c>
      <c r="C390" s="368"/>
      <c r="D390" s="355" t="s">
        <v>4665</v>
      </c>
      <c r="E390" s="355"/>
      <c r="F390" s="492">
        <f t="shared" si="12"/>
        <v>0</v>
      </c>
      <c r="G390" s="357">
        <v>1280</v>
      </c>
      <c r="H390" s="357">
        <f t="shared" si="13"/>
        <v>1280</v>
      </c>
      <c r="I390" s="358" t="s">
        <v>4537</v>
      </c>
    </row>
    <row r="391" spans="1:17" x14ac:dyDescent="0.25">
      <c r="A391" s="368"/>
      <c r="B391" s="354" t="s">
        <v>4527</v>
      </c>
      <c r="C391" s="368"/>
      <c r="D391" s="355" t="s">
        <v>4665</v>
      </c>
      <c r="E391" s="355"/>
      <c r="F391" s="492">
        <f t="shared" si="12"/>
        <v>0</v>
      </c>
      <c r="G391" s="357">
        <v>1475</v>
      </c>
      <c r="H391" s="357">
        <f t="shared" si="13"/>
        <v>1475</v>
      </c>
      <c r="I391" s="358" t="s">
        <v>4537</v>
      </c>
    </row>
    <row r="392" spans="1:17" ht="20.399999999999999" x14ac:dyDescent="0.25">
      <c r="A392" s="312" t="s">
        <v>4307</v>
      </c>
      <c r="B392" s="325" t="s">
        <v>684</v>
      </c>
      <c r="C392" s="312">
        <v>4</v>
      </c>
      <c r="D392" s="312" t="s">
        <v>2265</v>
      </c>
      <c r="E392" s="329">
        <v>1500</v>
      </c>
      <c r="F392" s="331">
        <f t="shared" si="12"/>
        <v>1384.5</v>
      </c>
      <c r="G392" s="357"/>
      <c r="H392" s="357">
        <f t="shared" si="13"/>
        <v>1384.5</v>
      </c>
      <c r="I392" s="358" t="s">
        <v>7508</v>
      </c>
    </row>
    <row r="393" spans="1:17" ht="20.399999999999999" x14ac:dyDescent="0.25">
      <c r="A393" s="312" t="s">
        <v>4293</v>
      </c>
      <c r="B393" s="325" t="s">
        <v>4294</v>
      </c>
      <c r="C393" s="312">
        <v>1.4999999999999999E-2</v>
      </c>
      <c r="D393" s="312" t="s">
        <v>2202</v>
      </c>
      <c r="E393" s="329">
        <v>1.71</v>
      </c>
      <c r="F393" s="331">
        <f t="shared" si="12"/>
        <v>1.57833</v>
      </c>
      <c r="G393" s="357"/>
      <c r="H393" s="357">
        <f t="shared" si="13"/>
        <v>1.57833</v>
      </c>
      <c r="I393" s="358" t="s">
        <v>7508</v>
      </c>
    </row>
    <row r="394" spans="1:17" x14ac:dyDescent="0.25">
      <c r="A394" s="312" t="s">
        <v>3512</v>
      </c>
      <c r="B394" s="325" t="s">
        <v>3513</v>
      </c>
      <c r="C394" s="312">
        <v>5.1999999999999998E-2</v>
      </c>
      <c r="D394" s="312" t="s">
        <v>2202</v>
      </c>
      <c r="E394" s="329">
        <v>4.72</v>
      </c>
      <c r="F394" s="331">
        <f t="shared" si="12"/>
        <v>4.35656</v>
      </c>
      <c r="G394" s="357"/>
      <c r="H394" s="357">
        <f t="shared" si="13"/>
        <v>4.35656</v>
      </c>
      <c r="I394" s="358" t="s">
        <v>7508</v>
      </c>
    </row>
    <row r="395" spans="1:17" x14ac:dyDescent="0.25">
      <c r="A395" s="312" t="s">
        <v>3515</v>
      </c>
      <c r="B395" s="325" t="s">
        <v>1222</v>
      </c>
      <c r="C395" s="312">
        <v>5.5E-2</v>
      </c>
      <c r="D395" s="312" t="s">
        <v>2202</v>
      </c>
      <c r="E395" s="329">
        <v>6</v>
      </c>
      <c r="F395" s="331">
        <f t="shared" si="12"/>
        <v>5.5380000000000003</v>
      </c>
      <c r="G395" s="357"/>
      <c r="H395" s="357">
        <f t="shared" si="13"/>
        <v>5.5380000000000003</v>
      </c>
      <c r="I395" s="358" t="s">
        <v>7508</v>
      </c>
    </row>
    <row r="396" spans="1:17" x14ac:dyDescent="0.25">
      <c r="A396" s="312" t="s">
        <v>3517</v>
      </c>
      <c r="B396" s="325" t="s">
        <v>3518</v>
      </c>
      <c r="C396" s="312">
        <v>5.8999999999999997E-2</v>
      </c>
      <c r="D396" s="312" t="s">
        <v>2202</v>
      </c>
      <c r="E396" s="329">
        <v>5.95</v>
      </c>
      <c r="F396" s="331">
        <f t="shared" si="12"/>
        <v>5.4918500000000003</v>
      </c>
      <c r="G396" s="357"/>
      <c r="H396" s="357">
        <f t="shared" si="13"/>
        <v>5.4918500000000003</v>
      </c>
      <c r="I396" s="358" t="s">
        <v>7508</v>
      </c>
    </row>
    <row r="397" spans="1:17" x14ac:dyDescent="0.25">
      <c r="A397" s="312" t="s">
        <v>3520</v>
      </c>
      <c r="B397" s="325" t="s">
        <v>3521</v>
      </c>
      <c r="C397" s="312">
        <v>6.2E-2</v>
      </c>
      <c r="D397" s="312" t="s">
        <v>2202</v>
      </c>
      <c r="E397" s="329">
        <v>7.95</v>
      </c>
      <c r="F397" s="331">
        <f t="shared" si="12"/>
        <v>7.3378500000000004</v>
      </c>
      <c r="G397" s="357"/>
      <c r="H397" s="357">
        <f t="shared" si="13"/>
        <v>7.3378500000000004</v>
      </c>
      <c r="I397" s="358" t="s">
        <v>7508</v>
      </c>
    </row>
    <row r="398" spans="1:17" x14ac:dyDescent="0.25">
      <c r="A398" s="312" t="s">
        <v>3523</v>
      </c>
      <c r="B398" s="325" t="s">
        <v>3524</v>
      </c>
      <c r="C398" s="312">
        <v>5.5E-2</v>
      </c>
      <c r="D398" s="312" t="s">
        <v>2202</v>
      </c>
      <c r="E398" s="329">
        <v>5.7</v>
      </c>
      <c r="F398" s="331">
        <f t="shared" si="12"/>
        <v>5.2611000000000008</v>
      </c>
      <c r="G398" s="357"/>
      <c r="H398" s="357">
        <f t="shared" si="13"/>
        <v>5.2611000000000008</v>
      </c>
      <c r="I398" s="358" t="s">
        <v>7508</v>
      </c>
    </row>
    <row r="399" spans="1:17" s="341" customFormat="1" ht="10.199999999999999" x14ac:dyDescent="0.2">
      <c r="A399" s="312"/>
      <c r="B399" s="325"/>
      <c r="C399" s="312"/>
      <c r="D399" s="312"/>
      <c r="E399" s="329"/>
      <c r="F399" s="331">
        <f t="shared" si="12"/>
        <v>0</v>
      </c>
      <c r="G399" s="357"/>
      <c r="H399" s="357">
        <f t="shared" si="13"/>
        <v>0</v>
      </c>
      <c r="I399" s="358"/>
      <c r="J399" s="373"/>
      <c r="K399" s="373"/>
      <c r="L399" s="373"/>
      <c r="M399" s="373"/>
      <c r="N399" s="373"/>
      <c r="O399" s="373"/>
      <c r="P399" s="373"/>
      <c r="Q399" s="373"/>
    </row>
    <row r="400" spans="1:17" x14ac:dyDescent="0.25">
      <c r="F400" s="331">
        <f t="shared" si="12"/>
        <v>0</v>
      </c>
      <c r="H400" s="357">
        <f t="shared" si="13"/>
        <v>0</v>
      </c>
    </row>
    <row r="401" spans="1:17" x14ac:dyDescent="0.25">
      <c r="F401" s="331">
        <f t="shared" si="12"/>
        <v>0</v>
      </c>
      <c r="H401" s="357">
        <f t="shared" si="13"/>
        <v>0</v>
      </c>
    </row>
    <row r="402" spans="1:17" x14ac:dyDescent="0.25">
      <c r="A402" s="382" t="s">
        <v>4717</v>
      </c>
      <c r="B402" s="382"/>
      <c r="C402" s="382"/>
      <c r="D402" s="382"/>
      <c r="E402" s="382"/>
      <c r="F402" s="331">
        <f t="shared" si="12"/>
        <v>0</v>
      </c>
      <c r="G402" s="382"/>
      <c r="H402" s="357">
        <f t="shared" si="13"/>
        <v>0</v>
      </c>
      <c r="I402" s="382"/>
    </row>
    <row r="403" spans="1:17" s="360" customFormat="1" x14ac:dyDescent="0.25">
      <c r="F403" s="331">
        <f t="shared" si="12"/>
        <v>0</v>
      </c>
      <c r="H403" s="357">
        <f t="shared" si="13"/>
        <v>0</v>
      </c>
      <c r="J403" s="260"/>
      <c r="K403" s="260"/>
      <c r="L403" s="260"/>
      <c r="M403" s="260"/>
      <c r="N403" s="260"/>
      <c r="O403" s="260"/>
      <c r="P403" s="260"/>
      <c r="Q403" s="260"/>
    </row>
    <row r="404" spans="1:17" s="341" customFormat="1" ht="10.199999999999999" x14ac:dyDescent="0.2">
      <c r="A404" s="368"/>
      <c r="B404" s="354" t="s">
        <v>4406</v>
      </c>
      <c r="C404" s="368"/>
      <c r="D404" s="355" t="s">
        <v>4665</v>
      </c>
      <c r="E404" s="355"/>
      <c r="F404" s="492">
        <f t="shared" si="12"/>
        <v>0</v>
      </c>
      <c r="G404" s="357">
        <v>2500</v>
      </c>
      <c r="H404" s="357">
        <f t="shared" si="13"/>
        <v>2500</v>
      </c>
      <c r="I404" s="358" t="s">
        <v>4535</v>
      </c>
      <c r="J404" s="373"/>
      <c r="K404" s="373"/>
      <c r="L404" s="373"/>
      <c r="M404" s="373"/>
      <c r="N404" s="373"/>
      <c r="O404" s="373"/>
      <c r="P404" s="373"/>
      <c r="Q404" s="373"/>
    </row>
    <row r="405" spans="1:17" x14ac:dyDescent="0.25">
      <c r="A405" s="312"/>
      <c r="B405" s="325"/>
      <c r="C405" s="312"/>
      <c r="D405" s="312"/>
      <c r="E405" s="329"/>
      <c r="F405" s="331"/>
      <c r="G405" s="357"/>
      <c r="H405" s="357"/>
      <c r="I405" s="358"/>
    </row>
    <row r="406" spans="1:17" x14ac:dyDescent="0.25">
      <c r="A406" s="312" t="s">
        <v>3761</v>
      </c>
      <c r="B406" s="325" t="s">
        <v>3762</v>
      </c>
      <c r="C406" s="312">
        <v>0.05</v>
      </c>
      <c r="D406" s="312" t="s">
        <v>2202</v>
      </c>
      <c r="E406" s="329">
        <v>11.75</v>
      </c>
      <c r="F406" s="331">
        <f t="shared" si="12"/>
        <v>10.84525</v>
      </c>
      <c r="G406" s="357"/>
      <c r="H406" s="357">
        <f t="shared" si="13"/>
        <v>10.84525</v>
      </c>
      <c r="I406" s="358" t="s">
        <v>7508</v>
      </c>
    </row>
    <row r="407" spans="1:17" ht="30.6" x14ac:dyDescent="0.25">
      <c r="A407" s="312" t="s">
        <v>3710</v>
      </c>
      <c r="B407" s="325" t="s">
        <v>3711</v>
      </c>
      <c r="C407" s="312">
        <v>0.15</v>
      </c>
      <c r="D407" s="312" t="s">
        <v>2301</v>
      </c>
      <c r="E407" s="329">
        <v>30.5</v>
      </c>
      <c r="F407" s="331">
        <f t="shared" si="12"/>
        <v>28.151500000000002</v>
      </c>
      <c r="G407" s="357"/>
      <c r="H407" s="357">
        <f t="shared" si="13"/>
        <v>28.151500000000002</v>
      </c>
      <c r="I407" s="358" t="s">
        <v>7508</v>
      </c>
    </row>
    <row r="408" spans="1:17" ht="20.399999999999999" x14ac:dyDescent="0.25">
      <c r="A408" s="312" t="s">
        <v>3713</v>
      </c>
      <c r="B408" s="325" t="s">
        <v>3714</v>
      </c>
      <c r="C408" s="312">
        <v>0.17499999999999999</v>
      </c>
      <c r="D408" s="312" t="s">
        <v>2301</v>
      </c>
      <c r="E408" s="329">
        <v>34.5</v>
      </c>
      <c r="F408" s="331">
        <f t="shared" si="12"/>
        <v>31.843500000000002</v>
      </c>
      <c r="G408" s="357"/>
      <c r="H408" s="357">
        <f t="shared" si="13"/>
        <v>31.843500000000002</v>
      </c>
      <c r="I408" s="358" t="s">
        <v>7508</v>
      </c>
    </row>
    <row r="409" spans="1:17" ht="30.6" x14ac:dyDescent="0.25">
      <c r="A409" s="312" t="s">
        <v>3706</v>
      </c>
      <c r="B409" s="325" t="s">
        <v>3707</v>
      </c>
      <c r="C409" s="312">
        <v>0.13700000000000001</v>
      </c>
      <c r="D409" s="312" t="s">
        <v>2301</v>
      </c>
      <c r="E409" s="329">
        <v>28</v>
      </c>
      <c r="F409" s="331">
        <f t="shared" si="12"/>
        <v>25.844000000000001</v>
      </c>
      <c r="G409" s="357"/>
      <c r="H409" s="357">
        <f t="shared" si="13"/>
        <v>25.844000000000001</v>
      </c>
      <c r="I409" s="358" t="s">
        <v>7508</v>
      </c>
    </row>
    <row r="410" spans="1:17" ht="30.6" x14ac:dyDescent="0.25">
      <c r="A410" s="312" t="s">
        <v>3716</v>
      </c>
      <c r="B410" s="325" t="s">
        <v>3717</v>
      </c>
      <c r="C410" s="312">
        <v>0.107</v>
      </c>
      <c r="D410" s="312" t="s">
        <v>2301</v>
      </c>
      <c r="E410" s="329">
        <v>21.5</v>
      </c>
      <c r="F410" s="331">
        <f t="shared" si="12"/>
        <v>19.8445</v>
      </c>
      <c r="G410" s="357"/>
      <c r="H410" s="357">
        <f t="shared" si="13"/>
        <v>19.8445</v>
      </c>
      <c r="I410" s="358" t="s">
        <v>7508</v>
      </c>
    </row>
    <row r="411" spans="1:17" ht="30.6" x14ac:dyDescent="0.25">
      <c r="A411" s="312" t="s">
        <v>3719</v>
      </c>
      <c r="B411" s="325" t="s">
        <v>3720</v>
      </c>
      <c r="C411" s="312">
        <v>0.11600000000000001</v>
      </c>
      <c r="D411" s="312" t="s">
        <v>2301</v>
      </c>
      <c r="E411" s="329">
        <v>23.5</v>
      </c>
      <c r="F411" s="331">
        <f t="shared" si="12"/>
        <v>21.6905</v>
      </c>
      <c r="G411" s="357"/>
      <c r="H411" s="357">
        <f t="shared" si="13"/>
        <v>21.6905</v>
      </c>
      <c r="I411" s="358" t="s">
        <v>7508</v>
      </c>
    </row>
    <row r="412" spans="1:17" ht="30.6" x14ac:dyDescent="0.25">
      <c r="A412" s="312" t="s">
        <v>3731</v>
      </c>
      <c r="B412" s="325" t="s">
        <v>3732</v>
      </c>
      <c r="C412" s="312">
        <v>0.13300000000000001</v>
      </c>
      <c r="D412" s="312" t="s">
        <v>2301</v>
      </c>
      <c r="E412" s="329">
        <v>26.5</v>
      </c>
      <c r="F412" s="331">
        <f t="shared" si="12"/>
        <v>24.459500000000002</v>
      </c>
      <c r="G412" s="357"/>
      <c r="H412" s="357">
        <f t="shared" si="13"/>
        <v>24.459500000000002</v>
      </c>
      <c r="I412" s="358" t="s">
        <v>7508</v>
      </c>
    </row>
    <row r="413" spans="1:17" x14ac:dyDescent="0.25">
      <c r="A413" s="312"/>
      <c r="B413" s="325"/>
      <c r="C413" s="312"/>
      <c r="D413" s="312"/>
      <c r="E413" s="329"/>
      <c r="F413" s="331"/>
      <c r="G413" s="357"/>
      <c r="H413" s="357"/>
      <c r="I413" s="358"/>
    </row>
    <row r="414" spans="1:17" ht="30.6" x14ac:dyDescent="0.25">
      <c r="A414" s="312" t="s">
        <v>3725</v>
      </c>
      <c r="B414" s="325" t="s">
        <v>3726</v>
      </c>
      <c r="C414" s="312">
        <v>0.08</v>
      </c>
      <c r="D414" s="312" t="s">
        <v>2301</v>
      </c>
      <c r="E414" s="329">
        <v>17.45</v>
      </c>
      <c r="F414" s="331">
        <f t="shared" si="12"/>
        <v>16.106349999999999</v>
      </c>
      <c r="G414" s="357"/>
      <c r="H414" s="357">
        <f t="shared" si="13"/>
        <v>16.106349999999999</v>
      </c>
      <c r="I414" s="358" t="s">
        <v>7508</v>
      </c>
    </row>
    <row r="415" spans="1:17" ht="30.6" x14ac:dyDescent="0.25">
      <c r="A415" s="312" t="s">
        <v>3728</v>
      </c>
      <c r="B415" s="325" t="s">
        <v>3729</v>
      </c>
      <c r="C415" s="312">
        <v>9.8000000000000004E-2</v>
      </c>
      <c r="D415" s="312" t="s">
        <v>2301</v>
      </c>
      <c r="E415" s="329">
        <v>20.5</v>
      </c>
      <c r="F415" s="331">
        <f t="shared" si="12"/>
        <v>18.921500000000002</v>
      </c>
      <c r="G415" s="357"/>
      <c r="H415" s="357">
        <f t="shared" si="13"/>
        <v>18.921500000000002</v>
      </c>
      <c r="I415" s="358" t="s">
        <v>7508</v>
      </c>
    </row>
    <row r="416" spans="1:17" ht="30.6" x14ac:dyDescent="0.25">
      <c r="A416" s="312" t="s">
        <v>3737</v>
      </c>
      <c r="B416" s="325" t="s">
        <v>3738</v>
      </c>
      <c r="C416" s="312">
        <v>0.11600000000000001</v>
      </c>
      <c r="D416" s="312" t="s">
        <v>2301</v>
      </c>
      <c r="E416" s="329">
        <v>24.5</v>
      </c>
      <c r="F416" s="331">
        <f t="shared" si="12"/>
        <v>22.613500000000002</v>
      </c>
      <c r="G416" s="357"/>
      <c r="H416" s="357">
        <f t="shared" si="13"/>
        <v>22.613500000000002</v>
      </c>
      <c r="I416" s="358" t="s">
        <v>7508</v>
      </c>
    </row>
    <row r="417" spans="1:17" ht="30.6" x14ac:dyDescent="0.25">
      <c r="A417" s="312" t="s">
        <v>3740</v>
      </c>
      <c r="B417" s="325" t="s">
        <v>3741</v>
      </c>
      <c r="C417" s="312">
        <v>0.13300000000000001</v>
      </c>
      <c r="D417" s="312" t="s">
        <v>2301</v>
      </c>
      <c r="E417" s="329">
        <v>28</v>
      </c>
      <c r="F417" s="331">
        <f t="shared" si="12"/>
        <v>25.844000000000001</v>
      </c>
      <c r="G417" s="357"/>
      <c r="H417" s="357">
        <f t="shared" si="13"/>
        <v>25.844000000000001</v>
      </c>
      <c r="I417" s="358" t="s">
        <v>7508</v>
      </c>
    </row>
    <row r="418" spans="1:17" ht="30.6" x14ac:dyDescent="0.25">
      <c r="A418" s="312" t="s">
        <v>3734</v>
      </c>
      <c r="B418" s="325" t="s">
        <v>3735</v>
      </c>
      <c r="C418" s="312">
        <v>0.107</v>
      </c>
      <c r="D418" s="312" t="s">
        <v>2301</v>
      </c>
      <c r="E418" s="329">
        <v>23</v>
      </c>
      <c r="F418" s="331">
        <f t="shared" si="12"/>
        <v>21.228999999999999</v>
      </c>
      <c r="G418" s="357"/>
      <c r="H418" s="357">
        <f t="shared" si="13"/>
        <v>21.228999999999999</v>
      </c>
      <c r="I418" s="358" t="s">
        <v>7508</v>
      </c>
    </row>
    <row r="419" spans="1:17" ht="30.6" x14ac:dyDescent="0.25">
      <c r="A419" s="312" t="s">
        <v>3743</v>
      </c>
      <c r="B419" s="325" t="s">
        <v>3744</v>
      </c>
      <c r="C419" s="312">
        <v>9.4E-2</v>
      </c>
      <c r="D419" s="312" t="s">
        <v>2301</v>
      </c>
      <c r="E419" s="329">
        <v>20.5</v>
      </c>
      <c r="F419" s="331">
        <f t="shared" si="12"/>
        <v>18.921500000000002</v>
      </c>
      <c r="G419" s="357"/>
      <c r="H419" s="357">
        <f t="shared" si="13"/>
        <v>18.921500000000002</v>
      </c>
      <c r="I419" s="358" t="s">
        <v>7508</v>
      </c>
    </row>
    <row r="420" spans="1:17" ht="30.6" x14ac:dyDescent="0.25">
      <c r="A420" s="312" t="s">
        <v>3746</v>
      </c>
      <c r="B420" s="325" t="s">
        <v>3747</v>
      </c>
      <c r="C420" s="312">
        <v>0.10100000000000001</v>
      </c>
      <c r="D420" s="312" t="s">
        <v>2301</v>
      </c>
      <c r="E420" s="329">
        <v>21.5</v>
      </c>
      <c r="F420" s="331">
        <f t="shared" si="12"/>
        <v>19.8445</v>
      </c>
      <c r="G420" s="357"/>
      <c r="H420" s="357">
        <f t="shared" si="13"/>
        <v>19.8445</v>
      </c>
      <c r="I420" s="358" t="s">
        <v>7508</v>
      </c>
    </row>
    <row r="421" spans="1:17" ht="30.6" x14ac:dyDescent="0.25">
      <c r="A421" s="312" t="s">
        <v>3749</v>
      </c>
      <c r="B421" s="325" t="s">
        <v>3750</v>
      </c>
      <c r="C421" s="312">
        <v>0.11600000000000001</v>
      </c>
      <c r="D421" s="312" t="s">
        <v>2301</v>
      </c>
      <c r="E421" s="329">
        <v>24.5</v>
      </c>
      <c r="F421" s="331">
        <f t="shared" si="12"/>
        <v>22.613500000000002</v>
      </c>
      <c r="G421" s="357"/>
      <c r="H421" s="357">
        <f t="shared" si="13"/>
        <v>22.613500000000002</v>
      </c>
      <c r="I421" s="358" t="s">
        <v>7508</v>
      </c>
    </row>
    <row r="422" spans="1:17" ht="30.6" x14ac:dyDescent="0.25">
      <c r="A422" s="312" t="s">
        <v>3752</v>
      </c>
      <c r="B422" s="325" t="s">
        <v>3753</v>
      </c>
      <c r="C422" s="312">
        <v>7.0999999999999994E-2</v>
      </c>
      <c r="D422" s="312" t="s">
        <v>2301</v>
      </c>
      <c r="E422" s="329">
        <v>16.7</v>
      </c>
      <c r="F422" s="331">
        <f t="shared" si="12"/>
        <v>15.414099999999999</v>
      </c>
      <c r="G422" s="357"/>
      <c r="H422" s="357">
        <f t="shared" si="13"/>
        <v>15.414099999999999</v>
      </c>
      <c r="I422" s="358" t="s">
        <v>7508</v>
      </c>
    </row>
    <row r="423" spans="1:17" ht="30.6" x14ac:dyDescent="0.25">
      <c r="A423" s="312" t="s">
        <v>3755</v>
      </c>
      <c r="B423" s="325" t="s">
        <v>3756</v>
      </c>
      <c r="C423" s="312">
        <v>7.5999999999999998E-2</v>
      </c>
      <c r="D423" s="312" t="s">
        <v>2301</v>
      </c>
      <c r="E423" s="329">
        <v>17.600000000000001</v>
      </c>
      <c r="F423" s="331">
        <f t="shared" si="12"/>
        <v>16.244800000000001</v>
      </c>
      <c r="G423" s="357"/>
      <c r="H423" s="357">
        <f t="shared" si="13"/>
        <v>16.244800000000001</v>
      </c>
      <c r="I423" s="358" t="s">
        <v>7508</v>
      </c>
    </row>
    <row r="424" spans="1:17" ht="30.6" x14ac:dyDescent="0.25">
      <c r="A424" s="312" t="s">
        <v>3758</v>
      </c>
      <c r="B424" s="325" t="s">
        <v>3759</v>
      </c>
      <c r="C424" s="312">
        <v>9.8000000000000004E-2</v>
      </c>
      <c r="D424" s="312" t="s">
        <v>2301</v>
      </c>
      <c r="E424" s="329">
        <v>21</v>
      </c>
      <c r="F424" s="331">
        <f t="shared" si="12"/>
        <v>19.383000000000003</v>
      </c>
      <c r="G424" s="357"/>
      <c r="H424" s="357">
        <f t="shared" si="13"/>
        <v>19.383000000000003</v>
      </c>
      <c r="I424" s="358" t="s">
        <v>7508</v>
      </c>
    </row>
    <row r="425" spans="1:17" s="341" customFormat="1" ht="10.199999999999999" x14ac:dyDescent="0.2">
      <c r="A425" s="368"/>
      <c r="B425" s="354"/>
      <c r="C425" s="368"/>
      <c r="D425" s="355"/>
      <c r="E425" s="355"/>
      <c r="F425" s="492"/>
      <c r="G425" s="357"/>
      <c r="H425" s="357"/>
      <c r="I425" s="358"/>
      <c r="J425" s="373"/>
      <c r="K425" s="373"/>
      <c r="L425" s="373"/>
      <c r="M425" s="373"/>
      <c r="N425" s="373"/>
      <c r="O425" s="373"/>
      <c r="P425" s="373"/>
      <c r="Q425" s="373"/>
    </row>
    <row r="426" spans="1:17" s="341" customFormat="1" ht="10.199999999999999" x14ac:dyDescent="0.2">
      <c r="A426" s="368"/>
      <c r="B426" s="354"/>
      <c r="C426" s="368"/>
      <c r="D426" s="355"/>
      <c r="E426" s="355"/>
      <c r="F426" s="492"/>
      <c r="G426" s="357"/>
      <c r="H426" s="357"/>
      <c r="I426" s="358"/>
      <c r="J426" s="373"/>
      <c r="K426" s="373"/>
      <c r="L426" s="373"/>
      <c r="M426" s="373"/>
      <c r="N426" s="373"/>
      <c r="O426" s="373"/>
      <c r="P426" s="373"/>
      <c r="Q426" s="373"/>
    </row>
    <row r="427" spans="1:17" x14ac:dyDescent="0.25">
      <c r="A427" s="368"/>
      <c r="B427" s="354"/>
      <c r="C427" s="368"/>
      <c r="D427" s="355"/>
      <c r="E427" s="355"/>
      <c r="F427" s="492"/>
      <c r="G427" s="357"/>
      <c r="H427" s="357"/>
      <c r="I427" s="358"/>
    </row>
    <row r="428" spans="1:17" x14ac:dyDescent="0.25">
      <c r="A428" s="368"/>
      <c r="B428" s="354" t="s">
        <v>4481</v>
      </c>
      <c r="C428" s="368"/>
      <c r="D428" s="355" t="s">
        <v>2202</v>
      </c>
      <c r="E428" s="355"/>
      <c r="F428" s="357">
        <v>34.28</v>
      </c>
      <c r="H428" s="357">
        <f>IF(F428&gt;0,F428,#REF!)</f>
        <v>34.28</v>
      </c>
      <c r="I428" s="358" t="s">
        <v>4575</v>
      </c>
    </row>
    <row r="429" spans="1:17" x14ac:dyDescent="0.25">
      <c r="A429" s="368"/>
      <c r="B429" s="354" t="s">
        <v>4482</v>
      </c>
      <c r="C429" s="368"/>
      <c r="D429" s="355" t="s">
        <v>4665</v>
      </c>
      <c r="E429" s="355"/>
      <c r="F429" s="357">
        <v>839</v>
      </c>
      <c r="H429" s="357">
        <f>IF(F429&gt;0,F429,#REF!)</f>
        <v>839</v>
      </c>
      <c r="I429" s="358" t="s">
        <v>4576</v>
      </c>
    </row>
    <row r="430" spans="1:17" x14ac:dyDescent="0.25">
      <c r="A430" s="368"/>
      <c r="B430" s="354" t="s">
        <v>3316</v>
      </c>
      <c r="C430" s="368"/>
      <c r="D430" s="355" t="s">
        <v>4665</v>
      </c>
      <c r="E430" s="355"/>
      <c r="F430" s="357">
        <v>5125</v>
      </c>
      <c r="H430" s="357">
        <f>IF(F430&gt;0,F430,#REF!)</f>
        <v>5125</v>
      </c>
      <c r="I430" s="358" t="s">
        <v>4576</v>
      </c>
    </row>
    <row r="431" spans="1:17" x14ac:dyDescent="0.25">
      <c r="A431" s="368"/>
      <c r="B431" s="354" t="s">
        <v>4483</v>
      </c>
      <c r="C431" s="368"/>
      <c r="D431" s="355" t="s">
        <v>4665</v>
      </c>
      <c r="E431" s="355"/>
      <c r="F431" s="357">
        <v>36</v>
      </c>
      <c r="H431" s="357">
        <f>IF(F431&gt;0,F431,#REF!)</f>
        <v>36</v>
      </c>
      <c r="I431" s="358" t="s">
        <v>4577</v>
      </c>
    </row>
    <row r="432" spans="1:17" x14ac:dyDescent="0.25">
      <c r="A432" s="312" t="s">
        <v>3625</v>
      </c>
      <c r="B432" s="325" t="s">
        <v>3626</v>
      </c>
      <c r="C432" s="312"/>
      <c r="D432" s="312" t="s">
        <v>399</v>
      </c>
      <c r="E432" s="329">
        <v>9.5</v>
      </c>
      <c r="F432" s="331">
        <f t="shared" si="12"/>
        <v>8.7684999999999995</v>
      </c>
      <c r="G432" s="357"/>
      <c r="H432" s="357">
        <f t="shared" si="13"/>
        <v>8.7684999999999995</v>
      </c>
      <c r="I432" s="358" t="s">
        <v>7508</v>
      </c>
    </row>
    <row r="433" spans="1:17" ht="20.399999999999999" x14ac:dyDescent="0.25">
      <c r="A433" s="312" t="s">
        <v>3622</v>
      </c>
      <c r="B433" s="325" t="s">
        <v>3623</v>
      </c>
      <c r="C433" s="312"/>
      <c r="D433" s="312" t="s">
        <v>399</v>
      </c>
      <c r="E433" s="329">
        <v>14.05</v>
      </c>
      <c r="F433" s="331">
        <f t="shared" si="12"/>
        <v>12.968150000000001</v>
      </c>
      <c r="G433" s="357"/>
      <c r="H433" s="357">
        <f t="shared" si="13"/>
        <v>12.968150000000001</v>
      </c>
      <c r="I433" s="358" t="s">
        <v>7508</v>
      </c>
    </row>
    <row r="434" spans="1:17" ht="20.399999999999999" x14ac:dyDescent="0.25">
      <c r="A434" s="312" t="s">
        <v>3619</v>
      </c>
      <c r="B434" s="325" t="s">
        <v>3620</v>
      </c>
      <c r="C434" s="312"/>
      <c r="D434" s="312" t="s">
        <v>399</v>
      </c>
      <c r="E434" s="329">
        <v>7</v>
      </c>
      <c r="F434" s="331">
        <f t="shared" si="12"/>
        <v>6.4610000000000003</v>
      </c>
      <c r="G434" s="357"/>
      <c r="H434" s="357">
        <f t="shared" si="13"/>
        <v>6.4610000000000003</v>
      </c>
      <c r="I434" s="358" t="s">
        <v>7508</v>
      </c>
    </row>
    <row r="435" spans="1:17" x14ac:dyDescent="0.25">
      <c r="A435" s="368"/>
      <c r="B435" s="354" t="s">
        <v>4516</v>
      </c>
      <c r="C435" s="368"/>
      <c r="D435" s="355" t="s">
        <v>2241</v>
      </c>
      <c r="E435" s="355"/>
      <c r="F435" s="492">
        <f t="shared" si="12"/>
        <v>0</v>
      </c>
      <c r="G435" s="357">
        <v>4</v>
      </c>
      <c r="H435" s="357">
        <f t="shared" si="13"/>
        <v>4</v>
      </c>
      <c r="I435" s="358" t="s">
        <v>4586</v>
      </c>
    </row>
    <row r="436" spans="1:17" x14ac:dyDescent="0.25">
      <c r="A436" s="312" t="s">
        <v>3634</v>
      </c>
      <c r="B436" s="325" t="s">
        <v>3635</v>
      </c>
      <c r="C436" s="312">
        <v>0.216</v>
      </c>
      <c r="D436" s="312" t="s">
        <v>1053</v>
      </c>
      <c r="E436" s="329">
        <v>21</v>
      </c>
      <c r="F436" s="331">
        <f t="shared" si="12"/>
        <v>19.383000000000003</v>
      </c>
      <c r="G436" s="357"/>
      <c r="H436" s="357">
        <f t="shared" si="13"/>
        <v>19.383000000000003</v>
      </c>
      <c r="I436" s="358" t="s">
        <v>7508</v>
      </c>
    </row>
    <row r="437" spans="1:17" s="367" customFormat="1" x14ac:dyDescent="0.2">
      <c r="A437" s="362"/>
      <c r="B437" s="205" t="s">
        <v>4764</v>
      </c>
      <c r="C437" s="364"/>
      <c r="D437" s="363" t="s">
        <v>2734</v>
      </c>
      <c r="E437" s="364"/>
      <c r="F437" s="331">
        <v>175</v>
      </c>
      <c r="G437" s="365"/>
      <c r="H437" s="357">
        <f t="shared" si="13"/>
        <v>175</v>
      </c>
      <c r="I437" s="366"/>
      <c r="J437" s="371"/>
      <c r="K437" s="371"/>
      <c r="L437" s="371"/>
      <c r="M437" s="371"/>
      <c r="N437" s="371"/>
      <c r="O437" s="371"/>
      <c r="P437" s="371"/>
      <c r="Q437" s="371"/>
    </row>
    <row r="438" spans="1:17" x14ac:dyDescent="0.25">
      <c r="H438" s="357">
        <f t="shared" si="13"/>
        <v>0</v>
      </c>
    </row>
    <row r="439" spans="1:17" x14ac:dyDescent="0.25">
      <c r="H439" s="357">
        <f t="shared" si="13"/>
        <v>0</v>
      </c>
    </row>
    <row r="440" spans="1:17" x14ac:dyDescent="0.25">
      <c r="H440" s="357">
        <f t="shared" si="13"/>
        <v>0</v>
      </c>
    </row>
    <row r="441" spans="1:17" x14ac:dyDescent="0.25">
      <c r="H441" s="357">
        <f t="shared" si="13"/>
        <v>0</v>
      </c>
    </row>
    <row r="442" spans="1:17" x14ac:dyDescent="0.25">
      <c r="H442" s="357">
        <f t="shared" si="13"/>
        <v>0</v>
      </c>
    </row>
    <row r="443" spans="1:17" x14ac:dyDescent="0.25">
      <c r="H443" s="357">
        <f t="shared" si="13"/>
        <v>0</v>
      </c>
    </row>
    <row r="444" spans="1:17" x14ac:dyDescent="0.25">
      <c r="H444" s="357">
        <f t="shared" si="13"/>
        <v>0</v>
      </c>
    </row>
    <row r="445" spans="1:17" x14ac:dyDescent="0.25">
      <c r="H445" s="357">
        <f t="shared" ref="H445:H458" si="14">IF(G445&gt;0,G445,F445)</f>
        <v>0</v>
      </c>
    </row>
    <row r="446" spans="1:17" x14ac:dyDescent="0.25">
      <c r="H446" s="357">
        <f t="shared" si="14"/>
        <v>0</v>
      </c>
    </row>
    <row r="447" spans="1:17" x14ac:dyDescent="0.25">
      <c r="H447" s="357">
        <f t="shared" si="14"/>
        <v>0</v>
      </c>
    </row>
    <row r="448" spans="1:17" x14ac:dyDescent="0.25">
      <c r="H448" s="357">
        <f t="shared" si="14"/>
        <v>0</v>
      </c>
    </row>
    <row r="449" spans="8:8" x14ac:dyDescent="0.25">
      <c r="H449" s="357">
        <f t="shared" si="14"/>
        <v>0</v>
      </c>
    </row>
    <row r="450" spans="8:8" x14ac:dyDescent="0.25">
      <c r="H450" s="357">
        <f t="shared" si="14"/>
        <v>0</v>
      </c>
    </row>
    <row r="451" spans="8:8" x14ac:dyDescent="0.25">
      <c r="H451" s="357">
        <f t="shared" si="14"/>
        <v>0</v>
      </c>
    </row>
    <row r="452" spans="8:8" x14ac:dyDescent="0.25">
      <c r="H452" s="357">
        <f t="shared" si="14"/>
        <v>0</v>
      </c>
    </row>
    <row r="453" spans="8:8" x14ac:dyDescent="0.25">
      <c r="H453" s="357">
        <f t="shared" si="14"/>
        <v>0</v>
      </c>
    </row>
    <row r="454" spans="8:8" x14ac:dyDescent="0.25">
      <c r="H454" s="357">
        <f t="shared" si="14"/>
        <v>0</v>
      </c>
    </row>
    <row r="455" spans="8:8" x14ac:dyDescent="0.25">
      <c r="H455" s="357">
        <f t="shared" si="14"/>
        <v>0</v>
      </c>
    </row>
    <row r="456" spans="8:8" x14ac:dyDescent="0.25">
      <c r="H456" s="357">
        <f t="shared" si="14"/>
        <v>0</v>
      </c>
    </row>
    <row r="457" spans="8:8" x14ac:dyDescent="0.25">
      <c r="H457" s="357">
        <f t="shared" si="14"/>
        <v>0</v>
      </c>
    </row>
    <row r="458" spans="8:8" x14ac:dyDescent="0.25">
      <c r="H458" s="357">
        <f t="shared" si="14"/>
        <v>0</v>
      </c>
    </row>
  </sheetData>
  <sortState ref="A4:O415">
    <sortCondition ref="B4"/>
  </sortState>
  <mergeCells count="6">
    <mergeCell ref="F1:F2"/>
    <mergeCell ref="A1:A2"/>
    <mergeCell ref="B1:B2"/>
    <mergeCell ref="C1:C2"/>
    <mergeCell ref="D1:D2"/>
    <mergeCell ref="E1:E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Q213"/>
  <sheetViews>
    <sheetView zoomScale="110" zoomScaleNormal="110" workbookViewId="0">
      <pane ySplit="2" topLeftCell="A19" activePane="bottomLeft" state="frozen"/>
      <selection pane="bottomLeft" activeCell="F28" sqref="F28"/>
    </sheetView>
  </sheetViews>
  <sheetFormatPr defaultRowHeight="13.2" x14ac:dyDescent="0.25"/>
  <cols>
    <col min="1" max="1" width="15.109375" style="502" customWidth="1"/>
    <col min="2" max="2" width="46.88671875" customWidth="1"/>
    <col min="3" max="3" width="11.109375" style="241" customWidth="1"/>
    <col min="5" max="5" width="10.109375" style="360" customWidth="1"/>
    <col min="6" max="6" width="11.33203125" customWidth="1"/>
    <col min="9" max="9" width="37" bestFit="1" customWidth="1"/>
    <col min="10" max="16" width="9.109375" style="90"/>
  </cols>
  <sheetData>
    <row r="1" spans="1:17" s="347" customFormat="1" ht="15" customHeight="1" x14ac:dyDescent="0.2">
      <c r="A1" s="565" t="s">
        <v>4400</v>
      </c>
      <c r="B1" s="563" t="s">
        <v>4401</v>
      </c>
      <c r="C1" s="563" t="s">
        <v>4402</v>
      </c>
      <c r="D1" s="563" t="s">
        <v>2372</v>
      </c>
      <c r="E1" s="559" t="s">
        <v>4663</v>
      </c>
      <c r="F1" s="559" t="s">
        <v>4403</v>
      </c>
      <c r="J1" s="372"/>
      <c r="K1" s="372"/>
      <c r="L1" s="372"/>
      <c r="M1" s="372"/>
      <c r="N1" s="372"/>
      <c r="O1" s="372"/>
      <c r="P1" s="372"/>
    </row>
    <row r="2" spans="1:17" s="350" customFormat="1" ht="23.4" thickBot="1" x14ac:dyDescent="0.25">
      <c r="A2" s="566"/>
      <c r="B2" s="564"/>
      <c r="C2" s="564"/>
      <c r="D2" s="564"/>
      <c r="E2" s="560"/>
      <c r="F2" s="560"/>
      <c r="G2" s="348" t="s">
        <v>4404</v>
      </c>
      <c r="H2" s="348" t="s">
        <v>1048</v>
      </c>
      <c r="I2" s="349" t="s">
        <v>4405</v>
      </c>
      <c r="J2" s="371"/>
      <c r="K2" s="371"/>
      <c r="L2" s="371"/>
      <c r="M2" s="371"/>
      <c r="N2" s="371"/>
      <c r="O2" s="371"/>
      <c r="P2" s="371"/>
    </row>
    <row r="3" spans="1:17" s="367" customFormat="1" ht="11.4" x14ac:dyDescent="0.2">
      <c r="A3" s="497"/>
      <c r="B3" s="363"/>
      <c r="C3" s="363"/>
      <c r="D3" s="363"/>
      <c r="E3" s="364"/>
      <c r="F3" s="364"/>
      <c r="G3" s="365"/>
      <c r="H3" s="365"/>
      <c r="I3" s="369"/>
      <c r="J3" s="371"/>
      <c r="K3" s="371"/>
      <c r="L3" s="371"/>
      <c r="M3" s="371"/>
      <c r="N3" s="371"/>
      <c r="O3" s="371"/>
      <c r="P3" s="371"/>
    </row>
    <row r="4" spans="1:17" s="246" customFormat="1" x14ac:dyDescent="0.25">
      <c r="A4" s="498" t="s">
        <v>4713</v>
      </c>
      <c r="B4" s="382"/>
      <c r="C4" s="510"/>
      <c r="D4" s="382"/>
      <c r="E4" s="382"/>
      <c r="F4" s="382"/>
      <c r="G4" s="382"/>
      <c r="H4" s="383"/>
      <c r="I4" s="382"/>
      <c r="J4" s="260"/>
      <c r="K4" s="260"/>
      <c r="L4" s="260"/>
      <c r="M4" s="260"/>
      <c r="N4" s="260"/>
      <c r="O4" s="260"/>
      <c r="P4" s="260"/>
      <c r="Q4" s="260"/>
    </row>
    <row r="5" spans="1:17" s="360" customFormat="1" x14ac:dyDescent="0.25">
      <c r="A5" s="499"/>
      <c r="C5" s="511"/>
      <c r="H5" s="439"/>
      <c r="J5" s="260"/>
      <c r="K5" s="260"/>
      <c r="L5" s="260"/>
      <c r="M5" s="260"/>
      <c r="N5" s="260"/>
      <c r="O5" s="260"/>
      <c r="P5" s="260"/>
      <c r="Q5" s="260"/>
    </row>
    <row r="6" spans="1:17" s="341" customFormat="1" ht="10.199999999999999" x14ac:dyDescent="0.2">
      <c r="A6" s="491"/>
      <c r="B6" s="354" t="s">
        <v>4638</v>
      </c>
      <c r="C6" s="509"/>
      <c r="D6" s="355" t="s">
        <v>2376</v>
      </c>
      <c r="E6" s="355"/>
      <c r="F6" s="368">
        <v>52</v>
      </c>
      <c r="G6" s="357"/>
      <c r="H6" s="344">
        <f>IF(G6&gt;0,G6,F6)</f>
        <v>52</v>
      </c>
      <c r="I6" s="345" t="s">
        <v>4624</v>
      </c>
      <c r="J6" s="373"/>
      <c r="K6" s="373"/>
      <c r="L6" s="373"/>
      <c r="M6" s="373"/>
      <c r="N6" s="373"/>
      <c r="O6" s="373"/>
      <c r="P6" s="373"/>
    </row>
    <row r="7" spans="1:17" s="341" customFormat="1" ht="10.199999999999999" x14ac:dyDescent="0.2">
      <c r="A7" s="491"/>
      <c r="B7" s="354" t="s">
        <v>4639</v>
      </c>
      <c r="C7" s="509"/>
      <c r="D7" s="355" t="s">
        <v>2376</v>
      </c>
      <c r="E7" s="355"/>
      <c r="F7" s="368">
        <v>27</v>
      </c>
      <c r="G7" s="357"/>
      <c r="H7" s="344">
        <f t="shared" ref="H7:H72" si="0">IF(G7&gt;0,G7,F7)</f>
        <v>27</v>
      </c>
      <c r="I7" s="345" t="s">
        <v>4625</v>
      </c>
      <c r="J7" s="373"/>
      <c r="K7" s="373"/>
      <c r="L7" s="373"/>
      <c r="M7" s="373"/>
      <c r="N7" s="373"/>
      <c r="O7" s="373"/>
      <c r="P7" s="373"/>
    </row>
    <row r="8" spans="1:17" s="341" customFormat="1" ht="10.199999999999999" x14ac:dyDescent="0.2">
      <c r="A8" s="491"/>
      <c r="B8" s="354" t="s">
        <v>4720</v>
      </c>
      <c r="C8" s="509"/>
      <c r="D8" s="355" t="s">
        <v>2265</v>
      </c>
      <c r="E8" s="355"/>
      <c r="F8" s="368">
        <v>160</v>
      </c>
      <c r="G8" s="493"/>
      <c r="H8" s="344">
        <f t="shared" si="0"/>
        <v>160</v>
      </c>
      <c r="I8" s="345" t="s">
        <v>4626</v>
      </c>
      <c r="J8" s="373"/>
      <c r="K8" s="373"/>
      <c r="L8" s="373"/>
      <c r="M8" s="373"/>
      <c r="N8" s="373"/>
      <c r="O8" s="373"/>
      <c r="P8" s="373"/>
    </row>
    <row r="9" spans="1:17" s="341" customFormat="1" ht="10.199999999999999" x14ac:dyDescent="0.2">
      <c r="A9" s="491"/>
      <c r="B9" s="354" t="s">
        <v>4592</v>
      </c>
      <c r="C9" s="509"/>
      <c r="D9" s="355" t="s">
        <v>2376</v>
      </c>
      <c r="E9" s="355"/>
      <c r="F9" s="368">
        <v>14</v>
      </c>
      <c r="G9" s="357"/>
      <c r="H9" s="344">
        <f t="shared" si="0"/>
        <v>14</v>
      </c>
      <c r="I9" s="345" t="s">
        <v>7517</v>
      </c>
      <c r="J9" s="373"/>
      <c r="K9" s="373"/>
      <c r="L9" s="373"/>
      <c r="M9" s="373"/>
      <c r="N9" s="373"/>
      <c r="O9" s="373"/>
      <c r="P9" s="373"/>
    </row>
    <row r="10" spans="1:17" s="341" customFormat="1" ht="10.199999999999999" x14ac:dyDescent="0.2">
      <c r="A10" s="491"/>
      <c r="B10" s="354" t="s">
        <v>7521</v>
      </c>
      <c r="C10" s="509"/>
      <c r="D10" s="355" t="s">
        <v>4803</v>
      </c>
      <c r="E10" s="355"/>
      <c r="F10" s="368">
        <v>65</v>
      </c>
      <c r="G10" s="493"/>
      <c r="H10" s="344">
        <f t="shared" si="0"/>
        <v>65</v>
      </c>
      <c r="I10" s="345" t="s">
        <v>7517</v>
      </c>
      <c r="J10" s="373"/>
      <c r="K10" s="373"/>
      <c r="L10" s="373"/>
      <c r="M10" s="373"/>
      <c r="N10" s="373"/>
      <c r="O10" s="373"/>
      <c r="P10" s="373"/>
    </row>
    <row r="11" spans="1:17" s="341" customFormat="1" ht="10.199999999999999" x14ac:dyDescent="0.2">
      <c r="A11" s="491"/>
      <c r="B11" s="354" t="s">
        <v>4594</v>
      </c>
      <c r="C11" s="509"/>
      <c r="D11" s="355" t="s">
        <v>2376</v>
      </c>
      <c r="E11" s="355"/>
      <c r="F11" s="368">
        <v>12.23</v>
      </c>
      <c r="G11" s="493"/>
      <c r="H11" s="344">
        <f t="shared" si="0"/>
        <v>12.23</v>
      </c>
      <c r="I11" s="345" t="s">
        <v>7517</v>
      </c>
      <c r="J11" s="373"/>
      <c r="K11" s="373"/>
      <c r="L11" s="373"/>
      <c r="M11" s="373"/>
      <c r="N11" s="373"/>
      <c r="O11" s="373"/>
      <c r="P11" s="373"/>
    </row>
    <row r="12" spans="1:17" s="341" customFormat="1" ht="10.199999999999999" x14ac:dyDescent="0.2">
      <c r="A12" s="491"/>
      <c r="B12" s="354" t="s">
        <v>7518</v>
      </c>
      <c r="C12" s="509"/>
      <c r="D12" s="355" t="s">
        <v>2376</v>
      </c>
      <c r="E12" s="355"/>
      <c r="F12" s="368">
        <v>14.01</v>
      </c>
      <c r="G12" s="493"/>
      <c r="H12" s="344">
        <f t="shared" si="0"/>
        <v>14.01</v>
      </c>
      <c r="I12" s="345" t="s">
        <v>7517</v>
      </c>
      <c r="J12" s="373"/>
      <c r="K12" s="373"/>
      <c r="L12" s="373"/>
      <c r="M12" s="373"/>
      <c r="N12" s="373"/>
      <c r="O12" s="373"/>
      <c r="P12" s="373"/>
    </row>
    <row r="13" spans="1:17" s="341" customFormat="1" ht="10.199999999999999" x14ac:dyDescent="0.2">
      <c r="A13" s="491"/>
      <c r="B13" s="354" t="s">
        <v>3098</v>
      </c>
      <c r="C13" s="509"/>
      <c r="D13" s="355" t="s">
        <v>2376</v>
      </c>
      <c r="E13" s="355"/>
      <c r="F13" s="368">
        <v>9.44</v>
      </c>
      <c r="G13" s="493"/>
      <c r="H13" s="344">
        <f t="shared" si="0"/>
        <v>9.44</v>
      </c>
      <c r="I13" s="345" t="s">
        <v>4624</v>
      </c>
      <c r="J13" s="373"/>
      <c r="K13" s="373"/>
      <c r="L13" s="373"/>
      <c r="M13" s="373"/>
      <c r="N13" s="373"/>
      <c r="O13" s="373"/>
      <c r="P13" s="373"/>
    </row>
    <row r="14" spans="1:17" s="341" customFormat="1" ht="10.199999999999999" x14ac:dyDescent="0.2">
      <c r="A14" s="491"/>
      <c r="B14" s="354" t="s">
        <v>3160</v>
      </c>
      <c r="C14" s="509"/>
      <c r="D14" s="355" t="s">
        <v>2376</v>
      </c>
      <c r="E14" s="355"/>
      <c r="F14" s="368">
        <v>10.93</v>
      </c>
      <c r="G14" s="357"/>
      <c r="H14" s="344">
        <f t="shared" si="0"/>
        <v>10.93</v>
      </c>
      <c r="I14" s="345" t="s">
        <v>7517</v>
      </c>
      <c r="J14" s="373"/>
      <c r="K14" s="373"/>
      <c r="L14" s="373"/>
      <c r="M14" s="373"/>
      <c r="N14" s="373"/>
      <c r="O14" s="373"/>
      <c r="P14" s="373"/>
    </row>
    <row r="15" spans="1:17" s="341" customFormat="1" ht="10.199999999999999" x14ac:dyDescent="0.2">
      <c r="A15" s="491"/>
      <c r="B15" s="354" t="s">
        <v>3157</v>
      </c>
      <c r="C15" s="509"/>
      <c r="D15" s="355" t="s">
        <v>2376</v>
      </c>
      <c r="E15" s="355"/>
      <c r="F15" s="368">
        <v>13.47</v>
      </c>
      <c r="G15" s="357"/>
      <c r="H15" s="344">
        <f t="shared" si="0"/>
        <v>13.47</v>
      </c>
      <c r="I15" s="345" t="s">
        <v>7517</v>
      </c>
      <c r="J15" s="373"/>
      <c r="K15" s="373"/>
      <c r="L15" s="373"/>
      <c r="M15" s="373"/>
      <c r="N15" s="373"/>
      <c r="O15" s="373"/>
      <c r="P15" s="373"/>
    </row>
    <row r="16" spans="1:17" s="341" customFormat="1" ht="10.199999999999999" x14ac:dyDescent="0.2">
      <c r="A16" s="491"/>
      <c r="B16" s="354" t="s">
        <v>4595</v>
      </c>
      <c r="C16" s="509"/>
      <c r="D16" s="355" t="s">
        <v>2265</v>
      </c>
      <c r="E16" s="355"/>
      <c r="F16" s="368">
        <v>125</v>
      </c>
      <c r="G16" s="357"/>
      <c r="H16" s="344">
        <f t="shared" si="0"/>
        <v>125</v>
      </c>
      <c r="I16" s="345" t="s">
        <v>4628</v>
      </c>
      <c r="J16" s="373"/>
      <c r="K16" s="373"/>
      <c r="L16" s="373"/>
      <c r="M16" s="373"/>
      <c r="N16" s="373"/>
      <c r="O16" s="373"/>
      <c r="P16" s="373"/>
    </row>
    <row r="17" spans="1:16" x14ac:dyDescent="0.25">
      <c r="A17" s="501" t="s">
        <v>4364</v>
      </c>
      <c r="B17" s="495" t="s">
        <v>7515</v>
      </c>
      <c r="C17" s="494"/>
      <c r="D17" s="494" t="s">
        <v>241</v>
      </c>
      <c r="E17" s="496">
        <v>7.6</v>
      </c>
      <c r="F17" s="492">
        <f>E17*0.923</f>
        <v>7.0148000000000001</v>
      </c>
      <c r="G17" s="357"/>
      <c r="H17" s="344">
        <f t="shared" si="0"/>
        <v>7.0148000000000001</v>
      </c>
      <c r="I17" s="358" t="s">
        <v>7508</v>
      </c>
    </row>
    <row r="18" spans="1:16" x14ac:dyDescent="0.25">
      <c r="A18" s="491"/>
      <c r="B18" s="354" t="s">
        <v>4596</v>
      </c>
      <c r="C18" s="509"/>
      <c r="D18" s="355" t="s">
        <v>2376</v>
      </c>
      <c r="E18" s="355"/>
      <c r="F18" s="368">
        <v>4.96</v>
      </c>
      <c r="G18" s="357"/>
      <c r="H18" s="344">
        <f t="shared" si="0"/>
        <v>4.96</v>
      </c>
      <c r="I18" s="345" t="s">
        <v>7517</v>
      </c>
    </row>
    <row r="19" spans="1:16" s="341" customFormat="1" ht="10.199999999999999" x14ac:dyDescent="0.2">
      <c r="A19" s="491"/>
      <c r="B19" s="354" t="s">
        <v>4686</v>
      </c>
      <c r="C19" s="509"/>
      <c r="D19" s="355" t="s">
        <v>2376</v>
      </c>
      <c r="E19" s="355"/>
      <c r="F19" s="368">
        <v>5.44</v>
      </c>
      <c r="G19" s="493"/>
      <c r="H19" s="344">
        <f t="shared" si="0"/>
        <v>5.44</v>
      </c>
      <c r="I19" s="345" t="s">
        <v>7517</v>
      </c>
      <c r="J19" s="373"/>
      <c r="K19" s="373"/>
      <c r="L19" s="373"/>
      <c r="M19" s="373"/>
      <c r="N19" s="373"/>
      <c r="O19" s="373"/>
      <c r="P19" s="373"/>
    </row>
    <row r="20" spans="1:16" ht="20.399999999999999" x14ac:dyDescent="0.25">
      <c r="A20" s="491"/>
      <c r="B20" s="354" t="s">
        <v>4597</v>
      </c>
      <c r="C20" s="509"/>
      <c r="D20" s="355" t="s">
        <v>2376</v>
      </c>
      <c r="E20" s="355"/>
      <c r="F20" s="368">
        <v>5.44</v>
      </c>
      <c r="G20" s="357"/>
      <c r="H20" s="344">
        <f t="shared" si="0"/>
        <v>5.44</v>
      </c>
      <c r="I20" s="345" t="s">
        <v>7517</v>
      </c>
    </row>
    <row r="21" spans="1:16" x14ac:dyDescent="0.25">
      <c r="A21" s="491"/>
      <c r="B21" s="354" t="s">
        <v>4598</v>
      </c>
      <c r="C21" s="509"/>
      <c r="D21" s="355" t="s">
        <v>2376</v>
      </c>
      <c r="E21" s="355"/>
      <c r="F21" s="368">
        <v>6.25</v>
      </c>
      <c r="G21" s="357"/>
      <c r="H21" s="344">
        <f t="shared" si="0"/>
        <v>6.25</v>
      </c>
      <c r="I21" s="345" t="s">
        <v>7517</v>
      </c>
    </row>
    <row r="22" spans="1:16" x14ac:dyDescent="0.25">
      <c r="A22" s="491"/>
      <c r="B22" s="354" t="s">
        <v>4599</v>
      </c>
      <c r="C22" s="509"/>
      <c r="D22" s="355" t="s">
        <v>2265</v>
      </c>
      <c r="E22" s="355"/>
      <c r="F22" s="357">
        <v>40</v>
      </c>
      <c r="G22" s="357"/>
      <c r="H22" s="344">
        <f t="shared" si="0"/>
        <v>40</v>
      </c>
      <c r="I22" s="345" t="s">
        <v>4629</v>
      </c>
    </row>
    <row r="23" spans="1:16" x14ac:dyDescent="0.25">
      <c r="A23" s="491"/>
      <c r="B23" s="354" t="s">
        <v>4600</v>
      </c>
      <c r="C23" s="509"/>
      <c r="D23" s="355" t="s">
        <v>2376</v>
      </c>
      <c r="E23" s="355"/>
      <c r="F23" s="357">
        <v>45</v>
      </c>
      <c r="G23" s="357"/>
      <c r="H23" s="344">
        <f t="shared" si="0"/>
        <v>45</v>
      </c>
      <c r="I23" s="345"/>
    </row>
    <row r="24" spans="1:16" x14ac:dyDescent="0.25">
      <c r="A24" s="491"/>
      <c r="B24" s="354" t="s">
        <v>4687</v>
      </c>
      <c r="C24" s="509"/>
      <c r="D24" s="355" t="s">
        <v>2376</v>
      </c>
      <c r="E24" s="355"/>
      <c r="F24" s="357">
        <v>14</v>
      </c>
      <c r="G24" s="357"/>
      <c r="H24" s="344">
        <f t="shared" si="0"/>
        <v>14</v>
      </c>
      <c r="I24" s="345" t="s">
        <v>4627</v>
      </c>
    </row>
    <row r="25" spans="1:16" ht="20.399999999999999" x14ac:dyDescent="0.25">
      <c r="A25" s="491"/>
      <c r="B25" s="354" t="s">
        <v>4601</v>
      </c>
      <c r="C25" s="509"/>
      <c r="D25" s="355" t="s">
        <v>2376</v>
      </c>
      <c r="E25" s="355"/>
      <c r="F25" s="368">
        <v>11.83</v>
      </c>
      <c r="G25" s="357"/>
      <c r="H25" s="344">
        <f t="shared" si="0"/>
        <v>11.83</v>
      </c>
      <c r="I25" s="345" t="s">
        <v>7517</v>
      </c>
    </row>
    <row r="26" spans="1:16" x14ac:dyDescent="0.25">
      <c r="A26" s="491"/>
      <c r="B26" s="354" t="s">
        <v>7519</v>
      </c>
      <c r="C26" s="509"/>
      <c r="D26" s="355" t="s">
        <v>2376</v>
      </c>
      <c r="E26" s="355"/>
      <c r="F26" s="368">
        <v>14.66</v>
      </c>
      <c r="G26" s="357"/>
      <c r="H26" s="344">
        <f t="shared" si="0"/>
        <v>14.66</v>
      </c>
      <c r="I26" s="345" t="s">
        <v>7517</v>
      </c>
    </row>
    <row r="27" spans="1:16" x14ac:dyDescent="0.25">
      <c r="A27" s="491"/>
      <c r="B27" s="354" t="s">
        <v>4603</v>
      </c>
      <c r="C27" s="509"/>
      <c r="D27" s="355" t="s">
        <v>2376</v>
      </c>
      <c r="E27" s="355"/>
      <c r="F27" s="368">
        <v>12.91</v>
      </c>
      <c r="G27" s="493"/>
      <c r="H27" s="344">
        <f t="shared" si="0"/>
        <v>12.91</v>
      </c>
      <c r="I27" s="345" t="s">
        <v>7517</v>
      </c>
    </row>
    <row r="28" spans="1:16" x14ac:dyDescent="0.25">
      <c r="A28" s="491">
        <v>24119200200</v>
      </c>
      <c r="B28" s="354" t="s">
        <v>7534</v>
      </c>
      <c r="C28" s="509"/>
      <c r="D28" s="355" t="s">
        <v>2377</v>
      </c>
      <c r="E28" s="355">
        <v>77</v>
      </c>
      <c r="F28" s="368">
        <f>E28*0.923</f>
        <v>71.070999999999998</v>
      </c>
      <c r="G28" s="357"/>
      <c r="H28" s="357">
        <f t="shared" si="0"/>
        <v>71.070999999999998</v>
      </c>
      <c r="I28" s="358" t="s">
        <v>7508</v>
      </c>
    </row>
    <row r="29" spans="1:16" x14ac:dyDescent="0.25">
      <c r="A29" s="491"/>
      <c r="B29" s="354" t="s">
        <v>7579</v>
      </c>
      <c r="C29" s="509"/>
      <c r="D29" s="355" t="s">
        <v>1363</v>
      </c>
      <c r="E29" s="355"/>
      <c r="F29" s="368">
        <v>100</v>
      </c>
      <c r="G29" s="357"/>
      <c r="H29" s="357">
        <f t="shared" si="0"/>
        <v>100</v>
      </c>
      <c r="I29" s="345" t="s">
        <v>7517</v>
      </c>
    </row>
    <row r="30" spans="1:16" x14ac:dyDescent="0.25">
      <c r="A30" s="491"/>
      <c r="B30" s="354" t="s">
        <v>7609</v>
      </c>
      <c r="C30" s="509"/>
      <c r="D30" s="355" t="s">
        <v>2834</v>
      </c>
      <c r="E30" s="355"/>
      <c r="F30" s="368"/>
      <c r="G30" s="357"/>
      <c r="H30" s="357">
        <f t="shared" si="0"/>
        <v>0</v>
      </c>
      <c r="I30" s="345"/>
    </row>
    <row r="31" spans="1:16" ht="20.399999999999999" x14ac:dyDescent="0.25">
      <c r="A31" s="501" t="s">
        <v>4269</v>
      </c>
      <c r="B31" s="495" t="s">
        <v>7516</v>
      </c>
      <c r="C31" s="494">
        <v>3.0000000000000001E-3</v>
      </c>
      <c r="D31" s="494" t="s">
        <v>1802</v>
      </c>
      <c r="E31" s="496">
        <v>0.68</v>
      </c>
      <c r="F31" s="492">
        <f>E31*0.923</f>
        <v>0.62764000000000009</v>
      </c>
      <c r="G31" s="357"/>
      <c r="H31" s="344">
        <f t="shared" si="0"/>
        <v>0.62764000000000009</v>
      </c>
      <c r="I31" s="358" t="s">
        <v>7508</v>
      </c>
    </row>
    <row r="32" spans="1:16" x14ac:dyDescent="0.25">
      <c r="A32" s="491"/>
      <c r="B32" s="354" t="s">
        <v>1373</v>
      </c>
      <c r="C32" s="509"/>
      <c r="D32" s="355" t="s">
        <v>2265</v>
      </c>
      <c r="E32" s="355"/>
      <c r="F32" s="357">
        <v>14</v>
      </c>
      <c r="G32" s="357"/>
      <c r="H32" s="344">
        <f t="shared" si="0"/>
        <v>14</v>
      </c>
      <c r="I32" s="345" t="s">
        <v>4629</v>
      </c>
    </row>
    <row r="33" spans="1:16" x14ac:dyDescent="0.25">
      <c r="A33" s="491"/>
      <c r="B33" s="354" t="s">
        <v>4606</v>
      </c>
      <c r="C33" s="509"/>
      <c r="D33" s="355" t="s">
        <v>2265</v>
      </c>
      <c r="E33" s="355"/>
      <c r="F33" s="493">
        <v>9</v>
      </c>
      <c r="G33" s="493"/>
      <c r="H33" s="344">
        <f t="shared" si="0"/>
        <v>9</v>
      </c>
      <c r="I33" s="345" t="s">
        <v>4629</v>
      </c>
    </row>
    <row r="34" spans="1:16" x14ac:dyDescent="0.25">
      <c r="A34" s="491"/>
      <c r="B34" s="354" t="s">
        <v>4607</v>
      </c>
      <c r="C34" s="509"/>
      <c r="D34" s="355" t="s">
        <v>2265</v>
      </c>
      <c r="E34" s="355"/>
      <c r="F34" s="493">
        <v>25</v>
      </c>
      <c r="G34" s="493"/>
      <c r="H34" s="344">
        <f t="shared" si="0"/>
        <v>25</v>
      </c>
      <c r="I34" s="345" t="s">
        <v>4629</v>
      </c>
    </row>
    <row r="35" spans="1:16" x14ac:dyDescent="0.25">
      <c r="A35" s="491"/>
      <c r="B35" s="354" t="s">
        <v>4608</v>
      </c>
      <c r="C35" s="509"/>
      <c r="D35" s="355" t="s">
        <v>2376</v>
      </c>
      <c r="E35" s="355"/>
      <c r="F35" s="368">
        <v>5.45</v>
      </c>
      <c r="G35" s="493"/>
      <c r="H35" s="344">
        <f t="shared" si="0"/>
        <v>5.45</v>
      </c>
      <c r="I35" s="345" t="s">
        <v>7517</v>
      </c>
    </row>
    <row r="36" spans="1:16" x14ac:dyDescent="0.25">
      <c r="A36" s="491"/>
      <c r="B36" s="354" t="s">
        <v>4609</v>
      </c>
      <c r="C36" s="509"/>
      <c r="D36" s="355" t="s">
        <v>2376</v>
      </c>
      <c r="E36" s="355"/>
      <c r="F36" s="368"/>
      <c r="G36" s="493">
        <v>13.5</v>
      </c>
      <c r="H36" s="344">
        <f t="shared" si="0"/>
        <v>13.5</v>
      </c>
      <c r="I36" s="345" t="s">
        <v>4537</v>
      </c>
    </row>
    <row r="37" spans="1:16" x14ac:dyDescent="0.25">
      <c r="A37" s="491"/>
      <c r="B37" s="354" t="s">
        <v>4610</v>
      </c>
      <c r="C37" s="509"/>
      <c r="D37" s="355" t="s">
        <v>2376</v>
      </c>
      <c r="E37" s="355"/>
      <c r="F37" s="368">
        <v>7.73</v>
      </c>
      <c r="G37" s="493"/>
      <c r="H37" s="344">
        <f t="shared" si="0"/>
        <v>7.73</v>
      </c>
      <c r="I37" s="345" t="s">
        <v>7612</v>
      </c>
    </row>
    <row r="38" spans="1:16" x14ac:dyDescent="0.25">
      <c r="A38" s="491"/>
      <c r="B38" s="354" t="s">
        <v>7613</v>
      </c>
      <c r="C38" s="509"/>
      <c r="D38" s="355" t="s">
        <v>2376</v>
      </c>
      <c r="E38" s="355"/>
      <c r="F38" s="368">
        <v>20.11</v>
      </c>
      <c r="G38" s="493"/>
      <c r="H38" s="344">
        <f t="shared" si="0"/>
        <v>20.11</v>
      </c>
      <c r="I38" s="345" t="s">
        <v>7612</v>
      </c>
    </row>
    <row r="39" spans="1:16" x14ac:dyDescent="0.25">
      <c r="A39" s="491"/>
      <c r="B39" s="354" t="s">
        <v>4612</v>
      </c>
      <c r="C39" s="509"/>
      <c r="D39" s="355" t="s">
        <v>2376</v>
      </c>
      <c r="E39" s="355"/>
      <c r="F39" s="368">
        <v>10.93</v>
      </c>
      <c r="G39" s="357">
        <v>14</v>
      </c>
      <c r="H39" s="344">
        <f t="shared" si="0"/>
        <v>14</v>
      </c>
      <c r="I39" s="345" t="s">
        <v>4624</v>
      </c>
    </row>
    <row r="40" spans="1:16" x14ac:dyDescent="0.25">
      <c r="A40" s="491"/>
      <c r="B40" s="354" t="s">
        <v>4615</v>
      </c>
      <c r="C40" s="509"/>
      <c r="D40" s="355" t="s">
        <v>4664</v>
      </c>
      <c r="E40" s="355"/>
      <c r="F40" s="368"/>
      <c r="G40" s="357">
        <v>84.47</v>
      </c>
      <c r="H40" s="344">
        <f t="shared" si="0"/>
        <v>84.47</v>
      </c>
      <c r="I40" s="345" t="s">
        <v>4624</v>
      </c>
    </row>
    <row r="41" spans="1:16" x14ac:dyDescent="0.25">
      <c r="A41" s="491"/>
      <c r="B41" s="354" t="s">
        <v>4616</v>
      </c>
      <c r="C41" s="509"/>
      <c r="D41" s="355" t="s">
        <v>4664</v>
      </c>
      <c r="E41" s="355"/>
      <c r="F41" s="368"/>
      <c r="G41" s="357">
        <v>80</v>
      </c>
      <c r="H41" s="344">
        <f t="shared" si="0"/>
        <v>80</v>
      </c>
      <c r="I41" s="345" t="s">
        <v>4624</v>
      </c>
    </row>
    <row r="42" spans="1:16" x14ac:dyDescent="0.25">
      <c r="A42" s="491"/>
      <c r="B42" s="354" t="s">
        <v>4617</v>
      </c>
      <c r="C42" s="509"/>
      <c r="D42" s="355" t="s">
        <v>4664</v>
      </c>
      <c r="E42" s="355"/>
      <c r="F42" s="368"/>
      <c r="G42" s="357">
        <v>70</v>
      </c>
      <c r="H42" s="344">
        <f t="shared" si="0"/>
        <v>70</v>
      </c>
      <c r="I42" s="345" t="s">
        <v>4624</v>
      </c>
    </row>
    <row r="43" spans="1:16" x14ac:dyDescent="0.25">
      <c r="A43" s="491"/>
      <c r="B43" s="354" t="s">
        <v>4618</v>
      </c>
      <c r="C43" s="509"/>
      <c r="D43" s="355" t="s">
        <v>2376</v>
      </c>
      <c r="E43" s="355"/>
      <c r="F43" s="368"/>
      <c r="G43" s="493">
        <v>14</v>
      </c>
      <c r="H43" s="344">
        <f t="shared" si="0"/>
        <v>14</v>
      </c>
      <c r="I43" s="345" t="s">
        <v>4624</v>
      </c>
    </row>
    <row r="44" spans="1:16" x14ac:dyDescent="0.25">
      <c r="A44" s="491"/>
      <c r="B44" s="354" t="s">
        <v>4619</v>
      </c>
      <c r="C44" s="509"/>
      <c r="D44" s="355" t="s">
        <v>2376</v>
      </c>
      <c r="E44" s="355"/>
      <c r="F44" s="368"/>
      <c r="G44" s="357">
        <v>6</v>
      </c>
      <c r="H44" s="344">
        <f t="shared" si="0"/>
        <v>6</v>
      </c>
      <c r="I44" s="345" t="s">
        <v>4631</v>
      </c>
    </row>
    <row r="45" spans="1:16" x14ac:dyDescent="0.25">
      <c r="A45" s="491"/>
      <c r="B45" s="354" t="s">
        <v>4622</v>
      </c>
      <c r="C45" s="509"/>
      <c r="D45" s="355" t="s">
        <v>2376</v>
      </c>
      <c r="E45" s="355"/>
      <c r="F45" s="368">
        <v>17.22</v>
      </c>
      <c r="G45" s="357"/>
      <c r="H45" s="344">
        <f t="shared" si="0"/>
        <v>17.22</v>
      </c>
      <c r="I45" s="345" t="s">
        <v>7517</v>
      </c>
    </row>
    <row r="46" spans="1:16" s="367" customFormat="1" ht="11.4" x14ac:dyDescent="0.2">
      <c r="A46" s="507"/>
      <c r="B46" s="107"/>
      <c r="C46" s="508"/>
      <c r="D46" s="508"/>
      <c r="E46" s="372"/>
      <c r="F46" s="372"/>
      <c r="G46" s="365"/>
      <c r="H46" s="344">
        <f t="shared" si="0"/>
        <v>0</v>
      </c>
      <c r="I46" s="366"/>
      <c r="J46" s="371"/>
      <c r="K46" s="371"/>
      <c r="L46" s="371"/>
      <c r="M46" s="371"/>
      <c r="N46" s="371"/>
      <c r="O46" s="371"/>
      <c r="P46" s="371"/>
    </row>
    <row r="47" spans="1:16" s="367" customFormat="1" ht="11.4" x14ac:dyDescent="0.2">
      <c r="A47" s="497"/>
      <c r="B47" s="363"/>
      <c r="C47" s="363"/>
      <c r="D47" s="363"/>
      <c r="E47" s="364"/>
      <c r="F47" s="364"/>
      <c r="G47" s="365"/>
      <c r="H47" s="344">
        <f t="shared" si="0"/>
        <v>0</v>
      </c>
      <c r="I47" s="369"/>
      <c r="J47" s="371"/>
      <c r="K47" s="371"/>
      <c r="L47" s="371"/>
      <c r="M47" s="371"/>
      <c r="N47" s="371"/>
      <c r="O47" s="371"/>
      <c r="P47" s="371"/>
    </row>
    <row r="48" spans="1:16" s="367" customFormat="1" ht="11.4" x14ac:dyDescent="0.2">
      <c r="A48" s="497"/>
      <c r="B48" s="363"/>
      <c r="C48" s="363"/>
      <c r="D48" s="363"/>
      <c r="E48" s="364"/>
      <c r="F48" s="364"/>
      <c r="G48" s="365"/>
      <c r="H48" s="344">
        <f t="shared" si="0"/>
        <v>0</v>
      </c>
      <c r="I48" s="369"/>
      <c r="J48" s="371"/>
      <c r="K48" s="371"/>
      <c r="L48" s="371"/>
      <c r="M48" s="371"/>
      <c r="N48" s="371"/>
      <c r="O48" s="371"/>
      <c r="P48" s="371"/>
    </row>
    <row r="49" spans="1:17" s="246" customFormat="1" x14ac:dyDescent="0.25">
      <c r="A49" s="498" t="s">
        <v>4721</v>
      </c>
      <c r="B49" s="382"/>
      <c r="C49" s="510"/>
      <c r="D49" s="382"/>
      <c r="E49" s="382"/>
      <c r="F49" s="382"/>
      <c r="G49" s="382"/>
      <c r="H49" s="344">
        <f t="shared" si="0"/>
        <v>0</v>
      </c>
      <c r="I49" s="382"/>
      <c r="J49" s="260"/>
      <c r="K49" s="260"/>
      <c r="L49" s="260"/>
      <c r="M49" s="260"/>
      <c r="N49" s="260"/>
      <c r="O49" s="260"/>
      <c r="P49" s="260"/>
      <c r="Q49" s="260"/>
    </row>
    <row r="50" spans="1:17" s="360" customFormat="1" x14ac:dyDescent="0.25">
      <c r="A50" s="499"/>
      <c r="C50" s="511"/>
      <c r="H50" s="344">
        <f t="shared" si="0"/>
        <v>0</v>
      </c>
      <c r="J50" s="260"/>
      <c r="K50" s="260"/>
      <c r="L50" s="260"/>
      <c r="M50" s="260"/>
      <c r="N50" s="260"/>
      <c r="O50" s="260"/>
      <c r="P50" s="260"/>
      <c r="Q50" s="260"/>
    </row>
    <row r="51" spans="1:17" s="341" customFormat="1" ht="30.6" x14ac:dyDescent="0.2">
      <c r="A51" s="500" t="s">
        <v>3480</v>
      </c>
      <c r="B51" s="325" t="s">
        <v>3481</v>
      </c>
      <c r="C51" s="312">
        <v>0.157</v>
      </c>
      <c r="D51" s="312" t="s">
        <v>1802</v>
      </c>
      <c r="E51" s="329">
        <v>14.6</v>
      </c>
      <c r="F51" s="331">
        <f t="shared" ref="F51:F61" si="1">E51*0.923</f>
        <v>13.4758</v>
      </c>
      <c r="G51" s="357"/>
      <c r="H51" s="344">
        <f t="shared" si="0"/>
        <v>13.4758</v>
      </c>
      <c r="I51" s="358" t="s">
        <v>7508</v>
      </c>
      <c r="J51" s="373"/>
      <c r="K51" s="373"/>
      <c r="L51" s="373"/>
      <c r="M51" s="373"/>
      <c r="N51" s="373"/>
      <c r="O51" s="373"/>
      <c r="P51" s="373"/>
    </row>
    <row r="52" spans="1:17" s="341" customFormat="1" ht="20.399999999999999" x14ac:dyDescent="0.2">
      <c r="A52" s="500" t="s">
        <v>3483</v>
      </c>
      <c r="B52" s="325" t="s">
        <v>1534</v>
      </c>
      <c r="C52" s="312">
        <v>0.2</v>
      </c>
      <c r="D52" s="312" t="s">
        <v>1802</v>
      </c>
      <c r="E52" s="329">
        <v>18.600000000000001</v>
      </c>
      <c r="F52" s="331">
        <f t="shared" si="1"/>
        <v>17.167800000000003</v>
      </c>
      <c r="G52" s="357"/>
      <c r="H52" s="344">
        <f t="shared" si="0"/>
        <v>17.167800000000003</v>
      </c>
      <c r="I52" s="358" t="s">
        <v>7508</v>
      </c>
      <c r="J52" s="373"/>
      <c r="K52" s="373"/>
      <c r="L52" s="373"/>
      <c r="M52" s="373"/>
      <c r="N52" s="373"/>
      <c r="O52" s="373"/>
      <c r="P52" s="373"/>
    </row>
    <row r="53" spans="1:17" ht="30.6" x14ac:dyDescent="0.25">
      <c r="A53" s="500" t="s">
        <v>3613</v>
      </c>
      <c r="B53" s="325" t="s">
        <v>1265</v>
      </c>
      <c r="C53" s="312">
        <v>0.5</v>
      </c>
      <c r="D53" s="312" t="s">
        <v>2265</v>
      </c>
      <c r="E53" s="329">
        <v>63.5</v>
      </c>
      <c r="F53" s="331">
        <f t="shared" si="1"/>
        <v>58.610500000000002</v>
      </c>
      <c r="G53" s="357"/>
      <c r="H53" s="344">
        <f t="shared" si="0"/>
        <v>58.610500000000002</v>
      </c>
      <c r="I53" s="358" t="s">
        <v>7508</v>
      </c>
    </row>
    <row r="54" spans="1:17" ht="30.6" x14ac:dyDescent="0.25">
      <c r="A54" s="500" t="s">
        <v>3607</v>
      </c>
      <c r="B54" s="325" t="s">
        <v>1266</v>
      </c>
      <c r="C54" s="312">
        <v>0.19</v>
      </c>
      <c r="D54" s="312" t="s">
        <v>2265</v>
      </c>
      <c r="E54" s="329">
        <v>16.8</v>
      </c>
      <c r="F54" s="331">
        <f t="shared" si="1"/>
        <v>15.506400000000001</v>
      </c>
      <c r="G54" s="357"/>
      <c r="H54" s="344">
        <f t="shared" si="0"/>
        <v>15.506400000000001</v>
      </c>
      <c r="I54" s="358" t="s">
        <v>7508</v>
      </c>
    </row>
    <row r="55" spans="1:17" ht="30.6" x14ac:dyDescent="0.25">
      <c r="A55" s="500" t="s">
        <v>3609</v>
      </c>
      <c r="B55" s="325" t="s">
        <v>2900</v>
      </c>
      <c r="C55" s="312">
        <v>0.33300000000000002</v>
      </c>
      <c r="D55" s="312" t="s">
        <v>2265</v>
      </c>
      <c r="E55" s="329">
        <v>29.5</v>
      </c>
      <c r="F55" s="331">
        <f t="shared" si="1"/>
        <v>27.2285</v>
      </c>
      <c r="G55" s="357"/>
      <c r="H55" s="344">
        <f t="shared" si="0"/>
        <v>27.2285</v>
      </c>
      <c r="I55" s="358" t="s">
        <v>7508</v>
      </c>
    </row>
    <row r="56" spans="1:17" ht="30.6" x14ac:dyDescent="0.25">
      <c r="A56" s="500" t="s">
        <v>3615</v>
      </c>
      <c r="B56" s="325" t="s">
        <v>2901</v>
      </c>
      <c r="C56" s="312">
        <v>0.66700000000000004</v>
      </c>
      <c r="D56" s="312" t="s">
        <v>2265</v>
      </c>
      <c r="E56" s="329">
        <v>84</v>
      </c>
      <c r="F56" s="331">
        <f t="shared" si="1"/>
        <v>77.532000000000011</v>
      </c>
      <c r="G56" s="357"/>
      <c r="H56" s="344">
        <f t="shared" si="0"/>
        <v>77.532000000000011</v>
      </c>
      <c r="I56" s="358" t="s">
        <v>7508</v>
      </c>
    </row>
    <row r="57" spans="1:17" ht="30.6" x14ac:dyDescent="0.25">
      <c r="A57" s="500" t="s">
        <v>3611</v>
      </c>
      <c r="B57" s="325" t="s">
        <v>2902</v>
      </c>
      <c r="C57" s="312">
        <v>0.53300000000000003</v>
      </c>
      <c r="D57" s="312" t="s">
        <v>2265</v>
      </c>
      <c r="E57" s="329">
        <v>47</v>
      </c>
      <c r="F57" s="331">
        <f t="shared" si="1"/>
        <v>43.381</v>
      </c>
      <c r="G57" s="357"/>
      <c r="H57" s="344">
        <f t="shared" si="0"/>
        <v>43.381</v>
      </c>
      <c r="I57" s="358" t="s">
        <v>7508</v>
      </c>
    </row>
    <row r="58" spans="1:17" ht="30.6" x14ac:dyDescent="0.25">
      <c r="A58" s="500" t="s">
        <v>3603</v>
      </c>
      <c r="B58" s="325" t="s">
        <v>3604</v>
      </c>
      <c r="C58" s="312">
        <v>8.3000000000000004E-2</v>
      </c>
      <c r="D58" s="312" t="s">
        <v>2265</v>
      </c>
      <c r="E58" s="329">
        <v>7.35</v>
      </c>
      <c r="F58" s="331">
        <f t="shared" si="1"/>
        <v>6.7840499999999997</v>
      </c>
      <c r="G58" s="357"/>
      <c r="H58" s="344">
        <f t="shared" si="0"/>
        <v>6.7840499999999997</v>
      </c>
      <c r="I58" s="358" t="s">
        <v>7508</v>
      </c>
    </row>
    <row r="59" spans="1:17" ht="30.6" x14ac:dyDescent="0.25">
      <c r="A59" s="500" t="s">
        <v>3595</v>
      </c>
      <c r="B59" s="325" t="s">
        <v>3596</v>
      </c>
      <c r="C59" s="312">
        <v>1.111</v>
      </c>
      <c r="D59" s="312" t="s">
        <v>2265</v>
      </c>
      <c r="E59" s="329">
        <v>124</v>
      </c>
      <c r="F59" s="331">
        <f t="shared" si="1"/>
        <v>114.452</v>
      </c>
      <c r="G59" s="357"/>
      <c r="H59" s="344">
        <f t="shared" si="0"/>
        <v>114.452</v>
      </c>
      <c r="I59" s="358" t="s">
        <v>7508</v>
      </c>
    </row>
    <row r="60" spans="1:17" ht="30.6" x14ac:dyDescent="0.25">
      <c r="A60" s="500" t="s">
        <v>3599</v>
      </c>
      <c r="B60" s="325" t="s">
        <v>3600</v>
      </c>
      <c r="C60" s="312">
        <v>1.0669999999999999</v>
      </c>
      <c r="D60" s="312" t="s">
        <v>2265</v>
      </c>
      <c r="E60" s="329">
        <v>115</v>
      </c>
      <c r="F60" s="331">
        <f t="shared" si="1"/>
        <v>106.14500000000001</v>
      </c>
      <c r="G60" s="357"/>
      <c r="H60" s="344">
        <f t="shared" si="0"/>
        <v>106.14500000000001</v>
      </c>
      <c r="I60" s="358" t="s">
        <v>7508</v>
      </c>
    </row>
    <row r="61" spans="1:17" ht="30.6" x14ac:dyDescent="0.25">
      <c r="A61" s="500" t="s">
        <v>3592</v>
      </c>
      <c r="B61" s="325" t="s">
        <v>3593</v>
      </c>
      <c r="C61" s="312">
        <v>0.5</v>
      </c>
      <c r="D61" s="312" t="s">
        <v>2265</v>
      </c>
      <c r="E61" s="329">
        <v>63.5</v>
      </c>
      <c r="F61" s="331">
        <f t="shared" si="1"/>
        <v>58.610500000000002</v>
      </c>
      <c r="G61" s="357"/>
      <c r="H61" s="344">
        <f t="shared" si="0"/>
        <v>58.610500000000002</v>
      </c>
      <c r="I61" s="358" t="s">
        <v>7508</v>
      </c>
    </row>
    <row r="62" spans="1:17" x14ac:dyDescent="0.25">
      <c r="A62" s="500"/>
      <c r="B62" s="325"/>
      <c r="C62" s="312"/>
      <c r="D62" s="312"/>
      <c r="E62" s="329"/>
      <c r="F62" s="331"/>
      <c r="G62" s="357"/>
      <c r="H62" s="344">
        <f t="shared" si="0"/>
        <v>0</v>
      </c>
      <c r="I62" s="358"/>
    </row>
    <row r="63" spans="1:17" x14ac:dyDescent="0.25">
      <c r="A63" s="500"/>
      <c r="B63" s="325"/>
      <c r="C63" s="312"/>
      <c r="D63" s="312"/>
      <c r="E63" s="329"/>
      <c r="F63" s="331"/>
      <c r="G63" s="357"/>
      <c r="H63" s="344">
        <f t="shared" si="0"/>
        <v>0</v>
      </c>
      <c r="I63" s="358"/>
    </row>
    <row r="64" spans="1:17" s="368" customFormat="1" ht="10.199999999999999" x14ac:dyDescent="0.2">
      <c r="A64" s="491"/>
      <c r="B64" s="354"/>
      <c r="C64" s="509"/>
      <c r="D64" s="355"/>
      <c r="E64" s="355"/>
      <c r="G64" s="357"/>
      <c r="H64" s="344">
        <f t="shared" si="0"/>
        <v>0</v>
      </c>
      <c r="I64" s="358"/>
      <c r="J64" s="373"/>
      <c r="K64" s="373"/>
      <c r="L64" s="373"/>
      <c r="M64" s="373"/>
      <c r="N64" s="373"/>
      <c r="O64" s="373"/>
      <c r="P64" s="373"/>
    </row>
    <row r="65" spans="1:17" s="246" customFormat="1" x14ac:dyDescent="0.25">
      <c r="A65" s="498" t="s">
        <v>2536</v>
      </c>
      <c r="B65" s="382"/>
      <c r="C65" s="510"/>
      <c r="D65" s="382"/>
      <c r="E65" s="382"/>
      <c r="F65" s="382"/>
      <c r="G65" s="382"/>
      <c r="H65" s="344">
        <f t="shared" si="0"/>
        <v>0</v>
      </c>
      <c r="I65" s="382"/>
      <c r="J65" s="260"/>
      <c r="K65" s="260"/>
      <c r="L65" s="260"/>
      <c r="M65" s="260"/>
      <c r="N65" s="260"/>
      <c r="O65" s="260"/>
      <c r="P65" s="260"/>
      <c r="Q65" s="260"/>
    </row>
    <row r="66" spans="1:17" s="360" customFormat="1" x14ac:dyDescent="0.25">
      <c r="A66" s="499"/>
      <c r="C66" s="511"/>
      <c r="H66" s="344">
        <f t="shared" si="0"/>
        <v>0</v>
      </c>
      <c r="J66" s="260"/>
      <c r="K66" s="260"/>
      <c r="L66" s="260"/>
      <c r="M66" s="260"/>
      <c r="N66" s="260"/>
      <c r="O66" s="260"/>
      <c r="P66" s="260"/>
      <c r="Q66" s="260"/>
    </row>
    <row r="67" spans="1:17" s="341" customFormat="1" ht="10.199999999999999" x14ac:dyDescent="0.2">
      <c r="A67" s="500" t="s">
        <v>4147</v>
      </c>
      <c r="B67" s="325" t="s">
        <v>7535</v>
      </c>
      <c r="C67" s="312">
        <v>1.4999999999999999E-2</v>
      </c>
      <c r="D67" s="312" t="s">
        <v>1183</v>
      </c>
      <c r="E67" s="329">
        <v>3.21</v>
      </c>
      <c r="F67" s="331">
        <f t="shared" ref="F67:F81" si="2">E67*0.923</f>
        <v>2.9628300000000003</v>
      </c>
      <c r="G67" s="357"/>
      <c r="H67" s="344">
        <f t="shared" si="0"/>
        <v>2.9628300000000003</v>
      </c>
      <c r="I67" s="358" t="s">
        <v>7508</v>
      </c>
      <c r="J67" s="373"/>
      <c r="K67" s="373"/>
      <c r="L67" s="373"/>
      <c r="M67" s="373"/>
      <c r="N67" s="373"/>
      <c r="O67" s="373"/>
      <c r="P67" s="373"/>
    </row>
    <row r="68" spans="1:17" s="341" customFormat="1" ht="10.199999999999999" x14ac:dyDescent="0.2">
      <c r="A68" s="500" t="s">
        <v>4144</v>
      </c>
      <c r="B68" s="325" t="s">
        <v>7536</v>
      </c>
      <c r="C68" s="312">
        <v>0.01</v>
      </c>
      <c r="D68" s="312" t="s">
        <v>1181</v>
      </c>
      <c r="E68" s="329">
        <v>1.79</v>
      </c>
      <c r="F68" s="331">
        <f t="shared" si="2"/>
        <v>1.6521700000000001</v>
      </c>
      <c r="G68" s="357"/>
      <c r="H68" s="344">
        <f t="shared" si="0"/>
        <v>1.6521700000000001</v>
      </c>
      <c r="I68" s="358" t="s">
        <v>7508</v>
      </c>
      <c r="J68" s="373"/>
      <c r="K68" s="373"/>
      <c r="L68" s="373"/>
      <c r="M68" s="373"/>
      <c r="N68" s="373"/>
      <c r="O68" s="373"/>
      <c r="P68" s="373"/>
    </row>
    <row r="69" spans="1:17" s="341" customFormat="1" ht="10.199999999999999" x14ac:dyDescent="0.2">
      <c r="A69" s="500" t="s">
        <v>4162</v>
      </c>
      <c r="B69" s="325" t="s">
        <v>1057</v>
      </c>
      <c r="C69" s="312">
        <v>0.01</v>
      </c>
      <c r="D69" s="312" t="s">
        <v>1181</v>
      </c>
      <c r="E69" s="329">
        <v>1.26</v>
      </c>
      <c r="F69" s="331">
        <f t="shared" si="2"/>
        <v>1.1629800000000001</v>
      </c>
      <c r="G69" s="357"/>
      <c r="H69" s="344">
        <f t="shared" si="0"/>
        <v>1.1629800000000001</v>
      </c>
      <c r="I69" s="358" t="s">
        <v>7508</v>
      </c>
      <c r="J69" s="373"/>
      <c r="K69" s="373"/>
      <c r="L69" s="373"/>
      <c r="M69" s="373"/>
      <c r="N69" s="373"/>
      <c r="O69" s="373"/>
      <c r="P69" s="373"/>
    </row>
    <row r="70" spans="1:17" s="341" customFormat="1" ht="10.199999999999999" x14ac:dyDescent="0.2">
      <c r="A70" s="500" t="s">
        <v>4165</v>
      </c>
      <c r="B70" s="325" t="s">
        <v>4166</v>
      </c>
      <c r="C70" s="312">
        <v>5.0000000000000001E-3</v>
      </c>
      <c r="D70" s="312" t="s">
        <v>1181</v>
      </c>
      <c r="E70" s="329">
        <v>0.97</v>
      </c>
      <c r="F70" s="331">
        <f t="shared" si="2"/>
        <v>0.89531000000000005</v>
      </c>
      <c r="G70" s="357"/>
      <c r="H70" s="344">
        <f t="shared" si="0"/>
        <v>0.89531000000000005</v>
      </c>
      <c r="I70" s="358" t="s">
        <v>7508</v>
      </c>
      <c r="J70" s="373"/>
      <c r="K70" s="373"/>
      <c r="L70" s="373"/>
      <c r="M70" s="373"/>
      <c r="N70" s="373"/>
      <c r="O70" s="373"/>
      <c r="P70" s="373"/>
    </row>
    <row r="71" spans="1:17" s="341" customFormat="1" ht="10.199999999999999" x14ac:dyDescent="0.2">
      <c r="A71" s="500" t="s">
        <v>4159</v>
      </c>
      <c r="B71" s="325" t="s">
        <v>4160</v>
      </c>
      <c r="C71" s="312">
        <v>3.5999999999999997E-2</v>
      </c>
      <c r="D71" s="312" t="s">
        <v>1181</v>
      </c>
      <c r="E71" s="329">
        <v>3.83</v>
      </c>
      <c r="F71" s="331">
        <f t="shared" si="2"/>
        <v>3.5350900000000003</v>
      </c>
      <c r="G71" s="357"/>
      <c r="H71" s="344">
        <f t="shared" si="0"/>
        <v>3.5350900000000003</v>
      </c>
      <c r="I71" s="358" t="s">
        <v>7508</v>
      </c>
      <c r="J71" s="373"/>
      <c r="K71" s="373"/>
      <c r="L71" s="373"/>
      <c r="M71" s="373"/>
      <c r="N71" s="373"/>
      <c r="O71" s="373"/>
      <c r="P71" s="373"/>
    </row>
    <row r="72" spans="1:17" s="341" customFormat="1" ht="20.399999999999999" x14ac:dyDescent="0.2">
      <c r="A72" s="500" t="s">
        <v>4156</v>
      </c>
      <c r="B72" s="325" t="s">
        <v>4157</v>
      </c>
      <c r="C72" s="312">
        <v>1.2E-2</v>
      </c>
      <c r="D72" s="312" t="s">
        <v>1181</v>
      </c>
      <c r="E72" s="329">
        <v>1.3</v>
      </c>
      <c r="F72" s="331">
        <f t="shared" si="2"/>
        <v>1.1999000000000002</v>
      </c>
      <c r="G72" s="357"/>
      <c r="H72" s="344">
        <f t="shared" si="0"/>
        <v>1.1999000000000002</v>
      </c>
      <c r="I72" s="358" t="s">
        <v>7508</v>
      </c>
      <c r="J72" s="373"/>
      <c r="K72" s="373"/>
      <c r="L72" s="373"/>
      <c r="M72" s="373"/>
      <c r="N72" s="373"/>
      <c r="O72" s="373"/>
      <c r="P72" s="373"/>
    </row>
    <row r="73" spans="1:17" s="341" customFormat="1" ht="20.399999999999999" x14ac:dyDescent="0.2">
      <c r="A73" s="500" t="s">
        <v>4154</v>
      </c>
      <c r="B73" s="325" t="s">
        <v>1059</v>
      </c>
      <c r="C73" s="312">
        <v>1.0999999999999999E-2</v>
      </c>
      <c r="D73" s="312" t="s">
        <v>1183</v>
      </c>
      <c r="E73" s="329">
        <v>2.02</v>
      </c>
      <c r="F73" s="331">
        <f t="shared" si="2"/>
        <v>1.86446</v>
      </c>
      <c r="G73" s="357"/>
      <c r="H73" s="344">
        <f t="shared" ref="H73:H136" si="3">IF(G73&gt;0,G73,F73)</f>
        <v>1.86446</v>
      </c>
      <c r="I73" s="358" t="s">
        <v>7508</v>
      </c>
      <c r="J73" s="373"/>
      <c r="K73" s="373"/>
      <c r="L73" s="373"/>
      <c r="M73" s="373"/>
      <c r="N73" s="373"/>
      <c r="O73" s="373"/>
      <c r="P73" s="373"/>
    </row>
    <row r="74" spans="1:17" s="341" customFormat="1" ht="20.399999999999999" x14ac:dyDescent="0.2">
      <c r="A74" s="500" t="s">
        <v>4152</v>
      </c>
      <c r="B74" s="325" t="s">
        <v>1060</v>
      </c>
      <c r="C74" s="312">
        <v>1.7000000000000001E-2</v>
      </c>
      <c r="D74" s="312" t="s">
        <v>1183</v>
      </c>
      <c r="E74" s="329">
        <v>3.67</v>
      </c>
      <c r="F74" s="331">
        <f t="shared" si="2"/>
        <v>3.38741</v>
      </c>
      <c r="G74" s="357"/>
      <c r="H74" s="344">
        <f t="shared" si="3"/>
        <v>3.38741</v>
      </c>
      <c r="I74" s="358" t="s">
        <v>7508</v>
      </c>
      <c r="J74" s="373"/>
      <c r="K74" s="373"/>
      <c r="L74" s="373"/>
      <c r="M74" s="373"/>
      <c r="N74" s="373"/>
      <c r="O74" s="373"/>
      <c r="P74" s="373"/>
    </row>
    <row r="75" spans="1:17" s="341" customFormat="1" ht="20.399999999999999" x14ac:dyDescent="0.2">
      <c r="A75" s="500" t="s">
        <v>4150</v>
      </c>
      <c r="B75" s="325" t="s">
        <v>1061</v>
      </c>
      <c r="C75" s="312">
        <v>1.2999999999999999E-2</v>
      </c>
      <c r="D75" s="312" t="s">
        <v>1181</v>
      </c>
      <c r="E75" s="329">
        <v>2.38</v>
      </c>
      <c r="F75" s="331">
        <f t="shared" si="2"/>
        <v>2.1967400000000001</v>
      </c>
      <c r="G75" s="357"/>
      <c r="H75" s="344">
        <f t="shared" si="3"/>
        <v>2.1967400000000001</v>
      </c>
      <c r="I75" s="358" t="s">
        <v>7508</v>
      </c>
      <c r="J75" s="373"/>
      <c r="K75" s="373"/>
      <c r="L75" s="373"/>
      <c r="M75" s="373"/>
      <c r="N75" s="373"/>
      <c r="O75" s="373"/>
      <c r="P75" s="373"/>
    </row>
    <row r="76" spans="1:17" x14ac:dyDescent="0.25">
      <c r="A76" s="500" t="s">
        <v>4367</v>
      </c>
      <c r="B76" s="325" t="s">
        <v>4689</v>
      </c>
      <c r="C76" s="312"/>
      <c r="D76" s="312" t="s">
        <v>241</v>
      </c>
      <c r="E76" s="329">
        <v>247.2</v>
      </c>
      <c r="F76" s="331">
        <f t="shared" si="2"/>
        <v>228.16560000000001</v>
      </c>
      <c r="G76" s="357"/>
      <c r="H76" s="344">
        <f t="shared" si="3"/>
        <v>228.16560000000001</v>
      </c>
      <c r="I76" s="358" t="s">
        <v>7508</v>
      </c>
    </row>
    <row r="77" spans="1:17" x14ac:dyDescent="0.25">
      <c r="A77" s="500" t="s">
        <v>4369</v>
      </c>
      <c r="B77" s="325" t="s">
        <v>4690</v>
      </c>
      <c r="C77" s="312"/>
      <c r="D77" s="312" t="s">
        <v>241</v>
      </c>
      <c r="E77" s="329">
        <v>334</v>
      </c>
      <c r="F77" s="331">
        <f t="shared" si="2"/>
        <v>308.28200000000004</v>
      </c>
      <c r="G77" s="357"/>
      <c r="H77" s="344">
        <f t="shared" si="3"/>
        <v>308.28200000000004</v>
      </c>
      <c r="I77" s="358" t="s">
        <v>7508</v>
      </c>
    </row>
    <row r="78" spans="1:17" s="341" customFormat="1" ht="10.199999999999999" x14ac:dyDescent="0.2">
      <c r="A78" s="488">
        <v>312316166030</v>
      </c>
      <c r="B78" s="342" t="s">
        <v>7537</v>
      </c>
      <c r="C78" s="512">
        <v>0.29099999999999998</v>
      </c>
      <c r="D78" s="343" t="s">
        <v>614</v>
      </c>
      <c r="E78" s="343">
        <v>26</v>
      </c>
      <c r="F78" s="331">
        <f t="shared" si="2"/>
        <v>23.998000000000001</v>
      </c>
      <c r="G78" s="344"/>
      <c r="H78" s="344">
        <f t="shared" si="3"/>
        <v>23.998000000000001</v>
      </c>
      <c r="I78" s="358" t="s">
        <v>7508</v>
      </c>
      <c r="J78" s="373"/>
      <c r="K78" s="373"/>
      <c r="L78" s="373"/>
      <c r="M78" s="373"/>
      <c r="N78" s="373"/>
      <c r="O78" s="373"/>
      <c r="P78" s="373"/>
    </row>
    <row r="79" spans="1:17" s="341" customFormat="1" ht="10.199999999999999" x14ac:dyDescent="0.2">
      <c r="A79" s="488" t="s">
        <v>7538</v>
      </c>
      <c r="B79" s="342" t="s">
        <v>7539</v>
      </c>
      <c r="C79" s="512" t="s">
        <v>7540</v>
      </c>
      <c r="D79" s="343" t="s">
        <v>1182</v>
      </c>
      <c r="E79" s="343">
        <v>88.61</v>
      </c>
      <c r="F79" s="331">
        <f t="shared" si="2"/>
        <v>81.787030000000001</v>
      </c>
      <c r="G79" s="344"/>
      <c r="H79" s="344">
        <f t="shared" si="3"/>
        <v>81.787030000000001</v>
      </c>
      <c r="I79" s="358" t="s">
        <v>7508</v>
      </c>
      <c r="J79" s="373"/>
      <c r="K79" s="373"/>
      <c r="L79" s="373"/>
      <c r="M79" s="373"/>
      <c r="N79" s="373"/>
      <c r="O79" s="373"/>
      <c r="P79" s="373"/>
    </row>
    <row r="80" spans="1:17" s="341" customFormat="1" ht="20.399999999999999" x14ac:dyDescent="0.2">
      <c r="A80" s="488">
        <v>312316130060</v>
      </c>
      <c r="B80" s="342" t="s">
        <v>7542</v>
      </c>
      <c r="C80" s="512">
        <v>0.08</v>
      </c>
      <c r="D80" s="343" t="s">
        <v>614</v>
      </c>
      <c r="E80" s="343">
        <v>6.95</v>
      </c>
      <c r="F80" s="331">
        <f t="shared" si="2"/>
        <v>6.4148500000000004</v>
      </c>
      <c r="G80" s="344"/>
      <c r="H80" s="344">
        <f t="shared" si="3"/>
        <v>6.4148500000000004</v>
      </c>
      <c r="I80" s="358" t="s">
        <v>7508</v>
      </c>
      <c r="J80" s="373"/>
      <c r="K80" s="373"/>
      <c r="L80" s="373"/>
      <c r="M80" s="373"/>
      <c r="N80" s="373"/>
      <c r="O80" s="373"/>
      <c r="P80" s="373"/>
    </row>
    <row r="81" spans="1:16" s="341" customFormat="1" ht="20.399999999999999" x14ac:dyDescent="0.2">
      <c r="A81" s="488">
        <v>312316142600</v>
      </c>
      <c r="B81" s="342" t="s">
        <v>7541</v>
      </c>
      <c r="C81" s="512">
        <v>1.2E-2</v>
      </c>
      <c r="D81" s="343" t="s">
        <v>2202</v>
      </c>
      <c r="E81" s="343">
        <v>1.36</v>
      </c>
      <c r="F81" s="331">
        <f t="shared" si="2"/>
        <v>1.2552800000000002</v>
      </c>
      <c r="G81" s="344"/>
      <c r="H81" s="344">
        <f t="shared" si="3"/>
        <v>1.2552800000000002</v>
      </c>
      <c r="I81" s="358" t="s">
        <v>7508</v>
      </c>
      <c r="J81" s="373"/>
      <c r="K81" s="373"/>
      <c r="L81" s="373"/>
      <c r="M81" s="373"/>
      <c r="N81" s="373"/>
      <c r="O81" s="373"/>
      <c r="P81" s="373"/>
    </row>
    <row r="82" spans="1:16" s="341" customFormat="1" ht="40.799999999999997" x14ac:dyDescent="0.2">
      <c r="A82" s="500" t="s">
        <v>4176</v>
      </c>
      <c r="B82" s="325" t="s">
        <v>4177</v>
      </c>
      <c r="C82" s="312">
        <v>3.2000000000000001E-2</v>
      </c>
      <c r="D82" s="312" t="s">
        <v>1181</v>
      </c>
      <c r="E82" s="329">
        <v>4.25</v>
      </c>
      <c r="F82" s="331">
        <f>E82*0.923</f>
        <v>3.9227500000000002</v>
      </c>
      <c r="G82" s="357"/>
      <c r="H82" s="344">
        <f t="shared" si="3"/>
        <v>3.9227500000000002</v>
      </c>
      <c r="I82" s="358" t="s">
        <v>7508</v>
      </c>
      <c r="J82" s="373"/>
      <c r="K82" s="373"/>
      <c r="L82" s="373"/>
      <c r="M82" s="373"/>
      <c r="N82" s="373"/>
      <c r="O82" s="373"/>
      <c r="P82" s="373"/>
    </row>
    <row r="83" spans="1:16" s="341" customFormat="1" ht="10.199999999999999" x14ac:dyDescent="0.2">
      <c r="A83" s="488" t="s">
        <v>7544</v>
      </c>
      <c r="B83" s="342" t="s">
        <v>7543</v>
      </c>
      <c r="C83" s="512"/>
      <c r="D83" s="343" t="s">
        <v>4664</v>
      </c>
      <c r="E83" s="343">
        <v>178.78</v>
      </c>
      <c r="F83" s="489">
        <f>E83*0.923</f>
        <v>165.01394000000002</v>
      </c>
      <c r="G83" s="351"/>
      <c r="H83" s="344">
        <f t="shared" si="3"/>
        <v>165.01394000000002</v>
      </c>
      <c r="I83" s="358" t="s">
        <v>7508</v>
      </c>
      <c r="J83" s="373"/>
      <c r="K83" s="373"/>
      <c r="L83" s="373"/>
      <c r="M83" s="373"/>
      <c r="N83" s="373"/>
      <c r="O83" s="373"/>
      <c r="P83" s="373"/>
    </row>
    <row r="84" spans="1:16" s="341" customFormat="1" ht="10.199999999999999" x14ac:dyDescent="0.2">
      <c r="A84" s="488">
        <v>312316462020</v>
      </c>
      <c r="B84" s="342" t="s">
        <v>7549</v>
      </c>
      <c r="C84" s="512">
        <v>0.06</v>
      </c>
      <c r="D84" s="343" t="s">
        <v>614</v>
      </c>
      <c r="E84" s="343">
        <v>3.16</v>
      </c>
      <c r="F84" s="490">
        <f t="shared" ref="F84:F146" si="4">E84*0.923</f>
        <v>2.9166800000000004</v>
      </c>
      <c r="G84" s="351"/>
      <c r="H84" s="344">
        <f t="shared" si="3"/>
        <v>2.9166800000000004</v>
      </c>
      <c r="I84" s="358" t="s">
        <v>7508</v>
      </c>
      <c r="J84" s="373"/>
      <c r="K84" s="373"/>
      <c r="L84" s="373"/>
      <c r="M84" s="373"/>
      <c r="N84" s="373"/>
      <c r="O84" s="373"/>
      <c r="P84" s="373"/>
    </row>
    <row r="85" spans="1:16" s="341" customFormat="1" ht="10.199999999999999" x14ac:dyDescent="0.2">
      <c r="A85" s="491" t="s">
        <v>7545</v>
      </c>
      <c r="B85" s="354" t="s">
        <v>7546</v>
      </c>
      <c r="C85" s="509"/>
      <c r="D85" s="355" t="s">
        <v>4664</v>
      </c>
      <c r="E85" s="355">
        <v>115.32</v>
      </c>
      <c r="F85" s="492">
        <f t="shared" si="4"/>
        <v>106.44036</v>
      </c>
      <c r="G85" s="351"/>
      <c r="H85" s="344">
        <f t="shared" si="3"/>
        <v>106.44036</v>
      </c>
      <c r="I85" s="358" t="s">
        <v>7508</v>
      </c>
      <c r="J85" s="373"/>
      <c r="K85" s="373"/>
      <c r="L85" s="373"/>
      <c r="M85" s="373"/>
      <c r="N85" s="373"/>
      <c r="O85" s="373"/>
      <c r="P85" s="373"/>
    </row>
    <row r="86" spans="1:16" s="341" customFormat="1" ht="10.199999999999999" x14ac:dyDescent="0.2">
      <c r="A86" s="491" t="s">
        <v>7547</v>
      </c>
      <c r="B86" s="354" t="s">
        <v>7548</v>
      </c>
      <c r="C86" s="509"/>
      <c r="D86" s="355" t="s">
        <v>1182</v>
      </c>
      <c r="E86" s="355">
        <v>105.39</v>
      </c>
      <c r="F86" s="492">
        <f t="shared" si="4"/>
        <v>97.27497000000001</v>
      </c>
      <c r="G86" s="351"/>
      <c r="H86" s="344">
        <f t="shared" si="3"/>
        <v>97.27497000000001</v>
      </c>
      <c r="I86" s="358" t="s">
        <v>7508</v>
      </c>
      <c r="J86" s="373"/>
      <c r="K86" s="373"/>
      <c r="L86" s="373"/>
      <c r="M86" s="373"/>
      <c r="N86" s="373"/>
      <c r="O86" s="373"/>
      <c r="P86" s="373"/>
    </row>
    <row r="87" spans="1:16" s="341" customFormat="1" ht="20.399999999999999" x14ac:dyDescent="0.2">
      <c r="A87" s="500" t="s">
        <v>4098</v>
      </c>
      <c r="B87" s="325" t="s">
        <v>1547</v>
      </c>
      <c r="C87" s="312">
        <v>0.02</v>
      </c>
      <c r="D87" s="312" t="s">
        <v>614</v>
      </c>
      <c r="E87" s="329">
        <v>2.29</v>
      </c>
      <c r="F87" s="331">
        <f t="shared" si="4"/>
        <v>2.1136699999999999</v>
      </c>
      <c r="G87" s="357"/>
      <c r="H87" s="344">
        <f t="shared" si="3"/>
        <v>2.1136699999999999</v>
      </c>
      <c r="I87" s="358" t="s">
        <v>7508</v>
      </c>
      <c r="J87" s="373"/>
      <c r="K87" s="373"/>
      <c r="L87" s="373"/>
      <c r="M87" s="373"/>
      <c r="N87" s="373"/>
      <c r="O87" s="373"/>
      <c r="P87" s="373"/>
    </row>
    <row r="88" spans="1:16" s="341" customFormat="1" ht="20.399999999999999" x14ac:dyDescent="0.2">
      <c r="A88" s="500" t="s">
        <v>4100</v>
      </c>
      <c r="B88" s="325" t="s">
        <v>1550</v>
      </c>
      <c r="C88" s="312">
        <v>2.1000000000000001E-2</v>
      </c>
      <c r="D88" s="312" t="s">
        <v>614</v>
      </c>
      <c r="E88" s="329">
        <v>2.35</v>
      </c>
      <c r="F88" s="331">
        <f t="shared" si="4"/>
        <v>2.1690500000000004</v>
      </c>
      <c r="G88" s="357"/>
      <c r="H88" s="344">
        <f t="shared" si="3"/>
        <v>2.1690500000000004</v>
      </c>
      <c r="I88" s="358" t="s">
        <v>7508</v>
      </c>
      <c r="J88" s="373"/>
      <c r="K88" s="373"/>
      <c r="L88" s="373"/>
      <c r="M88" s="373"/>
      <c r="N88" s="373"/>
      <c r="O88" s="373"/>
      <c r="P88" s="373"/>
    </row>
    <row r="89" spans="1:16" s="341" customFormat="1" ht="20.399999999999999" x14ac:dyDescent="0.2">
      <c r="A89" s="500" t="s">
        <v>4102</v>
      </c>
      <c r="B89" s="325" t="s">
        <v>1551</v>
      </c>
      <c r="C89" s="312">
        <v>3.3000000000000002E-2</v>
      </c>
      <c r="D89" s="312" t="s">
        <v>614</v>
      </c>
      <c r="E89" s="329">
        <v>2.98</v>
      </c>
      <c r="F89" s="331">
        <f t="shared" si="4"/>
        <v>2.75054</v>
      </c>
      <c r="G89" s="357"/>
      <c r="H89" s="344">
        <f t="shared" si="3"/>
        <v>2.75054</v>
      </c>
      <c r="I89" s="358" t="s">
        <v>7508</v>
      </c>
      <c r="J89" s="373"/>
      <c r="K89" s="373"/>
      <c r="L89" s="373"/>
      <c r="M89" s="373"/>
      <c r="N89" s="373"/>
      <c r="O89" s="373"/>
      <c r="P89" s="373"/>
    </row>
    <row r="90" spans="1:16" s="341" customFormat="1" ht="30.6" x14ac:dyDescent="0.2">
      <c r="A90" s="500" t="s">
        <v>4104</v>
      </c>
      <c r="B90" s="325" t="s">
        <v>4105</v>
      </c>
      <c r="C90" s="312">
        <v>1.7000000000000001E-2</v>
      </c>
      <c r="D90" s="312" t="s">
        <v>614</v>
      </c>
      <c r="E90" s="329">
        <v>1.91</v>
      </c>
      <c r="F90" s="331">
        <f t="shared" si="4"/>
        <v>1.7629300000000001</v>
      </c>
      <c r="G90" s="357"/>
      <c r="H90" s="344">
        <f t="shared" si="3"/>
        <v>1.7629300000000001</v>
      </c>
      <c r="I90" s="358" t="s">
        <v>7508</v>
      </c>
      <c r="J90" s="373"/>
      <c r="K90" s="373"/>
      <c r="L90" s="373"/>
      <c r="M90" s="373"/>
      <c r="N90" s="373"/>
      <c r="O90" s="373"/>
      <c r="P90" s="373"/>
    </row>
    <row r="91" spans="1:16" s="341" customFormat="1" ht="20.399999999999999" x14ac:dyDescent="0.2">
      <c r="A91" s="500" t="s">
        <v>4120</v>
      </c>
      <c r="B91" s="325" t="s">
        <v>1552</v>
      </c>
      <c r="C91" s="312">
        <v>4.3999999999999997E-2</v>
      </c>
      <c r="D91" s="312" t="s">
        <v>614</v>
      </c>
      <c r="E91" s="329">
        <v>5.0999999999999996</v>
      </c>
      <c r="F91" s="331">
        <f t="shared" si="4"/>
        <v>4.7073</v>
      </c>
      <c r="G91" s="357"/>
      <c r="H91" s="344">
        <f t="shared" si="3"/>
        <v>4.7073</v>
      </c>
      <c r="I91" s="358" t="s">
        <v>7508</v>
      </c>
      <c r="J91" s="373"/>
      <c r="K91" s="373"/>
      <c r="L91" s="373"/>
      <c r="M91" s="373"/>
      <c r="N91" s="373"/>
      <c r="O91" s="373"/>
      <c r="P91" s="373"/>
    </row>
    <row r="92" spans="1:16" s="341" customFormat="1" ht="20.399999999999999" x14ac:dyDescent="0.2">
      <c r="A92" s="500" t="s">
        <v>4122</v>
      </c>
      <c r="B92" s="325" t="s">
        <v>4123</v>
      </c>
      <c r="C92" s="312">
        <v>0.1</v>
      </c>
      <c r="D92" s="312" t="s">
        <v>614</v>
      </c>
      <c r="E92" s="329">
        <v>11.55</v>
      </c>
      <c r="F92" s="331">
        <f t="shared" si="4"/>
        <v>10.66065</v>
      </c>
      <c r="G92" s="357"/>
      <c r="H92" s="344">
        <f t="shared" si="3"/>
        <v>10.66065</v>
      </c>
      <c r="I92" s="358" t="s">
        <v>7508</v>
      </c>
      <c r="J92" s="373"/>
      <c r="K92" s="373"/>
      <c r="L92" s="373"/>
      <c r="M92" s="373"/>
      <c r="N92" s="373"/>
      <c r="O92" s="373"/>
      <c r="P92" s="373"/>
    </row>
    <row r="93" spans="1:16" s="341" customFormat="1" ht="20.399999999999999" x14ac:dyDescent="0.2">
      <c r="A93" s="500" t="s">
        <v>4117</v>
      </c>
      <c r="B93" s="325" t="s">
        <v>4118</v>
      </c>
      <c r="C93" s="312">
        <v>0.02</v>
      </c>
      <c r="D93" s="312" t="s">
        <v>614</v>
      </c>
      <c r="E93" s="329">
        <v>2.0299999999999998</v>
      </c>
      <c r="F93" s="331">
        <f t="shared" si="4"/>
        <v>1.8736899999999999</v>
      </c>
      <c r="G93" s="357"/>
      <c r="H93" s="344">
        <f t="shared" si="3"/>
        <v>1.8736899999999999</v>
      </c>
      <c r="I93" s="358" t="s">
        <v>7508</v>
      </c>
      <c r="J93" s="373"/>
      <c r="K93" s="373"/>
      <c r="L93" s="373"/>
      <c r="M93" s="373"/>
      <c r="N93" s="373"/>
      <c r="O93" s="373"/>
      <c r="P93" s="373"/>
    </row>
    <row r="94" spans="1:16" s="341" customFormat="1" ht="20.399999999999999" x14ac:dyDescent="0.2">
      <c r="A94" s="500" t="s">
        <v>4129</v>
      </c>
      <c r="B94" s="325" t="s">
        <v>1553</v>
      </c>
      <c r="C94" s="312">
        <v>2.3E-2</v>
      </c>
      <c r="D94" s="312" t="s">
        <v>614</v>
      </c>
      <c r="E94" s="329">
        <v>4.16</v>
      </c>
      <c r="F94" s="331">
        <f t="shared" si="4"/>
        <v>3.8396800000000004</v>
      </c>
      <c r="G94" s="357"/>
      <c r="H94" s="344">
        <f t="shared" si="3"/>
        <v>3.8396800000000004</v>
      </c>
      <c r="I94" s="358" t="s">
        <v>7508</v>
      </c>
      <c r="J94" s="373"/>
      <c r="K94" s="373"/>
      <c r="L94" s="373"/>
      <c r="M94" s="373"/>
      <c r="N94" s="373"/>
      <c r="O94" s="373"/>
      <c r="P94" s="373"/>
    </row>
    <row r="95" spans="1:16" s="341" customFormat="1" ht="20.399999999999999" x14ac:dyDescent="0.2">
      <c r="A95" s="500" t="s">
        <v>4125</v>
      </c>
      <c r="B95" s="325" t="s">
        <v>4126</v>
      </c>
      <c r="C95" s="312">
        <v>0.01</v>
      </c>
      <c r="D95" s="312" t="s">
        <v>614</v>
      </c>
      <c r="E95" s="329">
        <v>1.74</v>
      </c>
      <c r="F95" s="331">
        <f t="shared" si="4"/>
        <v>1.60602</v>
      </c>
      <c r="G95" s="357"/>
      <c r="H95" s="344">
        <f t="shared" si="3"/>
        <v>1.60602</v>
      </c>
      <c r="I95" s="358" t="s">
        <v>7508</v>
      </c>
      <c r="J95" s="373"/>
      <c r="K95" s="373"/>
      <c r="L95" s="373"/>
      <c r="M95" s="373"/>
      <c r="N95" s="373"/>
      <c r="O95" s="373"/>
      <c r="P95" s="373"/>
    </row>
    <row r="96" spans="1:16" s="341" customFormat="1" ht="20.399999999999999" x14ac:dyDescent="0.2">
      <c r="A96" s="500" t="s">
        <v>4134</v>
      </c>
      <c r="B96" s="325" t="s">
        <v>4135</v>
      </c>
      <c r="C96" s="312">
        <v>1.4999999999999999E-2</v>
      </c>
      <c r="D96" s="312" t="s">
        <v>614</v>
      </c>
      <c r="E96" s="329">
        <v>3.33</v>
      </c>
      <c r="F96" s="331">
        <f t="shared" si="4"/>
        <v>3.0735900000000003</v>
      </c>
      <c r="G96" s="357"/>
      <c r="H96" s="344">
        <f t="shared" si="3"/>
        <v>3.0735900000000003</v>
      </c>
      <c r="I96" s="358" t="s">
        <v>7508</v>
      </c>
      <c r="J96" s="373"/>
      <c r="K96" s="373"/>
      <c r="L96" s="373"/>
      <c r="M96" s="373"/>
      <c r="N96" s="373"/>
      <c r="O96" s="373"/>
      <c r="P96" s="373"/>
    </row>
    <row r="97" spans="1:16" s="341" customFormat="1" ht="20.399999999999999" x14ac:dyDescent="0.2">
      <c r="A97" s="500" t="s">
        <v>4137</v>
      </c>
      <c r="B97" s="325" t="s">
        <v>4138</v>
      </c>
      <c r="C97" s="312">
        <v>2.9000000000000001E-2</v>
      </c>
      <c r="D97" s="312" t="s">
        <v>614</v>
      </c>
      <c r="E97" s="329">
        <v>6.5</v>
      </c>
      <c r="F97" s="331">
        <f t="shared" si="4"/>
        <v>5.9995000000000003</v>
      </c>
      <c r="G97" s="357"/>
      <c r="H97" s="344">
        <f t="shared" si="3"/>
        <v>5.9995000000000003</v>
      </c>
      <c r="I97" s="358" t="s">
        <v>7508</v>
      </c>
      <c r="J97" s="373"/>
      <c r="K97" s="373"/>
      <c r="L97" s="373"/>
      <c r="M97" s="373"/>
      <c r="N97" s="373"/>
      <c r="O97" s="373"/>
      <c r="P97" s="373"/>
    </row>
    <row r="98" spans="1:16" s="341" customFormat="1" ht="20.399999999999999" x14ac:dyDescent="0.2">
      <c r="A98" s="500" t="s">
        <v>4131</v>
      </c>
      <c r="B98" s="325" t="s">
        <v>4132</v>
      </c>
      <c r="C98" s="312">
        <v>7.0000000000000001E-3</v>
      </c>
      <c r="D98" s="312" t="s">
        <v>614</v>
      </c>
      <c r="E98" s="329">
        <v>1.61</v>
      </c>
      <c r="F98" s="331">
        <f t="shared" si="4"/>
        <v>1.4860300000000002</v>
      </c>
      <c r="G98" s="357"/>
      <c r="H98" s="344">
        <f t="shared" si="3"/>
        <v>1.4860300000000002</v>
      </c>
      <c r="I98" s="358" t="s">
        <v>7508</v>
      </c>
      <c r="J98" s="373"/>
      <c r="K98" s="373"/>
      <c r="L98" s="373"/>
      <c r="M98" s="373"/>
      <c r="N98" s="373"/>
      <c r="O98" s="373"/>
      <c r="P98" s="373"/>
    </row>
    <row r="99" spans="1:16" s="341" customFormat="1" ht="20.399999999999999" x14ac:dyDescent="0.2">
      <c r="A99" s="500" t="s">
        <v>4111</v>
      </c>
      <c r="B99" s="325" t="s">
        <v>4112</v>
      </c>
      <c r="C99" s="312">
        <v>0.06</v>
      </c>
      <c r="D99" s="312" t="s">
        <v>614</v>
      </c>
      <c r="E99" s="329">
        <v>6.3</v>
      </c>
      <c r="F99" s="331">
        <f t="shared" si="4"/>
        <v>5.8148999999999997</v>
      </c>
      <c r="G99" s="357"/>
      <c r="H99" s="344">
        <f t="shared" si="3"/>
        <v>5.8148999999999997</v>
      </c>
      <c r="I99" s="358" t="s">
        <v>7508</v>
      </c>
      <c r="J99" s="373"/>
      <c r="K99" s="373"/>
      <c r="L99" s="373"/>
      <c r="M99" s="373"/>
      <c r="N99" s="373"/>
      <c r="O99" s="373"/>
      <c r="P99" s="373"/>
    </row>
    <row r="100" spans="1:16" s="341" customFormat="1" ht="20.399999999999999" x14ac:dyDescent="0.2">
      <c r="A100" s="500" t="s">
        <v>4114</v>
      </c>
      <c r="B100" s="325" t="s">
        <v>4115</v>
      </c>
      <c r="C100" s="312">
        <v>0.12</v>
      </c>
      <c r="D100" s="312" t="s">
        <v>614</v>
      </c>
      <c r="E100" s="329">
        <v>12.65</v>
      </c>
      <c r="F100" s="331">
        <f t="shared" si="4"/>
        <v>11.67595</v>
      </c>
      <c r="G100" s="357"/>
      <c r="H100" s="344">
        <f t="shared" si="3"/>
        <v>11.67595</v>
      </c>
      <c r="I100" s="358" t="s">
        <v>7508</v>
      </c>
      <c r="J100" s="373"/>
      <c r="K100" s="373"/>
      <c r="L100" s="373"/>
      <c r="M100" s="373"/>
      <c r="N100" s="373"/>
      <c r="O100" s="373"/>
      <c r="P100" s="373"/>
    </row>
    <row r="101" spans="1:16" s="341" customFormat="1" ht="20.399999999999999" x14ac:dyDescent="0.2">
      <c r="A101" s="500" t="s">
        <v>4107</v>
      </c>
      <c r="B101" s="325" t="s">
        <v>4108</v>
      </c>
      <c r="C101" s="312">
        <v>0.03</v>
      </c>
      <c r="D101" s="312" t="s">
        <v>614</v>
      </c>
      <c r="E101" s="329">
        <v>3.16</v>
      </c>
      <c r="F101" s="331">
        <f t="shared" si="4"/>
        <v>2.9166800000000004</v>
      </c>
      <c r="G101" s="357"/>
      <c r="H101" s="344">
        <f t="shared" si="3"/>
        <v>2.9166800000000004</v>
      </c>
      <c r="I101" s="358" t="s">
        <v>7508</v>
      </c>
      <c r="J101" s="373"/>
      <c r="K101" s="373"/>
      <c r="L101" s="373"/>
      <c r="M101" s="373"/>
      <c r="N101" s="373"/>
      <c r="O101" s="373"/>
      <c r="P101" s="373"/>
    </row>
    <row r="102" spans="1:16" s="341" customFormat="1" ht="20.399999999999999" x14ac:dyDescent="0.2">
      <c r="A102" s="500" t="s">
        <v>4067</v>
      </c>
      <c r="B102" s="325" t="s">
        <v>4068</v>
      </c>
      <c r="C102" s="312">
        <v>1.2E-2</v>
      </c>
      <c r="D102" s="312" t="s">
        <v>2202</v>
      </c>
      <c r="E102" s="329">
        <v>0.94</v>
      </c>
      <c r="F102" s="331">
        <f t="shared" si="4"/>
        <v>0.86761999999999995</v>
      </c>
      <c r="G102" s="357"/>
      <c r="H102" s="344">
        <f t="shared" si="3"/>
        <v>0.86761999999999995</v>
      </c>
      <c r="I102" s="358" t="s">
        <v>7508</v>
      </c>
      <c r="J102" s="373"/>
      <c r="K102" s="373"/>
      <c r="L102" s="373"/>
      <c r="M102" s="373"/>
      <c r="N102" s="373"/>
      <c r="O102" s="373"/>
      <c r="P102" s="373"/>
    </row>
    <row r="103" spans="1:16" s="341" customFormat="1" ht="20.399999999999999" x14ac:dyDescent="0.2">
      <c r="A103" s="500" t="s">
        <v>4070</v>
      </c>
      <c r="B103" s="325" t="s">
        <v>1554</v>
      </c>
      <c r="C103" s="312">
        <v>1.2999999999999999E-2</v>
      </c>
      <c r="D103" s="312" t="s">
        <v>2202</v>
      </c>
      <c r="E103" s="329">
        <v>1.02</v>
      </c>
      <c r="F103" s="331">
        <f t="shared" si="4"/>
        <v>0.94146000000000007</v>
      </c>
      <c r="G103" s="357"/>
      <c r="H103" s="344">
        <f t="shared" si="3"/>
        <v>0.94146000000000007</v>
      </c>
      <c r="I103" s="358" t="s">
        <v>7508</v>
      </c>
      <c r="J103" s="373"/>
      <c r="K103" s="373"/>
      <c r="L103" s="373"/>
      <c r="M103" s="373"/>
      <c r="N103" s="373"/>
      <c r="O103" s="373"/>
      <c r="P103" s="373"/>
    </row>
    <row r="104" spans="1:16" s="341" customFormat="1" ht="20.399999999999999" x14ac:dyDescent="0.2">
      <c r="A104" s="500" t="s">
        <v>4072</v>
      </c>
      <c r="B104" s="325" t="s">
        <v>4073</v>
      </c>
      <c r="C104" s="312">
        <v>1.4999999999999999E-2</v>
      </c>
      <c r="D104" s="312" t="s">
        <v>2202</v>
      </c>
      <c r="E104" s="329">
        <v>1.1100000000000001</v>
      </c>
      <c r="F104" s="331">
        <f t="shared" si="4"/>
        <v>1.0245300000000002</v>
      </c>
      <c r="G104" s="357"/>
      <c r="H104" s="344">
        <f t="shared" si="3"/>
        <v>1.0245300000000002</v>
      </c>
      <c r="I104" s="358" t="s">
        <v>7508</v>
      </c>
      <c r="J104" s="373"/>
      <c r="K104" s="373"/>
      <c r="L104" s="373"/>
      <c r="M104" s="373"/>
      <c r="N104" s="373"/>
      <c r="O104" s="373"/>
      <c r="P104" s="373"/>
    </row>
    <row r="105" spans="1:16" s="341" customFormat="1" ht="20.399999999999999" x14ac:dyDescent="0.2">
      <c r="A105" s="500" t="s">
        <v>4075</v>
      </c>
      <c r="B105" s="325" t="s">
        <v>4076</v>
      </c>
      <c r="C105" s="312">
        <v>1.7999999999999999E-2</v>
      </c>
      <c r="D105" s="312" t="s">
        <v>2202</v>
      </c>
      <c r="E105" s="329">
        <v>1.35</v>
      </c>
      <c r="F105" s="331">
        <f t="shared" si="4"/>
        <v>1.2460500000000001</v>
      </c>
      <c r="G105" s="357"/>
      <c r="H105" s="344">
        <f t="shared" si="3"/>
        <v>1.2460500000000001</v>
      </c>
      <c r="I105" s="358" t="s">
        <v>7508</v>
      </c>
      <c r="J105" s="373"/>
      <c r="K105" s="373"/>
      <c r="L105" s="373"/>
      <c r="M105" s="373"/>
      <c r="N105" s="373"/>
      <c r="O105" s="373"/>
      <c r="P105" s="373"/>
    </row>
    <row r="106" spans="1:16" s="341" customFormat="1" ht="20.399999999999999" x14ac:dyDescent="0.2">
      <c r="A106" s="500" t="s">
        <v>4078</v>
      </c>
      <c r="B106" s="325" t="s">
        <v>4079</v>
      </c>
      <c r="C106" s="312">
        <v>1.4999999999999999E-2</v>
      </c>
      <c r="D106" s="312" t="s">
        <v>2202</v>
      </c>
      <c r="E106" s="329">
        <v>0.9</v>
      </c>
      <c r="F106" s="331">
        <f t="shared" si="4"/>
        <v>0.8307000000000001</v>
      </c>
      <c r="G106" s="357"/>
      <c r="H106" s="344">
        <f t="shared" si="3"/>
        <v>0.8307000000000001</v>
      </c>
      <c r="I106" s="358" t="s">
        <v>7508</v>
      </c>
      <c r="J106" s="373"/>
      <c r="K106" s="373"/>
      <c r="L106" s="373"/>
      <c r="M106" s="373"/>
      <c r="N106" s="373"/>
      <c r="O106" s="373"/>
      <c r="P106" s="373"/>
    </row>
    <row r="107" spans="1:16" s="341" customFormat="1" ht="20.399999999999999" x14ac:dyDescent="0.2">
      <c r="A107" s="500" t="s">
        <v>4081</v>
      </c>
      <c r="B107" s="325" t="s">
        <v>1557</v>
      </c>
      <c r="C107" s="312">
        <v>0.02</v>
      </c>
      <c r="D107" s="312" t="s">
        <v>2202</v>
      </c>
      <c r="E107" s="329">
        <v>1.21</v>
      </c>
      <c r="F107" s="331">
        <f t="shared" si="4"/>
        <v>1.11683</v>
      </c>
      <c r="G107" s="357"/>
      <c r="H107" s="344">
        <f t="shared" si="3"/>
        <v>1.11683</v>
      </c>
      <c r="I107" s="358" t="s">
        <v>7508</v>
      </c>
      <c r="J107" s="373"/>
      <c r="K107" s="373"/>
      <c r="L107" s="373"/>
      <c r="M107" s="373"/>
      <c r="N107" s="373"/>
      <c r="O107" s="373"/>
      <c r="P107" s="373"/>
    </row>
    <row r="108" spans="1:16" s="341" customFormat="1" ht="20.399999999999999" x14ac:dyDescent="0.2">
      <c r="A108" s="500" t="s">
        <v>4083</v>
      </c>
      <c r="B108" s="325" t="s">
        <v>4084</v>
      </c>
      <c r="C108" s="312">
        <v>0.03</v>
      </c>
      <c r="D108" s="312" t="s">
        <v>2202</v>
      </c>
      <c r="E108" s="329">
        <v>1.8</v>
      </c>
      <c r="F108" s="331">
        <f t="shared" si="4"/>
        <v>1.6614000000000002</v>
      </c>
      <c r="G108" s="357"/>
      <c r="H108" s="344">
        <f t="shared" si="3"/>
        <v>1.6614000000000002</v>
      </c>
      <c r="I108" s="358" t="s">
        <v>7508</v>
      </c>
      <c r="J108" s="373"/>
      <c r="K108" s="373"/>
      <c r="L108" s="373"/>
      <c r="M108" s="373"/>
      <c r="N108" s="373"/>
      <c r="O108" s="373"/>
      <c r="P108" s="373"/>
    </row>
    <row r="109" spans="1:16" s="341" customFormat="1" ht="20.399999999999999" x14ac:dyDescent="0.2">
      <c r="A109" s="500" t="s">
        <v>4086</v>
      </c>
      <c r="B109" s="325" t="s">
        <v>4087</v>
      </c>
      <c r="C109" s="312">
        <v>4.3999999999999997E-2</v>
      </c>
      <c r="D109" s="312" t="s">
        <v>2202</v>
      </c>
      <c r="E109" s="329">
        <v>2.7</v>
      </c>
      <c r="F109" s="331">
        <f t="shared" si="4"/>
        <v>2.4921000000000002</v>
      </c>
      <c r="G109" s="357"/>
      <c r="H109" s="344">
        <f t="shared" si="3"/>
        <v>2.4921000000000002</v>
      </c>
      <c r="I109" s="358" t="s">
        <v>7508</v>
      </c>
      <c r="J109" s="373"/>
      <c r="K109" s="373"/>
      <c r="L109" s="373"/>
      <c r="M109" s="373"/>
      <c r="N109" s="373"/>
      <c r="O109" s="373"/>
      <c r="P109" s="373"/>
    </row>
    <row r="110" spans="1:16" s="341" customFormat="1" ht="20.399999999999999" x14ac:dyDescent="0.2">
      <c r="A110" s="500" t="s">
        <v>4052</v>
      </c>
      <c r="B110" s="325" t="s">
        <v>4053</v>
      </c>
      <c r="C110" s="312">
        <v>0.06</v>
      </c>
      <c r="D110" s="312" t="s">
        <v>1181</v>
      </c>
      <c r="E110" s="329">
        <v>5.35</v>
      </c>
      <c r="F110" s="331">
        <f t="shared" si="4"/>
        <v>4.9380499999999996</v>
      </c>
      <c r="G110" s="357"/>
      <c r="H110" s="344">
        <f t="shared" si="3"/>
        <v>4.9380499999999996</v>
      </c>
      <c r="I110" s="358" t="s">
        <v>7508</v>
      </c>
      <c r="J110" s="373"/>
      <c r="K110" s="373"/>
      <c r="L110" s="373"/>
      <c r="M110" s="373"/>
      <c r="N110" s="373"/>
      <c r="O110" s="373"/>
      <c r="P110" s="373"/>
    </row>
    <row r="111" spans="1:16" s="341" customFormat="1" ht="20.399999999999999" x14ac:dyDescent="0.2">
      <c r="A111" s="500" t="s">
        <v>4050</v>
      </c>
      <c r="B111" s="325" t="s">
        <v>1558</v>
      </c>
      <c r="C111" s="312">
        <v>0.03</v>
      </c>
      <c r="D111" s="312" t="s">
        <v>1181</v>
      </c>
      <c r="E111" s="329">
        <v>2.68</v>
      </c>
      <c r="F111" s="331">
        <f t="shared" si="4"/>
        <v>2.4736400000000001</v>
      </c>
      <c r="G111" s="357"/>
      <c r="H111" s="344">
        <f t="shared" si="3"/>
        <v>2.4736400000000001</v>
      </c>
      <c r="I111" s="358" t="s">
        <v>7508</v>
      </c>
      <c r="J111" s="373"/>
      <c r="K111" s="373"/>
      <c r="L111" s="373"/>
      <c r="M111" s="373"/>
      <c r="N111" s="373"/>
      <c r="O111" s="373"/>
      <c r="P111" s="373"/>
    </row>
    <row r="112" spans="1:16" ht="20.399999999999999" x14ac:dyDescent="0.25">
      <c r="A112" s="500" t="s">
        <v>4038</v>
      </c>
      <c r="B112" s="325" t="s">
        <v>1560</v>
      </c>
      <c r="C112" s="312">
        <v>0.08</v>
      </c>
      <c r="D112" s="312" t="s">
        <v>614</v>
      </c>
      <c r="E112" s="329">
        <v>6.95</v>
      </c>
      <c r="F112" s="331">
        <f t="shared" si="4"/>
        <v>6.4148500000000004</v>
      </c>
      <c r="G112" s="357"/>
      <c r="H112" s="344">
        <f t="shared" si="3"/>
        <v>6.4148500000000004</v>
      </c>
      <c r="I112" s="358" t="s">
        <v>7508</v>
      </c>
    </row>
    <row r="113" spans="1:9" ht="20.399999999999999" x14ac:dyDescent="0.25">
      <c r="A113" s="500" t="s">
        <v>4040</v>
      </c>
      <c r="B113" s="325" t="s">
        <v>1561</v>
      </c>
      <c r="C113" s="312">
        <v>0.08</v>
      </c>
      <c r="D113" s="312" t="s">
        <v>614</v>
      </c>
      <c r="E113" s="329">
        <v>6.95</v>
      </c>
      <c r="F113" s="331">
        <f t="shared" si="4"/>
        <v>6.4148500000000004</v>
      </c>
      <c r="G113" s="357"/>
      <c r="H113" s="344">
        <f t="shared" si="3"/>
        <v>6.4148500000000004</v>
      </c>
      <c r="I113" s="358" t="s">
        <v>7508</v>
      </c>
    </row>
    <row r="114" spans="1:9" ht="20.399999999999999" x14ac:dyDescent="0.25">
      <c r="A114" s="500" t="s">
        <v>4035</v>
      </c>
      <c r="B114" s="325" t="s">
        <v>4036</v>
      </c>
      <c r="C114" s="312">
        <v>0.107</v>
      </c>
      <c r="D114" s="312" t="s">
        <v>614</v>
      </c>
      <c r="E114" s="329">
        <v>9.1</v>
      </c>
      <c r="F114" s="331">
        <f t="shared" si="4"/>
        <v>8.3993000000000002</v>
      </c>
      <c r="G114" s="357"/>
      <c r="H114" s="344">
        <f t="shared" si="3"/>
        <v>8.3993000000000002</v>
      </c>
      <c r="I114" s="358" t="s">
        <v>7508</v>
      </c>
    </row>
    <row r="115" spans="1:9" ht="30.6" x14ac:dyDescent="0.25">
      <c r="A115" s="500" t="s">
        <v>4044</v>
      </c>
      <c r="B115" s="325" t="s">
        <v>4045</v>
      </c>
      <c r="C115" s="312">
        <v>2</v>
      </c>
      <c r="D115" s="312" t="s">
        <v>614</v>
      </c>
      <c r="E115" s="329">
        <v>108</v>
      </c>
      <c r="F115" s="331">
        <f t="shared" si="4"/>
        <v>99.683999999999997</v>
      </c>
      <c r="G115" s="357"/>
      <c r="H115" s="344">
        <f t="shared" si="3"/>
        <v>99.683999999999997</v>
      </c>
      <c r="I115" s="358" t="s">
        <v>7508</v>
      </c>
    </row>
    <row r="116" spans="1:9" ht="30.6" x14ac:dyDescent="0.25">
      <c r="A116" s="500" t="s">
        <v>4042</v>
      </c>
      <c r="B116" s="325" t="s">
        <v>1562</v>
      </c>
      <c r="C116" s="312">
        <v>1</v>
      </c>
      <c r="D116" s="312" t="s">
        <v>614</v>
      </c>
      <c r="E116" s="329">
        <v>54</v>
      </c>
      <c r="F116" s="331">
        <f t="shared" si="4"/>
        <v>49.841999999999999</v>
      </c>
      <c r="G116" s="357"/>
      <c r="H116" s="344">
        <f t="shared" si="3"/>
        <v>49.841999999999999</v>
      </c>
      <c r="I116" s="358" t="s">
        <v>7508</v>
      </c>
    </row>
    <row r="117" spans="1:9" ht="20.399999999999999" x14ac:dyDescent="0.25">
      <c r="A117" s="500" t="s">
        <v>4058</v>
      </c>
      <c r="B117" s="325" t="s">
        <v>4059</v>
      </c>
      <c r="C117" s="312">
        <v>7.3999999999999996E-2</v>
      </c>
      <c r="D117" s="312" t="s">
        <v>614</v>
      </c>
      <c r="E117" s="329">
        <v>6.45</v>
      </c>
      <c r="F117" s="331">
        <f t="shared" si="4"/>
        <v>5.9533500000000004</v>
      </c>
      <c r="G117" s="357"/>
      <c r="H117" s="344">
        <f t="shared" si="3"/>
        <v>5.9533500000000004</v>
      </c>
      <c r="I117" s="358" t="s">
        <v>7508</v>
      </c>
    </row>
    <row r="118" spans="1:9" ht="20.399999999999999" x14ac:dyDescent="0.25">
      <c r="A118" s="500" t="s">
        <v>4055</v>
      </c>
      <c r="B118" s="325" t="s">
        <v>4056</v>
      </c>
      <c r="C118" s="312">
        <v>9.9000000000000005E-2</v>
      </c>
      <c r="D118" s="312" t="s">
        <v>614</v>
      </c>
      <c r="E118" s="329">
        <v>8.4</v>
      </c>
      <c r="F118" s="331">
        <f t="shared" si="4"/>
        <v>7.7532000000000005</v>
      </c>
      <c r="G118" s="357"/>
      <c r="H118" s="344">
        <f t="shared" si="3"/>
        <v>7.7532000000000005</v>
      </c>
      <c r="I118" s="358" t="s">
        <v>7508</v>
      </c>
    </row>
    <row r="119" spans="1:9" x14ac:dyDescent="0.25">
      <c r="A119" s="491">
        <v>312316166030</v>
      </c>
      <c r="B119" s="354" t="s">
        <v>7550</v>
      </c>
      <c r="C119" s="509">
        <v>0.29099999999999998</v>
      </c>
      <c r="D119" s="355" t="s">
        <v>614</v>
      </c>
      <c r="E119" s="355">
        <v>26</v>
      </c>
      <c r="F119" s="492">
        <f t="shared" si="4"/>
        <v>23.998000000000001</v>
      </c>
      <c r="G119" s="357"/>
      <c r="H119" s="344">
        <f t="shared" si="3"/>
        <v>23.998000000000001</v>
      </c>
      <c r="I119" s="358" t="s">
        <v>7508</v>
      </c>
    </row>
    <row r="120" spans="1:9" ht="20.399999999999999" x14ac:dyDescent="0.25">
      <c r="A120" s="491" t="s">
        <v>7551</v>
      </c>
      <c r="B120" s="354" t="s">
        <v>7554</v>
      </c>
      <c r="C120" s="509"/>
      <c r="D120" s="355" t="s">
        <v>4664</v>
      </c>
      <c r="E120" s="355">
        <v>88.61</v>
      </c>
      <c r="F120" s="492">
        <f t="shared" si="4"/>
        <v>81.787030000000001</v>
      </c>
      <c r="G120" s="357"/>
      <c r="H120" s="344">
        <f t="shared" si="3"/>
        <v>81.787030000000001</v>
      </c>
      <c r="I120" s="358" t="s">
        <v>7508</v>
      </c>
    </row>
    <row r="121" spans="1:9" ht="20.399999999999999" x14ac:dyDescent="0.25">
      <c r="A121" s="491" t="s">
        <v>7552</v>
      </c>
      <c r="B121" s="354" t="s">
        <v>7553</v>
      </c>
      <c r="C121" s="509"/>
      <c r="D121" s="355" t="s">
        <v>4664</v>
      </c>
      <c r="E121" s="355">
        <v>107.57</v>
      </c>
      <c r="F121" s="492">
        <f>E121*0.923</f>
        <v>99.287109999999998</v>
      </c>
      <c r="G121" s="357"/>
      <c r="H121" s="344">
        <f>IF(G121&gt;0,G121,F121)</f>
        <v>99.287109999999998</v>
      </c>
      <c r="I121" s="358" t="s">
        <v>7508</v>
      </c>
    </row>
    <row r="122" spans="1:9" ht="20.399999999999999" x14ac:dyDescent="0.25">
      <c r="A122" s="500" t="s">
        <v>4140</v>
      </c>
      <c r="B122" s="325" t="s">
        <v>4141</v>
      </c>
      <c r="C122" s="312">
        <v>0.23</v>
      </c>
      <c r="D122" s="312" t="s">
        <v>614</v>
      </c>
      <c r="E122" s="329">
        <v>4.34</v>
      </c>
      <c r="F122" s="331">
        <f t="shared" si="4"/>
        <v>4.0058199999999999</v>
      </c>
      <c r="G122" s="357"/>
      <c r="H122" s="344">
        <f t="shared" si="3"/>
        <v>4.0058199999999999</v>
      </c>
      <c r="I122" s="358" t="s">
        <v>7508</v>
      </c>
    </row>
    <row r="123" spans="1:9" ht="40.799999999999997" x14ac:dyDescent="0.25">
      <c r="A123" s="500" t="s">
        <v>4092</v>
      </c>
      <c r="B123" s="325" t="s">
        <v>1317</v>
      </c>
      <c r="C123" s="312">
        <v>0.29099999999999998</v>
      </c>
      <c r="D123" s="312" t="s">
        <v>614</v>
      </c>
      <c r="E123" s="329">
        <v>26</v>
      </c>
      <c r="F123" s="331">
        <f t="shared" si="4"/>
        <v>23.998000000000001</v>
      </c>
      <c r="G123" s="357"/>
      <c r="H123" s="344">
        <f t="shared" si="3"/>
        <v>23.998000000000001</v>
      </c>
      <c r="I123" s="358" t="s">
        <v>7508</v>
      </c>
    </row>
    <row r="124" spans="1:9" ht="30.6" x14ac:dyDescent="0.25">
      <c r="A124" s="500" t="s">
        <v>4094</v>
      </c>
      <c r="B124" s="325" t="s">
        <v>4095</v>
      </c>
      <c r="C124" s="312">
        <v>0.16</v>
      </c>
      <c r="D124" s="312" t="s">
        <v>614</v>
      </c>
      <c r="E124" s="329">
        <v>17.2</v>
      </c>
      <c r="F124" s="331">
        <f t="shared" si="4"/>
        <v>15.8756</v>
      </c>
      <c r="G124" s="357"/>
      <c r="H124" s="344">
        <f t="shared" si="3"/>
        <v>15.8756</v>
      </c>
      <c r="I124" s="358" t="s">
        <v>7508</v>
      </c>
    </row>
    <row r="125" spans="1:9" ht="30.6" x14ac:dyDescent="0.25">
      <c r="A125" s="500" t="s">
        <v>4265</v>
      </c>
      <c r="B125" s="325" t="s">
        <v>4266</v>
      </c>
      <c r="C125" s="312">
        <v>0.06</v>
      </c>
      <c r="D125" s="312" t="s">
        <v>2840</v>
      </c>
      <c r="E125" s="329">
        <v>5.75</v>
      </c>
      <c r="F125" s="331">
        <f t="shared" si="4"/>
        <v>5.3072499999999998</v>
      </c>
      <c r="G125" s="357"/>
      <c r="H125" s="344">
        <f t="shared" si="3"/>
        <v>5.3072499999999998</v>
      </c>
      <c r="I125" s="358" t="s">
        <v>7508</v>
      </c>
    </row>
    <row r="126" spans="1:9" ht="20.399999999999999" x14ac:dyDescent="0.25">
      <c r="A126" s="500" t="s">
        <v>3992</v>
      </c>
      <c r="B126" s="325" t="s">
        <v>3993</v>
      </c>
      <c r="C126" s="312">
        <v>8.0000000000000002E-3</v>
      </c>
      <c r="D126" s="312" t="s">
        <v>2840</v>
      </c>
      <c r="E126" s="329">
        <v>1.34</v>
      </c>
      <c r="F126" s="331">
        <f t="shared" si="4"/>
        <v>1.23682</v>
      </c>
      <c r="G126" s="357"/>
      <c r="H126" s="344">
        <f t="shared" si="3"/>
        <v>1.23682</v>
      </c>
      <c r="I126" s="358" t="s">
        <v>7508</v>
      </c>
    </row>
    <row r="127" spans="1:9" ht="20.399999999999999" x14ac:dyDescent="0.25">
      <c r="A127" s="500" t="s">
        <v>4007</v>
      </c>
      <c r="B127" s="325" t="s">
        <v>2818</v>
      </c>
      <c r="C127" s="312">
        <v>1.4E-2</v>
      </c>
      <c r="D127" s="312" t="s">
        <v>2840</v>
      </c>
      <c r="E127" s="329">
        <v>2.48</v>
      </c>
      <c r="F127" s="331">
        <f t="shared" si="4"/>
        <v>2.28904</v>
      </c>
      <c r="G127" s="357"/>
      <c r="H127" s="344">
        <f t="shared" si="3"/>
        <v>2.28904</v>
      </c>
      <c r="I127" s="358" t="s">
        <v>7508</v>
      </c>
    </row>
    <row r="128" spans="1:9" ht="20.399999999999999" x14ac:dyDescent="0.25">
      <c r="A128" s="500" t="s">
        <v>4015</v>
      </c>
      <c r="B128" s="325" t="s">
        <v>2818</v>
      </c>
      <c r="C128" s="312">
        <v>2E-3</v>
      </c>
      <c r="D128" s="312" t="s">
        <v>1802</v>
      </c>
      <c r="E128" s="329">
        <v>0.42</v>
      </c>
      <c r="F128" s="331">
        <f t="shared" si="4"/>
        <v>0.38766</v>
      </c>
      <c r="G128" s="357"/>
      <c r="H128" s="344">
        <f t="shared" si="3"/>
        <v>0.38766</v>
      </c>
      <c r="I128" s="358" t="s">
        <v>7508</v>
      </c>
    </row>
    <row r="129" spans="1:16" ht="20.399999999999999" x14ac:dyDescent="0.25">
      <c r="A129" s="500" t="s">
        <v>4009</v>
      </c>
      <c r="B129" s="325" t="s">
        <v>4010</v>
      </c>
      <c r="C129" s="312">
        <v>2.3E-2</v>
      </c>
      <c r="D129" s="312" t="s">
        <v>2840</v>
      </c>
      <c r="E129" s="329">
        <v>4.13</v>
      </c>
      <c r="F129" s="331">
        <f t="shared" si="4"/>
        <v>3.8119900000000002</v>
      </c>
      <c r="G129" s="357"/>
      <c r="H129" s="344">
        <f t="shared" si="3"/>
        <v>3.8119900000000002</v>
      </c>
      <c r="I129" s="358" t="s">
        <v>7508</v>
      </c>
    </row>
    <row r="130" spans="1:16" ht="20.399999999999999" x14ac:dyDescent="0.25">
      <c r="A130" s="500" t="s">
        <v>4012</v>
      </c>
      <c r="B130" s="325" t="s">
        <v>4013</v>
      </c>
      <c r="C130" s="312">
        <v>5.2999999999999999E-2</v>
      </c>
      <c r="D130" s="312" t="s">
        <v>2840</v>
      </c>
      <c r="E130" s="329">
        <v>9.5500000000000007</v>
      </c>
      <c r="F130" s="331">
        <f t="shared" si="4"/>
        <v>8.8146500000000003</v>
      </c>
      <c r="G130" s="357"/>
      <c r="H130" s="344">
        <f t="shared" si="3"/>
        <v>8.8146500000000003</v>
      </c>
      <c r="I130" s="358" t="s">
        <v>7508</v>
      </c>
    </row>
    <row r="131" spans="1:16" ht="20.399999999999999" x14ac:dyDescent="0.25">
      <c r="A131" s="500" t="s">
        <v>4018</v>
      </c>
      <c r="B131" s="325" t="s">
        <v>4013</v>
      </c>
      <c r="C131" s="312">
        <v>8.9999999999999993E-3</v>
      </c>
      <c r="D131" s="312" t="s">
        <v>1802</v>
      </c>
      <c r="E131" s="329">
        <v>1.62</v>
      </c>
      <c r="F131" s="331">
        <f t="shared" si="4"/>
        <v>1.4952600000000003</v>
      </c>
      <c r="G131" s="357"/>
      <c r="H131" s="344">
        <f t="shared" si="3"/>
        <v>1.4952600000000003</v>
      </c>
      <c r="I131" s="358" t="s">
        <v>7508</v>
      </c>
    </row>
    <row r="132" spans="1:16" ht="20.399999999999999" x14ac:dyDescent="0.25">
      <c r="A132" s="500" t="s">
        <v>3996</v>
      </c>
      <c r="B132" s="325" t="s">
        <v>3997</v>
      </c>
      <c r="C132" s="312">
        <v>1.4999999999999999E-2</v>
      </c>
      <c r="D132" s="312" t="s">
        <v>2840</v>
      </c>
      <c r="E132" s="329">
        <v>2.68</v>
      </c>
      <c r="F132" s="331">
        <f t="shared" si="4"/>
        <v>2.4736400000000001</v>
      </c>
      <c r="G132" s="357"/>
      <c r="H132" s="344">
        <f t="shared" si="3"/>
        <v>2.4736400000000001</v>
      </c>
      <c r="I132" s="358" t="s">
        <v>7508</v>
      </c>
    </row>
    <row r="133" spans="1:16" ht="20.399999999999999" x14ac:dyDescent="0.25">
      <c r="A133" s="500" t="s">
        <v>4003</v>
      </c>
      <c r="B133" s="325" t="s">
        <v>4004</v>
      </c>
      <c r="C133" s="312">
        <v>1.0999999999999999E-2</v>
      </c>
      <c r="D133" s="312" t="s">
        <v>2840</v>
      </c>
      <c r="E133" s="329">
        <v>2.4300000000000002</v>
      </c>
      <c r="F133" s="331">
        <f t="shared" si="4"/>
        <v>2.2428900000000001</v>
      </c>
      <c r="G133" s="357"/>
      <c r="H133" s="344">
        <f t="shared" si="3"/>
        <v>2.2428900000000001</v>
      </c>
      <c r="I133" s="358" t="s">
        <v>7508</v>
      </c>
    </row>
    <row r="134" spans="1:16" ht="20.399999999999999" x14ac:dyDescent="0.25">
      <c r="A134" s="500" t="s">
        <v>3999</v>
      </c>
      <c r="B134" s="325" t="s">
        <v>4000</v>
      </c>
      <c r="C134" s="312">
        <v>6.0000000000000001E-3</v>
      </c>
      <c r="D134" s="312" t="s">
        <v>2840</v>
      </c>
      <c r="E134" s="329">
        <v>1.33</v>
      </c>
      <c r="F134" s="331">
        <f t="shared" si="4"/>
        <v>1.2275900000000002</v>
      </c>
      <c r="G134" s="357"/>
      <c r="H134" s="344">
        <f t="shared" si="3"/>
        <v>1.2275900000000002</v>
      </c>
      <c r="I134" s="358" t="s">
        <v>7508</v>
      </c>
    </row>
    <row r="135" spans="1:16" ht="20.399999999999999" x14ac:dyDescent="0.25">
      <c r="A135" s="500" t="s">
        <v>3980</v>
      </c>
      <c r="B135" s="325" t="s">
        <v>2819</v>
      </c>
      <c r="C135" s="312">
        <v>0.01</v>
      </c>
      <c r="D135" s="312" t="s">
        <v>2840</v>
      </c>
      <c r="E135" s="329">
        <v>1.87</v>
      </c>
      <c r="F135" s="331">
        <f t="shared" si="4"/>
        <v>1.7260100000000003</v>
      </c>
      <c r="G135" s="357"/>
      <c r="H135" s="344">
        <f t="shared" si="3"/>
        <v>1.7260100000000003</v>
      </c>
      <c r="I135" s="358" t="s">
        <v>7508</v>
      </c>
    </row>
    <row r="136" spans="1:16" ht="20.399999999999999" x14ac:dyDescent="0.25">
      <c r="A136" s="500" t="s">
        <v>3988</v>
      </c>
      <c r="B136" s="325" t="s">
        <v>3989</v>
      </c>
      <c r="C136" s="312">
        <v>7.0000000000000001E-3</v>
      </c>
      <c r="D136" s="312" t="s">
        <v>2840</v>
      </c>
      <c r="E136" s="329">
        <v>1.61</v>
      </c>
      <c r="F136" s="331">
        <f t="shared" si="4"/>
        <v>1.4860300000000002</v>
      </c>
      <c r="G136" s="357"/>
      <c r="H136" s="344">
        <f t="shared" si="3"/>
        <v>1.4860300000000002</v>
      </c>
      <c r="I136" s="358" t="s">
        <v>7508</v>
      </c>
    </row>
    <row r="137" spans="1:16" ht="20.399999999999999" x14ac:dyDescent="0.25">
      <c r="A137" s="500" t="s">
        <v>3977</v>
      </c>
      <c r="B137" s="325" t="s">
        <v>2820</v>
      </c>
      <c r="C137" s="312">
        <v>5.0000000000000001E-3</v>
      </c>
      <c r="D137" s="312" t="s">
        <v>2840</v>
      </c>
      <c r="E137" s="329">
        <v>0.93</v>
      </c>
      <c r="F137" s="331">
        <f t="shared" si="4"/>
        <v>0.8583900000000001</v>
      </c>
      <c r="G137" s="357"/>
      <c r="H137" s="344">
        <f t="shared" ref="H137:H204" si="5">IF(G137&gt;0,G137,F137)</f>
        <v>0.8583900000000001</v>
      </c>
      <c r="I137" s="358" t="s">
        <v>7508</v>
      </c>
    </row>
    <row r="138" spans="1:16" ht="20.399999999999999" x14ac:dyDescent="0.25">
      <c r="A138" s="500" t="s">
        <v>3983</v>
      </c>
      <c r="B138" s="325" t="s">
        <v>3984</v>
      </c>
      <c r="C138" s="312">
        <v>4.0000000000000001E-3</v>
      </c>
      <c r="D138" s="312" t="s">
        <v>2840</v>
      </c>
      <c r="E138" s="329">
        <v>0.89</v>
      </c>
      <c r="F138" s="331">
        <f t="shared" si="4"/>
        <v>0.82147000000000003</v>
      </c>
      <c r="G138" s="357"/>
      <c r="H138" s="344">
        <f t="shared" si="5"/>
        <v>0.82147000000000003</v>
      </c>
      <c r="I138" s="358" t="s">
        <v>7508</v>
      </c>
    </row>
    <row r="139" spans="1:16" x14ac:dyDescent="0.25">
      <c r="A139" s="491"/>
      <c r="B139" s="354" t="s">
        <v>4613</v>
      </c>
      <c r="C139" s="509"/>
      <c r="D139" s="355" t="s">
        <v>4664</v>
      </c>
      <c r="E139" s="355"/>
      <c r="F139" s="492">
        <f t="shared" si="4"/>
        <v>0</v>
      </c>
      <c r="G139" s="357">
        <v>120</v>
      </c>
      <c r="H139" s="344">
        <f t="shared" si="5"/>
        <v>120</v>
      </c>
      <c r="I139" s="345"/>
    </row>
    <row r="140" spans="1:16" x14ac:dyDescent="0.25">
      <c r="A140" s="491"/>
      <c r="B140" s="354" t="s">
        <v>4614</v>
      </c>
      <c r="C140" s="509"/>
      <c r="D140" s="355" t="s">
        <v>4664</v>
      </c>
      <c r="E140" s="355"/>
      <c r="F140" s="492">
        <f t="shared" si="4"/>
        <v>0</v>
      </c>
      <c r="G140" s="357">
        <v>100</v>
      </c>
      <c r="H140" s="344">
        <f t="shared" si="5"/>
        <v>100</v>
      </c>
      <c r="I140" s="345"/>
    </row>
    <row r="141" spans="1:16" ht="20.399999999999999" x14ac:dyDescent="0.25">
      <c r="A141" s="504" t="s">
        <v>7562</v>
      </c>
      <c r="B141" s="354" t="s">
        <v>7563</v>
      </c>
      <c r="C141" s="509"/>
      <c r="D141" s="355" t="s">
        <v>1363</v>
      </c>
      <c r="E141" s="355">
        <v>62.8</v>
      </c>
      <c r="F141" s="492">
        <f t="shared" si="4"/>
        <v>57.964399999999998</v>
      </c>
      <c r="G141" s="357"/>
      <c r="H141" s="344">
        <f t="shared" si="5"/>
        <v>57.964399999999998</v>
      </c>
      <c r="I141" s="358" t="s">
        <v>7508</v>
      </c>
    </row>
    <row r="142" spans="1:16" x14ac:dyDescent="0.25">
      <c r="A142" s="501" t="s">
        <v>4374</v>
      </c>
      <c r="B142" s="495" t="s">
        <v>7564</v>
      </c>
      <c r="C142" s="494"/>
      <c r="D142" s="494" t="s">
        <v>241</v>
      </c>
      <c r="E142" s="496">
        <v>81.7</v>
      </c>
      <c r="F142" s="492">
        <f t="shared" si="4"/>
        <v>75.409100000000009</v>
      </c>
      <c r="G142" s="357"/>
      <c r="H142" s="344">
        <f t="shared" si="5"/>
        <v>75.409100000000009</v>
      </c>
      <c r="I142" s="358" t="s">
        <v>7508</v>
      </c>
    </row>
    <row r="143" spans="1:16" x14ac:dyDescent="0.25">
      <c r="A143" s="491"/>
      <c r="B143" s="354" t="s">
        <v>4621</v>
      </c>
      <c r="C143" s="509"/>
      <c r="D143" s="355" t="s">
        <v>2265</v>
      </c>
      <c r="E143" s="355"/>
      <c r="F143" s="492">
        <f t="shared" si="4"/>
        <v>0</v>
      </c>
      <c r="G143" s="357">
        <v>400</v>
      </c>
      <c r="H143" s="344">
        <f t="shared" si="5"/>
        <v>400</v>
      </c>
      <c r="I143" s="345"/>
    </row>
    <row r="144" spans="1:16" s="368" customFormat="1" ht="10.199999999999999" x14ac:dyDescent="0.2">
      <c r="A144" s="491" t="s">
        <v>7582</v>
      </c>
      <c r="B144" s="354" t="s">
        <v>7583</v>
      </c>
      <c r="C144" s="509"/>
      <c r="D144" s="355" t="s">
        <v>516</v>
      </c>
      <c r="E144" s="355">
        <v>87.14</v>
      </c>
      <c r="F144" s="331">
        <f t="shared" si="4"/>
        <v>80.430220000000006</v>
      </c>
      <c r="G144" s="357"/>
      <c r="H144" s="344">
        <f t="shared" si="5"/>
        <v>80.430220000000006</v>
      </c>
      <c r="I144" s="358" t="s">
        <v>7508</v>
      </c>
      <c r="J144" s="373"/>
      <c r="K144" s="373"/>
      <c r="L144" s="373"/>
      <c r="M144" s="373"/>
      <c r="N144" s="373"/>
      <c r="O144" s="373"/>
      <c r="P144" s="373"/>
    </row>
    <row r="145" spans="1:17" s="368" customFormat="1" ht="10.199999999999999" x14ac:dyDescent="0.2">
      <c r="A145" s="491"/>
      <c r="B145" s="354"/>
      <c r="C145" s="509"/>
      <c r="D145" s="355"/>
      <c r="E145" s="355"/>
      <c r="F145" s="331">
        <f t="shared" si="4"/>
        <v>0</v>
      </c>
      <c r="G145" s="357"/>
      <c r="H145" s="344">
        <f t="shared" si="5"/>
        <v>0</v>
      </c>
      <c r="I145" s="358"/>
      <c r="J145" s="373"/>
      <c r="K145" s="373"/>
      <c r="L145" s="373"/>
      <c r="M145" s="373"/>
      <c r="N145" s="373"/>
      <c r="O145" s="373"/>
      <c r="P145" s="373"/>
    </row>
    <row r="146" spans="1:17" s="368" customFormat="1" ht="10.199999999999999" x14ac:dyDescent="0.2">
      <c r="A146" s="491"/>
      <c r="B146" s="354"/>
      <c r="C146" s="509"/>
      <c r="D146" s="355"/>
      <c r="E146" s="355"/>
      <c r="F146" s="331">
        <f t="shared" si="4"/>
        <v>0</v>
      </c>
      <c r="G146" s="357"/>
      <c r="H146" s="344">
        <f t="shared" si="5"/>
        <v>0</v>
      </c>
      <c r="I146" s="358"/>
      <c r="J146" s="373"/>
      <c r="K146" s="373"/>
      <c r="L146" s="373"/>
      <c r="M146" s="373"/>
      <c r="N146" s="373"/>
      <c r="O146" s="373"/>
      <c r="P146" s="373"/>
    </row>
    <row r="147" spans="1:17" s="246" customFormat="1" x14ac:dyDescent="0.25">
      <c r="A147" s="498" t="s">
        <v>2859</v>
      </c>
      <c r="B147" s="382"/>
      <c r="C147" s="510"/>
      <c r="D147" s="382"/>
      <c r="E147" s="382"/>
      <c r="F147" s="331">
        <f t="shared" ref="F147:F212" si="6">E147*0.923</f>
        <v>0</v>
      </c>
      <c r="G147" s="382"/>
      <c r="H147" s="344">
        <f t="shared" si="5"/>
        <v>0</v>
      </c>
      <c r="I147" s="382"/>
      <c r="J147" s="260"/>
      <c r="K147" s="260"/>
      <c r="L147" s="260"/>
      <c r="M147" s="260"/>
      <c r="N147" s="260"/>
      <c r="O147" s="260"/>
      <c r="P147" s="260"/>
      <c r="Q147" s="260"/>
    </row>
    <row r="148" spans="1:17" s="360" customFormat="1" x14ac:dyDescent="0.25">
      <c r="A148" s="499"/>
      <c r="C148" s="511"/>
      <c r="F148" s="331">
        <f t="shared" si="6"/>
        <v>0</v>
      </c>
      <c r="H148" s="344">
        <f t="shared" si="5"/>
        <v>0</v>
      </c>
      <c r="J148" s="260"/>
      <c r="K148" s="260"/>
      <c r="L148" s="260"/>
      <c r="M148" s="260"/>
      <c r="N148" s="260"/>
      <c r="O148" s="260"/>
      <c r="P148" s="260"/>
      <c r="Q148" s="260"/>
    </row>
    <row r="149" spans="1:17" s="341" customFormat="1" ht="10.199999999999999" x14ac:dyDescent="0.2">
      <c r="A149" s="491" t="s">
        <v>7555</v>
      </c>
      <c r="B149" s="354" t="s">
        <v>4593</v>
      </c>
      <c r="C149" s="509"/>
      <c r="D149" s="355" t="s">
        <v>4664</v>
      </c>
      <c r="E149" s="355">
        <v>75.91</v>
      </c>
      <c r="F149" s="492">
        <f t="shared" si="6"/>
        <v>70.064930000000004</v>
      </c>
      <c r="G149" s="493"/>
      <c r="H149" s="344">
        <f t="shared" si="5"/>
        <v>70.064930000000004</v>
      </c>
      <c r="I149" s="358" t="s">
        <v>7508</v>
      </c>
      <c r="J149" s="373"/>
      <c r="K149" s="373"/>
      <c r="L149" s="373"/>
      <c r="M149" s="373"/>
      <c r="N149" s="373"/>
      <c r="O149" s="373"/>
      <c r="P149" s="373"/>
    </row>
    <row r="150" spans="1:17" s="341" customFormat="1" ht="20.399999999999999" x14ac:dyDescent="0.2">
      <c r="A150" s="501" t="s">
        <v>3947</v>
      </c>
      <c r="B150" s="495" t="s">
        <v>1080</v>
      </c>
      <c r="C150" s="494">
        <v>0.05</v>
      </c>
      <c r="D150" s="494" t="s">
        <v>2265</v>
      </c>
      <c r="E150" s="496">
        <v>7.5</v>
      </c>
      <c r="F150" s="492">
        <f t="shared" si="6"/>
        <v>6.9225000000000003</v>
      </c>
      <c r="G150" s="357"/>
      <c r="H150" s="344">
        <f t="shared" si="5"/>
        <v>6.9225000000000003</v>
      </c>
      <c r="I150" s="358" t="s">
        <v>7508</v>
      </c>
      <c r="J150" s="373"/>
      <c r="K150" s="373"/>
      <c r="L150" s="373"/>
      <c r="M150" s="373"/>
      <c r="N150" s="373"/>
      <c r="O150" s="373"/>
      <c r="P150" s="373"/>
    </row>
    <row r="151" spans="1:17" s="341" customFormat="1" ht="10.199999999999999" x14ac:dyDescent="0.2">
      <c r="A151" s="500" t="s">
        <v>3931</v>
      </c>
      <c r="B151" s="325" t="s">
        <v>1082</v>
      </c>
      <c r="C151" s="312">
        <v>48</v>
      </c>
      <c r="D151" s="312" t="s">
        <v>2376</v>
      </c>
      <c r="E151" s="329">
        <v>4375</v>
      </c>
      <c r="F151" s="331">
        <f t="shared" si="6"/>
        <v>4038.125</v>
      </c>
      <c r="G151" s="357"/>
      <c r="H151" s="344">
        <f t="shared" si="5"/>
        <v>4038.125</v>
      </c>
      <c r="I151" s="358" t="s">
        <v>7508</v>
      </c>
      <c r="J151" s="373"/>
      <c r="K151" s="373"/>
      <c r="L151" s="373"/>
      <c r="M151" s="373"/>
      <c r="N151" s="373"/>
      <c r="O151" s="373"/>
      <c r="P151" s="373"/>
    </row>
    <row r="152" spans="1:17" s="341" customFormat="1" ht="10.199999999999999" x14ac:dyDescent="0.2">
      <c r="A152" s="500" t="s">
        <v>3933</v>
      </c>
      <c r="B152" s="325" t="s">
        <v>1083</v>
      </c>
      <c r="C152" s="312">
        <v>12</v>
      </c>
      <c r="D152" s="312" t="s">
        <v>2376</v>
      </c>
      <c r="E152" s="329">
        <v>1875</v>
      </c>
      <c r="F152" s="331">
        <f t="shared" si="6"/>
        <v>1730.625</v>
      </c>
      <c r="G152" s="357"/>
      <c r="H152" s="344">
        <f t="shared" si="5"/>
        <v>1730.625</v>
      </c>
      <c r="I152" s="358" t="s">
        <v>7508</v>
      </c>
      <c r="J152" s="373"/>
      <c r="K152" s="373"/>
      <c r="L152" s="373"/>
      <c r="M152" s="373"/>
      <c r="N152" s="373"/>
      <c r="O152" s="373"/>
      <c r="P152" s="373"/>
    </row>
    <row r="153" spans="1:17" s="341" customFormat="1" ht="20.399999999999999" x14ac:dyDescent="0.2">
      <c r="A153" s="500" t="s">
        <v>3953</v>
      </c>
      <c r="B153" s="325" t="s">
        <v>1084</v>
      </c>
      <c r="C153" s="312">
        <v>6.7000000000000004E-2</v>
      </c>
      <c r="D153" s="312" t="s">
        <v>2265</v>
      </c>
      <c r="E153" s="329">
        <v>10</v>
      </c>
      <c r="F153" s="331">
        <f t="shared" si="6"/>
        <v>9.23</v>
      </c>
      <c r="G153" s="357"/>
      <c r="H153" s="344">
        <f t="shared" si="5"/>
        <v>9.23</v>
      </c>
      <c r="I153" s="358" t="s">
        <v>7508</v>
      </c>
      <c r="J153" s="373"/>
      <c r="K153" s="373"/>
      <c r="L153" s="373"/>
      <c r="M153" s="373"/>
      <c r="N153" s="373"/>
      <c r="O153" s="373"/>
      <c r="P153" s="373"/>
    </row>
    <row r="154" spans="1:17" s="341" customFormat="1" ht="20.399999999999999" x14ac:dyDescent="0.2">
      <c r="A154" s="500" t="s">
        <v>3951</v>
      </c>
      <c r="B154" s="325" t="s">
        <v>1085</v>
      </c>
      <c r="C154" s="312">
        <v>4.3999999999999997E-2</v>
      </c>
      <c r="D154" s="312" t="s">
        <v>2265</v>
      </c>
      <c r="E154" s="329">
        <v>6.65</v>
      </c>
      <c r="F154" s="331">
        <f t="shared" si="6"/>
        <v>6.1379500000000009</v>
      </c>
      <c r="G154" s="357"/>
      <c r="H154" s="344">
        <f t="shared" si="5"/>
        <v>6.1379500000000009</v>
      </c>
      <c r="I154" s="358" t="s">
        <v>7508</v>
      </c>
      <c r="J154" s="373"/>
      <c r="K154" s="373"/>
      <c r="L154" s="373"/>
      <c r="M154" s="373"/>
      <c r="N154" s="373"/>
      <c r="O154" s="373"/>
      <c r="P154" s="373"/>
    </row>
    <row r="155" spans="1:17" s="341" customFormat="1" ht="20.399999999999999" x14ac:dyDescent="0.2">
      <c r="A155" s="500" t="s">
        <v>3949</v>
      </c>
      <c r="B155" s="325" t="s">
        <v>1086</v>
      </c>
      <c r="C155" s="312">
        <v>3.3000000000000002E-2</v>
      </c>
      <c r="D155" s="312" t="s">
        <v>2265</v>
      </c>
      <c r="E155" s="329">
        <v>4.99</v>
      </c>
      <c r="F155" s="331">
        <f t="shared" si="6"/>
        <v>4.6057700000000006</v>
      </c>
      <c r="G155" s="357"/>
      <c r="H155" s="344">
        <f t="shared" si="5"/>
        <v>4.6057700000000006</v>
      </c>
      <c r="I155" s="358" t="s">
        <v>7508</v>
      </c>
      <c r="J155" s="373"/>
      <c r="K155" s="373"/>
      <c r="L155" s="373"/>
      <c r="M155" s="373"/>
      <c r="N155" s="373"/>
      <c r="O155" s="373"/>
      <c r="P155" s="373"/>
    </row>
    <row r="156" spans="1:17" s="341" customFormat="1" ht="20.399999999999999" x14ac:dyDescent="0.2">
      <c r="A156" s="500" t="s">
        <v>3944</v>
      </c>
      <c r="B156" s="325" t="s">
        <v>3945</v>
      </c>
      <c r="C156" s="312">
        <v>48</v>
      </c>
      <c r="D156" s="312" t="s">
        <v>2376</v>
      </c>
      <c r="E156" s="329">
        <v>7525</v>
      </c>
      <c r="F156" s="331">
        <f t="shared" si="6"/>
        <v>6945.5750000000007</v>
      </c>
      <c r="G156" s="357"/>
      <c r="H156" s="344">
        <f t="shared" si="5"/>
        <v>6945.5750000000007</v>
      </c>
      <c r="I156" s="358" t="s">
        <v>7508</v>
      </c>
      <c r="J156" s="373"/>
      <c r="K156" s="373"/>
      <c r="L156" s="373"/>
      <c r="M156" s="373"/>
      <c r="N156" s="373"/>
      <c r="O156" s="373"/>
      <c r="P156" s="373"/>
    </row>
    <row r="157" spans="1:17" s="341" customFormat="1" ht="10.199999999999999" x14ac:dyDescent="0.2">
      <c r="A157" s="500" t="s">
        <v>3941</v>
      </c>
      <c r="B157" s="325" t="s">
        <v>3942</v>
      </c>
      <c r="C157" s="312">
        <v>160</v>
      </c>
      <c r="D157" s="312" t="s">
        <v>2376</v>
      </c>
      <c r="E157" s="329">
        <v>14600</v>
      </c>
      <c r="F157" s="331">
        <f t="shared" si="6"/>
        <v>13475.800000000001</v>
      </c>
      <c r="G157" s="357"/>
      <c r="H157" s="344">
        <f t="shared" si="5"/>
        <v>13475.800000000001</v>
      </c>
      <c r="I157" s="358" t="s">
        <v>7508</v>
      </c>
      <c r="J157" s="373"/>
      <c r="K157" s="373"/>
      <c r="L157" s="373"/>
      <c r="M157" s="373"/>
      <c r="N157" s="373"/>
      <c r="O157" s="373"/>
      <c r="P157" s="373"/>
    </row>
    <row r="158" spans="1:17" s="341" customFormat="1" ht="10.199999999999999" x14ac:dyDescent="0.2">
      <c r="A158" s="500" t="s">
        <v>3935</v>
      </c>
      <c r="B158" s="325" t="s">
        <v>3936</v>
      </c>
      <c r="C158" s="312">
        <v>68.570999999999998</v>
      </c>
      <c r="D158" s="312" t="s">
        <v>2376</v>
      </c>
      <c r="E158" s="329">
        <v>6250</v>
      </c>
      <c r="F158" s="331">
        <f t="shared" si="6"/>
        <v>5768.75</v>
      </c>
      <c r="G158" s="357"/>
      <c r="H158" s="344">
        <f t="shared" si="5"/>
        <v>5768.75</v>
      </c>
      <c r="I158" s="358" t="s">
        <v>7508</v>
      </c>
      <c r="J158" s="373"/>
      <c r="K158" s="373"/>
      <c r="L158" s="373"/>
      <c r="M158" s="373"/>
      <c r="N158" s="373"/>
      <c r="O158" s="373"/>
      <c r="P158" s="373"/>
    </row>
    <row r="159" spans="1:17" s="341" customFormat="1" ht="10.199999999999999" x14ac:dyDescent="0.2">
      <c r="A159" s="500" t="s">
        <v>3938</v>
      </c>
      <c r="B159" s="325" t="s">
        <v>3939</v>
      </c>
      <c r="C159" s="312">
        <v>24</v>
      </c>
      <c r="D159" s="312" t="s">
        <v>2376</v>
      </c>
      <c r="E159" s="329">
        <v>3775</v>
      </c>
      <c r="F159" s="331">
        <f t="shared" si="6"/>
        <v>3484.3250000000003</v>
      </c>
      <c r="G159" s="357"/>
      <c r="H159" s="344">
        <f t="shared" si="5"/>
        <v>3484.3250000000003</v>
      </c>
      <c r="I159" s="358" t="s">
        <v>7508</v>
      </c>
      <c r="J159" s="373"/>
      <c r="K159" s="373"/>
      <c r="L159" s="373"/>
      <c r="M159" s="373"/>
      <c r="N159" s="373"/>
      <c r="O159" s="373"/>
      <c r="P159" s="373"/>
    </row>
    <row r="160" spans="1:17" s="341" customFormat="1" ht="20.399999999999999" x14ac:dyDescent="0.2">
      <c r="A160" s="491" t="s">
        <v>7556</v>
      </c>
      <c r="B160" s="354" t="s">
        <v>7557</v>
      </c>
      <c r="C160" s="509">
        <v>48</v>
      </c>
      <c r="D160" s="355" t="s">
        <v>241</v>
      </c>
      <c r="E160" s="355">
        <v>4371.5</v>
      </c>
      <c r="F160" s="331">
        <f t="shared" si="6"/>
        <v>4034.8945000000003</v>
      </c>
      <c r="G160" s="493"/>
      <c r="H160" s="344">
        <f t="shared" si="5"/>
        <v>4034.8945000000003</v>
      </c>
      <c r="I160" s="358" t="s">
        <v>7508</v>
      </c>
      <c r="J160" s="373"/>
      <c r="K160" s="373"/>
      <c r="L160" s="373"/>
      <c r="M160" s="373"/>
      <c r="N160" s="373"/>
      <c r="O160" s="373"/>
      <c r="P160" s="373"/>
    </row>
    <row r="161" spans="1:16" s="341" customFormat="1" ht="10.199999999999999" x14ac:dyDescent="0.2">
      <c r="A161" s="491"/>
      <c r="B161" s="354" t="s">
        <v>4640</v>
      </c>
      <c r="C161" s="509"/>
      <c r="D161" s="355" t="s">
        <v>2265</v>
      </c>
      <c r="E161" s="355"/>
      <c r="F161" s="331">
        <f t="shared" si="6"/>
        <v>0</v>
      </c>
      <c r="G161" s="357">
        <v>90</v>
      </c>
      <c r="H161" s="344">
        <f t="shared" si="5"/>
        <v>90</v>
      </c>
      <c r="I161" s="358" t="s">
        <v>4626</v>
      </c>
      <c r="J161" s="373"/>
      <c r="K161" s="373"/>
      <c r="L161" s="373"/>
      <c r="M161" s="373"/>
      <c r="N161" s="373"/>
      <c r="O161" s="373"/>
      <c r="P161" s="373"/>
    </row>
    <row r="162" spans="1:16" ht="20.399999999999999" x14ac:dyDescent="0.25">
      <c r="A162" s="491"/>
      <c r="B162" s="354" t="s">
        <v>4688</v>
      </c>
      <c r="C162" s="509"/>
      <c r="D162" s="355" t="s">
        <v>2265</v>
      </c>
      <c r="E162" s="355"/>
      <c r="F162" s="331">
        <f t="shared" si="6"/>
        <v>0</v>
      </c>
      <c r="G162" s="357">
        <v>21.5</v>
      </c>
      <c r="H162" s="344">
        <f t="shared" si="5"/>
        <v>21.5</v>
      </c>
      <c r="I162" s="358" t="s">
        <v>4626</v>
      </c>
    </row>
    <row r="163" spans="1:16" x14ac:dyDescent="0.25">
      <c r="A163" s="491"/>
      <c r="B163" s="354" t="s">
        <v>4641</v>
      </c>
      <c r="C163" s="509"/>
      <c r="D163" s="355" t="s">
        <v>2265</v>
      </c>
      <c r="E163" s="355"/>
      <c r="F163" s="331">
        <f t="shared" si="6"/>
        <v>0</v>
      </c>
      <c r="G163" s="357">
        <v>25.5</v>
      </c>
      <c r="H163" s="344">
        <f t="shared" si="5"/>
        <v>25.5</v>
      </c>
      <c r="I163" s="358" t="s">
        <v>4626</v>
      </c>
    </row>
    <row r="164" spans="1:16" ht="20.399999999999999" x14ac:dyDescent="0.25">
      <c r="A164" s="500" t="s">
        <v>3959</v>
      </c>
      <c r="B164" s="325" t="s">
        <v>1262</v>
      </c>
      <c r="C164" s="312">
        <v>8</v>
      </c>
      <c r="D164" s="312" t="s">
        <v>2376</v>
      </c>
      <c r="E164" s="329">
        <v>1175</v>
      </c>
      <c r="F164" s="331">
        <f t="shared" si="6"/>
        <v>1084.5250000000001</v>
      </c>
      <c r="G164" s="357"/>
      <c r="H164" s="344">
        <f t="shared" si="5"/>
        <v>1084.5250000000001</v>
      </c>
      <c r="I164" s="358" t="s">
        <v>7508</v>
      </c>
    </row>
    <row r="165" spans="1:16" ht="20.399999999999999" x14ac:dyDescent="0.25">
      <c r="A165" s="500" t="s">
        <v>3961</v>
      </c>
      <c r="B165" s="325" t="s">
        <v>3962</v>
      </c>
      <c r="C165" s="312">
        <v>10.667</v>
      </c>
      <c r="D165" s="312" t="s">
        <v>2376</v>
      </c>
      <c r="E165" s="329">
        <v>1575</v>
      </c>
      <c r="F165" s="331">
        <f t="shared" si="6"/>
        <v>1453.7250000000001</v>
      </c>
      <c r="G165" s="357"/>
      <c r="H165" s="344">
        <f t="shared" si="5"/>
        <v>1453.7250000000001</v>
      </c>
      <c r="I165" s="358" t="s">
        <v>7508</v>
      </c>
    </row>
    <row r="166" spans="1:16" ht="20.399999999999999" x14ac:dyDescent="0.25">
      <c r="A166" s="500" t="s">
        <v>3955</v>
      </c>
      <c r="B166" s="325" t="s">
        <v>1263</v>
      </c>
      <c r="C166" s="312">
        <v>32</v>
      </c>
      <c r="D166" s="312" t="s">
        <v>2376</v>
      </c>
      <c r="E166" s="329">
        <v>1850</v>
      </c>
      <c r="F166" s="331">
        <f t="shared" si="6"/>
        <v>1707.5500000000002</v>
      </c>
      <c r="G166" s="357"/>
      <c r="H166" s="344">
        <f t="shared" si="5"/>
        <v>1707.5500000000002</v>
      </c>
      <c r="I166" s="358" t="s">
        <v>7508</v>
      </c>
    </row>
    <row r="167" spans="1:16" ht="20.399999999999999" x14ac:dyDescent="0.25">
      <c r="A167" s="500" t="s">
        <v>3957</v>
      </c>
      <c r="B167" s="325" t="s">
        <v>1264</v>
      </c>
      <c r="C167" s="312">
        <v>66.667000000000002</v>
      </c>
      <c r="D167" s="312" t="s">
        <v>2376</v>
      </c>
      <c r="E167" s="329">
        <v>3600</v>
      </c>
      <c r="F167" s="331">
        <f t="shared" si="6"/>
        <v>3322.8</v>
      </c>
      <c r="G167" s="357"/>
      <c r="H167" s="344">
        <f t="shared" si="5"/>
        <v>3322.8</v>
      </c>
      <c r="I167" s="358" t="s">
        <v>7508</v>
      </c>
    </row>
    <row r="168" spans="1:16" ht="20.399999999999999" x14ac:dyDescent="0.25">
      <c r="A168" s="500" t="s">
        <v>3975</v>
      </c>
      <c r="B168" s="325" t="s">
        <v>2903</v>
      </c>
      <c r="C168" s="312">
        <v>8</v>
      </c>
      <c r="D168" s="312" t="s">
        <v>2376</v>
      </c>
      <c r="E168" s="329">
        <v>940</v>
      </c>
      <c r="F168" s="331">
        <f t="shared" si="6"/>
        <v>867.62</v>
      </c>
      <c r="G168" s="357"/>
      <c r="H168" s="344">
        <f t="shared" si="5"/>
        <v>867.62</v>
      </c>
      <c r="I168" s="358" t="s">
        <v>7508</v>
      </c>
    </row>
    <row r="169" spans="1:16" ht="20.399999999999999" x14ac:dyDescent="0.25">
      <c r="A169" s="500" t="s">
        <v>3971</v>
      </c>
      <c r="B169" s="325" t="s">
        <v>2904</v>
      </c>
      <c r="C169" s="312">
        <v>4</v>
      </c>
      <c r="D169" s="312" t="s">
        <v>2376</v>
      </c>
      <c r="E169" s="329">
        <v>470</v>
      </c>
      <c r="F169" s="331">
        <f t="shared" si="6"/>
        <v>433.81</v>
      </c>
      <c r="G169" s="357"/>
      <c r="H169" s="344">
        <f t="shared" si="5"/>
        <v>433.81</v>
      </c>
      <c r="I169" s="358" t="s">
        <v>7508</v>
      </c>
    </row>
    <row r="170" spans="1:16" ht="20.399999999999999" x14ac:dyDescent="0.25">
      <c r="A170" s="500" t="s">
        <v>3973</v>
      </c>
      <c r="B170" s="325" t="s">
        <v>2905</v>
      </c>
      <c r="C170" s="312">
        <v>5.3330000000000002</v>
      </c>
      <c r="D170" s="312" t="s">
        <v>2376</v>
      </c>
      <c r="E170" s="329">
        <v>625</v>
      </c>
      <c r="F170" s="331">
        <f t="shared" si="6"/>
        <v>576.875</v>
      </c>
      <c r="G170" s="357"/>
      <c r="H170" s="344">
        <f t="shared" si="5"/>
        <v>576.875</v>
      </c>
      <c r="I170" s="358" t="s">
        <v>7508</v>
      </c>
    </row>
    <row r="171" spans="1:16" ht="30.6" x14ac:dyDescent="0.25">
      <c r="A171" s="500" t="s">
        <v>3968</v>
      </c>
      <c r="B171" s="325" t="s">
        <v>3969</v>
      </c>
      <c r="C171" s="312">
        <v>2.5</v>
      </c>
      <c r="D171" s="312" t="s">
        <v>2376</v>
      </c>
      <c r="E171" s="329">
        <v>370</v>
      </c>
      <c r="F171" s="331">
        <f t="shared" si="6"/>
        <v>341.51</v>
      </c>
      <c r="G171" s="357"/>
      <c r="H171" s="344">
        <f t="shared" si="5"/>
        <v>341.51</v>
      </c>
      <c r="I171" s="358" t="s">
        <v>7508</v>
      </c>
    </row>
    <row r="172" spans="1:16" ht="20.399999999999999" x14ac:dyDescent="0.25">
      <c r="A172" s="500" t="s">
        <v>3964</v>
      </c>
      <c r="B172" s="325" t="s">
        <v>2906</v>
      </c>
      <c r="C172" s="312">
        <v>1.6</v>
      </c>
      <c r="D172" s="312" t="s">
        <v>2376</v>
      </c>
      <c r="E172" s="329">
        <v>237</v>
      </c>
      <c r="F172" s="331">
        <f t="shared" si="6"/>
        <v>218.751</v>
      </c>
      <c r="G172" s="357"/>
      <c r="H172" s="344">
        <f t="shared" si="5"/>
        <v>218.751</v>
      </c>
      <c r="I172" s="358" t="s">
        <v>7508</v>
      </c>
    </row>
    <row r="173" spans="1:16" ht="30.6" x14ac:dyDescent="0.25">
      <c r="A173" s="500" t="s">
        <v>3966</v>
      </c>
      <c r="B173" s="325" t="s">
        <v>2907</v>
      </c>
      <c r="C173" s="312">
        <v>2</v>
      </c>
      <c r="D173" s="312" t="s">
        <v>2376</v>
      </c>
      <c r="E173" s="329">
        <v>295</v>
      </c>
      <c r="F173" s="331">
        <f t="shared" si="6"/>
        <v>272.28500000000003</v>
      </c>
      <c r="G173" s="357"/>
      <c r="H173" s="344">
        <f t="shared" si="5"/>
        <v>272.28500000000003</v>
      </c>
      <c r="I173" s="358" t="s">
        <v>7508</v>
      </c>
    </row>
    <row r="174" spans="1:16" x14ac:dyDescent="0.25">
      <c r="A174" s="491"/>
      <c r="B174" s="354" t="s">
        <v>4611</v>
      </c>
      <c r="C174" s="509"/>
      <c r="D174" s="355" t="s">
        <v>2265</v>
      </c>
      <c r="E174" s="355"/>
      <c r="F174" s="492">
        <f t="shared" si="6"/>
        <v>0</v>
      </c>
      <c r="G174" s="493">
        <v>140</v>
      </c>
      <c r="H174" s="344">
        <f t="shared" si="5"/>
        <v>140</v>
      </c>
      <c r="I174" s="345" t="s">
        <v>4630</v>
      </c>
    </row>
    <row r="175" spans="1:16" x14ac:dyDescent="0.25">
      <c r="A175" s="491"/>
      <c r="B175" s="354" t="s">
        <v>4620</v>
      </c>
      <c r="C175" s="509"/>
      <c r="D175" s="355" t="s">
        <v>4664</v>
      </c>
      <c r="E175" s="355"/>
      <c r="F175" s="492">
        <f t="shared" si="6"/>
        <v>0</v>
      </c>
      <c r="G175" s="357">
        <v>35</v>
      </c>
      <c r="H175" s="344">
        <f t="shared" si="5"/>
        <v>35</v>
      </c>
      <c r="I175" s="345" t="s">
        <v>4632</v>
      </c>
    </row>
    <row r="176" spans="1:16" x14ac:dyDescent="0.25">
      <c r="A176" s="503" t="s">
        <v>7558</v>
      </c>
      <c r="B176" s="325" t="s">
        <v>7559</v>
      </c>
      <c r="C176" s="312">
        <v>41.14</v>
      </c>
      <c r="D176" s="312" t="s">
        <v>2376</v>
      </c>
      <c r="E176" s="329">
        <v>1590</v>
      </c>
      <c r="F176" s="331">
        <f>E176*0.923</f>
        <v>1467.5700000000002</v>
      </c>
      <c r="G176" s="357"/>
      <c r="H176" s="344">
        <f t="shared" si="5"/>
        <v>1467.5700000000002</v>
      </c>
      <c r="I176" s="358" t="s">
        <v>7508</v>
      </c>
    </row>
    <row r="177" spans="1:17" ht="16.8" customHeight="1" x14ac:dyDescent="0.25">
      <c r="A177" s="491"/>
      <c r="B177" s="354" t="s">
        <v>4642</v>
      </c>
      <c r="C177" s="509"/>
      <c r="D177" s="355" t="s">
        <v>2265</v>
      </c>
      <c r="E177" s="355"/>
      <c r="F177" s="492">
        <f t="shared" si="6"/>
        <v>0</v>
      </c>
      <c r="G177" s="357">
        <v>14.8</v>
      </c>
      <c r="H177" s="344">
        <f t="shared" si="5"/>
        <v>14.8</v>
      </c>
      <c r="I177" s="345" t="s">
        <v>4626</v>
      </c>
    </row>
    <row r="178" spans="1:17" s="367" customFormat="1" ht="11.4" x14ac:dyDescent="0.2">
      <c r="A178" s="497"/>
      <c r="B178" s="362" t="s">
        <v>7560</v>
      </c>
      <c r="C178" s="363"/>
      <c r="D178" s="363" t="s">
        <v>2376</v>
      </c>
      <c r="E178" s="364"/>
      <c r="F178" s="331">
        <v>500</v>
      </c>
      <c r="G178" s="365"/>
      <c r="H178" s="344">
        <f t="shared" si="5"/>
        <v>500</v>
      </c>
      <c r="I178" s="366" t="s">
        <v>7561</v>
      </c>
      <c r="J178" s="371"/>
      <c r="K178" s="371"/>
      <c r="L178" s="371"/>
      <c r="M178" s="371"/>
      <c r="N178" s="371"/>
      <c r="O178" s="371"/>
      <c r="P178" s="371"/>
    </row>
    <row r="179" spans="1:17" s="367" customFormat="1" ht="22.8" x14ac:dyDescent="0.2">
      <c r="A179" s="505" t="s">
        <v>7565</v>
      </c>
      <c r="B179" s="363" t="s">
        <v>7566</v>
      </c>
      <c r="C179" s="363"/>
      <c r="D179" s="363" t="s">
        <v>241</v>
      </c>
      <c r="E179" s="364">
        <v>283.8</v>
      </c>
      <c r="F179" s="331">
        <f t="shared" si="6"/>
        <v>261.94740000000002</v>
      </c>
      <c r="G179" s="365"/>
      <c r="H179" s="344">
        <f t="shared" si="5"/>
        <v>261.94740000000002</v>
      </c>
      <c r="I179" s="358" t="s">
        <v>7508</v>
      </c>
      <c r="J179" s="371"/>
      <c r="K179" s="371"/>
      <c r="L179" s="371"/>
      <c r="M179" s="371"/>
      <c r="N179" s="371"/>
      <c r="O179" s="371"/>
      <c r="P179" s="371"/>
    </row>
    <row r="180" spans="1:17" s="367" customFormat="1" ht="22.8" x14ac:dyDescent="0.2">
      <c r="A180" s="505" t="s">
        <v>7567</v>
      </c>
      <c r="B180" s="363" t="s">
        <v>7568</v>
      </c>
      <c r="C180" s="363"/>
      <c r="D180" s="363" t="s">
        <v>241</v>
      </c>
      <c r="E180" s="364">
        <v>142</v>
      </c>
      <c r="F180" s="331">
        <f>E180*0.923</f>
        <v>131.066</v>
      </c>
      <c r="G180" s="365"/>
      <c r="H180" s="344">
        <f>IF(G180&gt;0,G180,F180)</f>
        <v>131.066</v>
      </c>
      <c r="I180" s="358" t="s">
        <v>7508</v>
      </c>
      <c r="J180" s="371"/>
      <c r="K180" s="371"/>
      <c r="L180" s="371"/>
      <c r="M180" s="371"/>
      <c r="N180" s="371"/>
      <c r="O180" s="371"/>
      <c r="P180" s="371"/>
    </row>
    <row r="181" spans="1:17" s="246" customFormat="1" x14ac:dyDescent="0.25">
      <c r="A181" s="498" t="s">
        <v>4722</v>
      </c>
      <c r="B181" s="382"/>
      <c r="C181" s="510"/>
      <c r="D181" s="382"/>
      <c r="E181" s="382"/>
      <c r="F181" s="331">
        <f t="shared" si="6"/>
        <v>0</v>
      </c>
      <c r="G181" s="382"/>
      <c r="H181" s="344">
        <f t="shared" si="5"/>
        <v>0</v>
      </c>
      <c r="I181" s="382"/>
      <c r="J181" s="260"/>
      <c r="K181" s="260"/>
      <c r="L181" s="260"/>
      <c r="M181" s="260"/>
      <c r="N181" s="260"/>
      <c r="O181" s="260"/>
      <c r="P181" s="260"/>
      <c r="Q181" s="260"/>
    </row>
    <row r="182" spans="1:17" s="360" customFormat="1" x14ac:dyDescent="0.25">
      <c r="A182" s="499"/>
      <c r="C182" s="511"/>
      <c r="F182" s="331">
        <f t="shared" si="6"/>
        <v>0</v>
      </c>
      <c r="H182" s="344">
        <f t="shared" si="5"/>
        <v>0</v>
      </c>
      <c r="J182" s="260"/>
      <c r="K182" s="260"/>
      <c r="L182" s="260"/>
      <c r="M182" s="260"/>
      <c r="N182" s="260"/>
      <c r="O182" s="260"/>
      <c r="P182" s="260"/>
      <c r="Q182" s="260"/>
    </row>
    <row r="183" spans="1:17" s="341" customFormat="1" ht="10.199999999999999" x14ac:dyDescent="0.2">
      <c r="A183" s="503">
        <v>312323132300</v>
      </c>
      <c r="B183" s="354" t="s">
        <v>7574</v>
      </c>
      <c r="C183" s="509">
        <v>1.0999999999999999E-2</v>
      </c>
      <c r="D183" s="355" t="s">
        <v>1183</v>
      </c>
      <c r="E183" s="355">
        <v>4.01</v>
      </c>
      <c r="F183" s="331">
        <f t="shared" si="6"/>
        <v>3.7012299999999998</v>
      </c>
      <c r="G183" s="493"/>
      <c r="H183" s="344">
        <f t="shared" si="5"/>
        <v>3.7012299999999998</v>
      </c>
      <c r="I183" s="358" t="s">
        <v>7508</v>
      </c>
      <c r="J183" s="373"/>
      <c r="K183" s="373"/>
      <c r="L183" s="373"/>
      <c r="M183" s="373"/>
      <c r="N183" s="373"/>
      <c r="O183" s="373"/>
      <c r="P183" s="373"/>
    </row>
    <row r="184" spans="1:17" s="341" customFormat="1" ht="20.399999999999999" x14ac:dyDescent="0.2">
      <c r="A184" s="506" t="s">
        <v>7569</v>
      </c>
      <c r="B184" s="354" t="s">
        <v>7570</v>
      </c>
      <c r="C184" s="509"/>
      <c r="D184" s="355" t="s">
        <v>241</v>
      </c>
      <c r="E184" s="355">
        <v>171.6</v>
      </c>
      <c r="F184" s="331">
        <f t="shared" si="6"/>
        <v>158.38679999999999</v>
      </c>
      <c r="G184" s="493"/>
      <c r="H184" s="344">
        <f t="shared" si="5"/>
        <v>158.38679999999999</v>
      </c>
      <c r="I184" s="358" t="s">
        <v>7508</v>
      </c>
      <c r="J184" s="373"/>
      <c r="K184" s="373"/>
      <c r="L184" s="373"/>
      <c r="M184" s="373"/>
      <c r="N184" s="373"/>
      <c r="O184" s="373"/>
      <c r="P184" s="373"/>
    </row>
    <row r="185" spans="1:17" s="341" customFormat="1" ht="20.399999999999999" x14ac:dyDescent="0.2">
      <c r="A185" s="491" t="s">
        <v>7571</v>
      </c>
      <c r="B185" s="354" t="s">
        <v>7572</v>
      </c>
      <c r="C185" s="509"/>
      <c r="D185" s="355" t="s">
        <v>1182</v>
      </c>
      <c r="E185" s="355">
        <v>80.56</v>
      </c>
      <c r="F185" s="331">
        <f t="shared" si="6"/>
        <v>74.356880000000004</v>
      </c>
      <c r="G185" s="493"/>
      <c r="H185" s="344">
        <f t="shared" si="5"/>
        <v>74.356880000000004</v>
      </c>
      <c r="I185" s="358" t="s">
        <v>7508</v>
      </c>
      <c r="J185" s="373"/>
      <c r="K185" s="373"/>
      <c r="L185" s="373"/>
      <c r="M185" s="373"/>
      <c r="N185" s="373"/>
      <c r="O185" s="373"/>
      <c r="P185" s="373"/>
    </row>
    <row r="186" spans="1:17" s="341" customFormat="1" ht="20.399999999999999" x14ac:dyDescent="0.2">
      <c r="A186" s="491">
        <v>312323130400</v>
      </c>
      <c r="B186" s="354" t="s">
        <v>7573</v>
      </c>
      <c r="C186" s="509">
        <v>0.84699999999999998</v>
      </c>
      <c r="D186" s="355" t="s">
        <v>1183</v>
      </c>
      <c r="E186" s="355">
        <v>49.2</v>
      </c>
      <c r="F186" s="331">
        <f t="shared" si="6"/>
        <v>45.411600000000007</v>
      </c>
      <c r="G186" s="493"/>
      <c r="H186" s="344">
        <f t="shared" si="5"/>
        <v>45.411600000000007</v>
      </c>
      <c r="I186" s="358" t="s">
        <v>7508</v>
      </c>
      <c r="J186" s="373"/>
      <c r="K186" s="373"/>
      <c r="L186" s="373"/>
      <c r="M186" s="373"/>
      <c r="N186" s="373"/>
      <c r="O186" s="373"/>
      <c r="P186" s="373"/>
    </row>
    <row r="187" spans="1:17" s="341" customFormat="1" ht="10.199999999999999" x14ac:dyDescent="0.2">
      <c r="A187" s="491"/>
      <c r="B187" s="354"/>
      <c r="C187" s="509"/>
      <c r="D187" s="355"/>
      <c r="E187" s="355"/>
      <c r="F187" s="331">
        <f t="shared" si="6"/>
        <v>0</v>
      </c>
      <c r="G187" s="493"/>
      <c r="H187" s="344">
        <f t="shared" si="5"/>
        <v>0</v>
      </c>
      <c r="I187" s="358"/>
      <c r="J187" s="373"/>
      <c r="K187" s="373"/>
      <c r="L187" s="373"/>
      <c r="M187" s="373"/>
      <c r="N187" s="373"/>
      <c r="O187" s="373"/>
      <c r="P187" s="373"/>
    </row>
    <row r="188" spans="1:17" x14ac:dyDescent="0.25">
      <c r="A188" s="500" t="s">
        <v>4026</v>
      </c>
      <c r="B188" s="325" t="s">
        <v>1571</v>
      </c>
      <c r="C188" s="312">
        <v>1.4999999999999999E-2</v>
      </c>
      <c r="D188" s="312" t="s">
        <v>1802</v>
      </c>
      <c r="E188" s="329">
        <v>1.61</v>
      </c>
      <c r="F188" s="331">
        <f t="shared" si="6"/>
        <v>1.4860300000000002</v>
      </c>
      <c r="G188" s="357"/>
      <c r="H188" s="344">
        <f t="shared" si="5"/>
        <v>1.4860300000000002</v>
      </c>
      <c r="I188" s="358" t="s">
        <v>7508</v>
      </c>
    </row>
    <row r="189" spans="1:17" ht="20.399999999999999" x14ac:dyDescent="0.25">
      <c r="A189" s="500" t="s">
        <v>4023</v>
      </c>
      <c r="B189" s="325" t="s">
        <v>4024</v>
      </c>
      <c r="C189" s="312">
        <v>8.0000000000000002E-3</v>
      </c>
      <c r="D189" s="312" t="s">
        <v>1802</v>
      </c>
      <c r="E189" s="329">
        <v>0.84</v>
      </c>
      <c r="F189" s="331">
        <f t="shared" si="6"/>
        <v>0.77532000000000001</v>
      </c>
      <c r="G189" s="357"/>
      <c r="H189" s="344">
        <f t="shared" si="5"/>
        <v>0.77532000000000001</v>
      </c>
      <c r="I189" s="358" t="s">
        <v>7508</v>
      </c>
    </row>
    <row r="190" spans="1:17" x14ac:dyDescent="0.25">
      <c r="A190" s="500" t="s">
        <v>4033</v>
      </c>
      <c r="B190" s="325" t="s">
        <v>1573</v>
      </c>
      <c r="C190" s="312">
        <v>4</v>
      </c>
      <c r="D190" s="312" t="s">
        <v>2108</v>
      </c>
      <c r="E190" s="329">
        <v>415</v>
      </c>
      <c r="F190" s="331">
        <f t="shared" si="6"/>
        <v>383.04500000000002</v>
      </c>
      <c r="G190" s="357"/>
      <c r="H190" s="344">
        <f t="shared" si="5"/>
        <v>383.04500000000002</v>
      </c>
      <c r="I190" s="358" t="s">
        <v>7508</v>
      </c>
    </row>
    <row r="191" spans="1:17" x14ac:dyDescent="0.25">
      <c r="A191" s="491"/>
      <c r="B191" s="354" t="s">
        <v>3290</v>
      </c>
      <c r="C191" s="509"/>
      <c r="D191" s="355" t="s">
        <v>4664</v>
      </c>
      <c r="E191" s="355"/>
      <c r="F191" s="331">
        <v>45</v>
      </c>
      <c r="G191" s="357"/>
      <c r="H191" s="344">
        <f t="shared" si="5"/>
        <v>45</v>
      </c>
      <c r="I191" s="358" t="s">
        <v>7517</v>
      </c>
    </row>
    <row r="192" spans="1:17" ht="22.2" customHeight="1" x14ac:dyDescent="0.25">
      <c r="A192" s="503" t="s">
        <v>7580</v>
      </c>
      <c r="B192" s="354" t="s">
        <v>7581</v>
      </c>
      <c r="C192" s="509"/>
      <c r="D192" s="355" t="s">
        <v>4664</v>
      </c>
      <c r="E192" s="355">
        <v>115.32</v>
      </c>
      <c r="F192" s="331">
        <f t="shared" si="6"/>
        <v>106.44036</v>
      </c>
      <c r="G192" s="357"/>
      <c r="H192" s="344">
        <f t="shared" si="5"/>
        <v>106.44036</v>
      </c>
      <c r="I192" s="358" t="s">
        <v>7508</v>
      </c>
    </row>
    <row r="193" spans="1:9" x14ac:dyDescent="0.25">
      <c r="A193" s="503">
        <v>312316462020</v>
      </c>
      <c r="B193" s="354" t="s">
        <v>7584</v>
      </c>
      <c r="C193" s="509">
        <v>0.03</v>
      </c>
      <c r="D193" s="355" t="s">
        <v>2840</v>
      </c>
      <c r="E193" s="355">
        <v>3.16</v>
      </c>
      <c r="F193" s="331">
        <f t="shared" si="6"/>
        <v>2.9166800000000004</v>
      </c>
      <c r="G193" s="357"/>
      <c r="H193" s="344">
        <f t="shared" si="5"/>
        <v>2.9166800000000004</v>
      </c>
      <c r="I193" s="358" t="s">
        <v>7508</v>
      </c>
    </row>
    <row r="194" spans="1:9" x14ac:dyDescent="0.25">
      <c r="A194" s="491">
        <v>312323240600</v>
      </c>
      <c r="B194" s="354" t="s">
        <v>4602</v>
      </c>
      <c r="C194" s="509"/>
      <c r="D194" s="355" t="s">
        <v>1802</v>
      </c>
      <c r="E194" s="355">
        <v>2.34</v>
      </c>
      <c r="F194" s="331">
        <f t="shared" si="6"/>
        <v>2.1598199999999999</v>
      </c>
      <c r="G194" s="357"/>
      <c r="H194" s="344">
        <f t="shared" si="5"/>
        <v>2.1598199999999999</v>
      </c>
      <c r="I194" s="358" t="s">
        <v>7508</v>
      </c>
    </row>
    <row r="195" spans="1:9" ht="20.399999999999999" x14ac:dyDescent="0.25">
      <c r="A195" s="501" t="s">
        <v>4261</v>
      </c>
      <c r="B195" s="495" t="s">
        <v>4262</v>
      </c>
      <c r="C195" s="494">
        <v>7.0999999999999994E-2</v>
      </c>
      <c r="D195" s="494" t="s">
        <v>2840</v>
      </c>
      <c r="E195" s="496">
        <v>4.6500000000000004</v>
      </c>
      <c r="F195" s="331">
        <f t="shared" si="6"/>
        <v>4.2919500000000008</v>
      </c>
      <c r="G195" s="357"/>
      <c r="H195" s="344">
        <f t="shared" si="5"/>
        <v>4.2919500000000008</v>
      </c>
      <c r="I195" s="358" t="s">
        <v>7508</v>
      </c>
    </row>
    <row r="196" spans="1:9" x14ac:dyDescent="0.25">
      <c r="A196" s="491">
        <v>329113160600</v>
      </c>
      <c r="B196" s="354" t="s">
        <v>7585</v>
      </c>
      <c r="C196" s="509">
        <v>1.7000000000000001E-2</v>
      </c>
      <c r="D196" s="355" t="s">
        <v>1802</v>
      </c>
      <c r="E196" s="355">
        <v>1.48</v>
      </c>
      <c r="F196" s="331">
        <f t="shared" si="6"/>
        <v>1.3660400000000001</v>
      </c>
      <c r="G196" s="357"/>
      <c r="H196" s="344">
        <f t="shared" si="5"/>
        <v>1.3660400000000001</v>
      </c>
      <c r="I196" s="358" t="s">
        <v>7508</v>
      </c>
    </row>
    <row r="197" spans="1:9" ht="20.399999999999999" x14ac:dyDescent="0.25">
      <c r="A197" s="491"/>
      <c r="B197" s="354" t="s">
        <v>7578</v>
      </c>
      <c r="C197" s="509"/>
      <c r="D197" s="355" t="s">
        <v>7577</v>
      </c>
      <c r="E197" s="355"/>
      <c r="F197" s="331">
        <v>45</v>
      </c>
      <c r="G197" s="357"/>
      <c r="H197" s="344"/>
      <c r="I197" s="358" t="s">
        <v>7517</v>
      </c>
    </row>
    <row r="198" spans="1:9" x14ac:dyDescent="0.25">
      <c r="A198" s="503">
        <v>311313100500</v>
      </c>
      <c r="B198" s="354" t="s">
        <v>7576</v>
      </c>
      <c r="C198" s="509"/>
      <c r="D198" s="355" t="s">
        <v>2376</v>
      </c>
      <c r="E198" s="355">
        <v>237</v>
      </c>
      <c r="F198" s="331">
        <f t="shared" si="6"/>
        <v>218.751</v>
      </c>
      <c r="G198" s="357"/>
      <c r="H198" s="344">
        <f t="shared" si="5"/>
        <v>218.751</v>
      </c>
      <c r="I198" s="358" t="s">
        <v>7508</v>
      </c>
    </row>
    <row r="199" spans="1:9" x14ac:dyDescent="0.25">
      <c r="A199" s="491"/>
      <c r="B199" s="354" t="s">
        <v>4604</v>
      </c>
      <c r="C199" s="509"/>
      <c r="D199" s="355" t="s">
        <v>4664</v>
      </c>
      <c r="E199" s="355"/>
      <c r="F199" s="331">
        <f t="shared" si="6"/>
        <v>0</v>
      </c>
      <c r="G199" s="357">
        <v>35</v>
      </c>
      <c r="H199" s="344">
        <f t="shared" si="5"/>
        <v>35</v>
      </c>
      <c r="I199" s="345" t="s">
        <v>4624</v>
      </c>
    </row>
    <row r="200" spans="1:9" x14ac:dyDescent="0.25">
      <c r="A200" s="503" t="s">
        <v>7575</v>
      </c>
      <c r="B200" s="354" t="s">
        <v>4605</v>
      </c>
      <c r="C200" s="509"/>
      <c r="D200" s="355" t="s">
        <v>4664</v>
      </c>
      <c r="E200" s="355">
        <v>217.29</v>
      </c>
      <c r="F200" s="331">
        <f t="shared" si="6"/>
        <v>200.55867000000001</v>
      </c>
      <c r="G200" s="493"/>
      <c r="H200" s="344">
        <f t="shared" si="5"/>
        <v>200.55867000000001</v>
      </c>
      <c r="I200" s="358" t="s">
        <v>7508</v>
      </c>
    </row>
    <row r="201" spans="1:9" x14ac:dyDescent="0.25">
      <c r="A201" s="491"/>
      <c r="B201" s="354" t="s">
        <v>7522</v>
      </c>
      <c r="C201" s="509"/>
      <c r="D201" s="355" t="s">
        <v>241</v>
      </c>
      <c r="E201" s="355"/>
      <c r="F201" s="331">
        <v>130</v>
      </c>
      <c r="G201" s="493"/>
      <c r="H201" s="344">
        <f t="shared" si="5"/>
        <v>130</v>
      </c>
      <c r="I201" s="358" t="s">
        <v>7517</v>
      </c>
    </row>
    <row r="202" spans="1:9" x14ac:dyDescent="0.25">
      <c r="A202" s="501" t="s">
        <v>4371</v>
      </c>
      <c r="B202" s="495" t="s">
        <v>4691</v>
      </c>
      <c r="C202" s="494"/>
      <c r="D202" s="494" t="s">
        <v>241</v>
      </c>
      <c r="E202" s="496">
        <v>159.6</v>
      </c>
      <c r="F202" s="331">
        <f t="shared" si="6"/>
        <v>147.3108</v>
      </c>
      <c r="G202" s="357"/>
      <c r="H202" s="344">
        <f t="shared" si="5"/>
        <v>147.3108</v>
      </c>
      <c r="I202" s="358" t="s">
        <v>7508</v>
      </c>
    </row>
    <row r="203" spans="1:9" x14ac:dyDescent="0.25">
      <c r="A203" s="501" t="s">
        <v>4245</v>
      </c>
      <c r="B203" s="495" t="s">
        <v>4246</v>
      </c>
      <c r="C203" s="494">
        <v>2.9630000000000001</v>
      </c>
      <c r="D203" s="494" t="s">
        <v>2108</v>
      </c>
      <c r="E203" s="496">
        <v>535</v>
      </c>
      <c r="F203" s="331">
        <f t="shared" si="6"/>
        <v>493.80500000000001</v>
      </c>
      <c r="G203" s="357"/>
      <c r="H203" s="344">
        <f t="shared" si="5"/>
        <v>493.80500000000001</v>
      </c>
      <c r="I203" s="358" t="s">
        <v>7508</v>
      </c>
    </row>
    <row r="204" spans="1:9" x14ac:dyDescent="0.25">
      <c r="A204" s="501" t="s">
        <v>4250</v>
      </c>
      <c r="B204" s="495" t="s">
        <v>4251</v>
      </c>
      <c r="C204" s="494">
        <v>8.8999999999999996E-2</v>
      </c>
      <c r="D204" s="494" t="s">
        <v>2108</v>
      </c>
      <c r="E204" s="496">
        <v>47.5</v>
      </c>
      <c r="F204" s="331">
        <f t="shared" si="6"/>
        <v>43.842500000000001</v>
      </c>
      <c r="G204" s="357"/>
      <c r="H204" s="344">
        <f t="shared" si="5"/>
        <v>43.842500000000001</v>
      </c>
      <c r="I204" s="358" t="s">
        <v>7508</v>
      </c>
    </row>
    <row r="205" spans="1:9" x14ac:dyDescent="0.25">
      <c r="A205" s="501" t="s">
        <v>4255</v>
      </c>
      <c r="B205" s="495" t="s">
        <v>1889</v>
      </c>
      <c r="C205" s="494">
        <v>8.8999999999999996E-2</v>
      </c>
      <c r="D205" s="494" t="s">
        <v>2108</v>
      </c>
      <c r="E205" s="496">
        <v>70.5</v>
      </c>
      <c r="F205" s="331">
        <f t="shared" si="6"/>
        <v>65.0715</v>
      </c>
      <c r="G205" s="357"/>
      <c r="H205" s="344">
        <f t="shared" ref="H205:H212" si="7">IF(G205&gt;0,G205,F205)</f>
        <v>65.0715</v>
      </c>
      <c r="I205" s="358" t="s">
        <v>7508</v>
      </c>
    </row>
    <row r="206" spans="1:9" x14ac:dyDescent="0.25">
      <c r="A206" s="500" t="s">
        <v>4259</v>
      </c>
      <c r="B206" s="325" t="s">
        <v>1891</v>
      </c>
      <c r="C206" s="312">
        <v>1.97</v>
      </c>
      <c r="D206" s="312" t="s">
        <v>2108</v>
      </c>
      <c r="E206" s="329">
        <v>335</v>
      </c>
      <c r="F206" s="331">
        <f t="shared" si="6"/>
        <v>309.20500000000004</v>
      </c>
      <c r="G206" s="357"/>
      <c r="H206" s="344">
        <f t="shared" si="7"/>
        <v>309.20500000000004</v>
      </c>
      <c r="I206" s="358" t="s">
        <v>7508</v>
      </c>
    </row>
    <row r="207" spans="1:9" x14ac:dyDescent="0.25">
      <c r="A207" s="500" t="s">
        <v>3477</v>
      </c>
      <c r="B207" s="325" t="s">
        <v>3478</v>
      </c>
      <c r="C207" s="312">
        <v>0.8</v>
      </c>
      <c r="D207" s="312" t="s">
        <v>2840</v>
      </c>
      <c r="E207" s="329">
        <v>69.5</v>
      </c>
      <c r="F207" s="331">
        <f t="shared" si="6"/>
        <v>64.148499999999999</v>
      </c>
      <c r="G207" s="357"/>
      <c r="H207" s="344">
        <f t="shared" si="7"/>
        <v>64.148499999999999</v>
      </c>
      <c r="I207" s="358" t="s">
        <v>7508</v>
      </c>
    </row>
    <row r="208" spans="1:9" x14ac:dyDescent="0.25">
      <c r="A208" s="500" t="s">
        <v>3474</v>
      </c>
      <c r="B208" s="325" t="s">
        <v>3475</v>
      </c>
      <c r="C208" s="312">
        <v>0.57099999999999995</v>
      </c>
      <c r="D208" s="312" t="s">
        <v>2840</v>
      </c>
      <c r="E208" s="329">
        <v>50</v>
      </c>
      <c r="F208" s="331">
        <f t="shared" si="6"/>
        <v>46.150000000000006</v>
      </c>
      <c r="G208" s="357"/>
      <c r="H208" s="344">
        <f t="shared" si="7"/>
        <v>46.150000000000006</v>
      </c>
      <c r="I208" s="358" t="s">
        <v>7508</v>
      </c>
    </row>
    <row r="209" spans="1:16" x14ac:dyDescent="0.25">
      <c r="A209" s="500" t="s">
        <v>4360</v>
      </c>
      <c r="B209" s="325" t="s">
        <v>4692</v>
      </c>
      <c r="C209" s="312"/>
      <c r="D209" s="312" t="s">
        <v>241</v>
      </c>
      <c r="E209" s="329">
        <v>32.200000000000003</v>
      </c>
      <c r="F209" s="331">
        <f t="shared" si="6"/>
        <v>29.720600000000005</v>
      </c>
      <c r="G209" s="357"/>
      <c r="H209" s="344">
        <f t="shared" si="7"/>
        <v>29.720600000000005</v>
      </c>
      <c r="I209" s="358" t="s">
        <v>7508</v>
      </c>
    </row>
    <row r="210" spans="1:16" ht="20.399999999999999" x14ac:dyDescent="0.25">
      <c r="A210" s="500" t="s">
        <v>3617</v>
      </c>
      <c r="B210" s="325" t="s">
        <v>680</v>
      </c>
      <c r="C210" s="312">
        <v>1</v>
      </c>
      <c r="D210" s="312" t="s">
        <v>1182</v>
      </c>
      <c r="E210" s="329">
        <v>89</v>
      </c>
      <c r="F210" s="331">
        <f t="shared" si="6"/>
        <v>82.147000000000006</v>
      </c>
      <c r="G210" s="357"/>
      <c r="H210" s="344">
        <f t="shared" si="7"/>
        <v>82.147000000000006</v>
      </c>
      <c r="I210" s="358" t="s">
        <v>4659</v>
      </c>
    </row>
    <row r="211" spans="1:16" x14ac:dyDescent="0.25">
      <c r="A211" s="488"/>
      <c r="B211" s="342" t="s">
        <v>4623</v>
      </c>
      <c r="C211" s="512"/>
      <c r="D211" s="343" t="s">
        <v>2016</v>
      </c>
      <c r="E211" s="343"/>
      <c r="F211" s="331">
        <f t="shared" si="6"/>
        <v>0</v>
      </c>
      <c r="G211" s="344">
        <v>42</v>
      </c>
      <c r="H211" s="344">
        <f t="shared" si="7"/>
        <v>42</v>
      </c>
      <c r="I211" s="345" t="s">
        <v>4633</v>
      </c>
    </row>
    <row r="212" spans="1:16" x14ac:dyDescent="0.25">
      <c r="A212" s="488"/>
      <c r="B212" s="342" t="s">
        <v>4623</v>
      </c>
      <c r="C212" s="512"/>
      <c r="D212" s="343" t="s">
        <v>2016</v>
      </c>
      <c r="E212" s="343"/>
      <c r="F212" s="331">
        <f t="shared" si="6"/>
        <v>0</v>
      </c>
      <c r="G212" s="351">
        <v>42</v>
      </c>
      <c r="H212" s="344">
        <f t="shared" si="7"/>
        <v>42</v>
      </c>
      <c r="I212" s="345" t="s">
        <v>4537</v>
      </c>
    </row>
    <row r="213" spans="1:16" s="368" customFormat="1" ht="10.199999999999999" x14ac:dyDescent="0.2">
      <c r="A213" s="491"/>
      <c r="B213" s="354"/>
      <c r="C213" s="509"/>
      <c r="D213" s="355"/>
      <c r="E213" s="355"/>
      <c r="G213" s="357"/>
      <c r="I213" s="358"/>
      <c r="J213" s="373"/>
      <c r="K213" s="373"/>
      <c r="L213" s="373"/>
      <c r="M213" s="373"/>
      <c r="N213" s="373"/>
      <c r="O213" s="373"/>
      <c r="P213" s="373"/>
    </row>
  </sheetData>
  <sortState ref="A4:O187">
    <sortCondition ref="B4"/>
  </sortState>
  <mergeCells count="6">
    <mergeCell ref="F1:F2"/>
    <mergeCell ref="A1:A2"/>
    <mergeCell ref="B1:B2"/>
    <mergeCell ref="C1:C2"/>
    <mergeCell ref="D1:D2"/>
    <mergeCell ref="E1:E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Q18"/>
  <sheetViews>
    <sheetView zoomScale="90" zoomScaleNormal="90" workbookViewId="0">
      <pane ySplit="2" topLeftCell="A3" activePane="bottomLeft" state="frozen"/>
      <selection pane="bottomLeft" activeCell="B10" sqref="B10"/>
    </sheetView>
  </sheetViews>
  <sheetFormatPr defaultRowHeight="13.2" x14ac:dyDescent="0.25"/>
  <cols>
    <col min="1" max="1" width="14" customWidth="1"/>
    <col min="2" max="2" width="45.88671875" customWidth="1"/>
    <col min="3" max="3" width="12.44140625" customWidth="1"/>
    <col min="5" max="5" width="10.109375" style="360" customWidth="1"/>
    <col min="6" max="6" width="10.88671875" customWidth="1"/>
    <col min="9" max="9" width="38.33203125" customWidth="1"/>
    <col min="10" max="16" width="9.109375" style="90"/>
  </cols>
  <sheetData>
    <row r="1" spans="1:17" s="347" customFormat="1" ht="15" customHeight="1" x14ac:dyDescent="0.2">
      <c r="A1" s="561" t="s">
        <v>4400</v>
      </c>
      <c r="B1" s="563" t="s">
        <v>4401</v>
      </c>
      <c r="C1" s="559" t="s">
        <v>4402</v>
      </c>
      <c r="D1" s="563" t="s">
        <v>2372</v>
      </c>
      <c r="E1" s="559" t="s">
        <v>4663</v>
      </c>
      <c r="F1" s="559" t="s">
        <v>4403</v>
      </c>
      <c r="J1" s="372"/>
      <c r="K1" s="372"/>
      <c r="L1" s="372"/>
      <c r="M1" s="372"/>
      <c r="N1" s="372"/>
      <c r="O1" s="372"/>
      <c r="P1" s="372"/>
    </row>
    <row r="2" spans="1:17" s="350" customFormat="1" ht="23.4" thickBot="1" x14ac:dyDescent="0.25">
      <c r="A2" s="562"/>
      <c r="B2" s="564"/>
      <c r="C2" s="560"/>
      <c r="D2" s="564"/>
      <c r="E2" s="560"/>
      <c r="F2" s="560"/>
      <c r="G2" s="348" t="s">
        <v>4404</v>
      </c>
      <c r="H2" s="348" t="s">
        <v>1048</v>
      </c>
      <c r="I2" s="349" t="s">
        <v>4405</v>
      </c>
      <c r="J2" s="371"/>
      <c r="K2" s="371"/>
      <c r="L2" s="371"/>
      <c r="M2" s="371"/>
      <c r="N2" s="371"/>
      <c r="O2" s="371"/>
      <c r="P2" s="371"/>
    </row>
    <row r="3" spans="1:17" s="367" customFormat="1" ht="11.4" x14ac:dyDescent="0.2">
      <c r="J3" s="371"/>
      <c r="K3" s="371"/>
      <c r="L3" s="371"/>
      <c r="M3" s="371"/>
      <c r="N3" s="371"/>
      <c r="O3" s="371"/>
      <c r="P3" s="371"/>
    </row>
    <row r="4" spans="1:17" s="360" customFormat="1" x14ac:dyDescent="0.25">
      <c r="A4" s="341"/>
      <c r="B4" s="342" t="s">
        <v>4634</v>
      </c>
      <c r="C4" s="341"/>
      <c r="D4" s="343" t="s">
        <v>2265</v>
      </c>
      <c r="E4" s="343"/>
      <c r="F4" s="341"/>
      <c r="G4" s="352">
        <v>44.8</v>
      </c>
      <c r="H4" s="344">
        <f t="shared" ref="H4:H14" si="0">IF(G4&gt;0,G4,F4)</f>
        <v>44.8</v>
      </c>
      <c r="I4" s="346" t="s">
        <v>4636</v>
      </c>
      <c r="J4" s="260"/>
      <c r="K4" s="260"/>
      <c r="L4" s="260"/>
      <c r="M4" s="260"/>
      <c r="N4" s="260"/>
      <c r="O4" s="260"/>
      <c r="P4" s="260"/>
      <c r="Q4" s="260"/>
    </row>
    <row r="5" spans="1:17" s="341" customFormat="1" ht="12.75" customHeight="1" x14ac:dyDescent="0.2">
      <c r="A5" s="341">
        <v>154362500</v>
      </c>
      <c r="B5" s="342" t="s">
        <v>7533</v>
      </c>
      <c r="D5" s="343" t="s">
        <v>2265</v>
      </c>
      <c r="E5" s="343"/>
      <c r="F5" s="331">
        <v>0</v>
      </c>
      <c r="G5" s="352"/>
      <c r="H5" s="344">
        <f t="shared" si="0"/>
        <v>0</v>
      </c>
      <c r="I5" s="358" t="s">
        <v>7512</v>
      </c>
      <c r="J5" s="373"/>
      <c r="K5" s="373"/>
      <c r="L5" s="373"/>
      <c r="M5" s="373"/>
      <c r="N5" s="373"/>
      <c r="O5" s="373"/>
      <c r="P5" s="373"/>
    </row>
    <row r="6" spans="1:17" s="341" customFormat="1" ht="10.199999999999999" x14ac:dyDescent="0.2">
      <c r="B6" s="342" t="s">
        <v>4635</v>
      </c>
      <c r="D6" s="343" t="s">
        <v>2265</v>
      </c>
      <c r="E6" s="343"/>
      <c r="G6" s="353"/>
      <c r="H6" s="344">
        <f t="shared" si="0"/>
        <v>0</v>
      </c>
      <c r="I6" s="353"/>
      <c r="J6" s="373"/>
      <c r="K6" s="373"/>
      <c r="L6" s="373"/>
      <c r="M6" s="373"/>
      <c r="N6" s="373"/>
      <c r="O6" s="373"/>
      <c r="P6" s="373"/>
    </row>
    <row r="7" spans="1:17" s="341" customFormat="1" ht="20.399999999999999" x14ac:dyDescent="0.2">
      <c r="A7" s="312" t="s">
        <v>3462</v>
      </c>
      <c r="B7" s="325" t="s">
        <v>7529</v>
      </c>
      <c r="C7" s="312">
        <v>2</v>
      </c>
      <c r="D7" s="312" t="s">
        <v>2265</v>
      </c>
      <c r="E7" s="329">
        <v>246</v>
      </c>
      <c r="F7" s="331">
        <f>E7*0.923</f>
        <v>227.05800000000002</v>
      </c>
      <c r="G7" s="370"/>
      <c r="H7" s="344">
        <f t="shared" si="0"/>
        <v>227.05800000000002</v>
      </c>
      <c r="I7" s="358" t="s">
        <v>7512</v>
      </c>
      <c r="J7" s="373"/>
      <c r="K7" s="373"/>
      <c r="L7" s="373"/>
      <c r="M7" s="373"/>
      <c r="N7" s="373"/>
      <c r="O7" s="373"/>
      <c r="P7" s="373"/>
    </row>
    <row r="8" spans="1:17" s="341" customFormat="1" ht="20.399999999999999" x14ac:dyDescent="0.2">
      <c r="A8" s="312" t="s">
        <v>3464</v>
      </c>
      <c r="B8" s="325" t="s">
        <v>7530</v>
      </c>
      <c r="C8" s="312">
        <v>2.6669999999999998</v>
      </c>
      <c r="D8" s="312" t="s">
        <v>2265</v>
      </c>
      <c r="E8" s="329">
        <v>455</v>
      </c>
      <c r="F8" s="331">
        <f>E8*0.923</f>
        <v>419.96500000000003</v>
      </c>
      <c r="G8" s="370"/>
      <c r="H8" s="344">
        <f t="shared" si="0"/>
        <v>419.96500000000003</v>
      </c>
      <c r="I8" s="358" t="s">
        <v>7512</v>
      </c>
      <c r="J8" s="373"/>
      <c r="K8" s="373"/>
      <c r="L8" s="373"/>
      <c r="M8" s="373"/>
      <c r="N8" s="373"/>
      <c r="O8" s="373"/>
      <c r="P8" s="373"/>
    </row>
    <row r="9" spans="1:17" s="341" customFormat="1" ht="20.399999999999999" x14ac:dyDescent="0.2">
      <c r="A9" s="312" t="s">
        <v>3471</v>
      </c>
      <c r="B9" s="325" t="s">
        <v>7527</v>
      </c>
      <c r="C9" s="312">
        <v>2</v>
      </c>
      <c r="D9" s="312" t="s">
        <v>2265</v>
      </c>
      <c r="E9" s="329">
        <v>172</v>
      </c>
      <c r="F9" s="331">
        <f>E9*0.923</f>
        <v>158.756</v>
      </c>
      <c r="G9" s="370"/>
      <c r="H9" s="344">
        <f t="shared" si="0"/>
        <v>158.756</v>
      </c>
      <c r="I9" s="358" t="s">
        <v>7512</v>
      </c>
      <c r="J9" s="373"/>
      <c r="K9" s="373"/>
      <c r="L9" s="373"/>
      <c r="M9" s="373"/>
      <c r="N9" s="373"/>
      <c r="O9" s="373"/>
      <c r="P9" s="373"/>
    </row>
    <row r="10" spans="1:17" s="341" customFormat="1" ht="20.399999999999999" x14ac:dyDescent="0.2">
      <c r="A10" s="312" t="s">
        <v>3468</v>
      </c>
      <c r="B10" s="325" t="s">
        <v>7528</v>
      </c>
      <c r="C10" s="312">
        <v>1</v>
      </c>
      <c r="D10" s="312" t="s">
        <v>2265</v>
      </c>
      <c r="E10" s="329">
        <v>71</v>
      </c>
      <c r="F10" s="331">
        <f>E10*0.923</f>
        <v>65.533000000000001</v>
      </c>
      <c r="G10" s="370"/>
      <c r="H10" s="344">
        <f t="shared" si="0"/>
        <v>65.533000000000001</v>
      </c>
      <c r="I10" s="358" t="s">
        <v>7512</v>
      </c>
      <c r="J10" s="373"/>
      <c r="K10" s="373"/>
      <c r="L10" s="373"/>
      <c r="M10" s="373"/>
      <c r="N10" s="373"/>
      <c r="O10" s="373"/>
      <c r="P10" s="373"/>
    </row>
    <row r="11" spans="1:17" s="341" customFormat="1" ht="12" customHeight="1" x14ac:dyDescent="0.2">
      <c r="B11" s="342" t="s">
        <v>4464</v>
      </c>
      <c r="D11" s="343" t="s">
        <v>2265</v>
      </c>
      <c r="E11" s="343"/>
      <c r="H11" s="344">
        <f t="shared" si="0"/>
        <v>0</v>
      </c>
      <c r="J11" s="373"/>
      <c r="K11" s="373"/>
      <c r="L11" s="373"/>
      <c r="M11" s="373"/>
      <c r="N11" s="373"/>
      <c r="O11" s="373"/>
      <c r="P11" s="373"/>
    </row>
    <row r="12" spans="1:17" x14ac:dyDescent="0.25">
      <c r="A12" s="341"/>
      <c r="B12" s="342" t="s">
        <v>4637</v>
      </c>
      <c r="C12" s="341"/>
      <c r="D12" s="343" t="s">
        <v>2265</v>
      </c>
      <c r="E12" s="343"/>
      <c r="F12" s="341"/>
      <c r="G12" s="341"/>
      <c r="H12" s="344">
        <f t="shared" si="0"/>
        <v>0</v>
      </c>
      <c r="I12" s="341"/>
    </row>
    <row r="13" spans="1:17" x14ac:dyDescent="0.25">
      <c r="A13" s="341">
        <v>15436501000</v>
      </c>
      <c r="B13" s="342" t="s">
        <v>7531</v>
      </c>
      <c r="C13" s="341">
        <v>3</v>
      </c>
      <c r="D13" s="343" t="s">
        <v>2265</v>
      </c>
      <c r="E13" s="343">
        <v>455</v>
      </c>
      <c r="F13" s="331">
        <f>E13*0.923</f>
        <v>419.96500000000003</v>
      </c>
      <c r="G13" s="352"/>
      <c r="H13" s="344">
        <f t="shared" si="0"/>
        <v>419.96500000000003</v>
      </c>
      <c r="I13" s="358" t="s">
        <v>7512</v>
      </c>
    </row>
    <row r="14" spans="1:17" x14ac:dyDescent="0.25">
      <c r="A14" s="341">
        <v>15436500900</v>
      </c>
      <c r="B14" s="342" t="s">
        <v>7532</v>
      </c>
      <c r="C14" s="341">
        <v>2.222</v>
      </c>
      <c r="D14" s="343" t="s">
        <v>2265</v>
      </c>
      <c r="E14" s="343">
        <v>380</v>
      </c>
      <c r="F14" s="331">
        <f>E14*0.923</f>
        <v>350.74</v>
      </c>
      <c r="G14" s="352"/>
      <c r="H14" s="344">
        <f t="shared" si="0"/>
        <v>350.74</v>
      </c>
      <c r="I14" s="358" t="s">
        <v>7512</v>
      </c>
    </row>
    <row r="15" spans="1:17" x14ac:dyDescent="0.25">
      <c r="A15" s="360"/>
      <c r="B15" s="360"/>
      <c r="C15" s="360"/>
      <c r="D15" s="360"/>
      <c r="F15" s="360"/>
      <c r="G15" s="360"/>
      <c r="H15" s="439"/>
      <c r="I15" s="360"/>
    </row>
    <row r="16" spans="1:17" x14ac:dyDescent="0.25">
      <c r="E16" s="355"/>
    </row>
    <row r="17" spans="5:5" x14ac:dyDescent="0.25">
      <c r="E17" s="355"/>
    </row>
    <row r="18" spans="5:5" x14ac:dyDescent="0.25">
      <c r="E18" s="355"/>
    </row>
  </sheetData>
  <sortState ref="A3:I15">
    <sortCondition ref="B3:B15"/>
  </sortState>
  <mergeCells count="6">
    <mergeCell ref="F1:F2"/>
    <mergeCell ref="A1:A2"/>
    <mergeCell ref="B1:B2"/>
    <mergeCell ref="C1:C2"/>
    <mergeCell ref="D1:D2"/>
    <mergeCell ref="E1:E2"/>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S38"/>
  <sheetViews>
    <sheetView zoomScale="90" zoomScaleNormal="90" workbookViewId="0">
      <pane ySplit="2" topLeftCell="A3" activePane="bottomLeft" state="frozen"/>
      <selection pane="bottomLeft" activeCell="B36" sqref="B36"/>
    </sheetView>
  </sheetViews>
  <sheetFormatPr defaultRowHeight="13.2" x14ac:dyDescent="0.25"/>
  <cols>
    <col min="1" max="1" width="15.109375" customWidth="1"/>
    <col min="2" max="2" width="49.77734375" customWidth="1"/>
    <col min="3" max="3" width="11" customWidth="1"/>
    <col min="5" max="5" width="10.109375" style="360" customWidth="1"/>
    <col min="6" max="6" width="11.88671875" customWidth="1"/>
    <col min="9" max="9" width="32.21875" customWidth="1"/>
    <col min="10" max="19" width="9.109375" style="90"/>
  </cols>
  <sheetData>
    <row r="1" spans="1:19" s="347" customFormat="1" ht="15" customHeight="1" x14ac:dyDescent="0.2">
      <c r="A1" s="561" t="s">
        <v>4400</v>
      </c>
      <c r="B1" s="563" t="s">
        <v>4401</v>
      </c>
      <c r="C1" s="559" t="s">
        <v>4402</v>
      </c>
      <c r="D1" s="563" t="s">
        <v>2372</v>
      </c>
      <c r="E1" s="559" t="s">
        <v>4663</v>
      </c>
      <c r="F1" s="559" t="s">
        <v>4403</v>
      </c>
      <c r="J1" s="372"/>
      <c r="K1" s="372"/>
      <c r="L1" s="372"/>
      <c r="M1" s="372"/>
      <c r="N1" s="372"/>
      <c r="O1" s="372"/>
      <c r="P1" s="372"/>
      <c r="Q1" s="372"/>
      <c r="R1" s="372"/>
      <c r="S1" s="372"/>
    </row>
    <row r="2" spans="1:19" s="350" customFormat="1" ht="23.4" thickBot="1" x14ac:dyDescent="0.25">
      <c r="A2" s="562"/>
      <c r="B2" s="564"/>
      <c r="C2" s="560"/>
      <c r="D2" s="564"/>
      <c r="E2" s="560"/>
      <c r="F2" s="560"/>
      <c r="G2" s="348" t="s">
        <v>4404</v>
      </c>
      <c r="H2" s="348" t="s">
        <v>1048</v>
      </c>
      <c r="I2" s="349" t="s">
        <v>4405</v>
      </c>
      <c r="J2" s="371"/>
      <c r="K2" s="371"/>
      <c r="L2" s="371"/>
      <c r="M2" s="371"/>
      <c r="N2" s="371"/>
      <c r="O2" s="371"/>
      <c r="P2" s="371"/>
      <c r="Q2" s="371"/>
      <c r="R2" s="371"/>
      <c r="S2" s="371"/>
    </row>
    <row r="3" spans="1:19" s="367" customFormat="1" ht="11.4" x14ac:dyDescent="0.2">
      <c r="A3" s="362"/>
      <c r="B3" s="363"/>
      <c r="C3" s="364"/>
      <c r="D3" s="363"/>
      <c r="E3" s="364"/>
      <c r="F3" s="364"/>
      <c r="G3" s="365"/>
      <c r="H3" s="365"/>
      <c r="I3" s="369" t="s">
        <v>7509</v>
      </c>
      <c r="J3" s="371"/>
      <c r="K3" s="371"/>
      <c r="L3" s="371"/>
      <c r="M3" s="371"/>
      <c r="N3" s="371"/>
      <c r="O3" s="371"/>
      <c r="P3" s="371"/>
      <c r="Q3" s="371"/>
      <c r="R3" s="371"/>
      <c r="S3" s="371"/>
    </row>
    <row r="4" spans="1:19" s="360" customFormat="1" x14ac:dyDescent="0.25">
      <c r="H4" s="439"/>
      <c r="J4" s="260"/>
      <c r="K4" s="260"/>
      <c r="L4" s="260"/>
      <c r="M4" s="260"/>
      <c r="N4" s="260"/>
      <c r="O4" s="260"/>
      <c r="P4" s="260"/>
      <c r="Q4" s="260"/>
    </row>
    <row r="5" spans="1:19" s="341" customFormat="1" ht="20.399999999999999" x14ac:dyDescent="0.2">
      <c r="B5" s="342" t="s">
        <v>7496</v>
      </c>
      <c r="D5" s="343" t="s">
        <v>1182</v>
      </c>
      <c r="E5" s="343"/>
      <c r="F5" s="480">
        <v>41.61</v>
      </c>
      <c r="G5" s="344"/>
      <c r="H5" s="344">
        <f>IF(G5&gt;0,G5,F5)</f>
        <v>41.61</v>
      </c>
      <c r="I5" s="345" t="s">
        <v>4651</v>
      </c>
      <c r="J5" s="373"/>
      <c r="K5" s="373"/>
      <c r="L5" s="373"/>
      <c r="M5" s="373"/>
      <c r="N5" s="373"/>
      <c r="O5" s="373"/>
      <c r="P5" s="373"/>
      <c r="Q5" s="373"/>
      <c r="R5" s="373"/>
      <c r="S5" s="373"/>
    </row>
    <row r="6" spans="1:19" s="341" customFormat="1" ht="10.199999999999999" x14ac:dyDescent="0.2">
      <c r="B6" s="342" t="s">
        <v>7497</v>
      </c>
      <c r="D6" s="343" t="s">
        <v>1182</v>
      </c>
      <c r="E6" s="343"/>
      <c r="F6" s="480">
        <v>20.45</v>
      </c>
      <c r="G6" s="344"/>
      <c r="H6" s="344">
        <f>IF(G6&gt;0,G6,F6)</f>
        <v>20.45</v>
      </c>
      <c r="I6" s="345" t="s">
        <v>4651</v>
      </c>
      <c r="J6" s="373"/>
      <c r="K6" s="373"/>
      <c r="L6" s="373"/>
      <c r="M6" s="373"/>
      <c r="N6" s="373"/>
      <c r="O6" s="373"/>
      <c r="P6" s="373"/>
      <c r="Q6" s="373"/>
      <c r="R6" s="373"/>
      <c r="S6" s="373"/>
    </row>
    <row r="7" spans="1:19" s="341" customFormat="1" ht="10.199999999999999" x14ac:dyDescent="0.2">
      <c r="A7" s="368"/>
      <c r="B7" s="354" t="s">
        <v>7499</v>
      </c>
      <c r="C7" s="354"/>
      <c r="D7" s="354"/>
      <c r="E7" s="355"/>
      <c r="F7" s="476">
        <v>69.739999999999995</v>
      </c>
      <c r="G7" s="357"/>
      <c r="H7" s="344">
        <f t="shared" ref="H7:H32" si="0">IF(G7&gt;0,G7,F7)</f>
        <v>69.739999999999995</v>
      </c>
      <c r="I7" s="358" t="s">
        <v>7514</v>
      </c>
      <c r="J7" s="373"/>
      <c r="K7" s="373"/>
      <c r="L7" s="373"/>
      <c r="M7" s="373"/>
      <c r="N7" s="373"/>
      <c r="O7" s="373"/>
      <c r="P7" s="373"/>
      <c r="Q7" s="373"/>
      <c r="R7" s="373"/>
      <c r="S7" s="373"/>
    </row>
    <row r="8" spans="1:19" s="341" customFormat="1" ht="10.199999999999999" x14ac:dyDescent="0.2">
      <c r="A8" s="368"/>
      <c r="B8" s="354" t="s">
        <v>7505</v>
      </c>
      <c r="C8" s="354"/>
      <c r="D8" s="354"/>
      <c r="E8" s="355"/>
      <c r="F8" s="476">
        <v>74.150000000000006</v>
      </c>
      <c r="G8" s="357"/>
      <c r="H8" s="344">
        <f t="shared" si="0"/>
        <v>74.150000000000006</v>
      </c>
      <c r="I8" s="358" t="s">
        <v>7498</v>
      </c>
      <c r="J8" s="373"/>
      <c r="K8" s="373"/>
      <c r="L8" s="373"/>
      <c r="M8" s="373"/>
      <c r="N8" s="373"/>
      <c r="O8" s="373"/>
      <c r="P8" s="373"/>
      <c r="Q8" s="373"/>
      <c r="R8" s="373"/>
      <c r="S8" s="373"/>
    </row>
    <row r="9" spans="1:19" s="341" customFormat="1" ht="10.199999999999999" x14ac:dyDescent="0.2">
      <c r="B9" s="342" t="s">
        <v>7506</v>
      </c>
      <c r="D9" s="343" t="s">
        <v>1182</v>
      </c>
      <c r="E9" s="343"/>
      <c r="F9" s="477">
        <v>62.35</v>
      </c>
      <c r="G9" s="344"/>
      <c r="H9" s="344">
        <f t="shared" si="0"/>
        <v>62.35</v>
      </c>
      <c r="I9" s="345" t="s">
        <v>7508</v>
      </c>
      <c r="J9" s="373"/>
      <c r="K9" s="373"/>
      <c r="L9" s="373"/>
      <c r="M9" s="373"/>
      <c r="N9" s="373"/>
      <c r="O9" s="373"/>
      <c r="P9" s="373"/>
      <c r="Q9" s="373"/>
      <c r="R9" s="373"/>
      <c r="S9" s="373"/>
    </row>
    <row r="10" spans="1:19" s="341" customFormat="1" ht="10.199999999999999" x14ac:dyDescent="0.2">
      <c r="B10" s="342" t="s">
        <v>7507</v>
      </c>
      <c r="D10" s="343" t="s">
        <v>1182</v>
      </c>
      <c r="E10" s="343"/>
      <c r="F10" s="477">
        <v>64.84</v>
      </c>
      <c r="G10" s="344"/>
      <c r="H10" s="344">
        <f t="shared" si="0"/>
        <v>64.84</v>
      </c>
      <c r="I10" s="345" t="s">
        <v>7508</v>
      </c>
      <c r="J10" s="373"/>
      <c r="K10" s="373"/>
      <c r="L10" s="373"/>
      <c r="M10" s="373"/>
      <c r="N10" s="373"/>
      <c r="O10" s="373"/>
      <c r="P10" s="373"/>
      <c r="Q10" s="373"/>
      <c r="R10" s="373"/>
      <c r="S10" s="373"/>
    </row>
    <row r="11" spans="1:19" s="341" customFormat="1" ht="10.199999999999999" x14ac:dyDescent="0.2">
      <c r="A11" s="312" t="s">
        <v>4029</v>
      </c>
      <c r="B11" s="325" t="s">
        <v>4030</v>
      </c>
      <c r="C11" s="312">
        <v>3.4000000000000002E-2</v>
      </c>
      <c r="D11" s="312" t="s">
        <v>1802</v>
      </c>
      <c r="E11" s="329">
        <v>1.95</v>
      </c>
      <c r="F11" s="331">
        <f>E11*0.923</f>
        <v>1.7998499999999999</v>
      </c>
      <c r="G11" s="357"/>
      <c r="H11" s="344">
        <f t="shared" si="0"/>
        <v>1.7998499999999999</v>
      </c>
      <c r="I11" s="358" t="s">
        <v>7508</v>
      </c>
      <c r="J11" s="373"/>
      <c r="K11" s="373"/>
      <c r="L11" s="373"/>
      <c r="M11" s="373"/>
      <c r="N11" s="373"/>
      <c r="O11" s="373"/>
      <c r="P11" s="373"/>
      <c r="Q11" s="373"/>
      <c r="R11" s="373"/>
      <c r="S11" s="373"/>
    </row>
    <row r="12" spans="1:19" s="341" customFormat="1" ht="11.4" customHeight="1" x14ac:dyDescent="0.2">
      <c r="A12" s="312" t="s">
        <v>4021</v>
      </c>
      <c r="B12" s="325" t="s">
        <v>1572</v>
      </c>
      <c r="C12" s="312">
        <v>0.04</v>
      </c>
      <c r="D12" s="312" t="s">
        <v>1802</v>
      </c>
      <c r="E12" s="329">
        <v>4.17</v>
      </c>
      <c r="F12" s="331">
        <f>E12*0.923</f>
        <v>3.8489100000000001</v>
      </c>
      <c r="G12" s="357"/>
      <c r="H12" s="344">
        <f t="shared" si="0"/>
        <v>3.8489100000000001</v>
      </c>
      <c r="I12" s="358" t="s">
        <v>7508</v>
      </c>
      <c r="J12" s="373"/>
      <c r="K12" s="373"/>
      <c r="L12" s="373"/>
      <c r="M12" s="373"/>
      <c r="N12" s="373"/>
      <c r="O12" s="373"/>
      <c r="P12" s="373"/>
      <c r="Q12" s="373"/>
      <c r="R12" s="373"/>
      <c r="S12" s="373"/>
    </row>
    <row r="13" spans="1:19" s="341" customFormat="1" ht="10.199999999999999" x14ac:dyDescent="0.2">
      <c r="B13" s="342" t="s">
        <v>4643</v>
      </c>
      <c r="D13" s="343"/>
      <c r="E13" s="343"/>
      <c r="F13" s="480"/>
      <c r="G13" s="344"/>
      <c r="H13" s="344">
        <f t="shared" si="0"/>
        <v>0</v>
      </c>
      <c r="I13" s="345"/>
      <c r="J13" s="373"/>
      <c r="K13" s="373"/>
      <c r="L13" s="373"/>
      <c r="M13" s="373"/>
      <c r="N13" s="373"/>
      <c r="O13" s="373"/>
      <c r="P13" s="373"/>
      <c r="Q13" s="373"/>
      <c r="R13" s="373"/>
      <c r="S13" s="373"/>
    </row>
    <row r="14" spans="1:19" s="341" customFormat="1" ht="10.199999999999999" x14ac:dyDescent="0.2">
      <c r="B14" s="342" t="s">
        <v>4644</v>
      </c>
      <c r="D14" s="343" t="s">
        <v>4650</v>
      </c>
      <c r="E14" s="343"/>
      <c r="F14" s="480">
        <v>1600</v>
      </c>
      <c r="G14" s="351"/>
      <c r="H14" s="344">
        <f t="shared" si="0"/>
        <v>1600</v>
      </c>
      <c r="I14" s="345" t="s">
        <v>4652</v>
      </c>
      <c r="J14" s="373"/>
      <c r="K14" s="373"/>
      <c r="L14" s="373"/>
      <c r="M14" s="373"/>
      <c r="N14" s="373"/>
      <c r="O14" s="373"/>
      <c r="P14" s="373"/>
      <c r="Q14" s="373"/>
      <c r="R14" s="373"/>
      <c r="S14" s="373"/>
    </row>
    <row r="15" spans="1:19" s="341" customFormat="1" ht="10.199999999999999" x14ac:dyDescent="0.2">
      <c r="B15" s="342" t="s">
        <v>4645</v>
      </c>
      <c r="D15" s="343" t="s">
        <v>2376</v>
      </c>
      <c r="E15" s="343"/>
      <c r="F15" s="480">
        <v>75</v>
      </c>
      <c r="G15" s="351"/>
      <c r="H15" s="344">
        <f t="shared" si="0"/>
        <v>75</v>
      </c>
      <c r="I15" s="345" t="s">
        <v>4653</v>
      </c>
      <c r="J15" s="373"/>
      <c r="K15" s="373"/>
      <c r="L15" s="373"/>
      <c r="M15" s="373"/>
      <c r="N15" s="373"/>
      <c r="O15" s="373"/>
      <c r="P15" s="373"/>
      <c r="Q15" s="373"/>
      <c r="R15" s="373"/>
      <c r="S15" s="373"/>
    </row>
    <row r="16" spans="1:19" s="341" customFormat="1" ht="10.199999999999999" x14ac:dyDescent="0.2">
      <c r="B16" s="342" t="s">
        <v>4646</v>
      </c>
      <c r="D16" s="343" t="s">
        <v>2376</v>
      </c>
      <c r="E16" s="343"/>
      <c r="F16" s="480">
        <v>40</v>
      </c>
      <c r="G16" s="351"/>
      <c r="H16" s="344">
        <f t="shared" si="0"/>
        <v>40</v>
      </c>
      <c r="I16" s="345" t="s">
        <v>4653</v>
      </c>
      <c r="J16" s="373"/>
      <c r="K16" s="373"/>
      <c r="L16" s="373"/>
      <c r="M16" s="373"/>
      <c r="N16" s="373"/>
      <c r="O16" s="373"/>
      <c r="P16" s="373"/>
      <c r="Q16" s="373"/>
      <c r="R16" s="373"/>
      <c r="S16" s="373"/>
    </row>
    <row r="17" spans="1:19" s="341" customFormat="1" ht="10.199999999999999" x14ac:dyDescent="0.2">
      <c r="B17" s="342" t="s">
        <v>7520</v>
      </c>
      <c r="D17" s="343" t="s">
        <v>2376</v>
      </c>
      <c r="E17" s="343"/>
      <c r="F17" s="480">
        <v>4.5</v>
      </c>
      <c r="G17" s="351"/>
      <c r="H17" s="344">
        <f t="shared" si="0"/>
        <v>4.5</v>
      </c>
      <c r="I17" s="345" t="s">
        <v>7517</v>
      </c>
      <c r="J17" s="373"/>
      <c r="K17" s="373"/>
      <c r="L17" s="373"/>
      <c r="M17" s="373"/>
      <c r="N17" s="373"/>
      <c r="O17" s="373"/>
      <c r="P17" s="373"/>
      <c r="Q17" s="373"/>
      <c r="R17" s="373"/>
      <c r="S17" s="373"/>
    </row>
    <row r="18" spans="1:19" s="341" customFormat="1" ht="10.199999999999999" x14ac:dyDescent="0.2">
      <c r="B18" s="342" t="s">
        <v>4647</v>
      </c>
      <c r="D18" s="343" t="s">
        <v>2265</v>
      </c>
      <c r="E18" s="343"/>
      <c r="F18" s="480">
        <v>700</v>
      </c>
      <c r="G18" s="351"/>
      <c r="H18" s="344">
        <f t="shared" si="0"/>
        <v>700</v>
      </c>
      <c r="I18" s="345" t="s">
        <v>4654</v>
      </c>
      <c r="J18" s="373"/>
      <c r="K18" s="373"/>
      <c r="L18" s="373"/>
      <c r="M18" s="373"/>
      <c r="N18" s="373"/>
      <c r="O18" s="373"/>
      <c r="P18" s="373"/>
      <c r="Q18" s="373"/>
      <c r="R18" s="373"/>
      <c r="S18" s="373"/>
    </row>
    <row r="19" spans="1:19" s="341" customFormat="1" ht="10.199999999999999" x14ac:dyDescent="0.2">
      <c r="B19" s="342" t="s">
        <v>4648</v>
      </c>
      <c r="D19" s="343" t="s">
        <v>4650</v>
      </c>
      <c r="E19" s="343"/>
      <c r="F19" s="480">
        <v>300</v>
      </c>
      <c r="G19" s="351"/>
      <c r="H19" s="344">
        <f t="shared" si="0"/>
        <v>300</v>
      </c>
      <c r="I19" s="345" t="s">
        <v>4652</v>
      </c>
      <c r="J19" s="373"/>
      <c r="K19" s="373"/>
      <c r="L19" s="373"/>
      <c r="M19" s="373"/>
      <c r="N19" s="373"/>
      <c r="O19" s="373"/>
      <c r="P19" s="373"/>
      <c r="Q19" s="373"/>
      <c r="R19" s="373"/>
      <c r="S19" s="373"/>
    </row>
    <row r="20" spans="1:19" s="341" customFormat="1" ht="10.199999999999999" x14ac:dyDescent="0.2">
      <c r="A20" s="312" t="s">
        <v>3485</v>
      </c>
      <c r="B20" s="325" t="s">
        <v>2203</v>
      </c>
      <c r="C20" s="312">
        <v>1.244</v>
      </c>
      <c r="D20" s="312" t="s">
        <v>2840</v>
      </c>
      <c r="E20" s="329">
        <v>106</v>
      </c>
      <c r="F20" s="331">
        <f>E20*0.923</f>
        <v>97.838000000000008</v>
      </c>
      <c r="G20" s="357"/>
      <c r="H20" s="344">
        <f t="shared" si="0"/>
        <v>97.838000000000008</v>
      </c>
      <c r="I20" s="358" t="s">
        <v>7508</v>
      </c>
      <c r="J20" s="373"/>
      <c r="K20" s="373"/>
      <c r="L20" s="373"/>
      <c r="M20" s="373"/>
      <c r="N20" s="373"/>
      <c r="O20" s="373"/>
      <c r="P20" s="373"/>
      <c r="Q20" s="373"/>
      <c r="R20" s="373"/>
      <c r="S20" s="373"/>
    </row>
    <row r="21" spans="1:19" s="341" customFormat="1" ht="10.199999999999999" x14ac:dyDescent="0.2">
      <c r="B21" s="342" t="s">
        <v>1919</v>
      </c>
      <c r="D21" s="343" t="s">
        <v>2265</v>
      </c>
      <c r="E21" s="343"/>
      <c r="F21" s="480">
        <v>1.5</v>
      </c>
      <c r="G21" s="351"/>
      <c r="H21" s="344">
        <f t="shared" si="0"/>
        <v>1.5</v>
      </c>
      <c r="I21" s="345" t="s">
        <v>4655</v>
      </c>
      <c r="J21" s="373"/>
      <c r="K21" s="373"/>
      <c r="L21" s="373"/>
      <c r="M21" s="373"/>
      <c r="N21" s="373"/>
      <c r="O21" s="373"/>
      <c r="P21" s="373"/>
      <c r="Q21" s="373"/>
      <c r="R21" s="373"/>
      <c r="S21" s="373"/>
    </row>
    <row r="22" spans="1:19" s="341" customFormat="1" ht="10.199999999999999" x14ac:dyDescent="0.2">
      <c r="A22" s="368"/>
      <c r="B22" s="342" t="s">
        <v>4660</v>
      </c>
      <c r="D22" s="343" t="s">
        <v>2376</v>
      </c>
      <c r="E22" s="343"/>
      <c r="F22" s="480">
        <v>3</v>
      </c>
      <c r="G22" s="344"/>
      <c r="H22" s="344">
        <f t="shared" si="0"/>
        <v>3</v>
      </c>
      <c r="I22" s="345" t="s">
        <v>4656</v>
      </c>
      <c r="J22" s="373"/>
      <c r="K22" s="373"/>
      <c r="L22" s="373"/>
      <c r="M22" s="373"/>
      <c r="N22" s="373"/>
      <c r="O22" s="373"/>
      <c r="P22" s="373"/>
      <c r="Q22" s="373"/>
      <c r="R22" s="373"/>
      <c r="S22" s="373"/>
    </row>
    <row r="23" spans="1:19" s="341" customFormat="1" ht="10.199999999999999" x14ac:dyDescent="0.2">
      <c r="B23" s="342" t="s">
        <v>4685</v>
      </c>
      <c r="D23" s="343" t="s">
        <v>2376</v>
      </c>
      <c r="E23" s="343"/>
      <c r="F23" s="480">
        <v>4</v>
      </c>
      <c r="G23" s="344"/>
      <c r="H23" s="344">
        <f t="shared" si="0"/>
        <v>4</v>
      </c>
      <c r="I23" s="345" t="s">
        <v>4629</v>
      </c>
      <c r="J23" s="373"/>
      <c r="K23" s="373"/>
      <c r="L23" s="373"/>
      <c r="M23" s="373"/>
      <c r="N23" s="373"/>
      <c r="O23" s="373"/>
      <c r="P23" s="373"/>
      <c r="Q23" s="373"/>
      <c r="R23" s="373"/>
      <c r="S23" s="373"/>
    </row>
    <row r="24" spans="1:19" s="193" customFormat="1" x14ac:dyDescent="0.25">
      <c r="A24" s="341"/>
      <c r="B24" s="342" t="s">
        <v>4649</v>
      </c>
      <c r="C24" s="341"/>
      <c r="D24" s="343" t="s">
        <v>2265</v>
      </c>
      <c r="E24" s="343"/>
      <c r="F24" s="480">
        <v>2.4</v>
      </c>
      <c r="G24" s="351"/>
      <c r="H24" s="344">
        <f t="shared" si="0"/>
        <v>2.4</v>
      </c>
      <c r="I24" s="345" t="s">
        <v>4657</v>
      </c>
      <c r="J24" s="90"/>
      <c r="K24" s="90"/>
      <c r="L24" s="90"/>
      <c r="M24" s="90"/>
      <c r="N24" s="90"/>
      <c r="O24" s="90"/>
      <c r="P24" s="90"/>
      <c r="Q24" s="90"/>
      <c r="R24" s="90"/>
      <c r="S24" s="90"/>
    </row>
    <row r="25" spans="1:19" s="193" customFormat="1" x14ac:dyDescent="0.25">
      <c r="A25" s="312" t="s">
        <v>4243</v>
      </c>
      <c r="B25" s="325" t="s">
        <v>1886</v>
      </c>
      <c r="C25" s="312">
        <v>0.08</v>
      </c>
      <c r="D25" s="312" t="s">
        <v>1802</v>
      </c>
      <c r="E25" s="329">
        <v>7.55</v>
      </c>
      <c r="F25" s="331">
        <f>E25*0.923</f>
        <v>6.9686500000000002</v>
      </c>
      <c r="G25" s="357"/>
      <c r="H25" s="344">
        <f t="shared" si="0"/>
        <v>6.9686500000000002</v>
      </c>
      <c r="I25" s="358" t="s">
        <v>7510</v>
      </c>
      <c r="J25" s="90"/>
      <c r="K25" s="90"/>
      <c r="L25" s="90"/>
      <c r="M25" s="90"/>
      <c r="N25" s="90"/>
      <c r="O25" s="90"/>
      <c r="P25" s="90"/>
      <c r="Q25" s="90"/>
      <c r="R25" s="90"/>
      <c r="S25" s="90"/>
    </row>
    <row r="26" spans="1:19" x14ac:dyDescent="0.25">
      <c r="A26" s="312" t="s">
        <v>4248</v>
      </c>
      <c r="B26" s="325" t="s">
        <v>1887</v>
      </c>
      <c r="C26" s="312">
        <v>1.7000000000000001E-2</v>
      </c>
      <c r="D26" s="312" t="s">
        <v>1802</v>
      </c>
      <c r="E26" s="329">
        <v>1.27</v>
      </c>
      <c r="F26" s="331">
        <f>E26*0.923</f>
        <v>1.17221</v>
      </c>
      <c r="G26" s="357"/>
      <c r="H26" s="344">
        <f t="shared" si="0"/>
        <v>1.17221</v>
      </c>
      <c r="I26" s="358" t="s">
        <v>7510</v>
      </c>
    </row>
    <row r="27" spans="1:19" x14ac:dyDescent="0.25">
      <c r="A27" s="312" t="s">
        <v>4253</v>
      </c>
      <c r="B27" s="325" t="s">
        <v>1888</v>
      </c>
      <c r="C27" s="312">
        <v>1.7000000000000001E-2</v>
      </c>
      <c r="D27" s="312" t="s">
        <v>1802</v>
      </c>
      <c r="E27" s="329">
        <v>1.48</v>
      </c>
      <c r="F27" s="331">
        <f>E27*0.923</f>
        <v>1.3660400000000001</v>
      </c>
      <c r="G27" s="357"/>
      <c r="H27" s="344">
        <f t="shared" si="0"/>
        <v>1.3660400000000001</v>
      </c>
      <c r="I27" s="358" t="s">
        <v>7510</v>
      </c>
    </row>
    <row r="28" spans="1:19" x14ac:dyDescent="0.25">
      <c r="A28" s="312" t="s">
        <v>4257</v>
      </c>
      <c r="B28" s="325" t="s">
        <v>1890</v>
      </c>
      <c r="C28" s="312">
        <v>3.5999999999999997E-2</v>
      </c>
      <c r="D28" s="312" t="s">
        <v>1802</v>
      </c>
      <c r="E28" s="329">
        <v>3.89</v>
      </c>
      <c r="F28" s="331">
        <f>E28*0.923</f>
        <v>3.5904700000000003</v>
      </c>
      <c r="G28" s="357"/>
      <c r="H28" s="344">
        <f t="shared" si="0"/>
        <v>3.5904700000000003</v>
      </c>
      <c r="I28" s="358" t="s">
        <v>7510</v>
      </c>
    </row>
    <row r="29" spans="1:19" x14ac:dyDescent="0.25">
      <c r="A29" s="475">
        <v>312514160020</v>
      </c>
      <c r="B29" s="342" t="s">
        <v>7511</v>
      </c>
      <c r="C29" s="341">
        <v>0.01</v>
      </c>
      <c r="D29" s="343" t="s">
        <v>1802</v>
      </c>
      <c r="E29" s="343">
        <v>1.32</v>
      </c>
      <c r="F29" s="331">
        <f>E29*0.923</f>
        <v>1.2183600000000001</v>
      </c>
      <c r="G29" s="344"/>
      <c r="H29" s="344">
        <f t="shared" si="0"/>
        <v>1.2183600000000001</v>
      </c>
      <c r="I29" s="345" t="s">
        <v>7508</v>
      </c>
    </row>
    <row r="30" spans="1:19" x14ac:dyDescent="0.25">
      <c r="A30" s="341"/>
      <c r="B30" s="342"/>
      <c r="C30" s="341"/>
      <c r="D30" s="343"/>
      <c r="E30" s="343"/>
      <c r="F30" s="480"/>
      <c r="G30" s="344"/>
      <c r="H30" s="344">
        <f t="shared" si="0"/>
        <v>0</v>
      </c>
      <c r="I30" s="345"/>
    </row>
    <row r="31" spans="1:19" x14ac:dyDescent="0.25">
      <c r="A31" s="341"/>
      <c r="B31" s="342"/>
      <c r="C31" s="341"/>
      <c r="D31" s="343"/>
      <c r="E31" s="343"/>
      <c r="F31" s="480"/>
      <c r="G31" s="351"/>
      <c r="H31" s="344">
        <f t="shared" si="0"/>
        <v>0</v>
      </c>
      <c r="I31" s="345"/>
    </row>
    <row r="32" spans="1:19" x14ac:dyDescent="0.25">
      <c r="A32" s="341"/>
      <c r="B32" s="342"/>
      <c r="C32" s="342"/>
      <c r="D32" s="343"/>
      <c r="E32" s="343"/>
      <c r="F32" s="481"/>
      <c r="G32" s="344"/>
      <c r="H32" s="344">
        <f t="shared" si="0"/>
        <v>0</v>
      </c>
      <c r="I32" s="345"/>
    </row>
    <row r="33" spans="1:9" x14ac:dyDescent="0.25">
      <c r="A33" s="474" t="s">
        <v>7503</v>
      </c>
      <c r="B33" s="470" t="s">
        <v>4399</v>
      </c>
      <c r="C33" s="469"/>
      <c r="D33" s="471" t="s">
        <v>1182</v>
      </c>
      <c r="E33" s="472">
        <v>77.05</v>
      </c>
      <c r="F33" s="478">
        <f>E33*0.923</f>
        <v>71.117149999999995</v>
      </c>
      <c r="G33" s="472">
        <v>71.12</v>
      </c>
      <c r="H33" s="472">
        <f>IF(G33&gt;0,G33,IF('Cost Estimate'!$C$6=496,#REF!,IF('Cost Estimate'!$C$6=498,#REF!,IF('Cost Estimate'!$C$6=499,#REF!,IF('Cost Estimate'!$C$6=480,#REF!,IF('Cost Estimate'!$C$6=483,#REF!,IF('Cost Estimate'!$C$6=482,#REF!,IF('Cost Estimate'!$C$6=490,#REF!,IF('Cost Estimate'!$C$6=491,#REF!,IF('Cost Estimate'!$C$6=493,#REF!,IF('Cost Estimate'!$C$6=494,#REF!,IF('Cost Estimate'!$C$6=495,#REF!,IF('Cost Estimate'!$C$6=492,#REF!,IF('Cost Estimate'!$C$6=497,#REF!,IF('Cost Estimate'!$C$6=481,#REF!,IF('Cost Estimate'!$C$6=484,#REF!,IF('Cost Estimate'!$C$6=485,#REF!,IF('Cost Estimate'!$C$6=486,#REF!,IF('Cost Estimate'!$C$6=487,#REF!,IF('Cost Estimate'!$C$6=488,#REF!,IF('Cost Estimate'!$C$6=489,#REF!,F33)))))))))))))))))))))</f>
        <v>71.12</v>
      </c>
      <c r="I33" s="473" t="s">
        <v>4537</v>
      </c>
    </row>
    <row r="34" spans="1:9" x14ac:dyDescent="0.25">
      <c r="B34" s="342" t="s">
        <v>7500</v>
      </c>
      <c r="D34" s="343" t="s">
        <v>1182</v>
      </c>
      <c r="E34" s="344">
        <v>67.849999999999994</v>
      </c>
      <c r="F34" s="477">
        <f>E34*0.923</f>
        <v>62.625549999999997</v>
      </c>
      <c r="G34" s="344">
        <v>62.63</v>
      </c>
      <c r="H34" s="344">
        <f>IF(G34&gt;0,G34,IF('Cost Estimate'!$C$6=496,#REF!,IF('Cost Estimate'!$C$6=498,#REF!,IF('Cost Estimate'!$C$6=499,#REF!,IF('Cost Estimate'!$C$6=480,#REF!,IF('Cost Estimate'!$C$6=483,#REF!,IF('Cost Estimate'!$C$6=482,#REF!,IF('Cost Estimate'!$C$6=490,#REF!,IF('Cost Estimate'!$C$6=491,#REF!,IF('Cost Estimate'!$C$6=493,#REF!,IF('Cost Estimate'!$C$6=494,#REF!,IF('Cost Estimate'!$C$6=495,#REF!,IF('Cost Estimate'!$C$6=492,#REF!,IF('Cost Estimate'!$C$6=497,#REF!,IF('Cost Estimate'!$C$6=481,#REF!,IF('Cost Estimate'!$C$6=484,#REF!,IF('Cost Estimate'!$C$6=485,#REF!,IF('Cost Estimate'!$C$6=486,#REF!,IF('Cost Estimate'!$C$6=487,#REF!,IF('Cost Estimate'!$C$6=488,#REF!,IF('Cost Estimate'!$C$6=489,#REF!,F34)))))))))))))))))))))</f>
        <v>62.63</v>
      </c>
      <c r="I34" s="345" t="s">
        <v>4537</v>
      </c>
    </row>
    <row r="35" spans="1:9" x14ac:dyDescent="0.25">
      <c r="B35" s="342" t="s">
        <v>7501</v>
      </c>
      <c r="D35" s="343" t="s">
        <v>1182</v>
      </c>
      <c r="E35" s="344">
        <v>88.25</v>
      </c>
      <c r="F35" s="477">
        <f>E35*0.923</f>
        <v>81.454750000000004</v>
      </c>
      <c r="G35" s="344">
        <v>81.45</v>
      </c>
      <c r="H35" s="344">
        <f>IF(G35&gt;0,G35,IF('Cost Estimate'!$C$6=496,#REF!,IF('Cost Estimate'!$C$6=498,#REF!,IF('Cost Estimate'!$C$6=499,#REF!,IF('Cost Estimate'!$C$6=480,#REF!,IF('Cost Estimate'!$C$6=483,#REF!,IF('Cost Estimate'!$C$6=482,#REF!,IF('Cost Estimate'!$C$6=490,#REF!,IF('Cost Estimate'!$C$6=491,#REF!,IF('Cost Estimate'!$C$6=493,#REF!,IF('Cost Estimate'!$C$6=494,#REF!,IF('Cost Estimate'!$C$6=495,#REF!,IF('Cost Estimate'!$C$6=492,#REF!,IF('Cost Estimate'!$C$6=497,#REF!,IF('Cost Estimate'!$C$6=481,#REF!,IF('Cost Estimate'!$C$6=484,#REF!,IF('Cost Estimate'!$C$6=485,#REF!,IF('Cost Estimate'!$C$6=486,#REF!,IF('Cost Estimate'!$C$6=487,#REF!,IF('Cost Estimate'!$C$6=488,#REF!,IF('Cost Estimate'!$C$6=489,#REF!,F35)))))))))))))))))))))</f>
        <v>81.45</v>
      </c>
      <c r="I35" s="345" t="s">
        <v>4537</v>
      </c>
    </row>
    <row r="36" spans="1:9" x14ac:dyDescent="0.25">
      <c r="B36" s="342" t="s">
        <v>7502</v>
      </c>
      <c r="D36" s="343" t="s">
        <v>1182</v>
      </c>
      <c r="E36" s="344">
        <v>62.3</v>
      </c>
      <c r="F36" s="477">
        <f>E36*0.923</f>
        <v>57.502899999999997</v>
      </c>
      <c r="G36" s="344">
        <v>57.5</v>
      </c>
      <c r="H36" s="344">
        <f>IF(G36&gt;0,G36,IF('Cost Estimate'!$C$6=496,#REF!,IF('Cost Estimate'!$C$6=498,#REF!,IF('Cost Estimate'!$C$6=499,#REF!,IF('Cost Estimate'!$C$6=480,#REF!,IF('Cost Estimate'!$C$6=483,#REF!,IF('Cost Estimate'!$C$6=482,#REF!,IF('Cost Estimate'!$C$6=490,#REF!,IF('Cost Estimate'!$C$6=491,#REF!,IF('Cost Estimate'!$C$6=493,#REF!,IF('Cost Estimate'!$C$6=494,#REF!,IF('Cost Estimate'!$C$6=495,#REF!,IF('Cost Estimate'!$C$6=492,#REF!,IF('Cost Estimate'!$C$6=497,#REF!,IF('Cost Estimate'!$C$6=481,#REF!,IF('Cost Estimate'!$C$6=484,#REF!,IF('Cost Estimate'!$C$6=485,#REF!,IF('Cost Estimate'!$C$6=486,#REF!,IF('Cost Estimate'!$C$6=487,#REF!,IF('Cost Estimate'!$C$6=488,#REF!,IF('Cost Estimate'!$C$6=489,#REF!,F36)))))))))))))))))))))</f>
        <v>57.5</v>
      </c>
      <c r="I36" s="345" t="s">
        <v>4537</v>
      </c>
    </row>
    <row r="37" spans="1:9" x14ac:dyDescent="0.25">
      <c r="B37" s="342" t="s">
        <v>4398</v>
      </c>
      <c r="D37" s="343" t="s">
        <v>1182</v>
      </c>
      <c r="E37" s="344">
        <v>82.35</v>
      </c>
      <c r="F37" s="477">
        <f>E37*0.923</f>
        <v>76.009050000000002</v>
      </c>
      <c r="G37" s="344">
        <v>76.010000000000005</v>
      </c>
      <c r="H37" s="344">
        <f>IF(G37&gt;0,G37,IF('Cost Estimate'!$C$6=496,#REF!,IF('Cost Estimate'!$C$6=498,#REF!,IF('Cost Estimate'!$C$6=499,#REF!,IF('Cost Estimate'!$C$6=480,#REF!,IF('Cost Estimate'!$C$6=483,#REF!,IF('Cost Estimate'!$C$6=482,#REF!,IF('Cost Estimate'!$C$6=490,#REF!,IF('Cost Estimate'!$C$6=491,#REF!,IF('Cost Estimate'!$C$6=493,#REF!,IF('Cost Estimate'!$C$6=494,#REF!,IF('Cost Estimate'!$C$6=495,#REF!,IF('Cost Estimate'!$C$6=492,#REF!,IF('Cost Estimate'!$C$6=497,#REF!,IF('Cost Estimate'!$C$6=481,#REF!,IF('Cost Estimate'!$C$6=484,#REF!,IF('Cost Estimate'!$C$6=485,#REF!,IF('Cost Estimate'!$C$6=486,#REF!,IF('Cost Estimate'!$C$6=487,#REF!,IF('Cost Estimate'!$C$6=488,#REF!,IF('Cost Estimate'!$C$6=489,#REF!,F37)))))))))))))))))))))</f>
        <v>76.010000000000005</v>
      </c>
      <c r="I37" s="345" t="s">
        <v>4537</v>
      </c>
    </row>
    <row r="38" spans="1:9" x14ac:dyDescent="0.25">
      <c r="B38" s="342" t="s">
        <v>7504</v>
      </c>
      <c r="F38" s="479">
        <f>AVERAGE(F33:F37)</f>
        <v>69.741880000000009</v>
      </c>
    </row>
  </sheetData>
  <sortState ref="A4:O36">
    <sortCondition ref="B4"/>
  </sortState>
  <mergeCells count="6">
    <mergeCell ref="F1:F2"/>
    <mergeCell ref="A1:A2"/>
    <mergeCell ref="B1:B2"/>
    <mergeCell ref="C1:C2"/>
    <mergeCell ref="D1:D2"/>
    <mergeCell ref="E1:E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P13"/>
  <sheetViews>
    <sheetView zoomScale="90" zoomScaleNormal="90" workbookViewId="0">
      <pane ySplit="2" topLeftCell="A3" activePane="bottomLeft" state="frozen"/>
      <selection pane="bottomLeft" activeCell="B19" sqref="B19"/>
    </sheetView>
  </sheetViews>
  <sheetFormatPr defaultRowHeight="13.2" x14ac:dyDescent="0.25"/>
  <cols>
    <col min="1" max="1" width="14.33203125" customWidth="1"/>
    <col min="2" max="2" width="42.44140625" customWidth="1"/>
    <col min="3" max="3" width="11" customWidth="1"/>
    <col min="8" max="8" width="45.109375" customWidth="1"/>
    <col min="9" max="16" width="9.109375" style="90"/>
  </cols>
  <sheetData>
    <row r="1" spans="1:16" s="347" customFormat="1" ht="15" customHeight="1" x14ac:dyDescent="0.2">
      <c r="A1" s="561" t="s">
        <v>4400</v>
      </c>
      <c r="B1" s="563" t="s">
        <v>4401</v>
      </c>
      <c r="C1" s="559" t="s">
        <v>4402</v>
      </c>
      <c r="D1" s="563" t="s">
        <v>2372</v>
      </c>
      <c r="E1" s="559" t="s">
        <v>4403</v>
      </c>
      <c r="I1" s="372"/>
      <c r="J1" s="372"/>
      <c r="K1" s="372"/>
      <c r="L1" s="372"/>
      <c r="M1" s="372"/>
      <c r="N1" s="372"/>
      <c r="O1" s="372"/>
      <c r="P1" s="372"/>
    </row>
    <row r="2" spans="1:16" s="350" customFormat="1" ht="24.75" customHeight="1" thickBot="1" x14ac:dyDescent="0.25">
      <c r="A2" s="562"/>
      <c r="B2" s="564"/>
      <c r="C2" s="560"/>
      <c r="D2" s="564"/>
      <c r="E2" s="560"/>
      <c r="F2" s="348" t="s">
        <v>4404</v>
      </c>
      <c r="G2" s="348" t="s">
        <v>1048</v>
      </c>
      <c r="H2" s="349" t="s">
        <v>4405</v>
      </c>
      <c r="I2" s="371"/>
      <c r="J2" s="371"/>
      <c r="K2" s="371"/>
      <c r="L2" s="371"/>
      <c r="M2" s="371"/>
      <c r="N2" s="371"/>
      <c r="O2" s="371"/>
      <c r="P2" s="371"/>
    </row>
    <row r="3" spans="1:16" s="367" customFormat="1" ht="12.75" customHeight="1" x14ac:dyDescent="0.25">
      <c r="A3" s="312" t="s">
        <v>3450</v>
      </c>
      <c r="B3" s="325" t="s">
        <v>7524</v>
      </c>
      <c r="C3" s="312" t="s">
        <v>4736</v>
      </c>
      <c r="D3" s="450" t="s">
        <v>2836</v>
      </c>
      <c r="E3" s="360">
        <v>15</v>
      </c>
      <c r="F3" s="360"/>
      <c r="G3" s="449">
        <f t="shared" ref="G3:G12" si="0">IF(F3&gt;0,F3,E3)</f>
        <v>15</v>
      </c>
      <c r="H3" s="358" t="s">
        <v>7508</v>
      </c>
      <c r="I3" s="371"/>
      <c r="J3" s="371"/>
      <c r="K3" s="371"/>
      <c r="L3" s="371"/>
      <c r="M3" s="371"/>
      <c r="N3" s="371"/>
      <c r="O3" s="371"/>
      <c r="P3" s="371"/>
    </row>
    <row r="4" spans="1:16" s="360" customFormat="1" x14ac:dyDescent="0.25">
      <c r="A4" s="312" t="s">
        <v>3444</v>
      </c>
      <c r="B4" s="325" t="s">
        <v>7523</v>
      </c>
      <c r="C4" s="312" t="s">
        <v>4736</v>
      </c>
      <c r="D4" s="450" t="s">
        <v>2836</v>
      </c>
      <c r="E4" s="364">
        <v>20</v>
      </c>
      <c r="F4" s="365"/>
      <c r="G4" s="449">
        <f t="shared" si="0"/>
        <v>20</v>
      </c>
      <c r="H4" s="358" t="s">
        <v>7508</v>
      </c>
      <c r="I4" s="260"/>
      <c r="J4" s="260"/>
      <c r="K4" s="260"/>
      <c r="L4" s="260"/>
      <c r="M4" s="260"/>
      <c r="N4" s="260"/>
      <c r="O4" s="260"/>
      <c r="P4" s="260"/>
    </row>
    <row r="5" spans="1:16" x14ac:dyDescent="0.25">
      <c r="A5" s="312" t="s">
        <v>3458</v>
      </c>
      <c r="B5" s="325" t="s">
        <v>7526</v>
      </c>
      <c r="C5" s="312" t="s">
        <v>4736</v>
      </c>
      <c r="D5" s="450" t="s">
        <v>2836</v>
      </c>
      <c r="E5" s="373">
        <v>3</v>
      </c>
      <c r="F5" s="374"/>
      <c r="G5" s="449">
        <f t="shared" si="0"/>
        <v>3</v>
      </c>
      <c r="H5" s="358" t="s">
        <v>7508</v>
      </c>
    </row>
    <row r="6" spans="1:16" ht="20.399999999999999" x14ac:dyDescent="0.25">
      <c r="A6" s="312" t="s">
        <v>3454</v>
      </c>
      <c r="B6" s="325" t="s">
        <v>7525</v>
      </c>
      <c r="C6" s="312" t="s">
        <v>4736</v>
      </c>
      <c r="D6" s="450" t="s">
        <v>2836</v>
      </c>
      <c r="E6" s="373">
        <v>10</v>
      </c>
      <c r="F6" s="374"/>
      <c r="G6" s="449">
        <f t="shared" si="0"/>
        <v>10</v>
      </c>
      <c r="H6" s="358" t="s">
        <v>7508</v>
      </c>
    </row>
    <row r="7" spans="1:16" x14ac:dyDescent="0.25">
      <c r="A7" s="360"/>
      <c r="B7" s="325" t="s">
        <v>7513</v>
      </c>
      <c r="C7" s="312" t="s">
        <v>4736</v>
      </c>
      <c r="D7" s="450" t="s">
        <v>2836</v>
      </c>
      <c r="E7" s="373"/>
      <c r="F7" s="374"/>
      <c r="G7" s="449">
        <f t="shared" si="0"/>
        <v>0</v>
      </c>
    </row>
    <row r="8" spans="1:16" x14ac:dyDescent="0.25">
      <c r="A8" s="360"/>
      <c r="B8" s="325" t="s">
        <v>7611</v>
      </c>
      <c r="C8" s="312"/>
      <c r="D8" s="450" t="s">
        <v>2836</v>
      </c>
      <c r="E8" s="373">
        <v>0</v>
      </c>
      <c r="F8" s="374"/>
      <c r="G8" s="449">
        <f t="shared" si="0"/>
        <v>0</v>
      </c>
    </row>
    <row r="9" spans="1:16" x14ac:dyDescent="0.25">
      <c r="A9" s="356"/>
      <c r="B9" s="342" t="s">
        <v>4738</v>
      </c>
      <c r="C9" s="356"/>
      <c r="D9" s="343" t="s">
        <v>2734</v>
      </c>
      <c r="E9" s="356">
        <v>500</v>
      </c>
      <c r="F9" s="356"/>
      <c r="G9" s="344">
        <f t="shared" si="0"/>
        <v>500</v>
      </c>
      <c r="H9" s="356"/>
    </row>
    <row r="10" spans="1:16" s="356" customFormat="1" ht="10.199999999999999" x14ac:dyDescent="0.2">
      <c r="B10" s="342" t="s">
        <v>4739</v>
      </c>
      <c r="D10" s="343" t="s">
        <v>2734</v>
      </c>
      <c r="E10" s="356">
        <v>5000</v>
      </c>
      <c r="G10" s="344">
        <f t="shared" si="0"/>
        <v>5000</v>
      </c>
      <c r="H10" s="342"/>
      <c r="I10" s="373"/>
      <c r="J10" s="373"/>
      <c r="K10" s="373"/>
      <c r="L10" s="373"/>
      <c r="M10" s="373"/>
      <c r="N10" s="373"/>
      <c r="O10" s="373"/>
      <c r="P10" s="373"/>
    </row>
    <row r="11" spans="1:16" s="356" customFormat="1" ht="12" customHeight="1" x14ac:dyDescent="0.2">
      <c r="B11" s="346" t="s">
        <v>4737</v>
      </c>
      <c r="D11" s="343" t="s">
        <v>2734</v>
      </c>
      <c r="E11" s="356">
        <v>1000</v>
      </c>
      <c r="G11" s="344">
        <f t="shared" si="0"/>
        <v>1000</v>
      </c>
      <c r="H11" s="342"/>
      <c r="I11" s="373"/>
      <c r="J11" s="373"/>
      <c r="K11" s="373"/>
      <c r="L11" s="373"/>
      <c r="M11" s="373"/>
      <c r="N11" s="373"/>
      <c r="O11" s="373"/>
      <c r="P11" s="373"/>
    </row>
    <row r="12" spans="1:16" s="482" customFormat="1" ht="14.4" customHeight="1" x14ac:dyDescent="0.2">
      <c r="B12" s="482" t="s">
        <v>4740</v>
      </c>
      <c r="D12" s="483" t="s">
        <v>2734</v>
      </c>
      <c r="E12" s="484">
        <v>250</v>
      </c>
      <c r="G12" s="485">
        <f t="shared" si="0"/>
        <v>250</v>
      </c>
      <c r="H12" s="486" t="s">
        <v>4658</v>
      </c>
      <c r="I12" s="487"/>
      <c r="J12" s="487"/>
      <c r="K12" s="487"/>
      <c r="L12" s="487"/>
      <c r="M12" s="487"/>
      <c r="N12" s="487"/>
      <c r="O12" s="487"/>
      <c r="P12" s="487"/>
    </row>
    <row r="13" spans="1:16" s="340" customFormat="1" x14ac:dyDescent="0.25">
      <c r="A13" s="362"/>
      <c r="B13" s="363"/>
      <c r="C13" s="364"/>
      <c r="D13" s="363"/>
      <c r="E13"/>
      <c r="F13"/>
      <c r="G13"/>
      <c r="H13"/>
      <c r="I13" s="90"/>
      <c r="J13" s="90"/>
      <c r="K13" s="90"/>
      <c r="L13" s="90"/>
      <c r="M13" s="90"/>
      <c r="N13" s="90"/>
      <c r="O13" s="90"/>
      <c r="P13" s="90"/>
    </row>
  </sheetData>
  <sortState ref="A3:H7">
    <sortCondition ref="B3:B7"/>
  </sortState>
  <mergeCells count="5">
    <mergeCell ref="E1:E2"/>
    <mergeCell ref="A1:A2"/>
    <mergeCell ref="B1:B2"/>
    <mergeCell ref="C1:C2"/>
    <mergeCell ref="D1:D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H126"/>
  <sheetViews>
    <sheetView topLeftCell="A50" zoomScale="80" zoomScaleNormal="80" workbookViewId="0">
      <selection activeCell="C9" sqref="C9"/>
    </sheetView>
  </sheetViews>
  <sheetFormatPr defaultRowHeight="13.2" x14ac:dyDescent="0.25"/>
  <cols>
    <col min="1" max="1" width="30.33203125" style="80" customWidth="1"/>
    <col min="2" max="2" width="10.44140625" style="78" customWidth="1"/>
    <col min="3" max="3" width="45.109375" style="81" customWidth="1"/>
    <col min="4" max="4" width="8.88671875" style="210" customWidth="1"/>
    <col min="5" max="5" width="9.109375" style="78" bestFit="1" customWidth="1"/>
    <col min="6" max="6" width="17.5546875" style="47" customWidth="1"/>
    <col min="7" max="7" width="28.44140625" customWidth="1"/>
  </cols>
  <sheetData>
    <row r="1" spans="1:8" ht="55.5" customHeight="1" x14ac:dyDescent="0.25">
      <c r="A1" s="185" t="s">
        <v>1722</v>
      </c>
      <c r="B1" s="185" t="s">
        <v>2487</v>
      </c>
      <c r="C1" s="140" t="s">
        <v>2489</v>
      </c>
      <c r="D1" s="140" t="s">
        <v>2372</v>
      </c>
      <c r="E1" s="451" t="s">
        <v>423</v>
      </c>
      <c r="F1" s="455" t="s">
        <v>379</v>
      </c>
      <c r="G1" s="455" t="s">
        <v>388</v>
      </c>
      <c r="H1" s="455" t="s">
        <v>4765</v>
      </c>
    </row>
    <row r="2" spans="1:8" x14ac:dyDescent="0.25">
      <c r="A2" s="261" t="s">
        <v>2964</v>
      </c>
      <c r="B2" s="134">
        <v>472</v>
      </c>
      <c r="C2" s="135" t="s">
        <v>441</v>
      </c>
      <c r="D2" s="286" t="s">
        <v>734</v>
      </c>
      <c r="E2" s="452">
        <v>10</v>
      </c>
      <c r="F2" s="456" t="s">
        <v>380</v>
      </c>
      <c r="G2" s="457" t="s">
        <v>390</v>
      </c>
      <c r="H2" s="458" t="s">
        <v>4766</v>
      </c>
    </row>
    <row r="3" spans="1:8" ht="26.4" x14ac:dyDescent="0.25">
      <c r="A3" s="256" t="s">
        <v>2965</v>
      </c>
      <c r="B3" s="132">
        <v>560</v>
      </c>
      <c r="C3" s="133" t="s">
        <v>2490</v>
      </c>
      <c r="D3" s="257" t="s">
        <v>2016</v>
      </c>
      <c r="E3" s="452">
        <v>10</v>
      </c>
      <c r="F3" s="456" t="s">
        <v>382</v>
      </c>
      <c r="G3" s="457" t="s">
        <v>389</v>
      </c>
      <c r="H3" s="458" t="s">
        <v>4767</v>
      </c>
    </row>
    <row r="4" spans="1:8" ht="39.6" x14ac:dyDescent="0.25">
      <c r="A4" s="261" t="s">
        <v>2966</v>
      </c>
      <c r="B4" s="134">
        <v>309</v>
      </c>
      <c r="C4" s="135" t="s">
        <v>502</v>
      </c>
      <c r="D4" s="286" t="s">
        <v>2374</v>
      </c>
      <c r="E4" s="452">
        <v>15</v>
      </c>
      <c r="F4" s="456" t="s">
        <v>382</v>
      </c>
      <c r="G4" s="457" t="s">
        <v>389</v>
      </c>
      <c r="H4" s="458" t="s">
        <v>4767</v>
      </c>
    </row>
    <row r="5" spans="1:8" ht="39.6" x14ac:dyDescent="0.25">
      <c r="A5" s="256" t="s">
        <v>2967</v>
      </c>
      <c r="B5" s="132">
        <v>311</v>
      </c>
      <c r="C5" s="133" t="s">
        <v>2491</v>
      </c>
      <c r="D5" s="257" t="s">
        <v>734</v>
      </c>
      <c r="E5" s="452">
        <v>15</v>
      </c>
      <c r="F5" s="456" t="s">
        <v>380</v>
      </c>
      <c r="G5" s="457" t="s">
        <v>390</v>
      </c>
      <c r="H5" s="458" t="s">
        <v>4766</v>
      </c>
    </row>
    <row r="6" spans="1:8" ht="52.8" x14ac:dyDescent="0.25">
      <c r="A6" s="459" t="s">
        <v>4768</v>
      </c>
      <c r="B6" s="460">
        <v>591</v>
      </c>
      <c r="C6" s="133" t="s">
        <v>4769</v>
      </c>
      <c r="D6" s="461" t="s">
        <v>4770</v>
      </c>
      <c r="E6" s="452">
        <v>1</v>
      </c>
      <c r="F6" s="456" t="s">
        <v>382</v>
      </c>
      <c r="G6" s="457"/>
      <c r="H6" s="458"/>
    </row>
    <row r="7" spans="1:8" x14ac:dyDescent="0.25">
      <c r="A7" s="261" t="s">
        <v>4771</v>
      </c>
      <c r="B7" s="134">
        <v>366</v>
      </c>
      <c r="C7" s="135" t="s">
        <v>2492</v>
      </c>
      <c r="D7" s="286" t="s">
        <v>2374</v>
      </c>
      <c r="E7" s="452">
        <v>25</v>
      </c>
      <c r="F7" s="456" t="s">
        <v>382</v>
      </c>
      <c r="G7" s="457" t="s">
        <v>389</v>
      </c>
      <c r="H7" s="458" t="s">
        <v>4767</v>
      </c>
    </row>
    <row r="8" spans="1:8" ht="39.6" x14ac:dyDescent="0.25">
      <c r="A8" s="261" t="s">
        <v>2968</v>
      </c>
      <c r="B8" s="134">
        <v>316</v>
      </c>
      <c r="C8" s="135" t="s">
        <v>4741</v>
      </c>
      <c r="D8" s="286" t="s">
        <v>2374</v>
      </c>
      <c r="E8" s="454">
        <v>15</v>
      </c>
      <c r="F8" s="456" t="s">
        <v>382</v>
      </c>
      <c r="G8" s="457" t="s">
        <v>393</v>
      </c>
      <c r="H8" s="458" t="s">
        <v>4767</v>
      </c>
    </row>
    <row r="9" spans="1:8" ht="26.4" x14ac:dyDescent="0.25">
      <c r="A9" s="261" t="s">
        <v>2969</v>
      </c>
      <c r="B9" s="134">
        <v>575</v>
      </c>
      <c r="C9" s="135" t="s">
        <v>505</v>
      </c>
      <c r="D9" s="257" t="s">
        <v>2016</v>
      </c>
      <c r="E9" s="452">
        <v>10</v>
      </c>
      <c r="F9" s="456" t="s">
        <v>382</v>
      </c>
      <c r="G9" s="457" t="s">
        <v>389</v>
      </c>
      <c r="H9" s="458" t="s">
        <v>4767</v>
      </c>
    </row>
    <row r="10" spans="1:8" ht="26.4" x14ac:dyDescent="0.25">
      <c r="A10" s="261" t="s">
        <v>2970</v>
      </c>
      <c r="B10" s="134">
        <v>397</v>
      </c>
      <c r="C10" s="135" t="s">
        <v>2493</v>
      </c>
      <c r="D10" s="257" t="s">
        <v>734</v>
      </c>
      <c r="E10" s="452">
        <v>10</v>
      </c>
      <c r="F10" s="456" t="s">
        <v>382</v>
      </c>
      <c r="G10" s="457" t="s">
        <v>389</v>
      </c>
      <c r="H10" s="458" t="s">
        <v>4767</v>
      </c>
    </row>
    <row r="11" spans="1:8" ht="26.4" x14ac:dyDescent="0.25">
      <c r="A11" s="261" t="s">
        <v>4762</v>
      </c>
      <c r="B11" s="134">
        <v>396</v>
      </c>
      <c r="C11" s="135" t="s">
        <v>2345</v>
      </c>
      <c r="D11" s="286" t="s">
        <v>4772</v>
      </c>
      <c r="E11" s="452">
        <v>5</v>
      </c>
      <c r="F11" s="456" t="s">
        <v>383</v>
      </c>
      <c r="G11" s="457" t="s">
        <v>392</v>
      </c>
      <c r="H11" s="458" t="s">
        <v>4767</v>
      </c>
    </row>
    <row r="12" spans="1:8" ht="26.4" x14ac:dyDescent="0.25">
      <c r="A12" s="261" t="s">
        <v>2971</v>
      </c>
      <c r="B12" s="134">
        <v>314</v>
      </c>
      <c r="C12" s="135" t="s">
        <v>507</v>
      </c>
      <c r="D12" s="257" t="s">
        <v>734</v>
      </c>
      <c r="E12" s="452">
        <v>10</v>
      </c>
      <c r="F12" s="456" t="s">
        <v>381</v>
      </c>
      <c r="G12" s="457" t="s">
        <v>391</v>
      </c>
      <c r="H12" s="458" t="s">
        <v>4766</v>
      </c>
    </row>
    <row r="13" spans="1:8" ht="26.4" x14ac:dyDescent="0.25">
      <c r="A13" s="261" t="s">
        <v>4742</v>
      </c>
      <c r="B13" s="134">
        <v>584</v>
      </c>
      <c r="C13" s="135" t="s">
        <v>2494</v>
      </c>
      <c r="D13" s="257" t="s">
        <v>2016</v>
      </c>
      <c r="E13" s="452">
        <v>10</v>
      </c>
      <c r="F13" s="456" t="s">
        <v>382</v>
      </c>
      <c r="G13" s="457" t="s">
        <v>389</v>
      </c>
      <c r="H13" s="458" t="s">
        <v>4767</v>
      </c>
    </row>
    <row r="14" spans="1:8" ht="26.4" x14ac:dyDescent="0.25">
      <c r="A14" s="261" t="s">
        <v>2972</v>
      </c>
      <c r="B14" s="134">
        <v>326</v>
      </c>
      <c r="C14" s="135" t="s">
        <v>2495</v>
      </c>
      <c r="D14" s="257" t="s">
        <v>2016</v>
      </c>
      <c r="E14" s="452">
        <v>5</v>
      </c>
      <c r="F14" s="456" t="s">
        <v>382</v>
      </c>
      <c r="G14" s="457" t="s">
        <v>389</v>
      </c>
      <c r="H14" s="458" t="s">
        <v>4767</v>
      </c>
    </row>
    <row r="15" spans="1:8" ht="52.8" x14ac:dyDescent="0.25">
      <c r="A15" s="261" t="s">
        <v>4743</v>
      </c>
      <c r="B15" s="134">
        <v>372</v>
      </c>
      <c r="C15" s="135" t="s">
        <v>4744</v>
      </c>
      <c r="D15" s="286" t="s">
        <v>2374</v>
      </c>
      <c r="E15" s="454">
        <v>10</v>
      </c>
      <c r="F15" s="456" t="s">
        <v>382</v>
      </c>
      <c r="G15" s="457" t="s">
        <v>389</v>
      </c>
      <c r="H15" s="458" t="s">
        <v>4767</v>
      </c>
    </row>
    <row r="16" spans="1:8" ht="39.6" x14ac:dyDescent="0.25">
      <c r="A16" s="261" t="s">
        <v>2973</v>
      </c>
      <c r="B16" s="134">
        <v>317</v>
      </c>
      <c r="C16" s="135" t="s">
        <v>1239</v>
      </c>
      <c r="D16" s="286" t="s">
        <v>2374</v>
      </c>
      <c r="E16" s="452">
        <v>15</v>
      </c>
      <c r="F16" s="456" t="s">
        <v>382</v>
      </c>
      <c r="G16" s="457" t="s">
        <v>393</v>
      </c>
      <c r="H16" s="458" t="s">
        <v>4767</v>
      </c>
    </row>
    <row r="17" spans="1:8" ht="26.4" x14ac:dyDescent="0.25">
      <c r="A17" s="261" t="s">
        <v>2974</v>
      </c>
      <c r="B17" s="134">
        <v>327</v>
      </c>
      <c r="C17" s="135" t="s">
        <v>1241</v>
      </c>
      <c r="D17" s="257" t="s">
        <v>734</v>
      </c>
      <c r="E17" s="452">
        <v>5</v>
      </c>
      <c r="F17" s="456" t="s">
        <v>384</v>
      </c>
      <c r="G17" s="457" t="s">
        <v>394</v>
      </c>
      <c r="H17" s="458" t="s">
        <v>4766</v>
      </c>
    </row>
    <row r="18" spans="1:8" ht="26.4" x14ac:dyDescent="0.25">
      <c r="A18" s="261" t="s">
        <v>2375</v>
      </c>
      <c r="B18" s="134">
        <v>328</v>
      </c>
      <c r="C18" s="135" t="s">
        <v>2496</v>
      </c>
      <c r="D18" s="257" t="s">
        <v>734</v>
      </c>
      <c r="E18" s="452">
        <v>1</v>
      </c>
      <c r="F18" s="456" t="s">
        <v>384</v>
      </c>
      <c r="G18" s="457" t="s">
        <v>394</v>
      </c>
      <c r="H18" s="458" t="s">
        <v>4773</v>
      </c>
    </row>
    <row r="19" spans="1:8" ht="26.4" x14ac:dyDescent="0.25">
      <c r="A19" s="261" t="s">
        <v>2975</v>
      </c>
      <c r="B19" s="134">
        <v>656</v>
      </c>
      <c r="C19" s="135" t="s">
        <v>2497</v>
      </c>
      <c r="D19" s="286" t="s">
        <v>2374</v>
      </c>
      <c r="E19" s="452">
        <v>15</v>
      </c>
      <c r="F19" s="456" t="s">
        <v>385</v>
      </c>
      <c r="G19" s="457" t="s">
        <v>392</v>
      </c>
      <c r="H19" s="458" t="s">
        <v>4767</v>
      </c>
    </row>
    <row r="20" spans="1:8" ht="39.6" x14ac:dyDescent="0.25">
      <c r="A20" s="261" t="s">
        <v>2976</v>
      </c>
      <c r="B20" s="134">
        <v>332</v>
      </c>
      <c r="C20" s="135" t="s">
        <v>2498</v>
      </c>
      <c r="D20" s="257" t="s">
        <v>734</v>
      </c>
      <c r="E20" s="452">
        <v>5</v>
      </c>
      <c r="F20" s="456" t="s">
        <v>384</v>
      </c>
      <c r="G20" s="457" t="s">
        <v>394</v>
      </c>
      <c r="H20" s="458" t="s">
        <v>4766</v>
      </c>
    </row>
    <row r="21" spans="1:8" ht="26.4" x14ac:dyDescent="0.25">
      <c r="A21" s="261" t="s">
        <v>2977</v>
      </c>
      <c r="B21" s="134">
        <v>330</v>
      </c>
      <c r="C21" s="135" t="s">
        <v>527</v>
      </c>
      <c r="D21" s="257" t="s">
        <v>734</v>
      </c>
      <c r="E21" s="452">
        <v>5</v>
      </c>
      <c r="F21" s="456" t="s">
        <v>384</v>
      </c>
      <c r="G21" s="457" t="s">
        <v>394</v>
      </c>
      <c r="H21" s="458" t="s">
        <v>4766</v>
      </c>
    </row>
    <row r="22" spans="1:8" ht="26.4" x14ac:dyDescent="0.25">
      <c r="A22" s="459" t="s">
        <v>4774</v>
      </c>
      <c r="B22" s="134">
        <v>331</v>
      </c>
      <c r="C22" s="135" t="s">
        <v>528</v>
      </c>
      <c r="D22" s="257" t="s">
        <v>734</v>
      </c>
      <c r="E22" s="452">
        <v>10</v>
      </c>
      <c r="F22" s="456" t="s">
        <v>384</v>
      </c>
      <c r="G22" s="457" t="s">
        <v>394</v>
      </c>
      <c r="H22" s="458" t="s">
        <v>4766</v>
      </c>
    </row>
    <row r="23" spans="1:8" ht="39.6" x14ac:dyDescent="0.25">
      <c r="A23" s="261" t="s">
        <v>2978</v>
      </c>
      <c r="B23" s="134">
        <v>340</v>
      </c>
      <c r="C23" s="135" t="s">
        <v>2328</v>
      </c>
      <c r="D23" s="257" t="s">
        <v>734</v>
      </c>
      <c r="E23" s="452">
        <v>1</v>
      </c>
      <c r="F23" s="456" t="s">
        <v>384</v>
      </c>
      <c r="G23" s="457" t="s">
        <v>394</v>
      </c>
      <c r="H23" s="458" t="s">
        <v>4766</v>
      </c>
    </row>
    <row r="24" spans="1:8" ht="52.8" x14ac:dyDescent="0.25">
      <c r="A24" s="261" t="s">
        <v>2979</v>
      </c>
      <c r="B24" s="134">
        <v>342</v>
      </c>
      <c r="C24" s="135" t="s">
        <v>2499</v>
      </c>
      <c r="D24" s="257" t="s">
        <v>734</v>
      </c>
      <c r="E24" s="452">
        <v>10</v>
      </c>
      <c r="F24" s="456" t="s">
        <v>384</v>
      </c>
      <c r="G24" s="457" t="s">
        <v>394</v>
      </c>
      <c r="H24" s="458" t="s">
        <v>4766</v>
      </c>
    </row>
    <row r="25" spans="1:8" ht="39.6" x14ac:dyDescent="0.25">
      <c r="A25" s="459" t="s">
        <v>4775</v>
      </c>
      <c r="B25" s="134" t="s">
        <v>2500</v>
      </c>
      <c r="C25" s="135" t="s">
        <v>2501</v>
      </c>
      <c r="D25" s="257" t="s">
        <v>734</v>
      </c>
      <c r="E25" s="452">
        <v>5</v>
      </c>
      <c r="F25" s="456" t="s">
        <v>384</v>
      </c>
      <c r="G25" s="457" t="s">
        <v>394</v>
      </c>
      <c r="H25" s="458" t="s">
        <v>4766</v>
      </c>
    </row>
    <row r="26" spans="1:8" ht="39.6" x14ac:dyDescent="0.25">
      <c r="A26" s="261" t="s">
        <v>2980</v>
      </c>
      <c r="B26" s="134">
        <v>324</v>
      </c>
      <c r="C26" s="135" t="s">
        <v>2502</v>
      </c>
      <c r="D26" s="257" t="s">
        <v>734</v>
      </c>
      <c r="E26" s="452">
        <v>1</v>
      </c>
      <c r="F26" s="456" t="s">
        <v>384</v>
      </c>
      <c r="G26" s="457" t="s">
        <v>394</v>
      </c>
      <c r="H26" s="458" t="s">
        <v>4766</v>
      </c>
    </row>
    <row r="27" spans="1:8" ht="26.4" x14ac:dyDescent="0.25">
      <c r="A27" s="261" t="s">
        <v>2981</v>
      </c>
      <c r="B27" s="134">
        <v>356</v>
      </c>
      <c r="C27" s="135" t="s">
        <v>2503</v>
      </c>
      <c r="D27" s="257" t="s">
        <v>2016</v>
      </c>
      <c r="E27" s="452">
        <v>20</v>
      </c>
      <c r="F27" s="456" t="s">
        <v>382</v>
      </c>
      <c r="G27" s="457" t="s">
        <v>389</v>
      </c>
      <c r="H27" s="458" t="s">
        <v>4767</v>
      </c>
    </row>
    <row r="28" spans="1:8" ht="26.4" x14ac:dyDescent="0.25">
      <c r="A28" s="261" t="s">
        <v>2982</v>
      </c>
      <c r="B28" s="134">
        <v>362</v>
      </c>
      <c r="C28" s="135" t="s">
        <v>2504</v>
      </c>
      <c r="D28" s="286" t="s">
        <v>2016</v>
      </c>
      <c r="E28" s="452">
        <v>10</v>
      </c>
      <c r="F28" s="456" t="s">
        <v>382</v>
      </c>
      <c r="G28" s="457" t="s">
        <v>389</v>
      </c>
      <c r="H28" s="458" t="s">
        <v>4767</v>
      </c>
    </row>
    <row r="29" spans="1:8" ht="26.4" x14ac:dyDescent="0.25">
      <c r="A29" s="135" t="s">
        <v>2334</v>
      </c>
      <c r="B29" s="134">
        <v>554</v>
      </c>
      <c r="C29" s="135" t="s">
        <v>2505</v>
      </c>
      <c r="D29" s="286" t="s">
        <v>734</v>
      </c>
      <c r="E29" s="452">
        <v>1</v>
      </c>
      <c r="F29" s="456" t="s">
        <v>382</v>
      </c>
      <c r="G29" s="457" t="s">
        <v>389</v>
      </c>
      <c r="H29" s="458" t="s">
        <v>4773</v>
      </c>
    </row>
    <row r="30" spans="1:8" ht="39.6" x14ac:dyDescent="0.25">
      <c r="A30" s="135" t="s">
        <v>4776</v>
      </c>
      <c r="B30" s="134">
        <v>432</v>
      </c>
      <c r="C30" s="135" t="s">
        <v>2506</v>
      </c>
      <c r="D30" s="286" t="s">
        <v>2374</v>
      </c>
      <c r="E30" s="452">
        <v>15</v>
      </c>
      <c r="F30" s="456" t="s">
        <v>382</v>
      </c>
      <c r="G30" s="457" t="s">
        <v>389</v>
      </c>
      <c r="H30" s="458" t="s">
        <v>4767</v>
      </c>
    </row>
    <row r="31" spans="1:8" ht="26.4" x14ac:dyDescent="0.25">
      <c r="A31" s="261" t="s">
        <v>2983</v>
      </c>
      <c r="B31" s="134">
        <v>647</v>
      </c>
      <c r="C31" s="135" t="s">
        <v>2337</v>
      </c>
      <c r="D31" s="286" t="s">
        <v>734</v>
      </c>
      <c r="E31" s="452">
        <v>1</v>
      </c>
      <c r="F31" s="456" t="s">
        <v>385</v>
      </c>
      <c r="G31" s="457" t="s">
        <v>392</v>
      </c>
      <c r="H31" s="458" t="s">
        <v>4766</v>
      </c>
    </row>
    <row r="32" spans="1:8" ht="39.6" x14ac:dyDescent="0.25">
      <c r="A32" s="261" t="s">
        <v>4777</v>
      </c>
      <c r="B32" s="134">
        <v>374</v>
      </c>
      <c r="C32" s="135" t="s">
        <v>4763</v>
      </c>
      <c r="D32" s="286" t="s">
        <v>2374</v>
      </c>
      <c r="E32" s="454">
        <v>10</v>
      </c>
      <c r="F32" s="456" t="s">
        <v>382</v>
      </c>
      <c r="G32" s="457"/>
      <c r="H32" s="458" t="s">
        <v>4767</v>
      </c>
    </row>
    <row r="33" spans="1:8" ht="26.4" x14ac:dyDescent="0.25">
      <c r="A33" s="261" t="s">
        <v>1016</v>
      </c>
      <c r="B33" s="134">
        <v>382</v>
      </c>
      <c r="C33" s="135" t="s">
        <v>2339</v>
      </c>
      <c r="D33" s="286" t="s">
        <v>2016</v>
      </c>
      <c r="E33" s="452">
        <v>20</v>
      </c>
      <c r="F33" s="456" t="s">
        <v>381</v>
      </c>
      <c r="G33" s="457" t="s">
        <v>391</v>
      </c>
      <c r="H33" s="458" t="s">
        <v>4767</v>
      </c>
    </row>
    <row r="34" spans="1:8" ht="26.4" x14ac:dyDescent="0.25">
      <c r="A34" s="261" t="s">
        <v>2984</v>
      </c>
      <c r="B34" s="134">
        <v>386</v>
      </c>
      <c r="C34" s="135" t="s">
        <v>2508</v>
      </c>
      <c r="D34" s="286" t="s">
        <v>4778</v>
      </c>
      <c r="E34" s="452">
        <v>10</v>
      </c>
      <c r="F34" s="456" t="s">
        <v>384</v>
      </c>
      <c r="G34" s="457" t="s">
        <v>394</v>
      </c>
      <c r="H34" s="458" t="s">
        <v>4766</v>
      </c>
    </row>
    <row r="35" spans="1:8" ht="39.6" x14ac:dyDescent="0.25">
      <c r="A35" s="261" t="s">
        <v>2985</v>
      </c>
      <c r="B35" s="134">
        <v>393</v>
      </c>
      <c r="C35" s="135" t="s">
        <v>2342</v>
      </c>
      <c r="D35" s="286" t="s">
        <v>734</v>
      </c>
      <c r="E35" s="452">
        <v>10</v>
      </c>
      <c r="F35" s="456" t="s">
        <v>384</v>
      </c>
      <c r="G35" s="457" t="s">
        <v>394</v>
      </c>
      <c r="H35" s="458" t="s">
        <v>4766</v>
      </c>
    </row>
    <row r="36" spans="1:8" x14ac:dyDescent="0.25">
      <c r="A36" s="261" t="s">
        <v>2986</v>
      </c>
      <c r="B36" s="134">
        <v>394</v>
      </c>
      <c r="C36" s="135" t="s">
        <v>2510</v>
      </c>
      <c r="D36" s="286" t="s">
        <v>2016</v>
      </c>
      <c r="E36" s="452">
        <v>5</v>
      </c>
      <c r="F36" s="456" t="s">
        <v>380</v>
      </c>
      <c r="G36" s="457" t="s">
        <v>390</v>
      </c>
      <c r="H36" s="458" t="s">
        <v>4766</v>
      </c>
    </row>
    <row r="37" spans="1:8" ht="26.4" x14ac:dyDescent="0.25">
      <c r="A37" s="261" t="s">
        <v>2987</v>
      </c>
      <c r="B37" s="134">
        <v>398</v>
      </c>
      <c r="C37" s="135" t="s">
        <v>2511</v>
      </c>
      <c r="D37" s="286" t="s">
        <v>2016</v>
      </c>
      <c r="E37" s="452">
        <v>10</v>
      </c>
      <c r="F37" s="456" t="s">
        <v>383</v>
      </c>
      <c r="G37" s="457" t="s">
        <v>392</v>
      </c>
      <c r="H37" s="458" t="s">
        <v>4767</v>
      </c>
    </row>
    <row r="38" spans="1:8" ht="26.4" x14ac:dyDescent="0.25">
      <c r="A38" s="261" t="s">
        <v>4745</v>
      </c>
      <c r="B38" s="134">
        <v>399</v>
      </c>
      <c r="C38" s="135" t="s">
        <v>2347</v>
      </c>
      <c r="D38" s="286" t="s">
        <v>2374</v>
      </c>
      <c r="E38" s="452">
        <v>1</v>
      </c>
      <c r="F38" s="456" t="s">
        <v>385</v>
      </c>
      <c r="G38" s="457" t="s">
        <v>392</v>
      </c>
      <c r="H38" s="458" t="s">
        <v>4773</v>
      </c>
    </row>
    <row r="39" spans="1:8" ht="26.4" x14ac:dyDescent="0.25">
      <c r="A39" s="261" t="s">
        <v>3254</v>
      </c>
      <c r="B39" s="134">
        <v>512</v>
      </c>
      <c r="C39" s="135" t="s">
        <v>1150</v>
      </c>
      <c r="D39" s="257" t="s">
        <v>734</v>
      </c>
      <c r="E39" s="452">
        <v>5</v>
      </c>
      <c r="F39" s="456" t="s">
        <v>381</v>
      </c>
      <c r="G39" s="457" t="s">
        <v>391</v>
      </c>
      <c r="H39" s="458" t="s">
        <v>4766</v>
      </c>
    </row>
    <row r="40" spans="1:8" ht="39.6" x14ac:dyDescent="0.25">
      <c r="A40" s="261" t="s">
        <v>2988</v>
      </c>
      <c r="B40" s="134">
        <v>511</v>
      </c>
      <c r="C40" s="135" t="s">
        <v>2350</v>
      </c>
      <c r="D40" s="286" t="s">
        <v>734</v>
      </c>
      <c r="E40" s="452">
        <v>1</v>
      </c>
      <c r="F40" s="456" t="s">
        <v>381</v>
      </c>
      <c r="G40" s="457" t="s">
        <v>391</v>
      </c>
      <c r="H40" s="458" t="s">
        <v>4766</v>
      </c>
    </row>
    <row r="41" spans="1:8" ht="39.6" x14ac:dyDescent="0.25">
      <c r="A41" s="261" t="s">
        <v>2989</v>
      </c>
      <c r="B41" s="134">
        <v>666</v>
      </c>
      <c r="C41" s="135" t="s">
        <v>2353</v>
      </c>
      <c r="D41" s="286" t="s">
        <v>734</v>
      </c>
      <c r="E41" s="452">
        <v>10</v>
      </c>
      <c r="F41" s="456" t="s">
        <v>380</v>
      </c>
      <c r="G41" s="457" t="s">
        <v>390</v>
      </c>
      <c r="H41" s="458" t="s">
        <v>4766</v>
      </c>
    </row>
    <row r="42" spans="1:8" ht="26.4" x14ac:dyDescent="0.25">
      <c r="A42" s="261" t="s">
        <v>3253</v>
      </c>
      <c r="B42" s="134">
        <v>655</v>
      </c>
      <c r="C42" s="135" t="s">
        <v>2512</v>
      </c>
      <c r="D42" s="286" t="s">
        <v>734</v>
      </c>
      <c r="E42" s="452">
        <v>5</v>
      </c>
      <c r="F42" s="456" t="s">
        <v>380</v>
      </c>
      <c r="G42" s="457" t="s">
        <v>390</v>
      </c>
      <c r="H42" s="458" t="s">
        <v>4766</v>
      </c>
    </row>
    <row r="43" spans="1:8" ht="26.4" x14ac:dyDescent="0.25">
      <c r="A43" s="261" t="s">
        <v>4779</v>
      </c>
      <c r="B43" s="134">
        <v>713</v>
      </c>
      <c r="C43" s="135" t="s">
        <v>4780</v>
      </c>
      <c r="D43" s="286" t="s">
        <v>2374</v>
      </c>
      <c r="E43" s="452"/>
      <c r="F43" s="456" t="s">
        <v>382</v>
      </c>
      <c r="G43" s="457" t="s">
        <v>389</v>
      </c>
      <c r="H43" s="458" t="s">
        <v>4767</v>
      </c>
    </row>
    <row r="44" spans="1:8" ht="26.4" x14ac:dyDescent="0.25">
      <c r="A44" s="261" t="s">
        <v>210</v>
      </c>
      <c r="B44" s="134">
        <v>410</v>
      </c>
      <c r="C44" s="135" t="s">
        <v>2355</v>
      </c>
      <c r="D44" s="286" t="s">
        <v>2374</v>
      </c>
      <c r="E44" s="452">
        <v>15</v>
      </c>
      <c r="F44" s="456" t="s">
        <v>382</v>
      </c>
      <c r="G44" s="457" t="s">
        <v>389</v>
      </c>
      <c r="H44" s="458" t="s">
        <v>4767</v>
      </c>
    </row>
    <row r="45" spans="1:8" ht="39.6" x14ac:dyDescent="0.25">
      <c r="A45" s="261" t="s">
        <v>2990</v>
      </c>
      <c r="B45" s="134">
        <v>412</v>
      </c>
      <c r="C45" s="135" t="s">
        <v>2357</v>
      </c>
      <c r="D45" s="257" t="s">
        <v>734</v>
      </c>
      <c r="E45" s="452">
        <v>10</v>
      </c>
      <c r="F45" s="456" t="s">
        <v>386</v>
      </c>
      <c r="G45" s="457" t="s">
        <v>394</v>
      </c>
      <c r="H45" s="458" t="s">
        <v>4767</v>
      </c>
    </row>
    <row r="46" spans="1:8" ht="52.8" x14ac:dyDescent="0.25">
      <c r="A46" s="261" t="s">
        <v>2991</v>
      </c>
      <c r="B46" s="134">
        <v>561</v>
      </c>
      <c r="C46" s="135" t="s">
        <v>2612</v>
      </c>
      <c r="D46" s="257" t="s">
        <v>734</v>
      </c>
      <c r="E46" s="452">
        <v>10</v>
      </c>
      <c r="F46" s="456" t="s">
        <v>382</v>
      </c>
      <c r="G46" s="457" t="s">
        <v>389</v>
      </c>
      <c r="H46" s="458" t="s">
        <v>4767</v>
      </c>
    </row>
    <row r="47" spans="1:8" ht="26.4" x14ac:dyDescent="0.25">
      <c r="A47" s="261" t="s">
        <v>2992</v>
      </c>
      <c r="B47" s="134">
        <v>422</v>
      </c>
      <c r="C47" s="135" t="s">
        <v>2614</v>
      </c>
      <c r="D47" s="257" t="s">
        <v>2016</v>
      </c>
      <c r="E47" s="452">
        <v>15</v>
      </c>
      <c r="F47" s="456" t="s">
        <v>385</v>
      </c>
      <c r="G47" s="457" t="s">
        <v>392</v>
      </c>
      <c r="H47" s="458" t="s">
        <v>4766</v>
      </c>
    </row>
    <row r="48" spans="1:8" ht="26.4" x14ac:dyDescent="0.25">
      <c r="A48" s="256" t="s">
        <v>2993</v>
      </c>
      <c r="B48" s="132">
        <v>315</v>
      </c>
      <c r="C48" s="133" t="s">
        <v>4746</v>
      </c>
      <c r="D48" s="257" t="s">
        <v>734</v>
      </c>
      <c r="E48" s="452">
        <v>5</v>
      </c>
      <c r="F48" s="456" t="s">
        <v>380</v>
      </c>
      <c r="G48" s="457" t="s">
        <v>390</v>
      </c>
      <c r="H48" s="458" t="s">
        <v>4766</v>
      </c>
    </row>
    <row r="49" spans="1:8" ht="26.4" x14ac:dyDescent="0.25">
      <c r="A49" s="261" t="s">
        <v>2994</v>
      </c>
      <c r="B49" s="134">
        <v>603</v>
      </c>
      <c r="C49" s="135" t="s">
        <v>2616</v>
      </c>
      <c r="D49" s="257" t="s">
        <v>2016</v>
      </c>
      <c r="E49" s="452">
        <v>5</v>
      </c>
      <c r="F49" s="456" t="s">
        <v>384</v>
      </c>
      <c r="G49" s="457" t="s">
        <v>394</v>
      </c>
      <c r="H49" s="458" t="s">
        <v>4766</v>
      </c>
    </row>
    <row r="50" spans="1:8" ht="79.2" x14ac:dyDescent="0.25">
      <c r="A50" s="261" t="s">
        <v>4781</v>
      </c>
      <c r="B50" s="134">
        <v>595</v>
      </c>
      <c r="C50" s="135" t="s">
        <v>2644</v>
      </c>
      <c r="D50" s="257" t="s">
        <v>734</v>
      </c>
      <c r="E50" s="452">
        <v>1</v>
      </c>
      <c r="F50" s="456" t="s">
        <v>387</v>
      </c>
      <c r="G50" s="457" t="s">
        <v>396</v>
      </c>
      <c r="H50" s="458" t="s">
        <v>4773</v>
      </c>
    </row>
    <row r="51" spans="1:8" ht="39.6" x14ac:dyDescent="0.25">
      <c r="A51" s="261" t="s">
        <v>4747</v>
      </c>
      <c r="B51" s="134">
        <v>430</v>
      </c>
      <c r="C51" s="135" t="s">
        <v>4748</v>
      </c>
      <c r="D51" s="286" t="s">
        <v>2016</v>
      </c>
      <c r="E51" s="452">
        <v>20</v>
      </c>
      <c r="F51" s="456" t="s">
        <v>382</v>
      </c>
      <c r="G51" s="457" t="s">
        <v>389</v>
      </c>
      <c r="H51" s="458" t="s">
        <v>4767</v>
      </c>
    </row>
    <row r="52" spans="1:8" ht="26.4" x14ac:dyDescent="0.25">
      <c r="A52" s="261" t="s">
        <v>4749</v>
      </c>
      <c r="B52" s="134">
        <v>436</v>
      </c>
      <c r="C52" s="135" t="s">
        <v>1144</v>
      </c>
      <c r="D52" s="286" t="s">
        <v>4750</v>
      </c>
      <c r="E52" s="452">
        <v>15</v>
      </c>
      <c r="F52" s="456" t="s">
        <v>382</v>
      </c>
      <c r="G52" s="457" t="s">
        <v>389</v>
      </c>
      <c r="H52" s="458" t="s">
        <v>4767</v>
      </c>
    </row>
    <row r="53" spans="1:8" ht="39.6" x14ac:dyDescent="0.25">
      <c r="A53" s="261" t="s">
        <v>4751</v>
      </c>
      <c r="B53" s="134">
        <v>441</v>
      </c>
      <c r="C53" s="135" t="s">
        <v>2620</v>
      </c>
      <c r="D53" s="286" t="s">
        <v>734</v>
      </c>
      <c r="E53" s="452">
        <v>15</v>
      </c>
      <c r="F53" s="456" t="s">
        <v>382</v>
      </c>
      <c r="G53" s="457" t="s">
        <v>389</v>
      </c>
      <c r="H53" s="458" t="s">
        <v>4767</v>
      </c>
    </row>
    <row r="54" spans="1:8" ht="52.8" x14ac:dyDescent="0.25">
      <c r="A54" s="261" t="s">
        <v>2995</v>
      </c>
      <c r="B54" s="134">
        <v>442</v>
      </c>
      <c r="C54" s="135" t="s">
        <v>2622</v>
      </c>
      <c r="D54" s="286" t="s">
        <v>734</v>
      </c>
      <c r="E54" s="452">
        <v>15</v>
      </c>
      <c r="F54" s="456" t="s">
        <v>382</v>
      </c>
      <c r="G54" s="457" t="s">
        <v>389</v>
      </c>
      <c r="H54" s="458" t="s">
        <v>4767</v>
      </c>
    </row>
    <row r="55" spans="1:8" ht="66" x14ac:dyDescent="0.25">
      <c r="A55" s="261" t="s">
        <v>2996</v>
      </c>
      <c r="B55" s="134">
        <v>443</v>
      </c>
      <c r="C55" s="136" t="s">
        <v>1145</v>
      </c>
      <c r="D55" s="286" t="s">
        <v>734</v>
      </c>
      <c r="E55" s="452">
        <v>15</v>
      </c>
      <c r="F55" s="456" t="s">
        <v>382</v>
      </c>
      <c r="G55" s="457" t="s">
        <v>389</v>
      </c>
      <c r="H55" s="458" t="s">
        <v>4767</v>
      </c>
    </row>
    <row r="56" spans="1:8" ht="39.6" x14ac:dyDescent="0.25">
      <c r="A56" s="261" t="s">
        <v>2997</v>
      </c>
      <c r="B56" s="134">
        <v>449</v>
      </c>
      <c r="C56" s="135" t="s">
        <v>2628</v>
      </c>
      <c r="D56" s="257" t="s">
        <v>734</v>
      </c>
      <c r="E56" s="452">
        <v>1</v>
      </c>
      <c r="F56" s="456" t="s">
        <v>382</v>
      </c>
      <c r="G56" s="457" t="s">
        <v>389</v>
      </c>
      <c r="H56" s="458" t="s">
        <v>4773</v>
      </c>
    </row>
    <row r="57" spans="1:8" ht="39.6" x14ac:dyDescent="0.25">
      <c r="A57" s="459" t="s">
        <v>4782</v>
      </c>
      <c r="B57" s="460">
        <v>527</v>
      </c>
      <c r="C57" s="135" t="s">
        <v>4783</v>
      </c>
      <c r="D57" s="257" t="s">
        <v>2374</v>
      </c>
      <c r="E57" s="452"/>
      <c r="F57" s="456" t="s">
        <v>382</v>
      </c>
      <c r="G57" s="457"/>
      <c r="H57" s="458"/>
    </row>
    <row r="58" spans="1:8" ht="39.6" x14ac:dyDescent="0.25">
      <c r="A58" s="261" t="s">
        <v>2998</v>
      </c>
      <c r="B58" s="134">
        <v>543</v>
      </c>
      <c r="C58" s="135" t="s">
        <v>1148</v>
      </c>
      <c r="D58" s="257" t="s">
        <v>734</v>
      </c>
      <c r="E58" s="452">
        <v>15</v>
      </c>
      <c r="F58" s="456" t="s">
        <v>386</v>
      </c>
      <c r="G58" s="457" t="s">
        <v>394</v>
      </c>
      <c r="H58" s="458" t="s">
        <v>4766</v>
      </c>
    </row>
    <row r="59" spans="1:8" ht="26.4" x14ac:dyDescent="0.25">
      <c r="A59" s="261" t="s">
        <v>2999</v>
      </c>
      <c r="B59" s="134">
        <v>544</v>
      </c>
      <c r="C59" s="135" t="s">
        <v>1149</v>
      </c>
      <c r="D59" s="257" t="s">
        <v>734</v>
      </c>
      <c r="E59" s="452">
        <v>15</v>
      </c>
      <c r="F59" s="456" t="s">
        <v>384</v>
      </c>
      <c r="G59" s="457" t="s">
        <v>394</v>
      </c>
      <c r="H59" s="458" t="s">
        <v>4766</v>
      </c>
    </row>
    <row r="60" spans="1:8" x14ac:dyDescent="0.25">
      <c r="A60" s="261" t="s">
        <v>3000</v>
      </c>
      <c r="B60" s="134">
        <v>466</v>
      </c>
      <c r="C60" s="135" t="s">
        <v>211</v>
      </c>
      <c r="D60" s="257" t="s">
        <v>734</v>
      </c>
      <c r="E60" s="452">
        <v>10</v>
      </c>
      <c r="F60" s="456" t="s">
        <v>382</v>
      </c>
      <c r="G60" s="457" t="s">
        <v>389</v>
      </c>
      <c r="H60" s="458" t="s">
        <v>4766</v>
      </c>
    </row>
    <row r="61" spans="1:8" ht="39.6" x14ac:dyDescent="0.25">
      <c r="A61" s="261" t="s">
        <v>3001</v>
      </c>
      <c r="B61" s="134">
        <v>468</v>
      </c>
      <c r="C61" s="135" t="s">
        <v>234</v>
      </c>
      <c r="D61" s="286" t="s">
        <v>2016</v>
      </c>
      <c r="E61" s="452">
        <v>15</v>
      </c>
      <c r="F61" s="456" t="s">
        <v>382</v>
      </c>
      <c r="G61" s="457" t="s">
        <v>389</v>
      </c>
      <c r="H61" s="458" t="s">
        <v>4767</v>
      </c>
    </row>
    <row r="62" spans="1:8" ht="26.4" x14ac:dyDescent="0.25">
      <c r="A62" s="261" t="s">
        <v>4784</v>
      </c>
      <c r="B62" s="137">
        <v>516</v>
      </c>
      <c r="C62" s="135" t="s">
        <v>2646</v>
      </c>
      <c r="D62" s="257" t="s">
        <v>2016</v>
      </c>
      <c r="E62" s="452">
        <v>20</v>
      </c>
      <c r="F62" s="456" t="s">
        <v>382</v>
      </c>
      <c r="G62" s="457" t="s">
        <v>393</v>
      </c>
      <c r="H62" s="458" t="s">
        <v>4767</v>
      </c>
    </row>
    <row r="63" spans="1:8" ht="26.4" x14ac:dyDescent="0.25">
      <c r="A63" s="459" t="s">
        <v>4785</v>
      </c>
      <c r="B63" s="137">
        <v>796</v>
      </c>
      <c r="C63" s="135" t="s">
        <v>4786</v>
      </c>
      <c r="D63" s="257" t="s">
        <v>2374</v>
      </c>
      <c r="E63" s="452"/>
      <c r="F63" s="456" t="s">
        <v>382</v>
      </c>
      <c r="G63" s="457" t="s">
        <v>393</v>
      </c>
      <c r="H63" s="458" t="s">
        <v>4767</v>
      </c>
    </row>
    <row r="64" spans="1:8" ht="39.6" x14ac:dyDescent="0.25">
      <c r="A64" s="261" t="s">
        <v>3002</v>
      </c>
      <c r="B64" s="134">
        <v>457</v>
      </c>
      <c r="C64" s="135" t="s">
        <v>2634</v>
      </c>
      <c r="D64" s="286" t="s">
        <v>2374</v>
      </c>
      <c r="E64" s="452">
        <v>15</v>
      </c>
      <c r="F64" s="456" t="s">
        <v>382</v>
      </c>
      <c r="G64" s="457" t="s">
        <v>395</v>
      </c>
      <c r="H64" s="458" t="s">
        <v>4767</v>
      </c>
    </row>
    <row r="65" spans="1:8" ht="26.4" x14ac:dyDescent="0.25">
      <c r="A65" s="261" t="s">
        <v>3003</v>
      </c>
      <c r="B65" s="134">
        <v>484</v>
      </c>
      <c r="C65" s="135" t="s">
        <v>759</v>
      </c>
      <c r="D65" s="257" t="s">
        <v>734</v>
      </c>
      <c r="E65" s="452">
        <v>1</v>
      </c>
      <c r="F65" s="456" t="s">
        <v>384</v>
      </c>
      <c r="G65" s="457" t="s">
        <v>394</v>
      </c>
      <c r="H65" s="458" t="s">
        <v>4766</v>
      </c>
    </row>
    <row r="66" spans="1:8" ht="39.6" x14ac:dyDescent="0.25">
      <c r="A66" s="261" t="s">
        <v>3004</v>
      </c>
      <c r="B66" s="134">
        <v>590</v>
      </c>
      <c r="C66" s="135" t="s">
        <v>2637</v>
      </c>
      <c r="D66" s="257" t="s">
        <v>734</v>
      </c>
      <c r="E66" s="452">
        <v>1</v>
      </c>
      <c r="F66" s="456" t="s">
        <v>387</v>
      </c>
      <c r="G66" s="457" t="s">
        <v>396</v>
      </c>
      <c r="H66" s="458" t="s">
        <v>4773</v>
      </c>
    </row>
    <row r="67" spans="1:8" ht="39.6" x14ac:dyDescent="0.25">
      <c r="A67" s="261" t="s">
        <v>3005</v>
      </c>
      <c r="B67" s="134">
        <v>500</v>
      </c>
      <c r="C67" s="135" t="s">
        <v>2639</v>
      </c>
      <c r="D67" s="257" t="s">
        <v>734</v>
      </c>
      <c r="E67" s="452">
        <v>10</v>
      </c>
      <c r="F67" s="456" t="s">
        <v>382</v>
      </c>
      <c r="G67" s="457" t="s">
        <v>389</v>
      </c>
      <c r="H67" s="458" t="s">
        <v>4767</v>
      </c>
    </row>
    <row r="68" spans="1:8" ht="26.4" x14ac:dyDescent="0.25">
      <c r="A68" s="261" t="s">
        <v>3006</v>
      </c>
      <c r="B68" s="134">
        <v>582</v>
      </c>
      <c r="C68" s="135" t="s">
        <v>2641</v>
      </c>
      <c r="D68" s="257" t="s">
        <v>2016</v>
      </c>
      <c r="E68" s="452">
        <v>15</v>
      </c>
      <c r="F68" s="456" t="s">
        <v>382</v>
      </c>
      <c r="G68" s="457" t="s">
        <v>389</v>
      </c>
      <c r="H68" s="458" t="s">
        <v>4767</v>
      </c>
    </row>
    <row r="69" spans="1:8" ht="26.4" x14ac:dyDescent="0.25">
      <c r="A69" s="261" t="s">
        <v>3007</v>
      </c>
      <c r="B69" s="134">
        <v>378</v>
      </c>
      <c r="C69" s="135" t="s">
        <v>2648</v>
      </c>
      <c r="D69" s="134" t="s">
        <v>2374</v>
      </c>
      <c r="E69" s="452">
        <v>20</v>
      </c>
      <c r="F69" s="456" t="s">
        <v>382</v>
      </c>
      <c r="G69" s="457" t="s">
        <v>389</v>
      </c>
      <c r="H69" s="458" t="s">
        <v>4767</v>
      </c>
    </row>
    <row r="70" spans="1:8" ht="26.4" x14ac:dyDescent="0.25">
      <c r="A70" s="261" t="s">
        <v>3008</v>
      </c>
      <c r="B70" s="134" t="s">
        <v>2514</v>
      </c>
      <c r="C70" s="135" t="s">
        <v>257</v>
      </c>
      <c r="D70" s="286" t="s">
        <v>2374</v>
      </c>
      <c r="E70" s="452">
        <v>15</v>
      </c>
      <c r="F70" s="456" t="s">
        <v>382</v>
      </c>
      <c r="G70" s="457" t="s">
        <v>389</v>
      </c>
      <c r="H70" s="458" t="s">
        <v>4767</v>
      </c>
    </row>
    <row r="71" spans="1:8" ht="39.6" x14ac:dyDescent="0.25">
      <c r="A71" s="459" t="s">
        <v>4787</v>
      </c>
      <c r="B71" s="460" t="s">
        <v>4788</v>
      </c>
      <c r="C71" s="135" t="s">
        <v>4789</v>
      </c>
      <c r="D71" s="461" t="s">
        <v>2374</v>
      </c>
      <c r="E71" s="452">
        <v>15</v>
      </c>
      <c r="F71" s="456" t="s">
        <v>382</v>
      </c>
      <c r="G71" s="457"/>
      <c r="H71" s="458"/>
    </row>
    <row r="72" spans="1:8" ht="39.6" x14ac:dyDescent="0.25">
      <c r="A72" s="261" t="s">
        <v>3009</v>
      </c>
      <c r="B72" s="134" t="s">
        <v>2515</v>
      </c>
      <c r="C72" s="135" t="s">
        <v>491</v>
      </c>
      <c r="D72" s="286" t="s">
        <v>2374</v>
      </c>
      <c r="E72" s="452">
        <v>20</v>
      </c>
      <c r="F72" s="456" t="s">
        <v>382</v>
      </c>
      <c r="G72" s="457" t="s">
        <v>389</v>
      </c>
      <c r="H72" s="458" t="s">
        <v>4767</v>
      </c>
    </row>
    <row r="73" spans="1:8" ht="26.4" x14ac:dyDescent="0.25">
      <c r="A73" s="261" t="s">
        <v>3010</v>
      </c>
      <c r="B73" s="134" t="s">
        <v>492</v>
      </c>
      <c r="C73" s="135" t="s">
        <v>493</v>
      </c>
      <c r="D73" s="286" t="s">
        <v>2374</v>
      </c>
      <c r="E73" s="452">
        <v>20</v>
      </c>
      <c r="F73" s="456" t="s">
        <v>382</v>
      </c>
      <c r="G73" s="457" t="s">
        <v>389</v>
      </c>
      <c r="H73" s="458" t="s">
        <v>4767</v>
      </c>
    </row>
    <row r="74" spans="1:8" x14ac:dyDescent="0.25">
      <c r="A74" s="261" t="s">
        <v>3011</v>
      </c>
      <c r="B74" s="134">
        <v>338</v>
      </c>
      <c r="C74" s="135" t="s">
        <v>261</v>
      </c>
      <c r="D74" s="257" t="s">
        <v>734</v>
      </c>
      <c r="E74" s="452">
        <v>1</v>
      </c>
      <c r="F74" s="456" t="s">
        <v>380</v>
      </c>
      <c r="G74" s="457" t="s">
        <v>390</v>
      </c>
      <c r="H74" s="458" t="s">
        <v>4766</v>
      </c>
    </row>
    <row r="75" spans="1:8" ht="26.4" x14ac:dyDescent="0.25">
      <c r="A75" s="261" t="s">
        <v>3012</v>
      </c>
      <c r="B75" s="134">
        <v>528</v>
      </c>
      <c r="C75" s="135" t="s">
        <v>263</v>
      </c>
      <c r="D75" s="257" t="s">
        <v>734</v>
      </c>
      <c r="E75" s="452">
        <v>1</v>
      </c>
      <c r="F75" s="456" t="s">
        <v>381</v>
      </c>
      <c r="G75" s="457" t="s">
        <v>391</v>
      </c>
      <c r="H75" s="458" t="s">
        <v>4766</v>
      </c>
    </row>
    <row r="76" spans="1:8" ht="26.4" x14ac:dyDescent="0.25">
      <c r="A76" s="261" t="s">
        <v>3013</v>
      </c>
      <c r="B76" s="134">
        <v>533</v>
      </c>
      <c r="C76" s="135" t="s">
        <v>494</v>
      </c>
      <c r="D76" s="286" t="s">
        <v>2374</v>
      </c>
      <c r="E76" s="452">
        <v>15</v>
      </c>
      <c r="F76" s="456" t="s">
        <v>382</v>
      </c>
      <c r="G76" s="457" t="s">
        <v>389</v>
      </c>
      <c r="H76" s="458" t="s">
        <v>4767</v>
      </c>
    </row>
    <row r="77" spans="1:8" ht="26.4" x14ac:dyDescent="0.25">
      <c r="A77" s="261" t="s">
        <v>3014</v>
      </c>
      <c r="B77" s="134">
        <v>566</v>
      </c>
      <c r="C77" s="135" t="s">
        <v>496</v>
      </c>
      <c r="D77" s="257" t="s">
        <v>734</v>
      </c>
      <c r="E77" s="452">
        <v>15</v>
      </c>
      <c r="F77" s="456" t="s">
        <v>382</v>
      </c>
      <c r="G77" s="457" t="s">
        <v>389</v>
      </c>
      <c r="H77" s="458" t="s">
        <v>4767</v>
      </c>
    </row>
    <row r="78" spans="1:8" ht="66" x14ac:dyDescent="0.25">
      <c r="A78" s="261" t="s">
        <v>4752</v>
      </c>
      <c r="B78" s="134">
        <v>345</v>
      </c>
      <c r="C78" s="135" t="s">
        <v>268</v>
      </c>
      <c r="D78" s="257" t="s">
        <v>734</v>
      </c>
      <c r="E78" s="452">
        <v>1</v>
      </c>
      <c r="F78" s="456" t="s">
        <v>384</v>
      </c>
      <c r="G78" s="457" t="s">
        <v>394</v>
      </c>
      <c r="H78" s="458" t="s">
        <v>4773</v>
      </c>
    </row>
    <row r="79" spans="1:8" ht="52.8" x14ac:dyDescent="0.25">
      <c r="A79" s="261" t="s">
        <v>4753</v>
      </c>
      <c r="B79" s="134">
        <v>329</v>
      </c>
      <c r="C79" s="135" t="s">
        <v>190</v>
      </c>
      <c r="D79" s="257" t="s">
        <v>734</v>
      </c>
      <c r="E79" s="452">
        <v>1</v>
      </c>
      <c r="F79" s="456" t="s">
        <v>384</v>
      </c>
      <c r="G79" s="457" t="s">
        <v>394</v>
      </c>
      <c r="H79" s="458" t="s">
        <v>4773</v>
      </c>
    </row>
    <row r="80" spans="1:8" ht="66" x14ac:dyDescent="0.25">
      <c r="A80" s="261" t="s">
        <v>3015</v>
      </c>
      <c r="B80" s="134">
        <v>346</v>
      </c>
      <c r="C80" s="135" t="s">
        <v>271</v>
      </c>
      <c r="D80" s="257" t="s">
        <v>734</v>
      </c>
      <c r="E80" s="452">
        <v>1</v>
      </c>
      <c r="F80" s="456" t="s">
        <v>384</v>
      </c>
      <c r="G80" s="457" t="s">
        <v>394</v>
      </c>
      <c r="H80" s="458" t="s">
        <v>4773</v>
      </c>
    </row>
    <row r="81" spans="1:8" ht="52.8" x14ac:dyDescent="0.25">
      <c r="A81" s="261" t="s">
        <v>3016</v>
      </c>
      <c r="B81" s="134">
        <v>344</v>
      </c>
      <c r="C81" s="135" t="s">
        <v>1285</v>
      </c>
      <c r="D81" s="257" t="s">
        <v>734</v>
      </c>
      <c r="E81" s="452">
        <v>1</v>
      </c>
      <c r="F81" s="456" t="s">
        <v>384</v>
      </c>
      <c r="G81" s="457" t="s">
        <v>394</v>
      </c>
      <c r="H81" s="458" t="s">
        <v>4773</v>
      </c>
    </row>
    <row r="82" spans="1:8" ht="39.6" x14ac:dyDescent="0.25">
      <c r="A82" s="261" t="s">
        <v>3017</v>
      </c>
      <c r="B82" s="134">
        <v>643</v>
      </c>
      <c r="C82" s="135" t="s">
        <v>274</v>
      </c>
      <c r="D82" s="257" t="s">
        <v>734</v>
      </c>
      <c r="E82" s="452">
        <v>15</v>
      </c>
      <c r="F82" s="456" t="s">
        <v>385</v>
      </c>
      <c r="G82" s="457" t="s">
        <v>392</v>
      </c>
      <c r="H82" s="458" t="s">
        <v>4766</v>
      </c>
    </row>
    <row r="83" spans="1:8" ht="39.6" x14ac:dyDescent="0.25">
      <c r="A83" s="261" t="s">
        <v>1268</v>
      </c>
      <c r="B83" s="134">
        <v>391</v>
      </c>
      <c r="C83" s="135" t="s">
        <v>1286</v>
      </c>
      <c r="D83" s="257" t="s">
        <v>734</v>
      </c>
      <c r="E83" s="452">
        <v>15</v>
      </c>
      <c r="F83" s="456" t="s">
        <v>380</v>
      </c>
      <c r="G83" s="457" t="s">
        <v>390</v>
      </c>
      <c r="H83" s="458" t="s">
        <v>4766</v>
      </c>
    </row>
    <row r="84" spans="1:8" ht="66" x14ac:dyDescent="0.25">
      <c r="A84" s="261" t="s">
        <v>3018</v>
      </c>
      <c r="B84" s="134">
        <v>390</v>
      </c>
      <c r="C84" s="135" t="s">
        <v>276</v>
      </c>
      <c r="D84" s="257" t="s">
        <v>734</v>
      </c>
      <c r="E84" s="452">
        <v>5</v>
      </c>
      <c r="F84" s="456" t="s">
        <v>385</v>
      </c>
      <c r="G84" s="457" t="s">
        <v>392</v>
      </c>
      <c r="H84" s="458" t="s">
        <v>4766</v>
      </c>
    </row>
    <row r="85" spans="1:8" ht="39.6" x14ac:dyDescent="0.25">
      <c r="A85" s="261" t="s">
        <v>4754</v>
      </c>
      <c r="B85" s="137">
        <v>654</v>
      </c>
      <c r="C85" s="135" t="s">
        <v>4790</v>
      </c>
      <c r="D85" s="257" t="s">
        <v>2016</v>
      </c>
      <c r="E85" s="452">
        <v>10</v>
      </c>
      <c r="F85" s="456" t="s">
        <v>380</v>
      </c>
      <c r="G85" s="457" t="s">
        <v>390</v>
      </c>
      <c r="H85" s="458" t="s">
        <v>4766</v>
      </c>
    </row>
    <row r="86" spans="1:8" ht="26.4" x14ac:dyDescent="0.25">
      <c r="A86" s="261" t="s">
        <v>3019</v>
      </c>
      <c r="B86" s="134">
        <v>558</v>
      </c>
      <c r="C86" s="135" t="s">
        <v>278</v>
      </c>
      <c r="D86" s="286" t="s">
        <v>2374</v>
      </c>
      <c r="E86" s="452">
        <v>15</v>
      </c>
      <c r="F86" s="456" t="s">
        <v>382</v>
      </c>
      <c r="G86" s="457" t="s">
        <v>389</v>
      </c>
      <c r="H86" s="458" t="s">
        <v>4767</v>
      </c>
    </row>
    <row r="87" spans="1:8" ht="26.4" x14ac:dyDescent="0.25">
      <c r="A87" s="261" t="s">
        <v>4755</v>
      </c>
      <c r="B87" s="134">
        <v>367</v>
      </c>
      <c r="C87" s="135" t="s">
        <v>2064</v>
      </c>
      <c r="D87" s="286" t="s">
        <v>2374</v>
      </c>
      <c r="E87" s="454">
        <v>15</v>
      </c>
      <c r="F87" s="456" t="s">
        <v>382</v>
      </c>
      <c r="G87" s="457" t="s">
        <v>393</v>
      </c>
      <c r="H87" s="458" t="s">
        <v>4767</v>
      </c>
    </row>
    <row r="88" spans="1:8" ht="52.8" x14ac:dyDescent="0.25">
      <c r="A88" s="133" t="s">
        <v>3020</v>
      </c>
      <c r="B88" s="132">
        <v>798</v>
      </c>
      <c r="C88" s="133" t="s">
        <v>4756</v>
      </c>
      <c r="D88" s="132" t="s">
        <v>1733</v>
      </c>
      <c r="E88" s="452">
        <v>4</v>
      </c>
      <c r="F88" s="456"/>
      <c r="G88" s="457" t="s">
        <v>396</v>
      </c>
      <c r="H88" s="458" t="s">
        <v>4766</v>
      </c>
    </row>
    <row r="89" spans="1:8" ht="26.4" x14ac:dyDescent="0.25">
      <c r="A89" s="261" t="s">
        <v>3021</v>
      </c>
      <c r="B89" s="134">
        <v>350</v>
      </c>
      <c r="C89" s="135" t="s">
        <v>675</v>
      </c>
      <c r="D89" s="286" t="s">
        <v>2374</v>
      </c>
      <c r="E89" s="452">
        <v>20</v>
      </c>
      <c r="F89" s="456" t="s">
        <v>382</v>
      </c>
      <c r="G89" s="457" t="s">
        <v>389</v>
      </c>
      <c r="H89" s="458" t="s">
        <v>4767</v>
      </c>
    </row>
    <row r="90" spans="1:8" ht="26.4" x14ac:dyDescent="0.25">
      <c r="A90" s="261" t="s">
        <v>3022</v>
      </c>
      <c r="B90" s="134">
        <v>646</v>
      </c>
      <c r="C90" s="135" t="s">
        <v>676</v>
      </c>
      <c r="D90" s="257" t="s">
        <v>734</v>
      </c>
      <c r="E90" s="452">
        <v>5</v>
      </c>
      <c r="F90" s="456" t="s">
        <v>385</v>
      </c>
      <c r="G90" s="457" t="s">
        <v>392</v>
      </c>
      <c r="H90" s="458" t="s">
        <v>4766</v>
      </c>
    </row>
    <row r="91" spans="1:8" ht="39.6" x14ac:dyDescent="0.25">
      <c r="A91" s="261" t="s">
        <v>3255</v>
      </c>
      <c r="B91" s="134">
        <v>632</v>
      </c>
      <c r="C91" s="135" t="s">
        <v>4757</v>
      </c>
      <c r="D91" s="286" t="s">
        <v>2374</v>
      </c>
      <c r="E91" s="452">
        <v>15</v>
      </c>
      <c r="F91" s="456" t="s">
        <v>382</v>
      </c>
      <c r="G91" s="457" t="s">
        <v>393</v>
      </c>
      <c r="H91" s="458" t="s">
        <v>4767</v>
      </c>
    </row>
    <row r="92" spans="1:8" x14ac:dyDescent="0.25">
      <c r="A92" s="90" t="s">
        <v>243</v>
      </c>
      <c r="B92" s="462">
        <v>572</v>
      </c>
      <c r="C92" s="135" t="s">
        <v>4791</v>
      </c>
      <c r="D92" s="463" t="s">
        <v>734</v>
      </c>
      <c r="E92" s="452">
        <v>1</v>
      </c>
      <c r="F92" s="456" t="s">
        <v>382</v>
      </c>
      <c r="G92" s="457"/>
      <c r="H92" s="458"/>
    </row>
    <row r="93" spans="1:8" ht="26.4" x14ac:dyDescent="0.25">
      <c r="A93" s="261" t="s">
        <v>3023</v>
      </c>
      <c r="B93" s="134">
        <v>574</v>
      </c>
      <c r="C93" s="135" t="s">
        <v>1287</v>
      </c>
      <c r="D93" s="286" t="s">
        <v>2374</v>
      </c>
      <c r="E93" s="452">
        <v>20</v>
      </c>
      <c r="F93" s="456" t="s">
        <v>382</v>
      </c>
      <c r="G93" s="457" t="s">
        <v>389</v>
      </c>
      <c r="H93" s="458" t="s">
        <v>4767</v>
      </c>
    </row>
    <row r="94" spans="1:8" ht="39.6" x14ac:dyDescent="0.25">
      <c r="A94" s="261" t="s">
        <v>3024</v>
      </c>
      <c r="B94" s="134">
        <v>578</v>
      </c>
      <c r="C94" s="135" t="s">
        <v>2042</v>
      </c>
      <c r="D94" s="286" t="s">
        <v>2374</v>
      </c>
      <c r="E94" s="452">
        <v>10</v>
      </c>
      <c r="F94" s="456" t="s">
        <v>382</v>
      </c>
      <c r="G94" s="457" t="s">
        <v>393</v>
      </c>
      <c r="H94" s="458" t="s">
        <v>4767</v>
      </c>
    </row>
    <row r="95" spans="1:8" ht="26.4" x14ac:dyDescent="0.25">
      <c r="A95" s="261" t="s">
        <v>3025</v>
      </c>
      <c r="B95" s="134">
        <v>395</v>
      </c>
      <c r="C95" s="135" t="s">
        <v>1288</v>
      </c>
      <c r="D95" s="257" t="s">
        <v>734</v>
      </c>
      <c r="E95" s="452">
        <v>5</v>
      </c>
      <c r="F95" s="456" t="s">
        <v>385</v>
      </c>
      <c r="G95" s="457" t="s">
        <v>392</v>
      </c>
      <c r="H95" s="458" t="s">
        <v>4766</v>
      </c>
    </row>
    <row r="96" spans="1:8" ht="39.6" x14ac:dyDescent="0.25">
      <c r="A96" s="261" t="s">
        <v>3026</v>
      </c>
      <c r="B96" s="134">
        <v>580</v>
      </c>
      <c r="C96" s="135" t="s">
        <v>2045</v>
      </c>
      <c r="D96" s="257" t="s">
        <v>2016</v>
      </c>
      <c r="E96" s="452">
        <v>20</v>
      </c>
      <c r="F96" s="456" t="s">
        <v>382</v>
      </c>
      <c r="G96" s="457" t="s">
        <v>389</v>
      </c>
      <c r="H96" s="458" t="s">
        <v>4767</v>
      </c>
    </row>
    <row r="97" spans="1:8" ht="39.6" x14ac:dyDescent="0.25">
      <c r="A97" s="261" t="s">
        <v>3027</v>
      </c>
      <c r="B97" s="134">
        <v>585</v>
      </c>
      <c r="C97" s="135" t="s">
        <v>2047</v>
      </c>
      <c r="D97" s="257" t="s">
        <v>734</v>
      </c>
      <c r="E97" s="452">
        <v>5</v>
      </c>
      <c r="F97" s="456" t="s">
        <v>384</v>
      </c>
      <c r="G97" s="457" t="s">
        <v>394</v>
      </c>
      <c r="H97" s="458" t="s">
        <v>4766</v>
      </c>
    </row>
    <row r="98" spans="1:8" ht="52.8" x14ac:dyDescent="0.25">
      <c r="A98" s="261" t="s">
        <v>3028</v>
      </c>
      <c r="B98" s="134">
        <v>587</v>
      </c>
      <c r="C98" s="135" t="s">
        <v>2049</v>
      </c>
      <c r="D98" s="286" t="s">
        <v>2374</v>
      </c>
      <c r="E98" s="452">
        <v>20</v>
      </c>
      <c r="F98" s="456" t="s">
        <v>382</v>
      </c>
      <c r="G98" s="457" t="s">
        <v>389</v>
      </c>
      <c r="H98" s="458" t="s">
        <v>4767</v>
      </c>
    </row>
    <row r="99" spans="1:8" ht="39.6" x14ac:dyDescent="0.25">
      <c r="A99" s="261" t="s">
        <v>3029</v>
      </c>
      <c r="B99" s="134">
        <v>606</v>
      </c>
      <c r="C99" s="135" t="s">
        <v>1289</v>
      </c>
      <c r="D99" s="257" t="s">
        <v>2016</v>
      </c>
      <c r="E99" s="452">
        <v>20</v>
      </c>
      <c r="F99" s="456" t="s">
        <v>382</v>
      </c>
      <c r="G99" s="457" t="s">
        <v>389</v>
      </c>
      <c r="H99" s="458" t="s">
        <v>4767</v>
      </c>
    </row>
    <row r="100" spans="1:8" x14ac:dyDescent="0.25">
      <c r="A100" s="261" t="s">
        <v>3030</v>
      </c>
      <c r="B100" s="134">
        <v>607</v>
      </c>
      <c r="C100" s="135" t="s">
        <v>2509</v>
      </c>
      <c r="D100" s="257" t="s">
        <v>2016</v>
      </c>
      <c r="E100" s="452">
        <v>15</v>
      </c>
      <c r="F100" s="456" t="s">
        <v>382</v>
      </c>
      <c r="G100" s="457" t="s">
        <v>389</v>
      </c>
      <c r="H100" s="458" t="s">
        <v>4767</v>
      </c>
    </row>
    <row r="101" spans="1:8" ht="26.4" x14ac:dyDescent="0.25">
      <c r="A101" s="261" t="s">
        <v>3031</v>
      </c>
      <c r="B101" s="134">
        <v>608</v>
      </c>
      <c r="C101" s="135" t="s">
        <v>1290</v>
      </c>
      <c r="D101" s="257" t="s">
        <v>2016</v>
      </c>
      <c r="E101" s="452">
        <v>15</v>
      </c>
      <c r="F101" s="456" t="s">
        <v>382</v>
      </c>
      <c r="G101" s="457" t="s">
        <v>389</v>
      </c>
      <c r="H101" s="458" t="s">
        <v>4767</v>
      </c>
    </row>
    <row r="102" spans="1:8" ht="26.4" x14ac:dyDescent="0.25">
      <c r="A102" s="261" t="s">
        <v>3032</v>
      </c>
      <c r="B102" s="134">
        <v>600</v>
      </c>
      <c r="C102" s="135" t="s">
        <v>1291</v>
      </c>
      <c r="D102" s="257" t="s">
        <v>2016</v>
      </c>
      <c r="E102" s="452">
        <v>10</v>
      </c>
      <c r="F102" s="456" t="s">
        <v>382</v>
      </c>
      <c r="G102" s="457" t="s">
        <v>389</v>
      </c>
      <c r="H102" s="458" t="s">
        <v>4767</v>
      </c>
    </row>
    <row r="103" spans="1:8" ht="39.6" x14ac:dyDescent="0.25">
      <c r="A103" s="261" t="s">
        <v>4758</v>
      </c>
      <c r="B103" s="134">
        <v>568</v>
      </c>
      <c r="C103" s="135" t="s">
        <v>497</v>
      </c>
      <c r="D103" s="257" t="s">
        <v>2016</v>
      </c>
      <c r="E103" s="452">
        <v>15</v>
      </c>
      <c r="F103" s="456" t="s">
        <v>382</v>
      </c>
      <c r="G103" s="457" t="s">
        <v>389</v>
      </c>
      <c r="H103" s="458" t="s">
        <v>4767</v>
      </c>
    </row>
    <row r="104" spans="1:8" ht="39.6" x14ac:dyDescent="0.25">
      <c r="A104" s="261" t="s">
        <v>3033</v>
      </c>
      <c r="B104" s="134">
        <v>612</v>
      </c>
      <c r="C104" s="135" t="s">
        <v>2055</v>
      </c>
      <c r="D104" s="257" t="s">
        <v>734</v>
      </c>
      <c r="E104" s="452">
        <v>15</v>
      </c>
      <c r="F104" s="456" t="s">
        <v>380</v>
      </c>
      <c r="G104" s="457" t="s">
        <v>390</v>
      </c>
      <c r="H104" s="458" t="s">
        <v>4766</v>
      </c>
    </row>
    <row r="105" spans="1:8" ht="26.4" x14ac:dyDescent="0.25">
      <c r="A105" s="261" t="s">
        <v>3034</v>
      </c>
      <c r="B105" s="134">
        <v>660</v>
      </c>
      <c r="C105" s="135" t="s">
        <v>1292</v>
      </c>
      <c r="D105" s="257" t="s">
        <v>734</v>
      </c>
      <c r="E105" s="452">
        <v>10</v>
      </c>
      <c r="F105" s="456" t="s">
        <v>380</v>
      </c>
      <c r="G105" s="457" t="s">
        <v>390</v>
      </c>
      <c r="H105" s="458" t="s">
        <v>4766</v>
      </c>
    </row>
    <row r="106" spans="1:8" ht="26.4" x14ac:dyDescent="0.25">
      <c r="A106" s="135" t="s">
        <v>2057</v>
      </c>
      <c r="B106" s="134">
        <v>490</v>
      </c>
      <c r="C106" s="135" t="s">
        <v>2058</v>
      </c>
      <c r="D106" s="257" t="s">
        <v>734</v>
      </c>
      <c r="E106" s="452">
        <v>1</v>
      </c>
      <c r="F106" s="456" t="s">
        <v>380</v>
      </c>
      <c r="G106" s="457" t="s">
        <v>390</v>
      </c>
      <c r="H106" s="458" t="s">
        <v>4766</v>
      </c>
    </row>
    <row r="107" spans="1:8" ht="39.6" x14ac:dyDescent="0.25">
      <c r="A107" s="261" t="s">
        <v>3035</v>
      </c>
      <c r="B107" s="134">
        <v>620</v>
      </c>
      <c r="C107" s="135" t="s">
        <v>1293</v>
      </c>
      <c r="D107" s="286" t="s">
        <v>2016</v>
      </c>
      <c r="E107" s="452">
        <v>20</v>
      </c>
      <c r="F107" s="456" t="s">
        <v>382</v>
      </c>
      <c r="G107" s="457" t="s">
        <v>389</v>
      </c>
      <c r="H107" s="458" t="s">
        <v>4767</v>
      </c>
    </row>
    <row r="108" spans="1:8" ht="26.4" x14ac:dyDescent="0.25">
      <c r="A108" s="261" t="s">
        <v>3036</v>
      </c>
      <c r="B108" s="134">
        <v>645</v>
      </c>
      <c r="C108" s="135" t="s">
        <v>2061</v>
      </c>
      <c r="D108" s="257" t="s">
        <v>734</v>
      </c>
      <c r="E108" s="452">
        <v>1</v>
      </c>
      <c r="F108" s="456" t="s">
        <v>385</v>
      </c>
      <c r="G108" s="457" t="s">
        <v>392</v>
      </c>
      <c r="H108" s="458" t="s">
        <v>4773</v>
      </c>
    </row>
    <row r="109" spans="1:8" ht="39.6" x14ac:dyDescent="0.25">
      <c r="A109" s="261" t="s">
        <v>3037</v>
      </c>
      <c r="B109" s="134">
        <v>635</v>
      </c>
      <c r="C109" s="135" t="s">
        <v>444</v>
      </c>
      <c r="D109" s="257" t="s">
        <v>734</v>
      </c>
      <c r="E109" s="452">
        <v>10</v>
      </c>
      <c r="F109" s="456" t="s">
        <v>382</v>
      </c>
      <c r="G109" s="457" t="s">
        <v>389</v>
      </c>
      <c r="H109" s="458" t="s">
        <v>4766</v>
      </c>
    </row>
    <row r="110" spans="1:8" ht="39.6" x14ac:dyDescent="0.25">
      <c r="A110" s="261" t="s">
        <v>3038</v>
      </c>
      <c r="B110" s="134">
        <v>601</v>
      </c>
      <c r="C110" s="135" t="s">
        <v>442</v>
      </c>
      <c r="D110" s="257" t="s">
        <v>2016</v>
      </c>
      <c r="E110" s="452">
        <v>5</v>
      </c>
      <c r="F110" s="456" t="s">
        <v>384</v>
      </c>
      <c r="G110" s="457" t="s">
        <v>394</v>
      </c>
      <c r="H110" s="458" t="s">
        <v>4767</v>
      </c>
    </row>
    <row r="111" spans="1:8" ht="39.6" x14ac:dyDescent="0.25">
      <c r="A111" s="459" t="s">
        <v>4792</v>
      </c>
      <c r="B111" s="134">
        <v>630</v>
      </c>
      <c r="C111" s="135" t="s">
        <v>4793</v>
      </c>
      <c r="D111" s="257" t="s">
        <v>2374</v>
      </c>
      <c r="E111" s="452"/>
      <c r="F111" s="456" t="s">
        <v>382</v>
      </c>
      <c r="G111" s="457"/>
      <c r="H111" s="458"/>
    </row>
    <row r="112" spans="1:8" ht="52.8" x14ac:dyDescent="0.25">
      <c r="A112" s="261" t="s">
        <v>4759</v>
      </c>
      <c r="B112" s="134">
        <v>360</v>
      </c>
      <c r="C112" s="135" t="s">
        <v>1237</v>
      </c>
      <c r="D112" s="286" t="s">
        <v>2374</v>
      </c>
      <c r="E112" s="452">
        <v>15</v>
      </c>
      <c r="F112" s="456" t="s">
        <v>382</v>
      </c>
      <c r="G112" s="457" t="s">
        <v>389</v>
      </c>
      <c r="H112" s="458" t="s">
        <v>4767</v>
      </c>
    </row>
    <row r="113" spans="1:8" ht="26.4" x14ac:dyDescent="0.25">
      <c r="A113" s="261" t="s">
        <v>4760</v>
      </c>
      <c r="B113" s="134">
        <v>633</v>
      </c>
      <c r="C113" s="135" t="s">
        <v>443</v>
      </c>
      <c r="D113" s="257" t="s">
        <v>734</v>
      </c>
      <c r="E113" s="452">
        <v>1</v>
      </c>
      <c r="F113" s="456" t="s">
        <v>387</v>
      </c>
      <c r="G113" s="457" t="s">
        <v>396</v>
      </c>
      <c r="H113" s="458" t="s">
        <v>4766</v>
      </c>
    </row>
    <row r="114" spans="1:8" ht="39.6" x14ac:dyDescent="0.25">
      <c r="A114" s="261" t="s">
        <v>3039</v>
      </c>
      <c r="B114" s="134">
        <v>313</v>
      </c>
      <c r="C114" s="135" t="s">
        <v>2066</v>
      </c>
      <c r="D114" s="286" t="s">
        <v>2374</v>
      </c>
      <c r="E114" s="452">
        <v>15</v>
      </c>
      <c r="F114" s="456" t="s">
        <v>382</v>
      </c>
      <c r="G114" s="457" t="s">
        <v>393</v>
      </c>
      <c r="H114" s="458" t="s">
        <v>4767</v>
      </c>
    </row>
    <row r="115" spans="1:8" ht="26.4" x14ac:dyDescent="0.25">
      <c r="A115" s="261" t="s">
        <v>3040</v>
      </c>
      <c r="B115" s="134">
        <v>634</v>
      </c>
      <c r="C115" s="135" t="s">
        <v>2632</v>
      </c>
      <c r="D115" s="134" t="s">
        <v>2374</v>
      </c>
      <c r="E115" s="452">
        <v>15</v>
      </c>
      <c r="F115" s="456" t="s">
        <v>382</v>
      </c>
      <c r="G115" s="457" t="s">
        <v>393</v>
      </c>
      <c r="H115" s="458" t="s">
        <v>4767</v>
      </c>
    </row>
    <row r="116" spans="1:8" ht="26.4" x14ac:dyDescent="0.25">
      <c r="A116" s="459" t="s">
        <v>4794</v>
      </c>
      <c r="B116" s="460">
        <v>629</v>
      </c>
      <c r="C116" s="135" t="s">
        <v>4795</v>
      </c>
      <c r="D116" s="461" t="s">
        <v>2374</v>
      </c>
      <c r="E116" s="452">
        <v>10</v>
      </c>
      <c r="F116" s="456" t="s">
        <v>382</v>
      </c>
      <c r="G116" s="457"/>
      <c r="H116" s="458"/>
    </row>
    <row r="117" spans="1:8" ht="52.8" x14ac:dyDescent="0.25">
      <c r="A117" s="261" t="s">
        <v>3041</v>
      </c>
      <c r="B117" s="134">
        <v>638</v>
      </c>
      <c r="C117" s="135" t="s">
        <v>2070</v>
      </c>
      <c r="D117" s="286" t="s">
        <v>2374</v>
      </c>
      <c r="E117" s="452">
        <v>10</v>
      </c>
      <c r="F117" s="456" t="s">
        <v>382</v>
      </c>
      <c r="G117" s="457" t="s">
        <v>389</v>
      </c>
      <c r="H117" s="458" t="s">
        <v>4767</v>
      </c>
    </row>
    <row r="118" spans="1:8" ht="26.4" x14ac:dyDescent="0.25">
      <c r="A118" s="261" t="s">
        <v>3042</v>
      </c>
      <c r="B118" s="134">
        <v>642</v>
      </c>
      <c r="C118" s="135" t="s">
        <v>445</v>
      </c>
      <c r="D118" s="286" t="s">
        <v>2374</v>
      </c>
      <c r="E118" s="452">
        <v>20</v>
      </c>
      <c r="F118" s="456" t="s">
        <v>382</v>
      </c>
      <c r="G118" s="457" t="s">
        <v>389</v>
      </c>
      <c r="H118" s="458" t="s">
        <v>4767</v>
      </c>
    </row>
    <row r="119" spans="1:8" ht="26.4" x14ac:dyDescent="0.25">
      <c r="A119" s="261" t="s">
        <v>4761</v>
      </c>
      <c r="B119" s="134">
        <v>351</v>
      </c>
      <c r="C119" s="135" t="s">
        <v>446</v>
      </c>
      <c r="D119" s="286" t="s">
        <v>2374</v>
      </c>
      <c r="E119" s="452">
        <v>20</v>
      </c>
      <c r="F119" s="456" t="s">
        <v>382</v>
      </c>
      <c r="G119" s="457" t="s">
        <v>389</v>
      </c>
      <c r="H119" s="458" t="s">
        <v>4767</v>
      </c>
    </row>
    <row r="120" spans="1:8" ht="26.4" x14ac:dyDescent="0.25">
      <c r="A120" s="261" t="s">
        <v>3043</v>
      </c>
      <c r="B120" s="134">
        <v>614</v>
      </c>
      <c r="C120" s="135" t="s">
        <v>2073</v>
      </c>
      <c r="D120" s="286" t="s">
        <v>2374</v>
      </c>
      <c r="E120" s="452">
        <v>10</v>
      </c>
      <c r="F120" s="456" t="s">
        <v>382</v>
      </c>
      <c r="G120" s="457" t="s">
        <v>393</v>
      </c>
      <c r="H120" s="458" t="s">
        <v>4767</v>
      </c>
    </row>
    <row r="121" spans="1:8" ht="52.8" x14ac:dyDescent="0.25">
      <c r="A121" s="261" t="s">
        <v>3044</v>
      </c>
      <c r="B121" s="137">
        <v>658</v>
      </c>
      <c r="C121" s="135" t="s">
        <v>2076</v>
      </c>
      <c r="D121" s="257" t="s">
        <v>734</v>
      </c>
      <c r="E121" s="452">
        <v>15</v>
      </c>
      <c r="F121" s="456" t="s">
        <v>385</v>
      </c>
      <c r="G121" s="457" t="s">
        <v>392</v>
      </c>
      <c r="H121" s="458" t="s">
        <v>4766</v>
      </c>
    </row>
    <row r="122" spans="1:8" ht="39.6" x14ac:dyDescent="0.25">
      <c r="A122" s="261" t="s">
        <v>3045</v>
      </c>
      <c r="B122" s="137">
        <v>659</v>
      </c>
      <c r="C122" s="135" t="s">
        <v>2078</v>
      </c>
      <c r="D122" s="257" t="s">
        <v>734</v>
      </c>
      <c r="E122" s="452">
        <v>15</v>
      </c>
      <c r="F122" s="456" t="s">
        <v>383</v>
      </c>
      <c r="G122" s="457" t="s">
        <v>392</v>
      </c>
      <c r="H122" s="458" t="s">
        <v>4766</v>
      </c>
    </row>
    <row r="123" spans="1:8" ht="66" x14ac:dyDescent="0.25">
      <c r="A123" s="261" t="s">
        <v>3046</v>
      </c>
      <c r="B123" s="137">
        <v>657</v>
      </c>
      <c r="C123" s="135" t="s">
        <v>2080</v>
      </c>
      <c r="D123" s="257" t="s">
        <v>734</v>
      </c>
      <c r="E123" s="452">
        <v>15</v>
      </c>
      <c r="F123" s="456" t="s">
        <v>383</v>
      </c>
      <c r="G123" s="457" t="s">
        <v>392</v>
      </c>
      <c r="H123" s="458" t="s">
        <v>4766</v>
      </c>
    </row>
    <row r="124" spans="1:8" ht="26.4" x14ac:dyDescent="0.25">
      <c r="A124" s="261" t="s">
        <v>3047</v>
      </c>
      <c r="B124" s="134">
        <v>644</v>
      </c>
      <c r="C124" s="135" t="s">
        <v>2082</v>
      </c>
      <c r="D124" s="257" t="s">
        <v>734</v>
      </c>
      <c r="E124" s="452">
        <v>1</v>
      </c>
      <c r="F124" s="456" t="s">
        <v>385</v>
      </c>
      <c r="G124" s="457" t="s">
        <v>392</v>
      </c>
      <c r="H124" s="458" t="s">
        <v>4773</v>
      </c>
    </row>
    <row r="125" spans="1:8" ht="26.4" x14ac:dyDescent="0.25">
      <c r="A125" s="261" t="s">
        <v>3048</v>
      </c>
      <c r="B125" s="134">
        <v>380</v>
      </c>
      <c r="C125" s="135" t="s">
        <v>2084</v>
      </c>
      <c r="D125" s="257" t="s">
        <v>2016</v>
      </c>
      <c r="E125" s="452">
        <v>15</v>
      </c>
      <c r="F125" s="456" t="s">
        <v>380</v>
      </c>
      <c r="G125" s="457" t="s">
        <v>390</v>
      </c>
      <c r="H125" s="458" t="s">
        <v>4766</v>
      </c>
    </row>
    <row r="126" spans="1:8" ht="39.6" x14ac:dyDescent="0.25">
      <c r="A126" s="261" t="s">
        <v>3049</v>
      </c>
      <c r="B126" s="137">
        <v>650</v>
      </c>
      <c r="C126" s="135" t="s">
        <v>2085</v>
      </c>
      <c r="D126" s="257" t="s">
        <v>2016</v>
      </c>
      <c r="E126" s="452">
        <v>15</v>
      </c>
      <c r="F126" s="456" t="s">
        <v>380</v>
      </c>
      <c r="G126" s="457" t="s">
        <v>390</v>
      </c>
      <c r="H126" s="458" t="s">
        <v>4766</v>
      </c>
    </row>
  </sheetData>
  <sortState ref="A2:G134">
    <sortCondition ref="A2:A134"/>
  </sortState>
  <phoneticPr fontId="6"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1452"/>
  <sheetViews>
    <sheetView workbookViewId="0">
      <selection activeCell="B2" sqref="B2"/>
    </sheetView>
  </sheetViews>
  <sheetFormatPr defaultRowHeight="13.2" x14ac:dyDescent="0.25"/>
  <cols>
    <col min="1" max="1" width="5" style="280" bestFit="1" customWidth="1"/>
    <col min="2" max="2" width="31.44140625" style="453" customWidth="1"/>
    <col min="3" max="3" width="24.44140625" style="453" customWidth="1"/>
    <col min="4" max="4" width="46.21875" style="464" customWidth="1"/>
    <col min="5" max="5" width="8.77734375" style="280" customWidth="1"/>
    <col min="6" max="6" width="11" style="280" bestFit="1" customWidth="1"/>
  </cols>
  <sheetData>
    <row r="1" spans="1:6" x14ac:dyDescent="0.25">
      <c r="A1" s="280" t="s">
        <v>4796</v>
      </c>
      <c r="B1" s="453" t="s">
        <v>4797</v>
      </c>
      <c r="C1" s="453" t="s">
        <v>4798</v>
      </c>
      <c r="D1" s="464" t="s">
        <v>2090</v>
      </c>
      <c r="E1" s="280" t="s">
        <v>2372</v>
      </c>
      <c r="F1" s="280" t="s">
        <v>4799</v>
      </c>
    </row>
    <row r="2" spans="1:6" x14ac:dyDescent="0.25">
      <c r="A2" s="465">
        <v>1</v>
      </c>
      <c r="B2" s="466" t="s">
        <v>7465</v>
      </c>
      <c r="C2" s="466" t="s">
        <v>2094</v>
      </c>
      <c r="D2" s="467" t="s">
        <v>7466</v>
      </c>
      <c r="E2" s="468" t="s">
        <v>4863</v>
      </c>
      <c r="F2" s="465">
        <v>63.52</v>
      </c>
    </row>
    <row r="3" spans="1:6" x14ac:dyDescent="0.25">
      <c r="A3" s="465">
        <v>2</v>
      </c>
      <c r="B3" s="466" t="s">
        <v>7467</v>
      </c>
      <c r="C3" s="466" t="s">
        <v>2094</v>
      </c>
      <c r="D3" s="467" t="s">
        <v>7468</v>
      </c>
      <c r="E3" s="468" t="s">
        <v>4863</v>
      </c>
      <c r="F3" s="465">
        <v>116.48</v>
      </c>
    </row>
    <row r="4" spans="1:6" x14ac:dyDescent="0.25">
      <c r="A4" s="465">
        <v>3</v>
      </c>
      <c r="B4" s="466" t="s">
        <v>5882</v>
      </c>
      <c r="C4" s="466" t="s">
        <v>2094</v>
      </c>
      <c r="D4" s="467" t="s">
        <v>5883</v>
      </c>
      <c r="E4" s="468" t="s">
        <v>4863</v>
      </c>
      <c r="F4" s="465">
        <v>166.41</v>
      </c>
    </row>
    <row r="5" spans="1:6" x14ac:dyDescent="0.25">
      <c r="A5" s="465">
        <v>4</v>
      </c>
      <c r="B5" s="466" t="s">
        <v>5884</v>
      </c>
      <c r="C5" s="466" t="s">
        <v>2094</v>
      </c>
      <c r="D5" s="467" t="s">
        <v>5885</v>
      </c>
      <c r="E5" s="468" t="s">
        <v>4863</v>
      </c>
      <c r="F5" s="465">
        <v>201.52</v>
      </c>
    </row>
    <row r="6" spans="1:6" x14ac:dyDescent="0.25">
      <c r="A6" s="465">
        <v>5</v>
      </c>
      <c r="B6" s="466" t="s">
        <v>5886</v>
      </c>
      <c r="C6" s="466" t="s">
        <v>2094</v>
      </c>
      <c r="D6" s="467" t="s">
        <v>5887</v>
      </c>
      <c r="E6" s="468" t="s">
        <v>4863</v>
      </c>
      <c r="F6" s="465">
        <v>319.42</v>
      </c>
    </row>
    <row r="7" spans="1:6" x14ac:dyDescent="0.25">
      <c r="A7" s="465">
        <v>6</v>
      </c>
      <c r="B7" s="466" t="s">
        <v>5888</v>
      </c>
      <c r="C7" s="466" t="s">
        <v>2094</v>
      </c>
      <c r="D7" s="467" t="s">
        <v>5889</v>
      </c>
      <c r="E7" s="468" t="s">
        <v>4863</v>
      </c>
      <c r="F7" s="465">
        <v>437.5</v>
      </c>
    </row>
    <row r="8" spans="1:6" ht="26.4" x14ac:dyDescent="0.25">
      <c r="A8" s="465">
        <v>7</v>
      </c>
      <c r="B8" s="466" t="s">
        <v>7469</v>
      </c>
      <c r="C8" s="466" t="s">
        <v>2094</v>
      </c>
      <c r="D8" s="467" t="s">
        <v>7470</v>
      </c>
      <c r="E8" s="468" t="s">
        <v>4863</v>
      </c>
      <c r="F8" s="465">
        <v>114.64</v>
      </c>
    </row>
    <row r="9" spans="1:6" x14ac:dyDescent="0.25">
      <c r="A9" s="465">
        <v>8</v>
      </c>
      <c r="B9" s="466" t="s">
        <v>7471</v>
      </c>
      <c r="C9" s="466" t="s">
        <v>2094</v>
      </c>
      <c r="D9" s="467" t="s">
        <v>7472</v>
      </c>
      <c r="E9" s="468" t="s">
        <v>4863</v>
      </c>
      <c r="F9" s="465">
        <v>56.18</v>
      </c>
    </row>
    <row r="10" spans="1:6" x14ac:dyDescent="0.25">
      <c r="A10" s="465">
        <v>9</v>
      </c>
      <c r="B10" s="466" t="s">
        <v>5650</v>
      </c>
      <c r="C10" s="466" t="s">
        <v>2094</v>
      </c>
      <c r="D10" s="467" t="s">
        <v>5651</v>
      </c>
      <c r="E10" s="468" t="s">
        <v>4863</v>
      </c>
      <c r="F10" s="465">
        <v>9.0399999999999991</v>
      </c>
    </row>
    <row r="11" spans="1:6" x14ac:dyDescent="0.25">
      <c r="A11" s="465">
        <v>10</v>
      </c>
      <c r="B11" s="466" t="s">
        <v>5652</v>
      </c>
      <c r="C11" s="466" t="s">
        <v>2094</v>
      </c>
      <c r="D11" s="467" t="s">
        <v>5653</v>
      </c>
      <c r="E11" s="468" t="s">
        <v>4863</v>
      </c>
      <c r="F11" s="465">
        <v>10.69</v>
      </c>
    </row>
    <row r="12" spans="1:6" x14ac:dyDescent="0.25">
      <c r="A12" s="465">
        <v>11</v>
      </c>
      <c r="B12" s="466" t="s">
        <v>5656</v>
      </c>
      <c r="C12" s="466" t="s">
        <v>2094</v>
      </c>
      <c r="D12" s="467" t="s">
        <v>5657</v>
      </c>
      <c r="E12" s="468" t="s">
        <v>4863</v>
      </c>
      <c r="F12" s="465">
        <v>15.72</v>
      </c>
    </row>
    <row r="13" spans="1:6" x14ac:dyDescent="0.25">
      <c r="A13" s="465">
        <v>12</v>
      </c>
      <c r="B13" s="466" t="s">
        <v>5660</v>
      </c>
      <c r="C13" s="466" t="s">
        <v>2094</v>
      </c>
      <c r="D13" s="467" t="s">
        <v>5661</v>
      </c>
      <c r="E13" s="468" t="s">
        <v>4863</v>
      </c>
      <c r="F13" s="465">
        <v>20.58</v>
      </c>
    </row>
    <row r="14" spans="1:6" x14ac:dyDescent="0.25">
      <c r="A14" s="465">
        <v>13</v>
      </c>
      <c r="B14" s="466" t="s">
        <v>5658</v>
      </c>
      <c r="C14" s="466" t="s">
        <v>2094</v>
      </c>
      <c r="D14" s="467" t="s">
        <v>5659</v>
      </c>
      <c r="E14" s="468" t="s">
        <v>4863</v>
      </c>
      <c r="F14" s="465">
        <v>41.18</v>
      </c>
    </row>
    <row r="15" spans="1:6" x14ac:dyDescent="0.25">
      <c r="A15" s="465">
        <v>15</v>
      </c>
      <c r="B15" s="466" t="s">
        <v>6839</v>
      </c>
      <c r="C15" s="466" t="s">
        <v>2094</v>
      </c>
      <c r="D15" s="467" t="s">
        <v>6840</v>
      </c>
      <c r="E15" s="468" t="s">
        <v>4863</v>
      </c>
      <c r="F15" s="465">
        <v>7.59</v>
      </c>
    </row>
    <row r="16" spans="1:6" x14ac:dyDescent="0.25">
      <c r="A16" s="465">
        <v>16</v>
      </c>
      <c r="B16" s="466" t="s">
        <v>6841</v>
      </c>
      <c r="C16" s="466" t="s">
        <v>2094</v>
      </c>
      <c r="D16" s="467" t="s">
        <v>6842</v>
      </c>
      <c r="E16" s="468" t="s">
        <v>4863</v>
      </c>
      <c r="F16" s="465">
        <v>9.17</v>
      </c>
    </row>
    <row r="17" spans="1:6" x14ac:dyDescent="0.25">
      <c r="A17" s="465">
        <v>17</v>
      </c>
      <c r="B17" s="466" t="s">
        <v>6837</v>
      </c>
      <c r="C17" s="466" t="s">
        <v>2094</v>
      </c>
      <c r="D17" s="467" t="s">
        <v>6838</v>
      </c>
      <c r="E17" s="468" t="s">
        <v>4863</v>
      </c>
      <c r="F17" s="465">
        <v>12.44</v>
      </c>
    </row>
    <row r="18" spans="1:6" x14ac:dyDescent="0.25">
      <c r="A18" s="465">
        <v>18</v>
      </c>
      <c r="B18" s="466" t="s">
        <v>5646</v>
      </c>
      <c r="C18" s="466" t="s">
        <v>2094</v>
      </c>
      <c r="D18" s="467" t="s">
        <v>5647</v>
      </c>
      <c r="E18" s="468" t="s">
        <v>4863</v>
      </c>
      <c r="F18" s="465">
        <v>9.24</v>
      </c>
    </row>
    <row r="19" spans="1:6" x14ac:dyDescent="0.25">
      <c r="A19" s="465">
        <v>19</v>
      </c>
      <c r="B19" s="466" t="s">
        <v>5648</v>
      </c>
      <c r="C19" s="466" t="s">
        <v>2094</v>
      </c>
      <c r="D19" s="467" t="s">
        <v>5649</v>
      </c>
      <c r="E19" s="468" t="s">
        <v>4863</v>
      </c>
      <c r="F19" s="465">
        <v>6.32</v>
      </c>
    </row>
    <row r="20" spans="1:6" x14ac:dyDescent="0.25">
      <c r="A20" s="465">
        <v>20</v>
      </c>
      <c r="B20" s="466" t="s">
        <v>6223</v>
      </c>
      <c r="C20" s="466" t="s">
        <v>2094</v>
      </c>
      <c r="D20" s="467" t="s">
        <v>6224</v>
      </c>
      <c r="E20" s="468" t="s">
        <v>4863</v>
      </c>
      <c r="F20" s="465">
        <v>12.84</v>
      </c>
    </row>
    <row r="21" spans="1:6" x14ac:dyDescent="0.25">
      <c r="A21" s="465">
        <v>21</v>
      </c>
      <c r="B21" s="466" t="s">
        <v>6221</v>
      </c>
      <c r="C21" s="466" t="s">
        <v>2094</v>
      </c>
      <c r="D21" s="467" t="s">
        <v>6222</v>
      </c>
      <c r="E21" s="468" t="s">
        <v>4863</v>
      </c>
      <c r="F21" s="465">
        <v>2.39</v>
      </c>
    </row>
    <row r="22" spans="1:6" x14ac:dyDescent="0.25">
      <c r="A22" s="465">
        <v>22</v>
      </c>
      <c r="B22" s="466" t="s">
        <v>6227</v>
      </c>
      <c r="C22" s="466" t="s">
        <v>2094</v>
      </c>
      <c r="D22" s="467" t="s">
        <v>6228</v>
      </c>
      <c r="E22" s="468" t="s">
        <v>4863</v>
      </c>
      <c r="F22" s="465">
        <v>12.01</v>
      </c>
    </row>
    <row r="23" spans="1:6" ht="26.4" x14ac:dyDescent="0.25">
      <c r="A23" s="465">
        <v>23</v>
      </c>
      <c r="B23" s="466" t="s">
        <v>6225</v>
      </c>
      <c r="C23" s="466" t="s">
        <v>2094</v>
      </c>
      <c r="D23" s="467" t="s">
        <v>6226</v>
      </c>
      <c r="E23" s="468" t="s">
        <v>4863</v>
      </c>
      <c r="F23" s="465">
        <v>31.64</v>
      </c>
    </row>
    <row r="24" spans="1:6" x14ac:dyDescent="0.25">
      <c r="A24" s="465">
        <v>24</v>
      </c>
      <c r="B24" s="466" t="s">
        <v>6229</v>
      </c>
      <c r="C24" s="466" t="s">
        <v>2094</v>
      </c>
      <c r="D24" s="467" t="s">
        <v>6230</v>
      </c>
      <c r="E24" s="468" t="s">
        <v>4863</v>
      </c>
      <c r="F24" s="465">
        <v>25.15</v>
      </c>
    </row>
    <row r="25" spans="1:6" x14ac:dyDescent="0.25">
      <c r="A25" s="465">
        <v>25</v>
      </c>
      <c r="B25" s="466" t="s">
        <v>6213</v>
      </c>
      <c r="C25" s="466" t="s">
        <v>2094</v>
      </c>
      <c r="D25" s="467" t="s">
        <v>6214</v>
      </c>
      <c r="E25" s="468" t="s">
        <v>4863</v>
      </c>
      <c r="F25" s="465">
        <v>10.99</v>
      </c>
    </row>
    <row r="26" spans="1:6" x14ac:dyDescent="0.25">
      <c r="A26" s="465">
        <v>26</v>
      </c>
      <c r="B26" s="466" t="s">
        <v>6231</v>
      </c>
      <c r="C26" s="466" t="s">
        <v>2094</v>
      </c>
      <c r="D26" s="467" t="s">
        <v>6232</v>
      </c>
      <c r="E26" s="468" t="s">
        <v>4863</v>
      </c>
      <c r="F26" s="465">
        <v>34.6</v>
      </c>
    </row>
    <row r="27" spans="1:6" x14ac:dyDescent="0.25">
      <c r="A27" s="465">
        <v>27</v>
      </c>
      <c r="B27" s="466" t="s">
        <v>6219</v>
      </c>
      <c r="C27" s="466" t="s">
        <v>2094</v>
      </c>
      <c r="D27" s="467" t="s">
        <v>6220</v>
      </c>
      <c r="E27" s="468" t="s">
        <v>4863</v>
      </c>
      <c r="F27" s="465">
        <v>315.85000000000002</v>
      </c>
    </row>
    <row r="28" spans="1:6" x14ac:dyDescent="0.25">
      <c r="A28" s="465">
        <v>28</v>
      </c>
      <c r="B28" s="466" t="s">
        <v>6215</v>
      </c>
      <c r="C28" s="466" t="s">
        <v>2094</v>
      </c>
      <c r="D28" s="467" t="s">
        <v>6216</v>
      </c>
      <c r="E28" s="468" t="s">
        <v>4863</v>
      </c>
      <c r="F28" s="465">
        <v>195.16</v>
      </c>
    </row>
    <row r="29" spans="1:6" x14ac:dyDescent="0.25">
      <c r="A29" s="465">
        <v>29</v>
      </c>
      <c r="B29" s="466" t="s">
        <v>6217</v>
      </c>
      <c r="C29" s="466" t="s">
        <v>2094</v>
      </c>
      <c r="D29" s="467" t="s">
        <v>6218</v>
      </c>
      <c r="E29" s="468" t="s">
        <v>4863</v>
      </c>
      <c r="F29" s="465">
        <v>331.7</v>
      </c>
    </row>
    <row r="30" spans="1:6" x14ac:dyDescent="0.25">
      <c r="A30" s="465">
        <v>30</v>
      </c>
      <c r="B30" s="466" t="s">
        <v>6261</v>
      </c>
      <c r="C30" s="466" t="s">
        <v>2094</v>
      </c>
      <c r="D30" s="467" t="s">
        <v>6262</v>
      </c>
      <c r="E30" s="468" t="s">
        <v>4813</v>
      </c>
      <c r="F30" s="465">
        <v>0.16</v>
      </c>
    </row>
    <row r="31" spans="1:6" ht="26.4" x14ac:dyDescent="0.25">
      <c r="A31" s="465">
        <v>31</v>
      </c>
      <c r="B31" s="466" t="s">
        <v>6266</v>
      </c>
      <c r="C31" s="466" t="s">
        <v>2094</v>
      </c>
      <c r="D31" s="467" t="s">
        <v>6267</v>
      </c>
      <c r="E31" s="468" t="s">
        <v>4813</v>
      </c>
      <c r="F31" s="465">
        <v>0.28000000000000003</v>
      </c>
    </row>
    <row r="32" spans="1:6" ht="26.4" x14ac:dyDescent="0.25">
      <c r="A32" s="465">
        <v>32</v>
      </c>
      <c r="B32" s="466" t="s">
        <v>6263</v>
      </c>
      <c r="C32" s="466" t="s">
        <v>2094</v>
      </c>
      <c r="D32" s="467" t="s">
        <v>4965</v>
      </c>
      <c r="E32" s="468" t="s">
        <v>4813</v>
      </c>
      <c r="F32" s="465">
        <v>0.02</v>
      </c>
    </row>
    <row r="33" spans="1:6" ht="26.4" x14ac:dyDescent="0.25">
      <c r="A33" s="465">
        <v>33</v>
      </c>
      <c r="B33" s="466" t="s">
        <v>6264</v>
      </c>
      <c r="C33" s="466" t="s">
        <v>2094</v>
      </c>
      <c r="D33" s="467" t="s">
        <v>4965</v>
      </c>
      <c r="E33" s="468" t="s">
        <v>4813</v>
      </c>
      <c r="F33" s="465">
        <v>7.0000000000000007E-2</v>
      </c>
    </row>
    <row r="34" spans="1:6" ht="26.4" x14ac:dyDescent="0.25">
      <c r="A34" s="465">
        <v>34</v>
      </c>
      <c r="B34" s="466" t="s">
        <v>6265</v>
      </c>
      <c r="C34" s="466" t="s">
        <v>2094</v>
      </c>
      <c r="D34" s="467" t="s">
        <v>4965</v>
      </c>
      <c r="E34" s="468" t="s">
        <v>4813</v>
      </c>
      <c r="F34" s="465">
        <v>0.12</v>
      </c>
    </row>
    <row r="35" spans="1:6" x14ac:dyDescent="0.25">
      <c r="A35" s="465">
        <v>35</v>
      </c>
      <c r="B35" s="466" t="s">
        <v>6268</v>
      </c>
      <c r="C35" s="466" t="s">
        <v>2094</v>
      </c>
      <c r="D35" s="467" t="s">
        <v>4967</v>
      </c>
      <c r="E35" s="468" t="s">
        <v>4813</v>
      </c>
      <c r="F35" s="465">
        <v>0.12</v>
      </c>
    </row>
    <row r="36" spans="1:6" ht="52.8" x14ac:dyDescent="0.25">
      <c r="A36" s="465">
        <v>36</v>
      </c>
      <c r="B36" s="466" t="s">
        <v>4891</v>
      </c>
      <c r="C36" s="466" t="s">
        <v>4801</v>
      </c>
      <c r="D36" s="467" t="s">
        <v>4892</v>
      </c>
      <c r="E36" s="468" t="s">
        <v>4843</v>
      </c>
      <c r="F36" s="465">
        <v>122.83</v>
      </c>
    </row>
    <row r="37" spans="1:6" ht="52.8" x14ac:dyDescent="0.25">
      <c r="A37" s="465">
        <v>37</v>
      </c>
      <c r="B37" s="466" t="s">
        <v>4897</v>
      </c>
      <c r="C37" s="466" t="s">
        <v>4801</v>
      </c>
      <c r="D37" s="467" t="s">
        <v>4898</v>
      </c>
      <c r="E37" s="468" t="s">
        <v>4843</v>
      </c>
      <c r="F37" s="465">
        <v>250.37</v>
      </c>
    </row>
    <row r="38" spans="1:6" ht="66" x14ac:dyDescent="0.25">
      <c r="A38" s="465">
        <v>38</v>
      </c>
      <c r="B38" s="466" t="s">
        <v>4889</v>
      </c>
      <c r="C38" s="466" t="s">
        <v>4801</v>
      </c>
      <c r="D38" s="467" t="s">
        <v>4890</v>
      </c>
      <c r="E38" s="468" t="s">
        <v>4843</v>
      </c>
      <c r="F38" s="465">
        <v>397.59</v>
      </c>
    </row>
    <row r="39" spans="1:6" ht="26.4" x14ac:dyDescent="0.25">
      <c r="A39" s="465">
        <v>39</v>
      </c>
      <c r="B39" s="466" t="s">
        <v>4848</v>
      </c>
      <c r="C39" s="466" t="s">
        <v>4801</v>
      </c>
      <c r="D39" s="467" t="s">
        <v>4849</v>
      </c>
      <c r="E39" s="468" t="s">
        <v>4850</v>
      </c>
      <c r="F39" s="465">
        <v>2.36</v>
      </c>
    </row>
    <row r="40" spans="1:6" ht="26.4" x14ac:dyDescent="0.25">
      <c r="A40" s="465">
        <v>40</v>
      </c>
      <c r="B40" s="466" t="s">
        <v>4882</v>
      </c>
      <c r="C40" s="466" t="s">
        <v>4801</v>
      </c>
      <c r="D40" s="467" t="s">
        <v>4883</v>
      </c>
      <c r="E40" s="468" t="s">
        <v>2376</v>
      </c>
      <c r="F40" s="465">
        <v>244.2</v>
      </c>
    </row>
    <row r="41" spans="1:6" x14ac:dyDescent="0.25">
      <c r="A41" s="465">
        <v>41</v>
      </c>
      <c r="B41" s="466" t="s">
        <v>3423</v>
      </c>
      <c r="C41" s="466" t="s">
        <v>2094</v>
      </c>
      <c r="D41" s="467" t="s">
        <v>5967</v>
      </c>
      <c r="E41" s="468" t="s">
        <v>4863</v>
      </c>
      <c r="F41" s="465">
        <v>8.93</v>
      </c>
    </row>
    <row r="42" spans="1:6" ht="26.4" x14ac:dyDescent="0.25">
      <c r="A42" s="465">
        <v>42</v>
      </c>
      <c r="B42" s="466" t="s">
        <v>4984</v>
      </c>
      <c r="C42" s="466" t="s">
        <v>4801</v>
      </c>
      <c r="D42" s="467" t="s">
        <v>4985</v>
      </c>
      <c r="E42" s="468" t="s">
        <v>4810</v>
      </c>
      <c r="F42" s="465">
        <v>2.06</v>
      </c>
    </row>
    <row r="43" spans="1:6" ht="26.4" x14ac:dyDescent="0.25">
      <c r="A43" s="465">
        <v>43</v>
      </c>
      <c r="B43" s="466" t="s">
        <v>7086</v>
      </c>
      <c r="C43" s="466" t="s">
        <v>2094</v>
      </c>
      <c r="D43" s="467" t="s">
        <v>7087</v>
      </c>
      <c r="E43" s="468" t="s">
        <v>4813</v>
      </c>
      <c r="F43" s="465">
        <v>0.65</v>
      </c>
    </row>
    <row r="44" spans="1:6" ht="26.4" x14ac:dyDescent="0.25">
      <c r="A44" s="465">
        <v>44</v>
      </c>
      <c r="B44" s="466" t="s">
        <v>6975</v>
      </c>
      <c r="C44" s="466" t="s">
        <v>2094</v>
      </c>
      <c r="D44" s="467" t="s">
        <v>6976</v>
      </c>
      <c r="E44" s="468" t="s">
        <v>4843</v>
      </c>
      <c r="F44" s="465">
        <v>55.64</v>
      </c>
    </row>
    <row r="45" spans="1:6" ht="26.4" x14ac:dyDescent="0.25">
      <c r="A45" s="465">
        <v>45</v>
      </c>
      <c r="B45" s="466" t="s">
        <v>5927</v>
      </c>
      <c r="C45" s="466" t="s">
        <v>2094</v>
      </c>
      <c r="D45" s="467" t="s">
        <v>5928</v>
      </c>
      <c r="E45" s="468" t="s">
        <v>4843</v>
      </c>
      <c r="F45" s="465">
        <v>22.56</v>
      </c>
    </row>
    <row r="46" spans="1:6" ht="39.6" x14ac:dyDescent="0.25">
      <c r="A46" s="465">
        <v>46</v>
      </c>
      <c r="B46" s="466" t="s">
        <v>5916</v>
      </c>
      <c r="C46" s="466" t="s">
        <v>2094</v>
      </c>
      <c r="D46" s="467" t="s">
        <v>5917</v>
      </c>
      <c r="E46" s="468" t="s">
        <v>4843</v>
      </c>
      <c r="F46" s="465">
        <v>23.45</v>
      </c>
    </row>
    <row r="47" spans="1:6" ht="26.4" x14ac:dyDescent="0.25">
      <c r="A47" s="465">
        <v>47</v>
      </c>
      <c r="B47" s="466" t="s">
        <v>4961</v>
      </c>
      <c r="C47" s="466" t="s">
        <v>4801</v>
      </c>
      <c r="D47" s="467" t="s">
        <v>4962</v>
      </c>
      <c r="E47" s="468" t="s">
        <v>4843</v>
      </c>
      <c r="F47" s="465">
        <v>4.0199999999999996</v>
      </c>
    </row>
    <row r="48" spans="1:6" ht="39.6" x14ac:dyDescent="0.25">
      <c r="A48" s="465">
        <v>48</v>
      </c>
      <c r="B48" s="466" t="s">
        <v>4955</v>
      </c>
      <c r="C48" s="466" t="s">
        <v>4801</v>
      </c>
      <c r="D48" s="467" t="s">
        <v>4956</v>
      </c>
      <c r="E48" s="468" t="s">
        <v>4843</v>
      </c>
      <c r="F48" s="465">
        <v>1.91</v>
      </c>
    </row>
    <row r="49" spans="1:6" ht="26.4" x14ac:dyDescent="0.25">
      <c r="A49" s="465">
        <v>49</v>
      </c>
      <c r="B49" s="466" t="s">
        <v>4934</v>
      </c>
      <c r="C49" s="466" t="s">
        <v>4801</v>
      </c>
      <c r="D49" s="467" t="s">
        <v>4935</v>
      </c>
      <c r="E49" s="468" t="s">
        <v>4843</v>
      </c>
      <c r="F49" s="465">
        <v>3.53</v>
      </c>
    </row>
    <row r="50" spans="1:6" ht="26.4" x14ac:dyDescent="0.25">
      <c r="A50" s="465">
        <v>50</v>
      </c>
      <c r="B50" s="466" t="s">
        <v>4932</v>
      </c>
      <c r="C50" s="466" t="s">
        <v>4801</v>
      </c>
      <c r="D50" s="467" t="s">
        <v>4933</v>
      </c>
      <c r="E50" s="468" t="s">
        <v>4843</v>
      </c>
      <c r="F50" s="465">
        <v>4.72</v>
      </c>
    </row>
    <row r="51" spans="1:6" ht="26.4" x14ac:dyDescent="0.25">
      <c r="A51" s="465">
        <v>51</v>
      </c>
      <c r="B51" s="466" t="s">
        <v>4930</v>
      </c>
      <c r="C51" s="466" t="s">
        <v>4801</v>
      </c>
      <c r="D51" s="467" t="s">
        <v>4931</v>
      </c>
      <c r="E51" s="468" t="s">
        <v>4843</v>
      </c>
      <c r="F51" s="465">
        <v>2.89</v>
      </c>
    </row>
    <row r="52" spans="1:6" ht="26.4" x14ac:dyDescent="0.25">
      <c r="A52" s="465">
        <v>52</v>
      </c>
      <c r="B52" s="466" t="s">
        <v>6302</v>
      </c>
      <c r="C52" s="466" t="s">
        <v>2094</v>
      </c>
      <c r="D52" s="467" t="s">
        <v>6303</v>
      </c>
      <c r="E52" s="468" t="s">
        <v>4843</v>
      </c>
      <c r="F52" s="465">
        <v>19.48</v>
      </c>
    </row>
    <row r="53" spans="1:6" ht="26.4" x14ac:dyDescent="0.25">
      <c r="A53" s="465">
        <v>53</v>
      </c>
      <c r="B53" s="466" t="s">
        <v>4817</v>
      </c>
      <c r="C53" s="466" t="s">
        <v>4801</v>
      </c>
      <c r="D53" s="467" t="s">
        <v>4818</v>
      </c>
      <c r="E53" s="468" t="s">
        <v>4813</v>
      </c>
      <c r="F53" s="465">
        <v>1.1299999999999999</v>
      </c>
    </row>
    <row r="54" spans="1:6" ht="39.6" x14ac:dyDescent="0.25">
      <c r="A54" s="465">
        <v>54</v>
      </c>
      <c r="B54" s="466" t="s">
        <v>4833</v>
      </c>
      <c r="C54" s="466" t="s">
        <v>4801</v>
      </c>
      <c r="D54" s="467" t="s">
        <v>4834</v>
      </c>
      <c r="E54" s="468" t="s">
        <v>4813</v>
      </c>
      <c r="F54" s="465">
        <v>2.56</v>
      </c>
    </row>
    <row r="55" spans="1:6" ht="39.6" x14ac:dyDescent="0.25">
      <c r="A55" s="465">
        <v>55</v>
      </c>
      <c r="B55" s="466" t="s">
        <v>4829</v>
      </c>
      <c r="C55" s="466" t="s">
        <v>4801</v>
      </c>
      <c r="D55" s="467" t="s">
        <v>4830</v>
      </c>
      <c r="E55" s="468" t="s">
        <v>4813</v>
      </c>
      <c r="F55" s="465">
        <v>3.04</v>
      </c>
    </row>
    <row r="56" spans="1:6" ht="39.6" x14ac:dyDescent="0.25">
      <c r="A56" s="465">
        <v>68</v>
      </c>
      <c r="B56" s="466" t="s">
        <v>6737</v>
      </c>
      <c r="C56" s="466" t="s">
        <v>2094</v>
      </c>
      <c r="D56" s="467" t="s">
        <v>6738</v>
      </c>
      <c r="E56" s="468" t="s">
        <v>5360</v>
      </c>
      <c r="F56" s="465">
        <v>0.5</v>
      </c>
    </row>
    <row r="57" spans="1:6" ht="39.6" x14ac:dyDescent="0.25">
      <c r="A57" s="465">
        <v>69</v>
      </c>
      <c r="B57" s="466" t="s">
        <v>6733</v>
      </c>
      <c r="C57" s="466" t="s">
        <v>2094</v>
      </c>
      <c r="D57" s="467" t="s">
        <v>6734</v>
      </c>
      <c r="E57" s="468" t="s">
        <v>5360</v>
      </c>
      <c r="F57" s="465">
        <v>0.73</v>
      </c>
    </row>
    <row r="58" spans="1:6" ht="39.6" x14ac:dyDescent="0.25">
      <c r="A58" s="465">
        <v>70</v>
      </c>
      <c r="B58" s="466" t="s">
        <v>6735</v>
      </c>
      <c r="C58" s="466" t="s">
        <v>2094</v>
      </c>
      <c r="D58" s="467" t="s">
        <v>6736</v>
      </c>
      <c r="E58" s="468" t="s">
        <v>5360</v>
      </c>
      <c r="F58" s="465">
        <v>0.99</v>
      </c>
    </row>
    <row r="59" spans="1:6" ht="39.6" x14ac:dyDescent="0.25">
      <c r="A59" s="465">
        <v>71</v>
      </c>
      <c r="B59" s="466" t="s">
        <v>6741</v>
      </c>
      <c r="C59" s="466" t="s">
        <v>2094</v>
      </c>
      <c r="D59" s="467" t="s">
        <v>6742</v>
      </c>
      <c r="E59" s="468" t="s">
        <v>5360</v>
      </c>
      <c r="F59" s="465">
        <v>0.6</v>
      </c>
    </row>
    <row r="60" spans="1:6" ht="39.6" x14ac:dyDescent="0.25">
      <c r="A60" s="465">
        <v>72</v>
      </c>
      <c r="B60" s="466" t="s">
        <v>6739</v>
      </c>
      <c r="C60" s="466" t="s">
        <v>2094</v>
      </c>
      <c r="D60" s="467" t="s">
        <v>6740</v>
      </c>
      <c r="E60" s="468" t="s">
        <v>5360</v>
      </c>
      <c r="F60" s="465">
        <v>0.67</v>
      </c>
    </row>
    <row r="61" spans="1:6" ht="39.6" x14ac:dyDescent="0.25">
      <c r="A61" s="465">
        <v>73</v>
      </c>
      <c r="B61" s="466" t="s">
        <v>6772</v>
      </c>
      <c r="C61" s="466" t="s">
        <v>2094</v>
      </c>
      <c r="D61" s="467" t="s">
        <v>6773</v>
      </c>
      <c r="E61" s="468" t="s">
        <v>5360</v>
      </c>
      <c r="F61" s="465">
        <v>0.65</v>
      </c>
    </row>
    <row r="62" spans="1:6" ht="39.6" x14ac:dyDescent="0.25">
      <c r="A62" s="465">
        <v>74</v>
      </c>
      <c r="B62" s="466" t="s">
        <v>6843</v>
      </c>
      <c r="C62" s="466" t="s">
        <v>2094</v>
      </c>
      <c r="D62" s="467" t="s">
        <v>6844</v>
      </c>
      <c r="E62" s="468" t="s">
        <v>5360</v>
      </c>
      <c r="F62" s="465">
        <v>0.52</v>
      </c>
    </row>
    <row r="63" spans="1:6" x14ac:dyDescent="0.25">
      <c r="A63" s="465">
        <v>75</v>
      </c>
      <c r="B63" s="466" t="s">
        <v>6555</v>
      </c>
      <c r="C63" s="466" t="s">
        <v>2094</v>
      </c>
      <c r="D63" s="467" t="s">
        <v>6556</v>
      </c>
      <c r="E63" s="468" t="s">
        <v>2377</v>
      </c>
      <c r="F63" s="465">
        <v>23.98</v>
      </c>
    </row>
    <row r="64" spans="1:6" x14ac:dyDescent="0.25">
      <c r="A64" s="465">
        <v>76</v>
      </c>
      <c r="B64" s="466" t="s">
        <v>5971</v>
      </c>
      <c r="C64" s="466" t="s">
        <v>2094</v>
      </c>
      <c r="D64" s="467" t="s">
        <v>5972</v>
      </c>
      <c r="E64" s="468" t="s">
        <v>5360</v>
      </c>
      <c r="F64" s="465">
        <v>11.81</v>
      </c>
    </row>
    <row r="65" spans="1:6" x14ac:dyDescent="0.25">
      <c r="A65" s="465">
        <v>77</v>
      </c>
      <c r="B65" s="466" t="s">
        <v>6210</v>
      </c>
      <c r="C65" s="466" t="s">
        <v>2094</v>
      </c>
      <c r="D65" s="467" t="s">
        <v>5972</v>
      </c>
      <c r="E65" s="468" t="s">
        <v>5360</v>
      </c>
      <c r="F65" s="465">
        <v>17.45</v>
      </c>
    </row>
    <row r="66" spans="1:6" x14ac:dyDescent="0.25">
      <c r="A66" s="465">
        <v>78</v>
      </c>
      <c r="B66" s="466" t="s">
        <v>6505</v>
      </c>
      <c r="C66" s="466" t="s">
        <v>2094</v>
      </c>
      <c r="D66" s="467" t="s">
        <v>5972</v>
      </c>
      <c r="E66" s="468" t="s">
        <v>5360</v>
      </c>
      <c r="F66" s="465">
        <v>12.63</v>
      </c>
    </row>
    <row r="67" spans="1:6" x14ac:dyDescent="0.25">
      <c r="A67" s="465">
        <v>79</v>
      </c>
      <c r="B67" s="466" t="s">
        <v>6561</v>
      </c>
      <c r="C67" s="466" t="s">
        <v>2094</v>
      </c>
      <c r="D67" s="467" t="s">
        <v>5972</v>
      </c>
      <c r="E67" s="468" t="s">
        <v>5360</v>
      </c>
      <c r="F67" s="465">
        <v>15.43</v>
      </c>
    </row>
    <row r="68" spans="1:6" x14ac:dyDescent="0.25">
      <c r="A68" s="465">
        <v>80</v>
      </c>
      <c r="B68" s="466" t="s">
        <v>6856</v>
      </c>
      <c r="C68" s="466" t="s">
        <v>2094</v>
      </c>
      <c r="D68" s="467" t="s">
        <v>5972</v>
      </c>
      <c r="E68" s="468" t="s">
        <v>5360</v>
      </c>
      <c r="F68" s="465">
        <v>125.23</v>
      </c>
    </row>
    <row r="69" spans="1:6" x14ac:dyDescent="0.25">
      <c r="A69" s="465">
        <v>81</v>
      </c>
      <c r="B69" s="466" t="s">
        <v>7077</v>
      </c>
      <c r="C69" s="466" t="s">
        <v>2094</v>
      </c>
      <c r="D69" s="467" t="s">
        <v>5972</v>
      </c>
      <c r="E69" s="468" t="s">
        <v>5360</v>
      </c>
      <c r="F69" s="465">
        <v>14.86</v>
      </c>
    </row>
    <row r="70" spans="1:6" x14ac:dyDescent="0.25">
      <c r="A70" s="465">
        <v>82</v>
      </c>
      <c r="B70" s="466" t="s">
        <v>7163</v>
      </c>
      <c r="C70" s="466" t="s">
        <v>2094</v>
      </c>
      <c r="D70" s="467" t="s">
        <v>5972</v>
      </c>
      <c r="E70" s="468" t="s">
        <v>5360</v>
      </c>
      <c r="F70" s="465">
        <v>9.6199999999999992</v>
      </c>
    </row>
    <row r="71" spans="1:6" x14ac:dyDescent="0.25">
      <c r="A71" s="465">
        <v>83</v>
      </c>
      <c r="B71" s="466" t="s">
        <v>7452</v>
      </c>
      <c r="C71" s="466" t="s">
        <v>2094</v>
      </c>
      <c r="D71" s="467" t="s">
        <v>5972</v>
      </c>
      <c r="E71" s="468" t="s">
        <v>5360</v>
      </c>
      <c r="F71" s="465">
        <v>9.32</v>
      </c>
    </row>
    <row r="72" spans="1:6" x14ac:dyDescent="0.25">
      <c r="A72" s="465">
        <v>84</v>
      </c>
      <c r="B72" s="466" t="s">
        <v>7453</v>
      </c>
      <c r="C72" s="466" t="s">
        <v>2094</v>
      </c>
      <c r="D72" s="467" t="s">
        <v>5972</v>
      </c>
      <c r="E72" s="468" t="s">
        <v>5360</v>
      </c>
      <c r="F72" s="465">
        <v>9.81</v>
      </c>
    </row>
    <row r="73" spans="1:6" x14ac:dyDescent="0.25">
      <c r="A73" s="465">
        <v>85</v>
      </c>
      <c r="B73" s="466" t="s">
        <v>6275</v>
      </c>
      <c r="C73" s="466" t="s">
        <v>2094</v>
      </c>
      <c r="D73" s="467" t="s">
        <v>5959</v>
      </c>
      <c r="E73" s="468" t="s">
        <v>5360</v>
      </c>
      <c r="F73" s="465">
        <v>1.99</v>
      </c>
    </row>
    <row r="74" spans="1:6" x14ac:dyDescent="0.25">
      <c r="A74" s="465">
        <v>86</v>
      </c>
      <c r="B74" s="466" t="s">
        <v>6276</v>
      </c>
      <c r="C74" s="466" t="s">
        <v>2094</v>
      </c>
      <c r="D74" s="467" t="s">
        <v>5959</v>
      </c>
      <c r="E74" s="468" t="s">
        <v>5360</v>
      </c>
      <c r="F74" s="465">
        <v>2.72</v>
      </c>
    </row>
    <row r="75" spans="1:6" x14ac:dyDescent="0.25">
      <c r="A75" s="465">
        <v>87</v>
      </c>
      <c r="B75" s="466" t="s">
        <v>6277</v>
      </c>
      <c r="C75" s="466" t="s">
        <v>2094</v>
      </c>
      <c r="D75" s="467" t="s">
        <v>5959</v>
      </c>
      <c r="E75" s="468" t="s">
        <v>5360</v>
      </c>
      <c r="F75" s="465">
        <v>1.8</v>
      </c>
    </row>
    <row r="76" spans="1:6" x14ac:dyDescent="0.25">
      <c r="A76" s="465">
        <v>88</v>
      </c>
      <c r="B76" s="466" t="s">
        <v>6278</v>
      </c>
      <c r="C76" s="466" t="s">
        <v>2094</v>
      </c>
      <c r="D76" s="467" t="s">
        <v>5959</v>
      </c>
      <c r="E76" s="468" t="s">
        <v>5360</v>
      </c>
      <c r="F76" s="465">
        <v>1.88</v>
      </c>
    </row>
    <row r="77" spans="1:6" x14ac:dyDescent="0.25">
      <c r="A77" s="465">
        <v>89</v>
      </c>
      <c r="B77" s="466" t="s">
        <v>6279</v>
      </c>
      <c r="C77" s="466" t="s">
        <v>2094</v>
      </c>
      <c r="D77" s="467" t="s">
        <v>5959</v>
      </c>
      <c r="E77" s="468" t="s">
        <v>5360</v>
      </c>
      <c r="F77" s="465">
        <v>2.08</v>
      </c>
    </row>
    <row r="78" spans="1:6" x14ac:dyDescent="0.25">
      <c r="A78" s="465">
        <v>90</v>
      </c>
      <c r="B78" s="466" t="s">
        <v>6332</v>
      </c>
      <c r="C78" s="466" t="s">
        <v>2094</v>
      </c>
      <c r="D78" s="467" t="s">
        <v>5959</v>
      </c>
      <c r="E78" s="468" t="s">
        <v>5360</v>
      </c>
      <c r="F78" s="465">
        <v>7.12</v>
      </c>
    </row>
    <row r="79" spans="1:6" x14ac:dyDescent="0.25">
      <c r="A79" s="465">
        <v>91</v>
      </c>
      <c r="B79" s="466" t="s">
        <v>6540</v>
      </c>
      <c r="C79" s="466" t="s">
        <v>2094</v>
      </c>
      <c r="D79" s="467" t="s">
        <v>5959</v>
      </c>
      <c r="E79" s="468" t="s">
        <v>5360</v>
      </c>
      <c r="F79" s="465">
        <v>3.02</v>
      </c>
    </row>
    <row r="80" spans="1:6" x14ac:dyDescent="0.25">
      <c r="A80" s="465">
        <v>92</v>
      </c>
      <c r="B80" s="466" t="s">
        <v>6759</v>
      </c>
      <c r="C80" s="466" t="s">
        <v>2094</v>
      </c>
      <c r="D80" s="467" t="s">
        <v>5959</v>
      </c>
      <c r="E80" s="468" t="s">
        <v>5360</v>
      </c>
      <c r="F80" s="465">
        <v>2.04</v>
      </c>
    </row>
    <row r="81" spans="1:6" x14ac:dyDescent="0.25">
      <c r="A81" s="465">
        <v>93</v>
      </c>
      <c r="B81" s="466" t="s">
        <v>6769</v>
      </c>
      <c r="C81" s="466" t="s">
        <v>2094</v>
      </c>
      <c r="D81" s="467" t="s">
        <v>5959</v>
      </c>
      <c r="E81" s="468" t="s">
        <v>5360</v>
      </c>
      <c r="F81" s="465">
        <v>1.94</v>
      </c>
    </row>
    <row r="82" spans="1:6" x14ac:dyDescent="0.25">
      <c r="A82" s="465">
        <v>94</v>
      </c>
      <c r="B82" s="466" t="s">
        <v>6955</v>
      </c>
      <c r="C82" s="466" t="s">
        <v>2094</v>
      </c>
      <c r="D82" s="467" t="s">
        <v>5959</v>
      </c>
      <c r="E82" s="468" t="s">
        <v>5360</v>
      </c>
      <c r="F82" s="465">
        <v>7.95</v>
      </c>
    </row>
    <row r="83" spans="1:6" x14ac:dyDescent="0.25">
      <c r="A83" s="465">
        <v>95</v>
      </c>
      <c r="B83" s="466" t="s">
        <v>7098</v>
      </c>
      <c r="C83" s="466" t="s">
        <v>2094</v>
      </c>
      <c r="D83" s="467" t="s">
        <v>5959</v>
      </c>
      <c r="E83" s="468" t="s">
        <v>5360</v>
      </c>
      <c r="F83" s="465">
        <v>3.15</v>
      </c>
    </row>
    <row r="84" spans="1:6" x14ac:dyDescent="0.25">
      <c r="A84" s="465">
        <v>96</v>
      </c>
      <c r="B84" s="466" t="s">
        <v>6954</v>
      </c>
      <c r="C84" s="466" t="s">
        <v>2094</v>
      </c>
      <c r="D84" s="467" t="s">
        <v>5959</v>
      </c>
      <c r="E84" s="468" t="s">
        <v>5360</v>
      </c>
      <c r="F84" s="465">
        <v>9.4499999999999993</v>
      </c>
    </row>
    <row r="85" spans="1:6" x14ac:dyDescent="0.25">
      <c r="A85" s="465">
        <v>97</v>
      </c>
      <c r="B85" s="466" t="s">
        <v>7281</v>
      </c>
      <c r="C85" s="466" t="s">
        <v>2094</v>
      </c>
      <c r="D85" s="467" t="s">
        <v>5959</v>
      </c>
      <c r="E85" s="468" t="s">
        <v>5360</v>
      </c>
      <c r="F85" s="465">
        <v>2.46</v>
      </c>
    </row>
    <row r="86" spans="1:6" x14ac:dyDescent="0.25">
      <c r="A86" s="465">
        <v>98</v>
      </c>
      <c r="B86" s="466" t="s">
        <v>6040</v>
      </c>
      <c r="C86" s="466" t="s">
        <v>2094</v>
      </c>
      <c r="D86" s="467" t="s">
        <v>5959</v>
      </c>
      <c r="E86" s="468" t="s">
        <v>5360</v>
      </c>
      <c r="F86" s="465">
        <v>4.32</v>
      </c>
    </row>
    <row r="87" spans="1:6" x14ac:dyDescent="0.25">
      <c r="A87" s="465">
        <v>99</v>
      </c>
      <c r="B87" s="466" t="s">
        <v>6041</v>
      </c>
      <c r="C87" s="466" t="s">
        <v>2094</v>
      </c>
      <c r="D87" s="467" t="s">
        <v>5959</v>
      </c>
      <c r="E87" s="468" t="s">
        <v>5360</v>
      </c>
      <c r="F87" s="465">
        <v>3.75</v>
      </c>
    </row>
    <row r="88" spans="1:6" x14ac:dyDescent="0.25">
      <c r="A88" s="465">
        <v>100</v>
      </c>
      <c r="B88" s="466" t="s">
        <v>6046</v>
      </c>
      <c r="C88" s="466" t="s">
        <v>2094</v>
      </c>
      <c r="D88" s="467" t="s">
        <v>5959</v>
      </c>
      <c r="E88" s="468" t="s">
        <v>5360</v>
      </c>
      <c r="F88" s="465">
        <v>5.0199999999999996</v>
      </c>
    </row>
    <row r="89" spans="1:6" x14ac:dyDescent="0.25">
      <c r="A89" s="465">
        <v>101</v>
      </c>
      <c r="B89" s="466" t="s">
        <v>6049</v>
      </c>
      <c r="C89" s="466" t="s">
        <v>2094</v>
      </c>
      <c r="D89" s="467" t="s">
        <v>5959</v>
      </c>
      <c r="E89" s="468" t="s">
        <v>5360</v>
      </c>
      <c r="F89" s="465">
        <v>4.53</v>
      </c>
    </row>
    <row r="90" spans="1:6" x14ac:dyDescent="0.25">
      <c r="A90" s="465">
        <v>102</v>
      </c>
      <c r="B90" s="466" t="s">
        <v>6054</v>
      </c>
      <c r="C90" s="466" t="s">
        <v>2094</v>
      </c>
      <c r="D90" s="467" t="s">
        <v>5959</v>
      </c>
      <c r="E90" s="468" t="s">
        <v>5360</v>
      </c>
      <c r="F90" s="465">
        <v>4.41</v>
      </c>
    </row>
    <row r="91" spans="1:6" x14ac:dyDescent="0.25">
      <c r="A91" s="465">
        <v>103</v>
      </c>
      <c r="B91" s="466" t="s">
        <v>6058</v>
      </c>
      <c r="C91" s="466" t="s">
        <v>2094</v>
      </c>
      <c r="D91" s="467" t="s">
        <v>5959</v>
      </c>
      <c r="E91" s="468" t="s">
        <v>5360</v>
      </c>
      <c r="F91" s="465">
        <v>3</v>
      </c>
    </row>
    <row r="92" spans="1:6" x14ac:dyDescent="0.25">
      <c r="A92" s="465">
        <v>104</v>
      </c>
      <c r="B92" s="466" t="s">
        <v>5931</v>
      </c>
      <c r="C92" s="466" t="s">
        <v>2094</v>
      </c>
      <c r="D92" s="467" t="s">
        <v>5932</v>
      </c>
      <c r="E92" s="468" t="s">
        <v>5360</v>
      </c>
      <c r="F92" s="465">
        <v>4.1500000000000004</v>
      </c>
    </row>
    <row r="93" spans="1:6" x14ac:dyDescent="0.25">
      <c r="A93" s="465">
        <v>105</v>
      </c>
      <c r="B93" s="466" t="s">
        <v>5933</v>
      </c>
      <c r="C93" s="466" t="s">
        <v>2094</v>
      </c>
      <c r="D93" s="467" t="s">
        <v>5932</v>
      </c>
      <c r="E93" s="468" t="s">
        <v>5360</v>
      </c>
      <c r="F93" s="465">
        <v>3.06</v>
      </c>
    </row>
    <row r="94" spans="1:6" x14ac:dyDescent="0.25">
      <c r="A94" s="465">
        <v>106</v>
      </c>
      <c r="B94" s="466" t="s">
        <v>5973</v>
      </c>
      <c r="C94" s="466" t="s">
        <v>2094</v>
      </c>
      <c r="D94" s="467" t="s">
        <v>5932</v>
      </c>
      <c r="E94" s="468" t="s">
        <v>5360</v>
      </c>
      <c r="F94" s="465">
        <v>11.22</v>
      </c>
    </row>
    <row r="95" spans="1:6" x14ac:dyDescent="0.25">
      <c r="A95" s="465">
        <v>107</v>
      </c>
      <c r="B95" s="466" t="s">
        <v>6160</v>
      </c>
      <c r="C95" s="466" t="s">
        <v>2094</v>
      </c>
      <c r="D95" s="467" t="s">
        <v>5932</v>
      </c>
      <c r="E95" s="468" t="s">
        <v>5360</v>
      </c>
      <c r="F95" s="465">
        <v>16.23</v>
      </c>
    </row>
    <row r="96" spans="1:6" x14ac:dyDescent="0.25">
      <c r="A96" s="465">
        <v>108</v>
      </c>
      <c r="B96" s="466" t="s">
        <v>6541</v>
      </c>
      <c r="C96" s="466" t="s">
        <v>2094</v>
      </c>
      <c r="D96" s="467" t="s">
        <v>5932</v>
      </c>
      <c r="E96" s="468" t="s">
        <v>5360</v>
      </c>
      <c r="F96" s="465">
        <v>10.45</v>
      </c>
    </row>
    <row r="97" spans="1:6" x14ac:dyDescent="0.25">
      <c r="A97" s="465">
        <v>109</v>
      </c>
      <c r="B97" s="466" t="s">
        <v>6542</v>
      </c>
      <c r="C97" s="466" t="s">
        <v>2094</v>
      </c>
      <c r="D97" s="467" t="s">
        <v>5932</v>
      </c>
      <c r="E97" s="468" t="s">
        <v>5360</v>
      </c>
      <c r="F97" s="465">
        <v>3.74</v>
      </c>
    </row>
    <row r="98" spans="1:6" x14ac:dyDescent="0.25">
      <c r="A98" s="465">
        <v>110</v>
      </c>
      <c r="B98" s="466" t="s">
        <v>6547</v>
      </c>
      <c r="C98" s="466" t="s">
        <v>2094</v>
      </c>
      <c r="D98" s="467" t="s">
        <v>5932</v>
      </c>
      <c r="E98" s="468" t="s">
        <v>5360</v>
      </c>
      <c r="F98" s="465">
        <v>2.67</v>
      </c>
    </row>
    <row r="99" spans="1:6" x14ac:dyDescent="0.25">
      <c r="A99" s="465">
        <v>111</v>
      </c>
      <c r="B99" s="466" t="s">
        <v>6548</v>
      </c>
      <c r="C99" s="466" t="s">
        <v>2094</v>
      </c>
      <c r="D99" s="467" t="s">
        <v>5932</v>
      </c>
      <c r="E99" s="468" t="s">
        <v>5360</v>
      </c>
      <c r="F99" s="465">
        <v>5.36</v>
      </c>
    </row>
    <row r="100" spans="1:6" x14ac:dyDescent="0.25">
      <c r="A100" s="465">
        <v>112</v>
      </c>
      <c r="B100" s="466" t="s">
        <v>6951</v>
      </c>
      <c r="C100" s="466" t="s">
        <v>2094</v>
      </c>
      <c r="D100" s="467" t="s">
        <v>5932</v>
      </c>
      <c r="E100" s="468" t="s">
        <v>5360</v>
      </c>
      <c r="F100" s="465">
        <v>2.6</v>
      </c>
    </row>
    <row r="101" spans="1:6" x14ac:dyDescent="0.25">
      <c r="A101" s="465">
        <v>113</v>
      </c>
      <c r="B101" s="466" t="s">
        <v>7154</v>
      </c>
      <c r="C101" s="466" t="s">
        <v>2094</v>
      </c>
      <c r="D101" s="467" t="s">
        <v>5932</v>
      </c>
      <c r="E101" s="468" t="s">
        <v>5360</v>
      </c>
      <c r="F101" s="465">
        <v>3.04</v>
      </c>
    </row>
    <row r="102" spans="1:6" x14ac:dyDescent="0.25">
      <c r="A102" s="465">
        <v>114</v>
      </c>
      <c r="B102" s="466" t="s">
        <v>6031</v>
      </c>
      <c r="C102" s="466" t="s">
        <v>2094</v>
      </c>
      <c r="D102" s="467" t="s">
        <v>5932</v>
      </c>
      <c r="E102" s="468" t="s">
        <v>5360</v>
      </c>
      <c r="F102" s="465">
        <v>4.38</v>
      </c>
    </row>
    <row r="103" spans="1:6" x14ac:dyDescent="0.25">
      <c r="A103" s="465">
        <v>115</v>
      </c>
      <c r="B103" s="466" t="s">
        <v>6032</v>
      </c>
      <c r="C103" s="466" t="s">
        <v>2094</v>
      </c>
      <c r="D103" s="467" t="s">
        <v>5932</v>
      </c>
      <c r="E103" s="468" t="s">
        <v>5360</v>
      </c>
      <c r="F103" s="465">
        <v>3.45</v>
      </c>
    </row>
    <row r="104" spans="1:6" x14ac:dyDescent="0.25">
      <c r="A104" s="465">
        <v>116</v>
      </c>
      <c r="B104" s="466" t="s">
        <v>6044</v>
      </c>
      <c r="C104" s="466" t="s">
        <v>2094</v>
      </c>
      <c r="D104" s="467" t="s">
        <v>5932</v>
      </c>
      <c r="E104" s="468" t="s">
        <v>5360</v>
      </c>
      <c r="F104" s="465">
        <v>3.58</v>
      </c>
    </row>
    <row r="105" spans="1:6" x14ac:dyDescent="0.25">
      <c r="A105" s="465">
        <v>117</v>
      </c>
      <c r="B105" s="466" t="s">
        <v>6051</v>
      </c>
      <c r="C105" s="466" t="s">
        <v>2094</v>
      </c>
      <c r="D105" s="467" t="s">
        <v>5932</v>
      </c>
      <c r="E105" s="468" t="s">
        <v>5360</v>
      </c>
      <c r="F105" s="465">
        <v>8.4600000000000009</v>
      </c>
    </row>
    <row r="106" spans="1:6" x14ac:dyDescent="0.25">
      <c r="A106" s="465">
        <v>118</v>
      </c>
      <c r="B106" s="466" t="s">
        <v>6057</v>
      </c>
      <c r="C106" s="466" t="s">
        <v>2094</v>
      </c>
      <c r="D106" s="467" t="s">
        <v>5932</v>
      </c>
      <c r="E106" s="468" t="s">
        <v>5360</v>
      </c>
      <c r="F106" s="465">
        <v>3.12</v>
      </c>
    </row>
    <row r="107" spans="1:6" x14ac:dyDescent="0.25">
      <c r="A107" s="465">
        <v>119</v>
      </c>
      <c r="B107" s="466" t="s">
        <v>5982</v>
      </c>
      <c r="C107" s="466" t="s">
        <v>2094</v>
      </c>
      <c r="D107" s="467" t="s">
        <v>5983</v>
      </c>
      <c r="E107" s="468" t="s">
        <v>5360</v>
      </c>
      <c r="F107" s="465">
        <v>156.44999999999999</v>
      </c>
    </row>
    <row r="108" spans="1:6" x14ac:dyDescent="0.25">
      <c r="A108" s="465">
        <v>120</v>
      </c>
      <c r="B108" s="466" t="s">
        <v>6017</v>
      </c>
      <c r="C108" s="466" t="s">
        <v>2094</v>
      </c>
      <c r="D108" s="467" t="s">
        <v>5983</v>
      </c>
      <c r="E108" s="468" t="s">
        <v>5360</v>
      </c>
      <c r="F108" s="465">
        <v>64.7</v>
      </c>
    </row>
    <row r="109" spans="1:6" x14ac:dyDescent="0.25">
      <c r="A109" s="465">
        <v>121</v>
      </c>
      <c r="B109" s="466" t="s">
        <v>6016</v>
      </c>
      <c r="C109" s="466" t="s">
        <v>2094</v>
      </c>
      <c r="D109" s="467" t="s">
        <v>5983</v>
      </c>
      <c r="E109" s="468" t="s">
        <v>5360</v>
      </c>
      <c r="F109" s="465">
        <v>171.45</v>
      </c>
    </row>
    <row r="110" spans="1:6" x14ac:dyDescent="0.25">
      <c r="A110" s="465">
        <v>122</v>
      </c>
      <c r="B110" s="466" t="s">
        <v>6498</v>
      </c>
      <c r="C110" s="466" t="s">
        <v>2094</v>
      </c>
      <c r="D110" s="467" t="s">
        <v>5983</v>
      </c>
      <c r="E110" s="468" t="s">
        <v>5360</v>
      </c>
      <c r="F110" s="465">
        <v>27.94</v>
      </c>
    </row>
    <row r="111" spans="1:6" x14ac:dyDescent="0.25">
      <c r="A111" s="465">
        <v>123</v>
      </c>
      <c r="B111" s="466" t="s">
        <v>6546</v>
      </c>
      <c r="C111" s="466" t="s">
        <v>2094</v>
      </c>
      <c r="D111" s="467" t="s">
        <v>5983</v>
      </c>
      <c r="E111" s="468" t="s">
        <v>5360</v>
      </c>
      <c r="F111" s="465">
        <v>148.44999999999999</v>
      </c>
    </row>
    <row r="112" spans="1:6" x14ac:dyDescent="0.25">
      <c r="A112" s="465">
        <v>124</v>
      </c>
      <c r="B112" s="466" t="s">
        <v>6857</v>
      </c>
      <c r="C112" s="466" t="s">
        <v>2094</v>
      </c>
      <c r="D112" s="467" t="s">
        <v>5983</v>
      </c>
      <c r="E112" s="468" t="s">
        <v>5360</v>
      </c>
      <c r="F112" s="465">
        <v>180.45</v>
      </c>
    </row>
    <row r="113" spans="1:6" x14ac:dyDescent="0.25">
      <c r="A113" s="465">
        <v>125</v>
      </c>
      <c r="B113" s="466" t="s">
        <v>6766</v>
      </c>
      <c r="C113" s="466" t="s">
        <v>2094</v>
      </c>
      <c r="D113" s="467" t="s">
        <v>5983</v>
      </c>
      <c r="E113" s="468" t="s">
        <v>5360</v>
      </c>
      <c r="F113" s="465">
        <v>15.7</v>
      </c>
    </row>
    <row r="114" spans="1:6" x14ac:dyDescent="0.25">
      <c r="A114" s="465">
        <v>126</v>
      </c>
      <c r="B114" s="466" t="s">
        <v>6999</v>
      </c>
      <c r="C114" s="466" t="s">
        <v>2094</v>
      </c>
      <c r="D114" s="467" t="s">
        <v>5983</v>
      </c>
      <c r="E114" s="468" t="s">
        <v>5360</v>
      </c>
      <c r="F114" s="465">
        <v>202.95</v>
      </c>
    </row>
    <row r="115" spans="1:6" x14ac:dyDescent="0.25">
      <c r="A115" s="465">
        <v>127</v>
      </c>
      <c r="B115" s="466" t="s">
        <v>7089</v>
      </c>
      <c r="C115" s="466" t="s">
        <v>2094</v>
      </c>
      <c r="D115" s="467" t="s">
        <v>5983</v>
      </c>
      <c r="E115" s="468" t="s">
        <v>5360</v>
      </c>
      <c r="F115" s="465">
        <v>224.95</v>
      </c>
    </row>
    <row r="116" spans="1:6" x14ac:dyDescent="0.25">
      <c r="A116" s="465">
        <v>128</v>
      </c>
      <c r="B116" s="466" t="s">
        <v>7450</v>
      </c>
      <c r="C116" s="466" t="s">
        <v>2094</v>
      </c>
      <c r="D116" s="467" t="s">
        <v>5983</v>
      </c>
      <c r="E116" s="468" t="s">
        <v>5360</v>
      </c>
      <c r="F116" s="465">
        <v>164.2</v>
      </c>
    </row>
    <row r="117" spans="1:6" x14ac:dyDescent="0.25">
      <c r="A117" s="465">
        <v>129</v>
      </c>
      <c r="B117" s="466" t="s">
        <v>7454</v>
      </c>
      <c r="C117" s="466" t="s">
        <v>2094</v>
      </c>
      <c r="D117" s="467" t="s">
        <v>5983</v>
      </c>
      <c r="E117" s="468" t="s">
        <v>5360</v>
      </c>
      <c r="F117" s="465">
        <v>68.25</v>
      </c>
    </row>
    <row r="118" spans="1:6" x14ac:dyDescent="0.25">
      <c r="A118" s="465">
        <v>130</v>
      </c>
      <c r="B118" s="466" t="s">
        <v>6747</v>
      </c>
      <c r="C118" s="466" t="s">
        <v>2094</v>
      </c>
      <c r="D118" s="467" t="s">
        <v>5975</v>
      </c>
      <c r="E118" s="468" t="s">
        <v>5360</v>
      </c>
      <c r="F118" s="465">
        <v>168.05</v>
      </c>
    </row>
    <row r="119" spans="1:6" x14ac:dyDescent="0.25">
      <c r="A119" s="465">
        <v>131</v>
      </c>
      <c r="B119" s="466" t="s">
        <v>7153</v>
      </c>
      <c r="C119" s="466" t="s">
        <v>2094</v>
      </c>
      <c r="D119" s="467" t="s">
        <v>5975</v>
      </c>
      <c r="E119" s="468" t="s">
        <v>5360</v>
      </c>
      <c r="F119" s="465">
        <v>235.45</v>
      </c>
    </row>
    <row r="120" spans="1:6" x14ac:dyDescent="0.25">
      <c r="A120" s="465">
        <v>132</v>
      </c>
      <c r="B120" s="466" t="s">
        <v>6010</v>
      </c>
      <c r="C120" s="466" t="s">
        <v>2094</v>
      </c>
      <c r="D120" s="467" t="s">
        <v>5975</v>
      </c>
      <c r="E120" s="468" t="s">
        <v>5360</v>
      </c>
      <c r="F120" s="465">
        <v>437.08</v>
      </c>
    </row>
    <row r="121" spans="1:6" x14ac:dyDescent="0.25">
      <c r="A121" s="465">
        <v>133</v>
      </c>
      <c r="B121" s="466" t="s">
        <v>7097</v>
      </c>
      <c r="C121" s="466" t="s">
        <v>2094</v>
      </c>
      <c r="D121" s="467" t="s">
        <v>5975</v>
      </c>
      <c r="E121" s="468" t="s">
        <v>5360</v>
      </c>
      <c r="F121" s="465">
        <v>217.74</v>
      </c>
    </row>
    <row r="122" spans="1:6" x14ac:dyDescent="0.25">
      <c r="A122" s="465">
        <v>134</v>
      </c>
      <c r="B122" s="466" t="s">
        <v>6732</v>
      </c>
      <c r="C122" s="466" t="s">
        <v>2094</v>
      </c>
      <c r="D122" s="467" t="s">
        <v>5975</v>
      </c>
      <c r="E122" s="468" t="s">
        <v>5360</v>
      </c>
      <c r="F122" s="465">
        <v>335.3</v>
      </c>
    </row>
    <row r="123" spans="1:6" x14ac:dyDescent="0.25">
      <c r="A123" s="465">
        <v>135</v>
      </c>
      <c r="B123" s="466" t="s">
        <v>6746</v>
      </c>
      <c r="C123" s="466" t="s">
        <v>2094</v>
      </c>
      <c r="D123" s="467" t="s">
        <v>5975</v>
      </c>
      <c r="E123" s="468" t="s">
        <v>5360</v>
      </c>
      <c r="F123" s="465">
        <v>205.45</v>
      </c>
    </row>
    <row r="124" spans="1:6" x14ac:dyDescent="0.25">
      <c r="A124" s="465">
        <v>136</v>
      </c>
      <c r="B124" s="466" t="s">
        <v>6939</v>
      </c>
      <c r="C124" s="466" t="s">
        <v>2094</v>
      </c>
      <c r="D124" s="467" t="s">
        <v>5975</v>
      </c>
      <c r="E124" s="468" t="s">
        <v>5360</v>
      </c>
      <c r="F124" s="465">
        <v>32.78</v>
      </c>
    </row>
    <row r="125" spans="1:6" x14ac:dyDescent="0.25">
      <c r="A125" s="465">
        <v>137</v>
      </c>
      <c r="B125" s="466" t="s">
        <v>7100</v>
      </c>
      <c r="C125" s="466" t="s">
        <v>2094</v>
      </c>
      <c r="D125" s="467" t="s">
        <v>5975</v>
      </c>
      <c r="E125" s="468" t="s">
        <v>5360</v>
      </c>
      <c r="F125" s="465">
        <v>194.45</v>
      </c>
    </row>
    <row r="126" spans="1:6" x14ac:dyDescent="0.25">
      <c r="A126" s="465">
        <v>138</v>
      </c>
      <c r="B126" s="466" t="s">
        <v>7019</v>
      </c>
      <c r="C126" s="466" t="s">
        <v>2094</v>
      </c>
      <c r="D126" s="467" t="s">
        <v>5975</v>
      </c>
      <c r="E126" s="468" t="s">
        <v>5360</v>
      </c>
      <c r="F126" s="465">
        <v>441.85</v>
      </c>
    </row>
    <row r="127" spans="1:6" x14ac:dyDescent="0.25">
      <c r="A127" s="465">
        <v>139</v>
      </c>
      <c r="B127" s="466" t="s">
        <v>7447</v>
      </c>
      <c r="C127" s="466" t="s">
        <v>2094</v>
      </c>
      <c r="D127" s="467" t="s">
        <v>5975</v>
      </c>
      <c r="E127" s="468" t="s">
        <v>5360</v>
      </c>
      <c r="F127" s="465">
        <v>467.12</v>
      </c>
    </row>
    <row r="128" spans="1:6" x14ac:dyDescent="0.25">
      <c r="A128" s="465">
        <v>140</v>
      </c>
      <c r="B128" s="466" t="s">
        <v>7099</v>
      </c>
      <c r="C128" s="466" t="s">
        <v>2094</v>
      </c>
      <c r="D128" s="467" t="s">
        <v>5975</v>
      </c>
      <c r="E128" s="468" t="s">
        <v>5360</v>
      </c>
      <c r="F128" s="465">
        <v>42.24</v>
      </c>
    </row>
    <row r="129" spans="1:6" x14ac:dyDescent="0.25">
      <c r="A129" s="465">
        <v>141</v>
      </c>
      <c r="B129" s="466" t="s">
        <v>6998</v>
      </c>
      <c r="C129" s="466" t="s">
        <v>2094</v>
      </c>
      <c r="D129" s="467" t="s">
        <v>5975</v>
      </c>
      <c r="E129" s="468" t="s">
        <v>5360</v>
      </c>
      <c r="F129" s="465">
        <v>457.85</v>
      </c>
    </row>
    <row r="130" spans="1:6" x14ac:dyDescent="0.25">
      <c r="A130" s="465">
        <v>142</v>
      </c>
      <c r="B130" s="466" t="s">
        <v>6179</v>
      </c>
      <c r="C130" s="466" t="s">
        <v>2094</v>
      </c>
      <c r="D130" s="467" t="s">
        <v>5975</v>
      </c>
      <c r="E130" s="468" t="s">
        <v>5360</v>
      </c>
      <c r="F130" s="465">
        <v>174.95</v>
      </c>
    </row>
    <row r="131" spans="1:6" x14ac:dyDescent="0.25">
      <c r="A131" s="465">
        <v>143</v>
      </c>
      <c r="B131" s="466" t="s">
        <v>6570</v>
      </c>
      <c r="C131" s="466" t="s">
        <v>2094</v>
      </c>
      <c r="D131" s="467" t="s">
        <v>5975</v>
      </c>
      <c r="E131" s="468" t="s">
        <v>5360</v>
      </c>
      <c r="F131" s="465">
        <v>98.44</v>
      </c>
    </row>
    <row r="132" spans="1:6" x14ac:dyDescent="0.25">
      <c r="A132" s="465">
        <v>144</v>
      </c>
      <c r="B132" s="466" t="s">
        <v>7451</v>
      </c>
      <c r="C132" s="466" t="s">
        <v>2094</v>
      </c>
      <c r="D132" s="467" t="s">
        <v>5975</v>
      </c>
      <c r="E132" s="468" t="s">
        <v>5360</v>
      </c>
      <c r="F132" s="465">
        <v>212.42</v>
      </c>
    </row>
    <row r="133" spans="1:6" x14ac:dyDescent="0.25">
      <c r="A133" s="465">
        <v>145</v>
      </c>
      <c r="B133" s="466" t="s">
        <v>7409</v>
      </c>
      <c r="C133" s="466" t="s">
        <v>2094</v>
      </c>
      <c r="D133" s="467" t="s">
        <v>5975</v>
      </c>
      <c r="E133" s="468" t="s">
        <v>5360</v>
      </c>
      <c r="F133" s="465">
        <v>583.41</v>
      </c>
    </row>
    <row r="134" spans="1:6" x14ac:dyDescent="0.25">
      <c r="A134" s="465">
        <v>146</v>
      </c>
      <c r="B134" s="466" t="s">
        <v>6380</v>
      </c>
      <c r="C134" s="466" t="s">
        <v>2094</v>
      </c>
      <c r="D134" s="467" t="s">
        <v>5975</v>
      </c>
      <c r="E134" s="468" t="s">
        <v>5360</v>
      </c>
      <c r="F134" s="465">
        <v>46.27</v>
      </c>
    </row>
    <row r="135" spans="1:6" x14ac:dyDescent="0.25">
      <c r="A135" s="465">
        <v>147</v>
      </c>
      <c r="B135" s="466" t="s">
        <v>6767</v>
      </c>
      <c r="C135" s="466" t="s">
        <v>2094</v>
      </c>
      <c r="D135" s="467" t="s">
        <v>5975</v>
      </c>
      <c r="E135" s="468" t="s">
        <v>5360</v>
      </c>
      <c r="F135" s="465">
        <v>300.45</v>
      </c>
    </row>
    <row r="136" spans="1:6" x14ac:dyDescent="0.25">
      <c r="A136" s="465">
        <v>148</v>
      </c>
      <c r="B136" s="466" t="s">
        <v>5974</v>
      </c>
      <c r="C136" s="466" t="s">
        <v>2094</v>
      </c>
      <c r="D136" s="467" t="s">
        <v>5975</v>
      </c>
      <c r="E136" s="468" t="s">
        <v>5360</v>
      </c>
      <c r="F136" s="465">
        <v>33.549999999999997</v>
      </c>
    </row>
    <row r="137" spans="1:6" x14ac:dyDescent="0.25">
      <c r="A137" s="465">
        <v>149</v>
      </c>
      <c r="B137" s="466" t="s">
        <v>6168</v>
      </c>
      <c r="C137" s="466" t="s">
        <v>2094</v>
      </c>
      <c r="D137" s="467" t="s">
        <v>5975</v>
      </c>
      <c r="E137" s="468" t="s">
        <v>5360</v>
      </c>
      <c r="F137" s="465">
        <v>100.28</v>
      </c>
    </row>
    <row r="138" spans="1:6" x14ac:dyDescent="0.25">
      <c r="A138" s="465">
        <v>150</v>
      </c>
      <c r="B138" s="466" t="s">
        <v>6855</v>
      </c>
      <c r="C138" s="466" t="s">
        <v>2094</v>
      </c>
      <c r="D138" s="467" t="s">
        <v>5975</v>
      </c>
      <c r="E138" s="468" t="s">
        <v>5360</v>
      </c>
      <c r="F138" s="465">
        <v>260.87</v>
      </c>
    </row>
    <row r="139" spans="1:6" x14ac:dyDescent="0.25">
      <c r="A139" s="465">
        <v>151</v>
      </c>
      <c r="B139" s="466" t="s">
        <v>7143</v>
      </c>
      <c r="C139" s="466" t="s">
        <v>2094</v>
      </c>
      <c r="D139" s="467" t="s">
        <v>5975</v>
      </c>
      <c r="E139" s="468" t="s">
        <v>5360</v>
      </c>
      <c r="F139" s="465">
        <v>143.44999999999999</v>
      </c>
    </row>
    <row r="140" spans="1:6" x14ac:dyDescent="0.25">
      <c r="A140" s="465">
        <v>152</v>
      </c>
      <c r="B140" s="466" t="s">
        <v>7066</v>
      </c>
      <c r="C140" s="466" t="s">
        <v>2094</v>
      </c>
      <c r="D140" s="467" t="s">
        <v>5975</v>
      </c>
      <c r="E140" s="468" t="s">
        <v>5360</v>
      </c>
      <c r="F140" s="465">
        <v>239.62</v>
      </c>
    </row>
    <row r="141" spans="1:6" x14ac:dyDescent="0.25">
      <c r="A141" s="465">
        <v>153</v>
      </c>
      <c r="B141" s="466" t="s">
        <v>6756</v>
      </c>
      <c r="C141" s="466" t="s">
        <v>2094</v>
      </c>
      <c r="D141" s="467" t="s">
        <v>5975</v>
      </c>
      <c r="E141" s="468" t="s">
        <v>5360</v>
      </c>
      <c r="F141" s="465">
        <v>171.45</v>
      </c>
    </row>
    <row r="142" spans="1:6" x14ac:dyDescent="0.25">
      <c r="A142" s="465">
        <v>154</v>
      </c>
      <c r="B142" s="466" t="s">
        <v>5981</v>
      </c>
      <c r="C142" s="466" t="s">
        <v>2094</v>
      </c>
      <c r="D142" s="467" t="s">
        <v>5975</v>
      </c>
      <c r="E142" s="468" t="s">
        <v>5360</v>
      </c>
      <c r="F142" s="465">
        <v>78.239999999999995</v>
      </c>
    </row>
    <row r="143" spans="1:6" x14ac:dyDescent="0.25">
      <c r="A143" s="465">
        <v>155</v>
      </c>
      <c r="B143" s="466" t="s">
        <v>7446</v>
      </c>
      <c r="C143" s="466" t="s">
        <v>2094</v>
      </c>
      <c r="D143" s="467" t="s">
        <v>5975</v>
      </c>
      <c r="E143" s="468" t="s">
        <v>5360</v>
      </c>
      <c r="F143" s="465">
        <v>170.45</v>
      </c>
    </row>
    <row r="144" spans="1:6" x14ac:dyDescent="0.25">
      <c r="A144" s="465">
        <v>156</v>
      </c>
      <c r="B144" s="466" t="s">
        <v>6367</v>
      </c>
      <c r="C144" s="466" t="s">
        <v>2094</v>
      </c>
      <c r="D144" s="467" t="s">
        <v>5975</v>
      </c>
      <c r="E144" s="468" t="s">
        <v>5360</v>
      </c>
      <c r="F144" s="465">
        <v>130.59</v>
      </c>
    </row>
    <row r="145" spans="1:6" x14ac:dyDescent="0.25">
      <c r="A145" s="465">
        <v>157</v>
      </c>
      <c r="B145" s="466" t="s">
        <v>6083</v>
      </c>
      <c r="C145" s="466" t="s">
        <v>2094</v>
      </c>
      <c r="D145" s="467" t="s">
        <v>5975</v>
      </c>
      <c r="E145" s="468" t="s">
        <v>5360</v>
      </c>
      <c r="F145" s="465">
        <v>54.23</v>
      </c>
    </row>
    <row r="146" spans="1:6" x14ac:dyDescent="0.25">
      <c r="A146" s="465">
        <v>158</v>
      </c>
      <c r="B146" s="466" t="s">
        <v>6161</v>
      </c>
      <c r="C146" s="466" t="s">
        <v>2094</v>
      </c>
      <c r="D146" s="467" t="s">
        <v>5975</v>
      </c>
      <c r="E146" s="468" t="s">
        <v>5360</v>
      </c>
      <c r="F146" s="465">
        <v>840.95</v>
      </c>
    </row>
    <row r="147" spans="1:6" x14ac:dyDescent="0.25">
      <c r="A147" s="465">
        <v>159</v>
      </c>
      <c r="B147" s="466" t="s">
        <v>6851</v>
      </c>
      <c r="C147" s="466" t="s">
        <v>2094</v>
      </c>
      <c r="D147" s="467" t="s">
        <v>5975</v>
      </c>
      <c r="E147" s="468" t="s">
        <v>5360</v>
      </c>
      <c r="F147" s="465">
        <v>168.78</v>
      </c>
    </row>
    <row r="148" spans="1:6" x14ac:dyDescent="0.25">
      <c r="A148" s="465">
        <v>160</v>
      </c>
      <c r="B148" s="466" t="s">
        <v>6854</v>
      </c>
      <c r="C148" s="466" t="s">
        <v>2094</v>
      </c>
      <c r="D148" s="467" t="s">
        <v>5975</v>
      </c>
      <c r="E148" s="468" t="s">
        <v>5360</v>
      </c>
      <c r="F148" s="465">
        <v>366.7</v>
      </c>
    </row>
    <row r="149" spans="1:6" x14ac:dyDescent="0.25">
      <c r="A149" s="465">
        <v>161</v>
      </c>
      <c r="B149" s="466" t="s">
        <v>6087</v>
      </c>
      <c r="C149" s="466" t="s">
        <v>2094</v>
      </c>
      <c r="D149" s="467" t="s">
        <v>5975</v>
      </c>
      <c r="E149" s="468" t="s">
        <v>5360</v>
      </c>
      <c r="F149" s="465">
        <v>164.62</v>
      </c>
    </row>
    <row r="150" spans="1:6" x14ac:dyDescent="0.25">
      <c r="A150" s="465">
        <v>162</v>
      </c>
      <c r="B150" s="466" t="s">
        <v>6018</v>
      </c>
      <c r="C150" s="466" t="s">
        <v>2094</v>
      </c>
      <c r="D150" s="467" t="s">
        <v>5975</v>
      </c>
      <c r="E150" s="468" t="s">
        <v>5360</v>
      </c>
      <c r="F150" s="465">
        <v>654.62</v>
      </c>
    </row>
    <row r="151" spans="1:6" x14ac:dyDescent="0.25">
      <c r="A151" s="465">
        <v>163</v>
      </c>
      <c r="B151" s="466" t="s">
        <v>6950</v>
      </c>
      <c r="C151" s="466" t="s">
        <v>2094</v>
      </c>
      <c r="D151" s="467" t="s">
        <v>5975</v>
      </c>
      <c r="E151" s="468" t="s">
        <v>5360</v>
      </c>
      <c r="F151" s="465">
        <v>130.44999999999999</v>
      </c>
    </row>
    <row r="152" spans="1:6" x14ac:dyDescent="0.25">
      <c r="A152" s="465">
        <v>164</v>
      </c>
      <c r="B152" s="466" t="s">
        <v>6543</v>
      </c>
      <c r="C152" s="466" t="s">
        <v>2094</v>
      </c>
      <c r="D152" s="467" t="s">
        <v>5975</v>
      </c>
      <c r="E152" s="468" t="s">
        <v>5360</v>
      </c>
      <c r="F152" s="465">
        <v>33.340000000000003</v>
      </c>
    </row>
    <row r="153" spans="1:6" x14ac:dyDescent="0.25">
      <c r="A153" s="465">
        <v>165</v>
      </c>
      <c r="B153" s="466" t="s">
        <v>7380</v>
      </c>
      <c r="C153" s="466" t="s">
        <v>2094</v>
      </c>
      <c r="D153" s="467" t="s">
        <v>5975</v>
      </c>
      <c r="E153" s="468" t="s">
        <v>5360</v>
      </c>
      <c r="F153" s="465">
        <v>40.590000000000003</v>
      </c>
    </row>
    <row r="154" spans="1:6" x14ac:dyDescent="0.25">
      <c r="A154" s="465">
        <v>166</v>
      </c>
      <c r="B154" s="466" t="s">
        <v>6368</v>
      </c>
      <c r="C154" s="466" t="s">
        <v>2094</v>
      </c>
      <c r="D154" s="467" t="s">
        <v>5975</v>
      </c>
      <c r="E154" s="468" t="s">
        <v>5360</v>
      </c>
      <c r="F154" s="465">
        <v>640.45000000000005</v>
      </c>
    </row>
    <row r="155" spans="1:6" ht="26.4" x14ac:dyDescent="0.25">
      <c r="A155" s="465">
        <v>167</v>
      </c>
      <c r="B155" s="466" t="s">
        <v>6075</v>
      </c>
      <c r="C155" s="466" t="s">
        <v>2094</v>
      </c>
      <c r="D155" s="467" t="s">
        <v>6037</v>
      </c>
      <c r="E155" s="468" t="s">
        <v>5360</v>
      </c>
      <c r="F155" s="465">
        <v>8.6199999999999992</v>
      </c>
    </row>
    <row r="156" spans="1:6" ht="26.4" x14ac:dyDescent="0.25">
      <c r="A156" s="465">
        <v>168</v>
      </c>
      <c r="B156" s="466" t="s">
        <v>6757</v>
      </c>
      <c r="C156" s="466" t="s">
        <v>2094</v>
      </c>
      <c r="D156" s="467" t="s">
        <v>6037</v>
      </c>
      <c r="E156" s="468" t="s">
        <v>5360</v>
      </c>
      <c r="F156" s="465">
        <v>3.56</v>
      </c>
    </row>
    <row r="157" spans="1:6" ht="26.4" x14ac:dyDescent="0.25">
      <c r="A157" s="465">
        <v>169</v>
      </c>
      <c r="B157" s="466" t="s">
        <v>7379</v>
      </c>
      <c r="C157" s="466" t="s">
        <v>2094</v>
      </c>
      <c r="D157" s="467" t="s">
        <v>6037</v>
      </c>
      <c r="E157" s="468" t="s">
        <v>5360</v>
      </c>
      <c r="F157" s="465">
        <v>3.19</v>
      </c>
    </row>
    <row r="158" spans="1:6" ht="26.4" x14ac:dyDescent="0.25">
      <c r="A158" s="465">
        <v>170</v>
      </c>
      <c r="B158" s="466" t="s">
        <v>6797</v>
      </c>
      <c r="C158" s="466" t="s">
        <v>2094</v>
      </c>
      <c r="D158" s="467" t="s">
        <v>6037</v>
      </c>
      <c r="E158" s="468" t="s">
        <v>5360</v>
      </c>
      <c r="F158" s="465">
        <v>2.4500000000000002</v>
      </c>
    </row>
    <row r="159" spans="1:6" ht="26.4" x14ac:dyDescent="0.25">
      <c r="A159" s="465">
        <v>171</v>
      </c>
      <c r="B159" s="466" t="s">
        <v>6945</v>
      </c>
      <c r="C159" s="466" t="s">
        <v>2094</v>
      </c>
      <c r="D159" s="467" t="s">
        <v>6037</v>
      </c>
      <c r="E159" s="468" t="s">
        <v>5360</v>
      </c>
      <c r="F159" s="465">
        <v>3.53</v>
      </c>
    </row>
    <row r="160" spans="1:6" ht="26.4" x14ac:dyDescent="0.25">
      <c r="A160" s="465">
        <v>172</v>
      </c>
      <c r="B160" s="466" t="s">
        <v>5999</v>
      </c>
      <c r="C160" s="466" t="s">
        <v>2094</v>
      </c>
      <c r="D160" s="467" t="s">
        <v>6000</v>
      </c>
      <c r="E160" s="468" t="s">
        <v>5360</v>
      </c>
      <c r="F160" s="465">
        <v>0.74</v>
      </c>
    </row>
    <row r="161" spans="1:6" ht="26.4" x14ac:dyDescent="0.25">
      <c r="A161" s="465">
        <v>173</v>
      </c>
      <c r="B161" s="466" t="s">
        <v>6059</v>
      </c>
      <c r="C161" s="466" t="s">
        <v>2094</v>
      </c>
      <c r="D161" s="467" t="s">
        <v>6037</v>
      </c>
      <c r="E161" s="468" t="s">
        <v>5360</v>
      </c>
      <c r="F161" s="465">
        <v>9.6</v>
      </c>
    </row>
    <row r="162" spans="1:6" ht="26.4" x14ac:dyDescent="0.25">
      <c r="A162" s="465">
        <v>174</v>
      </c>
      <c r="B162" s="466" t="s">
        <v>6036</v>
      </c>
      <c r="C162" s="466" t="s">
        <v>2094</v>
      </c>
      <c r="D162" s="467" t="s">
        <v>6037</v>
      </c>
      <c r="E162" s="468" t="s">
        <v>5360</v>
      </c>
      <c r="F162" s="465">
        <v>5.16</v>
      </c>
    </row>
    <row r="163" spans="1:6" ht="26.4" x14ac:dyDescent="0.25">
      <c r="A163" s="465">
        <v>175</v>
      </c>
      <c r="B163" s="466" t="s">
        <v>6050</v>
      </c>
      <c r="C163" s="466" t="s">
        <v>2094</v>
      </c>
      <c r="D163" s="467" t="s">
        <v>6037</v>
      </c>
      <c r="E163" s="468" t="s">
        <v>5360</v>
      </c>
      <c r="F163" s="465">
        <v>3.53</v>
      </c>
    </row>
    <row r="164" spans="1:6" x14ac:dyDescent="0.25">
      <c r="A164" s="465">
        <v>176</v>
      </c>
      <c r="B164" s="466" t="s">
        <v>7002</v>
      </c>
      <c r="C164" s="466" t="s">
        <v>2094</v>
      </c>
      <c r="D164" s="467" t="s">
        <v>6048</v>
      </c>
      <c r="E164" s="468" t="s">
        <v>5360</v>
      </c>
      <c r="F164" s="465">
        <v>1.25</v>
      </c>
    </row>
    <row r="165" spans="1:6" x14ac:dyDescent="0.25">
      <c r="A165" s="465">
        <v>177</v>
      </c>
      <c r="B165" s="466" t="s">
        <v>7120</v>
      </c>
      <c r="C165" s="466" t="s">
        <v>2094</v>
      </c>
      <c r="D165" s="467" t="s">
        <v>6048</v>
      </c>
      <c r="E165" s="468" t="s">
        <v>5360</v>
      </c>
      <c r="F165" s="465">
        <v>1.29</v>
      </c>
    </row>
    <row r="166" spans="1:6" x14ac:dyDescent="0.25">
      <c r="A166" s="465">
        <v>178</v>
      </c>
      <c r="B166" s="466" t="s">
        <v>7237</v>
      </c>
      <c r="C166" s="466" t="s">
        <v>2094</v>
      </c>
      <c r="D166" s="467" t="s">
        <v>6048</v>
      </c>
      <c r="E166" s="468" t="s">
        <v>5360</v>
      </c>
      <c r="F166" s="465">
        <v>3.86</v>
      </c>
    </row>
    <row r="167" spans="1:6" x14ac:dyDescent="0.25">
      <c r="A167" s="465">
        <v>179</v>
      </c>
      <c r="B167" s="466" t="s">
        <v>6768</v>
      </c>
      <c r="C167" s="466" t="s">
        <v>2094</v>
      </c>
      <c r="D167" s="467" t="s">
        <v>6048</v>
      </c>
      <c r="E167" s="468" t="s">
        <v>5360</v>
      </c>
      <c r="F167" s="465">
        <v>1.86</v>
      </c>
    </row>
    <row r="168" spans="1:6" x14ac:dyDescent="0.25">
      <c r="A168" s="465">
        <v>180</v>
      </c>
      <c r="B168" s="466" t="s">
        <v>6053</v>
      </c>
      <c r="C168" s="466" t="s">
        <v>2094</v>
      </c>
      <c r="D168" s="467" t="s">
        <v>6048</v>
      </c>
      <c r="E168" s="468" t="s">
        <v>5360</v>
      </c>
      <c r="F168" s="465">
        <v>2.97</v>
      </c>
    </row>
    <row r="169" spans="1:6" x14ac:dyDescent="0.25">
      <c r="A169" s="465">
        <v>181</v>
      </c>
      <c r="B169" s="466" t="s">
        <v>6055</v>
      </c>
      <c r="C169" s="466" t="s">
        <v>2094</v>
      </c>
      <c r="D169" s="467" t="s">
        <v>6048</v>
      </c>
      <c r="E169" s="468" t="s">
        <v>5360</v>
      </c>
      <c r="F169" s="465">
        <v>2.6</v>
      </c>
    </row>
    <row r="170" spans="1:6" x14ac:dyDescent="0.25">
      <c r="A170" s="465">
        <v>182</v>
      </c>
      <c r="B170" s="466" t="s">
        <v>6047</v>
      </c>
      <c r="C170" s="466" t="s">
        <v>2094</v>
      </c>
      <c r="D170" s="467" t="s">
        <v>6048</v>
      </c>
      <c r="E170" s="468" t="s">
        <v>5360</v>
      </c>
      <c r="F170" s="465">
        <v>1.86</v>
      </c>
    </row>
    <row r="171" spans="1:6" x14ac:dyDescent="0.25">
      <c r="A171" s="465">
        <v>183</v>
      </c>
      <c r="B171" s="466" t="s">
        <v>5956</v>
      </c>
      <c r="C171" s="466" t="s">
        <v>2094</v>
      </c>
      <c r="D171" s="467" t="s">
        <v>5957</v>
      </c>
      <c r="E171" s="468" t="s">
        <v>5360</v>
      </c>
      <c r="F171" s="465">
        <v>1.01</v>
      </c>
    </row>
    <row r="172" spans="1:6" x14ac:dyDescent="0.25">
      <c r="A172" s="465">
        <v>184</v>
      </c>
      <c r="B172" s="466" t="s">
        <v>6154</v>
      </c>
      <c r="C172" s="466" t="s">
        <v>2094</v>
      </c>
      <c r="D172" s="467" t="s">
        <v>6034</v>
      </c>
      <c r="E172" s="468" t="s">
        <v>5360</v>
      </c>
      <c r="F172" s="465">
        <v>1.57</v>
      </c>
    </row>
    <row r="173" spans="1:6" x14ac:dyDescent="0.25">
      <c r="A173" s="465">
        <v>185</v>
      </c>
      <c r="B173" s="466" t="s">
        <v>6159</v>
      </c>
      <c r="C173" s="466" t="s">
        <v>2094</v>
      </c>
      <c r="D173" s="467" t="s">
        <v>6034</v>
      </c>
      <c r="E173" s="468" t="s">
        <v>5360</v>
      </c>
      <c r="F173" s="465">
        <v>2.25</v>
      </c>
    </row>
    <row r="174" spans="1:6" x14ac:dyDescent="0.25">
      <c r="A174" s="465">
        <v>186</v>
      </c>
      <c r="B174" s="466" t="s">
        <v>6280</v>
      </c>
      <c r="C174" s="466" t="s">
        <v>2094</v>
      </c>
      <c r="D174" s="467" t="s">
        <v>6034</v>
      </c>
      <c r="E174" s="468" t="s">
        <v>5360</v>
      </c>
      <c r="F174" s="465">
        <v>1.21</v>
      </c>
    </row>
    <row r="175" spans="1:6" x14ac:dyDescent="0.25">
      <c r="A175" s="465">
        <v>187</v>
      </c>
      <c r="B175" s="466" t="s">
        <v>6420</v>
      </c>
      <c r="C175" s="466" t="s">
        <v>2094</v>
      </c>
      <c r="D175" s="467" t="s">
        <v>6034</v>
      </c>
      <c r="E175" s="468" t="s">
        <v>5360</v>
      </c>
      <c r="F175" s="465">
        <v>2.54</v>
      </c>
    </row>
    <row r="176" spans="1:6" x14ac:dyDescent="0.25">
      <c r="A176" s="465">
        <v>188</v>
      </c>
      <c r="B176" s="466" t="s">
        <v>7121</v>
      </c>
      <c r="C176" s="466" t="s">
        <v>2094</v>
      </c>
      <c r="D176" s="467" t="s">
        <v>5957</v>
      </c>
      <c r="E176" s="468" t="s">
        <v>5360</v>
      </c>
      <c r="F176" s="465">
        <v>0.66</v>
      </c>
    </row>
    <row r="177" spans="1:6" x14ac:dyDescent="0.25">
      <c r="A177" s="465">
        <v>189</v>
      </c>
      <c r="B177" s="466" t="s">
        <v>7150</v>
      </c>
      <c r="C177" s="466" t="s">
        <v>2094</v>
      </c>
      <c r="D177" s="467" t="s">
        <v>6034</v>
      </c>
      <c r="E177" s="468" t="s">
        <v>5360</v>
      </c>
      <c r="F177" s="465">
        <v>4.01</v>
      </c>
    </row>
    <row r="178" spans="1:6" x14ac:dyDescent="0.25">
      <c r="A178" s="465">
        <v>190</v>
      </c>
      <c r="B178" s="466" t="s">
        <v>6033</v>
      </c>
      <c r="C178" s="466" t="s">
        <v>2094</v>
      </c>
      <c r="D178" s="467" t="s">
        <v>6034</v>
      </c>
      <c r="E178" s="468" t="s">
        <v>5360</v>
      </c>
      <c r="F178" s="465">
        <v>1.3</v>
      </c>
    </row>
    <row r="179" spans="1:6" x14ac:dyDescent="0.25">
      <c r="A179" s="465">
        <v>191</v>
      </c>
      <c r="B179" s="466" t="s">
        <v>6038</v>
      </c>
      <c r="C179" s="466" t="s">
        <v>2094</v>
      </c>
      <c r="D179" s="467" t="s">
        <v>6034</v>
      </c>
      <c r="E179" s="468" t="s">
        <v>5360</v>
      </c>
      <c r="F179" s="465">
        <v>2.4500000000000002</v>
      </c>
    </row>
    <row r="180" spans="1:6" x14ac:dyDescent="0.25">
      <c r="A180" s="465">
        <v>192</v>
      </c>
      <c r="B180" s="466" t="s">
        <v>6039</v>
      </c>
      <c r="C180" s="466" t="s">
        <v>2094</v>
      </c>
      <c r="D180" s="467" t="s">
        <v>6034</v>
      </c>
      <c r="E180" s="468" t="s">
        <v>5360</v>
      </c>
      <c r="F180" s="465">
        <v>5.35</v>
      </c>
    </row>
    <row r="181" spans="1:6" x14ac:dyDescent="0.25">
      <c r="A181" s="465">
        <v>193</v>
      </c>
      <c r="B181" s="466" t="s">
        <v>6042</v>
      </c>
      <c r="C181" s="466" t="s">
        <v>2094</v>
      </c>
      <c r="D181" s="467" t="s">
        <v>6034</v>
      </c>
      <c r="E181" s="468" t="s">
        <v>5360</v>
      </c>
      <c r="F181" s="465">
        <v>5.23</v>
      </c>
    </row>
    <row r="182" spans="1:6" x14ac:dyDescent="0.25">
      <c r="A182" s="465">
        <v>194</v>
      </c>
      <c r="B182" s="466" t="s">
        <v>6043</v>
      </c>
      <c r="C182" s="466" t="s">
        <v>2094</v>
      </c>
      <c r="D182" s="467" t="s">
        <v>6034</v>
      </c>
      <c r="E182" s="468" t="s">
        <v>5360</v>
      </c>
      <c r="F182" s="465">
        <v>6.43</v>
      </c>
    </row>
    <row r="183" spans="1:6" x14ac:dyDescent="0.25">
      <c r="A183" s="465">
        <v>195</v>
      </c>
      <c r="B183" s="466" t="s">
        <v>6056</v>
      </c>
      <c r="C183" s="466" t="s">
        <v>2094</v>
      </c>
      <c r="D183" s="467" t="s">
        <v>6034</v>
      </c>
      <c r="E183" s="468" t="s">
        <v>5360</v>
      </c>
      <c r="F183" s="465">
        <v>3.45</v>
      </c>
    </row>
    <row r="184" spans="1:6" x14ac:dyDescent="0.25">
      <c r="A184" s="465">
        <v>196</v>
      </c>
      <c r="B184" s="466" t="s">
        <v>5960</v>
      </c>
      <c r="C184" s="466" t="s">
        <v>2094</v>
      </c>
      <c r="D184" s="467" t="s">
        <v>5961</v>
      </c>
      <c r="E184" s="468" t="s">
        <v>5360</v>
      </c>
      <c r="F184" s="465">
        <v>0.37</v>
      </c>
    </row>
    <row r="185" spans="1:6" x14ac:dyDescent="0.25">
      <c r="A185" s="465">
        <v>197</v>
      </c>
      <c r="B185" s="466" t="s">
        <v>6755</v>
      </c>
      <c r="C185" s="466" t="s">
        <v>2094</v>
      </c>
      <c r="D185" s="467" t="s">
        <v>5961</v>
      </c>
      <c r="E185" s="468" t="s">
        <v>5360</v>
      </c>
      <c r="F185" s="465">
        <v>0.46</v>
      </c>
    </row>
    <row r="186" spans="1:6" x14ac:dyDescent="0.25">
      <c r="A186" s="465">
        <v>198</v>
      </c>
      <c r="B186" s="466" t="s">
        <v>7001</v>
      </c>
      <c r="C186" s="466" t="s">
        <v>2094</v>
      </c>
      <c r="D186" s="467" t="s">
        <v>5961</v>
      </c>
      <c r="E186" s="468" t="s">
        <v>5360</v>
      </c>
      <c r="F186" s="465">
        <v>0.3</v>
      </c>
    </row>
    <row r="187" spans="1:6" x14ac:dyDescent="0.25">
      <c r="A187" s="465">
        <v>199</v>
      </c>
      <c r="B187" s="466" t="s">
        <v>7376</v>
      </c>
      <c r="C187" s="466" t="s">
        <v>2094</v>
      </c>
      <c r="D187" s="467" t="s">
        <v>5961</v>
      </c>
      <c r="E187" s="468" t="s">
        <v>5360</v>
      </c>
      <c r="F187" s="465">
        <v>0.41</v>
      </c>
    </row>
    <row r="188" spans="1:6" x14ac:dyDescent="0.25">
      <c r="A188" s="465">
        <v>200</v>
      </c>
      <c r="B188" s="466" t="s">
        <v>7449</v>
      </c>
      <c r="C188" s="466" t="s">
        <v>2094</v>
      </c>
      <c r="D188" s="467" t="s">
        <v>5961</v>
      </c>
      <c r="E188" s="468" t="s">
        <v>5360</v>
      </c>
      <c r="F188" s="465">
        <v>0.57999999999999996</v>
      </c>
    </row>
    <row r="189" spans="1:6" x14ac:dyDescent="0.25">
      <c r="A189" s="465">
        <v>201</v>
      </c>
      <c r="B189" s="466" t="s">
        <v>6035</v>
      </c>
      <c r="C189" s="466" t="s">
        <v>2094</v>
      </c>
      <c r="D189" s="467" t="s">
        <v>5961</v>
      </c>
      <c r="E189" s="468" t="s">
        <v>5360</v>
      </c>
      <c r="F189" s="465">
        <v>0.48</v>
      </c>
    </row>
    <row r="190" spans="1:6" x14ac:dyDescent="0.25">
      <c r="A190" s="465">
        <v>202</v>
      </c>
      <c r="B190" s="466" t="s">
        <v>6045</v>
      </c>
      <c r="C190" s="466" t="s">
        <v>2094</v>
      </c>
      <c r="D190" s="467" t="s">
        <v>5961</v>
      </c>
      <c r="E190" s="468" t="s">
        <v>5360</v>
      </c>
      <c r="F190" s="465">
        <v>0.62</v>
      </c>
    </row>
    <row r="191" spans="1:6" x14ac:dyDescent="0.25">
      <c r="A191" s="465">
        <v>203</v>
      </c>
      <c r="B191" s="466" t="s">
        <v>6052</v>
      </c>
      <c r="C191" s="466" t="s">
        <v>2094</v>
      </c>
      <c r="D191" s="467" t="s">
        <v>5961</v>
      </c>
      <c r="E191" s="468" t="s">
        <v>5360</v>
      </c>
      <c r="F191" s="465">
        <v>0.57999999999999996</v>
      </c>
    </row>
    <row r="192" spans="1:6" x14ac:dyDescent="0.25">
      <c r="A192" s="465">
        <v>204</v>
      </c>
      <c r="B192" s="466" t="s">
        <v>6060</v>
      </c>
      <c r="C192" s="466" t="s">
        <v>2094</v>
      </c>
      <c r="D192" s="467" t="s">
        <v>5961</v>
      </c>
      <c r="E192" s="468" t="s">
        <v>5360</v>
      </c>
      <c r="F192" s="465">
        <v>0.4</v>
      </c>
    </row>
    <row r="193" spans="1:6" ht="26.4" x14ac:dyDescent="0.25">
      <c r="A193" s="465">
        <v>223</v>
      </c>
      <c r="B193" s="466" t="s">
        <v>6144</v>
      </c>
      <c r="C193" s="466" t="s">
        <v>2094</v>
      </c>
      <c r="D193" s="467" t="s">
        <v>6145</v>
      </c>
      <c r="E193" s="468" t="s">
        <v>195</v>
      </c>
      <c r="F193" s="465">
        <v>1.95</v>
      </c>
    </row>
    <row r="194" spans="1:6" ht="26.4" x14ac:dyDescent="0.25">
      <c r="A194" s="465">
        <v>224</v>
      </c>
      <c r="B194" s="466" t="s">
        <v>6142</v>
      </c>
      <c r="C194" s="466" t="s">
        <v>2094</v>
      </c>
      <c r="D194" s="467" t="s">
        <v>6143</v>
      </c>
      <c r="E194" s="468" t="s">
        <v>195</v>
      </c>
      <c r="F194" s="465">
        <v>3.21</v>
      </c>
    </row>
    <row r="195" spans="1:6" ht="52.8" x14ac:dyDescent="0.25">
      <c r="A195" s="465">
        <v>230</v>
      </c>
      <c r="B195" s="466" t="s">
        <v>5227</v>
      </c>
      <c r="C195" s="466" t="s">
        <v>1047</v>
      </c>
      <c r="D195" s="467" t="s">
        <v>5228</v>
      </c>
      <c r="E195" s="468" t="s">
        <v>4803</v>
      </c>
      <c r="F195" s="465">
        <v>29.92</v>
      </c>
    </row>
    <row r="196" spans="1:6" ht="52.8" x14ac:dyDescent="0.25">
      <c r="A196" s="465">
        <v>231</v>
      </c>
      <c r="B196" s="466" t="s">
        <v>5225</v>
      </c>
      <c r="C196" s="466" t="s">
        <v>1047</v>
      </c>
      <c r="D196" s="467" t="s">
        <v>5226</v>
      </c>
      <c r="E196" s="468" t="s">
        <v>4803</v>
      </c>
      <c r="F196" s="465">
        <v>20.45</v>
      </c>
    </row>
    <row r="197" spans="1:6" ht="39.6" x14ac:dyDescent="0.25">
      <c r="A197" s="465">
        <v>232</v>
      </c>
      <c r="B197" s="466" t="s">
        <v>5223</v>
      </c>
      <c r="C197" s="466" t="s">
        <v>1047</v>
      </c>
      <c r="D197" s="467" t="s">
        <v>5224</v>
      </c>
      <c r="E197" s="468" t="s">
        <v>4803</v>
      </c>
      <c r="F197" s="465">
        <v>21.75</v>
      </c>
    </row>
    <row r="198" spans="1:6" ht="52.8" x14ac:dyDescent="0.25">
      <c r="A198" s="465">
        <v>233</v>
      </c>
      <c r="B198" s="466" t="s">
        <v>5221</v>
      </c>
      <c r="C198" s="466" t="s">
        <v>1047</v>
      </c>
      <c r="D198" s="467" t="s">
        <v>5222</v>
      </c>
      <c r="E198" s="468" t="s">
        <v>4803</v>
      </c>
      <c r="F198" s="465">
        <v>27.98</v>
      </c>
    </row>
    <row r="199" spans="1:6" ht="52.8" x14ac:dyDescent="0.25">
      <c r="A199" s="465">
        <v>234</v>
      </c>
      <c r="B199" s="466" t="s">
        <v>5231</v>
      </c>
      <c r="C199" s="466" t="s">
        <v>1047</v>
      </c>
      <c r="D199" s="467" t="s">
        <v>5232</v>
      </c>
      <c r="E199" s="468" t="s">
        <v>4803</v>
      </c>
      <c r="F199" s="465">
        <v>41.61</v>
      </c>
    </row>
    <row r="200" spans="1:6" ht="66" x14ac:dyDescent="0.25">
      <c r="A200" s="465">
        <v>235</v>
      </c>
      <c r="B200" s="466" t="s">
        <v>5229</v>
      </c>
      <c r="C200" s="466" t="s">
        <v>1047</v>
      </c>
      <c r="D200" s="467" t="s">
        <v>5230</v>
      </c>
      <c r="E200" s="468" t="s">
        <v>4803</v>
      </c>
      <c r="F200" s="465">
        <v>74.150000000000006</v>
      </c>
    </row>
    <row r="201" spans="1:6" x14ac:dyDescent="0.25">
      <c r="A201" s="465">
        <v>240</v>
      </c>
      <c r="B201" s="466" t="s">
        <v>6309</v>
      </c>
      <c r="C201" s="466" t="s">
        <v>2094</v>
      </c>
      <c r="D201" s="467" t="s">
        <v>6310</v>
      </c>
      <c r="E201" s="468" t="s">
        <v>4863</v>
      </c>
      <c r="F201" s="465">
        <v>57.2</v>
      </c>
    </row>
    <row r="202" spans="1:6" ht="39.6" x14ac:dyDescent="0.25">
      <c r="A202" s="465">
        <v>241</v>
      </c>
      <c r="B202" s="466" t="s">
        <v>7407</v>
      </c>
      <c r="C202" s="466" t="s">
        <v>2094</v>
      </c>
      <c r="D202" s="467" t="s">
        <v>7408</v>
      </c>
      <c r="E202" s="468" t="s">
        <v>4813</v>
      </c>
      <c r="F202" s="465">
        <v>0.05</v>
      </c>
    </row>
    <row r="203" spans="1:6" ht="26.4" x14ac:dyDescent="0.25">
      <c r="A203" s="465">
        <v>242</v>
      </c>
      <c r="B203" s="466" t="s">
        <v>7455</v>
      </c>
      <c r="C203" s="466" t="s">
        <v>2094</v>
      </c>
      <c r="D203" s="467" t="s">
        <v>7456</v>
      </c>
      <c r="E203" s="468" t="s">
        <v>4863</v>
      </c>
      <c r="F203" s="465">
        <v>36.74</v>
      </c>
    </row>
    <row r="204" spans="1:6" x14ac:dyDescent="0.25">
      <c r="A204" s="465">
        <v>245</v>
      </c>
      <c r="B204" s="466" t="s">
        <v>6831</v>
      </c>
      <c r="C204" s="466" t="s">
        <v>2094</v>
      </c>
      <c r="D204" s="467" t="s">
        <v>6832</v>
      </c>
      <c r="E204" s="468" t="s">
        <v>4850</v>
      </c>
      <c r="F204" s="465">
        <v>7.0000000000000007E-2</v>
      </c>
    </row>
    <row r="205" spans="1:6" x14ac:dyDescent="0.25">
      <c r="A205" s="465">
        <v>246</v>
      </c>
      <c r="B205" s="466" t="s">
        <v>6412</v>
      </c>
      <c r="C205" s="466" t="s">
        <v>2094</v>
      </c>
      <c r="D205" s="467" t="s">
        <v>6413</v>
      </c>
      <c r="E205" s="468" t="s">
        <v>4863</v>
      </c>
      <c r="F205" s="465">
        <v>53.93</v>
      </c>
    </row>
    <row r="206" spans="1:6" ht="26.4" x14ac:dyDescent="0.25">
      <c r="A206" s="465">
        <v>248</v>
      </c>
      <c r="B206" s="466" t="s">
        <v>6414</v>
      </c>
      <c r="C206" s="466" t="s">
        <v>2094</v>
      </c>
      <c r="D206" s="467" t="s">
        <v>6415</v>
      </c>
      <c r="E206" s="468" t="s">
        <v>4863</v>
      </c>
      <c r="F206" s="465">
        <v>32.29</v>
      </c>
    </row>
    <row r="207" spans="1:6" ht="39.6" x14ac:dyDescent="0.25">
      <c r="A207" s="465">
        <v>251</v>
      </c>
      <c r="B207" s="466" t="s">
        <v>6416</v>
      </c>
      <c r="C207" s="466" t="s">
        <v>2094</v>
      </c>
      <c r="D207" s="467" t="s">
        <v>6417</v>
      </c>
      <c r="E207" s="468" t="s">
        <v>4863</v>
      </c>
      <c r="F207" s="465">
        <v>30.17</v>
      </c>
    </row>
    <row r="208" spans="1:6" ht="26.4" x14ac:dyDescent="0.25">
      <c r="A208" s="465">
        <v>253</v>
      </c>
      <c r="B208" s="466" t="s">
        <v>5976</v>
      </c>
      <c r="C208" s="466" t="s">
        <v>2094</v>
      </c>
      <c r="D208" s="467" t="s">
        <v>5977</v>
      </c>
      <c r="E208" s="468" t="s">
        <v>4863</v>
      </c>
      <c r="F208" s="465">
        <v>1.57</v>
      </c>
    </row>
    <row r="209" spans="1:6" ht="26.4" x14ac:dyDescent="0.25">
      <c r="A209" s="465">
        <v>256</v>
      </c>
      <c r="B209" s="466" t="s">
        <v>5639</v>
      </c>
      <c r="C209" s="466" t="s">
        <v>2094</v>
      </c>
      <c r="D209" s="467" t="s">
        <v>5640</v>
      </c>
      <c r="E209" s="468" t="s">
        <v>4813</v>
      </c>
      <c r="F209" s="465">
        <v>13.86</v>
      </c>
    </row>
    <row r="210" spans="1:6" ht="26.4" x14ac:dyDescent="0.25">
      <c r="A210" s="465">
        <v>257</v>
      </c>
      <c r="B210" s="466" t="s">
        <v>5641</v>
      </c>
      <c r="C210" s="466" t="s">
        <v>2094</v>
      </c>
      <c r="D210" s="467" t="s">
        <v>5640</v>
      </c>
      <c r="E210" s="468" t="s">
        <v>4813</v>
      </c>
      <c r="F210" s="465">
        <v>21.83</v>
      </c>
    </row>
    <row r="211" spans="1:6" ht="26.4" x14ac:dyDescent="0.25">
      <c r="A211" s="465">
        <v>258</v>
      </c>
      <c r="B211" s="466" t="s">
        <v>5808</v>
      </c>
      <c r="C211" s="466" t="s">
        <v>2094</v>
      </c>
      <c r="D211" s="467" t="s">
        <v>5809</v>
      </c>
      <c r="E211" s="468" t="s">
        <v>4863</v>
      </c>
      <c r="F211" s="465">
        <v>89.47</v>
      </c>
    </row>
    <row r="212" spans="1:6" ht="26.4" x14ac:dyDescent="0.25">
      <c r="A212" s="465">
        <v>259</v>
      </c>
      <c r="B212" s="466" t="s">
        <v>5810</v>
      </c>
      <c r="C212" s="466" t="s">
        <v>2094</v>
      </c>
      <c r="D212" s="467" t="s">
        <v>5811</v>
      </c>
      <c r="E212" s="468" t="s">
        <v>4863</v>
      </c>
      <c r="F212" s="465">
        <v>176.51</v>
      </c>
    </row>
    <row r="213" spans="1:6" x14ac:dyDescent="0.25">
      <c r="A213" s="465">
        <v>260</v>
      </c>
      <c r="B213" s="466" t="s">
        <v>6745</v>
      </c>
      <c r="C213" s="466" t="s">
        <v>2094</v>
      </c>
      <c r="D213" s="467" t="s">
        <v>6745</v>
      </c>
      <c r="E213" s="468" t="s">
        <v>2376</v>
      </c>
      <c r="F213" s="465">
        <v>9.8699999999999992</v>
      </c>
    </row>
    <row r="214" spans="1:6" x14ac:dyDescent="0.25">
      <c r="A214" s="465">
        <v>261</v>
      </c>
      <c r="B214" s="466" t="s">
        <v>7103</v>
      </c>
      <c r="C214" s="466" t="s">
        <v>2094</v>
      </c>
      <c r="D214" s="467" t="s">
        <v>7104</v>
      </c>
      <c r="E214" s="468" t="s">
        <v>5360</v>
      </c>
      <c r="F214" s="465">
        <v>0.8</v>
      </c>
    </row>
    <row r="215" spans="1:6" x14ac:dyDescent="0.25">
      <c r="A215" s="465">
        <v>262</v>
      </c>
      <c r="B215" s="466" t="s">
        <v>6969</v>
      </c>
      <c r="C215" s="466" t="s">
        <v>2094</v>
      </c>
      <c r="D215" s="467" t="s">
        <v>6970</v>
      </c>
      <c r="E215" s="468" t="s">
        <v>5360</v>
      </c>
      <c r="F215" s="465">
        <v>0.38</v>
      </c>
    </row>
    <row r="216" spans="1:6" x14ac:dyDescent="0.25">
      <c r="A216" s="465">
        <v>263</v>
      </c>
      <c r="B216" s="466" t="s">
        <v>6694</v>
      </c>
      <c r="C216" s="466" t="s">
        <v>2094</v>
      </c>
      <c r="D216" s="467" t="s">
        <v>6695</v>
      </c>
      <c r="E216" s="468" t="s">
        <v>5360</v>
      </c>
      <c r="F216" s="465">
        <v>0.9</v>
      </c>
    </row>
    <row r="217" spans="1:6" ht="26.4" x14ac:dyDescent="0.25">
      <c r="A217" s="465">
        <v>264</v>
      </c>
      <c r="B217" s="466" t="s">
        <v>6579</v>
      </c>
      <c r="C217" s="466" t="s">
        <v>2094</v>
      </c>
      <c r="D217" s="467" t="s">
        <v>6580</v>
      </c>
      <c r="E217" s="468" t="s">
        <v>2377</v>
      </c>
      <c r="F217" s="465">
        <v>26.12</v>
      </c>
    </row>
    <row r="218" spans="1:6" ht="39.6" x14ac:dyDescent="0.25">
      <c r="A218" s="465">
        <v>265</v>
      </c>
      <c r="B218" s="466" t="s">
        <v>727</v>
      </c>
      <c r="C218" s="466" t="s">
        <v>2094</v>
      </c>
      <c r="D218" s="467" t="s">
        <v>6122</v>
      </c>
      <c r="E218" s="468" t="s">
        <v>2377</v>
      </c>
      <c r="F218" s="465">
        <v>45.07</v>
      </c>
    </row>
    <row r="219" spans="1:6" x14ac:dyDescent="0.25">
      <c r="A219" s="465">
        <v>266</v>
      </c>
      <c r="B219" s="466" t="s">
        <v>6743</v>
      </c>
      <c r="C219" s="466" t="s">
        <v>2094</v>
      </c>
      <c r="D219" s="467" t="s">
        <v>6744</v>
      </c>
      <c r="E219" s="468" t="s">
        <v>5360</v>
      </c>
      <c r="F219" s="465">
        <v>2.41</v>
      </c>
    </row>
    <row r="220" spans="1:6" x14ac:dyDescent="0.25">
      <c r="A220" s="465">
        <v>267</v>
      </c>
      <c r="B220" s="466" t="s">
        <v>6770</v>
      </c>
      <c r="C220" s="466" t="s">
        <v>2094</v>
      </c>
      <c r="D220" s="467" t="s">
        <v>6771</v>
      </c>
      <c r="E220" s="468" t="s">
        <v>5360</v>
      </c>
      <c r="F220" s="465">
        <v>2.89</v>
      </c>
    </row>
    <row r="221" spans="1:6" x14ac:dyDescent="0.25">
      <c r="A221" s="465">
        <v>268</v>
      </c>
      <c r="B221" s="466" t="s">
        <v>6845</v>
      </c>
      <c r="C221" s="466" t="s">
        <v>2094</v>
      </c>
      <c r="D221" s="467" t="s">
        <v>6846</v>
      </c>
      <c r="E221" s="468" t="s">
        <v>5360</v>
      </c>
      <c r="F221" s="465">
        <v>1.28</v>
      </c>
    </row>
    <row r="222" spans="1:6" ht="26.4" x14ac:dyDescent="0.25">
      <c r="A222" s="465">
        <v>275</v>
      </c>
      <c r="B222" s="466" t="s">
        <v>5749</v>
      </c>
      <c r="C222" s="466" t="s">
        <v>2094</v>
      </c>
      <c r="D222" s="467" t="s">
        <v>5750</v>
      </c>
      <c r="E222" s="468" t="s">
        <v>4863</v>
      </c>
      <c r="F222" s="465">
        <v>1744.97</v>
      </c>
    </row>
    <row r="223" spans="1:6" ht="26.4" x14ac:dyDescent="0.25">
      <c r="A223" s="465">
        <v>276</v>
      </c>
      <c r="B223" s="466" t="s">
        <v>5751</v>
      </c>
      <c r="C223" s="466" t="s">
        <v>2094</v>
      </c>
      <c r="D223" s="467" t="s">
        <v>5752</v>
      </c>
      <c r="E223" s="468" t="s">
        <v>4863</v>
      </c>
      <c r="F223" s="465">
        <v>2210.36</v>
      </c>
    </row>
    <row r="224" spans="1:6" ht="26.4" x14ac:dyDescent="0.25">
      <c r="A224" s="465">
        <v>277</v>
      </c>
      <c r="B224" s="466" t="s">
        <v>6559</v>
      </c>
      <c r="C224" s="466" t="s">
        <v>2094</v>
      </c>
      <c r="D224" s="467" t="s">
        <v>6560</v>
      </c>
      <c r="E224" s="468" t="s">
        <v>4863</v>
      </c>
      <c r="F224" s="465">
        <v>3431.48</v>
      </c>
    </row>
    <row r="225" spans="1:6" x14ac:dyDescent="0.25">
      <c r="A225" s="465">
        <v>278</v>
      </c>
      <c r="B225" s="466" t="s">
        <v>7205</v>
      </c>
      <c r="C225" s="466" t="s">
        <v>2094</v>
      </c>
      <c r="D225" s="467" t="s">
        <v>7206</v>
      </c>
      <c r="E225" s="468" t="s">
        <v>4863</v>
      </c>
      <c r="F225" s="465">
        <v>175.5</v>
      </c>
    </row>
    <row r="226" spans="1:6" x14ac:dyDescent="0.25">
      <c r="A226" s="465">
        <v>279</v>
      </c>
      <c r="B226" s="466" t="s">
        <v>7207</v>
      </c>
      <c r="C226" s="466" t="s">
        <v>2094</v>
      </c>
      <c r="D226" s="467" t="s">
        <v>7208</v>
      </c>
      <c r="E226" s="468" t="s">
        <v>4863</v>
      </c>
      <c r="F226" s="465">
        <v>213.73</v>
      </c>
    </row>
    <row r="227" spans="1:6" x14ac:dyDescent="0.25">
      <c r="A227" s="465">
        <v>280</v>
      </c>
      <c r="B227" s="466" t="s">
        <v>7191</v>
      </c>
      <c r="C227" s="466" t="s">
        <v>2094</v>
      </c>
      <c r="D227" s="467" t="s">
        <v>7192</v>
      </c>
      <c r="E227" s="468" t="s">
        <v>4863</v>
      </c>
      <c r="F227" s="465">
        <v>533.6</v>
      </c>
    </row>
    <row r="228" spans="1:6" x14ac:dyDescent="0.25">
      <c r="A228" s="465">
        <v>281</v>
      </c>
      <c r="B228" s="466" t="s">
        <v>7193</v>
      </c>
      <c r="C228" s="466" t="s">
        <v>2094</v>
      </c>
      <c r="D228" s="467" t="s">
        <v>7194</v>
      </c>
      <c r="E228" s="468" t="s">
        <v>4863</v>
      </c>
      <c r="F228" s="465">
        <v>863</v>
      </c>
    </row>
    <row r="229" spans="1:6" x14ac:dyDescent="0.25">
      <c r="A229" s="465">
        <v>282</v>
      </c>
      <c r="B229" s="466" t="s">
        <v>7224</v>
      </c>
      <c r="C229" s="466" t="s">
        <v>2094</v>
      </c>
      <c r="D229" s="467" t="s">
        <v>7225</v>
      </c>
      <c r="E229" s="468" t="s">
        <v>4863</v>
      </c>
      <c r="F229" s="465">
        <v>507.5</v>
      </c>
    </row>
    <row r="230" spans="1:6" x14ac:dyDescent="0.25">
      <c r="A230" s="465">
        <v>283</v>
      </c>
      <c r="B230" s="466" t="s">
        <v>7226</v>
      </c>
      <c r="C230" s="466" t="s">
        <v>2094</v>
      </c>
      <c r="D230" s="467" t="s">
        <v>7225</v>
      </c>
      <c r="E230" s="468" t="s">
        <v>4863</v>
      </c>
      <c r="F230" s="465">
        <v>575</v>
      </c>
    </row>
    <row r="231" spans="1:6" ht="26.4" x14ac:dyDescent="0.25">
      <c r="A231" s="465">
        <v>284</v>
      </c>
      <c r="B231" s="466" t="s">
        <v>7188</v>
      </c>
      <c r="C231" s="466" t="s">
        <v>2094</v>
      </c>
      <c r="D231" s="467" t="s">
        <v>7189</v>
      </c>
      <c r="E231" s="468" t="s">
        <v>4863</v>
      </c>
      <c r="F231" s="465">
        <v>662.5</v>
      </c>
    </row>
    <row r="232" spans="1:6" ht="26.4" x14ac:dyDescent="0.25">
      <c r="A232" s="465">
        <v>285</v>
      </c>
      <c r="B232" s="466" t="s">
        <v>7190</v>
      </c>
      <c r="C232" s="466" t="s">
        <v>2094</v>
      </c>
      <c r="D232" s="467" t="s">
        <v>7189</v>
      </c>
      <c r="E232" s="468" t="s">
        <v>4863</v>
      </c>
      <c r="F232" s="465">
        <v>717.5</v>
      </c>
    </row>
    <row r="233" spans="1:6" ht="26.4" x14ac:dyDescent="0.25">
      <c r="A233" s="465">
        <v>286</v>
      </c>
      <c r="B233" s="466" t="s">
        <v>7236</v>
      </c>
      <c r="C233" s="466" t="s">
        <v>2094</v>
      </c>
      <c r="D233" s="467" t="s">
        <v>7234</v>
      </c>
      <c r="E233" s="468" t="s">
        <v>4863</v>
      </c>
      <c r="F233" s="465">
        <v>517</v>
      </c>
    </row>
    <row r="234" spans="1:6" ht="26.4" x14ac:dyDescent="0.25">
      <c r="A234" s="465">
        <v>287</v>
      </c>
      <c r="B234" s="466" t="s">
        <v>7233</v>
      </c>
      <c r="C234" s="466" t="s">
        <v>2094</v>
      </c>
      <c r="D234" s="467" t="s">
        <v>7234</v>
      </c>
      <c r="E234" s="468" t="s">
        <v>4863</v>
      </c>
      <c r="F234" s="465">
        <v>717</v>
      </c>
    </row>
    <row r="235" spans="1:6" ht="26.4" x14ac:dyDescent="0.25">
      <c r="A235" s="465">
        <v>288</v>
      </c>
      <c r="B235" s="466" t="s">
        <v>7235</v>
      </c>
      <c r="C235" s="466" t="s">
        <v>2094</v>
      </c>
      <c r="D235" s="467" t="s">
        <v>7234</v>
      </c>
      <c r="E235" s="468" t="s">
        <v>4863</v>
      </c>
      <c r="F235" s="465">
        <v>717</v>
      </c>
    </row>
    <row r="236" spans="1:6" x14ac:dyDescent="0.25">
      <c r="A236" s="465">
        <v>289</v>
      </c>
      <c r="B236" s="466" t="s">
        <v>7220</v>
      </c>
      <c r="C236" s="466" t="s">
        <v>2094</v>
      </c>
      <c r="D236" s="467" t="s">
        <v>7218</v>
      </c>
      <c r="E236" s="468" t="s">
        <v>4863</v>
      </c>
      <c r="F236" s="465">
        <v>70.14</v>
      </c>
    </row>
    <row r="237" spans="1:6" x14ac:dyDescent="0.25">
      <c r="A237" s="465">
        <v>290</v>
      </c>
      <c r="B237" s="466" t="s">
        <v>7217</v>
      </c>
      <c r="C237" s="466" t="s">
        <v>2094</v>
      </c>
      <c r="D237" s="467" t="s">
        <v>7218</v>
      </c>
      <c r="E237" s="468" t="s">
        <v>4863</v>
      </c>
      <c r="F237" s="465">
        <v>82.38</v>
      </c>
    </row>
    <row r="238" spans="1:6" x14ac:dyDescent="0.25">
      <c r="A238" s="465">
        <v>291</v>
      </c>
      <c r="B238" s="466" t="s">
        <v>7219</v>
      </c>
      <c r="C238" s="466" t="s">
        <v>2094</v>
      </c>
      <c r="D238" s="467" t="s">
        <v>7218</v>
      </c>
      <c r="E238" s="468" t="s">
        <v>4863</v>
      </c>
      <c r="F238" s="465">
        <v>223.5</v>
      </c>
    </row>
    <row r="239" spans="1:6" ht="39.6" x14ac:dyDescent="0.25">
      <c r="A239" s="465">
        <v>293</v>
      </c>
      <c r="B239" s="466" t="s">
        <v>6865</v>
      </c>
      <c r="C239" s="466" t="s">
        <v>2094</v>
      </c>
      <c r="D239" s="467" t="s">
        <v>6866</v>
      </c>
      <c r="E239" s="468" t="s">
        <v>4863</v>
      </c>
      <c r="F239" s="465">
        <v>1.39</v>
      </c>
    </row>
    <row r="240" spans="1:6" x14ac:dyDescent="0.25">
      <c r="A240" s="465">
        <v>298</v>
      </c>
      <c r="B240" s="466" t="s">
        <v>6629</v>
      </c>
      <c r="C240" s="466" t="s">
        <v>2094</v>
      </c>
      <c r="D240" s="467" t="s">
        <v>6630</v>
      </c>
      <c r="E240" s="468" t="s">
        <v>4863</v>
      </c>
      <c r="F240" s="465">
        <v>2.89</v>
      </c>
    </row>
    <row r="241" spans="1:6" x14ac:dyDescent="0.25">
      <c r="A241" s="465">
        <v>299</v>
      </c>
      <c r="B241" s="466" t="s">
        <v>7257</v>
      </c>
      <c r="C241" s="466" t="s">
        <v>2094</v>
      </c>
      <c r="D241" s="467" t="s">
        <v>7256</v>
      </c>
      <c r="E241" s="468" t="s">
        <v>4863</v>
      </c>
      <c r="F241" s="465">
        <v>9.5299999999999994</v>
      </c>
    </row>
    <row r="242" spans="1:6" x14ac:dyDescent="0.25">
      <c r="A242" s="465">
        <v>300</v>
      </c>
      <c r="B242" s="466" t="s">
        <v>7255</v>
      </c>
      <c r="C242" s="466" t="s">
        <v>2094</v>
      </c>
      <c r="D242" s="467" t="s">
        <v>7256</v>
      </c>
      <c r="E242" s="468" t="s">
        <v>4863</v>
      </c>
      <c r="F242" s="465">
        <v>12.45</v>
      </c>
    </row>
    <row r="243" spans="1:6" x14ac:dyDescent="0.25">
      <c r="A243" s="465">
        <v>301</v>
      </c>
      <c r="B243" s="466" t="s">
        <v>7247</v>
      </c>
      <c r="C243" s="466" t="s">
        <v>2094</v>
      </c>
      <c r="D243" s="467" t="s">
        <v>7248</v>
      </c>
      <c r="E243" s="468" t="s">
        <v>4863</v>
      </c>
      <c r="F243" s="465">
        <v>24.61</v>
      </c>
    </row>
    <row r="244" spans="1:6" ht="39.6" x14ac:dyDescent="0.25">
      <c r="A244" s="465">
        <v>302</v>
      </c>
      <c r="B244" s="466" t="s">
        <v>7139</v>
      </c>
      <c r="C244" s="466" t="s">
        <v>2094</v>
      </c>
      <c r="D244" s="467" t="s">
        <v>7140</v>
      </c>
      <c r="E244" s="468" t="s">
        <v>4863</v>
      </c>
      <c r="F244" s="465">
        <v>0.9</v>
      </c>
    </row>
    <row r="245" spans="1:6" ht="39.6" x14ac:dyDescent="0.25">
      <c r="A245" s="465">
        <v>303</v>
      </c>
      <c r="B245" s="466" t="s">
        <v>7141</v>
      </c>
      <c r="C245" s="466" t="s">
        <v>2094</v>
      </c>
      <c r="D245" s="467" t="s">
        <v>7142</v>
      </c>
      <c r="E245" s="468" t="s">
        <v>4863</v>
      </c>
      <c r="F245" s="465">
        <v>1.31</v>
      </c>
    </row>
    <row r="246" spans="1:6" x14ac:dyDescent="0.25">
      <c r="A246" s="465">
        <v>305</v>
      </c>
      <c r="B246" s="466" t="s">
        <v>7107</v>
      </c>
      <c r="C246" s="466" t="s">
        <v>2094</v>
      </c>
      <c r="D246" s="467" t="s">
        <v>7108</v>
      </c>
      <c r="E246" s="468" t="s">
        <v>4863</v>
      </c>
      <c r="F246" s="465">
        <v>24.31</v>
      </c>
    </row>
    <row r="247" spans="1:6" x14ac:dyDescent="0.25">
      <c r="A247" s="465">
        <v>306</v>
      </c>
      <c r="B247" s="466" t="s">
        <v>7244</v>
      </c>
      <c r="C247" s="466" t="s">
        <v>2094</v>
      </c>
      <c r="D247" s="467" t="s">
        <v>7239</v>
      </c>
      <c r="E247" s="468" t="s">
        <v>4863</v>
      </c>
      <c r="F247" s="465">
        <v>43.06</v>
      </c>
    </row>
    <row r="248" spans="1:6" x14ac:dyDescent="0.25">
      <c r="A248" s="465">
        <v>307</v>
      </c>
      <c r="B248" s="466" t="s">
        <v>7238</v>
      </c>
      <c r="C248" s="466" t="s">
        <v>2094</v>
      </c>
      <c r="D248" s="467" t="s">
        <v>7239</v>
      </c>
      <c r="E248" s="468" t="s">
        <v>4863</v>
      </c>
      <c r="F248" s="465">
        <v>39.520000000000003</v>
      </c>
    </row>
    <row r="249" spans="1:6" x14ac:dyDescent="0.25">
      <c r="A249" s="465">
        <v>309</v>
      </c>
      <c r="B249" s="466" t="s">
        <v>7266</v>
      </c>
      <c r="C249" s="466" t="s">
        <v>2094</v>
      </c>
      <c r="D249" s="467" t="s">
        <v>7267</v>
      </c>
      <c r="E249" s="468" t="s">
        <v>4863</v>
      </c>
      <c r="F249" s="465">
        <v>52.2</v>
      </c>
    </row>
    <row r="250" spans="1:6" ht="39.6" x14ac:dyDescent="0.25">
      <c r="A250" s="465">
        <v>310</v>
      </c>
      <c r="B250" s="466" t="s">
        <v>7264</v>
      </c>
      <c r="C250" s="466" t="s">
        <v>2094</v>
      </c>
      <c r="D250" s="467" t="s">
        <v>7265</v>
      </c>
      <c r="E250" s="468" t="s">
        <v>4863</v>
      </c>
      <c r="F250" s="465">
        <v>41.98</v>
      </c>
    </row>
    <row r="251" spans="1:6" x14ac:dyDescent="0.25">
      <c r="A251" s="465">
        <v>311</v>
      </c>
      <c r="B251" s="466" t="s">
        <v>7253</v>
      </c>
      <c r="C251" s="466" t="s">
        <v>2094</v>
      </c>
      <c r="D251" s="467" t="s">
        <v>7254</v>
      </c>
      <c r="E251" s="468" t="s">
        <v>4863</v>
      </c>
      <c r="F251" s="465">
        <v>14.59</v>
      </c>
    </row>
    <row r="252" spans="1:6" ht="52.8" x14ac:dyDescent="0.25">
      <c r="A252" s="465">
        <v>313</v>
      </c>
      <c r="B252" s="466" t="s">
        <v>7288</v>
      </c>
      <c r="C252" s="466" t="s">
        <v>2094</v>
      </c>
      <c r="D252" s="467" t="s">
        <v>7289</v>
      </c>
      <c r="E252" s="468" t="s">
        <v>2376</v>
      </c>
      <c r="F252" s="465">
        <v>5.0199999999999996</v>
      </c>
    </row>
    <row r="253" spans="1:6" ht="26.4" x14ac:dyDescent="0.25">
      <c r="A253" s="465">
        <v>314</v>
      </c>
      <c r="B253" s="466" t="s">
        <v>7436</v>
      </c>
      <c r="C253" s="466" t="s">
        <v>2094</v>
      </c>
      <c r="D253" s="467" t="s">
        <v>7437</v>
      </c>
      <c r="E253" s="468" t="s">
        <v>4863</v>
      </c>
      <c r="F253" s="465">
        <v>153.29</v>
      </c>
    </row>
    <row r="254" spans="1:6" x14ac:dyDescent="0.25">
      <c r="A254" s="465">
        <v>315</v>
      </c>
      <c r="B254" s="466" t="s">
        <v>6507</v>
      </c>
      <c r="C254" s="466" t="s">
        <v>2094</v>
      </c>
      <c r="D254" s="467" t="s">
        <v>6508</v>
      </c>
      <c r="E254" s="468" t="s">
        <v>4850</v>
      </c>
      <c r="F254" s="465">
        <v>0.13</v>
      </c>
    </row>
    <row r="255" spans="1:6" ht="52.8" x14ac:dyDescent="0.25">
      <c r="A255" s="465">
        <v>317</v>
      </c>
      <c r="B255" s="466" t="s">
        <v>6518</v>
      </c>
      <c r="C255" s="466" t="s">
        <v>2094</v>
      </c>
      <c r="D255" s="467" t="s">
        <v>6519</v>
      </c>
      <c r="E255" s="468" t="s">
        <v>4863</v>
      </c>
      <c r="F255" s="465">
        <v>1117.6500000000001</v>
      </c>
    </row>
    <row r="256" spans="1:6" ht="52.8" x14ac:dyDescent="0.25">
      <c r="A256" s="465">
        <v>318</v>
      </c>
      <c r="B256" s="466" t="s">
        <v>6520</v>
      </c>
      <c r="C256" s="466" t="s">
        <v>2094</v>
      </c>
      <c r="D256" s="467" t="s">
        <v>6521</v>
      </c>
      <c r="E256" s="468" t="s">
        <v>4813</v>
      </c>
      <c r="F256" s="465">
        <v>61.74</v>
      </c>
    </row>
    <row r="257" spans="1:6" x14ac:dyDescent="0.25">
      <c r="A257" s="465">
        <v>321</v>
      </c>
      <c r="B257" s="466" t="s">
        <v>6528</v>
      </c>
      <c r="C257" s="466" t="s">
        <v>2094</v>
      </c>
      <c r="D257" s="467" t="s">
        <v>6529</v>
      </c>
      <c r="E257" s="468" t="s">
        <v>4813</v>
      </c>
      <c r="F257" s="465">
        <v>5.0599999999999996</v>
      </c>
    </row>
    <row r="258" spans="1:6" ht="26.4" x14ac:dyDescent="0.25">
      <c r="A258" s="465">
        <v>322</v>
      </c>
      <c r="B258" s="466" t="s">
        <v>6557</v>
      </c>
      <c r="C258" s="466" t="s">
        <v>2094</v>
      </c>
      <c r="D258" s="467" t="s">
        <v>6558</v>
      </c>
      <c r="E258" s="468" t="s">
        <v>2376</v>
      </c>
      <c r="F258" s="465">
        <v>1099.21</v>
      </c>
    </row>
    <row r="259" spans="1:6" x14ac:dyDescent="0.25">
      <c r="A259" s="465">
        <v>323</v>
      </c>
      <c r="B259" s="466" t="s">
        <v>6530</v>
      </c>
      <c r="C259" s="466" t="s">
        <v>2094</v>
      </c>
      <c r="D259" s="467" t="s">
        <v>6531</v>
      </c>
      <c r="E259" s="468" t="s">
        <v>4863</v>
      </c>
      <c r="F259" s="465">
        <v>214.73</v>
      </c>
    </row>
    <row r="260" spans="1:6" x14ac:dyDescent="0.25">
      <c r="A260" s="465">
        <v>324</v>
      </c>
      <c r="B260" s="466" t="s">
        <v>6532</v>
      </c>
      <c r="C260" s="466" t="s">
        <v>2094</v>
      </c>
      <c r="D260" s="467" t="s">
        <v>6533</v>
      </c>
      <c r="E260" s="468" t="s">
        <v>2376</v>
      </c>
      <c r="F260" s="465">
        <v>2140.1</v>
      </c>
    </row>
    <row r="261" spans="1:6" ht="39.6" x14ac:dyDescent="0.25">
      <c r="A261" s="465">
        <v>325</v>
      </c>
      <c r="B261" s="466" t="s">
        <v>6536</v>
      </c>
      <c r="C261" s="466" t="s">
        <v>2094</v>
      </c>
      <c r="D261" s="467" t="s">
        <v>6537</v>
      </c>
      <c r="E261" s="468" t="s">
        <v>4863</v>
      </c>
      <c r="F261" s="465">
        <v>4090.7</v>
      </c>
    </row>
    <row r="262" spans="1:6" ht="52.8" x14ac:dyDescent="0.25">
      <c r="A262" s="465">
        <v>326</v>
      </c>
      <c r="B262" s="466" t="s">
        <v>6538</v>
      </c>
      <c r="C262" s="466" t="s">
        <v>2094</v>
      </c>
      <c r="D262" s="467" t="s">
        <v>6539</v>
      </c>
      <c r="E262" s="468" t="s">
        <v>4813</v>
      </c>
      <c r="F262" s="465">
        <v>8.36</v>
      </c>
    </row>
    <row r="263" spans="1:6" x14ac:dyDescent="0.25">
      <c r="A263" s="465">
        <v>329</v>
      </c>
      <c r="B263" s="466" t="s">
        <v>6526</v>
      </c>
      <c r="C263" s="466" t="s">
        <v>2094</v>
      </c>
      <c r="D263" s="467" t="s">
        <v>6527</v>
      </c>
      <c r="E263" s="468" t="s">
        <v>5082</v>
      </c>
      <c r="F263" s="465">
        <v>2.0499999999999998</v>
      </c>
    </row>
    <row r="264" spans="1:6" ht="39.6" x14ac:dyDescent="0.25">
      <c r="A264" s="465">
        <v>330</v>
      </c>
      <c r="B264" s="466" t="s">
        <v>6442</v>
      </c>
      <c r="C264" s="466" t="s">
        <v>2094</v>
      </c>
      <c r="D264" s="467" t="s">
        <v>6443</v>
      </c>
      <c r="E264" s="468" t="s">
        <v>2376</v>
      </c>
      <c r="F264" s="465">
        <v>6</v>
      </c>
    </row>
    <row r="265" spans="1:6" ht="39.6" x14ac:dyDescent="0.25">
      <c r="A265" s="465">
        <v>331</v>
      </c>
      <c r="B265" s="466" t="s">
        <v>6444</v>
      </c>
      <c r="C265" s="466" t="s">
        <v>2094</v>
      </c>
      <c r="D265" s="467" t="s">
        <v>6445</v>
      </c>
      <c r="E265" s="468" t="s">
        <v>2376</v>
      </c>
      <c r="F265" s="465">
        <v>5.89</v>
      </c>
    </row>
    <row r="266" spans="1:6" ht="39.6" x14ac:dyDescent="0.25">
      <c r="A266" s="465">
        <v>332</v>
      </c>
      <c r="B266" s="466" t="s">
        <v>6450</v>
      </c>
      <c r="C266" s="466" t="s">
        <v>2094</v>
      </c>
      <c r="D266" s="467" t="s">
        <v>6451</v>
      </c>
      <c r="E266" s="468" t="s">
        <v>2376</v>
      </c>
      <c r="F266" s="465">
        <v>9.32</v>
      </c>
    </row>
    <row r="267" spans="1:6" ht="66" x14ac:dyDescent="0.25">
      <c r="A267" s="465">
        <v>333</v>
      </c>
      <c r="B267" s="466" t="s">
        <v>6460</v>
      </c>
      <c r="C267" s="466" t="s">
        <v>2094</v>
      </c>
      <c r="D267" s="467" t="s">
        <v>6461</v>
      </c>
      <c r="E267" s="468" t="s">
        <v>2376</v>
      </c>
      <c r="F267" s="465">
        <v>34.32</v>
      </c>
    </row>
    <row r="268" spans="1:6" ht="52.8" x14ac:dyDescent="0.25">
      <c r="A268" s="465">
        <v>334</v>
      </c>
      <c r="B268" s="466" t="s">
        <v>6462</v>
      </c>
      <c r="C268" s="466" t="s">
        <v>2094</v>
      </c>
      <c r="D268" s="467" t="s">
        <v>6463</v>
      </c>
      <c r="E268" s="468" t="s">
        <v>2376</v>
      </c>
      <c r="F268" s="465">
        <v>11.04</v>
      </c>
    </row>
    <row r="269" spans="1:6" ht="39.6" x14ac:dyDescent="0.25">
      <c r="A269" s="465">
        <v>335</v>
      </c>
      <c r="B269" s="466" t="s">
        <v>6466</v>
      </c>
      <c r="C269" s="466" t="s">
        <v>2094</v>
      </c>
      <c r="D269" s="467" t="s">
        <v>6467</v>
      </c>
      <c r="E269" s="468" t="s">
        <v>2376</v>
      </c>
      <c r="F269" s="465">
        <v>11.45</v>
      </c>
    </row>
    <row r="270" spans="1:6" ht="66" x14ac:dyDescent="0.25">
      <c r="A270" s="465">
        <v>336</v>
      </c>
      <c r="B270" s="466" t="s">
        <v>6470</v>
      </c>
      <c r="C270" s="466" t="s">
        <v>2094</v>
      </c>
      <c r="D270" s="467" t="s">
        <v>6471</v>
      </c>
      <c r="E270" s="468" t="s">
        <v>2376</v>
      </c>
      <c r="F270" s="465">
        <v>79.31</v>
      </c>
    </row>
    <row r="271" spans="1:6" ht="52.8" x14ac:dyDescent="0.25">
      <c r="A271" s="465">
        <v>337</v>
      </c>
      <c r="B271" s="466" t="s">
        <v>6475</v>
      </c>
      <c r="C271" s="466" t="s">
        <v>2094</v>
      </c>
      <c r="D271" s="467" t="s">
        <v>6476</v>
      </c>
      <c r="E271" s="468" t="s">
        <v>2376</v>
      </c>
      <c r="F271" s="465">
        <v>12.63</v>
      </c>
    </row>
    <row r="272" spans="1:6" ht="66" x14ac:dyDescent="0.25">
      <c r="A272" s="465">
        <v>338</v>
      </c>
      <c r="B272" s="466" t="s">
        <v>6492</v>
      </c>
      <c r="C272" s="466" t="s">
        <v>2094</v>
      </c>
      <c r="D272" s="467" t="s">
        <v>6493</v>
      </c>
      <c r="E272" s="468" t="s">
        <v>2376</v>
      </c>
      <c r="F272" s="465">
        <v>61.01</v>
      </c>
    </row>
    <row r="273" spans="1:6" ht="52.8" x14ac:dyDescent="0.25">
      <c r="A273" s="465">
        <v>339</v>
      </c>
      <c r="B273" s="466" t="s">
        <v>6477</v>
      </c>
      <c r="C273" s="466" t="s">
        <v>2094</v>
      </c>
      <c r="D273" s="467" t="s">
        <v>6478</v>
      </c>
      <c r="E273" s="468" t="s">
        <v>2376</v>
      </c>
      <c r="F273" s="465">
        <v>19.03</v>
      </c>
    </row>
    <row r="274" spans="1:6" ht="66" x14ac:dyDescent="0.25">
      <c r="A274" s="465">
        <v>340</v>
      </c>
      <c r="B274" s="466" t="s">
        <v>6483</v>
      </c>
      <c r="C274" s="466" t="s">
        <v>2094</v>
      </c>
      <c r="D274" s="467" t="s">
        <v>6484</v>
      </c>
      <c r="E274" s="468" t="s">
        <v>2376</v>
      </c>
      <c r="F274" s="465">
        <v>34.18</v>
      </c>
    </row>
    <row r="275" spans="1:6" ht="39.6" x14ac:dyDescent="0.25">
      <c r="A275" s="465">
        <v>341</v>
      </c>
      <c r="B275" s="466" t="s">
        <v>6468</v>
      </c>
      <c r="C275" s="466" t="s">
        <v>2094</v>
      </c>
      <c r="D275" s="467" t="s">
        <v>6469</v>
      </c>
      <c r="E275" s="468" t="s">
        <v>2376</v>
      </c>
      <c r="F275" s="465">
        <v>10.73</v>
      </c>
    </row>
    <row r="276" spans="1:6" ht="39.6" x14ac:dyDescent="0.25">
      <c r="A276" s="465">
        <v>342</v>
      </c>
      <c r="B276" s="466" t="s">
        <v>6448</v>
      </c>
      <c r="C276" s="466" t="s">
        <v>2094</v>
      </c>
      <c r="D276" s="467" t="s">
        <v>6449</v>
      </c>
      <c r="E276" s="468" t="s">
        <v>2376</v>
      </c>
      <c r="F276" s="465">
        <v>12.84</v>
      </c>
    </row>
    <row r="277" spans="1:6" ht="39.6" x14ac:dyDescent="0.25">
      <c r="A277" s="465">
        <v>343</v>
      </c>
      <c r="B277" s="466" t="s">
        <v>6488</v>
      </c>
      <c r="C277" s="466" t="s">
        <v>2094</v>
      </c>
      <c r="D277" s="467" t="s">
        <v>6489</v>
      </c>
      <c r="E277" s="468" t="s">
        <v>2376</v>
      </c>
      <c r="F277" s="465">
        <v>69.25</v>
      </c>
    </row>
    <row r="278" spans="1:6" ht="39.6" x14ac:dyDescent="0.25">
      <c r="A278" s="465">
        <v>344</v>
      </c>
      <c r="B278" s="466" t="s">
        <v>6481</v>
      </c>
      <c r="C278" s="466" t="s">
        <v>2094</v>
      </c>
      <c r="D278" s="467" t="s">
        <v>6482</v>
      </c>
      <c r="E278" s="468" t="s">
        <v>2376</v>
      </c>
      <c r="F278" s="465">
        <v>22.78</v>
      </c>
    </row>
    <row r="279" spans="1:6" ht="39.6" x14ac:dyDescent="0.25">
      <c r="A279" s="465">
        <v>345</v>
      </c>
      <c r="B279" s="466" t="s">
        <v>6479</v>
      </c>
      <c r="C279" s="466" t="s">
        <v>2094</v>
      </c>
      <c r="D279" s="467" t="s">
        <v>6480</v>
      </c>
      <c r="E279" s="468" t="s">
        <v>2376</v>
      </c>
      <c r="F279" s="465">
        <v>7.67</v>
      </c>
    </row>
    <row r="280" spans="1:6" ht="39.6" x14ac:dyDescent="0.25">
      <c r="A280" s="465">
        <v>346</v>
      </c>
      <c r="B280" s="466" t="s">
        <v>6464</v>
      </c>
      <c r="C280" s="466" t="s">
        <v>2094</v>
      </c>
      <c r="D280" s="467" t="s">
        <v>6465</v>
      </c>
      <c r="E280" s="468" t="s">
        <v>2376</v>
      </c>
      <c r="F280" s="465">
        <v>4.5599999999999996</v>
      </c>
    </row>
    <row r="281" spans="1:6" ht="39.6" x14ac:dyDescent="0.25">
      <c r="A281" s="465">
        <v>926</v>
      </c>
      <c r="B281" s="466" t="s">
        <v>4855</v>
      </c>
      <c r="C281" s="466" t="s">
        <v>4801</v>
      </c>
      <c r="D281" s="467" t="s">
        <v>4856</v>
      </c>
      <c r="E281" s="468" t="s">
        <v>4803</v>
      </c>
      <c r="F281" s="465">
        <v>46.69</v>
      </c>
    </row>
    <row r="282" spans="1:6" ht="39.6" x14ac:dyDescent="0.25">
      <c r="A282" s="465">
        <v>927</v>
      </c>
      <c r="B282" s="466" t="s">
        <v>4906</v>
      </c>
      <c r="C282" s="466" t="s">
        <v>4801</v>
      </c>
      <c r="D282" s="467" t="s">
        <v>4907</v>
      </c>
      <c r="E282" s="468" t="s">
        <v>4803</v>
      </c>
      <c r="F282" s="465">
        <v>104.91</v>
      </c>
    </row>
    <row r="283" spans="1:6" ht="39.6" x14ac:dyDescent="0.25">
      <c r="A283" s="465">
        <v>928</v>
      </c>
      <c r="B283" s="466" t="s">
        <v>4908</v>
      </c>
      <c r="C283" s="466" t="s">
        <v>4801</v>
      </c>
      <c r="D283" s="467" t="s">
        <v>4909</v>
      </c>
      <c r="E283" s="468" t="s">
        <v>4803</v>
      </c>
      <c r="F283" s="465">
        <v>159.53</v>
      </c>
    </row>
    <row r="284" spans="1:6" ht="39.6" x14ac:dyDescent="0.25">
      <c r="A284" s="465">
        <v>929</v>
      </c>
      <c r="B284" s="466" t="s">
        <v>4910</v>
      </c>
      <c r="C284" s="466" t="s">
        <v>4801</v>
      </c>
      <c r="D284" s="467" t="s">
        <v>4911</v>
      </c>
      <c r="E284" s="468" t="s">
        <v>4803</v>
      </c>
      <c r="F284" s="465">
        <v>56.78</v>
      </c>
    </row>
    <row r="285" spans="1:6" ht="39.6" x14ac:dyDescent="0.25">
      <c r="A285" s="465">
        <v>930</v>
      </c>
      <c r="B285" s="466" t="s">
        <v>5011</v>
      </c>
      <c r="C285" s="466" t="s">
        <v>4801</v>
      </c>
      <c r="D285" s="467" t="s">
        <v>5012</v>
      </c>
      <c r="E285" s="468" t="s">
        <v>4803</v>
      </c>
      <c r="F285" s="465">
        <v>47.67</v>
      </c>
    </row>
    <row r="286" spans="1:6" ht="39.6" x14ac:dyDescent="0.25">
      <c r="A286" s="465">
        <v>931</v>
      </c>
      <c r="B286" s="466" t="s">
        <v>5013</v>
      </c>
      <c r="C286" s="466" t="s">
        <v>4801</v>
      </c>
      <c r="D286" s="467" t="s">
        <v>5014</v>
      </c>
      <c r="E286" s="468" t="s">
        <v>4803</v>
      </c>
      <c r="F286" s="465">
        <v>96.08</v>
      </c>
    </row>
    <row r="287" spans="1:6" ht="39.6" x14ac:dyDescent="0.25">
      <c r="A287" s="465">
        <v>932</v>
      </c>
      <c r="B287" s="466" t="s">
        <v>5015</v>
      </c>
      <c r="C287" s="466" t="s">
        <v>4801</v>
      </c>
      <c r="D287" s="467" t="s">
        <v>5016</v>
      </c>
      <c r="E287" s="468" t="s">
        <v>4803</v>
      </c>
      <c r="F287" s="465">
        <v>160.76</v>
      </c>
    </row>
    <row r="288" spans="1:6" ht="26.4" x14ac:dyDescent="0.25">
      <c r="A288" s="465">
        <v>933</v>
      </c>
      <c r="B288" s="466" t="s">
        <v>5132</v>
      </c>
      <c r="C288" s="466" t="s">
        <v>4801</v>
      </c>
      <c r="D288" s="467" t="s">
        <v>5133</v>
      </c>
      <c r="E288" s="468" t="s">
        <v>4803</v>
      </c>
      <c r="F288" s="465">
        <v>36.090000000000003</v>
      </c>
    </row>
    <row r="289" spans="1:6" ht="39.6" x14ac:dyDescent="0.25">
      <c r="A289" s="465">
        <v>934</v>
      </c>
      <c r="B289" s="466" t="s">
        <v>4851</v>
      </c>
      <c r="C289" s="466" t="s">
        <v>4801</v>
      </c>
      <c r="D289" s="467" t="s">
        <v>4852</v>
      </c>
      <c r="E289" s="468" t="s">
        <v>4803</v>
      </c>
      <c r="F289" s="465">
        <v>7.65</v>
      </c>
    </row>
    <row r="290" spans="1:6" x14ac:dyDescent="0.25">
      <c r="A290" s="465">
        <v>935</v>
      </c>
      <c r="B290" s="466" t="s">
        <v>5155</v>
      </c>
      <c r="C290" s="466" t="s">
        <v>4801</v>
      </c>
      <c r="D290" s="467" t="s">
        <v>4816</v>
      </c>
      <c r="E290" s="468" t="s">
        <v>4803</v>
      </c>
      <c r="F290" s="465">
        <v>76.78</v>
      </c>
    </row>
    <row r="291" spans="1:6" x14ac:dyDescent="0.25">
      <c r="A291" s="465">
        <v>936</v>
      </c>
      <c r="B291" s="466" t="s">
        <v>4815</v>
      </c>
      <c r="C291" s="466" t="s">
        <v>4801</v>
      </c>
      <c r="D291" s="467" t="s">
        <v>4816</v>
      </c>
      <c r="E291" s="468" t="s">
        <v>4803</v>
      </c>
      <c r="F291" s="465">
        <v>76.42</v>
      </c>
    </row>
    <row r="292" spans="1:6" x14ac:dyDescent="0.25">
      <c r="A292" s="465">
        <v>937</v>
      </c>
      <c r="B292" s="466" t="s">
        <v>4865</v>
      </c>
      <c r="C292" s="466" t="s">
        <v>4801</v>
      </c>
      <c r="D292" s="467" t="s">
        <v>4816</v>
      </c>
      <c r="E292" s="468" t="s">
        <v>4803</v>
      </c>
      <c r="F292" s="465">
        <v>5.6</v>
      </c>
    </row>
    <row r="293" spans="1:6" ht="26.4" x14ac:dyDescent="0.25">
      <c r="A293" s="465">
        <v>938</v>
      </c>
      <c r="B293" s="466" t="s">
        <v>4806</v>
      </c>
      <c r="C293" s="466" t="s">
        <v>4801</v>
      </c>
      <c r="D293" s="467" t="s">
        <v>4807</v>
      </c>
      <c r="E293" s="468" t="s">
        <v>4803</v>
      </c>
      <c r="F293" s="465">
        <v>18.22</v>
      </c>
    </row>
    <row r="294" spans="1:6" x14ac:dyDescent="0.25">
      <c r="A294" s="465">
        <v>939</v>
      </c>
      <c r="B294" s="466" t="s">
        <v>5204</v>
      </c>
      <c r="C294" s="466" t="s">
        <v>4801</v>
      </c>
      <c r="D294" s="467" t="s">
        <v>4816</v>
      </c>
      <c r="E294" s="468" t="s">
        <v>4803</v>
      </c>
      <c r="F294" s="465">
        <v>27.08</v>
      </c>
    </row>
    <row r="295" spans="1:6" x14ac:dyDescent="0.25">
      <c r="A295" s="465">
        <v>940</v>
      </c>
      <c r="B295" s="466" t="s">
        <v>5065</v>
      </c>
      <c r="C295" s="466" t="s">
        <v>4801</v>
      </c>
      <c r="D295" s="467" t="s">
        <v>4816</v>
      </c>
      <c r="E295" s="468" t="s">
        <v>4803</v>
      </c>
      <c r="F295" s="465">
        <v>44.08</v>
      </c>
    </row>
    <row r="296" spans="1:6" x14ac:dyDescent="0.25">
      <c r="A296" s="465">
        <v>941</v>
      </c>
      <c r="B296" s="466" t="s">
        <v>4963</v>
      </c>
      <c r="C296" s="466" t="s">
        <v>4801</v>
      </c>
      <c r="D296" s="467" t="s">
        <v>4816</v>
      </c>
      <c r="E296" s="468" t="s">
        <v>4803</v>
      </c>
      <c r="F296" s="465">
        <v>74.08</v>
      </c>
    </row>
    <row r="297" spans="1:6" x14ac:dyDescent="0.25">
      <c r="A297" s="465">
        <v>942</v>
      </c>
      <c r="B297" s="466" t="s">
        <v>5031</v>
      </c>
      <c r="C297" s="466" t="s">
        <v>4801</v>
      </c>
      <c r="D297" s="467" t="s">
        <v>4816</v>
      </c>
      <c r="E297" s="468" t="s">
        <v>4803</v>
      </c>
      <c r="F297" s="465">
        <v>122.15</v>
      </c>
    </row>
    <row r="298" spans="1:6" ht="26.4" x14ac:dyDescent="0.25">
      <c r="A298" s="465">
        <v>943</v>
      </c>
      <c r="B298" s="466" t="s">
        <v>5047</v>
      </c>
      <c r="C298" s="466" t="s">
        <v>4801</v>
      </c>
      <c r="D298" s="467" t="s">
        <v>5048</v>
      </c>
      <c r="E298" s="468" t="s">
        <v>4803</v>
      </c>
      <c r="F298" s="465">
        <v>122.15</v>
      </c>
    </row>
    <row r="299" spans="1:6" ht="26.4" x14ac:dyDescent="0.25">
      <c r="A299" s="465">
        <v>944</v>
      </c>
      <c r="B299" s="466" t="s">
        <v>5130</v>
      </c>
      <c r="C299" s="466" t="s">
        <v>4801</v>
      </c>
      <c r="D299" s="467" t="s">
        <v>5131</v>
      </c>
      <c r="E299" s="468" t="s">
        <v>2376</v>
      </c>
      <c r="F299" s="465">
        <v>61.88</v>
      </c>
    </row>
    <row r="300" spans="1:6" ht="26.4" x14ac:dyDescent="0.25">
      <c r="A300" s="465">
        <v>945</v>
      </c>
      <c r="B300" s="466" t="s">
        <v>5151</v>
      </c>
      <c r="C300" s="466" t="s">
        <v>4801</v>
      </c>
      <c r="D300" s="467" t="s">
        <v>5152</v>
      </c>
      <c r="E300" s="468" t="s">
        <v>2376</v>
      </c>
      <c r="F300" s="465">
        <v>10.220000000000001</v>
      </c>
    </row>
    <row r="301" spans="1:6" ht="26.4" x14ac:dyDescent="0.25">
      <c r="A301" s="465">
        <v>946</v>
      </c>
      <c r="B301" s="466" t="s">
        <v>5153</v>
      </c>
      <c r="C301" s="466" t="s">
        <v>4801</v>
      </c>
      <c r="D301" s="467" t="s">
        <v>5154</v>
      </c>
      <c r="E301" s="468" t="s">
        <v>2376</v>
      </c>
      <c r="F301" s="465">
        <v>15.48</v>
      </c>
    </row>
    <row r="302" spans="1:6" ht="26.4" x14ac:dyDescent="0.25">
      <c r="A302" s="465">
        <v>947</v>
      </c>
      <c r="B302" s="466" t="s">
        <v>4866</v>
      </c>
      <c r="C302" s="466" t="s">
        <v>4801</v>
      </c>
      <c r="D302" s="467" t="s">
        <v>4867</v>
      </c>
      <c r="E302" s="468" t="s">
        <v>2376</v>
      </c>
      <c r="F302" s="465">
        <v>7.4</v>
      </c>
    </row>
    <row r="303" spans="1:6" ht="26.4" x14ac:dyDescent="0.25">
      <c r="A303" s="465">
        <v>948</v>
      </c>
      <c r="B303" s="466" t="s">
        <v>4872</v>
      </c>
      <c r="C303" s="466" t="s">
        <v>4801</v>
      </c>
      <c r="D303" s="467" t="s">
        <v>4873</v>
      </c>
      <c r="E303" s="468" t="s">
        <v>2376</v>
      </c>
      <c r="F303" s="465">
        <v>4.53</v>
      </c>
    </row>
    <row r="304" spans="1:6" ht="39.6" x14ac:dyDescent="0.25">
      <c r="A304" s="465">
        <v>949</v>
      </c>
      <c r="B304" s="466" t="s">
        <v>4876</v>
      </c>
      <c r="C304" s="466" t="s">
        <v>4801</v>
      </c>
      <c r="D304" s="467" t="s">
        <v>4877</v>
      </c>
      <c r="E304" s="468" t="s">
        <v>2376</v>
      </c>
      <c r="F304" s="465">
        <v>9.32</v>
      </c>
    </row>
    <row r="305" spans="1:6" ht="39.6" x14ac:dyDescent="0.25">
      <c r="A305" s="465">
        <v>950</v>
      </c>
      <c r="B305" s="466" t="s">
        <v>4968</v>
      </c>
      <c r="C305" s="466" t="s">
        <v>4801</v>
      </c>
      <c r="D305" s="467" t="s">
        <v>4969</v>
      </c>
      <c r="E305" s="468" t="s">
        <v>2376</v>
      </c>
      <c r="F305" s="465">
        <v>7.3</v>
      </c>
    </row>
    <row r="306" spans="1:6" ht="39.6" x14ac:dyDescent="0.25">
      <c r="A306" s="465">
        <v>951</v>
      </c>
      <c r="B306" s="466" t="s">
        <v>4970</v>
      </c>
      <c r="C306" s="466" t="s">
        <v>4801</v>
      </c>
      <c r="D306" s="467" t="s">
        <v>4971</v>
      </c>
      <c r="E306" s="468" t="s">
        <v>2376</v>
      </c>
      <c r="F306" s="465">
        <v>6.42</v>
      </c>
    </row>
    <row r="307" spans="1:6" ht="39.6" x14ac:dyDescent="0.25">
      <c r="A307" s="465">
        <v>952</v>
      </c>
      <c r="B307" s="466" t="s">
        <v>4972</v>
      </c>
      <c r="C307" s="466" t="s">
        <v>4801</v>
      </c>
      <c r="D307" s="467" t="s">
        <v>4973</v>
      </c>
      <c r="E307" s="468" t="s">
        <v>2376</v>
      </c>
      <c r="F307" s="465">
        <v>12.21</v>
      </c>
    </row>
    <row r="308" spans="1:6" ht="26.4" x14ac:dyDescent="0.25">
      <c r="A308" s="465">
        <v>953</v>
      </c>
      <c r="B308" s="466" t="s">
        <v>5027</v>
      </c>
      <c r="C308" s="466" t="s">
        <v>4801</v>
      </c>
      <c r="D308" s="467" t="s">
        <v>5028</v>
      </c>
      <c r="E308" s="468" t="s">
        <v>2376</v>
      </c>
      <c r="F308" s="465">
        <v>10.93</v>
      </c>
    </row>
    <row r="309" spans="1:6" ht="39.6" x14ac:dyDescent="0.25">
      <c r="A309" s="465">
        <v>954</v>
      </c>
      <c r="B309" s="466" t="s">
        <v>5029</v>
      </c>
      <c r="C309" s="466" t="s">
        <v>4801</v>
      </c>
      <c r="D309" s="467" t="s">
        <v>5030</v>
      </c>
      <c r="E309" s="468" t="s">
        <v>2376</v>
      </c>
      <c r="F309" s="465">
        <v>12.21</v>
      </c>
    </row>
    <row r="310" spans="1:6" ht="39.6" x14ac:dyDescent="0.25">
      <c r="A310" s="465">
        <v>955</v>
      </c>
      <c r="B310" s="466" t="s">
        <v>5043</v>
      </c>
      <c r="C310" s="466" t="s">
        <v>4801</v>
      </c>
      <c r="D310" s="467" t="s">
        <v>5044</v>
      </c>
      <c r="E310" s="468" t="s">
        <v>4803</v>
      </c>
      <c r="F310" s="465">
        <v>115.88</v>
      </c>
    </row>
    <row r="311" spans="1:6" ht="39.6" x14ac:dyDescent="0.25">
      <c r="A311" s="465">
        <v>956</v>
      </c>
      <c r="B311" s="466" t="s">
        <v>5045</v>
      </c>
      <c r="C311" s="466" t="s">
        <v>4801</v>
      </c>
      <c r="D311" s="467" t="s">
        <v>5046</v>
      </c>
      <c r="E311" s="468" t="s">
        <v>5034</v>
      </c>
      <c r="F311" s="465">
        <v>0.01</v>
      </c>
    </row>
    <row r="312" spans="1:6" ht="39.6" x14ac:dyDescent="0.25">
      <c r="A312" s="465">
        <v>957</v>
      </c>
      <c r="B312" s="466" t="s">
        <v>5053</v>
      </c>
      <c r="C312" s="466" t="s">
        <v>4801</v>
      </c>
      <c r="D312" s="467" t="s">
        <v>5054</v>
      </c>
      <c r="E312" s="468" t="s">
        <v>2376</v>
      </c>
      <c r="F312" s="465">
        <v>20.63</v>
      </c>
    </row>
    <row r="313" spans="1:6" ht="39.6" x14ac:dyDescent="0.25">
      <c r="A313" s="465">
        <v>958</v>
      </c>
      <c r="B313" s="466" t="s">
        <v>5114</v>
      </c>
      <c r="C313" s="466" t="s">
        <v>4801</v>
      </c>
      <c r="D313" s="467" t="s">
        <v>5115</v>
      </c>
      <c r="E313" s="468" t="s">
        <v>2376</v>
      </c>
      <c r="F313" s="465">
        <v>8.0500000000000007</v>
      </c>
    </row>
    <row r="314" spans="1:6" ht="39.6" x14ac:dyDescent="0.25">
      <c r="A314" s="465">
        <v>959</v>
      </c>
      <c r="B314" s="466" t="s">
        <v>5116</v>
      </c>
      <c r="C314" s="466" t="s">
        <v>4801</v>
      </c>
      <c r="D314" s="467" t="s">
        <v>5117</v>
      </c>
      <c r="E314" s="468" t="s">
        <v>2376</v>
      </c>
      <c r="F314" s="465">
        <v>20.96</v>
      </c>
    </row>
    <row r="315" spans="1:6" ht="26.4" x14ac:dyDescent="0.25">
      <c r="A315" s="465">
        <v>960</v>
      </c>
      <c r="B315" s="466" t="s">
        <v>5120</v>
      </c>
      <c r="C315" s="466" t="s">
        <v>4801</v>
      </c>
      <c r="D315" s="467" t="s">
        <v>5121</v>
      </c>
      <c r="E315" s="468" t="s">
        <v>2376</v>
      </c>
      <c r="F315" s="465">
        <v>14.88</v>
      </c>
    </row>
    <row r="316" spans="1:6" ht="39.6" x14ac:dyDescent="0.25">
      <c r="A316" s="465">
        <v>961</v>
      </c>
      <c r="B316" s="466" t="s">
        <v>5207</v>
      </c>
      <c r="C316" s="466" t="s">
        <v>4801</v>
      </c>
      <c r="D316" s="467" t="s">
        <v>5208</v>
      </c>
      <c r="E316" s="468" t="s">
        <v>4772</v>
      </c>
      <c r="F316" s="465">
        <v>3.3</v>
      </c>
    </row>
    <row r="317" spans="1:6" ht="39.6" x14ac:dyDescent="0.25">
      <c r="A317" s="465">
        <v>962</v>
      </c>
      <c r="B317" s="466" t="s">
        <v>5156</v>
      </c>
      <c r="C317" s="466" t="s">
        <v>4801</v>
      </c>
      <c r="D317" s="467" t="s">
        <v>5157</v>
      </c>
      <c r="E317" s="468" t="s">
        <v>4803</v>
      </c>
      <c r="F317" s="465">
        <v>47.06</v>
      </c>
    </row>
    <row r="318" spans="1:6" ht="26.4" x14ac:dyDescent="0.25">
      <c r="A318" s="465">
        <v>963</v>
      </c>
      <c r="B318" s="466" t="s">
        <v>5176</v>
      </c>
      <c r="C318" s="466" t="s">
        <v>4801</v>
      </c>
      <c r="D318" s="467" t="s">
        <v>5177</v>
      </c>
      <c r="E318" s="468" t="s">
        <v>4803</v>
      </c>
      <c r="F318" s="465">
        <v>19.28</v>
      </c>
    </row>
    <row r="319" spans="1:6" ht="39.6" x14ac:dyDescent="0.25">
      <c r="A319" s="465">
        <v>964</v>
      </c>
      <c r="B319" s="466" t="s">
        <v>4878</v>
      </c>
      <c r="C319" s="466" t="s">
        <v>4801</v>
      </c>
      <c r="D319" s="467" t="s">
        <v>4879</v>
      </c>
      <c r="E319" s="468" t="s">
        <v>4803</v>
      </c>
      <c r="F319" s="465">
        <v>55.87</v>
      </c>
    </row>
    <row r="320" spans="1:6" x14ac:dyDescent="0.25">
      <c r="A320" s="465">
        <v>965</v>
      </c>
      <c r="B320" s="466" t="s">
        <v>4844</v>
      </c>
      <c r="C320" s="466" t="s">
        <v>4801</v>
      </c>
      <c r="D320" s="467" t="s">
        <v>4845</v>
      </c>
      <c r="E320" s="468" t="s">
        <v>4803</v>
      </c>
      <c r="F320" s="465">
        <v>29.61</v>
      </c>
    </row>
    <row r="321" spans="1:6" x14ac:dyDescent="0.25">
      <c r="A321" s="465">
        <v>966</v>
      </c>
      <c r="B321" s="466" t="s">
        <v>5100</v>
      </c>
      <c r="C321" s="466" t="s">
        <v>4801</v>
      </c>
      <c r="D321" s="467" t="s">
        <v>5101</v>
      </c>
      <c r="E321" s="468" t="s">
        <v>2376</v>
      </c>
      <c r="F321" s="465">
        <v>0.12</v>
      </c>
    </row>
    <row r="322" spans="1:6" ht="52.8" x14ac:dyDescent="0.25">
      <c r="A322" s="465">
        <v>967</v>
      </c>
      <c r="B322" s="466" t="s">
        <v>6948</v>
      </c>
      <c r="C322" s="466" t="s">
        <v>2094</v>
      </c>
      <c r="D322" s="467" t="s">
        <v>6949</v>
      </c>
      <c r="E322" s="468" t="s">
        <v>4863</v>
      </c>
      <c r="F322" s="465">
        <v>44.24</v>
      </c>
    </row>
    <row r="323" spans="1:6" x14ac:dyDescent="0.25">
      <c r="A323" s="465">
        <v>968</v>
      </c>
      <c r="B323" s="466" t="s">
        <v>4864</v>
      </c>
      <c r="C323" s="466" t="s">
        <v>4801</v>
      </c>
      <c r="D323" s="467" t="s">
        <v>4845</v>
      </c>
      <c r="E323" s="468" t="s">
        <v>2376</v>
      </c>
      <c r="F323" s="465">
        <v>190.15</v>
      </c>
    </row>
    <row r="324" spans="1:6" x14ac:dyDescent="0.25">
      <c r="A324" s="465">
        <v>969</v>
      </c>
      <c r="B324" s="466" t="s">
        <v>5217</v>
      </c>
      <c r="C324" s="466" t="s">
        <v>4801</v>
      </c>
      <c r="D324" s="467" t="s">
        <v>4845</v>
      </c>
      <c r="E324" s="468" t="s">
        <v>5218</v>
      </c>
      <c r="F324" s="465">
        <v>135.24</v>
      </c>
    </row>
    <row r="325" spans="1:6" x14ac:dyDescent="0.25">
      <c r="A325" s="465">
        <v>970</v>
      </c>
      <c r="B325" s="466" t="s">
        <v>4936</v>
      </c>
      <c r="C325" s="466" t="s">
        <v>4801</v>
      </c>
      <c r="D325" s="467" t="s">
        <v>4845</v>
      </c>
      <c r="E325" s="468" t="s">
        <v>2376</v>
      </c>
      <c r="F325" s="465">
        <v>7.8</v>
      </c>
    </row>
    <row r="326" spans="1:6" x14ac:dyDescent="0.25">
      <c r="A326" s="465">
        <v>971</v>
      </c>
      <c r="B326" s="466" t="s">
        <v>5441</v>
      </c>
      <c r="C326" s="466" t="s">
        <v>2094</v>
      </c>
      <c r="D326" s="467" t="s">
        <v>5442</v>
      </c>
      <c r="E326" s="468" t="s">
        <v>4813</v>
      </c>
      <c r="F326" s="465">
        <v>0.24</v>
      </c>
    </row>
    <row r="327" spans="1:6" x14ac:dyDescent="0.25">
      <c r="A327" s="465">
        <v>972</v>
      </c>
      <c r="B327" s="466" t="s">
        <v>5443</v>
      </c>
      <c r="C327" s="466" t="s">
        <v>2094</v>
      </c>
      <c r="D327" s="467" t="s">
        <v>5444</v>
      </c>
      <c r="E327" s="468" t="s">
        <v>4813</v>
      </c>
      <c r="F327" s="465">
        <v>0.33</v>
      </c>
    </row>
    <row r="328" spans="1:6" x14ac:dyDescent="0.25">
      <c r="A328" s="465">
        <v>973</v>
      </c>
      <c r="B328" s="466" t="s">
        <v>5449</v>
      </c>
      <c r="C328" s="466" t="s">
        <v>2094</v>
      </c>
      <c r="D328" s="467" t="s">
        <v>5450</v>
      </c>
      <c r="E328" s="468" t="s">
        <v>4813</v>
      </c>
      <c r="F328" s="465">
        <v>0.48</v>
      </c>
    </row>
    <row r="329" spans="1:6" x14ac:dyDescent="0.25">
      <c r="A329" s="465">
        <v>974</v>
      </c>
      <c r="B329" s="466" t="s">
        <v>5445</v>
      </c>
      <c r="C329" s="466" t="s">
        <v>2094</v>
      </c>
      <c r="D329" s="467" t="s">
        <v>5446</v>
      </c>
      <c r="E329" s="468" t="s">
        <v>4813</v>
      </c>
      <c r="F329" s="465">
        <v>0.55000000000000004</v>
      </c>
    </row>
    <row r="330" spans="1:6" x14ac:dyDescent="0.25">
      <c r="A330" s="465">
        <v>975</v>
      </c>
      <c r="B330" s="466" t="s">
        <v>5447</v>
      </c>
      <c r="C330" s="466" t="s">
        <v>2094</v>
      </c>
      <c r="D330" s="467" t="s">
        <v>5448</v>
      </c>
      <c r="E330" s="468" t="s">
        <v>4813</v>
      </c>
      <c r="F330" s="465">
        <v>0.78</v>
      </c>
    </row>
    <row r="331" spans="1:6" x14ac:dyDescent="0.25">
      <c r="A331" s="465">
        <v>976</v>
      </c>
      <c r="B331" s="466" t="s">
        <v>5501</v>
      </c>
      <c r="C331" s="466" t="s">
        <v>2094</v>
      </c>
      <c r="D331" s="467" t="s">
        <v>5502</v>
      </c>
      <c r="E331" s="468" t="s">
        <v>4813</v>
      </c>
      <c r="F331" s="465">
        <v>1.04</v>
      </c>
    </row>
    <row r="332" spans="1:6" x14ac:dyDescent="0.25">
      <c r="A332" s="465">
        <v>977</v>
      </c>
      <c r="B332" s="466" t="s">
        <v>5521</v>
      </c>
      <c r="C332" s="466" t="s">
        <v>2094</v>
      </c>
      <c r="D332" s="467" t="s">
        <v>5522</v>
      </c>
      <c r="E332" s="468" t="s">
        <v>4813</v>
      </c>
      <c r="F332" s="465">
        <v>2.14</v>
      </c>
    </row>
    <row r="333" spans="1:6" x14ac:dyDescent="0.25">
      <c r="A333" s="465">
        <v>978</v>
      </c>
      <c r="B333" s="466" t="s">
        <v>5531</v>
      </c>
      <c r="C333" s="466" t="s">
        <v>2094</v>
      </c>
      <c r="D333" s="467" t="s">
        <v>5532</v>
      </c>
      <c r="E333" s="468" t="s">
        <v>4813</v>
      </c>
      <c r="F333" s="465">
        <v>3.04</v>
      </c>
    </row>
    <row r="334" spans="1:6" x14ac:dyDescent="0.25">
      <c r="A334" s="465">
        <v>979</v>
      </c>
      <c r="B334" s="466" t="s">
        <v>5543</v>
      </c>
      <c r="C334" s="466" t="s">
        <v>2094</v>
      </c>
      <c r="D334" s="467" t="s">
        <v>5544</v>
      </c>
      <c r="E334" s="468" t="s">
        <v>4813</v>
      </c>
      <c r="F334" s="465">
        <v>4.3</v>
      </c>
    </row>
    <row r="335" spans="1:6" x14ac:dyDescent="0.25">
      <c r="A335" s="465">
        <v>980</v>
      </c>
      <c r="B335" s="466" t="s">
        <v>5547</v>
      </c>
      <c r="C335" s="466" t="s">
        <v>2094</v>
      </c>
      <c r="D335" s="467" t="s">
        <v>5548</v>
      </c>
      <c r="E335" s="468" t="s">
        <v>4813</v>
      </c>
      <c r="F335" s="465">
        <v>5.35</v>
      </c>
    </row>
    <row r="336" spans="1:6" x14ac:dyDescent="0.25">
      <c r="A336" s="465">
        <v>981</v>
      </c>
      <c r="B336" s="466" t="s">
        <v>5561</v>
      </c>
      <c r="C336" s="466" t="s">
        <v>2094</v>
      </c>
      <c r="D336" s="467" t="s">
        <v>5562</v>
      </c>
      <c r="E336" s="468" t="s">
        <v>4813</v>
      </c>
      <c r="F336" s="465">
        <v>8.08</v>
      </c>
    </row>
    <row r="337" spans="1:6" ht="26.4" x14ac:dyDescent="0.25">
      <c r="A337" s="465">
        <v>982</v>
      </c>
      <c r="B337" s="466" t="s">
        <v>5525</v>
      </c>
      <c r="C337" s="466" t="s">
        <v>2094</v>
      </c>
      <c r="D337" s="467" t="s">
        <v>5526</v>
      </c>
      <c r="E337" s="468" t="s">
        <v>4813</v>
      </c>
      <c r="F337" s="465">
        <v>0.89</v>
      </c>
    </row>
    <row r="338" spans="1:6" ht="26.4" x14ac:dyDescent="0.25">
      <c r="A338" s="465">
        <v>983</v>
      </c>
      <c r="B338" s="466" t="s">
        <v>5541</v>
      </c>
      <c r="C338" s="466" t="s">
        <v>2094</v>
      </c>
      <c r="D338" s="467" t="s">
        <v>5542</v>
      </c>
      <c r="E338" s="468" t="s">
        <v>4813</v>
      </c>
      <c r="F338" s="465">
        <v>1.48</v>
      </c>
    </row>
    <row r="339" spans="1:6" ht="26.4" x14ac:dyDescent="0.25">
      <c r="A339" s="465">
        <v>984</v>
      </c>
      <c r="B339" s="466" t="s">
        <v>5557</v>
      </c>
      <c r="C339" s="466" t="s">
        <v>2094</v>
      </c>
      <c r="D339" s="467" t="s">
        <v>5558</v>
      </c>
      <c r="E339" s="468" t="s">
        <v>4813</v>
      </c>
      <c r="F339" s="465">
        <v>3.26</v>
      </c>
    </row>
    <row r="340" spans="1:6" ht="26.4" x14ac:dyDescent="0.25">
      <c r="A340" s="465">
        <v>985</v>
      </c>
      <c r="B340" s="466" t="s">
        <v>5571</v>
      </c>
      <c r="C340" s="466" t="s">
        <v>2094</v>
      </c>
      <c r="D340" s="467" t="s">
        <v>5572</v>
      </c>
      <c r="E340" s="468" t="s">
        <v>4813</v>
      </c>
      <c r="F340" s="465">
        <v>5.34</v>
      </c>
    </row>
    <row r="341" spans="1:6" ht="26.4" x14ac:dyDescent="0.25">
      <c r="A341" s="465">
        <v>986</v>
      </c>
      <c r="B341" s="466" t="s">
        <v>5535</v>
      </c>
      <c r="C341" s="466" t="s">
        <v>2094</v>
      </c>
      <c r="D341" s="467" t="s">
        <v>5536</v>
      </c>
      <c r="E341" s="468" t="s">
        <v>4813</v>
      </c>
      <c r="F341" s="465">
        <v>2.82</v>
      </c>
    </row>
    <row r="342" spans="1:6" ht="26.4" x14ac:dyDescent="0.25">
      <c r="A342" s="465">
        <v>987</v>
      </c>
      <c r="B342" s="466" t="s">
        <v>5551</v>
      </c>
      <c r="C342" s="466" t="s">
        <v>2094</v>
      </c>
      <c r="D342" s="467" t="s">
        <v>5552</v>
      </c>
      <c r="E342" s="468" t="s">
        <v>4813</v>
      </c>
      <c r="F342" s="465">
        <v>6.08</v>
      </c>
    </row>
    <row r="343" spans="1:6" ht="26.4" x14ac:dyDescent="0.25">
      <c r="A343" s="465">
        <v>988</v>
      </c>
      <c r="B343" s="466" t="s">
        <v>5565</v>
      </c>
      <c r="C343" s="466" t="s">
        <v>2094</v>
      </c>
      <c r="D343" s="467" t="s">
        <v>5566</v>
      </c>
      <c r="E343" s="468" t="s">
        <v>4813</v>
      </c>
      <c r="F343" s="465">
        <v>10.23</v>
      </c>
    </row>
    <row r="344" spans="1:6" ht="26.4" x14ac:dyDescent="0.25">
      <c r="A344" s="465">
        <v>989</v>
      </c>
      <c r="B344" s="466" t="s">
        <v>5537</v>
      </c>
      <c r="C344" s="466" t="s">
        <v>2094</v>
      </c>
      <c r="D344" s="467" t="s">
        <v>5538</v>
      </c>
      <c r="E344" s="468" t="s">
        <v>4813</v>
      </c>
      <c r="F344" s="465">
        <v>2.08</v>
      </c>
    </row>
    <row r="345" spans="1:6" ht="26.4" x14ac:dyDescent="0.25">
      <c r="A345" s="465">
        <v>990</v>
      </c>
      <c r="B345" s="466" t="s">
        <v>5553</v>
      </c>
      <c r="C345" s="466" t="s">
        <v>2094</v>
      </c>
      <c r="D345" s="467" t="s">
        <v>5554</v>
      </c>
      <c r="E345" s="468" t="s">
        <v>4813</v>
      </c>
      <c r="F345" s="465">
        <v>4.6100000000000003</v>
      </c>
    </row>
    <row r="346" spans="1:6" ht="26.4" x14ac:dyDescent="0.25">
      <c r="A346" s="465">
        <v>991</v>
      </c>
      <c r="B346" s="466" t="s">
        <v>5567</v>
      </c>
      <c r="C346" s="466" t="s">
        <v>2094</v>
      </c>
      <c r="D346" s="467" t="s">
        <v>5568</v>
      </c>
      <c r="E346" s="468" t="s">
        <v>4813</v>
      </c>
      <c r="F346" s="465">
        <v>8.35</v>
      </c>
    </row>
    <row r="347" spans="1:6" x14ac:dyDescent="0.25">
      <c r="A347" s="465">
        <v>992</v>
      </c>
      <c r="B347" s="466" t="s">
        <v>5539</v>
      </c>
      <c r="C347" s="466" t="s">
        <v>2094</v>
      </c>
      <c r="D347" s="467" t="s">
        <v>5540</v>
      </c>
      <c r="E347" s="468" t="s">
        <v>4813</v>
      </c>
      <c r="F347" s="465">
        <v>1.56</v>
      </c>
    </row>
    <row r="348" spans="1:6" x14ac:dyDescent="0.25">
      <c r="A348" s="465">
        <v>993</v>
      </c>
      <c r="B348" s="466" t="s">
        <v>5555</v>
      </c>
      <c r="C348" s="466" t="s">
        <v>2094</v>
      </c>
      <c r="D348" s="467" t="s">
        <v>5556</v>
      </c>
      <c r="E348" s="468" t="s">
        <v>4813</v>
      </c>
      <c r="F348" s="465">
        <v>3.5</v>
      </c>
    </row>
    <row r="349" spans="1:6" x14ac:dyDescent="0.25">
      <c r="A349" s="465">
        <v>994</v>
      </c>
      <c r="B349" s="466" t="s">
        <v>5569</v>
      </c>
      <c r="C349" s="466" t="s">
        <v>2094</v>
      </c>
      <c r="D349" s="467" t="s">
        <v>5570</v>
      </c>
      <c r="E349" s="468" t="s">
        <v>4813</v>
      </c>
      <c r="F349" s="465">
        <v>6.28</v>
      </c>
    </row>
    <row r="350" spans="1:6" ht="26.4" x14ac:dyDescent="0.25">
      <c r="A350" s="465">
        <v>995</v>
      </c>
      <c r="B350" s="466" t="s">
        <v>5419</v>
      </c>
      <c r="C350" s="466" t="s">
        <v>2094</v>
      </c>
      <c r="D350" s="467" t="s">
        <v>5420</v>
      </c>
      <c r="E350" s="468" t="s">
        <v>4813</v>
      </c>
      <c r="F350" s="465">
        <v>0.25</v>
      </c>
    </row>
    <row r="351" spans="1:6" ht="26.4" x14ac:dyDescent="0.25">
      <c r="A351" s="465">
        <v>996</v>
      </c>
      <c r="B351" s="466" t="s">
        <v>5431</v>
      </c>
      <c r="C351" s="466" t="s">
        <v>2094</v>
      </c>
      <c r="D351" s="467" t="s">
        <v>5432</v>
      </c>
      <c r="E351" s="468" t="s">
        <v>4813</v>
      </c>
      <c r="F351" s="465">
        <v>0.39</v>
      </c>
    </row>
    <row r="352" spans="1:6" x14ac:dyDescent="0.25">
      <c r="A352" s="465">
        <v>997</v>
      </c>
      <c r="B352" s="466" t="s">
        <v>5417</v>
      </c>
      <c r="C352" s="466" t="s">
        <v>2094</v>
      </c>
      <c r="D352" s="467" t="s">
        <v>5418</v>
      </c>
      <c r="E352" s="468" t="s">
        <v>4813</v>
      </c>
      <c r="F352" s="465">
        <v>0.6</v>
      </c>
    </row>
    <row r="353" spans="1:6" ht="26.4" x14ac:dyDescent="0.25">
      <c r="A353" s="465">
        <v>998</v>
      </c>
      <c r="B353" s="466" t="s">
        <v>5413</v>
      </c>
      <c r="C353" s="466" t="s">
        <v>2094</v>
      </c>
      <c r="D353" s="467" t="s">
        <v>5414</v>
      </c>
      <c r="E353" s="468" t="s">
        <v>4813</v>
      </c>
      <c r="F353" s="465">
        <v>0.93</v>
      </c>
    </row>
    <row r="354" spans="1:6" ht="26.4" x14ac:dyDescent="0.25">
      <c r="A354" s="465">
        <v>999</v>
      </c>
      <c r="B354" s="466" t="s">
        <v>5415</v>
      </c>
      <c r="C354" s="466" t="s">
        <v>2094</v>
      </c>
      <c r="D354" s="467" t="s">
        <v>5416</v>
      </c>
      <c r="E354" s="468" t="s">
        <v>4813</v>
      </c>
      <c r="F354" s="465">
        <v>1.25</v>
      </c>
    </row>
    <row r="355" spans="1:6" x14ac:dyDescent="0.25">
      <c r="A355" s="465">
        <v>1000</v>
      </c>
      <c r="B355" s="466" t="s">
        <v>5425</v>
      </c>
      <c r="C355" s="466" t="s">
        <v>2094</v>
      </c>
      <c r="D355" s="467" t="s">
        <v>5426</v>
      </c>
      <c r="E355" s="468" t="s">
        <v>4813</v>
      </c>
      <c r="F355" s="465">
        <v>1.94</v>
      </c>
    </row>
    <row r="356" spans="1:6" x14ac:dyDescent="0.25">
      <c r="A356" s="465">
        <v>1001</v>
      </c>
      <c r="B356" s="466" t="s">
        <v>5429</v>
      </c>
      <c r="C356" s="466" t="s">
        <v>2094</v>
      </c>
      <c r="D356" s="467" t="s">
        <v>5430</v>
      </c>
      <c r="E356" s="468" t="s">
        <v>4813</v>
      </c>
      <c r="F356" s="465">
        <v>4.1900000000000004</v>
      </c>
    </row>
    <row r="357" spans="1:6" ht="26.4" x14ac:dyDescent="0.25">
      <c r="A357" s="465">
        <v>1002</v>
      </c>
      <c r="B357" s="466" t="s">
        <v>5433</v>
      </c>
      <c r="C357" s="466" t="s">
        <v>2094</v>
      </c>
      <c r="D357" s="467" t="s">
        <v>5434</v>
      </c>
      <c r="E357" s="468" t="s">
        <v>4813</v>
      </c>
      <c r="F357" s="465">
        <v>6.92</v>
      </c>
    </row>
    <row r="358" spans="1:6" x14ac:dyDescent="0.25">
      <c r="A358" s="465">
        <v>1003</v>
      </c>
      <c r="B358" s="466" t="s">
        <v>5609</v>
      </c>
      <c r="C358" s="466" t="s">
        <v>2094</v>
      </c>
      <c r="D358" s="467" t="s">
        <v>5610</v>
      </c>
      <c r="E358" s="468" t="s">
        <v>4813</v>
      </c>
      <c r="F358" s="465">
        <v>9.14</v>
      </c>
    </row>
    <row r="359" spans="1:6" x14ac:dyDescent="0.25">
      <c r="A359" s="465">
        <v>1004</v>
      </c>
      <c r="B359" s="466" t="s">
        <v>5619</v>
      </c>
      <c r="C359" s="466" t="s">
        <v>2094</v>
      </c>
      <c r="D359" s="467" t="s">
        <v>5620</v>
      </c>
      <c r="E359" s="468" t="s">
        <v>4813</v>
      </c>
      <c r="F359" s="465">
        <v>13.23</v>
      </c>
    </row>
    <row r="360" spans="1:6" x14ac:dyDescent="0.25">
      <c r="A360" s="465">
        <v>1005</v>
      </c>
      <c r="B360" s="466" t="s">
        <v>5629</v>
      </c>
      <c r="C360" s="466" t="s">
        <v>2094</v>
      </c>
      <c r="D360" s="467" t="s">
        <v>5630</v>
      </c>
      <c r="E360" s="468" t="s">
        <v>4813</v>
      </c>
      <c r="F360" s="465">
        <v>18.04</v>
      </c>
    </row>
    <row r="361" spans="1:6" x14ac:dyDescent="0.25">
      <c r="A361" s="465">
        <v>1006</v>
      </c>
      <c r="B361" s="466" t="s">
        <v>5631</v>
      </c>
      <c r="C361" s="466" t="s">
        <v>2094</v>
      </c>
      <c r="D361" s="467" t="s">
        <v>5632</v>
      </c>
      <c r="E361" s="468" t="s">
        <v>4813</v>
      </c>
      <c r="F361" s="465">
        <v>22.85</v>
      </c>
    </row>
    <row r="362" spans="1:6" x14ac:dyDescent="0.25">
      <c r="A362" s="465">
        <v>1007</v>
      </c>
      <c r="B362" s="466" t="s">
        <v>5635</v>
      </c>
      <c r="C362" s="466" t="s">
        <v>2094</v>
      </c>
      <c r="D362" s="467" t="s">
        <v>5636</v>
      </c>
      <c r="E362" s="468" t="s">
        <v>4813</v>
      </c>
      <c r="F362" s="465">
        <v>34.869999999999997</v>
      </c>
    </row>
    <row r="363" spans="1:6" x14ac:dyDescent="0.25">
      <c r="A363" s="465">
        <v>1008</v>
      </c>
      <c r="B363" s="466" t="s">
        <v>5589</v>
      </c>
      <c r="C363" s="466" t="s">
        <v>2094</v>
      </c>
      <c r="D363" s="467" t="s">
        <v>5590</v>
      </c>
      <c r="E363" s="468" t="s">
        <v>4813</v>
      </c>
      <c r="F363" s="465">
        <v>60.12</v>
      </c>
    </row>
    <row r="364" spans="1:6" ht="66" x14ac:dyDescent="0.25">
      <c r="A364" s="465">
        <v>1009</v>
      </c>
      <c r="B364" s="466" t="s">
        <v>6881</v>
      </c>
      <c r="C364" s="466" t="s">
        <v>2094</v>
      </c>
      <c r="D364" s="467" t="s">
        <v>6882</v>
      </c>
      <c r="E364" s="468" t="s">
        <v>4863</v>
      </c>
      <c r="F364" s="465">
        <v>175.6</v>
      </c>
    </row>
    <row r="365" spans="1:6" ht="66" x14ac:dyDescent="0.25">
      <c r="A365" s="465">
        <v>1010</v>
      </c>
      <c r="B365" s="466" t="s">
        <v>6883</v>
      </c>
      <c r="C365" s="466" t="s">
        <v>2094</v>
      </c>
      <c r="D365" s="467" t="s">
        <v>6884</v>
      </c>
      <c r="E365" s="468" t="s">
        <v>5668</v>
      </c>
      <c r="F365" s="465">
        <v>229.73</v>
      </c>
    </row>
    <row r="366" spans="1:6" ht="66" x14ac:dyDescent="0.25">
      <c r="A366" s="465">
        <v>1011</v>
      </c>
      <c r="B366" s="466" t="s">
        <v>6887</v>
      </c>
      <c r="C366" s="466" t="s">
        <v>2094</v>
      </c>
      <c r="D366" s="467" t="s">
        <v>6888</v>
      </c>
      <c r="E366" s="468" t="s">
        <v>4863</v>
      </c>
      <c r="F366" s="465">
        <v>2247.4</v>
      </c>
    </row>
    <row r="367" spans="1:6" ht="66" x14ac:dyDescent="0.25">
      <c r="A367" s="465">
        <v>1012</v>
      </c>
      <c r="B367" s="466" t="s">
        <v>6889</v>
      </c>
      <c r="C367" s="466" t="s">
        <v>2094</v>
      </c>
      <c r="D367" s="467" t="s">
        <v>6890</v>
      </c>
      <c r="E367" s="468" t="s">
        <v>5668</v>
      </c>
      <c r="F367" s="465">
        <v>105.45</v>
      </c>
    </row>
    <row r="368" spans="1:6" ht="66" x14ac:dyDescent="0.25">
      <c r="A368" s="465">
        <v>1016</v>
      </c>
      <c r="B368" s="466" t="s">
        <v>6923</v>
      </c>
      <c r="C368" s="466" t="s">
        <v>2094</v>
      </c>
      <c r="D368" s="467" t="s">
        <v>6924</v>
      </c>
      <c r="E368" s="468" t="s">
        <v>4863</v>
      </c>
      <c r="F368" s="465">
        <v>1495.1</v>
      </c>
    </row>
    <row r="369" spans="1:6" ht="66" x14ac:dyDescent="0.25">
      <c r="A369" s="465">
        <v>1017</v>
      </c>
      <c r="B369" s="466" t="s">
        <v>6925</v>
      </c>
      <c r="C369" s="466" t="s">
        <v>2094</v>
      </c>
      <c r="D369" s="467" t="s">
        <v>6926</v>
      </c>
      <c r="E369" s="468" t="s">
        <v>5668</v>
      </c>
      <c r="F369" s="465">
        <v>90.71</v>
      </c>
    </row>
    <row r="370" spans="1:6" ht="26.4" x14ac:dyDescent="0.25">
      <c r="A370" s="465">
        <v>1023</v>
      </c>
      <c r="B370" s="466" t="s">
        <v>6913</v>
      </c>
      <c r="C370" s="466" t="s">
        <v>2094</v>
      </c>
      <c r="D370" s="467" t="s">
        <v>6914</v>
      </c>
      <c r="E370" s="468" t="s">
        <v>5668</v>
      </c>
      <c r="F370" s="465">
        <v>1273</v>
      </c>
    </row>
    <row r="371" spans="1:6" ht="26.4" x14ac:dyDescent="0.25">
      <c r="A371" s="465">
        <v>1024</v>
      </c>
      <c r="B371" s="466" t="s">
        <v>6907</v>
      </c>
      <c r="C371" s="466" t="s">
        <v>2094</v>
      </c>
      <c r="D371" s="467" t="s">
        <v>6908</v>
      </c>
      <c r="E371" s="468" t="s">
        <v>5668</v>
      </c>
      <c r="F371" s="465">
        <v>965</v>
      </c>
    </row>
    <row r="372" spans="1:6" ht="26.4" x14ac:dyDescent="0.25">
      <c r="A372" s="465">
        <v>1025</v>
      </c>
      <c r="B372" s="466" t="s">
        <v>6909</v>
      </c>
      <c r="C372" s="466" t="s">
        <v>2094</v>
      </c>
      <c r="D372" s="467" t="s">
        <v>6910</v>
      </c>
      <c r="E372" s="468" t="s">
        <v>5668</v>
      </c>
      <c r="F372" s="465">
        <v>660</v>
      </c>
    </row>
    <row r="373" spans="1:6" ht="26.4" x14ac:dyDescent="0.25">
      <c r="A373" s="465">
        <v>1026</v>
      </c>
      <c r="B373" s="466" t="s">
        <v>6911</v>
      </c>
      <c r="C373" s="466" t="s">
        <v>2094</v>
      </c>
      <c r="D373" s="467" t="s">
        <v>6912</v>
      </c>
      <c r="E373" s="468" t="s">
        <v>5668</v>
      </c>
      <c r="F373" s="465">
        <v>700</v>
      </c>
    </row>
    <row r="374" spans="1:6" ht="26.4" x14ac:dyDescent="0.25">
      <c r="A374" s="465">
        <v>1027</v>
      </c>
      <c r="B374" s="466" t="s">
        <v>6885</v>
      </c>
      <c r="C374" s="466" t="s">
        <v>2094</v>
      </c>
      <c r="D374" s="467" t="s">
        <v>6886</v>
      </c>
      <c r="E374" s="468" t="s">
        <v>5668</v>
      </c>
      <c r="F374" s="465">
        <v>205</v>
      </c>
    </row>
    <row r="375" spans="1:6" ht="26.4" x14ac:dyDescent="0.25">
      <c r="A375" s="465">
        <v>1028</v>
      </c>
      <c r="B375" s="466" t="s">
        <v>6891</v>
      </c>
      <c r="C375" s="466" t="s">
        <v>2094</v>
      </c>
      <c r="D375" s="467" t="s">
        <v>6892</v>
      </c>
      <c r="E375" s="468" t="s">
        <v>5668</v>
      </c>
      <c r="F375" s="465">
        <v>187</v>
      </c>
    </row>
    <row r="376" spans="1:6" ht="26.4" x14ac:dyDescent="0.25">
      <c r="A376" s="465">
        <v>1029</v>
      </c>
      <c r="B376" s="466" t="s">
        <v>6893</v>
      </c>
      <c r="C376" s="466" t="s">
        <v>2094</v>
      </c>
      <c r="D376" s="467" t="s">
        <v>6894</v>
      </c>
      <c r="E376" s="468" t="s">
        <v>5668</v>
      </c>
      <c r="F376" s="465">
        <v>142</v>
      </c>
    </row>
    <row r="377" spans="1:6" ht="26.4" x14ac:dyDescent="0.25">
      <c r="A377" s="465">
        <v>1030</v>
      </c>
      <c r="B377" s="466" t="s">
        <v>6903</v>
      </c>
      <c r="C377" s="466" t="s">
        <v>2094</v>
      </c>
      <c r="D377" s="467" t="s">
        <v>6904</v>
      </c>
      <c r="E377" s="468" t="s">
        <v>4863</v>
      </c>
      <c r="F377" s="465">
        <v>12477.62</v>
      </c>
    </row>
    <row r="378" spans="1:6" ht="66" x14ac:dyDescent="0.25">
      <c r="A378" s="465">
        <v>1031</v>
      </c>
      <c r="B378" s="466" t="s">
        <v>7115</v>
      </c>
      <c r="C378" s="466" t="s">
        <v>2094</v>
      </c>
      <c r="D378" s="467" t="s">
        <v>7116</v>
      </c>
      <c r="E378" s="468" t="s">
        <v>4863</v>
      </c>
      <c r="F378" s="465">
        <v>2155.6999999999998</v>
      </c>
    </row>
    <row r="379" spans="1:6" ht="26.4" x14ac:dyDescent="0.25">
      <c r="A379" s="465">
        <v>1035</v>
      </c>
      <c r="B379" s="466" t="s">
        <v>7460</v>
      </c>
      <c r="C379" s="466" t="s">
        <v>2094</v>
      </c>
      <c r="D379" s="467" t="s">
        <v>7458</v>
      </c>
      <c r="E379" s="468" t="s">
        <v>4863</v>
      </c>
      <c r="F379" s="465">
        <v>4554.34</v>
      </c>
    </row>
    <row r="380" spans="1:6" ht="26.4" x14ac:dyDescent="0.25">
      <c r="A380" s="465">
        <v>1036</v>
      </c>
      <c r="B380" s="466" t="s">
        <v>7457</v>
      </c>
      <c r="C380" s="466" t="s">
        <v>2094</v>
      </c>
      <c r="D380" s="467" t="s">
        <v>7458</v>
      </c>
      <c r="E380" s="468" t="s">
        <v>4863</v>
      </c>
      <c r="F380" s="465">
        <v>6159.2</v>
      </c>
    </row>
    <row r="381" spans="1:6" ht="26.4" x14ac:dyDescent="0.25">
      <c r="A381" s="465">
        <v>1037</v>
      </c>
      <c r="B381" s="466" t="s">
        <v>7459</v>
      </c>
      <c r="C381" s="466" t="s">
        <v>2094</v>
      </c>
      <c r="D381" s="467" t="s">
        <v>7458</v>
      </c>
      <c r="E381" s="468" t="s">
        <v>4863</v>
      </c>
      <c r="F381" s="465">
        <v>9499.0499999999993</v>
      </c>
    </row>
    <row r="382" spans="1:6" x14ac:dyDescent="0.25">
      <c r="A382" s="465">
        <v>1038</v>
      </c>
      <c r="B382" s="466" t="s">
        <v>6863</v>
      </c>
      <c r="C382" s="466" t="s">
        <v>2094</v>
      </c>
      <c r="D382" s="467"/>
      <c r="E382" s="468" t="s">
        <v>4863</v>
      </c>
      <c r="F382" s="465">
        <v>264</v>
      </c>
    </row>
    <row r="383" spans="1:6" x14ac:dyDescent="0.25">
      <c r="A383" s="465">
        <v>1039</v>
      </c>
      <c r="B383" s="466" t="s">
        <v>6864</v>
      </c>
      <c r="C383" s="466" t="s">
        <v>2094</v>
      </c>
      <c r="D383" s="467"/>
      <c r="E383" s="468" t="s">
        <v>4863</v>
      </c>
      <c r="F383" s="465">
        <v>859</v>
      </c>
    </row>
    <row r="384" spans="1:6" x14ac:dyDescent="0.25">
      <c r="A384" s="465">
        <v>1041</v>
      </c>
      <c r="B384" s="466" t="s">
        <v>7383</v>
      </c>
      <c r="C384" s="466" t="s">
        <v>2094</v>
      </c>
      <c r="D384" s="467" t="s">
        <v>7384</v>
      </c>
      <c r="E384" s="468" t="s">
        <v>4863</v>
      </c>
      <c r="F384" s="465">
        <v>66.22</v>
      </c>
    </row>
    <row r="385" spans="1:6" x14ac:dyDescent="0.25">
      <c r="A385" s="465">
        <v>1042</v>
      </c>
      <c r="B385" s="466" t="s">
        <v>7387</v>
      </c>
      <c r="C385" s="466" t="s">
        <v>2094</v>
      </c>
      <c r="D385" s="467" t="s">
        <v>7388</v>
      </c>
      <c r="E385" s="468" t="s">
        <v>4863</v>
      </c>
      <c r="F385" s="465">
        <v>32.340000000000003</v>
      </c>
    </row>
    <row r="386" spans="1:6" ht="66" x14ac:dyDescent="0.25">
      <c r="A386" s="465">
        <v>1043</v>
      </c>
      <c r="B386" s="466" t="s">
        <v>7481</v>
      </c>
      <c r="C386" s="466" t="s">
        <v>424</v>
      </c>
      <c r="D386" s="467" t="s">
        <v>7482</v>
      </c>
      <c r="E386" s="468" t="s">
        <v>7483</v>
      </c>
      <c r="F386" s="465">
        <v>1</v>
      </c>
    </row>
    <row r="387" spans="1:6" ht="26.4" x14ac:dyDescent="0.25">
      <c r="A387" s="465">
        <v>1044</v>
      </c>
      <c r="B387" s="466" t="s">
        <v>6187</v>
      </c>
      <c r="C387" s="466" t="s">
        <v>2094</v>
      </c>
      <c r="D387" s="467" t="s">
        <v>6188</v>
      </c>
      <c r="E387" s="468" t="s">
        <v>6189</v>
      </c>
      <c r="F387" s="465">
        <v>0.7</v>
      </c>
    </row>
    <row r="388" spans="1:6" ht="26.4" x14ac:dyDescent="0.25">
      <c r="A388" s="465">
        <v>1045</v>
      </c>
      <c r="B388" s="466" t="s">
        <v>6190</v>
      </c>
      <c r="C388" s="466" t="s">
        <v>2094</v>
      </c>
      <c r="D388" s="467" t="s">
        <v>6191</v>
      </c>
      <c r="E388" s="468" t="s">
        <v>6189</v>
      </c>
      <c r="F388" s="465">
        <v>0.65</v>
      </c>
    </row>
    <row r="389" spans="1:6" ht="26.4" x14ac:dyDescent="0.25">
      <c r="A389" s="465">
        <v>1046</v>
      </c>
      <c r="B389" s="466" t="s">
        <v>6835</v>
      </c>
      <c r="C389" s="466" t="s">
        <v>2094</v>
      </c>
      <c r="D389" s="467" t="s">
        <v>6836</v>
      </c>
      <c r="E389" s="468" t="s">
        <v>4850</v>
      </c>
      <c r="F389" s="465">
        <v>9.77</v>
      </c>
    </row>
    <row r="390" spans="1:6" x14ac:dyDescent="0.25">
      <c r="A390" s="465">
        <v>1047</v>
      </c>
      <c r="B390" s="466" t="s">
        <v>5725</v>
      </c>
      <c r="C390" s="466" t="s">
        <v>2094</v>
      </c>
      <c r="D390" s="467" t="s">
        <v>5726</v>
      </c>
      <c r="E390" s="468" t="s">
        <v>4850</v>
      </c>
      <c r="F390" s="465">
        <v>4.1100000000000003</v>
      </c>
    </row>
    <row r="391" spans="1:6" x14ac:dyDescent="0.25">
      <c r="A391" s="465">
        <v>1048</v>
      </c>
      <c r="B391" s="466" t="s">
        <v>5727</v>
      </c>
      <c r="C391" s="466" t="s">
        <v>2094</v>
      </c>
      <c r="D391" s="467" t="s">
        <v>5728</v>
      </c>
      <c r="E391" s="468" t="s">
        <v>4850</v>
      </c>
      <c r="F391" s="465">
        <v>6.16</v>
      </c>
    </row>
    <row r="392" spans="1:6" x14ac:dyDescent="0.25">
      <c r="A392" s="465">
        <v>1049</v>
      </c>
      <c r="B392" s="466" t="s">
        <v>7173</v>
      </c>
      <c r="C392" s="466" t="s">
        <v>2094</v>
      </c>
      <c r="D392" s="467" t="s">
        <v>6750</v>
      </c>
      <c r="E392" s="468" t="s">
        <v>4863</v>
      </c>
      <c r="F392" s="465">
        <v>1207.5</v>
      </c>
    </row>
    <row r="393" spans="1:6" x14ac:dyDescent="0.25">
      <c r="A393" s="465">
        <v>1050</v>
      </c>
      <c r="B393" s="466" t="s">
        <v>5654</v>
      </c>
      <c r="C393" s="466" t="s">
        <v>2094</v>
      </c>
      <c r="D393" s="467" t="s">
        <v>5655</v>
      </c>
      <c r="E393" s="468" t="s">
        <v>4863</v>
      </c>
      <c r="F393" s="465">
        <v>11.3</v>
      </c>
    </row>
    <row r="394" spans="1:6" x14ac:dyDescent="0.25">
      <c r="A394" s="465">
        <v>1052</v>
      </c>
      <c r="B394" s="466" t="s">
        <v>6749</v>
      </c>
      <c r="C394" s="466" t="s">
        <v>2094</v>
      </c>
      <c r="D394" s="467" t="s">
        <v>6750</v>
      </c>
      <c r="E394" s="468" t="s">
        <v>4863</v>
      </c>
      <c r="F394" s="465">
        <v>392.62</v>
      </c>
    </row>
    <row r="395" spans="1:6" ht="26.4" x14ac:dyDescent="0.25">
      <c r="A395" s="465">
        <v>1053</v>
      </c>
      <c r="B395" s="466" t="s">
        <v>6573</v>
      </c>
      <c r="C395" s="466" t="s">
        <v>2094</v>
      </c>
      <c r="D395" s="467" t="s">
        <v>6574</v>
      </c>
      <c r="E395" s="468" t="s">
        <v>4863</v>
      </c>
      <c r="F395" s="465">
        <v>1671.66</v>
      </c>
    </row>
    <row r="396" spans="1:6" ht="52.8" x14ac:dyDescent="0.25">
      <c r="A396" s="465">
        <v>1054</v>
      </c>
      <c r="B396" s="466" t="s">
        <v>4808</v>
      </c>
      <c r="C396" s="466" t="s">
        <v>4801</v>
      </c>
      <c r="D396" s="467" t="s">
        <v>4809</v>
      </c>
      <c r="E396" s="468" t="s">
        <v>4810</v>
      </c>
      <c r="F396" s="465">
        <v>12.34</v>
      </c>
    </row>
    <row r="397" spans="1:6" x14ac:dyDescent="0.25">
      <c r="A397" s="465">
        <v>1055</v>
      </c>
      <c r="B397" s="466" t="s">
        <v>7171</v>
      </c>
      <c r="C397" s="466" t="s">
        <v>2094</v>
      </c>
      <c r="D397" s="467" t="s">
        <v>7172</v>
      </c>
      <c r="E397" s="468" t="s">
        <v>4863</v>
      </c>
      <c r="F397" s="465">
        <v>2721</v>
      </c>
    </row>
    <row r="398" spans="1:6" x14ac:dyDescent="0.25">
      <c r="A398" s="465">
        <v>1056</v>
      </c>
      <c r="B398" s="466" t="s">
        <v>6347</v>
      </c>
      <c r="C398" s="466" t="s">
        <v>2094</v>
      </c>
      <c r="D398" s="467" t="s">
        <v>6348</v>
      </c>
      <c r="E398" s="468" t="s">
        <v>4863</v>
      </c>
      <c r="F398" s="465">
        <v>159.27000000000001</v>
      </c>
    </row>
    <row r="399" spans="1:6" x14ac:dyDescent="0.25">
      <c r="A399" s="465">
        <v>1057</v>
      </c>
      <c r="B399" s="466" t="s">
        <v>6349</v>
      </c>
      <c r="C399" s="466" t="s">
        <v>2094</v>
      </c>
      <c r="D399" s="467" t="s">
        <v>6348</v>
      </c>
      <c r="E399" s="468" t="s">
        <v>4863</v>
      </c>
      <c r="F399" s="465">
        <v>168.88</v>
      </c>
    </row>
    <row r="400" spans="1:6" x14ac:dyDescent="0.25">
      <c r="A400" s="465">
        <v>1058</v>
      </c>
      <c r="B400" s="466" t="s">
        <v>6350</v>
      </c>
      <c r="C400" s="466" t="s">
        <v>2094</v>
      </c>
      <c r="D400" s="467" t="s">
        <v>6348</v>
      </c>
      <c r="E400" s="468" t="s">
        <v>4863</v>
      </c>
      <c r="F400" s="465">
        <v>167.67</v>
      </c>
    </row>
    <row r="401" spans="1:6" x14ac:dyDescent="0.25">
      <c r="A401" s="465">
        <v>1059</v>
      </c>
      <c r="B401" s="466" t="s">
        <v>6351</v>
      </c>
      <c r="C401" s="466" t="s">
        <v>2094</v>
      </c>
      <c r="D401" s="467" t="s">
        <v>6348</v>
      </c>
      <c r="E401" s="468" t="s">
        <v>4863</v>
      </c>
      <c r="F401" s="465">
        <v>219.68</v>
      </c>
    </row>
    <row r="402" spans="1:6" x14ac:dyDescent="0.25">
      <c r="A402" s="465">
        <v>1060</v>
      </c>
      <c r="B402" s="466" t="s">
        <v>6352</v>
      </c>
      <c r="C402" s="466" t="s">
        <v>2094</v>
      </c>
      <c r="D402" s="467" t="s">
        <v>6348</v>
      </c>
      <c r="E402" s="468" t="s">
        <v>4863</v>
      </c>
      <c r="F402" s="465">
        <v>252.08</v>
      </c>
    </row>
    <row r="403" spans="1:6" x14ac:dyDescent="0.25">
      <c r="A403" s="465">
        <v>1061</v>
      </c>
      <c r="B403" s="466" t="s">
        <v>6353</v>
      </c>
      <c r="C403" s="466" t="s">
        <v>2094</v>
      </c>
      <c r="D403" s="467" t="s">
        <v>6348</v>
      </c>
      <c r="E403" s="468" t="s">
        <v>4863</v>
      </c>
      <c r="F403" s="465">
        <v>259.68</v>
      </c>
    </row>
    <row r="404" spans="1:6" x14ac:dyDescent="0.25">
      <c r="A404" s="465">
        <v>1062</v>
      </c>
      <c r="B404" s="466" t="s">
        <v>7209</v>
      </c>
      <c r="C404" s="466" t="s">
        <v>2094</v>
      </c>
      <c r="D404" s="467" t="s">
        <v>7210</v>
      </c>
      <c r="E404" s="468" t="s">
        <v>4863</v>
      </c>
      <c r="F404" s="465">
        <v>934.75</v>
      </c>
    </row>
    <row r="405" spans="1:6" x14ac:dyDescent="0.25">
      <c r="A405" s="465">
        <v>1063</v>
      </c>
      <c r="B405" s="466" t="s">
        <v>7216</v>
      </c>
      <c r="C405" s="466" t="s">
        <v>2094</v>
      </c>
      <c r="D405" s="467" t="s">
        <v>7202</v>
      </c>
      <c r="E405" s="468" t="s">
        <v>5034</v>
      </c>
      <c r="F405" s="465">
        <v>1.76</v>
      </c>
    </row>
    <row r="406" spans="1:6" x14ac:dyDescent="0.25">
      <c r="A406" s="465">
        <v>1064</v>
      </c>
      <c r="B406" s="466" t="s">
        <v>7215</v>
      </c>
      <c r="C406" s="466" t="s">
        <v>2094</v>
      </c>
      <c r="D406" s="467" t="s">
        <v>7202</v>
      </c>
      <c r="E406" s="468" t="s">
        <v>5034</v>
      </c>
      <c r="F406" s="465">
        <v>0.98</v>
      </c>
    </row>
    <row r="407" spans="1:6" x14ac:dyDescent="0.25">
      <c r="A407" s="465">
        <v>1065</v>
      </c>
      <c r="B407" s="466" t="s">
        <v>7214</v>
      </c>
      <c r="C407" s="466" t="s">
        <v>2094</v>
      </c>
      <c r="D407" s="467" t="s">
        <v>7202</v>
      </c>
      <c r="E407" s="468" t="s">
        <v>5034</v>
      </c>
      <c r="F407" s="465">
        <v>0.56000000000000005</v>
      </c>
    </row>
    <row r="408" spans="1:6" x14ac:dyDescent="0.25">
      <c r="A408" s="465">
        <v>1066</v>
      </c>
      <c r="B408" s="466" t="s">
        <v>7204</v>
      </c>
      <c r="C408" s="466" t="s">
        <v>2094</v>
      </c>
      <c r="D408" s="467" t="s">
        <v>7202</v>
      </c>
      <c r="E408" s="468" t="s">
        <v>5034</v>
      </c>
      <c r="F408" s="465">
        <v>2.15</v>
      </c>
    </row>
    <row r="409" spans="1:6" x14ac:dyDescent="0.25">
      <c r="A409" s="465">
        <v>1067</v>
      </c>
      <c r="B409" s="466" t="s">
        <v>7203</v>
      </c>
      <c r="C409" s="466" t="s">
        <v>2094</v>
      </c>
      <c r="D409" s="467" t="s">
        <v>7202</v>
      </c>
      <c r="E409" s="468" t="s">
        <v>5034</v>
      </c>
      <c r="F409" s="465">
        <v>0.9</v>
      </c>
    </row>
    <row r="410" spans="1:6" x14ac:dyDescent="0.25">
      <c r="A410" s="465">
        <v>1068</v>
      </c>
      <c r="B410" s="466" t="s">
        <v>7201</v>
      </c>
      <c r="C410" s="466" t="s">
        <v>2094</v>
      </c>
      <c r="D410" s="467" t="s">
        <v>7202</v>
      </c>
      <c r="E410" s="468" t="s">
        <v>5034</v>
      </c>
      <c r="F410" s="465">
        <v>0.59</v>
      </c>
    </row>
    <row r="411" spans="1:6" x14ac:dyDescent="0.25">
      <c r="A411" s="465">
        <v>1069</v>
      </c>
      <c r="B411" s="466" t="s">
        <v>7197</v>
      </c>
      <c r="C411" s="466" t="s">
        <v>2094</v>
      </c>
      <c r="D411" s="467" t="s">
        <v>7196</v>
      </c>
      <c r="E411" s="468" t="s">
        <v>5034</v>
      </c>
      <c r="F411" s="465">
        <v>0.26</v>
      </c>
    </row>
    <row r="412" spans="1:6" x14ac:dyDescent="0.25">
      <c r="A412" s="465">
        <v>1070</v>
      </c>
      <c r="B412" s="466" t="s">
        <v>7195</v>
      </c>
      <c r="C412" s="466" t="s">
        <v>2094</v>
      </c>
      <c r="D412" s="467" t="s">
        <v>7196</v>
      </c>
      <c r="E412" s="468" t="s">
        <v>5034</v>
      </c>
      <c r="F412" s="465">
        <v>0.18</v>
      </c>
    </row>
    <row r="413" spans="1:6" x14ac:dyDescent="0.25">
      <c r="A413" s="465">
        <v>1071</v>
      </c>
      <c r="B413" s="466" t="s">
        <v>7200</v>
      </c>
      <c r="C413" s="466" t="s">
        <v>2094</v>
      </c>
      <c r="D413" s="467" t="s">
        <v>7199</v>
      </c>
      <c r="E413" s="468" t="s">
        <v>5034</v>
      </c>
      <c r="F413" s="465">
        <v>0.74</v>
      </c>
    </row>
    <row r="414" spans="1:6" x14ac:dyDescent="0.25">
      <c r="A414" s="465">
        <v>1072</v>
      </c>
      <c r="B414" s="466" t="s">
        <v>7198</v>
      </c>
      <c r="C414" s="466" t="s">
        <v>2094</v>
      </c>
      <c r="D414" s="467" t="s">
        <v>7199</v>
      </c>
      <c r="E414" s="468" t="s">
        <v>5034</v>
      </c>
      <c r="F414" s="465">
        <v>0.49</v>
      </c>
    </row>
    <row r="415" spans="1:6" x14ac:dyDescent="0.25">
      <c r="A415" s="465">
        <v>1073</v>
      </c>
      <c r="B415" s="466" t="s">
        <v>7212</v>
      </c>
      <c r="C415" s="466" t="s">
        <v>2094</v>
      </c>
      <c r="D415" s="467" t="s">
        <v>7179</v>
      </c>
      <c r="E415" s="468" t="s">
        <v>5034</v>
      </c>
      <c r="F415" s="465">
        <v>1.17</v>
      </c>
    </row>
    <row r="416" spans="1:6" x14ac:dyDescent="0.25">
      <c r="A416" s="465">
        <v>1074</v>
      </c>
      <c r="B416" s="466" t="s">
        <v>7213</v>
      </c>
      <c r="C416" s="466" t="s">
        <v>2094</v>
      </c>
      <c r="D416" s="467" t="s">
        <v>7179</v>
      </c>
      <c r="E416" s="468" t="s">
        <v>5034</v>
      </c>
      <c r="F416" s="465">
        <v>0.74</v>
      </c>
    </row>
    <row r="417" spans="1:6" x14ac:dyDescent="0.25">
      <c r="A417" s="465">
        <v>1075</v>
      </c>
      <c r="B417" s="466" t="s">
        <v>7211</v>
      </c>
      <c r="C417" s="466" t="s">
        <v>2094</v>
      </c>
      <c r="D417" s="467" t="s">
        <v>7179</v>
      </c>
      <c r="E417" s="468" t="s">
        <v>5034</v>
      </c>
      <c r="F417" s="465">
        <v>0.76</v>
      </c>
    </row>
    <row r="418" spans="1:6" x14ac:dyDescent="0.25">
      <c r="A418" s="465">
        <v>1076</v>
      </c>
      <c r="B418" s="466" t="s">
        <v>7178</v>
      </c>
      <c r="C418" s="466" t="s">
        <v>2094</v>
      </c>
      <c r="D418" s="467" t="s">
        <v>7179</v>
      </c>
      <c r="E418" s="468" t="s">
        <v>4850</v>
      </c>
      <c r="F418" s="465">
        <v>15.2</v>
      </c>
    </row>
    <row r="419" spans="1:6" x14ac:dyDescent="0.25">
      <c r="A419" s="465">
        <v>1077</v>
      </c>
      <c r="B419" s="466" t="s">
        <v>7182</v>
      </c>
      <c r="C419" s="466" t="s">
        <v>2094</v>
      </c>
      <c r="D419" s="467" t="s">
        <v>7183</v>
      </c>
      <c r="E419" s="468" t="s">
        <v>4863</v>
      </c>
      <c r="F419" s="465">
        <v>84.27</v>
      </c>
    </row>
    <row r="420" spans="1:6" x14ac:dyDescent="0.25">
      <c r="A420" s="465">
        <v>1078</v>
      </c>
      <c r="B420" s="466" t="s">
        <v>5662</v>
      </c>
      <c r="C420" s="466" t="s">
        <v>2094</v>
      </c>
      <c r="D420" s="467" t="s">
        <v>5663</v>
      </c>
      <c r="E420" s="468" t="s">
        <v>4863</v>
      </c>
      <c r="F420" s="465">
        <v>35.75</v>
      </c>
    </row>
    <row r="421" spans="1:6" ht="26.4" x14ac:dyDescent="0.25">
      <c r="A421" s="465">
        <v>1079</v>
      </c>
      <c r="B421" s="466" t="s">
        <v>6259</v>
      </c>
      <c r="C421" s="466" t="s">
        <v>2094</v>
      </c>
      <c r="D421" s="467" t="s">
        <v>6260</v>
      </c>
      <c r="E421" s="468" t="s">
        <v>4813</v>
      </c>
      <c r="F421" s="465">
        <v>23.17</v>
      </c>
    </row>
    <row r="422" spans="1:6" ht="26.4" x14ac:dyDescent="0.25">
      <c r="A422" s="465">
        <v>1080</v>
      </c>
      <c r="B422" s="466" t="s">
        <v>6333</v>
      </c>
      <c r="C422" s="466" t="s">
        <v>2094</v>
      </c>
      <c r="D422" s="467" t="s">
        <v>6334</v>
      </c>
      <c r="E422" s="468" t="s">
        <v>4863</v>
      </c>
      <c r="F422" s="465">
        <v>212.1</v>
      </c>
    </row>
    <row r="423" spans="1:6" ht="26.4" x14ac:dyDescent="0.25">
      <c r="A423" s="465">
        <v>1081</v>
      </c>
      <c r="B423" s="466" t="s">
        <v>6335</v>
      </c>
      <c r="C423" s="466" t="s">
        <v>2094</v>
      </c>
      <c r="D423" s="467" t="s">
        <v>6336</v>
      </c>
      <c r="E423" s="468" t="s">
        <v>4863</v>
      </c>
      <c r="F423" s="465">
        <v>129.87</v>
      </c>
    </row>
    <row r="424" spans="1:6" x14ac:dyDescent="0.25">
      <c r="A424" s="465">
        <v>1082</v>
      </c>
      <c r="B424" s="466" t="s">
        <v>6345</v>
      </c>
      <c r="C424" s="466" t="s">
        <v>2094</v>
      </c>
      <c r="D424" s="467" t="s">
        <v>6346</v>
      </c>
      <c r="E424" s="468" t="s">
        <v>4863</v>
      </c>
      <c r="F424" s="465">
        <v>205.5</v>
      </c>
    </row>
    <row r="425" spans="1:6" x14ac:dyDescent="0.25">
      <c r="A425" s="465">
        <v>1083</v>
      </c>
      <c r="B425" s="466" t="s">
        <v>6343</v>
      </c>
      <c r="C425" s="466" t="s">
        <v>2094</v>
      </c>
      <c r="D425" s="467" t="s">
        <v>6344</v>
      </c>
      <c r="E425" s="468" t="s">
        <v>4863</v>
      </c>
      <c r="F425" s="465">
        <v>272</v>
      </c>
    </row>
    <row r="426" spans="1:6" x14ac:dyDescent="0.25">
      <c r="A426" s="465">
        <v>1084</v>
      </c>
      <c r="B426" s="466" t="s">
        <v>6337</v>
      </c>
      <c r="C426" s="466" t="s">
        <v>2094</v>
      </c>
      <c r="D426" s="467" t="s">
        <v>6338</v>
      </c>
      <c r="E426" s="468" t="s">
        <v>4863</v>
      </c>
      <c r="F426" s="465">
        <v>341.9</v>
      </c>
    </row>
    <row r="427" spans="1:6" x14ac:dyDescent="0.25">
      <c r="A427" s="465">
        <v>1085</v>
      </c>
      <c r="B427" s="466" t="s">
        <v>6339</v>
      </c>
      <c r="C427" s="466" t="s">
        <v>2094</v>
      </c>
      <c r="D427" s="467" t="s">
        <v>6340</v>
      </c>
      <c r="E427" s="468" t="s">
        <v>4863</v>
      </c>
      <c r="F427" s="465">
        <v>387.15</v>
      </c>
    </row>
    <row r="428" spans="1:6" x14ac:dyDescent="0.25">
      <c r="A428" s="465">
        <v>1086</v>
      </c>
      <c r="B428" s="466" t="s">
        <v>6341</v>
      </c>
      <c r="C428" s="466" t="s">
        <v>2094</v>
      </c>
      <c r="D428" s="467" t="s">
        <v>6342</v>
      </c>
      <c r="E428" s="468" t="s">
        <v>4863</v>
      </c>
      <c r="F428" s="465">
        <v>418.25</v>
      </c>
    </row>
    <row r="429" spans="1:6" ht="26.4" x14ac:dyDescent="0.25">
      <c r="A429" s="465">
        <v>1087</v>
      </c>
      <c r="B429" s="466" t="s">
        <v>4964</v>
      </c>
      <c r="C429" s="466" t="s">
        <v>4801</v>
      </c>
      <c r="D429" s="467" t="s">
        <v>4965</v>
      </c>
      <c r="E429" s="468" t="s">
        <v>4813</v>
      </c>
      <c r="F429" s="465">
        <v>0.18</v>
      </c>
    </row>
    <row r="430" spans="1:6" x14ac:dyDescent="0.25">
      <c r="A430" s="465">
        <v>1088</v>
      </c>
      <c r="B430" s="466" t="s">
        <v>4966</v>
      </c>
      <c r="C430" s="466" t="s">
        <v>4801</v>
      </c>
      <c r="D430" s="467" t="s">
        <v>4967</v>
      </c>
      <c r="E430" s="468" t="s">
        <v>4813</v>
      </c>
      <c r="F430" s="465">
        <v>0.24</v>
      </c>
    </row>
    <row r="431" spans="1:6" x14ac:dyDescent="0.25">
      <c r="A431" s="465">
        <v>1089</v>
      </c>
      <c r="B431" s="466" t="s">
        <v>7448</v>
      </c>
      <c r="C431" s="466" t="s">
        <v>2094</v>
      </c>
      <c r="D431" s="467" t="s">
        <v>5972</v>
      </c>
      <c r="E431" s="468" t="s">
        <v>5360</v>
      </c>
      <c r="F431" s="465">
        <v>7.79</v>
      </c>
    </row>
    <row r="432" spans="1:6" x14ac:dyDescent="0.25">
      <c r="A432" s="465">
        <v>1090</v>
      </c>
      <c r="B432" s="466" t="s">
        <v>5958</v>
      </c>
      <c r="C432" s="466" t="s">
        <v>2094</v>
      </c>
      <c r="D432" s="467" t="s">
        <v>5959</v>
      </c>
      <c r="E432" s="468" t="s">
        <v>5360</v>
      </c>
      <c r="F432" s="465">
        <v>4.07</v>
      </c>
    </row>
    <row r="433" spans="1:6" x14ac:dyDescent="0.25">
      <c r="A433" s="465">
        <v>1091</v>
      </c>
      <c r="B433" s="466" t="s">
        <v>5968</v>
      </c>
      <c r="C433" s="466" t="s">
        <v>2094</v>
      </c>
      <c r="D433" s="467" t="s">
        <v>5959</v>
      </c>
      <c r="E433" s="468" t="s">
        <v>5360</v>
      </c>
      <c r="F433" s="465">
        <v>3.92</v>
      </c>
    </row>
    <row r="434" spans="1:6" x14ac:dyDescent="0.25">
      <c r="A434" s="465">
        <v>1092</v>
      </c>
      <c r="B434" s="466" t="s">
        <v>5969</v>
      </c>
      <c r="C434" s="466" t="s">
        <v>2094</v>
      </c>
      <c r="D434" s="467" t="s">
        <v>5959</v>
      </c>
      <c r="E434" s="468" t="s">
        <v>5970</v>
      </c>
      <c r="F434" s="465">
        <v>3.56</v>
      </c>
    </row>
    <row r="435" spans="1:6" x14ac:dyDescent="0.25">
      <c r="A435" s="465">
        <v>1093</v>
      </c>
      <c r="B435" s="466" t="s">
        <v>6610</v>
      </c>
      <c r="C435" s="466" t="s">
        <v>2094</v>
      </c>
      <c r="D435" s="467" t="s">
        <v>5959</v>
      </c>
      <c r="E435" s="468" t="s">
        <v>5360</v>
      </c>
      <c r="F435" s="465">
        <v>3.32</v>
      </c>
    </row>
    <row r="436" spans="1:6" x14ac:dyDescent="0.25">
      <c r="A436" s="465">
        <v>1094</v>
      </c>
      <c r="B436" s="466" t="s">
        <v>6138</v>
      </c>
      <c r="C436" s="466" t="s">
        <v>2094</v>
      </c>
      <c r="D436" s="467" t="s">
        <v>6139</v>
      </c>
      <c r="E436" s="468" t="s">
        <v>5360</v>
      </c>
      <c r="F436" s="465">
        <v>2.4500000000000002</v>
      </c>
    </row>
    <row r="437" spans="1:6" ht="66" x14ac:dyDescent="0.25">
      <c r="A437" s="465">
        <v>1095</v>
      </c>
      <c r="B437" s="466" t="s">
        <v>6486</v>
      </c>
      <c r="C437" s="466" t="s">
        <v>2094</v>
      </c>
      <c r="D437" s="467" t="s">
        <v>6487</v>
      </c>
      <c r="E437" s="468" t="s">
        <v>2376</v>
      </c>
      <c r="F437" s="465">
        <v>1.0900000000000001</v>
      </c>
    </row>
    <row r="438" spans="1:6" ht="26.4" x14ac:dyDescent="0.25">
      <c r="A438" s="465">
        <v>1096</v>
      </c>
      <c r="B438" s="466" t="s">
        <v>5192</v>
      </c>
      <c r="C438" s="466" t="s">
        <v>4801</v>
      </c>
      <c r="D438" s="467" t="s">
        <v>5193</v>
      </c>
      <c r="E438" s="468" t="s">
        <v>4813</v>
      </c>
      <c r="F438" s="465">
        <v>1.05</v>
      </c>
    </row>
    <row r="439" spans="1:6" ht="26.4" x14ac:dyDescent="0.25">
      <c r="A439" s="465">
        <v>1097</v>
      </c>
      <c r="B439" s="466" t="s">
        <v>5194</v>
      </c>
      <c r="C439" s="466" t="s">
        <v>4801</v>
      </c>
      <c r="D439" s="467" t="s">
        <v>5195</v>
      </c>
      <c r="E439" s="468" t="s">
        <v>4813</v>
      </c>
      <c r="F439" s="465">
        <v>24.17</v>
      </c>
    </row>
    <row r="440" spans="1:6" x14ac:dyDescent="0.25">
      <c r="A440" s="465">
        <v>1098</v>
      </c>
      <c r="B440" s="466" t="s">
        <v>4841</v>
      </c>
      <c r="C440" s="466" t="s">
        <v>4801</v>
      </c>
      <c r="D440" s="467" t="s">
        <v>4842</v>
      </c>
      <c r="E440" s="468" t="s">
        <v>4843</v>
      </c>
      <c r="F440" s="465">
        <v>16.989999999999998</v>
      </c>
    </row>
    <row r="441" spans="1:6" x14ac:dyDescent="0.25">
      <c r="A441" s="465">
        <v>1099</v>
      </c>
      <c r="B441" s="466" t="s">
        <v>5918</v>
      </c>
      <c r="C441" s="466" t="s">
        <v>2094</v>
      </c>
      <c r="D441" s="467" t="s">
        <v>4842</v>
      </c>
      <c r="E441" s="468" t="s">
        <v>4843</v>
      </c>
      <c r="F441" s="465">
        <v>16.87</v>
      </c>
    </row>
    <row r="442" spans="1:6" x14ac:dyDescent="0.25">
      <c r="A442" s="465">
        <v>1100</v>
      </c>
      <c r="B442" s="466" t="s">
        <v>4901</v>
      </c>
      <c r="C442" s="466" t="s">
        <v>4801</v>
      </c>
      <c r="D442" s="467" t="s">
        <v>4845</v>
      </c>
      <c r="E442" s="468" t="s">
        <v>2376</v>
      </c>
      <c r="F442" s="465">
        <v>7.67</v>
      </c>
    </row>
    <row r="443" spans="1:6" x14ac:dyDescent="0.25">
      <c r="A443" s="465">
        <v>1101</v>
      </c>
      <c r="B443" s="466" t="s">
        <v>4994</v>
      </c>
      <c r="C443" s="466" t="s">
        <v>4801</v>
      </c>
      <c r="D443" s="467" t="s">
        <v>4995</v>
      </c>
      <c r="E443" s="468" t="s">
        <v>2376</v>
      </c>
      <c r="F443" s="465">
        <v>93.03</v>
      </c>
    </row>
    <row r="444" spans="1:6" x14ac:dyDescent="0.25">
      <c r="A444" s="465">
        <v>1102</v>
      </c>
      <c r="B444" s="466" t="s">
        <v>5581</v>
      </c>
      <c r="C444" s="466" t="s">
        <v>2094</v>
      </c>
      <c r="D444" s="467" t="s">
        <v>5582</v>
      </c>
      <c r="E444" s="468" t="s">
        <v>4813</v>
      </c>
      <c r="F444" s="465">
        <v>1.95</v>
      </c>
    </row>
    <row r="445" spans="1:6" x14ac:dyDescent="0.25">
      <c r="A445" s="465">
        <v>1103</v>
      </c>
      <c r="B445" s="466" t="s">
        <v>5577</v>
      </c>
      <c r="C445" s="466" t="s">
        <v>2094</v>
      </c>
      <c r="D445" s="467" t="s">
        <v>5578</v>
      </c>
      <c r="E445" s="468" t="s">
        <v>4813</v>
      </c>
      <c r="F445" s="465">
        <v>2.12</v>
      </c>
    </row>
    <row r="446" spans="1:6" x14ac:dyDescent="0.25">
      <c r="A446" s="465">
        <v>1104</v>
      </c>
      <c r="B446" s="466" t="s">
        <v>5579</v>
      </c>
      <c r="C446" s="466" t="s">
        <v>2094</v>
      </c>
      <c r="D446" s="467" t="s">
        <v>5580</v>
      </c>
      <c r="E446" s="468" t="s">
        <v>4813</v>
      </c>
      <c r="F446" s="465">
        <v>3.17</v>
      </c>
    </row>
    <row r="447" spans="1:6" x14ac:dyDescent="0.25">
      <c r="A447" s="465">
        <v>1105</v>
      </c>
      <c r="B447" s="466" t="s">
        <v>5599</v>
      </c>
      <c r="C447" s="466" t="s">
        <v>2094</v>
      </c>
      <c r="D447" s="467" t="s">
        <v>5600</v>
      </c>
      <c r="E447" s="468" t="s">
        <v>4813</v>
      </c>
      <c r="F447" s="465">
        <v>4.26</v>
      </c>
    </row>
    <row r="448" spans="1:6" ht="26.4" x14ac:dyDescent="0.25">
      <c r="A448" s="465">
        <v>1106</v>
      </c>
      <c r="B448" s="466" t="s">
        <v>7381</v>
      </c>
      <c r="C448" s="466" t="s">
        <v>2094</v>
      </c>
      <c r="D448" s="467" t="s">
        <v>7382</v>
      </c>
      <c r="E448" s="468" t="s">
        <v>4863</v>
      </c>
      <c r="F448" s="465">
        <v>165.56</v>
      </c>
    </row>
    <row r="449" spans="1:6" x14ac:dyDescent="0.25">
      <c r="A449" s="465">
        <v>1114</v>
      </c>
      <c r="B449" s="466" t="s">
        <v>6927</v>
      </c>
      <c r="C449" s="466" t="s">
        <v>2094</v>
      </c>
      <c r="D449" s="467" t="s">
        <v>6928</v>
      </c>
      <c r="E449" s="468" t="s">
        <v>4863</v>
      </c>
      <c r="F449" s="465">
        <v>515</v>
      </c>
    </row>
    <row r="450" spans="1:6" ht="26.4" x14ac:dyDescent="0.25">
      <c r="A450" s="465">
        <v>1115</v>
      </c>
      <c r="B450" s="466" t="s">
        <v>6899</v>
      </c>
      <c r="C450" s="466" t="s">
        <v>2094</v>
      </c>
      <c r="D450" s="467" t="s">
        <v>6900</v>
      </c>
      <c r="E450" s="468" t="s">
        <v>4863</v>
      </c>
      <c r="F450" s="465">
        <v>529</v>
      </c>
    </row>
    <row r="451" spans="1:6" ht="26.4" x14ac:dyDescent="0.25">
      <c r="A451" s="465">
        <v>1116</v>
      </c>
      <c r="B451" s="466" t="s">
        <v>6901</v>
      </c>
      <c r="C451" s="466" t="s">
        <v>2094</v>
      </c>
      <c r="D451" s="467" t="s">
        <v>6902</v>
      </c>
      <c r="E451" s="468" t="s">
        <v>4863</v>
      </c>
      <c r="F451" s="465">
        <v>3100</v>
      </c>
    </row>
    <row r="452" spans="1:6" x14ac:dyDescent="0.25">
      <c r="A452" s="465">
        <v>1117</v>
      </c>
      <c r="B452" s="466" t="s">
        <v>5964</v>
      </c>
      <c r="C452" s="466" t="s">
        <v>2094</v>
      </c>
      <c r="D452" s="467" t="s">
        <v>5965</v>
      </c>
      <c r="E452" s="468" t="s">
        <v>4863</v>
      </c>
      <c r="F452" s="465">
        <v>180</v>
      </c>
    </row>
    <row r="453" spans="1:6" ht="26.4" x14ac:dyDescent="0.25">
      <c r="A453" s="465">
        <v>1118</v>
      </c>
      <c r="B453" s="466" t="s">
        <v>6931</v>
      </c>
      <c r="C453" s="466" t="s">
        <v>2094</v>
      </c>
      <c r="D453" s="467" t="s">
        <v>6932</v>
      </c>
      <c r="E453" s="468" t="s">
        <v>4863</v>
      </c>
      <c r="F453" s="465">
        <v>6219</v>
      </c>
    </row>
    <row r="454" spans="1:6" ht="26.4" x14ac:dyDescent="0.25">
      <c r="A454" s="465">
        <v>1119</v>
      </c>
      <c r="B454" s="466" t="s">
        <v>6915</v>
      </c>
      <c r="C454" s="466" t="s">
        <v>2094</v>
      </c>
      <c r="D454" s="467" t="s">
        <v>6916</v>
      </c>
      <c r="E454" s="468" t="s">
        <v>4863</v>
      </c>
      <c r="F454" s="465">
        <v>5435</v>
      </c>
    </row>
    <row r="455" spans="1:6" ht="26.4" x14ac:dyDescent="0.25">
      <c r="A455" s="465">
        <v>1120</v>
      </c>
      <c r="B455" s="466" t="s">
        <v>5731</v>
      </c>
      <c r="C455" s="466" t="s">
        <v>2094</v>
      </c>
      <c r="D455" s="467" t="s">
        <v>5732</v>
      </c>
      <c r="E455" s="468" t="s">
        <v>4813</v>
      </c>
      <c r="F455" s="465">
        <v>3.29</v>
      </c>
    </row>
    <row r="456" spans="1:6" ht="26.4" x14ac:dyDescent="0.25">
      <c r="A456" s="465">
        <v>1121</v>
      </c>
      <c r="B456" s="466" t="s">
        <v>6524</v>
      </c>
      <c r="C456" s="466" t="s">
        <v>2094</v>
      </c>
      <c r="D456" s="467" t="s">
        <v>6525</v>
      </c>
      <c r="E456" s="468" t="s">
        <v>2376</v>
      </c>
      <c r="F456" s="465">
        <v>1275.42</v>
      </c>
    </row>
    <row r="457" spans="1:6" ht="26.4" x14ac:dyDescent="0.25">
      <c r="A457" s="465">
        <v>1122</v>
      </c>
      <c r="B457" s="466" t="s">
        <v>6522</v>
      </c>
      <c r="C457" s="466" t="s">
        <v>2094</v>
      </c>
      <c r="D457" s="467" t="s">
        <v>6523</v>
      </c>
      <c r="E457" s="468" t="s">
        <v>2376</v>
      </c>
      <c r="F457" s="465">
        <v>2965.14</v>
      </c>
    </row>
    <row r="458" spans="1:6" x14ac:dyDescent="0.25">
      <c r="A458" s="465">
        <v>1124</v>
      </c>
      <c r="B458" s="466" t="s">
        <v>6609</v>
      </c>
      <c r="C458" s="466" t="s">
        <v>2094</v>
      </c>
      <c r="D458" s="467" t="s">
        <v>6609</v>
      </c>
      <c r="E458" s="468" t="s">
        <v>2376</v>
      </c>
      <c r="F458" s="465">
        <v>159.80000000000001</v>
      </c>
    </row>
    <row r="459" spans="1:6" ht="26.4" x14ac:dyDescent="0.25">
      <c r="A459" s="465">
        <v>1125</v>
      </c>
      <c r="B459" s="466" t="s">
        <v>4880</v>
      </c>
      <c r="C459" s="466" t="s">
        <v>4801</v>
      </c>
      <c r="D459" s="467" t="s">
        <v>4881</v>
      </c>
      <c r="E459" s="468" t="s">
        <v>2376</v>
      </c>
      <c r="F459" s="465">
        <v>11.2</v>
      </c>
    </row>
    <row r="460" spans="1:6" x14ac:dyDescent="0.25">
      <c r="A460" s="465">
        <v>1126</v>
      </c>
      <c r="B460" s="466" t="s">
        <v>5929</v>
      </c>
      <c r="C460" s="466" t="s">
        <v>2094</v>
      </c>
      <c r="D460" s="467" t="s">
        <v>5930</v>
      </c>
      <c r="E460" s="468" t="s">
        <v>4843</v>
      </c>
      <c r="F460" s="465">
        <v>15.8</v>
      </c>
    </row>
    <row r="461" spans="1:6" x14ac:dyDescent="0.25">
      <c r="A461" s="465">
        <v>1127</v>
      </c>
      <c r="B461" s="466" t="s">
        <v>6751</v>
      </c>
      <c r="C461" s="466" t="s">
        <v>2094</v>
      </c>
      <c r="D461" s="467" t="s">
        <v>6752</v>
      </c>
      <c r="E461" s="468" t="s">
        <v>4863</v>
      </c>
      <c r="F461" s="465">
        <v>35.9</v>
      </c>
    </row>
    <row r="462" spans="1:6" ht="26.4" x14ac:dyDescent="0.25">
      <c r="A462" s="465">
        <v>1128</v>
      </c>
      <c r="B462" s="466" t="s">
        <v>6753</v>
      </c>
      <c r="C462" s="466" t="s">
        <v>2094</v>
      </c>
      <c r="D462" s="467" t="s">
        <v>6754</v>
      </c>
      <c r="E462" s="468" t="s">
        <v>4863</v>
      </c>
      <c r="F462" s="465">
        <v>70.900000000000006</v>
      </c>
    </row>
    <row r="463" spans="1:6" ht="26.4" x14ac:dyDescent="0.25">
      <c r="A463" s="465">
        <v>1129</v>
      </c>
      <c r="B463" s="466" t="s">
        <v>5962</v>
      </c>
      <c r="C463" s="466" t="s">
        <v>2094</v>
      </c>
      <c r="D463" s="467" t="s">
        <v>5963</v>
      </c>
      <c r="E463" s="468" t="s">
        <v>4850</v>
      </c>
      <c r="F463" s="465">
        <v>65.91</v>
      </c>
    </row>
    <row r="464" spans="1:6" ht="26.4" x14ac:dyDescent="0.25">
      <c r="A464" s="465">
        <v>1130</v>
      </c>
      <c r="B464" s="466" t="s">
        <v>5942</v>
      </c>
      <c r="C464" s="466" t="s">
        <v>2094</v>
      </c>
      <c r="D464" s="467" t="s">
        <v>5943</v>
      </c>
      <c r="E464" s="468" t="s">
        <v>5944</v>
      </c>
      <c r="F464" s="465">
        <v>1</v>
      </c>
    </row>
    <row r="465" spans="1:6" x14ac:dyDescent="0.25">
      <c r="A465" s="465">
        <v>1131</v>
      </c>
      <c r="B465" s="466" t="s">
        <v>4814</v>
      </c>
      <c r="C465" s="466" t="s">
        <v>4801</v>
      </c>
      <c r="D465" s="467" t="s">
        <v>4812</v>
      </c>
      <c r="E465" s="468" t="s">
        <v>4813</v>
      </c>
      <c r="F465" s="465">
        <v>43.1</v>
      </c>
    </row>
    <row r="466" spans="1:6" x14ac:dyDescent="0.25">
      <c r="A466" s="465">
        <v>1132</v>
      </c>
      <c r="B466" s="466" t="s">
        <v>4811</v>
      </c>
      <c r="C466" s="466" t="s">
        <v>4801</v>
      </c>
      <c r="D466" s="467" t="s">
        <v>4812</v>
      </c>
      <c r="E466" s="468" t="s">
        <v>4813</v>
      </c>
      <c r="F466" s="465">
        <v>50.62</v>
      </c>
    </row>
    <row r="467" spans="1:6" ht="26.4" x14ac:dyDescent="0.25">
      <c r="A467" s="465">
        <v>1133</v>
      </c>
      <c r="B467" s="466" t="s">
        <v>6935</v>
      </c>
      <c r="C467" s="466" t="s">
        <v>2094</v>
      </c>
      <c r="D467" s="467" t="s">
        <v>6936</v>
      </c>
      <c r="E467" s="468" t="s">
        <v>4863</v>
      </c>
      <c r="F467" s="465">
        <v>14500</v>
      </c>
    </row>
    <row r="468" spans="1:6" ht="52.8" x14ac:dyDescent="0.25">
      <c r="A468" s="465">
        <v>1134</v>
      </c>
      <c r="B468" s="466" t="s">
        <v>6933</v>
      </c>
      <c r="C468" s="466" t="s">
        <v>2094</v>
      </c>
      <c r="D468" s="467" t="s">
        <v>6934</v>
      </c>
      <c r="E468" s="468" t="s">
        <v>4863</v>
      </c>
      <c r="F468" s="465">
        <v>9248</v>
      </c>
    </row>
    <row r="469" spans="1:6" ht="66" x14ac:dyDescent="0.25">
      <c r="A469" s="465">
        <v>1135</v>
      </c>
      <c r="B469" s="466" t="s">
        <v>7117</v>
      </c>
      <c r="C469" s="466" t="s">
        <v>2094</v>
      </c>
      <c r="D469" s="467" t="s">
        <v>7118</v>
      </c>
      <c r="E469" s="468" t="s">
        <v>7119</v>
      </c>
      <c r="F469" s="465">
        <v>3337.7</v>
      </c>
    </row>
    <row r="470" spans="1:6" ht="52.8" x14ac:dyDescent="0.25">
      <c r="A470" s="465">
        <v>1137</v>
      </c>
      <c r="B470" s="466" t="s">
        <v>7494</v>
      </c>
      <c r="C470" s="466" t="s">
        <v>424</v>
      </c>
      <c r="D470" s="467" t="s">
        <v>7495</v>
      </c>
      <c r="E470" s="468" t="s">
        <v>4863</v>
      </c>
      <c r="F470" s="465">
        <v>55.02</v>
      </c>
    </row>
    <row r="471" spans="1:6" ht="39.6" x14ac:dyDescent="0.25">
      <c r="A471" s="465">
        <v>1138</v>
      </c>
      <c r="B471" s="466" t="s">
        <v>7488</v>
      </c>
      <c r="C471" s="466" t="s">
        <v>424</v>
      </c>
      <c r="D471" s="467" t="s">
        <v>7489</v>
      </c>
      <c r="E471" s="468" t="s">
        <v>4863</v>
      </c>
      <c r="F471" s="465">
        <v>135.61000000000001</v>
      </c>
    </row>
    <row r="472" spans="1:6" ht="26.4" x14ac:dyDescent="0.25">
      <c r="A472" s="465">
        <v>1139</v>
      </c>
      <c r="B472" s="466" t="s">
        <v>7484</v>
      </c>
      <c r="C472" s="466" t="s">
        <v>424</v>
      </c>
      <c r="D472" s="467" t="s">
        <v>7485</v>
      </c>
      <c r="E472" s="468" t="s">
        <v>4863</v>
      </c>
      <c r="F472" s="465">
        <v>198.7</v>
      </c>
    </row>
    <row r="473" spans="1:6" ht="39.6" x14ac:dyDescent="0.25">
      <c r="A473" s="465">
        <v>1140</v>
      </c>
      <c r="B473" s="466" t="s">
        <v>7477</v>
      </c>
      <c r="C473" s="466" t="s">
        <v>424</v>
      </c>
      <c r="D473" s="467" t="s">
        <v>7478</v>
      </c>
      <c r="E473" s="468" t="s">
        <v>4863</v>
      </c>
      <c r="F473" s="465">
        <v>371.64</v>
      </c>
    </row>
    <row r="474" spans="1:6" ht="52.8" x14ac:dyDescent="0.25">
      <c r="A474" s="465">
        <v>1141</v>
      </c>
      <c r="B474" s="466" t="s">
        <v>7486</v>
      </c>
      <c r="C474" s="466" t="s">
        <v>424</v>
      </c>
      <c r="D474" s="467" t="s">
        <v>7487</v>
      </c>
      <c r="E474" s="468" t="s">
        <v>4803</v>
      </c>
      <c r="F474" s="465">
        <v>28.21</v>
      </c>
    </row>
    <row r="475" spans="1:6" ht="26.4" x14ac:dyDescent="0.25">
      <c r="A475" s="465">
        <v>1142</v>
      </c>
      <c r="B475" s="466" t="s">
        <v>7473</v>
      </c>
      <c r="C475" s="466" t="s">
        <v>424</v>
      </c>
      <c r="D475" s="467" t="s">
        <v>7474</v>
      </c>
      <c r="E475" s="468" t="s">
        <v>4803</v>
      </c>
      <c r="F475" s="465">
        <v>20.76</v>
      </c>
    </row>
    <row r="476" spans="1:6" ht="52.8" x14ac:dyDescent="0.25">
      <c r="A476" s="465">
        <v>1143</v>
      </c>
      <c r="B476" s="466" t="s">
        <v>7479</v>
      </c>
      <c r="C476" s="466" t="s">
        <v>424</v>
      </c>
      <c r="D476" s="467" t="s">
        <v>7480</v>
      </c>
      <c r="E476" s="468" t="s">
        <v>4803</v>
      </c>
      <c r="F476" s="465">
        <v>21.55</v>
      </c>
    </row>
    <row r="477" spans="1:6" ht="52.8" x14ac:dyDescent="0.25">
      <c r="A477" s="465">
        <v>1144</v>
      </c>
      <c r="B477" s="466" t="s">
        <v>7475</v>
      </c>
      <c r="C477" s="466" t="s">
        <v>424</v>
      </c>
      <c r="D477" s="467" t="s">
        <v>7476</v>
      </c>
      <c r="E477" s="468" t="s">
        <v>4803</v>
      </c>
      <c r="F477" s="465">
        <v>27.72</v>
      </c>
    </row>
    <row r="478" spans="1:6" ht="39.6" x14ac:dyDescent="0.25">
      <c r="A478" s="465">
        <v>1145</v>
      </c>
      <c r="B478" s="466" t="s">
        <v>7492</v>
      </c>
      <c r="C478" s="466" t="s">
        <v>424</v>
      </c>
      <c r="D478" s="467" t="s">
        <v>7493</v>
      </c>
      <c r="E478" s="468" t="s">
        <v>4803</v>
      </c>
      <c r="F478" s="465">
        <v>41.23</v>
      </c>
    </row>
    <row r="479" spans="1:6" ht="26.4" x14ac:dyDescent="0.25">
      <c r="A479" s="465">
        <v>1146</v>
      </c>
      <c r="B479" s="466" t="s">
        <v>7490</v>
      </c>
      <c r="C479" s="466" t="s">
        <v>424</v>
      </c>
      <c r="D479" s="467" t="s">
        <v>7491</v>
      </c>
      <c r="E479" s="468" t="s">
        <v>4803</v>
      </c>
      <c r="F479" s="465">
        <v>76.36</v>
      </c>
    </row>
    <row r="480" spans="1:6" ht="66" x14ac:dyDescent="0.25">
      <c r="A480" s="465">
        <v>1147</v>
      </c>
      <c r="B480" s="466" t="s">
        <v>7278</v>
      </c>
      <c r="C480" s="466" t="s">
        <v>2094</v>
      </c>
      <c r="D480" s="467" t="s">
        <v>7279</v>
      </c>
      <c r="E480" s="468" t="s">
        <v>4850</v>
      </c>
      <c r="F480" s="465">
        <v>3</v>
      </c>
    </row>
    <row r="481" spans="1:6" ht="66" x14ac:dyDescent="0.25">
      <c r="A481" s="465">
        <v>1148</v>
      </c>
      <c r="B481" s="466" t="s">
        <v>7274</v>
      </c>
      <c r="C481" s="466" t="s">
        <v>2094</v>
      </c>
      <c r="D481" s="467" t="s">
        <v>7275</v>
      </c>
      <c r="E481" s="468" t="s">
        <v>4850</v>
      </c>
      <c r="F481" s="465">
        <v>2</v>
      </c>
    </row>
    <row r="482" spans="1:6" ht="66" x14ac:dyDescent="0.25">
      <c r="A482" s="465">
        <v>1149</v>
      </c>
      <c r="B482" s="466" t="s">
        <v>7276</v>
      </c>
      <c r="C482" s="466" t="s">
        <v>2094</v>
      </c>
      <c r="D482" s="467" t="s">
        <v>7277</v>
      </c>
      <c r="E482" s="468" t="s">
        <v>4850</v>
      </c>
      <c r="F482" s="465">
        <v>1.25</v>
      </c>
    </row>
    <row r="483" spans="1:6" ht="52.8" x14ac:dyDescent="0.25">
      <c r="A483" s="465">
        <v>1150</v>
      </c>
      <c r="B483" s="466" t="s">
        <v>7044</v>
      </c>
      <c r="C483" s="466" t="s">
        <v>2094</v>
      </c>
      <c r="D483" s="467" t="s">
        <v>7045</v>
      </c>
      <c r="E483" s="468" t="s">
        <v>4813</v>
      </c>
      <c r="F483" s="465">
        <v>1.07</v>
      </c>
    </row>
    <row r="484" spans="1:6" ht="26.4" x14ac:dyDescent="0.25">
      <c r="A484" s="465">
        <v>1154</v>
      </c>
      <c r="B484" s="466" t="s">
        <v>6661</v>
      </c>
      <c r="C484" s="466" t="s">
        <v>2094</v>
      </c>
      <c r="D484" s="467" t="s">
        <v>6662</v>
      </c>
      <c r="E484" s="468" t="s">
        <v>5668</v>
      </c>
      <c r="F484" s="465">
        <v>286.89999999999998</v>
      </c>
    </row>
    <row r="485" spans="1:6" ht="26.4" x14ac:dyDescent="0.25">
      <c r="A485" s="465">
        <v>1155</v>
      </c>
      <c r="B485" s="466" t="s">
        <v>6667</v>
      </c>
      <c r="C485" s="466" t="s">
        <v>2094</v>
      </c>
      <c r="D485" s="467" t="s">
        <v>6668</v>
      </c>
      <c r="E485" s="468" t="s">
        <v>5668</v>
      </c>
      <c r="F485" s="465">
        <v>174.8</v>
      </c>
    </row>
    <row r="486" spans="1:6" ht="26.4" x14ac:dyDescent="0.25">
      <c r="A486" s="465">
        <v>1156</v>
      </c>
      <c r="B486" s="466" t="s">
        <v>6663</v>
      </c>
      <c r="C486" s="466" t="s">
        <v>2094</v>
      </c>
      <c r="D486" s="467" t="s">
        <v>6664</v>
      </c>
      <c r="E486" s="468" t="s">
        <v>5668</v>
      </c>
      <c r="F486" s="465">
        <v>115</v>
      </c>
    </row>
    <row r="487" spans="1:6" ht="26.4" x14ac:dyDescent="0.25">
      <c r="A487" s="465">
        <v>1157</v>
      </c>
      <c r="B487" s="466" t="s">
        <v>6665</v>
      </c>
      <c r="C487" s="466" t="s">
        <v>2094</v>
      </c>
      <c r="D487" s="467" t="s">
        <v>6666</v>
      </c>
      <c r="E487" s="468" t="s">
        <v>5668</v>
      </c>
      <c r="F487" s="465">
        <v>114.5</v>
      </c>
    </row>
    <row r="488" spans="1:6" ht="26.4" x14ac:dyDescent="0.25">
      <c r="A488" s="465">
        <v>1158</v>
      </c>
      <c r="B488" s="466" t="s">
        <v>6372</v>
      </c>
      <c r="C488" s="466" t="s">
        <v>2094</v>
      </c>
      <c r="D488" s="467" t="s">
        <v>6373</v>
      </c>
      <c r="E488" s="468" t="s">
        <v>6371</v>
      </c>
      <c r="F488" s="465">
        <v>95.5</v>
      </c>
    </row>
    <row r="489" spans="1:6" ht="26.4" x14ac:dyDescent="0.25">
      <c r="A489" s="465">
        <v>1159</v>
      </c>
      <c r="B489" s="466" t="s">
        <v>6374</v>
      </c>
      <c r="C489" s="466" t="s">
        <v>2094</v>
      </c>
      <c r="D489" s="467" t="s">
        <v>6375</v>
      </c>
      <c r="E489" s="468" t="s">
        <v>6371</v>
      </c>
      <c r="F489" s="465">
        <v>83.5</v>
      </c>
    </row>
    <row r="490" spans="1:6" ht="26.4" x14ac:dyDescent="0.25">
      <c r="A490" s="465">
        <v>1160</v>
      </c>
      <c r="B490" s="466" t="s">
        <v>6376</v>
      </c>
      <c r="C490" s="466" t="s">
        <v>2094</v>
      </c>
      <c r="D490" s="467" t="s">
        <v>6377</v>
      </c>
      <c r="E490" s="468" t="s">
        <v>6371</v>
      </c>
      <c r="F490" s="465">
        <v>89</v>
      </c>
    </row>
    <row r="491" spans="1:6" ht="26.4" x14ac:dyDescent="0.25">
      <c r="A491" s="465">
        <v>1161</v>
      </c>
      <c r="B491" s="466" t="s">
        <v>6378</v>
      </c>
      <c r="C491" s="466" t="s">
        <v>2094</v>
      </c>
      <c r="D491" s="467" t="s">
        <v>6379</v>
      </c>
      <c r="E491" s="468" t="s">
        <v>6371</v>
      </c>
      <c r="F491" s="465">
        <v>94.5</v>
      </c>
    </row>
    <row r="492" spans="1:6" ht="26.4" x14ac:dyDescent="0.25">
      <c r="A492" s="465">
        <v>1162</v>
      </c>
      <c r="B492" s="466" t="s">
        <v>6369</v>
      </c>
      <c r="C492" s="466" t="s">
        <v>2094</v>
      </c>
      <c r="D492" s="467" t="s">
        <v>6370</v>
      </c>
      <c r="E492" s="468" t="s">
        <v>6371</v>
      </c>
      <c r="F492" s="465">
        <v>93</v>
      </c>
    </row>
    <row r="493" spans="1:6" ht="26.4" x14ac:dyDescent="0.25">
      <c r="A493" s="465">
        <v>1163</v>
      </c>
      <c r="B493" s="466" t="s">
        <v>6438</v>
      </c>
      <c r="C493" s="466" t="s">
        <v>2094</v>
      </c>
      <c r="D493" s="467" t="s">
        <v>6439</v>
      </c>
      <c r="E493" s="468" t="s">
        <v>4863</v>
      </c>
      <c r="F493" s="465">
        <v>1224.1600000000001</v>
      </c>
    </row>
    <row r="494" spans="1:6" ht="26.4" x14ac:dyDescent="0.25">
      <c r="A494" s="465">
        <v>1164</v>
      </c>
      <c r="B494" s="466" t="s">
        <v>6436</v>
      </c>
      <c r="C494" s="466" t="s">
        <v>2094</v>
      </c>
      <c r="D494" s="467" t="s">
        <v>6437</v>
      </c>
      <c r="E494" s="468" t="s">
        <v>4863</v>
      </c>
      <c r="F494" s="465">
        <v>988.9</v>
      </c>
    </row>
    <row r="495" spans="1:6" ht="26.4" x14ac:dyDescent="0.25">
      <c r="A495" s="465">
        <v>1165</v>
      </c>
      <c r="B495" s="466" t="s">
        <v>6430</v>
      </c>
      <c r="C495" s="466" t="s">
        <v>2094</v>
      </c>
      <c r="D495" s="467" t="s">
        <v>6431</v>
      </c>
      <c r="E495" s="468" t="s">
        <v>6131</v>
      </c>
      <c r="F495" s="465">
        <v>11.03</v>
      </c>
    </row>
    <row r="496" spans="1:6" ht="52.8" x14ac:dyDescent="0.25">
      <c r="A496" s="465">
        <v>1166</v>
      </c>
      <c r="B496" s="466" t="s">
        <v>6549</v>
      </c>
      <c r="C496" s="466" t="s">
        <v>2094</v>
      </c>
      <c r="D496" s="467" t="s">
        <v>6550</v>
      </c>
      <c r="E496" s="468" t="s">
        <v>4863</v>
      </c>
      <c r="F496" s="465">
        <v>15.31</v>
      </c>
    </row>
    <row r="497" spans="1:6" ht="39.6" x14ac:dyDescent="0.25">
      <c r="A497" s="465">
        <v>1167</v>
      </c>
      <c r="B497" s="466" t="s">
        <v>6551</v>
      </c>
      <c r="C497" s="466" t="s">
        <v>2094</v>
      </c>
      <c r="D497" s="467" t="s">
        <v>6552</v>
      </c>
      <c r="E497" s="468" t="s">
        <v>4863</v>
      </c>
      <c r="F497" s="465">
        <v>31.98</v>
      </c>
    </row>
    <row r="498" spans="1:6" ht="26.4" x14ac:dyDescent="0.25">
      <c r="A498" s="465">
        <v>1168</v>
      </c>
      <c r="B498" s="466" t="s">
        <v>6553</v>
      </c>
      <c r="C498" s="466" t="s">
        <v>2094</v>
      </c>
      <c r="D498" s="467" t="s">
        <v>6554</v>
      </c>
      <c r="E498" s="468" t="s">
        <v>4863</v>
      </c>
      <c r="F498" s="465">
        <v>372.35</v>
      </c>
    </row>
    <row r="499" spans="1:6" ht="39.6" x14ac:dyDescent="0.25">
      <c r="A499" s="465">
        <v>1169</v>
      </c>
      <c r="B499" s="466" t="s">
        <v>6639</v>
      </c>
      <c r="C499" s="466" t="s">
        <v>2094</v>
      </c>
      <c r="D499" s="467" t="s">
        <v>6640</v>
      </c>
      <c r="E499" s="468" t="s">
        <v>4863</v>
      </c>
      <c r="F499" s="465">
        <v>445.52</v>
      </c>
    </row>
    <row r="500" spans="1:6" ht="39.6" x14ac:dyDescent="0.25">
      <c r="A500" s="465">
        <v>1170</v>
      </c>
      <c r="B500" s="466" t="s">
        <v>6645</v>
      </c>
      <c r="C500" s="466" t="s">
        <v>2094</v>
      </c>
      <c r="D500" s="467" t="s">
        <v>6646</v>
      </c>
      <c r="E500" s="468" t="s">
        <v>4863</v>
      </c>
      <c r="F500" s="465">
        <v>481.52</v>
      </c>
    </row>
    <row r="501" spans="1:6" ht="39.6" x14ac:dyDescent="0.25">
      <c r="A501" s="465">
        <v>1171</v>
      </c>
      <c r="B501" s="466" t="s">
        <v>6655</v>
      </c>
      <c r="C501" s="466" t="s">
        <v>2094</v>
      </c>
      <c r="D501" s="467" t="s">
        <v>6656</v>
      </c>
      <c r="E501" s="468" t="s">
        <v>4863</v>
      </c>
      <c r="F501" s="465">
        <v>777.25</v>
      </c>
    </row>
    <row r="502" spans="1:6" ht="39.6" x14ac:dyDescent="0.25">
      <c r="A502" s="465">
        <v>1172</v>
      </c>
      <c r="B502" s="466" t="s">
        <v>6641</v>
      </c>
      <c r="C502" s="466" t="s">
        <v>2094</v>
      </c>
      <c r="D502" s="467" t="s">
        <v>6642</v>
      </c>
      <c r="E502" s="468" t="s">
        <v>4863</v>
      </c>
      <c r="F502" s="465">
        <v>960.84</v>
      </c>
    </row>
    <row r="503" spans="1:6" ht="39.6" x14ac:dyDescent="0.25">
      <c r="A503" s="465">
        <v>1173</v>
      </c>
      <c r="B503" s="466" t="s">
        <v>6657</v>
      </c>
      <c r="C503" s="466" t="s">
        <v>2094</v>
      </c>
      <c r="D503" s="467" t="s">
        <v>6658</v>
      </c>
      <c r="E503" s="468" t="s">
        <v>4863</v>
      </c>
      <c r="F503" s="465">
        <v>3499.31</v>
      </c>
    </row>
    <row r="504" spans="1:6" ht="39.6" x14ac:dyDescent="0.25">
      <c r="A504" s="465">
        <v>1174</v>
      </c>
      <c r="B504" s="466" t="s">
        <v>6643</v>
      </c>
      <c r="C504" s="466" t="s">
        <v>2094</v>
      </c>
      <c r="D504" s="467" t="s">
        <v>6644</v>
      </c>
      <c r="E504" s="468" t="s">
        <v>4863</v>
      </c>
      <c r="F504" s="465">
        <v>8640.2900000000009</v>
      </c>
    </row>
    <row r="505" spans="1:6" ht="39.6" x14ac:dyDescent="0.25">
      <c r="A505" s="465">
        <v>1175</v>
      </c>
      <c r="B505" s="466" t="s">
        <v>6647</v>
      </c>
      <c r="C505" s="466" t="s">
        <v>2094</v>
      </c>
      <c r="D505" s="467" t="s">
        <v>6648</v>
      </c>
      <c r="E505" s="468" t="s">
        <v>4863</v>
      </c>
      <c r="F505" s="465">
        <v>16107.25</v>
      </c>
    </row>
    <row r="506" spans="1:6" ht="26.4" x14ac:dyDescent="0.25">
      <c r="A506" s="465">
        <v>1176</v>
      </c>
      <c r="B506" s="466" t="s">
        <v>6800</v>
      </c>
      <c r="C506" s="466" t="s">
        <v>2094</v>
      </c>
      <c r="D506" s="467" t="s">
        <v>6801</v>
      </c>
      <c r="E506" s="468" t="s">
        <v>4863</v>
      </c>
      <c r="F506" s="465">
        <v>5076.04</v>
      </c>
    </row>
    <row r="507" spans="1:6" ht="26.4" x14ac:dyDescent="0.25">
      <c r="A507" s="465">
        <v>1177</v>
      </c>
      <c r="B507" s="466" t="s">
        <v>6806</v>
      </c>
      <c r="C507" s="466" t="s">
        <v>2094</v>
      </c>
      <c r="D507" s="467" t="s">
        <v>6807</v>
      </c>
      <c r="E507" s="468" t="s">
        <v>4863</v>
      </c>
      <c r="F507" s="465">
        <v>9232.64</v>
      </c>
    </row>
    <row r="508" spans="1:6" ht="26.4" x14ac:dyDescent="0.25">
      <c r="A508" s="465">
        <v>1178</v>
      </c>
      <c r="B508" s="466" t="s">
        <v>6808</v>
      </c>
      <c r="C508" s="466" t="s">
        <v>2094</v>
      </c>
      <c r="D508" s="467" t="s">
        <v>6809</v>
      </c>
      <c r="E508" s="468" t="s">
        <v>4863</v>
      </c>
      <c r="F508" s="465">
        <v>12158.49</v>
      </c>
    </row>
    <row r="509" spans="1:6" ht="26.4" x14ac:dyDescent="0.25">
      <c r="A509" s="465">
        <v>1179</v>
      </c>
      <c r="B509" s="466" t="s">
        <v>6804</v>
      </c>
      <c r="C509" s="466" t="s">
        <v>2094</v>
      </c>
      <c r="D509" s="467" t="s">
        <v>6805</v>
      </c>
      <c r="E509" s="468" t="s">
        <v>4863</v>
      </c>
      <c r="F509" s="465">
        <v>12922.32</v>
      </c>
    </row>
    <row r="510" spans="1:6" ht="26.4" x14ac:dyDescent="0.25">
      <c r="A510" s="465">
        <v>1180</v>
      </c>
      <c r="B510" s="466" t="s">
        <v>6802</v>
      </c>
      <c r="C510" s="466" t="s">
        <v>2094</v>
      </c>
      <c r="D510" s="467" t="s">
        <v>6803</v>
      </c>
      <c r="E510" s="468" t="s">
        <v>4863</v>
      </c>
      <c r="F510" s="465">
        <v>17232.240000000002</v>
      </c>
    </row>
    <row r="511" spans="1:6" ht="26.4" x14ac:dyDescent="0.25">
      <c r="A511" s="465">
        <v>1181</v>
      </c>
      <c r="B511" s="466" t="s">
        <v>7036</v>
      </c>
      <c r="C511" s="466" t="s">
        <v>2094</v>
      </c>
      <c r="D511" s="467" t="s">
        <v>7037</v>
      </c>
      <c r="E511" s="468" t="s">
        <v>5668</v>
      </c>
      <c r="F511" s="465">
        <v>700</v>
      </c>
    </row>
    <row r="512" spans="1:6" ht="26.4" x14ac:dyDescent="0.25">
      <c r="A512" s="465">
        <v>1182</v>
      </c>
      <c r="B512" s="466" t="s">
        <v>7038</v>
      </c>
      <c r="C512" s="466" t="s">
        <v>2094</v>
      </c>
      <c r="D512" s="467" t="s">
        <v>7039</v>
      </c>
      <c r="E512" s="468" t="s">
        <v>5668</v>
      </c>
      <c r="F512" s="465">
        <v>1050</v>
      </c>
    </row>
    <row r="513" spans="1:6" ht="26.4" x14ac:dyDescent="0.25">
      <c r="A513" s="465">
        <v>1183</v>
      </c>
      <c r="B513" s="466" t="s">
        <v>7040</v>
      </c>
      <c r="C513" s="466" t="s">
        <v>2094</v>
      </c>
      <c r="D513" s="467" t="s">
        <v>7041</v>
      </c>
      <c r="E513" s="468" t="s">
        <v>5668</v>
      </c>
      <c r="F513" s="465">
        <v>1750</v>
      </c>
    </row>
    <row r="514" spans="1:6" ht="26.4" x14ac:dyDescent="0.25">
      <c r="A514" s="465">
        <v>1184</v>
      </c>
      <c r="B514" s="466" t="s">
        <v>7042</v>
      </c>
      <c r="C514" s="466" t="s">
        <v>2094</v>
      </c>
      <c r="D514" s="467" t="s">
        <v>7043</v>
      </c>
      <c r="E514" s="468" t="s">
        <v>5668</v>
      </c>
      <c r="F514" s="465">
        <v>2100</v>
      </c>
    </row>
    <row r="515" spans="1:6" ht="26.4" x14ac:dyDescent="0.25">
      <c r="A515" s="465">
        <v>1185</v>
      </c>
      <c r="B515" s="466" t="s">
        <v>5245</v>
      </c>
      <c r="C515" s="466" t="s">
        <v>2094</v>
      </c>
      <c r="D515" s="467" t="s">
        <v>5246</v>
      </c>
      <c r="E515" s="468" t="s">
        <v>4863</v>
      </c>
      <c r="F515" s="465">
        <v>1087.3699999999999</v>
      </c>
    </row>
    <row r="516" spans="1:6" ht="26.4" x14ac:dyDescent="0.25">
      <c r="A516" s="465">
        <v>1186</v>
      </c>
      <c r="B516" s="466" t="s">
        <v>5247</v>
      </c>
      <c r="C516" s="466" t="s">
        <v>2094</v>
      </c>
      <c r="D516" s="467" t="s">
        <v>5248</v>
      </c>
      <c r="E516" s="468" t="s">
        <v>4863</v>
      </c>
      <c r="F516" s="465">
        <v>1484.85</v>
      </c>
    </row>
    <row r="517" spans="1:6" ht="26.4" x14ac:dyDescent="0.25">
      <c r="A517" s="465">
        <v>1187</v>
      </c>
      <c r="B517" s="466" t="s">
        <v>5249</v>
      </c>
      <c r="C517" s="466" t="s">
        <v>2094</v>
      </c>
      <c r="D517" s="467" t="s">
        <v>5250</v>
      </c>
      <c r="E517" s="468" t="s">
        <v>4863</v>
      </c>
      <c r="F517" s="465">
        <v>1268.57</v>
      </c>
    </row>
    <row r="518" spans="1:6" ht="26.4" x14ac:dyDescent="0.25">
      <c r="A518" s="465">
        <v>1188</v>
      </c>
      <c r="B518" s="466" t="s">
        <v>5251</v>
      </c>
      <c r="C518" s="466" t="s">
        <v>2094</v>
      </c>
      <c r="D518" s="467" t="s">
        <v>5252</v>
      </c>
      <c r="E518" s="468" t="s">
        <v>4863</v>
      </c>
      <c r="F518" s="465">
        <v>1176.67</v>
      </c>
    </row>
    <row r="519" spans="1:6" ht="39.6" x14ac:dyDescent="0.25">
      <c r="A519" s="465">
        <v>1189</v>
      </c>
      <c r="B519" s="466" t="s">
        <v>6257</v>
      </c>
      <c r="C519" s="466" t="s">
        <v>2094</v>
      </c>
      <c r="D519" s="467" t="s">
        <v>6258</v>
      </c>
      <c r="E519" s="468" t="s">
        <v>4863</v>
      </c>
      <c r="F519" s="465">
        <v>195.45</v>
      </c>
    </row>
    <row r="520" spans="1:6" ht="26.4" x14ac:dyDescent="0.25">
      <c r="A520" s="465">
        <v>1190</v>
      </c>
      <c r="B520" s="466" t="s">
        <v>6960</v>
      </c>
      <c r="C520" s="466" t="s">
        <v>2094</v>
      </c>
      <c r="D520" s="467" t="s">
        <v>6961</v>
      </c>
      <c r="E520" s="468" t="s">
        <v>6962</v>
      </c>
      <c r="F520" s="465">
        <v>25.6</v>
      </c>
    </row>
    <row r="521" spans="1:6" ht="26.4" x14ac:dyDescent="0.25">
      <c r="A521" s="465">
        <v>1191</v>
      </c>
      <c r="B521" s="466" t="s">
        <v>6239</v>
      </c>
      <c r="C521" s="466" t="s">
        <v>2094</v>
      </c>
      <c r="D521" s="467" t="s">
        <v>6240</v>
      </c>
      <c r="E521" s="468" t="s">
        <v>4850</v>
      </c>
      <c r="F521" s="465">
        <v>163</v>
      </c>
    </row>
    <row r="522" spans="1:6" ht="52.8" x14ac:dyDescent="0.25">
      <c r="A522" s="465">
        <v>1192</v>
      </c>
      <c r="B522" s="466" t="s">
        <v>7159</v>
      </c>
      <c r="C522" s="466" t="s">
        <v>2094</v>
      </c>
      <c r="D522" s="467" t="s">
        <v>7160</v>
      </c>
      <c r="E522" s="468" t="s">
        <v>4863</v>
      </c>
      <c r="F522" s="465">
        <v>708</v>
      </c>
    </row>
    <row r="523" spans="1:6" ht="39.6" x14ac:dyDescent="0.25">
      <c r="A523" s="465">
        <v>1193</v>
      </c>
      <c r="B523" s="466" t="s">
        <v>7155</v>
      </c>
      <c r="C523" s="466" t="s">
        <v>2094</v>
      </c>
      <c r="D523" s="467" t="s">
        <v>7156</v>
      </c>
      <c r="E523" s="468" t="s">
        <v>4863</v>
      </c>
      <c r="F523" s="465">
        <v>149</v>
      </c>
    </row>
    <row r="524" spans="1:6" ht="39.6" x14ac:dyDescent="0.25">
      <c r="A524" s="465">
        <v>1194</v>
      </c>
      <c r="B524" s="466" t="s">
        <v>7161</v>
      </c>
      <c r="C524" s="466" t="s">
        <v>2094</v>
      </c>
      <c r="D524" s="467" t="s">
        <v>7162</v>
      </c>
      <c r="E524" s="468" t="s">
        <v>4863</v>
      </c>
      <c r="F524" s="465">
        <v>750</v>
      </c>
    </row>
    <row r="525" spans="1:6" ht="26.4" x14ac:dyDescent="0.25">
      <c r="A525" s="465">
        <v>1195</v>
      </c>
      <c r="B525" s="466" t="s">
        <v>7157</v>
      </c>
      <c r="C525" s="466" t="s">
        <v>2094</v>
      </c>
      <c r="D525" s="467" t="s">
        <v>7158</v>
      </c>
      <c r="E525" s="468" t="s">
        <v>4863</v>
      </c>
      <c r="F525" s="465">
        <v>770</v>
      </c>
    </row>
    <row r="526" spans="1:6" ht="26.4" x14ac:dyDescent="0.25">
      <c r="A526" s="465">
        <v>1196</v>
      </c>
      <c r="B526" s="466" t="s">
        <v>6511</v>
      </c>
      <c r="C526" s="466" t="s">
        <v>2094</v>
      </c>
      <c r="D526" s="467" t="s">
        <v>6512</v>
      </c>
      <c r="E526" s="468" t="s">
        <v>4850</v>
      </c>
      <c r="F526" s="465">
        <v>0.61</v>
      </c>
    </row>
    <row r="527" spans="1:6" ht="39.6" x14ac:dyDescent="0.25">
      <c r="A527" s="465">
        <v>1197</v>
      </c>
      <c r="B527" s="466" t="s">
        <v>6513</v>
      </c>
      <c r="C527" s="466" t="s">
        <v>2094</v>
      </c>
      <c r="D527" s="467" t="s">
        <v>6514</v>
      </c>
      <c r="E527" s="468" t="s">
        <v>4850</v>
      </c>
      <c r="F527" s="465">
        <v>4.08</v>
      </c>
    </row>
    <row r="528" spans="1:6" ht="52.8" x14ac:dyDescent="0.25">
      <c r="A528" s="465">
        <v>1198</v>
      </c>
      <c r="B528" s="466" t="s">
        <v>6515</v>
      </c>
      <c r="C528" s="466" t="s">
        <v>2094</v>
      </c>
      <c r="D528" s="467" t="s">
        <v>6516</v>
      </c>
      <c r="E528" s="468" t="s">
        <v>4850</v>
      </c>
      <c r="F528" s="465">
        <v>0.91</v>
      </c>
    </row>
    <row r="529" spans="1:6" ht="26.4" x14ac:dyDescent="0.25">
      <c r="A529" s="465">
        <v>1199</v>
      </c>
      <c r="B529" s="466" t="s">
        <v>5145</v>
      </c>
      <c r="C529" s="466" t="s">
        <v>4801</v>
      </c>
      <c r="D529" s="467" t="s">
        <v>5146</v>
      </c>
      <c r="E529" s="468" t="s">
        <v>4886</v>
      </c>
      <c r="F529" s="465">
        <v>0.82</v>
      </c>
    </row>
    <row r="530" spans="1:6" ht="26.4" x14ac:dyDescent="0.25">
      <c r="A530" s="465">
        <v>1200</v>
      </c>
      <c r="B530" s="466" t="s">
        <v>6971</v>
      </c>
      <c r="C530" s="466" t="s">
        <v>2094</v>
      </c>
      <c r="D530" s="467" t="s">
        <v>6972</v>
      </c>
      <c r="E530" s="468" t="s">
        <v>2377</v>
      </c>
      <c r="F530" s="465">
        <v>25.38</v>
      </c>
    </row>
    <row r="531" spans="1:6" ht="39.6" x14ac:dyDescent="0.25">
      <c r="A531" s="465">
        <v>1201</v>
      </c>
      <c r="B531" s="466" t="s">
        <v>5160</v>
      </c>
      <c r="C531" s="466" t="s">
        <v>4801</v>
      </c>
      <c r="D531" s="467" t="s">
        <v>5161</v>
      </c>
      <c r="E531" s="468" t="s">
        <v>4803</v>
      </c>
      <c r="F531" s="465">
        <v>94.2</v>
      </c>
    </row>
    <row r="532" spans="1:6" ht="39.6" x14ac:dyDescent="0.25">
      <c r="A532" s="465">
        <v>1202</v>
      </c>
      <c r="B532" s="466" t="s">
        <v>5166</v>
      </c>
      <c r="C532" s="466" t="s">
        <v>4801</v>
      </c>
      <c r="D532" s="467" t="s">
        <v>5167</v>
      </c>
      <c r="E532" s="468" t="s">
        <v>4803</v>
      </c>
      <c r="F532" s="465">
        <v>121.07</v>
      </c>
    </row>
    <row r="533" spans="1:6" ht="39.6" x14ac:dyDescent="0.25">
      <c r="A533" s="465">
        <v>1203</v>
      </c>
      <c r="B533" s="466" t="s">
        <v>5158</v>
      </c>
      <c r="C533" s="466" t="s">
        <v>4801</v>
      </c>
      <c r="D533" s="467" t="s">
        <v>5159</v>
      </c>
      <c r="E533" s="468" t="s">
        <v>4803</v>
      </c>
      <c r="F533" s="465">
        <v>69.239999999999995</v>
      </c>
    </row>
    <row r="534" spans="1:6" ht="39.6" x14ac:dyDescent="0.25">
      <c r="A534" s="465">
        <v>1204</v>
      </c>
      <c r="B534" s="466" t="s">
        <v>5162</v>
      </c>
      <c r="C534" s="466" t="s">
        <v>4801</v>
      </c>
      <c r="D534" s="467" t="s">
        <v>5163</v>
      </c>
      <c r="E534" s="468" t="s">
        <v>4803</v>
      </c>
      <c r="F534" s="465">
        <v>107.76</v>
      </c>
    </row>
    <row r="535" spans="1:6" ht="39.6" x14ac:dyDescent="0.25">
      <c r="A535" s="465">
        <v>1205</v>
      </c>
      <c r="B535" s="466" t="s">
        <v>5168</v>
      </c>
      <c r="C535" s="466" t="s">
        <v>4801</v>
      </c>
      <c r="D535" s="467" t="s">
        <v>5169</v>
      </c>
      <c r="E535" s="468" t="s">
        <v>4803</v>
      </c>
      <c r="F535" s="465">
        <v>138.19999999999999</v>
      </c>
    </row>
    <row r="536" spans="1:6" ht="52.8" x14ac:dyDescent="0.25">
      <c r="A536" s="465">
        <v>1206</v>
      </c>
      <c r="B536" s="466" t="s">
        <v>5110</v>
      </c>
      <c r="C536" s="466" t="s">
        <v>4801</v>
      </c>
      <c r="D536" s="467" t="s">
        <v>5111</v>
      </c>
      <c r="E536" s="468" t="s">
        <v>4803</v>
      </c>
      <c r="F536" s="465">
        <v>15.28</v>
      </c>
    </row>
    <row r="537" spans="1:6" ht="52.8" x14ac:dyDescent="0.25">
      <c r="A537" s="465">
        <v>1207</v>
      </c>
      <c r="B537" s="466" t="s">
        <v>5102</v>
      </c>
      <c r="C537" s="466" t="s">
        <v>4801</v>
      </c>
      <c r="D537" s="467" t="s">
        <v>5103</v>
      </c>
      <c r="E537" s="468" t="s">
        <v>4803</v>
      </c>
      <c r="F537" s="465">
        <v>22.14</v>
      </c>
    </row>
    <row r="538" spans="1:6" ht="26.4" x14ac:dyDescent="0.25">
      <c r="A538" s="465">
        <v>1208</v>
      </c>
      <c r="B538" s="466" t="s">
        <v>5112</v>
      </c>
      <c r="C538" s="466" t="s">
        <v>4801</v>
      </c>
      <c r="D538" s="467" t="s">
        <v>5113</v>
      </c>
      <c r="E538" s="468" t="s">
        <v>4803</v>
      </c>
      <c r="F538" s="465">
        <v>278.64999999999998</v>
      </c>
    </row>
    <row r="539" spans="1:6" ht="26.4" x14ac:dyDescent="0.25">
      <c r="A539" s="465">
        <v>1209</v>
      </c>
      <c r="B539" s="466" t="s">
        <v>6364</v>
      </c>
      <c r="C539" s="466" t="s">
        <v>2094</v>
      </c>
      <c r="D539" s="467" t="s">
        <v>6365</v>
      </c>
      <c r="E539" s="468" t="s">
        <v>4810</v>
      </c>
      <c r="F539" s="465">
        <v>1.87</v>
      </c>
    </row>
    <row r="540" spans="1:6" ht="26.4" x14ac:dyDescent="0.25">
      <c r="A540" s="465">
        <v>1210</v>
      </c>
      <c r="B540" s="466" t="s">
        <v>6362</v>
      </c>
      <c r="C540" s="466" t="s">
        <v>2094</v>
      </c>
      <c r="D540" s="467" t="s">
        <v>6363</v>
      </c>
      <c r="E540" s="468" t="s">
        <v>4810</v>
      </c>
      <c r="F540" s="465">
        <v>4.04</v>
      </c>
    </row>
    <row r="541" spans="1:6" ht="66" x14ac:dyDescent="0.25">
      <c r="A541" s="465">
        <v>1211</v>
      </c>
      <c r="B541" s="466" t="s">
        <v>5196</v>
      </c>
      <c r="C541" s="466" t="s">
        <v>4801</v>
      </c>
      <c r="D541" s="467" t="s">
        <v>5197</v>
      </c>
      <c r="E541" s="468" t="s">
        <v>4803</v>
      </c>
      <c r="F541" s="465">
        <v>123.93</v>
      </c>
    </row>
    <row r="542" spans="1:6" ht="26.4" x14ac:dyDescent="0.25">
      <c r="A542" s="465">
        <v>1212</v>
      </c>
      <c r="B542" s="466" t="s">
        <v>7377</v>
      </c>
      <c r="C542" s="466" t="s">
        <v>2094</v>
      </c>
      <c r="D542" s="467" t="s">
        <v>7378</v>
      </c>
      <c r="E542" s="468" t="s">
        <v>4810</v>
      </c>
      <c r="F542" s="465">
        <v>8.27</v>
      </c>
    </row>
    <row r="543" spans="1:6" ht="39.6" x14ac:dyDescent="0.25">
      <c r="A543" s="465">
        <v>1213</v>
      </c>
      <c r="B543" s="466" t="s">
        <v>6237</v>
      </c>
      <c r="C543" s="466" t="s">
        <v>2094</v>
      </c>
      <c r="D543" s="467" t="s">
        <v>6238</v>
      </c>
      <c r="E543" s="468" t="s">
        <v>4810</v>
      </c>
      <c r="F543" s="465">
        <v>1.46</v>
      </c>
    </row>
    <row r="544" spans="1:6" ht="52.8" x14ac:dyDescent="0.25">
      <c r="A544" s="465">
        <v>1214</v>
      </c>
      <c r="B544" s="466" t="s">
        <v>6691</v>
      </c>
      <c r="C544" s="466" t="s">
        <v>2094</v>
      </c>
      <c r="D544" s="467" t="s">
        <v>6692</v>
      </c>
      <c r="E544" s="468" t="s">
        <v>2376</v>
      </c>
      <c r="F544" s="465">
        <v>2486.48</v>
      </c>
    </row>
    <row r="545" spans="1:6" ht="39.6" x14ac:dyDescent="0.25">
      <c r="A545" s="465">
        <v>1215</v>
      </c>
      <c r="B545" s="466" t="s">
        <v>5198</v>
      </c>
      <c r="C545" s="466" t="s">
        <v>4801</v>
      </c>
      <c r="D545" s="467" t="s">
        <v>5199</v>
      </c>
      <c r="E545" s="468" t="s">
        <v>4803</v>
      </c>
      <c r="F545" s="465">
        <v>75.03</v>
      </c>
    </row>
    <row r="546" spans="1:6" ht="39.6" x14ac:dyDescent="0.25">
      <c r="A546" s="465">
        <v>1216</v>
      </c>
      <c r="B546" s="466" t="s">
        <v>4945</v>
      </c>
      <c r="C546" s="466" t="s">
        <v>4801</v>
      </c>
      <c r="D546" s="467" t="s">
        <v>4946</v>
      </c>
      <c r="E546" s="468" t="s">
        <v>4886</v>
      </c>
      <c r="F546" s="465">
        <v>3.94</v>
      </c>
    </row>
    <row r="547" spans="1:6" ht="39.6" x14ac:dyDescent="0.25">
      <c r="A547" s="465">
        <v>1217</v>
      </c>
      <c r="B547" s="466" t="s">
        <v>4941</v>
      </c>
      <c r="C547" s="466" t="s">
        <v>4801</v>
      </c>
      <c r="D547" s="467" t="s">
        <v>4942</v>
      </c>
      <c r="E547" s="468" t="s">
        <v>4886</v>
      </c>
      <c r="F547" s="465">
        <v>6.24</v>
      </c>
    </row>
    <row r="548" spans="1:6" ht="39.6" x14ac:dyDescent="0.25">
      <c r="A548" s="465">
        <v>1218</v>
      </c>
      <c r="B548" s="466" t="s">
        <v>4943</v>
      </c>
      <c r="C548" s="466" t="s">
        <v>4801</v>
      </c>
      <c r="D548" s="467" t="s">
        <v>4944</v>
      </c>
      <c r="E548" s="468" t="s">
        <v>4886</v>
      </c>
      <c r="F548" s="465">
        <v>2.4500000000000002</v>
      </c>
    </row>
    <row r="549" spans="1:6" ht="39.6" x14ac:dyDescent="0.25">
      <c r="A549" s="465">
        <v>1219</v>
      </c>
      <c r="B549" s="466" t="s">
        <v>4939</v>
      </c>
      <c r="C549" s="466" t="s">
        <v>4801</v>
      </c>
      <c r="D549" s="467" t="s">
        <v>4940</v>
      </c>
      <c r="E549" s="468" t="s">
        <v>4886</v>
      </c>
      <c r="F549" s="465">
        <v>5.82</v>
      </c>
    </row>
    <row r="550" spans="1:6" ht="39.6" x14ac:dyDescent="0.25">
      <c r="A550" s="465">
        <v>1220</v>
      </c>
      <c r="B550" s="466" t="s">
        <v>4957</v>
      </c>
      <c r="C550" s="466" t="s">
        <v>4801</v>
      </c>
      <c r="D550" s="467" t="s">
        <v>4958</v>
      </c>
      <c r="E550" s="468" t="s">
        <v>4886</v>
      </c>
      <c r="F550" s="465">
        <v>2.35</v>
      </c>
    </row>
    <row r="551" spans="1:6" ht="39.6" x14ac:dyDescent="0.25">
      <c r="A551" s="465">
        <v>1221</v>
      </c>
      <c r="B551" s="466" t="s">
        <v>4949</v>
      </c>
      <c r="C551" s="466" t="s">
        <v>4801</v>
      </c>
      <c r="D551" s="467" t="s">
        <v>4950</v>
      </c>
      <c r="E551" s="468" t="s">
        <v>4886</v>
      </c>
      <c r="F551" s="465">
        <v>3.76</v>
      </c>
    </row>
    <row r="552" spans="1:6" ht="39.6" x14ac:dyDescent="0.25">
      <c r="A552" s="465">
        <v>1222</v>
      </c>
      <c r="B552" s="466" t="s">
        <v>4951</v>
      </c>
      <c r="C552" s="466" t="s">
        <v>4801</v>
      </c>
      <c r="D552" s="467" t="s">
        <v>4952</v>
      </c>
      <c r="E552" s="468" t="s">
        <v>4886</v>
      </c>
      <c r="F552" s="465">
        <v>1.46</v>
      </c>
    </row>
    <row r="553" spans="1:6" ht="39.6" x14ac:dyDescent="0.25">
      <c r="A553" s="465">
        <v>1223</v>
      </c>
      <c r="B553" s="466" t="s">
        <v>4947</v>
      </c>
      <c r="C553" s="466" t="s">
        <v>4801</v>
      </c>
      <c r="D553" s="467" t="s">
        <v>4948</v>
      </c>
      <c r="E553" s="468" t="s">
        <v>4886</v>
      </c>
      <c r="F553" s="465">
        <v>3.46</v>
      </c>
    </row>
    <row r="554" spans="1:6" ht="26.4" x14ac:dyDescent="0.25">
      <c r="A554" s="465">
        <v>1224</v>
      </c>
      <c r="B554" s="466" t="s">
        <v>6410</v>
      </c>
      <c r="C554" s="466" t="s">
        <v>2094</v>
      </c>
      <c r="D554" s="467" t="s">
        <v>6411</v>
      </c>
      <c r="E554" s="468" t="s">
        <v>2377</v>
      </c>
      <c r="F554" s="465">
        <v>30.8</v>
      </c>
    </row>
    <row r="555" spans="1:6" ht="52.8" x14ac:dyDescent="0.25">
      <c r="A555" s="465">
        <v>1225</v>
      </c>
      <c r="B555" s="466" t="s">
        <v>4895</v>
      </c>
      <c r="C555" s="466" t="s">
        <v>4801</v>
      </c>
      <c r="D555" s="467" t="s">
        <v>4896</v>
      </c>
      <c r="E555" s="468" t="s">
        <v>4886</v>
      </c>
      <c r="F555" s="465">
        <v>186.48</v>
      </c>
    </row>
    <row r="556" spans="1:6" ht="26.4" x14ac:dyDescent="0.25">
      <c r="A556" s="465">
        <v>1226</v>
      </c>
      <c r="B556" s="466" t="s">
        <v>6132</v>
      </c>
      <c r="C556" s="466" t="s">
        <v>2094</v>
      </c>
      <c r="D556" s="467" t="s">
        <v>6133</v>
      </c>
      <c r="E556" s="468" t="s">
        <v>4863</v>
      </c>
      <c r="F556" s="465">
        <v>4.79</v>
      </c>
    </row>
    <row r="557" spans="1:6" ht="39.6" x14ac:dyDescent="0.25">
      <c r="A557" s="465">
        <v>1227</v>
      </c>
      <c r="B557" s="466" t="s">
        <v>4953</v>
      </c>
      <c r="C557" s="466" t="s">
        <v>4801</v>
      </c>
      <c r="D557" s="467" t="s">
        <v>4954</v>
      </c>
      <c r="E557" s="468" t="s">
        <v>4886</v>
      </c>
      <c r="F557" s="465">
        <v>1.72</v>
      </c>
    </row>
    <row r="558" spans="1:6" ht="39.6" x14ac:dyDescent="0.25">
      <c r="A558" s="465">
        <v>1228</v>
      </c>
      <c r="B558" s="466" t="s">
        <v>4959</v>
      </c>
      <c r="C558" s="466" t="s">
        <v>4801</v>
      </c>
      <c r="D558" s="467" t="s">
        <v>4960</v>
      </c>
      <c r="E558" s="468" t="s">
        <v>4886</v>
      </c>
      <c r="F558" s="465">
        <v>4.17</v>
      </c>
    </row>
    <row r="559" spans="1:6" ht="26.4" x14ac:dyDescent="0.25">
      <c r="A559" s="465">
        <v>1229</v>
      </c>
      <c r="B559" s="466" t="s">
        <v>7463</v>
      </c>
      <c r="C559" s="466" t="s">
        <v>2094</v>
      </c>
      <c r="D559" s="467" t="s">
        <v>7464</v>
      </c>
      <c r="E559" s="468" t="s">
        <v>4850</v>
      </c>
      <c r="F559" s="465">
        <v>2.4500000000000002</v>
      </c>
    </row>
    <row r="560" spans="1:6" ht="26.4" x14ac:dyDescent="0.25">
      <c r="A560" s="465">
        <v>1230</v>
      </c>
      <c r="B560" s="466" t="s">
        <v>5122</v>
      </c>
      <c r="C560" s="466" t="s">
        <v>4801</v>
      </c>
      <c r="D560" s="467" t="s">
        <v>5123</v>
      </c>
      <c r="E560" s="468" t="s">
        <v>2376</v>
      </c>
      <c r="F560" s="465">
        <v>14.91</v>
      </c>
    </row>
    <row r="561" spans="1:6" x14ac:dyDescent="0.25">
      <c r="A561" s="465">
        <v>1231</v>
      </c>
      <c r="B561" s="466" t="s">
        <v>5083</v>
      </c>
      <c r="C561" s="466" t="s">
        <v>4801</v>
      </c>
      <c r="D561" s="467" t="s">
        <v>4845</v>
      </c>
      <c r="E561" s="468" t="s">
        <v>2376</v>
      </c>
      <c r="F561" s="465">
        <v>14.87</v>
      </c>
    </row>
    <row r="562" spans="1:6" ht="26.4" x14ac:dyDescent="0.25">
      <c r="A562" s="465">
        <v>1232</v>
      </c>
      <c r="B562" s="466" t="s">
        <v>5124</v>
      </c>
      <c r="C562" s="466" t="s">
        <v>4801</v>
      </c>
      <c r="D562" s="467" t="s">
        <v>5125</v>
      </c>
      <c r="E562" s="468" t="s">
        <v>2376</v>
      </c>
      <c r="F562" s="465">
        <v>21.65</v>
      </c>
    </row>
    <row r="563" spans="1:6" ht="26.4" x14ac:dyDescent="0.25">
      <c r="A563" s="465">
        <v>1233</v>
      </c>
      <c r="B563" s="466" t="s">
        <v>7401</v>
      </c>
      <c r="C563" s="466" t="s">
        <v>2094</v>
      </c>
      <c r="D563" s="467" t="s">
        <v>7402</v>
      </c>
      <c r="E563" s="468" t="s">
        <v>4863</v>
      </c>
      <c r="F563" s="465">
        <v>3.82</v>
      </c>
    </row>
    <row r="564" spans="1:6" ht="26.4" x14ac:dyDescent="0.25">
      <c r="A564" s="465">
        <v>1235</v>
      </c>
      <c r="B564" s="466" t="s">
        <v>5086</v>
      </c>
      <c r="C564" s="466" t="s">
        <v>4801</v>
      </c>
      <c r="D564" s="467" t="s">
        <v>5087</v>
      </c>
      <c r="E564" s="468" t="s">
        <v>2376</v>
      </c>
      <c r="F564" s="465">
        <v>17.239999999999998</v>
      </c>
    </row>
    <row r="565" spans="1:6" ht="26.4" x14ac:dyDescent="0.25">
      <c r="A565" s="465">
        <v>1236</v>
      </c>
      <c r="B565" s="466" t="s">
        <v>5084</v>
      </c>
      <c r="C565" s="466" t="s">
        <v>4801</v>
      </c>
      <c r="D565" s="467" t="s">
        <v>5085</v>
      </c>
      <c r="E565" s="468" t="s">
        <v>2376</v>
      </c>
      <c r="F565" s="465">
        <v>56.08</v>
      </c>
    </row>
    <row r="566" spans="1:6" ht="26.4" x14ac:dyDescent="0.25">
      <c r="A566" s="465">
        <v>1237</v>
      </c>
      <c r="B566" s="466" t="s">
        <v>7144</v>
      </c>
      <c r="C566" s="466" t="s">
        <v>2094</v>
      </c>
      <c r="D566" s="467" t="s">
        <v>7145</v>
      </c>
      <c r="E566" s="468" t="s">
        <v>2377</v>
      </c>
      <c r="F566" s="465">
        <v>120</v>
      </c>
    </row>
    <row r="567" spans="1:6" ht="26.4" x14ac:dyDescent="0.25">
      <c r="A567" s="465">
        <v>1238</v>
      </c>
      <c r="B567" s="466" t="s">
        <v>7164</v>
      </c>
      <c r="C567" s="466" t="s">
        <v>2094</v>
      </c>
      <c r="D567" s="467" t="s">
        <v>7165</v>
      </c>
      <c r="E567" s="468" t="s">
        <v>4850</v>
      </c>
      <c r="F567" s="465">
        <v>0.64</v>
      </c>
    </row>
    <row r="568" spans="1:6" ht="26.4" x14ac:dyDescent="0.25">
      <c r="A568" s="465">
        <v>1239</v>
      </c>
      <c r="B568" s="466" t="s">
        <v>5061</v>
      </c>
      <c r="C568" s="466" t="s">
        <v>4801</v>
      </c>
      <c r="D568" s="467" t="s">
        <v>5062</v>
      </c>
      <c r="E568" s="468" t="s">
        <v>4803</v>
      </c>
      <c r="F568" s="465">
        <v>142.72</v>
      </c>
    </row>
    <row r="569" spans="1:6" ht="26.4" x14ac:dyDescent="0.25">
      <c r="A569" s="465">
        <v>1240</v>
      </c>
      <c r="B569" s="466" t="s">
        <v>6943</v>
      </c>
      <c r="C569" s="466" t="s">
        <v>2094</v>
      </c>
      <c r="D569" s="467" t="s">
        <v>6944</v>
      </c>
      <c r="E569" s="468" t="s">
        <v>2377</v>
      </c>
      <c r="F569" s="465">
        <v>269.12</v>
      </c>
    </row>
    <row r="570" spans="1:6" ht="39.6" x14ac:dyDescent="0.25">
      <c r="A570" s="465">
        <v>1241</v>
      </c>
      <c r="B570" s="466" t="s">
        <v>5149</v>
      </c>
      <c r="C570" s="466" t="s">
        <v>4801</v>
      </c>
      <c r="D570" s="467" t="s">
        <v>5150</v>
      </c>
      <c r="E570" s="468" t="s">
        <v>4803</v>
      </c>
      <c r="F570" s="465">
        <v>22.14</v>
      </c>
    </row>
    <row r="571" spans="1:6" ht="26.4" x14ac:dyDescent="0.25">
      <c r="A571" s="465">
        <v>1242</v>
      </c>
      <c r="B571" s="466" t="s">
        <v>5354</v>
      </c>
      <c r="C571" s="466" t="s">
        <v>2094</v>
      </c>
      <c r="D571" s="467" t="s">
        <v>5355</v>
      </c>
      <c r="E571" s="468" t="s">
        <v>4813</v>
      </c>
      <c r="F571" s="465">
        <v>1.1100000000000001</v>
      </c>
    </row>
    <row r="572" spans="1:6" ht="39.6" x14ac:dyDescent="0.25">
      <c r="A572" s="465">
        <v>1243</v>
      </c>
      <c r="B572" s="466" t="s">
        <v>5365</v>
      </c>
      <c r="C572" s="466" t="s">
        <v>2094</v>
      </c>
      <c r="D572" s="467" t="s">
        <v>5366</v>
      </c>
      <c r="E572" s="468" t="s">
        <v>4813</v>
      </c>
      <c r="F572" s="465">
        <v>5.42</v>
      </c>
    </row>
    <row r="573" spans="1:6" ht="39.6" x14ac:dyDescent="0.25">
      <c r="A573" s="465">
        <v>1244</v>
      </c>
      <c r="B573" s="466" t="s">
        <v>5367</v>
      </c>
      <c r="C573" s="466" t="s">
        <v>2094</v>
      </c>
      <c r="D573" s="467" t="s">
        <v>5368</v>
      </c>
      <c r="E573" s="468" t="s">
        <v>4813</v>
      </c>
      <c r="F573" s="465">
        <v>8.25</v>
      </c>
    </row>
    <row r="574" spans="1:6" ht="39.6" x14ac:dyDescent="0.25">
      <c r="A574" s="465">
        <v>1245</v>
      </c>
      <c r="B574" s="466" t="s">
        <v>5369</v>
      </c>
      <c r="C574" s="466" t="s">
        <v>2094</v>
      </c>
      <c r="D574" s="467" t="s">
        <v>5370</v>
      </c>
      <c r="E574" s="468" t="s">
        <v>4813</v>
      </c>
      <c r="F574" s="465">
        <v>10.66</v>
      </c>
    </row>
    <row r="575" spans="1:6" ht="39.6" x14ac:dyDescent="0.25">
      <c r="A575" s="465">
        <v>1246</v>
      </c>
      <c r="B575" s="466" t="s">
        <v>5371</v>
      </c>
      <c r="C575" s="466" t="s">
        <v>2094</v>
      </c>
      <c r="D575" s="467" t="s">
        <v>5372</v>
      </c>
      <c r="E575" s="468" t="s">
        <v>4813</v>
      </c>
      <c r="F575" s="465">
        <v>18.309999999999999</v>
      </c>
    </row>
    <row r="576" spans="1:6" ht="39.6" x14ac:dyDescent="0.25">
      <c r="A576" s="465">
        <v>1247</v>
      </c>
      <c r="B576" s="466" t="s">
        <v>5373</v>
      </c>
      <c r="C576" s="466" t="s">
        <v>2094</v>
      </c>
      <c r="D576" s="467" t="s">
        <v>5374</v>
      </c>
      <c r="E576" s="468" t="s">
        <v>4813</v>
      </c>
      <c r="F576" s="465">
        <v>25.64</v>
      </c>
    </row>
    <row r="577" spans="1:6" ht="39.6" x14ac:dyDescent="0.25">
      <c r="A577" s="465">
        <v>1248</v>
      </c>
      <c r="B577" s="466" t="s">
        <v>5375</v>
      </c>
      <c r="C577" s="466" t="s">
        <v>2094</v>
      </c>
      <c r="D577" s="467" t="s">
        <v>5376</v>
      </c>
      <c r="E577" s="468" t="s">
        <v>4813</v>
      </c>
      <c r="F577" s="465">
        <v>32.96</v>
      </c>
    </row>
    <row r="578" spans="1:6" ht="39.6" x14ac:dyDescent="0.25">
      <c r="A578" s="465">
        <v>1249</v>
      </c>
      <c r="B578" s="466" t="s">
        <v>5379</v>
      </c>
      <c r="C578" s="466" t="s">
        <v>2094</v>
      </c>
      <c r="D578" s="467" t="s">
        <v>5380</v>
      </c>
      <c r="E578" s="468" t="s">
        <v>4813</v>
      </c>
      <c r="F578" s="465">
        <v>52.09</v>
      </c>
    </row>
    <row r="579" spans="1:6" ht="39.6" x14ac:dyDescent="0.25">
      <c r="A579" s="465">
        <v>1250</v>
      </c>
      <c r="B579" s="466" t="s">
        <v>5383</v>
      </c>
      <c r="C579" s="466" t="s">
        <v>2094</v>
      </c>
      <c r="D579" s="467" t="s">
        <v>5384</v>
      </c>
      <c r="E579" s="468" t="s">
        <v>4813</v>
      </c>
      <c r="F579" s="465">
        <v>122.17</v>
      </c>
    </row>
    <row r="580" spans="1:6" ht="26.4" x14ac:dyDescent="0.25">
      <c r="A580" s="465">
        <v>1251</v>
      </c>
      <c r="B580" s="466" t="s">
        <v>5463</v>
      </c>
      <c r="C580" s="466" t="s">
        <v>2094</v>
      </c>
      <c r="D580" s="467" t="s">
        <v>5464</v>
      </c>
      <c r="E580" s="468" t="s">
        <v>4813</v>
      </c>
      <c r="F580" s="465">
        <v>9.84</v>
      </c>
    </row>
    <row r="581" spans="1:6" ht="26.4" x14ac:dyDescent="0.25">
      <c r="A581" s="465">
        <v>1252</v>
      </c>
      <c r="B581" s="466" t="s">
        <v>5479</v>
      </c>
      <c r="C581" s="466" t="s">
        <v>2094</v>
      </c>
      <c r="D581" s="467" t="s">
        <v>5480</v>
      </c>
      <c r="E581" s="468" t="s">
        <v>4813</v>
      </c>
      <c r="F581" s="465">
        <v>21.03</v>
      </c>
    </row>
    <row r="582" spans="1:6" ht="26.4" x14ac:dyDescent="0.25">
      <c r="A582" s="465">
        <v>1253</v>
      </c>
      <c r="B582" s="466" t="s">
        <v>5495</v>
      </c>
      <c r="C582" s="466" t="s">
        <v>2094</v>
      </c>
      <c r="D582" s="467" t="s">
        <v>5496</v>
      </c>
      <c r="E582" s="468" t="s">
        <v>4813</v>
      </c>
      <c r="F582" s="465">
        <v>18.97</v>
      </c>
    </row>
    <row r="583" spans="1:6" ht="26.4" x14ac:dyDescent="0.25">
      <c r="A583" s="465">
        <v>1254</v>
      </c>
      <c r="B583" s="466" t="s">
        <v>5515</v>
      </c>
      <c r="C583" s="466" t="s">
        <v>2094</v>
      </c>
      <c r="D583" s="467" t="s">
        <v>5516</v>
      </c>
      <c r="E583" s="468" t="s">
        <v>4863</v>
      </c>
      <c r="F583" s="465">
        <v>31.76</v>
      </c>
    </row>
    <row r="584" spans="1:6" ht="26.4" x14ac:dyDescent="0.25">
      <c r="A584" s="465">
        <v>1255</v>
      </c>
      <c r="B584" s="466" t="s">
        <v>5527</v>
      </c>
      <c r="C584" s="466" t="s">
        <v>2094</v>
      </c>
      <c r="D584" s="467" t="s">
        <v>5528</v>
      </c>
      <c r="E584" s="468" t="s">
        <v>4863</v>
      </c>
      <c r="F584" s="465">
        <v>52.31</v>
      </c>
    </row>
    <row r="585" spans="1:6" ht="26.4" x14ac:dyDescent="0.25">
      <c r="A585" s="465">
        <v>1256</v>
      </c>
      <c r="B585" s="466" t="s">
        <v>5529</v>
      </c>
      <c r="C585" s="466" t="s">
        <v>2094</v>
      </c>
      <c r="D585" s="467" t="s">
        <v>5530</v>
      </c>
      <c r="E585" s="468" t="s">
        <v>4803</v>
      </c>
      <c r="F585" s="465">
        <v>87.67</v>
      </c>
    </row>
    <row r="586" spans="1:6" ht="39.6" x14ac:dyDescent="0.25">
      <c r="A586" s="465">
        <v>1257</v>
      </c>
      <c r="B586" s="466" t="s">
        <v>6019</v>
      </c>
      <c r="C586" s="466" t="s">
        <v>2094</v>
      </c>
      <c r="D586" s="467" t="s">
        <v>6020</v>
      </c>
      <c r="E586" s="468" t="s">
        <v>4886</v>
      </c>
      <c r="F586" s="465">
        <v>540.92999999999995</v>
      </c>
    </row>
    <row r="587" spans="1:6" ht="39.6" x14ac:dyDescent="0.25">
      <c r="A587" s="465">
        <v>1258</v>
      </c>
      <c r="B587" s="466" t="s">
        <v>4861</v>
      </c>
      <c r="C587" s="466" t="s">
        <v>4801</v>
      </c>
      <c r="D587" s="467" t="s">
        <v>4862</v>
      </c>
      <c r="E587" s="468" t="s">
        <v>4863</v>
      </c>
      <c r="F587" s="465">
        <v>788.63</v>
      </c>
    </row>
    <row r="588" spans="1:6" ht="26.4" x14ac:dyDescent="0.25">
      <c r="A588" s="465">
        <v>1259</v>
      </c>
      <c r="B588" s="466" t="s">
        <v>5190</v>
      </c>
      <c r="C588" s="466" t="s">
        <v>4801</v>
      </c>
      <c r="D588" s="467" t="s">
        <v>5191</v>
      </c>
      <c r="E588" s="468" t="s">
        <v>4803</v>
      </c>
      <c r="F588" s="465">
        <v>256.39999999999998</v>
      </c>
    </row>
    <row r="589" spans="1:6" ht="39.6" x14ac:dyDescent="0.25">
      <c r="A589" s="465">
        <v>1260</v>
      </c>
      <c r="B589" s="466" t="s">
        <v>4884</v>
      </c>
      <c r="C589" s="466" t="s">
        <v>4801</v>
      </c>
      <c r="D589" s="467" t="s">
        <v>4885</v>
      </c>
      <c r="E589" s="468" t="s">
        <v>4886</v>
      </c>
      <c r="F589" s="465">
        <v>2.0499999999999998</v>
      </c>
    </row>
    <row r="590" spans="1:6" ht="39.6" x14ac:dyDescent="0.25">
      <c r="A590" s="465">
        <v>1261</v>
      </c>
      <c r="B590" s="466" t="s">
        <v>5279</v>
      </c>
      <c r="C590" s="466" t="s">
        <v>2094</v>
      </c>
      <c r="D590" s="467" t="s">
        <v>5280</v>
      </c>
      <c r="E590" s="468" t="s">
        <v>4863</v>
      </c>
      <c r="F590" s="465">
        <v>76.64</v>
      </c>
    </row>
    <row r="591" spans="1:6" ht="39.6" x14ac:dyDescent="0.25">
      <c r="A591" s="465">
        <v>1262</v>
      </c>
      <c r="B591" s="466" t="s">
        <v>5281</v>
      </c>
      <c r="C591" s="466" t="s">
        <v>2094</v>
      </c>
      <c r="D591" s="467" t="s">
        <v>5282</v>
      </c>
      <c r="E591" s="468" t="s">
        <v>4813</v>
      </c>
      <c r="F591" s="465">
        <v>123.42</v>
      </c>
    </row>
    <row r="592" spans="1:6" ht="39.6" x14ac:dyDescent="0.25">
      <c r="A592" s="465">
        <v>1263</v>
      </c>
      <c r="B592" s="466" t="s">
        <v>5275</v>
      </c>
      <c r="C592" s="466" t="s">
        <v>2094</v>
      </c>
      <c r="D592" s="467" t="s">
        <v>5276</v>
      </c>
      <c r="E592" s="468" t="s">
        <v>4813</v>
      </c>
      <c r="F592" s="465">
        <v>170.56</v>
      </c>
    </row>
    <row r="593" spans="1:6" ht="39.6" x14ac:dyDescent="0.25">
      <c r="A593" s="465">
        <v>1264</v>
      </c>
      <c r="B593" s="466" t="s">
        <v>5277</v>
      </c>
      <c r="C593" s="466" t="s">
        <v>2094</v>
      </c>
      <c r="D593" s="467" t="s">
        <v>5278</v>
      </c>
      <c r="E593" s="468" t="s">
        <v>4813</v>
      </c>
      <c r="F593" s="465">
        <v>584.34</v>
      </c>
    </row>
    <row r="594" spans="1:6" ht="26.4" x14ac:dyDescent="0.25">
      <c r="A594" s="465">
        <v>1265</v>
      </c>
      <c r="B594" s="466" t="s">
        <v>5316</v>
      </c>
      <c r="C594" s="466" t="s">
        <v>2094</v>
      </c>
      <c r="D594" s="467" t="s">
        <v>5317</v>
      </c>
      <c r="E594" s="468" t="s">
        <v>4813</v>
      </c>
      <c r="F594" s="465">
        <v>3.79</v>
      </c>
    </row>
    <row r="595" spans="1:6" ht="26.4" x14ac:dyDescent="0.25">
      <c r="A595" s="465">
        <v>1266</v>
      </c>
      <c r="B595" s="466" t="s">
        <v>5320</v>
      </c>
      <c r="C595" s="466" t="s">
        <v>2094</v>
      </c>
      <c r="D595" s="467" t="s">
        <v>5321</v>
      </c>
      <c r="E595" s="468" t="s">
        <v>4813</v>
      </c>
      <c r="F595" s="465">
        <v>5.52</v>
      </c>
    </row>
    <row r="596" spans="1:6" ht="26.4" x14ac:dyDescent="0.25">
      <c r="A596" s="465">
        <v>1267</v>
      </c>
      <c r="B596" s="466" t="s">
        <v>5322</v>
      </c>
      <c r="C596" s="466" t="s">
        <v>2094</v>
      </c>
      <c r="D596" s="467" t="s">
        <v>5323</v>
      </c>
      <c r="E596" s="468" t="s">
        <v>4813</v>
      </c>
      <c r="F596" s="465">
        <v>7.24</v>
      </c>
    </row>
    <row r="597" spans="1:6" ht="26.4" x14ac:dyDescent="0.25">
      <c r="A597" s="465">
        <v>1268</v>
      </c>
      <c r="B597" s="466" t="s">
        <v>5296</v>
      </c>
      <c r="C597" s="466" t="s">
        <v>2094</v>
      </c>
      <c r="D597" s="467" t="s">
        <v>5297</v>
      </c>
      <c r="E597" s="468" t="s">
        <v>4813</v>
      </c>
      <c r="F597" s="465">
        <v>8.86</v>
      </c>
    </row>
    <row r="598" spans="1:6" ht="26.4" x14ac:dyDescent="0.25">
      <c r="A598" s="465">
        <v>1269</v>
      </c>
      <c r="B598" s="466" t="s">
        <v>5300</v>
      </c>
      <c r="C598" s="466" t="s">
        <v>2094</v>
      </c>
      <c r="D598" s="467" t="s">
        <v>5301</v>
      </c>
      <c r="E598" s="468" t="s">
        <v>4813</v>
      </c>
      <c r="F598" s="465">
        <v>10.81</v>
      </c>
    </row>
    <row r="599" spans="1:6" ht="39.6" x14ac:dyDescent="0.25">
      <c r="A599" s="465">
        <v>1270</v>
      </c>
      <c r="B599" s="466" t="s">
        <v>5350</v>
      </c>
      <c r="C599" s="466" t="s">
        <v>2094</v>
      </c>
      <c r="D599" s="467" t="s">
        <v>5351</v>
      </c>
      <c r="E599" s="468" t="s">
        <v>4813</v>
      </c>
      <c r="F599" s="465">
        <v>0.48</v>
      </c>
    </row>
    <row r="600" spans="1:6" ht="39.6" x14ac:dyDescent="0.25">
      <c r="A600" s="465">
        <v>1271</v>
      </c>
      <c r="B600" s="466" t="s">
        <v>5352</v>
      </c>
      <c r="C600" s="466" t="s">
        <v>2094</v>
      </c>
      <c r="D600" s="467" t="s">
        <v>5353</v>
      </c>
      <c r="E600" s="468" t="s">
        <v>4813</v>
      </c>
      <c r="F600" s="465">
        <v>0.74</v>
      </c>
    </row>
    <row r="601" spans="1:6" ht="39.6" x14ac:dyDescent="0.25">
      <c r="A601" s="465">
        <v>1272</v>
      </c>
      <c r="B601" s="466" t="s">
        <v>5356</v>
      </c>
      <c r="C601" s="466" t="s">
        <v>2094</v>
      </c>
      <c r="D601" s="467" t="s">
        <v>5357</v>
      </c>
      <c r="E601" s="468" t="s">
        <v>4813</v>
      </c>
      <c r="F601" s="465">
        <v>2.06</v>
      </c>
    </row>
    <row r="602" spans="1:6" ht="39.6" x14ac:dyDescent="0.25">
      <c r="A602" s="465">
        <v>1273</v>
      </c>
      <c r="B602" s="466" t="s">
        <v>5344</v>
      </c>
      <c r="C602" s="466" t="s">
        <v>2094</v>
      </c>
      <c r="D602" s="467" t="s">
        <v>5345</v>
      </c>
      <c r="E602" s="468" t="s">
        <v>4813</v>
      </c>
      <c r="F602" s="465">
        <v>3.83</v>
      </c>
    </row>
    <row r="603" spans="1:6" ht="39.6" x14ac:dyDescent="0.25">
      <c r="A603" s="465">
        <v>1274</v>
      </c>
      <c r="B603" s="466" t="s">
        <v>5346</v>
      </c>
      <c r="C603" s="466" t="s">
        <v>2094</v>
      </c>
      <c r="D603" s="467" t="s">
        <v>5347</v>
      </c>
      <c r="E603" s="468" t="s">
        <v>4813</v>
      </c>
      <c r="F603" s="465">
        <v>4.8600000000000003</v>
      </c>
    </row>
    <row r="604" spans="1:6" ht="39.6" x14ac:dyDescent="0.25">
      <c r="A604" s="465">
        <v>1275</v>
      </c>
      <c r="B604" s="466" t="s">
        <v>5385</v>
      </c>
      <c r="C604" s="466" t="s">
        <v>2094</v>
      </c>
      <c r="D604" s="467" t="s">
        <v>5386</v>
      </c>
      <c r="E604" s="468" t="s">
        <v>4813</v>
      </c>
      <c r="F604" s="465">
        <v>3.87</v>
      </c>
    </row>
    <row r="605" spans="1:6" ht="66" x14ac:dyDescent="0.25">
      <c r="A605" s="465">
        <v>1277</v>
      </c>
      <c r="B605" s="466" t="s">
        <v>6496</v>
      </c>
      <c r="C605" s="466" t="s">
        <v>2094</v>
      </c>
      <c r="D605" s="467" t="s">
        <v>6497</v>
      </c>
      <c r="E605" s="468" t="s">
        <v>4850</v>
      </c>
      <c r="F605" s="465">
        <v>2.6</v>
      </c>
    </row>
    <row r="606" spans="1:6" ht="66" x14ac:dyDescent="0.25">
      <c r="A606" s="465">
        <v>1278</v>
      </c>
      <c r="B606" s="466" t="s">
        <v>6494</v>
      </c>
      <c r="C606" s="466" t="s">
        <v>2094</v>
      </c>
      <c r="D606" s="467" t="s">
        <v>6495</v>
      </c>
      <c r="E606" s="468" t="s">
        <v>4850</v>
      </c>
      <c r="F606" s="465">
        <v>3.01</v>
      </c>
    </row>
    <row r="607" spans="1:6" ht="26.4" x14ac:dyDescent="0.25">
      <c r="A607" s="465">
        <v>1279</v>
      </c>
      <c r="B607" s="466" t="s">
        <v>5945</v>
      </c>
      <c r="C607" s="466" t="s">
        <v>2094</v>
      </c>
      <c r="D607" s="467" t="s">
        <v>5946</v>
      </c>
      <c r="E607" s="468" t="s">
        <v>5947</v>
      </c>
      <c r="F607" s="465">
        <v>4.04</v>
      </c>
    </row>
    <row r="608" spans="1:6" ht="26.4" x14ac:dyDescent="0.25">
      <c r="A608" s="465">
        <v>1280</v>
      </c>
      <c r="B608" s="466" t="s">
        <v>5318</v>
      </c>
      <c r="C608" s="466" t="s">
        <v>2094</v>
      </c>
      <c r="D608" s="467" t="s">
        <v>5319</v>
      </c>
      <c r="E608" s="468" t="s">
        <v>4813</v>
      </c>
      <c r="F608" s="465">
        <v>36.33</v>
      </c>
    </row>
    <row r="609" spans="1:6" ht="26.4" x14ac:dyDescent="0.25">
      <c r="A609" s="465">
        <v>1281</v>
      </c>
      <c r="B609" s="466" t="s">
        <v>7122</v>
      </c>
      <c r="C609" s="466" t="s">
        <v>2094</v>
      </c>
      <c r="D609" s="467" t="s">
        <v>7123</v>
      </c>
      <c r="E609" s="468" t="s">
        <v>4863</v>
      </c>
      <c r="F609" s="465">
        <v>165.01</v>
      </c>
    </row>
    <row r="610" spans="1:6" ht="39.6" x14ac:dyDescent="0.25">
      <c r="A610" s="465">
        <v>1282</v>
      </c>
      <c r="B610" s="466" t="s">
        <v>6440</v>
      </c>
      <c r="C610" s="466" t="s">
        <v>2094</v>
      </c>
      <c r="D610" s="467" t="s">
        <v>6441</v>
      </c>
      <c r="E610" s="468" t="s">
        <v>2376</v>
      </c>
      <c r="F610" s="465">
        <v>29.23</v>
      </c>
    </row>
    <row r="611" spans="1:6" ht="26.4" x14ac:dyDescent="0.25">
      <c r="A611" s="465">
        <v>1287</v>
      </c>
      <c r="B611" s="466" t="s">
        <v>7393</v>
      </c>
      <c r="C611" s="466" t="s">
        <v>2094</v>
      </c>
      <c r="D611" s="467" t="s">
        <v>7394</v>
      </c>
      <c r="E611" s="468" t="s">
        <v>5668</v>
      </c>
      <c r="F611" s="465">
        <v>150</v>
      </c>
    </row>
    <row r="612" spans="1:6" ht="26.4" x14ac:dyDescent="0.25">
      <c r="A612" s="465">
        <v>1288</v>
      </c>
      <c r="B612" s="466" t="s">
        <v>7399</v>
      </c>
      <c r="C612" s="466" t="s">
        <v>2094</v>
      </c>
      <c r="D612" s="467" t="s">
        <v>7400</v>
      </c>
      <c r="E612" s="468" t="s">
        <v>5668</v>
      </c>
      <c r="F612" s="465">
        <v>146.80000000000001</v>
      </c>
    </row>
    <row r="613" spans="1:6" ht="26.4" x14ac:dyDescent="0.25">
      <c r="A613" s="465">
        <v>1289</v>
      </c>
      <c r="B613" s="466" t="s">
        <v>7395</v>
      </c>
      <c r="C613" s="466" t="s">
        <v>2094</v>
      </c>
      <c r="D613" s="467" t="s">
        <v>7396</v>
      </c>
      <c r="E613" s="468" t="s">
        <v>5668</v>
      </c>
      <c r="F613" s="465">
        <v>101</v>
      </c>
    </row>
    <row r="614" spans="1:6" ht="26.4" x14ac:dyDescent="0.25">
      <c r="A614" s="465">
        <v>1290</v>
      </c>
      <c r="B614" s="466" t="s">
        <v>7397</v>
      </c>
      <c r="C614" s="466" t="s">
        <v>2094</v>
      </c>
      <c r="D614" s="467" t="s">
        <v>7398</v>
      </c>
      <c r="E614" s="468" t="s">
        <v>5668</v>
      </c>
      <c r="F614" s="465">
        <v>107.5</v>
      </c>
    </row>
    <row r="615" spans="1:6" ht="26.4" x14ac:dyDescent="0.25">
      <c r="A615" s="465">
        <v>1291</v>
      </c>
      <c r="B615" s="466" t="s">
        <v>5118</v>
      </c>
      <c r="C615" s="466" t="s">
        <v>4801</v>
      </c>
      <c r="D615" s="467" t="s">
        <v>5119</v>
      </c>
      <c r="E615" s="468" t="s">
        <v>2376</v>
      </c>
      <c r="F615" s="465">
        <v>2801.9</v>
      </c>
    </row>
    <row r="616" spans="1:6" x14ac:dyDescent="0.25">
      <c r="A616" s="465">
        <v>1294</v>
      </c>
      <c r="B616" s="466" t="s">
        <v>7170</v>
      </c>
      <c r="C616" s="466" t="s">
        <v>2094</v>
      </c>
      <c r="D616" s="467" t="s">
        <v>5959</v>
      </c>
      <c r="E616" s="468" t="s">
        <v>5360</v>
      </c>
      <c r="F616" s="465">
        <v>4.0599999999999996</v>
      </c>
    </row>
    <row r="617" spans="1:6" ht="26.4" x14ac:dyDescent="0.25">
      <c r="A617" s="465">
        <v>1303</v>
      </c>
      <c r="B617" s="466" t="s">
        <v>6689</v>
      </c>
      <c r="C617" s="466" t="s">
        <v>2094</v>
      </c>
      <c r="D617" s="467" t="s">
        <v>6690</v>
      </c>
      <c r="E617" s="468" t="s">
        <v>4810</v>
      </c>
      <c r="F617" s="465">
        <v>0.68</v>
      </c>
    </row>
    <row r="618" spans="1:6" ht="26.4" x14ac:dyDescent="0.25">
      <c r="A618" s="465">
        <v>1304</v>
      </c>
      <c r="B618" s="466" t="s">
        <v>6687</v>
      </c>
      <c r="C618" s="466" t="s">
        <v>2094</v>
      </c>
      <c r="D618" s="467" t="s">
        <v>6688</v>
      </c>
      <c r="E618" s="468" t="s">
        <v>4810</v>
      </c>
      <c r="F618" s="465">
        <v>0.64</v>
      </c>
    </row>
    <row r="619" spans="1:6" ht="26.4" x14ac:dyDescent="0.25">
      <c r="A619" s="465">
        <v>1305</v>
      </c>
      <c r="B619" s="466" t="s">
        <v>5066</v>
      </c>
      <c r="C619" s="466" t="s">
        <v>4801</v>
      </c>
      <c r="D619" s="467" t="s">
        <v>5067</v>
      </c>
      <c r="E619" s="468" t="s">
        <v>4803</v>
      </c>
      <c r="F619" s="465">
        <v>40.46</v>
      </c>
    </row>
    <row r="620" spans="1:6" ht="39.6" x14ac:dyDescent="0.25">
      <c r="A620" s="465">
        <v>1306</v>
      </c>
      <c r="B620" s="466" t="s">
        <v>4974</v>
      </c>
      <c r="C620" s="466" t="s">
        <v>4801</v>
      </c>
      <c r="D620" s="467" t="s">
        <v>4975</v>
      </c>
      <c r="E620" s="468" t="s">
        <v>4803</v>
      </c>
      <c r="F620" s="465">
        <v>29.48</v>
      </c>
    </row>
    <row r="621" spans="1:6" ht="26.4" x14ac:dyDescent="0.25">
      <c r="A621" s="465">
        <v>1307</v>
      </c>
      <c r="B621" s="466" t="s">
        <v>7101</v>
      </c>
      <c r="C621" s="466" t="s">
        <v>2094</v>
      </c>
      <c r="D621" s="467" t="s">
        <v>7102</v>
      </c>
      <c r="E621" s="468" t="s">
        <v>4813</v>
      </c>
      <c r="F621" s="465">
        <v>2.2000000000000002</v>
      </c>
    </row>
    <row r="622" spans="1:6" ht="26.4" x14ac:dyDescent="0.25">
      <c r="A622" s="465">
        <v>1308</v>
      </c>
      <c r="B622" s="466" t="s">
        <v>6171</v>
      </c>
      <c r="C622" s="466" t="s">
        <v>2094</v>
      </c>
      <c r="D622" s="467" t="s">
        <v>6172</v>
      </c>
      <c r="E622" s="468" t="s">
        <v>4863</v>
      </c>
      <c r="F622" s="465">
        <v>0.44</v>
      </c>
    </row>
    <row r="623" spans="1:6" ht="26.4" x14ac:dyDescent="0.25">
      <c r="A623" s="465">
        <v>1309</v>
      </c>
      <c r="B623" s="466" t="s">
        <v>6169</v>
      </c>
      <c r="C623" s="466" t="s">
        <v>2094</v>
      </c>
      <c r="D623" s="467" t="s">
        <v>6170</v>
      </c>
      <c r="E623" s="468" t="s">
        <v>4863</v>
      </c>
      <c r="F623" s="465">
        <v>16.72</v>
      </c>
    </row>
    <row r="624" spans="1:6" ht="39.6" x14ac:dyDescent="0.25">
      <c r="A624" s="465">
        <v>1310</v>
      </c>
      <c r="B624" s="466" t="s">
        <v>6446</v>
      </c>
      <c r="C624" s="466" t="s">
        <v>2094</v>
      </c>
      <c r="D624" s="467" t="s">
        <v>6447</v>
      </c>
      <c r="E624" s="468" t="s">
        <v>2376</v>
      </c>
      <c r="F624" s="465">
        <v>13.42</v>
      </c>
    </row>
    <row r="625" spans="1:6" ht="52.8" x14ac:dyDescent="0.25">
      <c r="A625" s="465">
        <v>1311</v>
      </c>
      <c r="B625" s="466" t="s">
        <v>6452</v>
      </c>
      <c r="C625" s="466" t="s">
        <v>2094</v>
      </c>
      <c r="D625" s="467" t="s">
        <v>6453</v>
      </c>
      <c r="E625" s="468" t="s">
        <v>2376</v>
      </c>
      <c r="F625" s="465">
        <v>2.0099999999999998</v>
      </c>
    </row>
    <row r="626" spans="1:6" ht="52.8" x14ac:dyDescent="0.25">
      <c r="A626" s="465">
        <v>1313</v>
      </c>
      <c r="B626" s="466" t="s">
        <v>4874</v>
      </c>
      <c r="C626" s="466" t="s">
        <v>4801</v>
      </c>
      <c r="D626" s="467" t="s">
        <v>4875</v>
      </c>
      <c r="E626" s="468" t="s">
        <v>2376</v>
      </c>
      <c r="F626" s="465">
        <v>102.67</v>
      </c>
    </row>
    <row r="627" spans="1:6" ht="39.6" x14ac:dyDescent="0.25">
      <c r="A627" s="465">
        <v>1314</v>
      </c>
      <c r="B627" s="466" t="s">
        <v>5009</v>
      </c>
      <c r="C627" s="466" t="s">
        <v>4801</v>
      </c>
      <c r="D627" s="467" t="s">
        <v>5010</v>
      </c>
      <c r="E627" s="468" t="s">
        <v>2376</v>
      </c>
      <c r="F627" s="465">
        <v>146.66999999999999</v>
      </c>
    </row>
    <row r="628" spans="1:6" ht="39.6" x14ac:dyDescent="0.25">
      <c r="A628" s="465">
        <v>1315</v>
      </c>
      <c r="B628" s="466" t="s">
        <v>5003</v>
      </c>
      <c r="C628" s="466" t="s">
        <v>4801</v>
      </c>
      <c r="D628" s="467" t="s">
        <v>5004</v>
      </c>
      <c r="E628" s="468" t="s">
        <v>2376</v>
      </c>
      <c r="F628" s="465">
        <v>211.53</v>
      </c>
    </row>
    <row r="629" spans="1:6" ht="52.8" x14ac:dyDescent="0.25">
      <c r="A629" s="465">
        <v>1316</v>
      </c>
      <c r="B629" s="466" t="s">
        <v>5005</v>
      </c>
      <c r="C629" s="466" t="s">
        <v>4801</v>
      </c>
      <c r="D629" s="467" t="s">
        <v>5006</v>
      </c>
      <c r="E629" s="468" t="s">
        <v>2376</v>
      </c>
      <c r="F629" s="465">
        <v>146.66999999999999</v>
      </c>
    </row>
    <row r="630" spans="1:6" ht="52.8" x14ac:dyDescent="0.25">
      <c r="A630" s="465">
        <v>1317</v>
      </c>
      <c r="B630" s="466" t="s">
        <v>5007</v>
      </c>
      <c r="C630" s="466" t="s">
        <v>4801</v>
      </c>
      <c r="D630" s="467" t="s">
        <v>5008</v>
      </c>
      <c r="E630" s="468" t="s">
        <v>2376</v>
      </c>
      <c r="F630" s="465">
        <v>146.66999999999999</v>
      </c>
    </row>
    <row r="631" spans="1:6" ht="26.4" x14ac:dyDescent="0.25">
      <c r="A631" s="465">
        <v>1318</v>
      </c>
      <c r="B631" s="466" t="s">
        <v>5076</v>
      </c>
      <c r="C631" s="466" t="s">
        <v>4801</v>
      </c>
      <c r="D631" s="467" t="s">
        <v>5077</v>
      </c>
      <c r="E631" s="468" t="s">
        <v>4803</v>
      </c>
      <c r="F631" s="465">
        <v>2</v>
      </c>
    </row>
    <row r="632" spans="1:6" x14ac:dyDescent="0.25">
      <c r="A632" s="465">
        <v>1319</v>
      </c>
      <c r="B632" s="466" t="s">
        <v>5074</v>
      </c>
      <c r="C632" s="466" t="s">
        <v>4801</v>
      </c>
      <c r="D632" s="467" t="s">
        <v>5075</v>
      </c>
      <c r="E632" s="468" t="s">
        <v>4803</v>
      </c>
      <c r="F632" s="465">
        <v>6</v>
      </c>
    </row>
    <row r="633" spans="1:6" ht="39.6" x14ac:dyDescent="0.25">
      <c r="A633" s="465">
        <v>1320</v>
      </c>
      <c r="B633" s="466" t="s">
        <v>4904</v>
      </c>
      <c r="C633" s="466" t="s">
        <v>4801</v>
      </c>
      <c r="D633" s="467" t="s">
        <v>4905</v>
      </c>
      <c r="E633" s="468" t="s">
        <v>4803</v>
      </c>
      <c r="F633" s="465">
        <v>77.760000000000005</v>
      </c>
    </row>
    <row r="634" spans="1:6" ht="26.4" x14ac:dyDescent="0.25">
      <c r="A634" s="465">
        <v>1321</v>
      </c>
      <c r="B634" s="466" t="s">
        <v>6490</v>
      </c>
      <c r="C634" s="466" t="s">
        <v>2094</v>
      </c>
      <c r="D634" s="467" t="s">
        <v>6491</v>
      </c>
      <c r="E634" s="468" t="s">
        <v>2376</v>
      </c>
      <c r="F634" s="465">
        <v>41.1</v>
      </c>
    </row>
    <row r="635" spans="1:6" ht="39.6" x14ac:dyDescent="0.25">
      <c r="A635" s="465">
        <v>1322</v>
      </c>
      <c r="B635" s="466" t="s">
        <v>6780</v>
      </c>
      <c r="C635" s="466" t="s">
        <v>2094</v>
      </c>
      <c r="D635" s="467" t="s">
        <v>6781</v>
      </c>
      <c r="E635" s="468" t="s">
        <v>5360</v>
      </c>
      <c r="F635" s="465">
        <v>1.1299999999999999</v>
      </c>
    </row>
    <row r="636" spans="1:6" ht="39.6" x14ac:dyDescent="0.25">
      <c r="A636" s="465">
        <v>1323</v>
      </c>
      <c r="B636" s="466" t="s">
        <v>5573</v>
      </c>
      <c r="C636" s="466" t="s">
        <v>2094</v>
      </c>
      <c r="D636" s="467" t="s">
        <v>5574</v>
      </c>
      <c r="E636" s="468" t="s">
        <v>5360</v>
      </c>
      <c r="F636" s="465">
        <v>1.42</v>
      </c>
    </row>
    <row r="637" spans="1:6" ht="26.4" x14ac:dyDescent="0.25">
      <c r="A637" s="465">
        <v>1325</v>
      </c>
      <c r="B637" s="466" t="s">
        <v>6793</v>
      </c>
      <c r="C637" s="466" t="s">
        <v>2094</v>
      </c>
      <c r="D637" s="467" t="s">
        <v>6794</v>
      </c>
      <c r="E637" s="468" t="s">
        <v>5360</v>
      </c>
      <c r="F637" s="465">
        <v>1.1499999999999999</v>
      </c>
    </row>
    <row r="638" spans="1:6" ht="26.4" x14ac:dyDescent="0.25">
      <c r="A638" s="465">
        <v>1326</v>
      </c>
      <c r="B638" s="466" t="s">
        <v>6774</v>
      </c>
      <c r="C638" s="466" t="s">
        <v>2094</v>
      </c>
      <c r="D638" s="467" t="s">
        <v>6775</v>
      </c>
      <c r="E638" s="468" t="s">
        <v>5360</v>
      </c>
      <c r="F638" s="465">
        <v>4.6100000000000003</v>
      </c>
    </row>
    <row r="639" spans="1:6" ht="39.6" x14ac:dyDescent="0.25">
      <c r="A639" s="465">
        <v>1327</v>
      </c>
      <c r="B639" s="466" t="s">
        <v>4980</v>
      </c>
      <c r="C639" s="466" t="s">
        <v>4801</v>
      </c>
      <c r="D639" s="467" t="s">
        <v>4981</v>
      </c>
      <c r="E639" s="468" t="s">
        <v>4803</v>
      </c>
      <c r="F639" s="465">
        <v>47.13</v>
      </c>
    </row>
    <row r="640" spans="1:6" ht="52.8" x14ac:dyDescent="0.25">
      <c r="A640" s="465">
        <v>1328</v>
      </c>
      <c r="B640" s="466" t="s">
        <v>5092</v>
      </c>
      <c r="C640" s="466" t="s">
        <v>4801</v>
      </c>
      <c r="D640" s="467" t="s">
        <v>5093</v>
      </c>
      <c r="E640" s="468" t="s">
        <v>4803</v>
      </c>
      <c r="F640" s="465">
        <v>14.25</v>
      </c>
    </row>
    <row r="641" spans="1:6" ht="39.6" x14ac:dyDescent="0.25">
      <c r="A641" s="465">
        <v>1329</v>
      </c>
      <c r="B641" s="466" t="s">
        <v>4912</v>
      </c>
      <c r="C641" s="466" t="s">
        <v>4801</v>
      </c>
      <c r="D641" s="467" t="s">
        <v>4913</v>
      </c>
      <c r="E641" s="468" t="s">
        <v>4803</v>
      </c>
      <c r="F641" s="465">
        <v>177.49</v>
      </c>
    </row>
    <row r="642" spans="1:6" ht="52.8" x14ac:dyDescent="0.25">
      <c r="A642" s="465">
        <v>1330</v>
      </c>
      <c r="B642" s="466" t="s">
        <v>5094</v>
      </c>
      <c r="C642" s="466" t="s">
        <v>4801</v>
      </c>
      <c r="D642" s="467" t="s">
        <v>5095</v>
      </c>
      <c r="E642" s="468" t="s">
        <v>4803</v>
      </c>
      <c r="F642" s="465">
        <v>54.89</v>
      </c>
    </row>
    <row r="643" spans="1:6" ht="26.4" x14ac:dyDescent="0.25">
      <c r="A643" s="465">
        <v>1331</v>
      </c>
      <c r="B643" s="466" t="s">
        <v>5919</v>
      </c>
      <c r="C643" s="466" t="s">
        <v>2094</v>
      </c>
      <c r="D643" s="467" t="s">
        <v>5920</v>
      </c>
      <c r="E643" s="468" t="s">
        <v>4886</v>
      </c>
      <c r="F643" s="465">
        <v>42.71</v>
      </c>
    </row>
    <row r="644" spans="1:6" ht="26.4" x14ac:dyDescent="0.25">
      <c r="A644" s="465">
        <v>1332</v>
      </c>
      <c r="B644" s="466" t="s">
        <v>5914</v>
      </c>
      <c r="C644" s="466" t="s">
        <v>2094</v>
      </c>
      <c r="D644" s="467" t="s">
        <v>5915</v>
      </c>
      <c r="E644" s="468" t="s">
        <v>4886</v>
      </c>
      <c r="F644" s="465">
        <v>18.100000000000001</v>
      </c>
    </row>
    <row r="645" spans="1:6" ht="52.8" x14ac:dyDescent="0.25">
      <c r="A645" s="465">
        <v>1333</v>
      </c>
      <c r="B645" s="466" t="s">
        <v>6382</v>
      </c>
      <c r="C645" s="466" t="s">
        <v>2094</v>
      </c>
      <c r="D645" s="467" t="s">
        <v>6383</v>
      </c>
      <c r="E645" s="468" t="s">
        <v>4886</v>
      </c>
      <c r="F645" s="465">
        <v>78.89</v>
      </c>
    </row>
    <row r="646" spans="1:6" ht="26.4" x14ac:dyDescent="0.25">
      <c r="A646" s="465">
        <v>1334</v>
      </c>
      <c r="B646" s="466" t="s">
        <v>4996</v>
      </c>
      <c r="C646" s="466" t="s">
        <v>4801</v>
      </c>
      <c r="D646" s="467" t="s">
        <v>4997</v>
      </c>
      <c r="E646" s="468" t="s">
        <v>4803</v>
      </c>
      <c r="F646" s="465">
        <v>12.82</v>
      </c>
    </row>
    <row r="647" spans="1:6" x14ac:dyDescent="0.25">
      <c r="A647" s="465">
        <v>1335</v>
      </c>
      <c r="B647" s="466" t="s">
        <v>6076</v>
      </c>
      <c r="C647" s="466" t="s">
        <v>2094</v>
      </c>
      <c r="D647" s="467" t="s">
        <v>6077</v>
      </c>
      <c r="E647" s="468" t="s">
        <v>5034</v>
      </c>
      <c r="F647" s="465">
        <v>2.3199999999999998</v>
      </c>
    </row>
    <row r="648" spans="1:6" ht="26.4" x14ac:dyDescent="0.25">
      <c r="A648" s="465">
        <v>1336</v>
      </c>
      <c r="B648" s="466" t="s">
        <v>6027</v>
      </c>
      <c r="C648" s="466" t="s">
        <v>2094</v>
      </c>
      <c r="D648" s="467" t="s">
        <v>6028</v>
      </c>
      <c r="E648" s="468" t="s">
        <v>4863</v>
      </c>
      <c r="F648" s="465">
        <v>11.49</v>
      </c>
    </row>
    <row r="649" spans="1:6" ht="39.6" x14ac:dyDescent="0.25">
      <c r="A649" s="465">
        <v>1337</v>
      </c>
      <c r="B649" s="466" t="s">
        <v>5128</v>
      </c>
      <c r="C649" s="466" t="s">
        <v>4801</v>
      </c>
      <c r="D649" s="467" t="s">
        <v>5129</v>
      </c>
      <c r="E649" s="468" t="s">
        <v>4850</v>
      </c>
      <c r="F649" s="465">
        <v>25.34</v>
      </c>
    </row>
    <row r="650" spans="1:6" ht="39.6" x14ac:dyDescent="0.25">
      <c r="A650" s="465">
        <v>1338</v>
      </c>
      <c r="B650" s="466" t="s">
        <v>5126</v>
      </c>
      <c r="C650" s="466" t="s">
        <v>4801</v>
      </c>
      <c r="D650" s="467" t="s">
        <v>5127</v>
      </c>
      <c r="E650" s="468" t="s">
        <v>4850</v>
      </c>
      <c r="F650" s="465">
        <v>13.37</v>
      </c>
    </row>
    <row r="651" spans="1:6" ht="26.4" x14ac:dyDescent="0.25">
      <c r="A651" s="465">
        <v>1339</v>
      </c>
      <c r="B651" s="466" t="s">
        <v>6073</v>
      </c>
      <c r="C651" s="466" t="s">
        <v>2094</v>
      </c>
      <c r="D651" s="467" t="s">
        <v>6074</v>
      </c>
      <c r="E651" s="468" t="s">
        <v>5034</v>
      </c>
      <c r="F651" s="465">
        <v>3.42</v>
      </c>
    </row>
    <row r="652" spans="1:6" ht="39.6" x14ac:dyDescent="0.25">
      <c r="A652" s="465">
        <v>1340</v>
      </c>
      <c r="B652" s="466" t="s">
        <v>6063</v>
      </c>
      <c r="C652" s="466" t="s">
        <v>2094</v>
      </c>
      <c r="D652" s="467" t="s">
        <v>6064</v>
      </c>
      <c r="E652" s="468" t="s">
        <v>5034</v>
      </c>
      <c r="F652" s="465">
        <v>0.4</v>
      </c>
    </row>
    <row r="653" spans="1:6" x14ac:dyDescent="0.25">
      <c r="A653" s="465">
        <v>1341</v>
      </c>
      <c r="B653" s="466" t="s">
        <v>6061</v>
      </c>
      <c r="C653" s="466" t="s">
        <v>2094</v>
      </c>
      <c r="D653" s="467" t="s">
        <v>6062</v>
      </c>
      <c r="E653" s="468" t="s">
        <v>5034</v>
      </c>
      <c r="F653" s="465">
        <v>0.78</v>
      </c>
    </row>
    <row r="654" spans="1:6" x14ac:dyDescent="0.25">
      <c r="A654" s="465">
        <v>1342</v>
      </c>
      <c r="B654" s="466" t="s">
        <v>6065</v>
      </c>
      <c r="C654" s="466" t="s">
        <v>2094</v>
      </c>
      <c r="D654" s="467" t="s">
        <v>6066</v>
      </c>
      <c r="E654" s="468" t="s">
        <v>5034</v>
      </c>
      <c r="F654" s="465">
        <v>4.13</v>
      </c>
    </row>
    <row r="655" spans="1:6" ht="26.4" x14ac:dyDescent="0.25">
      <c r="A655" s="465">
        <v>1343</v>
      </c>
      <c r="B655" s="466" t="s">
        <v>6069</v>
      </c>
      <c r="C655" s="466" t="s">
        <v>2094</v>
      </c>
      <c r="D655" s="467" t="s">
        <v>6070</v>
      </c>
      <c r="E655" s="468" t="s">
        <v>5034</v>
      </c>
      <c r="F655" s="465">
        <v>4.13</v>
      </c>
    </row>
    <row r="656" spans="1:6" ht="39.6" x14ac:dyDescent="0.25">
      <c r="A656" s="465">
        <v>1344</v>
      </c>
      <c r="B656" s="466" t="s">
        <v>4924</v>
      </c>
      <c r="C656" s="466" t="s">
        <v>4801</v>
      </c>
      <c r="D656" s="467" t="s">
        <v>4925</v>
      </c>
      <c r="E656" s="468" t="s">
        <v>2376</v>
      </c>
      <c r="F656" s="465">
        <v>11286.77</v>
      </c>
    </row>
    <row r="657" spans="1:6" ht="39.6" x14ac:dyDescent="0.25">
      <c r="A657" s="465">
        <v>1345</v>
      </c>
      <c r="B657" s="466" t="s">
        <v>4928</v>
      </c>
      <c r="C657" s="466" t="s">
        <v>4801</v>
      </c>
      <c r="D657" s="467" t="s">
        <v>4929</v>
      </c>
      <c r="E657" s="468" t="s">
        <v>2376</v>
      </c>
      <c r="F657" s="465">
        <v>8988.5499999999993</v>
      </c>
    </row>
    <row r="658" spans="1:6" ht="52.8" x14ac:dyDescent="0.25">
      <c r="A658" s="465">
        <v>1346</v>
      </c>
      <c r="B658" s="466" t="s">
        <v>4926</v>
      </c>
      <c r="C658" s="466" t="s">
        <v>4801</v>
      </c>
      <c r="D658" s="467" t="s">
        <v>4927</v>
      </c>
      <c r="E658" s="468" t="s">
        <v>2376</v>
      </c>
      <c r="F658" s="465">
        <v>5729.72</v>
      </c>
    </row>
    <row r="659" spans="1:6" x14ac:dyDescent="0.25">
      <c r="A659" s="465">
        <v>1347</v>
      </c>
      <c r="B659" s="466" t="s">
        <v>5533</v>
      </c>
      <c r="C659" s="466" t="s">
        <v>2094</v>
      </c>
      <c r="D659" s="467" t="s">
        <v>5534</v>
      </c>
      <c r="E659" s="468" t="s">
        <v>4813</v>
      </c>
      <c r="F659" s="465">
        <v>3.9</v>
      </c>
    </row>
    <row r="660" spans="1:6" x14ac:dyDescent="0.25">
      <c r="A660" s="465">
        <v>1348</v>
      </c>
      <c r="B660" s="466" t="s">
        <v>5545</v>
      </c>
      <c r="C660" s="466" t="s">
        <v>2094</v>
      </c>
      <c r="D660" s="467" t="s">
        <v>5546</v>
      </c>
      <c r="E660" s="468" t="s">
        <v>4813</v>
      </c>
      <c r="F660" s="465">
        <v>5.49</v>
      </c>
    </row>
    <row r="661" spans="1:6" x14ac:dyDescent="0.25">
      <c r="A661" s="465">
        <v>1349</v>
      </c>
      <c r="B661" s="466" t="s">
        <v>5549</v>
      </c>
      <c r="C661" s="466" t="s">
        <v>2094</v>
      </c>
      <c r="D661" s="467" t="s">
        <v>5550</v>
      </c>
      <c r="E661" s="468" t="s">
        <v>4813</v>
      </c>
      <c r="F661" s="465">
        <v>7.69</v>
      </c>
    </row>
    <row r="662" spans="1:6" x14ac:dyDescent="0.25">
      <c r="A662" s="465">
        <v>1350</v>
      </c>
      <c r="B662" s="466" t="s">
        <v>5563</v>
      </c>
      <c r="C662" s="466" t="s">
        <v>2094</v>
      </c>
      <c r="D662" s="467" t="s">
        <v>5564</v>
      </c>
      <c r="E662" s="468" t="s">
        <v>4813</v>
      </c>
      <c r="F662" s="465">
        <v>11.41</v>
      </c>
    </row>
    <row r="663" spans="1:6" x14ac:dyDescent="0.25">
      <c r="A663" s="465">
        <v>1351</v>
      </c>
      <c r="B663" s="466" t="s">
        <v>5459</v>
      </c>
      <c r="C663" s="466" t="s">
        <v>2094</v>
      </c>
      <c r="D663" s="467" t="s">
        <v>5460</v>
      </c>
      <c r="E663" s="468" t="s">
        <v>4813</v>
      </c>
      <c r="F663" s="465">
        <v>17.010000000000002</v>
      </c>
    </row>
    <row r="664" spans="1:6" x14ac:dyDescent="0.25">
      <c r="A664" s="465">
        <v>1352</v>
      </c>
      <c r="B664" s="466" t="s">
        <v>5475</v>
      </c>
      <c r="C664" s="466" t="s">
        <v>2094</v>
      </c>
      <c r="D664" s="467" t="s">
        <v>5476</v>
      </c>
      <c r="E664" s="468" t="s">
        <v>4813</v>
      </c>
      <c r="F664" s="465">
        <v>23.39</v>
      </c>
    </row>
    <row r="665" spans="1:6" x14ac:dyDescent="0.25">
      <c r="A665" s="465">
        <v>1353</v>
      </c>
      <c r="B665" s="466" t="s">
        <v>5487</v>
      </c>
      <c r="C665" s="466" t="s">
        <v>2094</v>
      </c>
      <c r="D665" s="467" t="s">
        <v>5488</v>
      </c>
      <c r="E665" s="468" t="s">
        <v>4813</v>
      </c>
      <c r="F665" s="465">
        <v>36.07</v>
      </c>
    </row>
    <row r="666" spans="1:6" x14ac:dyDescent="0.25">
      <c r="A666" s="465">
        <v>1354</v>
      </c>
      <c r="B666" s="466" t="s">
        <v>5637</v>
      </c>
      <c r="C666" s="466" t="s">
        <v>2094</v>
      </c>
      <c r="D666" s="467" t="s">
        <v>5638</v>
      </c>
      <c r="E666" s="468" t="s">
        <v>4813</v>
      </c>
      <c r="F666" s="465">
        <v>13.19</v>
      </c>
    </row>
    <row r="667" spans="1:6" x14ac:dyDescent="0.25">
      <c r="A667" s="465">
        <v>1355</v>
      </c>
      <c r="B667" s="466" t="s">
        <v>5585</v>
      </c>
      <c r="C667" s="466" t="s">
        <v>2094</v>
      </c>
      <c r="D667" s="467" t="s">
        <v>5586</v>
      </c>
      <c r="E667" s="468" t="s">
        <v>4813</v>
      </c>
      <c r="F667" s="465">
        <v>21.68</v>
      </c>
    </row>
    <row r="668" spans="1:6" x14ac:dyDescent="0.25">
      <c r="A668" s="465">
        <v>1356</v>
      </c>
      <c r="B668" s="466" t="s">
        <v>5587</v>
      </c>
      <c r="C668" s="466" t="s">
        <v>2094</v>
      </c>
      <c r="D668" s="467" t="s">
        <v>5588</v>
      </c>
      <c r="E668" s="468" t="s">
        <v>4813</v>
      </c>
      <c r="F668" s="465">
        <v>23.23</v>
      </c>
    </row>
    <row r="669" spans="1:6" x14ac:dyDescent="0.25">
      <c r="A669" s="465">
        <v>1357</v>
      </c>
      <c r="B669" s="466" t="s">
        <v>5593</v>
      </c>
      <c r="C669" s="466" t="s">
        <v>2094</v>
      </c>
      <c r="D669" s="467" t="s">
        <v>5594</v>
      </c>
      <c r="E669" s="468" t="s">
        <v>4813</v>
      </c>
      <c r="F669" s="465">
        <v>31.7</v>
      </c>
    </row>
    <row r="670" spans="1:6" x14ac:dyDescent="0.25">
      <c r="A670" s="465">
        <v>1358</v>
      </c>
      <c r="B670" s="466" t="s">
        <v>5597</v>
      </c>
      <c r="C670" s="466" t="s">
        <v>2094</v>
      </c>
      <c r="D670" s="467" t="s">
        <v>5598</v>
      </c>
      <c r="E670" s="468" t="s">
        <v>4813</v>
      </c>
      <c r="F670" s="465">
        <v>39.17</v>
      </c>
    </row>
    <row r="671" spans="1:6" x14ac:dyDescent="0.25">
      <c r="A671" s="465">
        <v>1359</v>
      </c>
      <c r="B671" s="466" t="s">
        <v>5603</v>
      </c>
      <c r="C671" s="466" t="s">
        <v>2094</v>
      </c>
      <c r="D671" s="467" t="s">
        <v>5604</v>
      </c>
      <c r="E671" s="468" t="s">
        <v>4813</v>
      </c>
      <c r="F671" s="465">
        <v>42.05</v>
      </c>
    </row>
    <row r="672" spans="1:6" x14ac:dyDescent="0.25">
      <c r="A672" s="465">
        <v>1360</v>
      </c>
      <c r="B672" s="466" t="s">
        <v>5607</v>
      </c>
      <c r="C672" s="466" t="s">
        <v>2094</v>
      </c>
      <c r="D672" s="467" t="s">
        <v>5608</v>
      </c>
      <c r="E672" s="468" t="s">
        <v>4813</v>
      </c>
      <c r="F672" s="465">
        <v>53.32</v>
      </c>
    </row>
    <row r="673" spans="1:6" x14ac:dyDescent="0.25">
      <c r="A673" s="465">
        <v>1361</v>
      </c>
      <c r="B673" s="466" t="s">
        <v>5613</v>
      </c>
      <c r="C673" s="466" t="s">
        <v>2094</v>
      </c>
      <c r="D673" s="467" t="s">
        <v>5614</v>
      </c>
      <c r="E673" s="468" t="s">
        <v>4813</v>
      </c>
      <c r="F673" s="465">
        <v>88.68</v>
      </c>
    </row>
    <row r="674" spans="1:6" x14ac:dyDescent="0.25">
      <c r="A674" s="465">
        <v>1362</v>
      </c>
      <c r="B674" s="466" t="s">
        <v>5617</v>
      </c>
      <c r="C674" s="466" t="s">
        <v>2094</v>
      </c>
      <c r="D674" s="467" t="s">
        <v>5618</v>
      </c>
      <c r="E674" s="468" t="s">
        <v>4813</v>
      </c>
      <c r="F674" s="465">
        <v>103.79</v>
      </c>
    </row>
    <row r="675" spans="1:6" x14ac:dyDescent="0.25">
      <c r="A675" s="465">
        <v>1363</v>
      </c>
      <c r="B675" s="466" t="s">
        <v>5623</v>
      </c>
      <c r="C675" s="466" t="s">
        <v>2094</v>
      </c>
      <c r="D675" s="467" t="s">
        <v>5624</v>
      </c>
      <c r="E675" s="468" t="s">
        <v>4813</v>
      </c>
      <c r="F675" s="465">
        <v>127.68</v>
      </c>
    </row>
    <row r="676" spans="1:6" x14ac:dyDescent="0.25">
      <c r="A676" s="465">
        <v>1364</v>
      </c>
      <c r="B676" s="466" t="s">
        <v>5583</v>
      </c>
      <c r="C676" s="466" t="s">
        <v>2094</v>
      </c>
      <c r="D676" s="467" t="s">
        <v>5584</v>
      </c>
      <c r="E676" s="468" t="s">
        <v>4813</v>
      </c>
      <c r="F676" s="465">
        <v>46.72</v>
      </c>
    </row>
    <row r="677" spans="1:6" x14ac:dyDescent="0.25">
      <c r="A677" s="465">
        <v>1365</v>
      </c>
      <c r="B677" s="466" t="s">
        <v>5591</v>
      </c>
      <c r="C677" s="466" t="s">
        <v>2094</v>
      </c>
      <c r="D677" s="467" t="s">
        <v>5592</v>
      </c>
      <c r="E677" s="468" t="s">
        <v>4813</v>
      </c>
      <c r="F677" s="465">
        <v>73.58</v>
      </c>
    </row>
    <row r="678" spans="1:6" x14ac:dyDescent="0.25">
      <c r="A678" s="465">
        <v>1366</v>
      </c>
      <c r="B678" s="466" t="s">
        <v>5595</v>
      </c>
      <c r="C678" s="466" t="s">
        <v>2094</v>
      </c>
      <c r="D678" s="467" t="s">
        <v>5596</v>
      </c>
      <c r="E678" s="468" t="s">
        <v>4813</v>
      </c>
      <c r="F678" s="465">
        <v>82.92</v>
      </c>
    </row>
    <row r="679" spans="1:6" x14ac:dyDescent="0.25">
      <c r="A679" s="465">
        <v>1367</v>
      </c>
      <c r="B679" s="466" t="s">
        <v>5601</v>
      </c>
      <c r="C679" s="466" t="s">
        <v>2094</v>
      </c>
      <c r="D679" s="467" t="s">
        <v>5602</v>
      </c>
      <c r="E679" s="468" t="s">
        <v>4813</v>
      </c>
      <c r="F679" s="465">
        <v>92.26</v>
      </c>
    </row>
    <row r="680" spans="1:6" x14ac:dyDescent="0.25">
      <c r="A680" s="465">
        <v>1368</v>
      </c>
      <c r="B680" s="466" t="s">
        <v>5605</v>
      </c>
      <c r="C680" s="466" t="s">
        <v>2094</v>
      </c>
      <c r="D680" s="467" t="s">
        <v>5606</v>
      </c>
      <c r="E680" s="468" t="s">
        <v>4813</v>
      </c>
      <c r="F680" s="465">
        <v>110.95</v>
      </c>
    </row>
    <row r="681" spans="1:6" x14ac:dyDescent="0.25">
      <c r="A681" s="465">
        <v>1369</v>
      </c>
      <c r="B681" s="466" t="s">
        <v>5611</v>
      </c>
      <c r="C681" s="466" t="s">
        <v>2094</v>
      </c>
      <c r="D681" s="467" t="s">
        <v>5612</v>
      </c>
      <c r="E681" s="468" t="s">
        <v>4813</v>
      </c>
      <c r="F681" s="465">
        <v>138.97999999999999</v>
      </c>
    </row>
    <row r="682" spans="1:6" x14ac:dyDescent="0.25">
      <c r="A682" s="465">
        <v>1370</v>
      </c>
      <c r="B682" s="466" t="s">
        <v>5615</v>
      </c>
      <c r="C682" s="466" t="s">
        <v>2094</v>
      </c>
      <c r="D682" s="467" t="s">
        <v>5616</v>
      </c>
      <c r="E682" s="468" t="s">
        <v>4813</v>
      </c>
      <c r="F682" s="465">
        <v>167.01</v>
      </c>
    </row>
    <row r="683" spans="1:6" x14ac:dyDescent="0.25">
      <c r="A683" s="465">
        <v>1371</v>
      </c>
      <c r="B683" s="466" t="s">
        <v>5621</v>
      </c>
      <c r="C683" s="466" t="s">
        <v>2094</v>
      </c>
      <c r="D683" s="467" t="s">
        <v>5622</v>
      </c>
      <c r="E683" s="468" t="s">
        <v>4813</v>
      </c>
      <c r="F683" s="465">
        <v>195.04</v>
      </c>
    </row>
    <row r="684" spans="1:6" x14ac:dyDescent="0.25">
      <c r="A684" s="465">
        <v>1372</v>
      </c>
      <c r="B684" s="466" t="s">
        <v>5723</v>
      </c>
      <c r="C684" s="466" t="s">
        <v>2094</v>
      </c>
      <c r="D684" s="467" t="s">
        <v>5724</v>
      </c>
      <c r="E684" s="468" t="s">
        <v>4813</v>
      </c>
      <c r="F684" s="465">
        <v>3.16</v>
      </c>
    </row>
    <row r="685" spans="1:6" x14ac:dyDescent="0.25">
      <c r="A685" s="465">
        <v>1373</v>
      </c>
      <c r="B685" s="466" t="s">
        <v>5497</v>
      </c>
      <c r="C685" s="466" t="s">
        <v>2094</v>
      </c>
      <c r="D685" s="467" t="s">
        <v>5498</v>
      </c>
      <c r="E685" s="468" t="s">
        <v>4813</v>
      </c>
      <c r="F685" s="465">
        <v>28.5</v>
      </c>
    </row>
    <row r="686" spans="1:6" ht="26.4" x14ac:dyDescent="0.25">
      <c r="A686" s="465">
        <v>1374</v>
      </c>
      <c r="B686" s="466" t="s">
        <v>6146</v>
      </c>
      <c r="C686" s="466" t="s">
        <v>2094</v>
      </c>
      <c r="D686" s="467" t="s">
        <v>6147</v>
      </c>
      <c r="E686" s="468" t="s">
        <v>4863</v>
      </c>
      <c r="F686" s="465">
        <v>2243.54</v>
      </c>
    </row>
    <row r="687" spans="1:6" x14ac:dyDescent="0.25">
      <c r="A687" s="465">
        <v>1375</v>
      </c>
      <c r="B687" s="466" t="s">
        <v>5729</v>
      </c>
      <c r="C687" s="466" t="s">
        <v>2094</v>
      </c>
      <c r="D687" s="467" t="s">
        <v>5730</v>
      </c>
      <c r="E687" s="468" t="s">
        <v>4850</v>
      </c>
      <c r="F687" s="465">
        <v>13.31</v>
      </c>
    </row>
    <row r="688" spans="1:6" ht="26.4" x14ac:dyDescent="0.25">
      <c r="A688" s="465">
        <v>1376</v>
      </c>
      <c r="B688" s="466" t="s">
        <v>6140</v>
      </c>
      <c r="C688" s="466" t="s">
        <v>2094</v>
      </c>
      <c r="D688" s="467" t="s">
        <v>6141</v>
      </c>
      <c r="E688" s="468" t="s">
        <v>4850</v>
      </c>
      <c r="F688" s="465">
        <v>9.27</v>
      </c>
    </row>
    <row r="689" spans="1:6" ht="26.4" x14ac:dyDescent="0.25">
      <c r="A689" s="465">
        <v>1377</v>
      </c>
      <c r="B689" s="466" t="s">
        <v>5298</v>
      </c>
      <c r="C689" s="466" t="s">
        <v>2094</v>
      </c>
      <c r="D689" s="467" t="s">
        <v>5299</v>
      </c>
      <c r="E689" s="468" t="s">
        <v>4813</v>
      </c>
      <c r="F689" s="465">
        <v>8.9499999999999993</v>
      </c>
    </row>
    <row r="690" spans="1:6" ht="39.6" x14ac:dyDescent="0.25">
      <c r="A690" s="465">
        <v>1378</v>
      </c>
      <c r="B690" s="466" t="s">
        <v>6328</v>
      </c>
      <c r="C690" s="466" t="s">
        <v>2094</v>
      </c>
      <c r="D690" s="467" t="s">
        <v>6329</v>
      </c>
      <c r="E690" s="468" t="s">
        <v>4886</v>
      </c>
      <c r="F690" s="465">
        <v>163.29</v>
      </c>
    </row>
    <row r="691" spans="1:6" ht="26.4" x14ac:dyDescent="0.25">
      <c r="A691" s="465">
        <v>1379</v>
      </c>
      <c r="B691" s="466" t="s">
        <v>6785</v>
      </c>
      <c r="C691" s="466" t="s">
        <v>2094</v>
      </c>
      <c r="D691" s="467" t="s">
        <v>6786</v>
      </c>
      <c r="E691" s="468" t="s">
        <v>5360</v>
      </c>
      <c r="F691" s="465">
        <v>2.48</v>
      </c>
    </row>
    <row r="692" spans="1:6" ht="39.6" x14ac:dyDescent="0.25">
      <c r="A692" s="465">
        <v>1380</v>
      </c>
      <c r="B692" s="466" t="s">
        <v>5363</v>
      </c>
      <c r="C692" s="466" t="s">
        <v>2094</v>
      </c>
      <c r="D692" s="467" t="s">
        <v>5364</v>
      </c>
      <c r="E692" s="468" t="s">
        <v>5360</v>
      </c>
      <c r="F692" s="465">
        <v>1.67</v>
      </c>
    </row>
    <row r="693" spans="1:6" x14ac:dyDescent="0.25">
      <c r="A693" s="465">
        <v>1381</v>
      </c>
      <c r="B693" s="466" t="s">
        <v>6795</v>
      </c>
      <c r="C693" s="466" t="s">
        <v>2094</v>
      </c>
      <c r="D693" s="467" t="s">
        <v>6796</v>
      </c>
      <c r="E693" s="468" t="s">
        <v>5360</v>
      </c>
      <c r="F693" s="465">
        <v>1.54</v>
      </c>
    </row>
    <row r="694" spans="1:6" x14ac:dyDescent="0.25">
      <c r="A694" s="465">
        <v>1382</v>
      </c>
      <c r="B694" s="466" t="s">
        <v>6776</v>
      </c>
      <c r="C694" s="466" t="s">
        <v>2094</v>
      </c>
      <c r="D694" s="467" t="s">
        <v>6777</v>
      </c>
      <c r="E694" s="468" t="s">
        <v>5360</v>
      </c>
      <c r="F694" s="465">
        <v>3.92</v>
      </c>
    </row>
    <row r="695" spans="1:6" ht="26.4" x14ac:dyDescent="0.25">
      <c r="A695" s="465">
        <v>1383</v>
      </c>
      <c r="B695" s="466" t="s">
        <v>4982</v>
      </c>
      <c r="C695" s="466" t="s">
        <v>4801</v>
      </c>
      <c r="D695" s="467" t="s">
        <v>4983</v>
      </c>
      <c r="E695" s="468" t="s">
        <v>4803</v>
      </c>
      <c r="F695" s="465">
        <v>22.34</v>
      </c>
    </row>
    <row r="696" spans="1:6" ht="26.4" x14ac:dyDescent="0.25">
      <c r="A696" s="465">
        <v>1384</v>
      </c>
      <c r="B696" s="466" t="s">
        <v>4827</v>
      </c>
      <c r="C696" s="466" t="s">
        <v>4801</v>
      </c>
      <c r="D696" s="467" t="s">
        <v>4828</v>
      </c>
      <c r="E696" s="468" t="s">
        <v>4813</v>
      </c>
      <c r="F696" s="465">
        <v>3.55</v>
      </c>
    </row>
    <row r="697" spans="1:6" ht="26.4" x14ac:dyDescent="0.25">
      <c r="A697" s="465">
        <v>1385</v>
      </c>
      <c r="B697" s="466" t="s">
        <v>6787</v>
      </c>
      <c r="C697" s="466" t="s">
        <v>2094</v>
      </c>
      <c r="D697" s="467" t="s">
        <v>6788</v>
      </c>
      <c r="E697" s="468" t="s">
        <v>5360</v>
      </c>
      <c r="F697" s="465">
        <v>1.35</v>
      </c>
    </row>
    <row r="698" spans="1:6" ht="26.4" x14ac:dyDescent="0.25">
      <c r="A698" s="465">
        <v>1387</v>
      </c>
      <c r="B698" s="466" t="s">
        <v>7166</v>
      </c>
      <c r="C698" s="466" t="s">
        <v>2094</v>
      </c>
      <c r="D698" s="467" t="s">
        <v>7167</v>
      </c>
      <c r="E698" s="468" t="s">
        <v>4850</v>
      </c>
      <c r="F698" s="465">
        <v>0.72</v>
      </c>
    </row>
    <row r="699" spans="1:6" x14ac:dyDescent="0.25">
      <c r="A699" s="465">
        <v>1388</v>
      </c>
      <c r="B699" s="466" t="s">
        <v>5263</v>
      </c>
      <c r="C699" s="466" t="s">
        <v>2094</v>
      </c>
      <c r="D699" s="467" t="s">
        <v>5264</v>
      </c>
      <c r="E699" s="468" t="s">
        <v>4813</v>
      </c>
      <c r="F699" s="465">
        <v>1.9</v>
      </c>
    </row>
    <row r="700" spans="1:6" ht="26.4" x14ac:dyDescent="0.25">
      <c r="A700" s="465">
        <v>1389</v>
      </c>
      <c r="B700" s="466" t="s">
        <v>6386</v>
      </c>
      <c r="C700" s="466" t="s">
        <v>2094</v>
      </c>
      <c r="D700" s="467" t="s">
        <v>6387</v>
      </c>
      <c r="E700" s="468" t="s">
        <v>4813</v>
      </c>
      <c r="F700" s="465">
        <v>3.3</v>
      </c>
    </row>
    <row r="701" spans="1:6" ht="39.6" x14ac:dyDescent="0.25">
      <c r="A701" s="465">
        <v>1391</v>
      </c>
      <c r="B701" s="466" t="s">
        <v>6833</v>
      </c>
      <c r="C701" s="466" t="s">
        <v>2094</v>
      </c>
      <c r="D701" s="467" t="s">
        <v>6834</v>
      </c>
      <c r="E701" s="468" t="s">
        <v>4850</v>
      </c>
      <c r="F701" s="465">
        <v>3.15</v>
      </c>
    </row>
    <row r="702" spans="1:6" ht="39.6" x14ac:dyDescent="0.25">
      <c r="A702" s="465">
        <v>1392</v>
      </c>
      <c r="B702" s="466" t="s">
        <v>5090</v>
      </c>
      <c r="C702" s="466" t="s">
        <v>4801</v>
      </c>
      <c r="D702" s="467" t="s">
        <v>5091</v>
      </c>
      <c r="E702" s="468" t="s">
        <v>4803</v>
      </c>
      <c r="F702" s="465">
        <v>14.43</v>
      </c>
    </row>
    <row r="703" spans="1:6" ht="26.4" x14ac:dyDescent="0.25">
      <c r="A703" s="465">
        <v>1393</v>
      </c>
      <c r="B703" s="466" t="s">
        <v>6206</v>
      </c>
      <c r="C703" s="466" t="s">
        <v>2094</v>
      </c>
      <c r="D703" s="467" t="s">
        <v>6207</v>
      </c>
      <c r="E703" s="468" t="s">
        <v>4813</v>
      </c>
      <c r="F703" s="465">
        <v>1.69</v>
      </c>
    </row>
    <row r="704" spans="1:6" ht="26.4" x14ac:dyDescent="0.25">
      <c r="A704" s="465">
        <v>1394</v>
      </c>
      <c r="B704" s="466" t="s">
        <v>5261</v>
      </c>
      <c r="C704" s="466" t="s">
        <v>2094</v>
      </c>
      <c r="D704" s="467" t="s">
        <v>5262</v>
      </c>
      <c r="E704" s="468" t="s">
        <v>4813</v>
      </c>
      <c r="F704" s="465">
        <v>20.55</v>
      </c>
    </row>
    <row r="705" spans="1:6" ht="52.8" x14ac:dyDescent="0.25">
      <c r="A705" s="465">
        <v>1395</v>
      </c>
      <c r="B705" s="466" t="s">
        <v>4922</v>
      </c>
      <c r="C705" s="466" t="s">
        <v>4801</v>
      </c>
      <c r="D705" s="467" t="s">
        <v>4923</v>
      </c>
      <c r="E705" s="468" t="s">
        <v>4886</v>
      </c>
      <c r="F705" s="465">
        <v>12.32</v>
      </c>
    </row>
    <row r="706" spans="1:6" ht="39.6" x14ac:dyDescent="0.25">
      <c r="A706" s="465">
        <v>1396</v>
      </c>
      <c r="B706" s="466" t="s">
        <v>4920</v>
      </c>
      <c r="C706" s="466" t="s">
        <v>4801</v>
      </c>
      <c r="D706" s="467" t="s">
        <v>4921</v>
      </c>
      <c r="E706" s="468" t="s">
        <v>4886</v>
      </c>
      <c r="F706" s="465">
        <v>14.08</v>
      </c>
    </row>
    <row r="707" spans="1:6" ht="52.8" x14ac:dyDescent="0.25">
      <c r="A707" s="465">
        <v>1397</v>
      </c>
      <c r="B707" s="466" t="s">
        <v>4916</v>
      </c>
      <c r="C707" s="466" t="s">
        <v>4801</v>
      </c>
      <c r="D707" s="467" t="s">
        <v>4917</v>
      </c>
      <c r="E707" s="468" t="s">
        <v>4886</v>
      </c>
      <c r="F707" s="465">
        <v>17.100000000000001</v>
      </c>
    </row>
    <row r="708" spans="1:6" ht="39.6" x14ac:dyDescent="0.25">
      <c r="A708" s="465">
        <v>1398</v>
      </c>
      <c r="B708" s="466" t="s">
        <v>4918</v>
      </c>
      <c r="C708" s="466" t="s">
        <v>4801</v>
      </c>
      <c r="D708" s="467" t="s">
        <v>4919</v>
      </c>
      <c r="E708" s="468" t="s">
        <v>4886</v>
      </c>
      <c r="F708" s="465">
        <v>51.24</v>
      </c>
    </row>
    <row r="709" spans="1:6" ht="52.8" x14ac:dyDescent="0.25">
      <c r="A709" s="465">
        <v>1399</v>
      </c>
      <c r="B709" s="466" t="s">
        <v>4914</v>
      </c>
      <c r="C709" s="466" t="s">
        <v>4801</v>
      </c>
      <c r="D709" s="467" t="s">
        <v>4915</v>
      </c>
      <c r="E709" s="468" t="s">
        <v>4886</v>
      </c>
      <c r="F709" s="465">
        <v>187.23</v>
      </c>
    </row>
    <row r="710" spans="1:6" ht="39.6" x14ac:dyDescent="0.25">
      <c r="A710" s="465">
        <v>1400</v>
      </c>
      <c r="B710" s="466" t="s">
        <v>5200</v>
      </c>
      <c r="C710" s="466" t="s">
        <v>4801</v>
      </c>
      <c r="D710" s="467" t="s">
        <v>5201</v>
      </c>
      <c r="E710" s="468" t="s">
        <v>4803</v>
      </c>
      <c r="F710" s="465">
        <v>95.62</v>
      </c>
    </row>
    <row r="711" spans="1:6" ht="39.6" x14ac:dyDescent="0.25">
      <c r="A711" s="465">
        <v>1401</v>
      </c>
      <c r="B711" s="466" t="s">
        <v>5202</v>
      </c>
      <c r="C711" s="466" t="s">
        <v>4801</v>
      </c>
      <c r="D711" s="467" t="s">
        <v>5203</v>
      </c>
      <c r="E711" s="468" t="s">
        <v>4803</v>
      </c>
      <c r="F711" s="465">
        <v>45.84</v>
      </c>
    </row>
    <row r="712" spans="1:6" ht="39.6" x14ac:dyDescent="0.25">
      <c r="A712" s="465">
        <v>1402</v>
      </c>
      <c r="B712" s="466" t="s">
        <v>5209</v>
      </c>
      <c r="C712" s="466" t="s">
        <v>4801</v>
      </c>
      <c r="D712" s="467" t="s">
        <v>5210</v>
      </c>
      <c r="E712" s="468" t="s">
        <v>4803</v>
      </c>
      <c r="F712" s="465">
        <v>500</v>
      </c>
    </row>
    <row r="713" spans="1:6" ht="26.4" x14ac:dyDescent="0.25">
      <c r="A713" s="465">
        <v>1403</v>
      </c>
      <c r="B713" s="466" t="s">
        <v>5213</v>
      </c>
      <c r="C713" s="466" t="s">
        <v>4801</v>
      </c>
      <c r="D713" s="467" t="s">
        <v>5214</v>
      </c>
      <c r="E713" s="468" t="s">
        <v>4803</v>
      </c>
      <c r="F713" s="465">
        <v>312.5</v>
      </c>
    </row>
    <row r="714" spans="1:6" ht="26.4" x14ac:dyDescent="0.25">
      <c r="A714" s="465">
        <v>1404</v>
      </c>
      <c r="B714" s="466" t="s">
        <v>5211</v>
      </c>
      <c r="C714" s="466" t="s">
        <v>4801</v>
      </c>
      <c r="D714" s="467" t="s">
        <v>5212</v>
      </c>
      <c r="E714" s="468" t="s">
        <v>4803</v>
      </c>
      <c r="F714" s="465">
        <v>250</v>
      </c>
    </row>
    <row r="715" spans="1:6" ht="39.6" x14ac:dyDescent="0.25">
      <c r="A715" s="465">
        <v>1405</v>
      </c>
      <c r="B715" s="466" t="s">
        <v>5824</v>
      </c>
      <c r="C715" s="466" t="s">
        <v>2094</v>
      </c>
      <c r="D715" s="467" t="s">
        <v>5825</v>
      </c>
      <c r="E715" s="468" t="s">
        <v>4813</v>
      </c>
      <c r="F715" s="465">
        <v>2.73</v>
      </c>
    </row>
    <row r="716" spans="1:6" ht="39.6" x14ac:dyDescent="0.25">
      <c r="A716" s="465">
        <v>1406</v>
      </c>
      <c r="B716" s="466" t="s">
        <v>7048</v>
      </c>
      <c r="C716" s="466" t="s">
        <v>2094</v>
      </c>
      <c r="D716" s="467" t="s">
        <v>7049</v>
      </c>
      <c r="E716" s="468" t="s">
        <v>4850</v>
      </c>
      <c r="F716" s="465">
        <v>41.02</v>
      </c>
    </row>
    <row r="717" spans="1:6" ht="26.4" x14ac:dyDescent="0.25">
      <c r="A717" s="465">
        <v>1407</v>
      </c>
      <c r="B717" s="466" t="s">
        <v>5072</v>
      </c>
      <c r="C717" s="466" t="s">
        <v>4801</v>
      </c>
      <c r="D717" s="467" t="s">
        <v>5073</v>
      </c>
      <c r="E717" s="468" t="s">
        <v>4803</v>
      </c>
      <c r="F717" s="465">
        <v>17.170000000000002</v>
      </c>
    </row>
    <row r="718" spans="1:6" ht="26.4" x14ac:dyDescent="0.25">
      <c r="A718" s="465">
        <v>1408</v>
      </c>
      <c r="B718" s="466" t="s">
        <v>6791</v>
      </c>
      <c r="C718" s="466" t="s">
        <v>2094</v>
      </c>
      <c r="D718" s="467" t="s">
        <v>6792</v>
      </c>
      <c r="E718" s="468" t="s">
        <v>4813</v>
      </c>
      <c r="F718" s="465">
        <v>35.090000000000003</v>
      </c>
    </row>
    <row r="719" spans="1:6" ht="26.4" x14ac:dyDescent="0.25">
      <c r="A719" s="465">
        <v>1409</v>
      </c>
      <c r="B719" s="466" t="s">
        <v>6023</v>
      </c>
      <c r="C719" s="466" t="s">
        <v>2094</v>
      </c>
      <c r="D719" s="467" t="s">
        <v>6024</v>
      </c>
      <c r="E719" s="468" t="s">
        <v>4863</v>
      </c>
      <c r="F719" s="465">
        <v>21.64</v>
      </c>
    </row>
    <row r="720" spans="1:6" ht="39.6" x14ac:dyDescent="0.25">
      <c r="A720" s="465">
        <v>1410</v>
      </c>
      <c r="B720" s="466" t="s">
        <v>5377</v>
      </c>
      <c r="C720" s="466" t="s">
        <v>2094</v>
      </c>
      <c r="D720" s="467" t="s">
        <v>5378</v>
      </c>
      <c r="E720" s="468" t="s">
        <v>4813</v>
      </c>
      <c r="F720" s="465">
        <v>42.68</v>
      </c>
    </row>
    <row r="721" spans="1:6" ht="26.4" x14ac:dyDescent="0.25">
      <c r="A721" s="465">
        <v>1417</v>
      </c>
      <c r="B721" s="466" t="s">
        <v>5306</v>
      </c>
      <c r="C721" s="466" t="s">
        <v>2094</v>
      </c>
      <c r="D721" s="467" t="s">
        <v>5307</v>
      </c>
      <c r="E721" s="468" t="s">
        <v>4813</v>
      </c>
      <c r="F721" s="465">
        <v>24.97</v>
      </c>
    </row>
    <row r="722" spans="1:6" ht="52.8" x14ac:dyDescent="0.25">
      <c r="A722" s="465">
        <v>1418</v>
      </c>
      <c r="B722" s="466" t="s">
        <v>6422</v>
      </c>
      <c r="C722" s="466" t="s">
        <v>2094</v>
      </c>
      <c r="D722" s="467" t="s">
        <v>6423</v>
      </c>
      <c r="E722" s="468" t="s">
        <v>4850</v>
      </c>
      <c r="F722" s="465">
        <v>18.47</v>
      </c>
    </row>
    <row r="723" spans="1:6" ht="26.4" x14ac:dyDescent="0.25">
      <c r="A723" s="465">
        <v>1419</v>
      </c>
      <c r="B723" s="466" t="s">
        <v>5269</v>
      </c>
      <c r="C723" s="466" t="s">
        <v>2094</v>
      </c>
      <c r="D723" s="467" t="s">
        <v>5270</v>
      </c>
      <c r="E723" s="468" t="s">
        <v>4863</v>
      </c>
      <c r="F723" s="465">
        <v>20.28</v>
      </c>
    </row>
    <row r="724" spans="1:6" ht="26.4" x14ac:dyDescent="0.25">
      <c r="A724" s="465">
        <v>1420</v>
      </c>
      <c r="B724" s="466" t="s">
        <v>5271</v>
      </c>
      <c r="C724" s="466" t="s">
        <v>2094</v>
      </c>
      <c r="D724" s="467" t="s">
        <v>5272</v>
      </c>
      <c r="E724" s="468" t="s">
        <v>4863</v>
      </c>
      <c r="F724" s="465">
        <v>31.67</v>
      </c>
    </row>
    <row r="725" spans="1:6" ht="26.4" x14ac:dyDescent="0.25">
      <c r="A725" s="465">
        <v>1421</v>
      </c>
      <c r="B725" s="466" t="s">
        <v>5273</v>
      </c>
      <c r="C725" s="466" t="s">
        <v>2094</v>
      </c>
      <c r="D725" s="467" t="s">
        <v>5274</v>
      </c>
      <c r="E725" s="468" t="s">
        <v>4863</v>
      </c>
      <c r="F725" s="465">
        <v>43.78</v>
      </c>
    </row>
    <row r="726" spans="1:6" ht="26.4" x14ac:dyDescent="0.25">
      <c r="A726" s="465">
        <v>1422</v>
      </c>
      <c r="B726" s="466" t="s">
        <v>5265</v>
      </c>
      <c r="C726" s="466" t="s">
        <v>2094</v>
      </c>
      <c r="D726" s="467" t="s">
        <v>5266</v>
      </c>
      <c r="E726" s="468" t="s">
        <v>4863</v>
      </c>
      <c r="F726" s="465">
        <v>53.11</v>
      </c>
    </row>
    <row r="727" spans="1:6" ht="26.4" x14ac:dyDescent="0.25">
      <c r="A727" s="465">
        <v>1423</v>
      </c>
      <c r="B727" s="466" t="s">
        <v>5267</v>
      </c>
      <c r="C727" s="466" t="s">
        <v>2094</v>
      </c>
      <c r="D727" s="467" t="s">
        <v>5268</v>
      </c>
      <c r="E727" s="468" t="s">
        <v>4863</v>
      </c>
      <c r="F727" s="465">
        <v>70.5</v>
      </c>
    </row>
    <row r="728" spans="1:6" ht="26.4" x14ac:dyDescent="0.25">
      <c r="A728" s="465">
        <v>1424</v>
      </c>
      <c r="B728" s="466" t="s">
        <v>5257</v>
      </c>
      <c r="C728" s="466" t="s">
        <v>2094</v>
      </c>
      <c r="D728" s="467" t="s">
        <v>5258</v>
      </c>
      <c r="E728" s="468" t="s">
        <v>4863</v>
      </c>
      <c r="F728" s="465">
        <v>1.75</v>
      </c>
    </row>
    <row r="729" spans="1:6" ht="52.8" x14ac:dyDescent="0.25">
      <c r="A729" s="465">
        <v>1425</v>
      </c>
      <c r="B729" s="466" t="s">
        <v>5812</v>
      </c>
      <c r="C729" s="466" t="s">
        <v>2094</v>
      </c>
      <c r="D729" s="467" t="s">
        <v>5813</v>
      </c>
      <c r="E729" s="468" t="s">
        <v>4863</v>
      </c>
      <c r="F729" s="465">
        <v>1366.26</v>
      </c>
    </row>
    <row r="730" spans="1:6" ht="26.4" x14ac:dyDescent="0.25">
      <c r="A730" s="465">
        <v>1426</v>
      </c>
      <c r="B730" s="466" t="s">
        <v>7372</v>
      </c>
      <c r="C730" s="466" t="s">
        <v>2094</v>
      </c>
      <c r="D730" s="467" t="s">
        <v>7373</v>
      </c>
      <c r="E730" s="468" t="s">
        <v>4863</v>
      </c>
      <c r="F730" s="465">
        <v>0.72</v>
      </c>
    </row>
    <row r="731" spans="1:6" ht="39.6" x14ac:dyDescent="0.25">
      <c r="A731" s="465">
        <v>1427</v>
      </c>
      <c r="B731" s="466" t="s">
        <v>6685</v>
      </c>
      <c r="C731" s="466" t="s">
        <v>2094</v>
      </c>
      <c r="D731" s="467" t="s">
        <v>6686</v>
      </c>
      <c r="E731" s="468" t="s">
        <v>5668</v>
      </c>
      <c r="F731" s="465">
        <v>297.82</v>
      </c>
    </row>
    <row r="732" spans="1:6" ht="26.4" x14ac:dyDescent="0.25">
      <c r="A732" s="465">
        <v>1428</v>
      </c>
      <c r="B732" s="466" t="s">
        <v>6673</v>
      </c>
      <c r="C732" s="466" t="s">
        <v>2094</v>
      </c>
      <c r="D732" s="467" t="s">
        <v>6674</v>
      </c>
      <c r="E732" s="468" t="s">
        <v>5668</v>
      </c>
      <c r="F732" s="465">
        <v>140.71</v>
      </c>
    </row>
    <row r="733" spans="1:6" ht="26.4" x14ac:dyDescent="0.25">
      <c r="A733" s="465">
        <v>1429</v>
      </c>
      <c r="B733" s="466" t="s">
        <v>6681</v>
      </c>
      <c r="C733" s="466" t="s">
        <v>2094</v>
      </c>
      <c r="D733" s="467" t="s">
        <v>6682</v>
      </c>
      <c r="E733" s="468" t="s">
        <v>5668</v>
      </c>
      <c r="F733" s="465">
        <v>111.6</v>
      </c>
    </row>
    <row r="734" spans="1:6" ht="39.6" x14ac:dyDescent="0.25">
      <c r="A734" s="465">
        <v>1430</v>
      </c>
      <c r="B734" s="466" t="s">
        <v>6669</v>
      </c>
      <c r="C734" s="466" t="s">
        <v>2094</v>
      </c>
      <c r="D734" s="467" t="s">
        <v>6670</v>
      </c>
      <c r="E734" s="468" t="s">
        <v>5668</v>
      </c>
      <c r="F734" s="465">
        <v>146.6</v>
      </c>
    </row>
    <row r="735" spans="1:6" ht="39.6" x14ac:dyDescent="0.25">
      <c r="A735" s="465">
        <v>1432</v>
      </c>
      <c r="B735" s="466" t="s">
        <v>6671</v>
      </c>
      <c r="C735" s="466" t="s">
        <v>2094</v>
      </c>
      <c r="D735" s="467" t="s">
        <v>6672</v>
      </c>
      <c r="E735" s="468" t="s">
        <v>5668</v>
      </c>
      <c r="F735" s="465">
        <v>174.86</v>
      </c>
    </row>
    <row r="736" spans="1:6" ht="39.6" x14ac:dyDescent="0.25">
      <c r="A736" s="465">
        <v>1433</v>
      </c>
      <c r="B736" s="466" t="s">
        <v>6675</v>
      </c>
      <c r="C736" s="466" t="s">
        <v>2094</v>
      </c>
      <c r="D736" s="467" t="s">
        <v>6676</v>
      </c>
      <c r="E736" s="468" t="s">
        <v>5668</v>
      </c>
      <c r="F736" s="465">
        <v>165.95</v>
      </c>
    </row>
    <row r="737" spans="1:6" ht="39.6" x14ac:dyDescent="0.25">
      <c r="A737" s="465">
        <v>1434</v>
      </c>
      <c r="B737" s="466" t="s">
        <v>6677</v>
      </c>
      <c r="C737" s="466" t="s">
        <v>2094</v>
      </c>
      <c r="D737" s="467" t="s">
        <v>6678</v>
      </c>
      <c r="E737" s="468" t="s">
        <v>5668</v>
      </c>
      <c r="F737" s="465">
        <v>151.28</v>
      </c>
    </row>
    <row r="738" spans="1:6" ht="39.6" x14ac:dyDescent="0.25">
      <c r="A738" s="465">
        <v>1435</v>
      </c>
      <c r="B738" s="466" t="s">
        <v>6679</v>
      </c>
      <c r="C738" s="466" t="s">
        <v>2094</v>
      </c>
      <c r="D738" s="467" t="s">
        <v>6680</v>
      </c>
      <c r="E738" s="468" t="s">
        <v>5668</v>
      </c>
      <c r="F738" s="465">
        <v>141.94999999999999</v>
      </c>
    </row>
    <row r="739" spans="1:6" ht="39.6" x14ac:dyDescent="0.25">
      <c r="A739" s="465">
        <v>1436</v>
      </c>
      <c r="B739" s="466" t="s">
        <v>6683</v>
      </c>
      <c r="C739" s="466" t="s">
        <v>2094</v>
      </c>
      <c r="D739" s="467" t="s">
        <v>6684</v>
      </c>
      <c r="E739" s="468" t="s">
        <v>5668</v>
      </c>
      <c r="F739" s="465">
        <v>138.46</v>
      </c>
    </row>
    <row r="740" spans="1:6" ht="39.6" x14ac:dyDescent="0.25">
      <c r="A740" s="465">
        <v>1437</v>
      </c>
      <c r="B740" s="466" t="s">
        <v>6649</v>
      </c>
      <c r="C740" s="466" t="s">
        <v>2094</v>
      </c>
      <c r="D740" s="467" t="s">
        <v>6650</v>
      </c>
      <c r="E740" s="468" t="s">
        <v>6186</v>
      </c>
      <c r="F740" s="465">
        <v>102.61</v>
      </c>
    </row>
    <row r="741" spans="1:6" ht="39.6" x14ac:dyDescent="0.25">
      <c r="A741" s="465">
        <v>1438</v>
      </c>
      <c r="B741" s="466" t="s">
        <v>6651</v>
      </c>
      <c r="C741" s="466" t="s">
        <v>2094</v>
      </c>
      <c r="D741" s="467" t="s">
        <v>6652</v>
      </c>
      <c r="E741" s="468" t="s">
        <v>6186</v>
      </c>
      <c r="F741" s="465">
        <v>115.91</v>
      </c>
    </row>
    <row r="742" spans="1:6" ht="39.6" x14ac:dyDescent="0.25">
      <c r="A742" s="465">
        <v>1439</v>
      </c>
      <c r="B742" s="466" t="s">
        <v>6653</v>
      </c>
      <c r="C742" s="466" t="s">
        <v>2094</v>
      </c>
      <c r="D742" s="467" t="s">
        <v>6654</v>
      </c>
      <c r="E742" s="468" t="s">
        <v>6186</v>
      </c>
      <c r="F742" s="465">
        <v>118.72</v>
      </c>
    </row>
    <row r="743" spans="1:6" ht="39.6" x14ac:dyDescent="0.25">
      <c r="A743" s="465">
        <v>1440</v>
      </c>
      <c r="B743" s="466" t="s">
        <v>6659</v>
      </c>
      <c r="C743" s="466" t="s">
        <v>2094</v>
      </c>
      <c r="D743" s="467" t="s">
        <v>6660</v>
      </c>
      <c r="E743" s="468" t="s">
        <v>6186</v>
      </c>
      <c r="F743" s="465">
        <v>117.95</v>
      </c>
    </row>
    <row r="744" spans="1:6" ht="26.4" x14ac:dyDescent="0.25">
      <c r="A744" s="465">
        <v>1441</v>
      </c>
      <c r="B744" s="466" t="s">
        <v>6325</v>
      </c>
      <c r="C744" s="466" t="s">
        <v>2094</v>
      </c>
      <c r="D744" s="467" t="s">
        <v>6326</v>
      </c>
      <c r="E744" s="468" t="s">
        <v>6327</v>
      </c>
      <c r="F744" s="465">
        <v>27.03</v>
      </c>
    </row>
    <row r="745" spans="1:6" ht="39.6" x14ac:dyDescent="0.25">
      <c r="A745" s="465">
        <v>1443</v>
      </c>
      <c r="B745" s="466" t="s">
        <v>7012</v>
      </c>
      <c r="C745" s="466" t="s">
        <v>2094</v>
      </c>
      <c r="D745" s="467" t="s">
        <v>7013</v>
      </c>
      <c r="E745" s="468" t="s">
        <v>4850</v>
      </c>
      <c r="F745" s="465">
        <v>80.73</v>
      </c>
    </row>
    <row r="746" spans="1:6" ht="26.4" x14ac:dyDescent="0.25">
      <c r="A746" s="465">
        <v>1445</v>
      </c>
      <c r="B746" s="466" t="s">
        <v>6313</v>
      </c>
      <c r="C746" s="466" t="s">
        <v>2094</v>
      </c>
      <c r="D746" s="467" t="s">
        <v>6314</v>
      </c>
      <c r="E746" s="468" t="s">
        <v>4863</v>
      </c>
      <c r="F746" s="465">
        <v>26891.67</v>
      </c>
    </row>
    <row r="747" spans="1:6" ht="66" x14ac:dyDescent="0.25">
      <c r="A747" s="465">
        <v>1447</v>
      </c>
      <c r="B747" s="466" t="s">
        <v>4937</v>
      </c>
      <c r="C747" s="466" t="s">
        <v>4801</v>
      </c>
      <c r="D747" s="467" t="s">
        <v>4938</v>
      </c>
      <c r="E747" s="468" t="s">
        <v>4813</v>
      </c>
      <c r="F747" s="465">
        <v>5.04</v>
      </c>
    </row>
    <row r="748" spans="1:6" ht="26.4" x14ac:dyDescent="0.25">
      <c r="A748" s="465">
        <v>1448</v>
      </c>
      <c r="B748" s="466" t="s">
        <v>5205</v>
      </c>
      <c r="C748" s="466" t="s">
        <v>4801</v>
      </c>
      <c r="D748" s="467" t="s">
        <v>5206</v>
      </c>
      <c r="E748" s="468" t="s">
        <v>4803</v>
      </c>
      <c r="F748" s="465">
        <v>149.16</v>
      </c>
    </row>
    <row r="749" spans="1:6" ht="26.4" x14ac:dyDescent="0.25">
      <c r="A749" s="465">
        <v>1449</v>
      </c>
      <c r="B749" s="466" t="s">
        <v>6418</v>
      </c>
      <c r="C749" s="466" t="s">
        <v>2094</v>
      </c>
      <c r="D749" s="467" t="s">
        <v>6419</v>
      </c>
      <c r="E749" s="468" t="s">
        <v>4863</v>
      </c>
      <c r="F749" s="465">
        <v>67.87</v>
      </c>
    </row>
    <row r="750" spans="1:6" ht="39.6" x14ac:dyDescent="0.25">
      <c r="A750" s="465">
        <v>1450</v>
      </c>
      <c r="B750" s="466" t="s">
        <v>6300</v>
      </c>
      <c r="C750" s="466" t="s">
        <v>2094</v>
      </c>
      <c r="D750" s="467" t="s">
        <v>6301</v>
      </c>
      <c r="E750" s="468" t="s">
        <v>4863</v>
      </c>
      <c r="F750" s="465">
        <v>1141.1199999999999</v>
      </c>
    </row>
    <row r="751" spans="1:6" ht="52.8" x14ac:dyDescent="0.25">
      <c r="A751" s="465">
        <v>1451</v>
      </c>
      <c r="B751" s="466" t="s">
        <v>6298</v>
      </c>
      <c r="C751" s="466" t="s">
        <v>2094</v>
      </c>
      <c r="D751" s="467" t="s">
        <v>6299</v>
      </c>
      <c r="E751" s="468" t="s">
        <v>4863</v>
      </c>
      <c r="F751" s="465">
        <v>2667.8</v>
      </c>
    </row>
    <row r="752" spans="1:6" ht="39.6" x14ac:dyDescent="0.25">
      <c r="A752" s="465">
        <v>1452</v>
      </c>
      <c r="B752" s="466" t="s">
        <v>6296</v>
      </c>
      <c r="C752" s="466" t="s">
        <v>2094</v>
      </c>
      <c r="D752" s="467" t="s">
        <v>6297</v>
      </c>
      <c r="E752" s="468" t="s">
        <v>4863</v>
      </c>
      <c r="F752" s="465">
        <v>1387.5</v>
      </c>
    </row>
    <row r="753" spans="1:6" ht="26.4" x14ac:dyDescent="0.25">
      <c r="A753" s="465">
        <v>1453</v>
      </c>
      <c r="B753" s="466" t="s">
        <v>6173</v>
      </c>
      <c r="C753" s="466" t="s">
        <v>2094</v>
      </c>
      <c r="D753" s="467" t="s">
        <v>6174</v>
      </c>
      <c r="E753" s="468" t="s">
        <v>4863</v>
      </c>
      <c r="F753" s="465">
        <v>567.25</v>
      </c>
    </row>
    <row r="754" spans="1:6" ht="39.6" x14ac:dyDescent="0.25">
      <c r="A754" s="465">
        <v>1454</v>
      </c>
      <c r="B754" s="466" t="s">
        <v>6175</v>
      </c>
      <c r="C754" s="466" t="s">
        <v>2094</v>
      </c>
      <c r="D754" s="467" t="s">
        <v>6176</v>
      </c>
      <c r="E754" s="468" t="s">
        <v>4863</v>
      </c>
      <c r="F754" s="465">
        <v>1119.75</v>
      </c>
    </row>
    <row r="755" spans="1:6" x14ac:dyDescent="0.25">
      <c r="A755" s="465">
        <v>1455</v>
      </c>
      <c r="B755" s="466" t="s">
        <v>7111</v>
      </c>
      <c r="C755" s="466" t="s">
        <v>2094</v>
      </c>
      <c r="D755" s="467" t="s">
        <v>7112</v>
      </c>
      <c r="E755" s="468" t="s">
        <v>4863</v>
      </c>
      <c r="F755" s="465">
        <v>333.5</v>
      </c>
    </row>
    <row r="756" spans="1:6" ht="26.4" x14ac:dyDescent="0.25">
      <c r="A756" s="465">
        <v>1456</v>
      </c>
      <c r="B756" s="466" t="s">
        <v>7113</v>
      </c>
      <c r="C756" s="466" t="s">
        <v>2094</v>
      </c>
      <c r="D756" s="467" t="s">
        <v>7114</v>
      </c>
      <c r="E756" s="468" t="s">
        <v>4863</v>
      </c>
      <c r="F756" s="465">
        <v>44.8</v>
      </c>
    </row>
    <row r="757" spans="1:6" ht="39.6" x14ac:dyDescent="0.25">
      <c r="A757" s="465">
        <v>1457</v>
      </c>
      <c r="B757" s="466" t="s">
        <v>4837</v>
      </c>
      <c r="C757" s="466" t="s">
        <v>4801</v>
      </c>
      <c r="D757" s="467" t="s">
        <v>4838</v>
      </c>
      <c r="E757" s="468" t="s">
        <v>4813</v>
      </c>
      <c r="F757" s="465">
        <v>2.25</v>
      </c>
    </row>
    <row r="758" spans="1:6" ht="52.8" x14ac:dyDescent="0.25">
      <c r="A758" s="465">
        <v>1458</v>
      </c>
      <c r="B758" s="466" t="s">
        <v>6204</v>
      </c>
      <c r="C758" s="466" t="s">
        <v>2094</v>
      </c>
      <c r="D758" s="467" t="s">
        <v>6205</v>
      </c>
      <c r="E758" s="468" t="s">
        <v>4863</v>
      </c>
      <c r="F758" s="465">
        <v>26.87</v>
      </c>
    </row>
    <row r="759" spans="1:6" ht="39.6" x14ac:dyDescent="0.25">
      <c r="A759" s="465">
        <v>1459</v>
      </c>
      <c r="B759" s="466" t="s">
        <v>4819</v>
      </c>
      <c r="C759" s="466" t="s">
        <v>4801</v>
      </c>
      <c r="D759" s="467" t="s">
        <v>4820</v>
      </c>
      <c r="E759" s="468" t="s">
        <v>4813</v>
      </c>
      <c r="F759" s="465">
        <v>1.82</v>
      </c>
    </row>
    <row r="760" spans="1:6" ht="26.4" x14ac:dyDescent="0.25">
      <c r="A760" s="465">
        <v>1460</v>
      </c>
      <c r="B760" s="466" t="s">
        <v>4823</v>
      </c>
      <c r="C760" s="466" t="s">
        <v>4801</v>
      </c>
      <c r="D760" s="467" t="s">
        <v>4824</v>
      </c>
      <c r="E760" s="468" t="s">
        <v>4813</v>
      </c>
      <c r="F760" s="465">
        <v>3.55</v>
      </c>
    </row>
    <row r="761" spans="1:6" ht="26.4" x14ac:dyDescent="0.25">
      <c r="A761" s="465">
        <v>1461</v>
      </c>
      <c r="B761" s="466" t="s">
        <v>6859</v>
      </c>
      <c r="C761" s="466" t="s">
        <v>2094</v>
      </c>
      <c r="D761" s="467" t="s">
        <v>6860</v>
      </c>
      <c r="E761" s="468" t="s">
        <v>4863</v>
      </c>
      <c r="F761" s="465">
        <v>32.24</v>
      </c>
    </row>
    <row r="762" spans="1:6" x14ac:dyDescent="0.25">
      <c r="A762" s="465">
        <v>1462</v>
      </c>
      <c r="B762" s="466" t="s">
        <v>5950</v>
      </c>
      <c r="C762" s="466" t="s">
        <v>2094</v>
      </c>
      <c r="D762" s="467" t="s">
        <v>5951</v>
      </c>
      <c r="E762" s="468" t="s">
        <v>5360</v>
      </c>
      <c r="F762" s="465">
        <v>46.7</v>
      </c>
    </row>
    <row r="763" spans="1:6" x14ac:dyDescent="0.25">
      <c r="A763" s="465">
        <v>1463</v>
      </c>
      <c r="B763" s="466" t="s">
        <v>5980</v>
      </c>
      <c r="C763" s="466" t="s">
        <v>2094</v>
      </c>
      <c r="D763" s="467" t="s">
        <v>5951</v>
      </c>
      <c r="E763" s="468" t="s">
        <v>5360</v>
      </c>
      <c r="F763" s="465">
        <v>21.47</v>
      </c>
    </row>
    <row r="764" spans="1:6" x14ac:dyDescent="0.25">
      <c r="A764" s="465">
        <v>1464</v>
      </c>
      <c r="B764" s="466" t="s">
        <v>5986</v>
      </c>
      <c r="C764" s="466" t="s">
        <v>2094</v>
      </c>
      <c r="D764" s="467" t="s">
        <v>5985</v>
      </c>
      <c r="E764" s="468" t="s">
        <v>5360</v>
      </c>
      <c r="F764" s="465">
        <v>8.0500000000000007</v>
      </c>
    </row>
    <row r="765" spans="1:6" x14ac:dyDescent="0.25">
      <c r="A765" s="465">
        <v>1465</v>
      </c>
      <c r="B765" s="466" t="s">
        <v>6157</v>
      </c>
      <c r="C765" s="466" t="s">
        <v>2094</v>
      </c>
      <c r="D765" s="467" t="s">
        <v>6158</v>
      </c>
      <c r="E765" s="468" t="s">
        <v>5360</v>
      </c>
      <c r="F765" s="465">
        <v>3.03</v>
      </c>
    </row>
    <row r="766" spans="1:6" x14ac:dyDescent="0.25">
      <c r="A766" s="465">
        <v>1466</v>
      </c>
      <c r="B766" s="466" t="s">
        <v>6283</v>
      </c>
      <c r="C766" s="466" t="s">
        <v>2094</v>
      </c>
      <c r="D766" s="467" t="s">
        <v>5951</v>
      </c>
      <c r="E766" s="468" t="s">
        <v>5360</v>
      </c>
      <c r="F766" s="465">
        <v>142.12</v>
      </c>
    </row>
    <row r="767" spans="1:6" x14ac:dyDescent="0.25">
      <c r="A767" s="465">
        <v>1467</v>
      </c>
      <c r="B767" s="466" t="s">
        <v>6506</v>
      </c>
      <c r="C767" s="466" t="s">
        <v>2094</v>
      </c>
      <c r="D767" s="467" t="s">
        <v>5985</v>
      </c>
      <c r="E767" s="468" t="s">
        <v>5360</v>
      </c>
      <c r="F767" s="465">
        <v>7.58</v>
      </c>
    </row>
    <row r="768" spans="1:6" x14ac:dyDescent="0.25">
      <c r="A768" s="465">
        <v>1468</v>
      </c>
      <c r="B768" s="466" t="s">
        <v>6517</v>
      </c>
      <c r="C768" s="466" t="s">
        <v>2094</v>
      </c>
      <c r="D768" s="467" t="s">
        <v>6158</v>
      </c>
      <c r="E768" s="468" t="s">
        <v>5360</v>
      </c>
      <c r="F768" s="465">
        <v>3.09</v>
      </c>
    </row>
    <row r="769" spans="1:6" x14ac:dyDescent="0.25">
      <c r="A769" s="465">
        <v>1469</v>
      </c>
      <c r="B769" s="466" t="s">
        <v>5966</v>
      </c>
      <c r="C769" s="466" t="s">
        <v>2094</v>
      </c>
      <c r="D769" s="467" t="s">
        <v>5951</v>
      </c>
      <c r="E769" s="468" t="s">
        <v>5360</v>
      </c>
      <c r="F769" s="465">
        <v>43.43</v>
      </c>
    </row>
    <row r="770" spans="1:6" x14ac:dyDescent="0.25">
      <c r="A770" s="465">
        <v>1470</v>
      </c>
      <c r="B770" s="466" t="s">
        <v>6760</v>
      </c>
      <c r="C770" s="466" t="s">
        <v>2094</v>
      </c>
      <c r="D770" s="467" t="s">
        <v>5951</v>
      </c>
      <c r="E770" s="468" t="s">
        <v>5360</v>
      </c>
      <c r="F770" s="465">
        <v>220.45</v>
      </c>
    </row>
    <row r="771" spans="1:6" x14ac:dyDescent="0.25">
      <c r="A771" s="465">
        <v>1471</v>
      </c>
      <c r="B771" s="466" t="s">
        <v>7009</v>
      </c>
      <c r="C771" s="466" t="s">
        <v>2094</v>
      </c>
      <c r="D771" s="467" t="s">
        <v>5951</v>
      </c>
      <c r="E771" s="468" t="s">
        <v>5360</v>
      </c>
      <c r="F771" s="465">
        <v>2.72</v>
      </c>
    </row>
    <row r="772" spans="1:6" x14ac:dyDescent="0.25">
      <c r="A772" s="465">
        <v>1472</v>
      </c>
      <c r="B772" s="466" t="s">
        <v>7000</v>
      </c>
      <c r="C772" s="466" t="s">
        <v>2094</v>
      </c>
      <c r="D772" s="467" t="s">
        <v>6158</v>
      </c>
      <c r="E772" s="468" t="s">
        <v>5360</v>
      </c>
      <c r="F772" s="465">
        <v>7.05</v>
      </c>
    </row>
    <row r="773" spans="1:6" x14ac:dyDescent="0.25">
      <c r="A773" s="465">
        <v>1473</v>
      </c>
      <c r="B773" s="466" t="s">
        <v>7088</v>
      </c>
      <c r="C773" s="466" t="s">
        <v>2094</v>
      </c>
      <c r="D773" s="467" t="s">
        <v>5985</v>
      </c>
      <c r="E773" s="468" t="s">
        <v>5360</v>
      </c>
      <c r="F773" s="465">
        <v>70.45</v>
      </c>
    </row>
    <row r="774" spans="1:6" x14ac:dyDescent="0.25">
      <c r="A774" s="465">
        <v>1475</v>
      </c>
      <c r="B774" s="466" t="s">
        <v>7280</v>
      </c>
      <c r="C774" s="466" t="s">
        <v>2094</v>
      </c>
      <c r="D774" s="467" t="s">
        <v>5985</v>
      </c>
      <c r="E774" s="468" t="s">
        <v>5360</v>
      </c>
      <c r="F774" s="465">
        <v>4.78</v>
      </c>
    </row>
    <row r="775" spans="1:6" ht="39.6" x14ac:dyDescent="0.25">
      <c r="A775" s="465">
        <v>1477</v>
      </c>
      <c r="B775" s="466" t="s">
        <v>7151</v>
      </c>
      <c r="C775" s="466" t="s">
        <v>2094</v>
      </c>
      <c r="D775" s="467" t="s">
        <v>7152</v>
      </c>
      <c r="E775" s="468" t="s">
        <v>4863</v>
      </c>
      <c r="F775" s="465">
        <v>1672.5</v>
      </c>
    </row>
    <row r="776" spans="1:6" ht="66" x14ac:dyDescent="0.25">
      <c r="A776" s="465">
        <v>1478</v>
      </c>
      <c r="B776" s="466" t="s">
        <v>5283</v>
      </c>
      <c r="C776" s="466" t="s">
        <v>2094</v>
      </c>
      <c r="D776" s="467" t="s">
        <v>5284</v>
      </c>
      <c r="E776" s="468" t="s">
        <v>5285</v>
      </c>
      <c r="F776" s="465">
        <v>5063.5</v>
      </c>
    </row>
    <row r="777" spans="1:6" ht="66" x14ac:dyDescent="0.25">
      <c r="A777" s="465">
        <v>1479</v>
      </c>
      <c r="B777" s="466" t="s">
        <v>5286</v>
      </c>
      <c r="C777" s="466" t="s">
        <v>2094</v>
      </c>
      <c r="D777" s="467" t="s">
        <v>5287</v>
      </c>
      <c r="E777" s="468" t="s">
        <v>5285</v>
      </c>
      <c r="F777" s="465">
        <v>6852.1</v>
      </c>
    </row>
    <row r="778" spans="1:6" ht="39.6" x14ac:dyDescent="0.25">
      <c r="A778" s="465">
        <v>1480</v>
      </c>
      <c r="B778" s="466" t="s">
        <v>6534</v>
      </c>
      <c r="C778" s="466" t="s">
        <v>2094</v>
      </c>
      <c r="D778" s="467" t="s">
        <v>6535</v>
      </c>
      <c r="E778" s="468" t="s">
        <v>4813</v>
      </c>
      <c r="F778" s="465">
        <v>5.0999999999999996</v>
      </c>
    </row>
    <row r="779" spans="1:6" ht="39.6" x14ac:dyDescent="0.25">
      <c r="A779" s="465">
        <v>1482</v>
      </c>
      <c r="B779" s="466" t="s">
        <v>6621</v>
      </c>
      <c r="C779" s="466" t="s">
        <v>2094</v>
      </c>
      <c r="D779" s="467" t="s">
        <v>6622</v>
      </c>
      <c r="E779" s="468" t="s">
        <v>4863</v>
      </c>
      <c r="F779" s="465">
        <v>5289.33</v>
      </c>
    </row>
    <row r="780" spans="1:6" ht="39.6" x14ac:dyDescent="0.25">
      <c r="A780" s="465">
        <v>1483</v>
      </c>
      <c r="B780" s="466" t="s">
        <v>6615</v>
      </c>
      <c r="C780" s="466" t="s">
        <v>2094</v>
      </c>
      <c r="D780" s="467" t="s">
        <v>6616</v>
      </c>
      <c r="E780" s="468" t="s">
        <v>4863</v>
      </c>
      <c r="F780" s="465">
        <v>2290.66</v>
      </c>
    </row>
    <row r="781" spans="1:6" ht="52.8" x14ac:dyDescent="0.25">
      <c r="A781" s="465">
        <v>1484</v>
      </c>
      <c r="B781" s="466" t="s">
        <v>6625</v>
      </c>
      <c r="C781" s="466" t="s">
        <v>2094</v>
      </c>
      <c r="D781" s="467" t="s">
        <v>6626</v>
      </c>
      <c r="E781" s="468" t="s">
        <v>4863</v>
      </c>
      <c r="F781" s="465">
        <v>722</v>
      </c>
    </row>
    <row r="782" spans="1:6" ht="39.6" x14ac:dyDescent="0.25">
      <c r="A782" s="465">
        <v>1485</v>
      </c>
      <c r="B782" s="466" t="s">
        <v>6613</v>
      </c>
      <c r="C782" s="466" t="s">
        <v>2094</v>
      </c>
      <c r="D782" s="467" t="s">
        <v>6614</v>
      </c>
      <c r="E782" s="468" t="s">
        <v>4863</v>
      </c>
      <c r="F782" s="465">
        <v>2537</v>
      </c>
    </row>
    <row r="783" spans="1:6" ht="52.8" x14ac:dyDescent="0.25">
      <c r="A783" s="465">
        <v>1487</v>
      </c>
      <c r="B783" s="466" t="s">
        <v>6611</v>
      </c>
      <c r="C783" s="466" t="s">
        <v>2094</v>
      </c>
      <c r="D783" s="467" t="s">
        <v>6612</v>
      </c>
      <c r="E783" s="468" t="s">
        <v>4813</v>
      </c>
      <c r="F783" s="465">
        <v>7.0000000000000007E-2</v>
      </c>
    </row>
    <row r="784" spans="1:6" ht="52.8" x14ac:dyDescent="0.25">
      <c r="A784" s="465">
        <v>1488</v>
      </c>
      <c r="B784" s="466" t="s">
        <v>6627</v>
      </c>
      <c r="C784" s="466" t="s">
        <v>2094</v>
      </c>
      <c r="D784" s="467" t="s">
        <v>6628</v>
      </c>
      <c r="E784" s="468" t="s">
        <v>4813</v>
      </c>
      <c r="F784" s="465">
        <v>0.27</v>
      </c>
    </row>
    <row r="785" spans="1:6" ht="52.8" x14ac:dyDescent="0.25">
      <c r="A785" s="465">
        <v>1489</v>
      </c>
      <c r="B785" s="466" t="s">
        <v>6619</v>
      </c>
      <c r="C785" s="466" t="s">
        <v>2094</v>
      </c>
      <c r="D785" s="467" t="s">
        <v>6620</v>
      </c>
      <c r="E785" s="468" t="s">
        <v>4813</v>
      </c>
      <c r="F785" s="465">
        <v>0.15</v>
      </c>
    </row>
    <row r="786" spans="1:6" ht="39.6" x14ac:dyDescent="0.25">
      <c r="A786" s="465">
        <v>1490</v>
      </c>
      <c r="B786" s="466" t="s">
        <v>7109</v>
      </c>
      <c r="C786" s="466" t="s">
        <v>2094</v>
      </c>
      <c r="D786" s="467" t="s">
        <v>7110</v>
      </c>
      <c r="E786" s="468" t="s">
        <v>2377</v>
      </c>
      <c r="F786" s="465">
        <v>452.96</v>
      </c>
    </row>
    <row r="787" spans="1:6" x14ac:dyDescent="0.25">
      <c r="A787" s="465">
        <v>1491</v>
      </c>
      <c r="B787" s="466" t="s">
        <v>6180</v>
      </c>
      <c r="C787" s="466" t="s">
        <v>2094</v>
      </c>
      <c r="D787" s="467" t="s">
        <v>6181</v>
      </c>
      <c r="E787" s="468" t="s">
        <v>5360</v>
      </c>
      <c r="F787" s="465">
        <v>69.45</v>
      </c>
    </row>
    <row r="788" spans="1:6" x14ac:dyDescent="0.25">
      <c r="A788" s="465">
        <v>1492</v>
      </c>
      <c r="B788" s="466" t="s">
        <v>7096</v>
      </c>
      <c r="C788" s="466" t="s">
        <v>2094</v>
      </c>
      <c r="D788" s="467" t="s">
        <v>5951</v>
      </c>
      <c r="E788" s="468" t="s">
        <v>5360</v>
      </c>
      <c r="F788" s="465">
        <v>2.83</v>
      </c>
    </row>
    <row r="789" spans="1:6" x14ac:dyDescent="0.25">
      <c r="A789" s="465">
        <v>1493</v>
      </c>
      <c r="B789" s="466" t="s">
        <v>6086</v>
      </c>
      <c r="C789" s="466" t="s">
        <v>2094</v>
      </c>
      <c r="D789" s="467" t="s">
        <v>5951</v>
      </c>
      <c r="E789" s="468" t="s">
        <v>5360</v>
      </c>
      <c r="F789" s="465">
        <v>32.19</v>
      </c>
    </row>
    <row r="790" spans="1:6" x14ac:dyDescent="0.25">
      <c r="A790" s="465">
        <v>1494</v>
      </c>
      <c r="B790" s="466" t="s">
        <v>6765</v>
      </c>
      <c r="C790" s="466" t="s">
        <v>2094</v>
      </c>
      <c r="D790" s="467" t="s">
        <v>5951</v>
      </c>
      <c r="E790" s="468" t="s">
        <v>5360</v>
      </c>
      <c r="F790" s="465">
        <v>53.01</v>
      </c>
    </row>
    <row r="791" spans="1:6" x14ac:dyDescent="0.25">
      <c r="A791" s="465">
        <v>1495</v>
      </c>
      <c r="B791" s="466" t="s">
        <v>6084</v>
      </c>
      <c r="C791" s="466" t="s">
        <v>2094</v>
      </c>
      <c r="D791" s="467" t="s">
        <v>6085</v>
      </c>
      <c r="E791" s="468" t="s">
        <v>5360</v>
      </c>
      <c r="F791" s="465">
        <v>3.01</v>
      </c>
    </row>
    <row r="792" spans="1:6" ht="26.4" x14ac:dyDescent="0.25">
      <c r="A792" s="465">
        <v>1496</v>
      </c>
      <c r="B792" s="466" t="s">
        <v>5978</v>
      </c>
      <c r="C792" s="466" t="s">
        <v>2094</v>
      </c>
      <c r="D792" s="467" t="s">
        <v>5979</v>
      </c>
      <c r="E792" s="468" t="s">
        <v>4886</v>
      </c>
      <c r="F792" s="465">
        <v>95.98</v>
      </c>
    </row>
    <row r="793" spans="1:6" ht="26.4" x14ac:dyDescent="0.25">
      <c r="A793" s="465">
        <v>1497</v>
      </c>
      <c r="B793" s="466" t="s">
        <v>6761</v>
      </c>
      <c r="C793" s="466" t="s">
        <v>2094</v>
      </c>
      <c r="D793" s="467" t="s">
        <v>6762</v>
      </c>
      <c r="E793" s="468" t="s">
        <v>4850</v>
      </c>
      <c r="F793" s="465">
        <v>0.9</v>
      </c>
    </row>
    <row r="794" spans="1:6" ht="39.6" x14ac:dyDescent="0.25">
      <c r="A794" s="465">
        <v>1498</v>
      </c>
      <c r="B794" s="466" t="s">
        <v>4902</v>
      </c>
      <c r="C794" s="466" t="s">
        <v>4801</v>
      </c>
      <c r="D794" s="467" t="s">
        <v>4903</v>
      </c>
      <c r="E794" s="468" t="s">
        <v>4886</v>
      </c>
      <c r="F794" s="465">
        <v>15.02</v>
      </c>
    </row>
    <row r="795" spans="1:6" ht="26.4" x14ac:dyDescent="0.25">
      <c r="A795" s="465">
        <v>1499</v>
      </c>
      <c r="B795" s="466" t="s">
        <v>6233</v>
      </c>
      <c r="C795" s="466" t="s">
        <v>2094</v>
      </c>
      <c r="D795" s="467" t="s">
        <v>6234</v>
      </c>
      <c r="E795" s="468" t="s">
        <v>4863</v>
      </c>
      <c r="F795" s="465">
        <v>655.98</v>
      </c>
    </row>
    <row r="796" spans="1:6" ht="52.8" x14ac:dyDescent="0.25">
      <c r="A796" s="465">
        <v>1500</v>
      </c>
      <c r="B796" s="466" t="s">
        <v>5215</v>
      </c>
      <c r="C796" s="466" t="s">
        <v>4801</v>
      </c>
      <c r="D796" s="467" t="s">
        <v>5216</v>
      </c>
      <c r="E796" s="468" t="s">
        <v>4813</v>
      </c>
      <c r="F796" s="465">
        <v>1.37</v>
      </c>
    </row>
    <row r="797" spans="1:6" ht="39.6" x14ac:dyDescent="0.25">
      <c r="A797" s="465">
        <v>1501</v>
      </c>
      <c r="B797" s="466" t="s">
        <v>5164</v>
      </c>
      <c r="C797" s="466" t="s">
        <v>4801</v>
      </c>
      <c r="D797" s="467" t="s">
        <v>5165</v>
      </c>
      <c r="E797" s="468" t="s">
        <v>4803</v>
      </c>
      <c r="F797" s="465">
        <v>4.3</v>
      </c>
    </row>
    <row r="798" spans="1:6" ht="39.6" x14ac:dyDescent="0.25">
      <c r="A798" s="465">
        <v>1502</v>
      </c>
      <c r="B798" s="466" t="s">
        <v>5178</v>
      </c>
      <c r="C798" s="466" t="s">
        <v>4801</v>
      </c>
      <c r="D798" s="467" t="s">
        <v>5179</v>
      </c>
      <c r="E798" s="468" t="s">
        <v>4803</v>
      </c>
      <c r="F798" s="465">
        <v>5.09</v>
      </c>
    </row>
    <row r="799" spans="1:6" ht="39.6" x14ac:dyDescent="0.25">
      <c r="A799" s="465">
        <v>1503</v>
      </c>
      <c r="B799" s="466" t="s">
        <v>5180</v>
      </c>
      <c r="C799" s="466" t="s">
        <v>4801</v>
      </c>
      <c r="D799" s="467" t="s">
        <v>5181</v>
      </c>
      <c r="E799" s="468" t="s">
        <v>4803</v>
      </c>
      <c r="F799" s="465">
        <v>3.58</v>
      </c>
    </row>
    <row r="800" spans="1:6" ht="39.6" x14ac:dyDescent="0.25">
      <c r="A800" s="465">
        <v>1504</v>
      </c>
      <c r="B800" s="466" t="s">
        <v>5182</v>
      </c>
      <c r="C800" s="466" t="s">
        <v>4801</v>
      </c>
      <c r="D800" s="467" t="s">
        <v>5183</v>
      </c>
      <c r="E800" s="468" t="s">
        <v>4803</v>
      </c>
      <c r="F800" s="465">
        <v>5.97</v>
      </c>
    </row>
    <row r="801" spans="1:6" ht="39.6" x14ac:dyDescent="0.25">
      <c r="A801" s="465">
        <v>1505</v>
      </c>
      <c r="B801" s="466" t="s">
        <v>5184</v>
      </c>
      <c r="C801" s="466" t="s">
        <v>4801</v>
      </c>
      <c r="D801" s="467" t="s">
        <v>5185</v>
      </c>
      <c r="E801" s="468" t="s">
        <v>4803</v>
      </c>
      <c r="F801" s="465">
        <v>5.45</v>
      </c>
    </row>
    <row r="802" spans="1:6" ht="26.4" x14ac:dyDescent="0.25">
      <c r="A802" s="465">
        <v>1506</v>
      </c>
      <c r="B802" s="466" t="s">
        <v>5701</v>
      </c>
      <c r="C802" s="466" t="s">
        <v>2094</v>
      </c>
      <c r="D802" s="467" t="s">
        <v>5702</v>
      </c>
      <c r="E802" s="468" t="s">
        <v>4863</v>
      </c>
      <c r="F802" s="465">
        <v>0.7</v>
      </c>
    </row>
    <row r="803" spans="1:6" ht="26.4" x14ac:dyDescent="0.25">
      <c r="A803" s="465">
        <v>1507</v>
      </c>
      <c r="B803" s="466" t="s">
        <v>5697</v>
      </c>
      <c r="C803" s="466" t="s">
        <v>2094</v>
      </c>
      <c r="D803" s="467" t="s">
        <v>5698</v>
      </c>
      <c r="E803" s="468" t="s">
        <v>4863</v>
      </c>
      <c r="F803" s="465">
        <v>0.69</v>
      </c>
    </row>
    <row r="804" spans="1:6" ht="26.4" x14ac:dyDescent="0.25">
      <c r="A804" s="465">
        <v>1508</v>
      </c>
      <c r="B804" s="466" t="s">
        <v>5699</v>
      </c>
      <c r="C804" s="466" t="s">
        <v>2094</v>
      </c>
      <c r="D804" s="467" t="s">
        <v>5700</v>
      </c>
      <c r="E804" s="468" t="s">
        <v>4863</v>
      </c>
      <c r="F804" s="465">
        <v>1.63</v>
      </c>
    </row>
    <row r="805" spans="1:6" x14ac:dyDescent="0.25">
      <c r="A805" s="465">
        <v>1509</v>
      </c>
      <c r="B805" s="466" t="s">
        <v>5782</v>
      </c>
      <c r="C805" s="466" t="s">
        <v>2094</v>
      </c>
      <c r="D805" s="467" t="s">
        <v>5783</v>
      </c>
      <c r="E805" s="468" t="s">
        <v>4863</v>
      </c>
      <c r="F805" s="465">
        <v>0.48</v>
      </c>
    </row>
    <row r="806" spans="1:6" x14ac:dyDescent="0.25">
      <c r="A806" s="465">
        <v>1510</v>
      </c>
      <c r="B806" s="466" t="s">
        <v>5778</v>
      </c>
      <c r="C806" s="466" t="s">
        <v>2094</v>
      </c>
      <c r="D806" s="467" t="s">
        <v>5779</v>
      </c>
      <c r="E806" s="468" t="s">
        <v>4863</v>
      </c>
      <c r="F806" s="465">
        <v>0.62</v>
      </c>
    </row>
    <row r="807" spans="1:6" ht="26.4" x14ac:dyDescent="0.25">
      <c r="A807" s="465">
        <v>1511</v>
      </c>
      <c r="B807" s="466" t="s">
        <v>5780</v>
      </c>
      <c r="C807" s="466" t="s">
        <v>2094</v>
      </c>
      <c r="D807" s="467" t="s">
        <v>5781</v>
      </c>
      <c r="E807" s="468" t="s">
        <v>4863</v>
      </c>
      <c r="F807" s="465">
        <v>1.59</v>
      </c>
    </row>
    <row r="808" spans="1:6" ht="26.4" x14ac:dyDescent="0.25">
      <c r="A808" s="465">
        <v>1512</v>
      </c>
      <c r="B808" s="466" t="s">
        <v>7340</v>
      </c>
      <c r="C808" s="466" t="s">
        <v>2094</v>
      </c>
      <c r="D808" s="467" t="s">
        <v>7341</v>
      </c>
      <c r="E808" s="468" t="s">
        <v>4863</v>
      </c>
      <c r="F808" s="465">
        <v>0.32</v>
      </c>
    </row>
    <row r="809" spans="1:6" ht="26.4" x14ac:dyDescent="0.25">
      <c r="A809" s="465">
        <v>1513</v>
      </c>
      <c r="B809" s="466" t="s">
        <v>7342</v>
      </c>
      <c r="C809" s="466" t="s">
        <v>2094</v>
      </c>
      <c r="D809" s="467" t="s">
        <v>7343</v>
      </c>
      <c r="E809" s="468" t="s">
        <v>4863</v>
      </c>
      <c r="F809" s="465">
        <v>0.39</v>
      </c>
    </row>
    <row r="810" spans="1:6" ht="26.4" x14ac:dyDescent="0.25">
      <c r="A810" s="465">
        <v>1514</v>
      </c>
      <c r="B810" s="466" t="s">
        <v>7346</v>
      </c>
      <c r="C810" s="466" t="s">
        <v>2094</v>
      </c>
      <c r="D810" s="467" t="s">
        <v>7347</v>
      </c>
      <c r="E810" s="468" t="s">
        <v>4863</v>
      </c>
      <c r="F810" s="465">
        <v>0.69</v>
      </c>
    </row>
    <row r="811" spans="1:6" ht="26.4" x14ac:dyDescent="0.25">
      <c r="A811" s="465">
        <v>1515</v>
      </c>
      <c r="B811" s="466" t="s">
        <v>7348</v>
      </c>
      <c r="C811" s="466" t="s">
        <v>2094</v>
      </c>
      <c r="D811" s="467" t="s">
        <v>7349</v>
      </c>
      <c r="E811" s="468" t="s">
        <v>4863</v>
      </c>
      <c r="F811" s="465">
        <v>0.43</v>
      </c>
    </row>
    <row r="812" spans="1:6" ht="26.4" x14ac:dyDescent="0.25">
      <c r="A812" s="465">
        <v>1516</v>
      </c>
      <c r="B812" s="466" t="s">
        <v>7356</v>
      </c>
      <c r="C812" s="466" t="s">
        <v>2094</v>
      </c>
      <c r="D812" s="467" t="s">
        <v>7357</v>
      </c>
      <c r="E812" s="468" t="s">
        <v>4863</v>
      </c>
      <c r="F812" s="465">
        <v>0.34</v>
      </c>
    </row>
    <row r="813" spans="1:6" ht="39.6" x14ac:dyDescent="0.25">
      <c r="A813" s="465">
        <v>1517</v>
      </c>
      <c r="B813" s="466" t="s">
        <v>7358</v>
      </c>
      <c r="C813" s="466" t="s">
        <v>2094</v>
      </c>
      <c r="D813" s="467" t="s">
        <v>7359</v>
      </c>
      <c r="E813" s="468" t="s">
        <v>4863</v>
      </c>
      <c r="F813" s="465">
        <v>0.48</v>
      </c>
    </row>
    <row r="814" spans="1:6" ht="26.4" x14ac:dyDescent="0.25">
      <c r="A814" s="465">
        <v>1518</v>
      </c>
      <c r="B814" s="466" t="s">
        <v>7360</v>
      </c>
      <c r="C814" s="466" t="s">
        <v>2094</v>
      </c>
      <c r="D814" s="467" t="s">
        <v>7361</v>
      </c>
      <c r="E814" s="468" t="s">
        <v>4863</v>
      </c>
      <c r="F814" s="465">
        <v>0.56000000000000005</v>
      </c>
    </row>
    <row r="815" spans="1:6" ht="26.4" x14ac:dyDescent="0.25">
      <c r="A815" s="465">
        <v>1519</v>
      </c>
      <c r="B815" s="466" t="s">
        <v>7350</v>
      </c>
      <c r="C815" s="466" t="s">
        <v>2094</v>
      </c>
      <c r="D815" s="467" t="s">
        <v>7351</v>
      </c>
      <c r="E815" s="468" t="s">
        <v>4863</v>
      </c>
      <c r="F815" s="465">
        <v>0.63</v>
      </c>
    </row>
    <row r="816" spans="1:6" ht="26.4" x14ac:dyDescent="0.25">
      <c r="A816" s="465">
        <v>1520</v>
      </c>
      <c r="B816" s="466" t="s">
        <v>7352</v>
      </c>
      <c r="C816" s="466" t="s">
        <v>2094</v>
      </c>
      <c r="D816" s="467" t="s">
        <v>7353</v>
      </c>
      <c r="E816" s="468" t="s">
        <v>4863</v>
      </c>
      <c r="F816" s="465">
        <v>0.9</v>
      </c>
    </row>
    <row r="817" spans="1:6" ht="26.4" x14ac:dyDescent="0.25">
      <c r="A817" s="465">
        <v>1521</v>
      </c>
      <c r="B817" s="466" t="s">
        <v>7354</v>
      </c>
      <c r="C817" s="466" t="s">
        <v>2094</v>
      </c>
      <c r="D817" s="467" t="s">
        <v>7355</v>
      </c>
      <c r="E817" s="468" t="s">
        <v>4863</v>
      </c>
      <c r="F817" s="465">
        <v>1.1399999999999999</v>
      </c>
    </row>
    <row r="818" spans="1:6" ht="26.4" x14ac:dyDescent="0.25">
      <c r="A818" s="465">
        <v>1522</v>
      </c>
      <c r="B818" s="466" t="s">
        <v>7322</v>
      </c>
      <c r="C818" s="466" t="s">
        <v>2094</v>
      </c>
      <c r="D818" s="467" t="s">
        <v>7323</v>
      </c>
      <c r="E818" s="468" t="s">
        <v>4863</v>
      </c>
      <c r="F818" s="465">
        <v>1.1299999999999999</v>
      </c>
    </row>
    <row r="819" spans="1:6" ht="26.4" x14ac:dyDescent="0.25">
      <c r="A819" s="465">
        <v>1523</v>
      </c>
      <c r="B819" s="466" t="s">
        <v>7324</v>
      </c>
      <c r="C819" s="466" t="s">
        <v>2094</v>
      </c>
      <c r="D819" s="467" t="s">
        <v>7325</v>
      </c>
      <c r="E819" s="468" t="s">
        <v>4863</v>
      </c>
      <c r="F819" s="465">
        <v>2.91</v>
      </c>
    </row>
    <row r="820" spans="1:6" x14ac:dyDescent="0.25">
      <c r="A820" s="465">
        <v>1524</v>
      </c>
      <c r="B820" s="466" t="s">
        <v>7073</v>
      </c>
      <c r="C820" s="466" t="s">
        <v>2094</v>
      </c>
      <c r="D820" s="467" t="s">
        <v>7074</v>
      </c>
      <c r="E820" s="468" t="s">
        <v>4863</v>
      </c>
      <c r="F820" s="465">
        <v>2.9</v>
      </c>
    </row>
    <row r="821" spans="1:6" x14ac:dyDescent="0.25">
      <c r="A821" s="465">
        <v>1525</v>
      </c>
      <c r="B821" s="466" t="s">
        <v>7075</v>
      </c>
      <c r="C821" s="466" t="s">
        <v>2094</v>
      </c>
      <c r="D821" s="467" t="s">
        <v>7076</v>
      </c>
      <c r="E821" s="468" t="s">
        <v>4863</v>
      </c>
      <c r="F821" s="465">
        <v>9.33</v>
      </c>
    </row>
    <row r="822" spans="1:6" x14ac:dyDescent="0.25">
      <c r="A822" s="465">
        <v>1526</v>
      </c>
      <c r="B822" s="466" t="s">
        <v>7071</v>
      </c>
      <c r="C822" s="466" t="s">
        <v>2094</v>
      </c>
      <c r="D822" s="467" t="s">
        <v>7072</v>
      </c>
      <c r="E822" s="468" t="s">
        <v>4863</v>
      </c>
      <c r="F822" s="465">
        <v>3.84</v>
      </c>
    </row>
    <row r="823" spans="1:6" ht="26.4" x14ac:dyDescent="0.25">
      <c r="A823" s="465">
        <v>1527</v>
      </c>
      <c r="B823" s="466" t="s">
        <v>7067</v>
      </c>
      <c r="C823" s="466" t="s">
        <v>2094</v>
      </c>
      <c r="D823" s="467" t="s">
        <v>7068</v>
      </c>
      <c r="E823" s="468" t="s">
        <v>4863</v>
      </c>
      <c r="F823" s="465">
        <v>6.38</v>
      </c>
    </row>
    <row r="824" spans="1:6" ht="26.4" x14ac:dyDescent="0.25">
      <c r="A824" s="465">
        <v>1528</v>
      </c>
      <c r="B824" s="466" t="s">
        <v>7069</v>
      </c>
      <c r="C824" s="466" t="s">
        <v>2094</v>
      </c>
      <c r="D824" s="467" t="s">
        <v>7070</v>
      </c>
      <c r="E824" s="468" t="s">
        <v>4863</v>
      </c>
      <c r="F824" s="465">
        <v>13.74</v>
      </c>
    </row>
    <row r="825" spans="1:6" x14ac:dyDescent="0.25">
      <c r="A825" s="465">
        <v>1529</v>
      </c>
      <c r="B825" s="466" t="s">
        <v>7368</v>
      </c>
      <c r="C825" s="466" t="s">
        <v>2094</v>
      </c>
      <c r="D825" s="467" t="s">
        <v>7369</v>
      </c>
      <c r="E825" s="468" t="s">
        <v>4863</v>
      </c>
      <c r="F825" s="465">
        <v>4.12</v>
      </c>
    </row>
    <row r="826" spans="1:6" x14ac:dyDescent="0.25">
      <c r="A826" s="465">
        <v>1530</v>
      </c>
      <c r="B826" s="466" t="s">
        <v>7370</v>
      </c>
      <c r="C826" s="466" t="s">
        <v>2094</v>
      </c>
      <c r="D826" s="467" t="s">
        <v>7371</v>
      </c>
      <c r="E826" s="468" t="s">
        <v>4863</v>
      </c>
      <c r="F826" s="465">
        <v>10</v>
      </c>
    </row>
    <row r="827" spans="1:6" x14ac:dyDescent="0.25">
      <c r="A827" s="465">
        <v>1531</v>
      </c>
      <c r="B827" s="466" t="s">
        <v>7366</v>
      </c>
      <c r="C827" s="466" t="s">
        <v>2094</v>
      </c>
      <c r="D827" s="467" t="s">
        <v>7367</v>
      </c>
      <c r="E827" s="468" t="s">
        <v>4863</v>
      </c>
      <c r="F827" s="465">
        <v>4.43</v>
      </c>
    </row>
    <row r="828" spans="1:6" ht="26.4" x14ac:dyDescent="0.25">
      <c r="A828" s="465">
        <v>1532</v>
      </c>
      <c r="B828" s="466" t="s">
        <v>7362</v>
      </c>
      <c r="C828" s="466" t="s">
        <v>2094</v>
      </c>
      <c r="D828" s="467" t="s">
        <v>7363</v>
      </c>
      <c r="E828" s="468" t="s">
        <v>4863</v>
      </c>
      <c r="F828" s="465">
        <v>6.68</v>
      </c>
    </row>
    <row r="829" spans="1:6" ht="26.4" x14ac:dyDescent="0.25">
      <c r="A829" s="465">
        <v>1533</v>
      </c>
      <c r="B829" s="466" t="s">
        <v>7364</v>
      </c>
      <c r="C829" s="466" t="s">
        <v>2094</v>
      </c>
      <c r="D829" s="467" t="s">
        <v>7365</v>
      </c>
      <c r="E829" s="468" t="s">
        <v>4863</v>
      </c>
      <c r="F829" s="465">
        <v>17.84</v>
      </c>
    </row>
    <row r="830" spans="1:6" x14ac:dyDescent="0.25">
      <c r="A830" s="465">
        <v>1534</v>
      </c>
      <c r="B830" s="466" t="s">
        <v>7336</v>
      </c>
      <c r="C830" s="466" t="s">
        <v>2094</v>
      </c>
      <c r="D830" s="467" t="s">
        <v>7337</v>
      </c>
      <c r="E830" s="468" t="s">
        <v>4863</v>
      </c>
      <c r="F830" s="465">
        <v>2.62</v>
      </c>
    </row>
    <row r="831" spans="1:6" x14ac:dyDescent="0.25">
      <c r="A831" s="465">
        <v>1535</v>
      </c>
      <c r="B831" s="466" t="s">
        <v>7338</v>
      </c>
      <c r="C831" s="466" t="s">
        <v>2094</v>
      </c>
      <c r="D831" s="467" t="s">
        <v>7339</v>
      </c>
      <c r="E831" s="468" t="s">
        <v>4863</v>
      </c>
      <c r="F831" s="465">
        <v>8</v>
      </c>
    </row>
    <row r="832" spans="1:6" x14ac:dyDescent="0.25">
      <c r="A832" s="465">
        <v>1536</v>
      </c>
      <c r="B832" s="466" t="s">
        <v>7334</v>
      </c>
      <c r="C832" s="466" t="s">
        <v>2094</v>
      </c>
      <c r="D832" s="467" t="s">
        <v>7335</v>
      </c>
      <c r="E832" s="468" t="s">
        <v>4863</v>
      </c>
      <c r="F832" s="465">
        <v>3.45</v>
      </c>
    </row>
    <row r="833" spans="1:6" ht="26.4" x14ac:dyDescent="0.25">
      <c r="A833" s="465">
        <v>1537</v>
      </c>
      <c r="B833" s="466" t="s">
        <v>7330</v>
      </c>
      <c r="C833" s="466" t="s">
        <v>2094</v>
      </c>
      <c r="D833" s="467" t="s">
        <v>7331</v>
      </c>
      <c r="E833" s="468" t="s">
        <v>4863</v>
      </c>
      <c r="F833" s="465">
        <v>6.82</v>
      </c>
    </row>
    <row r="834" spans="1:6" ht="26.4" x14ac:dyDescent="0.25">
      <c r="A834" s="465">
        <v>1538</v>
      </c>
      <c r="B834" s="466" t="s">
        <v>7332</v>
      </c>
      <c r="C834" s="466" t="s">
        <v>2094</v>
      </c>
      <c r="D834" s="467" t="s">
        <v>7333</v>
      </c>
      <c r="E834" s="468" t="s">
        <v>4863</v>
      </c>
      <c r="F834" s="465">
        <v>14.2</v>
      </c>
    </row>
    <row r="835" spans="1:6" ht="26.4" x14ac:dyDescent="0.25">
      <c r="A835" s="465">
        <v>1539</v>
      </c>
      <c r="B835" s="466" t="s">
        <v>7298</v>
      </c>
      <c r="C835" s="466" t="s">
        <v>2094</v>
      </c>
      <c r="D835" s="467" t="s">
        <v>7299</v>
      </c>
      <c r="E835" s="468" t="s">
        <v>4863</v>
      </c>
      <c r="F835" s="465">
        <v>2.81</v>
      </c>
    </row>
    <row r="836" spans="1:6" ht="26.4" x14ac:dyDescent="0.25">
      <c r="A836" s="465">
        <v>1540</v>
      </c>
      <c r="B836" s="466" t="s">
        <v>7310</v>
      </c>
      <c r="C836" s="466" t="s">
        <v>2094</v>
      </c>
      <c r="D836" s="467" t="s">
        <v>7311</v>
      </c>
      <c r="E836" s="468" t="s">
        <v>4863</v>
      </c>
      <c r="F836" s="465">
        <v>3.5</v>
      </c>
    </row>
    <row r="837" spans="1:6" ht="26.4" x14ac:dyDescent="0.25">
      <c r="A837" s="465">
        <v>1541</v>
      </c>
      <c r="B837" s="466" t="s">
        <v>7292</v>
      </c>
      <c r="C837" s="466" t="s">
        <v>2094</v>
      </c>
      <c r="D837" s="467" t="s">
        <v>7293</v>
      </c>
      <c r="E837" s="468" t="s">
        <v>4863</v>
      </c>
      <c r="F837" s="465">
        <v>5.0999999999999996</v>
      </c>
    </row>
    <row r="838" spans="1:6" ht="26.4" x14ac:dyDescent="0.25">
      <c r="A838" s="465">
        <v>1542</v>
      </c>
      <c r="B838" s="466" t="s">
        <v>7294</v>
      </c>
      <c r="C838" s="466" t="s">
        <v>2094</v>
      </c>
      <c r="D838" s="467" t="s">
        <v>7295</v>
      </c>
      <c r="E838" s="468" t="s">
        <v>4863</v>
      </c>
      <c r="F838" s="465">
        <v>7.22</v>
      </c>
    </row>
    <row r="839" spans="1:6" ht="26.4" x14ac:dyDescent="0.25">
      <c r="A839" s="465">
        <v>1543</v>
      </c>
      <c r="B839" s="466" t="s">
        <v>7290</v>
      </c>
      <c r="C839" s="466" t="s">
        <v>2094</v>
      </c>
      <c r="D839" s="467" t="s">
        <v>7291</v>
      </c>
      <c r="E839" s="468" t="s">
        <v>4863</v>
      </c>
      <c r="F839" s="465">
        <v>8.85</v>
      </c>
    </row>
    <row r="840" spans="1:6" ht="26.4" x14ac:dyDescent="0.25">
      <c r="A840" s="465">
        <v>1544</v>
      </c>
      <c r="B840" s="466" t="s">
        <v>7296</v>
      </c>
      <c r="C840" s="466" t="s">
        <v>2094</v>
      </c>
      <c r="D840" s="467" t="s">
        <v>7297</v>
      </c>
      <c r="E840" s="468" t="s">
        <v>4863</v>
      </c>
      <c r="F840" s="465">
        <v>16.5</v>
      </c>
    </row>
    <row r="841" spans="1:6" ht="39.6" x14ac:dyDescent="0.25">
      <c r="A841" s="465">
        <v>1545</v>
      </c>
      <c r="B841" s="466" t="s">
        <v>7316</v>
      </c>
      <c r="C841" s="466" t="s">
        <v>2094</v>
      </c>
      <c r="D841" s="467" t="s">
        <v>7317</v>
      </c>
      <c r="E841" s="468" t="s">
        <v>4863</v>
      </c>
      <c r="F841" s="465">
        <v>3.42</v>
      </c>
    </row>
    <row r="842" spans="1:6" ht="39.6" x14ac:dyDescent="0.25">
      <c r="A842" s="465">
        <v>1546</v>
      </c>
      <c r="B842" s="466" t="s">
        <v>7318</v>
      </c>
      <c r="C842" s="466" t="s">
        <v>2094</v>
      </c>
      <c r="D842" s="467" t="s">
        <v>7319</v>
      </c>
      <c r="E842" s="468" t="s">
        <v>4863</v>
      </c>
      <c r="F842" s="465">
        <v>5.75</v>
      </c>
    </row>
    <row r="843" spans="1:6" ht="39.6" x14ac:dyDescent="0.25">
      <c r="A843" s="465">
        <v>1547</v>
      </c>
      <c r="B843" s="466" t="s">
        <v>7320</v>
      </c>
      <c r="C843" s="466" t="s">
        <v>2094</v>
      </c>
      <c r="D843" s="467" t="s">
        <v>7321</v>
      </c>
      <c r="E843" s="468" t="s">
        <v>4863</v>
      </c>
      <c r="F843" s="465">
        <v>4.8</v>
      </c>
    </row>
    <row r="844" spans="1:6" ht="39.6" x14ac:dyDescent="0.25">
      <c r="A844" s="465">
        <v>1548</v>
      </c>
      <c r="B844" s="466" t="s">
        <v>7312</v>
      </c>
      <c r="C844" s="466" t="s">
        <v>2094</v>
      </c>
      <c r="D844" s="467" t="s">
        <v>7313</v>
      </c>
      <c r="E844" s="468" t="s">
        <v>4863</v>
      </c>
      <c r="F844" s="465">
        <v>4.8</v>
      </c>
    </row>
    <row r="845" spans="1:6" ht="39.6" x14ac:dyDescent="0.25">
      <c r="A845" s="465">
        <v>1549</v>
      </c>
      <c r="B845" s="466" t="s">
        <v>7314</v>
      </c>
      <c r="C845" s="466" t="s">
        <v>2094</v>
      </c>
      <c r="D845" s="467" t="s">
        <v>7315</v>
      </c>
      <c r="E845" s="468" t="s">
        <v>4863</v>
      </c>
      <c r="F845" s="465">
        <v>4.72</v>
      </c>
    </row>
    <row r="846" spans="1:6" ht="26.4" x14ac:dyDescent="0.25">
      <c r="A846" s="465">
        <v>1550</v>
      </c>
      <c r="B846" s="466" t="s">
        <v>7304</v>
      </c>
      <c r="C846" s="466" t="s">
        <v>2094</v>
      </c>
      <c r="D846" s="467" t="s">
        <v>7305</v>
      </c>
      <c r="E846" s="468" t="s">
        <v>4863</v>
      </c>
      <c r="F846" s="465">
        <v>5.2</v>
      </c>
    </row>
    <row r="847" spans="1:6" ht="26.4" x14ac:dyDescent="0.25">
      <c r="A847" s="465">
        <v>1551</v>
      </c>
      <c r="B847" s="466" t="s">
        <v>7306</v>
      </c>
      <c r="C847" s="466" t="s">
        <v>2094</v>
      </c>
      <c r="D847" s="467" t="s">
        <v>7307</v>
      </c>
      <c r="E847" s="468" t="s">
        <v>4863</v>
      </c>
      <c r="F847" s="465">
        <v>5.58</v>
      </c>
    </row>
    <row r="848" spans="1:6" ht="26.4" x14ac:dyDescent="0.25">
      <c r="A848" s="465">
        <v>1552</v>
      </c>
      <c r="B848" s="466" t="s">
        <v>7308</v>
      </c>
      <c r="C848" s="466" t="s">
        <v>2094</v>
      </c>
      <c r="D848" s="467" t="s">
        <v>7309</v>
      </c>
      <c r="E848" s="468" t="s">
        <v>4863</v>
      </c>
      <c r="F848" s="465">
        <v>5.58</v>
      </c>
    </row>
    <row r="849" spans="1:6" ht="26.4" x14ac:dyDescent="0.25">
      <c r="A849" s="465">
        <v>1553</v>
      </c>
      <c r="B849" s="466" t="s">
        <v>7300</v>
      </c>
      <c r="C849" s="466" t="s">
        <v>2094</v>
      </c>
      <c r="D849" s="467" t="s">
        <v>7301</v>
      </c>
      <c r="E849" s="468" t="s">
        <v>4863</v>
      </c>
      <c r="F849" s="465">
        <v>5.58</v>
      </c>
    </row>
    <row r="850" spans="1:6" ht="26.4" x14ac:dyDescent="0.25">
      <c r="A850" s="465">
        <v>1554</v>
      </c>
      <c r="B850" s="466" t="s">
        <v>7302</v>
      </c>
      <c r="C850" s="466" t="s">
        <v>2094</v>
      </c>
      <c r="D850" s="467" t="s">
        <v>7303</v>
      </c>
      <c r="E850" s="468" t="s">
        <v>4863</v>
      </c>
      <c r="F850" s="465">
        <v>6.5</v>
      </c>
    </row>
    <row r="851" spans="1:6" ht="26.4" x14ac:dyDescent="0.25">
      <c r="A851" s="465">
        <v>1555</v>
      </c>
      <c r="B851" s="466" t="s">
        <v>5753</v>
      </c>
      <c r="C851" s="466" t="s">
        <v>2094</v>
      </c>
      <c r="D851" s="467" t="s">
        <v>5754</v>
      </c>
      <c r="E851" s="468" t="s">
        <v>4863</v>
      </c>
      <c r="F851" s="465">
        <v>0.28000000000000003</v>
      </c>
    </row>
    <row r="852" spans="1:6" ht="26.4" x14ac:dyDescent="0.25">
      <c r="A852" s="465">
        <v>1556</v>
      </c>
      <c r="B852" s="466" t="s">
        <v>5755</v>
      </c>
      <c r="C852" s="466" t="s">
        <v>2094</v>
      </c>
      <c r="D852" s="467" t="s">
        <v>5756</v>
      </c>
      <c r="E852" s="468" t="s">
        <v>4863</v>
      </c>
      <c r="F852" s="465">
        <v>0.71</v>
      </c>
    </row>
    <row r="853" spans="1:6" ht="39.6" x14ac:dyDescent="0.25">
      <c r="A853" s="465">
        <v>1557</v>
      </c>
      <c r="B853" s="466" t="s">
        <v>7326</v>
      </c>
      <c r="C853" s="466" t="s">
        <v>2094</v>
      </c>
      <c r="D853" s="467" t="s">
        <v>7327</v>
      </c>
      <c r="E853" s="468" t="s">
        <v>4863</v>
      </c>
      <c r="F853" s="465">
        <v>2.3199999999999998</v>
      </c>
    </row>
    <row r="854" spans="1:6" ht="26.4" x14ac:dyDescent="0.25">
      <c r="A854" s="465">
        <v>1559</v>
      </c>
      <c r="B854" s="466" t="s">
        <v>5773</v>
      </c>
      <c r="C854" s="466" t="s">
        <v>2094</v>
      </c>
      <c r="D854" s="467" t="s">
        <v>5760</v>
      </c>
      <c r="E854" s="468" t="s">
        <v>4863</v>
      </c>
      <c r="F854" s="465">
        <v>1.95</v>
      </c>
    </row>
    <row r="855" spans="1:6" ht="26.4" x14ac:dyDescent="0.25">
      <c r="A855" s="465">
        <v>1560</v>
      </c>
      <c r="B855" s="466" t="s">
        <v>5757</v>
      </c>
      <c r="C855" s="466" t="s">
        <v>2094</v>
      </c>
      <c r="D855" s="467" t="s">
        <v>5758</v>
      </c>
      <c r="E855" s="468" t="s">
        <v>4863</v>
      </c>
      <c r="F855" s="465">
        <v>1.74</v>
      </c>
    </row>
    <row r="856" spans="1:6" ht="26.4" x14ac:dyDescent="0.25">
      <c r="A856" s="465">
        <v>1561</v>
      </c>
      <c r="B856" s="466" t="s">
        <v>5759</v>
      </c>
      <c r="C856" s="466" t="s">
        <v>2094</v>
      </c>
      <c r="D856" s="467" t="s">
        <v>5760</v>
      </c>
      <c r="E856" s="468" t="s">
        <v>4863</v>
      </c>
      <c r="F856" s="465">
        <v>2.56</v>
      </c>
    </row>
    <row r="857" spans="1:6" ht="26.4" x14ac:dyDescent="0.25">
      <c r="A857" s="465">
        <v>1562</v>
      </c>
      <c r="B857" s="466" t="s">
        <v>5761</v>
      </c>
      <c r="C857" s="466" t="s">
        <v>2094</v>
      </c>
      <c r="D857" s="467" t="s">
        <v>5762</v>
      </c>
      <c r="E857" s="468" t="s">
        <v>4863</v>
      </c>
      <c r="F857" s="465">
        <v>0.8</v>
      </c>
    </row>
    <row r="858" spans="1:6" ht="26.4" x14ac:dyDescent="0.25">
      <c r="A858" s="465">
        <v>1563</v>
      </c>
      <c r="B858" s="466" t="s">
        <v>5763</v>
      </c>
      <c r="C858" s="466" t="s">
        <v>2094</v>
      </c>
      <c r="D858" s="467" t="s">
        <v>5764</v>
      </c>
      <c r="E858" s="468" t="s">
        <v>4863</v>
      </c>
      <c r="F858" s="465">
        <v>2.0099999999999998</v>
      </c>
    </row>
    <row r="859" spans="1:6" ht="26.4" x14ac:dyDescent="0.25">
      <c r="A859" s="465">
        <v>1564</v>
      </c>
      <c r="B859" s="466" t="s">
        <v>5774</v>
      </c>
      <c r="C859" s="466" t="s">
        <v>2094</v>
      </c>
      <c r="D859" s="467" t="s">
        <v>5775</v>
      </c>
      <c r="E859" s="468" t="s">
        <v>4863</v>
      </c>
      <c r="F859" s="465">
        <v>2.08</v>
      </c>
    </row>
    <row r="860" spans="1:6" ht="26.4" x14ac:dyDescent="0.25">
      <c r="A860" s="465">
        <v>1565</v>
      </c>
      <c r="B860" s="466" t="s">
        <v>5776</v>
      </c>
      <c r="C860" s="466" t="s">
        <v>2094</v>
      </c>
      <c r="D860" s="467" t="s">
        <v>5777</v>
      </c>
      <c r="E860" s="468" t="s">
        <v>4863</v>
      </c>
      <c r="F860" s="465">
        <v>3.02</v>
      </c>
    </row>
    <row r="861" spans="1:6" ht="26.4" x14ac:dyDescent="0.25">
      <c r="A861" s="465">
        <v>1566</v>
      </c>
      <c r="B861" s="466" t="s">
        <v>5765</v>
      </c>
      <c r="C861" s="466" t="s">
        <v>2094</v>
      </c>
      <c r="D861" s="467" t="s">
        <v>5766</v>
      </c>
      <c r="E861" s="468" t="s">
        <v>4863</v>
      </c>
      <c r="F861" s="465">
        <v>3.85</v>
      </c>
    </row>
    <row r="862" spans="1:6" ht="26.4" x14ac:dyDescent="0.25">
      <c r="A862" s="465">
        <v>1567</v>
      </c>
      <c r="B862" s="466" t="s">
        <v>5767</v>
      </c>
      <c r="C862" s="466" t="s">
        <v>2094</v>
      </c>
      <c r="D862" s="467" t="s">
        <v>5768</v>
      </c>
      <c r="E862" s="468" t="s">
        <v>4863</v>
      </c>
      <c r="F862" s="465">
        <v>4.97</v>
      </c>
    </row>
    <row r="863" spans="1:6" ht="26.4" x14ac:dyDescent="0.25">
      <c r="A863" s="465">
        <v>1570</v>
      </c>
      <c r="B863" s="466" t="s">
        <v>5769</v>
      </c>
      <c r="C863" s="466" t="s">
        <v>2094</v>
      </c>
      <c r="D863" s="467" t="s">
        <v>5770</v>
      </c>
      <c r="E863" s="468" t="s">
        <v>4863</v>
      </c>
      <c r="F863" s="465">
        <v>4.5999999999999996</v>
      </c>
    </row>
    <row r="864" spans="1:6" ht="26.4" x14ac:dyDescent="0.25">
      <c r="A864" s="465">
        <v>1571</v>
      </c>
      <c r="B864" s="466" t="s">
        <v>5771</v>
      </c>
      <c r="C864" s="466" t="s">
        <v>2094</v>
      </c>
      <c r="D864" s="467" t="s">
        <v>5772</v>
      </c>
      <c r="E864" s="468" t="s">
        <v>4863</v>
      </c>
      <c r="F864" s="465">
        <v>1.93</v>
      </c>
    </row>
    <row r="865" spans="1:6" ht="26.4" x14ac:dyDescent="0.25">
      <c r="A865" s="465">
        <v>1573</v>
      </c>
      <c r="B865" s="466" t="s">
        <v>7328</v>
      </c>
      <c r="C865" s="466" t="s">
        <v>2094</v>
      </c>
      <c r="D865" s="467" t="s">
        <v>7329</v>
      </c>
      <c r="E865" s="468" t="s">
        <v>4863</v>
      </c>
      <c r="F865" s="465">
        <v>4.62</v>
      </c>
    </row>
    <row r="866" spans="1:6" ht="26.4" x14ac:dyDescent="0.25">
      <c r="A866" s="465">
        <v>1574</v>
      </c>
      <c r="B866" s="466" t="s">
        <v>6001</v>
      </c>
      <c r="C866" s="466" t="s">
        <v>2094</v>
      </c>
      <c r="D866" s="467" t="s">
        <v>6002</v>
      </c>
      <c r="E866" s="468" t="s">
        <v>4863</v>
      </c>
      <c r="F866" s="465">
        <v>0.09</v>
      </c>
    </row>
    <row r="867" spans="1:6" ht="26.4" x14ac:dyDescent="0.25">
      <c r="A867" s="465">
        <v>1575</v>
      </c>
      <c r="B867" s="466" t="s">
        <v>6011</v>
      </c>
      <c r="C867" s="466" t="s">
        <v>2094</v>
      </c>
      <c r="D867" s="467" t="s">
        <v>6012</v>
      </c>
      <c r="E867" s="468" t="s">
        <v>4863</v>
      </c>
      <c r="F867" s="465">
        <v>7.0000000000000007E-2</v>
      </c>
    </row>
    <row r="868" spans="1:6" ht="26.4" x14ac:dyDescent="0.25">
      <c r="A868" s="465">
        <v>1576</v>
      </c>
      <c r="B868" s="466" t="s">
        <v>6798</v>
      </c>
      <c r="C868" s="466" t="s">
        <v>2094</v>
      </c>
      <c r="D868" s="467" t="s">
        <v>6799</v>
      </c>
      <c r="E868" s="468" t="s">
        <v>5360</v>
      </c>
      <c r="F868" s="465">
        <v>10.08</v>
      </c>
    </row>
    <row r="869" spans="1:6" ht="26.4" x14ac:dyDescent="0.25">
      <c r="A869" s="465">
        <v>1577</v>
      </c>
      <c r="B869" s="466" t="s">
        <v>5707</v>
      </c>
      <c r="C869" s="466" t="s">
        <v>2094</v>
      </c>
      <c r="D869" s="467" t="s">
        <v>5708</v>
      </c>
      <c r="E869" s="468" t="s">
        <v>4863</v>
      </c>
      <c r="F869" s="465">
        <v>0.36</v>
      </c>
    </row>
    <row r="870" spans="1:6" ht="26.4" x14ac:dyDescent="0.25">
      <c r="A870" s="465">
        <v>1578</v>
      </c>
      <c r="B870" s="466" t="s">
        <v>5709</v>
      </c>
      <c r="C870" s="466" t="s">
        <v>2094</v>
      </c>
      <c r="D870" s="467" t="s">
        <v>5710</v>
      </c>
      <c r="E870" s="468" t="s">
        <v>4863</v>
      </c>
      <c r="F870" s="465">
        <v>1.98</v>
      </c>
    </row>
    <row r="871" spans="1:6" ht="26.4" x14ac:dyDescent="0.25">
      <c r="A871" s="465">
        <v>1579</v>
      </c>
      <c r="B871" s="466" t="s">
        <v>5711</v>
      </c>
      <c r="C871" s="466" t="s">
        <v>2094</v>
      </c>
      <c r="D871" s="467" t="s">
        <v>5712</v>
      </c>
      <c r="E871" s="468" t="s">
        <v>4863</v>
      </c>
      <c r="F871" s="465">
        <v>0.36</v>
      </c>
    </row>
    <row r="872" spans="1:6" ht="26.4" x14ac:dyDescent="0.25">
      <c r="A872" s="465">
        <v>1580</v>
      </c>
      <c r="B872" s="466" t="s">
        <v>5713</v>
      </c>
      <c r="C872" s="466" t="s">
        <v>2094</v>
      </c>
      <c r="D872" s="467" t="s">
        <v>5714</v>
      </c>
      <c r="E872" s="468" t="s">
        <v>4863</v>
      </c>
      <c r="F872" s="465">
        <v>0.32</v>
      </c>
    </row>
    <row r="873" spans="1:6" ht="26.4" x14ac:dyDescent="0.25">
      <c r="A873" s="465">
        <v>1581</v>
      </c>
      <c r="B873" s="466" t="s">
        <v>5715</v>
      </c>
      <c r="C873" s="466" t="s">
        <v>2094</v>
      </c>
      <c r="D873" s="467" t="s">
        <v>5716</v>
      </c>
      <c r="E873" s="468" t="s">
        <v>4863</v>
      </c>
      <c r="F873" s="465">
        <v>0.66</v>
      </c>
    </row>
    <row r="874" spans="1:6" ht="26.4" x14ac:dyDescent="0.25">
      <c r="A874" s="465">
        <v>1582</v>
      </c>
      <c r="B874" s="466" t="s">
        <v>5717</v>
      </c>
      <c r="C874" s="466" t="s">
        <v>2094</v>
      </c>
      <c r="D874" s="467" t="s">
        <v>5718</v>
      </c>
      <c r="E874" s="468" t="s">
        <v>4863</v>
      </c>
      <c r="F874" s="465">
        <v>1.08</v>
      </c>
    </row>
    <row r="875" spans="1:6" ht="26.4" x14ac:dyDescent="0.25">
      <c r="A875" s="465">
        <v>1583</v>
      </c>
      <c r="B875" s="466" t="s">
        <v>5719</v>
      </c>
      <c r="C875" s="466" t="s">
        <v>2094</v>
      </c>
      <c r="D875" s="467" t="s">
        <v>5720</v>
      </c>
      <c r="E875" s="468" t="s">
        <v>4863</v>
      </c>
      <c r="F875" s="465">
        <v>1.44</v>
      </c>
    </row>
    <row r="876" spans="1:6" ht="26.4" x14ac:dyDescent="0.25">
      <c r="A876" s="465">
        <v>1584</v>
      </c>
      <c r="B876" s="466" t="s">
        <v>5703</v>
      </c>
      <c r="C876" s="466" t="s">
        <v>2094</v>
      </c>
      <c r="D876" s="467" t="s">
        <v>5704</v>
      </c>
      <c r="E876" s="468" t="s">
        <v>4863</v>
      </c>
      <c r="F876" s="465">
        <v>0.08</v>
      </c>
    </row>
    <row r="877" spans="1:6" ht="26.4" x14ac:dyDescent="0.25">
      <c r="A877" s="465">
        <v>1585</v>
      </c>
      <c r="B877" s="466" t="s">
        <v>5705</v>
      </c>
      <c r="C877" s="466" t="s">
        <v>2094</v>
      </c>
      <c r="D877" s="467" t="s">
        <v>5706</v>
      </c>
      <c r="E877" s="468" t="s">
        <v>4863</v>
      </c>
      <c r="F877" s="465">
        <v>0.1</v>
      </c>
    </row>
    <row r="878" spans="1:6" ht="26.4" x14ac:dyDescent="0.25">
      <c r="A878" s="465">
        <v>1586</v>
      </c>
      <c r="B878" s="466" t="s">
        <v>7461</v>
      </c>
      <c r="C878" s="466" t="s">
        <v>2094</v>
      </c>
      <c r="D878" s="467" t="s">
        <v>7462</v>
      </c>
      <c r="E878" s="468" t="s">
        <v>4863</v>
      </c>
      <c r="F878" s="465">
        <v>0.08</v>
      </c>
    </row>
    <row r="879" spans="1:6" ht="39.6" x14ac:dyDescent="0.25">
      <c r="A879" s="465">
        <v>1587</v>
      </c>
      <c r="B879" s="466" t="s">
        <v>5358</v>
      </c>
      <c r="C879" s="466" t="s">
        <v>2094</v>
      </c>
      <c r="D879" s="467" t="s">
        <v>5359</v>
      </c>
      <c r="E879" s="468" t="s">
        <v>5360</v>
      </c>
      <c r="F879" s="465">
        <v>3.14</v>
      </c>
    </row>
    <row r="880" spans="1:6" ht="39.6" x14ac:dyDescent="0.25">
      <c r="A880" s="465">
        <v>1588</v>
      </c>
      <c r="B880" s="466" t="s">
        <v>5361</v>
      </c>
      <c r="C880" s="466" t="s">
        <v>2094</v>
      </c>
      <c r="D880" s="467" t="s">
        <v>5362</v>
      </c>
      <c r="E880" s="468" t="s">
        <v>5360</v>
      </c>
      <c r="F880" s="465">
        <v>1.9</v>
      </c>
    </row>
    <row r="881" spans="1:6" ht="39.6" x14ac:dyDescent="0.25">
      <c r="A881" s="465">
        <v>1589</v>
      </c>
      <c r="B881" s="466" t="s">
        <v>6778</v>
      </c>
      <c r="C881" s="466" t="s">
        <v>2094</v>
      </c>
      <c r="D881" s="467" t="s">
        <v>6779</v>
      </c>
      <c r="E881" s="468" t="s">
        <v>5360</v>
      </c>
      <c r="F881" s="465">
        <v>0.78</v>
      </c>
    </row>
    <row r="882" spans="1:6" ht="39.6" x14ac:dyDescent="0.25">
      <c r="A882" s="465">
        <v>1590</v>
      </c>
      <c r="B882" s="466" t="s">
        <v>4998</v>
      </c>
      <c r="C882" s="466" t="s">
        <v>4801</v>
      </c>
      <c r="D882" s="467" t="s">
        <v>4999</v>
      </c>
      <c r="E882" s="468" t="s">
        <v>4803</v>
      </c>
      <c r="F882" s="465">
        <v>9.44</v>
      </c>
    </row>
    <row r="883" spans="1:6" ht="39.6" x14ac:dyDescent="0.25">
      <c r="A883" s="465">
        <v>1592</v>
      </c>
      <c r="B883" s="466" t="s">
        <v>6269</v>
      </c>
      <c r="C883" s="466" t="s">
        <v>2094</v>
      </c>
      <c r="D883" s="467" t="s">
        <v>6270</v>
      </c>
      <c r="E883" s="468" t="s">
        <v>5360</v>
      </c>
      <c r="F883" s="465">
        <v>1.28</v>
      </c>
    </row>
    <row r="884" spans="1:6" ht="39.6" x14ac:dyDescent="0.25">
      <c r="A884" s="465">
        <v>1593</v>
      </c>
      <c r="B884" s="466" t="s">
        <v>6273</v>
      </c>
      <c r="C884" s="466" t="s">
        <v>2094</v>
      </c>
      <c r="D884" s="467" t="s">
        <v>6274</v>
      </c>
      <c r="E884" s="468" t="s">
        <v>5360</v>
      </c>
      <c r="F884" s="465">
        <v>1.33</v>
      </c>
    </row>
    <row r="885" spans="1:6" ht="39.6" x14ac:dyDescent="0.25">
      <c r="A885" s="465">
        <v>1594</v>
      </c>
      <c r="B885" s="466" t="s">
        <v>6271</v>
      </c>
      <c r="C885" s="466" t="s">
        <v>2094</v>
      </c>
      <c r="D885" s="467" t="s">
        <v>6272</v>
      </c>
      <c r="E885" s="468" t="s">
        <v>4863</v>
      </c>
      <c r="F885" s="465">
        <v>0.75</v>
      </c>
    </row>
    <row r="886" spans="1:6" ht="26.4" x14ac:dyDescent="0.25">
      <c r="A886" s="465">
        <v>1595</v>
      </c>
      <c r="B886" s="466" t="s">
        <v>5098</v>
      </c>
      <c r="C886" s="466" t="s">
        <v>4801</v>
      </c>
      <c r="D886" s="467" t="s">
        <v>5099</v>
      </c>
      <c r="E886" s="468" t="s">
        <v>4803</v>
      </c>
      <c r="F886" s="465">
        <v>161.78</v>
      </c>
    </row>
    <row r="887" spans="1:6" ht="26.4" x14ac:dyDescent="0.25">
      <c r="A887" s="465">
        <v>1596</v>
      </c>
      <c r="B887" s="466" t="s">
        <v>6321</v>
      </c>
      <c r="C887" s="466" t="s">
        <v>2094</v>
      </c>
      <c r="D887" s="467" t="s">
        <v>6322</v>
      </c>
      <c r="E887" s="468" t="s">
        <v>5034</v>
      </c>
      <c r="F887" s="465">
        <v>3.99</v>
      </c>
    </row>
    <row r="888" spans="1:6" ht="26.4" x14ac:dyDescent="0.25">
      <c r="A888" s="465">
        <v>1597</v>
      </c>
      <c r="B888" s="466" t="s">
        <v>6323</v>
      </c>
      <c r="C888" s="466" t="s">
        <v>2094</v>
      </c>
      <c r="D888" s="467" t="s">
        <v>6324</v>
      </c>
      <c r="E888" s="468" t="s">
        <v>4863</v>
      </c>
      <c r="F888" s="465">
        <v>53.69</v>
      </c>
    </row>
    <row r="889" spans="1:6" ht="26.4" x14ac:dyDescent="0.25">
      <c r="A889" s="465">
        <v>1598</v>
      </c>
      <c r="B889" s="466" t="s">
        <v>5186</v>
      </c>
      <c r="C889" s="466" t="s">
        <v>4801</v>
      </c>
      <c r="D889" s="467" t="s">
        <v>5187</v>
      </c>
      <c r="E889" s="468" t="s">
        <v>4803</v>
      </c>
      <c r="F889" s="465">
        <v>19.91</v>
      </c>
    </row>
    <row r="890" spans="1:6" ht="39.6" x14ac:dyDescent="0.25">
      <c r="A890" s="465">
        <v>1599</v>
      </c>
      <c r="B890" s="466" t="s">
        <v>6235</v>
      </c>
      <c r="C890" s="466" t="s">
        <v>2094</v>
      </c>
      <c r="D890" s="467" t="s">
        <v>6236</v>
      </c>
      <c r="E890" s="468" t="s">
        <v>4863</v>
      </c>
      <c r="F890" s="465">
        <v>17.7</v>
      </c>
    </row>
    <row r="891" spans="1:6" ht="39.6" x14ac:dyDescent="0.25">
      <c r="A891" s="465">
        <v>1600</v>
      </c>
      <c r="B891" s="466" t="s">
        <v>5051</v>
      </c>
      <c r="C891" s="466" t="s">
        <v>4801</v>
      </c>
      <c r="D891" s="467" t="s">
        <v>5052</v>
      </c>
      <c r="E891" s="468" t="s">
        <v>4803</v>
      </c>
      <c r="F891" s="465">
        <v>4.38</v>
      </c>
    </row>
    <row r="892" spans="1:6" ht="52.8" x14ac:dyDescent="0.25">
      <c r="A892" s="465">
        <v>1601</v>
      </c>
      <c r="B892" s="466" t="s">
        <v>5049</v>
      </c>
      <c r="C892" s="466" t="s">
        <v>4801</v>
      </c>
      <c r="D892" s="467" t="s">
        <v>5050</v>
      </c>
      <c r="E892" s="468" t="s">
        <v>4803</v>
      </c>
      <c r="F892" s="465">
        <v>9.85</v>
      </c>
    </row>
    <row r="893" spans="1:6" ht="52.8" x14ac:dyDescent="0.25">
      <c r="A893" s="465">
        <v>1602</v>
      </c>
      <c r="B893" s="466" t="s">
        <v>5219</v>
      </c>
      <c r="C893" s="466" t="s">
        <v>4801</v>
      </c>
      <c r="D893" s="467" t="s">
        <v>5220</v>
      </c>
      <c r="E893" s="468" t="s">
        <v>4803</v>
      </c>
      <c r="F893" s="465">
        <v>2.5299999999999998</v>
      </c>
    </row>
    <row r="894" spans="1:6" ht="26.4" x14ac:dyDescent="0.25">
      <c r="A894" s="465">
        <v>1605</v>
      </c>
      <c r="B894" s="466" t="s">
        <v>6071</v>
      </c>
      <c r="C894" s="466" t="s">
        <v>2094</v>
      </c>
      <c r="D894" s="467" t="s">
        <v>6072</v>
      </c>
      <c r="E894" s="468" t="s">
        <v>5034</v>
      </c>
      <c r="F894" s="465">
        <v>5.13</v>
      </c>
    </row>
    <row r="895" spans="1:6" ht="26.4" x14ac:dyDescent="0.25">
      <c r="A895" s="465">
        <v>1606</v>
      </c>
      <c r="B895" s="466" t="s">
        <v>6067</v>
      </c>
      <c r="C895" s="466" t="s">
        <v>2094</v>
      </c>
      <c r="D895" s="467" t="s">
        <v>6068</v>
      </c>
      <c r="E895" s="468" t="s">
        <v>5034</v>
      </c>
      <c r="F895" s="465">
        <v>5.9</v>
      </c>
    </row>
    <row r="896" spans="1:6" ht="39.6" x14ac:dyDescent="0.25">
      <c r="A896" s="465">
        <v>1607</v>
      </c>
      <c r="B896" s="466" t="s">
        <v>6782</v>
      </c>
      <c r="C896" s="466" t="s">
        <v>2094</v>
      </c>
      <c r="D896" s="467" t="s">
        <v>6783</v>
      </c>
      <c r="E896" s="468" t="s">
        <v>6784</v>
      </c>
      <c r="F896" s="465">
        <v>4.2699999999999996</v>
      </c>
    </row>
    <row r="897" spans="1:6" ht="66" x14ac:dyDescent="0.25">
      <c r="A897" s="465">
        <v>1608</v>
      </c>
      <c r="B897" s="466" t="s">
        <v>7286</v>
      </c>
      <c r="C897" s="466" t="s">
        <v>2094</v>
      </c>
      <c r="D897" s="467" t="s">
        <v>7287</v>
      </c>
      <c r="E897" s="468" t="s">
        <v>5360</v>
      </c>
      <c r="F897" s="465">
        <v>2.17</v>
      </c>
    </row>
    <row r="898" spans="1:6" ht="39.6" x14ac:dyDescent="0.25">
      <c r="A898" s="465">
        <v>1609</v>
      </c>
      <c r="B898" s="466" t="s">
        <v>6564</v>
      </c>
      <c r="C898" s="466" t="s">
        <v>2094</v>
      </c>
      <c r="D898" s="467" t="s">
        <v>6565</v>
      </c>
      <c r="E898" s="468" t="s">
        <v>6189</v>
      </c>
      <c r="F898" s="465">
        <v>1.2</v>
      </c>
    </row>
    <row r="899" spans="1:6" ht="26.4" x14ac:dyDescent="0.25">
      <c r="A899" s="465">
        <v>1610</v>
      </c>
      <c r="B899" s="466" t="s">
        <v>5890</v>
      </c>
      <c r="C899" s="466" t="s">
        <v>2094</v>
      </c>
      <c r="D899" s="467" t="s">
        <v>5891</v>
      </c>
      <c r="E899" s="468" t="s">
        <v>4863</v>
      </c>
      <c r="F899" s="465">
        <v>428.5</v>
      </c>
    </row>
    <row r="900" spans="1:6" ht="26.4" x14ac:dyDescent="0.25">
      <c r="A900" s="465">
        <v>1611</v>
      </c>
      <c r="B900" s="466" t="s">
        <v>6941</v>
      </c>
      <c r="C900" s="466" t="s">
        <v>2094</v>
      </c>
      <c r="D900" s="467" t="s">
        <v>6942</v>
      </c>
      <c r="E900" s="468" t="s">
        <v>4850</v>
      </c>
      <c r="F900" s="465">
        <v>19.100000000000001</v>
      </c>
    </row>
    <row r="901" spans="1:6" ht="52.8" x14ac:dyDescent="0.25">
      <c r="A901" s="465">
        <v>1612</v>
      </c>
      <c r="B901" s="466" t="s">
        <v>6568</v>
      </c>
      <c r="C901" s="466" t="s">
        <v>2094</v>
      </c>
      <c r="D901" s="467" t="s">
        <v>6569</v>
      </c>
      <c r="E901" s="468" t="s">
        <v>6189</v>
      </c>
      <c r="F901" s="465">
        <v>1.67</v>
      </c>
    </row>
    <row r="902" spans="1:6" ht="52.8" x14ac:dyDescent="0.25">
      <c r="A902" s="465">
        <v>1613</v>
      </c>
      <c r="B902" s="466" t="s">
        <v>6192</v>
      </c>
      <c r="C902" s="466" t="s">
        <v>2094</v>
      </c>
      <c r="D902" s="467" t="s">
        <v>6193</v>
      </c>
      <c r="E902" s="468" t="s">
        <v>6189</v>
      </c>
      <c r="F902" s="465">
        <v>2.23</v>
      </c>
    </row>
    <row r="903" spans="1:6" ht="26.4" x14ac:dyDescent="0.25">
      <c r="A903" s="465">
        <v>1614</v>
      </c>
      <c r="B903" s="466" t="s">
        <v>5820</v>
      </c>
      <c r="C903" s="466" t="s">
        <v>2094</v>
      </c>
      <c r="D903" s="467" t="s">
        <v>5821</v>
      </c>
      <c r="E903" s="468" t="s">
        <v>4813</v>
      </c>
      <c r="F903" s="465">
        <v>4.57</v>
      </c>
    </row>
    <row r="904" spans="1:6" ht="66" x14ac:dyDescent="0.25">
      <c r="A904" s="465">
        <v>1615</v>
      </c>
      <c r="B904" s="466" t="s">
        <v>5000</v>
      </c>
      <c r="C904" s="466" t="s">
        <v>4801</v>
      </c>
      <c r="D904" s="467" t="s">
        <v>5001</v>
      </c>
      <c r="E904" s="468" t="s">
        <v>5002</v>
      </c>
      <c r="F904" s="465">
        <v>0.28999999999999998</v>
      </c>
    </row>
    <row r="905" spans="1:6" ht="39.6" x14ac:dyDescent="0.25">
      <c r="A905" s="465">
        <v>1616</v>
      </c>
      <c r="B905" s="466" t="s">
        <v>7410</v>
      </c>
      <c r="C905" s="466" t="s">
        <v>2094</v>
      </c>
      <c r="D905" s="467" t="s">
        <v>7411</v>
      </c>
      <c r="E905" s="468" t="s">
        <v>5140</v>
      </c>
      <c r="F905" s="465">
        <v>5.3</v>
      </c>
    </row>
    <row r="906" spans="1:6" ht="26.4" x14ac:dyDescent="0.25">
      <c r="A906" s="465">
        <v>1617</v>
      </c>
      <c r="B906" s="466" t="s">
        <v>6623</v>
      </c>
      <c r="C906" s="466" t="s">
        <v>2094</v>
      </c>
      <c r="D906" s="467" t="s">
        <v>6624</v>
      </c>
      <c r="E906" s="468" t="s">
        <v>4863</v>
      </c>
      <c r="F906" s="465">
        <v>39.85</v>
      </c>
    </row>
    <row r="907" spans="1:6" ht="39.6" x14ac:dyDescent="0.25">
      <c r="A907" s="465">
        <v>1618</v>
      </c>
      <c r="B907" s="466" t="s">
        <v>4976</v>
      </c>
      <c r="C907" s="466" t="s">
        <v>4801</v>
      </c>
      <c r="D907" s="467" t="s">
        <v>4977</v>
      </c>
      <c r="E907" s="468" t="s">
        <v>4803</v>
      </c>
      <c r="F907" s="465">
        <v>58.61</v>
      </c>
    </row>
    <row r="908" spans="1:6" ht="39.6" x14ac:dyDescent="0.25">
      <c r="A908" s="465">
        <v>1619</v>
      </c>
      <c r="B908" s="466" t="s">
        <v>4978</v>
      </c>
      <c r="C908" s="466" t="s">
        <v>4801</v>
      </c>
      <c r="D908" s="467" t="s">
        <v>4979</v>
      </c>
      <c r="E908" s="468" t="s">
        <v>4803</v>
      </c>
      <c r="F908" s="465">
        <v>86.25</v>
      </c>
    </row>
    <row r="909" spans="1:6" ht="52.8" x14ac:dyDescent="0.25">
      <c r="A909" s="465">
        <v>1620</v>
      </c>
      <c r="B909" s="466" t="s">
        <v>7416</v>
      </c>
      <c r="C909" s="466" t="s">
        <v>2094</v>
      </c>
      <c r="D909" s="467" t="s">
        <v>7417</v>
      </c>
      <c r="E909" s="468" t="s">
        <v>5140</v>
      </c>
      <c r="F909" s="465">
        <v>1.72</v>
      </c>
    </row>
    <row r="910" spans="1:6" ht="52.8" x14ac:dyDescent="0.25">
      <c r="A910" s="465">
        <v>1621</v>
      </c>
      <c r="B910" s="466" t="s">
        <v>7414</v>
      </c>
      <c r="C910" s="466" t="s">
        <v>2094</v>
      </c>
      <c r="D910" s="467" t="s">
        <v>7415</v>
      </c>
      <c r="E910" s="468" t="s">
        <v>5140</v>
      </c>
      <c r="F910" s="465">
        <v>1.65</v>
      </c>
    </row>
    <row r="911" spans="1:6" ht="52.8" x14ac:dyDescent="0.25">
      <c r="A911" s="465">
        <v>1622</v>
      </c>
      <c r="B911" s="466" t="s">
        <v>7412</v>
      </c>
      <c r="C911" s="466" t="s">
        <v>2094</v>
      </c>
      <c r="D911" s="467" t="s">
        <v>7413</v>
      </c>
      <c r="E911" s="468" t="s">
        <v>5140</v>
      </c>
      <c r="F911" s="465">
        <v>1.65</v>
      </c>
    </row>
    <row r="912" spans="1:6" ht="39.6" x14ac:dyDescent="0.25">
      <c r="A912" s="465">
        <v>1623</v>
      </c>
      <c r="B912" s="466" t="s">
        <v>6566</v>
      </c>
      <c r="C912" s="466" t="s">
        <v>2094</v>
      </c>
      <c r="D912" s="467" t="s">
        <v>6567</v>
      </c>
      <c r="E912" s="468" t="s">
        <v>6189</v>
      </c>
      <c r="F912" s="465">
        <v>1.1100000000000001</v>
      </c>
    </row>
    <row r="913" spans="1:6" ht="39.6" x14ac:dyDescent="0.25">
      <c r="A913" s="465">
        <v>1624</v>
      </c>
      <c r="B913" s="466" t="s">
        <v>6499</v>
      </c>
      <c r="C913" s="466" t="s">
        <v>2094</v>
      </c>
      <c r="D913" s="467" t="s">
        <v>6500</v>
      </c>
      <c r="E913" s="468" t="s">
        <v>4863</v>
      </c>
      <c r="F913" s="465">
        <v>6025</v>
      </c>
    </row>
    <row r="914" spans="1:6" ht="39.6" x14ac:dyDescent="0.25">
      <c r="A914" s="465">
        <v>1625</v>
      </c>
      <c r="B914" s="466" t="s">
        <v>6501</v>
      </c>
      <c r="C914" s="466" t="s">
        <v>2094</v>
      </c>
      <c r="D914" s="467" t="s">
        <v>6502</v>
      </c>
      <c r="E914" s="468" t="s">
        <v>4863</v>
      </c>
      <c r="F914" s="465">
        <v>6825</v>
      </c>
    </row>
    <row r="915" spans="1:6" ht="39.6" x14ac:dyDescent="0.25">
      <c r="A915" s="465">
        <v>1626</v>
      </c>
      <c r="B915" s="466" t="s">
        <v>6503</v>
      </c>
      <c r="C915" s="466" t="s">
        <v>2094</v>
      </c>
      <c r="D915" s="467" t="s">
        <v>6504</v>
      </c>
      <c r="E915" s="468" t="s">
        <v>4863</v>
      </c>
      <c r="F915" s="465">
        <v>8800</v>
      </c>
    </row>
    <row r="916" spans="1:6" ht="26.4" x14ac:dyDescent="0.25">
      <c r="A916" s="465">
        <v>1627</v>
      </c>
      <c r="B916" s="466" t="s">
        <v>6123</v>
      </c>
      <c r="C916" s="466" t="s">
        <v>2094</v>
      </c>
      <c r="D916" s="467" t="s">
        <v>6124</v>
      </c>
      <c r="E916" s="468" t="s">
        <v>4863</v>
      </c>
      <c r="F916" s="465">
        <v>29315</v>
      </c>
    </row>
    <row r="917" spans="1:6" ht="26.4" x14ac:dyDescent="0.25">
      <c r="A917" s="465">
        <v>1628</v>
      </c>
      <c r="B917" s="466" t="s">
        <v>6125</v>
      </c>
      <c r="C917" s="466" t="s">
        <v>2094</v>
      </c>
      <c r="D917" s="467" t="s">
        <v>6126</v>
      </c>
      <c r="E917" s="468" t="s">
        <v>4863</v>
      </c>
      <c r="F917" s="465">
        <v>60001</v>
      </c>
    </row>
    <row r="918" spans="1:6" ht="26.4" x14ac:dyDescent="0.25">
      <c r="A918" s="465">
        <v>1629</v>
      </c>
      <c r="B918" s="466" t="s">
        <v>6633</v>
      </c>
      <c r="C918" s="466" t="s">
        <v>2094</v>
      </c>
      <c r="D918" s="467" t="s">
        <v>6634</v>
      </c>
      <c r="E918" s="468" t="s">
        <v>4863</v>
      </c>
      <c r="F918" s="465">
        <v>65115.5</v>
      </c>
    </row>
    <row r="919" spans="1:6" ht="26.4" x14ac:dyDescent="0.25">
      <c r="A919" s="465">
        <v>1630</v>
      </c>
      <c r="B919" s="466" t="s">
        <v>6635</v>
      </c>
      <c r="C919" s="466" t="s">
        <v>2094</v>
      </c>
      <c r="D919" s="467" t="s">
        <v>6636</v>
      </c>
      <c r="E919" s="468" t="s">
        <v>4863</v>
      </c>
      <c r="F919" s="465">
        <v>78069.5</v>
      </c>
    </row>
    <row r="920" spans="1:6" ht="26.4" x14ac:dyDescent="0.25">
      <c r="A920" s="465">
        <v>1631</v>
      </c>
      <c r="B920" s="466" t="s">
        <v>6637</v>
      </c>
      <c r="C920" s="466" t="s">
        <v>2094</v>
      </c>
      <c r="D920" s="467" t="s">
        <v>6638</v>
      </c>
      <c r="E920" s="468" t="s">
        <v>4863</v>
      </c>
      <c r="F920" s="465">
        <v>90207.5</v>
      </c>
    </row>
    <row r="921" spans="1:6" ht="26.4" x14ac:dyDescent="0.25">
      <c r="A921" s="465">
        <v>1632</v>
      </c>
      <c r="B921" s="466" t="s">
        <v>6631</v>
      </c>
      <c r="C921" s="466" t="s">
        <v>2094</v>
      </c>
      <c r="D921" s="467" t="s">
        <v>6632</v>
      </c>
      <c r="E921" s="468" t="s">
        <v>4863</v>
      </c>
      <c r="F921" s="465">
        <v>102774</v>
      </c>
    </row>
    <row r="922" spans="1:6" ht="39.6" x14ac:dyDescent="0.25">
      <c r="A922" s="465">
        <v>1633</v>
      </c>
      <c r="B922" s="466" t="s">
        <v>5138</v>
      </c>
      <c r="C922" s="466" t="s">
        <v>4801</v>
      </c>
      <c r="D922" s="467" t="s">
        <v>5139</v>
      </c>
      <c r="E922" s="468" t="s">
        <v>5140</v>
      </c>
      <c r="F922" s="465">
        <v>0.28000000000000003</v>
      </c>
    </row>
    <row r="923" spans="1:6" ht="66" x14ac:dyDescent="0.25">
      <c r="A923" s="465">
        <v>1634</v>
      </c>
      <c r="B923" s="466" t="s">
        <v>5134</v>
      </c>
      <c r="C923" s="466" t="s">
        <v>4801</v>
      </c>
      <c r="D923" s="467" t="s">
        <v>5135</v>
      </c>
      <c r="E923" s="468" t="s">
        <v>4863</v>
      </c>
      <c r="F923" s="465">
        <v>316874</v>
      </c>
    </row>
    <row r="924" spans="1:6" ht="52.8" x14ac:dyDescent="0.25">
      <c r="A924" s="465">
        <v>1635</v>
      </c>
      <c r="B924" s="466" t="s">
        <v>6826</v>
      </c>
      <c r="C924" s="466" t="s">
        <v>2094</v>
      </c>
      <c r="D924" s="467" t="s">
        <v>6117</v>
      </c>
      <c r="E924" s="468" t="s">
        <v>4863</v>
      </c>
      <c r="F924" s="465">
        <v>138494</v>
      </c>
    </row>
    <row r="925" spans="1:6" ht="26.4" x14ac:dyDescent="0.25">
      <c r="A925" s="465">
        <v>1636</v>
      </c>
      <c r="B925" s="466" t="s">
        <v>6823</v>
      </c>
      <c r="C925" s="466" t="s">
        <v>2094</v>
      </c>
      <c r="D925" s="467" t="s">
        <v>6111</v>
      </c>
      <c r="E925" s="468" t="s">
        <v>4863</v>
      </c>
      <c r="F925" s="465">
        <v>38221</v>
      </c>
    </row>
    <row r="926" spans="1:6" ht="26.4" x14ac:dyDescent="0.25">
      <c r="A926" s="465">
        <v>1637</v>
      </c>
      <c r="B926" s="466" t="s">
        <v>6812</v>
      </c>
      <c r="C926" s="466" t="s">
        <v>2094</v>
      </c>
      <c r="D926" s="467" t="s">
        <v>6093</v>
      </c>
      <c r="E926" s="468" t="s">
        <v>4863</v>
      </c>
      <c r="F926" s="465">
        <v>69259</v>
      </c>
    </row>
    <row r="927" spans="1:6" ht="26.4" x14ac:dyDescent="0.25">
      <c r="A927" s="465">
        <v>1638</v>
      </c>
      <c r="B927" s="466" t="s">
        <v>6819</v>
      </c>
      <c r="C927" s="466" t="s">
        <v>2094</v>
      </c>
      <c r="D927" s="467" t="s">
        <v>6105</v>
      </c>
      <c r="E927" s="468" t="s">
        <v>4863</v>
      </c>
      <c r="F927" s="465">
        <v>12313</v>
      </c>
    </row>
    <row r="928" spans="1:6" ht="66" x14ac:dyDescent="0.25">
      <c r="A928" s="465">
        <v>1639</v>
      </c>
      <c r="B928" s="466" t="s">
        <v>6815</v>
      </c>
      <c r="C928" s="466" t="s">
        <v>2094</v>
      </c>
      <c r="D928" s="467" t="s">
        <v>6816</v>
      </c>
      <c r="E928" s="468" t="s">
        <v>4863</v>
      </c>
      <c r="F928" s="465">
        <v>490049</v>
      </c>
    </row>
    <row r="929" spans="1:6" ht="52.8" x14ac:dyDescent="0.25">
      <c r="A929" s="465">
        <v>1640</v>
      </c>
      <c r="B929" s="466" t="s">
        <v>6825</v>
      </c>
      <c r="C929" s="466" t="s">
        <v>2094</v>
      </c>
      <c r="D929" s="467" t="s">
        <v>6115</v>
      </c>
      <c r="E929" s="468" t="s">
        <v>4863</v>
      </c>
      <c r="F929" s="465">
        <v>191680</v>
      </c>
    </row>
    <row r="930" spans="1:6" ht="26.4" x14ac:dyDescent="0.25">
      <c r="A930" s="465">
        <v>1641</v>
      </c>
      <c r="B930" s="466" t="s">
        <v>6821</v>
      </c>
      <c r="C930" s="466" t="s">
        <v>2094</v>
      </c>
      <c r="D930" s="467" t="s">
        <v>6822</v>
      </c>
      <c r="E930" s="468" t="s">
        <v>4863</v>
      </c>
      <c r="F930" s="465">
        <v>40273</v>
      </c>
    </row>
    <row r="931" spans="1:6" ht="26.4" x14ac:dyDescent="0.25">
      <c r="A931" s="465">
        <v>1642</v>
      </c>
      <c r="B931" s="466" t="s">
        <v>6811</v>
      </c>
      <c r="C931" s="466" t="s">
        <v>2094</v>
      </c>
      <c r="D931" s="467" t="s">
        <v>6091</v>
      </c>
      <c r="E931" s="468" t="s">
        <v>4863</v>
      </c>
      <c r="F931" s="465">
        <v>69259</v>
      </c>
    </row>
    <row r="932" spans="1:6" ht="39.6" x14ac:dyDescent="0.25">
      <c r="A932" s="465">
        <v>1643</v>
      </c>
      <c r="B932" s="466" t="s">
        <v>6818</v>
      </c>
      <c r="C932" s="466" t="s">
        <v>2094</v>
      </c>
      <c r="D932" s="467" t="s">
        <v>6103</v>
      </c>
      <c r="E932" s="468" t="s">
        <v>4863</v>
      </c>
      <c r="F932" s="465">
        <v>12313</v>
      </c>
    </row>
    <row r="933" spans="1:6" ht="66" x14ac:dyDescent="0.25">
      <c r="A933" s="465">
        <v>1644</v>
      </c>
      <c r="B933" s="466" t="s">
        <v>6813</v>
      </c>
      <c r="C933" s="466" t="s">
        <v>2094</v>
      </c>
      <c r="D933" s="467" t="s">
        <v>6814</v>
      </c>
      <c r="E933" s="468" t="s">
        <v>4863</v>
      </c>
      <c r="F933" s="465">
        <v>490049</v>
      </c>
    </row>
    <row r="934" spans="1:6" ht="52.8" x14ac:dyDescent="0.25">
      <c r="A934" s="465">
        <v>1645</v>
      </c>
      <c r="B934" s="466" t="s">
        <v>6824</v>
      </c>
      <c r="C934" s="466" t="s">
        <v>2094</v>
      </c>
      <c r="D934" s="467" t="s">
        <v>6113</v>
      </c>
      <c r="E934" s="468" t="s">
        <v>4863</v>
      </c>
      <c r="F934" s="465">
        <v>269577</v>
      </c>
    </row>
    <row r="935" spans="1:6" ht="26.4" x14ac:dyDescent="0.25">
      <c r="A935" s="465">
        <v>1646</v>
      </c>
      <c r="B935" s="466" t="s">
        <v>6820</v>
      </c>
      <c r="C935" s="466" t="s">
        <v>2094</v>
      </c>
      <c r="D935" s="467" t="s">
        <v>6107</v>
      </c>
      <c r="E935" s="468" t="s">
        <v>4863</v>
      </c>
      <c r="F935" s="465">
        <v>88450</v>
      </c>
    </row>
    <row r="936" spans="1:6" ht="26.4" x14ac:dyDescent="0.25">
      <c r="A936" s="465">
        <v>1647</v>
      </c>
      <c r="B936" s="466" t="s">
        <v>6810</v>
      </c>
      <c r="C936" s="466" t="s">
        <v>2094</v>
      </c>
      <c r="D936" s="467" t="s">
        <v>6089</v>
      </c>
      <c r="E936" s="468" t="s">
        <v>4863</v>
      </c>
      <c r="F936" s="465">
        <v>170946</v>
      </c>
    </row>
    <row r="937" spans="1:6" ht="26.4" x14ac:dyDescent="0.25">
      <c r="A937" s="465">
        <v>1648</v>
      </c>
      <c r="B937" s="466" t="s">
        <v>6817</v>
      </c>
      <c r="C937" s="466" t="s">
        <v>2094</v>
      </c>
      <c r="D937" s="467" t="s">
        <v>6101</v>
      </c>
      <c r="E937" s="468" t="s">
        <v>4863</v>
      </c>
      <c r="F937" s="465">
        <v>22943</v>
      </c>
    </row>
    <row r="938" spans="1:6" ht="66" x14ac:dyDescent="0.25">
      <c r="A938" s="465">
        <v>1649</v>
      </c>
      <c r="B938" s="466" t="s">
        <v>6098</v>
      </c>
      <c r="C938" s="466" t="s">
        <v>2094</v>
      </c>
      <c r="D938" s="467" t="s">
        <v>6099</v>
      </c>
      <c r="E938" s="468" t="s">
        <v>4863</v>
      </c>
      <c r="F938" s="465">
        <v>393903</v>
      </c>
    </row>
    <row r="939" spans="1:6" ht="52.8" x14ac:dyDescent="0.25">
      <c r="A939" s="465">
        <v>1650</v>
      </c>
      <c r="B939" s="466" t="s">
        <v>6116</v>
      </c>
      <c r="C939" s="466" t="s">
        <v>2094</v>
      </c>
      <c r="D939" s="467" t="s">
        <v>6117</v>
      </c>
      <c r="E939" s="468" t="s">
        <v>4863</v>
      </c>
      <c r="F939" s="465">
        <v>138494</v>
      </c>
    </row>
    <row r="940" spans="1:6" ht="26.4" x14ac:dyDescent="0.25">
      <c r="A940" s="465">
        <v>1651</v>
      </c>
      <c r="B940" s="466" t="s">
        <v>6110</v>
      </c>
      <c r="C940" s="466" t="s">
        <v>2094</v>
      </c>
      <c r="D940" s="467" t="s">
        <v>6111</v>
      </c>
      <c r="E940" s="468" t="s">
        <v>4863</v>
      </c>
      <c r="F940" s="465">
        <v>38221</v>
      </c>
    </row>
    <row r="941" spans="1:6" ht="26.4" x14ac:dyDescent="0.25">
      <c r="A941" s="465">
        <v>1652</v>
      </c>
      <c r="B941" s="466" t="s">
        <v>6092</v>
      </c>
      <c r="C941" s="466" t="s">
        <v>2094</v>
      </c>
      <c r="D941" s="467" t="s">
        <v>6093</v>
      </c>
      <c r="E941" s="468" t="s">
        <v>4863</v>
      </c>
      <c r="F941" s="465">
        <v>69259</v>
      </c>
    </row>
    <row r="942" spans="1:6" ht="26.4" x14ac:dyDescent="0.25">
      <c r="A942" s="465">
        <v>1653</v>
      </c>
      <c r="B942" s="466" t="s">
        <v>6104</v>
      </c>
      <c r="C942" s="466" t="s">
        <v>2094</v>
      </c>
      <c r="D942" s="467" t="s">
        <v>6105</v>
      </c>
      <c r="E942" s="468" t="s">
        <v>4863</v>
      </c>
      <c r="F942" s="465">
        <v>12313</v>
      </c>
    </row>
    <row r="943" spans="1:6" ht="79.2" x14ac:dyDescent="0.25">
      <c r="A943" s="465">
        <v>1654</v>
      </c>
      <c r="B943" s="466" t="s">
        <v>6096</v>
      </c>
      <c r="C943" s="466" t="s">
        <v>2094</v>
      </c>
      <c r="D943" s="467" t="s">
        <v>6097</v>
      </c>
      <c r="E943" s="468" t="s">
        <v>4863</v>
      </c>
      <c r="F943" s="465">
        <v>444064</v>
      </c>
    </row>
    <row r="944" spans="1:6" ht="52.8" x14ac:dyDescent="0.25">
      <c r="A944" s="465">
        <v>1655</v>
      </c>
      <c r="B944" s="466" t="s">
        <v>6114</v>
      </c>
      <c r="C944" s="466" t="s">
        <v>2094</v>
      </c>
      <c r="D944" s="467" t="s">
        <v>6115</v>
      </c>
      <c r="E944" s="468" t="s">
        <v>4863</v>
      </c>
      <c r="F944" s="465">
        <v>191680</v>
      </c>
    </row>
    <row r="945" spans="1:6" ht="26.4" x14ac:dyDescent="0.25">
      <c r="A945" s="465">
        <v>1656</v>
      </c>
      <c r="B945" s="466" t="s">
        <v>6108</v>
      </c>
      <c r="C945" s="466" t="s">
        <v>2094</v>
      </c>
      <c r="D945" s="467" t="s">
        <v>6109</v>
      </c>
      <c r="E945" s="468" t="s">
        <v>4863</v>
      </c>
      <c r="F945" s="465">
        <v>40273</v>
      </c>
    </row>
    <row r="946" spans="1:6" ht="26.4" x14ac:dyDescent="0.25">
      <c r="A946" s="465">
        <v>1657</v>
      </c>
      <c r="B946" s="466" t="s">
        <v>6090</v>
      </c>
      <c r="C946" s="466" t="s">
        <v>2094</v>
      </c>
      <c r="D946" s="467" t="s">
        <v>6091</v>
      </c>
      <c r="E946" s="468" t="s">
        <v>4863</v>
      </c>
      <c r="F946" s="465">
        <v>69259</v>
      </c>
    </row>
    <row r="947" spans="1:6" ht="39.6" x14ac:dyDescent="0.25">
      <c r="A947" s="465">
        <v>1658</v>
      </c>
      <c r="B947" s="466" t="s">
        <v>6102</v>
      </c>
      <c r="C947" s="466" t="s">
        <v>2094</v>
      </c>
      <c r="D947" s="467" t="s">
        <v>6103</v>
      </c>
      <c r="E947" s="468" t="s">
        <v>4863</v>
      </c>
      <c r="F947" s="465">
        <v>12313</v>
      </c>
    </row>
    <row r="948" spans="1:6" ht="66" x14ac:dyDescent="0.25">
      <c r="A948" s="465">
        <v>1659</v>
      </c>
      <c r="B948" s="466" t="s">
        <v>6094</v>
      </c>
      <c r="C948" s="466" t="s">
        <v>2094</v>
      </c>
      <c r="D948" s="467" t="s">
        <v>6095</v>
      </c>
      <c r="E948" s="468" t="s">
        <v>4863</v>
      </c>
      <c r="F948" s="465">
        <v>536018</v>
      </c>
    </row>
    <row r="949" spans="1:6" ht="52.8" x14ac:dyDescent="0.25">
      <c r="A949" s="465">
        <v>1660</v>
      </c>
      <c r="B949" s="466" t="s">
        <v>6112</v>
      </c>
      <c r="C949" s="466" t="s">
        <v>2094</v>
      </c>
      <c r="D949" s="467" t="s">
        <v>6113</v>
      </c>
      <c r="E949" s="468" t="s">
        <v>4863</v>
      </c>
      <c r="F949" s="465">
        <v>236764</v>
      </c>
    </row>
    <row r="950" spans="1:6" ht="26.4" x14ac:dyDescent="0.25">
      <c r="A950" s="465">
        <v>1661</v>
      </c>
      <c r="B950" s="466" t="s">
        <v>6106</v>
      </c>
      <c r="C950" s="466" t="s">
        <v>2094</v>
      </c>
      <c r="D950" s="467" t="s">
        <v>6107</v>
      </c>
      <c r="E950" s="468" t="s">
        <v>4863</v>
      </c>
      <c r="F950" s="465">
        <v>75160</v>
      </c>
    </row>
    <row r="951" spans="1:6" ht="26.4" x14ac:dyDescent="0.25">
      <c r="A951" s="465">
        <v>1662</v>
      </c>
      <c r="B951" s="466" t="s">
        <v>6088</v>
      </c>
      <c r="C951" s="466" t="s">
        <v>2094</v>
      </c>
      <c r="D951" s="467" t="s">
        <v>6089</v>
      </c>
      <c r="E951" s="468" t="s">
        <v>4863</v>
      </c>
      <c r="F951" s="465">
        <v>157853</v>
      </c>
    </row>
    <row r="952" spans="1:6" ht="26.4" x14ac:dyDescent="0.25">
      <c r="A952" s="465">
        <v>1663</v>
      </c>
      <c r="B952" s="466" t="s">
        <v>6100</v>
      </c>
      <c r="C952" s="466" t="s">
        <v>2094</v>
      </c>
      <c r="D952" s="467" t="s">
        <v>6101</v>
      </c>
      <c r="E952" s="468" t="s">
        <v>4863</v>
      </c>
      <c r="F952" s="465">
        <v>19495</v>
      </c>
    </row>
    <row r="953" spans="1:6" ht="26.4" x14ac:dyDescent="0.25">
      <c r="A953" s="465">
        <v>1664</v>
      </c>
      <c r="B953" s="466" t="s">
        <v>6152</v>
      </c>
      <c r="C953" s="466" t="s">
        <v>2094</v>
      </c>
      <c r="D953" s="467" t="s">
        <v>6153</v>
      </c>
      <c r="E953" s="468" t="s">
        <v>4863</v>
      </c>
      <c r="F953" s="465">
        <v>38221</v>
      </c>
    </row>
    <row r="954" spans="1:6" ht="26.4" x14ac:dyDescent="0.25">
      <c r="A954" s="465">
        <v>1665</v>
      </c>
      <c r="B954" s="466" t="s">
        <v>6148</v>
      </c>
      <c r="C954" s="466" t="s">
        <v>2094</v>
      </c>
      <c r="D954" s="467" t="s">
        <v>6149</v>
      </c>
      <c r="E954" s="468" t="s">
        <v>4863</v>
      </c>
      <c r="F954" s="465">
        <v>69259</v>
      </c>
    </row>
    <row r="955" spans="1:6" ht="26.4" x14ac:dyDescent="0.25">
      <c r="A955" s="465">
        <v>1666</v>
      </c>
      <c r="B955" s="466" t="s">
        <v>6150</v>
      </c>
      <c r="C955" s="466" t="s">
        <v>2094</v>
      </c>
      <c r="D955" s="467" t="s">
        <v>6151</v>
      </c>
      <c r="E955" s="468" t="s">
        <v>4863</v>
      </c>
      <c r="F955" s="465">
        <v>12313</v>
      </c>
    </row>
    <row r="956" spans="1:6" ht="39.6" x14ac:dyDescent="0.25">
      <c r="A956" s="465">
        <v>1667</v>
      </c>
      <c r="B956" s="466" t="s">
        <v>6982</v>
      </c>
      <c r="C956" s="466" t="s">
        <v>2094</v>
      </c>
      <c r="D956" s="467" t="s">
        <v>6983</v>
      </c>
      <c r="E956" s="468" t="s">
        <v>4850</v>
      </c>
      <c r="F956" s="465">
        <v>8.15</v>
      </c>
    </row>
    <row r="957" spans="1:6" ht="39.6" x14ac:dyDescent="0.25">
      <c r="A957" s="465">
        <v>1668</v>
      </c>
      <c r="B957" s="466" t="s">
        <v>6978</v>
      </c>
      <c r="C957" s="466" t="s">
        <v>2094</v>
      </c>
      <c r="D957" s="467" t="s">
        <v>6979</v>
      </c>
      <c r="E957" s="468" t="s">
        <v>4850</v>
      </c>
      <c r="F957" s="465">
        <v>7.3</v>
      </c>
    </row>
    <row r="958" spans="1:6" ht="39.6" x14ac:dyDescent="0.25">
      <c r="A958" s="465">
        <v>1669</v>
      </c>
      <c r="B958" s="466" t="s">
        <v>6980</v>
      </c>
      <c r="C958" s="466" t="s">
        <v>2094</v>
      </c>
      <c r="D958" s="467" t="s">
        <v>6981</v>
      </c>
      <c r="E958" s="468" t="s">
        <v>4850</v>
      </c>
      <c r="F958" s="465">
        <v>8.5</v>
      </c>
    </row>
    <row r="959" spans="1:6" ht="39.6" x14ac:dyDescent="0.25">
      <c r="A959" s="465">
        <v>1672</v>
      </c>
      <c r="B959" s="466" t="s">
        <v>6984</v>
      </c>
      <c r="C959" s="466" t="s">
        <v>2094</v>
      </c>
      <c r="D959" s="467" t="s">
        <v>6985</v>
      </c>
      <c r="E959" s="468" t="s">
        <v>4850</v>
      </c>
      <c r="F959" s="465">
        <v>10.01</v>
      </c>
    </row>
    <row r="960" spans="1:6" ht="39.6" x14ac:dyDescent="0.25">
      <c r="A960" s="465">
        <v>1673</v>
      </c>
      <c r="B960" s="466" t="s">
        <v>6988</v>
      </c>
      <c r="C960" s="466" t="s">
        <v>2094</v>
      </c>
      <c r="D960" s="467" t="s">
        <v>6989</v>
      </c>
      <c r="E960" s="468" t="s">
        <v>4850</v>
      </c>
      <c r="F960" s="465">
        <v>5.9</v>
      </c>
    </row>
    <row r="961" spans="1:6" ht="39.6" x14ac:dyDescent="0.25">
      <c r="A961" s="465">
        <v>1676</v>
      </c>
      <c r="B961" s="466" t="s">
        <v>6986</v>
      </c>
      <c r="C961" s="466" t="s">
        <v>2094</v>
      </c>
      <c r="D961" s="467" t="s">
        <v>6987</v>
      </c>
      <c r="E961" s="468" t="s">
        <v>4850</v>
      </c>
      <c r="F961" s="465">
        <v>7.26</v>
      </c>
    </row>
    <row r="962" spans="1:6" ht="39.6" x14ac:dyDescent="0.25">
      <c r="A962" s="465">
        <v>1677</v>
      </c>
      <c r="B962" s="466" t="s">
        <v>6992</v>
      </c>
      <c r="C962" s="466" t="s">
        <v>2094</v>
      </c>
      <c r="D962" s="467" t="s">
        <v>6993</v>
      </c>
      <c r="E962" s="468" t="s">
        <v>4850</v>
      </c>
      <c r="F962" s="465">
        <v>6.7</v>
      </c>
    </row>
    <row r="963" spans="1:6" ht="39.6" x14ac:dyDescent="0.25">
      <c r="A963" s="465">
        <v>1680</v>
      </c>
      <c r="B963" s="466" t="s">
        <v>6994</v>
      </c>
      <c r="C963" s="466" t="s">
        <v>2094</v>
      </c>
      <c r="D963" s="467" t="s">
        <v>6995</v>
      </c>
      <c r="E963" s="468" t="s">
        <v>4850</v>
      </c>
      <c r="F963" s="465">
        <v>11.36</v>
      </c>
    </row>
    <row r="964" spans="1:6" ht="39.6" x14ac:dyDescent="0.25">
      <c r="A964" s="465">
        <v>1681</v>
      </c>
      <c r="B964" s="466" t="s">
        <v>6990</v>
      </c>
      <c r="C964" s="466" t="s">
        <v>2094</v>
      </c>
      <c r="D964" s="467" t="s">
        <v>6991</v>
      </c>
      <c r="E964" s="468" t="s">
        <v>4850</v>
      </c>
      <c r="F964" s="465">
        <v>5.69</v>
      </c>
    </row>
    <row r="965" spans="1:6" ht="39.6" x14ac:dyDescent="0.25">
      <c r="A965" s="465">
        <v>1683</v>
      </c>
      <c r="B965" s="466" t="s">
        <v>6120</v>
      </c>
      <c r="C965" s="466" t="s">
        <v>2094</v>
      </c>
      <c r="D965" s="467" t="s">
        <v>6121</v>
      </c>
      <c r="E965" s="468" t="s">
        <v>4850</v>
      </c>
      <c r="F965" s="465">
        <v>8.44</v>
      </c>
    </row>
    <row r="966" spans="1:6" ht="52.8" x14ac:dyDescent="0.25">
      <c r="A966" s="465">
        <v>1684</v>
      </c>
      <c r="B966" s="466" t="s">
        <v>5906</v>
      </c>
      <c r="C966" s="466" t="s">
        <v>2094</v>
      </c>
      <c r="D966" s="467" t="s">
        <v>5907</v>
      </c>
      <c r="E966" s="468" t="s">
        <v>2377</v>
      </c>
      <c r="F966" s="465">
        <v>650</v>
      </c>
    </row>
    <row r="967" spans="1:6" ht="52.8" x14ac:dyDescent="0.25">
      <c r="A967" s="465">
        <v>1685</v>
      </c>
      <c r="B967" s="466" t="s">
        <v>5910</v>
      </c>
      <c r="C967" s="466" t="s">
        <v>2094</v>
      </c>
      <c r="D967" s="467" t="s">
        <v>5911</v>
      </c>
      <c r="E967" s="468" t="s">
        <v>2377</v>
      </c>
      <c r="F967" s="465">
        <v>660</v>
      </c>
    </row>
    <row r="968" spans="1:6" ht="39.6" x14ac:dyDescent="0.25">
      <c r="A968" s="465">
        <v>1686</v>
      </c>
      <c r="B968" s="466" t="s">
        <v>5912</v>
      </c>
      <c r="C968" s="466" t="s">
        <v>2094</v>
      </c>
      <c r="D968" s="467" t="s">
        <v>5913</v>
      </c>
      <c r="E968" s="468" t="s">
        <v>2377</v>
      </c>
      <c r="F968" s="465">
        <v>711.6</v>
      </c>
    </row>
    <row r="969" spans="1:6" ht="39.6" x14ac:dyDescent="0.25">
      <c r="A969" s="465">
        <v>1687</v>
      </c>
      <c r="B969" s="466" t="s">
        <v>5904</v>
      </c>
      <c r="C969" s="466" t="s">
        <v>2094</v>
      </c>
      <c r="D969" s="467" t="s">
        <v>5905</v>
      </c>
      <c r="E969" s="468" t="s">
        <v>2377</v>
      </c>
      <c r="F969" s="465">
        <v>518</v>
      </c>
    </row>
    <row r="970" spans="1:6" ht="26.4" x14ac:dyDescent="0.25">
      <c r="A970" s="465">
        <v>1688</v>
      </c>
      <c r="B970" s="466" t="s">
        <v>5908</v>
      </c>
      <c r="C970" s="466" t="s">
        <v>2094</v>
      </c>
      <c r="D970" s="467" t="s">
        <v>5909</v>
      </c>
      <c r="E970" s="468" t="s">
        <v>4863</v>
      </c>
      <c r="F970" s="465">
        <v>109.75</v>
      </c>
    </row>
    <row r="971" spans="1:6" ht="26.4" x14ac:dyDescent="0.25">
      <c r="A971" s="465">
        <v>1689</v>
      </c>
      <c r="B971" s="466" t="s">
        <v>6392</v>
      </c>
      <c r="C971" s="466" t="s">
        <v>2094</v>
      </c>
      <c r="D971" s="467" t="s">
        <v>6393</v>
      </c>
      <c r="E971" s="468" t="s">
        <v>4813</v>
      </c>
      <c r="F971" s="465">
        <v>2.74</v>
      </c>
    </row>
    <row r="972" spans="1:6" ht="26.4" x14ac:dyDescent="0.25">
      <c r="A972" s="465">
        <v>1690</v>
      </c>
      <c r="B972" s="466" t="s">
        <v>6390</v>
      </c>
      <c r="C972" s="466" t="s">
        <v>2094</v>
      </c>
      <c r="D972" s="467" t="s">
        <v>6391</v>
      </c>
      <c r="E972" s="468" t="s">
        <v>4813</v>
      </c>
      <c r="F972" s="465">
        <v>9.82</v>
      </c>
    </row>
    <row r="973" spans="1:6" ht="26.4" x14ac:dyDescent="0.25">
      <c r="A973" s="465">
        <v>1691</v>
      </c>
      <c r="B973" s="466" t="s">
        <v>6388</v>
      </c>
      <c r="C973" s="466" t="s">
        <v>2094</v>
      </c>
      <c r="D973" s="467" t="s">
        <v>6389</v>
      </c>
      <c r="E973" s="468" t="s">
        <v>4813</v>
      </c>
      <c r="F973" s="465">
        <v>11.04</v>
      </c>
    </row>
    <row r="974" spans="1:6" ht="26.4" x14ac:dyDescent="0.25">
      <c r="A974" s="465">
        <v>1692</v>
      </c>
      <c r="B974" s="466" t="s">
        <v>6384</v>
      </c>
      <c r="C974" s="466" t="s">
        <v>2094</v>
      </c>
      <c r="D974" s="467" t="s">
        <v>6385</v>
      </c>
      <c r="E974" s="468" t="s">
        <v>4813</v>
      </c>
      <c r="F974" s="465">
        <v>2.2400000000000002</v>
      </c>
    </row>
    <row r="975" spans="1:6" ht="26.4" x14ac:dyDescent="0.25">
      <c r="A975" s="465">
        <v>1693</v>
      </c>
      <c r="B975" s="466" t="s">
        <v>6396</v>
      </c>
      <c r="C975" s="466" t="s">
        <v>2094</v>
      </c>
      <c r="D975" s="467" t="s">
        <v>6397</v>
      </c>
      <c r="E975" s="468" t="s">
        <v>4813</v>
      </c>
      <c r="F975" s="465">
        <v>9.51</v>
      </c>
    </row>
    <row r="976" spans="1:6" ht="26.4" x14ac:dyDescent="0.25">
      <c r="A976" s="465">
        <v>1694</v>
      </c>
      <c r="B976" s="466" t="s">
        <v>6394</v>
      </c>
      <c r="C976" s="466" t="s">
        <v>2094</v>
      </c>
      <c r="D976" s="467" t="s">
        <v>6395</v>
      </c>
      <c r="E976" s="468" t="s">
        <v>4813</v>
      </c>
      <c r="F976" s="465">
        <v>11.36</v>
      </c>
    </row>
    <row r="977" spans="1:6" ht="26.4" x14ac:dyDescent="0.25">
      <c r="A977" s="465">
        <v>1695</v>
      </c>
      <c r="B977" s="466" t="s">
        <v>6404</v>
      </c>
      <c r="C977" s="466" t="s">
        <v>2094</v>
      </c>
      <c r="D977" s="467" t="s">
        <v>6405</v>
      </c>
      <c r="E977" s="468" t="s">
        <v>4813</v>
      </c>
      <c r="F977" s="465">
        <v>12.43</v>
      </c>
    </row>
    <row r="978" spans="1:6" ht="26.4" x14ac:dyDescent="0.25">
      <c r="A978" s="465">
        <v>1700</v>
      </c>
      <c r="B978" s="466" t="s">
        <v>6198</v>
      </c>
      <c r="C978" s="466" t="s">
        <v>2094</v>
      </c>
      <c r="D978" s="467" t="s">
        <v>6199</v>
      </c>
      <c r="E978" s="468" t="s">
        <v>4813</v>
      </c>
      <c r="F978" s="465">
        <v>2.83</v>
      </c>
    </row>
    <row r="979" spans="1:6" ht="26.4" x14ac:dyDescent="0.25">
      <c r="A979" s="465">
        <v>1701</v>
      </c>
      <c r="B979" s="466" t="s">
        <v>6196</v>
      </c>
      <c r="C979" s="466" t="s">
        <v>2094</v>
      </c>
      <c r="D979" s="467" t="s">
        <v>6197</v>
      </c>
      <c r="E979" s="468" t="s">
        <v>4813</v>
      </c>
      <c r="F979" s="465">
        <v>48.4</v>
      </c>
    </row>
    <row r="980" spans="1:6" ht="26.4" x14ac:dyDescent="0.25">
      <c r="A980" s="465">
        <v>1702</v>
      </c>
      <c r="B980" s="466" t="s">
        <v>6202</v>
      </c>
      <c r="C980" s="466" t="s">
        <v>2094</v>
      </c>
      <c r="D980" s="467" t="s">
        <v>6203</v>
      </c>
      <c r="E980" s="468" t="s">
        <v>4813</v>
      </c>
      <c r="F980" s="465">
        <v>2.5</v>
      </c>
    </row>
    <row r="981" spans="1:6" ht="26.4" x14ac:dyDescent="0.25">
      <c r="A981" s="465">
        <v>1703</v>
      </c>
      <c r="B981" s="466" t="s">
        <v>6200</v>
      </c>
      <c r="C981" s="466" t="s">
        <v>2094</v>
      </c>
      <c r="D981" s="467" t="s">
        <v>6201</v>
      </c>
      <c r="E981" s="468" t="s">
        <v>4813</v>
      </c>
      <c r="F981" s="465">
        <v>44.99</v>
      </c>
    </row>
    <row r="982" spans="1:6" ht="39.6" x14ac:dyDescent="0.25">
      <c r="A982" s="465">
        <v>1707</v>
      </c>
      <c r="B982" s="466" t="s">
        <v>5233</v>
      </c>
      <c r="C982" s="466" t="s">
        <v>2094</v>
      </c>
      <c r="D982" s="467" t="s">
        <v>5234</v>
      </c>
      <c r="E982" s="468" t="s">
        <v>4803</v>
      </c>
      <c r="F982" s="465">
        <v>9.52</v>
      </c>
    </row>
    <row r="983" spans="1:6" ht="26.4" x14ac:dyDescent="0.25">
      <c r="A983" s="465">
        <v>1708</v>
      </c>
      <c r="B983" s="466" t="s">
        <v>5900</v>
      </c>
      <c r="C983" s="466" t="s">
        <v>2094</v>
      </c>
      <c r="D983" s="467" t="s">
        <v>5901</v>
      </c>
      <c r="E983" s="468" t="s">
        <v>4863</v>
      </c>
      <c r="F983" s="465">
        <v>2888.93</v>
      </c>
    </row>
    <row r="984" spans="1:6" ht="26.4" x14ac:dyDescent="0.25">
      <c r="A984" s="465">
        <v>1709</v>
      </c>
      <c r="B984" s="466" t="s">
        <v>5902</v>
      </c>
      <c r="C984" s="466" t="s">
        <v>2094</v>
      </c>
      <c r="D984" s="467" t="s">
        <v>5903</v>
      </c>
      <c r="E984" s="468" t="s">
        <v>4863</v>
      </c>
      <c r="F984" s="465">
        <v>15480</v>
      </c>
    </row>
    <row r="985" spans="1:6" ht="26.4" x14ac:dyDescent="0.25">
      <c r="A985" s="465">
        <v>1710</v>
      </c>
      <c r="B985" s="466" t="s">
        <v>5239</v>
      </c>
      <c r="C985" s="466" t="s">
        <v>2094</v>
      </c>
      <c r="D985" s="467" t="s">
        <v>5240</v>
      </c>
      <c r="E985" s="468" t="s">
        <v>4863</v>
      </c>
      <c r="F985" s="465">
        <v>8.9499999999999993</v>
      </c>
    </row>
    <row r="986" spans="1:6" ht="52.8" x14ac:dyDescent="0.25">
      <c r="A986" s="465">
        <v>1711</v>
      </c>
      <c r="B986" s="466" t="s">
        <v>7186</v>
      </c>
      <c r="C986" s="466" t="s">
        <v>2094</v>
      </c>
      <c r="D986" s="467" t="s">
        <v>7187</v>
      </c>
      <c r="E986" s="468" t="s">
        <v>5034</v>
      </c>
      <c r="F986" s="465">
        <v>1.5</v>
      </c>
    </row>
    <row r="987" spans="1:6" ht="26.4" x14ac:dyDescent="0.25">
      <c r="A987" s="465">
        <v>1712</v>
      </c>
      <c r="B987" s="466" t="s">
        <v>5465</v>
      </c>
      <c r="C987" s="466" t="s">
        <v>2094</v>
      </c>
      <c r="D987" s="467" t="s">
        <v>5466</v>
      </c>
      <c r="E987" s="468" t="s">
        <v>4813</v>
      </c>
      <c r="F987" s="465">
        <v>7.09</v>
      </c>
    </row>
    <row r="988" spans="1:6" x14ac:dyDescent="0.25">
      <c r="A988" s="465">
        <v>1713</v>
      </c>
      <c r="B988" s="466" t="s">
        <v>5457</v>
      </c>
      <c r="C988" s="466" t="s">
        <v>2094</v>
      </c>
      <c r="D988" s="467" t="s">
        <v>5458</v>
      </c>
      <c r="E988" s="468" t="s">
        <v>4813</v>
      </c>
      <c r="F988" s="465">
        <v>11.22</v>
      </c>
    </row>
    <row r="989" spans="1:6" x14ac:dyDescent="0.25">
      <c r="A989" s="465">
        <v>1714</v>
      </c>
      <c r="B989" s="466" t="s">
        <v>5461</v>
      </c>
      <c r="C989" s="466" t="s">
        <v>2094</v>
      </c>
      <c r="D989" s="467" t="s">
        <v>5462</v>
      </c>
      <c r="E989" s="468" t="s">
        <v>4813</v>
      </c>
      <c r="F989" s="465">
        <v>14.46</v>
      </c>
    </row>
    <row r="990" spans="1:6" ht="26.4" x14ac:dyDescent="0.25">
      <c r="A990" s="465">
        <v>1715</v>
      </c>
      <c r="B990" s="466" t="s">
        <v>5481</v>
      </c>
      <c r="C990" s="466" t="s">
        <v>2094</v>
      </c>
      <c r="D990" s="467" t="s">
        <v>5482</v>
      </c>
      <c r="E990" s="468" t="s">
        <v>4813</v>
      </c>
      <c r="F990" s="465">
        <v>9.92</v>
      </c>
    </row>
    <row r="991" spans="1:6" x14ac:dyDescent="0.25">
      <c r="A991" s="465">
        <v>1716</v>
      </c>
      <c r="B991" s="466" t="s">
        <v>5473</v>
      </c>
      <c r="C991" s="466" t="s">
        <v>2094</v>
      </c>
      <c r="D991" s="467" t="s">
        <v>5474</v>
      </c>
      <c r="E991" s="468" t="s">
        <v>4813</v>
      </c>
      <c r="F991" s="465">
        <v>14.67</v>
      </c>
    </row>
    <row r="992" spans="1:6" x14ac:dyDescent="0.25">
      <c r="A992" s="465">
        <v>1717</v>
      </c>
      <c r="B992" s="466" t="s">
        <v>5477</v>
      </c>
      <c r="C992" s="466" t="s">
        <v>2094</v>
      </c>
      <c r="D992" s="467" t="s">
        <v>5478</v>
      </c>
      <c r="E992" s="468" t="s">
        <v>4813</v>
      </c>
      <c r="F992" s="465">
        <v>21.13</v>
      </c>
    </row>
    <row r="993" spans="1:6" ht="26.4" x14ac:dyDescent="0.25">
      <c r="A993" s="465">
        <v>1718</v>
      </c>
      <c r="B993" s="466" t="s">
        <v>5485</v>
      </c>
      <c r="C993" s="466" t="s">
        <v>2094</v>
      </c>
      <c r="D993" s="467" t="s">
        <v>5486</v>
      </c>
      <c r="E993" s="468" t="s">
        <v>4813</v>
      </c>
      <c r="F993" s="465">
        <v>15.57</v>
      </c>
    </row>
    <row r="994" spans="1:6" ht="26.4" x14ac:dyDescent="0.25">
      <c r="A994" s="465">
        <v>1719</v>
      </c>
      <c r="B994" s="466" t="s">
        <v>5499</v>
      </c>
      <c r="C994" s="466" t="s">
        <v>2094</v>
      </c>
      <c r="D994" s="467" t="s">
        <v>5500</v>
      </c>
      <c r="E994" s="468" t="s">
        <v>4813</v>
      </c>
      <c r="F994" s="465">
        <v>13.9</v>
      </c>
    </row>
    <row r="995" spans="1:6" ht="26.4" x14ac:dyDescent="0.25">
      <c r="A995" s="465">
        <v>1720</v>
      </c>
      <c r="B995" s="466" t="s">
        <v>5505</v>
      </c>
      <c r="C995" s="466" t="s">
        <v>2094</v>
      </c>
      <c r="D995" s="467" t="s">
        <v>5506</v>
      </c>
      <c r="E995" s="468" t="s">
        <v>4813</v>
      </c>
      <c r="F995" s="465">
        <v>19.32</v>
      </c>
    </row>
    <row r="996" spans="1:6" x14ac:dyDescent="0.25">
      <c r="A996" s="465">
        <v>1721</v>
      </c>
      <c r="B996" s="466" t="s">
        <v>5523</v>
      </c>
      <c r="C996" s="466" t="s">
        <v>2094</v>
      </c>
      <c r="D996" s="467" t="s">
        <v>5524</v>
      </c>
      <c r="E996" s="468" t="s">
        <v>4813</v>
      </c>
      <c r="F996" s="465">
        <v>1.56</v>
      </c>
    </row>
    <row r="997" spans="1:6" x14ac:dyDescent="0.25">
      <c r="A997" s="465">
        <v>1722</v>
      </c>
      <c r="B997" s="466" t="s">
        <v>5483</v>
      </c>
      <c r="C997" s="466" t="s">
        <v>2094</v>
      </c>
      <c r="D997" s="467" t="s">
        <v>5484</v>
      </c>
      <c r="E997" s="468" t="s">
        <v>4813</v>
      </c>
      <c r="F997" s="465">
        <v>13.47</v>
      </c>
    </row>
    <row r="998" spans="1:6" ht="26.4" x14ac:dyDescent="0.25">
      <c r="A998" s="465">
        <v>1723</v>
      </c>
      <c r="B998" s="466" t="s">
        <v>5507</v>
      </c>
      <c r="C998" s="466" t="s">
        <v>2094</v>
      </c>
      <c r="D998" s="467" t="s">
        <v>5508</v>
      </c>
      <c r="E998" s="468" t="s">
        <v>4813</v>
      </c>
      <c r="F998" s="465">
        <v>25.3</v>
      </c>
    </row>
    <row r="999" spans="1:6" ht="26.4" x14ac:dyDescent="0.25">
      <c r="A999" s="465">
        <v>1724</v>
      </c>
      <c r="B999" s="466" t="s">
        <v>5519</v>
      </c>
      <c r="C999" s="466" t="s">
        <v>2094</v>
      </c>
      <c r="D999" s="467" t="s">
        <v>5520</v>
      </c>
      <c r="E999" s="468" t="s">
        <v>4813</v>
      </c>
      <c r="F999" s="465">
        <v>41.92</v>
      </c>
    </row>
    <row r="1000" spans="1:6" ht="39.6" x14ac:dyDescent="0.25">
      <c r="A1000" s="465">
        <v>1725</v>
      </c>
      <c r="B1000" s="466" t="s">
        <v>7003</v>
      </c>
      <c r="C1000" s="466" t="s">
        <v>2094</v>
      </c>
      <c r="D1000" s="467" t="s">
        <v>7004</v>
      </c>
      <c r="E1000" s="468" t="s">
        <v>4813</v>
      </c>
      <c r="F1000" s="465">
        <v>2.78</v>
      </c>
    </row>
    <row r="1001" spans="1:6" x14ac:dyDescent="0.25">
      <c r="A1001" s="465">
        <v>1726</v>
      </c>
      <c r="B1001" s="466" t="s">
        <v>5235</v>
      </c>
      <c r="C1001" s="466" t="s">
        <v>2094</v>
      </c>
      <c r="D1001" s="467" t="s">
        <v>5236</v>
      </c>
      <c r="E1001" s="468" t="s">
        <v>4863</v>
      </c>
      <c r="F1001" s="465">
        <v>167.75</v>
      </c>
    </row>
    <row r="1002" spans="1:6" ht="26.4" x14ac:dyDescent="0.25">
      <c r="A1002" s="465">
        <v>1727</v>
      </c>
      <c r="B1002" s="466" t="s">
        <v>5243</v>
      </c>
      <c r="C1002" s="466" t="s">
        <v>2094</v>
      </c>
      <c r="D1002" s="467" t="s">
        <v>5244</v>
      </c>
      <c r="E1002" s="468" t="s">
        <v>4863</v>
      </c>
      <c r="F1002" s="465">
        <v>1.23</v>
      </c>
    </row>
    <row r="1003" spans="1:6" ht="26.4" x14ac:dyDescent="0.25">
      <c r="A1003" s="465">
        <v>1728</v>
      </c>
      <c r="B1003" s="466" t="s">
        <v>5437</v>
      </c>
      <c r="C1003" s="466" t="s">
        <v>2094</v>
      </c>
      <c r="D1003" s="467" t="s">
        <v>5438</v>
      </c>
      <c r="E1003" s="468" t="s">
        <v>4813</v>
      </c>
      <c r="F1003" s="465">
        <v>21.48</v>
      </c>
    </row>
    <row r="1004" spans="1:6" ht="26.4" x14ac:dyDescent="0.25">
      <c r="A1004" s="465">
        <v>1729</v>
      </c>
      <c r="B1004" s="466" t="s">
        <v>6081</v>
      </c>
      <c r="C1004" s="466" t="s">
        <v>2094</v>
      </c>
      <c r="D1004" s="467" t="s">
        <v>6082</v>
      </c>
      <c r="E1004" s="468" t="s">
        <v>4863</v>
      </c>
      <c r="F1004" s="465">
        <v>1.0900000000000001</v>
      </c>
    </row>
    <row r="1005" spans="1:6" ht="26.4" x14ac:dyDescent="0.25">
      <c r="A1005" s="465">
        <v>1730</v>
      </c>
      <c r="B1005" s="466" t="s">
        <v>5503</v>
      </c>
      <c r="C1005" s="466" t="s">
        <v>2094</v>
      </c>
      <c r="D1005" s="467" t="s">
        <v>5504</v>
      </c>
      <c r="E1005" s="468" t="s">
        <v>4813</v>
      </c>
      <c r="F1005" s="465">
        <v>1.49</v>
      </c>
    </row>
    <row r="1006" spans="1:6" ht="39.6" x14ac:dyDescent="0.25">
      <c r="A1006" s="465">
        <v>1732</v>
      </c>
      <c r="B1006" s="466" t="s">
        <v>6317</v>
      </c>
      <c r="C1006" s="466" t="s">
        <v>2094</v>
      </c>
      <c r="D1006" s="467" t="s">
        <v>6318</v>
      </c>
      <c r="E1006" s="468" t="s">
        <v>4850</v>
      </c>
      <c r="F1006" s="465">
        <v>4.3600000000000003</v>
      </c>
    </row>
    <row r="1007" spans="1:6" ht="39.6" x14ac:dyDescent="0.25">
      <c r="A1007" s="465">
        <v>1733</v>
      </c>
      <c r="B1007" s="466" t="s">
        <v>7227</v>
      </c>
      <c r="C1007" s="466" t="s">
        <v>2094</v>
      </c>
      <c r="D1007" s="467" t="s">
        <v>7228</v>
      </c>
      <c r="E1007" s="468" t="s">
        <v>5034</v>
      </c>
      <c r="F1007" s="465">
        <v>4.38</v>
      </c>
    </row>
    <row r="1008" spans="1:6" ht="26.4" x14ac:dyDescent="0.25">
      <c r="A1008" s="465">
        <v>1734</v>
      </c>
      <c r="B1008" s="466" t="s">
        <v>4899</v>
      </c>
      <c r="C1008" s="466" t="s">
        <v>4801</v>
      </c>
      <c r="D1008" s="467" t="s">
        <v>4900</v>
      </c>
      <c r="E1008" s="468" t="s">
        <v>4803</v>
      </c>
      <c r="F1008" s="465">
        <v>86.4</v>
      </c>
    </row>
    <row r="1009" spans="1:6" x14ac:dyDescent="0.25">
      <c r="A1009" s="465">
        <v>1735</v>
      </c>
      <c r="B1009" s="466" t="s">
        <v>6319</v>
      </c>
      <c r="C1009" s="466" t="s">
        <v>2094</v>
      </c>
      <c r="D1009" s="467" t="s">
        <v>6320</v>
      </c>
      <c r="E1009" s="468" t="s">
        <v>4863</v>
      </c>
      <c r="F1009" s="465">
        <v>187.9</v>
      </c>
    </row>
    <row r="1010" spans="1:6" ht="39.6" x14ac:dyDescent="0.25">
      <c r="A1010" s="465">
        <v>1736</v>
      </c>
      <c r="B1010" s="466" t="s">
        <v>7184</v>
      </c>
      <c r="C1010" s="466" t="s">
        <v>2094</v>
      </c>
      <c r="D1010" s="467" t="s">
        <v>7185</v>
      </c>
      <c r="E1010" s="468" t="s">
        <v>5034</v>
      </c>
      <c r="F1010" s="465">
        <v>1.94</v>
      </c>
    </row>
    <row r="1011" spans="1:6" ht="26.4" x14ac:dyDescent="0.25">
      <c r="A1011" s="465">
        <v>1737</v>
      </c>
      <c r="B1011" s="466" t="s">
        <v>6707</v>
      </c>
      <c r="C1011" s="466" t="s">
        <v>2094</v>
      </c>
      <c r="D1011" s="467" t="s">
        <v>6708</v>
      </c>
      <c r="E1011" s="468" t="s">
        <v>4863</v>
      </c>
      <c r="F1011" s="465">
        <v>2.02</v>
      </c>
    </row>
    <row r="1012" spans="1:6" ht="26.4" x14ac:dyDescent="0.25">
      <c r="A1012" s="465">
        <v>1738</v>
      </c>
      <c r="B1012" s="466" t="s">
        <v>6861</v>
      </c>
      <c r="C1012" s="466" t="s">
        <v>2094</v>
      </c>
      <c r="D1012" s="467" t="s">
        <v>6862</v>
      </c>
      <c r="E1012" s="468" t="s">
        <v>4863</v>
      </c>
      <c r="F1012" s="465">
        <v>1589.88</v>
      </c>
    </row>
    <row r="1013" spans="1:6" ht="26.4" x14ac:dyDescent="0.25">
      <c r="A1013" s="465">
        <v>1741</v>
      </c>
      <c r="B1013" s="466" t="s">
        <v>5822</v>
      </c>
      <c r="C1013" s="466" t="s">
        <v>2094</v>
      </c>
      <c r="D1013" s="467" t="s">
        <v>5823</v>
      </c>
      <c r="E1013" s="468" t="s">
        <v>4813</v>
      </c>
      <c r="F1013" s="465">
        <v>4.4000000000000004</v>
      </c>
    </row>
    <row r="1014" spans="1:6" ht="26.4" x14ac:dyDescent="0.25">
      <c r="A1014" s="465">
        <v>1742</v>
      </c>
      <c r="B1014" s="466" t="s">
        <v>5312</v>
      </c>
      <c r="C1014" s="466" t="s">
        <v>2094</v>
      </c>
      <c r="D1014" s="467" t="s">
        <v>5311</v>
      </c>
      <c r="E1014" s="468" t="s">
        <v>4813</v>
      </c>
      <c r="F1014" s="465">
        <v>27.58</v>
      </c>
    </row>
    <row r="1015" spans="1:6" ht="26.4" x14ac:dyDescent="0.25">
      <c r="A1015" s="465">
        <v>1743</v>
      </c>
      <c r="B1015" s="466" t="s">
        <v>5304</v>
      </c>
      <c r="C1015" s="466" t="s">
        <v>2094</v>
      </c>
      <c r="D1015" s="467" t="s">
        <v>5305</v>
      </c>
      <c r="E1015" s="468" t="s">
        <v>4813</v>
      </c>
      <c r="F1015" s="465">
        <v>17.239999999999998</v>
      </c>
    </row>
    <row r="1016" spans="1:6" x14ac:dyDescent="0.25">
      <c r="A1016" s="465">
        <v>1745</v>
      </c>
      <c r="B1016" s="466" t="s">
        <v>6290</v>
      </c>
      <c r="C1016" s="466" t="s">
        <v>2094</v>
      </c>
      <c r="D1016" s="467" t="s">
        <v>6291</v>
      </c>
      <c r="E1016" s="468" t="s">
        <v>4863</v>
      </c>
      <c r="F1016" s="465">
        <v>5070.33</v>
      </c>
    </row>
    <row r="1017" spans="1:6" ht="26.4" x14ac:dyDescent="0.25">
      <c r="A1017" s="465">
        <v>1746</v>
      </c>
      <c r="B1017" s="466" t="s">
        <v>7030</v>
      </c>
      <c r="C1017" s="466" t="s">
        <v>2094</v>
      </c>
      <c r="D1017" s="467" t="s">
        <v>7031</v>
      </c>
      <c r="E1017" s="468" t="s">
        <v>4863</v>
      </c>
      <c r="F1017" s="465">
        <v>5516.33</v>
      </c>
    </row>
    <row r="1018" spans="1:6" ht="26.4" x14ac:dyDescent="0.25">
      <c r="A1018" s="465">
        <v>1747</v>
      </c>
      <c r="B1018" s="466" t="s">
        <v>6544</v>
      </c>
      <c r="C1018" s="466" t="s">
        <v>2094</v>
      </c>
      <c r="D1018" s="467" t="s">
        <v>6545</v>
      </c>
      <c r="E1018" s="468" t="s">
        <v>4863</v>
      </c>
      <c r="F1018" s="465">
        <v>259.83</v>
      </c>
    </row>
    <row r="1019" spans="1:6" ht="26.4" x14ac:dyDescent="0.25">
      <c r="A1019" s="465">
        <v>1748</v>
      </c>
      <c r="B1019" s="466" t="s">
        <v>6595</v>
      </c>
      <c r="C1019" s="466" t="s">
        <v>2094</v>
      </c>
      <c r="D1019" s="467" t="s">
        <v>6596</v>
      </c>
      <c r="E1019" s="468" t="s">
        <v>4863</v>
      </c>
      <c r="F1019" s="465">
        <v>145000</v>
      </c>
    </row>
    <row r="1020" spans="1:6" ht="26.4" x14ac:dyDescent="0.25">
      <c r="A1020" s="465">
        <v>1749</v>
      </c>
      <c r="B1020" s="466" t="s">
        <v>6597</v>
      </c>
      <c r="C1020" s="466" t="s">
        <v>2094</v>
      </c>
      <c r="D1020" s="467" t="s">
        <v>6598</v>
      </c>
      <c r="E1020" s="468" t="s">
        <v>4863</v>
      </c>
      <c r="F1020" s="465">
        <v>260000</v>
      </c>
    </row>
    <row r="1021" spans="1:6" ht="26.4" x14ac:dyDescent="0.25">
      <c r="A1021" s="465">
        <v>1750</v>
      </c>
      <c r="B1021" s="466" t="s">
        <v>6599</v>
      </c>
      <c r="C1021" s="466" t="s">
        <v>2094</v>
      </c>
      <c r="D1021" s="467" t="s">
        <v>6600</v>
      </c>
      <c r="E1021" s="468" t="s">
        <v>4863</v>
      </c>
      <c r="F1021" s="465">
        <v>416000</v>
      </c>
    </row>
    <row r="1022" spans="1:6" ht="26.4" x14ac:dyDescent="0.25">
      <c r="A1022" s="465">
        <v>1751</v>
      </c>
      <c r="B1022" s="466" t="s">
        <v>6591</v>
      </c>
      <c r="C1022" s="466" t="s">
        <v>2094</v>
      </c>
      <c r="D1022" s="467" t="s">
        <v>6592</v>
      </c>
      <c r="E1022" s="468" t="s">
        <v>4863</v>
      </c>
      <c r="F1022" s="465">
        <v>665600</v>
      </c>
    </row>
    <row r="1023" spans="1:6" ht="26.4" x14ac:dyDescent="0.25">
      <c r="A1023" s="465">
        <v>1752</v>
      </c>
      <c r="B1023" s="466" t="s">
        <v>6593</v>
      </c>
      <c r="C1023" s="466" t="s">
        <v>2094</v>
      </c>
      <c r="D1023" s="467" t="s">
        <v>6594</v>
      </c>
      <c r="E1023" s="468" t="s">
        <v>4863</v>
      </c>
      <c r="F1023" s="465">
        <v>1200000</v>
      </c>
    </row>
    <row r="1024" spans="1:6" ht="26.4" x14ac:dyDescent="0.25">
      <c r="A1024" s="465">
        <v>1753</v>
      </c>
      <c r="B1024" s="466" t="s">
        <v>6849</v>
      </c>
      <c r="C1024" s="466" t="s">
        <v>2094</v>
      </c>
      <c r="D1024" s="467" t="s">
        <v>6850</v>
      </c>
      <c r="E1024" s="468" t="s">
        <v>4863</v>
      </c>
      <c r="F1024" s="465">
        <v>225000</v>
      </c>
    </row>
    <row r="1025" spans="1:6" ht="26.4" x14ac:dyDescent="0.25">
      <c r="A1025" s="465">
        <v>1754</v>
      </c>
      <c r="B1025" s="466" t="s">
        <v>5237</v>
      </c>
      <c r="C1025" s="466" t="s">
        <v>2094</v>
      </c>
      <c r="D1025" s="467" t="s">
        <v>5238</v>
      </c>
      <c r="E1025" s="468" t="s">
        <v>4863</v>
      </c>
      <c r="F1025" s="465">
        <v>2021.41</v>
      </c>
    </row>
    <row r="1026" spans="1:6" ht="26.4" x14ac:dyDescent="0.25">
      <c r="A1026" s="465">
        <v>1755</v>
      </c>
      <c r="B1026" s="466" t="s">
        <v>6079</v>
      </c>
      <c r="C1026" s="466" t="s">
        <v>2094</v>
      </c>
      <c r="D1026" s="467" t="s">
        <v>6080</v>
      </c>
      <c r="E1026" s="468" t="s">
        <v>4863</v>
      </c>
      <c r="F1026" s="465">
        <v>1668.91</v>
      </c>
    </row>
    <row r="1027" spans="1:6" ht="26.4" x14ac:dyDescent="0.25">
      <c r="A1027" s="465">
        <v>1757</v>
      </c>
      <c r="B1027" s="466" t="s">
        <v>5088</v>
      </c>
      <c r="C1027" s="466" t="s">
        <v>4801</v>
      </c>
      <c r="D1027" s="467" t="s">
        <v>5089</v>
      </c>
      <c r="E1027" s="468" t="s">
        <v>4886</v>
      </c>
      <c r="F1027" s="465">
        <v>122.72</v>
      </c>
    </row>
    <row r="1028" spans="1:6" x14ac:dyDescent="0.25">
      <c r="A1028" s="465">
        <v>1758</v>
      </c>
      <c r="B1028" s="466" t="s">
        <v>5997</v>
      </c>
      <c r="C1028" s="466" t="s">
        <v>2094</v>
      </c>
      <c r="D1028" s="467" t="s">
        <v>5998</v>
      </c>
      <c r="E1028" s="468" t="s">
        <v>4863</v>
      </c>
      <c r="F1028" s="465">
        <v>3.05</v>
      </c>
    </row>
    <row r="1029" spans="1:6" ht="26.4" x14ac:dyDescent="0.25">
      <c r="A1029" s="465">
        <v>1759</v>
      </c>
      <c r="B1029" s="466" t="s">
        <v>7028</v>
      </c>
      <c r="C1029" s="466" t="s">
        <v>2094</v>
      </c>
      <c r="D1029" s="467" t="s">
        <v>7029</v>
      </c>
      <c r="E1029" s="468" t="s">
        <v>4863</v>
      </c>
      <c r="F1029" s="465">
        <v>7780.67</v>
      </c>
    </row>
    <row r="1030" spans="1:6" x14ac:dyDescent="0.25">
      <c r="A1030" s="465">
        <v>1760</v>
      </c>
      <c r="B1030" s="466" t="s">
        <v>7094</v>
      </c>
      <c r="C1030" s="466" t="s">
        <v>2094</v>
      </c>
      <c r="D1030" s="467" t="s">
        <v>7095</v>
      </c>
      <c r="E1030" s="468" t="s">
        <v>4863</v>
      </c>
      <c r="F1030" s="465">
        <v>375</v>
      </c>
    </row>
    <row r="1031" spans="1:6" ht="26.4" x14ac:dyDescent="0.25">
      <c r="A1031" s="465">
        <v>1761</v>
      </c>
      <c r="B1031" s="466" t="s">
        <v>5992</v>
      </c>
      <c r="C1031" s="466" t="s">
        <v>2094</v>
      </c>
      <c r="D1031" s="467" t="s">
        <v>5993</v>
      </c>
      <c r="E1031" s="468" t="s">
        <v>2377</v>
      </c>
      <c r="F1031" s="465">
        <v>27.68</v>
      </c>
    </row>
    <row r="1032" spans="1:6" ht="66" x14ac:dyDescent="0.25">
      <c r="A1032" s="465">
        <v>1762</v>
      </c>
      <c r="B1032" s="466" t="s">
        <v>5288</v>
      </c>
      <c r="C1032" s="466" t="s">
        <v>2094</v>
      </c>
      <c r="D1032" s="467" t="s">
        <v>5289</v>
      </c>
      <c r="E1032" s="468" t="s">
        <v>5285</v>
      </c>
      <c r="F1032" s="465">
        <v>9721.6</v>
      </c>
    </row>
    <row r="1033" spans="1:6" ht="26.4" x14ac:dyDescent="0.25">
      <c r="A1033" s="465">
        <v>1763</v>
      </c>
      <c r="B1033" s="466" t="s">
        <v>6194</v>
      </c>
      <c r="C1033" s="466" t="s">
        <v>2094</v>
      </c>
      <c r="D1033" s="467" t="s">
        <v>6195</v>
      </c>
      <c r="E1033" s="468" t="s">
        <v>4863</v>
      </c>
      <c r="F1033" s="465">
        <v>232.5</v>
      </c>
    </row>
    <row r="1034" spans="1:6" ht="26.4" x14ac:dyDescent="0.25">
      <c r="A1034" s="465">
        <v>1764</v>
      </c>
      <c r="B1034" s="466" t="s">
        <v>7083</v>
      </c>
      <c r="C1034" s="466" t="s">
        <v>2094</v>
      </c>
      <c r="D1034" s="467" t="s">
        <v>7084</v>
      </c>
      <c r="E1034" s="468" t="s">
        <v>4863</v>
      </c>
      <c r="F1034" s="465">
        <v>20.95</v>
      </c>
    </row>
    <row r="1035" spans="1:6" ht="26.4" x14ac:dyDescent="0.25">
      <c r="A1035" s="465">
        <v>1765</v>
      </c>
      <c r="B1035" s="466" t="s">
        <v>7438</v>
      </c>
      <c r="C1035" s="466" t="s">
        <v>2094</v>
      </c>
      <c r="D1035" s="467" t="s">
        <v>7439</v>
      </c>
      <c r="E1035" s="468" t="s">
        <v>4813</v>
      </c>
      <c r="F1035" s="465">
        <v>51</v>
      </c>
    </row>
    <row r="1036" spans="1:6" ht="39.6" x14ac:dyDescent="0.25">
      <c r="A1036" s="465">
        <v>1766</v>
      </c>
      <c r="B1036" s="466" t="s">
        <v>6581</v>
      </c>
      <c r="C1036" s="466" t="s">
        <v>2094</v>
      </c>
      <c r="D1036" s="467" t="s">
        <v>6582</v>
      </c>
      <c r="E1036" s="468" t="s">
        <v>4863</v>
      </c>
      <c r="F1036" s="465">
        <v>17000</v>
      </c>
    </row>
    <row r="1037" spans="1:6" ht="39.6" x14ac:dyDescent="0.25">
      <c r="A1037" s="465">
        <v>1767</v>
      </c>
      <c r="B1037" s="466" t="s">
        <v>6583</v>
      </c>
      <c r="C1037" s="466" t="s">
        <v>2094</v>
      </c>
      <c r="D1037" s="467" t="s">
        <v>6582</v>
      </c>
      <c r="E1037" s="468" t="s">
        <v>4863</v>
      </c>
      <c r="F1037" s="465">
        <v>25000</v>
      </c>
    </row>
    <row r="1038" spans="1:6" ht="39.6" x14ac:dyDescent="0.25">
      <c r="A1038" s="465">
        <v>1768</v>
      </c>
      <c r="B1038" s="466" t="s">
        <v>6584</v>
      </c>
      <c r="C1038" s="466" t="s">
        <v>2094</v>
      </c>
      <c r="D1038" s="467" t="s">
        <v>6582</v>
      </c>
      <c r="E1038" s="468" t="s">
        <v>4863</v>
      </c>
      <c r="F1038" s="465">
        <v>11000</v>
      </c>
    </row>
    <row r="1039" spans="1:6" ht="26.4" x14ac:dyDescent="0.25">
      <c r="A1039" s="465">
        <v>1769</v>
      </c>
      <c r="B1039" s="466" t="s">
        <v>6585</v>
      </c>
      <c r="C1039" s="466" t="s">
        <v>2094</v>
      </c>
      <c r="D1039" s="467" t="s">
        <v>6586</v>
      </c>
      <c r="E1039" s="468" t="s">
        <v>4863</v>
      </c>
      <c r="F1039" s="465">
        <v>15000</v>
      </c>
    </row>
    <row r="1040" spans="1:6" ht="39.6" x14ac:dyDescent="0.25">
      <c r="A1040" s="465">
        <v>1770</v>
      </c>
      <c r="B1040" s="466" t="s">
        <v>6589</v>
      </c>
      <c r="C1040" s="466" t="s">
        <v>2094</v>
      </c>
      <c r="D1040" s="467" t="s">
        <v>6590</v>
      </c>
      <c r="E1040" s="468" t="s">
        <v>4863</v>
      </c>
      <c r="F1040" s="465">
        <v>45000</v>
      </c>
    </row>
    <row r="1041" spans="1:6" ht="52.8" x14ac:dyDescent="0.25">
      <c r="A1041" s="465">
        <v>1771</v>
      </c>
      <c r="B1041" s="466" t="s">
        <v>5035</v>
      </c>
      <c r="C1041" s="466" t="s">
        <v>4801</v>
      </c>
      <c r="D1041" s="467" t="s">
        <v>5036</v>
      </c>
      <c r="E1041" s="468" t="s">
        <v>5037</v>
      </c>
      <c r="F1041" s="465">
        <v>5.0000000000000001E-4</v>
      </c>
    </row>
    <row r="1042" spans="1:6" ht="66" x14ac:dyDescent="0.25">
      <c r="A1042" s="465">
        <v>1772</v>
      </c>
      <c r="B1042" s="466" t="s">
        <v>6601</v>
      </c>
      <c r="C1042" s="466" t="s">
        <v>2094</v>
      </c>
      <c r="D1042" s="467" t="s">
        <v>6602</v>
      </c>
      <c r="E1042" s="468" t="s">
        <v>4863</v>
      </c>
      <c r="F1042" s="465">
        <v>25730</v>
      </c>
    </row>
    <row r="1043" spans="1:6" ht="39.6" x14ac:dyDescent="0.25">
      <c r="A1043" s="465">
        <v>1773</v>
      </c>
      <c r="B1043" s="466" t="s">
        <v>6603</v>
      </c>
      <c r="C1043" s="466" t="s">
        <v>2094</v>
      </c>
      <c r="D1043" s="467" t="s">
        <v>6604</v>
      </c>
      <c r="E1043" s="468" t="s">
        <v>4863</v>
      </c>
      <c r="F1043" s="465">
        <v>4225.33</v>
      </c>
    </row>
    <row r="1044" spans="1:6" ht="39.6" x14ac:dyDescent="0.25">
      <c r="A1044" s="465">
        <v>1774</v>
      </c>
      <c r="B1044" s="466" t="s">
        <v>6605</v>
      </c>
      <c r="C1044" s="466" t="s">
        <v>2094</v>
      </c>
      <c r="D1044" s="467" t="s">
        <v>6606</v>
      </c>
      <c r="E1044" s="468" t="s">
        <v>4863</v>
      </c>
      <c r="F1044" s="465">
        <v>17712</v>
      </c>
    </row>
    <row r="1045" spans="1:6" ht="66" x14ac:dyDescent="0.25">
      <c r="A1045" s="465">
        <v>1775</v>
      </c>
      <c r="B1045" s="466" t="s">
        <v>6607</v>
      </c>
      <c r="C1045" s="466" t="s">
        <v>2094</v>
      </c>
      <c r="D1045" s="467" t="s">
        <v>6608</v>
      </c>
      <c r="E1045" s="468" t="s">
        <v>4863</v>
      </c>
      <c r="F1045" s="465">
        <v>18788</v>
      </c>
    </row>
    <row r="1046" spans="1:6" x14ac:dyDescent="0.25">
      <c r="A1046" s="465">
        <v>1776</v>
      </c>
      <c r="B1046" s="466" t="s">
        <v>5340</v>
      </c>
      <c r="C1046" s="466" t="s">
        <v>2094</v>
      </c>
      <c r="D1046" s="467" t="s">
        <v>5341</v>
      </c>
      <c r="E1046" s="468" t="s">
        <v>4813</v>
      </c>
      <c r="F1046" s="465">
        <v>177.18</v>
      </c>
    </row>
    <row r="1047" spans="1:6" x14ac:dyDescent="0.25">
      <c r="A1047" s="465">
        <v>1777</v>
      </c>
      <c r="B1047" s="466" t="s">
        <v>5338</v>
      </c>
      <c r="C1047" s="466" t="s">
        <v>2094</v>
      </c>
      <c r="D1047" s="467" t="s">
        <v>5339</v>
      </c>
      <c r="E1047" s="468" t="s">
        <v>4813</v>
      </c>
      <c r="F1047" s="465">
        <v>126.56</v>
      </c>
    </row>
    <row r="1048" spans="1:6" ht="26.4" x14ac:dyDescent="0.25">
      <c r="A1048" s="465">
        <v>1778</v>
      </c>
      <c r="B1048" s="466" t="s">
        <v>6356</v>
      </c>
      <c r="C1048" s="466" t="s">
        <v>2094</v>
      </c>
      <c r="D1048" s="467" t="s">
        <v>6357</v>
      </c>
      <c r="E1048" s="468" t="s">
        <v>4810</v>
      </c>
      <c r="F1048" s="465">
        <v>2.94</v>
      </c>
    </row>
    <row r="1049" spans="1:6" x14ac:dyDescent="0.25">
      <c r="A1049" s="465">
        <v>1779</v>
      </c>
      <c r="B1049" s="466" t="s">
        <v>7133</v>
      </c>
      <c r="C1049" s="466" t="s">
        <v>2094</v>
      </c>
      <c r="D1049" s="467" t="s">
        <v>7134</v>
      </c>
      <c r="E1049" s="468" t="s">
        <v>5360</v>
      </c>
      <c r="F1049" s="465">
        <v>0.85</v>
      </c>
    </row>
    <row r="1050" spans="1:6" ht="39.6" x14ac:dyDescent="0.25">
      <c r="A1050" s="465">
        <v>1780</v>
      </c>
      <c r="B1050" s="466" t="s">
        <v>5057</v>
      </c>
      <c r="C1050" s="466" t="s">
        <v>4801</v>
      </c>
      <c r="D1050" s="467" t="s">
        <v>5058</v>
      </c>
      <c r="E1050" s="468" t="s">
        <v>4803</v>
      </c>
      <c r="F1050" s="465">
        <v>76.069999999999993</v>
      </c>
    </row>
    <row r="1051" spans="1:6" ht="39.6" x14ac:dyDescent="0.25">
      <c r="A1051" s="465">
        <v>1781</v>
      </c>
      <c r="B1051" s="466" t="s">
        <v>5059</v>
      </c>
      <c r="C1051" s="466" t="s">
        <v>4801</v>
      </c>
      <c r="D1051" s="467" t="s">
        <v>5060</v>
      </c>
      <c r="E1051" s="468" t="s">
        <v>4803</v>
      </c>
      <c r="F1051" s="465">
        <v>86.23</v>
      </c>
    </row>
    <row r="1052" spans="1:6" ht="39.6" x14ac:dyDescent="0.25">
      <c r="A1052" s="465">
        <v>1782</v>
      </c>
      <c r="B1052" s="466" t="s">
        <v>5063</v>
      </c>
      <c r="C1052" s="466" t="s">
        <v>4801</v>
      </c>
      <c r="D1052" s="467" t="s">
        <v>5064</v>
      </c>
      <c r="E1052" s="468" t="s">
        <v>4803</v>
      </c>
      <c r="F1052" s="465">
        <v>142.72</v>
      </c>
    </row>
    <row r="1053" spans="1:6" x14ac:dyDescent="0.25">
      <c r="A1053" s="465">
        <v>1784</v>
      </c>
      <c r="B1053" s="466" t="s">
        <v>5830</v>
      </c>
      <c r="C1053" s="466" t="s">
        <v>2094</v>
      </c>
      <c r="D1053" s="467" t="s">
        <v>5831</v>
      </c>
      <c r="E1053" s="468" t="s">
        <v>4863</v>
      </c>
      <c r="F1053" s="465">
        <v>30.28</v>
      </c>
    </row>
    <row r="1054" spans="1:6" x14ac:dyDescent="0.25">
      <c r="A1054" s="465">
        <v>1785</v>
      </c>
      <c r="B1054" s="466" t="s">
        <v>5832</v>
      </c>
      <c r="C1054" s="466" t="s">
        <v>2094</v>
      </c>
      <c r="D1054" s="467" t="s">
        <v>5833</v>
      </c>
      <c r="E1054" s="468" t="s">
        <v>4863</v>
      </c>
      <c r="F1054" s="465">
        <v>23.64</v>
      </c>
    </row>
    <row r="1055" spans="1:6" x14ac:dyDescent="0.25">
      <c r="A1055" s="465">
        <v>1786</v>
      </c>
      <c r="B1055" s="466" t="s">
        <v>5834</v>
      </c>
      <c r="C1055" s="466" t="s">
        <v>2094</v>
      </c>
      <c r="D1055" s="467" t="s">
        <v>5835</v>
      </c>
      <c r="E1055" s="468" t="s">
        <v>4863</v>
      </c>
      <c r="F1055" s="465">
        <v>32.35</v>
      </c>
    </row>
    <row r="1056" spans="1:6" x14ac:dyDescent="0.25">
      <c r="A1056" s="465">
        <v>1787</v>
      </c>
      <c r="B1056" s="466" t="s">
        <v>5836</v>
      </c>
      <c r="C1056" s="466" t="s">
        <v>2094</v>
      </c>
      <c r="D1056" s="467" t="s">
        <v>5837</v>
      </c>
      <c r="E1056" s="468" t="s">
        <v>4863</v>
      </c>
      <c r="F1056" s="465">
        <v>48.23</v>
      </c>
    </row>
    <row r="1057" spans="1:6" x14ac:dyDescent="0.25">
      <c r="A1057" s="465">
        <v>1788</v>
      </c>
      <c r="B1057" s="466" t="s">
        <v>5826</v>
      </c>
      <c r="C1057" s="466" t="s">
        <v>2094</v>
      </c>
      <c r="D1057" s="467" t="s">
        <v>5827</v>
      </c>
      <c r="E1057" s="468" t="s">
        <v>4863</v>
      </c>
      <c r="F1057" s="465">
        <v>61.65</v>
      </c>
    </row>
    <row r="1058" spans="1:6" x14ac:dyDescent="0.25">
      <c r="A1058" s="465">
        <v>1789</v>
      </c>
      <c r="B1058" s="466" t="s">
        <v>5828</v>
      </c>
      <c r="C1058" s="466" t="s">
        <v>2094</v>
      </c>
      <c r="D1058" s="467" t="s">
        <v>5829</v>
      </c>
      <c r="E1058" s="468" t="s">
        <v>4863</v>
      </c>
      <c r="F1058" s="465">
        <v>107.42</v>
      </c>
    </row>
    <row r="1059" spans="1:6" x14ac:dyDescent="0.25">
      <c r="A1059" s="465">
        <v>1794</v>
      </c>
      <c r="B1059" s="466" t="s">
        <v>5838</v>
      </c>
      <c r="C1059" s="466" t="s">
        <v>2094</v>
      </c>
      <c r="D1059" s="467" t="s">
        <v>5839</v>
      </c>
      <c r="E1059" s="468" t="s">
        <v>4813</v>
      </c>
      <c r="F1059" s="465">
        <v>211.37</v>
      </c>
    </row>
    <row r="1060" spans="1:6" ht="26.4" x14ac:dyDescent="0.25">
      <c r="A1060" s="465">
        <v>1796</v>
      </c>
      <c r="B1060" s="466" t="s">
        <v>5864</v>
      </c>
      <c r="C1060" s="466" t="s">
        <v>2094</v>
      </c>
      <c r="D1060" s="467" t="s">
        <v>5865</v>
      </c>
      <c r="E1060" s="468" t="s">
        <v>4813</v>
      </c>
      <c r="F1060" s="465">
        <v>34.76</v>
      </c>
    </row>
    <row r="1061" spans="1:6" ht="26.4" x14ac:dyDescent="0.25">
      <c r="A1061" s="465">
        <v>1797</v>
      </c>
      <c r="B1061" s="466" t="s">
        <v>5866</v>
      </c>
      <c r="C1061" s="466" t="s">
        <v>2094</v>
      </c>
      <c r="D1061" s="467" t="s">
        <v>5867</v>
      </c>
      <c r="E1061" s="468" t="s">
        <v>4813</v>
      </c>
      <c r="F1061" s="465">
        <v>110.93</v>
      </c>
    </row>
    <row r="1062" spans="1:6" x14ac:dyDescent="0.25">
      <c r="A1062" s="465">
        <v>1802</v>
      </c>
      <c r="B1062" s="466" t="s">
        <v>5856</v>
      </c>
      <c r="C1062" s="466" t="s">
        <v>2094</v>
      </c>
      <c r="D1062" s="467" t="s">
        <v>5857</v>
      </c>
      <c r="E1062" s="468" t="s">
        <v>4813</v>
      </c>
      <c r="F1062" s="465">
        <v>4.07</v>
      </c>
    </row>
    <row r="1063" spans="1:6" x14ac:dyDescent="0.25">
      <c r="A1063" s="465">
        <v>1803</v>
      </c>
      <c r="B1063" s="466" t="s">
        <v>5858</v>
      </c>
      <c r="C1063" s="466" t="s">
        <v>2094</v>
      </c>
      <c r="D1063" s="467" t="s">
        <v>5859</v>
      </c>
      <c r="E1063" s="468" t="s">
        <v>4813</v>
      </c>
      <c r="F1063" s="465">
        <v>9.7200000000000006</v>
      </c>
    </row>
    <row r="1064" spans="1:6" x14ac:dyDescent="0.25">
      <c r="A1064" s="465">
        <v>1804</v>
      </c>
      <c r="B1064" s="466" t="s">
        <v>5860</v>
      </c>
      <c r="C1064" s="466" t="s">
        <v>2094</v>
      </c>
      <c r="D1064" s="467" t="s">
        <v>5861</v>
      </c>
      <c r="E1064" s="468" t="s">
        <v>4813</v>
      </c>
      <c r="F1064" s="465">
        <v>18.14</v>
      </c>
    </row>
    <row r="1065" spans="1:6" x14ac:dyDescent="0.25">
      <c r="A1065" s="465">
        <v>1805</v>
      </c>
      <c r="B1065" s="466" t="s">
        <v>5862</v>
      </c>
      <c r="C1065" s="466" t="s">
        <v>2094</v>
      </c>
      <c r="D1065" s="467" t="s">
        <v>5863</v>
      </c>
      <c r="E1065" s="468" t="s">
        <v>4813</v>
      </c>
      <c r="F1065" s="465">
        <v>27.98</v>
      </c>
    </row>
    <row r="1066" spans="1:6" x14ac:dyDescent="0.25">
      <c r="A1066" s="465">
        <v>1806</v>
      </c>
      <c r="B1066" s="466" t="s">
        <v>5852</v>
      </c>
      <c r="C1066" s="466" t="s">
        <v>2094</v>
      </c>
      <c r="D1066" s="467" t="s">
        <v>5853</v>
      </c>
      <c r="E1066" s="468" t="s">
        <v>4813</v>
      </c>
      <c r="F1066" s="465">
        <v>43.18</v>
      </c>
    </row>
    <row r="1067" spans="1:6" x14ac:dyDescent="0.25">
      <c r="A1067" s="465">
        <v>1807</v>
      </c>
      <c r="B1067" s="466" t="s">
        <v>5854</v>
      </c>
      <c r="C1067" s="466" t="s">
        <v>2094</v>
      </c>
      <c r="D1067" s="467" t="s">
        <v>5855</v>
      </c>
      <c r="E1067" s="468" t="s">
        <v>4813</v>
      </c>
      <c r="F1067" s="465">
        <v>55.15</v>
      </c>
    </row>
    <row r="1068" spans="1:6" x14ac:dyDescent="0.25">
      <c r="A1068" s="465">
        <v>1808</v>
      </c>
      <c r="B1068" s="466" t="s">
        <v>5844</v>
      </c>
      <c r="C1068" s="466" t="s">
        <v>2094</v>
      </c>
      <c r="D1068" s="467" t="s">
        <v>5845</v>
      </c>
      <c r="E1068" s="468" t="s">
        <v>4813</v>
      </c>
      <c r="F1068" s="465">
        <v>11.57</v>
      </c>
    </row>
    <row r="1069" spans="1:6" x14ac:dyDescent="0.25">
      <c r="A1069" s="465">
        <v>1809</v>
      </c>
      <c r="B1069" s="466" t="s">
        <v>5846</v>
      </c>
      <c r="C1069" s="466" t="s">
        <v>2094</v>
      </c>
      <c r="D1069" s="467" t="s">
        <v>5847</v>
      </c>
      <c r="E1069" s="468" t="s">
        <v>4813</v>
      </c>
      <c r="F1069" s="465">
        <v>34.18</v>
      </c>
    </row>
    <row r="1070" spans="1:6" x14ac:dyDescent="0.25">
      <c r="A1070" s="465">
        <v>1810</v>
      </c>
      <c r="B1070" s="466" t="s">
        <v>5848</v>
      </c>
      <c r="C1070" s="466" t="s">
        <v>2094</v>
      </c>
      <c r="D1070" s="467" t="s">
        <v>5849</v>
      </c>
      <c r="E1070" s="468" t="s">
        <v>4813</v>
      </c>
      <c r="F1070" s="465">
        <v>49.26</v>
      </c>
    </row>
    <row r="1071" spans="1:6" x14ac:dyDescent="0.25">
      <c r="A1071" s="465">
        <v>1811</v>
      </c>
      <c r="B1071" s="466" t="s">
        <v>5850</v>
      </c>
      <c r="C1071" s="466" t="s">
        <v>2094</v>
      </c>
      <c r="D1071" s="467" t="s">
        <v>5851</v>
      </c>
      <c r="E1071" s="468" t="s">
        <v>4813</v>
      </c>
      <c r="F1071" s="465">
        <v>53.7</v>
      </c>
    </row>
    <row r="1072" spans="1:6" x14ac:dyDescent="0.25">
      <c r="A1072" s="465">
        <v>1812</v>
      </c>
      <c r="B1072" s="466" t="s">
        <v>5840</v>
      </c>
      <c r="C1072" s="466" t="s">
        <v>2094</v>
      </c>
      <c r="D1072" s="467" t="s">
        <v>5841</v>
      </c>
      <c r="E1072" s="468" t="s">
        <v>4813</v>
      </c>
      <c r="F1072" s="465">
        <v>62.58</v>
      </c>
    </row>
    <row r="1073" spans="1:6" x14ac:dyDescent="0.25">
      <c r="A1073" s="465">
        <v>1813</v>
      </c>
      <c r="B1073" s="466" t="s">
        <v>5842</v>
      </c>
      <c r="C1073" s="466" t="s">
        <v>2094</v>
      </c>
      <c r="D1073" s="467" t="s">
        <v>5843</v>
      </c>
      <c r="E1073" s="468" t="s">
        <v>4813</v>
      </c>
      <c r="F1073" s="465">
        <v>85.21</v>
      </c>
    </row>
    <row r="1074" spans="1:6" ht="26.4" x14ac:dyDescent="0.25">
      <c r="A1074" s="465">
        <v>1814</v>
      </c>
      <c r="B1074" s="466" t="s">
        <v>7258</v>
      </c>
      <c r="C1074" s="466" t="s">
        <v>2094</v>
      </c>
      <c r="D1074" s="467" t="s">
        <v>7259</v>
      </c>
      <c r="E1074" s="468" t="s">
        <v>4863</v>
      </c>
      <c r="F1074" s="465">
        <v>333</v>
      </c>
    </row>
    <row r="1075" spans="1:6" ht="26.4" x14ac:dyDescent="0.25">
      <c r="A1075" s="465">
        <v>1815</v>
      </c>
      <c r="B1075" s="466" t="s">
        <v>7260</v>
      </c>
      <c r="C1075" s="466" t="s">
        <v>2094</v>
      </c>
      <c r="D1075" s="467" t="s">
        <v>7261</v>
      </c>
      <c r="E1075" s="468" t="s">
        <v>4863</v>
      </c>
      <c r="F1075" s="465">
        <v>1268</v>
      </c>
    </row>
    <row r="1076" spans="1:6" ht="26.4" x14ac:dyDescent="0.25">
      <c r="A1076" s="465">
        <v>1816</v>
      </c>
      <c r="B1076" s="466" t="s">
        <v>7262</v>
      </c>
      <c r="C1076" s="466" t="s">
        <v>2094</v>
      </c>
      <c r="D1076" s="467" t="s">
        <v>7263</v>
      </c>
      <c r="E1076" s="468" t="s">
        <v>4863</v>
      </c>
      <c r="F1076" s="465">
        <v>333</v>
      </c>
    </row>
    <row r="1077" spans="1:6" ht="26.4" x14ac:dyDescent="0.25">
      <c r="A1077" s="465">
        <v>1817</v>
      </c>
      <c r="B1077" s="466" t="s">
        <v>7249</v>
      </c>
      <c r="C1077" s="466" t="s">
        <v>2094</v>
      </c>
      <c r="D1077" s="467" t="s">
        <v>7250</v>
      </c>
      <c r="E1077" s="468" t="s">
        <v>4863</v>
      </c>
      <c r="F1077" s="465">
        <v>4873.66</v>
      </c>
    </row>
    <row r="1078" spans="1:6" ht="26.4" x14ac:dyDescent="0.25">
      <c r="A1078" s="465">
        <v>1818</v>
      </c>
      <c r="B1078" s="466" t="s">
        <v>5017</v>
      </c>
      <c r="C1078" s="466" t="s">
        <v>4801</v>
      </c>
      <c r="D1078" s="467" t="s">
        <v>5018</v>
      </c>
      <c r="E1078" s="468" t="s">
        <v>4803</v>
      </c>
      <c r="F1078" s="465">
        <v>432.29</v>
      </c>
    </row>
    <row r="1079" spans="1:6" x14ac:dyDescent="0.25">
      <c r="A1079" s="465">
        <v>1819</v>
      </c>
      <c r="B1079" s="466" t="s">
        <v>5880</v>
      </c>
      <c r="C1079" s="466" t="s">
        <v>2094</v>
      </c>
      <c r="D1079" s="467" t="s">
        <v>5881</v>
      </c>
      <c r="E1079" s="468" t="s">
        <v>4813</v>
      </c>
      <c r="F1079" s="465">
        <v>289.63</v>
      </c>
    </row>
    <row r="1080" spans="1:6" ht="39.6" x14ac:dyDescent="0.25">
      <c r="A1080" s="465">
        <v>1820</v>
      </c>
      <c r="B1080" s="466" t="s">
        <v>6458</v>
      </c>
      <c r="C1080" s="466" t="s">
        <v>2094</v>
      </c>
      <c r="D1080" s="467" t="s">
        <v>6459</v>
      </c>
      <c r="E1080" s="468" t="s">
        <v>5034</v>
      </c>
      <c r="F1080" s="465">
        <v>141.21</v>
      </c>
    </row>
    <row r="1081" spans="1:6" ht="26.4" x14ac:dyDescent="0.25">
      <c r="A1081" s="465">
        <v>1821</v>
      </c>
      <c r="B1081" s="466" t="s">
        <v>5898</v>
      </c>
      <c r="C1081" s="466" t="s">
        <v>2094</v>
      </c>
      <c r="D1081" s="467" t="s">
        <v>5899</v>
      </c>
      <c r="E1081" s="468" t="s">
        <v>4863</v>
      </c>
      <c r="F1081" s="465">
        <v>2470</v>
      </c>
    </row>
    <row r="1082" spans="1:6" x14ac:dyDescent="0.25">
      <c r="A1082" s="465">
        <v>1822</v>
      </c>
      <c r="B1082" s="466" t="s">
        <v>5625</v>
      </c>
      <c r="C1082" s="466" t="s">
        <v>2094</v>
      </c>
      <c r="D1082" s="467" t="s">
        <v>5626</v>
      </c>
      <c r="E1082" s="468" t="s">
        <v>4813</v>
      </c>
      <c r="F1082" s="465">
        <v>221.9</v>
      </c>
    </row>
    <row r="1083" spans="1:6" x14ac:dyDescent="0.25">
      <c r="A1083" s="465">
        <v>1823</v>
      </c>
      <c r="B1083" s="466" t="s">
        <v>5627</v>
      </c>
      <c r="C1083" s="466" t="s">
        <v>2094</v>
      </c>
      <c r="D1083" s="467" t="s">
        <v>5628</v>
      </c>
      <c r="E1083" s="468" t="s">
        <v>4813</v>
      </c>
      <c r="F1083" s="465">
        <v>150.78</v>
      </c>
    </row>
    <row r="1084" spans="1:6" ht="26.4" x14ac:dyDescent="0.25">
      <c r="A1084" s="465">
        <v>1824</v>
      </c>
      <c r="B1084" s="466" t="s">
        <v>5310</v>
      </c>
      <c r="C1084" s="466" t="s">
        <v>2094</v>
      </c>
      <c r="D1084" s="467" t="s">
        <v>5311</v>
      </c>
      <c r="E1084" s="468" t="s">
        <v>4813</v>
      </c>
      <c r="F1084" s="465">
        <v>31.03</v>
      </c>
    </row>
    <row r="1085" spans="1:6" ht="26.4" x14ac:dyDescent="0.25">
      <c r="A1085" s="465">
        <v>1825</v>
      </c>
      <c r="B1085" s="466" t="s">
        <v>5313</v>
      </c>
      <c r="C1085" s="466" t="s">
        <v>2094</v>
      </c>
      <c r="D1085" s="467" t="s">
        <v>5314</v>
      </c>
      <c r="E1085" s="468" t="s">
        <v>4813</v>
      </c>
      <c r="F1085" s="465">
        <v>37.08</v>
      </c>
    </row>
    <row r="1086" spans="1:6" x14ac:dyDescent="0.25">
      <c r="A1086" s="465">
        <v>1826</v>
      </c>
      <c r="B1086" s="466" t="s">
        <v>7129</v>
      </c>
      <c r="C1086" s="466" t="s">
        <v>2094</v>
      </c>
      <c r="D1086" s="467" t="s">
        <v>7130</v>
      </c>
      <c r="E1086" s="468" t="s">
        <v>4863</v>
      </c>
      <c r="F1086" s="465">
        <v>8366.67</v>
      </c>
    </row>
    <row r="1087" spans="1:6" ht="39.6" x14ac:dyDescent="0.25">
      <c r="A1087" s="465">
        <v>1827</v>
      </c>
      <c r="B1087" s="466" t="s">
        <v>5136</v>
      </c>
      <c r="C1087" s="466" t="s">
        <v>4801</v>
      </c>
      <c r="D1087" s="467" t="s">
        <v>5137</v>
      </c>
      <c r="E1087" s="468" t="s">
        <v>4886</v>
      </c>
      <c r="F1087" s="465">
        <v>3.51</v>
      </c>
    </row>
    <row r="1088" spans="1:6" x14ac:dyDescent="0.25">
      <c r="A1088" s="465">
        <v>1829</v>
      </c>
      <c r="B1088" s="466" t="s">
        <v>7092</v>
      </c>
      <c r="C1088" s="466" t="s">
        <v>2094</v>
      </c>
      <c r="D1088" s="467" t="s">
        <v>7093</v>
      </c>
      <c r="E1088" s="468" t="s">
        <v>4863</v>
      </c>
      <c r="F1088" s="465">
        <v>375</v>
      </c>
    </row>
    <row r="1089" spans="1:6" x14ac:dyDescent="0.25">
      <c r="A1089" s="465">
        <v>1830</v>
      </c>
      <c r="B1089" s="466" t="s">
        <v>7090</v>
      </c>
      <c r="C1089" s="466" t="s">
        <v>2094</v>
      </c>
      <c r="D1089" s="467" t="s">
        <v>7091</v>
      </c>
      <c r="E1089" s="468" t="s">
        <v>4863</v>
      </c>
      <c r="F1089" s="465">
        <v>117.5</v>
      </c>
    </row>
    <row r="1090" spans="1:6" ht="66" x14ac:dyDescent="0.25">
      <c r="A1090" s="465">
        <v>1831</v>
      </c>
      <c r="B1090" s="466" t="s">
        <v>6847</v>
      </c>
      <c r="C1090" s="466" t="s">
        <v>2094</v>
      </c>
      <c r="D1090" s="467" t="s">
        <v>6848</v>
      </c>
      <c r="E1090" s="468" t="s">
        <v>4863</v>
      </c>
      <c r="F1090" s="465">
        <v>201508.04</v>
      </c>
    </row>
    <row r="1091" spans="1:6" x14ac:dyDescent="0.25">
      <c r="A1091" s="465">
        <v>1832</v>
      </c>
      <c r="B1091" s="466" t="s">
        <v>7131</v>
      </c>
      <c r="C1091" s="466" t="s">
        <v>2094</v>
      </c>
      <c r="D1091" s="467" t="s">
        <v>7132</v>
      </c>
      <c r="E1091" s="468" t="s">
        <v>5360</v>
      </c>
      <c r="F1091" s="465">
        <v>0.46</v>
      </c>
    </row>
    <row r="1092" spans="1:6" ht="26.4" x14ac:dyDescent="0.25">
      <c r="A1092" s="465">
        <v>1833</v>
      </c>
      <c r="B1092" s="466" t="s">
        <v>6827</v>
      </c>
      <c r="C1092" s="466" t="s">
        <v>2094</v>
      </c>
      <c r="D1092" s="467" t="s">
        <v>6828</v>
      </c>
      <c r="E1092" s="468" t="s">
        <v>4863</v>
      </c>
      <c r="F1092" s="465">
        <v>23.12</v>
      </c>
    </row>
    <row r="1093" spans="1:6" ht="39.6" x14ac:dyDescent="0.25">
      <c r="A1093" s="465">
        <v>1834</v>
      </c>
      <c r="B1093" s="466" t="s">
        <v>5925</v>
      </c>
      <c r="C1093" s="466" t="s">
        <v>2094</v>
      </c>
      <c r="D1093" s="467" t="s">
        <v>5926</v>
      </c>
      <c r="E1093" s="468" t="s">
        <v>2377</v>
      </c>
      <c r="F1093" s="465">
        <v>31.32</v>
      </c>
    </row>
    <row r="1094" spans="1:6" ht="26.4" x14ac:dyDescent="0.25">
      <c r="A1094" s="465">
        <v>1835</v>
      </c>
      <c r="B1094" s="466" t="s">
        <v>5324</v>
      </c>
      <c r="C1094" s="466" t="s">
        <v>2094</v>
      </c>
      <c r="D1094" s="467" t="s">
        <v>5325</v>
      </c>
      <c r="E1094" s="468" t="s">
        <v>4813</v>
      </c>
      <c r="F1094" s="465">
        <v>80.98</v>
      </c>
    </row>
    <row r="1095" spans="1:6" ht="39.6" x14ac:dyDescent="0.25">
      <c r="A1095" s="465">
        <v>1836</v>
      </c>
      <c r="B1095" s="466" t="s">
        <v>6304</v>
      </c>
      <c r="C1095" s="466" t="s">
        <v>2094</v>
      </c>
      <c r="D1095" s="467" t="s">
        <v>6305</v>
      </c>
      <c r="E1095" s="468" t="s">
        <v>4813</v>
      </c>
      <c r="F1095" s="465">
        <v>138.65</v>
      </c>
    </row>
    <row r="1096" spans="1:6" ht="26.4" x14ac:dyDescent="0.25">
      <c r="A1096" s="465">
        <v>1837</v>
      </c>
      <c r="B1096" s="466" t="s">
        <v>6162</v>
      </c>
      <c r="C1096" s="466" t="s">
        <v>2094</v>
      </c>
      <c r="D1096" s="467" t="s">
        <v>6163</v>
      </c>
      <c r="E1096" s="468" t="s">
        <v>4813</v>
      </c>
      <c r="F1096" s="465">
        <v>502.72</v>
      </c>
    </row>
    <row r="1097" spans="1:6" ht="66" x14ac:dyDescent="0.25">
      <c r="A1097" s="465">
        <v>1838</v>
      </c>
      <c r="B1097" s="466" t="s">
        <v>6177</v>
      </c>
      <c r="C1097" s="466" t="s">
        <v>2094</v>
      </c>
      <c r="D1097" s="467" t="s">
        <v>6178</v>
      </c>
      <c r="E1097" s="468" t="s">
        <v>4813</v>
      </c>
      <c r="F1097" s="465">
        <v>45000</v>
      </c>
    </row>
    <row r="1098" spans="1:6" ht="39.6" x14ac:dyDescent="0.25">
      <c r="A1098" s="465">
        <v>1839</v>
      </c>
      <c r="B1098" s="466" t="s">
        <v>7135</v>
      </c>
      <c r="C1098" s="466" t="s">
        <v>2094</v>
      </c>
      <c r="D1098" s="467" t="s">
        <v>7136</v>
      </c>
      <c r="E1098" s="468" t="s">
        <v>4863</v>
      </c>
      <c r="F1098" s="465">
        <v>6500</v>
      </c>
    </row>
    <row r="1099" spans="1:6" ht="79.2" x14ac:dyDescent="0.25">
      <c r="A1099" s="465">
        <v>1842</v>
      </c>
      <c r="B1099" s="466" t="s">
        <v>5259</v>
      </c>
      <c r="C1099" s="466" t="s">
        <v>2094</v>
      </c>
      <c r="D1099" s="467" t="s">
        <v>5260</v>
      </c>
      <c r="E1099" s="468" t="s">
        <v>4810</v>
      </c>
      <c r="F1099" s="465">
        <v>9.23</v>
      </c>
    </row>
    <row r="1100" spans="1:6" ht="39.6" x14ac:dyDescent="0.25">
      <c r="A1100" s="465">
        <v>1843</v>
      </c>
      <c r="B1100" s="466" t="s">
        <v>6701</v>
      </c>
      <c r="C1100" s="466" t="s">
        <v>2094</v>
      </c>
      <c r="D1100" s="467" t="s">
        <v>6702</v>
      </c>
      <c r="E1100" s="468" t="s">
        <v>4863</v>
      </c>
      <c r="F1100" s="465">
        <v>1.2</v>
      </c>
    </row>
    <row r="1101" spans="1:6" ht="39.6" x14ac:dyDescent="0.25">
      <c r="A1101" s="465">
        <v>1844</v>
      </c>
      <c r="B1101" s="466" t="s">
        <v>6725</v>
      </c>
      <c r="C1101" s="466" t="s">
        <v>2094</v>
      </c>
      <c r="D1101" s="467" t="s">
        <v>6726</v>
      </c>
      <c r="E1101" s="468" t="s">
        <v>4863</v>
      </c>
      <c r="F1101" s="465">
        <v>1.63</v>
      </c>
    </row>
    <row r="1102" spans="1:6" x14ac:dyDescent="0.25">
      <c r="A1102" s="465">
        <v>1845</v>
      </c>
      <c r="B1102" s="466" t="s">
        <v>7282</v>
      </c>
      <c r="C1102" s="466" t="s">
        <v>2094</v>
      </c>
      <c r="D1102" s="467" t="s">
        <v>7283</v>
      </c>
      <c r="E1102" s="468" t="s">
        <v>5034</v>
      </c>
      <c r="F1102" s="465">
        <v>76.38</v>
      </c>
    </row>
    <row r="1103" spans="1:6" ht="39.6" x14ac:dyDescent="0.25">
      <c r="A1103" s="465">
        <v>1846</v>
      </c>
      <c r="B1103" s="466" t="s">
        <v>6699</v>
      </c>
      <c r="C1103" s="466" t="s">
        <v>2094</v>
      </c>
      <c r="D1103" s="467" t="s">
        <v>6700</v>
      </c>
      <c r="E1103" s="468" t="s">
        <v>4863</v>
      </c>
      <c r="F1103" s="465">
        <v>2.04</v>
      </c>
    </row>
    <row r="1104" spans="1:6" ht="39.6" x14ac:dyDescent="0.25">
      <c r="A1104" s="465">
        <v>1847</v>
      </c>
      <c r="B1104" s="466" t="s">
        <v>6697</v>
      </c>
      <c r="C1104" s="466" t="s">
        <v>2094</v>
      </c>
      <c r="D1104" s="467" t="s">
        <v>6698</v>
      </c>
      <c r="E1104" s="468" t="s">
        <v>4863</v>
      </c>
      <c r="F1104" s="465">
        <v>1.87</v>
      </c>
    </row>
    <row r="1105" spans="1:6" ht="39.6" x14ac:dyDescent="0.25">
      <c r="A1105" s="465">
        <v>1848</v>
      </c>
      <c r="B1105" s="466" t="s">
        <v>6717</v>
      </c>
      <c r="C1105" s="466" t="s">
        <v>2094</v>
      </c>
      <c r="D1105" s="467" t="s">
        <v>6718</v>
      </c>
      <c r="E1105" s="468" t="s">
        <v>4863</v>
      </c>
      <c r="F1105" s="465">
        <v>2</v>
      </c>
    </row>
    <row r="1106" spans="1:6" ht="52.8" x14ac:dyDescent="0.25">
      <c r="A1106" s="465">
        <v>1849</v>
      </c>
      <c r="B1106" s="466" t="s">
        <v>6727</v>
      </c>
      <c r="C1106" s="466" t="s">
        <v>2094</v>
      </c>
      <c r="D1106" s="467" t="s">
        <v>6728</v>
      </c>
      <c r="E1106" s="468" t="s">
        <v>4863</v>
      </c>
      <c r="F1106" s="465">
        <v>0.92</v>
      </c>
    </row>
    <row r="1107" spans="1:6" ht="39.6" x14ac:dyDescent="0.25">
      <c r="A1107" s="465">
        <v>1850</v>
      </c>
      <c r="B1107" s="466" t="s">
        <v>6703</v>
      </c>
      <c r="C1107" s="466" t="s">
        <v>2094</v>
      </c>
      <c r="D1107" s="467" t="s">
        <v>6704</v>
      </c>
      <c r="E1107" s="468" t="s">
        <v>4863</v>
      </c>
      <c r="F1107" s="465">
        <v>1.74</v>
      </c>
    </row>
    <row r="1108" spans="1:6" ht="39.6" x14ac:dyDescent="0.25">
      <c r="A1108" s="465">
        <v>1851</v>
      </c>
      <c r="B1108" s="466" t="s">
        <v>6705</v>
      </c>
      <c r="C1108" s="466" t="s">
        <v>2094</v>
      </c>
      <c r="D1108" s="467" t="s">
        <v>6706</v>
      </c>
      <c r="E1108" s="468" t="s">
        <v>4863</v>
      </c>
      <c r="F1108" s="465">
        <v>1.3</v>
      </c>
    </row>
    <row r="1109" spans="1:6" ht="39.6" x14ac:dyDescent="0.25">
      <c r="A1109" s="465">
        <v>1852</v>
      </c>
      <c r="B1109" s="466" t="s">
        <v>6723</v>
      </c>
      <c r="C1109" s="466" t="s">
        <v>2094</v>
      </c>
      <c r="D1109" s="467" t="s">
        <v>6724</v>
      </c>
      <c r="E1109" s="468" t="s">
        <v>4863</v>
      </c>
      <c r="F1109" s="465">
        <v>1.1499999999999999</v>
      </c>
    </row>
    <row r="1110" spans="1:6" ht="52.8" x14ac:dyDescent="0.25">
      <c r="A1110" s="465">
        <v>1853</v>
      </c>
      <c r="B1110" s="466" t="s">
        <v>6729</v>
      </c>
      <c r="C1110" s="466" t="s">
        <v>2094</v>
      </c>
      <c r="D1110" s="467" t="s">
        <v>6730</v>
      </c>
      <c r="E1110" s="468" t="s">
        <v>4863</v>
      </c>
      <c r="F1110" s="465">
        <v>1.44</v>
      </c>
    </row>
    <row r="1111" spans="1:6" ht="39.6" x14ac:dyDescent="0.25">
      <c r="A1111" s="465">
        <v>1854</v>
      </c>
      <c r="B1111" s="466" t="s">
        <v>6715</v>
      </c>
      <c r="C1111" s="466" t="s">
        <v>2094</v>
      </c>
      <c r="D1111" s="467" t="s">
        <v>6716</v>
      </c>
      <c r="E1111" s="468" t="s">
        <v>4863</v>
      </c>
      <c r="F1111" s="465">
        <v>1.8</v>
      </c>
    </row>
    <row r="1112" spans="1:6" ht="39.6" x14ac:dyDescent="0.25">
      <c r="A1112" s="465">
        <v>1855</v>
      </c>
      <c r="B1112" s="466" t="s">
        <v>6713</v>
      </c>
      <c r="C1112" s="466" t="s">
        <v>2094</v>
      </c>
      <c r="D1112" s="467" t="s">
        <v>6714</v>
      </c>
      <c r="E1112" s="468" t="s">
        <v>4863</v>
      </c>
      <c r="F1112" s="465">
        <v>1.56</v>
      </c>
    </row>
    <row r="1113" spans="1:6" ht="39.6" x14ac:dyDescent="0.25">
      <c r="A1113" s="465">
        <v>1856</v>
      </c>
      <c r="B1113" s="466" t="s">
        <v>6711</v>
      </c>
      <c r="C1113" s="466" t="s">
        <v>2094</v>
      </c>
      <c r="D1113" s="467" t="s">
        <v>6712</v>
      </c>
      <c r="E1113" s="468" t="s">
        <v>4863</v>
      </c>
      <c r="F1113" s="465">
        <v>1.64</v>
      </c>
    </row>
    <row r="1114" spans="1:6" ht="39.6" x14ac:dyDescent="0.25">
      <c r="A1114" s="465">
        <v>1857</v>
      </c>
      <c r="B1114" s="466" t="s">
        <v>6721</v>
      </c>
      <c r="C1114" s="466" t="s">
        <v>2094</v>
      </c>
      <c r="D1114" s="467" t="s">
        <v>6722</v>
      </c>
      <c r="E1114" s="468" t="s">
        <v>4863</v>
      </c>
      <c r="F1114" s="465">
        <v>1.71</v>
      </c>
    </row>
    <row r="1115" spans="1:6" ht="39.6" x14ac:dyDescent="0.25">
      <c r="A1115" s="465">
        <v>1858</v>
      </c>
      <c r="B1115" s="466" t="s">
        <v>6719</v>
      </c>
      <c r="C1115" s="466" t="s">
        <v>2094</v>
      </c>
      <c r="D1115" s="467" t="s">
        <v>6720</v>
      </c>
      <c r="E1115" s="468" t="s">
        <v>4863</v>
      </c>
      <c r="F1115" s="465">
        <v>1.65</v>
      </c>
    </row>
    <row r="1116" spans="1:6" ht="39.6" x14ac:dyDescent="0.25">
      <c r="A1116" s="465">
        <v>1859</v>
      </c>
      <c r="B1116" s="466" t="s">
        <v>6709</v>
      </c>
      <c r="C1116" s="466" t="s">
        <v>2094</v>
      </c>
      <c r="D1116" s="467" t="s">
        <v>6710</v>
      </c>
      <c r="E1116" s="468" t="s">
        <v>4863</v>
      </c>
      <c r="F1116" s="465">
        <v>1.76</v>
      </c>
    </row>
    <row r="1117" spans="1:6" ht="39.6" x14ac:dyDescent="0.25">
      <c r="A1117" s="465">
        <v>1860</v>
      </c>
      <c r="B1117" s="466" t="s">
        <v>6118</v>
      </c>
      <c r="C1117" s="466" t="s">
        <v>2094</v>
      </c>
      <c r="D1117" s="467" t="s">
        <v>6119</v>
      </c>
      <c r="E1117" s="468" t="s">
        <v>4850</v>
      </c>
      <c r="F1117" s="465">
        <v>4.32</v>
      </c>
    </row>
    <row r="1118" spans="1:6" ht="26.4" x14ac:dyDescent="0.25">
      <c r="A1118" s="465">
        <v>1861</v>
      </c>
      <c r="B1118" s="466" t="s">
        <v>7022</v>
      </c>
      <c r="C1118" s="466" t="s">
        <v>2094</v>
      </c>
      <c r="D1118" s="467" t="s">
        <v>7023</v>
      </c>
      <c r="E1118" s="468" t="s">
        <v>4863</v>
      </c>
      <c r="F1118" s="465">
        <v>668</v>
      </c>
    </row>
    <row r="1119" spans="1:6" ht="26.4" x14ac:dyDescent="0.25">
      <c r="A1119" s="465">
        <v>1862</v>
      </c>
      <c r="B1119" s="466" t="s">
        <v>7024</v>
      </c>
      <c r="C1119" s="466" t="s">
        <v>2094</v>
      </c>
      <c r="D1119" s="467" t="s">
        <v>7025</v>
      </c>
      <c r="E1119" s="468" t="s">
        <v>4863</v>
      </c>
      <c r="F1119" s="465">
        <v>1402</v>
      </c>
    </row>
    <row r="1120" spans="1:6" ht="26.4" x14ac:dyDescent="0.25">
      <c r="A1120" s="465">
        <v>1863</v>
      </c>
      <c r="B1120" s="466" t="s">
        <v>7026</v>
      </c>
      <c r="C1120" s="466" t="s">
        <v>2094</v>
      </c>
      <c r="D1120" s="467" t="s">
        <v>7027</v>
      </c>
      <c r="E1120" s="468" t="s">
        <v>4863</v>
      </c>
      <c r="F1120" s="465">
        <v>2609</v>
      </c>
    </row>
    <row r="1121" spans="1:6" ht="39.6" x14ac:dyDescent="0.25">
      <c r="A1121" s="465">
        <v>1864</v>
      </c>
      <c r="B1121" s="466" t="s">
        <v>7010</v>
      </c>
      <c r="C1121" s="466" t="s">
        <v>2094</v>
      </c>
      <c r="D1121" s="467" t="s">
        <v>7011</v>
      </c>
      <c r="E1121" s="468" t="s">
        <v>4850</v>
      </c>
      <c r="F1121" s="465">
        <v>64.11</v>
      </c>
    </row>
    <row r="1122" spans="1:6" ht="39.6" x14ac:dyDescent="0.25">
      <c r="A1122" s="465">
        <v>1865</v>
      </c>
      <c r="B1122" s="466" t="s">
        <v>7148</v>
      </c>
      <c r="C1122" s="466" t="s">
        <v>2094</v>
      </c>
      <c r="D1122" s="467" t="s">
        <v>7149</v>
      </c>
      <c r="E1122" s="468" t="s">
        <v>4863</v>
      </c>
      <c r="F1122" s="465">
        <v>300000</v>
      </c>
    </row>
    <row r="1123" spans="1:6" ht="26.4" x14ac:dyDescent="0.25">
      <c r="A1123" s="465">
        <v>1866</v>
      </c>
      <c r="B1123" s="466" t="s">
        <v>6358</v>
      </c>
      <c r="C1123" s="466" t="s">
        <v>2094</v>
      </c>
      <c r="D1123" s="467" t="s">
        <v>6359</v>
      </c>
      <c r="E1123" s="468" t="s">
        <v>4810</v>
      </c>
      <c r="F1123" s="465">
        <v>6.4</v>
      </c>
    </row>
    <row r="1124" spans="1:6" ht="26.4" x14ac:dyDescent="0.25">
      <c r="A1124" s="465">
        <v>1867</v>
      </c>
      <c r="B1124" s="466" t="s">
        <v>5954</v>
      </c>
      <c r="C1124" s="466" t="s">
        <v>2094</v>
      </c>
      <c r="D1124" s="467" t="s">
        <v>5955</v>
      </c>
      <c r="E1124" s="468" t="s">
        <v>4850</v>
      </c>
      <c r="F1124" s="465">
        <v>1.93</v>
      </c>
    </row>
    <row r="1125" spans="1:6" ht="39.6" x14ac:dyDescent="0.25">
      <c r="A1125" s="465">
        <v>1868</v>
      </c>
      <c r="B1125" s="466" t="s">
        <v>4804</v>
      </c>
      <c r="C1125" s="466" t="s">
        <v>4801</v>
      </c>
      <c r="D1125" s="467" t="s">
        <v>4805</v>
      </c>
      <c r="E1125" s="468" t="s">
        <v>4803</v>
      </c>
      <c r="F1125" s="465">
        <v>48.82</v>
      </c>
    </row>
    <row r="1126" spans="1:6" ht="39.6" x14ac:dyDescent="0.25">
      <c r="A1126" s="465">
        <v>1869</v>
      </c>
      <c r="B1126" s="466" t="s">
        <v>4800</v>
      </c>
      <c r="C1126" s="466" t="s">
        <v>4801</v>
      </c>
      <c r="D1126" s="467" t="s">
        <v>4802</v>
      </c>
      <c r="E1126" s="468" t="s">
        <v>4803</v>
      </c>
      <c r="F1126" s="465">
        <v>40.06</v>
      </c>
    </row>
    <row r="1127" spans="1:6" ht="26.4" x14ac:dyDescent="0.25">
      <c r="A1127" s="465">
        <v>1871</v>
      </c>
      <c r="B1127" s="466" t="s">
        <v>7374</v>
      </c>
      <c r="C1127" s="466" t="s">
        <v>2094</v>
      </c>
      <c r="D1127" s="467" t="s">
        <v>7375</v>
      </c>
      <c r="E1127" s="468" t="s">
        <v>5360</v>
      </c>
      <c r="F1127" s="465">
        <v>3.11</v>
      </c>
    </row>
    <row r="1128" spans="1:6" x14ac:dyDescent="0.25">
      <c r="A1128" s="465">
        <v>1872</v>
      </c>
      <c r="B1128" s="466" t="s">
        <v>6852</v>
      </c>
      <c r="C1128" s="466" t="s">
        <v>2094</v>
      </c>
      <c r="D1128" s="467" t="s">
        <v>6853</v>
      </c>
      <c r="E1128" s="468" t="s">
        <v>4863</v>
      </c>
      <c r="F1128" s="465">
        <v>0.86</v>
      </c>
    </row>
    <row r="1129" spans="1:6" x14ac:dyDescent="0.25">
      <c r="A1129" s="465">
        <v>1873</v>
      </c>
      <c r="B1129" s="466" t="s">
        <v>7105</v>
      </c>
      <c r="C1129" s="466" t="s">
        <v>2094</v>
      </c>
      <c r="D1129" s="467" t="s">
        <v>7106</v>
      </c>
      <c r="E1129" s="468" t="s">
        <v>4863</v>
      </c>
      <c r="F1129" s="465">
        <v>1.01</v>
      </c>
    </row>
    <row r="1130" spans="1:6" x14ac:dyDescent="0.25">
      <c r="A1130" s="465">
        <v>1874</v>
      </c>
      <c r="B1130" s="466" t="s">
        <v>6421</v>
      </c>
      <c r="C1130" s="466" t="s">
        <v>2094</v>
      </c>
      <c r="D1130" s="467" t="s">
        <v>6156</v>
      </c>
      <c r="E1130" s="468" t="s">
        <v>4863</v>
      </c>
      <c r="F1130" s="465">
        <v>0.86</v>
      </c>
    </row>
    <row r="1131" spans="1:6" x14ac:dyDescent="0.25">
      <c r="A1131" s="465">
        <v>1875</v>
      </c>
      <c r="B1131" s="466" t="s">
        <v>6758</v>
      </c>
      <c r="C1131" s="466" t="s">
        <v>2094</v>
      </c>
      <c r="D1131" s="467" t="s">
        <v>6156</v>
      </c>
      <c r="E1131" s="468" t="s">
        <v>4863</v>
      </c>
      <c r="F1131" s="465">
        <v>0.86</v>
      </c>
    </row>
    <row r="1132" spans="1:6" x14ac:dyDescent="0.25">
      <c r="A1132" s="465">
        <v>1876</v>
      </c>
      <c r="B1132" s="466" t="s">
        <v>6155</v>
      </c>
      <c r="C1132" s="466" t="s">
        <v>2094</v>
      </c>
      <c r="D1132" s="467" t="s">
        <v>6156</v>
      </c>
      <c r="E1132" s="468" t="s">
        <v>4863</v>
      </c>
      <c r="F1132" s="465">
        <v>0.89</v>
      </c>
    </row>
    <row r="1133" spans="1:6" x14ac:dyDescent="0.25">
      <c r="A1133" s="465">
        <v>1877</v>
      </c>
      <c r="B1133" s="466" t="s">
        <v>6731</v>
      </c>
      <c r="C1133" s="466" t="s">
        <v>2094</v>
      </c>
      <c r="D1133" s="467" t="s">
        <v>6156</v>
      </c>
      <c r="E1133" s="468" t="s">
        <v>4863</v>
      </c>
      <c r="F1133" s="465">
        <v>4.3600000000000003</v>
      </c>
    </row>
    <row r="1134" spans="1:6" x14ac:dyDescent="0.25">
      <c r="A1134" s="465">
        <v>1878</v>
      </c>
      <c r="B1134" s="466" t="s">
        <v>6004</v>
      </c>
      <c r="C1134" s="466" t="s">
        <v>2094</v>
      </c>
      <c r="D1134" s="467" t="s">
        <v>6005</v>
      </c>
      <c r="E1134" s="468" t="s">
        <v>4863</v>
      </c>
      <c r="F1134" s="465">
        <v>4.3600000000000003</v>
      </c>
    </row>
    <row r="1135" spans="1:6" x14ac:dyDescent="0.25">
      <c r="A1135" s="465">
        <v>1879</v>
      </c>
      <c r="B1135" s="466" t="s">
        <v>7018</v>
      </c>
      <c r="C1135" s="466" t="s">
        <v>2094</v>
      </c>
      <c r="D1135" s="467" t="s">
        <v>6005</v>
      </c>
      <c r="E1135" s="468" t="s">
        <v>4863</v>
      </c>
      <c r="F1135" s="465">
        <v>1.05</v>
      </c>
    </row>
    <row r="1136" spans="1:6" x14ac:dyDescent="0.25">
      <c r="A1136" s="465">
        <v>1880</v>
      </c>
      <c r="B1136" s="466" t="s">
        <v>6307</v>
      </c>
      <c r="C1136" s="466" t="s">
        <v>2094</v>
      </c>
      <c r="D1136" s="467" t="s">
        <v>6005</v>
      </c>
      <c r="E1136" s="468" t="s">
        <v>4863</v>
      </c>
      <c r="F1136" s="465">
        <v>1.07</v>
      </c>
    </row>
    <row r="1137" spans="1:6" x14ac:dyDescent="0.25">
      <c r="A1137" s="465">
        <v>1881</v>
      </c>
      <c r="B1137" s="466" t="s">
        <v>6952</v>
      </c>
      <c r="C1137" s="466" t="s">
        <v>2094</v>
      </c>
      <c r="D1137" s="467" t="s">
        <v>6953</v>
      </c>
      <c r="E1137" s="468" t="s">
        <v>5360</v>
      </c>
      <c r="F1137" s="465">
        <v>80.45</v>
      </c>
    </row>
    <row r="1138" spans="1:6" x14ac:dyDescent="0.25">
      <c r="A1138" s="465">
        <v>1882</v>
      </c>
      <c r="B1138" s="466" t="s">
        <v>6078</v>
      </c>
      <c r="C1138" s="466" t="s">
        <v>2094</v>
      </c>
      <c r="D1138" s="467" t="s">
        <v>6005</v>
      </c>
      <c r="E1138" s="468" t="s">
        <v>4863</v>
      </c>
      <c r="F1138" s="465">
        <v>0.76</v>
      </c>
    </row>
    <row r="1139" spans="1:6" x14ac:dyDescent="0.25">
      <c r="A1139" s="465">
        <v>1883</v>
      </c>
      <c r="B1139" s="466" t="s">
        <v>7020</v>
      </c>
      <c r="C1139" s="466" t="s">
        <v>2094</v>
      </c>
      <c r="D1139" s="467" t="s">
        <v>7021</v>
      </c>
      <c r="E1139" s="468" t="s">
        <v>4863</v>
      </c>
      <c r="F1139" s="465">
        <v>0.91</v>
      </c>
    </row>
    <row r="1140" spans="1:6" x14ac:dyDescent="0.25">
      <c r="A1140" s="465">
        <v>1884</v>
      </c>
      <c r="B1140" s="466" t="s">
        <v>6366</v>
      </c>
      <c r="C1140" s="466" t="s">
        <v>2094</v>
      </c>
      <c r="D1140" s="467" t="s">
        <v>5988</v>
      </c>
      <c r="E1140" s="468" t="s">
        <v>5360</v>
      </c>
      <c r="F1140" s="465">
        <v>1.8</v>
      </c>
    </row>
    <row r="1141" spans="1:6" x14ac:dyDescent="0.25">
      <c r="A1141" s="465">
        <v>1885</v>
      </c>
      <c r="B1141" s="466" t="s">
        <v>6003</v>
      </c>
      <c r="C1141" s="466" t="s">
        <v>2094</v>
      </c>
      <c r="D1141" s="467" t="s">
        <v>5988</v>
      </c>
      <c r="E1141" s="468" t="s">
        <v>5360</v>
      </c>
      <c r="F1141" s="465">
        <v>18.45</v>
      </c>
    </row>
    <row r="1142" spans="1:6" x14ac:dyDescent="0.25">
      <c r="A1142" s="465">
        <v>1886</v>
      </c>
      <c r="B1142" s="466" t="s">
        <v>6308</v>
      </c>
      <c r="C1142" s="466" t="s">
        <v>2094</v>
      </c>
      <c r="D1142" s="467" t="s">
        <v>5972</v>
      </c>
      <c r="E1142" s="468" t="s">
        <v>5360</v>
      </c>
      <c r="F1142" s="465">
        <v>225.45</v>
      </c>
    </row>
    <row r="1143" spans="1:6" x14ac:dyDescent="0.25">
      <c r="A1143" s="465">
        <v>1887</v>
      </c>
      <c r="B1143" s="466" t="s">
        <v>6306</v>
      </c>
      <c r="C1143" s="466" t="s">
        <v>2094</v>
      </c>
      <c r="D1143" s="467" t="s">
        <v>5988</v>
      </c>
      <c r="E1143" s="468" t="s">
        <v>5360</v>
      </c>
      <c r="F1143" s="465">
        <v>210.45</v>
      </c>
    </row>
    <row r="1144" spans="1:6" x14ac:dyDescent="0.25">
      <c r="A1144" s="465">
        <v>1888</v>
      </c>
      <c r="B1144" s="466" t="s">
        <v>5996</v>
      </c>
      <c r="C1144" s="466" t="s">
        <v>2094</v>
      </c>
      <c r="D1144" s="467" t="s">
        <v>5988</v>
      </c>
      <c r="E1144" s="468" t="s">
        <v>5360</v>
      </c>
      <c r="F1144" s="465">
        <v>0.91</v>
      </c>
    </row>
    <row r="1145" spans="1:6" x14ac:dyDescent="0.25">
      <c r="A1145" s="465">
        <v>1889</v>
      </c>
      <c r="B1145" s="466" t="s">
        <v>5987</v>
      </c>
      <c r="C1145" s="466" t="s">
        <v>2094</v>
      </c>
      <c r="D1145" s="467" t="s">
        <v>5988</v>
      </c>
      <c r="E1145" s="468" t="s">
        <v>4863</v>
      </c>
      <c r="F1145" s="465">
        <v>0.78</v>
      </c>
    </row>
    <row r="1146" spans="1:6" ht="39.6" x14ac:dyDescent="0.25">
      <c r="A1146" s="465">
        <v>1890</v>
      </c>
      <c r="B1146" s="466" t="s">
        <v>7060</v>
      </c>
      <c r="C1146" s="466" t="s">
        <v>2094</v>
      </c>
      <c r="D1146" s="467" t="s">
        <v>7061</v>
      </c>
      <c r="E1146" s="468" t="s">
        <v>4850</v>
      </c>
      <c r="F1146" s="465">
        <v>0.6</v>
      </c>
    </row>
    <row r="1147" spans="1:6" ht="52.8" x14ac:dyDescent="0.25">
      <c r="A1147" s="465">
        <v>1891</v>
      </c>
      <c r="B1147" s="466" t="s">
        <v>7062</v>
      </c>
      <c r="C1147" s="466" t="s">
        <v>2094</v>
      </c>
      <c r="D1147" s="467" t="s">
        <v>7063</v>
      </c>
      <c r="E1147" s="468" t="s">
        <v>4850</v>
      </c>
      <c r="F1147" s="465">
        <v>0.32</v>
      </c>
    </row>
    <row r="1148" spans="1:6" ht="26.4" x14ac:dyDescent="0.25">
      <c r="A1148" s="465">
        <v>1892</v>
      </c>
      <c r="B1148" s="466" t="s">
        <v>7064</v>
      </c>
      <c r="C1148" s="466" t="s">
        <v>2094</v>
      </c>
      <c r="D1148" s="467" t="s">
        <v>7065</v>
      </c>
      <c r="E1148" s="468" t="s">
        <v>4863</v>
      </c>
      <c r="F1148" s="465">
        <v>26.8</v>
      </c>
    </row>
    <row r="1149" spans="1:6" ht="26.4" x14ac:dyDescent="0.25">
      <c r="A1149" s="465">
        <v>1893</v>
      </c>
      <c r="B1149" s="466" t="s">
        <v>4839</v>
      </c>
      <c r="C1149" s="466" t="s">
        <v>4801</v>
      </c>
      <c r="D1149" s="467" t="s">
        <v>4840</v>
      </c>
      <c r="E1149" s="468" t="s">
        <v>4803</v>
      </c>
      <c r="F1149" s="465">
        <v>45.77</v>
      </c>
    </row>
    <row r="1150" spans="1:6" x14ac:dyDescent="0.25">
      <c r="A1150" s="465">
        <v>1894</v>
      </c>
      <c r="B1150" s="466" t="s">
        <v>5147</v>
      </c>
      <c r="C1150" s="466" t="s">
        <v>4801</v>
      </c>
      <c r="D1150" s="467" t="s">
        <v>5148</v>
      </c>
      <c r="E1150" s="468" t="s">
        <v>4803</v>
      </c>
      <c r="F1150" s="465">
        <v>24.1</v>
      </c>
    </row>
    <row r="1151" spans="1:6" ht="26.4" x14ac:dyDescent="0.25">
      <c r="A1151" s="465">
        <v>1895</v>
      </c>
      <c r="B1151" s="466" t="s">
        <v>6428</v>
      </c>
      <c r="C1151" s="466" t="s">
        <v>2094</v>
      </c>
      <c r="D1151" s="467" t="s">
        <v>6429</v>
      </c>
      <c r="E1151" s="468" t="s">
        <v>6131</v>
      </c>
      <c r="F1151" s="465">
        <v>11.35</v>
      </c>
    </row>
    <row r="1152" spans="1:6" ht="26.4" x14ac:dyDescent="0.25">
      <c r="A1152" s="465">
        <v>1896</v>
      </c>
      <c r="B1152" s="466" t="s">
        <v>6426</v>
      </c>
      <c r="C1152" s="466" t="s">
        <v>2094</v>
      </c>
      <c r="D1152" s="467" t="s">
        <v>6427</v>
      </c>
      <c r="E1152" s="468" t="s">
        <v>6131</v>
      </c>
      <c r="F1152" s="465">
        <v>16.52</v>
      </c>
    </row>
    <row r="1153" spans="1:6" ht="66" x14ac:dyDescent="0.25">
      <c r="A1153" s="465">
        <v>1897</v>
      </c>
      <c r="B1153" s="466" t="s">
        <v>6432</v>
      </c>
      <c r="C1153" s="466" t="s">
        <v>2094</v>
      </c>
      <c r="D1153" s="467" t="s">
        <v>6433</v>
      </c>
      <c r="E1153" s="468" t="s">
        <v>6131</v>
      </c>
      <c r="F1153" s="465">
        <v>17.04</v>
      </c>
    </row>
    <row r="1154" spans="1:6" x14ac:dyDescent="0.25">
      <c r="A1154" s="465">
        <v>1898</v>
      </c>
      <c r="B1154" s="466" t="s">
        <v>6424</v>
      </c>
      <c r="C1154" s="466" t="s">
        <v>2094</v>
      </c>
      <c r="D1154" s="467" t="s">
        <v>6425</v>
      </c>
      <c r="E1154" s="468" t="s">
        <v>6131</v>
      </c>
      <c r="F1154" s="465">
        <v>130.97999999999999</v>
      </c>
    </row>
    <row r="1155" spans="1:6" ht="66" x14ac:dyDescent="0.25">
      <c r="A1155" s="465">
        <v>1899</v>
      </c>
      <c r="B1155" s="466" t="s">
        <v>6129</v>
      </c>
      <c r="C1155" s="466" t="s">
        <v>2094</v>
      </c>
      <c r="D1155" s="467" t="s">
        <v>6130</v>
      </c>
      <c r="E1155" s="468" t="s">
        <v>6131</v>
      </c>
      <c r="F1155" s="465">
        <v>3988.45</v>
      </c>
    </row>
    <row r="1156" spans="1:6" ht="66" x14ac:dyDescent="0.25">
      <c r="A1156" s="465">
        <v>1900</v>
      </c>
      <c r="B1156" s="466" t="s">
        <v>6956</v>
      </c>
      <c r="C1156" s="466" t="s">
        <v>2094</v>
      </c>
      <c r="D1156" s="467" t="s">
        <v>6957</v>
      </c>
      <c r="E1156" s="468" t="s">
        <v>6131</v>
      </c>
      <c r="F1156" s="465"/>
    </row>
    <row r="1157" spans="1:6" ht="39.6" x14ac:dyDescent="0.25">
      <c r="A1157" s="465">
        <v>1903</v>
      </c>
      <c r="B1157" s="466" t="s">
        <v>7430</v>
      </c>
      <c r="C1157" s="466" t="s">
        <v>2094</v>
      </c>
      <c r="D1157" s="467" t="s">
        <v>7431</v>
      </c>
      <c r="E1157" s="468" t="s">
        <v>4813</v>
      </c>
      <c r="F1157" s="465">
        <v>4.88</v>
      </c>
    </row>
    <row r="1158" spans="1:6" ht="39.6" x14ac:dyDescent="0.25">
      <c r="A1158" s="465">
        <v>1904</v>
      </c>
      <c r="B1158" s="466" t="s">
        <v>7432</v>
      </c>
      <c r="C1158" s="466" t="s">
        <v>2094</v>
      </c>
      <c r="D1158" s="467" t="s">
        <v>7433</v>
      </c>
      <c r="E1158" s="468" t="s">
        <v>4813</v>
      </c>
      <c r="F1158" s="465">
        <v>6.5</v>
      </c>
    </row>
    <row r="1159" spans="1:6" ht="39.6" x14ac:dyDescent="0.25">
      <c r="A1159" s="465">
        <v>1905</v>
      </c>
      <c r="B1159" s="466" t="s">
        <v>7434</v>
      </c>
      <c r="C1159" s="466" t="s">
        <v>2094</v>
      </c>
      <c r="D1159" s="467" t="s">
        <v>7435</v>
      </c>
      <c r="E1159" s="468" t="s">
        <v>4813</v>
      </c>
      <c r="F1159" s="465">
        <v>10.95</v>
      </c>
    </row>
    <row r="1160" spans="1:6" ht="26.4" x14ac:dyDescent="0.25">
      <c r="A1160" s="465">
        <v>1906</v>
      </c>
      <c r="B1160" s="466" t="s">
        <v>5952</v>
      </c>
      <c r="C1160" s="466" t="s">
        <v>2094</v>
      </c>
      <c r="D1160" s="467" t="s">
        <v>5953</v>
      </c>
      <c r="E1160" s="468" t="s">
        <v>4850</v>
      </c>
      <c r="F1160" s="465">
        <v>5.25</v>
      </c>
    </row>
    <row r="1161" spans="1:6" ht="26.4" x14ac:dyDescent="0.25">
      <c r="A1161" s="465">
        <v>1907</v>
      </c>
      <c r="B1161" s="466" t="s">
        <v>5938</v>
      </c>
      <c r="C1161" s="466" t="s">
        <v>2094</v>
      </c>
      <c r="D1161" s="467" t="s">
        <v>5939</v>
      </c>
      <c r="E1161" s="468" t="s">
        <v>5034</v>
      </c>
      <c r="F1161" s="465">
        <v>36.14</v>
      </c>
    </row>
    <row r="1162" spans="1:6" ht="26.4" x14ac:dyDescent="0.25">
      <c r="A1162" s="465">
        <v>1908</v>
      </c>
      <c r="B1162" s="466" t="s">
        <v>5940</v>
      </c>
      <c r="C1162" s="466" t="s">
        <v>2094</v>
      </c>
      <c r="D1162" s="467" t="s">
        <v>5941</v>
      </c>
      <c r="E1162" s="468" t="s">
        <v>5034</v>
      </c>
      <c r="F1162" s="465">
        <v>39.36</v>
      </c>
    </row>
    <row r="1163" spans="1:6" ht="79.2" x14ac:dyDescent="0.25">
      <c r="A1163" s="465">
        <v>1909</v>
      </c>
      <c r="B1163" s="466" t="s">
        <v>5673</v>
      </c>
      <c r="C1163" s="466" t="s">
        <v>2094</v>
      </c>
      <c r="D1163" s="467" t="s">
        <v>5674</v>
      </c>
      <c r="E1163" s="468" t="s">
        <v>4863</v>
      </c>
      <c r="F1163" s="465">
        <v>2893.4</v>
      </c>
    </row>
    <row r="1164" spans="1:6" ht="79.2" x14ac:dyDescent="0.25">
      <c r="A1164" s="465">
        <v>1910</v>
      </c>
      <c r="B1164" s="466" t="s">
        <v>5675</v>
      </c>
      <c r="C1164" s="466" t="s">
        <v>2094</v>
      </c>
      <c r="D1164" s="467" t="s">
        <v>5676</v>
      </c>
      <c r="E1164" s="468" t="s">
        <v>5668</v>
      </c>
      <c r="F1164" s="465">
        <v>108.46</v>
      </c>
    </row>
    <row r="1165" spans="1:6" ht="79.2" x14ac:dyDescent="0.25">
      <c r="A1165" s="465">
        <v>1911</v>
      </c>
      <c r="B1165" s="466" t="s">
        <v>5664</v>
      </c>
      <c r="C1165" s="466" t="s">
        <v>2094</v>
      </c>
      <c r="D1165" s="467" t="s">
        <v>5665</v>
      </c>
      <c r="E1165" s="468" t="s">
        <v>4863</v>
      </c>
      <c r="F1165" s="465">
        <v>2362.6</v>
      </c>
    </row>
    <row r="1166" spans="1:6" ht="79.2" x14ac:dyDescent="0.25">
      <c r="A1166" s="465">
        <v>1912</v>
      </c>
      <c r="B1166" s="466" t="s">
        <v>5666</v>
      </c>
      <c r="C1166" s="466" t="s">
        <v>2094</v>
      </c>
      <c r="D1166" s="467" t="s">
        <v>5667</v>
      </c>
      <c r="E1166" s="468" t="s">
        <v>5668</v>
      </c>
      <c r="F1166" s="465">
        <v>35.380000000000003</v>
      </c>
    </row>
    <row r="1167" spans="1:6" ht="66" x14ac:dyDescent="0.25">
      <c r="A1167" s="465">
        <v>1913</v>
      </c>
      <c r="B1167" s="466" t="s">
        <v>5669</v>
      </c>
      <c r="C1167" s="466" t="s">
        <v>2094</v>
      </c>
      <c r="D1167" s="467" t="s">
        <v>5670</v>
      </c>
      <c r="E1167" s="468" t="s">
        <v>4863</v>
      </c>
      <c r="F1167" s="465">
        <v>6115</v>
      </c>
    </row>
    <row r="1168" spans="1:6" ht="66" x14ac:dyDescent="0.25">
      <c r="A1168" s="465">
        <v>1914</v>
      </c>
      <c r="B1168" s="466" t="s">
        <v>5671</v>
      </c>
      <c r="C1168" s="466" t="s">
        <v>2094</v>
      </c>
      <c r="D1168" s="467" t="s">
        <v>5672</v>
      </c>
      <c r="E1168" s="468" t="s">
        <v>5668</v>
      </c>
      <c r="F1168" s="465">
        <v>60.6</v>
      </c>
    </row>
    <row r="1169" spans="1:6" ht="26.4" x14ac:dyDescent="0.25">
      <c r="A1169" s="465">
        <v>1915</v>
      </c>
      <c r="B1169" s="466" t="s">
        <v>5070</v>
      </c>
      <c r="C1169" s="466" t="s">
        <v>4801</v>
      </c>
      <c r="D1169" s="467" t="s">
        <v>5071</v>
      </c>
      <c r="E1169" s="468" t="s">
        <v>4803</v>
      </c>
      <c r="F1169" s="465">
        <v>4.54</v>
      </c>
    </row>
    <row r="1170" spans="1:6" ht="26.4" x14ac:dyDescent="0.25">
      <c r="A1170" s="465">
        <v>1916</v>
      </c>
      <c r="B1170" s="466" t="s">
        <v>5677</v>
      </c>
      <c r="C1170" s="466" t="s">
        <v>2094</v>
      </c>
      <c r="D1170" s="467" t="s">
        <v>5678</v>
      </c>
      <c r="E1170" s="468" t="s">
        <v>4863</v>
      </c>
      <c r="F1170" s="465">
        <v>659</v>
      </c>
    </row>
    <row r="1171" spans="1:6" ht="26.4" x14ac:dyDescent="0.25">
      <c r="A1171" s="465">
        <v>1917</v>
      </c>
      <c r="B1171" s="466" t="s">
        <v>5681</v>
      </c>
      <c r="C1171" s="466" t="s">
        <v>2094</v>
      </c>
      <c r="D1171" s="467" t="s">
        <v>5682</v>
      </c>
      <c r="E1171" s="468" t="s">
        <v>4863</v>
      </c>
      <c r="F1171" s="465">
        <v>958</v>
      </c>
    </row>
    <row r="1172" spans="1:6" ht="39.6" x14ac:dyDescent="0.25">
      <c r="A1172" s="465">
        <v>1918</v>
      </c>
      <c r="B1172" s="466" t="s">
        <v>6025</v>
      </c>
      <c r="C1172" s="466" t="s">
        <v>2094</v>
      </c>
      <c r="D1172" s="467" t="s">
        <v>6026</v>
      </c>
      <c r="E1172" s="468" t="s">
        <v>4813</v>
      </c>
      <c r="F1172" s="465">
        <v>55.26</v>
      </c>
    </row>
    <row r="1173" spans="1:6" ht="39.6" x14ac:dyDescent="0.25">
      <c r="A1173" s="465">
        <v>1919</v>
      </c>
      <c r="B1173" s="466" t="s">
        <v>7180</v>
      </c>
      <c r="C1173" s="466" t="s">
        <v>2094</v>
      </c>
      <c r="D1173" s="467" t="s">
        <v>7181</v>
      </c>
      <c r="E1173" s="468" t="s">
        <v>4863</v>
      </c>
      <c r="F1173" s="465">
        <v>7175.05</v>
      </c>
    </row>
    <row r="1174" spans="1:6" ht="39.6" x14ac:dyDescent="0.25">
      <c r="A1174" s="465">
        <v>1920</v>
      </c>
      <c r="B1174" s="466" t="s">
        <v>7176</v>
      </c>
      <c r="C1174" s="466" t="s">
        <v>2094</v>
      </c>
      <c r="D1174" s="467" t="s">
        <v>7177</v>
      </c>
      <c r="E1174" s="468" t="s">
        <v>4863</v>
      </c>
      <c r="F1174" s="465">
        <v>28276</v>
      </c>
    </row>
    <row r="1175" spans="1:6" x14ac:dyDescent="0.25">
      <c r="A1175" s="465">
        <v>1921</v>
      </c>
      <c r="B1175" s="466" t="s">
        <v>5241</v>
      </c>
      <c r="C1175" s="466" t="s">
        <v>2094</v>
      </c>
      <c r="D1175" s="467" t="s">
        <v>5242</v>
      </c>
      <c r="E1175" s="468" t="s">
        <v>4863</v>
      </c>
      <c r="F1175" s="465">
        <v>378.76</v>
      </c>
    </row>
    <row r="1176" spans="1:6" ht="26.4" x14ac:dyDescent="0.25">
      <c r="A1176" s="465">
        <v>1922</v>
      </c>
      <c r="B1176" s="466" t="s">
        <v>6937</v>
      </c>
      <c r="C1176" s="466" t="s">
        <v>2094</v>
      </c>
      <c r="D1176" s="467" t="s">
        <v>6938</v>
      </c>
      <c r="E1176" s="468" t="s">
        <v>4863</v>
      </c>
      <c r="F1176" s="465">
        <v>1271.9000000000001</v>
      </c>
    </row>
    <row r="1177" spans="1:6" ht="26.4" x14ac:dyDescent="0.25">
      <c r="A1177" s="465">
        <v>1923</v>
      </c>
      <c r="B1177" s="466" t="s">
        <v>6897</v>
      </c>
      <c r="C1177" s="466" t="s">
        <v>2094</v>
      </c>
      <c r="D1177" s="467" t="s">
        <v>6898</v>
      </c>
      <c r="E1177" s="468" t="s">
        <v>4863</v>
      </c>
      <c r="F1177" s="465">
        <v>6182.7</v>
      </c>
    </row>
    <row r="1178" spans="1:6" ht="26.4" x14ac:dyDescent="0.25">
      <c r="A1178" s="465">
        <v>1924</v>
      </c>
      <c r="B1178" s="466" t="s">
        <v>5337</v>
      </c>
      <c r="C1178" s="466" t="s">
        <v>2094</v>
      </c>
      <c r="D1178" s="467" t="s">
        <v>5323</v>
      </c>
      <c r="E1178" s="468" t="s">
        <v>4813</v>
      </c>
      <c r="F1178" s="465">
        <v>11.4</v>
      </c>
    </row>
    <row r="1179" spans="1:6" ht="26.4" x14ac:dyDescent="0.25">
      <c r="A1179" s="465">
        <v>1925</v>
      </c>
      <c r="B1179" s="466" t="s">
        <v>5326</v>
      </c>
      <c r="C1179" s="466" t="s">
        <v>2094</v>
      </c>
      <c r="D1179" s="467" t="s">
        <v>5297</v>
      </c>
      <c r="E1179" s="468" t="s">
        <v>4813</v>
      </c>
      <c r="F1179" s="465">
        <v>11.87</v>
      </c>
    </row>
    <row r="1180" spans="1:6" ht="26.4" x14ac:dyDescent="0.25">
      <c r="A1180" s="465">
        <v>1926</v>
      </c>
      <c r="B1180" s="466" t="s">
        <v>5327</v>
      </c>
      <c r="C1180" s="466" t="s">
        <v>2094</v>
      </c>
      <c r="D1180" s="467" t="s">
        <v>5301</v>
      </c>
      <c r="E1180" s="468" t="s">
        <v>4813</v>
      </c>
      <c r="F1180" s="465">
        <v>14.39</v>
      </c>
    </row>
    <row r="1181" spans="1:6" ht="26.4" x14ac:dyDescent="0.25">
      <c r="A1181" s="465">
        <v>1927</v>
      </c>
      <c r="B1181" s="466" t="s">
        <v>5328</v>
      </c>
      <c r="C1181" s="466" t="s">
        <v>2094</v>
      </c>
      <c r="D1181" s="467" t="s">
        <v>5305</v>
      </c>
      <c r="E1181" s="468" t="s">
        <v>4813</v>
      </c>
      <c r="F1181" s="465">
        <v>21.49</v>
      </c>
    </row>
    <row r="1182" spans="1:6" ht="26.4" x14ac:dyDescent="0.25">
      <c r="A1182" s="465">
        <v>1928</v>
      </c>
      <c r="B1182" s="466" t="s">
        <v>5329</v>
      </c>
      <c r="C1182" s="466" t="s">
        <v>2094</v>
      </c>
      <c r="D1182" s="467" t="s">
        <v>5330</v>
      </c>
      <c r="E1182" s="468" t="s">
        <v>4813</v>
      </c>
      <c r="F1182" s="465">
        <v>25.69</v>
      </c>
    </row>
    <row r="1183" spans="1:6" ht="26.4" x14ac:dyDescent="0.25">
      <c r="A1183" s="465">
        <v>1929</v>
      </c>
      <c r="B1183" s="466" t="s">
        <v>5331</v>
      </c>
      <c r="C1183" s="466" t="s">
        <v>2094</v>
      </c>
      <c r="D1183" s="467" t="s">
        <v>5332</v>
      </c>
      <c r="E1183" s="468" t="s">
        <v>4813</v>
      </c>
      <c r="F1183" s="465">
        <v>28.96</v>
      </c>
    </row>
    <row r="1184" spans="1:6" ht="26.4" x14ac:dyDescent="0.25">
      <c r="A1184" s="465">
        <v>1930</v>
      </c>
      <c r="B1184" s="466" t="s">
        <v>5333</v>
      </c>
      <c r="C1184" s="466" t="s">
        <v>2094</v>
      </c>
      <c r="D1184" s="467" t="s">
        <v>5334</v>
      </c>
      <c r="E1184" s="468" t="s">
        <v>4813</v>
      </c>
      <c r="F1184" s="465">
        <v>35.97</v>
      </c>
    </row>
    <row r="1185" spans="1:6" ht="26.4" x14ac:dyDescent="0.25">
      <c r="A1185" s="465">
        <v>1931</v>
      </c>
      <c r="B1185" s="466" t="s">
        <v>5335</v>
      </c>
      <c r="C1185" s="466" t="s">
        <v>2094</v>
      </c>
      <c r="D1185" s="467" t="s">
        <v>5336</v>
      </c>
      <c r="E1185" s="468" t="s">
        <v>4813</v>
      </c>
      <c r="F1185" s="465">
        <v>56.53</v>
      </c>
    </row>
    <row r="1186" spans="1:6" x14ac:dyDescent="0.25">
      <c r="A1186" s="465">
        <v>1932</v>
      </c>
      <c r="B1186" s="466" t="s">
        <v>5559</v>
      </c>
      <c r="C1186" s="466" t="s">
        <v>2094</v>
      </c>
      <c r="D1186" s="467" t="s">
        <v>5560</v>
      </c>
      <c r="E1186" s="468" t="s">
        <v>4813</v>
      </c>
      <c r="F1186" s="465">
        <v>6.17</v>
      </c>
    </row>
    <row r="1187" spans="1:6" x14ac:dyDescent="0.25">
      <c r="A1187" s="465">
        <v>1933</v>
      </c>
      <c r="B1187" s="466" t="s">
        <v>5453</v>
      </c>
      <c r="C1187" s="466" t="s">
        <v>2094</v>
      </c>
      <c r="D1187" s="467" t="s">
        <v>5454</v>
      </c>
      <c r="E1187" s="468" t="s">
        <v>4813</v>
      </c>
      <c r="F1187" s="465">
        <v>9.6</v>
      </c>
    </row>
    <row r="1188" spans="1:6" x14ac:dyDescent="0.25">
      <c r="A1188" s="465">
        <v>1934</v>
      </c>
      <c r="B1188" s="466" t="s">
        <v>5469</v>
      </c>
      <c r="C1188" s="466" t="s">
        <v>2094</v>
      </c>
      <c r="D1188" s="467" t="s">
        <v>5470</v>
      </c>
      <c r="E1188" s="468" t="s">
        <v>4813</v>
      </c>
      <c r="F1188" s="465">
        <v>13.49</v>
      </c>
    </row>
    <row r="1189" spans="1:6" x14ac:dyDescent="0.25">
      <c r="A1189" s="465">
        <v>1935</v>
      </c>
      <c r="B1189" s="466" t="s">
        <v>5491</v>
      </c>
      <c r="C1189" s="466" t="s">
        <v>2094</v>
      </c>
      <c r="D1189" s="467" t="s">
        <v>5492</v>
      </c>
      <c r="E1189" s="468" t="s">
        <v>4813</v>
      </c>
      <c r="F1189" s="465">
        <v>16.059999999999999</v>
      </c>
    </row>
    <row r="1190" spans="1:6" x14ac:dyDescent="0.25">
      <c r="A1190" s="465">
        <v>1936</v>
      </c>
      <c r="B1190" s="466" t="s">
        <v>5511</v>
      </c>
      <c r="C1190" s="466" t="s">
        <v>2094</v>
      </c>
      <c r="D1190" s="467" t="s">
        <v>5512</v>
      </c>
      <c r="E1190" s="468" t="s">
        <v>4813</v>
      </c>
      <c r="F1190" s="465">
        <v>28.53</v>
      </c>
    </row>
    <row r="1191" spans="1:6" x14ac:dyDescent="0.25">
      <c r="A1191" s="465">
        <v>1938</v>
      </c>
      <c r="B1191" s="466" t="s">
        <v>5455</v>
      </c>
      <c r="C1191" s="466" t="s">
        <v>2094</v>
      </c>
      <c r="D1191" s="467" t="s">
        <v>5456</v>
      </c>
      <c r="E1191" s="468" t="s">
        <v>4813</v>
      </c>
      <c r="F1191" s="465">
        <v>7.65</v>
      </c>
    </row>
    <row r="1192" spans="1:6" x14ac:dyDescent="0.25">
      <c r="A1192" s="465">
        <v>1939</v>
      </c>
      <c r="B1192" s="466" t="s">
        <v>5471</v>
      </c>
      <c r="C1192" s="466" t="s">
        <v>2094</v>
      </c>
      <c r="D1192" s="467" t="s">
        <v>5472</v>
      </c>
      <c r="E1192" s="468" t="s">
        <v>4813</v>
      </c>
      <c r="F1192" s="465">
        <v>10.76</v>
      </c>
    </row>
    <row r="1193" spans="1:6" x14ac:dyDescent="0.25">
      <c r="A1193" s="465">
        <v>1940</v>
      </c>
      <c r="B1193" s="466" t="s">
        <v>5493</v>
      </c>
      <c r="C1193" s="466" t="s">
        <v>2094</v>
      </c>
      <c r="D1193" s="467" t="s">
        <v>5494</v>
      </c>
      <c r="E1193" s="468" t="s">
        <v>4813</v>
      </c>
      <c r="F1193" s="465">
        <v>12.88</v>
      </c>
    </row>
    <row r="1194" spans="1:6" x14ac:dyDescent="0.25">
      <c r="A1194" s="465">
        <v>1941</v>
      </c>
      <c r="B1194" s="466" t="s">
        <v>5513</v>
      </c>
      <c r="C1194" s="466" t="s">
        <v>2094</v>
      </c>
      <c r="D1194" s="467" t="s">
        <v>5514</v>
      </c>
      <c r="E1194" s="468" t="s">
        <v>4813</v>
      </c>
      <c r="F1194" s="465">
        <v>22.87</v>
      </c>
    </row>
    <row r="1195" spans="1:6" x14ac:dyDescent="0.25">
      <c r="A1195" s="465">
        <v>1942</v>
      </c>
      <c r="B1195" s="466" t="s">
        <v>5451</v>
      </c>
      <c r="C1195" s="466" t="s">
        <v>2094</v>
      </c>
      <c r="D1195" s="467" t="s">
        <v>5452</v>
      </c>
      <c r="E1195" s="468" t="s">
        <v>4813</v>
      </c>
      <c r="F1195" s="465">
        <v>11.88</v>
      </c>
    </row>
    <row r="1196" spans="1:6" x14ac:dyDescent="0.25">
      <c r="A1196" s="465">
        <v>1943</v>
      </c>
      <c r="B1196" s="466" t="s">
        <v>5467</v>
      </c>
      <c r="C1196" s="466" t="s">
        <v>2094</v>
      </c>
      <c r="D1196" s="467" t="s">
        <v>5468</v>
      </c>
      <c r="E1196" s="468" t="s">
        <v>4813</v>
      </c>
      <c r="F1196" s="465">
        <v>16.72</v>
      </c>
    </row>
    <row r="1197" spans="1:6" x14ac:dyDescent="0.25">
      <c r="A1197" s="465">
        <v>1944</v>
      </c>
      <c r="B1197" s="466" t="s">
        <v>5489</v>
      </c>
      <c r="C1197" s="466" t="s">
        <v>2094</v>
      </c>
      <c r="D1197" s="467" t="s">
        <v>5490</v>
      </c>
      <c r="E1197" s="468" t="s">
        <v>4813</v>
      </c>
      <c r="F1197" s="465">
        <v>19.899999999999999</v>
      </c>
    </row>
    <row r="1198" spans="1:6" x14ac:dyDescent="0.25">
      <c r="A1198" s="465">
        <v>1945</v>
      </c>
      <c r="B1198" s="466" t="s">
        <v>5509</v>
      </c>
      <c r="C1198" s="466" t="s">
        <v>2094</v>
      </c>
      <c r="D1198" s="467" t="s">
        <v>5510</v>
      </c>
      <c r="E1198" s="468" t="s">
        <v>4813</v>
      </c>
      <c r="F1198" s="465">
        <v>35.380000000000003</v>
      </c>
    </row>
    <row r="1199" spans="1:6" ht="39.6" x14ac:dyDescent="0.25">
      <c r="A1199" s="465">
        <v>1946</v>
      </c>
      <c r="B1199" s="466" t="s">
        <v>6294</v>
      </c>
      <c r="C1199" s="466" t="s">
        <v>2094</v>
      </c>
      <c r="D1199" s="467" t="s">
        <v>6295</v>
      </c>
      <c r="E1199" s="468" t="s">
        <v>4850</v>
      </c>
      <c r="F1199" s="465">
        <v>9.74</v>
      </c>
    </row>
    <row r="1200" spans="1:6" ht="26.4" x14ac:dyDescent="0.25">
      <c r="A1200" s="465">
        <v>1947</v>
      </c>
      <c r="B1200" s="466" t="s">
        <v>7125</v>
      </c>
      <c r="C1200" s="466" t="s">
        <v>2094</v>
      </c>
      <c r="D1200" s="467" t="s">
        <v>7126</v>
      </c>
      <c r="E1200" s="468" t="s">
        <v>5082</v>
      </c>
      <c r="F1200" s="465">
        <v>37.659999999999997</v>
      </c>
    </row>
    <row r="1201" spans="1:6" ht="26.4" x14ac:dyDescent="0.25">
      <c r="A1201" s="465">
        <v>1948</v>
      </c>
      <c r="B1201" s="466" t="s">
        <v>7405</v>
      </c>
      <c r="C1201" s="466" t="s">
        <v>2094</v>
      </c>
      <c r="D1201" s="467" t="s">
        <v>7406</v>
      </c>
      <c r="E1201" s="468" t="s">
        <v>4863</v>
      </c>
      <c r="F1201" s="465">
        <v>29095</v>
      </c>
    </row>
    <row r="1202" spans="1:6" ht="26.4" x14ac:dyDescent="0.25">
      <c r="A1202" s="465">
        <v>1949</v>
      </c>
      <c r="B1202" s="466" t="s">
        <v>6029</v>
      </c>
      <c r="C1202" s="466" t="s">
        <v>2094</v>
      </c>
      <c r="D1202" s="467" t="s">
        <v>6030</v>
      </c>
      <c r="E1202" s="468" t="s">
        <v>4863</v>
      </c>
      <c r="F1202" s="465">
        <v>275000</v>
      </c>
    </row>
    <row r="1203" spans="1:6" ht="26.4" x14ac:dyDescent="0.25">
      <c r="A1203" s="465">
        <v>1950</v>
      </c>
      <c r="B1203" s="466" t="s">
        <v>7034</v>
      </c>
      <c r="C1203" s="466" t="s">
        <v>2094</v>
      </c>
      <c r="D1203" s="467" t="s">
        <v>7035</v>
      </c>
      <c r="E1203" s="468" t="s">
        <v>4863</v>
      </c>
      <c r="F1203" s="465">
        <v>42000</v>
      </c>
    </row>
    <row r="1204" spans="1:6" ht="26.4" x14ac:dyDescent="0.25">
      <c r="A1204" s="465">
        <v>1951</v>
      </c>
      <c r="B1204" s="466" t="s">
        <v>7032</v>
      </c>
      <c r="C1204" s="466" t="s">
        <v>2094</v>
      </c>
      <c r="D1204" s="467" t="s">
        <v>7033</v>
      </c>
      <c r="E1204" s="468" t="s">
        <v>4863</v>
      </c>
      <c r="F1204" s="465">
        <v>70000</v>
      </c>
    </row>
    <row r="1205" spans="1:6" ht="52.8" x14ac:dyDescent="0.25">
      <c r="A1205" s="465">
        <v>1952</v>
      </c>
      <c r="B1205" s="466" t="s">
        <v>7005</v>
      </c>
      <c r="C1205" s="466" t="s">
        <v>2094</v>
      </c>
      <c r="D1205" s="467" t="s">
        <v>7006</v>
      </c>
      <c r="E1205" s="468" t="s">
        <v>4813</v>
      </c>
      <c r="F1205" s="465">
        <v>50</v>
      </c>
    </row>
    <row r="1206" spans="1:6" ht="39.6" x14ac:dyDescent="0.25">
      <c r="A1206" s="465">
        <v>1953</v>
      </c>
      <c r="B1206" s="466" t="s">
        <v>7007</v>
      </c>
      <c r="C1206" s="466" t="s">
        <v>2094</v>
      </c>
      <c r="D1206" s="467" t="s">
        <v>7008</v>
      </c>
      <c r="E1206" s="468" t="s">
        <v>4813</v>
      </c>
      <c r="F1206" s="465">
        <v>267.89999999999998</v>
      </c>
    </row>
    <row r="1207" spans="1:6" ht="26.4" x14ac:dyDescent="0.25">
      <c r="A1207" s="465">
        <v>1954</v>
      </c>
      <c r="B1207" s="466" t="s">
        <v>7389</v>
      </c>
      <c r="C1207" s="466" t="s">
        <v>2094</v>
      </c>
      <c r="D1207" s="467" t="s">
        <v>7390</v>
      </c>
      <c r="E1207" s="468" t="s">
        <v>4863</v>
      </c>
      <c r="F1207" s="465">
        <v>848.98</v>
      </c>
    </row>
    <row r="1208" spans="1:6" ht="39.6" x14ac:dyDescent="0.25">
      <c r="A1208" s="465">
        <v>1955</v>
      </c>
      <c r="B1208" s="466" t="s">
        <v>7391</v>
      </c>
      <c r="C1208" s="466" t="s">
        <v>2094</v>
      </c>
      <c r="D1208" s="467" t="s">
        <v>7392</v>
      </c>
      <c r="E1208" s="468" t="s">
        <v>4863</v>
      </c>
      <c r="F1208" s="465">
        <v>2983.33</v>
      </c>
    </row>
    <row r="1209" spans="1:6" ht="26.4" x14ac:dyDescent="0.25">
      <c r="A1209" s="465">
        <v>1956</v>
      </c>
      <c r="B1209" s="466" t="s">
        <v>6360</v>
      </c>
      <c r="C1209" s="466" t="s">
        <v>2094</v>
      </c>
      <c r="D1209" s="467" t="s">
        <v>6361</v>
      </c>
      <c r="E1209" s="468" t="s">
        <v>4813</v>
      </c>
      <c r="F1209" s="465">
        <v>67.3</v>
      </c>
    </row>
    <row r="1210" spans="1:6" ht="39.6" x14ac:dyDescent="0.25">
      <c r="A1210" s="465">
        <v>1958</v>
      </c>
      <c r="B1210" s="466" t="s">
        <v>5575</v>
      </c>
      <c r="C1210" s="466" t="s">
        <v>2094</v>
      </c>
      <c r="D1210" s="467" t="s">
        <v>5576</v>
      </c>
      <c r="E1210" s="468" t="s">
        <v>5360</v>
      </c>
      <c r="F1210" s="465">
        <v>0.85</v>
      </c>
    </row>
    <row r="1211" spans="1:6" ht="39.6" x14ac:dyDescent="0.25">
      <c r="A1211" s="465">
        <v>1979</v>
      </c>
      <c r="B1211" s="466" t="s">
        <v>6166</v>
      </c>
      <c r="C1211" s="466" t="s">
        <v>2094</v>
      </c>
      <c r="D1211" s="467" t="s">
        <v>6167</v>
      </c>
      <c r="E1211" s="468" t="s">
        <v>5360</v>
      </c>
      <c r="F1211" s="465">
        <v>0.93</v>
      </c>
    </row>
    <row r="1212" spans="1:6" ht="39.6" x14ac:dyDescent="0.25">
      <c r="A1212" s="465">
        <v>1980</v>
      </c>
      <c r="B1212" s="466" t="s">
        <v>7440</v>
      </c>
      <c r="C1212" s="466" t="s">
        <v>2094</v>
      </c>
      <c r="D1212" s="467" t="s">
        <v>7441</v>
      </c>
      <c r="E1212" s="468" t="s">
        <v>4850</v>
      </c>
      <c r="F1212" s="465">
        <v>13.55</v>
      </c>
    </row>
    <row r="1213" spans="1:6" ht="26.4" x14ac:dyDescent="0.25">
      <c r="A1213" s="465">
        <v>1981</v>
      </c>
      <c r="B1213" s="466" t="s">
        <v>7418</v>
      </c>
      <c r="C1213" s="466" t="s">
        <v>2094</v>
      </c>
      <c r="D1213" s="467" t="s">
        <v>7419</v>
      </c>
      <c r="E1213" s="468" t="s">
        <v>7420</v>
      </c>
      <c r="F1213" s="465">
        <v>0.84</v>
      </c>
    </row>
    <row r="1214" spans="1:6" ht="66" x14ac:dyDescent="0.25">
      <c r="A1214" s="465">
        <v>1982</v>
      </c>
      <c r="B1214" s="466" t="s">
        <v>5141</v>
      </c>
      <c r="C1214" s="466" t="s">
        <v>4801</v>
      </c>
      <c r="D1214" s="467" t="s">
        <v>5142</v>
      </c>
      <c r="E1214" s="468" t="s">
        <v>4803</v>
      </c>
      <c r="F1214" s="465">
        <v>8.42</v>
      </c>
    </row>
    <row r="1215" spans="1:6" ht="39.6" x14ac:dyDescent="0.25">
      <c r="A1215" s="465">
        <v>1983</v>
      </c>
      <c r="B1215" s="466" t="s">
        <v>5143</v>
      </c>
      <c r="C1215" s="466" t="s">
        <v>4801</v>
      </c>
      <c r="D1215" s="467" t="s">
        <v>5144</v>
      </c>
      <c r="E1215" s="468" t="s">
        <v>4803</v>
      </c>
      <c r="F1215" s="465">
        <v>1.39</v>
      </c>
    </row>
    <row r="1216" spans="1:6" ht="66" x14ac:dyDescent="0.25">
      <c r="A1216" s="465">
        <v>1984</v>
      </c>
      <c r="B1216" s="466" t="s">
        <v>6905</v>
      </c>
      <c r="C1216" s="466" t="s">
        <v>2094</v>
      </c>
      <c r="D1216" s="467" t="s">
        <v>6906</v>
      </c>
      <c r="E1216" s="468" t="s">
        <v>5668</v>
      </c>
      <c r="F1216" s="465">
        <v>61.96</v>
      </c>
    </row>
    <row r="1217" spans="1:6" ht="39.6" x14ac:dyDescent="0.25">
      <c r="A1217" s="465">
        <v>1986</v>
      </c>
      <c r="B1217" s="466" t="s">
        <v>4857</v>
      </c>
      <c r="C1217" s="466" t="s">
        <v>4801</v>
      </c>
      <c r="D1217" s="467" t="s">
        <v>4858</v>
      </c>
      <c r="E1217" s="468" t="s">
        <v>4803</v>
      </c>
      <c r="F1217" s="465">
        <v>224.07</v>
      </c>
    </row>
    <row r="1218" spans="1:6" ht="39.6" x14ac:dyDescent="0.25">
      <c r="A1218" s="465">
        <v>1987</v>
      </c>
      <c r="B1218" s="466" t="s">
        <v>5055</v>
      </c>
      <c r="C1218" s="466" t="s">
        <v>4801</v>
      </c>
      <c r="D1218" s="467" t="s">
        <v>5056</v>
      </c>
      <c r="E1218" s="468" t="s">
        <v>4863</v>
      </c>
      <c r="F1218" s="465">
        <v>1750</v>
      </c>
    </row>
    <row r="1219" spans="1:6" x14ac:dyDescent="0.25">
      <c r="A1219" s="465">
        <v>1989</v>
      </c>
      <c r="B1219" s="466" t="s">
        <v>7242</v>
      </c>
      <c r="C1219" s="466" t="s">
        <v>2094</v>
      </c>
      <c r="D1219" s="467" t="s">
        <v>7243</v>
      </c>
      <c r="E1219" s="468" t="s">
        <v>4863</v>
      </c>
      <c r="F1219" s="465">
        <v>41.2</v>
      </c>
    </row>
    <row r="1220" spans="1:6" ht="26.4" x14ac:dyDescent="0.25">
      <c r="A1220" s="465">
        <v>1990</v>
      </c>
      <c r="B1220" s="466" t="s">
        <v>7245</v>
      </c>
      <c r="C1220" s="466" t="s">
        <v>2094</v>
      </c>
      <c r="D1220" s="467" t="s">
        <v>7246</v>
      </c>
      <c r="E1220" s="468" t="s">
        <v>4863</v>
      </c>
      <c r="F1220" s="465">
        <v>0.71</v>
      </c>
    </row>
    <row r="1221" spans="1:6" ht="39.6" x14ac:dyDescent="0.25">
      <c r="A1221" s="465">
        <v>1991</v>
      </c>
      <c r="B1221" s="466" t="s">
        <v>4868</v>
      </c>
      <c r="C1221" s="466" t="s">
        <v>4801</v>
      </c>
      <c r="D1221" s="467" t="s">
        <v>4869</v>
      </c>
      <c r="E1221" s="468" t="s">
        <v>2376</v>
      </c>
      <c r="F1221" s="465">
        <v>29.58</v>
      </c>
    </row>
    <row r="1222" spans="1:6" ht="39.6" x14ac:dyDescent="0.25">
      <c r="A1222" s="465">
        <v>1992</v>
      </c>
      <c r="B1222" s="466" t="s">
        <v>5381</v>
      </c>
      <c r="C1222" s="466" t="s">
        <v>2094</v>
      </c>
      <c r="D1222" s="467" t="s">
        <v>5382</v>
      </c>
      <c r="E1222" s="468" t="s">
        <v>4813</v>
      </c>
      <c r="F1222" s="465">
        <v>2.4700000000000002</v>
      </c>
    </row>
    <row r="1223" spans="1:6" x14ac:dyDescent="0.25">
      <c r="A1223" s="465">
        <v>1993</v>
      </c>
      <c r="B1223" s="466" t="s">
        <v>6434</v>
      </c>
      <c r="C1223" s="466" t="s">
        <v>2094</v>
      </c>
      <c r="D1223" s="467" t="s">
        <v>6435</v>
      </c>
      <c r="E1223" s="468" t="s">
        <v>4863</v>
      </c>
      <c r="F1223" s="465">
        <v>575.87</v>
      </c>
    </row>
    <row r="1224" spans="1:6" ht="52.8" x14ac:dyDescent="0.25">
      <c r="A1224" s="465">
        <v>1994</v>
      </c>
      <c r="B1224" s="466" t="s">
        <v>4870</v>
      </c>
      <c r="C1224" s="466" t="s">
        <v>4801</v>
      </c>
      <c r="D1224" s="467" t="s">
        <v>4871</v>
      </c>
      <c r="E1224" s="468" t="s">
        <v>2376</v>
      </c>
      <c r="F1224" s="465">
        <v>83.21</v>
      </c>
    </row>
    <row r="1225" spans="1:6" x14ac:dyDescent="0.25">
      <c r="A1225" s="465">
        <v>1995</v>
      </c>
      <c r="B1225" s="466" t="s">
        <v>5878</v>
      </c>
      <c r="C1225" s="466" t="s">
        <v>2094</v>
      </c>
      <c r="D1225" s="467" t="s">
        <v>5879</v>
      </c>
      <c r="E1225" s="468" t="s">
        <v>4813</v>
      </c>
      <c r="F1225" s="465">
        <v>216.76</v>
      </c>
    </row>
    <row r="1226" spans="1:6" x14ac:dyDescent="0.25">
      <c r="A1226" s="465">
        <v>1996</v>
      </c>
      <c r="B1226" s="466" t="s">
        <v>5876</v>
      </c>
      <c r="C1226" s="466" t="s">
        <v>2094</v>
      </c>
      <c r="D1226" s="467" t="s">
        <v>5877</v>
      </c>
      <c r="E1226" s="468" t="s">
        <v>4813</v>
      </c>
      <c r="F1226" s="465">
        <v>359.71</v>
      </c>
    </row>
    <row r="1227" spans="1:6" x14ac:dyDescent="0.25">
      <c r="A1227" s="465">
        <v>1997</v>
      </c>
      <c r="B1227" s="466" t="s">
        <v>5868</v>
      </c>
      <c r="C1227" s="466" t="s">
        <v>2094</v>
      </c>
      <c r="D1227" s="467" t="s">
        <v>5869</v>
      </c>
      <c r="E1227" s="468" t="s">
        <v>4813</v>
      </c>
      <c r="F1227" s="465">
        <v>3.96</v>
      </c>
    </row>
    <row r="1228" spans="1:6" x14ac:dyDescent="0.25">
      <c r="A1228" s="465">
        <v>1998</v>
      </c>
      <c r="B1228" s="466" t="s">
        <v>5870</v>
      </c>
      <c r="C1228" s="466" t="s">
        <v>2094</v>
      </c>
      <c r="D1228" s="467" t="s">
        <v>5871</v>
      </c>
      <c r="E1228" s="468" t="s">
        <v>4813</v>
      </c>
      <c r="F1228" s="465">
        <v>6.72</v>
      </c>
    </row>
    <row r="1229" spans="1:6" x14ac:dyDescent="0.25">
      <c r="A1229" s="465">
        <v>1999</v>
      </c>
      <c r="B1229" s="466" t="s">
        <v>5872</v>
      </c>
      <c r="C1229" s="466" t="s">
        <v>2094</v>
      </c>
      <c r="D1229" s="467" t="s">
        <v>5873</v>
      </c>
      <c r="E1229" s="468" t="s">
        <v>4813</v>
      </c>
      <c r="F1229" s="465">
        <v>11.97</v>
      </c>
    </row>
    <row r="1230" spans="1:6" x14ac:dyDescent="0.25">
      <c r="A1230" s="465">
        <v>2000</v>
      </c>
      <c r="B1230" s="466" t="s">
        <v>5874</v>
      </c>
      <c r="C1230" s="466" t="s">
        <v>2094</v>
      </c>
      <c r="D1230" s="467" t="s">
        <v>5875</v>
      </c>
      <c r="E1230" s="468" t="s">
        <v>4813</v>
      </c>
      <c r="F1230" s="465">
        <v>17.72</v>
      </c>
    </row>
    <row r="1231" spans="1:6" ht="52.8" x14ac:dyDescent="0.25">
      <c r="A1231" s="465">
        <v>2001</v>
      </c>
      <c r="B1231" s="466" t="s">
        <v>4893</v>
      </c>
      <c r="C1231" s="466" t="s">
        <v>4801</v>
      </c>
      <c r="D1231" s="467" t="s">
        <v>4894</v>
      </c>
      <c r="E1231" s="468" t="s">
        <v>4886</v>
      </c>
      <c r="F1231" s="465">
        <v>193.75</v>
      </c>
    </row>
    <row r="1232" spans="1:6" ht="39.6" x14ac:dyDescent="0.25">
      <c r="A1232" s="465">
        <v>2002</v>
      </c>
      <c r="B1232" s="466" t="s">
        <v>7240</v>
      </c>
      <c r="C1232" s="466" t="s">
        <v>2094</v>
      </c>
      <c r="D1232" s="467" t="s">
        <v>7241</v>
      </c>
      <c r="E1232" s="468" t="s">
        <v>4863</v>
      </c>
      <c r="F1232" s="465">
        <v>380.9</v>
      </c>
    </row>
    <row r="1233" spans="1:6" ht="39.6" x14ac:dyDescent="0.25">
      <c r="A1233" s="465">
        <v>2003</v>
      </c>
      <c r="B1233" s="466" t="s">
        <v>7251</v>
      </c>
      <c r="C1233" s="466" t="s">
        <v>2094</v>
      </c>
      <c r="D1233" s="467" t="s">
        <v>7252</v>
      </c>
      <c r="E1233" s="468" t="s">
        <v>4863</v>
      </c>
      <c r="F1233" s="465">
        <v>139.9</v>
      </c>
    </row>
    <row r="1234" spans="1:6" ht="39.6" x14ac:dyDescent="0.25">
      <c r="A1234" s="465">
        <v>2004</v>
      </c>
      <c r="B1234" s="466" t="s">
        <v>7058</v>
      </c>
      <c r="C1234" s="466" t="s">
        <v>2094</v>
      </c>
      <c r="D1234" s="467" t="s">
        <v>7059</v>
      </c>
      <c r="E1234" s="468" t="s">
        <v>4863</v>
      </c>
      <c r="F1234" s="465">
        <v>5.35</v>
      </c>
    </row>
    <row r="1235" spans="1:6" ht="39.6" x14ac:dyDescent="0.25">
      <c r="A1235" s="465">
        <v>2006</v>
      </c>
      <c r="B1235" s="466" t="s">
        <v>7050</v>
      </c>
      <c r="C1235" s="466" t="s">
        <v>2094</v>
      </c>
      <c r="D1235" s="467" t="s">
        <v>7051</v>
      </c>
      <c r="E1235" s="468" t="s">
        <v>4863</v>
      </c>
      <c r="F1235" s="465">
        <v>126.58</v>
      </c>
    </row>
    <row r="1236" spans="1:6" ht="26.4" x14ac:dyDescent="0.25">
      <c r="A1236" s="465">
        <v>2007</v>
      </c>
      <c r="B1236" s="466" t="s">
        <v>7054</v>
      </c>
      <c r="C1236" s="466" t="s">
        <v>2094</v>
      </c>
      <c r="D1236" s="467" t="s">
        <v>7055</v>
      </c>
      <c r="E1236" s="468" t="s">
        <v>4863</v>
      </c>
      <c r="F1236" s="465">
        <v>76.58</v>
      </c>
    </row>
    <row r="1237" spans="1:6" ht="26.4" x14ac:dyDescent="0.25">
      <c r="A1237" s="465">
        <v>2008</v>
      </c>
      <c r="B1237" s="466" t="s">
        <v>7052</v>
      </c>
      <c r="C1237" s="466" t="s">
        <v>2094</v>
      </c>
      <c r="D1237" s="467" t="s">
        <v>7053</v>
      </c>
      <c r="E1237" s="468" t="s">
        <v>4863</v>
      </c>
      <c r="F1237" s="465">
        <v>123.15</v>
      </c>
    </row>
    <row r="1238" spans="1:6" ht="26.4" x14ac:dyDescent="0.25">
      <c r="A1238" s="465">
        <v>2009</v>
      </c>
      <c r="B1238" s="466" t="s">
        <v>7056</v>
      </c>
      <c r="C1238" s="466" t="s">
        <v>2094</v>
      </c>
      <c r="D1238" s="467" t="s">
        <v>7057</v>
      </c>
      <c r="E1238" s="468" t="s">
        <v>4863</v>
      </c>
      <c r="F1238" s="465">
        <v>182.95</v>
      </c>
    </row>
    <row r="1239" spans="1:6" x14ac:dyDescent="0.25">
      <c r="A1239" s="465">
        <v>2010</v>
      </c>
      <c r="B1239" s="466" t="s">
        <v>5984</v>
      </c>
      <c r="C1239" s="466" t="s">
        <v>2094</v>
      </c>
      <c r="D1239" s="467" t="s">
        <v>5985</v>
      </c>
      <c r="E1239" s="468" t="s">
        <v>5360</v>
      </c>
      <c r="F1239" s="465">
        <v>13.13</v>
      </c>
    </row>
    <row r="1240" spans="1:6" x14ac:dyDescent="0.25">
      <c r="A1240" s="465">
        <v>2011</v>
      </c>
      <c r="B1240" s="466" t="s">
        <v>6977</v>
      </c>
      <c r="C1240" s="466" t="s">
        <v>2094</v>
      </c>
      <c r="D1240" s="467" t="s">
        <v>5985</v>
      </c>
      <c r="E1240" s="468" t="s">
        <v>5360</v>
      </c>
      <c r="F1240" s="465">
        <v>18.45</v>
      </c>
    </row>
    <row r="1241" spans="1:6" x14ac:dyDescent="0.25">
      <c r="A1241" s="465">
        <v>2012</v>
      </c>
      <c r="B1241" s="466" t="s">
        <v>6858</v>
      </c>
      <c r="C1241" s="466" t="s">
        <v>2094</v>
      </c>
      <c r="D1241" s="467" t="s">
        <v>5985</v>
      </c>
      <c r="E1241" s="468" t="s">
        <v>5360</v>
      </c>
      <c r="F1241" s="465">
        <v>31.3</v>
      </c>
    </row>
    <row r="1242" spans="1:6" x14ac:dyDescent="0.25">
      <c r="A1242" s="465">
        <v>2013</v>
      </c>
      <c r="B1242" s="466" t="s">
        <v>6696</v>
      </c>
      <c r="C1242" s="466" t="s">
        <v>2094</v>
      </c>
      <c r="D1242" s="467" t="s">
        <v>5951</v>
      </c>
      <c r="E1242" s="468" t="s">
        <v>5360</v>
      </c>
      <c r="F1242" s="465">
        <v>355.3</v>
      </c>
    </row>
    <row r="1243" spans="1:6" x14ac:dyDescent="0.25">
      <c r="A1243" s="465">
        <v>2014</v>
      </c>
      <c r="B1243" s="466" t="s">
        <v>7085</v>
      </c>
      <c r="C1243" s="466" t="s">
        <v>2094</v>
      </c>
      <c r="D1243" s="467" t="s">
        <v>5951</v>
      </c>
      <c r="E1243" s="468" t="s">
        <v>5360</v>
      </c>
      <c r="F1243" s="465">
        <v>150.44999999999999</v>
      </c>
    </row>
    <row r="1244" spans="1:6" x14ac:dyDescent="0.25">
      <c r="A1244" s="465">
        <v>2015</v>
      </c>
      <c r="B1244" s="466" t="s">
        <v>7124</v>
      </c>
      <c r="C1244" s="466" t="s">
        <v>2094</v>
      </c>
      <c r="D1244" s="467" t="s">
        <v>5951</v>
      </c>
      <c r="E1244" s="468" t="s">
        <v>5360</v>
      </c>
      <c r="F1244" s="465">
        <v>370.45</v>
      </c>
    </row>
    <row r="1245" spans="1:6" x14ac:dyDescent="0.25">
      <c r="A1245" s="465">
        <v>2016</v>
      </c>
      <c r="B1245" s="466" t="s">
        <v>6693</v>
      </c>
      <c r="C1245" s="466" t="s">
        <v>2094</v>
      </c>
      <c r="D1245" s="467" t="s">
        <v>5951</v>
      </c>
      <c r="E1245" s="468" t="s">
        <v>5360</v>
      </c>
      <c r="F1245" s="465">
        <v>100.45</v>
      </c>
    </row>
    <row r="1246" spans="1:6" x14ac:dyDescent="0.25">
      <c r="A1246" s="465">
        <v>2017</v>
      </c>
      <c r="B1246" s="466" t="s">
        <v>5991</v>
      </c>
      <c r="C1246" s="466" t="s">
        <v>2094</v>
      </c>
      <c r="D1246" s="467" t="s">
        <v>5951</v>
      </c>
      <c r="E1246" s="468" t="s">
        <v>5360</v>
      </c>
      <c r="F1246" s="465">
        <v>95.45</v>
      </c>
    </row>
    <row r="1247" spans="1:6" x14ac:dyDescent="0.25">
      <c r="A1247" s="465">
        <v>2018</v>
      </c>
      <c r="B1247" s="466" t="s">
        <v>6015</v>
      </c>
      <c r="C1247" s="466" t="s">
        <v>2094</v>
      </c>
      <c r="D1247" s="467" t="s">
        <v>5985</v>
      </c>
      <c r="E1247" s="468" t="s">
        <v>5360</v>
      </c>
      <c r="F1247" s="465">
        <v>6.62</v>
      </c>
    </row>
    <row r="1248" spans="1:6" ht="26.4" x14ac:dyDescent="0.25">
      <c r="A1248" s="465">
        <v>2019</v>
      </c>
      <c r="B1248" s="466" t="s">
        <v>5989</v>
      </c>
      <c r="C1248" s="466" t="s">
        <v>2094</v>
      </c>
      <c r="D1248" s="467" t="s">
        <v>5990</v>
      </c>
      <c r="E1248" s="468" t="s">
        <v>4863</v>
      </c>
      <c r="F1248" s="465">
        <v>21900</v>
      </c>
    </row>
    <row r="1249" spans="1:6" ht="26.4" x14ac:dyDescent="0.25">
      <c r="A1249" s="465">
        <v>2020</v>
      </c>
      <c r="B1249" s="466" t="s">
        <v>4846</v>
      </c>
      <c r="C1249" s="466" t="s">
        <v>4801</v>
      </c>
      <c r="D1249" s="467" t="s">
        <v>4847</v>
      </c>
      <c r="E1249" s="468" t="s">
        <v>2377</v>
      </c>
      <c r="F1249" s="465">
        <v>54.31</v>
      </c>
    </row>
    <row r="1250" spans="1:6" ht="26.4" x14ac:dyDescent="0.25">
      <c r="A1250" s="465">
        <v>2021</v>
      </c>
      <c r="B1250" s="466" t="s">
        <v>5814</v>
      </c>
      <c r="C1250" s="466" t="s">
        <v>2094</v>
      </c>
      <c r="D1250" s="467" t="s">
        <v>5815</v>
      </c>
      <c r="E1250" s="468" t="s">
        <v>4863</v>
      </c>
      <c r="F1250" s="465">
        <v>1603.03</v>
      </c>
    </row>
    <row r="1251" spans="1:6" ht="26.4" x14ac:dyDescent="0.25">
      <c r="A1251" s="465">
        <v>2022</v>
      </c>
      <c r="B1251" s="466" t="s">
        <v>7426</v>
      </c>
      <c r="C1251" s="466" t="s">
        <v>2094</v>
      </c>
      <c r="D1251" s="467" t="s">
        <v>7427</v>
      </c>
      <c r="E1251" s="468" t="s">
        <v>4863</v>
      </c>
      <c r="F1251" s="465">
        <v>917.17</v>
      </c>
    </row>
    <row r="1252" spans="1:6" ht="26.4" x14ac:dyDescent="0.25">
      <c r="A1252" s="465">
        <v>2023</v>
      </c>
      <c r="B1252" s="466" t="s">
        <v>6408</v>
      </c>
      <c r="C1252" s="466" t="s">
        <v>2094</v>
      </c>
      <c r="D1252" s="467" t="s">
        <v>6409</v>
      </c>
      <c r="E1252" s="468" t="s">
        <v>2377</v>
      </c>
      <c r="F1252" s="465">
        <v>306</v>
      </c>
    </row>
    <row r="1253" spans="1:6" ht="26.4" x14ac:dyDescent="0.25">
      <c r="A1253" s="465">
        <v>2024</v>
      </c>
      <c r="B1253" s="466" t="s">
        <v>4988</v>
      </c>
      <c r="C1253" s="466" t="s">
        <v>4801</v>
      </c>
      <c r="D1253" s="467" t="s">
        <v>4989</v>
      </c>
      <c r="E1253" s="468" t="s">
        <v>2376</v>
      </c>
      <c r="F1253" s="465">
        <v>27.46</v>
      </c>
    </row>
    <row r="1254" spans="1:6" ht="26.4" x14ac:dyDescent="0.25">
      <c r="A1254" s="465">
        <v>2025</v>
      </c>
      <c r="B1254" s="466" t="s">
        <v>4992</v>
      </c>
      <c r="C1254" s="466" t="s">
        <v>4801</v>
      </c>
      <c r="D1254" s="467" t="s">
        <v>4993</v>
      </c>
      <c r="E1254" s="468" t="s">
        <v>2376</v>
      </c>
      <c r="F1254" s="465">
        <v>36.96</v>
      </c>
    </row>
    <row r="1255" spans="1:6" ht="26.4" x14ac:dyDescent="0.25">
      <c r="A1255" s="465">
        <v>2026</v>
      </c>
      <c r="B1255" s="466" t="s">
        <v>4990</v>
      </c>
      <c r="C1255" s="466" t="s">
        <v>4801</v>
      </c>
      <c r="D1255" s="467" t="s">
        <v>4991</v>
      </c>
      <c r="E1255" s="468" t="s">
        <v>2376</v>
      </c>
      <c r="F1255" s="465">
        <v>57.62</v>
      </c>
    </row>
    <row r="1256" spans="1:6" ht="26.4" x14ac:dyDescent="0.25">
      <c r="A1256" s="465">
        <v>2027</v>
      </c>
      <c r="B1256" s="466" t="s">
        <v>4986</v>
      </c>
      <c r="C1256" s="466" t="s">
        <v>4801</v>
      </c>
      <c r="D1256" s="467" t="s">
        <v>4987</v>
      </c>
      <c r="E1256" s="468" t="s">
        <v>2376</v>
      </c>
      <c r="F1256" s="465">
        <v>14.75</v>
      </c>
    </row>
    <row r="1257" spans="1:6" ht="26.4" x14ac:dyDescent="0.25">
      <c r="A1257" s="465">
        <v>2028</v>
      </c>
      <c r="B1257" s="466" t="s">
        <v>5292</v>
      </c>
      <c r="C1257" s="466" t="s">
        <v>2094</v>
      </c>
      <c r="D1257" s="467" t="s">
        <v>5293</v>
      </c>
      <c r="E1257" s="468" t="s">
        <v>4813</v>
      </c>
      <c r="F1257" s="465">
        <v>4.8499999999999996</v>
      </c>
    </row>
    <row r="1258" spans="1:6" ht="26.4" x14ac:dyDescent="0.25">
      <c r="A1258" s="465">
        <v>2029</v>
      </c>
      <c r="B1258" s="466" t="s">
        <v>5294</v>
      </c>
      <c r="C1258" s="466" t="s">
        <v>2094</v>
      </c>
      <c r="D1258" s="467" t="s">
        <v>5295</v>
      </c>
      <c r="E1258" s="468" t="s">
        <v>4813</v>
      </c>
      <c r="F1258" s="465">
        <v>6.49</v>
      </c>
    </row>
    <row r="1259" spans="1:6" ht="26.4" x14ac:dyDescent="0.25">
      <c r="A1259" s="465">
        <v>2030</v>
      </c>
      <c r="B1259" s="466" t="s">
        <v>5290</v>
      </c>
      <c r="C1259" s="466" t="s">
        <v>2094</v>
      </c>
      <c r="D1259" s="467" t="s">
        <v>5291</v>
      </c>
      <c r="E1259" s="468" t="s">
        <v>4813</v>
      </c>
      <c r="F1259" s="465">
        <v>8.26</v>
      </c>
    </row>
    <row r="1260" spans="1:6" ht="52.8" x14ac:dyDescent="0.25">
      <c r="A1260" s="465">
        <v>2031</v>
      </c>
      <c r="B1260" s="466" t="s">
        <v>5040</v>
      </c>
      <c r="C1260" s="466" t="s">
        <v>4801</v>
      </c>
      <c r="D1260" s="467" t="s">
        <v>5041</v>
      </c>
      <c r="E1260" s="468" t="s">
        <v>5042</v>
      </c>
      <c r="F1260" s="465">
        <v>0.12</v>
      </c>
    </row>
    <row r="1261" spans="1:6" ht="26.4" x14ac:dyDescent="0.25">
      <c r="A1261" s="465">
        <v>2032</v>
      </c>
      <c r="B1261" s="466" t="s">
        <v>7403</v>
      </c>
      <c r="C1261" s="466" t="s">
        <v>2094</v>
      </c>
      <c r="D1261" s="467" t="s">
        <v>7404</v>
      </c>
      <c r="E1261" s="468" t="s">
        <v>5970</v>
      </c>
      <c r="F1261" s="465">
        <v>2.08</v>
      </c>
    </row>
    <row r="1262" spans="1:6" ht="26.4" x14ac:dyDescent="0.25">
      <c r="A1262" s="465">
        <v>2035</v>
      </c>
      <c r="B1262" s="466" t="s">
        <v>6562</v>
      </c>
      <c r="C1262" s="466" t="s">
        <v>2094</v>
      </c>
      <c r="D1262" s="467" t="s">
        <v>6563</v>
      </c>
      <c r="E1262" s="468" t="s">
        <v>2377</v>
      </c>
      <c r="F1262" s="465">
        <v>37.119999999999997</v>
      </c>
    </row>
    <row r="1263" spans="1:6" ht="26.4" x14ac:dyDescent="0.25">
      <c r="A1263" s="465">
        <v>2036</v>
      </c>
      <c r="B1263" s="466" t="s">
        <v>4887</v>
      </c>
      <c r="C1263" s="466" t="s">
        <v>4801</v>
      </c>
      <c r="D1263" s="467" t="s">
        <v>4888</v>
      </c>
      <c r="E1263" s="468" t="s">
        <v>4863</v>
      </c>
      <c r="F1263" s="465">
        <v>18745</v>
      </c>
    </row>
    <row r="1264" spans="1:6" ht="26.4" x14ac:dyDescent="0.25">
      <c r="A1264" s="465">
        <v>2037</v>
      </c>
      <c r="B1264" s="466" t="s">
        <v>6006</v>
      </c>
      <c r="C1264" s="466" t="s">
        <v>2094</v>
      </c>
      <c r="D1264" s="467" t="s">
        <v>6007</v>
      </c>
      <c r="E1264" s="468" t="s">
        <v>4863</v>
      </c>
      <c r="F1264" s="465">
        <v>84.08</v>
      </c>
    </row>
    <row r="1265" spans="1:6" ht="26.4" x14ac:dyDescent="0.25">
      <c r="A1265" s="465">
        <v>2038</v>
      </c>
      <c r="B1265" s="466" t="s">
        <v>6008</v>
      </c>
      <c r="C1265" s="466" t="s">
        <v>2094</v>
      </c>
      <c r="D1265" s="467" t="s">
        <v>6009</v>
      </c>
      <c r="E1265" s="468" t="s">
        <v>4813</v>
      </c>
      <c r="F1265" s="465">
        <v>0.28999999999999998</v>
      </c>
    </row>
    <row r="1266" spans="1:6" ht="26.4" x14ac:dyDescent="0.25">
      <c r="A1266" s="465">
        <v>2040</v>
      </c>
      <c r="B1266" s="466" t="s">
        <v>5695</v>
      </c>
      <c r="C1266" s="466" t="s">
        <v>2094</v>
      </c>
      <c r="D1266" s="467" t="s">
        <v>5696</v>
      </c>
      <c r="E1266" s="468" t="s">
        <v>4863</v>
      </c>
      <c r="F1266" s="465">
        <v>3.44</v>
      </c>
    </row>
    <row r="1267" spans="1:6" ht="26.4" x14ac:dyDescent="0.25">
      <c r="A1267" s="465">
        <v>2041</v>
      </c>
      <c r="B1267" s="466" t="s">
        <v>6474</v>
      </c>
      <c r="C1267" s="466" t="s">
        <v>2094</v>
      </c>
      <c r="D1267" s="467" t="s">
        <v>6473</v>
      </c>
      <c r="E1267" s="468" t="s">
        <v>2376</v>
      </c>
      <c r="F1267" s="465">
        <v>71.25</v>
      </c>
    </row>
    <row r="1268" spans="1:6" ht="26.4" x14ac:dyDescent="0.25">
      <c r="A1268" s="465">
        <v>2042</v>
      </c>
      <c r="B1268" s="466" t="s">
        <v>6472</v>
      </c>
      <c r="C1268" s="466" t="s">
        <v>2094</v>
      </c>
      <c r="D1268" s="467" t="s">
        <v>6473</v>
      </c>
      <c r="E1268" s="468" t="s">
        <v>2376</v>
      </c>
      <c r="F1268" s="465">
        <v>69.92</v>
      </c>
    </row>
    <row r="1269" spans="1:6" ht="26.4" x14ac:dyDescent="0.25">
      <c r="A1269" s="465">
        <v>2043</v>
      </c>
      <c r="B1269" s="466" t="s">
        <v>6485</v>
      </c>
      <c r="C1269" s="466" t="s">
        <v>2094</v>
      </c>
      <c r="D1269" s="467" t="s">
        <v>6473</v>
      </c>
      <c r="E1269" s="468" t="s">
        <v>2376</v>
      </c>
      <c r="F1269" s="465">
        <v>28.09</v>
      </c>
    </row>
    <row r="1270" spans="1:6" ht="39.6" x14ac:dyDescent="0.25">
      <c r="A1270" s="465">
        <v>2044</v>
      </c>
      <c r="B1270" s="466" t="s">
        <v>4821</v>
      </c>
      <c r="C1270" s="466" t="s">
        <v>4801</v>
      </c>
      <c r="D1270" s="467" t="s">
        <v>4822</v>
      </c>
      <c r="E1270" s="468" t="s">
        <v>4813</v>
      </c>
      <c r="F1270" s="465">
        <v>2.0099999999999998</v>
      </c>
    </row>
    <row r="1271" spans="1:6" ht="26.4" x14ac:dyDescent="0.25">
      <c r="A1271" s="465">
        <v>2045</v>
      </c>
      <c r="B1271" s="466" t="s">
        <v>6996</v>
      </c>
      <c r="C1271" s="466" t="s">
        <v>2094</v>
      </c>
      <c r="D1271" s="467" t="s">
        <v>6997</v>
      </c>
      <c r="E1271" s="468" t="s">
        <v>2377</v>
      </c>
      <c r="F1271" s="465">
        <v>22</v>
      </c>
    </row>
    <row r="1272" spans="1:6" x14ac:dyDescent="0.25">
      <c r="A1272" s="465">
        <v>2046</v>
      </c>
      <c r="B1272" s="466" t="s">
        <v>5517</v>
      </c>
      <c r="C1272" s="466" t="s">
        <v>2094</v>
      </c>
      <c r="D1272" s="467" t="s">
        <v>5518</v>
      </c>
      <c r="E1272" s="468" t="s">
        <v>4813</v>
      </c>
      <c r="F1272" s="465">
        <v>36.9</v>
      </c>
    </row>
    <row r="1273" spans="1:6" ht="26.4" x14ac:dyDescent="0.25">
      <c r="A1273" s="465">
        <v>2047</v>
      </c>
      <c r="B1273" s="466" t="s">
        <v>7344</v>
      </c>
      <c r="C1273" s="466" t="s">
        <v>2094</v>
      </c>
      <c r="D1273" s="467" t="s">
        <v>7345</v>
      </c>
      <c r="E1273" s="468" t="s">
        <v>4863</v>
      </c>
      <c r="F1273" s="465">
        <v>0.35</v>
      </c>
    </row>
    <row r="1274" spans="1:6" ht="39.6" x14ac:dyDescent="0.25">
      <c r="A1274" s="465">
        <v>2048</v>
      </c>
      <c r="B1274" s="466" t="s">
        <v>6829</v>
      </c>
      <c r="C1274" s="466" t="s">
        <v>2094</v>
      </c>
      <c r="D1274" s="467" t="s">
        <v>6830</v>
      </c>
      <c r="E1274" s="468" t="s">
        <v>4813</v>
      </c>
      <c r="F1274" s="465">
        <v>33.450000000000003</v>
      </c>
    </row>
    <row r="1275" spans="1:6" ht="26.4" x14ac:dyDescent="0.25">
      <c r="A1275" s="465">
        <v>2049</v>
      </c>
      <c r="B1275" s="466" t="s">
        <v>4853</v>
      </c>
      <c r="C1275" s="466" t="s">
        <v>4801</v>
      </c>
      <c r="D1275" s="467" t="s">
        <v>4854</v>
      </c>
      <c r="E1275" s="468" t="s">
        <v>4803</v>
      </c>
      <c r="F1275" s="465">
        <v>344.65</v>
      </c>
    </row>
    <row r="1276" spans="1:6" ht="26.4" x14ac:dyDescent="0.25">
      <c r="A1276" s="465">
        <v>2050</v>
      </c>
      <c r="B1276" s="466" t="s">
        <v>7223</v>
      </c>
      <c r="C1276" s="466" t="s">
        <v>2094</v>
      </c>
      <c r="D1276" s="467" t="s">
        <v>7222</v>
      </c>
      <c r="E1276" s="468" t="s">
        <v>5034</v>
      </c>
      <c r="F1276" s="465">
        <v>1.32</v>
      </c>
    </row>
    <row r="1277" spans="1:6" ht="26.4" x14ac:dyDescent="0.25">
      <c r="A1277" s="465">
        <v>2051</v>
      </c>
      <c r="B1277" s="466" t="s">
        <v>7221</v>
      </c>
      <c r="C1277" s="466" t="s">
        <v>2094</v>
      </c>
      <c r="D1277" s="467" t="s">
        <v>7222</v>
      </c>
      <c r="E1277" s="468" t="s">
        <v>5034</v>
      </c>
      <c r="F1277" s="465">
        <v>2.1</v>
      </c>
    </row>
    <row r="1278" spans="1:6" ht="52.8" x14ac:dyDescent="0.25">
      <c r="A1278" s="465">
        <v>2052</v>
      </c>
      <c r="B1278" s="466" t="s">
        <v>6311</v>
      </c>
      <c r="C1278" s="466" t="s">
        <v>2094</v>
      </c>
      <c r="D1278" s="467" t="s">
        <v>6312</v>
      </c>
      <c r="E1278" s="468" t="s">
        <v>4863</v>
      </c>
      <c r="F1278" s="465">
        <v>3650</v>
      </c>
    </row>
    <row r="1279" spans="1:6" ht="26.4" x14ac:dyDescent="0.25">
      <c r="A1279" s="465">
        <v>2054</v>
      </c>
      <c r="B1279" s="466" t="s">
        <v>6958</v>
      </c>
      <c r="C1279" s="466" t="s">
        <v>2094</v>
      </c>
      <c r="D1279" s="467" t="s">
        <v>6959</v>
      </c>
      <c r="E1279" s="468" t="s">
        <v>4863</v>
      </c>
      <c r="F1279" s="465">
        <v>5103.92</v>
      </c>
    </row>
    <row r="1280" spans="1:6" ht="39.6" x14ac:dyDescent="0.25">
      <c r="A1280" s="465">
        <v>2055</v>
      </c>
      <c r="B1280" s="466" t="s">
        <v>7272</v>
      </c>
      <c r="C1280" s="466" t="s">
        <v>2094</v>
      </c>
      <c r="D1280" s="467" t="s">
        <v>7273</v>
      </c>
      <c r="E1280" s="468" t="s">
        <v>4803</v>
      </c>
      <c r="F1280" s="465">
        <v>299.63</v>
      </c>
    </row>
    <row r="1281" spans="1:6" ht="52.8" x14ac:dyDescent="0.25">
      <c r="A1281" s="465">
        <v>2056</v>
      </c>
      <c r="B1281" s="466" t="s">
        <v>7268</v>
      </c>
      <c r="C1281" s="466" t="s">
        <v>2094</v>
      </c>
      <c r="D1281" s="467" t="s">
        <v>7269</v>
      </c>
      <c r="E1281" s="468" t="s">
        <v>4803</v>
      </c>
      <c r="F1281" s="465">
        <v>347.96</v>
      </c>
    </row>
    <row r="1282" spans="1:6" ht="26.4" x14ac:dyDescent="0.25">
      <c r="A1282" s="465">
        <v>2057</v>
      </c>
      <c r="B1282" s="466" t="s">
        <v>7270</v>
      </c>
      <c r="C1282" s="466" t="s">
        <v>2094</v>
      </c>
      <c r="D1282" s="467" t="s">
        <v>7271</v>
      </c>
      <c r="E1282" s="468" t="s">
        <v>4803</v>
      </c>
      <c r="F1282" s="465">
        <v>543.17999999999995</v>
      </c>
    </row>
    <row r="1283" spans="1:6" ht="26.4" x14ac:dyDescent="0.25">
      <c r="A1283" s="465">
        <v>2058</v>
      </c>
      <c r="B1283" s="466" t="s">
        <v>5068</v>
      </c>
      <c r="C1283" s="466" t="s">
        <v>4801</v>
      </c>
      <c r="D1283" s="467" t="s">
        <v>5069</v>
      </c>
      <c r="E1283" s="468" t="s">
        <v>4863</v>
      </c>
      <c r="F1283" s="465">
        <v>347.91</v>
      </c>
    </row>
    <row r="1284" spans="1:6" x14ac:dyDescent="0.25">
      <c r="A1284" s="465">
        <v>2059</v>
      </c>
      <c r="B1284" s="466" t="s">
        <v>6286</v>
      </c>
      <c r="C1284" s="466" t="s">
        <v>2094</v>
      </c>
      <c r="D1284" s="467" t="s">
        <v>6287</v>
      </c>
      <c r="E1284" s="468" t="s">
        <v>4863</v>
      </c>
      <c r="F1284" s="465">
        <v>2181.91</v>
      </c>
    </row>
    <row r="1285" spans="1:6" ht="26.4" x14ac:dyDescent="0.25">
      <c r="A1285" s="465">
        <v>2060</v>
      </c>
      <c r="B1285" s="466" t="s">
        <v>6208</v>
      </c>
      <c r="C1285" s="466" t="s">
        <v>2094</v>
      </c>
      <c r="D1285" s="467" t="s">
        <v>6209</v>
      </c>
      <c r="E1285" s="468" t="s">
        <v>4886</v>
      </c>
      <c r="F1285" s="465">
        <v>15.14</v>
      </c>
    </row>
    <row r="1286" spans="1:6" ht="52.8" x14ac:dyDescent="0.25">
      <c r="A1286" s="465">
        <v>2061</v>
      </c>
      <c r="B1286" s="466" t="s">
        <v>6315</v>
      </c>
      <c r="C1286" s="466" t="s">
        <v>2094</v>
      </c>
      <c r="D1286" s="467" t="s">
        <v>6316</v>
      </c>
      <c r="E1286" s="468" t="s">
        <v>4863</v>
      </c>
      <c r="F1286" s="465">
        <v>1261.0999999999999</v>
      </c>
    </row>
    <row r="1287" spans="1:6" ht="26.4" x14ac:dyDescent="0.25">
      <c r="A1287" s="465">
        <v>2063</v>
      </c>
      <c r="B1287" s="466" t="s">
        <v>6281</v>
      </c>
      <c r="C1287" s="466" t="s">
        <v>2094</v>
      </c>
      <c r="D1287" s="467" t="s">
        <v>6282</v>
      </c>
      <c r="E1287" s="468" t="s">
        <v>4863</v>
      </c>
      <c r="F1287" s="465">
        <v>318.31</v>
      </c>
    </row>
    <row r="1288" spans="1:6" ht="26.4" x14ac:dyDescent="0.25">
      <c r="A1288" s="465">
        <v>2064</v>
      </c>
      <c r="B1288" s="466" t="s">
        <v>7385</v>
      </c>
      <c r="C1288" s="466" t="s">
        <v>2094</v>
      </c>
      <c r="D1288" s="467" t="s">
        <v>7386</v>
      </c>
      <c r="E1288" s="468" t="s">
        <v>4863</v>
      </c>
      <c r="F1288" s="465">
        <v>133.71</v>
      </c>
    </row>
    <row r="1289" spans="1:6" ht="26.4" x14ac:dyDescent="0.25">
      <c r="A1289" s="465">
        <v>2065</v>
      </c>
      <c r="B1289" s="466" t="s">
        <v>6292</v>
      </c>
      <c r="C1289" s="466" t="s">
        <v>2094</v>
      </c>
      <c r="D1289" s="467" t="s">
        <v>6293</v>
      </c>
      <c r="E1289" s="468" t="s">
        <v>5034</v>
      </c>
      <c r="F1289" s="465">
        <v>255</v>
      </c>
    </row>
    <row r="1290" spans="1:6" ht="26.4" x14ac:dyDescent="0.25">
      <c r="A1290" s="465">
        <v>2066</v>
      </c>
      <c r="B1290" s="466" t="s">
        <v>5948</v>
      </c>
      <c r="C1290" s="466" t="s">
        <v>2094</v>
      </c>
      <c r="D1290" s="467" t="s">
        <v>5949</v>
      </c>
      <c r="E1290" s="468" t="s">
        <v>4813</v>
      </c>
      <c r="F1290" s="465">
        <v>6.08</v>
      </c>
    </row>
    <row r="1291" spans="1:6" x14ac:dyDescent="0.25">
      <c r="A1291" s="465">
        <v>2067</v>
      </c>
      <c r="B1291" s="466" t="s">
        <v>6967</v>
      </c>
      <c r="C1291" s="466" t="s">
        <v>2094</v>
      </c>
      <c r="D1291" s="467" t="s">
        <v>6968</v>
      </c>
      <c r="E1291" s="468" t="s">
        <v>4863</v>
      </c>
      <c r="F1291" s="465">
        <v>122.75</v>
      </c>
    </row>
    <row r="1292" spans="1:6" x14ac:dyDescent="0.25">
      <c r="A1292" s="465">
        <v>2068</v>
      </c>
      <c r="B1292" s="466" t="s">
        <v>5348</v>
      </c>
      <c r="C1292" s="466" t="s">
        <v>2094</v>
      </c>
      <c r="D1292" s="467" t="s">
        <v>5349</v>
      </c>
      <c r="E1292" s="468" t="s">
        <v>4813</v>
      </c>
      <c r="F1292" s="465">
        <v>0.8</v>
      </c>
    </row>
    <row r="1293" spans="1:6" ht="52.8" x14ac:dyDescent="0.25">
      <c r="A1293" s="465">
        <v>2069</v>
      </c>
      <c r="B1293" s="466" t="s">
        <v>6867</v>
      </c>
      <c r="C1293" s="466" t="s">
        <v>2094</v>
      </c>
      <c r="D1293" s="467" t="s">
        <v>6868</v>
      </c>
      <c r="E1293" s="468" t="s">
        <v>4863</v>
      </c>
      <c r="F1293" s="465">
        <v>468.1</v>
      </c>
    </row>
    <row r="1294" spans="1:6" ht="52.8" x14ac:dyDescent="0.25">
      <c r="A1294" s="465">
        <v>2070</v>
      </c>
      <c r="B1294" s="466" t="s">
        <v>6869</v>
      </c>
      <c r="C1294" s="466" t="s">
        <v>2094</v>
      </c>
      <c r="D1294" s="467" t="s">
        <v>6870</v>
      </c>
      <c r="E1294" s="468" t="s">
        <v>5082</v>
      </c>
      <c r="F1294" s="465">
        <v>2.91</v>
      </c>
    </row>
    <row r="1295" spans="1:6" ht="52.8" x14ac:dyDescent="0.25">
      <c r="A1295" s="465">
        <v>2071</v>
      </c>
      <c r="B1295" s="466" t="s">
        <v>6875</v>
      </c>
      <c r="C1295" s="466" t="s">
        <v>2094</v>
      </c>
      <c r="D1295" s="467" t="s">
        <v>6876</v>
      </c>
      <c r="E1295" s="468" t="s">
        <v>4863</v>
      </c>
      <c r="F1295" s="465">
        <v>1184.75</v>
      </c>
    </row>
    <row r="1296" spans="1:6" ht="52.8" x14ac:dyDescent="0.25">
      <c r="A1296" s="465">
        <v>2072</v>
      </c>
      <c r="B1296" s="466" t="s">
        <v>6877</v>
      </c>
      <c r="C1296" s="466" t="s">
        <v>2094</v>
      </c>
      <c r="D1296" s="467" t="s">
        <v>6878</v>
      </c>
      <c r="E1296" s="468" t="s">
        <v>5082</v>
      </c>
      <c r="F1296" s="465">
        <v>2.31</v>
      </c>
    </row>
    <row r="1297" spans="1:6" ht="52.8" x14ac:dyDescent="0.25">
      <c r="A1297" s="465">
        <v>2073</v>
      </c>
      <c r="B1297" s="466" t="s">
        <v>6879</v>
      </c>
      <c r="C1297" s="466" t="s">
        <v>2094</v>
      </c>
      <c r="D1297" s="467" t="s">
        <v>6876</v>
      </c>
      <c r="E1297" s="468" t="s">
        <v>4863</v>
      </c>
      <c r="F1297" s="465">
        <v>1640.5</v>
      </c>
    </row>
    <row r="1298" spans="1:6" ht="52.8" x14ac:dyDescent="0.25">
      <c r="A1298" s="465">
        <v>2074</v>
      </c>
      <c r="B1298" s="466" t="s">
        <v>6880</v>
      </c>
      <c r="C1298" s="466" t="s">
        <v>2094</v>
      </c>
      <c r="D1298" s="467" t="s">
        <v>6878</v>
      </c>
      <c r="E1298" s="468" t="s">
        <v>5082</v>
      </c>
      <c r="F1298" s="465">
        <v>2.39</v>
      </c>
    </row>
    <row r="1299" spans="1:6" ht="66" x14ac:dyDescent="0.25">
      <c r="A1299" s="465">
        <v>2075</v>
      </c>
      <c r="B1299" s="466" t="s">
        <v>6871</v>
      </c>
      <c r="C1299" s="466" t="s">
        <v>2094</v>
      </c>
      <c r="D1299" s="467" t="s">
        <v>6872</v>
      </c>
      <c r="E1299" s="468" t="s">
        <v>4863</v>
      </c>
      <c r="F1299" s="465">
        <v>2548.85</v>
      </c>
    </row>
    <row r="1300" spans="1:6" ht="52.8" x14ac:dyDescent="0.25">
      <c r="A1300" s="465">
        <v>2076</v>
      </c>
      <c r="B1300" s="466" t="s">
        <v>6873</v>
      </c>
      <c r="C1300" s="466" t="s">
        <v>2094</v>
      </c>
      <c r="D1300" s="467" t="s">
        <v>6874</v>
      </c>
      <c r="E1300" s="468" t="s">
        <v>5082</v>
      </c>
      <c r="F1300" s="465">
        <v>3.04</v>
      </c>
    </row>
    <row r="1301" spans="1:6" ht="39.6" x14ac:dyDescent="0.25">
      <c r="A1301" s="465">
        <v>2080</v>
      </c>
      <c r="B1301" s="466" t="s">
        <v>5747</v>
      </c>
      <c r="C1301" s="466" t="s">
        <v>2094</v>
      </c>
      <c r="D1301" s="467" t="s">
        <v>5748</v>
      </c>
      <c r="E1301" s="468" t="s">
        <v>4863</v>
      </c>
      <c r="F1301" s="465">
        <v>1522.08</v>
      </c>
    </row>
    <row r="1302" spans="1:6" ht="39.6" x14ac:dyDescent="0.25">
      <c r="A1302" s="465">
        <v>2081</v>
      </c>
      <c r="B1302" s="466" t="s">
        <v>5735</v>
      </c>
      <c r="C1302" s="466" t="s">
        <v>2094</v>
      </c>
      <c r="D1302" s="467" t="s">
        <v>5736</v>
      </c>
      <c r="E1302" s="468" t="s">
        <v>4863</v>
      </c>
      <c r="F1302" s="465">
        <v>2677.95</v>
      </c>
    </row>
    <row r="1303" spans="1:6" ht="39.6" x14ac:dyDescent="0.25">
      <c r="A1303" s="465">
        <v>2082</v>
      </c>
      <c r="B1303" s="466" t="s">
        <v>5737</v>
      </c>
      <c r="C1303" s="466" t="s">
        <v>2094</v>
      </c>
      <c r="D1303" s="467" t="s">
        <v>5738</v>
      </c>
      <c r="E1303" s="468" t="s">
        <v>4863</v>
      </c>
      <c r="F1303" s="465">
        <v>3609.54</v>
      </c>
    </row>
    <row r="1304" spans="1:6" ht="39.6" x14ac:dyDescent="0.25">
      <c r="A1304" s="465">
        <v>2083</v>
      </c>
      <c r="B1304" s="466" t="s">
        <v>5739</v>
      </c>
      <c r="C1304" s="466" t="s">
        <v>2094</v>
      </c>
      <c r="D1304" s="467" t="s">
        <v>5740</v>
      </c>
      <c r="E1304" s="468" t="s">
        <v>4863</v>
      </c>
      <c r="F1304" s="465">
        <v>4892.5600000000004</v>
      </c>
    </row>
    <row r="1305" spans="1:6" ht="39.6" x14ac:dyDescent="0.25">
      <c r="A1305" s="465">
        <v>2084</v>
      </c>
      <c r="B1305" s="466" t="s">
        <v>5741</v>
      </c>
      <c r="C1305" s="466" t="s">
        <v>2094</v>
      </c>
      <c r="D1305" s="467" t="s">
        <v>5742</v>
      </c>
      <c r="E1305" s="468" t="s">
        <v>4863</v>
      </c>
      <c r="F1305" s="465">
        <v>6837.2</v>
      </c>
    </row>
    <row r="1306" spans="1:6" ht="39.6" x14ac:dyDescent="0.25">
      <c r="A1306" s="465">
        <v>2085</v>
      </c>
      <c r="B1306" s="466" t="s">
        <v>5743</v>
      </c>
      <c r="C1306" s="466" t="s">
        <v>2094</v>
      </c>
      <c r="D1306" s="467" t="s">
        <v>5744</v>
      </c>
      <c r="E1306" s="468" t="s">
        <v>4863</v>
      </c>
      <c r="F1306" s="465">
        <v>10035.700000000001</v>
      </c>
    </row>
    <row r="1307" spans="1:6" ht="39.6" x14ac:dyDescent="0.25">
      <c r="A1307" s="465">
        <v>2086</v>
      </c>
      <c r="B1307" s="466" t="s">
        <v>5745</v>
      </c>
      <c r="C1307" s="466" t="s">
        <v>2094</v>
      </c>
      <c r="D1307" s="467" t="s">
        <v>5746</v>
      </c>
      <c r="E1307" s="468" t="s">
        <v>4863</v>
      </c>
      <c r="F1307" s="465">
        <v>11898.87</v>
      </c>
    </row>
    <row r="1308" spans="1:6" x14ac:dyDescent="0.25">
      <c r="A1308" s="465">
        <v>2087</v>
      </c>
      <c r="B1308" s="466" t="s">
        <v>5633</v>
      </c>
      <c r="C1308" s="466" t="s">
        <v>2094</v>
      </c>
      <c r="D1308" s="467" t="s">
        <v>5634</v>
      </c>
      <c r="E1308" s="468" t="s">
        <v>4813</v>
      </c>
      <c r="F1308" s="465">
        <v>181</v>
      </c>
    </row>
    <row r="1309" spans="1:6" ht="39.6" x14ac:dyDescent="0.25">
      <c r="A1309" s="465">
        <v>2088</v>
      </c>
      <c r="B1309" s="466" t="s">
        <v>5170</v>
      </c>
      <c r="C1309" s="466" t="s">
        <v>4801</v>
      </c>
      <c r="D1309" s="467" t="s">
        <v>5171</v>
      </c>
      <c r="E1309" s="468" t="s">
        <v>4803</v>
      </c>
      <c r="F1309" s="465">
        <v>155.51</v>
      </c>
    </row>
    <row r="1310" spans="1:6" ht="39.6" x14ac:dyDescent="0.25">
      <c r="A1310" s="465">
        <v>2089</v>
      </c>
      <c r="B1310" s="466" t="s">
        <v>5172</v>
      </c>
      <c r="C1310" s="466" t="s">
        <v>4801</v>
      </c>
      <c r="D1310" s="467" t="s">
        <v>5173</v>
      </c>
      <c r="E1310" s="468" t="s">
        <v>4803</v>
      </c>
      <c r="F1310" s="465">
        <v>172.72</v>
      </c>
    </row>
    <row r="1311" spans="1:6" ht="39.6" x14ac:dyDescent="0.25">
      <c r="A1311" s="465">
        <v>2090</v>
      </c>
      <c r="B1311" s="466" t="s">
        <v>5174</v>
      </c>
      <c r="C1311" s="466" t="s">
        <v>4801</v>
      </c>
      <c r="D1311" s="467" t="s">
        <v>5175</v>
      </c>
      <c r="E1311" s="468" t="s">
        <v>4803</v>
      </c>
      <c r="F1311" s="465">
        <v>189.94</v>
      </c>
    </row>
    <row r="1312" spans="1:6" ht="26.4" x14ac:dyDescent="0.25">
      <c r="A1312" s="465">
        <v>2091</v>
      </c>
      <c r="B1312" s="466" t="s">
        <v>5421</v>
      </c>
      <c r="C1312" s="466" t="s">
        <v>2094</v>
      </c>
      <c r="D1312" s="467" t="s">
        <v>5422</v>
      </c>
      <c r="E1312" s="468" t="s">
        <v>4813</v>
      </c>
      <c r="F1312" s="465">
        <v>1.07</v>
      </c>
    </row>
    <row r="1313" spans="1:6" ht="26.4" x14ac:dyDescent="0.25">
      <c r="A1313" s="465">
        <v>2092</v>
      </c>
      <c r="B1313" s="466" t="s">
        <v>5427</v>
      </c>
      <c r="C1313" s="466" t="s">
        <v>2094</v>
      </c>
      <c r="D1313" s="467" t="s">
        <v>5428</v>
      </c>
      <c r="E1313" s="468" t="s">
        <v>4813</v>
      </c>
      <c r="F1313" s="465">
        <v>1.76</v>
      </c>
    </row>
    <row r="1314" spans="1:6" ht="52.8" x14ac:dyDescent="0.25">
      <c r="A1314" s="465">
        <v>2093</v>
      </c>
      <c r="B1314" s="466" t="s">
        <v>5104</v>
      </c>
      <c r="C1314" s="466" t="s">
        <v>4801</v>
      </c>
      <c r="D1314" s="467" t="s">
        <v>5105</v>
      </c>
      <c r="E1314" s="468" t="s">
        <v>4803</v>
      </c>
      <c r="F1314" s="465">
        <v>25.04</v>
      </c>
    </row>
    <row r="1315" spans="1:6" ht="52.8" x14ac:dyDescent="0.25">
      <c r="A1315" s="465">
        <v>2094</v>
      </c>
      <c r="B1315" s="466" t="s">
        <v>5106</v>
      </c>
      <c r="C1315" s="466" t="s">
        <v>4801</v>
      </c>
      <c r="D1315" s="467" t="s">
        <v>5107</v>
      </c>
      <c r="E1315" s="468" t="s">
        <v>4803</v>
      </c>
      <c r="F1315" s="465">
        <v>27.51</v>
      </c>
    </row>
    <row r="1316" spans="1:6" ht="52.8" x14ac:dyDescent="0.25">
      <c r="A1316" s="465">
        <v>2095</v>
      </c>
      <c r="B1316" s="466" t="s">
        <v>5108</v>
      </c>
      <c r="C1316" s="466" t="s">
        <v>4801</v>
      </c>
      <c r="D1316" s="467" t="s">
        <v>5109</v>
      </c>
      <c r="E1316" s="468" t="s">
        <v>4803</v>
      </c>
      <c r="F1316" s="465">
        <v>29.97</v>
      </c>
    </row>
    <row r="1317" spans="1:6" ht="26.4" x14ac:dyDescent="0.25">
      <c r="A1317" s="465">
        <v>2097</v>
      </c>
      <c r="B1317" s="466" t="s">
        <v>5302</v>
      </c>
      <c r="C1317" s="466" t="s">
        <v>2094</v>
      </c>
      <c r="D1317" s="467" t="s">
        <v>5303</v>
      </c>
      <c r="E1317" s="468" t="s">
        <v>4813</v>
      </c>
      <c r="F1317" s="465">
        <v>13.59</v>
      </c>
    </row>
    <row r="1318" spans="1:6" x14ac:dyDescent="0.25">
      <c r="A1318" s="465">
        <v>2098</v>
      </c>
      <c r="B1318" s="466" t="s">
        <v>5253</v>
      </c>
      <c r="C1318" s="466" t="s">
        <v>2094</v>
      </c>
      <c r="D1318" s="467" t="s">
        <v>5254</v>
      </c>
      <c r="E1318" s="468" t="s">
        <v>4863</v>
      </c>
      <c r="F1318" s="465">
        <v>285</v>
      </c>
    </row>
    <row r="1319" spans="1:6" x14ac:dyDescent="0.25">
      <c r="A1319" s="465">
        <v>2099</v>
      </c>
      <c r="B1319" s="466" t="s">
        <v>5255</v>
      </c>
      <c r="C1319" s="466" t="s">
        <v>2094</v>
      </c>
      <c r="D1319" s="467" t="s">
        <v>5256</v>
      </c>
      <c r="E1319" s="468" t="s">
        <v>4863</v>
      </c>
      <c r="F1319" s="465">
        <v>500</v>
      </c>
    </row>
    <row r="1320" spans="1:6" x14ac:dyDescent="0.25">
      <c r="A1320" s="465">
        <v>2100</v>
      </c>
      <c r="B1320" s="466" t="s">
        <v>5642</v>
      </c>
      <c r="C1320" s="466" t="s">
        <v>2094</v>
      </c>
      <c r="D1320" s="467" t="s">
        <v>5643</v>
      </c>
      <c r="E1320" s="468" t="s">
        <v>4863</v>
      </c>
      <c r="F1320" s="465">
        <v>819.15</v>
      </c>
    </row>
    <row r="1321" spans="1:6" x14ac:dyDescent="0.25">
      <c r="A1321" s="465">
        <v>2101</v>
      </c>
      <c r="B1321" s="466" t="s">
        <v>5644</v>
      </c>
      <c r="C1321" s="466" t="s">
        <v>2094</v>
      </c>
      <c r="D1321" s="467" t="s">
        <v>5645</v>
      </c>
      <c r="E1321" s="468" t="s">
        <v>4863</v>
      </c>
      <c r="F1321" s="465">
        <v>1138.32</v>
      </c>
    </row>
    <row r="1322" spans="1:6" ht="26.4" x14ac:dyDescent="0.25">
      <c r="A1322" s="465">
        <v>2102</v>
      </c>
      <c r="B1322" s="466" t="s">
        <v>5733</v>
      </c>
      <c r="C1322" s="466" t="s">
        <v>2094</v>
      </c>
      <c r="D1322" s="467" t="s">
        <v>5734</v>
      </c>
      <c r="E1322" s="468" t="s">
        <v>4863</v>
      </c>
      <c r="F1322" s="465">
        <v>593.94000000000005</v>
      </c>
    </row>
    <row r="1323" spans="1:6" ht="52.8" x14ac:dyDescent="0.25">
      <c r="A1323" s="465">
        <v>2103</v>
      </c>
      <c r="B1323" s="466" t="s">
        <v>5798</v>
      </c>
      <c r="C1323" s="466" t="s">
        <v>2094</v>
      </c>
      <c r="D1323" s="467" t="s">
        <v>5799</v>
      </c>
      <c r="E1323" s="468" t="s">
        <v>4863</v>
      </c>
      <c r="F1323" s="465">
        <v>211.4</v>
      </c>
    </row>
    <row r="1324" spans="1:6" ht="52.8" x14ac:dyDescent="0.25">
      <c r="A1324" s="465">
        <v>2104</v>
      </c>
      <c r="B1324" s="466" t="s">
        <v>5800</v>
      </c>
      <c r="C1324" s="466" t="s">
        <v>2094</v>
      </c>
      <c r="D1324" s="467" t="s">
        <v>5801</v>
      </c>
      <c r="E1324" s="468" t="s">
        <v>4863</v>
      </c>
      <c r="F1324" s="465">
        <v>263.3</v>
      </c>
    </row>
    <row r="1325" spans="1:6" ht="52.8" x14ac:dyDescent="0.25">
      <c r="A1325" s="465">
        <v>2105</v>
      </c>
      <c r="B1325" s="466" t="s">
        <v>5096</v>
      </c>
      <c r="C1325" s="466" t="s">
        <v>4801</v>
      </c>
      <c r="D1325" s="467" t="s">
        <v>5097</v>
      </c>
      <c r="E1325" s="468" t="s">
        <v>4850</v>
      </c>
      <c r="F1325" s="465">
        <v>10.01</v>
      </c>
    </row>
    <row r="1326" spans="1:6" ht="26.4" x14ac:dyDescent="0.25">
      <c r="A1326" s="465">
        <v>2106</v>
      </c>
      <c r="B1326" s="466" t="s">
        <v>6575</v>
      </c>
      <c r="C1326" s="466" t="s">
        <v>2094</v>
      </c>
      <c r="D1326" s="467" t="s">
        <v>6576</v>
      </c>
      <c r="E1326" s="468" t="s">
        <v>4863</v>
      </c>
      <c r="F1326" s="465">
        <v>1793.38</v>
      </c>
    </row>
    <row r="1327" spans="1:6" ht="26.4" x14ac:dyDescent="0.25">
      <c r="A1327" s="465">
        <v>2107</v>
      </c>
      <c r="B1327" s="466" t="s">
        <v>6577</v>
      </c>
      <c r="C1327" s="466" t="s">
        <v>2094</v>
      </c>
      <c r="D1327" s="467" t="s">
        <v>6578</v>
      </c>
      <c r="E1327" s="468" t="s">
        <v>4863</v>
      </c>
      <c r="F1327" s="465">
        <v>5590</v>
      </c>
    </row>
    <row r="1328" spans="1:6" ht="26.4" x14ac:dyDescent="0.25">
      <c r="A1328" s="465">
        <v>2108</v>
      </c>
      <c r="B1328" s="466" t="s">
        <v>6587</v>
      </c>
      <c r="C1328" s="466" t="s">
        <v>2094</v>
      </c>
      <c r="D1328" s="467" t="s">
        <v>6588</v>
      </c>
      <c r="E1328" s="468" t="s">
        <v>4813</v>
      </c>
      <c r="F1328" s="465">
        <v>187</v>
      </c>
    </row>
    <row r="1329" spans="1:6" ht="26.4" x14ac:dyDescent="0.25">
      <c r="A1329" s="465">
        <v>2109</v>
      </c>
      <c r="B1329" s="466" t="s">
        <v>7168</v>
      </c>
      <c r="C1329" s="466" t="s">
        <v>2094</v>
      </c>
      <c r="D1329" s="467" t="s">
        <v>7169</v>
      </c>
      <c r="E1329" s="468" t="s">
        <v>4850</v>
      </c>
      <c r="F1329" s="465">
        <v>1.25</v>
      </c>
    </row>
    <row r="1330" spans="1:6" ht="26.4" x14ac:dyDescent="0.25">
      <c r="A1330" s="465">
        <v>2110</v>
      </c>
      <c r="B1330" s="466" t="s">
        <v>5687</v>
      </c>
      <c r="C1330" s="466" t="s">
        <v>2094</v>
      </c>
      <c r="D1330" s="467" t="s">
        <v>5688</v>
      </c>
      <c r="E1330" s="468" t="s">
        <v>4863</v>
      </c>
      <c r="F1330" s="465">
        <v>2350.5</v>
      </c>
    </row>
    <row r="1331" spans="1:6" ht="39.6" x14ac:dyDescent="0.25">
      <c r="A1331" s="465">
        <v>2111</v>
      </c>
      <c r="B1331" s="466" t="s">
        <v>5679</v>
      </c>
      <c r="C1331" s="466" t="s">
        <v>2094</v>
      </c>
      <c r="D1331" s="467" t="s">
        <v>5680</v>
      </c>
      <c r="E1331" s="468" t="s">
        <v>4863</v>
      </c>
      <c r="F1331" s="465">
        <v>1100</v>
      </c>
    </row>
    <row r="1332" spans="1:6" ht="39.6" x14ac:dyDescent="0.25">
      <c r="A1332" s="465">
        <v>2112</v>
      </c>
      <c r="B1332" s="466" t="s">
        <v>5683</v>
      </c>
      <c r="C1332" s="466" t="s">
        <v>2094</v>
      </c>
      <c r="D1332" s="467" t="s">
        <v>5684</v>
      </c>
      <c r="E1332" s="468" t="s">
        <v>4863</v>
      </c>
      <c r="F1332" s="465">
        <v>1499</v>
      </c>
    </row>
    <row r="1333" spans="1:6" ht="39.6" x14ac:dyDescent="0.25">
      <c r="A1333" s="465">
        <v>2113</v>
      </c>
      <c r="B1333" s="466" t="s">
        <v>5685</v>
      </c>
      <c r="C1333" s="466" t="s">
        <v>2094</v>
      </c>
      <c r="D1333" s="467" t="s">
        <v>5686</v>
      </c>
      <c r="E1333" s="468" t="s">
        <v>4863</v>
      </c>
      <c r="F1333" s="465">
        <v>1929</v>
      </c>
    </row>
    <row r="1334" spans="1:6" ht="39.6" x14ac:dyDescent="0.25">
      <c r="A1334" s="465">
        <v>2114</v>
      </c>
      <c r="B1334" s="466" t="s">
        <v>5689</v>
      </c>
      <c r="C1334" s="466" t="s">
        <v>2094</v>
      </c>
      <c r="D1334" s="467" t="s">
        <v>5690</v>
      </c>
      <c r="E1334" s="468" t="s">
        <v>4863</v>
      </c>
      <c r="F1334" s="465">
        <v>3226.5</v>
      </c>
    </row>
    <row r="1335" spans="1:6" ht="39.6" x14ac:dyDescent="0.25">
      <c r="A1335" s="465">
        <v>2115</v>
      </c>
      <c r="B1335" s="466" t="s">
        <v>5691</v>
      </c>
      <c r="C1335" s="466" t="s">
        <v>2094</v>
      </c>
      <c r="D1335" s="467" t="s">
        <v>5692</v>
      </c>
      <c r="E1335" s="468" t="s">
        <v>4863</v>
      </c>
      <c r="F1335" s="465">
        <v>4391.5</v>
      </c>
    </row>
    <row r="1336" spans="1:6" ht="39.6" x14ac:dyDescent="0.25">
      <c r="A1336" s="465">
        <v>2116</v>
      </c>
      <c r="B1336" s="466" t="s">
        <v>5693</v>
      </c>
      <c r="C1336" s="466" t="s">
        <v>2094</v>
      </c>
      <c r="D1336" s="467" t="s">
        <v>5694</v>
      </c>
      <c r="E1336" s="468" t="s">
        <v>4863</v>
      </c>
      <c r="F1336" s="465">
        <v>14753</v>
      </c>
    </row>
    <row r="1337" spans="1:6" ht="26.4" x14ac:dyDescent="0.25">
      <c r="A1337" s="465">
        <v>2117</v>
      </c>
      <c r="B1337" s="466" t="s">
        <v>6134</v>
      </c>
      <c r="C1337" s="466" t="s">
        <v>2094</v>
      </c>
      <c r="D1337" s="467" t="s">
        <v>6135</v>
      </c>
      <c r="E1337" s="468" t="s">
        <v>4863</v>
      </c>
      <c r="F1337" s="465">
        <v>1378.1</v>
      </c>
    </row>
    <row r="1338" spans="1:6" ht="26.4" x14ac:dyDescent="0.25">
      <c r="A1338" s="465">
        <v>2118</v>
      </c>
      <c r="B1338" s="466" t="s">
        <v>6136</v>
      </c>
      <c r="C1338" s="466" t="s">
        <v>2094</v>
      </c>
      <c r="D1338" s="467" t="s">
        <v>6137</v>
      </c>
      <c r="E1338" s="468" t="s">
        <v>4863</v>
      </c>
      <c r="F1338" s="465">
        <v>2033.85</v>
      </c>
    </row>
    <row r="1339" spans="1:6" ht="26.4" x14ac:dyDescent="0.25">
      <c r="A1339" s="465">
        <v>2119</v>
      </c>
      <c r="B1339" s="466" t="s">
        <v>6789</v>
      </c>
      <c r="C1339" s="466" t="s">
        <v>2094</v>
      </c>
      <c r="D1339" s="467" t="s">
        <v>6790</v>
      </c>
      <c r="E1339" s="468" t="s">
        <v>5360</v>
      </c>
      <c r="F1339" s="465">
        <v>1.74</v>
      </c>
    </row>
    <row r="1340" spans="1:6" ht="26.4" x14ac:dyDescent="0.25">
      <c r="A1340" s="465">
        <v>2120</v>
      </c>
      <c r="B1340" s="466" t="s">
        <v>6288</v>
      </c>
      <c r="C1340" s="466" t="s">
        <v>2094</v>
      </c>
      <c r="D1340" s="467" t="s">
        <v>6289</v>
      </c>
      <c r="E1340" s="468" t="s">
        <v>4863</v>
      </c>
      <c r="F1340" s="465">
        <v>5092.5</v>
      </c>
    </row>
    <row r="1341" spans="1:6" ht="39.6" x14ac:dyDescent="0.25">
      <c r="A1341" s="465">
        <v>2126</v>
      </c>
      <c r="B1341" s="466" t="s">
        <v>5790</v>
      </c>
      <c r="C1341" s="466" t="s">
        <v>2094</v>
      </c>
      <c r="D1341" s="467" t="s">
        <v>5791</v>
      </c>
      <c r="E1341" s="468" t="s">
        <v>4863</v>
      </c>
      <c r="F1341" s="465">
        <v>346.28</v>
      </c>
    </row>
    <row r="1342" spans="1:6" ht="39.6" x14ac:dyDescent="0.25">
      <c r="A1342" s="465">
        <v>2127</v>
      </c>
      <c r="B1342" s="466" t="s">
        <v>5792</v>
      </c>
      <c r="C1342" s="466" t="s">
        <v>2094</v>
      </c>
      <c r="D1342" s="467" t="s">
        <v>5793</v>
      </c>
      <c r="E1342" s="468" t="s">
        <v>4863</v>
      </c>
      <c r="F1342" s="465">
        <v>426.83</v>
      </c>
    </row>
    <row r="1343" spans="1:6" ht="39.6" x14ac:dyDescent="0.25">
      <c r="A1343" s="465">
        <v>2128</v>
      </c>
      <c r="B1343" s="466" t="s">
        <v>5784</v>
      </c>
      <c r="C1343" s="466" t="s">
        <v>2094</v>
      </c>
      <c r="D1343" s="467" t="s">
        <v>5785</v>
      </c>
      <c r="E1343" s="468" t="s">
        <v>4863</v>
      </c>
      <c r="F1343" s="465">
        <v>557.87</v>
      </c>
    </row>
    <row r="1344" spans="1:6" ht="39.6" x14ac:dyDescent="0.25">
      <c r="A1344" s="465">
        <v>2129</v>
      </c>
      <c r="B1344" s="466" t="s">
        <v>5786</v>
      </c>
      <c r="C1344" s="466" t="s">
        <v>2094</v>
      </c>
      <c r="D1344" s="467" t="s">
        <v>5787</v>
      </c>
      <c r="E1344" s="468" t="s">
        <v>4863</v>
      </c>
      <c r="F1344" s="465">
        <v>672.08</v>
      </c>
    </row>
    <row r="1345" spans="1:6" ht="39.6" x14ac:dyDescent="0.25">
      <c r="A1345" s="465">
        <v>2130</v>
      </c>
      <c r="B1345" s="466" t="s">
        <v>5788</v>
      </c>
      <c r="C1345" s="466" t="s">
        <v>2094</v>
      </c>
      <c r="D1345" s="467" t="s">
        <v>5789</v>
      </c>
      <c r="E1345" s="468" t="s">
        <v>4863</v>
      </c>
      <c r="F1345" s="465">
        <v>794</v>
      </c>
    </row>
    <row r="1346" spans="1:6" ht="26.4" x14ac:dyDescent="0.25">
      <c r="A1346" s="465">
        <v>2131</v>
      </c>
      <c r="B1346" s="466" t="s">
        <v>6973</v>
      </c>
      <c r="C1346" s="466" t="s">
        <v>2094</v>
      </c>
      <c r="D1346" s="467" t="s">
        <v>6974</v>
      </c>
      <c r="E1346" s="468" t="s">
        <v>2377</v>
      </c>
      <c r="F1346" s="465">
        <v>12.88</v>
      </c>
    </row>
    <row r="1347" spans="1:6" ht="26.4" x14ac:dyDescent="0.25">
      <c r="A1347" s="465">
        <v>2132</v>
      </c>
      <c r="B1347" s="466" t="s">
        <v>5308</v>
      </c>
      <c r="C1347" s="466" t="s">
        <v>2094</v>
      </c>
      <c r="D1347" s="467" t="s">
        <v>5309</v>
      </c>
      <c r="E1347" s="468" t="s">
        <v>4813</v>
      </c>
      <c r="F1347" s="465">
        <v>14.38</v>
      </c>
    </row>
    <row r="1348" spans="1:6" ht="26.4" x14ac:dyDescent="0.25">
      <c r="A1348" s="465">
        <v>2133</v>
      </c>
      <c r="B1348" s="466" t="s">
        <v>5315</v>
      </c>
      <c r="C1348" s="466" t="s">
        <v>2094</v>
      </c>
      <c r="D1348" s="467" t="s">
        <v>5314</v>
      </c>
      <c r="E1348" s="468" t="s">
        <v>4813</v>
      </c>
      <c r="F1348" s="465">
        <v>21.95</v>
      </c>
    </row>
    <row r="1349" spans="1:6" ht="26.4" x14ac:dyDescent="0.25">
      <c r="A1349" s="465">
        <v>2136</v>
      </c>
      <c r="B1349" s="466" t="s">
        <v>6571</v>
      </c>
      <c r="C1349" s="466" t="s">
        <v>2094</v>
      </c>
      <c r="D1349" s="467" t="s">
        <v>6572</v>
      </c>
      <c r="E1349" s="468" t="s">
        <v>4863</v>
      </c>
      <c r="F1349" s="465">
        <v>2227.91</v>
      </c>
    </row>
    <row r="1350" spans="1:6" ht="39.6" x14ac:dyDescent="0.25">
      <c r="A1350" s="465">
        <v>2137</v>
      </c>
      <c r="B1350" s="466" t="s">
        <v>4831</v>
      </c>
      <c r="C1350" s="466" t="s">
        <v>4801</v>
      </c>
      <c r="D1350" s="467" t="s">
        <v>4832</v>
      </c>
      <c r="E1350" s="468" t="s">
        <v>4813</v>
      </c>
      <c r="F1350" s="465">
        <v>4.99</v>
      </c>
    </row>
    <row r="1351" spans="1:6" ht="39.6" x14ac:dyDescent="0.25">
      <c r="A1351" s="465">
        <v>2138</v>
      </c>
      <c r="B1351" s="466" t="s">
        <v>4835</v>
      </c>
      <c r="C1351" s="466" t="s">
        <v>4801</v>
      </c>
      <c r="D1351" s="467" t="s">
        <v>4836</v>
      </c>
      <c r="E1351" s="468" t="s">
        <v>4813</v>
      </c>
      <c r="F1351" s="465">
        <v>4.21</v>
      </c>
    </row>
    <row r="1352" spans="1:6" ht="26.4" x14ac:dyDescent="0.25">
      <c r="A1352" s="465">
        <v>2139</v>
      </c>
      <c r="B1352" s="466" t="s">
        <v>4825</v>
      </c>
      <c r="C1352" s="466" t="s">
        <v>4801</v>
      </c>
      <c r="D1352" s="467" t="s">
        <v>4826</v>
      </c>
      <c r="E1352" s="468" t="s">
        <v>4813</v>
      </c>
      <c r="F1352" s="465">
        <v>4.21</v>
      </c>
    </row>
    <row r="1353" spans="1:6" ht="26.4" x14ac:dyDescent="0.25">
      <c r="A1353" s="465">
        <v>2140</v>
      </c>
      <c r="B1353" s="466" t="s">
        <v>5435</v>
      </c>
      <c r="C1353" s="466" t="s">
        <v>2094</v>
      </c>
      <c r="D1353" s="467" t="s">
        <v>5436</v>
      </c>
      <c r="E1353" s="468" t="s">
        <v>4813</v>
      </c>
      <c r="F1353" s="465">
        <v>9.91</v>
      </c>
    </row>
    <row r="1354" spans="1:6" ht="26.4" x14ac:dyDescent="0.25">
      <c r="A1354" s="465">
        <v>2141</v>
      </c>
      <c r="B1354" s="466" t="s">
        <v>5439</v>
      </c>
      <c r="C1354" s="466" t="s">
        <v>2094</v>
      </c>
      <c r="D1354" s="467" t="s">
        <v>5440</v>
      </c>
      <c r="E1354" s="468" t="s">
        <v>4813</v>
      </c>
      <c r="F1354" s="465">
        <v>36.409999999999997</v>
      </c>
    </row>
    <row r="1355" spans="1:6" ht="26.4" x14ac:dyDescent="0.25">
      <c r="A1355" s="465">
        <v>2142</v>
      </c>
      <c r="B1355" s="466" t="s">
        <v>5423</v>
      </c>
      <c r="C1355" s="466" t="s">
        <v>2094</v>
      </c>
      <c r="D1355" s="467" t="s">
        <v>5424</v>
      </c>
      <c r="E1355" s="468" t="s">
        <v>4813</v>
      </c>
      <c r="F1355" s="465">
        <v>79.599999999999994</v>
      </c>
    </row>
    <row r="1356" spans="1:6" ht="26.4" x14ac:dyDescent="0.25">
      <c r="A1356" s="465">
        <v>2143</v>
      </c>
      <c r="B1356" s="466" t="s">
        <v>6127</v>
      </c>
      <c r="C1356" s="466" t="s">
        <v>2094</v>
      </c>
      <c r="D1356" s="467" t="s">
        <v>6128</v>
      </c>
      <c r="E1356" s="468" t="s">
        <v>4863</v>
      </c>
      <c r="F1356" s="465">
        <v>249.5</v>
      </c>
    </row>
    <row r="1357" spans="1:6" ht="26.4" x14ac:dyDescent="0.25">
      <c r="A1357" s="465">
        <v>2144</v>
      </c>
      <c r="B1357" s="466" t="s">
        <v>6021</v>
      </c>
      <c r="C1357" s="466" t="s">
        <v>2094</v>
      </c>
      <c r="D1357" s="467" t="s">
        <v>6022</v>
      </c>
      <c r="E1357" s="468" t="s">
        <v>4863</v>
      </c>
      <c r="F1357" s="465">
        <v>1824.33</v>
      </c>
    </row>
    <row r="1358" spans="1:6" ht="52.8" x14ac:dyDescent="0.25">
      <c r="A1358" s="465">
        <v>2145</v>
      </c>
      <c r="B1358" s="466" t="s">
        <v>7421</v>
      </c>
      <c r="C1358" s="466" t="s">
        <v>2094</v>
      </c>
      <c r="D1358" s="467" t="s">
        <v>7422</v>
      </c>
      <c r="E1358" s="468" t="s">
        <v>4863</v>
      </c>
      <c r="F1358" s="465">
        <v>303.88</v>
      </c>
    </row>
    <row r="1359" spans="1:6" ht="66" x14ac:dyDescent="0.25">
      <c r="A1359" s="465">
        <v>2146</v>
      </c>
      <c r="B1359" s="466" t="s">
        <v>7423</v>
      </c>
      <c r="C1359" s="466" t="s">
        <v>2094</v>
      </c>
      <c r="D1359" s="467" t="s">
        <v>7424</v>
      </c>
      <c r="E1359" s="468" t="s">
        <v>7425</v>
      </c>
      <c r="F1359" s="465">
        <v>11.74</v>
      </c>
    </row>
    <row r="1360" spans="1:6" ht="39.6" x14ac:dyDescent="0.25">
      <c r="A1360" s="465">
        <v>2148</v>
      </c>
      <c r="B1360" s="466" t="s">
        <v>5078</v>
      </c>
      <c r="C1360" s="466" t="s">
        <v>4801</v>
      </c>
      <c r="D1360" s="467" t="s">
        <v>5079</v>
      </c>
      <c r="E1360" s="468" t="s">
        <v>4863</v>
      </c>
      <c r="F1360" s="465">
        <v>4424.2</v>
      </c>
    </row>
    <row r="1361" spans="1:6" ht="39.6" x14ac:dyDescent="0.25">
      <c r="A1361" s="465">
        <v>2149</v>
      </c>
      <c r="B1361" s="466" t="s">
        <v>5080</v>
      </c>
      <c r="C1361" s="466" t="s">
        <v>4801</v>
      </c>
      <c r="D1361" s="467" t="s">
        <v>5081</v>
      </c>
      <c r="E1361" s="468" t="s">
        <v>5082</v>
      </c>
      <c r="F1361" s="465">
        <v>5.17</v>
      </c>
    </row>
    <row r="1362" spans="1:6" ht="26.4" x14ac:dyDescent="0.25">
      <c r="A1362" s="465">
        <v>2150</v>
      </c>
      <c r="B1362" s="466" t="s">
        <v>6354</v>
      </c>
      <c r="C1362" s="466" t="s">
        <v>2094</v>
      </c>
      <c r="D1362" s="467" t="s">
        <v>6355</v>
      </c>
      <c r="E1362" s="468" t="s">
        <v>4863</v>
      </c>
      <c r="F1362" s="465">
        <v>4627.57</v>
      </c>
    </row>
    <row r="1363" spans="1:6" x14ac:dyDescent="0.25">
      <c r="A1363" s="465">
        <v>2155</v>
      </c>
      <c r="B1363" s="466" t="s">
        <v>6748</v>
      </c>
      <c r="C1363" s="466" t="s">
        <v>2094</v>
      </c>
      <c r="D1363" s="467" t="s">
        <v>5972</v>
      </c>
      <c r="E1363" s="468" t="s">
        <v>5360</v>
      </c>
      <c r="F1363" s="465">
        <v>5.7</v>
      </c>
    </row>
    <row r="1364" spans="1:6" ht="39.6" x14ac:dyDescent="0.25">
      <c r="A1364" s="465">
        <v>2157</v>
      </c>
      <c r="B1364" s="466" t="s">
        <v>6921</v>
      </c>
      <c r="C1364" s="466" t="s">
        <v>2094</v>
      </c>
      <c r="D1364" s="467" t="s">
        <v>6922</v>
      </c>
      <c r="E1364" s="468" t="s">
        <v>4863</v>
      </c>
      <c r="F1364" s="465">
        <v>23402</v>
      </c>
    </row>
    <row r="1365" spans="1:6" ht="39.6" x14ac:dyDescent="0.25">
      <c r="A1365" s="465">
        <v>2158</v>
      </c>
      <c r="B1365" s="466" t="s">
        <v>6917</v>
      </c>
      <c r="C1365" s="466" t="s">
        <v>2094</v>
      </c>
      <c r="D1365" s="467" t="s">
        <v>6918</v>
      </c>
      <c r="E1365" s="468" t="s">
        <v>4863</v>
      </c>
      <c r="F1365" s="465">
        <v>17318</v>
      </c>
    </row>
    <row r="1366" spans="1:6" ht="52.8" x14ac:dyDescent="0.25">
      <c r="A1366" s="465">
        <v>2159</v>
      </c>
      <c r="B1366" s="466" t="s">
        <v>6919</v>
      </c>
      <c r="C1366" s="466" t="s">
        <v>2094</v>
      </c>
      <c r="D1366" s="467" t="s">
        <v>6920</v>
      </c>
      <c r="E1366" s="468" t="s">
        <v>4863</v>
      </c>
      <c r="F1366" s="465">
        <v>10938.7</v>
      </c>
    </row>
    <row r="1367" spans="1:6" ht="52.8" x14ac:dyDescent="0.25">
      <c r="A1367" s="465">
        <v>2160</v>
      </c>
      <c r="B1367" s="466" t="s">
        <v>6929</v>
      </c>
      <c r="C1367" s="466" t="s">
        <v>2094</v>
      </c>
      <c r="D1367" s="467" t="s">
        <v>6930</v>
      </c>
      <c r="E1367" s="468" t="s">
        <v>4863</v>
      </c>
      <c r="F1367" s="465">
        <v>847.35</v>
      </c>
    </row>
    <row r="1368" spans="1:6" ht="39.6" x14ac:dyDescent="0.25">
      <c r="A1368" s="465">
        <v>2162</v>
      </c>
      <c r="B1368" s="466" t="s">
        <v>6211</v>
      </c>
      <c r="C1368" s="466" t="s">
        <v>2094</v>
      </c>
      <c r="D1368" s="467" t="s">
        <v>6212</v>
      </c>
      <c r="E1368" s="468" t="s">
        <v>4863</v>
      </c>
      <c r="F1368" s="465">
        <v>2408</v>
      </c>
    </row>
    <row r="1369" spans="1:6" ht="26.4" x14ac:dyDescent="0.25">
      <c r="A1369" s="465">
        <v>2163</v>
      </c>
      <c r="B1369" s="466" t="s">
        <v>6284</v>
      </c>
      <c r="C1369" s="466" t="s">
        <v>2094</v>
      </c>
      <c r="D1369" s="467" t="s">
        <v>6285</v>
      </c>
      <c r="E1369" s="468" t="s">
        <v>4863</v>
      </c>
      <c r="F1369" s="465">
        <v>147</v>
      </c>
    </row>
    <row r="1370" spans="1:6" ht="26.4" x14ac:dyDescent="0.25">
      <c r="A1370" s="465">
        <v>2164</v>
      </c>
      <c r="B1370" s="466" t="s">
        <v>5188</v>
      </c>
      <c r="C1370" s="466" t="s">
        <v>4801</v>
      </c>
      <c r="D1370" s="467" t="s">
        <v>5189</v>
      </c>
      <c r="E1370" s="468" t="s">
        <v>4803</v>
      </c>
      <c r="F1370" s="465">
        <v>16.010000000000002</v>
      </c>
    </row>
    <row r="1371" spans="1:6" ht="26.4" x14ac:dyDescent="0.25">
      <c r="A1371" s="465">
        <v>2165</v>
      </c>
      <c r="B1371" s="466" t="s">
        <v>6763</v>
      </c>
      <c r="C1371" s="466" t="s">
        <v>2094</v>
      </c>
      <c r="D1371" s="467" t="s">
        <v>6764</v>
      </c>
      <c r="E1371" s="468" t="s">
        <v>4850</v>
      </c>
      <c r="F1371" s="465">
        <v>0.74</v>
      </c>
    </row>
    <row r="1372" spans="1:6" x14ac:dyDescent="0.25">
      <c r="A1372" s="465">
        <v>2166</v>
      </c>
      <c r="B1372" s="466" t="s">
        <v>6330</v>
      </c>
      <c r="C1372" s="466" t="s">
        <v>2094</v>
      </c>
      <c r="D1372" s="467" t="s">
        <v>6331</v>
      </c>
      <c r="E1372" s="468" t="s">
        <v>4863</v>
      </c>
      <c r="F1372" s="465">
        <v>5.51</v>
      </c>
    </row>
    <row r="1373" spans="1:6" ht="52.8" x14ac:dyDescent="0.25">
      <c r="A1373" s="465">
        <v>2168</v>
      </c>
      <c r="B1373" s="466" t="s">
        <v>6456</v>
      </c>
      <c r="C1373" s="466" t="s">
        <v>2094</v>
      </c>
      <c r="D1373" s="467" t="s">
        <v>6457</v>
      </c>
      <c r="E1373" s="468" t="s">
        <v>5034</v>
      </c>
      <c r="F1373" s="465">
        <v>15.83</v>
      </c>
    </row>
    <row r="1374" spans="1:6" ht="52.8" x14ac:dyDescent="0.25">
      <c r="A1374" s="465">
        <v>2169</v>
      </c>
      <c r="B1374" s="466" t="s">
        <v>6454</v>
      </c>
      <c r="C1374" s="466" t="s">
        <v>2094</v>
      </c>
      <c r="D1374" s="467" t="s">
        <v>6455</v>
      </c>
      <c r="E1374" s="468" t="s">
        <v>5034</v>
      </c>
      <c r="F1374" s="465">
        <v>644.89</v>
      </c>
    </row>
    <row r="1375" spans="1:6" ht="52.8" x14ac:dyDescent="0.25">
      <c r="A1375" s="465">
        <v>2170</v>
      </c>
      <c r="B1375" s="466" t="s">
        <v>6617</v>
      </c>
      <c r="C1375" s="466" t="s">
        <v>2094</v>
      </c>
      <c r="D1375" s="467" t="s">
        <v>6618</v>
      </c>
      <c r="E1375" s="468" t="s">
        <v>4850</v>
      </c>
      <c r="F1375" s="465">
        <v>0.6</v>
      </c>
    </row>
    <row r="1376" spans="1:6" x14ac:dyDescent="0.25">
      <c r="A1376" s="465">
        <v>2171</v>
      </c>
      <c r="B1376" s="466" t="s">
        <v>5923</v>
      </c>
      <c r="C1376" s="466" t="s">
        <v>2094</v>
      </c>
      <c r="D1376" s="467" t="s">
        <v>5924</v>
      </c>
      <c r="E1376" s="468" t="s">
        <v>2377</v>
      </c>
      <c r="F1376" s="465">
        <v>8.2799999999999994</v>
      </c>
    </row>
    <row r="1377" spans="1:6" x14ac:dyDescent="0.25">
      <c r="A1377" s="465">
        <v>2172</v>
      </c>
      <c r="B1377" s="466" t="s">
        <v>5921</v>
      </c>
      <c r="C1377" s="466" t="s">
        <v>2094</v>
      </c>
      <c r="D1377" s="467" t="s">
        <v>5922</v>
      </c>
      <c r="E1377" s="468" t="s">
        <v>2377</v>
      </c>
      <c r="F1377" s="465">
        <v>6.24</v>
      </c>
    </row>
    <row r="1378" spans="1:6" x14ac:dyDescent="0.25">
      <c r="A1378" s="465">
        <v>2173</v>
      </c>
      <c r="B1378" s="466" t="s">
        <v>7442</v>
      </c>
      <c r="C1378" s="466" t="s">
        <v>2094</v>
      </c>
      <c r="D1378" s="467" t="s">
        <v>7443</v>
      </c>
      <c r="E1378" s="468" t="s">
        <v>4813</v>
      </c>
      <c r="F1378" s="465">
        <v>53.6</v>
      </c>
    </row>
    <row r="1379" spans="1:6" ht="26.4" x14ac:dyDescent="0.25">
      <c r="A1379" s="465">
        <v>2174</v>
      </c>
      <c r="B1379" s="466" t="s">
        <v>7444</v>
      </c>
      <c r="C1379" s="466" t="s">
        <v>2094</v>
      </c>
      <c r="D1379" s="467" t="s">
        <v>7445</v>
      </c>
      <c r="E1379" s="468" t="s">
        <v>4813</v>
      </c>
      <c r="F1379" s="465">
        <v>58.96</v>
      </c>
    </row>
    <row r="1380" spans="1:6" ht="26.4" x14ac:dyDescent="0.25">
      <c r="A1380" s="465">
        <v>2175</v>
      </c>
      <c r="B1380" s="466" t="s">
        <v>6164</v>
      </c>
      <c r="C1380" s="466" t="s">
        <v>2094</v>
      </c>
      <c r="D1380" s="467" t="s">
        <v>6165</v>
      </c>
      <c r="E1380" s="468" t="s">
        <v>4813</v>
      </c>
      <c r="F1380" s="465">
        <v>570.27</v>
      </c>
    </row>
    <row r="1381" spans="1:6" ht="26.4" x14ac:dyDescent="0.25">
      <c r="A1381" s="465">
        <v>2176</v>
      </c>
      <c r="B1381" s="466" t="s">
        <v>6406</v>
      </c>
      <c r="C1381" s="466" t="s">
        <v>2094</v>
      </c>
      <c r="D1381" s="467" t="s">
        <v>6407</v>
      </c>
      <c r="E1381" s="468" t="s">
        <v>4863</v>
      </c>
      <c r="F1381" s="465">
        <v>3.66</v>
      </c>
    </row>
    <row r="1382" spans="1:6" ht="26.4" x14ac:dyDescent="0.25">
      <c r="A1382" s="465">
        <v>2177</v>
      </c>
      <c r="B1382" s="466" t="s">
        <v>6400</v>
      </c>
      <c r="C1382" s="466" t="s">
        <v>2094</v>
      </c>
      <c r="D1382" s="467" t="s">
        <v>6401</v>
      </c>
      <c r="E1382" s="468" t="s">
        <v>4863</v>
      </c>
      <c r="F1382" s="465">
        <v>0.47</v>
      </c>
    </row>
    <row r="1383" spans="1:6" ht="26.4" x14ac:dyDescent="0.25">
      <c r="A1383" s="465">
        <v>2178</v>
      </c>
      <c r="B1383" s="466" t="s">
        <v>6402</v>
      </c>
      <c r="C1383" s="466" t="s">
        <v>2094</v>
      </c>
      <c r="D1383" s="467" t="s">
        <v>6403</v>
      </c>
      <c r="E1383" s="468" t="s">
        <v>4863</v>
      </c>
      <c r="F1383" s="465">
        <v>4.47</v>
      </c>
    </row>
    <row r="1384" spans="1:6" x14ac:dyDescent="0.25">
      <c r="A1384" s="465">
        <v>2179</v>
      </c>
      <c r="B1384" s="466" t="s">
        <v>6398</v>
      </c>
      <c r="C1384" s="466" t="s">
        <v>2094</v>
      </c>
      <c r="D1384" s="467" t="s">
        <v>6399</v>
      </c>
      <c r="E1384" s="468" t="s">
        <v>4863</v>
      </c>
      <c r="F1384" s="465">
        <v>1.26</v>
      </c>
    </row>
    <row r="1385" spans="1:6" ht="26.4" x14ac:dyDescent="0.25">
      <c r="A1385" s="465">
        <v>2181</v>
      </c>
      <c r="B1385" s="466" t="s">
        <v>5721</v>
      </c>
      <c r="C1385" s="466" t="s">
        <v>2094</v>
      </c>
      <c r="D1385" s="467" t="s">
        <v>5722</v>
      </c>
      <c r="E1385" s="468" t="s">
        <v>4863</v>
      </c>
      <c r="F1385" s="465">
        <v>11.06</v>
      </c>
    </row>
    <row r="1386" spans="1:6" ht="26.4" x14ac:dyDescent="0.25">
      <c r="A1386" s="465">
        <v>2182</v>
      </c>
      <c r="B1386" s="466" t="s">
        <v>6013</v>
      </c>
      <c r="C1386" s="466" t="s">
        <v>2094</v>
      </c>
      <c r="D1386" s="467" t="s">
        <v>6014</v>
      </c>
      <c r="E1386" s="468" t="s">
        <v>4813</v>
      </c>
      <c r="F1386" s="465">
        <v>0.45</v>
      </c>
    </row>
    <row r="1387" spans="1:6" ht="26.4" x14ac:dyDescent="0.25">
      <c r="A1387" s="465">
        <v>2183</v>
      </c>
      <c r="B1387" s="466" t="s">
        <v>4859</v>
      </c>
      <c r="C1387" s="466" t="s">
        <v>4801</v>
      </c>
      <c r="D1387" s="467" t="s">
        <v>4860</v>
      </c>
      <c r="E1387" s="468" t="s">
        <v>4803</v>
      </c>
      <c r="F1387" s="465">
        <v>525</v>
      </c>
    </row>
    <row r="1388" spans="1:6" ht="39.6" x14ac:dyDescent="0.25">
      <c r="A1388" s="465">
        <v>2184</v>
      </c>
      <c r="B1388" s="466" t="s">
        <v>5934</v>
      </c>
      <c r="C1388" s="466" t="s">
        <v>2094</v>
      </c>
      <c r="D1388" s="467" t="s">
        <v>5935</v>
      </c>
      <c r="E1388" s="468" t="s">
        <v>4863</v>
      </c>
      <c r="F1388" s="465">
        <v>39.39</v>
      </c>
    </row>
    <row r="1389" spans="1:6" ht="39.6" x14ac:dyDescent="0.25">
      <c r="A1389" s="465">
        <v>2185</v>
      </c>
      <c r="B1389" s="466" t="s">
        <v>7174</v>
      </c>
      <c r="C1389" s="466" t="s">
        <v>2094</v>
      </c>
      <c r="D1389" s="467" t="s">
        <v>7175</v>
      </c>
      <c r="E1389" s="468" t="s">
        <v>4863</v>
      </c>
      <c r="F1389" s="465">
        <v>9733.1</v>
      </c>
    </row>
    <row r="1390" spans="1:6" ht="26.4" x14ac:dyDescent="0.25">
      <c r="A1390" s="465">
        <v>2186</v>
      </c>
      <c r="B1390" s="466" t="s">
        <v>7146</v>
      </c>
      <c r="C1390" s="466" t="s">
        <v>2094</v>
      </c>
      <c r="D1390" s="467" t="s">
        <v>7147</v>
      </c>
      <c r="E1390" s="468" t="s">
        <v>4863</v>
      </c>
      <c r="F1390" s="465">
        <v>5.8</v>
      </c>
    </row>
    <row r="1391" spans="1:6" ht="26.4" x14ac:dyDescent="0.25">
      <c r="A1391" s="465">
        <v>2187</v>
      </c>
      <c r="B1391" s="466" t="s">
        <v>5818</v>
      </c>
      <c r="C1391" s="466" t="s">
        <v>2094</v>
      </c>
      <c r="D1391" s="467" t="s">
        <v>5819</v>
      </c>
      <c r="E1391" s="468" t="s">
        <v>4863</v>
      </c>
      <c r="F1391" s="465">
        <v>1761.58</v>
      </c>
    </row>
    <row r="1392" spans="1:6" ht="26.4" x14ac:dyDescent="0.25">
      <c r="A1392" s="465">
        <v>2188</v>
      </c>
      <c r="B1392" s="466" t="s">
        <v>5816</v>
      </c>
      <c r="C1392" s="466" t="s">
        <v>2094</v>
      </c>
      <c r="D1392" s="467" t="s">
        <v>5817</v>
      </c>
      <c r="E1392" s="468" t="s">
        <v>4863</v>
      </c>
      <c r="F1392" s="465">
        <v>2218.89</v>
      </c>
    </row>
    <row r="1393" spans="1:6" ht="39.6" x14ac:dyDescent="0.25">
      <c r="A1393" s="465">
        <v>2189</v>
      </c>
      <c r="B1393" s="466" t="s">
        <v>7428</v>
      </c>
      <c r="C1393" s="466" t="s">
        <v>2094</v>
      </c>
      <c r="D1393" s="467" t="s">
        <v>7429</v>
      </c>
      <c r="E1393" s="468" t="s">
        <v>4863</v>
      </c>
      <c r="F1393" s="465">
        <v>752.42</v>
      </c>
    </row>
    <row r="1394" spans="1:6" ht="26.4" x14ac:dyDescent="0.25">
      <c r="A1394" s="465">
        <v>2190</v>
      </c>
      <c r="B1394" s="466" t="s">
        <v>5023</v>
      </c>
      <c r="C1394" s="466" t="s">
        <v>4801</v>
      </c>
      <c r="D1394" s="467" t="s">
        <v>5024</v>
      </c>
      <c r="E1394" s="468" t="s">
        <v>4803</v>
      </c>
      <c r="F1394" s="465">
        <v>2.09</v>
      </c>
    </row>
    <row r="1395" spans="1:6" ht="52.8" x14ac:dyDescent="0.25">
      <c r="A1395" s="465">
        <v>2193</v>
      </c>
      <c r="B1395" s="466" t="s">
        <v>5994</v>
      </c>
      <c r="C1395" s="466" t="s">
        <v>2094</v>
      </c>
      <c r="D1395" s="467" t="s">
        <v>5995</v>
      </c>
      <c r="E1395" s="468" t="s">
        <v>4850</v>
      </c>
      <c r="F1395" s="465">
        <v>192</v>
      </c>
    </row>
    <row r="1396" spans="1:6" ht="39.6" x14ac:dyDescent="0.25">
      <c r="A1396" s="465">
        <v>2194</v>
      </c>
      <c r="B1396" s="466" t="s">
        <v>7046</v>
      </c>
      <c r="C1396" s="466" t="s">
        <v>2094</v>
      </c>
      <c r="D1396" s="467" t="s">
        <v>7047</v>
      </c>
      <c r="E1396" s="468" t="s">
        <v>4863</v>
      </c>
      <c r="F1396" s="465">
        <v>39212.949999999997</v>
      </c>
    </row>
    <row r="1397" spans="1:6" x14ac:dyDescent="0.25">
      <c r="A1397" s="465">
        <v>2195</v>
      </c>
      <c r="B1397" s="466" t="s">
        <v>6381</v>
      </c>
      <c r="C1397" s="466" t="s">
        <v>2094</v>
      </c>
      <c r="D1397" s="467" t="s">
        <v>5972</v>
      </c>
      <c r="E1397" s="468" t="s">
        <v>5360</v>
      </c>
      <c r="F1397" s="465">
        <v>6.52</v>
      </c>
    </row>
    <row r="1398" spans="1:6" x14ac:dyDescent="0.25">
      <c r="A1398" s="465">
        <v>2196</v>
      </c>
      <c r="B1398" s="466" t="s">
        <v>6940</v>
      </c>
      <c r="C1398" s="466" t="s">
        <v>2094</v>
      </c>
      <c r="D1398" s="467" t="s">
        <v>5975</v>
      </c>
      <c r="E1398" s="468" t="s">
        <v>5360</v>
      </c>
      <c r="F1398" s="465">
        <v>31.95</v>
      </c>
    </row>
    <row r="1399" spans="1:6" ht="26.4" x14ac:dyDescent="0.25">
      <c r="A1399" s="465">
        <v>2197</v>
      </c>
      <c r="B1399" s="466" t="s">
        <v>5342</v>
      </c>
      <c r="C1399" s="466" t="s">
        <v>2094</v>
      </c>
      <c r="D1399" s="467" t="s">
        <v>5343</v>
      </c>
      <c r="E1399" s="468" t="s">
        <v>4813</v>
      </c>
      <c r="F1399" s="465">
        <v>221.67</v>
      </c>
    </row>
    <row r="1400" spans="1:6" ht="26.4" x14ac:dyDescent="0.25">
      <c r="A1400" s="465">
        <v>2198</v>
      </c>
      <c r="B1400" s="466" t="s">
        <v>5025</v>
      </c>
      <c r="C1400" s="466" t="s">
        <v>4801</v>
      </c>
      <c r="D1400" s="467" t="s">
        <v>5026</v>
      </c>
      <c r="E1400" s="468" t="s">
        <v>4803</v>
      </c>
      <c r="F1400" s="465">
        <v>43.26</v>
      </c>
    </row>
    <row r="1401" spans="1:6" ht="39.6" x14ac:dyDescent="0.25">
      <c r="A1401" s="465">
        <v>2202</v>
      </c>
      <c r="B1401" s="466" t="s">
        <v>5407</v>
      </c>
      <c r="C1401" s="466" t="s">
        <v>2094</v>
      </c>
      <c r="D1401" s="467" t="s">
        <v>5408</v>
      </c>
      <c r="E1401" s="468" t="s">
        <v>4813</v>
      </c>
      <c r="F1401" s="465">
        <v>2.84</v>
      </c>
    </row>
    <row r="1402" spans="1:6" ht="39.6" x14ac:dyDescent="0.25">
      <c r="A1402" s="465">
        <v>2203</v>
      </c>
      <c r="B1402" s="466" t="s">
        <v>5411</v>
      </c>
      <c r="C1402" s="466" t="s">
        <v>2094</v>
      </c>
      <c r="D1402" s="467" t="s">
        <v>5412</v>
      </c>
      <c r="E1402" s="468" t="s">
        <v>4813</v>
      </c>
      <c r="F1402" s="465">
        <v>4.25</v>
      </c>
    </row>
    <row r="1403" spans="1:6" ht="39.6" x14ac:dyDescent="0.25">
      <c r="A1403" s="465">
        <v>2204</v>
      </c>
      <c r="B1403" s="466" t="s">
        <v>5387</v>
      </c>
      <c r="C1403" s="466" t="s">
        <v>2094</v>
      </c>
      <c r="D1403" s="467" t="s">
        <v>5388</v>
      </c>
      <c r="E1403" s="468" t="s">
        <v>4813</v>
      </c>
      <c r="F1403" s="465">
        <v>5.96</v>
      </c>
    </row>
    <row r="1404" spans="1:6" ht="39.6" x14ac:dyDescent="0.25">
      <c r="A1404" s="465">
        <v>2205</v>
      </c>
      <c r="B1404" s="466" t="s">
        <v>5389</v>
      </c>
      <c r="C1404" s="466" t="s">
        <v>2094</v>
      </c>
      <c r="D1404" s="467" t="s">
        <v>5390</v>
      </c>
      <c r="E1404" s="468" t="s">
        <v>4813</v>
      </c>
      <c r="F1404" s="465">
        <v>9.08</v>
      </c>
    </row>
    <row r="1405" spans="1:6" ht="39.6" x14ac:dyDescent="0.25">
      <c r="A1405" s="465">
        <v>2206</v>
      </c>
      <c r="B1405" s="466" t="s">
        <v>5391</v>
      </c>
      <c r="C1405" s="466" t="s">
        <v>2094</v>
      </c>
      <c r="D1405" s="467" t="s">
        <v>5392</v>
      </c>
      <c r="E1405" s="468" t="s">
        <v>4813</v>
      </c>
      <c r="F1405" s="465">
        <v>8.39</v>
      </c>
    </row>
    <row r="1406" spans="1:6" ht="39.6" x14ac:dyDescent="0.25">
      <c r="A1406" s="465">
        <v>2207</v>
      </c>
      <c r="B1406" s="466" t="s">
        <v>5393</v>
      </c>
      <c r="C1406" s="466" t="s">
        <v>2094</v>
      </c>
      <c r="D1406" s="467" t="s">
        <v>5394</v>
      </c>
      <c r="E1406" s="468" t="s">
        <v>4813</v>
      </c>
      <c r="F1406" s="465">
        <v>11.67</v>
      </c>
    </row>
    <row r="1407" spans="1:6" ht="39.6" x14ac:dyDescent="0.25">
      <c r="A1407" s="465">
        <v>2208</v>
      </c>
      <c r="B1407" s="466" t="s">
        <v>5395</v>
      </c>
      <c r="C1407" s="466" t="s">
        <v>2094</v>
      </c>
      <c r="D1407" s="467" t="s">
        <v>5396</v>
      </c>
      <c r="E1407" s="468" t="s">
        <v>4813</v>
      </c>
      <c r="F1407" s="465">
        <v>20.05</v>
      </c>
    </row>
    <row r="1408" spans="1:6" ht="39.6" x14ac:dyDescent="0.25">
      <c r="A1408" s="465">
        <v>2209</v>
      </c>
      <c r="B1408" s="466" t="s">
        <v>5397</v>
      </c>
      <c r="C1408" s="466" t="s">
        <v>2094</v>
      </c>
      <c r="D1408" s="467" t="s">
        <v>5398</v>
      </c>
      <c r="E1408" s="468" t="s">
        <v>4813</v>
      </c>
      <c r="F1408" s="465">
        <v>27.66</v>
      </c>
    </row>
    <row r="1409" spans="1:6" ht="39.6" x14ac:dyDescent="0.25">
      <c r="A1409" s="465">
        <v>2210</v>
      </c>
      <c r="B1409" s="466" t="s">
        <v>5399</v>
      </c>
      <c r="C1409" s="466" t="s">
        <v>2094</v>
      </c>
      <c r="D1409" s="467" t="s">
        <v>5400</v>
      </c>
      <c r="E1409" s="468" t="s">
        <v>4813</v>
      </c>
      <c r="F1409" s="465">
        <v>36.090000000000003</v>
      </c>
    </row>
    <row r="1410" spans="1:6" ht="39.6" x14ac:dyDescent="0.25">
      <c r="A1410" s="465">
        <v>2211</v>
      </c>
      <c r="B1410" s="466" t="s">
        <v>5401</v>
      </c>
      <c r="C1410" s="466" t="s">
        <v>2094</v>
      </c>
      <c r="D1410" s="467" t="s">
        <v>5402</v>
      </c>
      <c r="E1410" s="468" t="s">
        <v>4813</v>
      </c>
      <c r="F1410" s="465">
        <v>48.12</v>
      </c>
    </row>
    <row r="1411" spans="1:6" ht="39.6" x14ac:dyDescent="0.25">
      <c r="A1411" s="465">
        <v>2212</v>
      </c>
      <c r="B1411" s="466" t="s">
        <v>5403</v>
      </c>
      <c r="C1411" s="466" t="s">
        <v>2094</v>
      </c>
      <c r="D1411" s="467" t="s">
        <v>5404</v>
      </c>
      <c r="E1411" s="468" t="s">
        <v>4813</v>
      </c>
      <c r="F1411" s="465">
        <v>57.05</v>
      </c>
    </row>
    <row r="1412" spans="1:6" ht="39.6" x14ac:dyDescent="0.25">
      <c r="A1412" s="465">
        <v>2213</v>
      </c>
      <c r="B1412" s="466" t="s">
        <v>5405</v>
      </c>
      <c r="C1412" s="466" t="s">
        <v>2094</v>
      </c>
      <c r="D1412" s="467" t="s">
        <v>5406</v>
      </c>
      <c r="E1412" s="468" t="s">
        <v>4813</v>
      </c>
      <c r="F1412" s="465">
        <v>102.18</v>
      </c>
    </row>
    <row r="1413" spans="1:6" ht="39.6" x14ac:dyDescent="0.25">
      <c r="A1413" s="465">
        <v>2214</v>
      </c>
      <c r="B1413" s="466" t="s">
        <v>5409</v>
      </c>
      <c r="C1413" s="466" t="s">
        <v>2094</v>
      </c>
      <c r="D1413" s="467" t="s">
        <v>5410</v>
      </c>
      <c r="E1413" s="468" t="s">
        <v>4813</v>
      </c>
      <c r="F1413" s="465">
        <v>134.38999999999999</v>
      </c>
    </row>
    <row r="1414" spans="1:6" ht="52.8" x14ac:dyDescent="0.25">
      <c r="A1414" s="465">
        <v>2215</v>
      </c>
      <c r="B1414" s="466" t="s">
        <v>6895</v>
      </c>
      <c r="C1414" s="466" t="s">
        <v>2094</v>
      </c>
      <c r="D1414" s="467" t="s">
        <v>6896</v>
      </c>
      <c r="E1414" s="468" t="s">
        <v>5082</v>
      </c>
      <c r="F1414" s="465">
        <v>1.1000000000000001</v>
      </c>
    </row>
    <row r="1415" spans="1:6" ht="39.6" x14ac:dyDescent="0.25">
      <c r="A1415" s="465">
        <v>2217</v>
      </c>
      <c r="B1415" s="466" t="s">
        <v>5936</v>
      </c>
      <c r="C1415" s="466" t="s">
        <v>2094</v>
      </c>
      <c r="D1415" s="467" t="s">
        <v>5937</v>
      </c>
      <c r="E1415" s="468" t="s">
        <v>4863</v>
      </c>
      <c r="F1415" s="465">
        <v>18.29</v>
      </c>
    </row>
    <row r="1416" spans="1:6" ht="52.8" x14ac:dyDescent="0.25">
      <c r="A1416" s="465">
        <v>2218</v>
      </c>
      <c r="B1416" s="466" t="s">
        <v>5794</v>
      </c>
      <c r="C1416" s="466" t="s">
        <v>2094</v>
      </c>
      <c r="D1416" s="467" t="s">
        <v>5795</v>
      </c>
      <c r="E1416" s="468" t="s">
        <v>4863</v>
      </c>
      <c r="F1416" s="465">
        <v>267.7</v>
      </c>
    </row>
    <row r="1417" spans="1:6" ht="52.8" x14ac:dyDescent="0.25">
      <c r="A1417" s="465">
        <v>2219</v>
      </c>
      <c r="B1417" s="466" t="s">
        <v>5796</v>
      </c>
      <c r="C1417" s="466" t="s">
        <v>2094</v>
      </c>
      <c r="D1417" s="467" t="s">
        <v>5797</v>
      </c>
      <c r="E1417" s="468" t="s">
        <v>4863</v>
      </c>
      <c r="F1417" s="465">
        <v>292.60000000000002</v>
      </c>
    </row>
    <row r="1418" spans="1:6" ht="39.6" x14ac:dyDescent="0.25">
      <c r="A1418" s="465">
        <v>2220</v>
      </c>
      <c r="B1418" s="466" t="s">
        <v>5804</v>
      </c>
      <c r="C1418" s="466" t="s">
        <v>2094</v>
      </c>
      <c r="D1418" s="467" t="s">
        <v>5805</v>
      </c>
      <c r="E1418" s="468" t="s">
        <v>4863</v>
      </c>
      <c r="F1418" s="465">
        <v>204.55</v>
      </c>
    </row>
    <row r="1419" spans="1:6" ht="39.6" x14ac:dyDescent="0.25">
      <c r="A1419" s="465">
        <v>2221</v>
      </c>
      <c r="B1419" s="466" t="s">
        <v>5806</v>
      </c>
      <c r="C1419" s="466" t="s">
        <v>2094</v>
      </c>
      <c r="D1419" s="467" t="s">
        <v>5807</v>
      </c>
      <c r="E1419" s="468" t="s">
        <v>4863</v>
      </c>
      <c r="F1419" s="465">
        <v>215</v>
      </c>
    </row>
    <row r="1420" spans="1:6" ht="39.6" x14ac:dyDescent="0.25">
      <c r="A1420" s="465">
        <v>2222</v>
      </c>
      <c r="B1420" s="466" t="s">
        <v>5802</v>
      </c>
      <c r="C1420" s="466" t="s">
        <v>2094</v>
      </c>
      <c r="D1420" s="467" t="s">
        <v>5803</v>
      </c>
      <c r="E1420" s="468" t="s">
        <v>4863</v>
      </c>
      <c r="F1420" s="465">
        <v>253.25</v>
      </c>
    </row>
    <row r="1421" spans="1:6" ht="26.4" x14ac:dyDescent="0.25">
      <c r="A1421" s="465">
        <v>2224</v>
      </c>
      <c r="B1421" s="466" t="s">
        <v>6963</v>
      </c>
      <c r="C1421" s="466" t="s">
        <v>2094</v>
      </c>
      <c r="D1421" s="467" t="s">
        <v>6964</v>
      </c>
      <c r="E1421" s="468" t="s">
        <v>4863</v>
      </c>
      <c r="F1421" s="465">
        <v>4960.6000000000004</v>
      </c>
    </row>
    <row r="1422" spans="1:6" ht="26.4" x14ac:dyDescent="0.25">
      <c r="A1422" s="465">
        <v>2225</v>
      </c>
      <c r="B1422" s="466" t="s">
        <v>6965</v>
      </c>
      <c r="C1422" s="466" t="s">
        <v>2094</v>
      </c>
      <c r="D1422" s="467" t="s">
        <v>6966</v>
      </c>
      <c r="E1422" s="468" t="s">
        <v>6962</v>
      </c>
      <c r="F1422" s="465">
        <v>16.96</v>
      </c>
    </row>
    <row r="1423" spans="1:6" ht="39.6" x14ac:dyDescent="0.25">
      <c r="A1423" s="465">
        <v>2226</v>
      </c>
      <c r="B1423" s="466" t="s">
        <v>7137</v>
      </c>
      <c r="C1423" s="466" t="s">
        <v>2094</v>
      </c>
      <c r="D1423" s="467" t="s">
        <v>7138</v>
      </c>
      <c r="E1423" s="468" t="s">
        <v>4863</v>
      </c>
      <c r="F1423" s="465">
        <v>3800</v>
      </c>
    </row>
    <row r="1424" spans="1:6" ht="52.8" x14ac:dyDescent="0.25">
      <c r="A1424" s="465">
        <v>2227</v>
      </c>
      <c r="B1424" s="466" t="s">
        <v>5894</v>
      </c>
      <c r="C1424" s="466" t="s">
        <v>2094</v>
      </c>
      <c r="D1424" s="467" t="s">
        <v>5895</v>
      </c>
      <c r="E1424" s="468" t="s">
        <v>4863</v>
      </c>
      <c r="F1424" s="465">
        <v>4800</v>
      </c>
    </row>
    <row r="1425" spans="1:6" ht="39.6" x14ac:dyDescent="0.25">
      <c r="A1425" s="465">
        <v>2228</v>
      </c>
      <c r="B1425" s="466" t="s">
        <v>5896</v>
      </c>
      <c r="C1425" s="466" t="s">
        <v>2094</v>
      </c>
      <c r="D1425" s="467" t="s">
        <v>5897</v>
      </c>
      <c r="E1425" s="468" t="s">
        <v>4863</v>
      </c>
      <c r="F1425" s="465">
        <v>2090</v>
      </c>
    </row>
    <row r="1426" spans="1:6" ht="39.6" x14ac:dyDescent="0.25">
      <c r="A1426" s="465">
        <v>2229</v>
      </c>
      <c r="B1426" s="466" t="s">
        <v>5892</v>
      </c>
      <c r="C1426" s="466" t="s">
        <v>2094</v>
      </c>
      <c r="D1426" s="467" t="s">
        <v>5893</v>
      </c>
      <c r="E1426" s="468" t="s">
        <v>4863</v>
      </c>
      <c r="F1426" s="465">
        <v>1080</v>
      </c>
    </row>
    <row r="1427" spans="1:6" ht="52.8" x14ac:dyDescent="0.25">
      <c r="A1427" s="465">
        <v>2230</v>
      </c>
      <c r="B1427" s="466" t="s">
        <v>5021</v>
      </c>
      <c r="C1427" s="466" t="s">
        <v>4801</v>
      </c>
      <c r="D1427" s="467" t="s">
        <v>5022</v>
      </c>
      <c r="E1427" s="468" t="s">
        <v>4850</v>
      </c>
      <c r="F1427" s="465">
        <v>5</v>
      </c>
    </row>
    <row r="1428" spans="1:6" ht="39.6" x14ac:dyDescent="0.25">
      <c r="A1428" s="465">
        <v>2231</v>
      </c>
      <c r="B1428" s="466" t="s">
        <v>5019</v>
      </c>
      <c r="C1428" s="466" t="s">
        <v>4801</v>
      </c>
      <c r="D1428" s="467" t="s">
        <v>5020</v>
      </c>
      <c r="E1428" s="468" t="s">
        <v>4850</v>
      </c>
      <c r="F1428" s="465">
        <v>4</v>
      </c>
    </row>
    <row r="1429" spans="1:6" ht="26.4" x14ac:dyDescent="0.25">
      <c r="A1429" s="465">
        <v>2254</v>
      </c>
      <c r="B1429" s="466" t="s">
        <v>7014</v>
      </c>
      <c r="C1429" s="466" t="s">
        <v>2094</v>
      </c>
      <c r="D1429" s="467" t="s">
        <v>7015</v>
      </c>
      <c r="E1429" s="468" t="s">
        <v>4863</v>
      </c>
      <c r="F1429" s="465">
        <v>4078.2</v>
      </c>
    </row>
    <row r="1430" spans="1:6" ht="26.4" x14ac:dyDescent="0.25">
      <c r="A1430" s="465">
        <v>2255</v>
      </c>
      <c r="B1430" s="466" t="s">
        <v>7016</v>
      </c>
      <c r="C1430" s="466" t="s">
        <v>2094</v>
      </c>
      <c r="D1430" s="467" t="s">
        <v>7017</v>
      </c>
      <c r="E1430" s="468" t="s">
        <v>4850</v>
      </c>
      <c r="F1430" s="465">
        <v>202.22</v>
      </c>
    </row>
    <row r="1431" spans="1:6" ht="66" x14ac:dyDescent="0.25">
      <c r="A1431" s="465">
        <v>2256</v>
      </c>
      <c r="B1431" s="466" t="s">
        <v>7081</v>
      </c>
      <c r="C1431" s="466" t="s">
        <v>2094</v>
      </c>
      <c r="D1431" s="467" t="s">
        <v>7082</v>
      </c>
      <c r="E1431" s="468" t="s">
        <v>4863</v>
      </c>
      <c r="F1431" s="465">
        <v>755.6</v>
      </c>
    </row>
    <row r="1432" spans="1:6" ht="66" x14ac:dyDescent="0.25">
      <c r="A1432" s="465">
        <v>2257</v>
      </c>
      <c r="B1432" s="466" t="s">
        <v>7078</v>
      </c>
      <c r="C1432" s="466" t="s">
        <v>2094</v>
      </c>
      <c r="D1432" s="467" t="s">
        <v>7079</v>
      </c>
      <c r="E1432" s="468" t="s">
        <v>4863</v>
      </c>
      <c r="F1432" s="465">
        <v>146.19999999999999</v>
      </c>
    </row>
    <row r="1433" spans="1:6" ht="39.6" x14ac:dyDescent="0.25">
      <c r="A1433" s="465">
        <v>2258</v>
      </c>
      <c r="B1433" s="466" t="s">
        <v>7284</v>
      </c>
      <c r="C1433" s="466" t="s">
        <v>2094</v>
      </c>
      <c r="D1433" s="467" t="s">
        <v>7285</v>
      </c>
      <c r="E1433" s="468" t="s">
        <v>4863</v>
      </c>
      <c r="F1433" s="465">
        <v>26.5</v>
      </c>
    </row>
    <row r="1434" spans="1:6" ht="66" x14ac:dyDescent="0.25">
      <c r="A1434" s="465">
        <v>2259</v>
      </c>
      <c r="B1434" s="466" t="s">
        <v>7080</v>
      </c>
      <c r="C1434" s="466" t="s">
        <v>2094</v>
      </c>
      <c r="D1434" s="467" t="s">
        <v>7079</v>
      </c>
      <c r="E1434" s="468" t="s">
        <v>4863</v>
      </c>
      <c r="F1434" s="465">
        <v>292.39999999999998</v>
      </c>
    </row>
    <row r="1435" spans="1:6" ht="52.8" x14ac:dyDescent="0.25">
      <c r="A1435" s="465">
        <v>2260</v>
      </c>
      <c r="B1435" s="466" t="s">
        <v>7229</v>
      </c>
      <c r="C1435" s="466" t="s">
        <v>2094</v>
      </c>
      <c r="D1435" s="467" t="s">
        <v>7230</v>
      </c>
      <c r="E1435" s="468" t="s">
        <v>5034</v>
      </c>
      <c r="F1435" s="465">
        <v>0.25</v>
      </c>
    </row>
    <row r="1436" spans="1:6" ht="66" x14ac:dyDescent="0.25">
      <c r="A1436" s="465">
        <v>2261</v>
      </c>
      <c r="B1436" s="466" t="s">
        <v>6946</v>
      </c>
      <c r="C1436" s="466" t="s">
        <v>2094</v>
      </c>
      <c r="D1436" s="467" t="s">
        <v>6947</v>
      </c>
      <c r="E1436" s="468" t="s">
        <v>4813</v>
      </c>
      <c r="F1436" s="465">
        <v>217.5</v>
      </c>
    </row>
    <row r="1437" spans="1:6" ht="52.8" x14ac:dyDescent="0.25">
      <c r="A1437" s="465">
        <v>2262</v>
      </c>
      <c r="B1437" s="466" t="s">
        <v>6245</v>
      </c>
      <c r="C1437" s="466" t="s">
        <v>2094</v>
      </c>
      <c r="D1437" s="467" t="s">
        <v>6246</v>
      </c>
      <c r="E1437" s="468" t="s">
        <v>4863</v>
      </c>
      <c r="F1437" s="465">
        <v>22860.5</v>
      </c>
    </row>
    <row r="1438" spans="1:6" ht="52.8" x14ac:dyDescent="0.25">
      <c r="A1438" s="465">
        <v>2263</v>
      </c>
      <c r="B1438" s="466" t="s">
        <v>6247</v>
      </c>
      <c r="C1438" s="466" t="s">
        <v>2094</v>
      </c>
      <c r="D1438" s="467" t="s">
        <v>6248</v>
      </c>
      <c r="E1438" s="468" t="s">
        <v>4850</v>
      </c>
      <c r="F1438" s="465">
        <v>297.79000000000002</v>
      </c>
    </row>
    <row r="1439" spans="1:6" ht="52.8" x14ac:dyDescent="0.25">
      <c r="A1439" s="465">
        <v>2264</v>
      </c>
      <c r="B1439" s="466" t="s">
        <v>6241</v>
      </c>
      <c r="C1439" s="466" t="s">
        <v>2094</v>
      </c>
      <c r="D1439" s="467" t="s">
        <v>6242</v>
      </c>
      <c r="E1439" s="468" t="s">
        <v>4863</v>
      </c>
      <c r="F1439" s="465">
        <v>39846</v>
      </c>
    </row>
    <row r="1440" spans="1:6" ht="52.8" x14ac:dyDescent="0.25">
      <c r="A1440" s="465">
        <v>2265</v>
      </c>
      <c r="B1440" s="466" t="s">
        <v>6243</v>
      </c>
      <c r="C1440" s="466" t="s">
        <v>2094</v>
      </c>
      <c r="D1440" s="467" t="s">
        <v>6244</v>
      </c>
      <c r="E1440" s="468" t="s">
        <v>4850</v>
      </c>
      <c r="F1440" s="465">
        <v>241</v>
      </c>
    </row>
    <row r="1441" spans="1:6" ht="39.6" x14ac:dyDescent="0.25">
      <c r="A1441" s="465">
        <v>2266</v>
      </c>
      <c r="B1441" s="466" t="s">
        <v>6253</v>
      </c>
      <c r="C1441" s="466" t="s">
        <v>2094</v>
      </c>
      <c r="D1441" s="467" t="s">
        <v>6254</v>
      </c>
      <c r="E1441" s="468" t="s">
        <v>4863</v>
      </c>
      <c r="F1441" s="465">
        <v>12498</v>
      </c>
    </row>
    <row r="1442" spans="1:6" ht="39.6" x14ac:dyDescent="0.25">
      <c r="A1442" s="465">
        <v>2267</v>
      </c>
      <c r="B1442" s="466" t="s">
        <v>6255</v>
      </c>
      <c r="C1442" s="466" t="s">
        <v>2094</v>
      </c>
      <c r="D1442" s="467" t="s">
        <v>6256</v>
      </c>
      <c r="E1442" s="468" t="s">
        <v>4850</v>
      </c>
      <c r="F1442" s="465">
        <v>287.72000000000003</v>
      </c>
    </row>
    <row r="1443" spans="1:6" ht="39.6" x14ac:dyDescent="0.25">
      <c r="A1443" s="465">
        <v>2268</v>
      </c>
      <c r="B1443" s="466" t="s">
        <v>6249</v>
      </c>
      <c r="C1443" s="466" t="s">
        <v>2094</v>
      </c>
      <c r="D1443" s="467" t="s">
        <v>6250</v>
      </c>
      <c r="E1443" s="468" t="s">
        <v>4863</v>
      </c>
      <c r="F1443" s="465">
        <v>4524.7</v>
      </c>
    </row>
    <row r="1444" spans="1:6" ht="39.6" x14ac:dyDescent="0.25">
      <c r="A1444" s="465">
        <v>2269</v>
      </c>
      <c r="B1444" s="466" t="s">
        <v>6251</v>
      </c>
      <c r="C1444" s="466" t="s">
        <v>2094</v>
      </c>
      <c r="D1444" s="467" t="s">
        <v>6252</v>
      </c>
      <c r="E1444" s="468" t="s">
        <v>4850</v>
      </c>
      <c r="F1444" s="465">
        <v>179.12</v>
      </c>
    </row>
    <row r="1445" spans="1:6" ht="39.6" x14ac:dyDescent="0.25">
      <c r="A1445" s="465">
        <v>2270</v>
      </c>
      <c r="B1445" s="466" t="s">
        <v>6182</v>
      </c>
      <c r="C1445" s="466" t="s">
        <v>2094</v>
      </c>
      <c r="D1445" s="467" t="s">
        <v>6183</v>
      </c>
      <c r="E1445" s="468" t="s">
        <v>4863</v>
      </c>
      <c r="F1445" s="465">
        <v>827.21</v>
      </c>
    </row>
    <row r="1446" spans="1:6" ht="39.6" x14ac:dyDescent="0.25">
      <c r="A1446" s="465">
        <v>2271</v>
      </c>
      <c r="B1446" s="466" t="s">
        <v>6184</v>
      </c>
      <c r="C1446" s="466" t="s">
        <v>2094</v>
      </c>
      <c r="D1446" s="467" t="s">
        <v>6185</v>
      </c>
      <c r="E1446" s="468" t="s">
        <v>6186</v>
      </c>
      <c r="F1446" s="465">
        <v>109.38</v>
      </c>
    </row>
    <row r="1447" spans="1:6" ht="39.6" x14ac:dyDescent="0.25">
      <c r="A1447" s="465">
        <v>2272</v>
      </c>
      <c r="B1447" s="466" t="s">
        <v>6509</v>
      </c>
      <c r="C1447" s="466" t="s">
        <v>2094</v>
      </c>
      <c r="D1447" s="467" t="s">
        <v>6510</v>
      </c>
      <c r="E1447" s="468" t="s">
        <v>5140</v>
      </c>
      <c r="F1447" s="465">
        <v>0.66</v>
      </c>
    </row>
    <row r="1448" spans="1:6" ht="26.4" x14ac:dyDescent="0.25">
      <c r="A1448" s="465">
        <v>2273</v>
      </c>
      <c r="B1448" s="466" t="s">
        <v>7127</v>
      </c>
      <c r="C1448" s="466" t="s">
        <v>2094</v>
      </c>
      <c r="D1448" s="467" t="s">
        <v>7126</v>
      </c>
      <c r="E1448" s="468" t="s">
        <v>5082</v>
      </c>
      <c r="F1448" s="465">
        <v>60.13</v>
      </c>
    </row>
    <row r="1449" spans="1:6" ht="26.4" x14ac:dyDescent="0.25">
      <c r="A1449" s="465">
        <v>2274</v>
      </c>
      <c r="B1449" s="466" t="s">
        <v>7128</v>
      </c>
      <c r="C1449" s="466" t="s">
        <v>2094</v>
      </c>
      <c r="D1449" s="467" t="s">
        <v>7126</v>
      </c>
      <c r="E1449" s="468" t="s">
        <v>5082</v>
      </c>
      <c r="F1449" s="465">
        <v>91.25</v>
      </c>
    </row>
    <row r="1450" spans="1:6" ht="52.8" x14ac:dyDescent="0.25">
      <c r="A1450" s="465">
        <v>2275</v>
      </c>
      <c r="B1450" s="466" t="s">
        <v>7231</v>
      </c>
      <c r="C1450" s="466" t="s">
        <v>2094</v>
      </c>
      <c r="D1450" s="467" t="s">
        <v>7232</v>
      </c>
      <c r="E1450" s="468" t="s">
        <v>4863</v>
      </c>
      <c r="F1450" s="465">
        <v>0</v>
      </c>
    </row>
    <row r="1451" spans="1:6" ht="52.8" x14ac:dyDescent="0.25">
      <c r="A1451" s="465">
        <v>2276</v>
      </c>
      <c r="B1451" s="466" t="s">
        <v>5032</v>
      </c>
      <c r="C1451" s="466" t="s">
        <v>4801</v>
      </c>
      <c r="D1451" s="467" t="s">
        <v>5033</v>
      </c>
      <c r="E1451" s="468" t="s">
        <v>5034</v>
      </c>
      <c r="F1451" s="465">
        <v>0.01</v>
      </c>
    </row>
    <row r="1452" spans="1:6" ht="52.8" x14ac:dyDescent="0.25">
      <c r="A1452" s="465">
        <v>2277</v>
      </c>
      <c r="B1452" s="466" t="s">
        <v>5038</v>
      </c>
      <c r="C1452" s="466" t="s">
        <v>4801</v>
      </c>
      <c r="D1452" s="467" t="s">
        <v>5039</v>
      </c>
      <c r="E1452" s="468" t="s">
        <v>2377</v>
      </c>
      <c r="F1452" s="465">
        <v>2.42</v>
      </c>
    </row>
  </sheetData>
  <autoFilter ref="A1:F1452">
    <sortState ref="A2:F1452">
      <sortCondition ref="A1:A1452"/>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332"/>
  <sheetViews>
    <sheetView workbookViewId="0">
      <pane ySplit="2" topLeftCell="A313" activePane="bottomLeft" state="frozen"/>
      <selection pane="bottomLeft" activeCell="G3" sqref="G3"/>
    </sheetView>
  </sheetViews>
  <sheetFormatPr defaultColWidth="9.109375" defaultRowHeight="10.199999999999999" x14ac:dyDescent="0.2"/>
  <cols>
    <col min="1" max="1" width="10.88671875" style="317" customWidth="1"/>
    <col min="2" max="2" width="15.6640625" style="312" customWidth="1"/>
    <col min="3" max="3" width="55.6640625" style="325" bestFit="1" customWidth="1"/>
    <col min="4" max="4" width="8.6640625" style="312" customWidth="1"/>
    <col min="5" max="5" width="15.6640625" style="312" customWidth="1"/>
    <col min="6" max="6" width="12.88671875" style="312" bestFit="1" customWidth="1"/>
    <col min="7" max="7" width="8.6640625" style="312" customWidth="1"/>
    <col min="8" max="11" width="15.6640625" style="312" hidden="1" customWidth="1"/>
    <col min="12" max="12" width="15.6640625" style="312" customWidth="1"/>
    <col min="13" max="13" width="15.6640625" style="312" hidden="1" customWidth="1"/>
    <col min="14" max="15" width="8.6640625" style="312" hidden="1" customWidth="1"/>
    <col min="16" max="16" width="25.6640625" style="312" hidden="1" customWidth="1"/>
    <col min="17" max="18" width="0" style="312" hidden="1" customWidth="1"/>
    <col min="19" max="19" width="11.33203125" style="335" customWidth="1"/>
    <col min="20" max="20" width="10.6640625" style="335" customWidth="1"/>
    <col min="21" max="21" width="12.5546875" style="312" customWidth="1"/>
    <col min="22" max="22" width="12.109375" style="337" customWidth="1"/>
    <col min="23" max="24" width="13.44140625" style="337" customWidth="1"/>
    <col min="25" max="25" width="14.88671875" style="337" customWidth="1"/>
    <col min="26" max="16384" width="9.109375" style="317"/>
  </cols>
  <sheetData>
    <row r="1" spans="1:25" x14ac:dyDescent="0.2">
      <c r="B1" s="338" t="s">
        <v>3425</v>
      </c>
      <c r="C1" s="338"/>
      <c r="H1" s="313"/>
      <c r="I1" s="313"/>
      <c r="J1" s="313"/>
      <c r="K1" s="313"/>
      <c r="L1" s="313"/>
      <c r="S1" s="314" t="s">
        <v>3426</v>
      </c>
      <c r="T1" s="315"/>
      <c r="V1" s="312"/>
      <c r="W1" s="312"/>
      <c r="X1" s="312"/>
      <c r="Y1" s="316"/>
    </row>
    <row r="2" spans="1:25" ht="51" x14ac:dyDescent="0.2">
      <c r="A2" s="339" t="s">
        <v>4662</v>
      </c>
      <c r="B2" s="318" t="s">
        <v>3427</v>
      </c>
      <c r="C2" s="319" t="s">
        <v>2090</v>
      </c>
      <c r="D2" s="318" t="s">
        <v>1794</v>
      </c>
      <c r="E2" s="318" t="s">
        <v>3428</v>
      </c>
      <c r="F2" s="318" t="s">
        <v>3429</v>
      </c>
      <c r="G2" s="318" t="s">
        <v>2372</v>
      </c>
      <c r="H2" s="318" t="s">
        <v>3430</v>
      </c>
      <c r="I2" s="318" t="s">
        <v>3431</v>
      </c>
      <c r="J2" s="318" t="s">
        <v>3432</v>
      </c>
      <c r="K2" s="318" t="s">
        <v>2093</v>
      </c>
      <c r="L2" s="318" t="s">
        <v>3433</v>
      </c>
      <c r="M2" s="318" t="s">
        <v>3434</v>
      </c>
      <c r="N2" s="318" t="s">
        <v>3435</v>
      </c>
      <c r="O2" s="318" t="s">
        <v>3436</v>
      </c>
      <c r="P2" s="318" t="s">
        <v>3437</v>
      </c>
      <c r="Q2" s="320"/>
      <c r="R2" s="320"/>
      <c r="S2" s="321" t="s">
        <v>3438</v>
      </c>
      <c r="T2" s="322" t="s">
        <v>3439</v>
      </c>
      <c r="U2" s="323">
        <v>482</v>
      </c>
      <c r="V2" s="321" t="s">
        <v>3440</v>
      </c>
      <c r="W2" s="321" t="s">
        <v>3441</v>
      </c>
      <c r="X2" s="321" t="s">
        <v>3442</v>
      </c>
      <c r="Y2" s="324" t="s">
        <v>3443</v>
      </c>
    </row>
    <row r="3" spans="1:25" ht="20.399999999999999" x14ac:dyDescent="0.2">
      <c r="A3" s="359">
        <v>1</v>
      </c>
      <c r="B3" s="312" t="s">
        <v>3928</v>
      </c>
      <c r="C3" s="325" t="s">
        <v>3929</v>
      </c>
      <c r="D3" s="312" t="s">
        <v>775</v>
      </c>
      <c r="E3" s="312">
        <v>200</v>
      </c>
      <c r="F3" s="312">
        <v>0.04</v>
      </c>
      <c r="G3" s="312" t="s">
        <v>2840</v>
      </c>
      <c r="H3" s="329">
        <v>0</v>
      </c>
      <c r="I3" s="329">
        <v>1.0900000000000001</v>
      </c>
      <c r="J3" s="329">
        <v>2.5299999999999998</v>
      </c>
      <c r="K3" s="329">
        <v>3.62</v>
      </c>
      <c r="L3" s="329">
        <v>4.58</v>
      </c>
      <c r="N3" s="312" t="s">
        <v>3448</v>
      </c>
      <c r="O3" s="312">
        <v>2011</v>
      </c>
      <c r="Q3" s="326" t="s">
        <v>3930</v>
      </c>
      <c r="R3" s="326">
        <v>2</v>
      </c>
      <c r="S3" s="330">
        <v>4.3235200000000003</v>
      </c>
      <c r="T3" s="315">
        <v>4.3876400000000002</v>
      </c>
      <c r="U3" s="330">
        <v>4.5113000000000003</v>
      </c>
      <c r="V3" s="330">
        <v>4.7448800000000002</v>
      </c>
      <c r="W3" s="330">
        <v>4.8502200000000011</v>
      </c>
      <c r="X3" s="330">
        <v>5.0792200000000003</v>
      </c>
      <c r="Y3" s="331">
        <v>4.7952599999999999</v>
      </c>
    </row>
    <row r="4" spans="1:25" ht="20.399999999999999" x14ac:dyDescent="0.2">
      <c r="A4" s="359">
        <v>1</v>
      </c>
      <c r="B4" s="312" t="s">
        <v>3906</v>
      </c>
      <c r="C4" s="325" t="s">
        <v>1049</v>
      </c>
      <c r="D4" s="312" t="s">
        <v>1797</v>
      </c>
      <c r="E4" s="312">
        <v>600</v>
      </c>
      <c r="F4" s="312">
        <v>4.7E-2</v>
      </c>
      <c r="G4" s="312" t="s">
        <v>2840</v>
      </c>
      <c r="H4" s="329">
        <v>22</v>
      </c>
      <c r="I4" s="329">
        <v>1.37</v>
      </c>
      <c r="J4" s="329">
        <v>3.44</v>
      </c>
      <c r="K4" s="329">
        <v>26.81</v>
      </c>
      <c r="L4" s="329">
        <v>30</v>
      </c>
      <c r="N4" s="312" t="s">
        <v>3448</v>
      </c>
      <c r="O4" s="312">
        <v>2011</v>
      </c>
      <c r="Q4" s="326" t="s">
        <v>3907</v>
      </c>
      <c r="R4" s="326">
        <v>2</v>
      </c>
      <c r="S4" s="330">
        <v>28.32</v>
      </c>
      <c r="T4" s="315">
        <v>28.74</v>
      </c>
      <c r="U4" s="330">
        <v>29.55</v>
      </c>
      <c r="V4" s="330">
        <v>31.080000000000002</v>
      </c>
      <c r="W4" s="330">
        <v>31.770000000000003</v>
      </c>
      <c r="X4" s="330">
        <v>33.269999999999996</v>
      </c>
      <c r="Y4" s="331">
        <v>31.409999999999997</v>
      </c>
    </row>
    <row r="5" spans="1:25" ht="20.399999999999999" x14ac:dyDescent="0.2">
      <c r="A5" s="359">
        <v>1</v>
      </c>
      <c r="B5" s="312" t="s">
        <v>3914</v>
      </c>
      <c r="C5" s="325" t="s">
        <v>1050</v>
      </c>
      <c r="D5" s="312" t="s">
        <v>1797</v>
      </c>
      <c r="E5" s="312">
        <v>600</v>
      </c>
      <c r="F5" s="312">
        <v>4.7E-2</v>
      </c>
      <c r="G5" s="312" t="s">
        <v>2840</v>
      </c>
      <c r="H5" s="329">
        <v>47</v>
      </c>
      <c r="I5" s="329">
        <v>1.37</v>
      </c>
      <c r="J5" s="329">
        <v>3.44</v>
      </c>
      <c r="K5" s="329">
        <v>51.81</v>
      </c>
      <c r="L5" s="329">
        <v>58</v>
      </c>
      <c r="N5" s="312" t="s">
        <v>3448</v>
      </c>
      <c r="O5" s="312">
        <v>2011</v>
      </c>
      <c r="Q5" s="326" t="s">
        <v>3915</v>
      </c>
      <c r="R5" s="326">
        <v>2</v>
      </c>
      <c r="S5" s="330">
        <v>54.752000000000002</v>
      </c>
      <c r="T5" s="315">
        <v>55.564</v>
      </c>
      <c r="U5" s="330">
        <v>57.13</v>
      </c>
      <c r="V5" s="330">
        <v>60.088000000000001</v>
      </c>
      <c r="W5" s="330">
        <v>61.422000000000011</v>
      </c>
      <c r="X5" s="330">
        <v>64.322000000000003</v>
      </c>
      <c r="Y5" s="331">
        <v>60.725999999999999</v>
      </c>
    </row>
    <row r="6" spans="1:25" ht="20.399999999999999" x14ac:dyDescent="0.2">
      <c r="A6" s="359">
        <v>1</v>
      </c>
      <c r="B6" s="312" t="s">
        <v>3908</v>
      </c>
      <c r="C6" s="325" t="s">
        <v>3909</v>
      </c>
      <c r="D6" s="312" t="s">
        <v>1797</v>
      </c>
      <c r="E6" s="312">
        <v>600</v>
      </c>
      <c r="F6" s="312">
        <v>4.7E-2</v>
      </c>
      <c r="G6" s="312" t="s">
        <v>2840</v>
      </c>
      <c r="H6" s="329">
        <v>38</v>
      </c>
      <c r="I6" s="329">
        <v>1.37</v>
      </c>
      <c r="J6" s="329">
        <v>3.44</v>
      </c>
      <c r="K6" s="329">
        <v>42.81</v>
      </c>
      <c r="L6" s="329">
        <v>48</v>
      </c>
      <c r="N6" s="312" t="s">
        <v>3448</v>
      </c>
      <c r="O6" s="312">
        <v>2011</v>
      </c>
      <c r="Q6" s="326" t="s">
        <v>3910</v>
      </c>
      <c r="R6" s="326">
        <v>2</v>
      </c>
      <c r="S6" s="330">
        <v>45.312000000000005</v>
      </c>
      <c r="T6" s="315">
        <v>45.983999999999995</v>
      </c>
      <c r="U6" s="330">
        <v>47.28</v>
      </c>
      <c r="V6" s="330">
        <v>49.728000000000002</v>
      </c>
      <c r="W6" s="330">
        <v>50.832000000000008</v>
      </c>
      <c r="X6" s="330">
        <v>53.231999999999999</v>
      </c>
      <c r="Y6" s="331">
        <v>50.256</v>
      </c>
    </row>
    <row r="7" spans="1:25" ht="20.399999999999999" x14ac:dyDescent="0.2">
      <c r="A7" s="359">
        <v>1</v>
      </c>
      <c r="B7" s="312" t="s">
        <v>3911</v>
      </c>
      <c r="C7" s="325" t="s">
        <v>3912</v>
      </c>
      <c r="D7" s="312" t="s">
        <v>1797</v>
      </c>
      <c r="E7" s="312">
        <v>600</v>
      </c>
      <c r="F7" s="312">
        <v>4.7E-2</v>
      </c>
      <c r="G7" s="312" t="s">
        <v>2840</v>
      </c>
      <c r="H7" s="329">
        <v>38</v>
      </c>
      <c r="I7" s="329">
        <v>1.37</v>
      </c>
      <c r="J7" s="329">
        <v>3.44</v>
      </c>
      <c r="K7" s="329">
        <v>42.81</v>
      </c>
      <c r="L7" s="329">
        <v>48</v>
      </c>
      <c r="N7" s="312" t="s">
        <v>3448</v>
      </c>
      <c r="O7" s="312">
        <v>2011</v>
      </c>
      <c r="Q7" s="326" t="s">
        <v>3913</v>
      </c>
      <c r="R7" s="326">
        <v>2</v>
      </c>
      <c r="S7" s="330">
        <v>45.312000000000005</v>
      </c>
      <c r="T7" s="315">
        <v>45.983999999999995</v>
      </c>
      <c r="U7" s="330">
        <v>47.28</v>
      </c>
      <c r="V7" s="330">
        <v>49.728000000000002</v>
      </c>
      <c r="W7" s="330">
        <v>50.832000000000008</v>
      </c>
      <c r="X7" s="330">
        <v>53.231999999999999</v>
      </c>
      <c r="Y7" s="331">
        <v>50.256</v>
      </c>
    </row>
    <row r="8" spans="1:25" ht="20.399999999999999" x14ac:dyDescent="0.2">
      <c r="A8" s="359">
        <v>1</v>
      </c>
      <c r="B8" s="312" t="s">
        <v>3916</v>
      </c>
      <c r="C8" s="325" t="s">
        <v>3917</v>
      </c>
      <c r="D8" s="312" t="s">
        <v>1797</v>
      </c>
      <c r="E8" s="312">
        <v>600</v>
      </c>
      <c r="F8" s="312">
        <v>4.7E-2</v>
      </c>
      <c r="G8" s="312" t="s">
        <v>2840</v>
      </c>
      <c r="H8" s="329">
        <v>32</v>
      </c>
      <c r="I8" s="329">
        <v>1.37</v>
      </c>
      <c r="J8" s="329">
        <v>3.44</v>
      </c>
      <c r="K8" s="329">
        <v>36.81</v>
      </c>
      <c r="L8" s="329">
        <v>41.5</v>
      </c>
      <c r="N8" s="312" t="s">
        <v>3448</v>
      </c>
      <c r="O8" s="312">
        <v>2011</v>
      </c>
      <c r="Q8" s="326" t="s">
        <v>3918</v>
      </c>
      <c r="R8" s="326">
        <v>2</v>
      </c>
      <c r="S8" s="330">
        <v>39.176000000000002</v>
      </c>
      <c r="T8" s="315">
        <v>39.756999999999998</v>
      </c>
      <c r="U8" s="330">
        <v>40.877499999999998</v>
      </c>
      <c r="V8" s="330">
        <v>42.994</v>
      </c>
      <c r="W8" s="330">
        <v>43.94850000000001</v>
      </c>
      <c r="X8" s="330">
        <v>46.023499999999999</v>
      </c>
      <c r="Y8" s="331">
        <v>43.450499999999998</v>
      </c>
    </row>
    <row r="9" spans="1:25" ht="20.399999999999999" x14ac:dyDescent="0.2">
      <c r="A9" s="359">
        <v>1</v>
      </c>
      <c r="B9" s="312" t="s">
        <v>3922</v>
      </c>
      <c r="C9" s="325" t="s">
        <v>3923</v>
      </c>
      <c r="D9" s="312" t="s">
        <v>1797</v>
      </c>
      <c r="E9" s="312">
        <v>600</v>
      </c>
      <c r="F9" s="312">
        <v>4.7E-2</v>
      </c>
      <c r="G9" s="312" t="s">
        <v>2840</v>
      </c>
      <c r="H9" s="329">
        <v>15</v>
      </c>
      <c r="I9" s="329">
        <v>1.37</v>
      </c>
      <c r="J9" s="329">
        <v>3.44</v>
      </c>
      <c r="K9" s="329">
        <v>19.809999999999999</v>
      </c>
      <c r="L9" s="329">
        <v>22.5</v>
      </c>
      <c r="N9" s="312" t="s">
        <v>3448</v>
      </c>
      <c r="O9" s="312">
        <v>2011</v>
      </c>
      <c r="Q9" s="326" t="s">
        <v>3924</v>
      </c>
      <c r="R9" s="326">
        <v>2</v>
      </c>
      <c r="S9" s="330">
        <v>21.240000000000002</v>
      </c>
      <c r="T9" s="315">
        <v>21.555</v>
      </c>
      <c r="U9" s="330">
        <v>22.162500000000001</v>
      </c>
      <c r="V9" s="330">
        <v>23.310000000000002</v>
      </c>
      <c r="W9" s="330">
        <v>23.827500000000004</v>
      </c>
      <c r="X9" s="330">
        <v>24.952500000000001</v>
      </c>
      <c r="Y9" s="331">
        <v>23.557499999999997</v>
      </c>
    </row>
    <row r="10" spans="1:25" ht="20.399999999999999" x14ac:dyDescent="0.2">
      <c r="A10" s="359">
        <v>1</v>
      </c>
      <c r="B10" s="312" t="s">
        <v>3919</v>
      </c>
      <c r="C10" s="325" t="s">
        <v>3920</v>
      </c>
      <c r="D10" s="312" t="s">
        <v>1797</v>
      </c>
      <c r="E10" s="312">
        <v>600</v>
      </c>
      <c r="F10" s="312">
        <v>4.7E-2</v>
      </c>
      <c r="G10" s="312" t="s">
        <v>2840</v>
      </c>
      <c r="H10" s="329">
        <v>41</v>
      </c>
      <c r="I10" s="329">
        <v>1.37</v>
      </c>
      <c r="J10" s="329">
        <v>3.44</v>
      </c>
      <c r="K10" s="329">
        <v>45.81</v>
      </c>
      <c r="L10" s="329">
        <v>51</v>
      </c>
      <c r="N10" s="312" t="s">
        <v>3448</v>
      </c>
      <c r="O10" s="312">
        <v>2011</v>
      </c>
      <c r="Q10" s="326" t="s">
        <v>3921</v>
      </c>
      <c r="R10" s="326">
        <v>2</v>
      </c>
      <c r="S10" s="330">
        <v>48.144000000000005</v>
      </c>
      <c r="T10" s="315">
        <v>48.857999999999997</v>
      </c>
      <c r="U10" s="330">
        <v>50.234999999999999</v>
      </c>
      <c r="V10" s="330">
        <v>52.835999999999999</v>
      </c>
      <c r="W10" s="330">
        <v>54.009000000000007</v>
      </c>
      <c r="X10" s="330">
        <v>56.558999999999997</v>
      </c>
      <c r="Y10" s="331">
        <v>53.396999999999998</v>
      </c>
    </row>
    <row r="11" spans="1:25" ht="20.399999999999999" x14ac:dyDescent="0.2">
      <c r="A11" s="359">
        <v>1</v>
      </c>
      <c r="B11" s="312" t="s">
        <v>3925</v>
      </c>
      <c r="C11" s="325" t="s">
        <v>3926</v>
      </c>
      <c r="D11" s="312" t="s">
        <v>1797</v>
      </c>
      <c r="E11" s="312">
        <v>600</v>
      </c>
      <c r="F11" s="312">
        <v>4.7E-2</v>
      </c>
      <c r="G11" s="312" t="s">
        <v>2840</v>
      </c>
      <c r="H11" s="329">
        <v>20</v>
      </c>
      <c r="I11" s="329">
        <v>1.37</v>
      </c>
      <c r="J11" s="329">
        <v>3.44</v>
      </c>
      <c r="K11" s="329">
        <v>24.81</v>
      </c>
      <c r="L11" s="329">
        <v>28</v>
      </c>
      <c r="N11" s="312" t="s">
        <v>3448</v>
      </c>
      <c r="O11" s="312">
        <v>2011</v>
      </c>
      <c r="Q11" s="326" t="s">
        <v>3927</v>
      </c>
      <c r="R11" s="326">
        <v>2</v>
      </c>
      <c r="S11" s="330">
        <v>26.432000000000002</v>
      </c>
      <c r="T11" s="315">
        <v>26.823999999999998</v>
      </c>
      <c r="U11" s="330">
        <v>27.58</v>
      </c>
      <c r="V11" s="330">
        <v>29.008000000000003</v>
      </c>
      <c r="W11" s="330">
        <v>29.652000000000005</v>
      </c>
      <c r="X11" s="330">
        <v>31.052</v>
      </c>
      <c r="Y11" s="331">
        <v>29.315999999999999</v>
      </c>
    </row>
    <row r="12" spans="1:25" x14ac:dyDescent="0.2">
      <c r="A12" s="359">
        <v>1</v>
      </c>
      <c r="B12" s="312" t="s">
        <v>3493</v>
      </c>
      <c r="C12" s="325" t="s">
        <v>3494</v>
      </c>
      <c r="G12" s="312" t="s">
        <v>2377</v>
      </c>
      <c r="H12" s="329">
        <v>21.5</v>
      </c>
      <c r="I12" s="329">
        <v>0</v>
      </c>
      <c r="J12" s="329">
        <v>0</v>
      </c>
      <c r="K12" s="329">
        <v>21.5</v>
      </c>
      <c r="L12" s="329">
        <v>23.65</v>
      </c>
      <c r="N12" s="312" t="s">
        <v>3448</v>
      </c>
      <c r="O12" s="312">
        <v>2011</v>
      </c>
      <c r="Q12" s="326" t="s">
        <v>3495</v>
      </c>
      <c r="R12" s="326">
        <v>2</v>
      </c>
      <c r="S12" s="330">
        <v>22.325600000000001</v>
      </c>
      <c r="T12" s="315">
        <v>22.656699999999997</v>
      </c>
      <c r="U12" s="330">
        <v>23.295249999999999</v>
      </c>
      <c r="V12" s="330">
        <v>24.5014</v>
      </c>
      <c r="W12" s="330">
        <v>25.045350000000003</v>
      </c>
      <c r="X12" s="330">
        <v>26.227849999999997</v>
      </c>
      <c r="Y12" s="331">
        <v>24.761549999999996</v>
      </c>
    </row>
    <row r="13" spans="1:25" x14ac:dyDescent="0.2">
      <c r="A13" s="359">
        <v>1</v>
      </c>
      <c r="B13" s="312" t="s">
        <v>3505</v>
      </c>
      <c r="C13" s="325" t="s">
        <v>3494</v>
      </c>
      <c r="G13" s="312" t="s">
        <v>2840</v>
      </c>
      <c r="H13" s="329">
        <v>30</v>
      </c>
      <c r="I13" s="329">
        <v>0</v>
      </c>
      <c r="J13" s="329">
        <v>0</v>
      </c>
      <c r="K13" s="329">
        <v>30</v>
      </c>
      <c r="L13" s="329">
        <v>33</v>
      </c>
      <c r="N13" s="312" t="s">
        <v>3448</v>
      </c>
      <c r="O13" s="312">
        <v>2011</v>
      </c>
      <c r="Q13" s="326" t="s">
        <v>3506</v>
      </c>
      <c r="R13" s="326">
        <v>2</v>
      </c>
      <c r="S13" s="330">
        <v>31.152000000000001</v>
      </c>
      <c r="T13" s="315">
        <v>31.613999999999997</v>
      </c>
      <c r="U13" s="330">
        <v>32.505000000000003</v>
      </c>
      <c r="V13" s="330">
        <v>34.188000000000002</v>
      </c>
      <c r="W13" s="330">
        <v>34.947000000000003</v>
      </c>
      <c r="X13" s="330">
        <v>36.597000000000001</v>
      </c>
      <c r="Y13" s="331">
        <v>34.550999999999995</v>
      </c>
    </row>
    <row r="14" spans="1:25" x14ac:dyDescent="0.2">
      <c r="A14" s="359">
        <v>1</v>
      </c>
      <c r="B14" s="312" t="s">
        <v>3502</v>
      </c>
      <c r="C14" s="325" t="s">
        <v>3503</v>
      </c>
      <c r="G14" s="312" t="s">
        <v>2377</v>
      </c>
      <c r="H14" s="329">
        <v>24</v>
      </c>
      <c r="I14" s="329">
        <v>0</v>
      </c>
      <c r="J14" s="329">
        <v>0</v>
      </c>
      <c r="K14" s="329">
        <v>24</v>
      </c>
      <c r="L14" s="329">
        <v>26.4</v>
      </c>
      <c r="N14" s="312" t="s">
        <v>3448</v>
      </c>
      <c r="O14" s="312">
        <v>2011</v>
      </c>
      <c r="Q14" s="326" t="s">
        <v>3504</v>
      </c>
      <c r="R14" s="326">
        <v>2</v>
      </c>
      <c r="S14" s="330">
        <v>24.921600000000002</v>
      </c>
      <c r="T14" s="315">
        <v>25.291199999999996</v>
      </c>
      <c r="U14" s="330">
        <v>26.003999999999998</v>
      </c>
      <c r="V14" s="330">
        <v>27.3504</v>
      </c>
      <c r="W14" s="330">
        <v>27.957600000000003</v>
      </c>
      <c r="X14" s="330">
        <v>29.2776</v>
      </c>
      <c r="Y14" s="331">
        <v>27.640799999999995</v>
      </c>
    </row>
    <row r="15" spans="1:25" x14ac:dyDescent="0.2">
      <c r="A15" s="359">
        <v>1</v>
      </c>
      <c r="B15" s="312" t="s">
        <v>3496</v>
      </c>
      <c r="C15" s="325" t="s">
        <v>3497</v>
      </c>
      <c r="G15" s="312" t="s">
        <v>2377</v>
      </c>
      <c r="H15" s="329">
        <v>16.600000000000001</v>
      </c>
      <c r="I15" s="329">
        <v>0</v>
      </c>
      <c r="J15" s="329">
        <v>0</v>
      </c>
      <c r="K15" s="329">
        <v>16.600000000000001</v>
      </c>
      <c r="L15" s="329">
        <v>18.260000000000002</v>
      </c>
      <c r="N15" s="312" t="s">
        <v>3448</v>
      </c>
      <c r="O15" s="312">
        <v>2011</v>
      </c>
      <c r="Q15" s="326" t="s">
        <v>3498</v>
      </c>
      <c r="R15" s="326">
        <v>2</v>
      </c>
      <c r="S15" s="330">
        <v>17.237440000000003</v>
      </c>
      <c r="T15" s="315">
        <v>17.493079999999999</v>
      </c>
      <c r="U15" s="330">
        <v>17.9861</v>
      </c>
      <c r="V15" s="330">
        <v>18.917360000000002</v>
      </c>
      <c r="W15" s="330">
        <v>19.337340000000005</v>
      </c>
      <c r="X15" s="330">
        <v>20.250340000000001</v>
      </c>
      <c r="Y15" s="331">
        <v>19.118220000000001</v>
      </c>
    </row>
    <row r="16" spans="1:25" x14ac:dyDescent="0.2">
      <c r="A16" s="359">
        <v>1</v>
      </c>
      <c r="B16" s="312" t="s">
        <v>3499</v>
      </c>
      <c r="C16" s="325" t="s">
        <v>3500</v>
      </c>
      <c r="G16" s="312" t="s">
        <v>2377</v>
      </c>
      <c r="H16" s="329">
        <v>18.600000000000001</v>
      </c>
      <c r="I16" s="329">
        <v>0</v>
      </c>
      <c r="J16" s="329">
        <v>0</v>
      </c>
      <c r="K16" s="329">
        <v>18.600000000000001</v>
      </c>
      <c r="L16" s="329">
        <v>20.46</v>
      </c>
      <c r="N16" s="312" t="s">
        <v>3448</v>
      </c>
      <c r="O16" s="312">
        <v>2011</v>
      </c>
      <c r="Q16" s="326" t="s">
        <v>3501</v>
      </c>
      <c r="R16" s="326">
        <v>2</v>
      </c>
      <c r="S16" s="330">
        <v>19.314240000000002</v>
      </c>
      <c r="T16" s="315">
        <v>19.600680000000001</v>
      </c>
      <c r="U16" s="330">
        <v>20.153100000000002</v>
      </c>
      <c r="V16" s="330">
        <v>21.196560000000002</v>
      </c>
      <c r="W16" s="330">
        <v>21.667140000000003</v>
      </c>
      <c r="X16" s="330">
        <v>22.69014</v>
      </c>
      <c r="Y16" s="331">
        <v>21.421620000000001</v>
      </c>
    </row>
    <row r="17" spans="1:25" x14ac:dyDescent="0.2">
      <c r="A17" s="359">
        <v>1</v>
      </c>
      <c r="B17" s="312" t="s">
        <v>3507</v>
      </c>
      <c r="C17" s="325" t="s">
        <v>3500</v>
      </c>
      <c r="G17" s="312" t="s">
        <v>2840</v>
      </c>
      <c r="H17" s="329">
        <v>35.5</v>
      </c>
      <c r="I17" s="329">
        <v>0</v>
      </c>
      <c r="J17" s="329">
        <v>0</v>
      </c>
      <c r="K17" s="329">
        <v>35.5</v>
      </c>
      <c r="L17" s="329">
        <v>39.049999999999997</v>
      </c>
      <c r="N17" s="312" t="s">
        <v>3448</v>
      </c>
      <c r="O17" s="312">
        <v>2011</v>
      </c>
      <c r="Q17" s="326" t="s">
        <v>3508</v>
      </c>
      <c r="R17" s="326">
        <v>2</v>
      </c>
      <c r="S17" s="330">
        <v>36.863199999999999</v>
      </c>
      <c r="T17" s="315">
        <v>37.409899999999993</v>
      </c>
      <c r="U17" s="330">
        <v>38.46425</v>
      </c>
      <c r="V17" s="330">
        <v>40.455799999999996</v>
      </c>
      <c r="W17" s="330">
        <v>41.353950000000005</v>
      </c>
      <c r="X17" s="330">
        <v>43.306449999999998</v>
      </c>
      <c r="Y17" s="331">
        <v>40.885349999999995</v>
      </c>
    </row>
    <row r="18" spans="1:25" x14ac:dyDescent="0.2">
      <c r="A18" s="359">
        <v>1</v>
      </c>
      <c r="B18" s="312" t="s">
        <v>3642</v>
      </c>
      <c r="C18" s="325" t="s">
        <v>3643</v>
      </c>
      <c r="D18" s="312" t="s">
        <v>785</v>
      </c>
      <c r="E18" s="312">
        <v>190</v>
      </c>
      <c r="F18" s="312">
        <v>4.2000000000000003E-2</v>
      </c>
      <c r="G18" s="312" t="s">
        <v>2202</v>
      </c>
      <c r="H18" s="329">
        <v>1.03</v>
      </c>
      <c r="I18" s="329">
        <v>1.61</v>
      </c>
      <c r="J18" s="329">
        <v>0</v>
      </c>
      <c r="K18" s="329">
        <v>2.64</v>
      </c>
      <c r="L18" s="329">
        <v>3.79</v>
      </c>
      <c r="N18" s="312" t="s">
        <v>3448</v>
      </c>
      <c r="O18" s="312">
        <v>2011</v>
      </c>
      <c r="Q18" s="326" t="s">
        <v>3644</v>
      </c>
      <c r="R18" s="326">
        <v>2</v>
      </c>
      <c r="S18" s="330">
        <v>3.5777600000000001</v>
      </c>
      <c r="T18" s="315">
        <v>3.6308199999999999</v>
      </c>
      <c r="U18" s="330">
        <v>3.7331500000000002</v>
      </c>
      <c r="V18" s="330">
        <v>3.9264400000000004</v>
      </c>
      <c r="W18" s="330">
        <v>4.0136100000000008</v>
      </c>
      <c r="X18" s="330">
        <v>4.2031099999999997</v>
      </c>
      <c r="Y18" s="331">
        <v>3.9681299999999999</v>
      </c>
    </row>
    <row r="19" spans="1:25" x14ac:dyDescent="0.2">
      <c r="A19" s="359">
        <v>1</v>
      </c>
      <c r="B19" s="312" t="s">
        <v>3645</v>
      </c>
      <c r="C19" s="325" t="s">
        <v>3646</v>
      </c>
      <c r="D19" s="312" t="s">
        <v>785</v>
      </c>
      <c r="E19" s="312">
        <v>190</v>
      </c>
      <c r="F19" s="312">
        <v>4.2000000000000003E-2</v>
      </c>
      <c r="G19" s="312" t="s">
        <v>2202</v>
      </c>
      <c r="H19" s="329">
        <v>1.6</v>
      </c>
      <c r="I19" s="329">
        <v>1.61</v>
      </c>
      <c r="J19" s="329">
        <v>0</v>
      </c>
      <c r="K19" s="329">
        <v>3.21</v>
      </c>
      <c r="L19" s="329">
        <v>4.42</v>
      </c>
      <c r="N19" s="312" t="s">
        <v>3448</v>
      </c>
      <c r="O19" s="312">
        <v>2011</v>
      </c>
      <c r="Q19" s="326" t="s">
        <v>3647</v>
      </c>
      <c r="R19" s="326">
        <v>2</v>
      </c>
      <c r="S19" s="330">
        <v>4.1724800000000002</v>
      </c>
      <c r="T19" s="315">
        <v>4.2343599999999997</v>
      </c>
      <c r="U19" s="330">
        <v>4.3536999999999999</v>
      </c>
      <c r="V19" s="330">
        <v>4.5791199999999996</v>
      </c>
      <c r="W19" s="330">
        <v>4.6807800000000004</v>
      </c>
      <c r="X19" s="330">
        <v>4.9017799999999996</v>
      </c>
      <c r="Y19" s="331">
        <v>4.6277399999999993</v>
      </c>
    </row>
    <row r="20" spans="1:25" x14ac:dyDescent="0.2">
      <c r="A20" s="359">
        <v>1</v>
      </c>
      <c r="B20" s="312" t="s">
        <v>3648</v>
      </c>
      <c r="C20" s="325" t="s">
        <v>3649</v>
      </c>
      <c r="D20" s="312" t="s">
        <v>785</v>
      </c>
      <c r="E20" s="312">
        <v>140</v>
      </c>
      <c r="F20" s="312">
        <v>5.7000000000000002E-2</v>
      </c>
      <c r="G20" s="312" t="s">
        <v>2202</v>
      </c>
      <c r="H20" s="329">
        <v>2.4700000000000002</v>
      </c>
      <c r="I20" s="329">
        <v>2.1800000000000002</v>
      </c>
      <c r="J20" s="329">
        <v>0</v>
      </c>
      <c r="K20" s="329">
        <v>4.6500000000000004</v>
      </c>
      <c r="L20" s="329">
        <v>6.35</v>
      </c>
      <c r="N20" s="312" t="s">
        <v>3448</v>
      </c>
      <c r="O20" s="312">
        <v>2011</v>
      </c>
      <c r="Q20" s="326" t="s">
        <v>3650</v>
      </c>
      <c r="R20" s="326">
        <v>2</v>
      </c>
      <c r="S20" s="330">
        <v>5.9943999999999997</v>
      </c>
      <c r="T20" s="315">
        <v>6.0832999999999995</v>
      </c>
      <c r="U20" s="330">
        <v>6.2547499999999996</v>
      </c>
      <c r="V20" s="330">
        <v>6.5785999999999998</v>
      </c>
      <c r="W20" s="330">
        <v>6.7246500000000005</v>
      </c>
      <c r="X20" s="330">
        <v>7.0421499999999995</v>
      </c>
      <c r="Y20" s="331">
        <v>6.6484499999999995</v>
      </c>
    </row>
    <row r="21" spans="1:25" x14ac:dyDescent="0.2">
      <c r="A21" s="359">
        <v>1</v>
      </c>
      <c r="B21" s="312" t="s">
        <v>3694</v>
      </c>
      <c r="C21" s="325" t="s">
        <v>3695</v>
      </c>
      <c r="D21" s="312" t="s">
        <v>785</v>
      </c>
      <c r="E21" s="312">
        <v>120</v>
      </c>
      <c r="F21" s="312">
        <v>6.7000000000000004E-2</v>
      </c>
      <c r="G21" s="312" t="s">
        <v>2202</v>
      </c>
      <c r="H21" s="329">
        <v>2.5099999999999998</v>
      </c>
      <c r="I21" s="329">
        <v>2.5499999999999998</v>
      </c>
      <c r="J21" s="329">
        <v>0</v>
      </c>
      <c r="K21" s="329">
        <v>5.0599999999999996</v>
      </c>
      <c r="L21" s="329">
        <v>6.95</v>
      </c>
      <c r="N21" s="312" t="s">
        <v>3448</v>
      </c>
      <c r="O21" s="312">
        <v>2011</v>
      </c>
      <c r="Q21" s="326" t="s">
        <v>3696</v>
      </c>
      <c r="R21" s="326">
        <v>2</v>
      </c>
      <c r="S21" s="330">
        <v>6.5608000000000004</v>
      </c>
      <c r="T21" s="315">
        <v>6.6581000000000001</v>
      </c>
      <c r="U21" s="330">
        <v>6.8457499999999998</v>
      </c>
      <c r="V21" s="330">
        <v>7.2002000000000006</v>
      </c>
      <c r="W21" s="330">
        <v>7.3600500000000011</v>
      </c>
      <c r="X21" s="330">
        <v>7.7075500000000003</v>
      </c>
      <c r="Y21" s="331">
        <v>7.2766500000000001</v>
      </c>
    </row>
    <row r="22" spans="1:25" x14ac:dyDescent="0.2">
      <c r="A22" s="359">
        <v>1</v>
      </c>
      <c r="B22" s="312" t="s">
        <v>3700</v>
      </c>
      <c r="C22" s="325" t="s">
        <v>3701</v>
      </c>
      <c r="D22" s="312" t="s">
        <v>785</v>
      </c>
      <c r="E22" s="312">
        <v>120</v>
      </c>
      <c r="F22" s="312">
        <v>6.7000000000000004E-2</v>
      </c>
      <c r="G22" s="312" t="s">
        <v>2202</v>
      </c>
      <c r="H22" s="329">
        <v>3.29</v>
      </c>
      <c r="I22" s="329">
        <v>2.5499999999999998</v>
      </c>
      <c r="J22" s="329">
        <v>0</v>
      </c>
      <c r="K22" s="329">
        <v>5.84</v>
      </c>
      <c r="L22" s="329">
        <v>7.85</v>
      </c>
      <c r="N22" s="312" t="s">
        <v>3448</v>
      </c>
      <c r="O22" s="312">
        <v>2011</v>
      </c>
      <c r="Q22" s="326" t="s">
        <v>3702</v>
      </c>
      <c r="R22" s="326">
        <v>2</v>
      </c>
      <c r="S22" s="330">
        <v>7.4104000000000001</v>
      </c>
      <c r="T22" s="315">
        <v>7.5202999999999998</v>
      </c>
      <c r="U22" s="330">
        <v>7.7322499999999996</v>
      </c>
      <c r="V22" s="330">
        <v>8.1326000000000001</v>
      </c>
      <c r="W22" s="330">
        <v>8.3131500000000003</v>
      </c>
      <c r="X22" s="330">
        <v>8.7056500000000003</v>
      </c>
      <c r="Y22" s="331">
        <v>8.2189499999999995</v>
      </c>
    </row>
    <row r="23" spans="1:25" x14ac:dyDescent="0.2">
      <c r="A23" s="359">
        <v>1</v>
      </c>
      <c r="B23" s="312" t="s">
        <v>3691</v>
      </c>
      <c r="C23" s="325" t="s">
        <v>3692</v>
      </c>
      <c r="D23" s="312" t="s">
        <v>785</v>
      </c>
      <c r="E23" s="312">
        <v>120</v>
      </c>
      <c r="F23" s="312">
        <v>6.7000000000000004E-2</v>
      </c>
      <c r="G23" s="312" t="s">
        <v>2202</v>
      </c>
      <c r="H23" s="329">
        <v>2.58</v>
      </c>
      <c r="I23" s="329">
        <v>2.5499999999999998</v>
      </c>
      <c r="J23" s="329">
        <v>0</v>
      </c>
      <c r="K23" s="329">
        <v>5.13</v>
      </c>
      <c r="L23" s="329">
        <v>7.05</v>
      </c>
      <c r="N23" s="312" t="s">
        <v>3448</v>
      </c>
      <c r="O23" s="312">
        <v>2011</v>
      </c>
      <c r="Q23" s="326" t="s">
        <v>3693</v>
      </c>
      <c r="R23" s="326">
        <v>2</v>
      </c>
      <c r="S23" s="330">
        <v>6.6552000000000007</v>
      </c>
      <c r="T23" s="315">
        <v>6.7538999999999998</v>
      </c>
      <c r="U23" s="330">
        <v>6.9442499999999994</v>
      </c>
      <c r="V23" s="330">
        <v>7.3037999999999998</v>
      </c>
      <c r="W23" s="330">
        <v>7.4659500000000012</v>
      </c>
      <c r="X23" s="330">
        <v>7.8184499999999995</v>
      </c>
      <c r="Y23" s="331">
        <v>7.3813499999999994</v>
      </c>
    </row>
    <row r="24" spans="1:25" x14ac:dyDescent="0.2">
      <c r="A24" s="359">
        <v>1</v>
      </c>
      <c r="B24" s="312" t="s">
        <v>3697</v>
      </c>
      <c r="C24" s="325" t="s">
        <v>3698</v>
      </c>
      <c r="D24" s="312" t="s">
        <v>785</v>
      </c>
      <c r="E24" s="312">
        <v>120</v>
      </c>
      <c r="F24" s="312">
        <v>6.7000000000000004E-2</v>
      </c>
      <c r="G24" s="312" t="s">
        <v>2202</v>
      </c>
      <c r="H24" s="329">
        <v>2.74</v>
      </c>
      <c r="I24" s="329">
        <v>2.5499999999999998</v>
      </c>
      <c r="J24" s="329">
        <v>0</v>
      </c>
      <c r="K24" s="329">
        <v>5.29</v>
      </c>
      <c r="L24" s="329">
        <v>7.2</v>
      </c>
      <c r="N24" s="312" t="s">
        <v>3448</v>
      </c>
      <c r="O24" s="312">
        <v>2011</v>
      </c>
      <c r="Q24" s="326" t="s">
        <v>3699</v>
      </c>
      <c r="R24" s="326">
        <v>2</v>
      </c>
      <c r="S24" s="330">
        <v>6.7968000000000002</v>
      </c>
      <c r="T24" s="315">
        <v>6.8975999999999997</v>
      </c>
      <c r="U24" s="330">
        <v>7.0919999999999996</v>
      </c>
      <c r="V24" s="330">
        <v>7.4592000000000001</v>
      </c>
      <c r="W24" s="330">
        <v>7.6248000000000014</v>
      </c>
      <c r="X24" s="330">
        <v>7.9847999999999999</v>
      </c>
      <c r="Y24" s="331">
        <v>7.5383999999999993</v>
      </c>
    </row>
    <row r="25" spans="1:25" x14ac:dyDescent="0.2">
      <c r="A25" s="359">
        <v>1</v>
      </c>
      <c r="B25" s="312" t="s">
        <v>3637</v>
      </c>
      <c r="C25" s="325" t="s">
        <v>1052</v>
      </c>
      <c r="D25" s="312" t="s">
        <v>1809</v>
      </c>
      <c r="E25" s="312">
        <v>5.5</v>
      </c>
      <c r="F25" s="312">
        <v>1.4550000000000001</v>
      </c>
      <c r="G25" s="312" t="s">
        <v>1053</v>
      </c>
      <c r="H25" s="329">
        <v>74</v>
      </c>
      <c r="I25" s="329">
        <v>41</v>
      </c>
      <c r="J25" s="329">
        <v>0</v>
      </c>
      <c r="K25" s="329">
        <v>115</v>
      </c>
      <c r="L25" s="329">
        <v>156</v>
      </c>
      <c r="N25" s="312" t="s">
        <v>3448</v>
      </c>
      <c r="O25" s="312">
        <v>2011</v>
      </c>
      <c r="Q25" s="326" t="s">
        <v>3638</v>
      </c>
      <c r="R25" s="326">
        <v>2</v>
      </c>
      <c r="S25" s="330">
        <v>147.26400000000001</v>
      </c>
      <c r="T25" s="315">
        <v>149.44800000000001</v>
      </c>
      <c r="U25" s="330">
        <v>153.66</v>
      </c>
      <c r="V25" s="330">
        <v>161.61600000000001</v>
      </c>
      <c r="W25" s="330">
        <v>165.20400000000004</v>
      </c>
      <c r="X25" s="330">
        <v>173.00399999999999</v>
      </c>
      <c r="Y25" s="331">
        <v>163.33199999999999</v>
      </c>
    </row>
    <row r="26" spans="1:25" ht="20.399999999999999" x14ac:dyDescent="0.2">
      <c r="A26" s="359">
        <v>1</v>
      </c>
      <c r="B26" s="312" t="s">
        <v>3639</v>
      </c>
      <c r="C26" s="325" t="s">
        <v>3640</v>
      </c>
      <c r="D26" s="312" t="s">
        <v>1809</v>
      </c>
      <c r="E26" s="312">
        <v>7</v>
      </c>
      <c r="F26" s="312">
        <v>1.143</v>
      </c>
      <c r="G26" s="312" t="s">
        <v>1053</v>
      </c>
      <c r="H26" s="329">
        <v>74</v>
      </c>
      <c r="I26" s="329">
        <v>32</v>
      </c>
      <c r="J26" s="329">
        <v>0</v>
      </c>
      <c r="K26" s="329">
        <v>106</v>
      </c>
      <c r="L26" s="329">
        <v>140</v>
      </c>
      <c r="N26" s="312" t="s">
        <v>3448</v>
      </c>
      <c r="O26" s="312">
        <v>2011</v>
      </c>
      <c r="Q26" s="326" t="s">
        <v>3641</v>
      </c>
      <c r="R26" s="326">
        <v>2</v>
      </c>
      <c r="S26" s="330">
        <v>132.16</v>
      </c>
      <c r="T26" s="315">
        <v>134.12</v>
      </c>
      <c r="U26" s="330">
        <v>137.9</v>
      </c>
      <c r="V26" s="330">
        <v>145.04</v>
      </c>
      <c r="W26" s="330">
        <v>148.26000000000002</v>
      </c>
      <c r="X26" s="330">
        <v>155.26</v>
      </c>
      <c r="Y26" s="331">
        <v>146.57999999999998</v>
      </c>
    </row>
    <row r="27" spans="1:25" x14ac:dyDescent="0.2">
      <c r="A27" s="359">
        <v>2</v>
      </c>
      <c r="B27" s="312" t="s">
        <v>4147</v>
      </c>
      <c r="C27" s="325" t="s">
        <v>4148</v>
      </c>
      <c r="D27" s="312" t="s">
        <v>1830</v>
      </c>
      <c r="E27" s="312">
        <v>800</v>
      </c>
      <c r="F27" s="312">
        <v>0.01</v>
      </c>
      <c r="G27" s="312" t="s">
        <v>1183</v>
      </c>
      <c r="H27" s="329">
        <v>0</v>
      </c>
      <c r="I27" s="329">
        <v>0.35</v>
      </c>
      <c r="J27" s="329">
        <v>1.81</v>
      </c>
      <c r="K27" s="329">
        <v>2.16</v>
      </c>
      <c r="L27" s="329">
        <v>2.56</v>
      </c>
      <c r="N27" s="312" t="s">
        <v>3448</v>
      </c>
      <c r="O27" s="312">
        <v>2011</v>
      </c>
      <c r="Q27" s="326" t="s">
        <v>4149</v>
      </c>
      <c r="R27" s="326">
        <v>2</v>
      </c>
      <c r="S27" s="330">
        <v>2.4166400000000001</v>
      </c>
      <c r="T27" s="315">
        <v>2.45248</v>
      </c>
      <c r="U27" s="330">
        <v>2.5215999999999998</v>
      </c>
      <c r="V27" s="330">
        <v>2.6521600000000003</v>
      </c>
      <c r="W27" s="330">
        <v>2.7110400000000006</v>
      </c>
      <c r="X27" s="330">
        <v>2.8390400000000002</v>
      </c>
      <c r="Y27" s="331">
        <v>2.68032</v>
      </c>
    </row>
    <row r="28" spans="1:25" x14ac:dyDescent="0.2">
      <c r="A28" s="359">
        <v>2</v>
      </c>
      <c r="B28" s="312" t="s">
        <v>4144</v>
      </c>
      <c r="C28" s="325" t="s">
        <v>1055</v>
      </c>
      <c r="D28" s="312" t="s">
        <v>1813</v>
      </c>
      <c r="E28" s="312" t="s">
        <v>4145</v>
      </c>
      <c r="F28" s="312">
        <v>7.0000000000000001E-3</v>
      </c>
      <c r="G28" s="312" t="s">
        <v>1181</v>
      </c>
      <c r="H28" s="329">
        <v>0</v>
      </c>
      <c r="I28" s="329">
        <v>0.23</v>
      </c>
      <c r="J28" s="329">
        <v>0.88</v>
      </c>
      <c r="K28" s="329">
        <v>1.1100000000000001</v>
      </c>
      <c r="L28" s="329">
        <v>1.34</v>
      </c>
      <c r="N28" s="312" t="s">
        <v>3448</v>
      </c>
      <c r="O28" s="312">
        <v>2011</v>
      </c>
      <c r="Q28" s="326" t="s">
        <v>4146</v>
      </c>
      <c r="R28" s="326">
        <v>2</v>
      </c>
      <c r="S28" s="330">
        <v>1.2649600000000001</v>
      </c>
      <c r="T28" s="315">
        <v>1.28372</v>
      </c>
      <c r="U28" s="330">
        <v>1.3199000000000001</v>
      </c>
      <c r="V28" s="330">
        <v>1.3882400000000001</v>
      </c>
      <c r="W28" s="330">
        <v>1.4190600000000002</v>
      </c>
      <c r="X28" s="330">
        <v>1.4860600000000002</v>
      </c>
      <c r="Y28" s="331">
        <v>1.4029799999999999</v>
      </c>
    </row>
    <row r="29" spans="1:25" x14ac:dyDescent="0.2">
      <c r="A29" s="359">
        <v>2</v>
      </c>
      <c r="B29" s="312" t="s">
        <v>4162</v>
      </c>
      <c r="C29" s="325" t="s">
        <v>1057</v>
      </c>
      <c r="D29" s="312" t="s">
        <v>1816</v>
      </c>
      <c r="E29" s="312" t="s">
        <v>4163</v>
      </c>
      <c r="F29" s="312">
        <v>7.0000000000000001E-3</v>
      </c>
      <c r="G29" s="312" t="s">
        <v>1181</v>
      </c>
      <c r="H29" s="329">
        <v>0</v>
      </c>
      <c r="I29" s="329">
        <v>0.23</v>
      </c>
      <c r="J29" s="329">
        <v>0.41</v>
      </c>
      <c r="K29" s="329">
        <v>0.64</v>
      </c>
      <c r="L29" s="329">
        <v>0.82</v>
      </c>
      <c r="N29" s="312" t="s">
        <v>3448</v>
      </c>
      <c r="O29" s="312">
        <v>2011</v>
      </c>
      <c r="Q29" s="326" t="s">
        <v>4164</v>
      </c>
      <c r="R29" s="326">
        <v>2</v>
      </c>
      <c r="S29" s="330">
        <v>0.77407999999999999</v>
      </c>
      <c r="T29" s="315">
        <v>0.78555999999999993</v>
      </c>
      <c r="U29" s="330">
        <v>0.80769999999999997</v>
      </c>
      <c r="V29" s="330">
        <v>0.84951999999999994</v>
      </c>
      <c r="W29" s="330">
        <v>0.86838000000000004</v>
      </c>
      <c r="X29" s="330">
        <v>0.90937999999999997</v>
      </c>
      <c r="Y29" s="331">
        <v>0.85853999999999986</v>
      </c>
    </row>
    <row r="30" spans="1:25" x14ac:dyDescent="0.2">
      <c r="A30" s="359">
        <v>2</v>
      </c>
      <c r="B30" s="312" t="s">
        <v>4165</v>
      </c>
      <c r="C30" s="325" t="s">
        <v>4166</v>
      </c>
      <c r="D30" s="312" t="s">
        <v>1813</v>
      </c>
      <c r="E30" s="312" t="s">
        <v>4167</v>
      </c>
      <c r="F30" s="312">
        <v>4.0000000000000001E-3</v>
      </c>
      <c r="G30" s="312" t="s">
        <v>1181</v>
      </c>
      <c r="H30" s="329">
        <v>0</v>
      </c>
      <c r="I30" s="329">
        <v>0.13</v>
      </c>
      <c r="J30" s="329">
        <v>0.48</v>
      </c>
      <c r="K30" s="329">
        <v>0.61</v>
      </c>
      <c r="L30" s="329">
        <v>0.74</v>
      </c>
      <c r="N30" s="312" t="s">
        <v>3448</v>
      </c>
      <c r="O30" s="312">
        <v>2011</v>
      </c>
      <c r="Q30" s="326" t="s">
        <v>4168</v>
      </c>
      <c r="R30" s="326">
        <v>2</v>
      </c>
      <c r="S30" s="330">
        <v>0.69856000000000007</v>
      </c>
      <c r="T30" s="315">
        <v>0.70891999999999999</v>
      </c>
      <c r="U30" s="330">
        <v>0.72889999999999999</v>
      </c>
      <c r="V30" s="330">
        <v>0.76663999999999999</v>
      </c>
      <c r="W30" s="330">
        <v>0.78366000000000013</v>
      </c>
      <c r="X30" s="330">
        <v>0.82065999999999995</v>
      </c>
      <c r="Y30" s="331">
        <v>0.77477999999999991</v>
      </c>
    </row>
    <row r="31" spans="1:25" x14ac:dyDescent="0.2">
      <c r="A31" s="359">
        <v>2</v>
      </c>
      <c r="B31" s="312" t="s">
        <v>4159</v>
      </c>
      <c r="C31" s="325" t="s">
        <v>4160</v>
      </c>
      <c r="D31" s="312" t="s">
        <v>4109</v>
      </c>
      <c r="E31" s="312">
        <v>330</v>
      </c>
      <c r="F31" s="312">
        <v>2.4E-2</v>
      </c>
      <c r="G31" s="312" t="s">
        <v>1181</v>
      </c>
      <c r="H31" s="329">
        <v>0</v>
      </c>
      <c r="I31" s="329">
        <v>0.85</v>
      </c>
      <c r="J31" s="329">
        <v>1.25</v>
      </c>
      <c r="K31" s="329">
        <v>2.1</v>
      </c>
      <c r="L31" s="329">
        <v>2.76</v>
      </c>
      <c r="N31" s="312" t="s">
        <v>3448</v>
      </c>
      <c r="O31" s="312">
        <v>2011</v>
      </c>
      <c r="Q31" s="326" t="s">
        <v>4161</v>
      </c>
      <c r="R31" s="326">
        <v>2</v>
      </c>
      <c r="S31" s="330">
        <v>2.6054399999999998</v>
      </c>
      <c r="T31" s="315">
        <v>2.6440799999999998</v>
      </c>
      <c r="U31" s="330">
        <v>2.7185999999999999</v>
      </c>
      <c r="V31" s="330">
        <v>2.8593599999999997</v>
      </c>
      <c r="W31" s="330">
        <v>2.9228400000000003</v>
      </c>
      <c r="X31" s="330">
        <v>3.0608399999999998</v>
      </c>
      <c r="Y31" s="331">
        <v>2.8897199999999996</v>
      </c>
    </row>
    <row r="32" spans="1:25" x14ac:dyDescent="0.2">
      <c r="A32" s="359">
        <v>2</v>
      </c>
      <c r="B32" s="312" t="s">
        <v>4156</v>
      </c>
      <c r="C32" s="325" t="s">
        <v>4157</v>
      </c>
      <c r="D32" s="312" t="s">
        <v>4109</v>
      </c>
      <c r="E32" s="312">
        <v>975</v>
      </c>
      <c r="F32" s="312">
        <v>8.0000000000000002E-3</v>
      </c>
      <c r="G32" s="312" t="s">
        <v>1181</v>
      </c>
      <c r="H32" s="329">
        <v>0</v>
      </c>
      <c r="I32" s="329">
        <v>0.28999999999999998</v>
      </c>
      <c r="J32" s="329">
        <v>0.42</v>
      </c>
      <c r="K32" s="329">
        <v>0.71</v>
      </c>
      <c r="L32" s="329">
        <v>0.94</v>
      </c>
      <c r="N32" s="312" t="s">
        <v>3448</v>
      </c>
      <c r="O32" s="312">
        <v>2011</v>
      </c>
      <c r="Q32" s="326" t="s">
        <v>4158</v>
      </c>
      <c r="R32" s="326">
        <v>2</v>
      </c>
      <c r="S32" s="330">
        <v>0.88736000000000004</v>
      </c>
      <c r="T32" s="315">
        <v>0.90051999999999988</v>
      </c>
      <c r="U32" s="330">
        <v>0.92589999999999995</v>
      </c>
      <c r="V32" s="330">
        <v>0.97383999999999993</v>
      </c>
      <c r="W32" s="330">
        <v>0.99546000000000012</v>
      </c>
      <c r="X32" s="330">
        <v>1.0424599999999999</v>
      </c>
      <c r="Y32" s="331">
        <v>0.98417999999999983</v>
      </c>
    </row>
    <row r="33" spans="1:25" x14ac:dyDescent="0.2">
      <c r="A33" s="359">
        <v>2</v>
      </c>
      <c r="B33" s="312" t="s">
        <v>4154</v>
      </c>
      <c r="C33" s="325" t="s">
        <v>1059</v>
      </c>
      <c r="D33" s="312" t="s">
        <v>1828</v>
      </c>
      <c r="E33" s="312">
        <v>650</v>
      </c>
      <c r="F33" s="312">
        <v>1.2E-2</v>
      </c>
      <c r="G33" s="312" t="s">
        <v>1183</v>
      </c>
      <c r="H33" s="329">
        <v>0</v>
      </c>
      <c r="I33" s="329">
        <v>0.43</v>
      </c>
      <c r="J33" s="329">
        <v>2.31</v>
      </c>
      <c r="K33" s="329">
        <v>2.74</v>
      </c>
      <c r="L33" s="329">
        <v>3.24</v>
      </c>
      <c r="N33" s="312" t="s">
        <v>3448</v>
      </c>
      <c r="O33" s="312">
        <v>2011</v>
      </c>
      <c r="Q33" s="326" t="s">
        <v>4155</v>
      </c>
      <c r="R33" s="326">
        <v>2</v>
      </c>
      <c r="S33" s="330">
        <v>3.0585600000000004</v>
      </c>
      <c r="T33" s="315">
        <v>3.10392</v>
      </c>
      <c r="U33" s="330">
        <v>3.1914000000000002</v>
      </c>
      <c r="V33" s="330">
        <v>3.3566400000000005</v>
      </c>
      <c r="W33" s="330">
        <v>3.4311600000000007</v>
      </c>
      <c r="X33" s="330">
        <v>3.5931600000000001</v>
      </c>
      <c r="Y33" s="331">
        <v>3.39228</v>
      </c>
    </row>
    <row r="34" spans="1:25" x14ac:dyDescent="0.2">
      <c r="A34" s="359">
        <v>2</v>
      </c>
      <c r="B34" s="312" t="s">
        <v>4152</v>
      </c>
      <c r="C34" s="325" t="s">
        <v>1060</v>
      </c>
      <c r="D34" s="312" t="s">
        <v>1830</v>
      </c>
      <c r="E34" s="312">
        <v>700</v>
      </c>
      <c r="F34" s="312">
        <v>1.0999999999999999E-2</v>
      </c>
      <c r="G34" s="312" t="s">
        <v>1183</v>
      </c>
      <c r="H34" s="329">
        <v>0</v>
      </c>
      <c r="I34" s="329">
        <v>0.4</v>
      </c>
      <c r="J34" s="329">
        <v>2.0699999999999998</v>
      </c>
      <c r="K34" s="329">
        <v>2.4700000000000002</v>
      </c>
      <c r="L34" s="329">
        <v>2.92</v>
      </c>
      <c r="N34" s="312" t="s">
        <v>3448</v>
      </c>
      <c r="O34" s="312">
        <v>2011</v>
      </c>
      <c r="Q34" s="326" t="s">
        <v>4153</v>
      </c>
      <c r="R34" s="326">
        <v>2</v>
      </c>
      <c r="S34" s="330">
        <v>2.7564800000000003</v>
      </c>
      <c r="T34" s="315">
        <v>2.7973599999999998</v>
      </c>
      <c r="U34" s="330">
        <v>2.8761999999999999</v>
      </c>
      <c r="V34" s="330">
        <v>3.0251199999999998</v>
      </c>
      <c r="W34" s="330">
        <v>3.0922800000000006</v>
      </c>
      <c r="X34" s="330">
        <v>3.23828</v>
      </c>
      <c r="Y34" s="331">
        <v>3.0572399999999997</v>
      </c>
    </row>
    <row r="35" spans="1:25" x14ac:dyDescent="0.2">
      <c r="A35" s="359">
        <v>2</v>
      </c>
      <c r="B35" s="312" t="s">
        <v>4150</v>
      </c>
      <c r="C35" s="325" t="s">
        <v>1061</v>
      </c>
      <c r="D35" s="312" t="s">
        <v>1813</v>
      </c>
      <c r="E35" s="312">
        <v>900</v>
      </c>
      <c r="F35" s="312">
        <v>8.9999999999999993E-3</v>
      </c>
      <c r="G35" s="312" t="s">
        <v>1181</v>
      </c>
      <c r="H35" s="329">
        <v>0</v>
      </c>
      <c r="I35" s="329">
        <v>0.31</v>
      </c>
      <c r="J35" s="329">
        <v>1.17</v>
      </c>
      <c r="K35" s="329">
        <v>1.48</v>
      </c>
      <c r="L35" s="329">
        <v>1.79</v>
      </c>
      <c r="N35" s="312" t="s">
        <v>3448</v>
      </c>
      <c r="O35" s="312">
        <v>2011</v>
      </c>
      <c r="Q35" s="326" t="s">
        <v>4151</v>
      </c>
      <c r="R35" s="326">
        <v>2</v>
      </c>
      <c r="S35" s="330">
        <v>1.6897600000000002</v>
      </c>
      <c r="T35" s="315">
        <v>1.71482</v>
      </c>
      <c r="U35" s="330">
        <v>1.76315</v>
      </c>
      <c r="V35" s="330">
        <v>1.8544400000000001</v>
      </c>
      <c r="W35" s="330">
        <v>1.8956100000000002</v>
      </c>
      <c r="X35" s="330">
        <v>1.9851099999999999</v>
      </c>
      <c r="Y35" s="331">
        <v>1.8741299999999999</v>
      </c>
    </row>
    <row r="36" spans="1:25" ht="20.399999999999999" x14ac:dyDescent="0.2">
      <c r="A36" s="359">
        <v>1</v>
      </c>
      <c r="B36" s="312" t="s">
        <v>3821</v>
      </c>
      <c r="C36" s="325" t="s">
        <v>3822</v>
      </c>
      <c r="H36" s="329">
        <v>0</v>
      </c>
      <c r="I36" s="329">
        <v>0</v>
      </c>
      <c r="J36" s="329">
        <v>0</v>
      </c>
      <c r="K36" s="329">
        <v>0</v>
      </c>
      <c r="L36" s="329">
        <v>0</v>
      </c>
      <c r="N36" s="312" t="s">
        <v>3448</v>
      </c>
      <c r="O36" s="312">
        <v>2011</v>
      </c>
      <c r="Q36" s="326" t="s">
        <v>3823</v>
      </c>
      <c r="R36" s="326">
        <v>2</v>
      </c>
      <c r="S36" s="330">
        <v>0</v>
      </c>
      <c r="T36" s="315">
        <v>0</v>
      </c>
      <c r="U36" s="330">
        <v>0</v>
      </c>
      <c r="V36" s="330">
        <v>0</v>
      </c>
      <c r="W36" s="330">
        <v>0</v>
      </c>
      <c r="X36" s="330">
        <v>0</v>
      </c>
      <c r="Y36" s="331">
        <v>0</v>
      </c>
    </row>
    <row r="37" spans="1:25" ht="20.399999999999999" x14ac:dyDescent="0.2">
      <c r="A37" s="359">
        <v>1</v>
      </c>
      <c r="B37" s="312" t="s">
        <v>3827</v>
      </c>
      <c r="C37" s="325" t="s">
        <v>3828</v>
      </c>
      <c r="D37" s="312" t="s">
        <v>63</v>
      </c>
      <c r="E37" s="312">
        <v>14</v>
      </c>
      <c r="F37" s="312">
        <v>0.57099999999999995</v>
      </c>
      <c r="G37" s="312" t="s">
        <v>2265</v>
      </c>
      <c r="H37" s="329">
        <v>375</v>
      </c>
      <c r="I37" s="329">
        <v>22.5</v>
      </c>
      <c r="J37" s="329">
        <v>0</v>
      </c>
      <c r="K37" s="329">
        <v>397.5</v>
      </c>
      <c r="L37" s="329">
        <v>445</v>
      </c>
      <c r="N37" s="312" t="s">
        <v>3448</v>
      </c>
      <c r="O37" s="312">
        <v>2011</v>
      </c>
      <c r="Q37" s="326" t="s">
        <v>3829</v>
      </c>
      <c r="R37" s="326">
        <v>2</v>
      </c>
      <c r="S37" s="330">
        <v>420.08000000000004</v>
      </c>
      <c r="T37" s="315">
        <v>426.31</v>
      </c>
      <c r="U37" s="330">
        <v>438.32499999999999</v>
      </c>
      <c r="V37" s="330">
        <v>461.02000000000004</v>
      </c>
      <c r="W37" s="330">
        <v>471.25500000000005</v>
      </c>
      <c r="X37" s="330">
        <v>493.505</v>
      </c>
      <c r="Y37" s="331">
        <v>465.91499999999996</v>
      </c>
    </row>
    <row r="38" spans="1:25" ht="30.6" x14ac:dyDescent="0.2">
      <c r="A38" s="359">
        <v>1</v>
      </c>
      <c r="B38" s="312" t="s">
        <v>3833</v>
      </c>
      <c r="C38" s="325" t="s">
        <v>3834</v>
      </c>
      <c r="D38" s="312" t="s">
        <v>63</v>
      </c>
      <c r="E38" s="312">
        <v>10</v>
      </c>
      <c r="F38" s="312">
        <v>0.8</v>
      </c>
      <c r="G38" s="312" t="s">
        <v>2265</v>
      </c>
      <c r="H38" s="329">
        <v>700</v>
      </c>
      <c r="I38" s="329">
        <v>31.5</v>
      </c>
      <c r="J38" s="329">
        <v>0</v>
      </c>
      <c r="K38" s="329">
        <v>731.5</v>
      </c>
      <c r="L38" s="329">
        <v>825</v>
      </c>
      <c r="N38" s="312" t="s">
        <v>3448</v>
      </c>
      <c r="O38" s="312">
        <v>2011</v>
      </c>
      <c r="Q38" s="326" t="s">
        <v>3835</v>
      </c>
      <c r="R38" s="326">
        <v>2</v>
      </c>
      <c r="S38" s="330">
        <v>778.80000000000007</v>
      </c>
      <c r="T38" s="315">
        <v>790.35</v>
      </c>
      <c r="U38" s="330">
        <v>812.625</v>
      </c>
      <c r="V38" s="330">
        <v>854.7</v>
      </c>
      <c r="W38" s="330">
        <v>873.67500000000018</v>
      </c>
      <c r="X38" s="330">
        <v>914.92499999999995</v>
      </c>
      <c r="Y38" s="331">
        <v>863.77499999999998</v>
      </c>
    </row>
    <row r="39" spans="1:25" ht="30.6" x14ac:dyDescent="0.2">
      <c r="A39" s="359">
        <v>1</v>
      </c>
      <c r="B39" s="312" t="s">
        <v>3830</v>
      </c>
      <c r="C39" s="325" t="s">
        <v>3831</v>
      </c>
      <c r="D39" s="312" t="s">
        <v>63</v>
      </c>
      <c r="E39" s="312">
        <v>12</v>
      </c>
      <c r="F39" s="312">
        <v>0.66700000000000004</v>
      </c>
      <c r="G39" s="312" t="s">
        <v>2265</v>
      </c>
      <c r="H39" s="329">
        <v>640</v>
      </c>
      <c r="I39" s="329">
        <v>26.5</v>
      </c>
      <c r="J39" s="329">
        <v>0</v>
      </c>
      <c r="K39" s="329">
        <v>666.5</v>
      </c>
      <c r="L39" s="329">
        <v>750</v>
      </c>
      <c r="N39" s="312" t="s">
        <v>3448</v>
      </c>
      <c r="O39" s="312">
        <v>2011</v>
      </c>
      <c r="Q39" s="326" t="s">
        <v>3832</v>
      </c>
      <c r="R39" s="326">
        <v>2</v>
      </c>
      <c r="S39" s="330">
        <v>708</v>
      </c>
      <c r="T39" s="315">
        <v>718.5</v>
      </c>
      <c r="U39" s="330">
        <v>738.75</v>
      </c>
      <c r="V39" s="330">
        <v>777</v>
      </c>
      <c r="W39" s="330">
        <v>794.25000000000011</v>
      </c>
      <c r="X39" s="330">
        <v>831.75</v>
      </c>
      <c r="Y39" s="331">
        <v>785.25</v>
      </c>
    </row>
    <row r="40" spans="1:25" ht="20.399999999999999" x14ac:dyDescent="0.2">
      <c r="A40" s="359">
        <v>1</v>
      </c>
      <c r="B40" s="312" t="s">
        <v>3836</v>
      </c>
      <c r="C40" s="325" t="s">
        <v>3837</v>
      </c>
      <c r="D40" s="312" t="s">
        <v>63</v>
      </c>
      <c r="E40" s="312">
        <v>7</v>
      </c>
      <c r="F40" s="312">
        <v>1.143</v>
      </c>
      <c r="G40" s="312" t="s">
        <v>2265</v>
      </c>
      <c r="H40" s="329">
        <v>615</v>
      </c>
      <c r="I40" s="329">
        <v>45.5</v>
      </c>
      <c r="J40" s="329">
        <v>0</v>
      </c>
      <c r="K40" s="329">
        <v>660.5</v>
      </c>
      <c r="L40" s="329">
        <v>750</v>
      </c>
      <c r="N40" s="312" t="s">
        <v>3448</v>
      </c>
      <c r="O40" s="312">
        <v>2011</v>
      </c>
      <c r="Q40" s="326" t="s">
        <v>3838</v>
      </c>
      <c r="R40" s="326">
        <v>2</v>
      </c>
      <c r="S40" s="330">
        <v>708</v>
      </c>
      <c r="T40" s="315">
        <v>718.5</v>
      </c>
      <c r="U40" s="330">
        <v>738.75</v>
      </c>
      <c r="V40" s="330">
        <v>777</v>
      </c>
      <c r="W40" s="330">
        <v>794.25000000000011</v>
      </c>
      <c r="X40" s="330">
        <v>831.75</v>
      </c>
      <c r="Y40" s="331">
        <v>785.25</v>
      </c>
    </row>
    <row r="41" spans="1:25" ht="20.399999999999999" x14ac:dyDescent="0.2">
      <c r="A41" s="359">
        <v>1</v>
      </c>
      <c r="B41" s="312" t="s">
        <v>3824</v>
      </c>
      <c r="C41" s="325" t="s">
        <v>3825</v>
      </c>
      <c r="D41" s="312" t="s">
        <v>63</v>
      </c>
      <c r="E41" s="312">
        <v>16</v>
      </c>
      <c r="F41" s="312">
        <v>0.5</v>
      </c>
      <c r="G41" s="312" t="s">
        <v>2265</v>
      </c>
      <c r="H41" s="329">
        <v>345</v>
      </c>
      <c r="I41" s="329">
        <v>19.850000000000001</v>
      </c>
      <c r="J41" s="329">
        <v>0</v>
      </c>
      <c r="K41" s="329">
        <v>364.85</v>
      </c>
      <c r="L41" s="329">
        <v>415</v>
      </c>
      <c r="N41" s="312" t="s">
        <v>3448</v>
      </c>
      <c r="O41" s="312">
        <v>2011</v>
      </c>
      <c r="Q41" s="326" t="s">
        <v>3826</v>
      </c>
      <c r="R41" s="326">
        <v>2</v>
      </c>
      <c r="S41" s="330">
        <v>391.76000000000005</v>
      </c>
      <c r="T41" s="315">
        <v>397.57</v>
      </c>
      <c r="U41" s="330">
        <v>408.77499999999998</v>
      </c>
      <c r="V41" s="330">
        <v>429.94</v>
      </c>
      <c r="W41" s="330">
        <v>439.48500000000007</v>
      </c>
      <c r="X41" s="330">
        <v>460.23500000000001</v>
      </c>
      <c r="Y41" s="331">
        <v>434.505</v>
      </c>
    </row>
    <row r="42" spans="1:25" x14ac:dyDescent="0.2">
      <c r="A42" s="359">
        <v>1</v>
      </c>
      <c r="B42" s="312" t="s">
        <v>3628</v>
      </c>
      <c r="C42" s="325" t="s">
        <v>3629</v>
      </c>
      <c r="G42" s="312" t="s">
        <v>1589</v>
      </c>
      <c r="H42" s="329">
        <v>9.8000000000000007</v>
      </c>
      <c r="I42" s="329">
        <v>0</v>
      </c>
      <c r="J42" s="329">
        <v>0</v>
      </c>
      <c r="K42" s="329">
        <v>9.8000000000000007</v>
      </c>
      <c r="L42" s="329">
        <v>10.780000000000001</v>
      </c>
      <c r="N42" s="312" t="s">
        <v>3448</v>
      </c>
      <c r="O42" s="312">
        <v>2011</v>
      </c>
      <c r="Q42" s="326" t="s">
        <v>3630</v>
      </c>
      <c r="R42" s="326">
        <v>2</v>
      </c>
      <c r="S42" s="330">
        <v>10.176320000000002</v>
      </c>
      <c r="T42" s="315">
        <v>10.327240000000002</v>
      </c>
      <c r="U42" s="330">
        <v>10.618300000000001</v>
      </c>
      <c r="V42" s="330">
        <v>11.168080000000002</v>
      </c>
      <c r="W42" s="330">
        <v>11.416020000000003</v>
      </c>
      <c r="X42" s="330">
        <v>11.955020000000001</v>
      </c>
      <c r="Y42" s="331">
        <v>11.286660000000001</v>
      </c>
    </row>
    <row r="43" spans="1:25" x14ac:dyDescent="0.2">
      <c r="A43" s="359">
        <v>1</v>
      </c>
      <c r="B43" s="312" t="s">
        <v>3631</v>
      </c>
      <c r="C43" s="325" t="s">
        <v>3632</v>
      </c>
      <c r="D43" s="312" t="s">
        <v>1809</v>
      </c>
      <c r="E43" s="312">
        <v>475</v>
      </c>
      <c r="F43" s="312">
        <v>1.7000000000000001E-2</v>
      </c>
      <c r="G43" s="312" t="s">
        <v>399</v>
      </c>
      <c r="H43" s="329">
        <v>0.49</v>
      </c>
      <c r="I43" s="329">
        <v>0.47</v>
      </c>
      <c r="J43" s="329">
        <v>0</v>
      </c>
      <c r="K43" s="329">
        <v>0.96</v>
      </c>
      <c r="L43" s="329">
        <v>1.4</v>
      </c>
      <c r="N43" s="312" t="s">
        <v>3448</v>
      </c>
      <c r="O43" s="312">
        <v>2011</v>
      </c>
      <c r="Q43" s="326" t="s">
        <v>3633</v>
      </c>
      <c r="R43" s="326">
        <v>2</v>
      </c>
      <c r="S43" s="330">
        <v>1.3216000000000001</v>
      </c>
      <c r="T43" s="315">
        <v>1.3411999999999999</v>
      </c>
      <c r="U43" s="330">
        <v>1.379</v>
      </c>
      <c r="V43" s="330">
        <v>1.4503999999999999</v>
      </c>
      <c r="W43" s="330">
        <v>1.4826000000000001</v>
      </c>
      <c r="X43" s="330">
        <v>1.5526</v>
      </c>
      <c r="Y43" s="331">
        <v>1.4657999999999998</v>
      </c>
    </row>
    <row r="44" spans="1:25" x14ac:dyDescent="0.2">
      <c r="A44" s="359">
        <v>1</v>
      </c>
      <c r="B44" s="312" t="s">
        <v>3509</v>
      </c>
      <c r="C44" s="325" t="s">
        <v>3510</v>
      </c>
      <c r="G44" s="312" t="s">
        <v>1589</v>
      </c>
      <c r="H44" s="329">
        <v>10.7</v>
      </c>
      <c r="I44" s="329">
        <v>0</v>
      </c>
      <c r="J44" s="329">
        <v>0</v>
      </c>
      <c r="K44" s="329">
        <v>10.7</v>
      </c>
      <c r="L44" s="329">
        <v>11.770000000000001</v>
      </c>
      <c r="N44" s="312" t="s">
        <v>3448</v>
      </c>
      <c r="O44" s="312">
        <v>2011</v>
      </c>
      <c r="Q44" s="326" t="s">
        <v>3511</v>
      </c>
      <c r="R44" s="326">
        <v>2</v>
      </c>
      <c r="S44" s="330">
        <v>11.110880000000002</v>
      </c>
      <c r="T44" s="315">
        <v>11.27566</v>
      </c>
      <c r="U44" s="330">
        <v>11.593450000000001</v>
      </c>
      <c r="V44" s="330">
        <v>12.193720000000003</v>
      </c>
      <c r="W44" s="330">
        <v>12.464430000000004</v>
      </c>
      <c r="X44" s="330">
        <v>13.052930000000002</v>
      </c>
      <c r="Y44" s="331">
        <v>12.32319</v>
      </c>
    </row>
    <row r="45" spans="1:25" x14ac:dyDescent="0.2">
      <c r="A45" s="359">
        <v>2</v>
      </c>
      <c r="B45" s="312" t="s">
        <v>3947</v>
      </c>
      <c r="C45" s="325" t="s">
        <v>1080</v>
      </c>
      <c r="D45" s="312" t="s">
        <v>1857</v>
      </c>
      <c r="E45" s="312">
        <v>160</v>
      </c>
      <c r="F45" s="312">
        <v>0.05</v>
      </c>
      <c r="G45" s="312" t="s">
        <v>2265</v>
      </c>
      <c r="H45" s="329">
        <v>0</v>
      </c>
      <c r="I45" s="329">
        <v>1.75</v>
      </c>
      <c r="J45" s="329">
        <v>3.53</v>
      </c>
      <c r="K45" s="329">
        <v>5.28</v>
      </c>
      <c r="L45" s="329">
        <v>6.75</v>
      </c>
      <c r="N45" s="312" t="s">
        <v>3448</v>
      </c>
      <c r="O45" s="312">
        <v>2011</v>
      </c>
      <c r="Q45" s="326" t="s">
        <v>3948</v>
      </c>
      <c r="R45" s="326">
        <v>2</v>
      </c>
      <c r="S45" s="330">
        <v>6.3720000000000008</v>
      </c>
      <c r="T45" s="315">
        <v>6.4664999999999999</v>
      </c>
      <c r="U45" s="330">
        <v>6.6487499999999997</v>
      </c>
      <c r="V45" s="330">
        <v>6.9930000000000003</v>
      </c>
      <c r="W45" s="330">
        <v>7.1482500000000009</v>
      </c>
      <c r="X45" s="330">
        <v>7.4857499999999995</v>
      </c>
      <c r="Y45" s="331">
        <v>7.0672499999999996</v>
      </c>
    </row>
    <row r="46" spans="1:25" x14ac:dyDescent="0.2">
      <c r="A46" s="359">
        <v>2</v>
      </c>
      <c r="B46" s="312" t="s">
        <v>3931</v>
      </c>
      <c r="C46" s="325" t="s">
        <v>1082</v>
      </c>
      <c r="D46" s="312" t="s">
        <v>1860</v>
      </c>
      <c r="E46" s="312">
        <v>1</v>
      </c>
      <c r="F46" s="312">
        <v>48</v>
      </c>
      <c r="G46" s="312" t="s">
        <v>2376</v>
      </c>
      <c r="H46" s="329">
        <v>0</v>
      </c>
      <c r="I46" s="329">
        <v>1350</v>
      </c>
      <c r="J46" s="329">
        <v>1300</v>
      </c>
      <c r="K46" s="329">
        <v>2650</v>
      </c>
      <c r="L46" s="329">
        <v>3700</v>
      </c>
      <c r="N46" s="312" t="s">
        <v>3448</v>
      </c>
      <c r="O46" s="312">
        <v>2011</v>
      </c>
      <c r="Q46" s="326" t="s">
        <v>3932</v>
      </c>
      <c r="R46" s="326">
        <v>2</v>
      </c>
      <c r="S46" s="330">
        <v>3492.8</v>
      </c>
      <c r="T46" s="315">
        <v>3544.6</v>
      </c>
      <c r="U46" s="330">
        <v>3644.5</v>
      </c>
      <c r="V46" s="330">
        <v>3833.2000000000003</v>
      </c>
      <c r="W46" s="330">
        <v>3918.3000000000006</v>
      </c>
      <c r="X46" s="330">
        <v>4103.3</v>
      </c>
      <c r="Y46" s="331">
        <v>3873.8999999999996</v>
      </c>
    </row>
    <row r="47" spans="1:25" x14ac:dyDescent="0.2">
      <c r="A47" s="359">
        <v>2</v>
      </c>
      <c r="B47" s="312" t="s">
        <v>3933</v>
      </c>
      <c r="C47" s="325" t="s">
        <v>1083</v>
      </c>
      <c r="D47" s="312" t="s">
        <v>1862</v>
      </c>
      <c r="E47" s="312">
        <v>2</v>
      </c>
      <c r="F47" s="312">
        <v>12</v>
      </c>
      <c r="G47" s="312" t="s">
        <v>2376</v>
      </c>
      <c r="H47" s="329">
        <v>0</v>
      </c>
      <c r="I47" s="329">
        <v>355</v>
      </c>
      <c r="J47" s="329">
        <v>980</v>
      </c>
      <c r="K47" s="329">
        <v>1335</v>
      </c>
      <c r="L47" s="329">
        <v>1675</v>
      </c>
      <c r="N47" s="312" t="s">
        <v>3448</v>
      </c>
      <c r="O47" s="312">
        <v>2011</v>
      </c>
      <c r="Q47" s="326" t="s">
        <v>3934</v>
      </c>
      <c r="R47" s="326">
        <v>2</v>
      </c>
      <c r="S47" s="330">
        <v>1581.2</v>
      </c>
      <c r="T47" s="315">
        <v>1604.6499999999999</v>
      </c>
      <c r="U47" s="330">
        <v>1649.875</v>
      </c>
      <c r="V47" s="330">
        <v>1735.3</v>
      </c>
      <c r="W47" s="330">
        <v>1773.8250000000003</v>
      </c>
      <c r="X47" s="330">
        <v>1857.575</v>
      </c>
      <c r="Y47" s="331">
        <v>1753.7249999999999</v>
      </c>
    </row>
    <row r="48" spans="1:25" x14ac:dyDescent="0.2">
      <c r="A48" s="359">
        <v>2</v>
      </c>
      <c r="B48" s="312" t="s">
        <v>3953</v>
      </c>
      <c r="C48" s="325" t="s">
        <v>1084</v>
      </c>
      <c r="D48" s="312" t="s">
        <v>1857</v>
      </c>
      <c r="E48" s="312">
        <v>120</v>
      </c>
      <c r="F48" s="312">
        <v>6.7000000000000004E-2</v>
      </c>
      <c r="G48" s="312" t="s">
        <v>2265</v>
      </c>
      <c r="H48" s="329">
        <v>0</v>
      </c>
      <c r="I48" s="329">
        <v>2.33</v>
      </c>
      <c r="J48" s="329">
        <v>4.7</v>
      </c>
      <c r="K48" s="329">
        <v>7.03</v>
      </c>
      <c r="L48" s="329">
        <v>8.9499999999999993</v>
      </c>
      <c r="N48" s="312" t="s">
        <v>3448</v>
      </c>
      <c r="O48" s="312">
        <v>2011</v>
      </c>
      <c r="Q48" s="326" t="s">
        <v>3954</v>
      </c>
      <c r="R48" s="326">
        <v>2</v>
      </c>
      <c r="S48" s="330">
        <v>8.4488000000000003</v>
      </c>
      <c r="T48" s="315">
        <v>8.5740999999999996</v>
      </c>
      <c r="U48" s="330">
        <v>8.8157499999999995</v>
      </c>
      <c r="V48" s="330">
        <v>9.2721999999999998</v>
      </c>
      <c r="W48" s="330">
        <v>9.4780500000000014</v>
      </c>
      <c r="X48" s="330">
        <v>9.9255499999999994</v>
      </c>
      <c r="Y48" s="331">
        <v>9.3706499999999995</v>
      </c>
    </row>
    <row r="49" spans="1:25" x14ac:dyDescent="0.2">
      <c r="A49" s="359">
        <v>2</v>
      </c>
      <c r="B49" s="312" t="s">
        <v>3951</v>
      </c>
      <c r="C49" s="325" t="s">
        <v>1085</v>
      </c>
      <c r="D49" s="312" t="s">
        <v>1857</v>
      </c>
      <c r="E49" s="312">
        <v>180</v>
      </c>
      <c r="F49" s="312">
        <v>4.3999999999999997E-2</v>
      </c>
      <c r="G49" s="312" t="s">
        <v>2265</v>
      </c>
      <c r="H49" s="329">
        <v>0</v>
      </c>
      <c r="I49" s="329">
        <v>1.55</v>
      </c>
      <c r="J49" s="329">
        <v>3.13</v>
      </c>
      <c r="K49" s="329">
        <v>4.68</v>
      </c>
      <c r="L49" s="329">
        <v>6</v>
      </c>
      <c r="N49" s="312" t="s">
        <v>3448</v>
      </c>
      <c r="O49" s="312">
        <v>2011</v>
      </c>
      <c r="Q49" s="326" t="s">
        <v>3952</v>
      </c>
      <c r="R49" s="326">
        <v>2</v>
      </c>
      <c r="S49" s="330">
        <v>5.6640000000000006</v>
      </c>
      <c r="T49" s="315">
        <v>5.7479999999999993</v>
      </c>
      <c r="U49" s="330">
        <v>5.91</v>
      </c>
      <c r="V49" s="330">
        <v>6.2160000000000002</v>
      </c>
      <c r="W49" s="330">
        <v>6.354000000000001</v>
      </c>
      <c r="X49" s="330">
        <v>6.6539999999999999</v>
      </c>
      <c r="Y49" s="331">
        <v>6.282</v>
      </c>
    </row>
    <row r="50" spans="1:25" x14ac:dyDescent="0.2">
      <c r="A50" s="359">
        <v>2</v>
      </c>
      <c r="B50" s="312" t="s">
        <v>3949</v>
      </c>
      <c r="C50" s="325" t="s">
        <v>1086</v>
      </c>
      <c r="D50" s="312" t="s">
        <v>1857</v>
      </c>
      <c r="E50" s="312">
        <v>240</v>
      </c>
      <c r="F50" s="312">
        <v>3.3000000000000002E-2</v>
      </c>
      <c r="G50" s="312" t="s">
        <v>2265</v>
      </c>
      <c r="H50" s="329">
        <v>0</v>
      </c>
      <c r="I50" s="329">
        <v>1.1599999999999999</v>
      </c>
      <c r="J50" s="329">
        <v>2.35</v>
      </c>
      <c r="K50" s="329">
        <v>3.51</v>
      </c>
      <c r="L50" s="329">
        <v>4.4800000000000004</v>
      </c>
      <c r="N50" s="312" t="s">
        <v>3448</v>
      </c>
      <c r="O50" s="312">
        <v>2011</v>
      </c>
      <c r="Q50" s="326" t="s">
        <v>3950</v>
      </c>
      <c r="R50" s="326">
        <v>2</v>
      </c>
      <c r="S50" s="330">
        <v>4.2291200000000009</v>
      </c>
      <c r="T50" s="315">
        <v>4.2918400000000005</v>
      </c>
      <c r="U50" s="330">
        <v>4.4128000000000007</v>
      </c>
      <c r="V50" s="330">
        <v>4.641280000000001</v>
      </c>
      <c r="W50" s="330">
        <v>4.744320000000001</v>
      </c>
      <c r="X50" s="330">
        <v>4.9683200000000003</v>
      </c>
      <c r="Y50" s="331">
        <v>4.6905600000000005</v>
      </c>
    </row>
    <row r="51" spans="1:25" x14ac:dyDescent="0.2">
      <c r="A51" s="359">
        <v>2</v>
      </c>
      <c r="B51" s="312" t="s">
        <v>3944</v>
      </c>
      <c r="C51" s="325" t="s">
        <v>3945</v>
      </c>
      <c r="D51" s="312" t="s">
        <v>1862</v>
      </c>
      <c r="E51" s="312">
        <v>0.5</v>
      </c>
      <c r="F51" s="312">
        <v>48</v>
      </c>
      <c r="G51" s="312" t="s">
        <v>2376</v>
      </c>
      <c r="H51" s="329">
        <v>0</v>
      </c>
      <c r="I51" s="329">
        <v>1425</v>
      </c>
      <c r="J51" s="329">
        <v>3925</v>
      </c>
      <c r="K51" s="329">
        <v>5350</v>
      </c>
      <c r="L51" s="329">
        <v>6650</v>
      </c>
      <c r="N51" s="312" t="s">
        <v>3448</v>
      </c>
      <c r="O51" s="312">
        <v>2011</v>
      </c>
      <c r="Q51" s="326" t="s">
        <v>3946</v>
      </c>
      <c r="R51" s="326">
        <v>2</v>
      </c>
      <c r="S51" s="330">
        <v>6277.6</v>
      </c>
      <c r="T51" s="315">
        <v>6370.7</v>
      </c>
      <c r="U51" s="330">
        <v>6550.25</v>
      </c>
      <c r="V51" s="330">
        <v>6889.4000000000005</v>
      </c>
      <c r="W51" s="330">
        <v>7042.3500000000013</v>
      </c>
      <c r="X51" s="330">
        <v>7374.8499999999995</v>
      </c>
      <c r="Y51" s="331">
        <v>6962.5499999999993</v>
      </c>
    </row>
    <row r="52" spans="1:25" x14ac:dyDescent="0.2">
      <c r="A52" s="359">
        <v>2</v>
      </c>
      <c r="B52" s="312" t="s">
        <v>3941</v>
      </c>
      <c r="C52" s="325" t="s">
        <v>3942</v>
      </c>
      <c r="D52" s="312" t="s">
        <v>1860</v>
      </c>
      <c r="E52" s="312">
        <v>0.3</v>
      </c>
      <c r="F52" s="312">
        <v>160</v>
      </c>
      <c r="G52" s="312" t="s">
        <v>2376</v>
      </c>
      <c r="H52" s="329">
        <v>0</v>
      </c>
      <c r="I52" s="329">
        <v>4500</v>
      </c>
      <c r="J52" s="329">
        <v>4350</v>
      </c>
      <c r="K52" s="329">
        <v>8850</v>
      </c>
      <c r="L52" s="329">
        <v>12300</v>
      </c>
      <c r="N52" s="312" t="s">
        <v>3448</v>
      </c>
      <c r="O52" s="312">
        <v>2011</v>
      </c>
      <c r="Q52" s="326" t="s">
        <v>3943</v>
      </c>
      <c r="R52" s="326">
        <v>2</v>
      </c>
      <c r="S52" s="330">
        <v>11611.2</v>
      </c>
      <c r="T52" s="315">
        <v>11783.4</v>
      </c>
      <c r="U52" s="330">
        <v>12115.5</v>
      </c>
      <c r="V52" s="330">
        <v>12742.800000000001</v>
      </c>
      <c r="W52" s="330">
        <v>13025.700000000003</v>
      </c>
      <c r="X52" s="330">
        <v>13640.7</v>
      </c>
      <c r="Y52" s="331">
        <v>12878.099999999999</v>
      </c>
    </row>
    <row r="53" spans="1:25" x14ac:dyDescent="0.2">
      <c r="A53" s="359">
        <v>2</v>
      </c>
      <c r="B53" s="312" t="s">
        <v>3935</v>
      </c>
      <c r="C53" s="325" t="s">
        <v>3936</v>
      </c>
      <c r="D53" s="312" t="s">
        <v>1860</v>
      </c>
      <c r="E53" s="312">
        <v>0.7</v>
      </c>
      <c r="F53" s="312">
        <v>68.570999999999998</v>
      </c>
      <c r="G53" s="312" t="s">
        <v>2376</v>
      </c>
      <c r="H53" s="329">
        <v>0</v>
      </c>
      <c r="I53" s="329">
        <v>1925</v>
      </c>
      <c r="J53" s="329">
        <v>1875</v>
      </c>
      <c r="K53" s="329">
        <v>3800</v>
      </c>
      <c r="L53" s="329">
        <v>5275</v>
      </c>
      <c r="N53" s="312" t="s">
        <v>3448</v>
      </c>
      <c r="O53" s="312">
        <v>2011</v>
      </c>
      <c r="Q53" s="326" t="s">
        <v>3937</v>
      </c>
      <c r="R53" s="326">
        <v>2</v>
      </c>
      <c r="S53" s="330">
        <v>4979.6000000000004</v>
      </c>
      <c r="T53" s="315">
        <v>5053.45</v>
      </c>
      <c r="U53" s="330">
        <v>5195.875</v>
      </c>
      <c r="V53" s="330">
        <v>5464.9000000000005</v>
      </c>
      <c r="W53" s="330">
        <v>5586.2250000000013</v>
      </c>
      <c r="X53" s="330">
        <v>5849.9750000000004</v>
      </c>
      <c r="Y53" s="331">
        <v>5522.9249999999993</v>
      </c>
    </row>
    <row r="54" spans="1:25" x14ac:dyDescent="0.2">
      <c r="A54" s="359">
        <v>2</v>
      </c>
      <c r="B54" s="312" t="s">
        <v>3938</v>
      </c>
      <c r="C54" s="325" t="s">
        <v>3939</v>
      </c>
      <c r="D54" s="312" t="s">
        <v>1862</v>
      </c>
      <c r="E54" s="312">
        <v>1</v>
      </c>
      <c r="F54" s="312">
        <v>24</v>
      </c>
      <c r="G54" s="312" t="s">
        <v>2376</v>
      </c>
      <c r="H54" s="329">
        <v>0</v>
      </c>
      <c r="I54" s="329">
        <v>715</v>
      </c>
      <c r="J54" s="329">
        <v>1950</v>
      </c>
      <c r="K54" s="329">
        <v>2665</v>
      </c>
      <c r="L54" s="329">
        <v>3325</v>
      </c>
      <c r="N54" s="312" t="s">
        <v>3448</v>
      </c>
      <c r="O54" s="312">
        <v>2011</v>
      </c>
      <c r="Q54" s="326" t="s">
        <v>3940</v>
      </c>
      <c r="R54" s="326">
        <v>2</v>
      </c>
      <c r="S54" s="330">
        <v>3138.8</v>
      </c>
      <c r="T54" s="315">
        <v>3185.35</v>
      </c>
      <c r="U54" s="330">
        <v>3275.125</v>
      </c>
      <c r="V54" s="330">
        <v>3444.7000000000003</v>
      </c>
      <c r="W54" s="330">
        <v>3521.1750000000006</v>
      </c>
      <c r="X54" s="330">
        <v>3687.4249999999997</v>
      </c>
      <c r="Y54" s="331">
        <v>3481.2749999999996</v>
      </c>
    </row>
    <row r="55" spans="1:25" x14ac:dyDescent="0.2">
      <c r="A55" s="359">
        <v>1</v>
      </c>
      <c r="B55" s="312" t="s">
        <v>4061</v>
      </c>
      <c r="C55" s="325" t="s">
        <v>4062</v>
      </c>
      <c r="H55" s="329">
        <v>0</v>
      </c>
      <c r="I55" s="329">
        <v>0</v>
      </c>
      <c r="J55" s="329">
        <v>0</v>
      </c>
      <c r="K55" s="329">
        <v>0</v>
      </c>
      <c r="L55" s="329">
        <v>0</v>
      </c>
      <c r="N55" s="312" t="s">
        <v>3448</v>
      </c>
      <c r="O55" s="312">
        <v>2011</v>
      </c>
      <c r="Q55" s="326" t="s">
        <v>4063</v>
      </c>
      <c r="R55" s="326">
        <v>2</v>
      </c>
      <c r="S55" s="330">
        <v>0</v>
      </c>
      <c r="T55" s="315">
        <v>0</v>
      </c>
      <c r="U55" s="330">
        <v>0</v>
      </c>
      <c r="V55" s="330">
        <v>0</v>
      </c>
      <c r="W55" s="330">
        <v>0</v>
      </c>
      <c r="X55" s="330">
        <v>0</v>
      </c>
      <c r="Y55" s="331">
        <v>0</v>
      </c>
    </row>
    <row r="56" spans="1:25" ht="20.399999999999999" x14ac:dyDescent="0.2">
      <c r="A56" s="359">
        <v>1</v>
      </c>
      <c r="B56" s="312" t="s">
        <v>4341</v>
      </c>
      <c r="C56" s="325" t="s">
        <v>4342</v>
      </c>
      <c r="D56" s="312" t="s">
        <v>44</v>
      </c>
      <c r="E56" s="312">
        <v>125</v>
      </c>
      <c r="F56" s="312">
        <v>0.38400000000000001</v>
      </c>
      <c r="G56" s="312" t="s">
        <v>2202</v>
      </c>
      <c r="H56" s="329">
        <v>28</v>
      </c>
      <c r="I56" s="329">
        <v>10.75</v>
      </c>
      <c r="J56" s="329">
        <v>2.57</v>
      </c>
      <c r="K56" s="329">
        <v>41.32</v>
      </c>
      <c r="L56" s="329">
        <v>51.5</v>
      </c>
      <c r="N56" s="312" t="s">
        <v>3448</v>
      </c>
      <c r="O56" s="312">
        <v>2011</v>
      </c>
      <c r="Q56" s="326" t="s">
        <v>4343</v>
      </c>
      <c r="R56" s="326">
        <v>2</v>
      </c>
      <c r="S56" s="330">
        <v>48.616</v>
      </c>
      <c r="T56" s="315">
        <v>49.336999999999996</v>
      </c>
      <c r="U56" s="330">
        <v>50.727499999999999</v>
      </c>
      <c r="V56" s="330">
        <v>53.353999999999999</v>
      </c>
      <c r="W56" s="330">
        <v>54.538500000000006</v>
      </c>
      <c r="X56" s="330">
        <v>57.113500000000002</v>
      </c>
      <c r="Y56" s="331">
        <v>53.920499999999997</v>
      </c>
    </row>
    <row r="57" spans="1:25" ht="20.399999999999999" x14ac:dyDescent="0.2">
      <c r="A57" s="359">
        <v>1</v>
      </c>
      <c r="B57" s="312" t="s">
        <v>4327</v>
      </c>
      <c r="C57" s="325" t="s">
        <v>4328</v>
      </c>
      <c r="D57" s="312" t="s">
        <v>44</v>
      </c>
      <c r="E57" s="312">
        <v>100</v>
      </c>
      <c r="F57" s="312">
        <v>0.48</v>
      </c>
      <c r="G57" s="312" t="s">
        <v>2202</v>
      </c>
      <c r="H57" s="329">
        <v>37</v>
      </c>
      <c r="I57" s="329">
        <v>13.45</v>
      </c>
      <c r="J57" s="329">
        <v>3.21</v>
      </c>
      <c r="K57" s="329">
        <v>53.66</v>
      </c>
      <c r="L57" s="329">
        <v>66.5</v>
      </c>
      <c r="N57" s="312" t="s">
        <v>3448</v>
      </c>
      <c r="O57" s="312">
        <v>2011</v>
      </c>
      <c r="Q57" s="326" t="s">
        <v>4329</v>
      </c>
      <c r="R57" s="326">
        <v>2</v>
      </c>
      <c r="S57" s="330">
        <v>62.776000000000003</v>
      </c>
      <c r="T57" s="315">
        <v>63.707000000000001</v>
      </c>
      <c r="U57" s="330">
        <v>65.502499999999998</v>
      </c>
      <c r="V57" s="330">
        <v>68.894000000000005</v>
      </c>
      <c r="W57" s="330">
        <v>70.423500000000004</v>
      </c>
      <c r="X57" s="330">
        <v>73.748499999999993</v>
      </c>
      <c r="Y57" s="331">
        <v>69.625500000000002</v>
      </c>
    </row>
    <row r="58" spans="1:25" ht="20.399999999999999" x14ac:dyDescent="0.2">
      <c r="A58" s="359">
        <v>1</v>
      </c>
      <c r="B58" s="312" t="s">
        <v>4330</v>
      </c>
      <c r="C58" s="325" t="s">
        <v>4331</v>
      </c>
      <c r="D58" s="312" t="s">
        <v>1850</v>
      </c>
      <c r="E58" s="312">
        <v>100</v>
      </c>
      <c r="F58" s="312">
        <v>0.48</v>
      </c>
      <c r="G58" s="312" t="s">
        <v>2202</v>
      </c>
      <c r="H58" s="329">
        <v>46</v>
      </c>
      <c r="I58" s="329">
        <v>13.6</v>
      </c>
      <c r="J58" s="329">
        <v>7.5</v>
      </c>
      <c r="K58" s="329">
        <v>67.099999999999994</v>
      </c>
      <c r="L58" s="329">
        <v>82</v>
      </c>
      <c r="N58" s="312" t="s">
        <v>3448</v>
      </c>
      <c r="O58" s="312">
        <v>2011</v>
      </c>
      <c r="Q58" s="326" t="s">
        <v>4332</v>
      </c>
      <c r="R58" s="326">
        <v>2</v>
      </c>
      <c r="S58" s="330">
        <v>77.408000000000001</v>
      </c>
      <c r="T58" s="315">
        <v>78.555999999999997</v>
      </c>
      <c r="U58" s="330">
        <v>80.77</v>
      </c>
      <c r="V58" s="330">
        <v>84.951999999999998</v>
      </c>
      <c r="W58" s="330">
        <v>86.838000000000008</v>
      </c>
      <c r="X58" s="330">
        <v>90.938000000000002</v>
      </c>
      <c r="Y58" s="331">
        <v>85.853999999999999</v>
      </c>
    </row>
    <row r="59" spans="1:25" ht="20.399999999999999" x14ac:dyDescent="0.2">
      <c r="A59" s="359">
        <v>1</v>
      </c>
      <c r="B59" s="312" t="s">
        <v>4333</v>
      </c>
      <c r="C59" s="325" t="s">
        <v>4334</v>
      </c>
      <c r="D59" s="312" t="s">
        <v>1850</v>
      </c>
      <c r="E59" s="312">
        <v>90</v>
      </c>
      <c r="F59" s="312">
        <v>0.53300000000000003</v>
      </c>
      <c r="G59" s="312" t="s">
        <v>2202</v>
      </c>
      <c r="H59" s="329">
        <v>62.5</v>
      </c>
      <c r="I59" s="329">
        <v>15.1</v>
      </c>
      <c r="J59" s="329">
        <v>8.3000000000000007</v>
      </c>
      <c r="K59" s="329">
        <v>85.9</v>
      </c>
      <c r="L59" s="329">
        <v>103</v>
      </c>
      <c r="N59" s="312" t="s">
        <v>3448</v>
      </c>
      <c r="O59" s="312">
        <v>2011</v>
      </c>
      <c r="Q59" s="326" t="s">
        <v>4335</v>
      </c>
      <c r="R59" s="326">
        <v>2</v>
      </c>
      <c r="S59" s="330">
        <v>97.231999999999999</v>
      </c>
      <c r="T59" s="315">
        <v>98.673999999999992</v>
      </c>
      <c r="U59" s="330">
        <v>101.455</v>
      </c>
      <c r="V59" s="330">
        <v>106.708</v>
      </c>
      <c r="W59" s="330">
        <v>109.07700000000001</v>
      </c>
      <c r="X59" s="330">
        <v>114.227</v>
      </c>
      <c r="Y59" s="331">
        <v>107.84099999999999</v>
      </c>
    </row>
    <row r="60" spans="1:25" ht="20.399999999999999" x14ac:dyDescent="0.2">
      <c r="A60" s="359">
        <v>1</v>
      </c>
      <c r="B60" s="312" t="s">
        <v>4336</v>
      </c>
      <c r="C60" s="325" t="s">
        <v>415</v>
      </c>
      <c r="D60" s="312" t="s">
        <v>1850</v>
      </c>
      <c r="E60" s="312">
        <v>75</v>
      </c>
      <c r="F60" s="312">
        <v>0.64</v>
      </c>
      <c r="G60" s="312" t="s">
        <v>2202</v>
      </c>
      <c r="H60" s="329">
        <v>75.5</v>
      </c>
      <c r="I60" s="329">
        <v>18.149999999999999</v>
      </c>
      <c r="J60" s="329">
        <v>10</v>
      </c>
      <c r="K60" s="329">
        <v>103.65</v>
      </c>
      <c r="L60" s="329">
        <v>125</v>
      </c>
      <c r="N60" s="312" t="s">
        <v>3448</v>
      </c>
      <c r="O60" s="312">
        <v>2011</v>
      </c>
      <c r="Q60" s="326" t="s">
        <v>4337</v>
      </c>
      <c r="R60" s="326">
        <v>2</v>
      </c>
      <c r="S60" s="330">
        <v>118.00000000000001</v>
      </c>
      <c r="T60" s="315">
        <v>119.75</v>
      </c>
      <c r="U60" s="330">
        <v>123.125</v>
      </c>
      <c r="V60" s="330">
        <v>129.5</v>
      </c>
      <c r="W60" s="330">
        <v>132.37500000000003</v>
      </c>
      <c r="X60" s="330">
        <v>138.625</v>
      </c>
      <c r="Y60" s="331">
        <v>130.875</v>
      </c>
    </row>
    <row r="61" spans="1:25" x14ac:dyDescent="0.2">
      <c r="A61" s="359">
        <v>1</v>
      </c>
      <c r="B61" s="312" t="s">
        <v>4354</v>
      </c>
      <c r="C61" s="325" t="s">
        <v>4355</v>
      </c>
      <c r="D61" s="312" t="s">
        <v>34</v>
      </c>
      <c r="E61" s="312" t="s">
        <v>4356</v>
      </c>
      <c r="F61" s="312">
        <v>1.4E-2</v>
      </c>
      <c r="G61" s="312" t="s">
        <v>1627</v>
      </c>
      <c r="H61" s="329">
        <v>1.2</v>
      </c>
      <c r="I61" s="329">
        <v>0.39</v>
      </c>
      <c r="J61" s="329">
        <v>0</v>
      </c>
      <c r="K61" s="329">
        <v>1.59</v>
      </c>
      <c r="L61" s="329">
        <v>1.97</v>
      </c>
      <c r="N61" s="312" t="s">
        <v>3448</v>
      </c>
      <c r="O61" s="312">
        <v>2011</v>
      </c>
      <c r="Q61" s="326" t="s">
        <v>4357</v>
      </c>
      <c r="R61" s="326">
        <v>2</v>
      </c>
      <c r="S61" s="330">
        <v>1.85968</v>
      </c>
      <c r="T61" s="315">
        <v>1.8872599999999999</v>
      </c>
      <c r="U61" s="330">
        <v>1.94045</v>
      </c>
      <c r="V61" s="330">
        <v>2.0409199999999998</v>
      </c>
      <c r="W61" s="330">
        <v>2.0862300000000005</v>
      </c>
      <c r="X61" s="330">
        <v>2.1847300000000001</v>
      </c>
      <c r="Y61" s="331">
        <v>2.0625899999999997</v>
      </c>
    </row>
    <row r="62" spans="1:25" ht="20.399999999999999" x14ac:dyDescent="0.2">
      <c r="A62" s="359">
        <v>1</v>
      </c>
      <c r="B62" s="312" t="s">
        <v>4352</v>
      </c>
      <c r="C62" s="325" t="s">
        <v>417</v>
      </c>
      <c r="D62" s="312" t="s">
        <v>1850</v>
      </c>
      <c r="E62" s="312">
        <v>17</v>
      </c>
      <c r="F62" s="312">
        <v>2.8239999999999998</v>
      </c>
      <c r="G62" s="312" t="s">
        <v>2265</v>
      </c>
      <c r="H62" s="329">
        <v>292</v>
      </c>
      <c r="I62" s="329">
        <v>80</v>
      </c>
      <c r="J62" s="329">
        <v>44</v>
      </c>
      <c r="K62" s="329">
        <v>416</v>
      </c>
      <c r="L62" s="329">
        <v>500</v>
      </c>
      <c r="N62" s="312" t="s">
        <v>3448</v>
      </c>
      <c r="O62" s="312">
        <v>2011</v>
      </c>
      <c r="Q62" s="326" t="s">
        <v>4353</v>
      </c>
      <c r="R62" s="326">
        <v>2</v>
      </c>
      <c r="S62" s="330">
        <v>472.00000000000006</v>
      </c>
      <c r="T62" s="315">
        <v>479</v>
      </c>
      <c r="U62" s="330">
        <v>492.5</v>
      </c>
      <c r="V62" s="330">
        <v>518</v>
      </c>
      <c r="W62" s="330">
        <v>529.50000000000011</v>
      </c>
      <c r="X62" s="330">
        <v>554.5</v>
      </c>
      <c r="Y62" s="331">
        <v>523.5</v>
      </c>
    </row>
    <row r="63" spans="1:25" ht="20.399999999999999" x14ac:dyDescent="0.2">
      <c r="A63" s="359">
        <v>1</v>
      </c>
      <c r="B63" s="312" t="s">
        <v>4338</v>
      </c>
      <c r="C63" s="325" t="s">
        <v>4339</v>
      </c>
      <c r="D63" s="312" t="s">
        <v>1850</v>
      </c>
      <c r="E63" s="312">
        <v>108</v>
      </c>
      <c r="F63" s="312">
        <v>0.44400000000000001</v>
      </c>
      <c r="G63" s="312" t="s">
        <v>2202</v>
      </c>
      <c r="H63" s="329">
        <v>21.5</v>
      </c>
      <c r="I63" s="329">
        <v>12.6</v>
      </c>
      <c r="J63" s="329">
        <v>6.95</v>
      </c>
      <c r="K63" s="329">
        <v>41.05</v>
      </c>
      <c r="L63" s="329">
        <v>52.5</v>
      </c>
      <c r="N63" s="312" t="s">
        <v>3448</v>
      </c>
      <c r="O63" s="312">
        <v>2011</v>
      </c>
      <c r="Q63" s="326" t="s">
        <v>4340</v>
      </c>
      <c r="R63" s="326">
        <v>2</v>
      </c>
      <c r="S63" s="330">
        <v>49.56</v>
      </c>
      <c r="T63" s="315">
        <v>50.294999999999995</v>
      </c>
      <c r="U63" s="330">
        <v>51.712499999999999</v>
      </c>
      <c r="V63" s="330">
        <v>54.39</v>
      </c>
      <c r="W63" s="330">
        <v>55.597500000000011</v>
      </c>
      <c r="X63" s="330">
        <v>58.222499999999997</v>
      </c>
      <c r="Y63" s="331">
        <v>54.967499999999994</v>
      </c>
    </row>
    <row r="64" spans="1:25" ht="20.399999999999999" x14ac:dyDescent="0.2">
      <c r="A64" s="359">
        <v>1</v>
      </c>
      <c r="B64" s="312" t="s">
        <v>4344</v>
      </c>
      <c r="C64" s="325" t="s">
        <v>4345</v>
      </c>
      <c r="D64" s="312" t="s">
        <v>1850</v>
      </c>
      <c r="E64" s="312">
        <v>108</v>
      </c>
      <c r="F64" s="312">
        <v>0.44400000000000001</v>
      </c>
      <c r="G64" s="312" t="s">
        <v>2202</v>
      </c>
      <c r="H64" s="329">
        <v>27</v>
      </c>
      <c r="I64" s="329">
        <v>12.6</v>
      </c>
      <c r="J64" s="329">
        <v>6.95</v>
      </c>
      <c r="K64" s="329">
        <v>46.55</v>
      </c>
      <c r="L64" s="329">
        <v>58.5</v>
      </c>
      <c r="N64" s="312" t="s">
        <v>3448</v>
      </c>
      <c r="O64" s="312">
        <v>2011</v>
      </c>
      <c r="Q64" s="326" t="s">
        <v>4346</v>
      </c>
      <c r="R64" s="326">
        <v>2</v>
      </c>
      <c r="S64" s="330">
        <v>55.224000000000004</v>
      </c>
      <c r="T64" s="315">
        <v>56.042999999999999</v>
      </c>
      <c r="U64" s="330">
        <v>57.622500000000002</v>
      </c>
      <c r="V64" s="330">
        <v>60.606000000000002</v>
      </c>
      <c r="W64" s="330">
        <v>61.95150000000001</v>
      </c>
      <c r="X64" s="330">
        <v>64.876499999999993</v>
      </c>
      <c r="Y64" s="331">
        <v>61.249499999999998</v>
      </c>
    </row>
    <row r="65" spans="1:25" ht="20.399999999999999" x14ac:dyDescent="0.2">
      <c r="A65" s="359">
        <v>1</v>
      </c>
      <c r="B65" s="312" t="s">
        <v>4347</v>
      </c>
      <c r="C65" s="325" t="s">
        <v>4348</v>
      </c>
      <c r="D65" s="312" t="s">
        <v>1850</v>
      </c>
      <c r="E65" s="312">
        <v>92</v>
      </c>
      <c r="F65" s="312">
        <v>0.52200000000000002</v>
      </c>
      <c r="G65" s="312" t="s">
        <v>2202</v>
      </c>
      <c r="H65" s="329">
        <v>31</v>
      </c>
      <c r="I65" s="329">
        <v>14.8</v>
      </c>
      <c r="J65" s="329">
        <v>8.15</v>
      </c>
      <c r="K65" s="329">
        <v>53.95</v>
      </c>
      <c r="L65" s="329">
        <v>67.5</v>
      </c>
      <c r="N65" s="312" t="s">
        <v>3448</v>
      </c>
      <c r="O65" s="312">
        <v>2011</v>
      </c>
      <c r="Q65" s="326" t="s">
        <v>4349</v>
      </c>
      <c r="R65" s="326">
        <v>2</v>
      </c>
      <c r="S65" s="330">
        <v>63.720000000000006</v>
      </c>
      <c r="T65" s="315">
        <v>64.664999999999992</v>
      </c>
      <c r="U65" s="330">
        <v>66.487499999999997</v>
      </c>
      <c r="V65" s="330">
        <v>69.930000000000007</v>
      </c>
      <c r="W65" s="330">
        <v>71.482500000000016</v>
      </c>
      <c r="X65" s="330">
        <v>74.857500000000002</v>
      </c>
      <c r="Y65" s="331">
        <v>70.672499999999999</v>
      </c>
    </row>
    <row r="66" spans="1:25" ht="20.399999999999999" x14ac:dyDescent="0.2">
      <c r="A66" s="359">
        <v>1</v>
      </c>
      <c r="B66" s="312" t="s">
        <v>4350</v>
      </c>
      <c r="C66" s="325" t="s">
        <v>418</v>
      </c>
      <c r="D66" s="312" t="s">
        <v>1850</v>
      </c>
      <c r="E66" s="312">
        <v>75</v>
      </c>
      <c r="F66" s="312">
        <v>0.64</v>
      </c>
      <c r="G66" s="312" t="s">
        <v>2202</v>
      </c>
      <c r="H66" s="329">
        <v>47.5</v>
      </c>
      <c r="I66" s="329">
        <v>18.149999999999999</v>
      </c>
      <c r="J66" s="329">
        <v>10</v>
      </c>
      <c r="K66" s="329">
        <v>75.650000000000006</v>
      </c>
      <c r="L66" s="329">
        <v>93</v>
      </c>
      <c r="N66" s="312" t="s">
        <v>3448</v>
      </c>
      <c r="O66" s="312">
        <v>2011</v>
      </c>
      <c r="Q66" s="326" t="s">
        <v>4351</v>
      </c>
      <c r="R66" s="326">
        <v>2</v>
      </c>
      <c r="S66" s="330">
        <v>87.792000000000002</v>
      </c>
      <c r="T66" s="315">
        <v>89.093999999999994</v>
      </c>
      <c r="U66" s="330">
        <v>91.605000000000004</v>
      </c>
      <c r="V66" s="330">
        <v>96.347999999999999</v>
      </c>
      <c r="W66" s="330">
        <v>98.487000000000009</v>
      </c>
      <c r="X66" s="330">
        <v>103.137</v>
      </c>
      <c r="Y66" s="331">
        <v>97.370999999999995</v>
      </c>
    </row>
    <row r="67" spans="1:25" ht="20.399999999999999" x14ac:dyDescent="0.2">
      <c r="A67" s="359">
        <v>1</v>
      </c>
      <c r="B67" s="312" t="s">
        <v>3487</v>
      </c>
      <c r="C67" s="325" t="s">
        <v>3488</v>
      </c>
      <c r="G67" s="312" t="s">
        <v>2241</v>
      </c>
      <c r="H67" s="329">
        <v>55.5</v>
      </c>
      <c r="I67" s="329">
        <v>0</v>
      </c>
      <c r="J67" s="329">
        <v>0</v>
      </c>
      <c r="K67" s="329">
        <v>55.5</v>
      </c>
      <c r="L67" s="329">
        <v>61.05</v>
      </c>
      <c r="N67" s="312" t="s">
        <v>3448</v>
      </c>
      <c r="O67" s="312">
        <v>2011</v>
      </c>
      <c r="Q67" s="326" t="s">
        <v>3489</v>
      </c>
      <c r="R67" s="326">
        <v>2</v>
      </c>
      <c r="S67" s="330">
        <v>57.6312</v>
      </c>
      <c r="T67" s="315">
        <v>58.485899999999994</v>
      </c>
      <c r="U67" s="330">
        <v>60.134249999999994</v>
      </c>
      <c r="V67" s="330">
        <v>63.247799999999998</v>
      </c>
      <c r="W67" s="330">
        <v>64.651950000000014</v>
      </c>
      <c r="X67" s="330">
        <v>67.704449999999994</v>
      </c>
      <c r="Y67" s="331">
        <v>63.919349999999994</v>
      </c>
    </row>
    <row r="68" spans="1:25" ht="20.399999999999999" x14ac:dyDescent="0.2">
      <c r="A68" s="359">
        <v>1</v>
      </c>
      <c r="B68" s="312" t="s">
        <v>3490</v>
      </c>
      <c r="C68" s="325" t="s">
        <v>3491</v>
      </c>
      <c r="G68" s="312" t="s">
        <v>2241</v>
      </c>
      <c r="H68" s="329">
        <v>24</v>
      </c>
      <c r="I68" s="329">
        <v>0</v>
      </c>
      <c r="J68" s="329">
        <v>0</v>
      </c>
      <c r="K68" s="329">
        <v>24</v>
      </c>
      <c r="L68" s="329">
        <v>26.4</v>
      </c>
      <c r="N68" s="312" t="s">
        <v>3448</v>
      </c>
      <c r="O68" s="312">
        <v>2011</v>
      </c>
      <c r="Q68" s="326" t="s">
        <v>3492</v>
      </c>
      <c r="R68" s="326">
        <v>2</v>
      </c>
      <c r="S68" s="330">
        <v>24.921600000000002</v>
      </c>
      <c r="T68" s="315">
        <v>25.291199999999996</v>
      </c>
      <c r="U68" s="330">
        <v>26.003999999999998</v>
      </c>
      <c r="V68" s="330">
        <v>27.3504</v>
      </c>
      <c r="W68" s="330">
        <v>27.957600000000003</v>
      </c>
      <c r="X68" s="330">
        <v>29.2776</v>
      </c>
      <c r="Y68" s="331">
        <v>27.640799999999995</v>
      </c>
    </row>
    <row r="69" spans="1:25" x14ac:dyDescent="0.2">
      <c r="A69" s="359">
        <v>5</v>
      </c>
      <c r="B69" s="312" t="s">
        <v>3444</v>
      </c>
      <c r="C69" s="325" t="s">
        <v>3445</v>
      </c>
      <c r="G69" s="312" t="s">
        <v>3446</v>
      </c>
      <c r="L69" s="312" t="s">
        <v>3447</v>
      </c>
      <c r="N69" s="312" t="s">
        <v>3448</v>
      </c>
      <c r="O69" s="312">
        <v>2011</v>
      </c>
      <c r="Q69" s="326" t="s">
        <v>3449</v>
      </c>
      <c r="R69" s="326">
        <v>2</v>
      </c>
      <c r="S69" s="327"/>
      <c r="T69" s="327"/>
      <c r="U69" s="327"/>
      <c r="V69" s="327"/>
      <c r="W69" s="327"/>
      <c r="X69" s="327"/>
      <c r="Y69" s="327"/>
    </row>
    <row r="70" spans="1:25" x14ac:dyDescent="0.2">
      <c r="A70" s="359">
        <v>5</v>
      </c>
      <c r="B70" s="312" t="s">
        <v>3450</v>
      </c>
      <c r="C70" s="325" t="s">
        <v>3451</v>
      </c>
      <c r="G70" s="312" t="s">
        <v>3446</v>
      </c>
      <c r="L70" s="312" t="s">
        <v>3452</v>
      </c>
      <c r="N70" s="312" t="s">
        <v>3448</v>
      </c>
      <c r="O70" s="312">
        <v>2011</v>
      </c>
      <c r="Q70" s="326" t="s">
        <v>3453</v>
      </c>
      <c r="R70" s="326">
        <v>2</v>
      </c>
      <c r="S70" s="328"/>
      <c r="T70" s="328"/>
      <c r="U70" s="326"/>
      <c r="V70" s="327"/>
      <c r="W70" s="327"/>
      <c r="X70" s="327"/>
      <c r="Y70" s="327"/>
    </row>
    <row r="71" spans="1:25" x14ac:dyDescent="0.2">
      <c r="A71" s="359">
        <v>5</v>
      </c>
      <c r="B71" s="312" t="s">
        <v>3458</v>
      </c>
      <c r="C71" s="325" t="s">
        <v>3459</v>
      </c>
      <c r="G71" s="312" t="s">
        <v>3446</v>
      </c>
      <c r="L71" s="312" t="s">
        <v>3460</v>
      </c>
      <c r="N71" s="312" t="s">
        <v>3448</v>
      </c>
      <c r="O71" s="312">
        <v>2011</v>
      </c>
      <c r="Q71" s="326" t="s">
        <v>3461</v>
      </c>
      <c r="R71" s="326">
        <v>2</v>
      </c>
      <c r="S71" s="328"/>
      <c r="T71" s="328"/>
      <c r="U71" s="326"/>
      <c r="V71" s="327"/>
      <c r="W71" s="327"/>
      <c r="X71" s="327"/>
      <c r="Y71" s="327"/>
    </row>
    <row r="72" spans="1:25" ht="20.399999999999999" x14ac:dyDescent="0.2">
      <c r="A72" s="359">
        <v>5</v>
      </c>
      <c r="B72" s="312" t="s">
        <v>3454</v>
      </c>
      <c r="C72" s="325" t="s">
        <v>3455</v>
      </c>
      <c r="G72" s="312" t="s">
        <v>3446</v>
      </c>
      <c r="L72" s="312" t="s">
        <v>3456</v>
      </c>
      <c r="N72" s="312" t="s">
        <v>3448</v>
      </c>
      <c r="O72" s="312">
        <v>2011</v>
      </c>
      <c r="Q72" s="326" t="s">
        <v>3457</v>
      </c>
      <c r="R72" s="326">
        <v>2</v>
      </c>
      <c r="S72" s="328"/>
      <c r="T72" s="328"/>
      <c r="U72" s="326"/>
      <c r="V72" s="327"/>
      <c r="W72" s="327"/>
      <c r="X72" s="327"/>
      <c r="Y72" s="327"/>
    </row>
    <row r="73" spans="1:25" ht="30.6" x14ac:dyDescent="0.2">
      <c r="A73" s="359">
        <v>2</v>
      </c>
      <c r="B73" s="312" t="s">
        <v>4176</v>
      </c>
      <c r="C73" s="325" t="s">
        <v>4177</v>
      </c>
      <c r="D73" s="312" t="s">
        <v>775</v>
      </c>
      <c r="E73" s="312">
        <v>252</v>
      </c>
      <c r="F73" s="312">
        <v>3.2000000000000001E-2</v>
      </c>
      <c r="G73" s="312" t="s">
        <v>1181</v>
      </c>
      <c r="H73" s="329">
        <v>0</v>
      </c>
      <c r="I73" s="329">
        <v>0.86</v>
      </c>
      <c r="J73" s="329">
        <v>2.0099999999999998</v>
      </c>
      <c r="K73" s="329">
        <v>2.87</v>
      </c>
      <c r="L73" s="329">
        <v>3.64</v>
      </c>
      <c r="N73" s="312" t="s">
        <v>3448</v>
      </c>
      <c r="O73" s="312">
        <v>2011</v>
      </c>
      <c r="Q73" s="326" t="s">
        <v>4178</v>
      </c>
      <c r="R73" s="326">
        <v>2</v>
      </c>
      <c r="S73" s="330">
        <v>3.4361600000000005</v>
      </c>
      <c r="T73" s="315">
        <v>3.48712</v>
      </c>
      <c r="U73" s="330">
        <v>3.5853999999999999</v>
      </c>
      <c r="V73" s="330">
        <v>3.7710400000000002</v>
      </c>
      <c r="W73" s="330">
        <v>3.8547600000000006</v>
      </c>
      <c r="X73" s="330">
        <v>4.0367600000000001</v>
      </c>
      <c r="Y73" s="331">
        <v>3.81108</v>
      </c>
    </row>
    <row r="74" spans="1:25" ht="20.399999999999999" x14ac:dyDescent="0.2">
      <c r="A74" s="359">
        <v>2</v>
      </c>
      <c r="B74" s="312" t="s">
        <v>3480</v>
      </c>
      <c r="C74" s="325" t="s">
        <v>3481</v>
      </c>
      <c r="D74" s="312" t="s">
        <v>779</v>
      </c>
      <c r="E74" s="312">
        <v>255</v>
      </c>
      <c r="F74" s="312">
        <v>9.4E-2</v>
      </c>
      <c r="G74" s="312" t="s">
        <v>1802</v>
      </c>
      <c r="H74" s="329">
        <v>0</v>
      </c>
      <c r="I74" s="329">
        <v>2.71</v>
      </c>
      <c r="J74" s="329">
        <v>1.88</v>
      </c>
      <c r="K74" s="329">
        <v>4.59</v>
      </c>
      <c r="L74" s="329">
        <v>6.55</v>
      </c>
      <c r="N74" s="312" t="s">
        <v>3448</v>
      </c>
      <c r="O74" s="312">
        <v>2011</v>
      </c>
      <c r="Q74" s="326" t="s">
        <v>3482</v>
      </c>
      <c r="R74" s="326">
        <v>2</v>
      </c>
      <c r="S74" s="330">
        <v>6.1832000000000003</v>
      </c>
      <c r="T74" s="315">
        <v>6.2748999999999997</v>
      </c>
      <c r="U74" s="330">
        <v>6.4517499999999997</v>
      </c>
      <c r="V74" s="330">
        <v>6.7858000000000001</v>
      </c>
      <c r="W74" s="330">
        <v>6.9364500000000007</v>
      </c>
      <c r="X74" s="330">
        <v>7.2639499999999995</v>
      </c>
      <c r="Y74" s="331">
        <v>6.8578499999999991</v>
      </c>
    </row>
    <row r="75" spans="1:25" ht="20.399999999999999" x14ac:dyDescent="0.2">
      <c r="A75" s="359">
        <v>2</v>
      </c>
      <c r="B75" s="312" t="s">
        <v>3483</v>
      </c>
      <c r="C75" s="325" t="s">
        <v>1534</v>
      </c>
      <c r="D75" s="312" t="s">
        <v>779</v>
      </c>
      <c r="E75" s="312">
        <v>200</v>
      </c>
      <c r="F75" s="312">
        <v>0.12</v>
      </c>
      <c r="G75" s="312" t="s">
        <v>1802</v>
      </c>
      <c r="H75" s="329">
        <v>0</v>
      </c>
      <c r="I75" s="329">
        <v>3.46</v>
      </c>
      <c r="J75" s="329">
        <v>2.39</v>
      </c>
      <c r="K75" s="329">
        <v>5.85</v>
      </c>
      <c r="L75" s="329">
        <v>8.4</v>
      </c>
      <c r="N75" s="312" t="s">
        <v>3448</v>
      </c>
      <c r="O75" s="312">
        <v>2011</v>
      </c>
      <c r="Q75" s="326" t="s">
        <v>3484</v>
      </c>
      <c r="R75" s="326">
        <v>2</v>
      </c>
      <c r="S75" s="330">
        <v>7.9296000000000006</v>
      </c>
      <c r="T75" s="315">
        <v>8.0472000000000001</v>
      </c>
      <c r="U75" s="330">
        <v>8.2740000000000009</v>
      </c>
      <c r="V75" s="330">
        <v>8.7024000000000008</v>
      </c>
      <c r="W75" s="330">
        <v>8.8956000000000017</v>
      </c>
      <c r="X75" s="330">
        <v>9.3155999999999999</v>
      </c>
      <c r="Y75" s="331">
        <v>8.7948000000000004</v>
      </c>
    </row>
    <row r="76" spans="1:25" x14ac:dyDescent="0.2">
      <c r="A76" s="359">
        <v>1</v>
      </c>
      <c r="B76" s="312" t="s">
        <v>3680</v>
      </c>
      <c r="C76" s="325" t="s">
        <v>3681</v>
      </c>
      <c r="D76" s="312" t="s">
        <v>785</v>
      </c>
      <c r="E76" s="312">
        <v>100</v>
      </c>
      <c r="F76" s="312">
        <v>0.08</v>
      </c>
      <c r="G76" s="312" t="s">
        <v>2265</v>
      </c>
      <c r="H76" s="329">
        <v>3.5</v>
      </c>
      <c r="I76" s="329">
        <v>3.06</v>
      </c>
      <c r="J76" s="329">
        <v>0</v>
      </c>
      <c r="K76" s="329">
        <v>6.56</v>
      </c>
      <c r="L76" s="329">
        <v>8.9</v>
      </c>
      <c r="N76" s="312" t="s">
        <v>3448</v>
      </c>
      <c r="O76" s="312">
        <v>2011</v>
      </c>
      <c r="Q76" s="326" t="s">
        <v>3682</v>
      </c>
      <c r="R76" s="326">
        <v>2</v>
      </c>
      <c r="S76" s="330">
        <v>8.4016000000000002</v>
      </c>
      <c r="T76" s="315">
        <v>8.5261999999999993</v>
      </c>
      <c r="U76" s="330">
        <v>8.7665000000000006</v>
      </c>
      <c r="V76" s="330">
        <v>9.2204000000000015</v>
      </c>
      <c r="W76" s="330">
        <v>9.4251000000000023</v>
      </c>
      <c r="X76" s="330">
        <v>9.8701000000000008</v>
      </c>
      <c r="Y76" s="331">
        <v>9.3182999999999989</v>
      </c>
    </row>
    <row r="77" spans="1:25" x14ac:dyDescent="0.2">
      <c r="A77" s="359">
        <v>1</v>
      </c>
      <c r="B77" s="312" t="s">
        <v>3674</v>
      </c>
      <c r="C77" s="325" t="s">
        <v>3675</v>
      </c>
      <c r="D77" s="312" t="s">
        <v>785</v>
      </c>
      <c r="E77" s="312">
        <v>100</v>
      </c>
      <c r="F77" s="312">
        <v>0.08</v>
      </c>
      <c r="G77" s="312" t="s">
        <v>2265</v>
      </c>
      <c r="H77" s="329">
        <v>0.9</v>
      </c>
      <c r="I77" s="329">
        <v>3.06</v>
      </c>
      <c r="J77" s="329">
        <v>0</v>
      </c>
      <c r="K77" s="329">
        <v>3.96</v>
      </c>
      <c r="L77" s="329">
        <v>6.05</v>
      </c>
      <c r="N77" s="312" t="s">
        <v>3448</v>
      </c>
      <c r="O77" s="312">
        <v>2011</v>
      </c>
      <c r="Q77" s="326" t="s">
        <v>3676</v>
      </c>
      <c r="R77" s="326">
        <v>2</v>
      </c>
      <c r="S77" s="330">
        <v>5.7111999999999998</v>
      </c>
      <c r="T77" s="315">
        <v>5.7958999999999996</v>
      </c>
      <c r="U77" s="330">
        <v>5.9592499999999999</v>
      </c>
      <c r="V77" s="330">
        <v>6.2678000000000003</v>
      </c>
      <c r="W77" s="330">
        <v>6.406950000000001</v>
      </c>
      <c r="X77" s="330">
        <v>6.7094499999999995</v>
      </c>
      <c r="Y77" s="331">
        <v>6.3343499999999997</v>
      </c>
    </row>
    <row r="78" spans="1:25" x14ac:dyDescent="0.2">
      <c r="A78" s="359">
        <v>1</v>
      </c>
      <c r="B78" s="312" t="s">
        <v>3683</v>
      </c>
      <c r="C78" s="325" t="s">
        <v>3684</v>
      </c>
      <c r="D78" s="312" t="s">
        <v>785</v>
      </c>
      <c r="E78" s="312">
        <v>100</v>
      </c>
      <c r="F78" s="312">
        <v>0.08</v>
      </c>
      <c r="G78" s="312" t="s">
        <v>2265</v>
      </c>
      <c r="H78" s="329">
        <v>1.75</v>
      </c>
      <c r="I78" s="329">
        <v>3.06</v>
      </c>
      <c r="J78" s="329">
        <v>0</v>
      </c>
      <c r="K78" s="329">
        <v>4.8099999999999996</v>
      </c>
      <c r="L78" s="329">
        <v>7</v>
      </c>
      <c r="N78" s="312" t="s">
        <v>3448</v>
      </c>
      <c r="O78" s="312">
        <v>2011</v>
      </c>
      <c r="Q78" s="326" t="s">
        <v>3685</v>
      </c>
      <c r="R78" s="326">
        <v>2</v>
      </c>
      <c r="S78" s="330">
        <v>6.6080000000000005</v>
      </c>
      <c r="T78" s="315">
        <v>6.7059999999999995</v>
      </c>
      <c r="U78" s="330">
        <v>6.8949999999999996</v>
      </c>
      <c r="V78" s="330">
        <v>7.2520000000000007</v>
      </c>
      <c r="W78" s="330">
        <v>7.4130000000000011</v>
      </c>
      <c r="X78" s="330">
        <v>7.7629999999999999</v>
      </c>
      <c r="Y78" s="331">
        <v>7.3289999999999997</v>
      </c>
    </row>
    <row r="79" spans="1:25" x14ac:dyDescent="0.2">
      <c r="A79" s="359">
        <v>1</v>
      </c>
      <c r="B79" s="312" t="s">
        <v>3677</v>
      </c>
      <c r="C79" s="325" t="s">
        <v>3678</v>
      </c>
      <c r="D79" s="312" t="s">
        <v>785</v>
      </c>
      <c r="E79" s="312">
        <v>100</v>
      </c>
      <c r="F79" s="312">
        <v>0.08</v>
      </c>
      <c r="G79" s="312" t="s">
        <v>2265</v>
      </c>
      <c r="H79" s="329">
        <v>0.96</v>
      </c>
      <c r="I79" s="329">
        <v>3.06</v>
      </c>
      <c r="J79" s="329">
        <v>0</v>
      </c>
      <c r="K79" s="329">
        <v>4.0199999999999996</v>
      </c>
      <c r="L79" s="329">
        <v>6.1</v>
      </c>
      <c r="N79" s="312" t="s">
        <v>3448</v>
      </c>
      <c r="O79" s="312">
        <v>2011</v>
      </c>
      <c r="Q79" s="326" t="s">
        <v>3679</v>
      </c>
      <c r="R79" s="326">
        <v>2</v>
      </c>
      <c r="S79" s="330">
        <v>5.7584</v>
      </c>
      <c r="T79" s="315">
        <v>5.843799999999999</v>
      </c>
      <c r="U79" s="330">
        <v>6.0084999999999997</v>
      </c>
      <c r="V79" s="330">
        <v>6.3195999999999994</v>
      </c>
      <c r="W79" s="330">
        <v>6.4599000000000002</v>
      </c>
      <c r="X79" s="330">
        <v>6.7648999999999999</v>
      </c>
      <c r="Y79" s="331">
        <v>6.3866999999999994</v>
      </c>
    </row>
    <row r="80" spans="1:25" x14ac:dyDescent="0.2">
      <c r="A80" s="359">
        <v>1</v>
      </c>
      <c r="B80" s="312" t="s">
        <v>3686</v>
      </c>
      <c r="C80" s="325" t="s">
        <v>3687</v>
      </c>
      <c r="D80" s="312" t="s">
        <v>785</v>
      </c>
      <c r="E80" s="312">
        <v>100</v>
      </c>
      <c r="F80" s="312">
        <v>0.08</v>
      </c>
      <c r="G80" s="312" t="s">
        <v>2265</v>
      </c>
      <c r="H80" s="329">
        <v>2.27</v>
      </c>
      <c r="I80" s="329">
        <v>3.06</v>
      </c>
      <c r="J80" s="329">
        <v>0</v>
      </c>
      <c r="K80" s="329">
        <v>5.33</v>
      </c>
      <c r="L80" s="329">
        <v>7.55</v>
      </c>
      <c r="N80" s="312" t="s">
        <v>3448</v>
      </c>
      <c r="O80" s="312">
        <v>2011</v>
      </c>
      <c r="Q80" s="326" t="s">
        <v>3688</v>
      </c>
      <c r="R80" s="326">
        <v>2</v>
      </c>
      <c r="S80" s="330">
        <v>7.1272000000000002</v>
      </c>
      <c r="T80" s="315">
        <v>7.2328999999999999</v>
      </c>
      <c r="U80" s="330">
        <v>7.43675</v>
      </c>
      <c r="V80" s="330">
        <v>7.8217999999999996</v>
      </c>
      <c r="W80" s="330">
        <v>7.9954500000000008</v>
      </c>
      <c r="X80" s="330">
        <v>8.3729499999999994</v>
      </c>
      <c r="Y80" s="331">
        <v>7.9048499999999997</v>
      </c>
    </row>
    <row r="81" spans="1:25" x14ac:dyDescent="0.2">
      <c r="A81" s="359">
        <v>1</v>
      </c>
      <c r="B81" s="312" t="s">
        <v>3689</v>
      </c>
      <c r="C81" s="325" t="s">
        <v>1536</v>
      </c>
      <c r="D81" s="312" t="s">
        <v>785</v>
      </c>
      <c r="E81" s="312">
        <v>100</v>
      </c>
      <c r="F81" s="312">
        <v>0.08</v>
      </c>
      <c r="G81" s="312" t="s">
        <v>2265</v>
      </c>
      <c r="H81" s="329">
        <v>4.74</v>
      </c>
      <c r="I81" s="329">
        <v>3.06</v>
      </c>
      <c r="J81" s="329">
        <v>0</v>
      </c>
      <c r="K81" s="329">
        <v>7.8</v>
      </c>
      <c r="L81" s="329">
        <v>10.25</v>
      </c>
      <c r="N81" s="312" t="s">
        <v>3448</v>
      </c>
      <c r="O81" s="312">
        <v>2011</v>
      </c>
      <c r="Q81" s="326" t="s">
        <v>3690</v>
      </c>
      <c r="R81" s="326">
        <v>2</v>
      </c>
      <c r="S81" s="330">
        <v>9.6760000000000002</v>
      </c>
      <c r="T81" s="315">
        <v>9.8194999999999997</v>
      </c>
      <c r="U81" s="330">
        <v>10.09625</v>
      </c>
      <c r="V81" s="330">
        <v>10.619</v>
      </c>
      <c r="W81" s="330">
        <v>10.854750000000001</v>
      </c>
      <c r="X81" s="330">
        <v>11.36725</v>
      </c>
      <c r="Y81" s="331">
        <v>10.73175</v>
      </c>
    </row>
    <row r="82" spans="1:25" ht="20.399999999999999" x14ac:dyDescent="0.2">
      <c r="A82" s="359">
        <v>2</v>
      </c>
      <c r="B82" s="312" t="s">
        <v>4098</v>
      </c>
      <c r="C82" s="325" t="s">
        <v>1547</v>
      </c>
      <c r="D82" s="312" t="s">
        <v>788</v>
      </c>
      <c r="E82" s="312">
        <v>800</v>
      </c>
      <c r="F82" s="312">
        <v>0.02</v>
      </c>
      <c r="G82" s="312" t="s">
        <v>614</v>
      </c>
      <c r="H82" s="329">
        <v>0</v>
      </c>
      <c r="I82" s="329">
        <v>0.62</v>
      </c>
      <c r="J82" s="329">
        <v>0.91</v>
      </c>
      <c r="K82" s="329">
        <v>1.53</v>
      </c>
      <c r="L82" s="329">
        <v>2.0299999999999998</v>
      </c>
      <c r="N82" s="312" t="s">
        <v>3448</v>
      </c>
      <c r="O82" s="312">
        <v>2011</v>
      </c>
      <c r="Q82" s="326" t="s">
        <v>4099</v>
      </c>
      <c r="R82" s="326">
        <v>2</v>
      </c>
      <c r="S82" s="330">
        <v>1.91632</v>
      </c>
      <c r="T82" s="315">
        <v>1.9447399999999997</v>
      </c>
      <c r="U82" s="330">
        <v>1.9995499999999997</v>
      </c>
      <c r="V82" s="330">
        <v>2.1030799999999998</v>
      </c>
      <c r="W82" s="330">
        <v>2.1497700000000002</v>
      </c>
      <c r="X82" s="330">
        <v>2.2512699999999999</v>
      </c>
      <c r="Y82" s="331">
        <v>2.1254099999999996</v>
      </c>
    </row>
    <row r="83" spans="1:25" ht="20.399999999999999" x14ac:dyDescent="0.2">
      <c r="A83" s="359">
        <v>2</v>
      </c>
      <c r="B83" s="312" t="s">
        <v>4100</v>
      </c>
      <c r="C83" s="325" t="s">
        <v>1550</v>
      </c>
      <c r="D83" s="312" t="s">
        <v>794</v>
      </c>
      <c r="E83" s="312">
        <v>560</v>
      </c>
      <c r="F83" s="312">
        <v>1.4E-2</v>
      </c>
      <c r="G83" s="312" t="s">
        <v>614</v>
      </c>
      <c r="H83" s="329">
        <v>0</v>
      </c>
      <c r="I83" s="329">
        <v>0.5</v>
      </c>
      <c r="J83" s="329">
        <v>0.83</v>
      </c>
      <c r="K83" s="329">
        <v>1.33</v>
      </c>
      <c r="L83" s="329">
        <v>1.74</v>
      </c>
      <c r="N83" s="312" t="s">
        <v>3448</v>
      </c>
      <c r="O83" s="312">
        <v>2011</v>
      </c>
      <c r="Q83" s="326" t="s">
        <v>4101</v>
      </c>
      <c r="R83" s="326">
        <v>2</v>
      </c>
      <c r="S83" s="330">
        <v>1.64256</v>
      </c>
      <c r="T83" s="315">
        <v>1.66692</v>
      </c>
      <c r="U83" s="330">
        <v>1.7139</v>
      </c>
      <c r="V83" s="330">
        <v>1.80264</v>
      </c>
      <c r="W83" s="330">
        <v>1.8426600000000002</v>
      </c>
      <c r="X83" s="330">
        <v>1.9296599999999999</v>
      </c>
      <c r="Y83" s="331">
        <v>1.82178</v>
      </c>
    </row>
    <row r="84" spans="1:25" ht="20.399999999999999" x14ac:dyDescent="0.2">
      <c r="A84" s="359">
        <v>2</v>
      </c>
      <c r="B84" s="312" t="s">
        <v>4102</v>
      </c>
      <c r="C84" s="325" t="s">
        <v>1551</v>
      </c>
      <c r="D84" s="312" t="s">
        <v>796</v>
      </c>
      <c r="E84" s="312">
        <v>360</v>
      </c>
      <c r="F84" s="312">
        <v>2.1999999999999999E-2</v>
      </c>
      <c r="G84" s="312" t="s">
        <v>614</v>
      </c>
      <c r="H84" s="329">
        <v>0</v>
      </c>
      <c r="I84" s="329">
        <v>0.78</v>
      </c>
      <c r="J84" s="329">
        <v>0.66</v>
      </c>
      <c r="K84" s="329">
        <v>1.44</v>
      </c>
      <c r="L84" s="329">
        <v>1.99</v>
      </c>
      <c r="N84" s="312" t="s">
        <v>3448</v>
      </c>
      <c r="O84" s="312">
        <v>2011</v>
      </c>
      <c r="Q84" s="326" t="s">
        <v>4103</v>
      </c>
      <c r="R84" s="326">
        <v>2</v>
      </c>
      <c r="S84" s="330">
        <v>1.87856</v>
      </c>
      <c r="T84" s="315">
        <v>1.90642</v>
      </c>
      <c r="U84" s="330">
        <v>1.9601500000000001</v>
      </c>
      <c r="V84" s="330">
        <v>2.0616400000000001</v>
      </c>
      <c r="W84" s="330">
        <v>2.1074100000000002</v>
      </c>
      <c r="X84" s="330">
        <v>2.2069100000000001</v>
      </c>
      <c r="Y84" s="331">
        <v>2.0835299999999997</v>
      </c>
    </row>
    <row r="85" spans="1:25" ht="20.399999999999999" x14ac:dyDescent="0.2">
      <c r="A85" s="359">
        <v>2</v>
      </c>
      <c r="B85" s="312" t="s">
        <v>4104</v>
      </c>
      <c r="C85" s="325" t="s">
        <v>4105</v>
      </c>
      <c r="D85" s="312" t="s">
        <v>788</v>
      </c>
      <c r="E85" s="312">
        <v>960</v>
      </c>
      <c r="F85" s="312">
        <v>1.7000000000000001E-2</v>
      </c>
      <c r="G85" s="312" t="s">
        <v>614</v>
      </c>
      <c r="H85" s="329">
        <v>0</v>
      </c>
      <c r="I85" s="329">
        <v>0.52</v>
      </c>
      <c r="J85" s="329">
        <v>0.76</v>
      </c>
      <c r="K85" s="329">
        <v>1.28</v>
      </c>
      <c r="L85" s="329">
        <v>1.7</v>
      </c>
      <c r="N85" s="312" t="s">
        <v>3448</v>
      </c>
      <c r="O85" s="312">
        <v>2011</v>
      </c>
      <c r="Q85" s="326" t="s">
        <v>4106</v>
      </c>
      <c r="R85" s="326">
        <v>2</v>
      </c>
      <c r="S85" s="330">
        <v>1.6048</v>
      </c>
      <c r="T85" s="315">
        <v>1.6285999999999998</v>
      </c>
      <c r="U85" s="330">
        <v>1.6744999999999999</v>
      </c>
      <c r="V85" s="330">
        <v>1.7612000000000001</v>
      </c>
      <c r="W85" s="330">
        <v>1.8003000000000002</v>
      </c>
      <c r="X85" s="330">
        <v>1.8853</v>
      </c>
      <c r="Y85" s="331">
        <v>1.7798999999999998</v>
      </c>
    </row>
    <row r="86" spans="1:25" ht="20.399999999999999" x14ac:dyDescent="0.2">
      <c r="A86" s="359">
        <v>2</v>
      </c>
      <c r="B86" s="312" t="s">
        <v>4120</v>
      </c>
      <c r="C86" s="325" t="s">
        <v>1552</v>
      </c>
      <c r="D86" s="312" t="s">
        <v>1816</v>
      </c>
      <c r="E86" s="312">
        <v>270</v>
      </c>
      <c r="F86" s="312">
        <v>0.03</v>
      </c>
      <c r="G86" s="312" t="s">
        <v>614</v>
      </c>
      <c r="H86" s="329">
        <v>0</v>
      </c>
      <c r="I86" s="329">
        <v>1.03</v>
      </c>
      <c r="J86" s="329">
        <v>1.87</v>
      </c>
      <c r="K86" s="329">
        <v>2.9</v>
      </c>
      <c r="L86" s="329">
        <v>3.75</v>
      </c>
      <c r="N86" s="312" t="s">
        <v>3448</v>
      </c>
      <c r="O86" s="312">
        <v>2011</v>
      </c>
      <c r="Q86" s="326" t="s">
        <v>4121</v>
      </c>
      <c r="R86" s="326">
        <v>2</v>
      </c>
      <c r="S86" s="330">
        <v>3.54</v>
      </c>
      <c r="T86" s="315">
        <v>3.5924999999999998</v>
      </c>
      <c r="U86" s="330">
        <v>3.6937500000000001</v>
      </c>
      <c r="V86" s="330">
        <v>3.8850000000000002</v>
      </c>
      <c r="W86" s="330">
        <v>3.9712500000000004</v>
      </c>
      <c r="X86" s="330">
        <v>4.1587499999999995</v>
      </c>
      <c r="Y86" s="331">
        <v>3.9262499999999996</v>
      </c>
    </row>
    <row r="87" spans="1:25" ht="20.399999999999999" x14ac:dyDescent="0.2">
      <c r="A87" s="359">
        <v>2</v>
      </c>
      <c r="B87" s="312" t="s">
        <v>4122</v>
      </c>
      <c r="C87" s="325" t="s">
        <v>4123</v>
      </c>
      <c r="D87" s="312" t="s">
        <v>1816</v>
      </c>
      <c r="E87" s="312">
        <v>120</v>
      </c>
      <c r="F87" s="312">
        <v>6.7000000000000004E-2</v>
      </c>
      <c r="G87" s="312" t="s">
        <v>614</v>
      </c>
      <c r="H87" s="329">
        <v>0</v>
      </c>
      <c r="I87" s="329">
        <v>2.33</v>
      </c>
      <c r="J87" s="329">
        <v>4.21</v>
      </c>
      <c r="K87" s="329">
        <v>6.54</v>
      </c>
      <c r="L87" s="329">
        <v>8.4499999999999993</v>
      </c>
      <c r="N87" s="312" t="s">
        <v>3448</v>
      </c>
      <c r="O87" s="312">
        <v>2011</v>
      </c>
      <c r="Q87" s="326" t="s">
        <v>4124</v>
      </c>
      <c r="R87" s="326">
        <v>2</v>
      </c>
      <c r="S87" s="330">
        <v>7.9767999999999999</v>
      </c>
      <c r="T87" s="315">
        <v>8.0950999999999986</v>
      </c>
      <c r="U87" s="330">
        <v>8.3232499999999998</v>
      </c>
      <c r="V87" s="330">
        <v>8.7541999999999991</v>
      </c>
      <c r="W87" s="330">
        <v>8.9485500000000009</v>
      </c>
      <c r="X87" s="330">
        <v>9.3710499999999985</v>
      </c>
      <c r="Y87" s="331">
        <v>8.8471499999999992</v>
      </c>
    </row>
    <row r="88" spans="1:25" ht="20.399999999999999" x14ac:dyDescent="0.2">
      <c r="A88" s="359">
        <v>2</v>
      </c>
      <c r="B88" s="312" t="s">
        <v>4117</v>
      </c>
      <c r="C88" s="325" t="s">
        <v>4118</v>
      </c>
      <c r="D88" s="312" t="s">
        <v>1816</v>
      </c>
      <c r="E88" s="312">
        <v>610</v>
      </c>
      <c r="F88" s="312">
        <v>1.2999999999999999E-2</v>
      </c>
      <c r="G88" s="312" t="s">
        <v>614</v>
      </c>
      <c r="H88" s="329">
        <v>0</v>
      </c>
      <c r="I88" s="329">
        <v>0.46</v>
      </c>
      <c r="J88" s="329">
        <v>0.83</v>
      </c>
      <c r="K88" s="329">
        <v>1.29</v>
      </c>
      <c r="L88" s="329">
        <v>1.66</v>
      </c>
      <c r="N88" s="312" t="s">
        <v>3448</v>
      </c>
      <c r="O88" s="312">
        <v>2011</v>
      </c>
      <c r="Q88" s="326" t="s">
        <v>4119</v>
      </c>
      <c r="R88" s="326">
        <v>2</v>
      </c>
      <c r="S88" s="330">
        <v>1.56704</v>
      </c>
      <c r="T88" s="315">
        <v>1.5902799999999999</v>
      </c>
      <c r="U88" s="330">
        <v>1.6351</v>
      </c>
      <c r="V88" s="330">
        <v>1.71976</v>
      </c>
      <c r="W88" s="330">
        <v>1.7579400000000003</v>
      </c>
      <c r="X88" s="330">
        <v>1.8409399999999998</v>
      </c>
      <c r="Y88" s="331">
        <v>1.7380199999999999</v>
      </c>
    </row>
    <row r="89" spans="1:25" ht="20.399999999999999" x14ac:dyDescent="0.2">
      <c r="A89" s="359">
        <v>2</v>
      </c>
      <c r="B89" s="312" t="s">
        <v>4129</v>
      </c>
      <c r="C89" s="325" t="s">
        <v>1553</v>
      </c>
      <c r="D89" s="312" t="s">
        <v>1813</v>
      </c>
      <c r="E89" s="312">
        <v>516</v>
      </c>
      <c r="F89" s="312">
        <v>1.6E-2</v>
      </c>
      <c r="G89" s="312" t="s">
        <v>614</v>
      </c>
      <c r="H89" s="329">
        <v>0</v>
      </c>
      <c r="I89" s="329">
        <v>0.54</v>
      </c>
      <c r="J89" s="329">
        <v>2.04</v>
      </c>
      <c r="K89" s="329">
        <v>2.58</v>
      </c>
      <c r="L89" s="329">
        <v>3.12</v>
      </c>
      <c r="N89" s="312" t="s">
        <v>3448</v>
      </c>
      <c r="O89" s="312">
        <v>2011</v>
      </c>
      <c r="Q89" s="326" t="s">
        <v>4130</v>
      </c>
      <c r="R89" s="326">
        <v>2</v>
      </c>
      <c r="S89" s="330">
        <v>2.9452800000000003</v>
      </c>
      <c r="T89" s="315">
        <v>2.9889600000000001</v>
      </c>
      <c r="U89" s="330">
        <v>3.0731999999999999</v>
      </c>
      <c r="V89" s="330">
        <v>3.2323200000000001</v>
      </c>
      <c r="W89" s="330">
        <v>3.3040800000000008</v>
      </c>
      <c r="X89" s="330">
        <v>3.46008</v>
      </c>
      <c r="Y89" s="331">
        <v>3.2666399999999998</v>
      </c>
    </row>
    <row r="90" spans="1:25" ht="20.399999999999999" x14ac:dyDescent="0.2">
      <c r="A90" s="359">
        <v>2</v>
      </c>
      <c r="B90" s="312" t="s">
        <v>4125</v>
      </c>
      <c r="C90" s="325" t="s">
        <v>4126</v>
      </c>
      <c r="D90" s="312" t="s">
        <v>1813</v>
      </c>
      <c r="E90" s="312" t="s">
        <v>4127</v>
      </c>
      <c r="F90" s="312">
        <v>6.0000000000000001E-3</v>
      </c>
      <c r="G90" s="312" t="s">
        <v>614</v>
      </c>
      <c r="H90" s="329">
        <v>0</v>
      </c>
      <c r="I90" s="329">
        <v>0.23</v>
      </c>
      <c r="J90" s="329">
        <v>0.85</v>
      </c>
      <c r="K90" s="329">
        <v>1.08</v>
      </c>
      <c r="L90" s="329">
        <v>1.31</v>
      </c>
      <c r="N90" s="312" t="s">
        <v>3448</v>
      </c>
      <c r="O90" s="312">
        <v>2011</v>
      </c>
      <c r="Q90" s="326" t="s">
        <v>4128</v>
      </c>
      <c r="R90" s="326">
        <v>2</v>
      </c>
      <c r="S90" s="330">
        <v>1.2366400000000002</v>
      </c>
      <c r="T90" s="315">
        <v>1.25498</v>
      </c>
      <c r="U90" s="330">
        <v>1.2903500000000001</v>
      </c>
      <c r="V90" s="330">
        <v>1.3571600000000001</v>
      </c>
      <c r="W90" s="330">
        <v>1.3872900000000004</v>
      </c>
      <c r="X90" s="330">
        <v>1.45279</v>
      </c>
      <c r="Y90" s="331">
        <v>1.37157</v>
      </c>
    </row>
    <row r="91" spans="1:25" ht="20.399999999999999" x14ac:dyDescent="0.2">
      <c r="A91" s="359">
        <v>2</v>
      </c>
      <c r="B91" s="312" t="s">
        <v>4134</v>
      </c>
      <c r="C91" s="325" t="s">
        <v>4135</v>
      </c>
      <c r="D91" s="312" t="s">
        <v>3985</v>
      </c>
      <c r="E91" s="312">
        <v>800</v>
      </c>
      <c r="F91" s="312">
        <v>0.01</v>
      </c>
      <c r="G91" s="312" t="s">
        <v>614</v>
      </c>
      <c r="H91" s="329">
        <v>0</v>
      </c>
      <c r="I91" s="329">
        <v>0.35</v>
      </c>
      <c r="J91" s="329">
        <v>2.0099999999999998</v>
      </c>
      <c r="K91" s="329">
        <v>2.36</v>
      </c>
      <c r="L91" s="329">
        <v>2.78</v>
      </c>
      <c r="N91" s="312" t="s">
        <v>3448</v>
      </c>
      <c r="O91" s="312">
        <v>2011</v>
      </c>
      <c r="Q91" s="326" t="s">
        <v>4136</v>
      </c>
      <c r="R91" s="326">
        <v>2</v>
      </c>
      <c r="S91" s="330">
        <v>2.62432</v>
      </c>
      <c r="T91" s="315">
        <v>2.6632399999999996</v>
      </c>
      <c r="U91" s="330">
        <v>2.7382999999999997</v>
      </c>
      <c r="V91" s="330">
        <v>2.88008</v>
      </c>
      <c r="W91" s="330">
        <v>2.9440200000000001</v>
      </c>
      <c r="X91" s="330">
        <v>3.0830199999999999</v>
      </c>
      <c r="Y91" s="331">
        <v>2.9106599999999996</v>
      </c>
    </row>
    <row r="92" spans="1:25" ht="20.399999999999999" x14ac:dyDescent="0.2">
      <c r="A92" s="359">
        <v>2</v>
      </c>
      <c r="B92" s="312" t="s">
        <v>4137</v>
      </c>
      <c r="C92" s="325" t="s">
        <v>4138</v>
      </c>
      <c r="D92" s="312" t="s">
        <v>3985</v>
      </c>
      <c r="E92" s="312">
        <v>410</v>
      </c>
      <c r="F92" s="312">
        <v>0.02</v>
      </c>
      <c r="G92" s="312" t="s">
        <v>614</v>
      </c>
      <c r="H92" s="329">
        <v>0</v>
      </c>
      <c r="I92" s="329">
        <v>0.68</v>
      </c>
      <c r="J92" s="329">
        <v>3.92</v>
      </c>
      <c r="K92" s="329">
        <v>4.5999999999999996</v>
      </c>
      <c r="L92" s="329">
        <v>5.4</v>
      </c>
      <c r="N92" s="312" t="s">
        <v>3448</v>
      </c>
      <c r="O92" s="312">
        <v>2011</v>
      </c>
      <c r="Q92" s="326" t="s">
        <v>4139</v>
      </c>
      <c r="R92" s="326">
        <v>2</v>
      </c>
      <c r="S92" s="330">
        <v>5.0976000000000008</v>
      </c>
      <c r="T92" s="315">
        <v>5.1732000000000005</v>
      </c>
      <c r="U92" s="330">
        <v>5.319</v>
      </c>
      <c r="V92" s="330">
        <v>5.5944000000000003</v>
      </c>
      <c r="W92" s="330">
        <v>5.7186000000000012</v>
      </c>
      <c r="X92" s="330">
        <v>5.9885999999999999</v>
      </c>
      <c r="Y92" s="331">
        <v>5.6538000000000004</v>
      </c>
    </row>
    <row r="93" spans="1:25" ht="20.399999999999999" x14ac:dyDescent="0.2">
      <c r="A93" s="359">
        <v>2</v>
      </c>
      <c r="B93" s="312" t="s">
        <v>4131</v>
      </c>
      <c r="C93" s="325" t="s">
        <v>4132</v>
      </c>
      <c r="D93" s="312" t="s">
        <v>3985</v>
      </c>
      <c r="E93" s="312" t="s">
        <v>3990</v>
      </c>
      <c r="F93" s="312">
        <v>5.0000000000000001E-3</v>
      </c>
      <c r="G93" s="312" t="s">
        <v>614</v>
      </c>
      <c r="H93" s="329">
        <v>0</v>
      </c>
      <c r="I93" s="329">
        <v>0.17</v>
      </c>
      <c r="J93" s="329">
        <v>0.97</v>
      </c>
      <c r="K93" s="329">
        <v>1.1399999999999999</v>
      </c>
      <c r="L93" s="329">
        <v>1.35</v>
      </c>
      <c r="N93" s="312" t="s">
        <v>3448</v>
      </c>
      <c r="O93" s="312">
        <v>2011</v>
      </c>
      <c r="Q93" s="326" t="s">
        <v>4133</v>
      </c>
      <c r="R93" s="326">
        <v>2</v>
      </c>
      <c r="S93" s="330">
        <v>1.2744000000000002</v>
      </c>
      <c r="T93" s="315">
        <v>1.2933000000000001</v>
      </c>
      <c r="U93" s="330">
        <v>1.32975</v>
      </c>
      <c r="V93" s="330">
        <v>1.3986000000000001</v>
      </c>
      <c r="W93" s="330">
        <v>1.4296500000000003</v>
      </c>
      <c r="X93" s="330">
        <v>1.49715</v>
      </c>
      <c r="Y93" s="331">
        <v>1.4134500000000001</v>
      </c>
    </row>
    <row r="94" spans="1:25" ht="20.399999999999999" x14ac:dyDescent="0.2">
      <c r="A94" s="359">
        <v>2</v>
      </c>
      <c r="B94" s="312" t="s">
        <v>4111</v>
      </c>
      <c r="C94" s="325" t="s">
        <v>4112</v>
      </c>
      <c r="D94" s="312" t="s">
        <v>4109</v>
      </c>
      <c r="E94" s="312">
        <v>200</v>
      </c>
      <c r="F94" s="312">
        <v>0.04</v>
      </c>
      <c r="G94" s="312" t="s">
        <v>614</v>
      </c>
      <c r="H94" s="329">
        <v>0</v>
      </c>
      <c r="I94" s="329">
        <v>1.4</v>
      </c>
      <c r="J94" s="329">
        <v>2.06</v>
      </c>
      <c r="K94" s="329">
        <v>3.46</v>
      </c>
      <c r="L94" s="329">
        <v>4.55</v>
      </c>
      <c r="N94" s="312" t="s">
        <v>3448</v>
      </c>
      <c r="O94" s="312">
        <v>2011</v>
      </c>
      <c r="Q94" s="326" t="s">
        <v>4113</v>
      </c>
      <c r="R94" s="326">
        <v>2</v>
      </c>
      <c r="S94" s="330">
        <v>4.2952000000000004</v>
      </c>
      <c r="T94" s="315">
        <v>4.3588999999999993</v>
      </c>
      <c r="U94" s="330">
        <v>4.4817499999999999</v>
      </c>
      <c r="V94" s="330">
        <v>4.7138</v>
      </c>
      <c r="W94" s="330">
        <v>4.8184500000000003</v>
      </c>
      <c r="X94" s="330">
        <v>5.0459499999999995</v>
      </c>
      <c r="Y94" s="331">
        <v>4.7638499999999997</v>
      </c>
    </row>
    <row r="95" spans="1:25" ht="20.399999999999999" x14ac:dyDescent="0.2">
      <c r="A95" s="359">
        <v>2</v>
      </c>
      <c r="B95" s="312" t="s">
        <v>4114</v>
      </c>
      <c r="C95" s="325" t="s">
        <v>4115</v>
      </c>
      <c r="D95" s="312" t="s">
        <v>4109</v>
      </c>
      <c r="E95" s="312">
        <v>100</v>
      </c>
      <c r="F95" s="312">
        <v>0.08</v>
      </c>
      <c r="G95" s="312" t="s">
        <v>614</v>
      </c>
      <c r="H95" s="329">
        <v>0</v>
      </c>
      <c r="I95" s="329">
        <v>2.79</v>
      </c>
      <c r="J95" s="329">
        <v>4.13</v>
      </c>
      <c r="K95" s="329">
        <v>6.92</v>
      </c>
      <c r="L95" s="329">
        <v>9.1</v>
      </c>
      <c r="N95" s="312" t="s">
        <v>3448</v>
      </c>
      <c r="O95" s="312">
        <v>2011</v>
      </c>
      <c r="Q95" s="326" t="s">
        <v>4116</v>
      </c>
      <c r="R95" s="326">
        <v>2</v>
      </c>
      <c r="S95" s="330">
        <v>8.5904000000000007</v>
      </c>
      <c r="T95" s="315">
        <v>8.7177999999999987</v>
      </c>
      <c r="U95" s="330">
        <v>8.9634999999999998</v>
      </c>
      <c r="V95" s="330">
        <v>9.4276</v>
      </c>
      <c r="W95" s="330">
        <v>9.6369000000000007</v>
      </c>
      <c r="X95" s="330">
        <v>10.091899999999999</v>
      </c>
      <c r="Y95" s="331">
        <v>9.5276999999999994</v>
      </c>
    </row>
    <row r="96" spans="1:25" ht="20.399999999999999" x14ac:dyDescent="0.2">
      <c r="A96" s="359">
        <v>2</v>
      </c>
      <c r="B96" s="312" t="s">
        <v>4107</v>
      </c>
      <c r="C96" s="325" t="s">
        <v>4108</v>
      </c>
      <c r="D96" s="312" t="s">
        <v>4109</v>
      </c>
      <c r="E96" s="312">
        <v>400</v>
      </c>
      <c r="F96" s="312">
        <v>0.02</v>
      </c>
      <c r="G96" s="312" t="s">
        <v>614</v>
      </c>
      <c r="H96" s="329">
        <v>0</v>
      </c>
      <c r="I96" s="329">
        <v>0.7</v>
      </c>
      <c r="J96" s="329">
        <v>1.03</v>
      </c>
      <c r="K96" s="329">
        <v>1.73</v>
      </c>
      <c r="L96" s="329">
        <v>2.27</v>
      </c>
      <c r="N96" s="312" t="s">
        <v>3448</v>
      </c>
      <c r="O96" s="312">
        <v>2011</v>
      </c>
      <c r="Q96" s="326" t="s">
        <v>4110</v>
      </c>
      <c r="R96" s="326">
        <v>2</v>
      </c>
      <c r="S96" s="330">
        <v>2.1428800000000003</v>
      </c>
      <c r="T96" s="315">
        <v>2.1746599999999998</v>
      </c>
      <c r="U96" s="330">
        <v>2.2359499999999999</v>
      </c>
      <c r="V96" s="330">
        <v>2.3517200000000003</v>
      </c>
      <c r="W96" s="330">
        <v>2.4039300000000003</v>
      </c>
      <c r="X96" s="330">
        <v>2.5174300000000001</v>
      </c>
      <c r="Y96" s="331">
        <v>2.37669</v>
      </c>
    </row>
    <row r="97" spans="1:25" ht="20.399999999999999" x14ac:dyDescent="0.2">
      <c r="A97" s="359">
        <v>2</v>
      </c>
      <c r="B97" s="312" t="s">
        <v>4067</v>
      </c>
      <c r="C97" s="325" t="s">
        <v>4068</v>
      </c>
      <c r="D97" s="312" t="s">
        <v>800</v>
      </c>
      <c r="E97" s="312">
        <v>650</v>
      </c>
      <c r="F97" s="312">
        <v>1.2E-2</v>
      </c>
      <c r="G97" s="312" t="s">
        <v>2202</v>
      </c>
      <c r="H97" s="329">
        <v>0</v>
      </c>
      <c r="I97" s="329">
        <v>0.33</v>
      </c>
      <c r="J97" s="329">
        <v>0.09</v>
      </c>
      <c r="K97" s="329">
        <v>0.42</v>
      </c>
      <c r="L97" s="329">
        <v>0.65</v>
      </c>
      <c r="N97" s="312" t="s">
        <v>3448</v>
      </c>
      <c r="O97" s="312">
        <v>2011</v>
      </c>
      <c r="Q97" s="326" t="s">
        <v>4069</v>
      </c>
      <c r="R97" s="326">
        <v>2</v>
      </c>
      <c r="S97" s="330">
        <v>0.61360000000000003</v>
      </c>
      <c r="T97" s="315">
        <v>0.62270000000000003</v>
      </c>
      <c r="U97" s="330">
        <v>0.64024999999999999</v>
      </c>
      <c r="V97" s="330">
        <v>0.6734</v>
      </c>
      <c r="W97" s="330">
        <v>0.68835000000000013</v>
      </c>
      <c r="X97" s="330">
        <v>0.72084999999999999</v>
      </c>
      <c r="Y97" s="331">
        <v>0.68054999999999999</v>
      </c>
    </row>
    <row r="98" spans="1:25" ht="20.399999999999999" x14ac:dyDescent="0.2">
      <c r="A98" s="359">
        <v>2</v>
      </c>
      <c r="B98" s="312" t="s">
        <v>4070</v>
      </c>
      <c r="C98" s="325" t="s">
        <v>1554</v>
      </c>
      <c r="D98" s="312" t="s">
        <v>800</v>
      </c>
      <c r="E98" s="312">
        <v>600</v>
      </c>
      <c r="F98" s="312">
        <v>1.2999999999999999E-2</v>
      </c>
      <c r="G98" s="312" t="s">
        <v>2202</v>
      </c>
      <c r="H98" s="329">
        <v>0</v>
      </c>
      <c r="I98" s="329">
        <v>0.35</v>
      </c>
      <c r="J98" s="329">
        <v>0.1</v>
      </c>
      <c r="K98" s="329">
        <v>0.45</v>
      </c>
      <c r="L98" s="329">
        <v>0.7</v>
      </c>
      <c r="N98" s="312" t="s">
        <v>3448</v>
      </c>
      <c r="O98" s="312">
        <v>2011</v>
      </c>
      <c r="Q98" s="326" t="s">
        <v>4071</v>
      </c>
      <c r="R98" s="326">
        <v>2</v>
      </c>
      <c r="S98" s="330">
        <v>0.66080000000000005</v>
      </c>
      <c r="T98" s="315">
        <v>0.67059999999999997</v>
      </c>
      <c r="U98" s="330">
        <v>0.6895</v>
      </c>
      <c r="V98" s="330">
        <v>0.72519999999999996</v>
      </c>
      <c r="W98" s="330">
        <v>0.74130000000000007</v>
      </c>
      <c r="X98" s="330">
        <v>0.77629999999999999</v>
      </c>
      <c r="Y98" s="331">
        <v>0.73289999999999988</v>
      </c>
    </row>
    <row r="99" spans="1:25" ht="20.399999999999999" x14ac:dyDescent="0.2">
      <c r="A99" s="359">
        <v>2</v>
      </c>
      <c r="B99" s="312" t="s">
        <v>4072</v>
      </c>
      <c r="C99" s="325" t="s">
        <v>4073</v>
      </c>
      <c r="D99" s="312" t="s">
        <v>800</v>
      </c>
      <c r="E99" s="312">
        <v>550</v>
      </c>
      <c r="F99" s="312">
        <v>1.4999999999999999E-2</v>
      </c>
      <c r="G99" s="312" t="s">
        <v>2202</v>
      </c>
      <c r="H99" s="329">
        <v>0</v>
      </c>
      <c r="I99" s="329">
        <v>0.38</v>
      </c>
      <c r="J99" s="329">
        <v>0.1</v>
      </c>
      <c r="K99" s="329">
        <v>0.48</v>
      </c>
      <c r="L99" s="329">
        <v>0.75</v>
      </c>
      <c r="N99" s="312" t="s">
        <v>3448</v>
      </c>
      <c r="O99" s="312">
        <v>2011</v>
      </c>
      <c r="Q99" s="326" t="s">
        <v>4074</v>
      </c>
      <c r="R99" s="326">
        <v>2</v>
      </c>
      <c r="S99" s="330">
        <v>0.70800000000000007</v>
      </c>
      <c r="T99" s="315">
        <v>0.71849999999999992</v>
      </c>
      <c r="U99" s="330">
        <v>0.73875000000000002</v>
      </c>
      <c r="V99" s="330">
        <v>0.77700000000000002</v>
      </c>
      <c r="W99" s="330">
        <v>0.79425000000000012</v>
      </c>
      <c r="X99" s="330">
        <v>0.83174999999999999</v>
      </c>
      <c r="Y99" s="331">
        <v>0.78525</v>
      </c>
    </row>
    <row r="100" spans="1:25" ht="20.399999999999999" x14ac:dyDescent="0.2">
      <c r="A100" s="359">
        <v>2</v>
      </c>
      <c r="B100" s="312" t="s">
        <v>4075</v>
      </c>
      <c r="C100" s="325" t="s">
        <v>4076</v>
      </c>
      <c r="D100" s="312" t="s">
        <v>800</v>
      </c>
      <c r="E100" s="312">
        <v>450</v>
      </c>
      <c r="F100" s="312">
        <v>1.7999999999999999E-2</v>
      </c>
      <c r="G100" s="312" t="s">
        <v>2202</v>
      </c>
      <c r="H100" s="329">
        <v>0</v>
      </c>
      <c r="I100" s="329">
        <v>0.47</v>
      </c>
      <c r="J100" s="329">
        <v>0.13</v>
      </c>
      <c r="K100" s="329">
        <v>0.6</v>
      </c>
      <c r="L100" s="329">
        <v>0.93</v>
      </c>
      <c r="N100" s="312" t="s">
        <v>3448</v>
      </c>
      <c r="O100" s="312">
        <v>2011</v>
      </c>
      <c r="Q100" s="326" t="s">
        <v>4077</v>
      </c>
      <c r="R100" s="326">
        <v>2</v>
      </c>
      <c r="S100" s="330">
        <v>0.87792000000000014</v>
      </c>
      <c r="T100" s="315">
        <v>0.89094000000000007</v>
      </c>
      <c r="U100" s="330">
        <v>0.91605000000000003</v>
      </c>
      <c r="V100" s="330">
        <v>0.96348000000000011</v>
      </c>
      <c r="W100" s="330">
        <v>0.98487000000000025</v>
      </c>
      <c r="X100" s="330">
        <v>1.0313700000000001</v>
      </c>
      <c r="Y100" s="331">
        <v>0.97370999999999996</v>
      </c>
    </row>
    <row r="101" spans="1:25" ht="20.399999999999999" x14ac:dyDescent="0.2">
      <c r="A101" s="359">
        <v>2</v>
      </c>
      <c r="B101" s="312" t="s">
        <v>4064</v>
      </c>
      <c r="C101" s="325" t="s">
        <v>4065</v>
      </c>
      <c r="H101" s="329">
        <v>0</v>
      </c>
      <c r="I101" s="329">
        <v>0</v>
      </c>
      <c r="J101" s="329">
        <v>0</v>
      </c>
      <c r="K101" s="329">
        <v>0</v>
      </c>
      <c r="L101" s="329">
        <v>0</v>
      </c>
      <c r="N101" s="312" t="s">
        <v>3448</v>
      </c>
      <c r="O101" s="312">
        <v>2011</v>
      </c>
      <c r="Q101" s="326" t="s">
        <v>4066</v>
      </c>
      <c r="R101" s="326">
        <v>2</v>
      </c>
      <c r="S101" s="330">
        <v>0</v>
      </c>
      <c r="T101" s="315">
        <v>0</v>
      </c>
      <c r="U101" s="330">
        <v>0</v>
      </c>
      <c r="V101" s="330">
        <v>0</v>
      </c>
      <c r="W101" s="330">
        <v>0</v>
      </c>
      <c r="X101" s="330">
        <v>0</v>
      </c>
      <c r="Y101" s="331">
        <v>0</v>
      </c>
    </row>
    <row r="102" spans="1:25" ht="20.399999999999999" x14ac:dyDescent="0.2">
      <c r="A102" s="359">
        <v>2</v>
      </c>
      <c r="B102" s="312" t="s">
        <v>4089</v>
      </c>
      <c r="C102" s="325" t="s">
        <v>4090</v>
      </c>
      <c r="H102" s="329">
        <v>0</v>
      </c>
      <c r="I102" s="329">
        <v>0</v>
      </c>
      <c r="J102" s="329">
        <v>0</v>
      </c>
      <c r="K102" s="329">
        <v>0</v>
      </c>
      <c r="L102" s="329">
        <v>0</v>
      </c>
      <c r="N102" s="312" t="s">
        <v>3448</v>
      </c>
      <c r="O102" s="312">
        <v>2011</v>
      </c>
      <c r="Q102" s="326" t="s">
        <v>4091</v>
      </c>
      <c r="R102" s="326">
        <v>2</v>
      </c>
      <c r="S102" s="330">
        <v>0</v>
      </c>
      <c r="T102" s="315">
        <v>0</v>
      </c>
      <c r="U102" s="330">
        <v>0</v>
      </c>
      <c r="V102" s="330">
        <v>0</v>
      </c>
      <c r="W102" s="330">
        <v>0</v>
      </c>
      <c r="X102" s="330">
        <v>0</v>
      </c>
      <c r="Y102" s="331">
        <v>0</v>
      </c>
    </row>
    <row r="103" spans="1:25" ht="20.399999999999999" x14ac:dyDescent="0.2">
      <c r="A103" s="359">
        <v>2</v>
      </c>
      <c r="B103" s="312" t="s">
        <v>4078</v>
      </c>
      <c r="C103" s="325" t="s">
        <v>4079</v>
      </c>
      <c r="D103" s="312" t="s">
        <v>803</v>
      </c>
      <c r="E103" s="312">
        <v>540</v>
      </c>
      <c r="F103" s="312">
        <v>1.4999999999999999E-2</v>
      </c>
      <c r="G103" s="312" t="s">
        <v>2202</v>
      </c>
      <c r="H103" s="329">
        <v>0</v>
      </c>
      <c r="I103" s="329">
        <v>0.39</v>
      </c>
      <c r="J103" s="329">
        <v>0.09</v>
      </c>
      <c r="K103" s="329">
        <v>0.48</v>
      </c>
      <c r="L103" s="329">
        <v>0.76</v>
      </c>
      <c r="N103" s="312" t="s">
        <v>3448</v>
      </c>
      <c r="O103" s="312">
        <v>2011</v>
      </c>
      <c r="Q103" s="326" t="s">
        <v>4080</v>
      </c>
      <c r="R103" s="326">
        <v>2</v>
      </c>
      <c r="S103" s="330">
        <v>0.71744000000000008</v>
      </c>
      <c r="T103" s="315">
        <v>0.72807999999999995</v>
      </c>
      <c r="U103" s="330">
        <v>0.74860000000000004</v>
      </c>
      <c r="V103" s="330">
        <v>0.78736000000000006</v>
      </c>
      <c r="W103" s="330">
        <v>0.80484000000000011</v>
      </c>
      <c r="X103" s="330">
        <v>0.84284000000000003</v>
      </c>
      <c r="Y103" s="331">
        <v>0.79571999999999998</v>
      </c>
    </row>
    <row r="104" spans="1:25" ht="20.399999999999999" x14ac:dyDescent="0.2">
      <c r="A104" s="359">
        <v>2</v>
      </c>
      <c r="B104" s="312" t="s">
        <v>4081</v>
      </c>
      <c r="C104" s="325" t="s">
        <v>1557</v>
      </c>
      <c r="D104" s="312" t="s">
        <v>803</v>
      </c>
      <c r="E104" s="312">
        <v>405</v>
      </c>
      <c r="F104" s="312">
        <v>0.02</v>
      </c>
      <c r="G104" s="312" t="s">
        <v>2202</v>
      </c>
      <c r="H104" s="329">
        <v>0</v>
      </c>
      <c r="I104" s="329">
        <v>0.52</v>
      </c>
      <c r="J104" s="329">
        <v>0.12</v>
      </c>
      <c r="K104" s="329">
        <v>0.64</v>
      </c>
      <c r="L104" s="329">
        <v>1</v>
      </c>
      <c r="N104" s="312" t="s">
        <v>3448</v>
      </c>
      <c r="O104" s="312">
        <v>2011</v>
      </c>
      <c r="Q104" s="326" t="s">
        <v>4082</v>
      </c>
      <c r="R104" s="326">
        <v>2</v>
      </c>
      <c r="S104" s="330">
        <v>0.94400000000000006</v>
      </c>
      <c r="T104" s="315">
        <v>0.95799999999999996</v>
      </c>
      <c r="U104" s="330">
        <v>0.98499999999999999</v>
      </c>
      <c r="V104" s="330">
        <v>1.036</v>
      </c>
      <c r="W104" s="330">
        <v>1.0590000000000002</v>
      </c>
      <c r="X104" s="330">
        <v>1.109</v>
      </c>
      <c r="Y104" s="331">
        <v>1.0469999999999999</v>
      </c>
    </row>
    <row r="105" spans="1:25" ht="20.399999999999999" x14ac:dyDescent="0.2">
      <c r="A105" s="359">
        <v>2</v>
      </c>
      <c r="B105" s="312" t="s">
        <v>4083</v>
      </c>
      <c r="C105" s="325" t="s">
        <v>4084</v>
      </c>
      <c r="D105" s="312" t="s">
        <v>803</v>
      </c>
      <c r="E105" s="312">
        <v>270</v>
      </c>
      <c r="F105" s="312">
        <v>0.03</v>
      </c>
      <c r="G105" s="312" t="s">
        <v>2202</v>
      </c>
      <c r="H105" s="329">
        <v>0</v>
      </c>
      <c r="I105" s="329">
        <v>0.78</v>
      </c>
      <c r="J105" s="329">
        <v>0.18</v>
      </c>
      <c r="K105" s="329">
        <v>0.96</v>
      </c>
      <c r="L105" s="329">
        <v>1.51</v>
      </c>
      <c r="N105" s="312" t="s">
        <v>3448</v>
      </c>
      <c r="O105" s="312">
        <v>2011</v>
      </c>
      <c r="Q105" s="326" t="s">
        <v>4085</v>
      </c>
      <c r="R105" s="326">
        <v>2</v>
      </c>
      <c r="S105" s="330">
        <v>1.42544</v>
      </c>
      <c r="T105" s="315">
        <v>1.44658</v>
      </c>
      <c r="U105" s="330">
        <v>1.4873499999999999</v>
      </c>
      <c r="V105" s="330">
        <v>1.56436</v>
      </c>
      <c r="W105" s="330">
        <v>1.5990900000000003</v>
      </c>
      <c r="X105" s="330">
        <v>1.67459</v>
      </c>
      <c r="Y105" s="331">
        <v>1.58097</v>
      </c>
    </row>
    <row r="106" spans="1:25" ht="20.399999999999999" x14ac:dyDescent="0.2">
      <c r="A106" s="359">
        <v>2</v>
      </c>
      <c r="B106" s="312" t="s">
        <v>4086</v>
      </c>
      <c r="C106" s="325" t="s">
        <v>4087</v>
      </c>
      <c r="D106" s="312" t="s">
        <v>803</v>
      </c>
      <c r="E106" s="312">
        <v>180</v>
      </c>
      <c r="F106" s="312">
        <v>4.3999999999999997E-2</v>
      </c>
      <c r="G106" s="312" t="s">
        <v>2202</v>
      </c>
      <c r="H106" s="329">
        <v>0</v>
      </c>
      <c r="I106" s="329">
        <v>1.18</v>
      </c>
      <c r="J106" s="329">
        <v>0.28000000000000003</v>
      </c>
      <c r="K106" s="329">
        <v>1.46</v>
      </c>
      <c r="L106" s="329">
        <v>2.27</v>
      </c>
      <c r="N106" s="312" t="s">
        <v>3448</v>
      </c>
      <c r="O106" s="312">
        <v>2011</v>
      </c>
      <c r="Q106" s="326" t="s">
        <v>4088</v>
      </c>
      <c r="R106" s="326">
        <v>2</v>
      </c>
      <c r="S106" s="330">
        <v>2.1428800000000003</v>
      </c>
      <c r="T106" s="315">
        <v>2.1746599999999998</v>
      </c>
      <c r="U106" s="330">
        <v>2.2359499999999999</v>
      </c>
      <c r="V106" s="330">
        <v>2.3517200000000003</v>
      </c>
      <c r="W106" s="330">
        <v>2.4039300000000003</v>
      </c>
      <c r="X106" s="330">
        <v>2.5174300000000001</v>
      </c>
      <c r="Y106" s="331">
        <v>2.37669</v>
      </c>
    </row>
    <row r="107" spans="1:25" ht="20.399999999999999" x14ac:dyDescent="0.2">
      <c r="A107" s="359">
        <v>2</v>
      </c>
      <c r="B107" s="312" t="s">
        <v>4052</v>
      </c>
      <c r="C107" s="325" t="s">
        <v>4053</v>
      </c>
      <c r="D107" s="312" t="s">
        <v>796</v>
      </c>
      <c r="E107" s="312">
        <v>200</v>
      </c>
      <c r="F107" s="312">
        <v>0.04</v>
      </c>
      <c r="G107" s="312" t="s">
        <v>1181</v>
      </c>
      <c r="H107" s="329">
        <v>0</v>
      </c>
      <c r="I107" s="329">
        <v>1.4</v>
      </c>
      <c r="J107" s="329">
        <v>1.18</v>
      </c>
      <c r="K107" s="329">
        <v>2.58</v>
      </c>
      <c r="L107" s="329">
        <v>3.58</v>
      </c>
      <c r="N107" s="312" t="s">
        <v>3448</v>
      </c>
      <c r="O107" s="312">
        <v>2011</v>
      </c>
      <c r="Q107" s="326" t="s">
        <v>4054</v>
      </c>
      <c r="R107" s="326">
        <v>2</v>
      </c>
      <c r="S107" s="330">
        <v>3.3795200000000003</v>
      </c>
      <c r="T107" s="315">
        <v>3.42964</v>
      </c>
      <c r="U107" s="330">
        <v>3.5263</v>
      </c>
      <c r="V107" s="330">
        <v>3.7088800000000002</v>
      </c>
      <c r="W107" s="330">
        <v>3.7912200000000005</v>
      </c>
      <c r="X107" s="330">
        <v>3.9702199999999999</v>
      </c>
      <c r="Y107" s="331">
        <v>3.7482599999999997</v>
      </c>
    </row>
    <row r="108" spans="1:25" ht="20.399999999999999" x14ac:dyDescent="0.2">
      <c r="A108" s="359">
        <v>2</v>
      </c>
      <c r="B108" s="312" t="s">
        <v>4047</v>
      </c>
      <c r="C108" s="325" t="s">
        <v>4048</v>
      </c>
      <c r="H108" s="329">
        <v>0</v>
      </c>
      <c r="I108" s="329">
        <v>0</v>
      </c>
      <c r="J108" s="329">
        <v>0</v>
      </c>
      <c r="K108" s="329">
        <v>0</v>
      </c>
      <c r="L108" s="329">
        <v>0</v>
      </c>
      <c r="N108" s="312" t="s">
        <v>3448</v>
      </c>
      <c r="O108" s="312">
        <v>2011</v>
      </c>
      <c r="Q108" s="326" t="s">
        <v>4049</v>
      </c>
      <c r="R108" s="326">
        <v>2</v>
      </c>
      <c r="S108" s="330">
        <v>0</v>
      </c>
      <c r="T108" s="315">
        <v>0</v>
      </c>
      <c r="U108" s="330">
        <v>0</v>
      </c>
      <c r="V108" s="330">
        <v>0</v>
      </c>
      <c r="W108" s="330">
        <v>0</v>
      </c>
      <c r="X108" s="330">
        <v>0</v>
      </c>
      <c r="Y108" s="331">
        <v>0</v>
      </c>
    </row>
    <row r="109" spans="1:25" ht="20.399999999999999" x14ac:dyDescent="0.2">
      <c r="A109" s="359">
        <v>2</v>
      </c>
      <c r="B109" s="312" t="s">
        <v>4050</v>
      </c>
      <c r="C109" s="325" t="s">
        <v>1558</v>
      </c>
      <c r="D109" s="312" t="s">
        <v>796</v>
      </c>
      <c r="E109" s="312">
        <v>400</v>
      </c>
      <c r="F109" s="312">
        <v>0.02</v>
      </c>
      <c r="G109" s="312" t="s">
        <v>1181</v>
      </c>
      <c r="H109" s="329">
        <v>0</v>
      </c>
      <c r="I109" s="329">
        <v>0.7</v>
      </c>
      <c r="J109" s="329">
        <v>0.59</v>
      </c>
      <c r="K109" s="329">
        <v>1.29</v>
      </c>
      <c r="L109" s="329">
        <v>1.79</v>
      </c>
      <c r="N109" s="312" t="s">
        <v>3448</v>
      </c>
      <c r="O109" s="312">
        <v>2011</v>
      </c>
      <c r="Q109" s="326" t="s">
        <v>4051</v>
      </c>
      <c r="R109" s="326">
        <v>2</v>
      </c>
      <c r="S109" s="330">
        <v>1.6897600000000002</v>
      </c>
      <c r="T109" s="315">
        <v>1.71482</v>
      </c>
      <c r="U109" s="330">
        <v>1.76315</v>
      </c>
      <c r="V109" s="330">
        <v>1.8544400000000001</v>
      </c>
      <c r="W109" s="330">
        <v>1.8956100000000002</v>
      </c>
      <c r="X109" s="330">
        <v>1.9851099999999999</v>
      </c>
      <c r="Y109" s="331">
        <v>1.8741299999999999</v>
      </c>
    </row>
    <row r="110" spans="1:25" ht="20.399999999999999" x14ac:dyDescent="0.2">
      <c r="A110" s="359">
        <v>2</v>
      </c>
      <c r="B110" s="312" t="s">
        <v>4038</v>
      </c>
      <c r="C110" s="325" t="s">
        <v>1560</v>
      </c>
      <c r="D110" s="312" t="s">
        <v>809</v>
      </c>
      <c r="E110" s="312">
        <v>200</v>
      </c>
      <c r="F110" s="312">
        <v>0.08</v>
      </c>
      <c r="G110" s="312" t="s">
        <v>614</v>
      </c>
      <c r="H110" s="329">
        <v>0</v>
      </c>
      <c r="I110" s="329">
        <v>2.4500000000000002</v>
      </c>
      <c r="J110" s="329">
        <v>1.75</v>
      </c>
      <c r="K110" s="329">
        <v>4.2</v>
      </c>
      <c r="L110" s="329">
        <v>5.95</v>
      </c>
      <c r="N110" s="312" t="s">
        <v>3448</v>
      </c>
      <c r="O110" s="312">
        <v>2011</v>
      </c>
      <c r="Q110" s="326" t="s">
        <v>4039</v>
      </c>
      <c r="R110" s="326">
        <v>2</v>
      </c>
      <c r="S110" s="330">
        <v>5.6168000000000005</v>
      </c>
      <c r="T110" s="315">
        <v>5.7000999999999999</v>
      </c>
      <c r="U110" s="330">
        <v>5.8607500000000003</v>
      </c>
      <c r="V110" s="330">
        <v>6.1642000000000001</v>
      </c>
      <c r="W110" s="330">
        <v>6.3010500000000009</v>
      </c>
      <c r="X110" s="330">
        <v>6.5985500000000004</v>
      </c>
      <c r="Y110" s="331">
        <v>6.2296499999999995</v>
      </c>
    </row>
    <row r="111" spans="1:25" ht="20.399999999999999" x14ac:dyDescent="0.2">
      <c r="A111" s="359">
        <v>2</v>
      </c>
      <c r="B111" s="312" t="s">
        <v>4040</v>
      </c>
      <c r="C111" s="325" t="s">
        <v>1561</v>
      </c>
      <c r="D111" s="312" t="s">
        <v>809</v>
      </c>
      <c r="E111" s="312">
        <v>200</v>
      </c>
      <c r="F111" s="312">
        <v>0.08</v>
      </c>
      <c r="G111" s="312" t="s">
        <v>614</v>
      </c>
      <c r="H111" s="329">
        <v>0</v>
      </c>
      <c r="I111" s="329">
        <v>2.4500000000000002</v>
      </c>
      <c r="J111" s="329">
        <v>1.75</v>
      </c>
      <c r="K111" s="329">
        <v>4.2</v>
      </c>
      <c r="L111" s="329">
        <v>5.95</v>
      </c>
      <c r="N111" s="312" t="s">
        <v>3448</v>
      </c>
      <c r="O111" s="312">
        <v>2011</v>
      </c>
      <c r="Q111" s="326" t="s">
        <v>4041</v>
      </c>
      <c r="R111" s="326">
        <v>2</v>
      </c>
      <c r="S111" s="330">
        <v>5.6168000000000005</v>
      </c>
      <c r="T111" s="315">
        <v>5.7000999999999999</v>
      </c>
      <c r="U111" s="330">
        <v>5.8607500000000003</v>
      </c>
      <c r="V111" s="330">
        <v>6.1642000000000001</v>
      </c>
      <c r="W111" s="330">
        <v>6.3010500000000009</v>
      </c>
      <c r="X111" s="330">
        <v>6.5985500000000004</v>
      </c>
      <c r="Y111" s="331">
        <v>6.2296499999999995</v>
      </c>
    </row>
    <row r="112" spans="1:25" ht="20.399999999999999" x14ac:dyDescent="0.2">
      <c r="A112" s="359">
        <v>2</v>
      </c>
      <c r="B112" s="312" t="s">
        <v>4035</v>
      </c>
      <c r="C112" s="325" t="s">
        <v>4036</v>
      </c>
      <c r="D112" s="312" t="s">
        <v>783</v>
      </c>
      <c r="E112" s="312">
        <v>150</v>
      </c>
      <c r="F112" s="312">
        <v>0.107</v>
      </c>
      <c r="G112" s="312" t="s">
        <v>614</v>
      </c>
      <c r="H112" s="329">
        <v>0</v>
      </c>
      <c r="I112" s="329">
        <v>3.27</v>
      </c>
      <c r="J112" s="329">
        <v>2.14</v>
      </c>
      <c r="K112" s="329">
        <v>5.41</v>
      </c>
      <c r="L112" s="329">
        <v>7.75</v>
      </c>
      <c r="N112" s="312" t="s">
        <v>3448</v>
      </c>
      <c r="O112" s="312">
        <v>2011</v>
      </c>
      <c r="Q112" s="326" t="s">
        <v>4037</v>
      </c>
      <c r="R112" s="326">
        <v>2</v>
      </c>
      <c r="S112" s="330">
        <v>7.3160000000000007</v>
      </c>
      <c r="T112" s="315">
        <v>7.4245000000000001</v>
      </c>
      <c r="U112" s="330">
        <v>7.63375</v>
      </c>
      <c r="V112" s="330">
        <v>8.0289999999999999</v>
      </c>
      <c r="W112" s="330">
        <v>8.2072500000000019</v>
      </c>
      <c r="X112" s="330">
        <v>8.5947499999999994</v>
      </c>
      <c r="Y112" s="331">
        <v>8.1142500000000002</v>
      </c>
    </row>
    <row r="113" spans="1:25" ht="20.399999999999999" x14ac:dyDescent="0.2">
      <c r="A113" s="359">
        <v>2</v>
      </c>
      <c r="B113" s="312" t="s">
        <v>4044</v>
      </c>
      <c r="C113" s="325" t="s">
        <v>4045</v>
      </c>
      <c r="D113" s="312" t="s">
        <v>812</v>
      </c>
      <c r="E113" s="312">
        <v>4</v>
      </c>
      <c r="F113" s="312">
        <v>2</v>
      </c>
      <c r="G113" s="312" t="s">
        <v>614</v>
      </c>
      <c r="H113" s="329">
        <v>0</v>
      </c>
      <c r="I113" s="329">
        <v>53</v>
      </c>
      <c r="J113" s="329">
        <v>0</v>
      </c>
      <c r="K113" s="329">
        <v>53</v>
      </c>
      <c r="L113" s="329">
        <v>88.5</v>
      </c>
      <c r="N113" s="312" t="s">
        <v>3448</v>
      </c>
      <c r="O113" s="312">
        <v>2011</v>
      </c>
      <c r="Q113" s="326" t="s">
        <v>4046</v>
      </c>
      <c r="R113" s="326">
        <v>2</v>
      </c>
      <c r="S113" s="330">
        <v>83.544000000000011</v>
      </c>
      <c r="T113" s="315">
        <v>84.783000000000001</v>
      </c>
      <c r="U113" s="330">
        <v>87.172499999999999</v>
      </c>
      <c r="V113" s="330">
        <v>91.686000000000007</v>
      </c>
      <c r="W113" s="330">
        <v>93.72150000000002</v>
      </c>
      <c r="X113" s="330">
        <v>98.146500000000003</v>
      </c>
      <c r="Y113" s="331">
        <v>92.659499999999994</v>
      </c>
    </row>
    <row r="114" spans="1:25" ht="20.399999999999999" x14ac:dyDescent="0.2">
      <c r="A114" s="359">
        <v>2</v>
      </c>
      <c r="B114" s="312" t="s">
        <v>4042</v>
      </c>
      <c r="C114" s="325" t="s">
        <v>1562</v>
      </c>
      <c r="D114" s="312" t="s">
        <v>812</v>
      </c>
      <c r="E114" s="312">
        <v>8</v>
      </c>
      <c r="F114" s="312">
        <v>1</v>
      </c>
      <c r="G114" s="312" t="s">
        <v>614</v>
      </c>
      <c r="H114" s="329">
        <v>0</v>
      </c>
      <c r="I114" s="329">
        <v>26.5</v>
      </c>
      <c r="J114" s="329">
        <v>0</v>
      </c>
      <c r="K114" s="329">
        <v>26.5</v>
      </c>
      <c r="L114" s="329">
        <v>44.5</v>
      </c>
      <c r="N114" s="312" t="s">
        <v>3448</v>
      </c>
      <c r="O114" s="312">
        <v>2011</v>
      </c>
      <c r="Q114" s="326" t="s">
        <v>4043</v>
      </c>
      <c r="R114" s="326">
        <v>2</v>
      </c>
      <c r="S114" s="330">
        <v>42.008000000000003</v>
      </c>
      <c r="T114" s="315">
        <v>42.631</v>
      </c>
      <c r="U114" s="330">
        <v>43.832499999999996</v>
      </c>
      <c r="V114" s="330">
        <v>46.102000000000004</v>
      </c>
      <c r="W114" s="330">
        <v>47.125500000000009</v>
      </c>
      <c r="X114" s="330">
        <v>49.350499999999997</v>
      </c>
      <c r="Y114" s="331">
        <v>46.591499999999996</v>
      </c>
    </row>
    <row r="115" spans="1:25" ht="20.399999999999999" x14ac:dyDescent="0.2">
      <c r="A115" s="359">
        <v>2</v>
      </c>
      <c r="B115" s="312" t="s">
        <v>4058</v>
      </c>
      <c r="C115" s="325" t="s">
        <v>4059</v>
      </c>
      <c r="D115" s="312" t="s">
        <v>809</v>
      </c>
      <c r="E115" s="312">
        <v>216</v>
      </c>
      <c r="F115" s="312">
        <v>7.3999999999999996E-2</v>
      </c>
      <c r="G115" s="312" t="s">
        <v>614</v>
      </c>
      <c r="H115" s="329">
        <v>0</v>
      </c>
      <c r="I115" s="329">
        <v>2.27</v>
      </c>
      <c r="J115" s="329">
        <v>1.62</v>
      </c>
      <c r="K115" s="329">
        <v>3.89</v>
      </c>
      <c r="L115" s="329">
        <v>5.55</v>
      </c>
      <c r="N115" s="312" t="s">
        <v>3448</v>
      </c>
      <c r="O115" s="312">
        <v>2011</v>
      </c>
      <c r="Q115" s="326" t="s">
        <v>4060</v>
      </c>
      <c r="R115" s="326">
        <v>2</v>
      </c>
      <c r="S115" s="330">
        <v>5.2392000000000003</v>
      </c>
      <c r="T115" s="315">
        <v>5.3168999999999995</v>
      </c>
      <c r="U115" s="330">
        <v>5.4667499999999993</v>
      </c>
      <c r="V115" s="330">
        <v>5.7497999999999996</v>
      </c>
      <c r="W115" s="330">
        <v>5.8774500000000005</v>
      </c>
      <c r="X115" s="330">
        <v>6.1549499999999995</v>
      </c>
      <c r="Y115" s="331">
        <v>5.8108499999999994</v>
      </c>
    </row>
    <row r="116" spans="1:25" ht="20.399999999999999" x14ac:dyDescent="0.2">
      <c r="A116" s="359">
        <v>2</v>
      </c>
      <c r="B116" s="312" t="s">
        <v>4055</v>
      </c>
      <c r="C116" s="325" t="s">
        <v>4056</v>
      </c>
      <c r="D116" s="312" t="s">
        <v>783</v>
      </c>
      <c r="E116" s="312">
        <v>162</v>
      </c>
      <c r="F116" s="312">
        <v>9.9000000000000005E-2</v>
      </c>
      <c r="G116" s="312" t="s">
        <v>614</v>
      </c>
      <c r="H116" s="329">
        <v>0</v>
      </c>
      <c r="I116" s="329">
        <v>3.03</v>
      </c>
      <c r="J116" s="329">
        <v>1.98</v>
      </c>
      <c r="K116" s="329">
        <v>5.01</v>
      </c>
      <c r="L116" s="329">
        <v>7.2</v>
      </c>
      <c r="N116" s="312" t="s">
        <v>3448</v>
      </c>
      <c r="O116" s="312">
        <v>2011</v>
      </c>
      <c r="Q116" s="326" t="s">
        <v>4057</v>
      </c>
      <c r="R116" s="326">
        <v>2</v>
      </c>
      <c r="S116" s="330">
        <v>6.7968000000000002</v>
      </c>
      <c r="T116" s="315">
        <v>6.8975999999999997</v>
      </c>
      <c r="U116" s="330">
        <v>7.0919999999999996</v>
      </c>
      <c r="V116" s="330">
        <v>7.4592000000000001</v>
      </c>
      <c r="W116" s="330">
        <v>7.6248000000000014</v>
      </c>
      <c r="X116" s="330">
        <v>7.9847999999999999</v>
      </c>
      <c r="Y116" s="331">
        <v>7.5383999999999993</v>
      </c>
    </row>
    <row r="117" spans="1:25" ht="20.399999999999999" x14ac:dyDescent="0.2">
      <c r="A117" s="359">
        <v>2</v>
      </c>
      <c r="B117" s="312" t="s">
        <v>4140</v>
      </c>
      <c r="C117" s="325" t="s">
        <v>4141</v>
      </c>
      <c r="D117" s="312" t="s">
        <v>4142</v>
      </c>
      <c r="E117" s="312">
        <v>600</v>
      </c>
      <c r="F117" s="312">
        <v>1.7000000000000001E-2</v>
      </c>
      <c r="G117" s="312" t="s">
        <v>614</v>
      </c>
      <c r="H117" s="329">
        <v>0</v>
      </c>
      <c r="I117" s="329">
        <v>0.57999999999999996</v>
      </c>
      <c r="J117" s="329">
        <v>2.4900000000000002</v>
      </c>
      <c r="K117" s="329">
        <v>3.07</v>
      </c>
      <c r="L117" s="329">
        <v>3.68</v>
      </c>
      <c r="N117" s="312" t="s">
        <v>3448</v>
      </c>
      <c r="O117" s="312">
        <v>2011</v>
      </c>
      <c r="Q117" s="326" t="s">
        <v>4143</v>
      </c>
      <c r="R117" s="326">
        <v>2</v>
      </c>
      <c r="S117" s="330">
        <v>3.4739200000000006</v>
      </c>
      <c r="T117" s="315">
        <v>3.5254400000000001</v>
      </c>
      <c r="U117" s="330">
        <v>3.6248</v>
      </c>
      <c r="V117" s="330">
        <v>3.8124800000000003</v>
      </c>
      <c r="W117" s="330">
        <v>3.8971200000000006</v>
      </c>
      <c r="X117" s="330">
        <v>4.0811200000000003</v>
      </c>
      <c r="Y117" s="331">
        <v>3.8529599999999999</v>
      </c>
    </row>
    <row r="118" spans="1:25" x14ac:dyDescent="0.2">
      <c r="A118" s="359">
        <v>1</v>
      </c>
      <c r="B118" s="312" t="s">
        <v>4169</v>
      </c>
      <c r="C118" s="325" t="s">
        <v>1568</v>
      </c>
      <c r="D118" s="312" t="s">
        <v>1813</v>
      </c>
      <c r="E118" s="312" t="s">
        <v>4170</v>
      </c>
      <c r="F118" s="312">
        <v>8.0000000000000002E-3</v>
      </c>
      <c r="G118" s="312" t="s">
        <v>1181</v>
      </c>
      <c r="H118" s="329">
        <v>0</v>
      </c>
      <c r="I118" s="329">
        <v>0.28000000000000003</v>
      </c>
      <c r="J118" s="329">
        <v>1.05</v>
      </c>
      <c r="K118" s="329">
        <v>1.33</v>
      </c>
      <c r="L118" s="329">
        <v>1.62</v>
      </c>
      <c r="N118" s="312" t="s">
        <v>3448</v>
      </c>
      <c r="O118" s="312">
        <v>2011</v>
      </c>
      <c r="Q118" s="326" t="s">
        <v>4171</v>
      </c>
      <c r="R118" s="326">
        <v>2</v>
      </c>
      <c r="S118" s="330">
        <v>1.5292800000000002</v>
      </c>
      <c r="T118" s="315">
        <v>1.55196</v>
      </c>
      <c r="U118" s="330">
        <v>1.5957000000000001</v>
      </c>
      <c r="V118" s="330">
        <v>1.6783200000000003</v>
      </c>
      <c r="W118" s="330">
        <v>1.7155800000000003</v>
      </c>
      <c r="X118" s="330">
        <v>1.7965800000000001</v>
      </c>
      <c r="Y118" s="331">
        <v>1.69614</v>
      </c>
    </row>
    <row r="119" spans="1:25" x14ac:dyDescent="0.2">
      <c r="A119" s="359">
        <v>1</v>
      </c>
      <c r="B119" s="312" t="s">
        <v>4172</v>
      </c>
      <c r="C119" s="325" t="s">
        <v>4173</v>
      </c>
      <c r="D119" s="312" t="s">
        <v>817</v>
      </c>
      <c r="E119" s="312" t="s">
        <v>4174</v>
      </c>
      <c r="F119" s="312">
        <v>5.0000000000000001E-3</v>
      </c>
      <c r="G119" s="312" t="s">
        <v>399</v>
      </c>
      <c r="H119" s="329">
        <v>0.4</v>
      </c>
      <c r="I119" s="329">
        <v>0.13</v>
      </c>
      <c r="J119" s="329">
        <v>0.01</v>
      </c>
      <c r="K119" s="329">
        <v>0.54</v>
      </c>
      <c r="L119" s="329">
        <v>0.68</v>
      </c>
      <c r="N119" s="312" t="s">
        <v>3448</v>
      </c>
      <c r="O119" s="312">
        <v>2011</v>
      </c>
      <c r="Q119" s="326" t="s">
        <v>4175</v>
      </c>
      <c r="R119" s="326">
        <v>2</v>
      </c>
      <c r="S119" s="330">
        <v>0.64192000000000005</v>
      </c>
      <c r="T119" s="315">
        <v>0.65144000000000002</v>
      </c>
      <c r="U119" s="330">
        <v>0.66980000000000006</v>
      </c>
      <c r="V119" s="330">
        <v>0.70448000000000011</v>
      </c>
      <c r="W119" s="330">
        <v>0.7201200000000002</v>
      </c>
      <c r="X119" s="330">
        <v>0.75412000000000001</v>
      </c>
      <c r="Y119" s="331">
        <v>0.71196000000000004</v>
      </c>
    </row>
    <row r="120" spans="1:25" x14ac:dyDescent="0.2">
      <c r="A120" s="359">
        <v>4</v>
      </c>
      <c r="B120" s="312" t="s">
        <v>4029</v>
      </c>
      <c r="C120" s="325" t="s">
        <v>4030</v>
      </c>
      <c r="D120" s="312" t="s">
        <v>4031</v>
      </c>
      <c r="E120" s="312">
        <v>700</v>
      </c>
      <c r="F120" s="312">
        <v>3.4000000000000002E-2</v>
      </c>
      <c r="G120" s="312" t="s">
        <v>1802</v>
      </c>
      <c r="H120" s="329">
        <v>0</v>
      </c>
      <c r="I120" s="329">
        <v>0.93</v>
      </c>
      <c r="J120" s="329">
        <v>0.06</v>
      </c>
      <c r="K120" s="329">
        <v>0.99</v>
      </c>
      <c r="L120" s="329">
        <v>1.62</v>
      </c>
      <c r="N120" s="312" t="s">
        <v>3448</v>
      </c>
      <c r="O120" s="312">
        <v>2011</v>
      </c>
      <c r="Q120" s="326" t="s">
        <v>4032</v>
      </c>
      <c r="R120" s="326">
        <v>2</v>
      </c>
      <c r="S120" s="330">
        <v>1.5292800000000002</v>
      </c>
      <c r="T120" s="315">
        <v>1.55196</v>
      </c>
      <c r="U120" s="330">
        <v>1.5957000000000001</v>
      </c>
      <c r="V120" s="330">
        <v>1.6783200000000003</v>
      </c>
      <c r="W120" s="330">
        <v>1.7155800000000003</v>
      </c>
      <c r="X120" s="330">
        <v>1.7965800000000001</v>
      </c>
      <c r="Y120" s="331">
        <v>1.69614</v>
      </c>
    </row>
    <row r="121" spans="1:25" x14ac:dyDescent="0.2">
      <c r="A121" s="359">
        <v>2</v>
      </c>
      <c r="B121" s="312" t="s">
        <v>4026</v>
      </c>
      <c r="C121" s="325" t="s">
        <v>1571</v>
      </c>
      <c r="D121" s="312" t="s">
        <v>820</v>
      </c>
      <c r="E121" s="312" t="s">
        <v>4027</v>
      </c>
      <c r="F121" s="312">
        <v>1.4999999999999999E-2</v>
      </c>
      <c r="G121" s="312" t="s">
        <v>1802</v>
      </c>
      <c r="H121" s="329">
        <v>0</v>
      </c>
      <c r="I121" s="329">
        <v>0.47</v>
      </c>
      <c r="J121" s="329">
        <v>0.52</v>
      </c>
      <c r="K121" s="329">
        <v>0.99</v>
      </c>
      <c r="L121" s="329">
        <v>1.35</v>
      </c>
      <c r="N121" s="312" t="s">
        <v>3448</v>
      </c>
      <c r="O121" s="312">
        <v>2011</v>
      </c>
      <c r="Q121" s="326" t="s">
        <v>4028</v>
      </c>
      <c r="R121" s="326">
        <v>2</v>
      </c>
      <c r="S121" s="330">
        <v>1.2744000000000002</v>
      </c>
      <c r="T121" s="315">
        <v>1.2933000000000001</v>
      </c>
      <c r="U121" s="330">
        <v>1.32975</v>
      </c>
      <c r="V121" s="330">
        <v>1.3986000000000001</v>
      </c>
      <c r="W121" s="330">
        <v>1.4296500000000003</v>
      </c>
      <c r="X121" s="330">
        <v>1.49715</v>
      </c>
      <c r="Y121" s="331">
        <v>1.4134500000000001</v>
      </c>
    </row>
    <row r="122" spans="1:25" x14ac:dyDescent="0.2">
      <c r="A122" s="359">
        <v>4</v>
      </c>
      <c r="B122" s="312" t="s">
        <v>4021</v>
      </c>
      <c r="C122" s="325" t="s">
        <v>1572</v>
      </c>
      <c r="D122" s="312" t="s">
        <v>820</v>
      </c>
      <c r="E122" s="312">
        <v>400</v>
      </c>
      <c r="F122" s="312">
        <v>0.04</v>
      </c>
      <c r="G122" s="312" t="s">
        <v>1802</v>
      </c>
      <c r="H122" s="329">
        <v>0</v>
      </c>
      <c r="I122" s="329">
        <v>1.23</v>
      </c>
      <c r="J122" s="329">
        <v>1.36</v>
      </c>
      <c r="K122" s="329">
        <v>2.59</v>
      </c>
      <c r="L122" s="329">
        <v>3.52</v>
      </c>
      <c r="N122" s="312" t="s">
        <v>3448</v>
      </c>
      <c r="O122" s="312">
        <v>2011</v>
      </c>
      <c r="Q122" s="326" t="s">
        <v>4022</v>
      </c>
      <c r="R122" s="326">
        <v>2</v>
      </c>
      <c r="S122" s="330">
        <v>3.3228800000000001</v>
      </c>
      <c r="T122" s="315">
        <v>3.37216</v>
      </c>
      <c r="U122" s="330">
        <v>3.4672000000000001</v>
      </c>
      <c r="V122" s="330">
        <v>3.6467200000000002</v>
      </c>
      <c r="W122" s="330">
        <v>3.7276800000000008</v>
      </c>
      <c r="X122" s="330">
        <v>3.90368</v>
      </c>
      <c r="Y122" s="331">
        <v>3.6854399999999998</v>
      </c>
    </row>
    <row r="123" spans="1:25" x14ac:dyDescent="0.2">
      <c r="A123" s="359">
        <v>2</v>
      </c>
      <c r="B123" s="312" t="s">
        <v>4023</v>
      </c>
      <c r="C123" s="325" t="s">
        <v>4024</v>
      </c>
      <c r="D123" s="312" t="s">
        <v>820</v>
      </c>
      <c r="E123" s="312" t="s">
        <v>4001</v>
      </c>
      <c r="F123" s="312">
        <v>8.0000000000000002E-3</v>
      </c>
      <c r="G123" s="312" t="s">
        <v>1802</v>
      </c>
      <c r="H123" s="329">
        <v>0</v>
      </c>
      <c r="I123" s="329">
        <v>0.25</v>
      </c>
      <c r="J123" s="329">
        <v>0.27</v>
      </c>
      <c r="K123" s="329">
        <v>0.52</v>
      </c>
      <c r="L123" s="329">
        <v>0.71</v>
      </c>
      <c r="N123" s="312" t="s">
        <v>3448</v>
      </c>
      <c r="O123" s="312">
        <v>2011</v>
      </c>
      <c r="Q123" s="326" t="s">
        <v>4025</v>
      </c>
      <c r="R123" s="326">
        <v>2</v>
      </c>
      <c r="S123" s="330">
        <v>0.67024000000000006</v>
      </c>
      <c r="T123" s="315">
        <v>0.6801799999999999</v>
      </c>
      <c r="U123" s="330">
        <v>0.69934999999999992</v>
      </c>
      <c r="V123" s="330">
        <v>0.73555999999999999</v>
      </c>
      <c r="W123" s="330">
        <v>0.75189000000000006</v>
      </c>
      <c r="X123" s="330">
        <v>0.78738999999999992</v>
      </c>
      <c r="Y123" s="331">
        <v>0.74336999999999986</v>
      </c>
    </row>
    <row r="124" spans="1:25" x14ac:dyDescent="0.2">
      <c r="A124" s="359">
        <v>2</v>
      </c>
      <c r="B124" s="312" t="s">
        <v>4033</v>
      </c>
      <c r="C124" s="325" t="s">
        <v>1573</v>
      </c>
      <c r="D124" s="312" t="s">
        <v>820</v>
      </c>
      <c r="E124" s="312">
        <v>4</v>
      </c>
      <c r="F124" s="312">
        <v>4</v>
      </c>
      <c r="G124" s="312" t="s">
        <v>2108</v>
      </c>
      <c r="H124" s="329">
        <v>0</v>
      </c>
      <c r="I124" s="329">
        <v>123</v>
      </c>
      <c r="J124" s="329">
        <v>136</v>
      </c>
      <c r="K124" s="329">
        <v>259</v>
      </c>
      <c r="L124" s="329">
        <v>350</v>
      </c>
      <c r="N124" s="312" t="s">
        <v>3448</v>
      </c>
      <c r="O124" s="312">
        <v>2011</v>
      </c>
      <c r="Q124" s="326" t="s">
        <v>4034</v>
      </c>
      <c r="R124" s="326">
        <v>2</v>
      </c>
      <c r="S124" s="330">
        <v>330.40000000000003</v>
      </c>
      <c r="T124" s="315">
        <v>335.3</v>
      </c>
      <c r="U124" s="330">
        <v>344.75</v>
      </c>
      <c r="V124" s="330">
        <v>362.6</v>
      </c>
      <c r="W124" s="330">
        <v>370.65000000000003</v>
      </c>
      <c r="X124" s="330">
        <v>388.15</v>
      </c>
      <c r="Y124" s="331">
        <v>366.45</v>
      </c>
    </row>
    <row r="125" spans="1:25" x14ac:dyDescent="0.2">
      <c r="A125" s="359">
        <v>1</v>
      </c>
      <c r="B125" s="312" t="s">
        <v>4194</v>
      </c>
      <c r="C125" s="325" t="s">
        <v>1574</v>
      </c>
      <c r="D125" s="312" t="s">
        <v>1850</v>
      </c>
      <c r="E125" s="312">
        <v>153</v>
      </c>
      <c r="F125" s="312">
        <v>0.314</v>
      </c>
      <c r="G125" s="312" t="s">
        <v>1802</v>
      </c>
      <c r="H125" s="329">
        <v>48</v>
      </c>
      <c r="I125" s="329">
        <v>8.9</v>
      </c>
      <c r="J125" s="329">
        <v>4.8899999999999997</v>
      </c>
      <c r="K125" s="329">
        <v>61.79</v>
      </c>
      <c r="L125" s="329">
        <v>73</v>
      </c>
      <c r="N125" s="312" t="s">
        <v>3448</v>
      </c>
      <c r="O125" s="312">
        <v>2011</v>
      </c>
      <c r="Q125" s="326" t="s">
        <v>4195</v>
      </c>
      <c r="R125" s="326">
        <v>2</v>
      </c>
      <c r="S125" s="330">
        <v>68.912000000000006</v>
      </c>
      <c r="T125" s="315">
        <v>69.933999999999997</v>
      </c>
      <c r="U125" s="330">
        <v>71.905000000000001</v>
      </c>
      <c r="V125" s="330">
        <v>75.628</v>
      </c>
      <c r="W125" s="330">
        <v>77.307000000000016</v>
      </c>
      <c r="X125" s="330">
        <v>80.956999999999994</v>
      </c>
      <c r="Y125" s="331">
        <v>76.430999999999997</v>
      </c>
    </row>
    <row r="126" spans="1:25" x14ac:dyDescent="0.2">
      <c r="A126" s="359">
        <v>1</v>
      </c>
      <c r="B126" s="312" t="s">
        <v>4196</v>
      </c>
      <c r="C126" s="325" t="s">
        <v>1575</v>
      </c>
      <c r="D126" s="312" t="s">
        <v>1850</v>
      </c>
      <c r="E126" s="312">
        <v>102</v>
      </c>
      <c r="F126" s="312">
        <v>0.47099999999999997</v>
      </c>
      <c r="G126" s="312" t="s">
        <v>1802</v>
      </c>
      <c r="H126" s="329">
        <v>63.5</v>
      </c>
      <c r="I126" s="329">
        <v>13.35</v>
      </c>
      <c r="J126" s="329">
        <v>7.35</v>
      </c>
      <c r="K126" s="329">
        <v>84.2</v>
      </c>
      <c r="L126" s="329">
        <v>100</v>
      </c>
      <c r="N126" s="312" t="s">
        <v>3448</v>
      </c>
      <c r="O126" s="312">
        <v>2011</v>
      </c>
      <c r="Q126" s="326" t="s">
        <v>4197</v>
      </c>
      <c r="R126" s="326">
        <v>2</v>
      </c>
      <c r="S126" s="330">
        <v>94.4</v>
      </c>
      <c r="T126" s="315">
        <v>95.8</v>
      </c>
      <c r="U126" s="330">
        <v>98.5</v>
      </c>
      <c r="V126" s="330">
        <v>103.60000000000001</v>
      </c>
      <c r="W126" s="330">
        <v>105.90000000000002</v>
      </c>
      <c r="X126" s="330">
        <v>110.9</v>
      </c>
      <c r="Y126" s="331">
        <v>104.69999999999999</v>
      </c>
    </row>
    <row r="127" spans="1:25" x14ac:dyDescent="0.2">
      <c r="A127" s="359">
        <v>1</v>
      </c>
      <c r="B127" s="312" t="s">
        <v>4198</v>
      </c>
      <c r="C127" s="325" t="s">
        <v>1576</v>
      </c>
      <c r="D127" s="312" t="s">
        <v>1850</v>
      </c>
      <c r="E127" s="312">
        <v>60</v>
      </c>
      <c r="F127" s="312">
        <v>0.8</v>
      </c>
      <c r="G127" s="312" t="s">
        <v>1802</v>
      </c>
      <c r="H127" s="329">
        <v>102</v>
      </c>
      <c r="I127" s="329">
        <v>22.5</v>
      </c>
      <c r="J127" s="329">
        <v>12.5</v>
      </c>
      <c r="K127" s="329">
        <v>137</v>
      </c>
      <c r="L127" s="329">
        <v>164</v>
      </c>
      <c r="N127" s="312" t="s">
        <v>3448</v>
      </c>
      <c r="O127" s="312">
        <v>2011</v>
      </c>
      <c r="Q127" s="326" t="s">
        <v>4199</v>
      </c>
      <c r="R127" s="326">
        <v>2</v>
      </c>
      <c r="S127" s="330">
        <v>154.816</v>
      </c>
      <c r="T127" s="315">
        <v>157.11199999999999</v>
      </c>
      <c r="U127" s="330">
        <v>161.54</v>
      </c>
      <c r="V127" s="330">
        <v>169.904</v>
      </c>
      <c r="W127" s="330">
        <v>173.67600000000002</v>
      </c>
      <c r="X127" s="330">
        <v>181.876</v>
      </c>
      <c r="Y127" s="331">
        <v>171.708</v>
      </c>
    </row>
    <row r="128" spans="1:25" x14ac:dyDescent="0.2">
      <c r="A128" s="359">
        <v>1</v>
      </c>
      <c r="B128" s="312" t="s">
        <v>4191</v>
      </c>
      <c r="C128" s="325" t="s">
        <v>4192</v>
      </c>
      <c r="D128" s="312" t="s">
        <v>1850</v>
      </c>
      <c r="E128" s="312">
        <v>163</v>
      </c>
      <c r="F128" s="312">
        <v>0.29399999999999998</v>
      </c>
      <c r="G128" s="312" t="s">
        <v>1802</v>
      </c>
      <c r="H128" s="329">
        <v>33</v>
      </c>
      <c r="I128" s="329">
        <v>8.35</v>
      </c>
      <c r="J128" s="329">
        <v>4.59</v>
      </c>
      <c r="K128" s="329">
        <v>45.94</v>
      </c>
      <c r="L128" s="329">
        <v>55.5</v>
      </c>
      <c r="N128" s="312" t="s">
        <v>3448</v>
      </c>
      <c r="O128" s="312">
        <v>2011</v>
      </c>
      <c r="Q128" s="326" t="s">
        <v>4193</v>
      </c>
      <c r="R128" s="326">
        <v>2</v>
      </c>
      <c r="S128" s="330">
        <v>52.392000000000003</v>
      </c>
      <c r="T128" s="315">
        <v>53.168999999999997</v>
      </c>
      <c r="U128" s="330">
        <v>54.667499999999997</v>
      </c>
      <c r="V128" s="330">
        <v>57.498000000000005</v>
      </c>
      <c r="W128" s="330">
        <v>58.77450000000001</v>
      </c>
      <c r="X128" s="330">
        <v>61.549500000000002</v>
      </c>
      <c r="Y128" s="331">
        <v>58.108499999999999</v>
      </c>
    </row>
    <row r="129" spans="1:25" ht="20.399999999999999" x14ac:dyDescent="0.2">
      <c r="A129" s="359">
        <v>1</v>
      </c>
      <c r="B129" s="312" t="s">
        <v>4234</v>
      </c>
      <c r="C129" s="325" t="s">
        <v>4235</v>
      </c>
      <c r="D129" s="312" t="s">
        <v>1850</v>
      </c>
      <c r="E129" s="312">
        <v>49</v>
      </c>
      <c r="F129" s="312">
        <v>0.98</v>
      </c>
      <c r="G129" s="312" t="s">
        <v>2202</v>
      </c>
      <c r="H129" s="329">
        <v>22</v>
      </c>
      <c r="I129" s="329">
        <v>28</v>
      </c>
      <c r="J129" s="329">
        <v>15.3</v>
      </c>
      <c r="K129" s="329">
        <v>65.3</v>
      </c>
      <c r="L129" s="329">
        <v>88</v>
      </c>
      <c r="N129" s="312" t="s">
        <v>3448</v>
      </c>
      <c r="O129" s="312">
        <v>2011</v>
      </c>
      <c r="Q129" s="326" t="s">
        <v>4236</v>
      </c>
      <c r="R129" s="326">
        <v>2</v>
      </c>
      <c r="S129" s="330">
        <v>83.072000000000003</v>
      </c>
      <c r="T129" s="315">
        <v>84.304000000000002</v>
      </c>
      <c r="U129" s="330">
        <v>86.679999999999993</v>
      </c>
      <c r="V129" s="330">
        <v>91.168000000000006</v>
      </c>
      <c r="W129" s="330">
        <v>93.192000000000007</v>
      </c>
      <c r="X129" s="330">
        <v>97.591999999999999</v>
      </c>
      <c r="Y129" s="331">
        <v>92.135999999999996</v>
      </c>
    </row>
    <row r="130" spans="1:25" ht="20.399999999999999" x14ac:dyDescent="0.2">
      <c r="A130" s="359">
        <v>1</v>
      </c>
      <c r="B130" s="312" t="s">
        <v>4240</v>
      </c>
      <c r="C130" s="325" t="s">
        <v>4241</v>
      </c>
      <c r="D130" s="312" t="s">
        <v>1850</v>
      </c>
      <c r="E130" s="312">
        <v>14</v>
      </c>
      <c r="F130" s="312">
        <v>3.4289999999999998</v>
      </c>
      <c r="G130" s="312" t="s">
        <v>2202</v>
      </c>
      <c r="H130" s="329">
        <v>77.5</v>
      </c>
      <c r="I130" s="329">
        <v>97</v>
      </c>
      <c r="J130" s="329">
        <v>53.5</v>
      </c>
      <c r="K130" s="329">
        <v>228</v>
      </c>
      <c r="L130" s="329">
        <v>305</v>
      </c>
      <c r="N130" s="312" t="s">
        <v>3448</v>
      </c>
      <c r="O130" s="312">
        <v>2011</v>
      </c>
      <c r="Q130" s="326" t="s">
        <v>4242</v>
      </c>
      <c r="R130" s="326">
        <v>2</v>
      </c>
      <c r="S130" s="330">
        <v>287.92</v>
      </c>
      <c r="T130" s="315">
        <v>292.19</v>
      </c>
      <c r="U130" s="330">
        <v>300.42500000000001</v>
      </c>
      <c r="V130" s="330">
        <v>315.98</v>
      </c>
      <c r="W130" s="330">
        <v>322.99500000000006</v>
      </c>
      <c r="X130" s="330">
        <v>338.245</v>
      </c>
      <c r="Y130" s="331">
        <v>319.33499999999998</v>
      </c>
    </row>
    <row r="131" spans="1:25" ht="20.399999999999999" x14ac:dyDescent="0.2">
      <c r="A131" s="359">
        <v>1</v>
      </c>
      <c r="B131" s="312" t="s">
        <v>4237</v>
      </c>
      <c r="C131" s="325" t="s">
        <v>4238</v>
      </c>
      <c r="D131" s="312" t="s">
        <v>1850</v>
      </c>
      <c r="E131" s="312">
        <v>24</v>
      </c>
      <c r="F131" s="312">
        <v>2</v>
      </c>
      <c r="G131" s="312" t="s">
        <v>2202</v>
      </c>
      <c r="H131" s="329">
        <v>50</v>
      </c>
      <c r="I131" s="329">
        <v>56.5</v>
      </c>
      <c r="J131" s="329">
        <v>31</v>
      </c>
      <c r="K131" s="329">
        <v>137.5</v>
      </c>
      <c r="L131" s="329">
        <v>184</v>
      </c>
      <c r="N131" s="312" t="s">
        <v>3448</v>
      </c>
      <c r="O131" s="312">
        <v>2011</v>
      </c>
      <c r="Q131" s="326" t="s">
        <v>4239</v>
      </c>
      <c r="R131" s="326">
        <v>2</v>
      </c>
      <c r="S131" s="330">
        <v>173.696</v>
      </c>
      <c r="T131" s="315">
        <v>176.27199999999999</v>
      </c>
      <c r="U131" s="330">
        <v>181.24</v>
      </c>
      <c r="V131" s="330">
        <v>190.624</v>
      </c>
      <c r="W131" s="330">
        <v>194.85600000000002</v>
      </c>
      <c r="X131" s="330">
        <v>204.05599999999998</v>
      </c>
      <c r="Y131" s="331">
        <v>192.648</v>
      </c>
    </row>
    <row r="132" spans="1:25" x14ac:dyDescent="0.2">
      <c r="A132" s="359">
        <v>1</v>
      </c>
      <c r="B132" s="312" t="s">
        <v>4290</v>
      </c>
      <c r="C132" s="325" t="s">
        <v>4291</v>
      </c>
      <c r="D132" s="312" t="s">
        <v>145</v>
      </c>
      <c r="E132" s="312">
        <v>28</v>
      </c>
      <c r="F132" s="312">
        <v>0.85699999999999998</v>
      </c>
      <c r="G132" s="312" t="s">
        <v>2377</v>
      </c>
      <c r="H132" s="329">
        <v>30</v>
      </c>
      <c r="I132" s="329">
        <v>23.5</v>
      </c>
      <c r="J132" s="329">
        <v>0</v>
      </c>
      <c r="K132" s="329">
        <v>53.5</v>
      </c>
      <c r="L132" s="329">
        <v>72</v>
      </c>
      <c r="N132" s="312" t="s">
        <v>3448</v>
      </c>
      <c r="O132" s="312">
        <v>2011</v>
      </c>
      <c r="Q132" s="326" t="s">
        <v>4292</v>
      </c>
      <c r="R132" s="326">
        <v>2</v>
      </c>
      <c r="S132" s="330">
        <v>67.968000000000004</v>
      </c>
      <c r="T132" s="315">
        <v>68.975999999999999</v>
      </c>
      <c r="U132" s="330">
        <v>70.92</v>
      </c>
      <c r="V132" s="330">
        <v>74.591999999999999</v>
      </c>
      <c r="W132" s="330">
        <v>76.248000000000019</v>
      </c>
      <c r="X132" s="330">
        <v>79.847999999999999</v>
      </c>
      <c r="Y132" s="331">
        <v>75.384</v>
      </c>
    </row>
    <row r="133" spans="1:25" ht="20.399999999999999" x14ac:dyDescent="0.2">
      <c r="A133" s="359">
        <v>1</v>
      </c>
      <c r="B133" s="312" t="s">
        <v>4227</v>
      </c>
      <c r="C133" s="325" t="s">
        <v>4228</v>
      </c>
      <c r="D133" s="312" t="s">
        <v>814</v>
      </c>
      <c r="E133" s="312">
        <v>400</v>
      </c>
      <c r="F133" s="312">
        <v>0.06</v>
      </c>
      <c r="G133" s="312" t="s">
        <v>2202</v>
      </c>
      <c r="H133" s="329">
        <v>7.9</v>
      </c>
      <c r="I133" s="329">
        <v>1.59</v>
      </c>
      <c r="J133" s="329">
        <v>0.45</v>
      </c>
      <c r="K133" s="329">
        <v>9.94</v>
      </c>
      <c r="L133" s="329">
        <v>11.85</v>
      </c>
      <c r="N133" s="312" t="s">
        <v>3448</v>
      </c>
      <c r="O133" s="312">
        <v>2011</v>
      </c>
      <c r="Q133" s="326" t="s">
        <v>4229</v>
      </c>
      <c r="R133" s="326">
        <v>2</v>
      </c>
      <c r="S133" s="330">
        <v>11.186400000000001</v>
      </c>
      <c r="T133" s="315">
        <v>11.3523</v>
      </c>
      <c r="U133" s="330">
        <v>11.67225</v>
      </c>
      <c r="V133" s="330">
        <v>12.2766</v>
      </c>
      <c r="W133" s="330">
        <v>12.549150000000001</v>
      </c>
      <c r="X133" s="330">
        <v>13.14165</v>
      </c>
      <c r="Y133" s="331">
        <v>12.406949999999998</v>
      </c>
    </row>
    <row r="134" spans="1:25" ht="20.399999999999999" x14ac:dyDescent="0.2">
      <c r="A134" s="359">
        <v>1</v>
      </c>
      <c r="B134" s="312" t="s">
        <v>4224</v>
      </c>
      <c r="C134" s="325" t="s">
        <v>4225</v>
      </c>
      <c r="D134" s="312" t="s">
        <v>814</v>
      </c>
      <c r="E134" s="312">
        <v>480</v>
      </c>
      <c r="F134" s="312">
        <v>0.05</v>
      </c>
      <c r="G134" s="312" t="s">
        <v>2202</v>
      </c>
      <c r="H134" s="329">
        <v>40</v>
      </c>
      <c r="I134" s="329">
        <v>1.32</v>
      </c>
      <c r="J134" s="329">
        <v>0.37</v>
      </c>
      <c r="K134" s="329">
        <v>41.69</v>
      </c>
      <c r="L134" s="329">
        <v>46.5</v>
      </c>
      <c r="N134" s="312" t="s">
        <v>3448</v>
      </c>
      <c r="O134" s="312">
        <v>2011</v>
      </c>
      <c r="Q134" s="326" t="s">
        <v>4226</v>
      </c>
      <c r="R134" s="326">
        <v>2</v>
      </c>
      <c r="S134" s="330">
        <v>43.896000000000001</v>
      </c>
      <c r="T134" s="315">
        <v>44.546999999999997</v>
      </c>
      <c r="U134" s="330">
        <v>45.802500000000002</v>
      </c>
      <c r="V134" s="330">
        <v>48.173999999999999</v>
      </c>
      <c r="W134" s="330">
        <v>49.243500000000004</v>
      </c>
      <c r="X134" s="330">
        <v>51.5685</v>
      </c>
      <c r="Y134" s="331">
        <v>48.685499999999998</v>
      </c>
    </row>
    <row r="135" spans="1:25" ht="20.399999999999999" x14ac:dyDescent="0.2">
      <c r="A135" s="359">
        <v>1</v>
      </c>
      <c r="B135" s="312" t="s">
        <v>3857</v>
      </c>
      <c r="C135" s="325" t="s">
        <v>3858</v>
      </c>
      <c r="D135" s="312" t="s">
        <v>63</v>
      </c>
      <c r="E135" s="312">
        <v>14</v>
      </c>
      <c r="F135" s="312">
        <v>0.57099999999999995</v>
      </c>
      <c r="G135" s="312" t="s">
        <v>2265</v>
      </c>
      <c r="H135" s="329">
        <v>655</v>
      </c>
      <c r="I135" s="329">
        <v>22.5</v>
      </c>
      <c r="J135" s="329">
        <v>0</v>
      </c>
      <c r="K135" s="329">
        <v>677.5</v>
      </c>
      <c r="L135" s="329">
        <v>755</v>
      </c>
      <c r="N135" s="312" t="s">
        <v>3448</v>
      </c>
      <c r="O135" s="312">
        <v>2011</v>
      </c>
      <c r="Q135" s="326" t="s">
        <v>3859</v>
      </c>
      <c r="R135" s="326">
        <v>2</v>
      </c>
      <c r="S135" s="330">
        <v>712.72</v>
      </c>
      <c r="T135" s="315">
        <v>723.29</v>
      </c>
      <c r="U135" s="330">
        <v>743.67499999999995</v>
      </c>
      <c r="V135" s="330">
        <v>782.18000000000006</v>
      </c>
      <c r="W135" s="330">
        <v>799.54500000000007</v>
      </c>
      <c r="X135" s="330">
        <v>837.29499999999996</v>
      </c>
      <c r="Y135" s="331">
        <v>790.4849999999999</v>
      </c>
    </row>
    <row r="136" spans="1:25" ht="20.399999999999999" x14ac:dyDescent="0.2">
      <c r="A136" s="359">
        <v>1</v>
      </c>
      <c r="B136" s="312" t="s">
        <v>3854</v>
      </c>
      <c r="C136" s="325" t="s">
        <v>3855</v>
      </c>
      <c r="D136" s="312" t="s">
        <v>63</v>
      </c>
      <c r="E136" s="312">
        <v>16</v>
      </c>
      <c r="F136" s="312">
        <v>0.5</v>
      </c>
      <c r="G136" s="312" t="s">
        <v>2265</v>
      </c>
      <c r="H136" s="329">
        <v>530</v>
      </c>
      <c r="I136" s="329">
        <v>19.850000000000001</v>
      </c>
      <c r="J136" s="329">
        <v>0</v>
      </c>
      <c r="K136" s="329">
        <v>549.85</v>
      </c>
      <c r="L136" s="329">
        <v>620</v>
      </c>
      <c r="N136" s="312" t="s">
        <v>3448</v>
      </c>
      <c r="O136" s="312">
        <v>2011</v>
      </c>
      <c r="Q136" s="326" t="s">
        <v>3856</v>
      </c>
      <c r="R136" s="326">
        <v>2</v>
      </c>
      <c r="S136" s="330">
        <v>585.28000000000009</v>
      </c>
      <c r="T136" s="315">
        <v>593.95999999999992</v>
      </c>
      <c r="U136" s="330">
        <v>610.70000000000005</v>
      </c>
      <c r="V136" s="330">
        <v>642.32000000000005</v>
      </c>
      <c r="W136" s="330">
        <v>656.58000000000015</v>
      </c>
      <c r="X136" s="330">
        <v>687.58</v>
      </c>
      <c r="Y136" s="331">
        <v>649.14</v>
      </c>
    </row>
    <row r="137" spans="1:25" ht="20.399999999999999" x14ac:dyDescent="0.2">
      <c r="A137" s="359">
        <v>1</v>
      </c>
      <c r="B137" s="312" t="s">
        <v>3848</v>
      </c>
      <c r="C137" s="325" t="s">
        <v>3849</v>
      </c>
      <c r="D137" s="312" t="s">
        <v>63</v>
      </c>
      <c r="E137" s="312">
        <v>8</v>
      </c>
      <c r="F137" s="312">
        <v>1</v>
      </c>
      <c r="G137" s="312" t="s">
        <v>2265</v>
      </c>
      <c r="H137" s="329">
        <v>765</v>
      </c>
      <c r="I137" s="329">
        <v>39.5</v>
      </c>
      <c r="J137" s="329">
        <v>0</v>
      </c>
      <c r="K137" s="329">
        <v>804.5</v>
      </c>
      <c r="L137" s="329">
        <v>910</v>
      </c>
      <c r="N137" s="312" t="s">
        <v>3448</v>
      </c>
      <c r="O137" s="312">
        <v>2011</v>
      </c>
      <c r="Q137" s="326" t="s">
        <v>3850</v>
      </c>
      <c r="R137" s="326">
        <v>2</v>
      </c>
      <c r="S137" s="330">
        <v>859.04000000000008</v>
      </c>
      <c r="T137" s="315">
        <v>871.78</v>
      </c>
      <c r="U137" s="330">
        <v>896.35</v>
      </c>
      <c r="V137" s="330">
        <v>942.76</v>
      </c>
      <c r="W137" s="330">
        <v>963.69000000000017</v>
      </c>
      <c r="X137" s="330">
        <v>1009.1899999999999</v>
      </c>
      <c r="Y137" s="331">
        <v>952.77</v>
      </c>
    </row>
    <row r="138" spans="1:25" ht="20.399999999999999" x14ac:dyDescent="0.2">
      <c r="A138" s="359">
        <v>1</v>
      </c>
      <c r="B138" s="312" t="s">
        <v>3851</v>
      </c>
      <c r="C138" s="325" t="s">
        <v>3852</v>
      </c>
      <c r="D138" s="312" t="s">
        <v>63</v>
      </c>
      <c r="E138" s="312">
        <v>7</v>
      </c>
      <c r="F138" s="312">
        <v>1.143</v>
      </c>
      <c r="G138" s="312" t="s">
        <v>2265</v>
      </c>
      <c r="H138" s="329">
        <v>1000</v>
      </c>
      <c r="I138" s="329">
        <v>45.5</v>
      </c>
      <c r="J138" s="329">
        <v>0</v>
      </c>
      <c r="K138" s="329">
        <v>1045.5</v>
      </c>
      <c r="L138" s="329">
        <v>1175</v>
      </c>
      <c r="N138" s="312" t="s">
        <v>3448</v>
      </c>
      <c r="O138" s="312">
        <v>2011</v>
      </c>
      <c r="Q138" s="326" t="s">
        <v>3853</v>
      </c>
      <c r="R138" s="326">
        <v>2</v>
      </c>
      <c r="S138" s="330">
        <v>1109.2</v>
      </c>
      <c r="T138" s="315">
        <v>1125.6499999999999</v>
      </c>
      <c r="U138" s="330">
        <v>1157.375</v>
      </c>
      <c r="V138" s="330">
        <v>1217.3</v>
      </c>
      <c r="W138" s="330">
        <v>1244.3250000000003</v>
      </c>
      <c r="X138" s="330">
        <v>1303.075</v>
      </c>
      <c r="Y138" s="331">
        <v>1230.2249999999999</v>
      </c>
    </row>
    <row r="139" spans="1:25" ht="20.399999999999999" x14ac:dyDescent="0.2">
      <c r="A139" s="359">
        <v>1</v>
      </c>
      <c r="B139" s="312" t="s">
        <v>3845</v>
      </c>
      <c r="C139" s="325" t="s">
        <v>3846</v>
      </c>
      <c r="D139" s="312" t="s">
        <v>63</v>
      </c>
      <c r="E139" s="312">
        <v>14</v>
      </c>
      <c r="F139" s="312">
        <v>0.57099999999999995</v>
      </c>
      <c r="G139" s="312" t="s">
        <v>2265</v>
      </c>
      <c r="H139" s="329">
        <v>1025</v>
      </c>
      <c r="I139" s="329">
        <v>22.5</v>
      </c>
      <c r="J139" s="329">
        <v>0</v>
      </c>
      <c r="K139" s="329">
        <v>1047.5</v>
      </c>
      <c r="L139" s="329">
        <v>1150</v>
      </c>
      <c r="N139" s="312" t="s">
        <v>3448</v>
      </c>
      <c r="O139" s="312">
        <v>2011</v>
      </c>
      <c r="Q139" s="326" t="s">
        <v>3847</v>
      </c>
      <c r="R139" s="326">
        <v>2</v>
      </c>
      <c r="S139" s="330">
        <v>1085.6000000000001</v>
      </c>
      <c r="T139" s="315">
        <v>1101.7</v>
      </c>
      <c r="U139" s="330">
        <v>1132.75</v>
      </c>
      <c r="V139" s="330">
        <v>1191.4000000000001</v>
      </c>
      <c r="W139" s="330">
        <v>1217.8500000000001</v>
      </c>
      <c r="X139" s="330">
        <v>1275.3499999999999</v>
      </c>
      <c r="Y139" s="331">
        <v>1204.05</v>
      </c>
    </row>
    <row r="140" spans="1:25" ht="20.399999999999999" x14ac:dyDescent="0.2">
      <c r="A140" s="359">
        <v>1</v>
      </c>
      <c r="B140" s="312" t="s">
        <v>3842</v>
      </c>
      <c r="C140" s="325" t="s">
        <v>3843</v>
      </c>
      <c r="D140" s="312" t="s">
        <v>63</v>
      </c>
      <c r="E140" s="312">
        <v>12</v>
      </c>
      <c r="F140" s="312">
        <v>0.66700000000000004</v>
      </c>
      <c r="G140" s="312" t="s">
        <v>2265</v>
      </c>
      <c r="H140" s="329">
        <v>520</v>
      </c>
      <c r="I140" s="329">
        <v>26.5</v>
      </c>
      <c r="J140" s="329">
        <v>0</v>
      </c>
      <c r="K140" s="329">
        <v>546.5</v>
      </c>
      <c r="L140" s="329">
        <v>615</v>
      </c>
      <c r="N140" s="312" t="s">
        <v>3448</v>
      </c>
      <c r="O140" s="312">
        <v>2011</v>
      </c>
      <c r="Q140" s="326" t="s">
        <v>3844</v>
      </c>
      <c r="R140" s="326">
        <v>2</v>
      </c>
      <c r="S140" s="330">
        <v>580.56000000000006</v>
      </c>
      <c r="T140" s="315">
        <v>589.16999999999996</v>
      </c>
      <c r="U140" s="330">
        <v>605.77499999999998</v>
      </c>
      <c r="V140" s="330">
        <v>637.14</v>
      </c>
      <c r="W140" s="330">
        <v>651.28500000000008</v>
      </c>
      <c r="X140" s="330">
        <v>682.03499999999997</v>
      </c>
      <c r="Y140" s="331">
        <v>643.90499999999997</v>
      </c>
    </row>
    <row r="141" spans="1:25" ht="20.399999999999999" x14ac:dyDescent="0.2">
      <c r="A141" s="359">
        <v>1</v>
      </c>
      <c r="B141" s="312" t="s">
        <v>3839</v>
      </c>
      <c r="C141" s="325" t="s">
        <v>3840</v>
      </c>
      <c r="D141" s="312" t="s">
        <v>63</v>
      </c>
      <c r="E141" s="312">
        <v>14</v>
      </c>
      <c r="F141" s="312">
        <v>0.57099999999999995</v>
      </c>
      <c r="G141" s="312" t="s">
        <v>2265</v>
      </c>
      <c r="H141" s="329">
        <v>405</v>
      </c>
      <c r="I141" s="329">
        <v>22.5</v>
      </c>
      <c r="J141" s="329">
        <v>0</v>
      </c>
      <c r="K141" s="329">
        <v>427.5</v>
      </c>
      <c r="L141" s="329">
        <v>480</v>
      </c>
      <c r="N141" s="312" t="s">
        <v>3448</v>
      </c>
      <c r="O141" s="312">
        <v>2011</v>
      </c>
      <c r="Q141" s="326" t="s">
        <v>3841</v>
      </c>
      <c r="R141" s="326">
        <v>2</v>
      </c>
      <c r="S141" s="330">
        <v>453.12</v>
      </c>
      <c r="T141" s="315">
        <v>459.84</v>
      </c>
      <c r="U141" s="330">
        <v>472.8</v>
      </c>
      <c r="V141" s="330">
        <v>497.28000000000003</v>
      </c>
      <c r="W141" s="330">
        <v>508.32000000000005</v>
      </c>
      <c r="X141" s="330">
        <v>532.31999999999994</v>
      </c>
      <c r="Y141" s="331">
        <v>502.55999999999995</v>
      </c>
    </row>
    <row r="142" spans="1:25" x14ac:dyDescent="0.2">
      <c r="A142" s="359">
        <v>4</v>
      </c>
      <c r="B142" s="312" t="s">
        <v>3485</v>
      </c>
      <c r="C142" s="325" t="s">
        <v>2203</v>
      </c>
      <c r="D142" s="312" t="s">
        <v>19</v>
      </c>
      <c r="E142" s="312">
        <v>45</v>
      </c>
      <c r="F142" s="312">
        <v>0.88900000000000001</v>
      </c>
      <c r="G142" s="312" t="s">
        <v>2840</v>
      </c>
      <c r="H142" s="329">
        <v>0</v>
      </c>
      <c r="I142" s="329">
        <v>25.5</v>
      </c>
      <c r="J142" s="329">
        <v>26.5</v>
      </c>
      <c r="K142" s="329">
        <v>52</v>
      </c>
      <c r="L142" s="329">
        <v>71.5</v>
      </c>
      <c r="N142" s="312" t="s">
        <v>3448</v>
      </c>
      <c r="O142" s="312">
        <v>2011</v>
      </c>
      <c r="Q142" s="326" t="s">
        <v>3486</v>
      </c>
      <c r="R142" s="326">
        <v>2</v>
      </c>
      <c r="S142" s="330">
        <v>67.496000000000009</v>
      </c>
      <c r="T142" s="315">
        <v>68.497</v>
      </c>
      <c r="U142" s="330">
        <v>70.427499999999995</v>
      </c>
      <c r="V142" s="330">
        <v>74.073999999999998</v>
      </c>
      <c r="W142" s="330">
        <v>75.718500000000006</v>
      </c>
      <c r="X142" s="330">
        <v>79.293499999999995</v>
      </c>
      <c r="Y142" s="331">
        <v>74.860500000000002</v>
      </c>
    </row>
    <row r="143" spans="1:25" ht="20.399999999999999" x14ac:dyDescent="0.2">
      <c r="A143" s="359">
        <v>3</v>
      </c>
      <c r="B143" s="312" t="s">
        <v>3471</v>
      </c>
      <c r="C143" s="325" t="s">
        <v>3472</v>
      </c>
      <c r="D143" s="312" t="s">
        <v>22</v>
      </c>
      <c r="E143" s="312">
        <v>4</v>
      </c>
      <c r="F143" s="312">
        <v>2</v>
      </c>
      <c r="G143" s="312" t="s">
        <v>2265</v>
      </c>
      <c r="H143" s="329">
        <v>0</v>
      </c>
      <c r="I143" s="329">
        <v>106</v>
      </c>
      <c r="J143" s="329">
        <v>114</v>
      </c>
      <c r="K143" s="329">
        <v>220</v>
      </c>
      <c r="L143" s="329">
        <v>300</v>
      </c>
      <c r="N143" s="312" t="s">
        <v>3448</v>
      </c>
      <c r="O143" s="312">
        <v>2011</v>
      </c>
      <c r="Q143" s="326" t="s">
        <v>3473</v>
      </c>
      <c r="R143" s="326">
        <v>2</v>
      </c>
      <c r="S143" s="330">
        <v>283.20000000000005</v>
      </c>
      <c r="T143" s="315">
        <v>287.39999999999998</v>
      </c>
      <c r="U143" s="330">
        <v>295.5</v>
      </c>
      <c r="V143" s="330">
        <v>310.8</v>
      </c>
      <c r="W143" s="330">
        <v>317.70000000000005</v>
      </c>
      <c r="X143" s="330">
        <v>332.7</v>
      </c>
      <c r="Y143" s="331">
        <v>314.09999999999997</v>
      </c>
    </row>
    <row r="144" spans="1:25" ht="20.399999999999999" x14ac:dyDescent="0.2">
      <c r="A144" s="359">
        <v>3</v>
      </c>
      <c r="B144" s="312" t="s">
        <v>3468</v>
      </c>
      <c r="C144" s="325" t="s">
        <v>3469</v>
      </c>
      <c r="D144" s="312" t="s">
        <v>24</v>
      </c>
      <c r="E144" s="312">
        <v>8</v>
      </c>
      <c r="F144" s="312">
        <v>1</v>
      </c>
      <c r="G144" s="312" t="s">
        <v>2265</v>
      </c>
      <c r="H144" s="329">
        <v>0</v>
      </c>
      <c r="I144" s="329">
        <v>53</v>
      </c>
      <c r="J144" s="329">
        <v>29.2</v>
      </c>
      <c r="K144" s="329">
        <v>82.2</v>
      </c>
      <c r="L144" s="329">
        <v>120</v>
      </c>
      <c r="N144" s="312" t="s">
        <v>3448</v>
      </c>
      <c r="O144" s="312">
        <v>2011</v>
      </c>
      <c r="Q144" s="326" t="s">
        <v>3470</v>
      </c>
      <c r="R144" s="326">
        <v>2</v>
      </c>
      <c r="S144" s="330">
        <v>113.28</v>
      </c>
      <c r="T144" s="315">
        <v>114.96</v>
      </c>
      <c r="U144" s="330">
        <v>118.2</v>
      </c>
      <c r="V144" s="330">
        <v>124.32000000000001</v>
      </c>
      <c r="W144" s="330">
        <v>127.08000000000001</v>
      </c>
      <c r="X144" s="330">
        <v>133.07999999999998</v>
      </c>
      <c r="Y144" s="331">
        <v>125.63999999999999</v>
      </c>
    </row>
    <row r="145" spans="1:25" ht="20.399999999999999" x14ac:dyDescent="0.2">
      <c r="A145" s="359">
        <v>3</v>
      </c>
      <c r="B145" s="312" t="s">
        <v>3462</v>
      </c>
      <c r="C145" s="325" t="s">
        <v>519</v>
      </c>
      <c r="D145" s="312" t="s">
        <v>26</v>
      </c>
      <c r="E145" s="312">
        <v>4</v>
      </c>
      <c r="F145" s="312">
        <v>2</v>
      </c>
      <c r="G145" s="312" t="s">
        <v>2265</v>
      </c>
      <c r="H145" s="329">
        <v>0</v>
      </c>
      <c r="I145" s="329">
        <v>109</v>
      </c>
      <c r="J145" s="329">
        <v>232</v>
      </c>
      <c r="K145" s="329">
        <v>341</v>
      </c>
      <c r="L145" s="329">
        <v>436</v>
      </c>
      <c r="N145" s="312" t="s">
        <v>3448</v>
      </c>
      <c r="O145" s="312">
        <v>2011</v>
      </c>
      <c r="Q145" s="326" t="s">
        <v>3463</v>
      </c>
      <c r="R145" s="326">
        <v>2</v>
      </c>
      <c r="S145" s="330">
        <v>411.584</v>
      </c>
      <c r="T145" s="315">
        <v>417.68799999999999</v>
      </c>
      <c r="U145" s="330">
        <v>429.46</v>
      </c>
      <c r="V145" s="330">
        <v>451.69600000000003</v>
      </c>
      <c r="W145" s="330">
        <v>461.72400000000005</v>
      </c>
      <c r="X145" s="330">
        <v>483.524</v>
      </c>
      <c r="Y145" s="331">
        <v>456.49199999999996</v>
      </c>
    </row>
    <row r="146" spans="1:25" ht="20.399999999999999" x14ac:dyDescent="0.2">
      <c r="A146" s="359">
        <v>3</v>
      </c>
      <c r="B146" s="312" t="s">
        <v>3464</v>
      </c>
      <c r="C146" s="325" t="s">
        <v>3465</v>
      </c>
      <c r="D146" s="312" t="s">
        <v>3466</v>
      </c>
      <c r="E146" s="312">
        <v>3</v>
      </c>
      <c r="F146" s="312">
        <v>2.6669999999999998</v>
      </c>
      <c r="G146" s="312" t="s">
        <v>2265</v>
      </c>
      <c r="H146" s="329">
        <v>0</v>
      </c>
      <c r="I146" s="329">
        <v>145</v>
      </c>
      <c r="J146" s="329">
        <v>518</v>
      </c>
      <c r="K146" s="329">
        <v>663</v>
      </c>
      <c r="L146" s="329">
        <v>810</v>
      </c>
      <c r="N146" s="312" t="s">
        <v>3448</v>
      </c>
      <c r="O146" s="312">
        <v>2011</v>
      </c>
      <c r="Q146" s="326" t="s">
        <v>3467</v>
      </c>
      <c r="R146" s="326">
        <v>2</v>
      </c>
      <c r="S146" s="330">
        <v>764.6400000000001</v>
      </c>
      <c r="T146" s="315">
        <v>775.98</v>
      </c>
      <c r="U146" s="330">
        <v>797.85</v>
      </c>
      <c r="V146" s="330">
        <v>839.16000000000008</v>
      </c>
      <c r="W146" s="330">
        <v>857.79000000000008</v>
      </c>
      <c r="X146" s="330">
        <v>898.29</v>
      </c>
      <c r="Y146" s="331">
        <v>848.06999999999994</v>
      </c>
    </row>
    <row r="147" spans="1:25" ht="20.399999999999999" x14ac:dyDescent="0.2">
      <c r="A147" s="359">
        <v>1</v>
      </c>
      <c r="B147" s="312" t="s">
        <v>3800</v>
      </c>
      <c r="C147" s="325" t="s">
        <v>3801</v>
      </c>
      <c r="G147" s="312" t="s">
        <v>2202</v>
      </c>
      <c r="H147" s="329">
        <v>1.8</v>
      </c>
      <c r="I147" s="329">
        <v>0</v>
      </c>
      <c r="J147" s="329">
        <v>0</v>
      </c>
      <c r="K147" s="329">
        <v>1.8</v>
      </c>
      <c r="L147" s="329">
        <v>1.98</v>
      </c>
      <c r="N147" s="312" t="s">
        <v>3448</v>
      </c>
      <c r="O147" s="312">
        <v>2011</v>
      </c>
      <c r="Q147" s="326" t="s">
        <v>3802</v>
      </c>
      <c r="R147" s="326">
        <v>2</v>
      </c>
      <c r="S147" s="330">
        <v>1.8691200000000001</v>
      </c>
      <c r="T147" s="315">
        <v>1.8968399999999999</v>
      </c>
      <c r="U147" s="330">
        <v>1.9502999999999999</v>
      </c>
      <c r="V147" s="330">
        <v>2.0512800000000002</v>
      </c>
      <c r="W147" s="330">
        <v>2.0968200000000001</v>
      </c>
      <c r="X147" s="330">
        <v>2.1958199999999999</v>
      </c>
      <c r="Y147" s="331">
        <v>2.0730599999999999</v>
      </c>
    </row>
    <row r="148" spans="1:25" ht="20.399999999999999" x14ac:dyDescent="0.2">
      <c r="A148" s="359">
        <v>1</v>
      </c>
      <c r="B148" s="312" t="s">
        <v>3803</v>
      </c>
      <c r="C148" s="325" t="s">
        <v>3804</v>
      </c>
      <c r="G148" s="312" t="s">
        <v>2202</v>
      </c>
      <c r="H148" s="329">
        <v>1.8</v>
      </c>
      <c r="I148" s="329">
        <v>0</v>
      </c>
      <c r="J148" s="329">
        <v>0</v>
      </c>
      <c r="K148" s="329">
        <v>1.8</v>
      </c>
      <c r="L148" s="329">
        <v>1.98</v>
      </c>
      <c r="N148" s="312" t="s">
        <v>3448</v>
      </c>
      <c r="O148" s="312">
        <v>2011</v>
      </c>
      <c r="Q148" s="326" t="s">
        <v>3805</v>
      </c>
      <c r="R148" s="326">
        <v>2</v>
      </c>
      <c r="S148" s="330">
        <v>1.8691200000000001</v>
      </c>
      <c r="T148" s="315">
        <v>1.8968399999999999</v>
      </c>
      <c r="U148" s="330">
        <v>1.9502999999999999</v>
      </c>
      <c r="V148" s="330">
        <v>2.0512800000000002</v>
      </c>
      <c r="W148" s="330">
        <v>2.0968200000000001</v>
      </c>
      <c r="X148" s="330">
        <v>2.1958199999999999</v>
      </c>
      <c r="Y148" s="331">
        <v>2.0730599999999999</v>
      </c>
    </row>
    <row r="149" spans="1:25" ht="20.399999999999999" x14ac:dyDescent="0.2">
      <c r="A149" s="359">
        <v>1</v>
      </c>
      <c r="B149" s="312" t="s">
        <v>3806</v>
      </c>
      <c r="C149" s="325" t="s">
        <v>3807</v>
      </c>
      <c r="G149" s="312" t="s">
        <v>2202</v>
      </c>
      <c r="H149" s="329">
        <v>1.78</v>
      </c>
      <c r="I149" s="329">
        <v>0</v>
      </c>
      <c r="J149" s="329">
        <v>0</v>
      </c>
      <c r="K149" s="329">
        <v>1.78</v>
      </c>
      <c r="L149" s="329">
        <v>1.958</v>
      </c>
      <c r="N149" s="312" t="s">
        <v>3448</v>
      </c>
      <c r="O149" s="312">
        <v>2011</v>
      </c>
      <c r="Q149" s="326" t="s">
        <v>3808</v>
      </c>
      <c r="R149" s="326">
        <v>2</v>
      </c>
      <c r="S149" s="330">
        <v>1.848352</v>
      </c>
      <c r="T149" s="315">
        <v>1.875764</v>
      </c>
      <c r="U149" s="330">
        <v>1.9286299999999998</v>
      </c>
      <c r="V149" s="330">
        <v>2.0284879999999998</v>
      </c>
      <c r="W149" s="330">
        <v>2.0735220000000001</v>
      </c>
      <c r="X149" s="330">
        <v>2.1714219999999997</v>
      </c>
      <c r="Y149" s="331">
        <v>2.0500259999999999</v>
      </c>
    </row>
    <row r="150" spans="1:25" ht="20.399999999999999" x14ac:dyDescent="0.2">
      <c r="A150" s="359">
        <v>1</v>
      </c>
      <c r="B150" s="312" t="s">
        <v>3815</v>
      </c>
      <c r="C150" s="325" t="s">
        <v>3816</v>
      </c>
      <c r="G150" s="312" t="s">
        <v>2202</v>
      </c>
      <c r="H150" s="329">
        <v>3.82</v>
      </c>
      <c r="I150" s="329">
        <v>0</v>
      </c>
      <c r="J150" s="329">
        <v>0</v>
      </c>
      <c r="K150" s="329">
        <v>3.82</v>
      </c>
      <c r="L150" s="329">
        <v>4.202</v>
      </c>
      <c r="N150" s="312" t="s">
        <v>3448</v>
      </c>
      <c r="O150" s="312">
        <v>2011</v>
      </c>
      <c r="Q150" s="326" t="s">
        <v>3817</v>
      </c>
      <c r="R150" s="326">
        <v>2</v>
      </c>
      <c r="S150" s="330">
        <v>3.9666880000000004</v>
      </c>
      <c r="T150" s="315">
        <v>4.0255159999999997</v>
      </c>
      <c r="U150" s="330">
        <v>4.1389699999999996</v>
      </c>
      <c r="V150" s="330">
        <v>4.3532720000000005</v>
      </c>
      <c r="W150" s="330">
        <v>4.4499180000000003</v>
      </c>
      <c r="X150" s="330">
        <v>4.660018</v>
      </c>
      <c r="Y150" s="331">
        <v>4.3994939999999998</v>
      </c>
    </row>
    <row r="151" spans="1:25" ht="20.399999999999999" x14ac:dyDescent="0.2">
      <c r="A151" s="359">
        <v>1</v>
      </c>
      <c r="B151" s="312" t="s">
        <v>3818</v>
      </c>
      <c r="C151" s="325" t="s">
        <v>3819</v>
      </c>
      <c r="G151" s="312" t="s">
        <v>2202</v>
      </c>
      <c r="H151" s="329">
        <v>3.81</v>
      </c>
      <c r="I151" s="329">
        <v>0</v>
      </c>
      <c r="J151" s="329">
        <v>0</v>
      </c>
      <c r="K151" s="329">
        <v>3.81</v>
      </c>
      <c r="L151" s="329">
        <v>4.1910000000000007</v>
      </c>
      <c r="N151" s="312" t="s">
        <v>3448</v>
      </c>
      <c r="O151" s="312">
        <v>2011</v>
      </c>
      <c r="Q151" s="326" t="s">
        <v>3820</v>
      </c>
      <c r="R151" s="326">
        <v>2</v>
      </c>
      <c r="S151" s="330">
        <v>3.9563040000000012</v>
      </c>
      <c r="T151" s="315">
        <v>4.0149780000000002</v>
      </c>
      <c r="U151" s="330">
        <v>4.1281350000000003</v>
      </c>
      <c r="V151" s="330">
        <v>4.341876000000001</v>
      </c>
      <c r="W151" s="330">
        <v>4.4382690000000018</v>
      </c>
      <c r="X151" s="330">
        <v>4.647819000000001</v>
      </c>
      <c r="Y151" s="331">
        <v>4.3879770000000002</v>
      </c>
    </row>
    <row r="152" spans="1:25" ht="20.399999999999999" x14ac:dyDescent="0.2">
      <c r="A152" s="359">
        <v>1</v>
      </c>
      <c r="B152" s="312" t="s">
        <v>3809</v>
      </c>
      <c r="C152" s="325" t="s">
        <v>3810</v>
      </c>
      <c r="G152" s="312" t="s">
        <v>2202</v>
      </c>
      <c r="H152" s="329">
        <v>3.04</v>
      </c>
      <c r="I152" s="329">
        <v>0</v>
      </c>
      <c r="J152" s="329">
        <v>0</v>
      </c>
      <c r="K152" s="329">
        <v>3.04</v>
      </c>
      <c r="L152" s="329">
        <v>3.3439999999999999</v>
      </c>
      <c r="N152" s="312" t="s">
        <v>3448</v>
      </c>
      <c r="O152" s="312">
        <v>2011</v>
      </c>
      <c r="Q152" s="326" t="s">
        <v>3811</v>
      </c>
      <c r="R152" s="326">
        <v>2</v>
      </c>
      <c r="S152" s="330">
        <v>3.156736</v>
      </c>
      <c r="T152" s="315">
        <v>3.2035519999999997</v>
      </c>
      <c r="U152" s="330">
        <v>3.2938399999999999</v>
      </c>
      <c r="V152" s="330">
        <v>3.4643839999999999</v>
      </c>
      <c r="W152" s="330">
        <v>3.5412960000000004</v>
      </c>
      <c r="X152" s="330">
        <v>3.7084959999999998</v>
      </c>
      <c r="Y152" s="331">
        <v>3.5011679999999998</v>
      </c>
    </row>
    <row r="153" spans="1:25" ht="20.399999999999999" x14ac:dyDescent="0.2">
      <c r="A153" s="359">
        <v>1</v>
      </c>
      <c r="B153" s="312" t="s">
        <v>3812</v>
      </c>
      <c r="C153" s="325" t="s">
        <v>3813</v>
      </c>
      <c r="G153" s="312" t="s">
        <v>2202</v>
      </c>
      <c r="H153" s="329">
        <v>3.04</v>
      </c>
      <c r="I153" s="329">
        <v>0</v>
      </c>
      <c r="J153" s="329">
        <v>0</v>
      </c>
      <c r="K153" s="329">
        <v>3.04</v>
      </c>
      <c r="L153" s="329">
        <v>3.3439999999999999</v>
      </c>
      <c r="N153" s="312" t="s">
        <v>3448</v>
      </c>
      <c r="O153" s="312">
        <v>2011</v>
      </c>
      <c r="Q153" s="326" t="s">
        <v>3814</v>
      </c>
      <c r="R153" s="326">
        <v>2</v>
      </c>
      <c r="S153" s="330">
        <v>3.156736</v>
      </c>
      <c r="T153" s="315">
        <v>3.2035519999999997</v>
      </c>
      <c r="U153" s="330">
        <v>3.2938399999999999</v>
      </c>
      <c r="V153" s="330">
        <v>3.4643839999999999</v>
      </c>
      <c r="W153" s="330">
        <v>3.5412960000000004</v>
      </c>
      <c r="X153" s="330">
        <v>3.7084959999999998</v>
      </c>
      <c r="Y153" s="331">
        <v>3.5011679999999998</v>
      </c>
    </row>
    <row r="154" spans="1:25" ht="20.399999999999999" x14ac:dyDescent="0.2">
      <c r="A154" s="359">
        <v>1</v>
      </c>
      <c r="B154" s="312" t="s">
        <v>3773</v>
      </c>
      <c r="C154" s="325" t="s">
        <v>3774</v>
      </c>
      <c r="D154" s="312" t="s">
        <v>63</v>
      </c>
      <c r="E154" s="312">
        <v>46</v>
      </c>
      <c r="F154" s="312">
        <v>0.17399999999999999</v>
      </c>
      <c r="G154" s="312" t="s">
        <v>2202</v>
      </c>
      <c r="H154" s="329">
        <v>4.8899999999999997</v>
      </c>
      <c r="I154" s="329">
        <v>6.9</v>
      </c>
      <c r="J154" s="329">
        <v>0</v>
      </c>
      <c r="K154" s="329">
        <v>11.79</v>
      </c>
      <c r="L154" s="329">
        <v>16.649999999999999</v>
      </c>
      <c r="N154" s="312" t="s">
        <v>3448</v>
      </c>
      <c r="O154" s="312">
        <v>2011</v>
      </c>
      <c r="Q154" s="326" t="s">
        <v>3775</v>
      </c>
      <c r="R154" s="326">
        <v>2</v>
      </c>
      <c r="S154" s="330">
        <v>15.717599999999999</v>
      </c>
      <c r="T154" s="315">
        <v>15.950699999999998</v>
      </c>
      <c r="U154" s="330">
        <v>16.40025</v>
      </c>
      <c r="V154" s="330">
        <v>17.249399999999998</v>
      </c>
      <c r="W154" s="330">
        <v>17.632350000000002</v>
      </c>
      <c r="X154" s="330">
        <v>18.464849999999998</v>
      </c>
      <c r="Y154" s="331">
        <v>17.432549999999999</v>
      </c>
    </row>
    <row r="155" spans="1:25" ht="20.399999999999999" x14ac:dyDescent="0.2">
      <c r="A155" s="359">
        <v>1</v>
      </c>
      <c r="B155" s="312" t="s">
        <v>3767</v>
      </c>
      <c r="C155" s="325" t="s">
        <v>3768</v>
      </c>
      <c r="D155" s="312" t="s">
        <v>63</v>
      </c>
      <c r="E155" s="312">
        <v>54</v>
      </c>
      <c r="F155" s="312">
        <v>0.14799999999999999</v>
      </c>
      <c r="G155" s="312" t="s">
        <v>2202</v>
      </c>
      <c r="H155" s="329">
        <v>3.53</v>
      </c>
      <c r="I155" s="329">
        <v>5.85</v>
      </c>
      <c r="J155" s="329">
        <v>0</v>
      </c>
      <c r="K155" s="329">
        <v>9.3800000000000008</v>
      </c>
      <c r="L155" s="329">
        <v>13.5</v>
      </c>
      <c r="N155" s="312" t="s">
        <v>3448</v>
      </c>
      <c r="O155" s="312">
        <v>2011</v>
      </c>
      <c r="Q155" s="326" t="s">
        <v>3769</v>
      </c>
      <c r="R155" s="326">
        <v>2</v>
      </c>
      <c r="S155" s="330">
        <v>12.744000000000002</v>
      </c>
      <c r="T155" s="315">
        <v>12.933</v>
      </c>
      <c r="U155" s="330">
        <v>13.297499999999999</v>
      </c>
      <c r="V155" s="330">
        <v>13.986000000000001</v>
      </c>
      <c r="W155" s="330">
        <v>14.296500000000002</v>
      </c>
      <c r="X155" s="330">
        <v>14.971499999999999</v>
      </c>
      <c r="Y155" s="331">
        <v>14.134499999999999</v>
      </c>
    </row>
    <row r="156" spans="1:25" ht="20.399999999999999" x14ac:dyDescent="0.2">
      <c r="A156" s="359">
        <v>1</v>
      </c>
      <c r="B156" s="312" t="s">
        <v>3779</v>
      </c>
      <c r="C156" s="325" t="s">
        <v>3780</v>
      </c>
      <c r="D156" s="312" t="s">
        <v>63</v>
      </c>
      <c r="E156" s="312">
        <v>36</v>
      </c>
      <c r="F156" s="312">
        <v>0.222</v>
      </c>
      <c r="G156" s="312" t="s">
        <v>2202</v>
      </c>
      <c r="H156" s="329">
        <v>5.75</v>
      </c>
      <c r="I156" s="329">
        <v>8.8000000000000007</v>
      </c>
      <c r="J156" s="329">
        <v>0</v>
      </c>
      <c r="K156" s="329">
        <v>14.55</v>
      </c>
      <c r="L156" s="329">
        <v>20.5</v>
      </c>
      <c r="N156" s="312" t="s">
        <v>3448</v>
      </c>
      <c r="O156" s="312">
        <v>2011</v>
      </c>
      <c r="Q156" s="326" t="s">
        <v>3781</v>
      </c>
      <c r="R156" s="326">
        <v>2</v>
      </c>
      <c r="S156" s="330">
        <v>19.352</v>
      </c>
      <c r="T156" s="315">
        <v>19.638999999999999</v>
      </c>
      <c r="U156" s="330">
        <v>20.192499999999999</v>
      </c>
      <c r="V156" s="330">
        <v>21.238</v>
      </c>
      <c r="W156" s="330">
        <v>21.709500000000002</v>
      </c>
      <c r="X156" s="330">
        <v>22.734500000000001</v>
      </c>
      <c r="Y156" s="331">
        <v>21.4635</v>
      </c>
    </row>
    <row r="157" spans="1:25" ht="20.399999999999999" x14ac:dyDescent="0.2">
      <c r="A157" s="359">
        <v>1</v>
      </c>
      <c r="B157" s="312" t="s">
        <v>3776</v>
      </c>
      <c r="C157" s="325" t="s">
        <v>3777</v>
      </c>
      <c r="D157" s="312" t="s">
        <v>63</v>
      </c>
      <c r="E157" s="312">
        <v>42</v>
      </c>
      <c r="F157" s="312">
        <v>0.19</v>
      </c>
      <c r="G157" s="312" t="s">
        <v>2202</v>
      </c>
      <c r="H157" s="329">
        <v>5.7</v>
      </c>
      <c r="I157" s="329">
        <v>7.55</v>
      </c>
      <c r="J157" s="329">
        <v>0</v>
      </c>
      <c r="K157" s="329">
        <v>13.25</v>
      </c>
      <c r="L157" s="329">
        <v>18.600000000000001</v>
      </c>
      <c r="N157" s="312" t="s">
        <v>3448</v>
      </c>
      <c r="O157" s="312">
        <v>2011</v>
      </c>
      <c r="Q157" s="326" t="s">
        <v>3778</v>
      </c>
      <c r="R157" s="326">
        <v>2</v>
      </c>
      <c r="S157" s="330">
        <v>17.558400000000002</v>
      </c>
      <c r="T157" s="315">
        <v>17.8188</v>
      </c>
      <c r="U157" s="330">
        <v>18.321000000000002</v>
      </c>
      <c r="V157" s="330">
        <v>19.269600000000001</v>
      </c>
      <c r="W157" s="330">
        <v>19.697400000000005</v>
      </c>
      <c r="X157" s="330">
        <v>20.627400000000002</v>
      </c>
      <c r="Y157" s="331">
        <v>19.4742</v>
      </c>
    </row>
    <row r="158" spans="1:25" ht="20.399999999999999" x14ac:dyDescent="0.2">
      <c r="A158" s="359">
        <v>1</v>
      </c>
      <c r="B158" s="312" t="s">
        <v>3782</v>
      </c>
      <c r="C158" s="325" t="s">
        <v>3783</v>
      </c>
      <c r="D158" s="312" t="s">
        <v>58</v>
      </c>
      <c r="E158" s="312">
        <v>59</v>
      </c>
      <c r="F158" s="312">
        <v>0.27100000000000002</v>
      </c>
      <c r="G158" s="312" t="s">
        <v>2202</v>
      </c>
      <c r="H158" s="329">
        <v>6.75</v>
      </c>
      <c r="I158" s="329">
        <v>9.6999999999999993</v>
      </c>
      <c r="J158" s="329">
        <v>0</v>
      </c>
      <c r="K158" s="329">
        <v>16.45</v>
      </c>
      <c r="L158" s="329">
        <v>23.5</v>
      </c>
      <c r="N158" s="312" t="s">
        <v>3448</v>
      </c>
      <c r="O158" s="312">
        <v>2011</v>
      </c>
      <c r="Q158" s="326" t="s">
        <v>3784</v>
      </c>
      <c r="R158" s="326">
        <v>2</v>
      </c>
      <c r="S158" s="330">
        <v>22.184000000000001</v>
      </c>
      <c r="T158" s="315">
        <v>22.512999999999998</v>
      </c>
      <c r="U158" s="330">
        <v>23.147500000000001</v>
      </c>
      <c r="V158" s="330">
        <v>24.346</v>
      </c>
      <c r="W158" s="330">
        <v>24.886500000000005</v>
      </c>
      <c r="X158" s="330">
        <v>26.061499999999999</v>
      </c>
      <c r="Y158" s="331">
        <v>24.604499999999998</v>
      </c>
    </row>
    <row r="159" spans="1:25" ht="20.399999999999999" x14ac:dyDescent="0.2">
      <c r="A159" s="359">
        <v>1</v>
      </c>
      <c r="B159" s="312" t="s">
        <v>3785</v>
      </c>
      <c r="C159" s="325" t="s">
        <v>3786</v>
      </c>
      <c r="D159" s="312" t="s">
        <v>58</v>
      </c>
      <c r="E159" s="312">
        <v>56</v>
      </c>
      <c r="F159" s="312">
        <v>0.28599999999999998</v>
      </c>
      <c r="G159" s="312" t="s">
        <v>2202</v>
      </c>
      <c r="H159" s="329">
        <v>9.0500000000000007</v>
      </c>
      <c r="I159" s="329">
        <v>10.199999999999999</v>
      </c>
      <c r="J159" s="329">
        <v>0</v>
      </c>
      <c r="K159" s="329">
        <v>19.25</v>
      </c>
      <c r="L159" s="329">
        <v>26.5</v>
      </c>
      <c r="N159" s="312" t="s">
        <v>3448</v>
      </c>
      <c r="O159" s="312">
        <v>2011</v>
      </c>
      <c r="Q159" s="326" t="s">
        <v>3787</v>
      </c>
      <c r="R159" s="326">
        <v>2</v>
      </c>
      <c r="S159" s="330">
        <v>25.016000000000002</v>
      </c>
      <c r="T159" s="315">
        <v>25.387</v>
      </c>
      <c r="U159" s="330">
        <v>26.102499999999999</v>
      </c>
      <c r="V159" s="330">
        <v>27.454000000000001</v>
      </c>
      <c r="W159" s="330">
        <v>28.063500000000005</v>
      </c>
      <c r="X159" s="330">
        <v>29.388500000000001</v>
      </c>
      <c r="Y159" s="331">
        <v>27.7455</v>
      </c>
    </row>
    <row r="160" spans="1:25" ht="20.399999999999999" x14ac:dyDescent="0.2">
      <c r="A160" s="359">
        <v>1</v>
      </c>
      <c r="B160" s="312" t="s">
        <v>3788</v>
      </c>
      <c r="C160" s="325" t="s">
        <v>3789</v>
      </c>
      <c r="D160" s="312" t="s">
        <v>58</v>
      </c>
      <c r="E160" s="312">
        <v>53</v>
      </c>
      <c r="F160" s="312">
        <v>0.30199999999999999</v>
      </c>
      <c r="G160" s="312" t="s">
        <v>2202</v>
      </c>
      <c r="H160" s="329">
        <v>11.1</v>
      </c>
      <c r="I160" s="329">
        <v>10.75</v>
      </c>
      <c r="J160" s="329">
        <v>0</v>
      </c>
      <c r="K160" s="329">
        <v>21.85</v>
      </c>
      <c r="L160" s="329">
        <v>30</v>
      </c>
      <c r="N160" s="312" t="s">
        <v>3448</v>
      </c>
      <c r="O160" s="312">
        <v>2011</v>
      </c>
      <c r="Q160" s="326" t="s">
        <v>3790</v>
      </c>
      <c r="R160" s="326">
        <v>2</v>
      </c>
      <c r="S160" s="330">
        <v>28.32</v>
      </c>
      <c r="T160" s="315">
        <v>28.74</v>
      </c>
      <c r="U160" s="330">
        <v>29.55</v>
      </c>
      <c r="V160" s="330">
        <v>31.080000000000002</v>
      </c>
      <c r="W160" s="330">
        <v>31.770000000000003</v>
      </c>
      <c r="X160" s="330">
        <v>33.269999999999996</v>
      </c>
      <c r="Y160" s="331">
        <v>31.409999999999997</v>
      </c>
    </row>
    <row r="161" spans="1:25" ht="20.399999999999999" x14ac:dyDescent="0.2">
      <c r="A161" s="359">
        <v>1</v>
      </c>
      <c r="B161" s="312" t="s">
        <v>3770</v>
      </c>
      <c r="C161" s="325" t="s">
        <v>3771</v>
      </c>
      <c r="D161" s="312" t="s">
        <v>63</v>
      </c>
      <c r="E161" s="312">
        <v>51</v>
      </c>
      <c r="F161" s="312">
        <v>0.157</v>
      </c>
      <c r="G161" s="312" t="s">
        <v>2202</v>
      </c>
      <c r="H161" s="329">
        <v>3.81</v>
      </c>
      <c r="I161" s="329">
        <v>6.2</v>
      </c>
      <c r="J161" s="329">
        <v>0</v>
      </c>
      <c r="K161" s="329">
        <v>10.01</v>
      </c>
      <c r="L161" s="329">
        <v>14.35</v>
      </c>
      <c r="N161" s="312" t="s">
        <v>3448</v>
      </c>
      <c r="O161" s="312">
        <v>2011</v>
      </c>
      <c r="Q161" s="326" t="s">
        <v>3772</v>
      </c>
      <c r="R161" s="326">
        <v>2</v>
      </c>
      <c r="S161" s="330">
        <v>13.5464</v>
      </c>
      <c r="T161" s="315">
        <v>13.747299999999999</v>
      </c>
      <c r="U161" s="330">
        <v>14.134749999999999</v>
      </c>
      <c r="V161" s="330">
        <v>14.8666</v>
      </c>
      <c r="W161" s="330">
        <v>15.196650000000002</v>
      </c>
      <c r="X161" s="330">
        <v>15.914149999999999</v>
      </c>
      <c r="Y161" s="331">
        <v>15.024449999999998</v>
      </c>
    </row>
    <row r="162" spans="1:25" ht="20.399999999999999" x14ac:dyDescent="0.2">
      <c r="A162" s="359">
        <v>1</v>
      </c>
      <c r="B162" s="312" t="s">
        <v>3791</v>
      </c>
      <c r="C162" s="325" t="s">
        <v>3792</v>
      </c>
      <c r="D162" s="312" t="s">
        <v>58</v>
      </c>
      <c r="E162" s="312">
        <v>48</v>
      </c>
      <c r="F162" s="312">
        <v>0.33300000000000002</v>
      </c>
      <c r="G162" s="312" t="s">
        <v>2202</v>
      </c>
      <c r="H162" s="329">
        <v>14.2</v>
      </c>
      <c r="I162" s="329">
        <v>11.9</v>
      </c>
      <c r="J162" s="329">
        <v>0</v>
      </c>
      <c r="K162" s="329">
        <v>26.1</v>
      </c>
      <c r="L162" s="329">
        <v>35</v>
      </c>
      <c r="N162" s="312" t="s">
        <v>3448</v>
      </c>
      <c r="O162" s="312">
        <v>2011</v>
      </c>
      <c r="Q162" s="326" t="s">
        <v>3793</v>
      </c>
      <c r="R162" s="326">
        <v>2</v>
      </c>
      <c r="S162" s="330">
        <v>33.04</v>
      </c>
      <c r="T162" s="315">
        <v>33.53</v>
      </c>
      <c r="U162" s="330">
        <v>34.475000000000001</v>
      </c>
      <c r="V162" s="330">
        <v>36.26</v>
      </c>
      <c r="W162" s="330">
        <v>37.065000000000005</v>
      </c>
      <c r="X162" s="330">
        <v>38.814999999999998</v>
      </c>
      <c r="Y162" s="331">
        <v>36.644999999999996</v>
      </c>
    </row>
    <row r="163" spans="1:25" ht="20.399999999999999" x14ac:dyDescent="0.2">
      <c r="A163" s="359">
        <v>1</v>
      </c>
      <c r="B163" s="312" t="s">
        <v>3794</v>
      </c>
      <c r="C163" s="325" t="s">
        <v>3795</v>
      </c>
      <c r="D163" s="312" t="s">
        <v>58</v>
      </c>
      <c r="E163" s="312">
        <v>43</v>
      </c>
      <c r="F163" s="312">
        <v>0.372</v>
      </c>
      <c r="G163" s="312" t="s">
        <v>2202</v>
      </c>
      <c r="H163" s="329">
        <v>19.2</v>
      </c>
      <c r="I163" s="329">
        <v>13.3</v>
      </c>
      <c r="J163" s="329">
        <v>0</v>
      </c>
      <c r="K163" s="329">
        <v>32.5</v>
      </c>
      <c r="L163" s="329">
        <v>42.5</v>
      </c>
      <c r="N163" s="312" t="s">
        <v>3448</v>
      </c>
      <c r="O163" s="312">
        <v>2011</v>
      </c>
      <c r="Q163" s="326" t="s">
        <v>3796</v>
      </c>
      <c r="R163" s="326">
        <v>2</v>
      </c>
      <c r="S163" s="330">
        <v>40.120000000000005</v>
      </c>
      <c r="T163" s="315">
        <v>40.714999999999996</v>
      </c>
      <c r="U163" s="330">
        <v>41.862499999999997</v>
      </c>
      <c r="V163" s="330">
        <v>44.03</v>
      </c>
      <c r="W163" s="330">
        <v>45.007500000000007</v>
      </c>
      <c r="X163" s="330">
        <v>47.1325</v>
      </c>
      <c r="Y163" s="331">
        <v>44.497499999999995</v>
      </c>
    </row>
    <row r="164" spans="1:25" ht="20.399999999999999" x14ac:dyDescent="0.2">
      <c r="A164" s="359">
        <v>1</v>
      </c>
      <c r="B164" s="312" t="s">
        <v>3797</v>
      </c>
      <c r="C164" s="325" t="s">
        <v>3798</v>
      </c>
      <c r="D164" s="312" t="s">
        <v>58</v>
      </c>
      <c r="E164" s="312">
        <v>39</v>
      </c>
      <c r="F164" s="312">
        <v>0.41</v>
      </c>
      <c r="G164" s="312" t="s">
        <v>2202</v>
      </c>
      <c r="H164" s="329">
        <v>24.5</v>
      </c>
      <c r="I164" s="329">
        <v>14.65</v>
      </c>
      <c r="J164" s="329">
        <v>0</v>
      </c>
      <c r="K164" s="329">
        <v>39.15</v>
      </c>
      <c r="L164" s="329">
        <v>51</v>
      </c>
      <c r="N164" s="312" t="s">
        <v>3448</v>
      </c>
      <c r="O164" s="312">
        <v>2011</v>
      </c>
      <c r="Q164" s="326" t="s">
        <v>3799</v>
      </c>
      <c r="R164" s="326">
        <v>2</v>
      </c>
      <c r="S164" s="330">
        <v>48.144000000000005</v>
      </c>
      <c r="T164" s="315">
        <v>48.857999999999997</v>
      </c>
      <c r="U164" s="330">
        <v>50.234999999999999</v>
      </c>
      <c r="V164" s="330">
        <v>52.835999999999999</v>
      </c>
      <c r="W164" s="330">
        <v>54.009000000000007</v>
      </c>
      <c r="X164" s="330">
        <v>56.558999999999997</v>
      </c>
      <c r="Y164" s="331">
        <v>53.396999999999998</v>
      </c>
    </row>
    <row r="165" spans="1:25" x14ac:dyDescent="0.2">
      <c r="A165" s="359">
        <v>2</v>
      </c>
      <c r="B165" s="312" t="s">
        <v>4261</v>
      </c>
      <c r="C165" s="325" t="s">
        <v>4262</v>
      </c>
      <c r="D165" s="312" t="s">
        <v>4263</v>
      </c>
      <c r="E165" s="312">
        <v>340</v>
      </c>
      <c r="F165" s="312">
        <v>7.0999999999999994E-2</v>
      </c>
      <c r="G165" s="312" t="s">
        <v>2840</v>
      </c>
      <c r="H165" s="329">
        <v>0</v>
      </c>
      <c r="I165" s="329">
        <v>2.0299999999999998</v>
      </c>
      <c r="J165" s="329">
        <v>0.45</v>
      </c>
      <c r="K165" s="329">
        <v>2.48</v>
      </c>
      <c r="L165" s="329">
        <v>3.86</v>
      </c>
      <c r="N165" s="312" t="s">
        <v>3448</v>
      </c>
      <c r="O165" s="312">
        <v>2011</v>
      </c>
      <c r="Q165" s="326" t="s">
        <v>4264</v>
      </c>
      <c r="R165" s="326">
        <v>2</v>
      </c>
      <c r="S165" s="330">
        <v>3.64384</v>
      </c>
      <c r="T165" s="315">
        <v>3.6978799999999996</v>
      </c>
      <c r="U165" s="330">
        <v>3.8020999999999998</v>
      </c>
      <c r="V165" s="330">
        <v>3.9989599999999998</v>
      </c>
      <c r="W165" s="330">
        <v>4.0877400000000002</v>
      </c>
      <c r="X165" s="330">
        <v>4.2807399999999998</v>
      </c>
      <c r="Y165" s="331">
        <v>4.0414199999999996</v>
      </c>
    </row>
    <row r="166" spans="1:25" x14ac:dyDescent="0.2">
      <c r="A166" s="359">
        <v>1</v>
      </c>
      <c r="B166" s="312" t="s">
        <v>3764</v>
      </c>
      <c r="C166" s="325" t="s">
        <v>3765</v>
      </c>
      <c r="D166" s="312" t="s">
        <v>83</v>
      </c>
      <c r="E166" s="312">
        <v>320</v>
      </c>
      <c r="F166" s="312">
        <v>0.05</v>
      </c>
      <c r="G166" s="312" t="s">
        <v>2202</v>
      </c>
      <c r="H166" s="329">
        <v>3.54</v>
      </c>
      <c r="I166" s="329">
        <v>1.82</v>
      </c>
      <c r="J166" s="329">
        <v>0</v>
      </c>
      <c r="K166" s="329">
        <v>5.36</v>
      </c>
      <c r="L166" s="329">
        <v>7.35</v>
      </c>
      <c r="N166" s="312" t="s">
        <v>3448</v>
      </c>
      <c r="O166" s="312">
        <v>2011</v>
      </c>
      <c r="Q166" s="326" t="s">
        <v>3766</v>
      </c>
      <c r="R166" s="326">
        <v>2</v>
      </c>
      <c r="S166" s="330">
        <v>6.9383999999999997</v>
      </c>
      <c r="T166" s="315">
        <v>7.0412999999999997</v>
      </c>
      <c r="U166" s="330">
        <v>7.2397499999999999</v>
      </c>
      <c r="V166" s="330">
        <v>7.6146000000000003</v>
      </c>
      <c r="W166" s="330">
        <v>7.7836500000000006</v>
      </c>
      <c r="X166" s="330">
        <v>8.1511499999999995</v>
      </c>
      <c r="Y166" s="331">
        <v>7.6954499999999992</v>
      </c>
    </row>
    <row r="167" spans="1:25" x14ac:dyDescent="0.2">
      <c r="A167" s="359">
        <v>1</v>
      </c>
      <c r="B167" s="312" t="s">
        <v>3761</v>
      </c>
      <c r="C167" s="325" t="s">
        <v>3762</v>
      </c>
      <c r="D167" s="312" t="s">
        <v>83</v>
      </c>
      <c r="E167" s="312">
        <v>320</v>
      </c>
      <c r="F167" s="312">
        <v>0.05</v>
      </c>
      <c r="G167" s="312" t="s">
        <v>2202</v>
      </c>
      <c r="H167" s="329">
        <v>5.6</v>
      </c>
      <c r="I167" s="329">
        <v>1.82</v>
      </c>
      <c r="J167" s="329">
        <v>0</v>
      </c>
      <c r="K167" s="329">
        <v>7.42</v>
      </c>
      <c r="L167" s="329">
        <v>9.6</v>
      </c>
      <c r="N167" s="312" t="s">
        <v>3448</v>
      </c>
      <c r="O167" s="312">
        <v>2011</v>
      </c>
      <c r="Q167" s="326" t="s">
        <v>3763</v>
      </c>
      <c r="R167" s="326">
        <v>2</v>
      </c>
      <c r="S167" s="330">
        <v>9.0624000000000002</v>
      </c>
      <c r="T167" s="315">
        <v>9.1967999999999996</v>
      </c>
      <c r="U167" s="330">
        <v>9.4559999999999995</v>
      </c>
      <c r="V167" s="330">
        <v>9.9456000000000007</v>
      </c>
      <c r="W167" s="330">
        <v>10.166400000000001</v>
      </c>
      <c r="X167" s="330">
        <v>10.6464</v>
      </c>
      <c r="Y167" s="331">
        <v>10.0512</v>
      </c>
    </row>
    <row r="168" spans="1:25" ht="30.6" x14ac:dyDescent="0.2">
      <c r="A168" s="359">
        <v>1</v>
      </c>
      <c r="B168" s="312" t="s">
        <v>3710</v>
      </c>
      <c r="C168" s="325" t="s">
        <v>3711</v>
      </c>
      <c r="D168" s="312" t="s">
        <v>3708</v>
      </c>
      <c r="E168" s="312">
        <v>320</v>
      </c>
      <c r="F168" s="312">
        <v>0.15</v>
      </c>
      <c r="G168" s="312" t="s">
        <v>2301</v>
      </c>
      <c r="H168" s="329">
        <v>9.8000000000000007</v>
      </c>
      <c r="I168" s="329">
        <v>5.5</v>
      </c>
      <c r="J168" s="329">
        <v>5.05</v>
      </c>
      <c r="K168" s="329">
        <v>20.350000000000001</v>
      </c>
      <c r="L168" s="329">
        <v>26.5</v>
      </c>
      <c r="N168" s="312" t="s">
        <v>3448</v>
      </c>
      <c r="O168" s="312">
        <v>2011</v>
      </c>
      <c r="Q168" s="326" t="s">
        <v>3712</v>
      </c>
      <c r="R168" s="326">
        <v>2</v>
      </c>
      <c r="S168" s="330">
        <v>25.016000000000002</v>
      </c>
      <c r="T168" s="315">
        <v>25.387</v>
      </c>
      <c r="U168" s="330">
        <v>26.102499999999999</v>
      </c>
      <c r="V168" s="330">
        <v>27.454000000000001</v>
      </c>
      <c r="W168" s="330">
        <v>28.063500000000005</v>
      </c>
      <c r="X168" s="330">
        <v>29.388500000000001</v>
      </c>
      <c r="Y168" s="331">
        <v>27.7455</v>
      </c>
    </row>
    <row r="169" spans="1:25" ht="20.399999999999999" x14ac:dyDescent="0.2">
      <c r="A169" s="359">
        <v>1</v>
      </c>
      <c r="B169" s="312" t="s">
        <v>3713</v>
      </c>
      <c r="C169" s="325" t="s">
        <v>3714</v>
      </c>
      <c r="D169" s="312" t="s">
        <v>3708</v>
      </c>
      <c r="E169" s="312">
        <v>275</v>
      </c>
      <c r="F169" s="312">
        <v>0.17499999999999999</v>
      </c>
      <c r="G169" s="312" t="s">
        <v>2301</v>
      </c>
      <c r="H169" s="329">
        <v>10.85</v>
      </c>
      <c r="I169" s="329">
        <v>6.4</v>
      </c>
      <c r="J169" s="329">
        <v>5.9</v>
      </c>
      <c r="K169" s="329">
        <v>23.15</v>
      </c>
      <c r="L169" s="329">
        <v>30.5</v>
      </c>
      <c r="N169" s="312" t="s">
        <v>3448</v>
      </c>
      <c r="O169" s="312">
        <v>2011</v>
      </c>
      <c r="Q169" s="326" t="s">
        <v>3715</v>
      </c>
      <c r="R169" s="326">
        <v>2</v>
      </c>
      <c r="S169" s="330">
        <v>28.792000000000002</v>
      </c>
      <c r="T169" s="315">
        <v>29.218999999999998</v>
      </c>
      <c r="U169" s="330">
        <v>30.0425</v>
      </c>
      <c r="V169" s="330">
        <v>31.598000000000003</v>
      </c>
      <c r="W169" s="330">
        <v>32.299500000000002</v>
      </c>
      <c r="X169" s="330">
        <v>33.8245</v>
      </c>
      <c r="Y169" s="331">
        <v>31.933499999999999</v>
      </c>
    </row>
    <row r="170" spans="1:25" ht="30.6" x14ac:dyDescent="0.2">
      <c r="A170" s="359">
        <v>1</v>
      </c>
      <c r="B170" s="312" t="s">
        <v>3706</v>
      </c>
      <c r="C170" s="325" t="s">
        <v>3707</v>
      </c>
      <c r="D170" s="312" t="s">
        <v>3708</v>
      </c>
      <c r="E170" s="312">
        <v>350</v>
      </c>
      <c r="F170" s="312">
        <v>0.13700000000000001</v>
      </c>
      <c r="G170" s="312" t="s">
        <v>2301</v>
      </c>
      <c r="H170" s="329">
        <v>9.35</v>
      </c>
      <c r="I170" s="329">
        <v>5</v>
      </c>
      <c r="J170" s="329">
        <v>4.63</v>
      </c>
      <c r="K170" s="329">
        <v>18.98</v>
      </c>
      <c r="L170" s="329">
        <v>25</v>
      </c>
      <c r="N170" s="312" t="s">
        <v>3448</v>
      </c>
      <c r="O170" s="312">
        <v>2011</v>
      </c>
      <c r="Q170" s="326" t="s">
        <v>3709</v>
      </c>
      <c r="R170" s="326">
        <v>2</v>
      </c>
      <c r="S170" s="330">
        <v>23.6</v>
      </c>
      <c r="T170" s="315">
        <v>23.95</v>
      </c>
      <c r="U170" s="330">
        <v>24.625</v>
      </c>
      <c r="V170" s="330">
        <v>25.900000000000002</v>
      </c>
      <c r="W170" s="330">
        <v>26.475000000000005</v>
      </c>
      <c r="X170" s="330">
        <v>27.725000000000001</v>
      </c>
      <c r="Y170" s="331">
        <v>26.174999999999997</v>
      </c>
    </row>
    <row r="171" spans="1:25" ht="30.6" x14ac:dyDescent="0.2">
      <c r="A171" s="359">
        <v>1</v>
      </c>
      <c r="B171" s="312" t="s">
        <v>3716</v>
      </c>
      <c r="C171" s="325" t="s">
        <v>3717</v>
      </c>
      <c r="D171" s="312" t="s">
        <v>3708</v>
      </c>
      <c r="E171" s="312">
        <v>450</v>
      </c>
      <c r="F171" s="312">
        <v>0.107</v>
      </c>
      <c r="G171" s="312" t="s">
        <v>2301</v>
      </c>
      <c r="H171" s="329">
        <v>7.6</v>
      </c>
      <c r="I171" s="329">
        <v>3.91</v>
      </c>
      <c r="J171" s="329">
        <v>3.6</v>
      </c>
      <c r="K171" s="329">
        <v>15.11</v>
      </c>
      <c r="L171" s="329">
        <v>19.600000000000001</v>
      </c>
      <c r="N171" s="312" t="s">
        <v>3448</v>
      </c>
      <c r="O171" s="312">
        <v>2011</v>
      </c>
      <c r="Q171" s="326" t="s">
        <v>3718</v>
      </c>
      <c r="R171" s="326">
        <v>2</v>
      </c>
      <c r="S171" s="330">
        <v>18.502400000000002</v>
      </c>
      <c r="T171" s="315">
        <v>18.776800000000001</v>
      </c>
      <c r="U171" s="330">
        <v>19.306000000000001</v>
      </c>
      <c r="V171" s="330">
        <v>20.305600000000002</v>
      </c>
      <c r="W171" s="330">
        <v>20.756400000000006</v>
      </c>
      <c r="X171" s="330">
        <v>21.7364</v>
      </c>
      <c r="Y171" s="331">
        <v>20.5212</v>
      </c>
    </row>
    <row r="172" spans="1:25" ht="30.6" x14ac:dyDescent="0.2">
      <c r="A172" s="359">
        <v>1</v>
      </c>
      <c r="B172" s="312" t="s">
        <v>3719</v>
      </c>
      <c r="C172" s="325" t="s">
        <v>3720</v>
      </c>
      <c r="D172" s="312" t="s">
        <v>3708</v>
      </c>
      <c r="E172" s="312">
        <v>415</v>
      </c>
      <c r="F172" s="312">
        <v>0.11600000000000001</v>
      </c>
      <c r="G172" s="312" t="s">
        <v>2301</v>
      </c>
      <c r="H172" s="329">
        <v>8</v>
      </c>
      <c r="I172" s="329">
        <v>4.24</v>
      </c>
      <c r="J172" s="329">
        <v>3.91</v>
      </c>
      <c r="K172" s="329">
        <v>16.149999999999999</v>
      </c>
      <c r="L172" s="329">
        <v>21</v>
      </c>
      <c r="N172" s="312" t="s">
        <v>3448</v>
      </c>
      <c r="O172" s="312">
        <v>2011</v>
      </c>
      <c r="Q172" s="326" t="s">
        <v>3721</v>
      </c>
      <c r="R172" s="326">
        <v>2</v>
      </c>
      <c r="S172" s="330">
        <v>19.824000000000002</v>
      </c>
      <c r="T172" s="315">
        <v>20.117999999999999</v>
      </c>
      <c r="U172" s="330">
        <v>20.684999999999999</v>
      </c>
      <c r="V172" s="330">
        <v>21.756</v>
      </c>
      <c r="W172" s="330">
        <v>22.239000000000004</v>
      </c>
      <c r="X172" s="330">
        <v>23.289000000000001</v>
      </c>
      <c r="Y172" s="331">
        <v>21.986999999999998</v>
      </c>
    </row>
    <row r="173" spans="1:25" ht="30.6" x14ac:dyDescent="0.2">
      <c r="A173" s="359">
        <v>1</v>
      </c>
      <c r="B173" s="312" t="s">
        <v>3731</v>
      </c>
      <c r="C173" s="325" t="s">
        <v>3732</v>
      </c>
      <c r="D173" s="312" t="s">
        <v>3708</v>
      </c>
      <c r="E173" s="312">
        <v>360</v>
      </c>
      <c r="F173" s="312">
        <v>0.13300000000000001</v>
      </c>
      <c r="G173" s="312" t="s">
        <v>2301</v>
      </c>
      <c r="H173" s="329">
        <v>8.75</v>
      </c>
      <c r="I173" s="329">
        <v>4.88</v>
      </c>
      <c r="J173" s="329">
        <v>4.51</v>
      </c>
      <c r="K173" s="329">
        <v>18.14</v>
      </c>
      <c r="L173" s="329">
        <v>23.5</v>
      </c>
      <c r="N173" s="312" t="s">
        <v>3448</v>
      </c>
      <c r="O173" s="312">
        <v>2011</v>
      </c>
      <c r="Q173" s="326" t="s">
        <v>3733</v>
      </c>
      <c r="R173" s="326">
        <v>2</v>
      </c>
      <c r="S173" s="330">
        <v>22.184000000000001</v>
      </c>
      <c r="T173" s="315">
        <v>22.512999999999998</v>
      </c>
      <c r="U173" s="330">
        <v>23.147500000000001</v>
      </c>
      <c r="V173" s="330">
        <v>24.346</v>
      </c>
      <c r="W173" s="330">
        <v>24.886500000000005</v>
      </c>
      <c r="X173" s="330">
        <v>26.061499999999999</v>
      </c>
      <c r="Y173" s="331">
        <v>24.604499999999998</v>
      </c>
    </row>
    <row r="174" spans="1:25" ht="30.6" x14ac:dyDescent="0.2">
      <c r="A174" s="359">
        <v>1</v>
      </c>
      <c r="B174" s="312" t="s">
        <v>3722</v>
      </c>
      <c r="C174" s="325" t="s">
        <v>3723</v>
      </c>
      <c r="D174" s="312" t="s">
        <v>3708</v>
      </c>
      <c r="E174" s="312">
        <v>650</v>
      </c>
      <c r="F174" s="312">
        <v>7.3999999999999996E-2</v>
      </c>
      <c r="G174" s="312" t="s">
        <v>2301</v>
      </c>
      <c r="H174" s="329">
        <v>6.5</v>
      </c>
      <c r="I174" s="329">
        <v>2.71</v>
      </c>
      <c r="J174" s="329">
        <v>2.5</v>
      </c>
      <c r="K174" s="329">
        <v>11.71</v>
      </c>
      <c r="L174" s="329">
        <v>14.95</v>
      </c>
      <c r="N174" s="312" t="s">
        <v>3448</v>
      </c>
      <c r="O174" s="312">
        <v>2011</v>
      </c>
      <c r="Q174" s="326" t="s">
        <v>3724</v>
      </c>
      <c r="R174" s="326">
        <v>2</v>
      </c>
      <c r="S174" s="330">
        <v>14.1128</v>
      </c>
      <c r="T174" s="315">
        <v>14.322099999999999</v>
      </c>
      <c r="U174" s="330">
        <v>14.72575</v>
      </c>
      <c r="V174" s="330">
        <v>15.488199999999999</v>
      </c>
      <c r="W174" s="330">
        <v>15.832050000000002</v>
      </c>
      <c r="X174" s="330">
        <v>16.579549999999998</v>
      </c>
      <c r="Y174" s="331">
        <v>15.652649999999998</v>
      </c>
    </row>
    <row r="175" spans="1:25" ht="30.6" x14ac:dyDescent="0.2">
      <c r="A175" s="359">
        <v>1</v>
      </c>
      <c r="B175" s="312" t="s">
        <v>3725</v>
      </c>
      <c r="C175" s="325" t="s">
        <v>3726</v>
      </c>
      <c r="D175" s="312" t="s">
        <v>3708</v>
      </c>
      <c r="E175" s="312">
        <v>600</v>
      </c>
      <c r="F175" s="312">
        <v>0.08</v>
      </c>
      <c r="G175" s="312" t="s">
        <v>2301</v>
      </c>
      <c r="H175" s="329">
        <v>7</v>
      </c>
      <c r="I175" s="329">
        <v>2.93</v>
      </c>
      <c r="J175" s="329">
        <v>2.7</v>
      </c>
      <c r="K175" s="329">
        <v>12.63</v>
      </c>
      <c r="L175" s="329">
        <v>16.100000000000001</v>
      </c>
      <c r="N175" s="312" t="s">
        <v>3448</v>
      </c>
      <c r="O175" s="312">
        <v>2011</v>
      </c>
      <c r="Q175" s="326" t="s">
        <v>3727</v>
      </c>
      <c r="R175" s="326">
        <v>2</v>
      </c>
      <c r="S175" s="330">
        <v>15.198400000000003</v>
      </c>
      <c r="T175" s="315">
        <v>15.4238</v>
      </c>
      <c r="U175" s="330">
        <v>15.858500000000001</v>
      </c>
      <c r="V175" s="330">
        <v>16.679600000000001</v>
      </c>
      <c r="W175" s="330">
        <v>17.049900000000004</v>
      </c>
      <c r="X175" s="330">
        <v>17.854900000000001</v>
      </c>
      <c r="Y175" s="331">
        <v>16.8567</v>
      </c>
    </row>
    <row r="176" spans="1:25" ht="30.6" x14ac:dyDescent="0.2">
      <c r="A176" s="359">
        <v>1</v>
      </c>
      <c r="B176" s="312" t="s">
        <v>3728</v>
      </c>
      <c r="C176" s="325" t="s">
        <v>3729</v>
      </c>
      <c r="D176" s="312" t="s">
        <v>3708</v>
      </c>
      <c r="E176" s="312">
        <v>490</v>
      </c>
      <c r="F176" s="312">
        <v>9.8000000000000004E-2</v>
      </c>
      <c r="G176" s="312" t="s">
        <v>2301</v>
      </c>
      <c r="H176" s="329">
        <v>7.5</v>
      </c>
      <c r="I176" s="329">
        <v>3.59</v>
      </c>
      <c r="J176" s="329">
        <v>3.31</v>
      </c>
      <c r="K176" s="329">
        <v>14.4</v>
      </c>
      <c r="L176" s="329">
        <v>18.600000000000001</v>
      </c>
      <c r="N176" s="312" t="s">
        <v>3448</v>
      </c>
      <c r="O176" s="312">
        <v>2011</v>
      </c>
      <c r="Q176" s="326" t="s">
        <v>3730</v>
      </c>
      <c r="R176" s="326">
        <v>2</v>
      </c>
      <c r="S176" s="330">
        <v>17.558400000000002</v>
      </c>
      <c r="T176" s="315">
        <v>17.8188</v>
      </c>
      <c r="U176" s="330">
        <v>18.321000000000002</v>
      </c>
      <c r="V176" s="330">
        <v>19.269600000000001</v>
      </c>
      <c r="W176" s="330">
        <v>19.697400000000005</v>
      </c>
      <c r="X176" s="330">
        <v>20.627400000000002</v>
      </c>
      <c r="Y176" s="331">
        <v>19.4742</v>
      </c>
    </row>
    <row r="177" spans="1:25" ht="30.6" x14ac:dyDescent="0.2">
      <c r="A177" s="359">
        <v>1</v>
      </c>
      <c r="B177" s="312" t="s">
        <v>3737</v>
      </c>
      <c r="C177" s="325" t="s">
        <v>3738</v>
      </c>
      <c r="D177" s="312" t="s">
        <v>3708</v>
      </c>
      <c r="E177" s="312">
        <v>415</v>
      </c>
      <c r="F177" s="312">
        <v>0.11600000000000001</v>
      </c>
      <c r="G177" s="312" t="s">
        <v>2301</v>
      </c>
      <c r="H177" s="329">
        <v>9.4</v>
      </c>
      <c r="I177" s="329">
        <v>4.24</v>
      </c>
      <c r="J177" s="329">
        <v>3.91</v>
      </c>
      <c r="K177" s="329">
        <v>17.55</v>
      </c>
      <c r="L177" s="329">
        <v>22.5</v>
      </c>
      <c r="N177" s="312" t="s">
        <v>3448</v>
      </c>
      <c r="O177" s="312">
        <v>2011</v>
      </c>
      <c r="Q177" s="326" t="s">
        <v>3739</v>
      </c>
      <c r="R177" s="326">
        <v>2</v>
      </c>
      <c r="S177" s="330">
        <v>21.240000000000002</v>
      </c>
      <c r="T177" s="315">
        <v>21.555</v>
      </c>
      <c r="U177" s="330">
        <v>22.162500000000001</v>
      </c>
      <c r="V177" s="330">
        <v>23.310000000000002</v>
      </c>
      <c r="W177" s="330">
        <v>23.827500000000004</v>
      </c>
      <c r="X177" s="330">
        <v>24.952500000000001</v>
      </c>
      <c r="Y177" s="331">
        <v>23.557499999999997</v>
      </c>
    </row>
    <row r="178" spans="1:25" ht="30.6" x14ac:dyDescent="0.2">
      <c r="A178" s="359">
        <v>1</v>
      </c>
      <c r="B178" s="312" t="s">
        <v>3740</v>
      </c>
      <c r="C178" s="325" t="s">
        <v>3741</v>
      </c>
      <c r="D178" s="312" t="s">
        <v>3708</v>
      </c>
      <c r="E178" s="312">
        <v>360</v>
      </c>
      <c r="F178" s="312">
        <v>0.13300000000000001</v>
      </c>
      <c r="G178" s="312" t="s">
        <v>2301</v>
      </c>
      <c r="H178" s="329">
        <v>10.35</v>
      </c>
      <c r="I178" s="329">
        <v>4.88</v>
      </c>
      <c r="J178" s="329">
        <v>4.51</v>
      </c>
      <c r="K178" s="329">
        <v>19.739999999999998</v>
      </c>
      <c r="L178" s="329">
        <v>25.5</v>
      </c>
      <c r="N178" s="312" t="s">
        <v>3448</v>
      </c>
      <c r="O178" s="312">
        <v>2011</v>
      </c>
      <c r="Q178" s="326" t="s">
        <v>3742</v>
      </c>
      <c r="R178" s="326">
        <v>2</v>
      </c>
      <c r="S178" s="330">
        <v>24.072000000000003</v>
      </c>
      <c r="T178" s="315">
        <v>24.428999999999998</v>
      </c>
      <c r="U178" s="330">
        <v>25.1175</v>
      </c>
      <c r="V178" s="330">
        <v>26.417999999999999</v>
      </c>
      <c r="W178" s="330">
        <v>27.004500000000004</v>
      </c>
      <c r="X178" s="330">
        <v>28.279499999999999</v>
      </c>
      <c r="Y178" s="331">
        <v>26.698499999999999</v>
      </c>
    </row>
    <row r="179" spans="1:25" ht="30.6" x14ac:dyDescent="0.2">
      <c r="A179" s="359">
        <v>1</v>
      </c>
      <c r="B179" s="312" t="s">
        <v>3734</v>
      </c>
      <c r="C179" s="325" t="s">
        <v>3735</v>
      </c>
      <c r="D179" s="312" t="s">
        <v>3708</v>
      </c>
      <c r="E179" s="312">
        <v>450</v>
      </c>
      <c r="F179" s="312">
        <v>0.107</v>
      </c>
      <c r="G179" s="312" t="s">
        <v>2301</v>
      </c>
      <c r="H179" s="329">
        <v>8.75</v>
      </c>
      <c r="I179" s="329">
        <v>3.91</v>
      </c>
      <c r="J179" s="329">
        <v>3.6</v>
      </c>
      <c r="K179" s="329">
        <v>16.260000000000002</v>
      </c>
      <c r="L179" s="329">
        <v>21</v>
      </c>
      <c r="N179" s="312" t="s">
        <v>3448</v>
      </c>
      <c r="O179" s="312">
        <v>2011</v>
      </c>
      <c r="Q179" s="326" t="s">
        <v>3736</v>
      </c>
      <c r="R179" s="326">
        <v>2</v>
      </c>
      <c r="S179" s="330">
        <v>19.824000000000002</v>
      </c>
      <c r="T179" s="315">
        <v>20.117999999999999</v>
      </c>
      <c r="U179" s="330">
        <v>20.684999999999999</v>
      </c>
      <c r="V179" s="330">
        <v>21.756</v>
      </c>
      <c r="W179" s="330">
        <v>22.239000000000004</v>
      </c>
      <c r="X179" s="330">
        <v>23.289000000000001</v>
      </c>
      <c r="Y179" s="331">
        <v>21.986999999999998</v>
      </c>
    </row>
    <row r="180" spans="1:25" ht="30.6" x14ac:dyDescent="0.2">
      <c r="A180" s="359">
        <v>1</v>
      </c>
      <c r="B180" s="312" t="s">
        <v>3743</v>
      </c>
      <c r="C180" s="325" t="s">
        <v>3744</v>
      </c>
      <c r="D180" s="312" t="s">
        <v>3708</v>
      </c>
      <c r="E180" s="312">
        <v>510</v>
      </c>
      <c r="F180" s="312">
        <v>9.4E-2</v>
      </c>
      <c r="G180" s="312" t="s">
        <v>2301</v>
      </c>
      <c r="H180" s="329">
        <v>7.95</v>
      </c>
      <c r="I180" s="329">
        <v>3.45</v>
      </c>
      <c r="J180" s="329">
        <v>3.18</v>
      </c>
      <c r="K180" s="329">
        <v>14.58</v>
      </c>
      <c r="L180" s="329">
        <v>18.649999999999999</v>
      </c>
      <c r="N180" s="312" t="s">
        <v>3448</v>
      </c>
      <c r="O180" s="312">
        <v>2011</v>
      </c>
      <c r="Q180" s="326" t="s">
        <v>3745</v>
      </c>
      <c r="R180" s="326">
        <v>2</v>
      </c>
      <c r="S180" s="330">
        <v>17.605599999999999</v>
      </c>
      <c r="T180" s="315">
        <v>17.866699999999998</v>
      </c>
      <c r="U180" s="330">
        <v>18.370249999999999</v>
      </c>
      <c r="V180" s="330">
        <v>19.321400000000001</v>
      </c>
      <c r="W180" s="330">
        <v>19.750350000000001</v>
      </c>
      <c r="X180" s="330">
        <v>20.682849999999998</v>
      </c>
      <c r="Y180" s="331">
        <v>19.526549999999997</v>
      </c>
    </row>
    <row r="181" spans="1:25" ht="30.6" x14ac:dyDescent="0.2">
      <c r="A181" s="359">
        <v>1</v>
      </c>
      <c r="B181" s="312" t="s">
        <v>3746</v>
      </c>
      <c r="C181" s="325" t="s">
        <v>3747</v>
      </c>
      <c r="D181" s="312" t="s">
        <v>3708</v>
      </c>
      <c r="E181" s="312">
        <v>475</v>
      </c>
      <c r="F181" s="312">
        <v>0.10100000000000001</v>
      </c>
      <c r="G181" s="312" t="s">
        <v>2301</v>
      </c>
      <c r="H181" s="329">
        <v>8.3000000000000007</v>
      </c>
      <c r="I181" s="329">
        <v>3.7</v>
      </c>
      <c r="J181" s="329">
        <v>3.41</v>
      </c>
      <c r="K181" s="329">
        <v>15.41</v>
      </c>
      <c r="L181" s="329">
        <v>19.75</v>
      </c>
      <c r="N181" s="312" t="s">
        <v>3448</v>
      </c>
      <c r="O181" s="312">
        <v>2011</v>
      </c>
      <c r="Q181" s="326" t="s">
        <v>3748</v>
      </c>
      <c r="R181" s="326">
        <v>2</v>
      </c>
      <c r="S181" s="330">
        <v>18.644000000000002</v>
      </c>
      <c r="T181" s="315">
        <v>18.920500000000001</v>
      </c>
      <c r="U181" s="330">
        <v>19.453749999999999</v>
      </c>
      <c r="V181" s="330">
        <v>20.461000000000002</v>
      </c>
      <c r="W181" s="330">
        <v>20.915250000000004</v>
      </c>
      <c r="X181" s="330">
        <v>21.902750000000001</v>
      </c>
      <c r="Y181" s="331">
        <v>20.678249999999998</v>
      </c>
    </row>
    <row r="182" spans="1:25" ht="30.6" x14ac:dyDescent="0.2">
      <c r="A182" s="359">
        <v>1</v>
      </c>
      <c r="B182" s="312" t="s">
        <v>3749</v>
      </c>
      <c r="C182" s="325" t="s">
        <v>3750</v>
      </c>
      <c r="D182" s="312" t="s">
        <v>3708</v>
      </c>
      <c r="E182" s="312">
        <v>415</v>
      </c>
      <c r="F182" s="312">
        <v>0.11600000000000001</v>
      </c>
      <c r="G182" s="312" t="s">
        <v>2301</v>
      </c>
      <c r="H182" s="329">
        <v>9.1</v>
      </c>
      <c r="I182" s="329">
        <v>4.24</v>
      </c>
      <c r="J182" s="329">
        <v>3.91</v>
      </c>
      <c r="K182" s="329">
        <v>17.25</v>
      </c>
      <c r="L182" s="329">
        <v>22</v>
      </c>
      <c r="N182" s="312" t="s">
        <v>3448</v>
      </c>
      <c r="O182" s="312">
        <v>2011</v>
      </c>
      <c r="Q182" s="326" t="s">
        <v>3751</v>
      </c>
      <c r="R182" s="326">
        <v>2</v>
      </c>
      <c r="S182" s="330">
        <v>20.768000000000001</v>
      </c>
      <c r="T182" s="315">
        <v>21.076000000000001</v>
      </c>
      <c r="U182" s="330">
        <v>21.669999999999998</v>
      </c>
      <c r="V182" s="330">
        <v>22.792000000000002</v>
      </c>
      <c r="W182" s="330">
        <v>23.298000000000002</v>
      </c>
      <c r="X182" s="330">
        <v>24.398</v>
      </c>
      <c r="Y182" s="331">
        <v>23.033999999999999</v>
      </c>
    </row>
    <row r="183" spans="1:25" ht="30.6" x14ac:dyDescent="0.2">
      <c r="A183" s="359">
        <v>1</v>
      </c>
      <c r="B183" s="312" t="s">
        <v>3752</v>
      </c>
      <c r="C183" s="325" t="s">
        <v>3753</v>
      </c>
      <c r="D183" s="312" t="s">
        <v>3708</v>
      </c>
      <c r="E183" s="312">
        <v>675</v>
      </c>
      <c r="F183" s="312">
        <v>7.0999999999999994E-2</v>
      </c>
      <c r="G183" s="312" t="s">
        <v>2301</v>
      </c>
      <c r="H183" s="329">
        <v>7.35</v>
      </c>
      <c r="I183" s="329">
        <v>2.6</v>
      </c>
      <c r="J183" s="329">
        <v>2.4</v>
      </c>
      <c r="K183" s="329">
        <v>12.35</v>
      </c>
      <c r="L183" s="329">
        <v>15.6</v>
      </c>
      <c r="N183" s="312" t="s">
        <v>3448</v>
      </c>
      <c r="O183" s="312">
        <v>2011</v>
      </c>
      <c r="Q183" s="326" t="s">
        <v>3754</v>
      </c>
      <c r="R183" s="326">
        <v>2</v>
      </c>
      <c r="S183" s="330">
        <v>14.7264</v>
      </c>
      <c r="T183" s="315">
        <v>14.944799999999999</v>
      </c>
      <c r="U183" s="330">
        <v>15.366</v>
      </c>
      <c r="V183" s="330">
        <v>16.1616</v>
      </c>
      <c r="W183" s="330">
        <v>16.520400000000002</v>
      </c>
      <c r="X183" s="330">
        <v>17.3004</v>
      </c>
      <c r="Y183" s="331">
        <v>16.333199999999998</v>
      </c>
    </row>
    <row r="184" spans="1:25" ht="30.6" x14ac:dyDescent="0.2">
      <c r="A184" s="359">
        <v>1</v>
      </c>
      <c r="B184" s="312" t="s">
        <v>3755</v>
      </c>
      <c r="C184" s="325" t="s">
        <v>3756</v>
      </c>
      <c r="D184" s="312" t="s">
        <v>3708</v>
      </c>
      <c r="E184" s="312">
        <v>635</v>
      </c>
      <c r="F184" s="312">
        <v>7.5999999999999998E-2</v>
      </c>
      <c r="G184" s="312" t="s">
        <v>2301</v>
      </c>
      <c r="H184" s="329">
        <v>7.65</v>
      </c>
      <c r="I184" s="329">
        <v>2.77</v>
      </c>
      <c r="J184" s="329">
        <v>2.5499999999999998</v>
      </c>
      <c r="K184" s="329">
        <v>12.97</v>
      </c>
      <c r="L184" s="329">
        <v>16.399999999999999</v>
      </c>
      <c r="N184" s="312" t="s">
        <v>3448</v>
      </c>
      <c r="O184" s="312">
        <v>2011</v>
      </c>
      <c r="Q184" s="326" t="s">
        <v>3757</v>
      </c>
      <c r="R184" s="326">
        <v>2</v>
      </c>
      <c r="S184" s="330">
        <v>15.4816</v>
      </c>
      <c r="T184" s="315">
        <v>15.711199999999998</v>
      </c>
      <c r="U184" s="330">
        <v>16.154</v>
      </c>
      <c r="V184" s="330">
        <v>16.990399999999998</v>
      </c>
      <c r="W184" s="330">
        <v>17.367599999999999</v>
      </c>
      <c r="X184" s="330">
        <v>18.1876</v>
      </c>
      <c r="Y184" s="331">
        <v>17.170799999999996</v>
      </c>
    </row>
    <row r="185" spans="1:25" ht="30.6" x14ac:dyDescent="0.2">
      <c r="A185" s="359">
        <v>1</v>
      </c>
      <c r="B185" s="312" t="s">
        <v>3758</v>
      </c>
      <c r="C185" s="325" t="s">
        <v>3759</v>
      </c>
      <c r="D185" s="312" t="s">
        <v>3708</v>
      </c>
      <c r="E185" s="312">
        <v>490</v>
      </c>
      <c r="F185" s="312">
        <v>9.8000000000000004E-2</v>
      </c>
      <c r="G185" s="312" t="s">
        <v>2301</v>
      </c>
      <c r="H185" s="329">
        <v>8.35</v>
      </c>
      <c r="I185" s="329">
        <v>3.59</v>
      </c>
      <c r="J185" s="329">
        <v>3.31</v>
      </c>
      <c r="K185" s="329">
        <v>15.25</v>
      </c>
      <c r="L185" s="329">
        <v>19.55</v>
      </c>
      <c r="N185" s="312" t="s">
        <v>3448</v>
      </c>
      <c r="O185" s="312">
        <v>2011</v>
      </c>
      <c r="Q185" s="326" t="s">
        <v>3760</v>
      </c>
      <c r="R185" s="326">
        <v>2</v>
      </c>
      <c r="S185" s="330">
        <v>18.455200000000001</v>
      </c>
      <c r="T185" s="315">
        <v>18.728899999999999</v>
      </c>
      <c r="U185" s="330">
        <v>19.25675</v>
      </c>
      <c r="V185" s="330">
        <v>20.253800000000002</v>
      </c>
      <c r="W185" s="330">
        <v>20.703450000000004</v>
      </c>
      <c r="X185" s="330">
        <v>21.680949999999999</v>
      </c>
      <c r="Y185" s="331">
        <v>20.46885</v>
      </c>
    </row>
    <row r="186" spans="1:25" ht="20.399999999999999" x14ac:dyDescent="0.2">
      <c r="A186" s="359">
        <v>1</v>
      </c>
      <c r="B186" s="312" t="s">
        <v>4358</v>
      </c>
      <c r="C186" s="325" t="s">
        <v>1913</v>
      </c>
      <c r="D186" s="312" t="s">
        <v>34</v>
      </c>
      <c r="E186" s="312">
        <v>375</v>
      </c>
      <c r="F186" s="312">
        <v>6.4000000000000001E-2</v>
      </c>
      <c r="G186" s="312" t="s">
        <v>2202</v>
      </c>
      <c r="H186" s="329">
        <v>1.85</v>
      </c>
      <c r="I186" s="329">
        <v>1.74</v>
      </c>
      <c r="J186" s="329">
        <v>0</v>
      </c>
      <c r="K186" s="329">
        <v>3.59</v>
      </c>
      <c r="L186" s="329">
        <v>4.95</v>
      </c>
      <c r="N186" s="312" t="s">
        <v>3448</v>
      </c>
      <c r="O186" s="312">
        <v>2011</v>
      </c>
      <c r="Q186" s="326" t="s">
        <v>4359</v>
      </c>
      <c r="R186" s="326">
        <v>2</v>
      </c>
      <c r="S186" s="330">
        <v>4.6728000000000005</v>
      </c>
      <c r="T186" s="315">
        <v>4.7420999999999998</v>
      </c>
      <c r="U186" s="330">
        <v>4.87575</v>
      </c>
      <c r="V186" s="330">
        <v>5.1282000000000005</v>
      </c>
      <c r="W186" s="330">
        <v>5.2420500000000008</v>
      </c>
      <c r="X186" s="330">
        <v>5.4895500000000004</v>
      </c>
      <c r="Y186" s="331">
        <v>5.1826499999999998</v>
      </c>
    </row>
    <row r="187" spans="1:25" ht="20.399999999999999" x14ac:dyDescent="0.2">
      <c r="A187" s="359">
        <v>1</v>
      </c>
      <c r="B187" s="312" t="s">
        <v>4309</v>
      </c>
      <c r="C187" s="325" t="s">
        <v>1914</v>
      </c>
      <c r="D187" s="312" t="s">
        <v>34</v>
      </c>
      <c r="E187" s="312">
        <v>350</v>
      </c>
      <c r="F187" s="312">
        <v>6.9000000000000006E-2</v>
      </c>
      <c r="G187" s="312" t="s">
        <v>2202</v>
      </c>
      <c r="H187" s="329">
        <v>3.68</v>
      </c>
      <c r="I187" s="329">
        <v>1.86</v>
      </c>
      <c r="J187" s="329">
        <v>0</v>
      </c>
      <c r="K187" s="329">
        <v>5.54</v>
      </c>
      <c r="L187" s="329">
        <v>7.15</v>
      </c>
      <c r="N187" s="312" t="s">
        <v>3448</v>
      </c>
      <c r="O187" s="312">
        <v>2011</v>
      </c>
      <c r="Q187" s="326" t="s">
        <v>4310</v>
      </c>
      <c r="R187" s="326">
        <v>2</v>
      </c>
      <c r="S187" s="330">
        <v>6.7496000000000009</v>
      </c>
      <c r="T187" s="315">
        <v>6.8497000000000003</v>
      </c>
      <c r="U187" s="330">
        <v>7.0427499999999998</v>
      </c>
      <c r="V187" s="330">
        <v>7.4074000000000009</v>
      </c>
      <c r="W187" s="330">
        <v>7.5718500000000013</v>
      </c>
      <c r="X187" s="330">
        <v>7.9293500000000003</v>
      </c>
      <c r="Y187" s="331">
        <v>7.4860499999999996</v>
      </c>
    </row>
    <row r="188" spans="1:25" x14ac:dyDescent="0.2">
      <c r="A188" s="359">
        <v>1</v>
      </c>
      <c r="B188" s="312" t="s">
        <v>4297</v>
      </c>
      <c r="C188" s="325" t="s">
        <v>2877</v>
      </c>
      <c r="D188" s="312" t="s">
        <v>54</v>
      </c>
      <c r="E188" s="312">
        <v>120</v>
      </c>
      <c r="F188" s="312">
        <v>0.33300000000000002</v>
      </c>
      <c r="G188" s="312" t="s">
        <v>2202</v>
      </c>
      <c r="H188" s="329">
        <v>0</v>
      </c>
      <c r="I188" s="329">
        <v>8.9499999999999993</v>
      </c>
      <c r="J188" s="329">
        <v>22.5</v>
      </c>
      <c r="K188" s="329">
        <v>31.45</v>
      </c>
      <c r="L188" s="329">
        <v>40</v>
      </c>
      <c r="N188" s="312" t="s">
        <v>3448</v>
      </c>
      <c r="O188" s="312">
        <v>2011</v>
      </c>
      <c r="Q188" s="326" t="s">
        <v>4298</v>
      </c>
      <c r="R188" s="326">
        <v>2</v>
      </c>
      <c r="S188" s="330">
        <v>37.760000000000005</v>
      </c>
      <c r="T188" s="315">
        <v>38.32</v>
      </c>
      <c r="U188" s="330">
        <v>39.4</v>
      </c>
      <c r="V188" s="330">
        <v>41.44</v>
      </c>
      <c r="W188" s="330">
        <v>42.360000000000007</v>
      </c>
      <c r="X188" s="330">
        <v>44.36</v>
      </c>
      <c r="Y188" s="331">
        <v>41.879999999999995</v>
      </c>
    </row>
    <row r="189" spans="1:25" ht="20.399999999999999" x14ac:dyDescent="0.2">
      <c r="A189" s="359">
        <v>1</v>
      </c>
      <c r="B189" s="312" t="s">
        <v>4303</v>
      </c>
      <c r="C189" s="325" t="s">
        <v>2879</v>
      </c>
      <c r="D189" s="312" t="s">
        <v>58</v>
      </c>
      <c r="E189" s="312">
        <v>2.29</v>
      </c>
      <c r="F189" s="312">
        <v>6.9870000000000001</v>
      </c>
      <c r="G189" s="312" t="s">
        <v>2265</v>
      </c>
      <c r="H189" s="329">
        <v>570</v>
      </c>
      <c r="I189" s="329">
        <v>249</v>
      </c>
      <c r="J189" s="329">
        <v>0</v>
      </c>
      <c r="K189" s="329">
        <v>819</v>
      </c>
      <c r="L189" s="329">
        <v>1025</v>
      </c>
      <c r="N189" s="312" t="s">
        <v>3448</v>
      </c>
      <c r="O189" s="312">
        <v>2011</v>
      </c>
      <c r="Q189" s="326" t="s">
        <v>4304</v>
      </c>
      <c r="R189" s="326">
        <v>2</v>
      </c>
      <c r="S189" s="330">
        <v>967.6</v>
      </c>
      <c r="T189" s="315">
        <v>981.94999999999993</v>
      </c>
      <c r="U189" s="330">
        <v>1009.625</v>
      </c>
      <c r="V189" s="330">
        <v>1061.9000000000001</v>
      </c>
      <c r="W189" s="330">
        <v>1085.4750000000001</v>
      </c>
      <c r="X189" s="330">
        <v>1136.7249999999999</v>
      </c>
      <c r="Y189" s="331">
        <v>1073.175</v>
      </c>
    </row>
    <row r="190" spans="1:25" ht="20.399999999999999" x14ac:dyDescent="0.2">
      <c r="A190" s="359">
        <v>1</v>
      </c>
      <c r="B190" s="312" t="s">
        <v>4299</v>
      </c>
      <c r="C190" s="325" t="s">
        <v>2880</v>
      </c>
      <c r="D190" s="312" t="s">
        <v>58</v>
      </c>
      <c r="E190" s="312">
        <v>3.22</v>
      </c>
      <c r="F190" s="312">
        <v>4.9690000000000003</v>
      </c>
      <c r="G190" s="312" t="s">
        <v>2265</v>
      </c>
      <c r="H190" s="329">
        <v>395</v>
      </c>
      <c r="I190" s="329">
        <v>177</v>
      </c>
      <c r="J190" s="329">
        <v>0</v>
      </c>
      <c r="K190" s="329">
        <v>572</v>
      </c>
      <c r="L190" s="329">
        <v>725</v>
      </c>
      <c r="N190" s="312" t="s">
        <v>3448</v>
      </c>
      <c r="O190" s="312">
        <v>2011</v>
      </c>
      <c r="Q190" s="326" t="s">
        <v>4300</v>
      </c>
      <c r="R190" s="326">
        <v>2</v>
      </c>
      <c r="S190" s="330">
        <v>684.40000000000009</v>
      </c>
      <c r="T190" s="315">
        <v>694.55</v>
      </c>
      <c r="U190" s="330">
        <v>714.125</v>
      </c>
      <c r="V190" s="330">
        <v>751.1</v>
      </c>
      <c r="W190" s="330">
        <v>767.77500000000009</v>
      </c>
      <c r="X190" s="330">
        <v>804.02499999999998</v>
      </c>
      <c r="Y190" s="331">
        <v>759.07499999999993</v>
      </c>
    </row>
    <row r="191" spans="1:25" ht="20.399999999999999" x14ac:dyDescent="0.2">
      <c r="A191" s="359">
        <v>1</v>
      </c>
      <c r="B191" s="312" t="s">
        <v>4301</v>
      </c>
      <c r="C191" s="325" t="s">
        <v>2882</v>
      </c>
      <c r="D191" s="312" t="s">
        <v>58</v>
      </c>
      <c r="E191" s="312">
        <v>2.66</v>
      </c>
      <c r="F191" s="312">
        <v>6.0149999999999997</v>
      </c>
      <c r="G191" s="312" t="s">
        <v>2265</v>
      </c>
      <c r="H191" s="329">
        <v>485</v>
      </c>
      <c r="I191" s="329">
        <v>215</v>
      </c>
      <c r="J191" s="329">
        <v>0</v>
      </c>
      <c r="K191" s="329">
        <v>700</v>
      </c>
      <c r="L191" s="329">
        <v>885</v>
      </c>
      <c r="N191" s="312" t="s">
        <v>3448</v>
      </c>
      <c r="O191" s="312">
        <v>2011</v>
      </c>
      <c r="Q191" s="326" t="s">
        <v>4302</v>
      </c>
      <c r="R191" s="326">
        <v>2</v>
      </c>
      <c r="S191" s="330">
        <v>835.44</v>
      </c>
      <c r="T191" s="315">
        <v>847.82999999999993</v>
      </c>
      <c r="U191" s="330">
        <v>871.72500000000002</v>
      </c>
      <c r="V191" s="330">
        <v>916.86</v>
      </c>
      <c r="W191" s="330">
        <v>937.21500000000015</v>
      </c>
      <c r="X191" s="330">
        <v>981.46500000000003</v>
      </c>
      <c r="Y191" s="331">
        <v>926.59499999999991</v>
      </c>
    </row>
    <row r="192" spans="1:25" ht="20.399999999999999" x14ac:dyDescent="0.2">
      <c r="A192" s="359">
        <v>1</v>
      </c>
      <c r="B192" s="312" t="s">
        <v>4305</v>
      </c>
      <c r="C192" s="325" t="s">
        <v>2883</v>
      </c>
      <c r="D192" s="312" t="s">
        <v>63</v>
      </c>
      <c r="E192" s="312">
        <v>0.8</v>
      </c>
      <c r="F192" s="312">
        <v>10</v>
      </c>
      <c r="G192" s="312" t="s">
        <v>2265</v>
      </c>
      <c r="H192" s="329">
        <v>1450</v>
      </c>
      <c r="I192" s="329">
        <v>395</v>
      </c>
      <c r="J192" s="329">
        <v>0</v>
      </c>
      <c r="K192" s="329">
        <v>1845</v>
      </c>
      <c r="L192" s="329">
        <v>2250</v>
      </c>
      <c r="N192" s="312" t="s">
        <v>3448</v>
      </c>
      <c r="O192" s="312">
        <v>2011</v>
      </c>
      <c r="Q192" s="326" t="s">
        <v>4306</v>
      </c>
      <c r="R192" s="326">
        <v>2</v>
      </c>
      <c r="S192" s="330">
        <v>2124</v>
      </c>
      <c r="T192" s="315">
        <v>2155.5</v>
      </c>
      <c r="U192" s="330">
        <v>2216.25</v>
      </c>
      <c r="V192" s="330">
        <v>2331</v>
      </c>
      <c r="W192" s="330">
        <v>2382.7500000000005</v>
      </c>
      <c r="X192" s="330">
        <v>2495.25</v>
      </c>
      <c r="Y192" s="331">
        <v>2355.75</v>
      </c>
    </row>
    <row r="193" spans="1:25" ht="20.399999999999999" x14ac:dyDescent="0.2">
      <c r="A193" s="359">
        <v>1</v>
      </c>
      <c r="B193" s="312" t="s">
        <v>3864</v>
      </c>
      <c r="C193" s="325" t="s">
        <v>3865</v>
      </c>
      <c r="D193" s="312" t="s">
        <v>3862</v>
      </c>
      <c r="E193" s="312">
        <v>0.26</v>
      </c>
      <c r="F193" s="312">
        <v>123</v>
      </c>
      <c r="G193" s="312" t="s">
        <v>2265</v>
      </c>
      <c r="H193" s="329">
        <v>21200</v>
      </c>
      <c r="I193" s="329">
        <v>4400</v>
      </c>
      <c r="J193" s="329">
        <v>0</v>
      </c>
      <c r="K193" s="329">
        <v>25600</v>
      </c>
      <c r="L193" s="329">
        <v>30600</v>
      </c>
      <c r="N193" s="312" t="s">
        <v>3448</v>
      </c>
      <c r="O193" s="312">
        <v>2011</v>
      </c>
      <c r="Q193" s="326" t="s">
        <v>3866</v>
      </c>
      <c r="R193" s="326">
        <v>2</v>
      </c>
      <c r="S193" s="330">
        <v>28886.400000000001</v>
      </c>
      <c r="T193" s="315">
        <v>29314.799999999999</v>
      </c>
      <c r="U193" s="330">
        <v>30141</v>
      </c>
      <c r="V193" s="330">
        <v>31701.600000000002</v>
      </c>
      <c r="W193" s="330">
        <v>32405.400000000005</v>
      </c>
      <c r="X193" s="330">
        <v>33935.4</v>
      </c>
      <c r="Y193" s="331">
        <v>32038.199999999997</v>
      </c>
    </row>
    <row r="194" spans="1:25" ht="20.399999999999999" x14ac:dyDescent="0.2">
      <c r="A194" s="359">
        <v>1</v>
      </c>
      <c r="B194" s="312" t="s">
        <v>3867</v>
      </c>
      <c r="C194" s="325" t="s">
        <v>3868</v>
      </c>
      <c r="D194" s="312" t="s">
        <v>3862</v>
      </c>
      <c r="E194" s="312">
        <v>0.24</v>
      </c>
      <c r="F194" s="312">
        <v>133</v>
      </c>
      <c r="G194" s="312" t="s">
        <v>2265</v>
      </c>
      <c r="H194" s="329">
        <v>32800</v>
      </c>
      <c r="I194" s="329">
        <v>4750</v>
      </c>
      <c r="J194" s="329">
        <v>0</v>
      </c>
      <c r="K194" s="329">
        <v>37550</v>
      </c>
      <c r="L194" s="329">
        <v>43900</v>
      </c>
      <c r="N194" s="312" t="s">
        <v>3448</v>
      </c>
      <c r="O194" s="312">
        <v>2011</v>
      </c>
      <c r="Q194" s="326" t="s">
        <v>3869</v>
      </c>
      <c r="R194" s="326">
        <v>2</v>
      </c>
      <c r="S194" s="330">
        <v>41441.600000000006</v>
      </c>
      <c r="T194" s="315">
        <v>42056.2</v>
      </c>
      <c r="U194" s="330">
        <v>43241.5</v>
      </c>
      <c r="V194" s="330">
        <v>45480.4</v>
      </c>
      <c r="W194" s="330">
        <v>46490.100000000006</v>
      </c>
      <c r="X194" s="330">
        <v>48685.1</v>
      </c>
      <c r="Y194" s="331">
        <v>45963.299999999996</v>
      </c>
    </row>
    <row r="195" spans="1:25" ht="20.399999999999999" x14ac:dyDescent="0.2">
      <c r="A195" s="359">
        <v>1</v>
      </c>
      <c r="B195" s="312" t="s">
        <v>3860</v>
      </c>
      <c r="C195" s="325" t="s">
        <v>3861</v>
      </c>
      <c r="D195" s="312" t="s">
        <v>3862</v>
      </c>
      <c r="E195" s="312">
        <v>0.28000000000000003</v>
      </c>
      <c r="F195" s="312">
        <v>114</v>
      </c>
      <c r="G195" s="312" t="s">
        <v>2265</v>
      </c>
      <c r="H195" s="329">
        <v>16800</v>
      </c>
      <c r="I195" s="329">
        <v>4075</v>
      </c>
      <c r="J195" s="329">
        <v>0</v>
      </c>
      <c r="K195" s="329">
        <v>20875</v>
      </c>
      <c r="L195" s="329">
        <v>25200</v>
      </c>
      <c r="N195" s="312" t="s">
        <v>3448</v>
      </c>
      <c r="O195" s="312">
        <v>2011</v>
      </c>
      <c r="Q195" s="326" t="s">
        <v>3863</v>
      </c>
      <c r="R195" s="326">
        <v>2</v>
      </c>
      <c r="S195" s="330">
        <v>23788.800000000003</v>
      </c>
      <c r="T195" s="315">
        <v>24141.599999999999</v>
      </c>
      <c r="U195" s="330">
        <v>24822</v>
      </c>
      <c r="V195" s="330">
        <v>26107.200000000001</v>
      </c>
      <c r="W195" s="330">
        <v>26686.800000000003</v>
      </c>
      <c r="X195" s="330">
        <v>27946.799999999999</v>
      </c>
      <c r="Y195" s="331">
        <v>26384.399999999998</v>
      </c>
    </row>
    <row r="196" spans="1:25" ht="30.6" x14ac:dyDescent="0.2">
      <c r="A196" s="359">
        <v>1</v>
      </c>
      <c r="B196" s="312" t="s">
        <v>3873</v>
      </c>
      <c r="C196" s="325" t="s">
        <v>3874</v>
      </c>
      <c r="G196" s="312" t="s">
        <v>2265</v>
      </c>
      <c r="H196" s="329">
        <v>3375</v>
      </c>
      <c r="I196" s="329">
        <v>0</v>
      </c>
      <c r="J196" s="329">
        <v>0</v>
      </c>
      <c r="K196" s="329">
        <v>3375</v>
      </c>
      <c r="L196" s="329">
        <v>3712.5</v>
      </c>
      <c r="N196" s="312" t="s">
        <v>3448</v>
      </c>
      <c r="O196" s="312">
        <v>2011</v>
      </c>
      <c r="Q196" s="326" t="s">
        <v>3875</v>
      </c>
      <c r="R196" s="326">
        <v>2</v>
      </c>
      <c r="S196" s="330">
        <v>3504.6000000000004</v>
      </c>
      <c r="T196" s="315">
        <v>3556.5749999999998</v>
      </c>
      <c r="U196" s="330">
        <v>3656.8125</v>
      </c>
      <c r="V196" s="330">
        <v>3846.15</v>
      </c>
      <c r="W196" s="330">
        <v>3931.5375000000008</v>
      </c>
      <c r="X196" s="330">
        <v>4117.1625000000004</v>
      </c>
      <c r="Y196" s="331">
        <v>3886.9874999999997</v>
      </c>
    </row>
    <row r="197" spans="1:25" ht="30.6" x14ac:dyDescent="0.2">
      <c r="A197" s="359">
        <v>1</v>
      </c>
      <c r="B197" s="312" t="s">
        <v>3876</v>
      </c>
      <c r="C197" s="325" t="s">
        <v>3877</v>
      </c>
      <c r="G197" s="312" t="s">
        <v>2265</v>
      </c>
      <c r="H197" s="329">
        <v>3500</v>
      </c>
      <c r="I197" s="329">
        <v>0</v>
      </c>
      <c r="J197" s="329">
        <v>0</v>
      </c>
      <c r="K197" s="329">
        <v>3500</v>
      </c>
      <c r="L197" s="329">
        <v>3850</v>
      </c>
      <c r="N197" s="312" t="s">
        <v>3448</v>
      </c>
      <c r="O197" s="312">
        <v>2011</v>
      </c>
      <c r="Q197" s="326" t="s">
        <v>3878</v>
      </c>
      <c r="R197" s="326">
        <v>2</v>
      </c>
      <c r="S197" s="330">
        <v>3634.4</v>
      </c>
      <c r="T197" s="315">
        <v>3688.2999999999997</v>
      </c>
      <c r="U197" s="330">
        <v>3792.25</v>
      </c>
      <c r="V197" s="330">
        <v>3988.6</v>
      </c>
      <c r="W197" s="330">
        <v>4077.1500000000005</v>
      </c>
      <c r="X197" s="330">
        <v>4269.6499999999996</v>
      </c>
      <c r="Y197" s="331">
        <v>4030.95</v>
      </c>
    </row>
    <row r="198" spans="1:25" ht="30.6" x14ac:dyDescent="0.2">
      <c r="A198" s="359">
        <v>1</v>
      </c>
      <c r="B198" s="312" t="s">
        <v>3879</v>
      </c>
      <c r="C198" s="325" t="s">
        <v>3880</v>
      </c>
      <c r="G198" s="312" t="s">
        <v>2265</v>
      </c>
      <c r="H198" s="329">
        <v>3575</v>
      </c>
      <c r="I198" s="329">
        <v>0</v>
      </c>
      <c r="J198" s="329">
        <v>0</v>
      </c>
      <c r="K198" s="329">
        <v>3575</v>
      </c>
      <c r="L198" s="329">
        <v>3932.5</v>
      </c>
      <c r="N198" s="312" t="s">
        <v>3448</v>
      </c>
      <c r="O198" s="312">
        <v>2011</v>
      </c>
      <c r="Q198" s="326" t="s">
        <v>3881</v>
      </c>
      <c r="R198" s="326">
        <v>2</v>
      </c>
      <c r="S198" s="330">
        <v>3712.28</v>
      </c>
      <c r="T198" s="315">
        <v>3767.335</v>
      </c>
      <c r="U198" s="330">
        <v>3873.5124999999998</v>
      </c>
      <c r="V198" s="330">
        <v>4074.07</v>
      </c>
      <c r="W198" s="330">
        <v>4164.5175000000008</v>
      </c>
      <c r="X198" s="330">
        <v>4361.1424999999999</v>
      </c>
      <c r="Y198" s="331">
        <v>4117.3274999999994</v>
      </c>
    </row>
    <row r="199" spans="1:25" ht="30.6" x14ac:dyDescent="0.2">
      <c r="A199" s="359">
        <v>1</v>
      </c>
      <c r="B199" s="312" t="s">
        <v>3870</v>
      </c>
      <c r="C199" s="325" t="s">
        <v>3871</v>
      </c>
      <c r="G199" s="312" t="s">
        <v>2265</v>
      </c>
      <c r="H199" s="329">
        <v>2975</v>
      </c>
      <c r="I199" s="329">
        <v>0</v>
      </c>
      <c r="J199" s="329">
        <v>0</v>
      </c>
      <c r="K199" s="329">
        <v>2975</v>
      </c>
      <c r="L199" s="329">
        <v>3272.5</v>
      </c>
      <c r="N199" s="312" t="s">
        <v>3448</v>
      </c>
      <c r="O199" s="312">
        <v>2011</v>
      </c>
      <c r="Q199" s="326" t="s">
        <v>3872</v>
      </c>
      <c r="R199" s="326">
        <v>2</v>
      </c>
      <c r="S199" s="330">
        <v>3089.2400000000002</v>
      </c>
      <c r="T199" s="315">
        <v>3135.0549999999998</v>
      </c>
      <c r="U199" s="330">
        <v>3223.4124999999999</v>
      </c>
      <c r="V199" s="330">
        <v>3390.31</v>
      </c>
      <c r="W199" s="330">
        <v>3465.5775000000003</v>
      </c>
      <c r="X199" s="330">
        <v>3629.2024999999999</v>
      </c>
      <c r="Y199" s="331">
        <v>3426.3074999999999</v>
      </c>
    </row>
    <row r="200" spans="1:25" ht="20.399999999999999" x14ac:dyDescent="0.2">
      <c r="A200" s="359">
        <v>1</v>
      </c>
      <c r="B200" s="312" t="s">
        <v>3885</v>
      </c>
      <c r="C200" s="325" t="s">
        <v>3886</v>
      </c>
      <c r="D200" s="312" t="s">
        <v>63</v>
      </c>
      <c r="E200" s="312">
        <v>5</v>
      </c>
      <c r="F200" s="312">
        <v>1.6</v>
      </c>
      <c r="G200" s="312" t="s">
        <v>2265</v>
      </c>
      <c r="H200" s="329">
        <v>150</v>
      </c>
      <c r="I200" s="329">
        <v>63.5</v>
      </c>
      <c r="J200" s="329">
        <v>0</v>
      </c>
      <c r="K200" s="329">
        <v>213.5</v>
      </c>
      <c r="L200" s="329">
        <v>269</v>
      </c>
      <c r="N200" s="312" t="s">
        <v>3448</v>
      </c>
      <c r="O200" s="312">
        <v>2011</v>
      </c>
      <c r="Q200" s="326" t="s">
        <v>3887</v>
      </c>
      <c r="R200" s="326">
        <v>2</v>
      </c>
      <c r="S200" s="330">
        <v>253.93600000000001</v>
      </c>
      <c r="T200" s="315">
        <v>257.702</v>
      </c>
      <c r="U200" s="330">
        <v>264.96499999999997</v>
      </c>
      <c r="V200" s="330">
        <v>278.68400000000003</v>
      </c>
      <c r="W200" s="330">
        <v>284.87100000000004</v>
      </c>
      <c r="X200" s="330">
        <v>298.32099999999997</v>
      </c>
      <c r="Y200" s="331">
        <v>281.64299999999997</v>
      </c>
    </row>
    <row r="201" spans="1:25" ht="20.399999999999999" x14ac:dyDescent="0.2">
      <c r="A201" s="359">
        <v>1</v>
      </c>
      <c r="B201" s="312" t="s">
        <v>3882</v>
      </c>
      <c r="C201" s="325" t="s">
        <v>3883</v>
      </c>
      <c r="D201" s="312" t="s">
        <v>63</v>
      </c>
      <c r="E201" s="312">
        <v>5</v>
      </c>
      <c r="F201" s="312">
        <v>1.6</v>
      </c>
      <c r="G201" s="312" t="s">
        <v>2265</v>
      </c>
      <c r="H201" s="329">
        <v>119</v>
      </c>
      <c r="I201" s="329">
        <v>63.5</v>
      </c>
      <c r="J201" s="329">
        <v>0</v>
      </c>
      <c r="K201" s="329">
        <v>182.5</v>
      </c>
      <c r="L201" s="329">
        <v>235</v>
      </c>
      <c r="N201" s="312" t="s">
        <v>3448</v>
      </c>
      <c r="O201" s="312">
        <v>2011</v>
      </c>
      <c r="Q201" s="326" t="s">
        <v>3884</v>
      </c>
      <c r="R201" s="326">
        <v>2</v>
      </c>
      <c r="S201" s="330">
        <v>221.84</v>
      </c>
      <c r="T201" s="315">
        <v>225.13</v>
      </c>
      <c r="U201" s="330">
        <v>231.47499999999999</v>
      </c>
      <c r="V201" s="330">
        <v>243.46</v>
      </c>
      <c r="W201" s="330">
        <v>248.86500000000004</v>
      </c>
      <c r="X201" s="330">
        <v>260.61500000000001</v>
      </c>
      <c r="Y201" s="331">
        <v>246.04499999999999</v>
      </c>
    </row>
    <row r="202" spans="1:25" ht="20.399999999999999" x14ac:dyDescent="0.2">
      <c r="A202" s="359">
        <v>1</v>
      </c>
      <c r="B202" s="312" t="s">
        <v>3888</v>
      </c>
      <c r="C202" s="325" t="s">
        <v>3889</v>
      </c>
      <c r="D202" s="312" t="s">
        <v>63</v>
      </c>
      <c r="E202" s="312">
        <v>5</v>
      </c>
      <c r="F202" s="312">
        <v>1.6</v>
      </c>
      <c r="G202" s="312" t="s">
        <v>2265</v>
      </c>
      <c r="H202" s="329">
        <v>263</v>
      </c>
      <c r="I202" s="329">
        <v>63.5</v>
      </c>
      <c r="J202" s="329">
        <v>0</v>
      </c>
      <c r="K202" s="329">
        <v>326.5</v>
      </c>
      <c r="L202" s="329">
        <v>395</v>
      </c>
      <c r="N202" s="312" t="s">
        <v>3448</v>
      </c>
      <c r="O202" s="312">
        <v>2011</v>
      </c>
      <c r="Q202" s="326" t="s">
        <v>3890</v>
      </c>
      <c r="R202" s="326">
        <v>2</v>
      </c>
      <c r="S202" s="330">
        <v>372.88000000000005</v>
      </c>
      <c r="T202" s="315">
        <v>378.40999999999997</v>
      </c>
      <c r="U202" s="330">
        <v>389.07499999999999</v>
      </c>
      <c r="V202" s="330">
        <v>409.22</v>
      </c>
      <c r="W202" s="330">
        <v>418.30500000000006</v>
      </c>
      <c r="X202" s="330">
        <v>438.05500000000001</v>
      </c>
      <c r="Y202" s="331">
        <v>413.565</v>
      </c>
    </row>
    <row r="203" spans="1:25" x14ac:dyDescent="0.2">
      <c r="A203" s="359">
        <v>1</v>
      </c>
      <c r="B203" s="312" t="s">
        <v>3900</v>
      </c>
      <c r="C203" s="325" t="s">
        <v>3901</v>
      </c>
      <c r="D203" s="312" t="s">
        <v>63</v>
      </c>
      <c r="E203" s="312">
        <v>5</v>
      </c>
      <c r="F203" s="312">
        <v>1.6</v>
      </c>
      <c r="G203" s="312" t="s">
        <v>2265</v>
      </c>
      <c r="H203" s="329">
        <v>242</v>
      </c>
      <c r="I203" s="329">
        <v>63.5</v>
      </c>
      <c r="J203" s="329">
        <v>0</v>
      </c>
      <c r="K203" s="329">
        <v>305.5</v>
      </c>
      <c r="L203" s="329">
        <v>370</v>
      </c>
      <c r="N203" s="312" t="s">
        <v>3448</v>
      </c>
      <c r="O203" s="312">
        <v>2011</v>
      </c>
      <c r="Q203" s="326" t="s">
        <v>3902</v>
      </c>
      <c r="R203" s="326">
        <v>2</v>
      </c>
      <c r="S203" s="330">
        <v>349.28000000000003</v>
      </c>
      <c r="T203" s="315">
        <v>354.46</v>
      </c>
      <c r="U203" s="330">
        <v>364.45</v>
      </c>
      <c r="V203" s="330">
        <v>383.32</v>
      </c>
      <c r="W203" s="330">
        <v>391.83000000000004</v>
      </c>
      <c r="X203" s="330">
        <v>410.33</v>
      </c>
      <c r="Y203" s="331">
        <v>387.39</v>
      </c>
    </row>
    <row r="204" spans="1:25" x14ac:dyDescent="0.2">
      <c r="A204" s="359">
        <v>1</v>
      </c>
      <c r="B204" s="312" t="s">
        <v>3897</v>
      </c>
      <c r="C204" s="325" t="s">
        <v>3898</v>
      </c>
      <c r="D204" s="312" t="s">
        <v>63</v>
      </c>
      <c r="E204" s="312">
        <v>6</v>
      </c>
      <c r="F204" s="312">
        <v>1.333</v>
      </c>
      <c r="G204" s="312" t="s">
        <v>2265</v>
      </c>
      <c r="H204" s="329">
        <v>170</v>
      </c>
      <c r="I204" s="329">
        <v>53</v>
      </c>
      <c r="J204" s="329">
        <v>0</v>
      </c>
      <c r="K204" s="329">
        <v>223</v>
      </c>
      <c r="L204" s="329">
        <v>274</v>
      </c>
      <c r="N204" s="312" t="s">
        <v>3448</v>
      </c>
      <c r="O204" s="312">
        <v>2011</v>
      </c>
      <c r="Q204" s="326" t="s">
        <v>3899</v>
      </c>
      <c r="R204" s="326">
        <v>2</v>
      </c>
      <c r="S204" s="330">
        <v>258.65600000000001</v>
      </c>
      <c r="T204" s="315">
        <v>262.49199999999996</v>
      </c>
      <c r="U204" s="330">
        <v>269.89</v>
      </c>
      <c r="V204" s="330">
        <v>283.86400000000003</v>
      </c>
      <c r="W204" s="330">
        <v>290.16600000000005</v>
      </c>
      <c r="X204" s="330">
        <v>303.86599999999999</v>
      </c>
      <c r="Y204" s="331">
        <v>286.87799999999999</v>
      </c>
    </row>
    <row r="205" spans="1:25" x14ac:dyDescent="0.2">
      <c r="A205" s="359">
        <v>1</v>
      </c>
      <c r="B205" s="312" t="s">
        <v>3894</v>
      </c>
      <c r="C205" s="325" t="s">
        <v>3895</v>
      </c>
      <c r="D205" s="312" t="s">
        <v>63</v>
      </c>
      <c r="E205" s="312">
        <v>5</v>
      </c>
      <c r="F205" s="312">
        <v>1.6</v>
      </c>
      <c r="G205" s="312" t="s">
        <v>2265</v>
      </c>
      <c r="H205" s="329">
        <v>221</v>
      </c>
      <c r="I205" s="329">
        <v>63.5</v>
      </c>
      <c r="J205" s="329">
        <v>0</v>
      </c>
      <c r="K205" s="329">
        <v>284.5</v>
      </c>
      <c r="L205" s="329">
        <v>345</v>
      </c>
      <c r="N205" s="312" t="s">
        <v>3448</v>
      </c>
      <c r="O205" s="312">
        <v>2011</v>
      </c>
      <c r="Q205" s="326" t="s">
        <v>3896</v>
      </c>
      <c r="R205" s="326">
        <v>2</v>
      </c>
      <c r="S205" s="330">
        <v>325.68</v>
      </c>
      <c r="T205" s="315">
        <v>330.51</v>
      </c>
      <c r="U205" s="330">
        <v>339.82499999999999</v>
      </c>
      <c r="V205" s="330">
        <v>357.42</v>
      </c>
      <c r="W205" s="330">
        <v>365.35500000000008</v>
      </c>
      <c r="X205" s="330">
        <v>382.60500000000002</v>
      </c>
      <c r="Y205" s="331">
        <v>361.21499999999997</v>
      </c>
    </row>
    <row r="206" spans="1:25" x14ac:dyDescent="0.2">
      <c r="A206" s="359">
        <v>1</v>
      </c>
      <c r="B206" s="312" t="s">
        <v>3891</v>
      </c>
      <c r="C206" s="325" t="s">
        <v>3892</v>
      </c>
      <c r="D206" s="312" t="s">
        <v>63</v>
      </c>
      <c r="E206" s="312">
        <v>6</v>
      </c>
      <c r="F206" s="312">
        <v>1.333</v>
      </c>
      <c r="G206" s="312" t="s">
        <v>2265</v>
      </c>
      <c r="H206" s="329">
        <v>148</v>
      </c>
      <c r="I206" s="329">
        <v>53</v>
      </c>
      <c r="J206" s="329">
        <v>0</v>
      </c>
      <c r="K206" s="329">
        <v>201</v>
      </c>
      <c r="L206" s="329">
        <v>249</v>
      </c>
      <c r="N206" s="312" t="s">
        <v>3448</v>
      </c>
      <c r="O206" s="312">
        <v>2011</v>
      </c>
      <c r="Q206" s="326" t="s">
        <v>3893</v>
      </c>
      <c r="R206" s="326">
        <v>2</v>
      </c>
      <c r="S206" s="330">
        <v>235.05600000000001</v>
      </c>
      <c r="T206" s="315">
        <v>238.542</v>
      </c>
      <c r="U206" s="330">
        <v>245.26499999999999</v>
      </c>
      <c r="V206" s="330">
        <v>257.964</v>
      </c>
      <c r="W206" s="330">
        <v>263.69100000000003</v>
      </c>
      <c r="X206" s="330">
        <v>276.14100000000002</v>
      </c>
      <c r="Y206" s="331">
        <v>260.70299999999997</v>
      </c>
    </row>
    <row r="207" spans="1:25" x14ac:dyDescent="0.2">
      <c r="A207" s="359">
        <v>1</v>
      </c>
      <c r="B207" s="312" t="s">
        <v>4200</v>
      </c>
      <c r="C207" s="325" t="s">
        <v>4201</v>
      </c>
      <c r="H207" s="329">
        <v>0</v>
      </c>
      <c r="I207" s="329">
        <v>0</v>
      </c>
      <c r="J207" s="329">
        <v>0</v>
      </c>
      <c r="K207" s="329">
        <v>0</v>
      </c>
      <c r="L207" s="329">
        <v>0</v>
      </c>
      <c r="N207" s="312" t="s">
        <v>3448</v>
      </c>
      <c r="O207" s="312">
        <v>2011</v>
      </c>
      <c r="Q207" s="326" t="s">
        <v>4202</v>
      </c>
      <c r="R207" s="326">
        <v>2</v>
      </c>
      <c r="S207" s="330">
        <v>0</v>
      </c>
      <c r="T207" s="315">
        <v>0</v>
      </c>
      <c r="U207" s="330">
        <v>0</v>
      </c>
      <c r="V207" s="330">
        <v>0</v>
      </c>
      <c r="W207" s="330">
        <v>0</v>
      </c>
      <c r="X207" s="330">
        <v>0</v>
      </c>
      <c r="Y207" s="331">
        <v>0</v>
      </c>
    </row>
    <row r="208" spans="1:25" x14ac:dyDescent="0.2">
      <c r="A208" s="359">
        <v>2</v>
      </c>
      <c r="B208" s="312" t="s">
        <v>4364</v>
      </c>
      <c r="C208" s="325" t="s">
        <v>4365</v>
      </c>
      <c r="G208" s="312" t="s">
        <v>4362</v>
      </c>
      <c r="H208" s="329">
        <v>0</v>
      </c>
      <c r="I208" s="329">
        <v>0</v>
      </c>
      <c r="J208" s="329">
        <v>9.6</v>
      </c>
      <c r="K208" s="329">
        <v>9.6</v>
      </c>
      <c r="L208" s="329">
        <v>10.56</v>
      </c>
      <c r="N208" s="312" t="s">
        <v>3448</v>
      </c>
      <c r="O208" s="312">
        <v>2011</v>
      </c>
      <c r="Q208" s="326" t="s">
        <v>4366</v>
      </c>
      <c r="R208" s="326">
        <v>2</v>
      </c>
      <c r="S208" s="330">
        <v>9.9686400000000006</v>
      </c>
      <c r="T208" s="315">
        <v>10.116479999999999</v>
      </c>
      <c r="U208" s="330">
        <v>10.4016</v>
      </c>
      <c r="V208" s="330">
        <v>10.940160000000001</v>
      </c>
      <c r="W208" s="330">
        <v>11.183040000000002</v>
      </c>
      <c r="X208" s="330">
        <v>11.711040000000001</v>
      </c>
      <c r="Y208" s="331">
        <v>11.056319999999999</v>
      </c>
    </row>
    <row r="209" spans="1:25" x14ac:dyDescent="0.2">
      <c r="A209" s="359">
        <v>2</v>
      </c>
      <c r="B209" s="312" t="s">
        <v>4367</v>
      </c>
      <c r="C209" s="325" t="s">
        <v>2778</v>
      </c>
      <c r="G209" s="312" t="s">
        <v>4362</v>
      </c>
      <c r="H209" s="329">
        <v>0</v>
      </c>
      <c r="I209" s="329">
        <v>0</v>
      </c>
      <c r="J209" s="329">
        <v>312.60000000000002</v>
      </c>
      <c r="K209" s="329">
        <v>312.60000000000002</v>
      </c>
      <c r="L209" s="329">
        <v>343.86</v>
      </c>
      <c r="N209" s="312" t="s">
        <v>3448</v>
      </c>
      <c r="O209" s="312">
        <v>2011</v>
      </c>
      <c r="Q209" s="326" t="s">
        <v>4368</v>
      </c>
      <c r="R209" s="326">
        <v>2</v>
      </c>
      <c r="S209" s="330">
        <v>324.60384000000005</v>
      </c>
      <c r="T209" s="315">
        <v>329.41788000000003</v>
      </c>
      <c r="U209" s="330">
        <v>338.70210000000003</v>
      </c>
      <c r="V209" s="330">
        <v>356.23896000000002</v>
      </c>
      <c r="W209" s="330">
        <v>364.14774000000006</v>
      </c>
      <c r="X209" s="330">
        <v>381.34073999999998</v>
      </c>
      <c r="Y209" s="331">
        <v>360.02141999999998</v>
      </c>
    </row>
    <row r="210" spans="1:25" x14ac:dyDescent="0.2">
      <c r="A210" s="359">
        <v>2</v>
      </c>
      <c r="B210" s="312" t="s">
        <v>4369</v>
      </c>
      <c r="C210" s="325" t="s">
        <v>2779</v>
      </c>
      <c r="G210" s="312" t="s">
        <v>4362</v>
      </c>
      <c r="H210" s="329">
        <v>0</v>
      </c>
      <c r="I210" s="329">
        <v>0</v>
      </c>
      <c r="J210" s="329">
        <v>445.4</v>
      </c>
      <c r="K210" s="329">
        <v>445.4</v>
      </c>
      <c r="L210" s="329">
        <v>489.94</v>
      </c>
      <c r="N210" s="312" t="s">
        <v>3448</v>
      </c>
      <c r="O210" s="312">
        <v>2011</v>
      </c>
      <c r="Q210" s="326" t="s">
        <v>4370</v>
      </c>
      <c r="R210" s="326">
        <v>2</v>
      </c>
      <c r="S210" s="330">
        <v>462.50336000000004</v>
      </c>
      <c r="T210" s="315">
        <v>469.36251999999996</v>
      </c>
      <c r="U210" s="330">
        <v>482.59089999999998</v>
      </c>
      <c r="V210" s="330">
        <v>507.57784000000004</v>
      </c>
      <c r="W210" s="330">
        <v>518.84646000000009</v>
      </c>
      <c r="X210" s="330">
        <v>543.34345999999994</v>
      </c>
      <c r="Y210" s="331">
        <v>512.96717999999998</v>
      </c>
    </row>
    <row r="211" spans="1:25" x14ac:dyDescent="0.2">
      <c r="A211" s="359">
        <v>2</v>
      </c>
      <c r="B211" s="312" t="s">
        <v>4371</v>
      </c>
      <c r="C211" s="325" t="s">
        <v>4372</v>
      </c>
      <c r="G211" s="312" t="s">
        <v>4362</v>
      </c>
      <c r="H211" s="329">
        <v>0</v>
      </c>
      <c r="I211" s="329">
        <v>0</v>
      </c>
      <c r="J211" s="329">
        <v>210.8</v>
      </c>
      <c r="K211" s="329">
        <v>210.8</v>
      </c>
      <c r="L211" s="329">
        <v>231.88</v>
      </c>
      <c r="N211" s="312" t="s">
        <v>3448</v>
      </c>
      <c r="O211" s="312">
        <v>2011</v>
      </c>
      <c r="Q211" s="326" t="s">
        <v>4373</v>
      </c>
      <c r="R211" s="326">
        <v>2</v>
      </c>
      <c r="S211" s="330">
        <v>218.89472000000001</v>
      </c>
      <c r="T211" s="315">
        <v>222.14103999999998</v>
      </c>
      <c r="U211" s="330">
        <v>228.40179999999998</v>
      </c>
      <c r="V211" s="330">
        <v>240.22767999999999</v>
      </c>
      <c r="W211" s="330">
        <v>245.56092000000004</v>
      </c>
      <c r="X211" s="330">
        <v>257.15492</v>
      </c>
      <c r="Y211" s="331">
        <v>242.77835999999999</v>
      </c>
    </row>
    <row r="212" spans="1:25" x14ac:dyDescent="0.2">
      <c r="A212" s="359">
        <v>2</v>
      </c>
      <c r="B212" s="312" t="s">
        <v>4374</v>
      </c>
      <c r="C212" s="325" t="s">
        <v>4375</v>
      </c>
      <c r="G212" s="312" t="s">
        <v>4362</v>
      </c>
      <c r="H212" s="329">
        <v>0</v>
      </c>
      <c r="I212" s="329">
        <v>0</v>
      </c>
      <c r="J212" s="329">
        <v>133.08000000000001</v>
      </c>
      <c r="K212" s="329">
        <v>133.08000000000001</v>
      </c>
      <c r="L212" s="329">
        <v>146.38800000000001</v>
      </c>
      <c r="N212" s="312" t="s">
        <v>3448</v>
      </c>
      <c r="O212" s="312">
        <v>2011</v>
      </c>
      <c r="Q212" s="326" t="s">
        <v>4376</v>
      </c>
      <c r="R212" s="326">
        <v>2</v>
      </c>
      <c r="S212" s="330">
        <v>138.19027200000002</v>
      </c>
      <c r="T212" s="315">
        <v>140.23970399999999</v>
      </c>
      <c r="U212" s="330">
        <v>144.19218000000001</v>
      </c>
      <c r="V212" s="330">
        <v>151.65796800000001</v>
      </c>
      <c r="W212" s="330">
        <v>155.02489200000002</v>
      </c>
      <c r="X212" s="330">
        <v>162.344292</v>
      </c>
      <c r="Y212" s="331">
        <v>153.268236</v>
      </c>
    </row>
    <row r="213" spans="1:25" x14ac:dyDescent="0.2">
      <c r="A213" s="359">
        <v>2</v>
      </c>
      <c r="B213" s="312" t="s">
        <v>4360</v>
      </c>
      <c r="C213" s="325" t="s">
        <v>4361</v>
      </c>
      <c r="G213" s="312" t="s">
        <v>4362</v>
      </c>
      <c r="H213" s="329">
        <v>0</v>
      </c>
      <c r="I213" s="329">
        <v>0</v>
      </c>
      <c r="J213" s="329">
        <v>40.299999999999997</v>
      </c>
      <c r="K213" s="329">
        <v>40.299999999999997</v>
      </c>
      <c r="L213" s="329">
        <v>44.33</v>
      </c>
      <c r="N213" s="312" t="s">
        <v>3448</v>
      </c>
      <c r="O213" s="312">
        <v>2011</v>
      </c>
      <c r="Q213" s="326" t="s">
        <v>4363</v>
      </c>
      <c r="R213" s="326">
        <v>2</v>
      </c>
      <c r="S213" s="330">
        <v>41.847520000000003</v>
      </c>
      <c r="T213" s="315">
        <v>42.468139999999998</v>
      </c>
      <c r="U213" s="330">
        <v>43.665050000000001</v>
      </c>
      <c r="V213" s="330">
        <v>45.925879999999999</v>
      </c>
      <c r="W213" s="330">
        <v>46.945470000000007</v>
      </c>
      <c r="X213" s="330">
        <v>49.161969999999997</v>
      </c>
      <c r="Y213" s="331">
        <v>46.413509999999995</v>
      </c>
    </row>
    <row r="214" spans="1:25" x14ac:dyDescent="0.2">
      <c r="A214" s="359">
        <v>1</v>
      </c>
      <c r="B214" s="312" t="s">
        <v>4212</v>
      </c>
      <c r="C214" s="325" t="s">
        <v>2885</v>
      </c>
      <c r="D214" s="312" t="s">
        <v>66</v>
      </c>
      <c r="E214" s="312">
        <v>700</v>
      </c>
      <c r="F214" s="312">
        <v>2.3E-2</v>
      </c>
      <c r="G214" s="312" t="s">
        <v>2377</v>
      </c>
      <c r="H214" s="329">
        <v>30.5</v>
      </c>
      <c r="I214" s="329">
        <v>0.7</v>
      </c>
      <c r="J214" s="329">
        <v>1.5</v>
      </c>
      <c r="K214" s="329">
        <v>32.700000000000003</v>
      </c>
      <c r="L214" s="329">
        <v>36.5</v>
      </c>
      <c r="N214" s="312" t="s">
        <v>3448</v>
      </c>
      <c r="O214" s="312">
        <v>2011</v>
      </c>
      <c r="Q214" s="326" t="s">
        <v>4213</v>
      </c>
      <c r="R214" s="326">
        <v>2</v>
      </c>
      <c r="S214" s="330">
        <v>34.456000000000003</v>
      </c>
      <c r="T214" s="315">
        <v>34.966999999999999</v>
      </c>
      <c r="U214" s="330">
        <v>35.952500000000001</v>
      </c>
      <c r="V214" s="330">
        <v>37.814</v>
      </c>
      <c r="W214" s="330">
        <v>38.653500000000008</v>
      </c>
      <c r="X214" s="330">
        <v>40.478499999999997</v>
      </c>
      <c r="Y214" s="331">
        <v>38.215499999999999</v>
      </c>
    </row>
    <row r="215" spans="1:25" ht="20.399999999999999" x14ac:dyDescent="0.2">
      <c r="A215" s="359">
        <v>1</v>
      </c>
      <c r="B215" s="312" t="s">
        <v>4208</v>
      </c>
      <c r="C215" s="325" t="s">
        <v>2886</v>
      </c>
      <c r="D215" s="312" t="s">
        <v>1850</v>
      </c>
      <c r="E215" s="312">
        <v>53</v>
      </c>
      <c r="F215" s="312">
        <v>0.90600000000000003</v>
      </c>
      <c r="G215" s="312" t="s">
        <v>1802</v>
      </c>
      <c r="H215" s="329">
        <v>19.7</v>
      </c>
      <c r="I215" s="329">
        <v>25.5</v>
      </c>
      <c r="J215" s="329">
        <v>14.15</v>
      </c>
      <c r="K215" s="329">
        <v>59.35</v>
      </c>
      <c r="L215" s="329">
        <v>80</v>
      </c>
      <c r="N215" s="312" t="s">
        <v>3448</v>
      </c>
      <c r="O215" s="312">
        <v>2011</v>
      </c>
      <c r="Q215" s="326" t="s">
        <v>4209</v>
      </c>
      <c r="R215" s="326">
        <v>2</v>
      </c>
      <c r="S215" s="330">
        <v>75.52000000000001</v>
      </c>
      <c r="T215" s="315">
        <v>76.64</v>
      </c>
      <c r="U215" s="330">
        <v>78.8</v>
      </c>
      <c r="V215" s="330">
        <v>82.88</v>
      </c>
      <c r="W215" s="330">
        <v>84.720000000000013</v>
      </c>
      <c r="X215" s="330">
        <v>88.72</v>
      </c>
      <c r="Y215" s="331">
        <v>83.759999999999991</v>
      </c>
    </row>
    <row r="216" spans="1:25" ht="20.399999999999999" x14ac:dyDescent="0.2">
      <c r="A216" s="359">
        <v>1</v>
      </c>
      <c r="B216" s="312" t="s">
        <v>4205</v>
      </c>
      <c r="C216" s="325" t="s">
        <v>4206</v>
      </c>
      <c r="D216" s="312" t="s">
        <v>1850</v>
      </c>
      <c r="E216" s="312">
        <v>80</v>
      </c>
      <c r="F216" s="312">
        <v>0.6</v>
      </c>
      <c r="G216" s="312" t="s">
        <v>1802</v>
      </c>
      <c r="H216" s="329">
        <v>65.5</v>
      </c>
      <c r="I216" s="329">
        <v>17</v>
      </c>
      <c r="J216" s="329">
        <v>9.35</v>
      </c>
      <c r="K216" s="329">
        <v>91.85</v>
      </c>
      <c r="L216" s="329">
        <v>111</v>
      </c>
      <c r="N216" s="312" t="s">
        <v>3448</v>
      </c>
      <c r="O216" s="312">
        <v>2011</v>
      </c>
      <c r="Q216" s="326" t="s">
        <v>4207</v>
      </c>
      <c r="R216" s="326">
        <v>2</v>
      </c>
      <c r="S216" s="330">
        <v>104.78400000000001</v>
      </c>
      <c r="T216" s="315">
        <v>106.33799999999999</v>
      </c>
      <c r="U216" s="330">
        <v>109.33499999999999</v>
      </c>
      <c r="V216" s="330">
        <v>114.99600000000001</v>
      </c>
      <c r="W216" s="330">
        <v>117.54900000000002</v>
      </c>
      <c r="X216" s="330">
        <v>123.099</v>
      </c>
      <c r="Y216" s="331">
        <v>116.217</v>
      </c>
    </row>
    <row r="217" spans="1:25" x14ac:dyDescent="0.2">
      <c r="A217" s="359">
        <v>1</v>
      </c>
      <c r="B217" s="312" t="s">
        <v>4214</v>
      </c>
      <c r="C217" s="325" t="s">
        <v>4215</v>
      </c>
      <c r="D217" s="312" t="s">
        <v>66</v>
      </c>
      <c r="E217" s="312">
        <v>600</v>
      </c>
      <c r="F217" s="312">
        <v>2.7E-2</v>
      </c>
      <c r="G217" s="312" t="s">
        <v>2377</v>
      </c>
      <c r="H217" s="329">
        <v>30.5</v>
      </c>
      <c r="I217" s="329">
        <v>0.82</v>
      </c>
      <c r="J217" s="329">
        <v>1.75</v>
      </c>
      <c r="K217" s="329">
        <v>33.07</v>
      </c>
      <c r="L217" s="329">
        <v>37</v>
      </c>
      <c r="N217" s="312" t="s">
        <v>3448</v>
      </c>
      <c r="O217" s="312">
        <v>2011</v>
      </c>
      <c r="Q217" s="326" t="s">
        <v>4216</v>
      </c>
      <c r="R217" s="326">
        <v>2</v>
      </c>
      <c r="S217" s="330">
        <v>34.928000000000004</v>
      </c>
      <c r="T217" s="315">
        <v>35.445999999999998</v>
      </c>
      <c r="U217" s="330">
        <v>36.445</v>
      </c>
      <c r="V217" s="330">
        <v>38.332000000000001</v>
      </c>
      <c r="W217" s="330">
        <v>39.183000000000007</v>
      </c>
      <c r="X217" s="330">
        <v>41.033000000000001</v>
      </c>
      <c r="Y217" s="331">
        <v>38.738999999999997</v>
      </c>
    </row>
    <row r="218" spans="1:25" x14ac:dyDescent="0.2">
      <c r="A218" s="359">
        <v>1</v>
      </c>
      <c r="B218" s="312" t="s">
        <v>4210</v>
      </c>
      <c r="C218" s="325" t="s">
        <v>2887</v>
      </c>
      <c r="D218" s="312" t="s">
        <v>66</v>
      </c>
      <c r="E218" s="312">
        <v>800</v>
      </c>
      <c r="F218" s="312">
        <v>0.02</v>
      </c>
      <c r="G218" s="312" t="s">
        <v>2377</v>
      </c>
      <c r="H218" s="329">
        <v>30.5</v>
      </c>
      <c r="I218" s="329">
        <v>0.61</v>
      </c>
      <c r="J218" s="329">
        <v>1.31</v>
      </c>
      <c r="K218" s="329">
        <v>32.42</v>
      </c>
      <c r="L218" s="329">
        <v>36</v>
      </c>
      <c r="N218" s="312" t="s">
        <v>3448</v>
      </c>
      <c r="O218" s="312">
        <v>2011</v>
      </c>
      <c r="Q218" s="326" t="s">
        <v>4211</v>
      </c>
      <c r="R218" s="326">
        <v>2</v>
      </c>
      <c r="S218" s="330">
        <v>33.984000000000002</v>
      </c>
      <c r="T218" s="315">
        <v>34.488</v>
      </c>
      <c r="U218" s="330">
        <v>35.46</v>
      </c>
      <c r="V218" s="330">
        <v>37.295999999999999</v>
      </c>
      <c r="W218" s="330">
        <v>38.124000000000009</v>
      </c>
      <c r="X218" s="330">
        <v>39.923999999999999</v>
      </c>
      <c r="Y218" s="331">
        <v>37.692</v>
      </c>
    </row>
    <row r="219" spans="1:25" x14ac:dyDescent="0.2">
      <c r="A219" s="359">
        <v>1</v>
      </c>
      <c r="B219" s="312" t="s">
        <v>4203</v>
      </c>
      <c r="C219" s="325" t="s">
        <v>2888</v>
      </c>
      <c r="D219" s="312" t="s">
        <v>70</v>
      </c>
      <c r="E219" s="312">
        <v>62</v>
      </c>
      <c r="F219" s="312">
        <v>0.25800000000000001</v>
      </c>
      <c r="G219" s="312" t="s">
        <v>1181</v>
      </c>
      <c r="H219" s="329">
        <v>31.5</v>
      </c>
      <c r="I219" s="329">
        <v>8.0500000000000007</v>
      </c>
      <c r="J219" s="329">
        <v>11.2</v>
      </c>
      <c r="K219" s="329">
        <v>50.75</v>
      </c>
      <c r="L219" s="329">
        <v>60</v>
      </c>
      <c r="N219" s="312" t="s">
        <v>3448</v>
      </c>
      <c r="O219" s="312">
        <v>2011</v>
      </c>
      <c r="Q219" s="326" t="s">
        <v>4204</v>
      </c>
      <c r="R219" s="326">
        <v>2</v>
      </c>
      <c r="S219" s="330">
        <v>56.64</v>
      </c>
      <c r="T219" s="315">
        <v>57.48</v>
      </c>
      <c r="U219" s="330">
        <v>59.1</v>
      </c>
      <c r="V219" s="330">
        <v>62.160000000000004</v>
      </c>
      <c r="W219" s="330">
        <v>63.540000000000006</v>
      </c>
      <c r="X219" s="330">
        <v>66.539999999999992</v>
      </c>
      <c r="Y219" s="331">
        <v>62.819999999999993</v>
      </c>
    </row>
    <row r="220" spans="1:25" ht="20.399999999999999" x14ac:dyDescent="0.2">
      <c r="A220" s="359">
        <v>2</v>
      </c>
      <c r="B220" s="312" t="s">
        <v>4269</v>
      </c>
      <c r="C220" s="325" t="s">
        <v>4270</v>
      </c>
      <c r="D220" s="312" t="s">
        <v>4271</v>
      </c>
      <c r="E220" s="312" t="s">
        <v>4272</v>
      </c>
      <c r="F220" s="312">
        <v>2E-3</v>
      </c>
      <c r="G220" s="312" t="s">
        <v>1802</v>
      </c>
      <c r="H220" s="329">
        <v>0.2</v>
      </c>
      <c r="I220" s="329">
        <v>0.05</v>
      </c>
      <c r="J220" s="329">
        <v>0.06</v>
      </c>
      <c r="K220" s="329">
        <v>0.31</v>
      </c>
      <c r="L220" s="329">
        <v>0.37</v>
      </c>
      <c r="N220" s="312" t="s">
        <v>3448</v>
      </c>
      <c r="O220" s="312">
        <v>2011</v>
      </c>
      <c r="Q220" s="326" t="s">
        <v>4273</v>
      </c>
      <c r="R220" s="326">
        <v>2</v>
      </c>
      <c r="S220" s="330">
        <v>0.34928000000000003</v>
      </c>
      <c r="T220" s="315">
        <v>0.35446</v>
      </c>
      <c r="U220" s="330">
        <v>0.36445</v>
      </c>
      <c r="V220" s="330">
        <v>0.38331999999999999</v>
      </c>
      <c r="W220" s="330">
        <v>0.39183000000000007</v>
      </c>
      <c r="X220" s="330">
        <v>0.41032999999999997</v>
      </c>
      <c r="Y220" s="331">
        <v>0.38738999999999996</v>
      </c>
    </row>
    <row r="221" spans="1:25" ht="20.399999999999999" x14ac:dyDescent="0.2">
      <c r="A221" s="359">
        <v>2</v>
      </c>
      <c r="B221" s="312" t="s">
        <v>3959</v>
      </c>
      <c r="C221" s="325" t="s">
        <v>1262</v>
      </c>
      <c r="D221" s="312" t="s">
        <v>66</v>
      </c>
      <c r="E221" s="312">
        <v>2</v>
      </c>
      <c r="F221" s="312">
        <v>8</v>
      </c>
      <c r="G221" s="312" t="s">
        <v>2376</v>
      </c>
      <c r="H221" s="329">
        <v>0</v>
      </c>
      <c r="I221" s="329">
        <v>245</v>
      </c>
      <c r="J221" s="329">
        <v>525</v>
      </c>
      <c r="K221" s="329">
        <v>770</v>
      </c>
      <c r="L221" s="329">
        <v>985</v>
      </c>
      <c r="N221" s="312" t="s">
        <v>3448</v>
      </c>
      <c r="O221" s="312">
        <v>2011</v>
      </c>
      <c r="Q221" s="326" t="s">
        <v>3960</v>
      </c>
      <c r="R221" s="326">
        <v>2</v>
      </c>
      <c r="S221" s="330">
        <v>929.84</v>
      </c>
      <c r="T221" s="315">
        <v>943.63</v>
      </c>
      <c r="U221" s="330">
        <v>970.22500000000002</v>
      </c>
      <c r="V221" s="330">
        <v>1020.46</v>
      </c>
      <c r="W221" s="330">
        <v>1043.1150000000002</v>
      </c>
      <c r="X221" s="330">
        <v>1092.365</v>
      </c>
      <c r="Y221" s="331">
        <v>1031.2949999999998</v>
      </c>
    </row>
    <row r="222" spans="1:25" ht="20.399999999999999" x14ac:dyDescent="0.2">
      <c r="A222" s="359">
        <v>2</v>
      </c>
      <c r="B222" s="312" t="s">
        <v>3961</v>
      </c>
      <c r="C222" s="325" t="s">
        <v>3962</v>
      </c>
      <c r="D222" s="312" t="s">
        <v>66</v>
      </c>
      <c r="E222" s="312">
        <v>1.5</v>
      </c>
      <c r="F222" s="312">
        <v>10.667</v>
      </c>
      <c r="G222" s="312" t="s">
        <v>2376</v>
      </c>
      <c r="H222" s="329">
        <v>0</v>
      </c>
      <c r="I222" s="329">
        <v>325</v>
      </c>
      <c r="J222" s="329">
        <v>700</v>
      </c>
      <c r="K222" s="329">
        <v>1025</v>
      </c>
      <c r="L222" s="329">
        <v>1300</v>
      </c>
      <c r="N222" s="312" t="s">
        <v>3448</v>
      </c>
      <c r="O222" s="312">
        <v>2011</v>
      </c>
      <c r="Q222" s="326" t="s">
        <v>3963</v>
      </c>
      <c r="R222" s="326">
        <v>2</v>
      </c>
      <c r="S222" s="330">
        <v>1227.2</v>
      </c>
      <c r="T222" s="315">
        <v>1245.3999999999999</v>
      </c>
      <c r="U222" s="330">
        <v>1280.5</v>
      </c>
      <c r="V222" s="330">
        <v>1346.8</v>
      </c>
      <c r="W222" s="330">
        <v>1376.7000000000003</v>
      </c>
      <c r="X222" s="330">
        <v>1441.7</v>
      </c>
      <c r="Y222" s="331">
        <v>1361.1</v>
      </c>
    </row>
    <row r="223" spans="1:25" ht="20.399999999999999" x14ac:dyDescent="0.2">
      <c r="A223" s="359">
        <v>2</v>
      </c>
      <c r="B223" s="312" t="s">
        <v>3955</v>
      </c>
      <c r="C223" s="325" t="s">
        <v>1263</v>
      </c>
      <c r="D223" s="312" t="s">
        <v>78</v>
      </c>
      <c r="E223" s="312">
        <v>0.25</v>
      </c>
      <c r="F223" s="312">
        <v>32</v>
      </c>
      <c r="G223" s="312" t="s">
        <v>2376</v>
      </c>
      <c r="H223" s="329">
        <v>0</v>
      </c>
      <c r="I223" s="329">
        <v>845</v>
      </c>
      <c r="J223" s="329">
        <v>103</v>
      </c>
      <c r="K223" s="329">
        <v>948</v>
      </c>
      <c r="L223" s="329">
        <v>1550</v>
      </c>
      <c r="N223" s="312" t="s">
        <v>3448</v>
      </c>
      <c r="O223" s="312">
        <v>2011</v>
      </c>
      <c r="Q223" s="326" t="s">
        <v>3956</v>
      </c>
      <c r="R223" s="326">
        <v>2</v>
      </c>
      <c r="S223" s="330">
        <v>1463.2</v>
      </c>
      <c r="T223" s="315">
        <v>1484.8999999999999</v>
      </c>
      <c r="U223" s="330">
        <v>1526.75</v>
      </c>
      <c r="V223" s="330">
        <v>1605.8</v>
      </c>
      <c r="W223" s="330">
        <v>1641.4500000000003</v>
      </c>
      <c r="X223" s="330">
        <v>1718.95</v>
      </c>
      <c r="Y223" s="331">
        <v>1622.85</v>
      </c>
    </row>
    <row r="224" spans="1:25" ht="20.399999999999999" x14ac:dyDescent="0.2">
      <c r="A224" s="359">
        <v>2</v>
      </c>
      <c r="B224" s="312" t="s">
        <v>3957</v>
      </c>
      <c r="C224" s="325" t="s">
        <v>1264</v>
      </c>
      <c r="D224" s="312" t="s">
        <v>812</v>
      </c>
      <c r="E224" s="312">
        <v>0.12</v>
      </c>
      <c r="F224" s="312">
        <v>66.667000000000002</v>
      </c>
      <c r="G224" s="312" t="s">
        <v>2376</v>
      </c>
      <c r="H224" s="329">
        <v>0</v>
      </c>
      <c r="I224" s="329">
        <v>1775</v>
      </c>
      <c r="J224" s="329">
        <v>0</v>
      </c>
      <c r="K224" s="329">
        <v>1775</v>
      </c>
      <c r="L224" s="329">
        <v>2950</v>
      </c>
      <c r="N224" s="312" t="s">
        <v>3448</v>
      </c>
      <c r="O224" s="312">
        <v>2011</v>
      </c>
      <c r="Q224" s="326" t="s">
        <v>3958</v>
      </c>
      <c r="R224" s="326">
        <v>2</v>
      </c>
      <c r="S224" s="330">
        <v>2784.8</v>
      </c>
      <c r="T224" s="315">
        <v>2826.1</v>
      </c>
      <c r="U224" s="330">
        <v>2905.75</v>
      </c>
      <c r="V224" s="330">
        <v>3056.2000000000003</v>
      </c>
      <c r="W224" s="330">
        <v>3124.0500000000006</v>
      </c>
      <c r="X224" s="330">
        <v>3271.55</v>
      </c>
      <c r="Y224" s="331">
        <v>3088.6499999999996</v>
      </c>
    </row>
    <row r="225" spans="1:25" ht="30.6" x14ac:dyDescent="0.2">
      <c r="A225" s="359">
        <v>2</v>
      </c>
      <c r="B225" s="312" t="s">
        <v>3613</v>
      </c>
      <c r="C225" s="325" t="s">
        <v>1265</v>
      </c>
      <c r="D225" s="312" t="s">
        <v>81</v>
      </c>
      <c r="E225" s="312">
        <v>48</v>
      </c>
      <c r="F225" s="312">
        <v>0.5</v>
      </c>
      <c r="G225" s="312" t="s">
        <v>2265</v>
      </c>
      <c r="H225" s="329">
        <v>0</v>
      </c>
      <c r="I225" s="329">
        <v>18.05</v>
      </c>
      <c r="J225" s="329">
        <v>21.5</v>
      </c>
      <c r="K225" s="329">
        <v>39.549999999999997</v>
      </c>
      <c r="L225" s="329">
        <v>56.5</v>
      </c>
      <c r="N225" s="312" t="s">
        <v>3448</v>
      </c>
      <c r="O225" s="312">
        <v>2011</v>
      </c>
      <c r="Q225" s="326" t="s">
        <v>3614</v>
      </c>
      <c r="R225" s="326">
        <v>2</v>
      </c>
      <c r="S225" s="330">
        <v>53.336000000000006</v>
      </c>
      <c r="T225" s="315">
        <v>54.126999999999995</v>
      </c>
      <c r="U225" s="330">
        <v>55.652499999999996</v>
      </c>
      <c r="V225" s="330">
        <v>58.533999999999999</v>
      </c>
      <c r="W225" s="330">
        <v>59.833500000000008</v>
      </c>
      <c r="X225" s="330">
        <v>62.658499999999997</v>
      </c>
      <c r="Y225" s="331">
        <v>59.155499999999996</v>
      </c>
    </row>
    <row r="226" spans="1:25" ht="30.6" x14ac:dyDescent="0.2">
      <c r="A226" s="359">
        <v>2</v>
      </c>
      <c r="B226" s="312" t="s">
        <v>3607</v>
      </c>
      <c r="C226" s="325" t="s">
        <v>1266</v>
      </c>
      <c r="D226" s="312" t="s">
        <v>83</v>
      </c>
      <c r="E226" s="312">
        <v>84</v>
      </c>
      <c r="F226" s="312">
        <v>0.19</v>
      </c>
      <c r="G226" s="312" t="s">
        <v>2265</v>
      </c>
      <c r="H226" s="329">
        <v>0</v>
      </c>
      <c r="I226" s="329">
        <v>6.95</v>
      </c>
      <c r="J226" s="329">
        <v>0</v>
      </c>
      <c r="K226" s="329">
        <v>6.95</v>
      </c>
      <c r="L226" s="329">
        <v>13.2</v>
      </c>
      <c r="N226" s="312" t="s">
        <v>3448</v>
      </c>
      <c r="O226" s="312">
        <v>2011</v>
      </c>
      <c r="Q226" s="326" t="s">
        <v>3608</v>
      </c>
      <c r="R226" s="326">
        <v>2</v>
      </c>
      <c r="S226" s="330">
        <v>12.460800000000001</v>
      </c>
      <c r="T226" s="315">
        <v>12.645599999999998</v>
      </c>
      <c r="U226" s="330">
        <v>13.001999999999999</v>
      </c>
      <c r="V226" s="330">
        <v>13.6752</v>
      </c>
      <c r="W226" s="330">
        <v>13.978800000000001</v>
      </c>
      <c r="X226" s="330">
        <v>14.6388</v>
      </c>
      <c r="Y226" s="331">
        <v>13.820399999999998</v>
      </c>
    </row>
    <row r="227" spans="1:25" ht="30.6" x14ac:dyDescent="0.2">
      <c r="A227" s="359">
        <v>2</v>
      </c>
      <c r="B227" s="312" t="s">
        <v>3609</v>
      </c>
      <c r="C227" s="325" t="s">
        <v>2900</v>
      </c>
      <c r="D227" s="312" t="s">
        <v>85</v>
      </c>
      <c r="E227" s="312">
        <v>72</v>
      </c>
      <c r="F227" s="312">
        <v>0.33300000000000002</v>
      </c>
      <c r="G227" s="312" t="s">
        <v>2265</v>
      </c>
      <c r="H227" s="329">
        <v>0</v>
      </c>
      <c r="I227" s="329">
        <v>12.15</v>
      </c>
      <c r="J227" s="329">
        <v>0</v>
      </c>
      <c r="K227" s="329">
        <v>12.15</v>
      </c>
      <c r="L227" s="329">
        <v>23</v>
      </c>
      <c r="N227" s="312" t="s">
        <v>3448</v>
      </c>
      <c r="O227" s="312">
        <v>2011</v>
      </c>
      <c r="Q227" s="326" t="s">
        <v>3610</v>
      </c>
      <c r="R227" s="326">
        <v>2</v>
      </c>
      <c r="S227" s="330">
        <v>21.712</v>
      </c>
      <c r="T227" s="315">
        <v>22.033999999999999</v>
      </c>
      <c r="U227" s="330">
        <v>22.655000000000001</v>
      </c>
      <c r="V227" s="330">
        <v>23.827999999999999</v>
      </c>
      <c r="W227" s="330">
        <v>24.357000000000003</v>
      </c>
      <c r="X227" s="330">
        <v>25.506999999999998</v>
      </c>
      <c r="Y227" s="331">
        <v>24.081</v>
      </c>
    </row>
    <row r="228" spans="1:25" ht="30.6" x14ac:dyDescent="0.2">
      <c r="A228" s="359">
        <v>2</v>
      </c>
      <c r="B228" s="312" t="s">
        <v>3615</v>
      </c>
      <c r="C228" s="325" t="s">
        <v>2901</v>
      </c>
      <c r="D228" s="312" t="s">
        <v>81</v>
      </c>
      <c r="E228" s="312">
        <v>36</v>
      </c>
      <c r="F228" s="312">
        <v>0.66700000000000004</v>
      </c>
      <c r="G228" s="312" t="s">
        <v>2265</v>
      </c>
      <c r="H228" s="329">
        <v>0</v>
      </c>
      <c r="I228" s="329">
        <v>24</v>
      </c>
      <c r="J228" s="329">
        <v>29</v>
      </c>
      <c r="K228" s="329">
        <v>53</v>
      </c>
      <c r="L228" s="329">
        <v>75.5</v>
      </c>
      <c r="N228" s="312" t="s">
        <v>3448</v>
      </c>
      <c r="O228" s="312">
        <v>2011</v>
      </c>
      <c r="Q228" s="326" t="s">
        <v>3616</v>
      </c>
      <c r="R228" s="326">
        <v>2</v>
      </c>
      <c r="S228" s="330">
        <v>71.272000000000006</v>
      </c>
      <c r="T228" s="315">
        <v>72.328999999999994</v>
      </c>
      <c r="U228" s="330">
        <v>74.367499999999993</v>
      </c>
      <c r="V228" s="330">
        <v>78.218000000000004</v>
      </c>
      <c r="W228" s="330">
        <v>79.95450000000001</v>
      </c>
      <c r="X228" s="330">
        <v>83.729500000000002</v>
      </c>
      <c r="Y228" s="331">
        <v>79.04849999999999</v>
      </c>
    </row>
    <row r="229" spans="1:25" ht="30.6" x14ac:dyDescent="0.2">
      <c r="A229" s="359">
        <v>2</v>
      </c>
      <c r="B229" s="312" t="s">
        <v>3611</v>
      </c>
      <c r="C229" s="325" t="s">
        <v>2902</v>
      </c>
      <c r="D229" s="312" t="s">
        <v>88</v>
      </c>
      <c r="E229" s="312">
        <v>60</v>
      </c>
      <c r="F229" s="312">
        <v>0.53300000000000003</v>
      </c>
      <c r="G229" s="312" t="s">
        <v>2265</v>
      </c>
      <c r="H229" s="329">
        <v>0</v>
      </c>
      <c r="I229" s="329">
        <v>19.399999999999999</v>
      </c>
      <c r="J229" s="329">
        <v>0</v>
      </c>
      <c r="K229" s="329">
        <v>19.399999999999999</v>
      </c>
      <c r="L229" s="329">
        <v>37</v>
      </c>
      <c r="N229" s="312" t="s">
        <v>3448</v>
      </c>
      <c r="O229" s="312">
        <v>2011</v>
      </c>
      <c r="Q229" s="326" t="s">
        <v>3612</v>
      </c>
      <c r="R229" s="326">
        <v>2</v>
      </c>
      <c r="S229" s="330">
        <v>34.928000000000004</v>
      </c>
      <c r="T229" s="315">
        <v>35.445999999999998</v>
      </c>
      <c r="U229" s="330">
        <v>36.445</v>
      </c>
      <c r="V229" s="330">
        <v>38.332000000000001</v>
      </c>
      <c r="W229" s="330">
        <v>39.183000000000007</v>
      </c>
      <c r="X229" s="330">
        <v>41.033000000000001</v>
      </c>
      <c r="Y229" s="331">
        <v>38.738999999999997</v>
      </c>
    </row>
    <row r="230" spans="1:25" ht="30.6" x14ac:dyDescent="0.2">
      <c r="A230" s="359">
        <v>2</v>
      </c>
      <c r="B230" s="312" t="s">
        <v>3603</v>
      </c>
      <c r="C230" s="325" t="s">
        <v>3604</v>
      </c>
      <c r="D230" s="312" t="s">
        <v>3605</v>
      </c>
      <c r="E230" s="312">
        <v>96</v>
      </c>
      <c r="F230" s="312">
        <v>8.3000000000000004E-2</v>
      </c>
      <c r="G230" s="312" t="s">
        <v>2265</v>
      </c>
      <c r="H230" s="329">
        <v>0</v>
      </c>
      <c r="I230" s="329">
        <v>3.03</v>
      </c>
      <c r="J230" s="329">
        <v>0</v>
      </c>
      <c r="K230" s="329">
        <v>3.03</v>
      </c>
      <c r="L230" s="329">
        <v>5.8</v>
      </c>
      <c r="N230" s="312" t="s">
        <v>3448</v>
      </c>
      <c r="O230" s="312">
        <v>2011</v>
      </c>
      <c r="Q230" s="326" t="s">
        <v>3606</v>
      </c>
      <c r="R230" s="326">
        <v>2</v>
      </c>
      <c r="S230" s="330">
        <v>5.4752000000000001</v>
      </c>
      <c r="T230" s="315">
        <v>5.5564</v>
      </c>
      <c r="U230" s="330">
        <v>5.7130000000000001</v>
      </c>
      <c r="V230" s="330">
        <v>6.0087999999999999</v>
      </c>
      <c r="W230" s="330">
        <v>6.1422000000000008</v>
      </c>
      <c r="X230" s="330">
        <v>6.4321999999999999</v>
      </c>
      <c r="Y230" s="331">
        <v>6.0725999999999996</v>
      </c>
    </row>
    <row r="231" spans="1:25" ht="30.6" x14ac:dyDescent="0.2">
      <c r="A231" s="359">
        <v>2</v>
      </c>
      <c r="B231" s="312" t="s">
        <v>3595</v>
      </c>
      <c r="C231" s="325" t="s">
        <v>3596</v>
      </c>
      <c r="D231" s="312" t="s">
        <v>3597</v>
      </c>
      <c r="E231" s="312">
        <v>36</v>
      </c>
      <c r="F231" s="312">
        <v>1.111</v>
      </c>
      <c r="G231" s="312" t="s">
        <v>2265</v>
      </c>
      <c r="H231" s="329">
        <v>0</v>
      </c>
      <c r="I231" s="329">
        <v>40.5</v>
      </c>
      <c r="J231" s="329">
        <v>29</v>
      </c>
      <c r="K231" s="329">
        <v>69.5</v>
      </c>
      <c r="L231" s="329">
        <v>107</v>
      </c>
      <c r="N231" s="312" t="s">
        <v>3448</v>
      </c>
      <c r="O231" s="312">
        <v>2011</v>
      </c>
      <c r="Q231" s="326" t="s">
        <v>3598</v>
      </c>
      <c r="R231" s="326">
        <v>2</v>
      </c>
      <c r="S231" s="330">
        <v>101.00800000000001</v>
      </c>
      <c r="T231" s="315">
        <v>102.506</v>
      </c>
      <c r="U231" s="330">
        <v>105.395</v>
      </c>
      <c r="V231" s="330">
        <v>110.852</v>
      </c>
      <c r="W231" s="330">
        <v>113.31300000000002</v>
      </c>
      <c r="X231" s="330">
        <v>118.663</v>
      </c>
      <c r="Y231" s="331">
        <v>112.029</v>
      </c>
    </row>
    <row r="232" spans="1:25" ht="30.6" x14ac:dyDescent="0.2">
      <c r="A232" s="359">
        <v>2</v>
      </c>
      <c r="B232" s="312" t="s">
        <v>3599</v>
      </c>
      <c r="C232" s="325" t="s">
        <v>3600</v>
      </c>
      <c r="D232" s="312" t="s">
        <v>3601</v>
      </c>
      <c r="E232" s="312">
        <v>30</v>
      </c>
      <c r="F232" s="312">
        <v>1.0669999999999999</v>
      </c>
      <c r="G232" s="312" t="s">
        <v>2265</v>
      </c>
      <c r="H232" s="329">
        <v>0</v>
      </c>
      <c r="I232" s="329">
        <v>38.5</v>
      </c>
      <c r="J232" s="329">
        <v>25</v>
      </c>
      <c r="K232" s="329">
        <v>63.5</v>
      </c>
      <c r="L232" s="329">
        <v>98</v>
      </c>
      <c r="N232" s="312" t="s">
        <v>3448</v>
      </c>
      <c r="O232" s="312">
        <v>2011</v>
      </c>
      <c r="Q232" s="326" t="s">
        <v>3602</v>
      </c>
      <c r="R232" s="326">
        <v>2</v>
      </c>
      <c r="S232" s="330">
        <v>92.512</v>
      </c>
      <c r="T232" s="315">
        <v>93.884</v>
      </c>
      <c r="U232" s="330">
        <v>96.53</v>
      </c>
      <c r="V232" s="330">
        <v>101.52800000000001</v>
      </c>
      <c r="W232" s="330">
        <v>103.78200000000001</v>
      </c>
      <c r="X232" s="330">
        <v>108.682</v>
      </c>
      <c r="Y232" s="331">
        <v>102.60599999999999</v>
      </c>
    </row>
    <row r="233" spans="1:25" ht="30.6" x14ac:dyDescent="0.2">
      <c r="A233" s="359">
        <v>2</v>
      </c>
      <c r="B233" s="312" t="s">
        <v>3592</v>
      </c>
      <c r="C233" s="325" t="s">
        <v>3593</v>
      </c>
      <c r="D233" s="312" t="s">
        <v>81</v>
      </c>
      <c r="E233" s="312">
        <v>48</v>
      </c>
      <c r="F233" s="312">
        <v>0.5</v>
      </c>
      <c r="G233" s="312" t="s">
        <v>2265</v>
      </c>
      <c r="H233" s="329">
        <v>0</v>
      </c>
      <c r="I233" s="329">
        <v>18.05</v>
      </c>
      <c r="J233" s="329">
        <v>21.5</v>
      </c>
      <c r="K233" s="329">
        <v>39.549999999999997</v>
      </c>
      <c r="L233" s="329">
        <v>56.5</v>
      </c>
      <c r="N233" s="312" t="s">
        <v>3448</v>
      </c>
      <c r="O233" s="312">
        <v>2011</v>
      </c>
      <c r="Q233" s="326" t="s">
        <v>3594</v>
      </c>
      <c r="R233" s="326">
        <v>2</v>
      </c>
      <c r="S233" s="330">
        <v>53.336000000000006</v>
      </c>
      <c r="T233" s="315">
        <v>54.126999999999995</v>
      </c>
      <c r="U233" s="330">
        <v>55.652499999999996</v>
      </c>
      <c r="V233" s="330">
        <v>58.533999999999999</v>
      </c>
      <c r="W233" s="330">
        <v>59.833500000000008</v>
      </c>
      <c r="X233" s="330">
        <v>62.658499999999997</v>
      </c>
      <c r="Y233" s="331">
        <v>59.155499999999996</v>
      </c>
    </row>
    <row r="234" spans="1:25" ht="20.399999999999999" x14ac:dyDescent="0.2">
      <c r="A234" s="359">
        <v>2</v>
      </c>
      <c r="B234" s="312" t="s">
        <v>3975</v>
      </c>
      <c r="C234" s="325" t="s">
        <v>2903</v>
      </c>
      <c r="D234" s="312" t="s">
        <v>90</v>
      </c>
      <c r="E234" s="312">
        <v>1</v>
      </c>
      <c r="F234" s="312">
        <v>8</v>
      </c>
      <c r="G234" s="312" t="s">
        <v>2376</v>
      </c>
      <c r="H234" s="329">
        <v>0</v>
      </c>
      <c r="I234" s="329">
        <v>279</v>
      </c>
      <c r="J234" s="329">
        <v>294</v>
      </c>
      <c r="K234" s="329">
        <v>573</v>
      </c>
      <c r="L234" s="329">
        <v>780</v>
      </c>
      <c r="N234" s="312" t="s">
        <v>3448</v>
      </c>
      <c r="O234" s="312">
        <v>2011</v>
      </c>
      <c r="Q234" s="326" t="s">
        <v>3976</v>
      </c>
      <c r="R234" s="326">
        <v>2</v>
      </c>
      <c r="S234" s="330">
        <v>736.32</v>
      </c>
      <c r="T234" s="315">
        <v>747.24</v>
      </c>
      <c r="U234" s="330">
        <v>768.3</v>
      </c>
      <c r="V234" s="330">
        <v>808.08</v>
      </c>
      <c r="W234" s="330">
        <v>826.0200000000001</v>
      </c>
      <c r="X234" s="330">
        <v>865.02</v>
      </c>
      <c r="Y234" s="331">
        <v>816.66</v>
      </c>
    </row>
    <row r="235" spans="1:25" ht="20.399999999999999" x14ac:dyDescent="0.2">
      <c r="A235" s="359">
        <v>2</v>
      </c>
      <c r="B235" s="312" t="s">
        <v>3971</v>
      </c>
      <c r="C235" s="325" t="s">
        <v>2904</v>
      </c>
      <c r="D235" s="312" t="s">
        <v>90</v>
      </c>
      <c r="E235" s="312">
        <v>2</v>
      </c>
      <c r="F235" s="312">
        <v>4</v>
      </c>
      <c r="G235" s="312" t="s">
        <v>2376</v>
      </c>
      <c r="H235" s="329">
        <v>0</v>
      </c>
      <c r="I235" s="329">
        <v>140</v>
      </c>
      <c r="J235" s="329">
        <v>147</v>
      </c>
      <c r="K235" s="329">
        <v>287</v>
      </c>
      <c r="L235" s="329">
        <v>390</v>
      </c>
      <c r="N235" s="312" t="s">
        <v>3448</v>
      </c>
      <c r="O235" s="312">
        <v>2011</v>
      </c>
      <c r="Q235" s="326" t="s">
        <v>3972</v>
      </c>
      <c r="R235" s="326">
        <v>2</v>
      </c>
      <c r="S235" s="330">
        <v>368.16</v>
      </c>
      <c r="T235" s="315">
        <v>373.62</v>
      </c>
      <c r="U235" s="330">
        <v>384.15</v>
      </c>
      <c r="V235" s="330">
        <v>404.04</v>
      </c>
      <c r="W235" s="330">
        <v>413.01000000000005</v>
      </c>
      <c r="X235" s="330">
        <v>432.51</v>
      </c>
      <c r="Y235" s="331">
        <v>408.33</v>
      </c>
    </row>
    <row r="236" spans="1:25" ht="20.399999999999999" x14ac:dyDescent="0.2">
      <c r="A236" s="359">
        <v>2</v>
      </c>
      <c r="B236" s="312" t="s">
        <v>3973</v>
      </c>
      <c r="C236" s="325" t="s">
        <v>2905</v>
      </c>
      <c r="D236" s="312" t="s">
        <v>90</v>
      </c>
      <c r="E236" s="312">
        <v>1.5</v>
      </c>
      <c r="F236" s="312">
        <v>5.3330000000000002</v>
      </c>
      <c r="G236" s="312" t="s">
        <v>2376</v>
      </c>
      <c r="H236" s="329">
        <v>0</v>
      </c>
      <c r="I236" s="329">
        <v>186</v>
      </c>
      <c r="J236" s="329">
        <v>196</v>
      </c>
      <c r="K236" s="329">
        <v>382</v>
      </c>
      <c r="L236" s="329">
        <v>520</v>
      </c>
      <c r="N236" s="312" t="s">
        <v>3448</v>
      </c>
      <c r="O236" s="312">
        <v>2011</v>
      </c>
      <c r="Q236" s="326" t="s">
        <v>3974</v>
      </c>
      <c r="R236" s="326">
        <v>2</v>
      </c>
      <c r="S236" s="330">
        <v>490.88000000000005</v>
      </c>
      <c r="T236" s="315">
        <v>498.15999999999997</v>
      </c>
      <c r="U236" s="330">
        <v>512.20000000000005</v>
      </c>
      <c r="V236" s="330">
        <v>538.72</v>
      </c>
      <c r="W236" s="330">
        <v>550.68000000000006</v>
      </c>
      <c r="X236" s="330">
        <v>576.67999999999995</v>
      </c>
      <c r="Y236" s="331">
        <v>544.43999999999994</v>
      </c>
    </row>
    <row r="237" spans="1:25" ht="20.399999999999999" x14ac:dyDescent="0.2">
      <c r="A237" s="359">
        <v>2</v>
      </c>
      <c r="B237" s="312" t="s">
        <v>3968</v>
      </c>
      <c r="C237" s="325" t="s">
        <v>3969</v>
      </c>
      <c r="D237" s="312" t="s">
        <v>66</v>
      </c>
      <c r="E237" s="312">
        <v>6.4</v>
      </c>
      <c r="F237" s="312">
        <v>2.5</v>
      </c>
      <c r="G237" s="312" t="s">
        <v>2376</v>
      </c>
      <c r="H237" s="329">
        <v>0</v>
      </c>
      <c r="I237" s="329">
        <v>76.5</v>
      </c>
      <c r="J237" s="329">
        <v>164</v>
      </c>
      <c r="K237" s="329">
        <v>240.5</v>
      </c>
      <c r="L237" s="329">
        <v>310</v>
      </c>
      <c r="N237" s="312" t="s">
        <v>3448</v>
      </c>
      <c r="O237" s="312">
        <v>2011</v>
      </c>
      <c r="Q237" s="326" t="s">
        <v>3970</v>
      </c>
      <c r="R237" s="326">
        <v>2</v>
      </c>
      <c r="S237" s="330">
        <v>292.64000000000004</v>
      </c>
      <c r="T237" s="315">
        <v>296.97999999999996</v>
      </c>
      <c r="U237" s="330">
        <v>305.35000000000002</v>
      </c>
      <c r="V237" s="330">
        <v>321.16000000000003</v>
      </c>
      <c r="W237" s="330">
        <v>328.29000000000008</v>
      </c>
      <c r="X237" s="330">
        <v>343.79</v>
      </c>
      <c r="Y237" s="331">
        <v>324.57</v>
      </c>
    </row>
    <row r="238" spans="1:25" ht="20.399999999999999" x14ac:dyDescent="0.2">
      <c r="A238" s="359">
        <v>2</v>
      </c>
      <c r="B238" s="312" t="s">
        <v>3964</v>
      </c>
      <c r="C238" s="325" t="s">
        <v>2906</v>
      </c>
      <c r="D238" s="312" t="s">
        <v>66</v>
      </c>
      <c r="E238" s="312">
        <v>10</v>
      </c>
      <c r="F238" s="312">
        <v>1.6</v>
      </c>
      <c r="G238" s="312" t="s">
        <v>2376</v>
      </c>
      <c r="H238" s="329">
        <v>0</v>
      </c>
      <c r="I238" s="329">
        <v>49</v>
      </c>
      <c r="J238" s="329">
        <v>105</v>
      </c>
      <c r="K238" s="329">
        <v>154</v>
      </c>
      <c r="L238" s="329">
        <v>197</v>
      </c>
      <c r="N238" s="312" t="s">
        <v>3448</v>
      </c>
      <c r="O238" s="312">
        <v>2011</v>
      </c>
      <c r="Q238" s="326" t="s">
        <v>3965</v>
      </c>
      <c r="R238" s="326">
        <v>2</v>
      </c>
      <c r="S238" s="330">
        <v>185.96800000000002</v>
      </c>
      <c r="T238" s="315">
        <v>188.726</v>
      </c>
      <c r="U238" s="330">
        <v>194.04499999999999</v>
      </c>
      <c r="V238" s="330">
        <v>204.09200000000001</v>
      </c>
      <c r="W238" s="330">
        <v>208.62300000000002</v>
      </c>
      <c r="X238" s="330">
        <v>218.47299999999998</v>
      </c>
      <c r="Y238" s="331">
        <v>206.25899999999999</v>
      </c>
    </row>
    <row r="239" spans="1:25" ht="20.399999999999999" x14ac:dyDescent="0.2">
      <c r="A239" s="359">
        <v>2</v>
      </c>
      <c r="B239" s="312" t="s">
        <v>3966</v>
      </c>
      <c r="C239" s="325" t="s">
        <v>2907</v>
      </c>
      <c r="D239" s="312" t="s">
        <v>66</v>
      </c>
      <c r="E239" s="312">
        <v>8</v>
      </c>
      <c r="F239" s="312">
        <v>2</v>
      </c>
      <c r="G239" s="312" t="s">
        <v>2376</v>
      </c>
      <c r="H239" s="329">
        <v>0</v>
      </c>
      <c r="I239" s="329">
        <v>61.5</v>
      </c>
      <c r="J239" s="329">
        <v>131</v>
      </c>
      <c r="K239" s="329">
        <v>192.5</v>
      </c>
      <c r="L239" s="329">
        <v>246</v>
      </c>
      <c r="N239" s="312" t="s">
        <v>3448</v>
      </c>
      <c r="O239" s="312">
        <v>2011</v>
      </c>
      <c r="Q239" s="326" t="s">
        <v>3967</v>
      </c>
      <c r="R239" s="326">
        <v>2</v>
      </c>
      <c r="S239" s="330">
        <v>232.22400000000002</v>
      </c>
      <c r="T239" s="315">
        <v>235.66799999999998</v>
      </c>
      <c r="U239" s="330">
        <v>242.31</v>
      </c>
      <c r="V239" s="330">
        <v>254.85599999999999</v>
      </c>
      <c r="W239" s="330">
        <v>260.51400000000007</v>
      </c>
      <c r="X239" s="330">
        <v>272.81400000000002</v>
      </c>
      <c r="Y239" s="331">
        <v>257.56199999999995</v>
      </c>
    </row>
    <row r="240" spans="1:25" x14ac:dyDescent="0.2">
      <c r="A240" s="359">
        <v>1</v>
      </c>
      <c r="B240" s="312" t="s">
        <v>4277</v>
      </c>
      <c r="C240" s="325" t="s">
        <v>4278</v>
      </c>
      <c r="D240" s="312" t="s">
        <v>96</v>
      </c>
      <c r="E240" s="312">
        <v>17</v>
      </c>
      <c r="F240" s="312">
        <v>2.3530000000000002</v>
      </c>
      <c r="G240" s="312" t="s">
        <v>2108</v>
      </c>
      <c r="H240" s="329">
        <v>275</v>
      </c>
      <c r="I240" s="329">
        <v>62</v>
      </c>
      <c r="J240" s="329">
        <v>8.9499999999999993</v>
      </c>
      <c r="K240" s="329">
        <v>345.95</v>
      </c>
      <c r="L240" s="329">
        <v>420</v>
      </c>
      <c r="N240" s="312" t="s">
        <v>3448</v>
      </c>
      <c r="O240" s="312">
        <v>2011</v>
      </c>
      <c r="Q240" s="326" t="s">
        <v>4279</v>
      </c>
      <c r="R240" s="326">
        <v>2</v>
      </c>
      <c r="S240" s="330">
        <v>396.48</v>
      </c>
      <c r="T240" s="315">
        <v>402.35999999999996</v>
      </c>
      <c r="U240" s="330">
        <v>413.7</v>
      </c>
      <c r="V240" s="330">
        <v>435.12</v>
      </c>
      <c r="W240" s="330">
        <v>444.78000000000009</v>
      </c>
      <c r="X240" s="330">
        <v>465.78</v>
      </c>
      <c r="Y240" s="331">
        <v>439.73999999999995</v>
      </c>
    </row>
    <row r="241" spans="1:25" x14ac:dyDescent="0.2">
      <c r="A241" s="359">
        <v>1</v>
      </c>
      <c r="B241" s="312" t="s">
        <v>4274</v>
      </c>
      <c r="C241" s="325" t="s">
        <v>4275</v>
      </c>
      <c r="D241" s="312" t="s">
        <v>96</v>
      </c>
      <c r="E241" s="312">
        <v>22</v>
      </c>
      <c r="F241" s="312">
        <v>1.8180000000000001</v>
      </c>
      <c r="G241" s="312" t="s">
        <v>2108</v>
      </c>
      <c r="H241" s="329">
        <v>215</v>
      </c>
      <c r="I241" s="329">
        <v>48</v>
      </c>
      <c r="J241" s="329">
        <v>6.9</v>
      </c>
      <c r="K241" s="329">
        <v>269.89999999999998</v>
      </c>
      <c r="L241" s="329">
        <v>325</v>
      </c>
      <c r="N241" s="312" t="s">
        <v>3448</v>
      </c>
      <c r="O241" s="312">
        <v>2011</v>
      </c>
      <c r="Q241" s="326" t="s">
        <v>4276</v>
      </c>
      <c r="R241" s="326">
        <v>2</v>
      </c>
      <c r="S241" s="330">
        <v>306.8</v>
      </c>
      <c r="T241" s="315">
        <v>311.34999999999997</v>
      </c>
      <c r="U241" s="330">
        <v>320.125</v>
      </c>
      <c r="V241" s="330">
        <v>336.7</v>
      </c>
      <c r="W241" s="330">
        <v>344.17500000000007</v>
      </c>
      <c r="X241" s="330">
        <v>360.42500000000001</v>
      </c>
      <c r="Y241" s="331">
        <v>340.27499999999998</v>
      </c>
    </row>
    <row r="242" spans="1:25" x14ac:dyDescent="0.2">
      <c r="A242" s="359">
        <v>1</v>
      </c>
      <c r="B242" s="312" t="s">
        <v>4280</v>
      </c>
      <c r="C242" s="325" t="s">
        <v>2910</v>
      </c>
      <c r="D242" s="312" t="s">
        <v>96</v>
      </c>
      <c r="E242" s="312">
        <v>13.5</v>
      </c>
      <c r="F242" s="312">
        <v>2.9630000000000001</v>
      </c>
      <c r="G242" s="312" t="s">
        <v>2108</v>
      </c>
      <c r="H242" s="329">
        <v>300</v>
      </c>
      <c r="I242" s="329">
        <v>78.5</v>
      </c>
      <c r="J242" s="329">
        <v>11.25</v>
      </c>
      <c r="K242" s="329">
        <v>389.75</v>
      </c>
      <c r="L242" s="329">
        <v>475</v>
      </c>
      <c r="N242" s="312" t="s">
        <v>3448</v>
      </c>
      <c r="O242" s="312">
        <v>2011</v>
      </c>
      <c r="Q242" s="326" t="s">
        <v>4281</v>
      </c>
      <c r="R242" s="326">
        <v>2</v>
      </c>
      <c r="S242" s="330">
        <v>448.40000000000003</v>
      </c>
      <c r="T242" s="315">
        <v>455.04999999999995</v>
      </c>
      <c r="U242" s="330">
        <v>467.875</v>
      </c>
      <c r="V242" s="330">
        <v>492.1</v>
      </c>
      <c r="W242" s="330">
        <v>503.02500000000009</v>
      </c>
      <c r="X242" s="330">
        <v>526.77499999999998</v>
      </c>
      <c r="Y242" s="331">
        <v>497.32499999999999</v>
      </c>
    </row>
    <row r="243" spans="1:25" x14ac:dyDescent="0.2">
      <c r="A243" s="359">
        <v>1</v>
      </c>
      <c r="B243" s="312" t="s">
        <v>4288</v>
      </c>
      <c r="C243" s="325" t="s">
        <v>1885</v>
      </c>
      <c r="D243" s="312" t="s">
        <v>96</v>
      </c>
      <c r="E243" s="312">
        <v>4</v>
      </c>
      <c r="F243" s="312">
        <v>10</v>
      </c>
      <c r="G243" s="312" t="s">
        <v>2108</v>
      </c>
      <c r="H243" s="329">
        <v>300</v>
      </c>
      <c r="I243" s="329">
        <v>265</v>
      </c>
      <c r="J243" s="329">
        <v>38</v>
      </c>
      <c r="K243" s="329">
        <v>603</v>
      </c>
      <c r="L243" s="329">
        <v>815</v>
      </c>
      <c r="N243" s="312" t="s">
        <v>3448</v>
      </c>
      <c r="O243" s="312">
        <v>2011</v>
      </c>
      <c r="Q243" s="326" t="s">
        <v>4289</v>
      </c>
      <c r="R243" s="326">
        <v>2</v>
      </c>
      <c r="S243" s="330">
        <v>769.36</v>
      </c>
      <c r="T243" s="315">
        <v>780.77</v>
      </c>
      <c r="U243" s="330">
        <v>802.77499999999998</v>
      </c>
      <c r="V243" s="330">
        <v>844.34</v>
      </c>
      <c r="W243" s="330">
        <v>863.08500000000015</v>
      </c>
      <c r="X243" s="330">
        <v>903.83500000000004</v>
      </c>
      <c r="Y243" s="331">
        <v>853.30499999999995</v>
      </c>
    </row>
    <row r="244" spans="1:25" x14ac:dyDescent="0.2">
      <c r="A244" s="359">
        <v>1</v>
      </c>
      <c r="B244" s="312" t="s">
        <v>4285</v>
      </c>
      <c r="C244" s="325" t="s">
        <v>4286</v>
      </c>
      <c r="D244" s="312" t="s">
        <v>96</v>
      </c>
      <c r="E244" s="312">
        <v>5</v>
      </c>
      <c r="F244" s="312">
        <v>8</v>
      </c>
      <c r="G244" s="312" t="s">
        <v>2108</v>
      </c>
      <c r="H244" s="329">
        <v>275</v>
      </c>
      <c r="I244" s="329">
        <v>212</v>
      </c>
      <c r="J244" s="329">
        <v>30.5</v>
      </c>
      <c r="K244" s="329">
        <v>517.5</v>
      </c>
      <c r="L244" s="329">
        <v>695</v>
      </c>
      <c r="N244" s="312" t="s">
        <v>3448</v>
      </c>
      <c r="O244" s="312">
        <v>2011</v>
      </c>
      <c r="Q244" s="326" t="s">
        <v>4287</v>
      </c>
      <c r="R244" s="326">
        <v>2</v>
      </c>
      <c r="S244" s="330">
        <v>656.08</v>
      </c>
      <c r="T244" s="315">
        <v>665.81</v>
      </c>
      <c r="U244" s="330">
        <v>684.57500000000005</v>
      </c>
      <c r="V244" s="330">
        <v>720.02</v>
      </c>
      <c r="W244" s="330">
        <v>736.00500000000011</v>
      </c>
      <c r="X244" s="330">
        <v>770.755</v>
      </c>
      <c r="Y244" s="331">
        <v>727.66499999999996</v>
      </c>
    </row>
    <row r="245" spans="1:25" x14ac:dyDescent="0.2">
      <c r="A245" s="359">
        <v>1</v>
      </c>
      <c r="B245" s="312" t="s">
        <v>4282</v>
      </c>
      <c r="C245" s="325" t="s">
        <v>4283</v>
      </c>
      <c r="D245" s="312" t="s">
        <v>96</v>
      </c>
      <c r="E245" s="312">
        <v>6</v>
      </c>
      <c r="F245" s="312">
        <v>6.6669999999999998</v>
      </c>
      <c r="G245" s="312" t="s">
        <v>2108</v>
      </c>
      <c r="H245" s="329">
        <v>215</v>
      </c>
      <c r="I245" s="329">
        <v>176</v>
      </c>
      <c r="J245" s="329">
        <v>25.5</v>
      </c>
      <c r="K245" s="329">
        <v>416.5</v>
      </c>
      <c r="L245" s="329">
        <v>560</v>
      </c>
      <c r="N245" s="312" t="s">
        <v>3448</v>
      </c>
      <c r="O245" s="312">
        <v>2011</v>
      </c>
      <c r="Q245" s="326" t="s">
        <v>4284</v>
      </c>
      <c r="R245" s="326">
        <v>2</v>
      </c>
      <c r="S245" s="330">
        <v>528.64</v>
      </c>
      <c r="T245" s="315">
        <v>536.48</v>
      </c>
      <c r="U245" s="330">
        <v>551.6</v>
      </c>
      <c r="V245" s="330">
        <v>580.16</v>
      </c>
      <c r="W245" s="330">
        <v>593.04000000000008</v>
      </c>
      <c r="X245" s="330">
        <v>621.04</v>
      </c>
      <c r="Y245" s="331">
        <v>586.31999999999994</v>
      </c>
    </row>
    <row r="246" spans="1:25" x14ac:dyDescent="0.2">
      <c r="A246" s="359">
        <v>4</v>
      </c>
      <c r="B246" s="312" t="s">
        <v>4243</v>
      </c>
      <c r="C246" s="325" t="s">
        <v>1886</v>
      </c>
      <c r="D246" s="312" t="s">
        <v>812</v>
      </c>
      <c r="E246" s="312">
        <v>100</v>
      </c>
      <c r="F246" s="312">
        <v>0.08</v>
      </c>
      <c r="G246" s="312" t="s">
        <v>1802</v>
      </c>
      <c r="H246" s="329">
        <v>3.02</v>
      </c>
      <c r="I246" s="329">
        <v>2.12</v>
      </c>
      <c r="J246" s="329">
        <v>0</v>
      </c>
      <c r="K246" s="329">
        <v>5.14</v>
      </c>
      <c r="L246" s="329">
        <v>6.85</v>
      </c>
      <c r="N246" s="312" t="s">
        <v>3448</v>
      </c>
      <c r="O246" s="312">
        <v>2011</v>
      </c>
      <c r="Q246" s="326" t="s">
        <v>4244</v>
      </c>
      <c r="R246" s="326">
        <v>2</v>
      </c>
      <c r="S246" s="330">
        <v>6.4664000000000001</v>
      </c>
      <c r="T246" s="315">
        <v>6.5622999999999996</v>
      </c>
      <c r="U246" s="330">
        <v>6.7472499999999993</v>
      </c>
      <c r="V246" s="330">
        <v>7.0965999999999996</v>
      </c>
      <c r="W246" s="330">
        <v>7.254150000000001</v>
      </c>
      <c r="X246" s="330">
        <v>7.5966499999999995</v>
      </c>
      <c r="Y246" s="331">
        <v>7.1719499999999989</v>
      </c>
    </row>
    <row r="247" spans="1:25" x14ac:dyDescent="0.2">
      <c r="A247" s="359">
        <v>2</v>
      </c>
      <c r="B247" s="312" t="s">
        <v>4245</v>
      </c>
      <c r="C247" s="325" t="s">
        <v>4246</v>
      </c>
      <c r="D247" s="312" t="s">
        <v>96</v>
      </c>
      <c r="E247" s="312">
        <v>13.5</v>
      </c>
      <c r="F247" s="312">
        <v>2.9630000000000001</v>
      </c>
      <c r="G247" s="312" t="s">
        <v>2108</v>
      </c>
      <c r="H247" s="329">
        <v>335</v>
      </c>
      <c r="I247" s="329">
        <v>78.5</v>
      </c>
      <c r="J247" s="329">
        <v>11.25</v>
      </c>
      <c r="K247" s="329">
        <v>424.75</v>
      </c>
      <c r="L247" s="329">
        <v>515</v>
      </c>
      <c r="N247" s="312" t="s">
        <v>3448</v>
      </c>
      <c r="O247" s="312">
        <v>2011</v>
      </c>
      <c r="Q247" s="326" t="s">
        <v>4247</v>
      </c>
      <c r="R247" s="326">
        <v>2</v>
      </c>
      <c r="S247" s="330">
        <v>486.16</v>
      </c>
      <c r="T247" s="315">
        <v>493.37</v>
      </c>
      <c r="U247" s="330">
        <v>507.27499999999998</v>
      </c>
      <c r="V247" s="330">
        <v>533.54</v>
      </c>
      <c r="W247" s="330">
        <v>545.3850000000001</v>
      </c>
      <c r="X247" s="330">
        <v>571.13499999999999</v>
      </c>
      <c r="Y247" s="331">
        <v>539.20499999999993</v>
      </c>
    </row>
    <row r="248" spans="1:25" x14ac:dyDescent="0.2">
      <c r="A248" s="359">
        <v>4</v>
      </c>
      <c r="B248" s="312" t="s">
        <v>4248</v>
      </c>
      <c r="C248" s="325" t="s">
        <v>1887</v>
      </c>
      <c r="D248" s="312" t="s">
        <v>812</v>
      </c>
      <c r="E248" s="312">
        <v>475</v>
      </c>
      <c r="F248" s="312">
        <v>1.7000000000000001E-2</v>
      </c>
      <c r="G248" s="312" t="s">
        <v>1802</v>
      </c>
      <c r="H248" s="329">
        <v>0.5</v>
      </c>
      <c r="I248" s="329">
        <v>0.45</v>
      </c>
      <c r="J248" s="329">
        <v>0</v>
      </c>
      <c r="K248" s="329">
        <v>0.95</v>
      </c>
      <c r="L248" s="329">
        <v>1.3</v>
      </c>
      <c r="N248" s="312" t="s">
        <v>3448</v>
      </c>
      <c r="O248" s="312">
        <v>2011</v>
      </c>
      <c r="Q248" s="326" t="s">
        <v>4249</v>
      </c>
      <c r="R248" s="326">
        <v>2</v>
      </c>
      <c r="S248" s="330">
        <v>1.2272000000000001</v>
      </c>
      <c r="T248" s="315">
        <v>1.2454000000000001</v>
      </c>
      <c r="U248" s="330">
        <v>1.2805</v>
      </c>
      <c r="V248" s="330">
        <v>1.3468</v>
      </c>
      <c r="W248" s="330">
        <v>1.3767000000000003</v>
      </c>
      <c r="X248" s="330">
        <v>1.4417</v>
      </c>
      <c r="Y248" s="331">
        <v>1.3611</v>
      </c>
    </row>
    <row r="249" spans="1:25" x14ac:dyDescent="0.2">
      <c r="A249" s="359">
        <v>2</v>
      </c>
      <c r="B249" s="312" t="s">
        <v>4250</v>
      </c>
      <c r="C249" s="325" t="s">
        <v>4251</v>
      </c>
      <c r="D249" s="312" t="s">
        <v>103</v>
      </c>
      <c r="E249" s="312">
        <v>180</v>
      </c>
      <c r="F249" s="312">
        <v>8.8999999999999996E-2</v>
      </c>
      <c r="G249" s="312" t="s">
        <v>2108</v>
      </c>
      <c r="H249" s="329">
        <v>55.5</v>
      </c>
      <c r="I249" s="329">
        <v>2.35</v>
      </c>
      <c r="J249" s="329">
        <v>1.68</v>
      </c>
      <c r="K249" s="329">
        <v>59.53</v>
      </c>
      <c r="L249" s="329">
        <v>67</v>
      </c>
      <c r="N249" s="312" t="s">
        <v>3448</v>
      </c>
      <c r="O249" s="312">
        <v>2011</v>
      </c>
      <c r="Q249" s="326" t="s">
        <v>4252</v>
      </c>
      <c r="R249" s="326">
        <v>2</v>
      </c>
      <c r="S249" s="330">
        <v>63.248000000000005</v>
      </c>
      <c r="T249" s="315">
        <v>64.185999999999993</v>
      </c>
      <c r="U249" s="330">
        <v>65.995000000000005</v>
      </c>
      <c r="V249" s="330">
        <v>69.412000000000006</v>
      </c>
      <c r="W249" s="330">
        <v>70.953000000000017</v>
      </c>
      <c r="X249" s="330">
        <v>74.302999999999997</v>
      </c>
      <c r="Y249" s="331">
        <v>70.149000000000001</v>
      </c>
    </row>
    <row r="250" spans="1:25" x14ac:dyDescent="0.2">
      <c r="A250" s="359">
        <v>4</v>
      </c>
      <c r="B250" s="312" t="s">
        <v>4253</v>
      </c>
      <c r="C250" s="325" t="s">
        <v>1888</v>
      </c>
      <c r="D250" s="312" t="s">
        <v>812</v>
      </c>
      <c r="E250" s="312">
        <v>475</v>
      </c>
      <c r="F250" s="312">
        <v>1.7000000000000001E-2</v>
      </c>
      <c r="G250" s="312" t="s">
        <v>1802</v>
      </c>
      <c r="H250" s="329">
        <v>0.5</v>
      </c>
      <c r="I250" s="329">
        <v>0.45</v>
      </c>
      <c r="J250" s="329">
        <v>0</v>
      </c>
      <c r="K250" s="329">
        <v>0.95</v>
      </c>
      <c r="L250" s="329">
        <v>1.3</v>
      </c>
      <c r="N250" s="312" t="s">
        <v>3448</v>
      </c>
      <c r="O250" s="312">
        <v>2011</v>
      </c>
      <c r="Q250" s="326" t="s">
        <v>4254</v>
      </c>
      <c r="R250" s="326">
        <v>2</v>
      </c>
      <c r="S250" s="330">
        <v>1.2272000000000001</v>
      </c>
      <c r="T250" s="315">
        <v>1.2454000000000001</v>
      </c>
      <c r="U250" s="330">
        <v>1.2805</v>
      </c>
      <c r="V250" s="330">
        <v>1.3468</v>
      </c>
      <c r="W250" s="330">
        <v>1.3767000000000003</v>
      </c>
      <c r="X250" s="330">
        <v>1.4417</v>
      </c>
      <c r="Y250" s="331">
        <v>1.3611</v>
      </c>
    </row>
    <row r="251" spans="1:25" x14ac:dyDescent="0.2">
      <c r="A251" s="359">
        <v>2</v>
      </c>
      <c r="B251" s="312" t="s">
        <v>4255</v>
      </c>
      <c r="C251" s="325" t="s">
        <v>1889</v>
      </c>
      <c r="D251" s="312" t="s">
        <v>103</v>
      </c>
      <c r="E251" s="312">
        <v>180</v>
      </c>
      <c r="F251" s="312">
        <v>8.8999999999999996E-2</v>
      </c>
      <c r="G251" s="312" t="s">
        <v>2108</v>
      </c>
      <c r="H251" s="329">
        <v>55.5</v>
      </c>
      <c r="I251" s="329">
        <v>2.35</v>
      </c>
      <c r="J251" s="329">
        <v>1.68</v>
      </c>
      <c r="K251" s="329">
        <v>59.53</v>
      </c>
      <c r="L251" s="329">
        <v>67</v>
      </c>
      <c r="N251" s="312" t="s">
        <v>3448</v>
      </c>
      <c r="O251" s="312">
        <v>2011</v>
      </c>
      <c r="Q251" s="326" t="s">
        <v>4256</v>
      </c>
      <c r="R251" s="326">
        <v>2</v>
      </c>
      <c r="S251" s="330">
        <v>63.248000000000005</v>
      </c>
      <c r="T251" s="315">
        <v>64.185999999999993</v>
      </c>
      <c r="U251" s="330">
        <v>65.995000000000005</v>
      </c>
      <c r="V251" s="330">
        <v>69.412000000000006</v>
      </c>
      <c r="W251" s="330">
        <v>70.953000000000017</v>
      </c>
      <c r="X251" s="330">
        <v>74.302999999999997</v>
      </c>
      <c r="Y251" s="331">
        <v>70.149000000000001</v>
      </c>
    </row>
    <row r="252" spans="1:25" x14ac:dyDescent="0.2">
      <c r="A252" s="359">
        <v>4</v>
      </c>
      <c r="B252" s="312" t="s">
        <v>4257</v>
      </c>
      <c r="C252" s="325" t="s">
        <v>1890</v>
      </c>
      <c r="D252" s="312" t="s">
        <v>812</v>
      </c>
      <c r="E252" s="312">
        <v>220</v>
      </c>
      <c r="F252" s="312">
        <v>3.5999999999999997E-2</v>
      </c>
      <c r="G252" s="312" t="s">
        <v>1802</v>
      </c>
      <c r="H252" s="329">
        <v>1.95</v>
      </c>
      <c r="I252" s="329">
        <v>0.96</v>
      </c>
      <c r="J252" s="329">
        <v>0</v>
      </c>
      <c r="K252" s="329">
        <v>2.91</v>
      </c>
      <c r="L252" s="329">
        <v>3.76</v>
      </c>
      <c r="N252" s="312" t="s">
        <v>3448</v>
      </c>
      <c r="O252" s="312">
        <v>2011</v>
      </c>
      <c r="Q252" s="326" t="s">
        <v>4258</v>
      </c>
      <c r="R252" s="326">
        <v>2</v>
      </c>
      <c r="S252" s="330">
        <v>3.5494400000000002</v>
      </c>
      <c r="T252" s="315">
        <v>3.6020799999999995</v>
      </c>
      <c r="U252" s="330">
        <v>3.7035999999999998</v>
      </c>
      <c r="V252" s="330">
        <v>3.8953599999999997</v>
      </c>
      <c r="W252" s="330">
        <v>3.9818400000000005</v>
      </c>
      <c r="X252" s="330">
        <v>4.1698399999999998</v>
      </c>
      <c r="Y252" s="331">
        <v>3.9367199999999993</v>
      </c>
    </row>
    <row r="253" spans="1:25" x14ac:dyDescent="0.2">
      <c r="A253" s="359">
        <v>2</v>
      </c>
      <c r="B253" s="312" t="s">
        <v>4259</v>
      </c>
      <c r="C253" s="325" t="s">
        <v>1891</v>
      </c>
      <c r="D253" s="312" t="s">
        <v>96</v>
      </c>
      <c r="E253" s="312">
        <v>20.3</v>
      </c>
      <c r="F253" s="312">
        <v>1.97</v>
      </c>
      <c r="G253" s="312" t="s">
        <v>2108</v>
      </c>
      <c r="H253" s="329">
        <v>217</v>
      </c>
      <c r="I253" s="329">
        <v>52</v>
      </c>
      <c r="J253" s="329">
        <v>7.5</v>
      </c>
      <c r="K253" s="329">
        <v>276.5</v>
      </c>
      <c r="L253" s="329">
        <v>335</v>
      </c>
      <c r="N253" s="312" t="s">
        <v>3448</v>
      </c>
      <c r="O253" s="312">
        <v>2011</v>
      </c>
      <c r="Q253" s="326" t="s">
        <v>4260</v>
      </c>
      <c r="R253" s="326">
        <v>2</v>
      </c>
      <c r="S253" s="330">
        <v>316.24</v>
      </c>
      <c r="T253" s="315">
        <v>320.93</v>
      </c>
      <c r="U253" s="330">
        <v>329.97500000000002</v>
      </c>
      <c r="V253" s="330">
        <v>347.06</v>
      </c>
      <c r="W253" s="330">
        <v>354.76500000000004</v>
      </c>
      <c r="X253" s="330">
        <v>371.51499999999999</v>
      </c>
      <c r="Y253" s="331">
        <v>350.745</v>
      </c>
    </row>
    <row r="254" spans="1:25" ht="20.399999999999999" x14ac:dyDescent="0.2">
      <c r="A254" s="359">
        <v>1</v>
      </c>
      <c r="B254" s="312" t="s">
        <v>3903</v>
      </c>
      <c r="C254" s="325" t="s">
        <v>3904</v>
      </c>
      <c r="H254" s="329">
        <v>0</v>
      </c>
      <c r="I254" s="329">
        <v>0</v>
      </c>
      <c r="J254" s="329">
        <v>0</v>
      </c>
      <c r="K254" s="329">
        <v>0</v>
      </c>
      <c r="L254" s="329">
        <v>0</v>
      </c>
      <c r="N254" s="312" t="s">
        <v>3448</v>
      </c>
      <c r="O254" s="312">
        <v>2011</v>
      </c>
      <c r="Q254" s="326" t="s">
        <v>3905</v>
      </c>
      <c r="R254" s="326">
        <v>2</v>
      </c>
      <c r="S254" s="330">
        <v>0</v>
      </c>
      <c r="T254" s="315">
        <v>0</v>
      </c>
      <c r="U254" s="330">
        <v>0</v>
      </c>
      <c r="V254" s="330">
        <v>0</v>
      </c>
      <c r="W254" s="330">
        <v>0</v>
      </c>
      <c r="X254" s="330">
        <v>0</v>
      </c>
      <c r="Y254" s="331">
        <v>0</v>
      </c>
    </row>
    <row r="255" spans="1:25" x14ac:dyDescent="0.2">
      <c r="A255" s="359">
        <v>1</v>
      </c>
      <c r="B255" s="312" t="s">
        <v>3663</v>
      </c>
      <c r="C255" s="325" t="s">
        <v>3664</v>
      </c>
      <c r="D255" s="312" t="s">
        <v>785</v>
      </c>
      <c r="E255" s="312">
        <v>190</v>
      </c>
      <c r="F255" s="312">
        <v>4.2000000000000003E-2</v>
      </c>
      <c r="G255" s="312" t="s">
        <v>2202</v>
      </c>
      <c r="H255" s="329">
        <v>1.28</v>
      </c>
      <c r="I255" s="329">
        <v>1.61</v>
      </c>
      <c r="J255" s="329">
        <v>0</v>
      </c>
      <c r="K255" s="329">
        <v>2.89</v>
      </c>
      <c r="L255" s="329">
        <v>4.07</v>
      </c>
      <c r="N255" s="312" t="s">
        <v>3448</v>
      </c>
      <c r="O255" s="312">
        <v>2011</v>
      </c>
      <c r="Q255" s="326" t="s">
        <v>3665</v>
      </c>
      <c r="R255" s="326">
        <v>2</v>
      </c>
      <c r="S255" s="330">
        <v>3.8420800000000006</v>
      </c>
      <c r="T255" s="315">
        <v>3.89906</v>
      </c>
      <c r="U255" s="330">
        <v>4.0089500000000005</v>
      </c>
      <c r="V255" s="330">
        <v>4.21652</v>
      </c>
      <c r="W255" s="330">
        <v>4.3101300000000009</v>
      </c>
      <c r="X255" s="330">
        <v>4.51363</v>
      </c>
      <c r="Y255" s="331">
        <v>4.2612899999999998</v>
      </c>
    </row>
    <row r="256" spans="1:25" x14ac:dyDescent="0.2">
      <c r="A256" s="359">
        <v>1</v>
      </c>
      <c r="B256" s="312" t="s">
        <v>3666</v>
      </c>
      <c r="C256" s="325" t="s">
        <v>1274</v>
      </c>
      <c r="D256" s="312" t="s">
        <v>785</v>
      </c>
      <c r="E256" s="312">
        <v>145</v>
      </c>
      <c r="F256" s="312">
        <v>5.5E-2</v>
      </c>
      <c r="G256" s="312" t="s">
        <v>2202</v>
      </c>
      <c r="H256" s="329">
        <v>1.64</v>
      </c>
      <c r="I256" s="329">
        <v>2.11</v>
      </c>
      <c r="J256" s="329">
        <v>0</v>
      </c>
      <c r="K256" s="329">
        <v>3.75</v>
      </c>
      <c r="L256" s="329">
        <v>5.3</v>
      </c>
      <c r="N256" s="312" t="s">
        <v>3448</v>
      </c>
      <c r="O256" s="312">
        <v>2011</v>
      </c>
      <c r="Q256" s="326" t="s">
        <v>3667</v>
      </c>
      <c r="R256" s="326">
        <v>2</v>
      </c>
      <c r="S256" s="330">
        <v>5.0032000000000005</v>
      </c>
      <c r="T256" s="315">
        <v>5.0773999999999999</v>
      </c>
      <c r="U256" s="330">
        <v>5.2204999999999995</v>
      </c>
      <c r="V256" s="330">
        <v>5.4908000000000001</v>
      </c>
      <c r="W256" s="330">
        <v>5.6127000000000002</v>
      </c>
      <c r="X256" s="330">
        <v>5.8776999999999999</v>
      </c>
      <c r="Y256" s="331">
        <v>5.5490999999999993</v>
      </c>
    </row>
    <row r="257" spans="1:25" x14ac:dyDescent="0.2">
      <c r="A257" s="359">
        <v>1</v>
      </c>
      <c r="B257" s="312" t="s">
        <v>3668</v>
      </c>
      <c r="C257" s="325" t="s">
        <v>3669</v>
      </c>
      <c r="D257" s="312" t="s">
        <v>785</v>
      </c>
      <c r="E257" s="312">
        <v>190</v>
      </c>
      <c r="F257" s="312">
        <v>4.2000000000000003E-2</v>
      </c>
      <c r="G257" s="312" t="s">
        <v>2202</v>
      </c>
      <c r="H257" s="329">
        <v>1.28</v>
      </c>
      <c r="I257" s="329">
        <v>1.61</v>
      </c>
      <c r="J257" s="329">
        <v>0</v>
      </c>
      <c r="K257" s="329">
        <v>2.89</v>
      </c>
      <c r="L257" s="329">
        <v>4.07</v>
      </c>
      <c r="N257" s="312" t="s">
        <v>3448</v>
      </c>
      <c r="O257" s="312">
        <v>2011</v>
      </c>
      <c r="Q257" s="326" t="s">
        <v>3670</v>
      </c>
      <c r="R257" s="326">
        <v>2</v>
      </c>
      <c r="S257" s="330">
        <v>3.8420800000000006</v>
      </c>
      <c r="T257" s="315">
        <v>3.89906</v>
      </c>
      <c r="U257" s="330">
        <v>4.0089500000000005</v>
      </c>
      <c r="V257" s="330">
        <v>4.21652</v>
      </c>
      <c r="W257" s="330">
        <v>4.3101300000000009</v>
      </c>
      <c r="X257" s="330">
        <v>4.51363</v>
      </c>
      <c r="Y257" s="331">
        <v>4.2612899999999998</v>
      </c>
    </row>
    <row r="258" spans="1:25" x14ac:dyDescent="0.2">
      <c r="A258" s="359">
        <v>1</v>
      </c>
      <c r="B258" s="312" t="s">
        <v>3671</v>
      </c>
      <c r="C258" s="325" t="s">
        <v>3672</v>
      </c>
      <c r="D258" s="312" t="s">
        <v>785</v>
      </c>
      <c r="E258" s="312">
        <v>145</v>
      </c>
      <c r="F258" s="312">
        <v>5.5E-2</v>
      </c>
      <c r="G258" s="312" t="s">
        <v>2202</v>
      </c>
      <c r="H258" s="329">
        <v>2.33</v>
      </c>
      <c r="I258" s="329">
        <v>2.11</v>
      </c>
      <c r="J258" s="329">
        <v>0</v>
      </c>
      <c r="K258" s="329">
        <v>4.4400000000000004</v>
      </c>
      <c r="L258" s="329">
        <v>6.05</v>
      </c>
      <c r="N258" s="312" t="s">
        <v>3448</v>
      </c>
      <c r="O258" s="312">
        <v>2011</v>
      </c>
      <c r="Q258" s="326" t="s">
        <v>3673</v>
      </c>
      <c r="R258" s="326">
        <v>2</v>
      </c>
      <c r="S258" s="330">
        <v>5.7111999999999998</v>
      </c>
      <c r="T258" s="315">
        <v>5.7958999999999996</v>
      </c>
      <c r="U258" s="330">
        <v>5.9592499999999999</v>
      </c>
      <c r="V258" s="330">
        <v>6.2678000000000003</v>
      </c>
      <c r="W258" s="330">
        <v>6.406950000000001</v>
      </c>
      <c r="X258" s="330">
        <v>6.7094499999999995</v>
      </c>
      <c r="Y258" s="331">
        <v>6.3343499999999997</v>
      </c>
    </row>
    <row r="259" spans="1:25" x14ac:dyDescent="0.2">
      <c r="A259" s="359">
        <v>1</v>
      </c>
      <c r="B259" s="312" t="s">
        <v>3651</v>
      </c>
      <c r="C259" s="325" t="s">
        <v>3652</v>
      </c>
      <c r="D259" s="312" t="s">
        <v>785</v>
      </c>
      <c r="E259" s="312">
        <v>190</v>
      </c>
      <c r="F259" s="312">
        <v>4.2000000000000003E-2</v>
      </c>
      <c r="G259" s="312" t="s">
        <v>2202</v>
      </c>
      <c r="H259" s="329">
        <v>1.72</v>
      </c>
      <c r="I259" s="329">
        <v>1.61</v>
      </c>
      <c r="J259" s="329">
        <v>0</v>
      </c>
      <c r="K259" s="329">
        <v>3.33</v>
      </c>
      <c r="L259" s="329">
        <v>4.55</v>
      </c>
      <c r="N259" s="312" t="s">
        <v>3448</v>
      </c>
      <c r="O259" s="312">
        <v>2011</v>
      </c>
      <c r="Q259" s="326" t="s">
        <v>3653</v>
      </c>
      <c r="R259" s="326">
        <v>2</v>
      </c>
      <c r="S259" s="330">
        <v>4.2952000000000004</v>
      </c>
      <c r="T259" s="315">
        <v>4.3588999999999993</v>
      </c>
      <c r="U259" s="330">
        <v>4.4817499999999999</v>
      </c>
      <c r="V259" s="330">
        <v>4.7138</v>
      </c>
      <c r="W259" s="330">
        <v>4.8184500000000003</v>
      </c>
      <c r="X259" s="330">
        <v>5.0459499999999995</v>
      </c>
      <c r="Y259" s="331">
        <v>4.7638499999999997</v>
      </c>
    </row>
    <row r="260" spans="1:25" x14ac:dyDescent="0.2">
      <c r="A260" s="359">
        <v>1</v>
      </c>
      <c r="B260" s="312" t="s">
        <v>3654</v>
      </c>
      <c r="C260" s="325" t="s">
        <v>3655</v>
      </c>
      <c r="D260" s="312" t="s">
        <v>785</v>
      </c>
      <c r="E260" s="312">
        <v>145</v>
      </c>
      <c r="F260" s="312">
        <v>5.5E-2</v>
      </c>
      <c r="G260" s="312" t="s">
        <v>2202</v>
      </c>
      <c r="H260" s="329">
        <v>2.35</v>
      </c>
      <c r="I260" s="329">
        <v>2.11</v>
      </c>
      <c r="J260" s="329">
        <v>0</v>
      </c>
      <c r="K260" s="329">
        <v>4.46</v>
      </c>
      <c r="L260" s="329">
        <v>6.05</v>
      </c>
      <c r="N260" s="312" t="s">
        <v>3448</v>
      </c>
      <c r="O260" s="312">
        <v>2011</v>
      </c>
      <c r="Q260" s="326" t="s">
        <v>3656</v>
      </c>
      <c r="R260" s="326">
        <v>2</v>
      </c>
      <c r="S260" s="330">
        <v>5.7111999999999998</v>
      </c>
      <c r="T260" s="315">
        <v>5.7958999999999996</v>
      </c>
      <c r="U260" s="330">
        <v>5.9592499999999999</v>
      </c>
      <c r="V260" s="330">
        <v>6.2678000000000003</v>
      </c>
      <c r="W260" s="330">
        <v>6.406950000000001</v>
      </c>
      <c r="X260" s="330">
        <v>6.7094499999999995</v>
      </c>
      <c r="Y260" s="331">
        <v>6.3343499999999997</v>
      </c>
    </row>
    <row r="261" spans="1:25" x14ac:dyDescent="0.2">
      <c r="A261" s="359">
        <v>1</v>
      </c>
      <c r="B261" s="312" t="s">
        <v>3657</v>
      </c>
      <c r="C261" s="325" t="s">
        <v>3658</v>
      </c>
      <c r="D261" s="312" t="s">
        <v>785</v>
      </c>
      <c r="E261" s="312">
        <v>130</v>
      </c>
      <c r="F261" s="312">
        <v>6.2E-2</v>
      </c>
      <c r="G261" s="312" t="s">
        <v>2202</v>
      </c>
      <c r="H261" s="329">
        <v>3.48</v>
      </c>
      <c r="I261" s="329">
        <v>2.35</v>
      </c>
      <c r="J261" s="329">
        <v>0</v>
      </c>
      <c r="K261" s="329">
        <v>5.83</v>
      </c>
      <c r="L261" s="329">
        <v>7.7</v>
      </c>
      <c r="N261" s="312" t="s">
        <v>3448</v>
      </c>
      <c r="O261" s="312">
        <v>2011</v>
      </c>
      <c r="Q261" s="326" t="s">
        <v>3659</v>
      </c>
      <c r="R261" s="326">
        <v>2</v>
      </c>
      <c r="S261" s="330">
        <v>7.2688000000000006</v>
      </c>
      <c r="T261" s="315">
        <v>7.3765999999999998</v>
      </c>
      <c r="U261" s="330">
        <v>7.5845000000000002</v>
      </c>
      <c r="V261" s="330">
        <v>7.9772000000000007</v>
      </c>
      <c r="W261" s="330">
        <v>8.154300000000001</v>
      </c>
      <c r="X261" s="330">
        <v>8.5393000000000008</v>
      </c>
      <c r="Y261" s="331">
        <v>8.0618999999999996</v>
      </c>
    </row>
    <row r="262" spans="1:25" x14ac:dyDescent="0.2">
      <c r="A262" s="359">
        <v>1</v>
      </c>
      <c r="B262" s="312" t="s">
        <v>3660</v>
      </c>
      <c r="C262" s="325" t="s">
        <v>3661</v>
      </c>
      <c r="D262" s="312" t="s">
        <v>785</v>
      </c>
      <c r="E262" s="312">
        <v>105</v>
      </c>
      <c r="F262" s="312">
        <v>7.5999999999999998E-2</v>
      </c>
      <c r="G262" s="312" t="s">
        <v>2202</v>
      </c>
      <c r="H262" s="329">
        <v>4</v>
      </c>
      <c r="I262" s="329">
        <v>2.91</v>
      </c>
      <c r="J262" s="329">
        <v>0</v>
      </c>
      <c r="K262" s="329">
        <v>6.91</v>
      </c>
      <c r="L262" s="329">
        <v>9.1999999999999993</v>
      </c>
      <c r="N262" s="312" t="s">
        <v>3448</v>
      </c>
      <c r="O262" s="312">
        <v>2011</v>
      </c>
      <c r="Q262" s="326" t="s">
        <v>3662</v>
      </c>
      <c r="R262" s="326">
        <v>2</v>
      </c>
      <c r="S262" s="330">
        <v>8.6847999999999992</v>
      </c>
      <c r="T262" s="315">
        <v>8.8135999999999992</v>
      </c>
      <c r="U262" s="330">
        <v>9.0619999999999994</v>
      </c>
      <c r="V262" s="330">
        <v>9.5312000000000001</v>
      </c>
      <c r="W262" s="330">
        <v>9.7428000000000008</v>
      </c>
      <c r="X262" s="330">
        <v>10.2028</v>
      </c>
      <c r="Y262" s="331">
        <v>9.6323999999999987</v>
      </c>
    </row>
    <row r="263" spans="1:25" x14ac:dyDescent="0.2">
      <c r="A263" s="359">
        <v>1</v>
      </c>
      <c r="B263" s="312" t="s">
        <v>3625</v>
      </c>
      <c r="C263" s="325" t="s">
        <v>3626</v>
      </c>
      <c r="G263" s="312" t="s">
        <v>399</v>
      </c>
      <c r="H263" s="329">
        <v>7.15</v>
      </c>
      <c r="I263" s="329">
        <v>0</v>
      </c>
      <c r="J263" s="329">
        <v>0</v>
      </c>
      <c r="K263" s="329">
        <v>7.15</v>
      </c>
      <c r="L263" s="329">
        <v>7.8649999999999993</v>
      </c>
      <c r="N263" s="312" t="s">
        <v>3448</v>
      </c>
      <c r="O263" s="312">
        <v>2011</v>
      </c>
      <c r="Q263" s="326" t="s">
        <v>3627</v>
      </c>
      <c r="R263" s="326">
        <v>2</v>
      </c>
      <c r="S263" s="330">
        <v>7.4245599999999996</v>
      </c>
      <c r="T263" s="315">
        <v>7.5346699999999993</v>
      </c>
      <c r="U263" s="330">
        <v>7.7470249999999989</v>
      </c>
      <c r="V263" s="330">
        <v>8.1481399999999997</v>
      </c>
      <c r="W263" s="330">
        <v>8.3290350000000011</v>
      </c>
      <c r="X263" s="330">
        <v>8.7222849999999994</v>
      </c>
      <c r="Y263" s="331">
        <v>8.2346549999999983</v>
      </c>
    </row>
    <row r="264" spans="1:25" ht="20.399999999999999" x14ac:dyDescent="0.2">
      <c r="A264" s="359">
        <v>1</v>
      </c>
      <c r="B264" s="312" t="s">
        <v>3622</v>
      </c>
      <c r="C264" s="325" t="s">
        <v>3623</v>
      </c>
      <c r="G264" s="312" t="s">
        <v>399</v>
      </c>
      <c r="H264" s="329">
        <v>11.5</v>
      </c>
      <c r="I264" s="329">
        <v>0</v>
      </c>
      <c r="J264" s="329">
        <v>0</v>
      </c>
      <c r="K264" s="329">
        <v>11.5</v>
      </c>
      <c r="L264" s="329">
        <v>12.65</v>
      </c>
      <c r="N264" s="312" t="s">
        <v>3448</v>
      </c>
      <c r="O264" s="312">
        <v>2011</v>
      </c>
      <c r="Q264" s="326" t="s">
        <v>3624</v>
      </c>
      <c r="R264" s="326">
        <v>2</v>
      </c>
      <c r="S264" s="330">
        <v>11.941600000000001</v>
      </c>
      <c r="T264" s="315">
        <v>12.1187</v>
      </c>
      <c r="U264" s="330">
        <v>12.46025</v>
      </c>
      <c r="V264" s="330">
        <v>13.105400000000001</v>
      </c>
      <c r="W264" s="330">
        <v>13.396350000000002</v>
      </c>
      <c r="X264" s="330">
        <v>14.02885</v>
      </c>
      <c r="Y264" s="331">
        <v>13.24455</v>
      </c>
    </row>
    <row r="265" spans="1:25" ht="20.399999999999999" x14ac:dyDescent="0.2">
      <c r="A265" s="359">
        <v>1</v>
      </c>
      <c r="B265" s="312" t="s">
        <v>3619</v>
      </c>
      <c r="C265" s="325" t="s">
        <v>3620</v>
      </c>
      <c r="G265" s="312" t="s">
        <v>399</v>
      </c>
      <c r="H265" s="329">
        <v>5.75</v>
      </c>
      <c r="I265" s="329">
        <v>0</v>
      </c>
      <c r="J265" s="329">
        <v>0</v>
      </c>
      <c r="K265" s="329">
        <v>5.75</v>
      </c>
      <c r="L265" s="329">
        <v>6.3250000000000002</v>
      </c>
      <c r="N265" s="312" t="s">
        <v>3448</v>
      </c>
      <c r="O265" s="312">
        <v>2011</v>
      </c>
      <c r="Q265" s="326" t="s">
        <v>3621</v>
      </c>
      <c r="R265" s="326">
        <v>2</v>
      </c>
      <c r="S265" s="330">
        <v>5.9708000000000006</v>
      </c>
      <c r="T265" s="315">
        <v>6.0593500000000002</v>
      </c>
      <c r="U265" s="330">
        <v>6.2301250000000001</v>
      </c>
      <c r="V265" s="330">
        <v>6.5527000000000006</v>
      </c>
      <c r="W265" s="330">
        <v>6.6981750000000009</v>
      </c>
      <c r="X265" s="330">
        <v>7.0144250000000001</v>
      </c>
      <c r="Y265" s="331">
        <v>6.6222750000000001</v>
      </c>
    </row>
    <row r="266" spans="1:25" x14ac:dyDescent="0.2">
      <c r="A266" s="359">
        <v>1</v>
      </c>
      <c r="B266" s="312" t="s">
        <v>3555</v>
      </c>
      <c r="C266" s="325" t="s">
        <v>3556</v>
      </c>
      <c r="G266" s="312" t="s">
        <v>2840</v>
      </c>
      <c r="H266" s="329">
        <v>92</v>
      </c>
      <c r="I266" s="329">
        <v>0</v>
      </c>
      <c r="J266" s="329">
        <v>0</v>
      </c>
      <c r="K266" s="329">
        <v>92</v>
      </c>
      <c r="L266" s="329">
        <v>101.2</v>
      </c>
      <c r="N266" s="312" t="s">
        <v>3448</v>
      </c>
      <c r="O266" s="312">
        <v>2011</v>
      </c>
      <c r="Q266" s="326" t="s">
        <v>3557</v>
      </c>
      <c r="R266" s="326">
        <v>2</v>
      </c>
      <c r="S266" s="330">
        <v>95.532800000000009</v>
      </c>
      <c r="T266" s="315">
        <v>96.949600000000004</v>
      </c>
      <c r="U266" s="330">
        <v>99.682000000000002</v>
      </c>
      <c r="V266" s="330">
        <v>104.84320000000001</v>
      </c>
      <c r="W266" s="330">
        <v>107.17080000000001</v>
      </c>
      <c r="X266" s="330">
        <v>112.2308</v>
      </c>
      <c r="Y266" s="331">
        <v>105.9564</v>
      </c>
    </row>
    <row r="267" spans="1:25" ht="20.399999999999999" x14ac:dyDescent="0.2">
      <c r="A267" s="359">
        <v>1</v>
      </c>
      <c r="B267" s="312" t="s">
        <v>3526</v>
      </c>
      <c r="C267" s="325" t="s">
        <v>3527</v>
      </c>
      <c r="D267" s="312" t="s">
        <v>3528</v>
      </c>
      <c r="E267" s="312" t="s">
        <v>3529</v>
      </c>
      <c r="F267" s="312">
        <v>2.1000000000000001E-2</v>
      </c>
      <c r="G267" s="312" t="s">
        <v>399</v>
      </c>
      <c r="H267" s="329">
        <v>1.32</v>
      </c>
      <c r="I267" s="329">
        <v>0.63</v>
      </c>
      <c r="J267" s="329">
        <v>0.28000000000000003</v>
      </c>
      <c r="K267" s="329">
        <v>2.23</v>
      </c>
      <c r="L267" s="329">
        <v>2.8</v>
      </c>
      <c r="N267" s="312" t="s">
        <v>3448</v>
      </c>
      <c r="O267" s="312">
        <v>2011</v>
      </c>
      <c r="Q267" s="326" t="s">
        <v>3530</v>
      </c>
      <c r="R267" s="326">
        <v>2</v>
      </c>
      <c r="S267" s="330">
        <v>2.6432000000000002</v>
      </c>
      <c r="T267" s="315">
        <v>2.6823999999999999</v>
      </c>
      <c r="U267" s="330">
        <v>2.758</v>
      </c>
      <c r="V267" s="330">
        <v>2.9007999999999998</v>
      </c>
      <c r="W267" s="330">
        <v>2.9652000000000003</v>
      </c>
      <c r="X267" s="330">
        <v>3.1052</v>
      </c>
      <c r="Y267" s="331">
        <v>2.9315999999999995</v>
      </c>
    </row>
    <row r="268" spans="1:25" ht="20.399999999999999" x14ac:dyDescent="0.2">
      <c r="A268" s="359">
        <v>1</v>
      </c>
      <c r="B268" s="312" t="s">
        <v>3531</v>
      </c>
      <c r="C268" s="325" t="s">
        <v>3532</v>
      </c>
      <c r="D268" s="312" t="s">
        <v>3528</v>
      </c>
      <c r="E268" s="312" t="s">
        <v>3533</v>
      </c>
      <c r="F268" s="312">
        <v>2.1999999999999999E-2</v>
      </c>
      <c r="G268" s="312" t="s">
        <v>399</v>
      </c>
      <c r="H268" s="329">
        <v>1.96</v>
      </c>
      <c r="I268" s="329">
        <v>0.64</v>
      </c>
      <c r="J268" s="329">
        <v>0.28999999999999998</v>
      </c>
      <c r="K268" s="329">
        <v>2.89</v>
      </c>
      <c r="L268" s="329">
        <v>3.52</v>
      </c>
      <c r="N268" s="312" t="s">
        <v>3448</v>
      </c>
      <c r="O268" s="312">
        <v>2011</v>
      </c>
      <c r="Q268" s="326" t="s">
        <v>3534</v>
      </c>
      <c r="R268" s="326">
        <v>2</v>
      </c>
      <c r="S268" s="330">
        <v>3.3228800000000001</v>
      </c>
      <c r="T268" s="315">
        <v>3.37216</v>
      </c>
      <c r="U268" s="330">
        <v>3.4672000000000001</v>
      </c>
      <c r="V268" s="330">
        <v>3.6467200000000002</v>
      </c>
      <c r="W268" s="330">
        <v>3.7276800000000008</v>
      </c>
      <c r="X268" s="330">
        <v>3.90368</v>
      </c>
      <c r="Y268" s="331">
        <v>3.6854399999999998</v>
      </c>
    </row>
    <row r="269" spans="1:25" ht="20.399999999999999" x14ac:dyDescent="0.2">
      <c r="A269" s="359">
        <v>1</v>
      </c>
      <c r="B269" s="312" t="s">
        <v>3544</v>
      </c>
      <c r="C269" s="325" t="s">
        <v>3545</v>
      </c>
      <c r="D269" s="312" t="s">
        <v>3546</v>
      </c>
      <c r="E269" s="312">
        <v>45.83</v>
      </c>
      <c r="F269" s="312">
        <v>4.3639999999999999</v>
      </c>
      <c r="G269" s="312" t="s">
        <v>2840</v>
      </c>
      <c r="H269" s="329">
        <v>160</v>
      </c>
      <c r="I269" s="329">
        <v>145</v>
      </c>
      <c r="J269" s="329">
        <v>16.649999999999999</v>
      </c>
      <c r="K269" s="329">
        <v>321.64999999999998</v>
      </c>
      <c r="L269" s="329">
        <v>435</v>
      </c>
      <c r="N269" s="312" t="s">
        <v>3448</v>
      </c>
      <c r="O269" s="312">
        <v>2011</v>
      </c>
      <c r="Q269" s="326" t="s">
        <v>3547</v>
      </c>
      <c r="R269" s="326">
        <v>2</v>
      </c>
      <c r="S269" s="330">
        <v>410.64000000000004</v>
      </c>
      <c r="T269" s="315">
        <v>416.72999999999996</v>
      </c>
      <c r="U269" s="330">
        <v>428.47499999999997</v>
      </c>
      <c r="V269" s="330">
        <v>450.66</v>
      </c>
      <c r="W269" s="330">
        <v>460.66500000000008</v>
      </c>
      <c r="X269" s="330">
        <v>482.41500000000002</v>
      </c>
      <c r="Y269" s="331">
        <v>455.44499999999999</v>
      </c>
    </row>
    <row r="270" spans="1:25" ht="20.399999999999999" x14ac:dyDescent="0.2">
      <c r="A270" s="359">
        <v>1</v>
      </c>
      <c r="B270" s="312" t="s">
        <v>3548</v>
      </c>
      <c r="C270" s="325" t="s">
        <v>3549</v>
      </c>
      <c r="D270" s="312" t="s">
        <v>3550</v>
      </c>
      <c r="E270" s="312">
        <v>60.75</v>
      </c>
      <c r="F270" s="312">
        <v>1.4490000000000001</v>
      </c>
      <c r="G270" s="312" t="s">
        <v>2840</v>
      </c>
      <c r="H270" s="329">
        <v>117</v>
      </c>
      <c r="I270" s="329">
        <v>47.5</v>
      </c>
      <c r="J270" s="329">
        <v>0.38</v>
      </c>
      <c r="K270" s="329">
        <v>164.88</v>
      </c>
      <c r="L270" s="329">
        <v>209</v>
      </c>
      <c r="N270" s="312" t="s">
        <v>3448</v>
      </c>
      <c r="O270" s="312">
        <v>2011</v>
      </c>
      <c r="Q270" s="326" t="s">
        <v>3551</v>
      </c>
      <c r="R270" s="326">
        <v>2</v>
      </c>
      <c r="S270" s="330">
        <v>197.29600000000002</v>
      </c>
      <c r="T270" s="315">
        <v>200.22199999999998</v>
      </c>
      <c r="U270" s="330">
        <v>205.86500000000001</v>
      </c>
      <c r="V270" s="330">
        <v>216.524</v>
      </c>
      <c r="W270" s="330">
        <v>221.33100000000005</v>
      </c>
      <c r="X270" s="330">
        <v>231.78100000000001</v>
      </c>
      <c r="Y270" s="331">
        <v>218.82299999999998</v>
      </c>
    </row>
    <row r="271" spans="1:25" ht="20.399999999999999" x14ac:dyDescent="0.2">
      <c r="A271" s="359">
        <v>1</v>
      </c>
      <c r="B271" s="312" t="s">
        <v>3552</v>
      </c>
      <c r="C271" s="325" t="s">
        <v>3553</v>
      </c>
      <c r="D271" s="312" t="s">
        <v>3550</v>
      </c>
      <c r="E271" s="312">
        <v>92</v>
      </c>
      <c r="F271" s="312">
        <v>0.95699999999999996</v>
      </c>
      <c r="G271" s="312" t="s">
        <v>2840</v>
      </c>
      <c r="H271" s="329">
        <v>113</v>
      </c>
      <c r="I271" s="329">
        <v>31</v>
      </c>
      <c r="J271" s="329">
        <v>0.25</v>
      </c>
      <c r="K271" s="329">
        <v>144.25</v>
      </c>
      <c r="L271" s="329">
        <v>177</v>
      </c>
      <c r="N271" s="312" t="s">
        <v>3448</v>
      </c>
      <c r="O271" s="312">
        <v>2011</v>
      </c>
      <c r="Q271" s="326" t="s">
        <v>3554</v>
      </c>
      <c r="R271" s="326">
        <v>2</v>
      </c>
      <c r="S271" s="330">
        <v>167.08800000000002</v>
      </c>
      <c r="T271" s="315">
        <v>169.566</v>
      </c>
      <c r="U271" s="330">
        <v>174.345</v>
      </c>
      <c r="V271" s="330">
        <v>183.37200000000001</v>
      </c>
      <c r="W271" s="330">
        <v>187.44300000000004</v>
      </c>
      <c r="X271" s="330">
        <v>196.29300000000001</v>
      </c>
      <c r="Y271" s="331">
        <v>185.31899999999999</v>
      </c>
    </row>
    <row r="272" spans="1:25" ht="20.399999999999999" x14ac:dyDescent="0.2">
      <c r="A272" s="359">
        <v>1</v>
      </c>
      <c r="B272" s="312" t="s">
        <v>3538</v>
      </c>
      <c r="C272" s="325" t="s">
        <v>3539</v>
      </c>
      <c r="D272" s="312" t="s">
        <v>121</v>
      </c>
      <c r="E272" s="312">
        <v>43</v>
      </c>
      <c r="F272" s="312">
        <v>2.605</v>
      </c>
      <c r="G272" s="312" t="s">
        <v>2840</v>
      </c>
      <c r="H272" s="329">
        <v>185</v>
      </c>
      <c r="I272" s="329">
        <v>83</v>
      </c>
      <c r="J272" s="329">
        <v>0.55000000000000004</v>
      </c>
      <c r="K272" s="329">
        <v>268.55</v>
      </c>
      <c r="L272" s="329">
        <v>345</v>
      </c>
      <c r="N272" s="312" t="s">
        <v>3448</v>
      </c>
      <c r="O272" s="312">
        <v>2011</v>
      </c>
      <c r="Q272" s="326" t="s">
        <v>3540</v>
      </c>
      <c r="R272" s="326">
        <v>2</v>
      </c>
      <c r="S272" s="330">
        <v>325.68</v>
      </c>
      <c r="T272" s="315">
        <v>330.51</v>
      </c>
      <c r="U272" s="330">
        <v>339.82499999999999</v>
      </c>
      <c r="V272" s="330">
        <v>357.42</v>
      </c>
      <c r="W272" s="330">
        <v>365.35500000000008</v>
      </c>
      <c r="X272" s="330">
        <v>382.60500000000002</v>
      </c>
      <c r="Y272" s="331">
        <v>361.21499999999997</v>
      </c>
    </row>
    <row r="273" spans="1:25" ht="20.399999999999999" x14ac:dyDescent="0.2">
      <c r="A273" s="359">
        <v>1</v>
      </c>
      <c r="B273" s="312" t="s">
        <v>3541</v>
      </c>
      <c r="C273" s="325" t="s">
        <v>3542</v>
      </c>
      <c r="D273" s="312" t="s">
        <v>121</v>
      </c>
      <c r="E273" s="312">
        <v>75</v>
      </c>
      <c r="F273" s="312">
        <v>1.4930000000000001</v>
      </c>
      <c r="G273" s="312" t="s">
        <v>2840</v>
      </c>
      <c r="H273" s="329">
        <v>171</v>
      </c>
      <c r="I273" s="329">
        <v>47.5</v>
      </c>
      <c r="J273" s="329">
        <v>0.31</v>
      </c>
      <c r="K273" s="329">
        <v>218.81</v>
      </c>
      <c r="L273" s="329">
        <v>268</v>
      </c>
      <c r="N273" s="312" t="s">
        <v>3448</v>
      </c>
      <c r="O273" s="312">
        <v>2011</v>
      </c>
      <c r="Q273" s="326" t="s">
        <v>3543</v>
      </c>
      <c r="R273" s="326">
        <v>2</v>
      </c>
      <c r="S273" s="330">
        <v>252.99200000000002</v>
      </c>
      <c r="T273" s="315">
        <v>256.74399999999997</v>
      </c>
      <c r="U273" s="330">
        <v>263.98</v>
      </c>
      <c r="V273" s="330">
        <v>277.64800000000002</v>
      </c>
      <c r="W273" s="330">
        <v>283.81200000000007</v>
      </c>
      <c r="X273" s="330">
        <v>297.21199999999999</v>
      </c>
      <c r="Y273" s="331">
        <v>280.596</v>
      </c>
    </row>
    <row r="274" spans="1:25" ht="20.399999999999999" x14ac:dyDescent="0.2">
      <c r="A274" s="359">
        <v>1</v>
      </c>
      <c r="B274" s="312" t="s">
        <v>3535</v>
      </c>
      <c r="C274" s="325" t="s">
        <v>3536</v>
      </c>
      <c r="D274" s="312" t="s">
        <v>121</v>
      </c>
      <c r="E274" s="312">
        <v>28</v>
      </c>
      <c r="F274" s="312">
        <v>4</v>
      </c>
      <c r="G274" s="312" t="s">
        <v>2840</v>
      </c>
      <c r="H274" s="329">
        <v>158</v>
      </c>
      <c r="I274" s="329">
        <v>128</v>
      </c>
      <c r="J274" s="329">
        <v>0.84</v>
      </c>
      <c r="K274" s="329">
        <v>286.83999999999997</v>
      </c>
      <c r="L274" s="329">
        <v>390</v>
      </c>
      <c r="N274" s="312" t="s">
        <v>3448</v>
      </c>
      <c r="O274" s="312">
        <v>2011</v>
      </c>
      <c r="Q274" s="326" t="s">
        <v>3537</v>
      </c>
      <c r="R274" s="326">
        <v>2</v>
      </c>
      <c r="S274" s="330">
        <v>368.16</v>
      </c>
      <c r="T274" s="315">
        <v>373.62</v>
      </c>
      <c r="U274" s="330">
        <v>384.15</v>
      </c>
      <c r="V274" s="330">
        <v>404.04</v>
      </c>
      <c r="W274" s="330">
        <v>413.01000000000005</v>
      </c>
      <c r="X274" s="330">
        <v>432.51</v>
      </c>
      <c r="Y274" s="331">
        <v>408.33</v>
      </c>
    </row>
    <row r="275" spans="1:25" ht="20.399999999999999" x14ac:dyDescent="0.2">
      <c r="A275" s="359">
        <v>1</v>
      </c>
      <c r="B275" s="312" t="s">
        <v>3585</v>
      </c>
      <c r="C275" s="325" t="s">
        <v>3586</v>
      </c>
      <c r="D275" s="312" t="s">
        <v>130</v>
      </c>
      <c r="E275" s="312">
        <v>110</v>
      </c>
      <c r="F275" s="312">
        <v>0.436</v>
      </c>
      <c r="G275" s="312" t="s">
        <v>2840</v>
      </c>
      <c r="H275" s="329">
        <v>0</v>
      </c>
      <c r="I275" s="329">
        <v>12.1</v>
      </c>
      <c r="J275" s="329">
        <v>0.42</v>
      </c>
      <c r="K275" s="329">
        <v>12.52</v>
      </c>
      <c r="L275" s="329">
        <v>20.5</v>
      </c>
      <c r="N275" s="312" t="s">
        <v>3448</v>
      </c>
      <c r="O275" s="312">
        <v>2011</v>
      </c>
      <c r="Q275" s="326" t="s">
        <v>3587</v>
      </c>
      <c r="R275" s="326">
        <v>2</v>
      </c>
      <c r="S275" s="330">
        <v>19.352</v>
      </c>
      <c r="T275" s="315">
        <v>19.638999999999999</v>
      </c>
      <c r="U275" s="330">
        <v>20.192499999999999</v>
      </c>
      <c r="V275" s="330">
        <v>21.238</v>
      </c>
      <c r="W275" s="330">
        <v>21.709500000000002</v>
      </c>
      <c r="X275" s="330">
        <v>22.734500000000001</v>
      </c>
      <c r="Y275" s="331">
        <v>21.4635</v>
      </c>
    </row>
    <row r="276" spans="1:25" ht="20.399999999999999" x14ac:dyDescent="0.2">
      <c r="A276" s="359">
        <v>1</v>
      </c>
      <c r="B276" s="312" t="s">
        <v>3588</v>
      </c>
      <c r="C276" s="325" t="s">
        <v>3589</v>
      </c>
      <c r="D276" s="312" t="s">
        <v>3590</v>
      </c>
      <c r="E276" s="312">
        <v>130</v>
      </c>
      <c r="F276" s="312">
        <v>0.49199999999999999</v>
      </c>
      <c r="G276" s="312" t="s">
        <v>2840</v>
      </c>
      <c r="H276" s="329">
        <v>0</v>
      </c>
      <c r="I276" s="329">
        <v>14</v>
      </c>
      <c r="J276" s="329">
        <v>6.05</v>
      </c>
      <c r="K276" s="329">
        <v>20.05</v>
      </c>
      <c r="L276" s="329">
        <v>29.5</v>
      </c>
      <c r="N276" s="312" t="s">
        <v>3448</v>
      </c>
      <c r="O276" s="312">
        <v>2011</v>
      </c>
      <c r="Q276" s="326" t="s">
        <v>3591</v>
      </c>
      <c r="R276" s="326">
        <v>2</v>
      </c>
      <c r="S276" s="330">
        <v>27.848000000000003</v>
      </c>
      <c r="T276" s="315">
        <v>28.260999999999999</v>
      </c>
      <c r="U276" s="330">
        <v>29.057500000000001</v>
      </c>
      <c r="V276" s="330">
        <v>30.562000000000001</v>
      </c>
      <c r="W276" s="330">
        <v>31.240500000000004</v>
      </c>
      <c r="X276" s="330">
        <v>32.715499999999999</v>
      </c>
      <c r="Y276" s="331">
        <v>30.886499999999998</v>
      </c>
    </row>
    <row r="277" spans="1:25" ht="20.399999999999999" x14ac:dyDescent="0.2">
      <c r="A277" s="359">
        <v>1</v>
      </c>
      <c r="B277" s="312" t="s">
        <v>3558</v>
      </c>
      <c r="C277" s="325" t="s">
        <v>1313</v>
      </c>
      <c r="G277" s="312" t="s">
        <v>2840</v>
      </c>
      <c r="H277" s="329">
        <v>91.5</v>
      </c>
      <c r="I277" s="329">
        <v>0</v>
      </c>
      <c r="J277" s="329">
        <v>0</v>
      </c>
      <c r="K277" s="329">
        <v>91.5</v>
      </c>
      <c r="L277" s="329">
        <v>100.65</v>
      </c>
      <c r="N277" s="312" t="s">
        <v>3448</v>
      </c>
      <c r="O277" s="312">
        <v>2011</v>
      </c>
      <c r="Q277" s="326" t="s">
        <v>3559</v>
      </c>
      <c r="R277" s="326">
        <v>2</v>
      </c>
      <c r="S277" s="330">
        <v>95.013600000000011</v>
      </c>
      <c r="T277" s="315">
        <v>96.422700000000006</v>
      </c>
      <c r="U277" s="330">
        <v>99.140250000000009</v>
      </c>
      <c r="V277" s="330">
        <v>104.27340000000001</v>
      </c>
      <c r="W277" s="330">
        <v>106.58835000000002</v>
      </c>
      <c r="X277" s="330">
        <v>111.62085</v>
      </c>
      <c r="Y277" s="331">
        <v>105.38055</v>
      </c>
    </row>
    <row r="278" spans="1:25" ht="20.399999999999999" x14ac:dyDescent="0.2">
      <c r="A278" s="359">
        <v>1</v>
      </c>
      <c r="B278" s="312" t="s">
        <v>3560</v>
      </c>
      <c r="C278" s="325" t="s">
        <v>3561</v>
      </c>
      <c r="G278" s="312" t="s">
        <v>2840</v>
      </c>
      <c r="H278" s="329">
        <v>94</v>
      </c>
      <c r="I278" s="329">
        <v>0</v>
      </c>
      <c r="J278" s="329">
        <v>0</v>
      </c>
      <c r="K278" s="329">
        <v>94</v>
      </c>
      <c r="L278" s="329">
        <v>103.4</v>
      </c>
      <c r="N278" s="312" t="s">
        <v>3448</v>
      </c>
      <c r="O278" s="312">
        <v>2011</v>
      </c>
      <c r="Q278" s="326" t="s">
        <v>3562</v>
      </c>
      <c r="R278" s="326">
        <v>2</v>
      </c>
      <c r="S278" s="330">
        <v>97.609600000000015</v>
      </c>
      <c r="T278" s="315">
        <v>99.057199999999995</v>
      </c>
      <c r="U278" s="330">
        <v>101.849</v>
      </c>
      <c r="V278" s="330">
        <v>107.12240000000001</v>
      </c>
      <c r="W278" s="330">
        <v>109.50060000000002</v>
      </c>
      <c r="X278" s="330">
        <v>114.67060000000001</v>
      </c>
      <c r="Y278" s="331">
        <v>108.2598</v>
      </c>
    </row>
    <row r="279" spans="1:25" ht="20.399999999999999" x14ac:dyDescent="0.2">
      <c r="A279" s="359">
        <v>1</v>
      </c>
      <c r="B279" s="312" t="s">
        <v>3563</v>
      </c>
      <c r="C279" s="325" t="s">
        <v>1315</v>
      </c>
      <c r="G279" s="312" t="s">
        <v>2840</v>
      </c>
      <c r="H279" s="329">
        <v>99</v>
      </c>
      <c r="I279" s="329">
        <v>0</v>
      </c>
      <c r="J279" s="329">
        <v>0</v>
      </c>
      <c r="K279" s="329">
        <v>99</v>
      </c>
      <c r="L279" s="329">
        <v>108.9</v>
      </c>
      <c r="N279" s="312" t="s">
        <v>3448</v>
      </c>
      <c r="O279" s="312">
        <v>2011</v>
      </c>
      <c r="Q279" s="326" t="s">
        <v>3564</v>
      </c>
      <c r="R279" s="326">
        <v>2</v>
      </c>
      <c r="S279" s="330">
        <v>102.80160000000001</v>
      </c>
      <c r="T279" s="315">
        <v>104.3262</v>
      </c>
      <c r="U279" s="330">
        <v>107.26650000000001</v>
      </c>
      <c r="V279" s="330">
        <v>112.82040000000001</v>
      </c>
      <c r="W279" s="330">
        <v>115.32510000000002</v>
      </c>
      <c r="X279" s="330">
        <v>120.7701</v>
      </c>
      <c r="Y279" s="331">
        <v>114.0183</v>
      </c>
    </row>
    <row r="280" spans="1:25" ht="20.399999999999999" x14ac:dyDescent="0.2">
      <c r="A280" s="359">
        <v>1</v>
      </c>
      <c r="B280" s="312" t="s">
        <v>3565</v>
      </c>
      <c r="C280" s="325" t="s">
        <v>3566</v>
      </c>
      <c r="G280" s="312" t="s">
        <v>2840</v>
      </c>
      <c r="H280" s="329">
        <v>99.5</v>
      </c>
      <c r="I280" s="329">
        <v>0</v>
      </c>
      <c r="J280" s="329">
        <v>0</v>
      </c>
      <c r="K280" s="329">
        <v>99.5</v>
      </c>
      <c r="L280" s="329">
        <v>109.45</v>
      </c>
      <c r="N280" s="312" t="s">
        <v>3448</v>
      </c>
      <c r="O280" s="312">
        <v>2011</v>
      </c>
      <c r="Q280" s="326" t="s">
        <v>3567</v>
      </c>
      <c r="R280" s="326">
        <v>2</v>
      </c>
      <c r="S280" s="330">
        <v>103.32080000000001</v>
      </c>
      <c r="T280" s="315">
        <v>104.8531</v>
      </c>
      <c r="U280" s="330">
        <v>107.80825</v>
      </c>
      <c r="V280" s="330">
        <v>113.39020000000001</v>
      </c>
      <c r="W280" s="330">
        <v>115.90755000000001</v>
      </c>
      <c r="X280" s="330">
        <v>121.38005</v>
      </c>
      <c r="Y280" s="331">
        <v>114.59415</v>
      </c>
    </row>
    <row r="281" spans="1:25" ht="20.399999999999999" x14ac:dyDescent="0.2">
      <c r="A281" s="359">
        <v>1</v>
      </c>
      <c r="B281" s="312" t="s">
        <v>3568</v>
      </c>
      <c r="C281" s="325" t="s">
        <v>1316</v>
      </c>
      <c r="G281" s="312" t="s">
        <v>2840</v>
      </c>
      <c r="H281" s="329">
        <v>103</v>
      </c>
      <c r="I281" s="329">
        <v>0</v>
      </c>
      <c r="J281" s="329">
        <v>0</v>
      </c>
      <c r="K281" s="329">
        <v>103</v>
      </c>
      <c r="L281" s="329">
        <v>113.3</v>
      </c>
      <c r="N281" s="312" t="s">
        <v>3448</v>
      </c>
      <c r="O281" s="312">
        <v>2011</v>
      </c>
      <c r="Q281" s="326" t="s">
        <v>3569</v>
      </c>
      <c r="R281" s="326">
        <v>2</v>
      </c>
      <c r="S281" s="330">
        <v>106.9552</v>
      </c>
      <c r="T281" s="315">
        <v>108.5414</v>
      </c>
      <c r="U281" s="330">
        <v>111.6005</v>
      </c>
      <c r="V281" s="330">
        <v>117.3788</v>
      </c>
      <c r="W281" s="330">
        <v>119.98470000000002</v>
      </c>
      <c r="X281" s="330">
        <v>125.6497</v>
      </c>
      <c r="Y281" s="331">
        <v>118.62509999999999</v>
      </c>
    </row>
    <row r="282" spans="1:25" ht="20.399999999999999" x14ac:dyDescent="0.2">
      <c r="A282" s="359">
        <v>1</v>
      </c>
      <c r="B282" s="312" t="s">
        <v>3570</v>
      </c>
      <c r="C282" s="325" t="s">
        <v>3571</v>
      </c>
      <c r="G282" s="312" t="s">
        <v>2840</v>
      </c>
      <c r="H282" s="329">
        <v>106</v>
      </c>
      <c r="I282" s="329">
        <v>0</v>
      </c>
      <c r="J282" s="329">
        <v>0</v>
      </c>
      <c r="K282" s="329">
        <v>106</v>
      </c>
      <c r="L282" s="329">
        <v>116.6</v>
      </c>
      <c r="N282" s="312" t="s">
        <v>3448</v>
      </c>
      <c r="O282" s="312">
        <v>2011</v>
      </c>
      <c r="Q282" s="326" t="s">
        <v>3572</v>
      </c>
      <c r="R282" s="326">
        <v>2</v>
      </c>
      <c r="S282" s="330">
        <v>110.07040000000001</v>
      </c>
      <c r="T282" s="315">
        <v>111.7028</v>
      </c>
      <c r="U282" s="330">
        <v>114.851</v>
      </c>
      <c r="V282" s="330">
        <v>120.7976</v>
      </c>
      <c r="W282" s="330">
        <v>123.47940000000001</v>
      </c>
      <c r="X282" s="330">
        <v>129.30939999999998</v>
      </c>
      <c r="Y282" s="331">
        <v>122.08019999999999</v>
      </c>
    </row>
    <row r="283" spans="1:25" ht="20.399999999999999" x14ac:dyDescent="0.2">
      <c r="A283" s="359">
        <v>1</v>
      </c>
      <c r="B283" s="312" t="s">
        <v>3573</v>
      </c>
      <c r="C283" s="325" t="s">
        <v>3574</v>
      </c>
      <c r="G283" s="312" t="s">
        <v>2840</v>
      </c>
      <c r="H283" s="329">
        <v>111</v>
      </c>
      <c r="I283" s="329">
        <v>0</v>
      </c>
      <c r="J283" s="329">
        <v>0</v>
      </c>
      <c r="K283" s="329">
        <v>111</v>
      </c>
      <c r="L283" s="329">
        <v>122.1</v>
      </c>
      <c r="N283" s="312" t="s">
        <v>3448</v>
      </c>
      <c r="O283" s="312">
        <v>2011</v>
      </c>
      <c r="Q283" s="326" t="s">
        <v>3575</v>
      </c>
      <c r="R283" s="326">
        <v>2</v>
      </c>
      <c r="S283" s="330">
        <v>115.2624</v>
      </c>
      <c r="T283" s="315">
        <v>116.97179999999999</v>
      </c>
      <c r="U283" s="330">
        <v>120.26849999999999</v>
      </c>
      <c r="V283" s="330">
        <v>126.4956</v>
      </c>
      <c r="W283" s="330">
        <v>129.30390000000003</v>
      </c>
      <c r="X283" s="330">
        <v>135.40889999999999</v>
      </c>
      <c r="Y283" s="331">
        <v>127.83869999999999</v>
      </c>
    </row>
    <row r="284" spans="1:25" ht="20.399999999999999" x14ac:dyDescent="0.2">
      <c r="A284" s="359">
        <v>1</v>
      </c>
      <c r="B284" s="312" t="s">
        <v>3576</v>
      </c>
      <c r="C284" s="325" t="s">
        <v>3577</v>
      </c>
      <c r="G284" s="312" t="s">
        <v>2840</v>
      </c>
      <c r="H284" s="329">
        <v>127</v>
      </c>
      <c r="I284" s="329">
        <v>0</v>
      </c>
      <c r="J284" s="329">
        <v>0</v>
      </c>
      <c r="K284" s="329">
        <v>127</v>
      </c>
      <c r="L284" s="329">
        <v>139.69999999999999</v>
      </c>
      <c r="N284" s="312" t="s">
        <v>3448</v>
      </c>
      <c r="O284" s="312">
        <v>2011</v>
      </c>
      <c r="Q284" s="326" t="s">
        <v>3578</v>
      </c>
      <c r="R284" s="326">
        <v>2</v>
      </c>
      <c r="S284" s="330">
        <v>131.8768</v>
      </c>
      <c r="T284" s="315">
        <v>133.83259999999999</v>
      </c>
      <c r="U284" s="330">
        <v>137.60449999999997</v>
      </c>
      <c r="V284" s="330">
        <v>144.72919999999999</v>
      </c>
      <c r="W284" s="330">
        <v>147.94230000000002</v>
      </c>
      <c r="X284" s="330">
        <v>154.92729999999997</v>
      </c>
      <c r="Y284" s="331">
        <v>146.26589999999999</v>
      </c>
    </row>
    <row r="285" spans="1:25" ht="20.399999999999999" x14ac:dyDescent="0.2">
      <c r="A285" s="359">
        <v>1</v>
      </c>
      <c r="B285" s="312" t="s">
        <v>3579</v>
      </c>
      <c r="C285" s="325" t="s">
        <v>3580</v>
      </c>
      <c r="G285" s="312" t="s">
        <v>2840</v>
      </c>
      <c r="H285" s="329">
        <v>206</v>
      </c>
      <c r="I285" s="329">
        <v>0</v>
      </c>
      <c r="J285" s="329">
        <v>0</v>
      </c>
      <c r="K285" s="329">
        <v>206</v>
      </c>
      <c r="L285" s="329">
        <v>226.6</v>
      </c>
      <c r="N285" s="312" t="s">
        <v>3448</v>
      </c>
      <c r="O285" s="312">
        <v>2011</v>
      </c>
      <c r="Q285" s="326" t="s">
        <v>3581</v>
      </c>
      <c r="R285" s="326">
        <v>2</v>
      </c>
      <c r="S285" s="330">
        <v>213.91040000000001</v>
      </c>
      <c r="T285" s="315">
        <v>217.08279999999999</v>
      </c>
      <c r="U285" s="330">
        <v>223.20099999999999</v>
      </c>
      <c r="V285" s="330">
        <v>234.7576</v>
      </c>
      <c r="W285" s="330">
        <v>239.96940000000004</v>
      </c>
      <c r="X285" s="330">
        <v>251.29939999999999</v>
      </c>
      <c r="Y285" s="331">
        <v>237.25019999999998</v>
      </c>
    </row>
    <row r="286" spans="1:25" x14ac:dyDescent="0.2">
      <c r="A286" s="359">
        <v>1</v>
      </c>
      <c r="B286" s="312" t="s">
        <v>3582</v>
      </c>
      <c r="C286" s="325" t="s">
        <v>3583</v>
      </c>
      <c r="G286" s="312" t="s">
        <v>2840</v>
      </c>
      <c r="H286" s="329">
        <v>4.25</v>
      </c>
      <c r="I286" s="329">
        <v>0</v>
      </c>
      <c r="J286" s="329">
        <v>0</v>
      </c>
      <c r="K286" s="329">
        <v>4.25</v>
      </c>
      <c r="L286" s="329">
        <v>4.6749999999999998</v>
      </c>
      <c r="N286" s="312" t="s">
        <v>3448</v>
      </c>
      <c r="O286" s="312">
        <v>2011</v>
      </c>
      <c r="Q286" s="326" t="s">
        <v>3584</v>
      </c>
      <c r="R286" s="326">
        <v>2</v>
      </c>
      <c r="S286" s="330">
        <v>4.4131999999999998</v>
      </c>
      <c r="T286" s="315">
        <v>4.47865</v>
      </c>
      <c r="U286" s="330">
        <v>4.6048749999999998</v>
      </c>
      <c r="V286" s="330">
        <v>4.8433000000000002</v>
      </c>
      <c r="W286" s="330">
        <v>4.9508250000000009</v>
      </c>
      <c r="X286" s="330">
        <v>5.1845749999999997</v>
      </c>
      <c r="Y286" s="331">
        <v>4.8947249999999993</v>
      </c>
    </row>
    <row r="287" spans="1:25" ht="30.6" x14ac:dyDescent="0.2">
      <c r="A287" s="359">
        <v>2</v>
      </c>
      <c r="B287" s="312" t="s">
        <v>4092</v>
      </c>
      <c r="C287" s="325" t="s">
        <v>1317</v>
      </c>
      <c r="D287" s="312" t="s">
        <v>790</v>
      </c>
      <c r="E287" s="312">
        <v>55</v>
      </c>
      <c r="F287" s="312">
        <v>0.29099999999999998</v>
      </c>
      <c r="G287" s="312" t="s">
        <v>614</v>
      </c>
      <c r="H287" s="329">
        <v>0</v>
      </c>
      <c r="I287" s="329">
        <v>9.0500000000000007</v>
      </c>
      <c r="J287" s="329">
        <v>6.65</v>
      </c>
      <c r="K287" s="329">
        <v>15.7</v>
      </c>
      <c r="L287" s="329">
        <v>22.5</v>
      </c>
      <c r="N287" s="312" t="s">
        <v>3448</v>
      </c>
      <c r="O287" s="312">
        <v>2011</v>
      </c>
      <c r="Q287" s="326" t="s">
        <v>4093</v>
      </c>
      <c r="R287" s="326">
        <v>2</v>
      </c>
      <c r="S287" s="330">
        <v>21.240000000000002</v>
      </c>
      <c r="T287" s="315">
        <v>21.555</v>
      </c>
      <c r="U287" s="330">
        <v>22.162500000000001</v>
      </c>
      <c r="V287" s="330">
        <v>23.310000000000002</v>
      </c>
      <c r="W287" s="330">
        <v>23.827500000000004</v>
      </c>
      <c r="X287" s="330">
        <v>24.952500000000001</v>
      </c>
      <c r="Y287" s="331">
        <v>23.557499999999997</v>
      </c>
    </row>
    <row r="288" spans="1:25" ht="30.6" x14ac:dyDescent="0.2">
      <c r="A288" s="359">
        <v>2</v>
      </c>
      <c r="B288" s="312" t="s">
        <v>4094</v>
      </c>
      <c r="C288" s="325" t="s">
        <v>4095</v>
      </c>
      <c r="D288" s="312" t="s">
        <v>4096</v>
      </c>
      <c r="E288" s="312">
        <v>100</v>
      </c>
      <c r="F288" s="312">
        <v>0.16</v>
      </c>
      <c r="G288" s="312" t="s">
        <v>614</v>
      </c>
      <c r="H288" s="329">
        <v>0</v>
      </c>
      <c r="I288" s="329">
        <v>4.9800000000000004</v>
      </c>
      <c r="J288" s="329">
        <v>6.4</v>
      </c>
      <c r="K288" s="329">
        <v>11.38</v>
      </c>
      <c r="L288" s="329">
        <v>15.25</v>
      </c>
      <c r="N288" s="312" t="s">
        <v>3448</v>
      </c>
      <c r="O288" s="312">
        <v>2011</v>
      </c>
      <c r="Q288" s="326" t="s">
        <v>4097</v>
      </c>
      <c r="R288" s="326">
        <v>2</v>
      </c>
      <c r="S288" s="330">
        <v>14.396000000000001</v>
      </c>
      <c r="T288" s="315">
        <v>14.609499999999999</v>
      </c>
      <c r="U288" s="330">
        <v>15.02125</v>
      </c>
      <c r="V288" s="330">
        <v>15.799000000000001</v>
      </c>
      <c r="W288" s="330">
        <v>16.149750000000001</v>
      </c>
      <c r="X288" s="330">
        <v>16.91225</v>
      </c>
      <c r="Y288" s="331">
        <v>15.966749999999999</v>
      </c>
    </row>
    <row r="289" spans="1:25" x14ac:dyDescent="0.2">
      <c r="A289" s="359">
        <v>2</v>
      </c>
      <c r="B289" s="312" t="s">
        <v>3477</v>
      </c>
      <c r="C289" s="325" t="s">
        <v>3478</v>
      </c>
      <c r="D289" s="312" t="s">
        <v>809</v>
      </c>
      <c r="E289" s="312">
        <v>20</v>
      </c>
      <c r="F289" s="312">
        <v>0.8</v>
      </c>
      <c r="G289" s="312" t="s">
        <v>2840</v>
      </c>
      <c r="H289" s="329">
        <v>0</v>
      </c>
      <c r="I289" s="329">
        <v>24.5</v>
      </c>
      <c r="J289" s="329">
        <v>17.45</v>
      </c>
      <c r="K289" s="329">
        <v>41.95</v>
      </c>
      <c r="L289" s="329">
        <v>59.5</v>
      </c>
      <c r="N289" s="312" t="s">
        <v>3448</v>
      </c>
      <c r="O289" s="312">
        <v>2011</v>
      </c>
      <c r="Q289" s="326" t="s">
        <v>3479</v>
      </c>
      <c r="R289" s="326">
        <v>2</v>
      </c>
      <c r="S289" s="330">
        <v>56.168000000000006</v>
      </c>
      <c r="T289" s="315">
        <v>57.000999999999998</v>
      </c>
      <c r="U289" s="330">
        <v>58.607500000000002</v>
      </c>
      <c r="V289" s="330">
        <v>61.642000000000003</v>
      </c>
      <c r="W289" s="330">
        <v>63.010500000000008</v>
      </c>
      <c r="X289" s="330">
        <v>65.985500000000002</v>
      </c>
      <c r="Y289" s="331">
        <v>62.296499999999995</v>
      </c>
    </row>
    <row r="290" spans="1:25" x14ac:dyDescent="0.2">
      <c r="A290" s="359">
        <v>2</v>
      </c>
      <c r="B290" s="312" t="s">
        <v>3474</v>
      </c>
      <c r="C290" s="325" t="s">
        <v>3475</v>
      </c>
      <c r="D290" s="312" t="s">
        <v>809</v>
      </c>
      <c r="E290" s="312">
        <v>28</v>
      </c>
      <c r="F290" s="312">
        <v>0.57099999999999995</v>
      </c>
      <c r="G290" s="312" t="s">
        <v>2840</v>
      </c>
      <c r="H290" s="329">
        <v>0</v>
      </c>
      <c r="I290" s="329">
        <v>17.55</v>
      </c>
      <c r="J290" s="329">
        <v>12.5</v>
      </c>
      <c r="K290" s="329">
        <v>30.05</v>
      </c>
      <c r="L290" s="329">
        <v>43</v>
      </c>
      <c r="N290" s="312" t="s">
        <v>3448</v>
      </c>
      <c r="O290" s="312">
        <v>2011</v>
      </c>
      <c r="Q290" s="326" t="s">
        <v>3476</v>
      </c>
      <c r="R290" s="326">
        <v>2</v>
      </c>
      <c r="S290" s="330">
        <v>40.592000000000006</v>
      </c>
      <c r="T290" s="315">
        <v>41.193999999999996</v>
      </c>
      <c r="U290" s="330">
        <v>42.354999999999997</v>
      </c>
      <c r="V290" s="330">
        <v>44.548000000000002</v>
      </c>
      <c r="W290" s="330">
        <v>45.537000000000006</v>
      </c>
      <c r="X290" s="330">
        <v>47.686999999999998</v>
      </c>
      <c r="Y290" s="331">
        <v>45.020999999999994</v>
      </c>
    </row>
    <row r="291" spans="1:25" x14ac:dyDescent="0.2">
      <c r="A291" s="359">
        <v>1</v>
      </c>
      <c r="B291" s="312" t="s">
        <v>4189</v>
      </c>
      <c r="C291" s="325" t="s">
        <v>1319</v>
      </c>
      <c r="D291" s="312" t="s">
        <v>140</v>
      </c>
      <c r="E291" s="312" t="s">
        <v>4183</v>
      </c>
      <c r="F291" s="312">
        <v>0.01</v>
      </c>
      <c r="G291" s="312" t="s">
        <v>2202</v>
      </c>
      <c r="H291" s="329">
        <v>6.55</v>
      </c>
      <c r="I291" s="329">
        <v>0.25</v>
      </c>
      <c r="J291" s="329">
        <v>7.0000000000000007E-2</v>
      </c>
      <c r="K291" s="329">
        <v>6.87</v>
      </c>
      <c r="L291" s="329">
        <v>7.7</v>
      </c>
      <c r="N291" s="312" t="s">
        <v>3448</v>
      </c>
      <c r="O291" s="312">
        <v>2011</v>
      </c>
      <c r="Q291" s="326" t="s">
        <v>4190</v>
      </c>
      <c r="R291" s="326">
        <v>2</v>
      </c>
      <c r="S291" s="330">
        <v>7.2688000000000006</v>
      </c>
      <c r="T291" s="315">
        <v>7.3765999999999998</v>
      </c>
      <c r="U291" s="330">
        <v>7.5845000000000002</v>
      </c>
      <c r="V291" s="330">
        <v>7.9772000000000007</v>
      </c>
      <c r="W291" s="330">
        <v>8.154300000000001</v>
      </c>
      <c r="X291" s="330">
        <v>8.5393000000000008</v>
      </c>
      <c r="Y291" s="331">
        <v>8.0618999999999996</v>
      </c>
    </row>
    <row r="292" spans="1:25" x14ac:dyDescent="0.2">
      <c r="A292" s="359">
        <v>1</v>
      </c>
      <c r="B292" s="312" t="s">
        <v>4179</v>
      </c>
      <c r="C292" s="325" t="s">
        <v>2252</v>
      </c>
      <c r="D292" s="312" t="s">
        <v>142</v>
      </c>
      <c r="E292" s="312" t="s">
        <v>4180</v>
      </c>
      <c r="F292" s="312">
        <v>0.01</v>
      </c>
      <c r="G292" s="312" t="s">
        <v>1802</v>
      </c>
      <c r="H292" s="329">
        <v>0.76</v>
      </c>
      <c r="I292" s="329">
        <v>0.26</v>
      </c>
      <c r="J292" s="329">
        <v>0.09</v>
      </c>
      <c r="K292" s="329">
        <v>1.1100000000000001</v>
      </c>
      <c r="L292" s="329">
        <v>1.38</v>
      </c>
      <c r="N292" s="312" t="s">
        <v>3448</v>
      </c>
      <c r="O292" s="312">
        <v>2011</v>
      </c>
      <c r="Q292" s="326" t="s">
        <v>4181</v>
      </c>
      <c r="R292" s="326">
        <v>2</v>
      </c>
      <c r="S292" s="330">
        <v>1.3027199999999999</v>
      </c>
      <c r="T292" s="315">
        <v>1.3220399999999999</v>
      </c>
      <c r="U292" s="330">
        <v>1.3593</v>
      </c>
      <c r="V292" s="330">
        <v>1.4296799999999998</v>
      </c>
      <c r="W292" s="330">
        <v>1.4614200000000002</v>
      </c>
      <c r="X292" s="330">
        <v>1.5304199999999999</v>
      </c>
      <c r="Y292" s="331">
        <v>1.4448599999999998</v>
      </c>
    </row>
    <row r="293" spans="1:25" x14ac:dyDescent="0.2">
      <c r="A293" s="359">
        <v>1</v>
      </c>
      <c r="B293" s="312" t="s">
        <v>4187</v>
      </c>
      <c r="C293" s="325" t="s">
        <v>1320</v>
      </c>
      <c r="D293" s="312" t="s">
        <v>140</v>
      </c>
      <c r="E293" s="312">
        <v>3</v>
      </c>
      <c r="F293" s="312">
        <v>8</v>
      </c>
      <c r="G293" s="312" t="s">
        <v>2377</v>
      </c>
      <c r="H293" s="329">
        <v>164</v>
      </c>
      <c r="I293" s="329">
        <v>211</v>
      </c>
      <c r="J293" s="329">
        <v>57</v>
      </c>
      <c r="K293" s="329">
        <v>432</v>
      </c>
      <c r="L293" s="329">
        <v>600</v>
      </c>
      <c r="N293" s="312" t="s">
        <v>3448</v>
      </c>
      <c r="O293" s="312">
        <v>2011</v>
      </c>
      <c r="Q293" s="326" t="s">
        <v>4188</v>
      </c>
      <c r="R293" s="326">
        <v>2</v>
      </c>
      <c r="S293" s="330">
        <v>566.40000000000009</v>
      </c>
      <c r="T293" s="315">
        <v>574.79999999999995</v>
      </c>
      <c r="U293" s="330">
        <v>591</v>
      </c>
      <c r="V293" s="330">
        <v>621.6</v>
      </c>
      <c r="W293" s="330">
        <v>635.40000000000009</v>
      </c>
      <c r="X293" s="330">
        <v>665.4</v>
      </c>
      <c r="Y293" s="331">
        <v>628.19999999999993</v>
      </c>
    </row>
    <row r="294" spans="1:25" x14ac:dyDescent="0.2">
      <c r="A294" s="359">
        <v>1</v>
      </c>
      <c r="B294" s="312" t="s">
        <v>4182</v>
      </c>
      <c r="C294" s="325" t="s">
        <v>2810</v>
      </c>
      <c r="D294" s="312" t="s">
        <v>145</v>
      </c>
      <c r="E294" s="312" t="s">
        <v>4183</v>
      </c>
      <c r="F294" s="312">
        <v>0.01</v>
      </c>
      <c r="G294" s="312" t="s">
        <v>1802</v>
      </c>
      <c r="H294" s="329">
        <v>0.36</v>
      </c>
      <c r="I294" s="329">
        <v>0.26</v>
      </c>
      <c r="J294" s="329">
        <v>0</v>
      </c>
      <c r="K294" s="329">
        <v>0.62</v>
      </c>
      <c r="L294" s="329">
        <v>0.84</v>
      </c>
      <c r="N294" s="312" t="s">
        <v>3448</v>
      </c>
      <c r="O294" s="312">
        <v>2011</v>
      </c>
      <c r="Q294" s="326" t="s">
        <v>4184</v>
      </c>
      <c r="R294" s="326">
        <v>2</v>
      </c>
      <c r="S294" s="330">
        <v>0.79296</v>
      </c>
      <c r="T294" s="315">
        <v>0.80471999999999999</v>
      </c>
      <c r="U294" s="330">
        <v>0.82739999999999991</v>
      </c>
      <c r="V294" s="330">
        <v>0.87024000000000001</v>
      </c>
      <c r="W294" s="330">
        <v>0.88956000000000013</v>
      </c>
      <c r="X294" s="330">
        <v>0.93155999999999994</v>
      </c>
      <c r="Y294" s="331">
        <v>0.87947999999999993</v>
      </c>
    </row>
    <row r="295" spans="1:25" x14ac:dyDescent="0.2">
      <c r="A295" s="359">
        <v>1</v>
      </c>
      <c r="B295" s="312" t="s">
        <v>4185</v>
      </c>
      <c r="C295" s="325" t="s">
        <v>2812</v>
      </c>
      <c r="D295" s="312" t="s">
        <v>1495</v>
      </c>
      <c r="E295" s="312" t="s">
        <v>3994</v>
      </c>
      <c r="F295" s="312">
        <v>0.01</v>
      </c>
      <c r="G295" s="312" t="s">
        <v>2202</v>
      </c>
      <c r="H295" s="329">
        <v>0.41</v>
      </c>
      <c r="I295" s="329">
        <v>0.26</v>
      </c>
      <c r="J295" s="329">
        <v>0</v>
      </c>
      <c r="K295" s="329">
        <v>0.67</v>
      </c>
      <c r="L295" s="329">
        <v>0.89</v>
      </c>
      <c r="N295" s="312" t="s">
        <v>3448</v>
      </c>
      <c r="O295" s="312">
        <v>2011</v>
      </c>
      <c r="Q295" s="326" t="s">
        <v>4186</v>
      </c>
      <c r="R295" s="326">
        <v>2</v>
      </c>
      <c r="S295" s="330">
        <v>0.84016000000000002</v>
      </c>
      <c r="T295" s="315">
        <v>0.85261999999999993</v>
      </c>
      <c r="U295" s="330">
        <v>0.87665000000000004</v>
      </c>
      <c r="V295" s="330">
        <v>0.92204000000000008</v>
      </c>
      <c r="W295" s="330">
        <v>0.94251000000000018</v>
      </c>
      <c r="X295" s="330">
        <v>0.98701000000000005</v>
      </c>
      <c r="Y295" s="331">
        <v>0.93182999999999994</v>
      </c>
    </row>
    <row r="296" spans="1:25" ht="20.399999999999999" x14ac:dyDescent="0.2">
      <c r="A296" s="359">
        <v>1</v>
      </c>
      <c r="B296" s="312" t="s">
        <v>4217</v>
      </c>
      <c r="C296" s="325" t="s">
        <v>4218</v>
      </c>
      <c r="D296" s="312" t="s">
        <v>4219</v>
      </c>
      <c r="E296" s="312">
        <v>190</v>
      </c>
      <c r="F296" s="312">
        <v>0.126</v>
      </c>
      <c r="G296" s="312" t="s">
        <v>2202</v>
      </c>
      <c r="H296" s="329">
        <v>17.3</v>
      </c>
      <c r="I296" s="329">
        <v>3.43</v>
      </c>
      <c r="J296" s="329">
        <v>3.26</v>
      </c>
      <c r="K296" s="329">
        <v>23.99</v>
      </c>
      <c r="L296" s="329">
        <v>28.5</v>
      </c>
      <c r="N296" s="312" t="s">
        <v>3448</v>
      </c>
      <c r="O296" s="312">
        <v>2011</v>
      </c>
      <c r="Q296" s="326" t="s">
        <v>4220</v>
      </c>
      <c r="R296" s="326">
        <v>2</v>
      </c>
      <c r="S296" s="330">
        <v>26.904000000000003</v>
      </c>
      <c r="T296" s="315">
        <v>27.302999999999997</v>
      </c>
      <c r="U296" s="330">
        <v>28.072499999999998</v>
      </c>
      <c r="V296" s="330">
        <v>29.526</v>
      </c>
      <c r="W296" s="330">
        <v>30.181500000000003</v>
      </c>
      <c r="X296" s="330">
        <v>31.6065</v>
      </c>
      <c r="Y296" s="331">
        <v>29.839499999999997</v>
      </c>
    </row>
    <row r="297" spans="1:25" ht="20.399999999999999" x14ac:dyDescent="0.2">
      <c r="A297" s="359">
        <v>1</v>
      </c>
      <c r="B297" s="312" t="s">
        <v>4221</v>
      </c>
      <c r="C297" s="325" t="s">
        <v>4222</v>
      </c>
      <c r="D297" s="312" t="s">
        <v>4219</v>
      </c>
      <c r="E297" s="312">
        <v>170</v>
      </c>
      <c r="F297" s="312">
        <v>0.14099999999999999</v>
      </c>
      <c r="G297" s="312" t="s">
        <v>2202</v>
      </c>
      <c r="H297" s="329">
        <v>21.5</v>
      </c>
      <c r="I297" s="329">
        <v>3.83</v>
      </c>
      <c r="J297" s="329">
        <v>3.64</v>
      </c>
      <c r="K297" s="329">
        <v>28.97</v>
      </c>
      <c r="L297" s="329">
        <v>34</v>
      </c>
      <c r="N297" s="312" t="s">
        <v>3448</v>
      </c>
      <c r="O297" s="312">
        <v>2011</v>
      </c>
      <c r="Q297" s="326" t="s">
        <v>4223</v>
      </c>
      <c r="R297" s="326">
        <v>2</v>
      </c>
      <c r="S297" s="330">
        <v>32.096000000000004</v>
      </c>
      <c r="T297" s="315">
        <v>32.571999999999996</v>
      </c>
      <c r="U297" s="330">
        <v>33.49</v>
      </c>
      <c r="V297" s="330">
        <v>35.224000000000004</v>
      </c>
      <c r="W297" s="330">
        <v>36.006000000000007</v>
      </c>
      <c r="X297" s="330">
        <v>37.706000000000003</v>
      </c>
      <c r="Y297" s="331">
        <v>35.597999999999999</v>
      </c>
    </row>
    <row r="298" spans="1:25" ht="20.399999999999999" x14ac:dyDescent="0.2">
      <c r="A298" s="359">
        <v>2</v>
      </c>
      <c r="B298" s="312" t="s">
        <v>4265</v>
      </c>
      <c r="C298" s="325" t="s">
        <v>4266</v>
      </c>
      <c r="D298" s="312" t="s">
        <v>4267</v>
      </c>
      <c r="E298" s="312">
        <v>200</v>
      </c>
      <c r="F298" s="312">
        <v>0.04</v>
      </c>
      <c r="G298" s="312" t="s">
        <v>2840</v>
      </c>
      <c r="H298" s="329">
        <v>0</v>
      </c>
      <c r="I298" s="329">
        <v>1.4</v>
      </c>
      <c r="J298" s="329">
        <v>1.6</v>
      </c>
      <c r="K298" s="329">
        <v>3</v>
      </c>
      <c r="L298" s="329">
        <v>4.04</v>
      </c>
      <c r="N298" s="312" t="s">
        <v>3448</v>
      </c>
      <c r="O298" s="312">
        <v>2011</v>
      </c>
      <c r="Q298" s="326" t="s">
        <v>4268</v>
      </c>
      <c r="R298" s="326">
        <v>2</v>
      </c>
      <c r="S298" s="330">
        <v>3.8137600000000003</v>
      </c>
      <c r="T298" s="315">
        <v>3.87032</v>
      </c>
      <c r="U298" s="330">
        <v>3.9794</v>
      </c>
      <c r="V298" s="330">
        <v>4.1854399999999998</v>
      </c>
      <c r="W298" s="330">
        <v>4.2783600000000011</v>
      </c>
      <c r="X298" s="330">
        <v>4.4803600000000001</v>
      </c>
      <c r="Y298" s="331">
        <v>4.2298799999999996</v>
      </c>
    </row>
    <row r="299" spans="1:25" ht="20.399999999999999" x14ac:dyDescent="0.2">
      <c r="A299" s="359">
        <v>2</v>
      </c>
      <c r="B299" s="312" t="s">
        <v>3992</v>
      </c>
      <c r="C299" s="325" t="s">
        <v>3993</v>
      </c>
      <c r="D299" s="312" t="s">
        <v>1813</v>
      </c>
      <c r="E299" s="312" t="s">
        <v>3994</v>
      </c>
      <c r="F299" s="312">
        <v>5.0000000000000001E-3</v>
      </c>
      <c r="G299" s="312" t="s">
        <v>2840</v>
      </c>
      <c r="H299" s="329">
        <v>0</v>
      </c>
      <c r="I299" s="329">
        <v>0.17</v>
      </c>
      <c r="J299" s="329">
        <v>0.66</v>
      </c>
      <c r="K299" s="329">
        <v>0.83</v>
      </c>
      <c r="L299" s="329">
        <v>1.01</v>
      </c>
      <c r="N299" s="312" t="s">
        <v>3448</v>
      </c>
      <c r="O299" s="312">
        <v>2011</v>
      </c>
      <c r="Q299" s="326" t="s">
        <v>3995</v>
      </c>
      <c r="R299" s="326">
        <v>2</v>
      </c>
      <c r="S299" s="330">
        <v>0.95344000000000007</v>
      </c>
      <c r="T299" s="315">
        <v>0.96758</v>
      </c>
      <c r="U299" s="330">
        <v>0.99485000000000001</v>
      </c>
      <c r="V299" s="330">
        <v>1.04636</v>
      </c>
      <c r="W299" s="330">
        <v>1.0695900000000003</v>
      </c>
      <c r="X299" s="330">
        <v>1.12009</v>
      </c>
      <c r="Y299" s="331">
        <v>1.0574699999999999</v>
      </c>
    </row>
    <row r="300" spans="1:25" ht="20.399999999999999" x14ac:dyDescent="0.2">
      <c r="A300" s="359">
        <v>2</v>
      </c>
      <c r="B300" s="312" t="s">
        <v>4007</v>
      </c>
      <c r="C300" s="325" t="s">
        <v>2818</v>
      </c>
      <c r="D300" s="312" t="s">
        <v>1813</v>
      </c>
      <c r="E300" s="312">
        <v>865</v>
      </c>
      <c r="F300" s="312">
        <v>8.9999999999999993E-3</v>
      </c>
      <c r="G300" s="312" t="s">
        <v>2840</v>
      </c>
      <c r="H300" s="329">
        <v>0</v>
      </c>
      <c r="I300" s="329">
        <v>0.32</v>
      </c>
      <c r="J300" s="329">
        <v>1.22</v>
      </c>
      <c r="K300" s="329">
        <v>1.54</v>
      </c>
      <c r="L300" s="329">
        <v>1.87</v>
      </c>
      <c r="N300" s="312" t="s">
        <v>3448</v>
      </c>
      <c r="O300" s="312">
        <v>2011</v>
      </c>
      <c r="Q300" s="326" t="s">
        <v>4008</v>
      </c>
      <c r="R300" s="326">
        <v>2</v>
      </c>
      <c r="S300" s="330">
        <v>1.7652800000000002</v>
      </c>
      <c r="T300" s="315">
        <v>1.7914600000000001</v>
      </c>
      <c r="U300" s="330">
        <v>1.84195</v>
      </c>
      <c r="V300" s="330">
        <v>1.9373200000000002</v>
      </c>
      <c r="W300" s="330">
        <v>1.9803300000000004</v>
      </c>
      <c r="X300" s="330">
        <v>2.0738300000000001</v>
      </c>
      <c r="Y300" s="331">
        <v>1.9578899999999999</v>
      </c>
    </row>
    <row r="301" spans="1:25" ht="20.399999999999999" x14ac:dyDescent="0.2">
      <c r="A301" s="359">
        <v>2</v>
      </c>
      <c r="B301" s="312" t="s">
        <v>4015</v>
      </c>
      <c r="C301" s="325" t="s">
        <v>2818</v>
      </c>
      <c r="D301" s="312" t="s">
        <v>1813</v>
      </c>
      <c r="E301" s="312" t="s">
        <v>4016</v>
      </c>
      <c r="F301" s="312">
        <v>2E-3</v>
      </c>
      <c r="G301" s="312" t="s">
        <v>1802</v>
      </c>
      <c r="H301" s="329">
        <v>0</v>
      </c>
      <c r="I301" s="329">
        <v>0.05</v>
      </c>
      <c r="J301" s="329">
        <v>0.21</v>
      </c>
      <c r="K301" s="329">
        <v>0.26</v>
      </c>
      <c r="L301" s="329">
        <v>0.32</v>
      </c>
      <c r="N301" s="312" t="s">
        <v>3448</v>
      </c>
      <c r="O301" s="312">
        <v>2011</v>
      </c>
      <c r="Q301" s="326" t="s">
        <v>4017</v>
      </c>
      <c r="R301" s="326">
        <v>2</v>
      </c>
      <c r="S301" s="330">
        <v>0.30208000000000002</v>
      </c>
      <c r="T301" s="315">
        <v>0.30656</v>
      </c>
      <c r="U301" s="330">
        <v>0.31519999999999998</v>
      </c>
      <c r="V301" s="330">
        <v>0.33152000000000004</v>
      </c>
      <c r="W301" s="330">
        <v>0.33888000000000007</v>
      </c>
      <c r="X301" s="330">
        <v>0.35488000000000003</v>
      </c>
      <c r="Y301" s="331">
        <v>0.33504</v>
      </c>
    </row>
    <row r="302" spans="1:25" ht="20.399999999999999" x14ac:dyDescent="0.2">
      <c r="A302" s="359">
        <v>2</v>
      </c>
      <c r="B302" s="312" t="s">
        <v>4009</v>
      </c>
      <c r="C302" s="325" t="s">
        <v>4010</v>
      </c>
      <c r="D302" s="312" t="s">
        <v>1813</v>
      </c>
      <c r="E302" s="312">
        <v>520</v>
      </c>
      <c r="F302" s="312">
        <v>1.4999999999999999E-2</v>
      </c>
      <c r="G302" s="312" t="s">
        <v>2840</v>
      </c>
      <c r="H302" s="329">
        <v>0</v>
      </c>
      <c r="I302" s="329">
        <v>0.54</v>
      </c>
      <c r="J302" s="329">
        <v>2.02</v>
      </c>
      <c r="K302" s="329">
        <v>2.56</v>
      </c>
      <c r="L302" s="329">
        <v>3.1</v>
      </c>
      <c r="N302" s="312" t="s">
        <v>3448</v>
      </c>
      <c r="O302" s="312">
        <v>2011</v>
      </c>
      <c r="Q302" s="326" t="s">
        <v>4011</v>
      </c>
      <c r="R302" s="326">
        <v>2</v>
      </c>
      <c r="S302" s="330">
        <v>2.9264000000000001</v>
      </c>
      <c r="T302" s="315">
        <v>2.9697999999999998</v>
      </c>
      <c r="U302" s="330">
        <v>3.0535000000000001</v>
      </c>
      <c r="V302" s="330">
        <v>3.2116000000000002</v>
      </c>
      <c r="W302" s="330">
        <v>3.2829000000000006</v>
      </c>
      <c r="X302" s="330">
        <v>3.4379</v>
      </c>
      <c r="Y302" s="331">
        <v>3.2456999999999998</v>
      </c>
    </row>
    <row r="303" spans="1:25" ht="20.399999999999999" x14ac:dyDescent="0.2">
      <c r="A303" s="359">
        <v>2</v>
      </c>
      <c r="B303" s="312" t="s">
        <v>4012</v>
      </c>
      <c r="C303" s="325" t="s">
        <v>4013</v>
      </c>
      <c r="D303" s="312" t="s">
        <v>1813</v>
      </c>
      <c r="E303" s="312">
        <v>225</v>
      </c>
      <c r="F303" s="312">
        <v>3.5999999999999997E-2</v>
      </c>
      <c r="G303" s="312" t="s">
        <v>2840</v>
      </c>
      <c r="H303" s="329">
        <v>0</v>
      </c>
      <c r="I303" s="329">
        <v>1.24</v>
      </c>
      <c r="J303" s="329">
        <v>4.67</v>
      </c>
      <c r="K303" s="329">
        <v>5.91</v>
      </c>
      <c r="L303" s="329">
        <v>7.2</v>
      </c>
      <c r="N303" s="312" t="s">
        <v>3448</v>
      </c>
      <c r="O303" s="312">
        <v>2011</v>
      </c>
      <c r="Q303" s="326" t="s">
        <v>4014</v>
      </c>
      <c r="R303" s="326">
        <v>2</v>
      </c>
      <c r="S303" s="330">
        <v>6.7968000000000002</v>
      </c>
      <c r="T303" s="315">
        <v>6.8975999999999997</v>
      </c>
      <c r="U303" s="330">
        <v>7.0919999999999996</v>
      </c>
      <c r="V303" s="330">
        <v>7.4592000000000001</v>
      </c>
      <c r="W303" s="330">
        <v>7.6248000000000014</v>
      </c>
      <c r="X303" s="330">
        <v>7.9847999999999999</v>
      </c>
      <c r="Y303" s="331">
        <v>7.5383999999999993</v>
      </c>
    </row>
    <row r="304" spans="1:25" ht="20.399999999999999" x14ac:dyDescent="0.2">
      <c r="A304" s="359">
        <v>2</v>
      </c>
      <c r="B304" s="312" t="s">
        <v>4018</v>
      </c>
      <c r="C304" s="325" t="s">
        <v>4013</v>
      </c>
      <c r="D304" s="312" t="s">
        <v>1813</v>
      </c>
      <c r="E304" s="312" t="s">
        <v>4019</v>
      </c>
      <c r="F304" s="312">
        <v>6.0000000000000001E-3</v>
      </c>
      <c r="G304" s="312" t="s">
        <v>1802</v>
      </c>
      <c r="H304" s="329">
        <v>0</v>
      </c>
      <c r="I304" s="329">
        <v>0.21</v>
      </c>
      <c r="J304" s="329">
        <v>0.79</v>
      </c>
      <c r="K304" s="329">
        <v>1</v>
      </c>
      <c r="L304" s="329">
        <v>1.21</v>
      </c>
      <c r="N304" s="312" t="s">
        <v>3448</v>
      </c>
      <c r="O304" s="312">
        <v>2011</v>
      </c>
      <c r="Q304" s="326" t="s">
        <v>4020</v>
      </c>
      <c r="R304" s="326">
        <v>2</v>
      </c>
      <c r="S304" s="330">
        <v>1.1422400000000001</v>
      </c>
      <c r="T304" s="315">
        <v>1.1591799999999999</v>
      </c>
      <c r="U304" s="330">
        <v>1.1918499999999999</v>
      </c>
      <c r="V304" s="330">
        <v>1.25356</v>
      </c>
      <c r="W304" s="330">
        <v>1.2813900000000003</v>
      </c>
      <c r="X304" s="330">
        <v>1.34189</v>
      </c>
      <c r="Y304" s="331">
        <v>1.2668699999999999</v>
      </c>
    </row>
    <row r="305" spans="1:25" ht="20.399999999999999" x14ac:dyDescent="0.2">
      <c r="A305" s="359">
        <v>2</v>
      </c>
      <c r="B305" s="312" t="s">
        <v>3996</v>
      </c>
      <c r="C305" s="325" t="s">
        <v>3997</v>
      </c>
      <c r="D305" s="312" t="s">
        <v>1813</v>
      </c>
      <c r="E305" s="312">
        <v>800</v>
      </c>
      <c r="F305" s="312">
        <v>0.01</v>
      </c>
      <c r="G305" s="312" t="s">
        <v>2840</v>
      </c>
      <c r="H305" s="329">
        <v>0</v>
      </c>
      <c r="I305" s="329">
        <v>0.35</v>
      </c>
      <c r="J305" s="329">
        <v>1.31</v>
      </c>
      <c r="K305" s="329">
        <v>1.66</v>
      </c>
      <c r="L305" s="329">
        <v>2.02</v>
      </c>
      <c r="N305" s="312" t="s">
        <v>3448</v>
      </c>
      <c r="O305" s="312">
        <v>2011</v>
      </c>
      <c r="Q305" s="326" t="s">
        <v>3998</v>
      </c>
      <c r="R305" s="326">
        <v>2</v>
      </c>
      <c r="S305" s="330">
        <v>1.9068800000000001</v>
      </c>
      <c r="T305" s="315">
        <v>1.93516</v>
      </c>
      <c r="U305" s="330">
        <v>1.9897</v>
      </c>
      <c r="V305" s="330">
        <v>2.0927199999999999</v>
      </c>
      <c r="W305" s="330">
        <v>2.1391800000000005</v>
      </c>
      <c r="X305" s="330">
        <v>2.2401800000000001</v>
      </c>
      <c r="Y305" s="331">
        <v>2.1149399999999998</v>
      </c>
    </row>
    <row r="306" spans="1:25" ht="20.399999999999999" x14ac:dyDescent="0.2">
      <c r="A306" s="359">
        <v>2</v>
      </c>
      <c r="B306" s="312" t="s">
        <v>4003</v>
      </c>
      <c r="C306" s="325" t="s">
        <v>4004</v>
      </c>
      <c r="D306" s="312" t="s">
        <v>3985</v>
      </c>
      <c r="E306" s="312" t="s">
        <v>4005</v>
      </c>
      <c r="F306" s="312">
        <v>7.0000000000000001E-3</v>
      </c>
      <c r="G306" s="312" t="s">
        <v>2840</v>
      </c>
      <c r="H306" s="329">
        <v>0</v>
      </c>
      <c r="I306" s="329">
        <v>0.25</v>
      </c>
      <c r="J306" s="329">
        <v>1.46</v>
      </c>
      <c r="K306" s="329">
        <v>1.71</v>
      </c>
      <c r="L306" s="329">
        <v>2.02</v>
      </c>
      <c r="N306" s="312" t="s">
        <v>3448</v>
      </c>
      <c r="O306" s="312">
        <v>2011</v>
      </c>
      <c r="Q306" s="326" t="s">
        <v>4006</v>
      </c>
      <c r="R306" s="326">
        <v>2</v>
      </c>
      <c r="S306" s="330">
        <v>1.9068800000000001</v>
      </c>
      <c r="T306" s="315">
        <v>1.93516</v>
      </c>
      <c r="U306" s="330">
        <v>1.9897</v>
      </c>
      <c r="V306" s="330">
        <v>2.0927199999999999</v>
      </c>
      <c r="W306" s="330">
        <v>2.1391800000000005</v>
      </c>
      <c r="X306" s="330">
        <v>2.2401800000000001</v>
      </c>
      <c r="Y306" s="331">
        <v>2.1149399999999998</v>
      </c>
    </row>
    <row r="307" spans="1:25" ht="20.399999999999999" x14ac:dyDescent="0.2">
      <c r="A307" s="359">
        <v>2</v>
      </c>
      <c r="B307" s="312" t="s">
        <v>3999</v>
      </c>
      <c r="C307" s="325" t="s">
        <v>4000</v>
      </c>
      <c r="D307" s="312" t="s">
        <v>3985</v>
      </c>
      <c r="E307" s="312" t="s">
        <v>4001</v>
      </c>
      <c r="F307" s="312">
        <v>4.0000000000000001E-3</v>
      </c>
      <c r="G307" s="312" t="s">
        <v>2840</v>
      </c>
      <c r="H307" s="329">
        <v>0</v>
      </c>
      <c r="I307" s="329">
        <v>0.14000000000000001</v>
      </c>
      <c r="J307" s="329">
        <v>0.8</v>
      </c>
      <c r="K307" s="329">
        <v>0.94</v>
      </c>
      <c r="L307" s="329">
        <v>1.1100000000000001</v>
      </c>
      <c r="N307" s="312" t="s">
        <v>3448</v>
      </c>
      <c r="O307" s="312">
        <v>2011</v>
      </c>
      <c r="Q307" s="326" t="s">
        <v>4002</v>
      </c>
      <c r="R307" s="326">
        <v>2</v>
      </c>
      <c r="S307" s="330">
        <v>1.0478400000000001</v>
      </c>
      <c r="T307" s="315">
        <v>1.06338</v>
      </c>
      <c r="U307" s="330">
        <v>1.09335</v>
      </c>
      <c r="V307" s="330">
        <v>1.1499600000000001</v>
      </c>
      <c r="W307" s="330">
        <v>1.1754900000000004</v>
      </c>
      <c r="X307" s="330">
        <v>1.23099</v>
      </c>
      <c r="Y307" s="331">
        <v>1.1621699999999999</v>
      </c>
    </row>
    <row r="308" spans="1:25" ht="20.399999999999999" x14ac:dyDescent="0.2">
      <c r="A308" s="359">
        <v>2</v>
      </c>
      <c r="B308" s="312" t="s">
        <v>3980</v>
      </c>
      <c r="C308" s="325" t="s">
        <v>2819</v>
      </c>
      <c r="D308" s="312" t="s">
        <v>1813</v>
      </c>
      <c r="E308" s="312" t="s">
        <v>3981</v>
      </c>
      <c r="F308" s="312">
        <v>7.0000000000000001E-3</v>
      </c>
      <c r="G308" s="312" t="s">
        <v>2840</v>
      </c>
      <c r="H308" s="329">
        <v>0</v>
      </c>
      <c r="I308" s="329">
        <v>0.24</v>
      </c>
      <c r="J308" s="329">
        <v>0.91</v>
      </c>
      <c r="K308" s="329">
        <v>1.1499999999999999</v>
      </c>
      <c r="L308" s="329">
        <v>1.41</v>
      </c>
      <c r="N308" s="312" t="s">
        <v>3448</v>
      </c>
      <c r="O308" s="312">
        <v>2011</v>
      </c>
      <c r="Q308" s="326" t="s">
        <v>3982</v>
      </c>
      <c r="R308" s="326">
        <v>2</v>
      </c>
      <c r="S308" s="330">
        <v>1.33104</v>
      </c>
      <c r="T308" s="315">
        <v>1.3507799999999999</v>
      </c>
      <c r="U308" s="330">
        <v>1.3888499999999999</v>
      </c>
      <c r="V308" s="330">
        <v>1.4607600000000001</v>
      </c>
      <c r="W308" s="330">
        <v>1.4931900000000002</v>
      </c>
      <c r="X308" s="330">
        <v>1.5636899999999998</v>
      </c>
      <c r="Y308" s="331">
        <v>1.4762699999999997</v>
      </c>
    </row>
    <row r="309" spans="1:25" ht="20.399999999999999" x14ac:dyDescent="0.2">
      <c r="A309" s="359">
        <v>2</v>
      </c>
      <c r="B309" s="312" t="s">
        <v>3988</v>
      </c>
      <c r="C309" s="325" t="s">
        <v>3989</v>
      </c>
      <c r="D309" s="312" t="s">
        <v>3985</v>
      </c>
      <c r="E309" s="312" t="s">
        <v>3990</v>
      </c>
      <c r="F309" s="312">
        <v>5.0000000000000001E-3</v>
      </c>
      <c r="G309" s="312" t="s">
        <v>2840</v>
      </c>
      <c r="H309" s="329">
        <v>0</v>
      </c>
      <c r="I309" s="329">
        <v>0.17</v>
      </c>
      <c r="J309" s="329">
        <v>0.97</v>
      </c>
      <c r="K309" s="329">
        <v>1.1399999999999999</v>
      </c>
      <c r="L309" s="329">
        <v>1.35</v>
      </c>
      <c r="N309" s="312" t="s">
        <v>3448</v>
      </c>
      <c r="O309" s="312">
        <v>2011</v>
      </c>
      <c r="Q309" s="326" t="s">
        <v>3991</v>
      </c>
      <c r="R309" s="326">
        <v>2</v>
      </c>
      <c r="S309" s="330">
        <v>1.2744000000000002</v>
      </c>
      <c r="T309" s="315">
        <v>1.2933000000000001</v>
      </c>
      <c r="U309" s="330">
        <v>1.32975</v>
      </c>
      <c r="V309" s="330">
        <v>1.3986000000000001</v>
      </c>
      <c r="W309" s="330">
        <v>1.4296500000000003</v>
      </c>
      <c r="X309" s="330">
        <v>1.49715</v>
      </c>
      <c r="Y309" s="331">
        <v>1.4134500000000001</v>
      </c>
    </row>
    <row r="310" spans="1:25" ht="20.399999999999999" x14ac:dyDescent="0.2">
      <c r="A310" s="359">
        <v>2</v>
      </c>
      <c r="B310" s="312" t="s">
        <v>3977</v>
      </c>
      <c r="C310" s="325" t="s">
        <v>2820</v>
      </c>
      <c r="D310" s="312" t="s">
        <v>1813</v>
      </c>
      <c r="E310" s="312" t="s">
        <v>3978</v>
      </c>
      <c r="F310" s="312">
        <v>3.0000000000000001E-3</v>
      </c>
      <c r="G310" s="312" t="s">
        <v>2840</v>
      </c>
      <c r="H310" s="329">
        <v>0</v>
      </c>
      <c r="I310" s="329">
        <v>0.12</v>
      </c>
      <c r="J310" s="329">
        <v>0.46</v>
      </c>
      <c r="K310" s="329">
        <v>0.57999999999999996</v>
      </c>
      <c r="L310" s="329">
        <v>0.7</v>
      </c>
      <c r="N310" s="312" t="s">
        <v>3448</v>
      </c>
      <c r="O310" s="312">
        <v>2011</v>
      </c>
      <c r="Q310" s="326" t="s">
        <v>3979</v>
      </c>
      <c r="R310" s="326">
        <v>2</v>
      </c>
      <c r="S310" s="330">
        <v>0.66080000000000005</v>
      </c>
      <c r="T310" s="315">
        <v>0.67059999999999997</v>
      </c>
      <c r="U310" s="330">
        <v>0.6895</v>
      </c>
      <c r="V310" s="330">
        <v>0.72519999999999996</v>
      </c>
      <c r="W310" s="330">
        <v>0.74130000000000007</v>
      </c>
      <c r="X310" s="330">
        <v>0.77629999999999999</v>
      </c>
      <c r="Y310" s="331">
        <v>0.73289999999999988</v>
      </c>
    </row>
    <row r="311" spans="1:25" ht="20.399999999999999" x14ac:dyDescent="0.2">
      <c r="A311" s="359">
        <v>2</v>
      </c>
      <c r="B311" s="312" t="s">
        <v>3983</v>
      </c>
      <c r="C311" s="325" t="s">
        <v>3984</v>
      </c>
      <c r="D311" s="312" t="s">
        <v>3985</v>
      </c>
      <c r="E311" s="312" t="s">
        <v>3986</v>
      </c>
      <c r="F311" s="312">
        <v>3.0000000000000001E-3</v>
      </c>
      <c r="G311" s="312" t="s">
        <v>2840</v>
      </c>
      <c r="H311" s="329">
        <v>0</v>
      </c>
      <c r="I311" s="329">
        <v>0.09</v>
      </c>
      <c r="J311" s="329">
        <v>0.54</v>
      </c>
      <c r="K311" s="329">
        <v>0.63</v>
      </c>
      <c r="L311" s="329">
        <v>0.74</v>
      </c>
      <c r="N311" s="312" t="s">
        <v>3448</v>
      </c>
      <c r="O311" s="312">
        <v>2011</v>
      </c>
      <c r="Q311" s="326" t="s">
        <v>3987</v>
      </c>
      <c r="R311" s="326">
        <v>2</v>
      </c>
      <c r="S311" s="330">
        <v>0.69856000000000007</v>
      </c>
      <c r="T311" s="315">
        <v>0.70891999999999999</v>
      </c>
      <c r="U311" s="330">
        <v>0.72889999999999999</v>
      </c>
      <c r="V311" s="330">
        <v>0.76663999999999999</v>
      </c>
      <c r="W311" s="330">
        <v>0.78366000000000013</v>
      </c>
      <c r="X311" s="330">
        <v>0.82065999999999995</v>
      </c>
      <c r="Y311" s="331">
        <v>0.77477999999999991</v>
      </c>
    </row>
    <row r="312" spans="1:25" ht="20.399999999999999" x14ac:dyDescent="0.2">
      <c r="A312" s="359">
        <v>1</v>
      </c>
      <c r="B312" s="312" t="s">
        <v>4321</v>
      </c>
      <c r="C312" s="325" t="s">
        <v>4322</v>
      </c>
      <c r="D312" s="312" t="s">
        <v>4096</v>
      </c>
      <c r="E312" s="312">
        <v>145</v>
      </c>
      <c r="F312" s="312">
        <v>0.11</v>
      </c>
      <c r="G312" s="312" t="s">
        <v>2840</v>
      </c>
      <c r="H312" s="329">
        <v>0</v>
      </c>
      <c r="I312" s="329">
        <v>3.43</v>
      </c>
      <c r="J312" s="329">
        <v>4.42</v>
      </c>
      <c r="K312" s="329">
        <v>7.85</v>
      </c>
      <c r="L312" s="329">
        <v>10.5</v>
      </c>
      <c r="N312" s="312" t="s">
        <v>3448</v>
      </c>
      <c r="O312" s="312">
        <v>2011</v>
      </c>
      <c r="Q312" s="326" t="s">
        <v>4323</v>
      </c>
      <c r="R312" s="326">
        <v>2</v>
      </c>
      <c r="S312" s="330">
        <v>9.9120000000000008</v>
      </c>
      <c r="T312" s="315">
        <v>10.058999999999999</v>
      </c>
      <c r="U312" s="330">
        <v>10.342499999999999</v>
      </c>
      <c r="V312" s="330">
        <v>10.878</v>
      </c>
      <c r="W312" s="330">
        <v>11.119500000000002</v>
      </c>
      <c r="X312" s="330">
        <v>11.644500000000001</v>
      </c>
      <c r="Y312" s="331">
        <v>10.993499999999999</v>
      </c>
    </row>
    <row r="313" spans="1:25" ht="20.399999999999999" x14ac:dyDescent="0.2">
      <c r="A313" s="359">
        <v>1</v>
      </c>
      <c r="B313" s="312" t="s">
        <v>4324</v>
      </c>
      <c r="C313" s="325" t="s">
        <v>4325</v>
      </c>
      <c r="D313" s="312" t="s">
        <v>4096</v>
      </c>
      <c r="E313" s="312">
        <v>335</v>
      </c>
      <c r="F313" s="312">
        <v>4.8000000000000001E-2</v>
      </c>
      <c r="G313" s="312" t="s">
        <v>2202</v>
      </c>
      <c r="H313" s="329">
        <v>0</v>
      </c>
      <c r="I313" s="329">
        <v>1.49</v>
      </c>
      <c r="J313" s="329">
        <v>1.91</v>
      </c>
      <c r="K313" s="329">
        <v>3.4</v>
      </c>
      <c r="L313" s="329">
        <v>4.55</v>
      </c>
      <c r="N313" s="312" t="s">
        <v>3448</v>
      </c>
      <c r="O313" s="312">
        <v>2011</v>
      </c>
      <c r="Q313" s="326" t="s">
        <v>4326</v>
      </c>
      <c r="R313" s="326">
        <v>2</v>
      </c>
      <c r="S313" s="330">
        <v>4.2952000000000004</v>
      </c>
      <c r="T313" s="315">
        <v>4.3588999999999993</v>
      </c>
      <c r="U313" s="330">
        <v>4.4817499999999999</v>
      </c>
      <c r="V313" s="330">
        <v>4.7138</v>
      </c>
      <c r="W313" s="330">
        <v>4.8184500000000003</v>
      </c>
      <c r="X313" s="330">
        <v>5.0459499999999995</v>
      </c>
      <c r="Y313" s="331">
        <v>4.7638499999999997</v>
      </c>
    </row>
    <row r="314" spans="1:25" ht="20.399999999999999" x14ac:dyDescent="0.2">
      <c r="A314" s="359">
        <v>1</v>
      </c>
      <c r="B314" s="312" t="s">
        <v>4319</v>
      </c>
      <c r="C314" s="325" t="s">
        <v>2825</v>
      </c>
      <c r="D314" s="312" t="s">
        <v>1843</v>
      </c>
      <c r="E314" s="312">
        <v>150</v>
      </c>
      <c r="F314" s="312">
        <v>0.16</v>
      </c>
      <c r="G314" s="312" t="s">
        <v>2840</v>
      </c>
      <c r="H314" s="329">
        <v>20</v>
      </c>
      <c r="I314" s="329">
        <v>4.6100000000000003</v>
      </c>
      <c r="J314" s="329">
        <v>2.14</v>
      </c>
      <c r="K314" s="329">
        <v>26.75</v>
      </c>
      <c r="L314" s="329">
        <v>32</v>
      </c>
      <c r="N314" s="312" t="s">
        <v>3448</v>
      </c>
      <c r="O314" s="312">
        <v>2011</v>
      </c>
      <c r="Q314" s="326" t="s">
        <v>4320</v>
      </c>
      <c r="R314" s="326">
        <v>2</v>
      </c>
      <c r="S314" s="330">
        <v>30.208000000000002</v>
      </c>
      <c r="T314" s="315">
        <v>30.655999999999999</v>
      </c>
      <c r="U314" s="330">
        <v>31.52</v>
      </c>
      <c r="V314" s="330">
        <v>33.152000000000001</v>
      </c>
      <c r="W314" s="330">
        <v>33.888000000000005</v>
      </c>
      <c r="X314" s="330">
        <v>35.488</v>
      </c>
      <c r="Y314" s="331">
        <v>33.503999999999998</v>
      </c>
    </row>
    <row r="315" spans="1:25" ht="20.399999999999999" x14ac:dyDescent="0.2">
      <c r="A315" s="359">
        <v>1</v>
      </c>
      <c r="B315" s="312" t="s">
        <v>4311</v>
      </c>
      <c r="C315" s="325" t="s">
        <v>4312</v>
      </c>
      <c r="D315" s="312" t="s">
        <v>38</v>
      </c>
      <c r="E315" s="312">
        <v>8</v>
      </c>
      <c r="F315" s="312">
        <v>3.5</v>
      </c>
      <c r="G315" s="312" t="s">
        <v>2265</v>
      </c>
      <c r="H315" s="329">
        <v>870</v>
      </c>
      <c r="I315" s="329">
        <v>99.5</v>
      </c>
      <c r="J315" s="329">
        <v>16.100000000000001</v>
      </c>
      <c r="K315" s="329">
        <v>985.6</v>
      </c>
      <c r="L315" s="329">
        <v>1150</v>
      </c>
      <c r="N315" s="312" t="s">
        <v>3448</v>
      </c>
      <c r="O315" s="312">
        <v>2011</v>
      </c>
      <c r="Q315" s="326" t="s">
        <v>4313</v>
      </c>
      <c r="R315" s="326">
        <v>2</v>
      </c>
      <c r="S315" s="330">
        <v>1085.6000000000001</v>
      </c>
      <c r="T315" s="315">
        <v>1101.7</v>
      </c>
      <c r="U315" s="330">
        <v>1132.75</v>
      </c>
      <c r="V315" s="330">
        <v>1191.4000000000001</v>
      </c>
      <c r="W315" s="330">
        <v>1217.8500000000001</v>
      </c>
      <c r="X315" s="330">
        <v>1275.3499999999999</v>
      </c>
      <c r="Y315" s="331">
        <v>1204.05</v>
      </c>
    </row>
    <row r="316" spans="1:25" ht="20.399999999999999" x14ac:dyDescent="0.2">
      <c r="A316" s="359">
        <v>1</v>
      </c>
      <c r="B316" s="312" t="s">
        <v>4314</v>
      </c>
      <c r="C316" s="325" t="s">
        <v>4315</v>
      </c>
      <c r="D316" s="312" t="s">
        <v>38</v>
      </c>
      <c r="E316" s="312">
        <v>7</v>
      </c>
      <c r="F316" s="312">
        <v>4</v>
      </c>
      <c r="G316" s="312" t="s">
        <v>2265</v>
      </c>
      <c r="H316" s="329">
        <v>1475</v>
      </c>
      <c r="I316" s="329">
        <v>113</v>
      </c>
      <c r="J316" s="329">
        <v>18.399999999999999</v>
      </c>
      <c r="K316" s="329">
        <v>1606.4</v>
      </c>
      <c r="L316" s="329">
        <v>1825</v>
      </c>
      <c r="N316" s="312" t="s">
        <v>3448</v>
      </c>
      <c r="O316" s="312">
        <v>2011</v>
      </c>
      <c r="Q316" s="326" t="s">
        <v>4316</v>
      </c>
      <c r="R316" s="326">
        <v>2</v>
      </c>
      <c r="S316" s="330">
        <v>1722.8000000000002</v>
      </c>
      <c r="T316" s="315">
        <v>1748.35</v>
      </c>
      <c r="U316" s="330">
        <v>1797.625</v>
      </c>
      <c r="V316" s="330">
        <v>1890.7</v>
      </c>
      <c r="W316" s="330">
        <v>1932.6750000000004</v>
      </c>
      <c r="X316" s="330">
        <v>2023.925</v>
      </c>
      <c r="Y316" s="331">
        <v>1910.7749999999999</v>
      </c>
    </row>
    <row r="317" spans="1:25" ht="20.399999999999999" x14ac:dyDescent="0.2">
      <c r="A317" s="359">
        <v>1</v>
      </c>
      <c r="B317" s="312" t="s">
        <v>4317</v>
      </c>
      <c r="C317" s="325" t="s">
        <v>2827</v>
      </c>
      <c r="D317" s="312" t="s">
        <v>38</v>
      </c>
      <c r="E317" s="312">
        <v>5</v>
      </c>
      <c r="F317" s="312">
        <v>5.6</v>
      </c>
      <c r="G317" s="312" t="s">
        <v>2265</v>
      </c>
      <c r="H317" s="329">
        <v>1825</v>
      </c>
      <c r="I317" s="329">
        <v>159</v>
      </c>
      <c r="J317" s="329">
        <v>26</v>
      </c>
      <c r="K317" s="329">
        <v>2010</v>
      </c>
      <c r="L317" s="329">
        <v>2300</v>
      </c>
      <c r="N317" s="312" t="s">
        <v>3448</v>
      </c>
      <c r="O317" s="312">
        <v>2011</v>
      </c>
      <c r="Q317" s="326" t="s">
        <v>4318</v>
      </c>
      <c r="R317" s="326">
        <v>2</v>
      </c>
      <c r="S317" s="330">
        <v>2171.2000000000003</v>
      </c>
      <c r="T317" s="315">
        <v>2203.4</v>
      </c>
      <c r="U317" s="330">
        <v>2265.5</v>
      </c>
      <c r="V317" s="330">
        <v>2382.8000000000002</v>
      </c>
      <c r="W317" s="330">
        <v>2435.7000000000003</v>
      </c>
      <c r="X317" s="330">
        <v>2550.6999999999998</v>
      </c>
      <c r="Y317" s="331">
        <v>2408.1</v>
      </c>
    </row>
    <row r="318" spans="1:25" x14ac:dyDescent="0.2">
      <c r="A318" s="359">
        <v>1</v>
      </c>
      <c r="B318" s="312" t="s">
        <v>3703</v>
      </c>
      <c r="C318" s="325" t="s">
        <v>3704</v>
      </c>
      <c r="D318" s="312" t="s">
        <v>1807</v>
      </c>
      <c r="E318" s="312">
        <v>110</v>
      </c>
      <c r="F318" s="312">
        <v>7.2999999999999995E-2</v>
      </c>
      <c r="G318" s="312" t="s">
        <v>2202</v>
      </c>
      <c r="H318" s="329">
        <v>1.08</v>
      </c>
      <c r="I318" s="329">
        <v>2.44</v>
      </c>
      <c r="J318" s="329">
        <v>0</v>
      </c>
      <c r="K318" s="329">
        <v>3.52</v>
      </c>
      <c r="L318" s="329">
        <v>5.25</v>
      </c>
      <c r="N318" s="312" t="s">
        <v>3448</v>
      </c>
      <c r="O318" s="312">
        <v>2011</v>
      </c>
      <c r="Q318" s="326" t="s">
        <v>3705</v>
      </c>
      <c r="R318" s="326">
        <v>2</v>
      </c>
      <c r="S318" s="330">
        <v>4.9560000000000004</v>
      </c>
      <c r="T318" s="315">
        <v>5.0294999999999996</v>
      </c>
      <c r="U318" s="330">
        <v>5.1712499999999997</v>
      </c>
      <c r="V318" s="330">
        <v>5.4390000000000001</v>
      </c>
      <c r="W318" s="330">
        <v>5.5597500000000011</v>
      </c>
      <c r="X318" s="330">
        <v>5.8222500000000004</v>
      </c>
      <c r="Y318" s="331">
        <v>5.4967499999999996</v>
      </c>
    </row>
    <row r="319" spans="1:25" ht="20.399999999999999" x14ac:dyDescent="0.2">
      <c r="A319" s="359">
        <v>1</v>
      </c>
      <c r="B319" s="312" t="s">
        <v>4293</v>
      </c>
      <c r="C319" s="325" t="s">
        <v>4294</v>
      </c>
      <c r="D319" s="312" t="s">
        <v>4295</v>
      </c>
      <c r="E319" s="312">
        <v>686</v>
      </c>
      <c r="F319" s="312">
        <v>1.4999999999999999E-2</v>
      </c>
      <c r="G319" s="312" t="s">
        <v>2202</v>
      </c>
      <c r="H319" s="329">
        <v>0.49</v>
      </c>
      <c r="I319" s="329">
        <v>0.57999999999999996</v>
      </c>
      <c r="J319" s="329">
        <v>0</v>
      </c>
      <c r="K319" s="329">
        <v>1.07</v>
      </c>
      <c r="L319" s="329">
        <v>1.49</v>
      </c>
      <c r="N319" s="312" t="s">
        <v>3448</v>
      </c>
      <c r="O319" s="312">
        <v>2011</v>
      </c>
      <c r="Q319" s="326" t="s">
        <v>4296</v>
      </c>
      <c r="R319" s="326">
        <v>2</v>
      </c>
      <c r="S319" s="330">
        <v>1.40656</v>
      </c>
      <c r="T319" s="315">
        <v>1.4274199999999999</v>
      </c>
      <c r="U319" s="330">
        <v>1.4676499999999999</v>
      </c>
      <c r="V319" s="330">
        <v>1.5436400000000001</v>
      </c>
      <c r="W319" s="330">
        <v>1.5779100000000001</v>
      </c>
      <c r="X319" s="330">
        <v>1.6524099999999999</v>
      </c>
      <c r="Y319" s="331">
        <v>1.5600299999999998</v>
      </c>
    </row>
    <row r="320" spans="1:25" x14ac:dyDescent="0.2">
      <c r="A320" s="359">
        <v>1</v>
      </c>
      <c r="B320" s="312" t="s">
        <v>3512</v>
      </c>
      <c r="C320" s="325" t="s">
        <v>3513</v>
      </c>
      <c r="D320" s="312" t="s">
        <v>1807</v>
      </c>
      <c r="E320" s="312">
        <v>155</v>
      </c>
      <c r="F320" s="312">
        <v>5.1999999999999998E-2</v>
      </c>
      <c r="G320" s="312" t="s">
        <v>2202</v>
      </c>
      <c r="H320" s="329">
        <v>0.95</v>
      </c>
      <c r="I320" s="329">
        <v>1.73</v>
      </c>
      <c r="J320" s="329">
        <v>0</v>
      </c>
      <c r="K320" s="329">
        <v>2.68</v>
      </c>
      <c r="L320" s="329">
        <v>3.95</v>
      </c>
      <c r="N320" s="312" t="s">
        <v>3448</v>
      </c>
      <c r="O320" s="312">
        <v>2011</v>
      </c>
      <c r="Q320" s="326" t="s">
        <v>3514</v>
      </c>
      <c r="R320" s="326">
        <v>2</v>
      </c>
      <c r="S320" s="330">
        <v>3.7288000000000006</v>
      </c>
      <c r="T320" s="315">
        <v>3.7841</v>
      </c>
      <c r="U320" s="330">
        <v>3.8907500000000002</v>
      </c>
      <c r="V320" s="330">
        <v>4.0922000000000001</v>
      </c>
      <c r="W320" s="330">
        <v>4.1830500000000006</v>
      </c>
      <c r="X320" s="330">
        <v>4.3805500000000004</v>
      </c>
      <c r="Y320" s="331">
        <v>4.13565</v>
      </c>
    </row>
    <row r="321" spans="1:25" x14ac:dyDescent="0.2">
      <c r="A321" s="359">
        <v>1</v>
      </c>
      <c r="B321" s="312" t="s">
        <v>3515</v>
      </c>
      <c r="C321" s="325" t="s">
        <v>1222</v>
      </c>
      <c r="D321" s="312" t="s">
        <v>1807</v>
      </c>
      <c r="E321" s="312">
        <v>145</v>
      </c>
      <c r="F321" s="312">
        <v>5.5E-2</v>
      </c>
      <c r="G321" s="312" t="s">
        <v>2202</v>
      </c>
      <c r="H321" s="329">
        <v>1.79</v>
      </c>
      <c r="I321" s="329">
        <v>1.85</v>
      </c>
      <c r="J321" s="329">
        <v>0</v>
      </c>
      <c r="K321" s="329">
        <v>3.64</v>
      </c>
      <c r="L321" s="329">
        <v>5.05</v>
      </c>
      <c r="N321" s="312" t="s">
        <v>3448</v>
      </c>
      <c r="O321" s="312">
        <v>2011</v>
      </c>
      <c r="Q321" s="326" t="s">
        <v>3516</v>
      </c>
      <c r="R321" s="326">
        <v>2</v>
      </c>
      <c r="S321" s="330">
        <v>4.7671999999999999</v>
      </c>
      <c r="T321" s="315">
        <v>4.8378999999999994</v>
      </c>
      <c r="U321" s="330">
        <v>4.9742499999999996</v>
      </c>
      <c r="V321" s="330">
        <v>5.2317999999999998</v>
      </c>
      <c r="W321" s="330">
        <v>5.3479500000000009</v>
      </c>
      <c r="X321" s="330">
        <v>5.6004499999999995</v>
      </c>
      <c r="Y321" s="331">
        <v>5.2873499999999991</v>
      </c>
    </row>
    <row r="322" spans="1:25" x14ac:dyDescent="0.2">
      <c r="A322" s="359">
        <v>1</v>
      </c>
      <c r="B322" s="312" t="s">
        <v>3517</v>
      </c>
      <c r="C322" s="325" t="s">
        <v>3518</v>
      </c>
      <c r="D322" s="312" t="s">
        <v>1807</v>
      </c>
      <c r="E322" s="312">
        <v>135</v>
      </c>
      <c r="F322" s="312">
        <v>5.8999999999999997E-2</v>
      </c>
      <c r="G322" s="312" t="s">
        <v>2202</v>
      </c>
      <c r="H322" s="329">
        <v>1.61</v>
      </c>
      <c r="I322" s="329">
        <v>1.99</v>
      </c>
      <c r="J322" s="329">
        <v>0</v>
      </c>
      <c r="K322" s="329">
        <v>3.6</v>
      </c>
      <c r="L322" s="329">
        <v>5.0999999999999996</v>
      </c>
      <c r="N322" s="312" t="s">
        <v>3448</v>
      </c>
      <c r="O322" s="312">
        <v>2011</v>
      </c>
      <c r="Q322" s="326" t="s">
        <v>3519</v>
      </c>
      <c r="R322" s="326">
        <v>2</v>
      </c>
      <c r="S322" s="330">
        <v>4.8144</v>
      </c>
      <c r="T322" s="315">
        <v>4.8857999999999997</v>
      </c>
      <c r="U322" s="330">
        <v>5.0234999999999994</v>
      </c>
      <c r="V322" s="330">
        <v>5.2835999999999999</v>
      </c>
      <c r="W322" s="330">
        <v>5.4009</v>
      </c>
      <c r="X322" s="330">
        <v>5.6558999999999999</v>
      </c>
      <c r="Y322" s="331">
        <v>5.3396999999999997</v>
      </c>
    </row>
    <row r="323" spans="1:25" x14ac:dyDescent="0.2">
      <c r="A323" s="359">
        <v>1</v>
      </c>
      <c r="B323" s="312" t="s">
        <v>3520</v>
      </c>
      <c r="C323" s="325" t="s">
        <v>3521</v>
      </c>
      <c r="D323" s="312" t="s">
        <v>1807</v>
      </c>
      <c r="E323" s="312">
        <v>130</v>
      </c>
      <c r="F323" s="312">
        <v>6.2E-2</v>
      </c>
      <c r="G323" s="312" t="s">
        <v>2202</v>
      </c>
      <c r="H323" s="329">
        <v>2.91</v>
      </c>
      <c r="I323" s="329">
        <v>2.06</v>
      </c>
      <c r="J323" s="329">
        <v>0</v>
      </c>
      <c r="K323" s="329">
        <v>4.97</v>
      </c>
      <c r="L323" s="329">
        <v>6.65</v>
      </c>
      <c r="N323" s="312" t="s">
        <v>3448</v>
      </c>
      <c r="O323" s="312">
        <v>2011</v>
      </c>
      <c r="Q323" s="326" t="s">
        <v>3522</v>
      </c>
      <c r="R323" s="326">
        <v>2</v>
      </c>
      <c r="S323" s="330">
        <v>6.2776000000000005</v>
      </c>
      <c r="T323" s="315">
        <v>6.3707000000000003</v>
      </c>
      <c r="U323" s="330">
        <v>6.5502500000000001</v>
      </c>
      <c r="V323" s="330">
        <v>6.8894000000000002</v>
      </c>
      <c r="W323" s="330">
        <v>7.0423500000000017</v>
      </c>
      <c r="X323" s="330">
        <v>7.3748500000000003</v>
      </c>
      <c r="Y323" s="331">
        <v>6.9625500000000002</v>
      </c>
    </row>
    <row r="324" spans="1:25" x14ac:dyDescent="0.2">
      <c r="A324" s="359">
        <v>1</v>
      </c>
      <c r="B324" s="312" t="s">
        <v>3523</v>
      </c>
      <c r="C324" s="325" t="s">
        <v>3524</v>
      </c>
      <c r="D324" s="312" t="s">
        <v>1807</v>
      </c>
      <c r="E324" s="312">
        <v>145</v>
      </c>
      <c r="F324" s="312">
        <v>5.5E-2</v>
      </c>
      <c r="G324" s="312" t="s">
        <v>2202</v>
      </c>
      <c r="H324" s="329">
        <v>1.62</v>
      </c>
      <c r="I324" s="329">
        <v>1.85</v>
      </c>
      <c r="J324" s="329">
        <v>0</v>
      </c>
      <c r="K324" s="329">
        <v>3.47</v>
      </c>
      <c r="L324" s="329">
        <v>4.88</v>
      </c>
      <c r="N324" s="312" t="s">
        <v>3448</v>
      </c>
      <c r="O324" s="312">
        <v>2011</v>
      </c>
      <c r="Q324" s="326" t="s">
        <v>3525</v>
      </c>
      <c r="R324" s="326">
        <v>2</v>
      </c>
      <c r="S324" s="330">
        <v>4.6067200000000001</v>
      </c>
      <c r="T324" s="315">
        <v>4.6750400000000001</v>
      </c>
      <c r="U324" s="330">
        <v>4.8068</v>
      </c>
      <c r="V324" s="330">
        <v>5.0556799999999997</v>
      </c>
      <c r="W324" s="330">
        <v>5.1679200000000005</v>
      </c>
      <c r="X324" s="330">
        <v>5.4119199999999994</v>
      </c>
      <c r="Y324" s="331">
        <v>5.1093599999999997</v>
      </c>
    </row>
    <row r="325" spans="1:25" x14ac:dyDescent="0.2">
      <c r="A325" s="359">
        <v>1</v>
      </c>
      <c r="B325" s="312" t="s">
        <v>3634</v>
      </c>
      <c r="C325" s="325" t="s">
        <v>3635</v>
      </c>
      <c r="D325" s="312" t="s">
        <v>1807</v>
      </c>
      <c r="E325" s="312">
        <v>37</v>
      </c>
      <c r="F325" s="312">
        <v>0.216</v>
      </c>
      <c r="G325" s="312" t="s">
        <v>1053</v>
      </c>
      <c r="H325" s="329">
        <v>5.65</v>
      </c>
      <c r="I325" s="329">
        <v>7.25</v>
      </c>
      <c r="J325" s="329">
        <v>0</v>
      </c>
      <c r="K325" s="329">
        <v>12.9</v>
      </c>
      <c r="L325" s="329">
        <v>18.350000000000001</v>
      </c>
      <c r="N325" s="312" t="s">
        <v>3448</v>
      </c>
      <c r="O325" s="312">
        <v>2011</v>
      </c>
      <c r="Q325" s="326" t="s">
        <v>3636</v>
      </c>
      <c r="R325" s="326">
        <v>2</v>
      </c>
      <c r="S325" s="330">
        <v>17.322400000000002</v>
      </c>
      <c r="T325" s="315">
        <v>17.5793</v>
      </c>
      <c r="U325" s="330">
        <v>18.074750000000002</v>
      </c>
      <c r="V325" s="330">
        <v>19.010600000000004</v>
      </c>
      <c r="W325" s="330">
        <v>19.432650000000006</v>
      </c>
      <c r="X325" s="330">
        <v>20.350150000000003</v>
      </c>
      <c r="Y325" s="331">
        <v>19.21245</v>
      </c>
    </row>
    <row r="326" spans="1:25" ht="20.399999999999999" x14ac:dyDescent="0.2">
      <c r="A326" s="359">
        <v>2</v>
      </c>
      <c r="B326" s="312" t="s">
        <v>3617</v>
      </c>
      <c r="C326" s="325" t="s">
        <v>680</v>
      </c>
      <c r="D326" s="312" t="s">
        <v>2596</v>
      </c>
      <c r="E326" s="312">
        <v>8</v>
      </c>
      <c r="F326" s="312">
        <v>1</v>
      </c>
      <c r="G326" s="312" t="s">
        <v>1182</v>
      </c>
      <c r="H326" s="329">
        <v>4.22</v>
      </c>
      <c r="I326" s="329">
        <v>36.5</v>
      </c>
      <c r="J326" s="329">
        <v>13.65</v>
      </c>
      <c r="K326" s="329">
        <v>54.37</v>
      </c>
      <c r="L326" s="329">
        <v>89</v>
      </c>
      <c r="N326" s="312" t="s">
        <v>3448</v>
      </c>
      <c r="O326" s="312">
        <v>2011</v>
      </c>
      <c r="Q326" s="326" t="s">
        <v>3618</v>
      </c>
      <c r="R326" s="326">
        <v>2</v>
      </c>
      <c r="S326" s="330">
        <v>84.016000000000005</v>
      </c>
      <c r="T326" s="315">
        <v>85.262</v>
      </c>
      <c r="U326" s="330">
        <v>87.664999999999992</v>
      </c>
      <c r="V326" s="330">
        <v>92.204000000000008</v>
      </c>
      <c r="W326" s="330">
        <v>94.251000000000019</v>
      </c>
      <c r="X326" s="330">
        <v>98.700999999999993</v>
      </c>
      <c r="Y326" s="331">
        <v>93.182999999999993</v>
      </c>
    </row>
    <row r="327" spans="1:25" ht="20.399999999999999" x14ac:dyDescent="0.2">
      <c r="A327" s="359">
        <v>1</v>
      </c>
      <c r="B327" s="312" t="s">
        <v>4307</v>
      </c>
      <c r="C327" s="325" t="s">
        <v>684</v>
      </c>
      <c r="D327" s="312" t="s">
        <v>63</v>
      </c>
      <c r="E327" s="312">
        <v>2</v>
      </c>
      <c r="F327" s="312">
        <v>4</v>
      </c>
      <c r="G327" s="312" t="s">
        <v>2265</v>
      </c>
      <c r="H327" s="329">
        <v>1200</v>
      </c>
      <c r="I327" s="329">
        <v>159</v>
      </c>
      <c r="J327" s="329">
        <v>0</v>
      </c>
      <c r="K327" s="329">
        <v>1359</v>
      </c>
      <c r="L327" s="329">
        <v>1575</v>
      </c>
      <c r="N327" s="312" t="s">
        <v>3448</v>
      </c>
      <c r="O327" s="312">
        <v>2011</v>
      </c>
      <c r="Q327" s="326" t="s">
        <v>4308</v>
      </c>
      <c r="R327" s="326">
        <v>2</v>
      </c>
      <c r="S327" s="330">
        <v>1486.8000000000002</v>
      </c>
      <c r="T327" s="315">
        <v>1508.85</v>
      </c>
      <c r="U327" s="330">
        <v>1551.375</v>
      </c>
      <c r="V327" s="330">
        <v>1631.7</v>
      </c>
      <c r="W327" s="330">
        <v>1667.9250000000002</v>
      </c>
      <c r="X327" s="330">
        <v>1746.675</v>
      </c>
      <c r="Y327" s="331">
        <v>1649.0249999999999</v>
      </c>
    </row>
    <row r="328" spans="1:25" ht="20.399999999999999" x14ac:dyDescent="0.2">
      <c r="A328" s="359">
        <v>1</v>
      </c>
      <c r="B328" s="312" t="s">
        <v>4230</v>
      </c>
      <c r="C328" s="325" t="s">
        <v>686</v>
      </c>
      <c r="G328" s="312" t="s">
        <v>603</v>
      </c>
      <c r="H328" s="329">
        <v>117</v>
      </c>
      <c r="I328" s="329">
        <v>0</v>
      </c>
      <c r="J328" s="329">
        <v>0</v>
      </c>
      <c r="K328" s="329">
        <v>117</v>
      </c>
      <c r="L328" s="329">
        <v>128</v>
      </c>
      <c r="N328" s="312" t="s">
        <v>3448</v>
      </c>
      <c r="O328" s="312">
        <v>2011</v>
      </c>
      <c r="Q328" s="326" t="s">
        <v>4231</v>
      </c>
      <c r="R328" s="326">
        <v>2</v>
      </c>
      <c r="S328" s="330">
        <v>120.83200000000001</v>
      </c>
      <c r="T328" s="315">
        <v>122.624</v>
      </c>
      <c r="U328" s="330">
        <v>126.08</v>
      </c>
      <c r="V328" s="330">
        <v>132.608</v>
      </c>
      <c r="W328" s="330">
        <v>135.55200000000002</v>
      </c>
      <c r="X328" s="330">
        <v>141.952</v>
      </c>
      <c r="Y328" s="331">
        <v>134.01599999999999</v>
      </c>
    </row>
    <row r="329" spans="1:25" ht="20.399999999999999" x14ac:dyDescent="0.2">
      <c r="A329" s="359">
        <v>1</v>
      </c>
      <c r="B329" s="312" t="s">
        <v>4232</v>
      </c>
      <c r="C329" s="325" t="s">
        <v>687</v>
      </c>
      <c r="G329" s="312" t="s">
        <v>603</v>
      </c>
      <c r="H329" s="329">
        <v>133</v>
      </c>
      <c r="I329" s="329">
        <v>0</v>
      </c>
      <c r="J329" s="329">
        <v>0</v>
      </c>
      <c r="K329" s="329">
        <v>133</v>
      </c>
      <c r="L329" s="329">
        <v>147</v>
      </c>
      <c r="N329" s="312" t="s">
        <v>3448</v>
      </c>
      <c r="O329" s="312">
        <v>2011</v>
      </c>
      <c r="Q329" s="326" t="s">
        <v>4233</v>
      </c>
      <c r="R329" s="326">
        <v>2</v>
      </c>
      <c r="S329" s="330">
        <v>138.768</v>
      </c>
      <c r="T329" s="315">
        <v>140.82599999999999</v>
      </c>
      <c r="U329" s="330">
        <v>144.79499999999999</v>
      </c>
      <c r="V329" s="330">
        <v>152.292</v>
      </c>
      <c r="W329" s="330">
        <v>155.67300000000003</v>
      </c>
      <c r="X329" s="330">
        <v>163.023</v>
      </c>
      <c r="Y329" s="331">
        <v>153.90899999999999</v>
      </c>
    </row>
    <row r="330" spans="1:25" x14ac:dyDescent="0.2">
      <c r="B330" s="318"/>
      <c r="C330" s="319"/>
      <c r="D330" s="318"/>
      <c r="E330" s="318"/>
      <c r="F330" s="318"/>
      <c r="G330" s="318"/>
      <c r="H330" s="332"/>
      <c r="I330" s="332"/>
      <c r="J330" s="332"/>
      <c r="K330" s="332"/>
      <c r="L330" s="332"/>
      <c r="M330" s="318"/>
      <c r="N330" s="318"/>
      <c r="O330" s="318"/>
      <c r="P330" s="318"/>
      <c r="Q330" s="320"/>
      <c r="R330" s="320"/>
      <c r="S330" s="333"/>
      <c r="T330" s="333"/>
      <c r="U330" s="320"/>
      <c r="V330" s="334"/>
      <c r="W330" s="334"/>
      <c r="X330" s="334"/>
      <c r="Y330" s="334"/>
    </row>
    <row r="331" spans="1:25" x14ac:dyDescent="0.2">
      <c r="H331" s="313"/>
      <c r="I331" s="313"/>
      <c r="J331" s="313"/>
      <c r="K331" s="313"/>
      <c r="L331" s="313"/>
      <c r="V331" s="336"/>
      <c r="W331" s="336"/>
      <c r="X331" s="336"/>
      <c r="Y331" s="336"/>
    </row>
    <row r="332" spans="1:25" x14ac:dyDescent="0.2">
      <c r="H332" s="313"/>
      <c r="I332" s="313"/>
      <c r="J332" s="313"/>
      <c r="K332" s="313"/>
      <c r="L332" s="313"/>
      <c r="V332" s="336"/>
      <c r="W332" s="336"/>
      <c r="X332" s="336"/>
      <c r="Y332" s="336"/>
    </row>
  </sheetData>
  <sortState ref="A3:Y329">
    <sortCondition ref="C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32"/>
  <sheetViews>
    <sheetView workbookViewId="0">
      <pane ySplit="2" topLeftCell="A311" activePane="bottomLeft" state="frozen"/>
      <selection pane="bottomLeft" activeCell="G328" sqref="G328"/>
    </sheetView>
  </sheetViews>
  <sheetFormatPr defaultColWidth="9.109375" defaultRowHeight="10.199999999999999" x14ac:dyDescent="0.2"/>
  <cols>
    <col min="1" max="1" width="10.88671875" style="317" customWidth="1"/>
    <col min="2" max="2" width="15.6640625" style="312" customWidth="1"/>
    <col min="3" max="3" width="55.6640625" style="325" bestFit="1" customWidth="1"/>
    <col min="4" max="4" width="12.88671875" style="312" bestFit="1" customWidth="1"/>
    <col min="5" max="5" width="8.6640625" style="312" customWidth="1"/>
    <col min="6" max="6" width="15.6640625" style="312" customWidth="1"/>
    <col min="7" max="7" width="11.33203125" style="335" customWidth="1"/>
    <col min="8" max="8" width="10.6640625" style="335" customWidth="1"/>
    <col min="9" max="9" width="12.5546875" style="312" customWidth="1"/>
    <col min="10" max="10" width="12.109375" style="337" customWidth="1"/>
    <col min="11" max="12" width="13.44140625" style="337" customWidth="1"/>
    <col min="13" max="13" width="14.88671875" style="337" customWidth="1"/>
    <col min="14" max="16384" width="9.109375" style="317"/>
  </cols>
  <sheetData>
    <row r="1" spans="1:13" x14ac:dyDescent="0.2">
      <c r="B1" s="338" t="s">
        <v>3425</v>
      </c>
      <c r="C1" s="338"/>
      <c r="F1" s="313"/>
      <c r="G1" s="314" t="s">
        <v>3426</v>
      </c>
      <c r="H1" s="315"/>
      <c r="J1" s="312"/>
      <c r="K1" s="312"/>
      <c r="L1" s="312"/>
      <c r="M1" s="316"/>
    </row>
    <row r="2" spans="1:13" ht="51" x14ac:dyDescent="0.2">
      <c r="A2" s="339" t="s">
        <v>4662</v>
      </c>
      <c r="B2" s="318" t="s">
        <v>3427</v>
      </c>
      <c r="C2" s="319" t="s">
        <v>2090</v>
      </c>
      <c r="D2" s="318" t="s">
        <v>3429</v>
      </c>
      <c r="E2" s="318" t="s">
        <v>2372</v>
      </c>
      <c r="F2" s="318" t="s">
        <v>3433</v>
      </c>
      <c r="G2" s="321" t="s">
        <v>3438</v>
      </c>
      <c r="H2" s="322" t="s">
        <v>3439</v>
      </c>
      <c r="I2" s="323">
        <v>482</v>
      </c>
      <c r="J2" s="321" t="s">
        <v>3440</v>
      </c>
      <c r="K2" s="321" t="s">
        <v>3441</v>
      </c>
      <c r="L2" s="321" t="s">
        <v>3442</v>
      </c>
      <c r="M2" s="324" t="s">
        <v>3443</v>
      </c>
    </row>
    <row r="3" spans="1:13" ht="20.399999999999999" x14ac:dyDescent="0.2">
      <c r="A3" s="359">
        <v>1</v>
      </c>
      <c r="B3" s="312" t="s">
        <v>3928</v>
      </c>
      <c r="C3" s="325" t="s">
        <v>3929</v>
      </c>
      <c r="D3" s="312">
        <v>0.04</v>
      </c>
      <c r="E3" s="312" t="s">
        <v>2840</v>
      </c>
      <c r="F3" s="329">
        <v>4.58</v>
      </c>
      <c r="G3" s="330">
        <v>4.3235200000000003</v>
      </c>
      <c r="H3" s="315">
        <v>4.3876400000000002</v>
      </c>
      <c r="I3" s="330">
        <v>4.5113000000000003</v>
      </c>
      <c r="J3" s="330">
        <v>4.7448800000000002</v>
      </c>
      <c r="K3" s="330">
        <v>4.8502200000000011</v>
      </c>
      <c r="L3" s="330">
        <v>5.0792200000000003</v>
      </c>
      <c r="M3" s="331">
        <v>4.7952599999999999</v>
      </c>
    </row>
    <row r="4" spans="1:13" ht="20.399999999999999" x14ac:dyDescent="0.2">
      <c r="A4" s="359">
        <v>1</v>
      </c>
      <c r="B4" s="312" t="s">
        <v>3906</v>
      </c>
      <c r="C4" s="325" t="s">
        <v>1049</v>
      </c>
      <c r="D4" s="312">
        <v>4.7E-2</v>
      </c>
      <c r="E4" s="312" t="s">
        <v>2840</v>
      </c>
      <c r="F4" s="329">
        <v>30</v>
      </c>
      <c r="G4" s="330">
        <v>28.32</v>
      </c>
      <c r="H4" s="315">
        <v>28.74</v>
      </c>
      <c r="I4" s="330">
        <v>29.55</v>
      </c>
      <c r="J4" s="330">
        <v>31.080000000000002</v>
      </c>
      <c r="K4" s="330">
        <v>31.770000000000003</v>
      </c>
      <c r="L4" s="330">
        <v>33.269999999999996</v>
      </c>
      <c r="M4" s="331">
        <v>31.409999999999997</v>
      </c>
    </row>
    <row r="5" spans="1:13" ht="20.399999999999999" x14ac:dyDescent="0.2">
      <c r="A5" s="359">
        <v>1</v>
      </c>
      <c r="B5" s="312" t="s">
        <v>3914</v>
      </c>
      <c r="C5" s="325" t="s">
        <v>1050</v>
      </c>
      <c r="D5" s="312">
        <v>4.7E-2</v>
      </c>
      <c r="E5" s="312" t="s">
        <v>2840</v>
      </c>
      <c r="F5" s="329">
        <v>58</v>
      </c>
      <c r="G5" s="330">
        <v>54.752000000000002</v>
      </c>
      <c r="H5" s="315">
        <v>55.564</v>
      </c>
      <c r="I5" s="330">
        <v>57.13</v>
      </c>
      <c r="J5" s="330">
        <v>60.088000000000001</v>
      </c>
      <c r="K5" s="330">
        <v>61.422000000000011</v>
      </c>
      <c r="L5" s="330">
        <v>64.322000000000003</v>
      </c>
      <c r="M5" s="331">
        <v>60.725999999999999</v>
      </c>
    </row>
    <row r="6" spans="1:13" ht="20.399999999999999" x14ac:dyDescent="0.2">
      <c r="A6" s="359">
        <v>1</v>
      </c>
      <c r="B6" s="312" t="s">
        <v>3908</v>
      </c>
      <c r="C6" s="325" t="s">
        <v>3909</v>
      </c>
      <c r="D6" s="312">
        <v>4.7E-2</v>
      </c>
      <c r="E6" s="312" t="s">
        <v>2840</v>
      </c>
      <c r="F6" s="329">
        <v>48</v>
      </c>
      <c r="G6" s="330">
        <v>45.312000000000005</v>
      </c>
      <c r="H6" s="315">
        <v>45.983999999999995</v>
      </c>
      <c r="I6" s="330">
        <v>47.28</v>
      </c>
      <c r="J6" s="330">
        <v>49.728000000000002</v>
      </c>
      <c r="K6" s="330">
        <v>50.832000000000008</v>
      </c>
      <c r="L6" s="330">
        <v>53.231999999999999</v>
      </c>
      <c r="M6" s="331">
        <v>50.256</v>
      </c>
    </row>
    <row r="7" spans="1:13" ht="20.399999999999999" x14ac:dyDescent="0.2">
      <c r="A7" s="359">
        <v>1</v>
      </c>
      <c r="B7" s="312" t="s">
        <v>3911</v>
      </c>
      <c r="C7" s="325" t="s">
        <v>3912</v>
      </c>
      <c r="D7" s="312">
        <v>4.7E-2</v>
      </c>
      <c r="E7" s="312" t="s">
        <v>2840</v>
      </c>
      <c r="F7" s="329">
        <v>48</v>
      </c>
      <c r="G7" s="330">
        <v>45.312000000000005</v>
      </c>
      <c r="H7" s="315">
        <v>45.983999999999995</v>
      </c>
      <c r="I7" s="330">
        <v>47.28</v>
      </c>
      <c r="J7" s="330">
        <v>49.728000000000002</v>
      </c>
      <c r="K7" s="330">
        <v>50.832000000000008</v>
      </c>
      <c r="L7" s="330">
        <v>53.231999999999999</v>
      </c>
      <c r="M7" s="331">
        <v>50.256</v>
      </c>
    </row>
    <row r="8" spans="1:13" ht="20.399999999999999" x14ac:dyDescent="0.2">
      <c r="A8" s="359">
        <v>1</v>
      </c>
      <c r="B8" s="312" t="s">
        <v>3916</v>
      </c>
      <c r="C8" s="325" t="s">
        <v>3917</v>
      </c>
      <c r="D8" s="312">
        <v>4.7E-2</v>
      </c>
      <c r="E8" s="312" t="s">
        <v>2840</v>
      </c>
      <c r="F8" s="329">
        <v>41.5</v>
      </c>
      <c r="G8" s="330">
        <v>39.176000000000002</v>
      </c>
      <c r="H8" s="315">
        <v>39.756999999999998</v>
      </c>
      <c r="I8" s="330">
        <v>40.877499999999998</v>
      </c>
      <c r="J8" s="330">
        <v>42.994</v>
      </c>
      <c r="K8" s="330">
        <v>43.94850000000001</v>
      </c>
      <c r="L8" s="330">
        <v>46.023499999999999</v>
      </c>
      <c r="M8" s="331">
        <v>43.450499999999998</v>
      </c>
    </row>
    <row r="9" spans="1:13" ht="20.399999999999999" x14ac:dyDescent="0.2">
      <c r="A9" s="359">
        <v>1</v>
      </c>
      <c r="B9" s="312" t="s">
        <v>3922</v>
      </c>
      <c r="C9" s="325" t="s">
        <v>3923</v>
      </c>
      <c r="D9" s="312">
        <v>4.7E-2</v>
      </c>
      <c r="E9" s="312" t="s">
        <v>2840</v>
      </c>
      <c r="F9" s="329">
        <v>22.5</v>
      </c>
      <c r="G9" s="330">
        <v>21.240000000000002</v>
      </c>
      <c r="H9" s="315">
        <v>21.555</v>
      </c>
      <c r="I9" s="330">
        <v>22.162500000000001</v>
      </c>
      <c r="J9" s="330">
        <v>23.310000000000002</v>
      </c>
      <c r="K9" s="330">
        <v>23.827500000000004</v>
      </c>
      <c r="L9" s="330">
        <v>24.952500000000001</v>
      </c>
      <c r="M9" s="331">
        <v>23.557499999999997</v>
      </c>
    </row>
    <row r="10" spans="1:13" ht="20.399999999999999" x14ac:dyDescent="0.2">
      <c r="A10" s="359">
        <v>1</v>
      </c>
      <c r="B10" s="312" t="s">
        <v>3919</v>
      </c>
      <c r="C10" s="325" t="s">
        <v>3920</v>
      </c>
      <c r="D10" s="312">
        <v>4.7E-2</v>
      </c>
      <c r="E10" s="312" t="s">
        <v>2840</v>
      </c>
      <c r="F10" s="329">
        <v>51</v>
      </c>
      <c r="G10" s="330">
        <v>48.144000000000005</v>
      </c>
      <c r="H10" s="315">
        <v>48.857999999999997</v>
      </c>
      <c r="I10" s="330">
        <v>50.234999999999999</v>
      </c>
      <c r="J10" s="330">
        <v>52.835999999999999</v>
      </c>
      <c r="K10" s="330">
        <v>54.009000000000007</v>
      </c>
      <c r="L10" s="330">
        <v>56.558999999999997</v>
      </c>
      <c r="M10" s="331">
        <v>53.396999999999998</v>
      </c>
    </row>
    <row r="11" spans="1:13" ht="20.399999999999999" x14ac:dyDescent="0.2">
      <c r="A11" s="359">
        <v>1</v>
      </c>
      <c r="B11" s="312" t="s">
        <v>3925</v>
      </c>
      <c r="C11" s="325" t="s">
        <v>3926</v>
      </c>
      <c r="D11" s="312">
        <v>4.7E-2</v>
      </c>
      <c r="E11" s="312" t="s">
        <v>2840</v>
      </c>
      <c r="F11" s="329">
        <v>28</v>
      </c>
      <c r="G11" s="330">
        <v>26.432000000000002</v>
      </c>
      <c r="H11" s="315">
        <v>26.823999999999998</v>
      </c>
      <c r="I11" s="330">
        <v>27.58</v>
      </c>
      <c r="J11" s="330">
        <v>29.008000000000003</v>
      </c>
      <c r="K11" s="330">
        <v>29.652000000000005</v>
      </c>
      <c r="L11" s="330">
        <v>31.052</v>
      </c>
      <c r="M11" s="331">
        <v>29.315999999999999</v>
      </c>
    </row>
    <row r="12" spans="1:13" x14ac:dyDescent="0.2">
      <c r="A12" s="359">
        <v>1</v>
      </c>
      <c r="B12" s="312" t="s">
        <v>3493</v>
      </c>
      <c r="C12" s="325" t="s">
        <v>3494</v>
      </c>
      <c r="E12" s="312" t="s">
        <v>2377</v>
      </c>
      <c r="F12" s="329">
        <v>23.65</v>
      </c>
      <c r="G12" s="330">
        <v>22.325600000000001</v>
      </c>
      <c r="H12" s="315">
        <v>22.656699999999997</v>
      </c>
      <c r="I12" s="330">
        <v>23.295249999999999</v>
      </c>
      <c r="J12" s="330">
        <v>24.5014</v>
      </c>
      <c r="K12" s="330">
        <v>25.045350000000003</v>
      </c>
      <c r="L12" s="330">
        <v>26.227849999999997</v>
      </c>
      <c r="M12" s="331">
        <v>24.761549999999996</v>
      </c>
    </row>
    <row r="13" spans="1:13" x14ac:dyDescent="0.2">
      <c r="A13" s="359">
        <v>1</v>
      </c>
      <c r="B13" s="312" t="s">
        <v>3505</v>
      </c>
      <c r="C13" s="325" t="s">
        <v>3494</v>
      </c>
      <c r="E13" s="312" t="s">
        <v>2840</v>
      </c>
      <c r="F13" s="329">
        <v>33</v>
      </c>
      <c r="G13" s="330">
        <v>31.152000000000001</v>
      </c>
      <c r="H13" s="315">
        <v>31.613999999999997</v>
      </c>
      <c r="I13" s="330">
        <v>32.505000000000003</v>
      </c>
      <c r="J13" s="330">
        <v>34.188000000000002</v>
      </c>
      <c r="K13" s="330">
        <v>34.947000000000003</v>
      </c>
      <c r="L13" s="330">
        <v>36.597000000000001</v>
      </c>
      <c r="M13" s="331">
        <v>34.550999999999995</v>
      </c>
    </row>
    <row r="14" spans="1:13" x14ac:dyDescent="0.2">
      <c r="A14" s="359">
        <v>1</v>
      </c>
      <c r="B14" s="312" t="s">
        <v>3502</v>
      </c>
      <c r="C14" s="325" t="s">
        <v>3503</v>
      </c>
      <c r="E14" s="312" t="s">
        <v>2377</v>
      </c>
      <c r="F14" s="329">
        <v>26.4</v>
      </c>
      <c r="G14" s="330">
        <v>24.921600000000002</v>
      </c>
      <c r="H14" s="315">
        <v>25.291199999999996</v>
      </c>
      <c r="I14" s="330">
        <v>26.003999999999998</v>
      </c>
      <c r="J14" s="330">
        <v>27.3504</v>
      </c>
      <c r="K14" s="330">
        <v>27.957600000000003</v>
      </c>
      <c r="L14" s="330">
        <v>29.2776</v>
      </c>
      <c r="M14" s="331">
        <v>27.640799999999995</v>
      </c>
    </row>
    <row r="15" spans="1:13" x14ac:dyDescent="0.2">
      <c r="A15" s="359">
        <v>1</v>
      </c>
      <c r="B15" s="312" t="s">
        <v>3496</v>
      </c>
      <c r="C15" s="325" t="s">
        <v>3497</v>
      </c>
      <c r="E15" s="312" t="s">
        <v>2377</v>
      </c>
      <c r="F15" s="329">
        <v>18.260000000000002</v>
      </c>
      <c r="G15" s="330">
        <v>17.237440000000003</v>
      </c>
      <c r="H15" s="315">
        <v>17.493079999999999</v>
      </c>
      <c r="I15" s="330">
        <v>17.9861</v>
      </c>
      <c r="J15" s="330">
        <v>18.917360000000002</v>
      </c>
      <c r="K15" s="330">
        <v>19.337340000000005</v>
      </c>
      <c r="L15" s="330">
        <v>20.250340000000001</v>
      </c>
      <c r="M15" s="331">
        <v>19.118220000000001</v>
      </c>
    </row>
    <row r="16" spans="1:13" x14ac:dyDescent="0.2">
      <c r="A16" s="359">
        <v>1</v>
      </c>
      <c r="B16" s="312" t="s">
        <v>3499</v>
      </c>
      <c r="C16" s="325" t="s">
        <v>3500</v>
      </c>
      <c r="E16" s="312" t="s">
        <v>2377</v>
      </c>
      <c r="F16" s="329">
        <v>20.46</v>
      </c>
      <c r="G16" s="330">
        <v>19.314240000000002</v>
      </c>
      <c r="H16" s="315">
        <v>19.600680000000001</v>
      </c>
      <c r="I16" s="330">
        <v>20.153100000000002</v>
      </c>
      <c r="J16" s="330">
        <v>21.196560000000002</v>
      </c>
      <c r="K16" s="330">
        <v>21.667140000000003</v>
      </c>
      <c r="L16" s="330">
        <v>22.69014</v>
      </c>
      <c r="M16" s="331">
        <v>21.421620000000001</v>
      </c>
    </row>
    <row r="17" spans="1:13" x14ac:dyDescent="0.2">
      <c r="A17" s="359">
        <v>1</v>
      </c>
      <c r="B17" s="312" t="s">
        <v>3507</v>
      </c>
      <c r="C17" s="325" t="s">
        <v>3500</v>
      </c>
      <c r="E17" s="312" t="s">
        <v>2840</v>
      </c>
      <c r="F17" s="329">
        <v>39.049999999999997</v>
      </c>
      <c r="G17" s="330">
        <v>36.863199999999999</v>
      </c>
      <c r="H17" s="315">
        <v>37.409899999999993</v>
      </c>
      <c r="I17" s="330">
        <v>38.46425</v>
      </c>
      <c r="J17" s="330">
        <v>40.455799999999996</v>
      </c>
      <c r="K17" s="330">
        <v>41.353950000000005</v>
      </c>
      <c r="L17" s="330">
        <v>43.306449999999998</v>
      </c>
      <c r="M17" s="331">
        <v>40.885349999999995</v>
      </c>
    </row>
    <row r="18" spans="1:13" x14ac:dyDescent="0.2">
      <c r="A18" s="359">
        <v>1</v>
      </c>
      <c r="B18" s="312" t="s">
        <v>3642</v>
      </c>
      <c r="C18" s="325" t="s">
        <v>3643</v>
      </c>
      <c r="D18" s="312">
        <v>4.2000000000000003E-2</v>
      </c>
      <c r="E18" s="312" t="s">
        <v>2202</v>
      </c>
      <c r="F18" s="329">
        <v>3.79</v>
      </c>
      <c r="G18" s="330">
        <v>3.5777600000000001</v>
      </c>
      <c r="H18" s="315">
        <v>3.6308199999999999</v>
      </c>
      <c r="I18" s="330">
        <v>3.7331500000000002</v>
      </c>
      <c r="J18" s="330">
        <v>3.9264400000000004</v>
      </c>
      <c r="K18" s="330">
        <v>4.0136100000000008</v>
      </c>
      <c r="L18" s="330">
        <v>4.2031099999999997</v>
      </c>
      <c r="M18" s="331">
        <v>3.9681299999999999</v>
      </c>
    </row>
    <row r="19" spans="1:13" x14ac:dyDescent="0.2">
      <c r="A19" s="359">
        <v>1</v>
      </c>
      <c r="B19" s="312" t="s">
        <v>3645</v>
      </c>
      <c r="C19" s="325" t="s">
        <v>3646</v>
      </c>
      <c r="D19" s="312">
        <v>4.2000000000000003E-2</v>
      </c>
      <c r="E19" s="312" t="s">
        <v>2202</v>
      </c>
      <c r="F19" s="329">
        <v>4.42</v>
      </c>
      <c r="G19" s="330">
        <v>4.1724800000000002</v>
      </c>
      <c r="H19" s="315">
        <v>4.2343599999999997</v>
      </c>
      <c r="I19" s="330">
        <v>4.3536999999999999</v>
      </c>
      <c r="J19" s="330">
        <v>4.5791199999999996</v>
      </c>
      <c r="K19" s="330">
        <v>4.6807800000000004</v>
      </c>
      <c r="L19" s="330">
        <v>4.9017799999999996</v>
      </c>
      <c r="M19" s="331">
        <v>4.6277399999999993</v>
      </c>
    </row>
    <row r="20" spans="1:13" x14ac:dyDescent="0.2">
      <c r="A20" s="359">
        <v>1</v>
      </c>
      <c r="B20" s="312" t="s">
        <v>3648</v>
      </c>
      <c r="C20" s="325" t="s">
        <v>3649</v>
      </c>
      <c r="D20" s="312">
        <v>5.7000000000000002E-2</v>
      </c>
      <c r="E20" s="312" t="s">
        <v>2202</v>
      </c>
      <c r="F20" s="329">
        <v>6.35</v>
      </c>
      <c r="G20" s="330">
        <v>5.9943999999999997</v>
      </c>
      <c r="H20" s="315">
        <v>6.0832999999999995</v>
      </c>
      <c r="I20" s="330">
        <v>6.2547499999999996</v>
      </c>
      <c r="J20" s="330">
        <v>6.5785999999999998</v>
      </c>
      <c r="K20" s="330">
        <v>6.7246500000000005</v>
      </c>
      <c r="L20" s="330">
        <v>7.0421499999999995</v>
      </c>
      <c r="M20" s="331">
        <v>6.6484499999999995</v>
      </c>
    </row>
    <row r="21" spans="1:13" x14ac:dyDescent="0.2">
      <c r="A21" s="359">
        <v>1</v>
      </c>
      <c r="B21" s="312" t="s">
        <v>3694</v>
      </c>
      <c r="C21" s="325" t="s">
        <v>3695</v>
      </c>
      <c r="D21" s="312">
        <v>6.7000000000000004E-2</v>
      </c>
      <c r="E21" s="312" t="s">
        <v>2202</v>
      </c>
      <c r="F21" s="329">
        <v>6.95</v>
      </c>
      <c r="G21" s="330">
        <v>6.5608000000000004</v>
      </c>
      <c r="H21" s="315">
        <v>6.6581000000000001</v>
      </c>
      <c r="I21" s="330">
        <v>6.8457499999999998</v>
      </c>
      <c r="J21" s="330">
        <v>7.2002000000000006</v>
      </c>
      <c r="K21" s="330">
        <v>7.3600500000000011</v>
      </c>
      <c r="L21" s="330">
        <v>7.7075500000000003</v>
      </c>
      <c r="M21" s="331">
        <v>7.2766500000000001</v>
      </c>
    </row>
    <row r="22" spans="1:13" x14ac:dyDescent="0.2">
      <c r="A22" s="359">
        <v>1</v>
      </c>
      <c r="B22" s="312" t="s">
        <v>3700</v>
      </c>
      <c r="C22" s="325" t="s">
        <v>3701</v>
      </c>
      <c r="D22" s="312">
        <v>6.7000000000000004E-2</v>
      </c>
      <c r="E22" s="312" t="s">
        <v>2202</v>
      </c>
      <c r="F22" s="329">
        <v>7.85</v>
      </c>
      <c r="G22" s="330">
        <v>7.4104000000000001</v>
      </c>
      <c r="H22" s="315">
        <v>7.5202999999999998</v>
      </c>
      <c r="I22" s="330">
        <v>7.7322499999999996</v>
      </c>
      <c r="J22" s="330">
        <v>8.1326000000000001</v>
      </c>
      <c r="K22" s="330">
        <v>8.3131500000000003</v>
      </c>
      <c r="L22" s="330">
        <v>8.7056500000000003</v>
      </c>
      <c r="M22" s="331">
        <v>8.2189499999999995</v>
      </c>
    </row>
    <row r="23" spans="1:13" x14ac:dyDescent="0.2">
      <c r="A23" s="359">
        <v>1</v>
      </c>
      <c r="B23" s="312" t="s">
        <v>3691</v>
      </c>
      <c r="C23" s="325" t="s">
        <v>3692</v>
      </c>
      <c r="D23" s="312">
        <v>6.7000000000000004E-2</v>
      </c>
      <c r="E23" s="312" t="s">
        <v>2202</v>
      </c>
      <c r="F23" s="329">
        <v>7.05</v>
      </c>
      <c r="G23" s="330">
        <v>6.6552000000000007</v>
      </c>
      <c r="H23" s="315">
        <v>6.7538999999999998</v>
      </c>
      <c r="I23" s="330">
        <v>6.9442499999999994</v>
      </c>
      <c r="J23" s="330">
        <v>7.3037999999999998</v>
      </c>
      <c r="K23" s="330">
        <v>7.4659500000000012</v>
      </c>
      <c r="L23" s="330">
        <v>7.8184499999999995</v>
      </c>
      <c r="M23" s="331">
        <v>7.3813499999999994</v>
      </c>
    </row>
    <row r="24" spans="1:13" x14ac:dyDescent="0.2">
      <c r="A24" s="359">
        <v>1</v>
      </c>
      <c r="B24" s="312" t="s">
        <v>3697</v>
      </c>
      <c r="C24" s="325" t="s">
        <v>3698</v>
      </c>
      <c r="D24" s="312">
        <v>6.7000000000000004E-2</v>
      </c>
      <c r="E24" s="312" t="s">
        <v>2202</v>
      </c>
      <c r="F24" s="329">
        <v>7.2</v>
      </c>
      <c r="G24" s="330">
        <v>6.7968000000000002</v>
      </c>
      <c r="H24" s="315">
        <v>6.8975999999999997</v>
      </c>
      <c r="I24" s="330">
        <v>7.0919999999999996</v>
      </c>
      <c r="J24" s="330">
        <v>7.4592000000000001</v>
      </c>
      <c r="K24" s="330">
        <v>7.6248000000000014</v>
      </c>
      <c r="L24" s="330">
        <v>7.9847999999999999</v>
      </c>
      <c r="M24" s="331">
        <v>7.5383999999999993</v>
      </c>
    </row>
    <row r="25" spans="1:13" x14ac:dyDescent="0.2">
      <c r="A25" s="359">
        <v>1</v>
      </c>
      <c r="B25" s="312" t="s">
        <v>3637</v>
      </c>
      <c r="C25" s="325" t="s">
        <v>1052</v>
      </c>
      <c r="D25" s="312">
        <v>1.4550000000000001</v>
      </c>
      <c r="E25" s="312" t="s">
        <v>1053</v>
      </c>
      <c r="F25" s="329">
        <v>156</v>
      </c>
      <c r="G25" s="330">
        <v>147.26400000000001</v>
      </c>
      <c r="H25" s="315">
        <v>149.44800000000001</v>
      </c>
      <c r="I25" s="330">
        <v>153.66</v>
      </c>
      <c r="J25" s="330">
        <v>161.61600000000001</v>
      </c>
      <c r="K25" s="330">
        <v>165.20400000000004</v>
      </c>
      <c r="L25" s="330">
        <v>173.00399999999999</v>
      </c>
      <c r="M25" s="331">
        <v>163.33199999999999</v>
      </c>
    </row>
    <row r="26" spans="1:13" ht="20.399999999999999" x14ac:dyDescent="0.2">
      <c r="A26" s="359">
        <v>1</v>
      </c>
      <c r="B26" s="312" t="s">
        <v>3639</v>
      </c>
      <c r="C26" s="325" t="s">
        <v>3640</v>
      </c>
      <c r="D26" s="312">
        <v>1.143</v>
      </c>
      <c r="E26" s="312" t="s">
        <v>1053</v>
      </c>
      <c r="F26" s="329">
        <v>140</v>
      </c>
      <c r="G26" s="330">
        <v>132.16</v>
      </c>
      <c r="H26" s="315">
        <v>134.12</v>
      </c>
      <c r="I26" s="330">
        <v>137.9</v>
      </c>
      <c r="J26" s="330">
        <v>145.04</v>
      </c>
      <c r="K26" s="330">
        <v>148.26000000000002</v>
      </c>
      <c r="L26" s="330">
        <v>155.26</v>
      </c>
      <c r="M26" s="331">
        <v>146.57999999999998</v>
      </c>
    </row>
    <row r="27" spans="1:13" ht="20.399999999999999" x14ac:dyDescent="0.2">
      <c r="A27" s="359">
        <v>1</v>
      </c>
      <c r="B27" s="312" t="s">
        <v>3821</v>
      </c>
      <c r="C27" s="325" t="s">
        <v>3822</v>
      </c>
      <c r="F27" s="329">
        <v>0</v>
      </c>
      <c r="G27" s="330">
        <v>0</v>
      </c>
      <c r="H27" s="315">
        <v>0</v>
      </c>
      <c r="I27" s="330">
        <v>0</v>
      </c>
      <c r="J27" s="330">
        <v>0</v>
      </c>
      <c r="K27" s="330">
        <v>0</v>
      </c>
      <c r="L27" s="330">
        <v>0</v>
      </c>
      <c r="M27" s="331">
        <v>0</v>
      </c>
    </row>
    <row r="28" spans="1:13" ht="20.399999999999999" x14ac:dyDescent="0.2">
      <c r="A28" s="359">
        <v>1</v>
      </c>
      <c r="B28" s="312" t="s">
        <v>3827</v>
      </c>
      <c r="C28" s="325" t="s">
        <v>3828</v>
      </c>
      <c r="D28" s="312">
        <v>0.57099999999999995</v>
      </c>
      <c r="E28" s="312" t="s">
        <v>2265</v>
      </c>
      <c r="F28" s="329">
        <v>445</v>
      </c>
      <c r="G28" s="330">
        <v>420.08000000000004</v>
      </c>
      <c r="H28" s="315">
        <v>426.31</v>
      </c>
      <c r="I28" s="330">
        <v>438.32499999999999</v>
      </c>
      <c r="J28" s="330">
        <v>461.02000000000004</v>
      </c>
      <c r="K28" s="330">
        <v>471.25500000000005</v>
      </c>
      <c r="L28" s="330">
        <v>493.505</v>
      </c>
      <c r="M28" s="331">
        <v>465.91499999999996</v>
      </c>
    </row>
    <row r="29" spans="1:13" ht="30.6" x14ac:dyDescent="0.2">
      <c r="A29" s="359">
        <v>1</v>
      </c>
      <c r="B29" s="312" t="s">
        <v>3833</v>
      </c>
      <c r="C29" s="325" t="s">
        <v>3834</v>
      </c>
      <c r="D29" s="312">
        <v>0.8</v>
      </c>
      <c r="E29" s="312" t="s">
        <v>2265</v>
      </c>
      <c r="F29" s="329">
        <v>825</v>
      </c>
      <c r="G29" s="330">
        <v>778.80000000000007</v>
      </c>
      <c r="H29" s="315">
        <v>790.35</v>
      </c>
      <c r="I29" s="330">
        <v>812.625</v>
      </c>
      <c r="J29" s="330">
        <v>854.7</v>
      </c>
      <c r="K29" s="330">
        <v>873.67500000000018</v>
      </c>
      <c r="L29" s="330">
        <v>914.92499999999995</v>
      </c>
      <c r="M29" s="331">
        <v>863.77499999999998</v>
      </c>
    </row>
    <row r="30" spans="1:13" ht="30.6" x14ac:dyDescent="0.2">
      <c r="A30" s="359">
        <v>1</v>
      </c>
      <c r="B30" s="312" t="s">
        <v>3830</v>
      </c>
      <c r="C30" s="325" t="s">
        <v>3831</v>
      </c>
      <c r="D30" s="312">
        <v>0.66700000000000004</v>
      </c>
      <c r="E30" s="312" t="s">
        <v>2265</v>
      </c>
      <c r="F30" s="329">
        <v>750</v>
      </c>
      <c r="G30" s="330">
        <v>708</v>
      </c>
      <c r="H30" s="315">
        <v>718.5</v>
      </c>
      <c r="I30" s="330">
        <v>738.75</v>
      </c>
      <c r="J30" s="330">
        <v>777</v>
      </c>
      <c r="K30" s="330">
        <v>794.25000000000011</v>
      </c>
      <c r="L30" s="330">
        <v>831.75</v>
      </c>
      <c r="M30" s="331">
        <v>785.25</v>
      </c>
    </row>
    <row r="31" spans="1:13" ht="20.399999999999999" x14ac:dyDescent="0.2">
      <c r="A31" s="359">
        <v>1</v>
      </c>
      <c r="B31" s="312" t="s">
        <v>3836</v>
      </c>
      <c r="C31" s="325" t="s">
        <v>3837</v>
      </c>
      <c r="D31" s="312">
        <v>1.143</v>
      </c>
      <c r="E31" s="312" t="s">
        <v>2265</v>
      </c>
      <c r="F31" s="329">
        <v>750</v>
      </c>
      <c r="G31" s="330">
        <v>708</v>
      </c>
      <c r="H31" s="315">
        <v>718.5</v>
      </c>
      <c r="I31" s="330">
        <v>738.75</v>
      </c>
      <c r="J31" s="330">
        <v>777</v>
      </c>
      <c r="K31" s="330">
        <v>794.25000000000011</v>
      </c>
      <c r="L31" s="330">
        <v>831.75</v>
      </c>
      <c r="M31" s="331">
        <v>785.25</v>
      </c>
    </row>
    <row r="32" spans="1:13" ht="20.399999999999999" x14ac:dyDescent="0.2">
      <c r="A32" s="359">
        <v>1</v>
      </c>
      <c r="B32" s="312" t="s">
        <v>3824</v>
      </c>
      <c r="C32" s="325" t="s">
        <v>3825</v>
      </c>
      <c r="D32" s="312">
        <v>0.5</v>
      </c>
      <c r="E32" s="312" t="s">
        <v>2265</v>
      </c>
      <c r="F32" s="329">
        <v>415</v>
      </c>
      <c r="G32" s="330">
        <v>391.76000000000005</v>
      </c>
      <c r="H32" s="315">
        <v>397.57</v>
      </c>
      <c r="I32" s="330">
        <v>408.77499999999998</v>
      </c>
      <c r="J32" s="330">
        <v>429.94</v>
      </c>
      <c r="K32" s="330">
        <v>439.48500000000007</v>
      </c>
      <c r="L32" s="330">
        <v>460.23500000000001</v>
      </c>
      <c r="M32" s="331">
        <v>434.505</v>
      </c>
    </row>
    <row r="33" spans="1:13" x14ac:dyDescent="0.2">
      <c r="A33" s="359">
        <v>1</v>
      </c>
      <c r="B33" s="312" t="s">
        <v>3628</v>
      </c>
      <c r="C33" s="325" t="s">
        <v>3629</v>
      </c>
      <c r="E33" s="312" t="s">
        <v>1589</v>
      </c>
      <c r="F33" s="329">
        <v>10.780000000000001</v>
      </c>
      <c r="G33" s="330">
        <v>10.176320000000002</v>
      </c>
      <c r="H33" s="315">
        <v>10.327240000000002</v>
      </c>
      <c r="I33" s="330">
        <v>10.618300000000001</v>
      </c>
      <c r="J33" s="330">
        <v>11.168080000000002</v>
      </c>
      <c r="K33" s="330">
        <v>11.416020000000003</v>
      </c>
      <c r="L33" s="330">
        <v>11.955020000000001</v>
      </c>
      <c r="M33" s="331">
        <v>11.286660000000001</v>
      </c>
    </row>
    <row r="34" spans="1:13" x14ac:dyDescent="0.2">
      <c r="A34" s="359">
        <v>1</v>
      </c>
      <c r="B34" s="312" t="s">
        <v>3631</v>
      </c>
      <c r="C34" s="325" t="s">
        <v>3632</v>
      </c>
      <c r="D34" s="312">
        <v>1.7000000000000001E-2</v>
      </c>
      <c r="E34" s="312" t="s">
        <v>399</v>
      </c>
      <c r="F34" s="329">
        <v>1.4</v>
      </c>
      <c r="G34" s="330">
        <v>1.3216000000000001</v>
      </c>
      <c r="H34" s="315">
        <v>1.3411999999999999</v>
      </c>
      <c r="I34" s="330">
        <v>1.379</v>
      </c>
      <c r="J34" s="330">
        <v>1.4503999999999999</v>
      </c>
      <c r="K34" s="330">
        <v>1.4826000000000001</v>
      </c>
      <c r="L34" s="330">
        <v>1.5526</v>
      </c>
      <c r="M34" s="331">
        <v>1.4657999999999998</v>
      </c>
    </row>
    <row r="35" spans="1:13" x14ac:dyDescent="0.2">
      <c r="A35" s="359">
        <v>1</v>
      </c>
      <c r="B35" s="312" t="s">
        <v>3509</v>
      </c>
      <c r="C35" s="325" t="s">
        <v>3510</v>
      </c>
      <c r="E35" s="312" t="s">
        <v>1589</v>
      </c>
      <c r="F35" s="329">
        <v>11.770000000000001</v>
      </c>
      <c r="G35" s="330">
        <v>11.110880000000002</v>
      </c>
      <c r="H35" s="315">
        <v>11.27566</v>
      </c>
      <c r="I35" s="330">
        <v>11.593450000000001</v>
      </c>
      <c r="J35" s="330">
        <v>12.193720000000003</v>
      </c>
      <c r="K35" s="330">
        <v>12.464430000000004</v>
      </c>
      <c r="L35" s="330">
        <v>13.052930000000002</v>
      </c>
      <c r="M35" s="331">
        <v>12.32319</v>
      </c>
    </row>
    <row r="36" spans="1:13" x14ac:dyDescent="0.2">
      <c r="A36" s="359">
        <v>1</v>
      </c>
      <c r="B36" s="312" t="s">
        <v>4061</v>
      </c>
      <c r="C36" s="325" t="s">
        <v>4062</v>
      </c>
      <c r="F36" s="329">
        <v>0</v>
      </c>
      <c r="G36" s="330">
        <v>0</v>
      </c>
      <c r="H36" s="315">
        <v>0</v>
      </c>
      <c r="I36" s="330">
        <v>0</v>
      </c>
      <c r="J36" s="330">
        <v>0</v>
      </c>
      <c r="K36" s="330">
        <v>0</v>
      </c>
      <c r="L36" s="330">
        <v>0</v>
      </c>
      <c r="M36" s="331">
        <v>0</v>
      </c>
    </row>
    <row r="37" spans="1:13" ht="20.399999999999999" x14ac:dyDescent="0.2">
      <c r="A37" s="359">
        <v>1</v>
      </c>
      <c r="B37" s="312" t="s">
        <v>4341</v>
      </c>
      <c r="C37" s="325" t="s">
        <v>4342</v>
      </c>
      <c r="D37" s="312">
        <v>0.38400000000000001</v>
      </c>
      <c r="E37" s="312" t="s">
        <v>2202</v>
      </c>
      <c r="F37" s="329">
        <v>51.5</v>
      </c>
      <c r="G37" s="330">
        <v>48.616</v>
      </c>
      <c r="H37" s="315">
        <v>49.336999999999996</v>
      </c>
      <c r="I37" s="330">
        <v>50.727499999999999</v>
      </c>
      <c r="J37" s="330">
        <v>53.353999999999999</v>
      </c>
      <c r="K37" s="330">
        <v>54.538500000000006</v>
      </c>
      <c r="L37" s="330">
        <v>57.113500000000002</v>
      </c>
      <c r="M37" s="331">
        <v>53.920499999999997</v>
      </c>
    </row>
    <row r="38" spans="1:13" ht="20.399999999999999" x14ac:dyDescent="0.2">
      <c r="A38" s="359">
        <v>1</v>
      </c>
      <c r="B38" s="312" t="s">
        <v>4327</v>
      </c>
      <c r="C38" s="325" t="s">
        <v>4328</v>
      </c>
      <c r="D38" s="312">
        <v>0.48</v>
      </c>
      <c r="E38" s="312" t="s">
        <v>2202</v>
      </c>
      <c r="F38" s="329">
        <v>66.5</v>
      </c>
      <c r="G38" s="330">
        <v>62.776000000000003</v>
      </c>
      <c r="H38" s="315">
        <v>63.707000000000001</v>
      </c>
      <c r="I38" s="330">
        <v>65.502499999999998</v>
      </c>
      <c r="J38" s="330">
        <v>68.894000000000005</v>
      </c>
      <c r="K38" s="330">
        <v>70.423500000000004</v>
      </c>
      <c r="L38" s="330">
        <v>73.748499999999993</v>
      </c>
      <c r="M38" s="331">
        <v>69.625500000000002</v>
      </c>
    </row>
    <row r="39" spans="1:13" ht="20.399999999999999" x14ac:dyDescent="0.2">
      <c r="A39" s="359">
        <v>1</v>
      </c>
      <c r="B39" s="312" t="s">
        <v>4330</v>
      </c>
      <c r="C39" s="325" t="s">
        <v>4331</v>
      </c>
      <c r="D39" s="312">
        <v>0.48</v>
      </c>
      <c r="E39" s="312" t="s">
        <v>2202</v>
      </c>
      <c r="F39" s="329">
        <v>82</v>
      </c>
      <c r="G39" s="330">
        <v>77.408000000000001</v>
      </c>
      <c r="H39" s="315">
        <v>78.555999999999997</v>
      </c>
      <c r="I39" s="330">
        <v>80.77</v>
      </c>
      <c r="J39" s="330">
        <v>84.951999999999998</v>
      </c>
      <c r="K39" s="330">
        <v>86.838000000000008</v>
      </c>
      <c r="L39" s="330">
        <v>90.938000000000002</v>
      </c>
      <c r="M39" s="331">
        <v>85.853999999999999</v>
      </c>
    </row>
    <row r="40" spans="1:13" ht="20.399999999999999" x14ac:dyDescent="0.2">
      <c r="A40" s="359">
        <v>1</v>
      </c>
      <c r="B40" s="312" t="s">
        <v>4333</v>
      </c>
      <c r="C40" s="325" t="s">
        <v>4334</v>
      </c>
      <c r="D40" s="312">
        <v>0.53300000000000003</v>
      </c>
      <c r="E40" s="312" t="s">
        <v>2202</v>
      </c>
      <c r="F40" s="329">
        <v>103</v>
      </c>
      <c r="G40" s="330">
        <v>97.231999999999999</v>
      </c>
      <c r="H40" s="315">
        <v>98.673999999999992</v>
      </c>
      <c r="I40" s="330">
        <v>101.455</v>
      </c>
      <c r="J40" s="330">
        <v>106.708</v>
      </c>
      <c r="K40" s="330">
        <v>109.07700000000001</v>
      </c>
      <c r="L40" s="330">
        <v>114.227</v>
      </c>
      <c r="M40" s="331">
        <v>107.84099999999999</v>
      </c>
    </row>
    <row r="41" spans="1:13" ht="20.399999999999999" x14ac:dyDescent="0.2">
      <c r="A41" s="359">
        <v>1</v>
      </c>
      <c r="B41" s="312" t="s">
        <v>4336</v>
      </c>
      <c r="C41" s="325" t="s">
        <v>415</v>
      </c>
      <c r="D41" s="312">
        <v>0.64</v>
      </c>
      <c r="E41" s="312" t="s">
        <v>2202</v>
      </c>
      <c r="F41" s="329">
        <v>125</v>
      </c>
      <c r="G41" s="330">
        <v>118.00000000000001</v>
      </c>
      <c r="H41" s="315">
        <v>119.75</v>
      </c>
      <c r="I41" s="330">
        <v>123.125</v>
      </c>
      <c r="J41" s="330">
        <v>129.5</v>
      </c>
      <c r="K41" s="330">
        <v>132.37500000000003</v>
      </c>
      <c r="L41" s="330">
        <v>138.625</v>
      </c>
      <c r="M41" s="331">
        <v>130.875</v>
      </c>
    </row>
    <row r="42" spans="1:13" x14ac:dyDescent="0.2">
      <c r="A42" s="359">
        <v>1</v>
      </c>
      <c r="B42" s="312" t="s">
        <v>4354</v>
      </c>
      <c r="C42" s="325" t="s">
        <v>4355</v>
      </c>
      <c r="D42" s="312">
        <v>1.4E-2</v>
      </c>
      <c r="E42" s="312" t="s">
        <v>1627</v>
      </c>
      <c r="F42" s="329">
        <v>1.97</v>
      </c>
      <c r="G42" s="330">
        <v>1.85968</v>
      </c>
      <c r="H42" s="315">
        <v>1.8872599999999999</v>
      </c>
      <c r="I42" s="330">
        <v>1.94045</v>
      </c>
      <c r="J42" s="330">
        <v>2.0409199999999998</v>
      </c>
      <c r="K42" s="330">
        <v>2.0862300000000005</v>
      </c>
      <c r="L42" s="330">
        <v>2.1847300000000001</v>
      </c>
      <c r="M42" s="331">
        <v>2.0625899999999997</v>
      </c>
    </row>
    <row r="43" spans="1:13" ht="20.399999999999999" x14ac:dyDescent="0.2">
      <c r="A43" s="359">
        <v>1</v>
      </c>
      <c r="B43" s="312" t="s">
        <v>4352</v>
      </c>
      <c r="C43" s="325" t="s">
        <v>417</v>
      </c>
      <c r="D43" s="312">
        <v>2.8239999999999998</v>
      </c>
      <c r="E43" s="312" t="s">
        <v>2265</v>
      </c>
      <c r="F43" s="329">
        <v>500</v>
      </c>
      <c r="G43" s="330">
        <v>472.00000000000006</v>
      </c>
      <c r="H43" s="315">
        <v>479</v>
      </c>
      <c r="I43" s="330">
        <v>492.5</v>
      </c>
      <c r="J43" s="330">
        <v>518</v>
      </c>
      <c r="K43" s="330">
        <v>529.50000000000011</v>
      </c>
      <c r="L43" s="330">
        <v>554.5</v>
      </c>
      <c r="M43" s="331">
        <v>523.5</v>
      </c>
    </row>
    <row r="44" spans="1:13" ht="20.399999999999999" x14ac:dyDescent="0.2">
      <c r="A44" s="359">
        <v>1</v>
      </c>
      <c r="B44" s="312" t="s">
        <v>4338</v>
      </c>
      <c r="C44" s="325" t="s">
        <v>4339</v>
      </c>
      <c r="D44" s="312">
        <v>0.44400000000000001</v>
      </c>
      <c r="E44" s="312" t="s">
        <v>2202</v>
      </c>
      <c r="F44" s="329">
        <v>52.5</v>
      </c>
      <c r="G44" s="330">
        <v>49.56</v>
      </c>
      <c r="H44" s="315">
        <v>50.294999999999995</v>
      </c>
      <c r="I44" s="330">
        <v>51.712499999999999</v>
      </c>
      <c r="J44" s="330">
        <v>54.39</v>
      </c>
      <c r="K44" s="330">
        <v>55.597500000000011</v>
      </c>
      <c r="L44" s="330">
        <v>58.222499999999997</v>
      </c>
      <c r="M44" s="331">
        <v>54.967499999999994</v>
      </c>
    </row>
    <row r="45" spans="1:13" ht="20.399999999999999" x14ac:dyDescent="0.2">
      <c r="A45" s="359">
        <v>1</v>
      </c>
      <c r="B45" s="312" t="s">
        <v>4344</v>
      </c>
      <c r="C45" s="325" t="s">
        <v>4345</v>
      </c>
      <c r="D45" s="312">
        <v>0.44400000000000001</v>
      </c>
      <c r="E45" s="312" t="s">
        <v>2202</v>
      </c>
      <c r="F45" s="329">
        <v>58.5</v>
      </c>
      <c r="G45" s="330">
        <v>55.224000000000004</v>
      </c>
      <c r="H45" s="315">
        <v>56.042999999999999</v>
      </c>
      <c r="I45" s="330">
        <v>57.622500000000002</v>
      </c>
      <c r="J45" s="330">
        <v>60.606000000000002</v>
      </c>
      <c r="K45" s="330">
        <v>61.95150000000001</v>
      </c>
      <c r="L45" s="330">
        <v>64.876499999999993</v>
      </c>
      <c r="M45" s="331">
        <v>61.249499999999998</v>
      </c>
    </row>
    <row r="46" spans="1:13" ht="20.399999999999999" x14ac:dyDescent="0.2">
      <c r="A46" s="359">
        <v>1</v>
      </c>
      <c r="B46" s="312" t="s">
        <v>4347</v>
      </c>
      <c r="C46" s="325" t="s">
        <v>4348</v>
      </c>
      <c r="D46" s="312">
        <v>0.52200000000000002</v>
      </c>
      <c r="E46" s="312" t="s">
        <v>2202</v>
      </c>
      <c r="F46" s="329">
        <v>67.5</v>
      </c>
      <c r="G46" s="330">
        <v>63.720000000000006</v>
      </c>
      <c r="H46" s="315">
        <v>64.664999999999992</v>
      </c>
      <c r="I46" s="330">
        <v>66.487499999999997</v>
      </c>
      <c r="J46" s="330">
        <v>69.930000000000007</v>
      </c>
      <c r="K46" s="330">
        <v>71.482500000000016</v>
      </c>
      <c r="L46" s="330">
        <v>74.857500000000002</v>
      </c>
      <c r="M46" s="331">
        <v>70.672499999999999</v>
      </c>
    </row>
    <row r="47" spans="1:13" ht="20.399999999999999" x14ac:dyDescent="0.2">
      <c r="A47" s="359">
        <v>1</v>
      </c>
      <c r="B47" s="312" t="s">
        <v>4350</v>
      </c>
      <c r="C47" s="325" t="s">
        <v>418</v>
      </c>
      <c r="D47" s="312">
        <v>0.64</v>
      </c>
      <c r="E47" s="312" t="s">
        <v>2202</v>
      </c>
      <c r="F47" s="329">
        <v>93</v>
      </c>
      <c r="G47" s="330">
        <v>87.792000000000002</v>
      </c>
      <c r="H47" s="315">
        <v>89.093999999999994</v>
      </c>
      <c r="I47" s="330">
        <v>91.605000000000004</v>
      </c>
      <c r="J47" s="330">
        <v>96.347999999999999</v>
      </c>
      <c r="K47" s="330">
        <v>98.487000000000009</v>
      </c>
      <c r="L47" s="330">
        <v>103.137</v>
      </c>
      <c r="M47" s="331">
        <v>97.370999999999995</v>
      </c>
    </row>
    <row r="48" spans="1:13" ht="20.399999999999999" x14ac:dyDescent="0.2">
      <c r="A48" s="359">
        <v>1</v>
      </c>
      <c r="B48" s="312" t="s">
        <v>3487</v>
      </c>
      <c r="C48" s="325" t="s">
        <v>3488</v>
      </c>
      <c r="E48" s="312" t="s">
        <v>2241</v>
      </c>
      <c r="F48" s="329">
        <v>61.05</v>
      </c>
      <c r="G48" s="330">
        <v>57.6312</v>
      </c>
      <c r="H48" s="315">
        <v>58.485899999999994</v>
      </c>
      <c r="I48" s="330">
        <v>60.134249999999994</v>
      </c>
      <c r="J48" s="330">
        <v>63.247799999999998</v>
      </c>
      <c r="K48" s="330">
        <v>64.651950000000014</v>
      </c>
      <c r="L48" s="330">
        <v>67.704449999999994</v>
      </c>
      <c r="M48" s="331">
        <v>63.919349999999994</v>
      </c>
    </row>
    <row r="49" spans="1:13" ht="20.399999999999999" x14ac:dyDescent="0.2">
      <c r="A49" s="359">
        <v>1</v>
      </c>
      <c r="B49" s="312" t="s">
        <v>3490</v>
      </c>
      <c r="C49" s="325" t="s">
        <v>3491</v>
      </c>
      <c r="E49" s="312" t="s">
        <v>2241</v>
      </c>
      <c r="F49" s="329">
        <v>26.4</v>
      </c>
      <c r="G49" s="330">
        <v>24.921600000000002</v>
      </c>
      <c r="H49" s="315">
        <v>25.291199999999996</v>
      </c>
      <c r="I49" s="330">
        <v>26.003999999999998</v>
      </c>
      <c r="J49" s="330">
        <v>27.3504</v>
      </c>
      <c r="K49" s="330">
        <v>27.957600000000003</v>
      </c>
      <c r="L49" s="330">
        <v>29.2776</v>
      </c>
      <c r="M49" s="331">
        <v>27.640799999999995</v>
      </c>
    </row>
    <row r="50" spans="1:13" x14ac:dyDescent="0.2">
      <c r="A50" s="359">
        <v>1</v>
      </c>
      <c r="B50" s="312" t="s">
        <v>3680</v>
      </c>
      <c r="C50" s="325" t="s">
        <v>3681</v>
      </c>
      <c r="D50" s="312">
        <v>0.08</v>
      </c>
      <c r="E50" s="312" t="s">
        <v>2265</v>
      </c>
      <c r="F50" s="329">
        <v>8.9</v>
      </c>
      <c r="G50" s="330">
        <v>8.4016000000000002</v>
      </c>
      <c r="H50" s="315">
        <v>8.5261999999999993</v>
      </c>
      <c r="I50" s="330">
        <v>8.7665000000000006</v>
      </c>
      <c r="J50" s="330">
        <v>9.2204000000000015</v>
      </c>
      <c r="K50" s="330">
        <v>9.4251000000000023</v>
      </c>
      <c r="L50" s="330">
        <v>9.8701000000000008</v>
      </c>
      <c r="M50" s="331">
        <v>9.3182999999999989</v>
      </c>
    </row>
    <row r="51" spans="1:13" x14ac:dyDescent="0.2">
      <c r="A51" s="359">
        <v>1</v>
      </c>
      <c r="B51" s="312" t="s">
        <v>3674</v>
      </c>
      <c r="C51" s="325" t="s">
        <v>3675</v>
      </c>
      <c r="D51" s="312">
        <v>0.08</v>
      </c>
      <c r="E51" s="312" t="s">
        <v>2265</v>
      </c>
      <c r="F51" s="329">
        <v>6.05</v>
      </c>
      <c r="G51" s="330">
        <v>5.7111999999999998</v>
      </c>
      <c r="H51" s="315">
        <v>5.7958999999999996</v>
      </c>
      <c r="I51" s="330">
        <v>5.9592499999999999</v>
      </c>
      <c r="J51" s="330">
        <v>6.2678000000000003</v>
      </c>
      <c r="K51" s="330">
        <v>6.406950000000001</v>
      </c>
      <c r="L51" s="330">
        <v>6.7094499999999995</v>
      </c>
      <c r="M51" s="331">
        <v>6.3343499999999997</v>
      </c>
    </row>
    <row r="52" spans="1:13" x14ac:dyDescent="0.2">
      <c r="A52" s="359">
        <v>1</v>
      </c>
      <c r="B52" s="312" t="s">
        <v>3683</v>
      </c>
      <c r="C52" s="325" t="s">
        <v>3684</v>
      </c>
      <c r="D52" s="312">
        <v>0.08</v>
      </c>
      <c r="E52" s="312" t="s">
        <v>2265</v>
      </c>
      <c r="F52" s="329">
        <v>7</v>
      </c>
      <c r="G52" s="330">
        <v>6.6080000000000005</v>
      </c>
      <c r="H52" s="315">
        <v>6.7059999999999995</v>
      </c>
      <c r="I52" s="330">
        <v>6.8949999999999996</v>
      </c>
      <c r="J52" s="330">
        <v>7.2520000000000007</v>
      </c>
      <c r="K52" s="330">
        <v>7.4130000000000011</v>
      </c>
      <c r="L52" s="330">
        <v>7.7629999999999999</v>
      </c>
      <c r="M52" s="331">
        <v>7.3289999999999997</v>
      </c>
    </row>
    <row r="53" spans="1:13" x14ac:dyDescent="0.2">
      <c r="A53" s="359">
        <v>1</v>
      </c>
      <c r="B53" s="312" t="s">
        <v>3677</v>
      </c>
      <c r="C53" s="325" t="s">
        <v>3678</v>
      </c>
      <c r="D53" s="312">
        <v>0.08</v>
      </c>
      <c r="E53" s="312" t="s">
        <v>2265</v>
      </c>
      <c r="F53" s="329">
        <v>6.1</v>
      </c>
      <c r="G53" s="330">
        <v>5.7584</v>
      </c>
      <c r="H53" s="315">
        <v>5.843799999999999</v>
      </c>
      <c r="I53" s="330">
        <v>6.0084999999999997</v>
      </c>
      <c r="J53" s="330">
        <v>6.3195999999999994</v>
      </c>
      <c r="K53" s="330">
        <v>6.4599000000000002</v>
      </c>
      <c r="L53" s="330">
        <v>6.7648999999999999</v>
      </c>
      <c r="M53" s="331">
        <v>6.3866999999999994</v>
      </c>
    </row>
    <row r="54" spans="1:13" x14ac:dyDescent="0.2">
      <c r="A54" s="359">
        <v>1</v>
      </c>
      <c r="B54" s="312" t="s">
        <v>3686</v>
      </c>
      <c r="C54" s="325" t="s">
        <v>3687</v>
      </c>
      <c r="D54" s="312">
        <v>0.08</v>
      </c>
      <c r="E54" s="312" t="s">
        <v>2265</v>
      </c>
      <c r="F54" s="329">
        <v>7.55</v>
      </c>
      <c r="G54" s="330">
        <v>7.1272000000000002</v>
      </c>
      <c r="H54" s="315">
        <v>7.2328999999999999</v>
      </c>
      <c r="I54" s="330">
        <v>7.43675</v>
      </c>
      <c r="J54" s="330">
        <v>7.8217999999999996</v>
      </c>
      <c r="K54" s="330">
        <v>7.9954500000000008</v>
      </c>
      <c r="L54" s="330">
        <v>8.3729499999999994</v>
      </c>
      <c r="M54" s="331">
        <v>7.9048499999999997</v>
      </c>
    </row>
    <row r="55" spans="1:13" x14ac:dyDescent="0.2">
      <c r="A55" s="359">
        <v>1</v>
      </c>
      <c r="B55" s="312" t="s">
        <v>3689</v>
      </c>
      <c r="C55" s="325" t="s">
        <v>1536</v>
      </c>
      <c r="D55" s="312">
        <v>0.08</v>
      </c>
      <c r="E55" s="312" t="s">
        <v>2265</v>
      </c>
      <c r="F55" s="329">
        <v>10.25</v>
      </c>
      <c r="G55" s="330">
        <v>9.6760000000000002</v>
      </c>
      <c r="H55" s="315">
        <v>9.8194999999999997</v>
      </c>
      <c r="I55" s="330">
        <v>10.09625</v>
      </c>
      <c r="J55" s="330">
        <v>10.619</v>
      </c>
      <c r="K55" s="330">
        <v>10.854750000000001</v>
      </c>
      <c r="L55" s="330">
        <v>11.36725</v>
      </c>
      <c r="M55" s="331">
        <v>10.73175</v>
      </c>
    </row>
    <row r="56" spans="1:13" x14ac:dyDescent="0.2">
      <c r="A56" s="359">
        <v>1</v>
      </c>
      <c r="B56" s="312" t="s">
        <v>4169</v>
      </c>
      <c r="C56" s="325" t="s">
        <v>1568</v>
      </c>
      <c r="D56" s="312">
        <v>8.0000000000000002E-3</v>
      </c>
      <c r="E56" s="312" t="s">
        <v>1181</v>
      </c>
      <c r="F56" s="329">
        <v>1.62</v>
      </c>
      <c r="G56" s="330">
        <v>1.5292800000000002</v>
      </c>
      <c r="H56" s="315">
        <v>1.55196</v>
      </c>
      <c r="I56" s="330">
        <v>1.5957000000000001</v>
      </c>
      <c r="J56" s="330">
        <v>1.6783200000000003</v>
      </c>
      <c r="K56" s="330">
        <v>1.7155800000000003</v>
      </c>
      <c r="L56" s="330">
        <v>1.7965800000000001</v>
      </c>
      <c r="M56" s="331">
        <v>1.69614</v>
      </c>
    </row>
    <row r="57" spans="1:13" x14ac:dyDescent="0.2">
      <c r="A57" s="359">
        <v>1</v>
      </c>
      <c r="B57" s="312" t="s">
        <v>4172</v>
      </c>
      <c r="C57" s="325" t="s">
        <v>4173</v>
      </c>
      <c r="D57" s="312">
        <v>5.0000000000000001E-3</v>
      </c>
      <c r="E57" s="312" t="s">
        <v>399</v>
      </c>
      <c r="F57" s="329">
        <v>0.68</v>
      </c>
      <c r="G57" s="330">
        <v>0.64192000000000005</v>
      </c>
      <c r="H57" s="315">
        <v>0.65144000000000002</v>
      </c>
      <c r="I57" s="330">
        <v>0.66980000000000006</v>
      </c>
      <c r="J57" s="330">
        <v>0.70448000000000011</v>
      </c>
      <c r="K57" s="330">
        <v>0.7201200000000002</v>
      </c>
      <c r="L57" s="330">
        <v>0.75412000000000001</v>
      </c>
      <c r="M57" s="331">
        <v>0.71196000000000004</v>
      </c>
    </row>
    <row r="58" spans="1:13" x14ac:dyDescent="0.2">
      <c r="A58" s="359">
        <v>1</v>
      </c>
      <c r="B58" s="312" t="s">
        <v>4194</v>
      </c>
      <c r="C58" s="325" t="s">
        <v>1574</v>
      </c>
      <c r="D58" s="312">
        <v>0.314</v>
      </c>
      <c r="E58" s="312" t="s">
        <v>1802</v>
      </c>
      <c r="F58" s="329">
        <v>73</v>
      </c>
      <c r="G58" s="330">
        <v>68.912000000000006</v>
      </c>
      <c r="H58" s="315">
        <v>69.933999999999997</v>
      </c>
      <c r="I58" s="330">
        <v>71.905000000000001</v>
      </c>
      <c r="J58" s="330">
        <v>75.628</v>
      </c>
      <c r="K58" s="330">
        <v>77.307000000000016</v>
      </c>
      <c r="L58" s="330">
        <v>80.956999999999994</v>
      </c>
      <c r="M58" s="331">
        <v>76.430999999999997</v>
      </c>
    </row>
    <row r="59" spans="1:13" x14ac:dyDescent="0.2">
      <c r="A59" s="359">
        <v>1</v>
      </c>
      <c r="B59" s="312" t="s">
        <v>4196</v>
      </c>
      <c r="C59" s="325" t="s">
        <v>1575</v>
      </c>
      <c r="D59" s="312">
        <v>0.47099999999999997</v>
      </c>
      <c r="E59" s="312" t="s">
        <v>1802</v>
      </c>
      <c r="F59" s="329">
        <v>100</v>
      </c>
      <c r="G59" s="330">
        <v>94.4</v>
      </c>
      <c r="H59" s="315">
        <v>95.8</v>
      </c>
      <c r="I59" s="330">
        <v>98.5</v>
      </c>
      <c r="J59" s="330">
        <v>103.60000000000001</v>
      </c>
      <c r="K59" s="330">
        <v>105.90000000000002</v>
      </c>
      <c r="L59" s="330">
        <v>110.9</v>
      </c>
      <c r="M59" s="331">
        <v>104.69999999999999</v>
      </c>
    </row>
    <row r="60" spans="1:13" x14ac:dyDescent="0.2">
      <c r="A60" s="359">
        <v>1</v>
      </c>
      <c r="B60" s="312" t="s">
        <v>4198</v>
      </c>
      <c r="C60" s="325" t="s">
        <v>1576</v>
      </c>
      <c r="D60" s="312">
        <v>0.8</v>
      </c>
      <c r="E60" s="312" t="s">
        <v>1802</v>
      </c>
      <c r="F60" s="329">
        <v>164</v>
      </c>
      <c r="G60" s="330">
        <v>154.816</v>
      </c>
      <c r="H60" s="315">
        <v>157.11199999999999</v>
      </c>
      <c r="I60" s="330">
        <v>161.54</v>
      </c>
      <c r="J60" s="330">
        <v>169.904</v>
      </c>
      <c r="K60" s="330">
        <v>173.67600000000002</v>
      </c>
      <c r="L60" s="330">
        <v>181.876</v>
      </c>
      <c r="M60" s="331">
        <v>171.708</v>
      </c>
    </row>
    <row r="61" spans="1:13" x14ac:dyDescent="0.2">
      <c r="A61" s="359">
        <v>1</v>
      </c>
      <c r="B61" s="312" t="s">
        <v>4191</v>
      </c>
      <c r="C61" s="325" t="s">
        <v>4192</v>
      </c>
      <c r="D61" s="312">
        <v>0.29399999999999998</v>
      </c>
      <c r="E61" s="312" t="s">
        <v>1802</v>
      </c>
      <c r="F61" s="329">
        <v>55.5</v>
      </c>
      <c r="G61" s="330">
        <v>52.392000000000003</v>
      </c>
      <c r="H61" s="315">
        <v>53.168999999999997</v>
      </c>
      <c r="I61" s="330">
        <v>54.667499999999997</v>
      </c>
      <c r="J61" s="330">
        <v>57.498000000000005</v>
      </c>
      <c r="K61" s="330">
        <v>58.77450000000001</v>
      </c>
      <c r="L61" s="330">
        <v>61.549500000000002</v>
      </c>
      <c r="M61" s="331">
        <v>58.108499999999999</v>
      </c>
    </row>
    <row r="62" spans="1:13" ht="20.399999999999999" x14ac:dyDescent="0.2">
      <c r="A62" s="359">
        <v>1</v>
      </c>
      <c r="B62" s="312" t="s">
        <v>4234</v>
      </c>
      <c r="C62" s="325" t="s">
        <v>4235</v>
      </c>
      <c r="D62" s="312">
        <v>0.98</v>
      </c>
      <c r="E62" s="312" t="s">
        <v>2202</v>
      </c>
      <c r="F62" s="329">
        <v>88</v>
      </c>
      <c r="G62" s="330">
        <v>83.072000000000003</v>
      </c>
      <c r="H62" s="315">
        <v>84.304000000000002</v>
      </c>
      <c r="I62" s="330">
        <v>86.679999999999993</v>
      </c>
      <c r="J62" s="330">
        <v>91.168000000000006</v>
      </c>
      <c r="K62" s="330">
        <v>93.192000000000007</v>
      </c>
      <c r="L62" s="330">
        <v>97.591999999999999</v>
      </c>
      <c r="M62" s="331">
        <v>92.135999999999996</v>
      </c>
    </row>
    <row r="63" spans="1:13" ht="20.399999999999999" x14ac:dyDescent="0.2">
      <c r="A63" s="359">
        <v>1</v>
      </c>
      <c r="B63" s="312" t="s">
        <v>4240</v>
      </c>
      <c r="C63" s="325" t="s">
        <v>4241</v>
      </c>
      <c r="D63" s="312">
        <v>3.4289999999999998</v>
      </c>
      <c r="E63" s="312" t="s">
        <v>2202</v>
      </c>
      <c r="F63" s="329">
        <v>305</v>
      </c>
      <c r="G63" s="330">
        <v>287.92</v>
      </c>
      <c r="H63" s="315">
        <v>292.19</v>
      </c>
      <c r="I63" s="330">
        <v>300.42500000000001</v>
      </c>
      <c r="J63" s="330">
        <v>315.98</v>
      </c>
      <c r="K63" s="330">
        <v>322.99500000000006</v>
      </c>
      <c r="L63" s="330">
        <v>338.245</v>
      </c>
      <c r="M63" s="331">
        <v>319.33499999999998</v>
      </c>
    </row>
    <row r="64" spans="1:13" ht="20.399999999999999" x14ac:dyDescent="0.2">
      <c r="A64" s="359">
        <v>1</v>
      </c>
      <c r="B64" s="312" t="s">
        <v>4237</v>
      </c>
      <c r="C64" s="325" t="s">
        <v>4238</v>
      </c>
      <c r="D64" s="312">
        <v>2</v>
      </c>
      <c r="E64" s="312" t="s">
        <v>2202</v>
      </c>
      <c r="F64" s="329">
        <v>184</v>
      </c>
      <c r="G64" s="330">
        <v>173.696</v>
      </c>
      <c r="H64" s="315">
        <v>176.27199999999999</v>
      </c>
      <c r="I64" s="330">
        <v>181.24</v>
      </c>
      <c r="J64" s="330">
        <v>190.624</v>
      </c>
      <c r="K64" s="330">
        <v>194.85600000000002</v>
      </c>
      <c r="L64" s="330">
        <v>204.05599999999998</v>
      </c>
      <c r="M64" s="331">
        <v>192.648</v>
      </c>
    </row>
    <row r="65" spans="1:13" x14ac:dyDescent="0.2">
      <c r="A65" s="359">
        <v>1</v>
      </c>
      <c r="B65" s="312" t="s">
        <v>4290</v>
      </c>
      <c r="C65" s="325" t="s">
        <v>4291</v>
      </c>
      <c r="D65" s="312">
        <v>0.85699999999999998</v>
      </c>
      <c r="E65" s="312" t="s">
        <v>2377</v>
      </c>
      <c r="F65" s="329">
        <v>72</v>
      </c>
      <c r="G65" s="330">
        <v>67.968000000000004</v>
      </c>
      <c r="H65" s="315">
        <v>68.975999999999999</v>
      </c>
      <c r="I65" s="330">
        <v>70.92</v>
      </c>
      <c r="J65" s="330">
        <v>74.591999999999999</v>
      </c>
      <c r="K65" s="330">
        <v>76.248000000000019</v>
      </c>
      <c r="L65" s="330">
        <v>79.847999999999999</v>
      </c>
      <c r="M65" s="331">
        <v>75.384</v>
      </c>
    </row>
    <row r="66" spans="1:13" ht="20.399999999999999" x14ac:dyDescent="0.2">
      <c r="A66" s="359">
        <v>1</v>
      </c>
      <c r="B66" s="312" t="s">
        <v>4227</v>
      </c>
      <c r="C66" s="325" t="s">
        <v>4228</v>
      </c>
      <c r="D66" s="312">
        <v>0.06</v>
      </c>
      <c r="E66" s="312" t="s">
        <v>2202</v>
      </c>
      <c r="F66" s="329">
        <v>11.85</v>
      </c>
      <c r="G66" s="330">
        <v>11.186400000000001</v>
      </c>
      <c r="H66" s="315">
        <v>11.3523</v>
      </c>
      <c r="I66" s="330">
        <v>11.67225</v>
      </c>
      <c r="J66" s="330">
        <v>12.2766</v>
      </c>
      <c r="K66" s="330">
        <v>12.549150000000001</v>
      </c>
      <c r="L66" s="330">
        <v>13.14165</v>
      </c>
      <c r="M66" s="331">
        <v>12.406949999999998</v>
      </c>
    </row>
    <row r="67" spans="1:13" ht="20.399999999999999" x14ac:dyDescent="0.2">
      <c r="A67" s="359">
        <v>1</v>
      </c>
      <c r="B67" s="312" t="s">
        <v>4224</v>
      </c>
      <c r="C67" s="325" t="s">
        <v>4225</v>
      </c>
      <c r="D67" s="312">
        <v>0.05</v>
      </c>
      <c r="E67" s="312" t="s">
        <v>2202</v>
      </c>
      <c r="F67" s="329">
        <v>46.5</v>
      </c>
      <c r="G67" s="330">
        <v>43.896000000000001</v>
      </c>
      <c r="H67" s="315">
        <v>44.546999999999997</v>
      </c>
      <c r="I67" s="330">
        <v>45.802500000000002</v>
      </c>
      <c r="J67" s="330">
        <v>48.173999999999999</v>
      </c>
      <c r="K67" s="330">
        <v>49.243500000000004</v>
      </c>
      <c r="L67" s="330">
        <v>51.5685</v>
      </c>
      <c r="M67" s="331">
        <v>48.685499999999998</v>
      </c>
    </row>
    <row r="68" spans="1:13" ht="20.399999999999999" x14ac:dyDescent="0.2">
      <c r="A68" s="359">
        <v>1</v>
      </c>
      <c r="B68" s="312" t="s">
        <v>3857</v>
      </c>
      <c r="C68" s="325" t="s">
        <v>3858</v>
      </c>
      <c r="D68" s="312">
        <v>0.57099999999999995</v>
      </c>
      <c r="E68" s="312" t="s">
        <v>2265</v>
      </c>
      <c r="F68" s="329">
        <v>755</v>
      </c>
      <c r="G68" s="330">
        <v>712.72</v>
      </c>
      <c r="H68" s="315">
        <v>723.29</v>
      </c>
      <c r="I68" s="330">
        <v>743.67499999999995</v>
      </c>
      <c r="J68" s="330">
        <v>782.18000000000006</v>
      </c>
      <c r="K68" s="330">
        <v>799.54500000000007</v>
      </c>
      <c r="L68" s="330">
        <v>837.29499999999996</v>
      </c>
      <c r="M68" s="331">
        <v>790.4849999999999</v>
      </c>
    </row>
    <row r="69" spans="1:13" ht="20.399999999999999" x14ac:dyDescent="0.2">
      <c r="A69" s="359">
        <v>1</v>
      </c>
      <c r="B69" s="312" t="s">
        <v>3854</v>
      </c>
      <c r="C69" s="325" t="s">
        <v>3855</v>
      </c>
      <c r="D69" s="312">
        <v>0.5</v>
      </c>
      <c r="E69" s="312" t="s">
        <v>2265</v>
      </c>
      <c r="F69" s="329">
        <v>620</v>
      </c>
      <c r="G69" s="330">
        <v>585.28000000000009</v>
      </c>
      <c r="H69" s="315">
        <v>593.95999999999992</v>
      </c>
      <c r="I69" s="330">
        <v>610.70000000000005</v>
      </c>
      <c r="J69" s="330">
        <v>642.32000000000005</v>
      </c>
      <c r="K69" s="330">
        <v>656.58000000000015</v>
      </c>
      <c r="L69" s="330">
        <v>687.58</v>
      </c>
      <c r="M69" s="331">
        <v>649.14</v>
      </c>
    </row>
    <row r="70" spans="1:13" ht="20.399999999999999" x14ac:dyDescent="0.2">
      <c r="A70" s="359">
        <v>1</v>
      </c>
      <c r="B70" s="312" t="s">
        <v>3848</v>
      </c>
      <c r="C70" s="325" t="s">
        <v>3849</v>
      </c>
      <c r="D70" s="312">
        <v>1</v>
      </c>
      <c r="E70" s="312" t="s">
        <v>2265</v>
      </c>
      <c r="F70" s="329">
        <v>910</v>
      </c>
      <c r="G70" s="330">
        <v>859.04000000000008</v>
      </c>
      <c r="H70" s="315">
        <v>871.78</v>
      </c>
      <c r="I70" s="330">
        <v>896.35</v>
      </c>
      <c r="J70" s="330">
        <v>942.76</v>
      </c>
      <c r="K70" s="330">
        <v>963.69000000000017</v>
      </c>
      <c r="L70" s="330">
        <v>1009.1899999999999</v>
      </c>
      <c r="M70" s="331">
        <v>952.77</v>
      </c>
    </row>
    <row r="71" spans="1:13" ht="20.399999999999999" x14ac:dyDescent="0.2">
      <c r="A71" s="359">
        <v>1</v>
      </c>
      <c r="B71" s="312" t="s">
        <v>3851</v>
      </c>
      <c r="C71" s="325" t="s">
        <v>3852</v>
      </c>
      <c r="D71" s="312">
        <v>1.143</v>
      </c>
      <c r="E71" s="312" t="s">
        <v>2265</v>
      </c>
      <c r="F71" s="329">
        <v>1175</v>
      </c>
      <c r="G71" s="330">
        <v>1109.2</v>
      </c>
      <c r="H71" s="315">
        <v>1125.6499999999999</v>
      </c>
      <c r="I71" s="330">
        <v>1157.375</v>
      </c>
      <c r="J71" s="330">
        <v>1217.3</v>
      </c>
      <c r="K71" s="330">
        <v>1244.3250000000003</v>
      </c>
      <c r="L71" s="330">
        <v>1303.075</v>
      </c>
      <c r="M71" s="331">
        <v>1230.2249999999999</v>
      </c>
    </row>
    <row r="72" spans="1:13" ht="20.399999999999999" x14ac:dyDescent="0.2">
      <c r="A72" s="359">
        <v>1</v>
      </c>
      <c r="B72" s="312" t="s">
        <v>3845</v>
      </c>
      <c r="C72" s="325" t="s">
        <v>3846</v>
      </c>
      <c r="D72" s="312">
        <v>0.57099999999999995</v>
      </c>
      <c r="E72" s="312" t="s">
        <v>2265</v>
      </c>
      <c r="F72" s="329">
        <v>1150</v>
      </c>
      <c r="G72" s="330">
        <v>1085.6000000000001</v>
      </c>
      <c r="H72" s="315">
        <v>1101.7</v>
      </c>
      <c r="I72" s="330">
        <v>1132.75</v>
      </c>
      <c r="J72" s="330">
        <v>1191.4000000000001</v>
      </c>
      <c r="K72" s="330">
        <v>1217.8500000000001</v>
      </c>
      <c r="L72" s="330">
        <v>1275.3499999999999</v>
      </c>
      <c r="M72" s="331">
        <v>1204.05</v>
      </c>
    </row>
    <row r="73" spans="1:13" ht="20.399999999999999" x14ac:dyDescent="0.2">
      <c r="A73" s="359">
        <v>1</v>
      </c>
      <c r="B73" s="312" t="s">
        <v>3842</v>
      </c>
      <c r="C73" s="325" t="s">
        <v>3843</v>
      </c>
      <c r="D73" s="312">
        <v>0.66700000000000004</v>
      </c>
      <c r="E73" s="312" t="s">
        <v>2265</v>
      </c>
      <c r="F73" s="329">
        <v>615</v>
      </c>
      <c r="G73" s="330">
        <v>580.56000000000006</v>
      </c>
      <c r="H73" s="315">
        <v>589.16999999999996</v>
      </c>
      <c r="I73" s="330">
        <v>605.77499999999998</v>
      </c>
      <c r="J73" s="330">
        <v>637.14</v>
      </c>
      <c r="K73" s="330">
        <v>651.28500000000008</v>
      </c>
      <c r="L73" s="330">
        <v>682.03499999999997</v>
      </c>
      <c r="M73" s="331">
        <v>643.90499999999997</v>
      </c>
    </row>
    <row r="74" spans="1:13" ht="20.399999999999999" x14ac:dyDescent="0.2">
      <c r="A74" s="359">
        <v>1</v>
      </c>
      <c r="B74" s="312" t="s">
        <v>3839</v>
      </c>
      <c r="C74" s="325" t="s">
        <v>3840</v>
      </c>
      <c r="D74" s="312">
        <v>0.57099999999999995</v>
      </c>
      <c r="E74" s="312" t="s">
        <v>2265</v>
      </c>
      <c r="F74" s="329">
        <v>480</v>
      </c>
      <c r="G74" s="330">
        <v>453.12</v>
      </c>
      <c r="H74" s="315">
        <v>459.84</v>
      </c>
      <c r="I74" s="330">
        <v>472.8</v>
      </c>
      <c r="J74" s="330">
        <v>497.28000000000003</v>
      </c>
      <c r="K74" s="330">
        <v>508.32000000000005</v>
      </c>
      <c r="L74" s="330">
        <v>532.31999999999994</v>
      </c>
      <c r="M74" s="331">
        <v>502.55999999999995</v>
      </c>
    </row>
    <row r="75" spans="1:13" ht="20.399999999999999" x14ac:dyDescent="0.2">
      <c r="A75" s="359">
        <v>1</v>
      </c>
      <c r="B75" s="312" t="s">
        <v>3800</v>
      </c>
      <c r="C75" s="325" t="s">
        <v>3801</v>
      </c>
      <c r="E75" s="312" t="s">
        <v>2202</v>
      </c>
      <c r="F75" s="329">
        <v>1.98</v>
      </c>
      <c r="G75" s="330">
        <v>1.8691200000000001</v>
      </c>
      <c r="H75" s="315">
        <v>1.8968399999999999</v>
      </c>
      <c r="I75" s="330">
        <v>1.9502999999999999</v>
      </c>
      <c r="J75" s="330">
        <v>2.0512800000000002</v>
      </c>
      <c r="K75" s="330">
        <v>2.0968200000000001</v>
      </c>
      <c r="L75" s="330">
        <v>2.1958199999999999</v>
      </c>
      <c r="M75" s="331">
        <v>2.0730599999999999</v>
      </c>
    </row>
    <row r="76" spans="1:13" ht="20.399999999999999" x14ac:dyDescent="0.2">
      <c r="A76" s="359">
        <v>1</v>
      </c>
      <c r="B76" s="312" t="s">
        <v>3803</v>
      </c>
      <c r="C76" s="325" t="s">
        <v>3804</v>
      </c>
      <c r="E76" s="312" t="s">
        <v>2202</v>
      </c>
      <c r="F76" s="329">
        <v>1.98</v>
      </c>
      <c r="G76" s="330">
        <v>1.8691200000000001</v>
      </c>
      <c r="H76" s="315">
        <v>1.8968399999999999</v>
      </c>
      <c r="I76" s="330">
        <v>1.9502999999999999</v>
      </c>
      <c r="J76" s="330">
        <v>2.0512800000000002</v>
      </c>
      <c r="K76" s="330">
        <v>2.0968200000000001</v>
      </c>
      <c r="L76" s="330">
        <v>2.1958199999999999</v>
      </c>
      <c r="M76" s="331">
        <v>2.0730599999999999</v>
      </c>
    </row>
    <row r="77" spans="1:13" ht="20.399999999999999" x14ac:dyDescent="0.2">
      <c r="A77" s="359">
        <v>1</v>
      </c>
      <c r="B77" s="312" t="s">
        <v>3806</v>
      </c>
      <c r="C77" s="325" t="s">
        <v>3807</v>
      </c>
      <c r="E77" s="312" t="s">
        <v>2202</v>
      </c>
      <c r="F77" s="329">
        <v>1.958</v>
      </c>
      <c r="G77" s="330">
        <v>1.848352</v>
      </c>
      <c r="H77" s="315">
        <v>1.875764</v>
      </c>
      <c r="I77" s="330">
        <v>1.9286299999999998</v>
      </c>
      <c r="J77" s="330">
        <v>2.0284879999999998</v>
      </c>
      <c r="K77" s="330">
        <v>2.0735220000000001</v>
      </c>
      <c r="L77" s="330">
        <v>2.1714219999999997</v>
      </c>
      <c r="M77" s="331">
        <v>2.0500259999999999</v>
      </c>
    </row>
    <row r="78" spans="1:13" ht="20.399999999999999" x14ac:dyDescent="0.2">
      <c r="A78" s="359">
        <v>1</v>
      </c>
      <c r="B78" s="312" t="s">
        <v>3815</v>
      </c>
      <c r="C78" s="325" t="s">
        <v>3816</v>
      </c>
      <c r="E78" s="312" t="s">
        <v>2202</v>
      </c>
      <c r="F78" s="329">
        <v>4.202</v>
      </c>
      <c r="G78" s="330">
        <v>3.9666880000000004</v>
      </c>
      <c r="H78" s="315">
        <v>4.0255159999999997</v>
      </c>
      <c r="I78" s="330">
        <v>4.1389699999999996</v>
      </c>
      <c r="J78" s="330">
        <v>4.3532720000000005</v>
      </c>
      <c r="K78" s="330">
        <v>4.4499180000000003</v>
      </c>
      <c r="L78" s="330">
        <v>4.660018</v>
      </c>
      <c r="M78" s="331">
        <v>4.3994939999999998</v>
      </c>
    </row>
    <row r="79" spans="1:13" ht="20.399999999999999" x14ac:dyDescent="0.2">
      <c r="A79" s="359">
        <v>1</v>
      </c>
      <c r="B79" s="312" t="s">
        <v>3818</v>
      </c>
      <c r="C79" s="325" t="s">
        <v>3819</v>
      </c>
      <c r="E79" s="312" t="s">
        <v>2202</v>
      </c>
      <c r="F79" s="329">
        <v>4.1910000000000007</v>
      </c>
      <c r="G79" s="330">
        <v>3.9563040000000012</v>
      </c>
      <c r="H79" s="315">
        <v>4.0149780000000002</v>
      </c>
      <c r="I79" s="330">
        <v>4.1281350000000003</v>
      </c>
      <c r="J79" s="330">
        <v>4.341876000000001</v>
      </c>
      <c r="K79" s="330">
        <v>4.4382690000000018</v>
      </c>
      <c r="L79" s="330">
        <v>4.647819000000001</v>
      </c>
      <c r="M79" s="331">
        <v>4.3879770000000002</v>
      </c>
    </row>
    <row r="80" spans="1:13" ht="20.399999999999999" x14ac:dyDescent="0.2">
      <c r="A80" s="359">
        <v>1</v>
      </c>
      <c r="B80" s="312" t="s">
        <v>3809</v>
      </c>
      <c r="C80" s="325" t="s">
        <v>3810</v>
      </c>
      <c r="E80" s="312" t="s">
        <v>2202</v>
      </c>
      <c r="F80" s="329">
        <v>3.3439999999999999</v>
      </c>
      <c r="G80" s="330">
        <v>3.156736</v>
      </c>
      <c r="H80" s="315">
        <v>3.2035519999999997</v>
      </c>
      <c r="I80" s="330">
        <v>3.2938399999999999</v>
      </c>
      <c r="J80" s="330">
        <v>3.4643839999999999</v>
      </c>
      <c r="K80" s="330">
        <v>3.5412960000000004</v>
      </c>
      <c r="L80" s="330">
        <v>3.7084959999999998</v>
      </c>
      <c r="M80" s="331">
        <v>3.5011679999999998</v>
      </c>
    </row>
    <row r="81" spans="1:13" ht="20.399999999999999" x14ac:dyDescent="0.2">
      <c r="A81" s="359">
        <v>1</v>
      </c>
      <c r="B81" s="312" t="s">
        <v>3812</v>
      </c>
      <c r="C81" s="325" t="s">
        <v>3813</v>
      </c>
      <c r="E81" s="312" t="s">
        <v>2202</v>
      </c>
      <c r="F81" s="329">
        <v>3.3439999999999999</v>
      </c>
      <c r="G81" s="330">
        <v>3.156736</v>
      </c>
      <c r="H81" s="315">
        <v>3.2035519999999997</v>
      </c>
      <c r="I81" s="330">
        <v>3.2938399999999999</v>
      </c>
      <c r="J81" s="330">
        <v>3.4643839999999999</v>
      </c>
      <c r="K81" s="330">
        <v>3.5412960000000004</v>
      </c>
      <c r="L81" s="330">
        <v>3.7084959999999998</v>
      </c>
      <c r="M81" s="331">
        <v>3.5011679999999998</v>
      </c>
    </row>
    <row r="82" spans="1:13" ht="20.399999999999999" x14ac:dyDescent="0.2">
      <c r="A82" s="359">
        <v>1</v>
      </c>
      <c r="B82" s="312" t="s">
        <v>3773</v>
      </c>
      <c r="C82" s="325" t="s">
        <v>3774</v>
      </c>
      <c r="D82" s="312">
        <v>0.17399999999999999</v>
      </c>
      <c r="E82" s="312" t="s">
        <v>2202</v>
      </c>
      <c r="F82" s="329">
        <v>16.649999999999999</v>
      </c>
      <c r="G82" s="330">
        <v>15.717599999999999</v>
      </c>
      <c r="H82" s="315">
        <v>15.950699999999998</v>
      </c>
      <c r="I82" s="330">
        <v>16.40025</v>
      </c>
      <c r="J82" s="330">
        <v>17.249399999999998</v>
      </c>
      <c r="K82" s="330">
        <v>17.632350000000002</v>
      </c>
      <c r="L82" s="330">
        <v>18.464849999999998</v>
      </c>
      <c r="M82" s="331">
        <v>17.432549999999999</v>
      </c>
    </row>
    <row r="83" spans="1:13" ht="20.399999999999999" x14ac:dyDescent="0.2">
      <c r="A83" s="359">
        <v>1</v>
      </c>
      <c r="B83" s="312" t="s">
        <v>3767</v>
      </c>
      <c r="C83" s="325" t="s">
        <v>3768</v>
      </c>
      <c r="D83" s="312">
        <v>0.14799999999999999</v>
      </c>
      <c r="E83" s="312" t="s">
        <v>2202</v>
      </c>
      <c r="F83" s="329">
        <v>13.5</v>
      </c>
      <c r="G83" s="330">
        <v>12.744000000000002</v>
      </c>
      <c r="H83" s="315">
        <v>12.933</v>
      </c>
      <c r="I83" s="330">
        <v>13.297499999999999</v>
      </c>
      <c r="J83" s="330">
        <v>13.986000000000001</v>
      </c>
      <c r="K83" s="330">
        <v>14.296500000000002</v>
      </c>
      <c r="L83" s="330">
        <v>14.971499999999999</v>
      </c>
      <c r="M83" s="331">
        <v>14.134499999999999</v>
      </c>
    </row>
    <row r="84" spans="1:13" ht="20.399999999999999" x14ac:dyDescent="0.2">
      <c r="A84" s="359">
        <v>1</v>
      </c>
      <c r="B84" s="312" t="s">
        <v>3779</v>
      </c>
      <c r="C84" s="325" t="s">
        <v>3780</v>
      </c>
      <c r="D84" s="312">
        <v>0.222</v>
      </c>
      <c r="E84" s="312" t="s">
        <v>2202</v>
      </c>
      <c r="F84" s="329">
        <v>20.5</v>
      </c>
      <c r="G84" s="330">
        <v>19.352</v>
      </c>
      <c r="H84" s="315">
        <v>19.638999999999999</v>
      </c>
      <c r="I84" s="330">
        <v>20.192499999999999</v>
      </c>
      <c r="J84" s="330">
        <v>21.238</v>
      </c>
      <c r="K84" s="330">
        <v>21.709500000000002</v>
      </c>
      <c r="L84" s="330">
        <v>22.734500000000001</v>
      </c>
      <c r="M84" s="331">
        <v>21.4635</v>
      </c>
    </row>
    <row r="85" spans="1:13" ht="20.399999999999999" x14ac:dyDescent="0.2">
      <c r="A85" s="359">
        <v>1</v>
      </c>
      <c r="B85" s="312" t="s">
        <v>3776</v>
      </c>
      <c r="C85" s="325" t="s">
        <v>3777</v>
      </c>
      <c r="D85" s="312">
        <v>0.19</v>
      </c>
      <c r="E85" s="312" t="s">
        <v>2202</v>
      </c>
      <c r="F85" s="329">
        <v>18.600000000000001</v>
      </c>
      <c r="G85" s="330">
        <v>17.558400000000002</v>
      </c>
      <c r="H85" s="315">
        <v>17.8188</v>
      </c>
      <c r="I85" s="330">
        <v>18.321000000000002</v>
      </c>
      <c r="J85" s="330">
        <v>19.269600000000001</v>
      </c>
      <c r="K85" s="330">
        <v>19.697400000000005</v>
      </c>
      <c r="L85" s="330">
        <v>20.627400000000002</v>
      </c>
      <c r="M85" s="331">
        <v>19.4742</v>
      </c>
    </row>
    <row r="86" spans="1:13" ht="20.399999999999999" x14ac:dyDescent="0.2">
      <c r="A86" s="359">
        <v>1</v>
      </c>
      <c r="B86" s="312" t="s">
        <v>3782</v>
      </c>
      <c r="C86" s="325" t="s">
        <v>3783</v>
      </c>
      <c r="D86" s="312">
        <v>0.27100000000000002</v>
      </c>
      <c r="E86" s="312" t="s">
        <v>2202</v>
      </c>
      <c r="F86" s="329">
        <v>23.5</v>
      </c>
      <c r="G86" s="330">
        <v>22.184000000000001</v>
      </c>
      <c r="H86" s="315">
        <v>22.512999999999998</v>
      </c>
      <c r="I86" s="330">
        <v>23.147500000000001</v>
      </c>
      <c r="J86" s="330">
        <v>24.346</v>
      </c>
      <c r="K86" s="330">
        <v>24.886500000000005</v>
      </c>
      <c r="L86" s="330">
        <v>26.061499999999999</v>
      </c>
      <c r="M86" s="331">
        <v>24.604499999999998</v>
      </c>
    </row>
    <row r="87" spans="1:13" ht="20.399999999999999" x14ac:dyDescent="0.2">
      <c r="A87" s="359">
        <v>1</v>
      </c>
      <c r="B87" s="312" t="s">
        <v>3785</v>
      </c>
      <c r="C87" s="325" t="s">
        <v>3786</v>
      </c>
      <c r="D87" s="312">
        <v>0.28599999999999998</v>
      </c>
      <c r="E87" s="312" t="s">
        <v>2202</v>
      </c>
      <c r="F87" s="329">
        <v>26.5</v>
      </c>
      <c r="G87" s="330">
        <v>25.016000000000002</v>
      </c>
      <c r="H87" s="315">
        <v>25.387</v>
      </c>
      <c r="I87" s="330">
        <v>26.102499999999999</v>
      </c>
      <c r="J87" s="330">
        <v>27.454000000000001</v>
      </c>
      <c r="K87" s="330">
        <v>28.063500000000005</v>
      </c>
      <c r="L87" s="330">
        <v>29.388500000000001</v>
      </c>
      <c r="M87" s="331">
        <v>27.7455</v>
      </c>
    </row>
    <row r="88" spans="1:13" ht="20.399999999999999" x14ac:dyDescent="0.2">
      <c r="A88" s="359">
        <v>1</v>
      </c>
      <c r="B88" s="312" t="s">
        <v>3788</v>
      </c>
      <c r="C88" s="325" t="s">
        <v>3789</v>
      </c>
      <c r="D88" s="312">
        <v>0.30199999999999999</v>
      </c>
      <c r="E88" s="312" t="s">
        <v>2202</v>
      </c>
      <c r="F88" s="329">
        <v>30</v>
      </c>
      <c r="G88" s="330">
        <v>28.32</v>
      </c>
      <c r="H88" s="315">
        <v>28.74</v>
      </c>
      <c r="I88" s="330">
        <v>29.55</v>
      </c>
      <c r="J88" s="330">
        <v>31.080000000000002</v>
      </c>
      <c r="K88" s="330">
        <v>31.770000000000003</v>
      </c>
      <c r="L88" s="330">
        <v>33.269999999999996</v>
      </c>
      <c r="M88" s="331">
        <v>31.409999999999997</v>
      </c>
    </row>
    <row r="89" spans="1:13" ht="20.399999999999999" x14ac:dyDescent="0.2">
      <c r="A89" s="359">
        <v>1</v>
      </c>
      <c r="B89" s="312" t="s">
        <v>3770</v>
      </c>
      <c r="C89" s="325" t="s">
        <v>3771</v>
      </c>
      <c r="D89" s="312">
        <v>0.157</v>
      </c>
      <c r="E89" s="312" t="s">
        <v>2202</v>
      </c>
      <c r="F89" s="329">
        <v>14.35</v>
      </c>
      <c r="G89" s="330">
        <v>13.5464</v>
      </c>
      <c r="H89" s="315">
        <v>13.747299999999999</v>
      </c>
      <c r="I89" s="330">
        <v>14.134749999999999</v>
      </c>
      <c r="J89" s="330">
        <v>14.8666</v>
      </c>
      <c r="K89" s="330">
        <v>15.196650000000002</v>
      </c>
      <c r="L89" s="330">
        <v>15.914149999999999</v>
      </c>
      <c r="M89" s="331">
        <v>15.024449999999998</v>
      </c>
    </row>
    <row r="90" spans="1:13" ht="20.399999999999999" x14ac:dyDescent="0.2">
      <c r="A90" s="359">
        <v>1</v>
      </c>
      <c r="B90" s="312" t="s">
        <v>3791</v>
      </c>
      <c r="C90" s="325" t="s">
        <v>3792</v>
      </c>
      <c r="D90" s="312">
        <v>0.33300000000000002</v>
      </c>
      <c r="E90" s="312" t="s">
        <v>2202</v>
      </c>
      <c r="F90" s="329">
        <v>35</v>
      </c>
      <c r="G90" s="330">
        <v>33.04</v>
      </c>
      <c r="H90" s="315">
        <v>33.53</v>
      </c>
      <c r="I90" s="330">
        <v>34.475000000000001</v>
      </c>
      <c r="J90" s="330">
        <v>36.26</v>
      </c>
      <c r="K90" s="330">
        <v>37.065000000000005</v>
      </c>
      <c r="L90" s="330">
        <v>38.814999999999998</v>
      </c>
      <c r="M90" s="331">
        <v>36.644999999999996</v>
      </c>
    </row>
    <row r="91" spans="1:13" ht="20.399999999999999" x14ac:dyDescent="0.2">
      <c r="A91" s="359">
        <v>1</v>
      </c>
      <c r="B91" s="312" t="s">
        <v>3794</v>
      </c>
      <c r="C91" s="325" t="s">
        <v>3795</v>
      </c>
      <c r="D91" s="312">
        <v>0.372</v>
      </c>
      <c r="E91" s="312" t="s">
        <v>2202</v>
      </c>
      <c r="F91" s="329">
        <v>42.5</v>
      </c>
      <c r="G91" s="330">
        <v>40.120000000000005</v>
      </c>
      <c r="H91" s="315">
        <v>40.714999999999996</v>
      </c>
      <c r="I91" s="330">
        <v>41.862499999999997</v>
      </c>
      <c r="J91" s="330">
        <v>44.03</v>
      </c>
      <c r="K91" s="330">
        <v>45.007500000000007</v>
      </c>
      <c r="L91" s="330">
        <v>47.1325</v>
      </c>
      <c r="M91" s="331">
        <v>44.497499999999995</v>
      </c>
    </row>
    <row r="92" spans="1:13" ht="20.399999999999999" x14ac:dyDescent="0.2">
      <c r="A92" s="359">
        <v>1</v>
      </c>
      <c r="B92" s="312" t="s">
        <v>3797</v>
      </c>
      <c r="C92" s="325" t="s">
        <v>3798</v>
      </c>
      <c r="D92" s="312">
        <v>0.41</v>
      </c>
      <c r="E92" s="312" t="s">
        <v>2202</v>
      </c>
      <c r="F92" s="329">
        <v>51</v>
      </c>
      <c r="G92" s="330">
        <v>48.144000000000005</v>
      </c>
      <c r="H92" s="315">
        <v>48.857999999999997</v>
      </c>
      <c r="I92" s="330">
        <v>50.234999999999999</v>
      </c>
      <c r="J92" s="330">
        <v>52.835999999999999</v>
      </c>
      <c r="K92" s="330">
        <v>54.009000000000007</v>
      </c>
      <c r="L92" s="330">
        <v>56.558999999999997</v>
      </c>
      <c r="M92" s="331">
        <v>53.396999999999998</v>
      </c>
    </row>
    <row r="93" spans="1:13" x14ac:dyDescent="0.2">
      <c r="A93" s="359">
        <v>1</v>
      </c>
      <c r="B93" s="312" t="s">
        <v>3764</v>
      </c>
      <c r="C93" s="325" t="s">
        <v>3765</v>
      </c>
      <c r="D93" s="312">
        <v>0.05</v>
      </c>
      <c r="E93" s="312" t="s">
        <v>2202</v>
      </c>
      <c r="F93" s="329">
        <v>7.35</v>
      </c>
      <c r="G93" s="330">
        <v>6.9383999999999997</v>
      </c>
      <c r="H93" s="315">
        <v>7.0412999999999997</v>
      </c>
      <c r="I93" s="330">
        <v>7.2397499999999999</v>
      </c>
      <c r="J93" s="330">
        <v>7.6146000000000003</v>
      </c>
      <c r="K93" s="330">
        <v>7.7836500000000006</v>
      </c>
      <c r="L93" s="330">
        <v>8.1511499999999995</v>
      </c>
      <c r="M93" s="331">
        <v>7.6954499999999992</v>
      </c>
    </row>
    <row r="94" spans="1:13" x14ac:dyDescent="0.2">
      <c r="A94" s="359">
        <v>1</v>
      </c>
      <c r="B94" s="312" t="s">
        <v>3761</v>
      </c>
      <c r="C94" s="325" t="s">
        <v>3762</v>
      </c>
      <c r="D94" s="312">
        <v>0.05</v>
      </c>
      <c r="E94" s="312" t="s">
        <v>2202</v>
      </c>
      <c r="F94" s="329">
        <v>9.6</v>
      </c>
      <c r="G94" s="330">
        <v>9.0624000000000002</v>
      </c>
      <c r="H94" s="315">
        <v>9.1967999999999996</v>
      </c>
      <c r="I94" s="330">
        <v>9.4559999999999995</v>
      </c>
      <c r="J94" s="330">
        <v>9.9456000000000007</v>
      </c>
      <c r="K94" s="330">
        <v>10.166400000000001</v>
      </c>
      <c r="L94" s="330">
        <v>10.6464</v>
      </c>
      <c r="M94" s="331">
        <v>10.0512</v>
      </c>
    </row>
    <row r="95" spans="1:13" ht="30.6" x14ac:dyDescent="0.2">
      <c r="A95" s="359">
        <v>1</v>
      </c>
      <c r="B95" s="312" t="s">
        <v>3710</v>
      </c>
      <c r="C95" s="325" t="s">
        <v>3711</v>
      </c>
      <c r="D95" s="312">
        <v>0.15</v>
      </c>
      <c r="E95" s="312" t="s">
        <v>2301</v>
      </c>
      <c r="F95" s="329">
        <v>26.5</v>
      </c>
      <c r="G95" s="330">
        <v>25.016000000000002</v>
      </c>
      <c r="H95" s="315">
        <v>25.387</v>
      </c>
      <c r="I95" s="330">
        <v>26.102499999999999</v>
      </c>
      <c r="J95" s="330">
        <v>27.454000000000001</v>
      </c>
      <c r="K95" s="330">
        <v>28.063500000000005</v>
      </c>
      <c r="L95" s="330">
        <v>29.388500000000001</v>
      </c>
      <c r="M95" s="331">
        <v>27.7455</v>
      </c>
    </row>
    <row r="96" spans="1:13" ht="20.399999999999999" x14ac:dyDescent="0.2">
      <c r="A96" s="359">
        <v>1</v>
      </c>
      <c r="B96" s="312" t="s">
        <v>3713</v>
      </c>
      <c r="C96" s="325" t="s">
        <v>3714</v>
      </c>
      <c r="D96" s="312">
        <v>0.17499999999999999</v>
      </c>
      <c r="E96" s="312" t="s">
        <v>2301</v>
      </c>
      <c r="F96" s="329">
        <v>30.5</v>
      </c>
      <c r="G96" s="330">
        <v>28.792000000000002</v>
      </c>
      <c r="H96" s="315">
        <v>29.218999999999998</v>
      </c>
      <c r="I96" s="330">
        <v>30.0425</v>
      </c>
      <c r="J96" s="330">
        <v>31.598000000000003</v>
      </c>
      <c r="K96" s="330">
        <v>32.299500000000002</v>
      </c>
      <c r="L96" s="330">
        <v>33.8245</v>
      </c>
      <c r="M96" s="331">
        <v>31.933499999999999</v>
      </c>
    </row>
    <row r="97" spans="1:13" ht="30.6" x14ac:dyDescent="0.2">
      <c r="A97" s="359">
        <v>1</v>
      </c>
      <c r="B97" s="312" t="s">
        <v>3706</v>
      </c>
      <c r="C97" s="325" t="s">
        <v>3707</v>
      </c>
      <c r="D97" s="312">
        <v>0.13700000000000001</v>
      </c>
      <c r="E97" s="312" t="s">
        <v>2301</v>
      </c>
      <c r="F97" s="329">
        <v>25</v>
      </c>
      <c r="G97" s="330">
        <v>23.6</v>
      </c>
      <c r="H97" s="315">
        <v>23.95</v>
      </c>
      <c r="I97" s="330">
        <v>24.625</v>
      </c>
      <c r="J97" s="330">
        <v>25.900000000000002</v>
      </c>
      <c r="K97" s="330">
        <v>26.475000000000005</v>
      </c>
      <c r="L97" s="330">
        <v>27.725000000000001</v>
      </c>
      <c r="M97" s="331">
        <v>26.174999999999997</v>
      </c>
    </row>
    <row r="98" spans="1:13" ht="30.6" x14ac:dyDescent="0.2">
      <c r="A98" s="359">
        <v>1</v>
      </c>
      <c r="B98" s="312" t="s">
        <v>3716</v>
      </c>
      <c r="C98" s="325" t="s">
        <v>3717</v>
      </c>
      <c r="D98" s="312">
        <v>0.107</v>
      </c>
      <c r="E98" s="312" t="s">
        <v>2301</v>
      </c>
      <c r="F98" s="329">
        <v>19.600000000000001</v>
      </c>
      <c r="G98" s="330">
        <v>18.502400000000002</v>
      </c>
      <c r="H98" s="315">
        <v>18.776800000000001</v>
      </c>
      <c r="I98" s="330">
        <v>19.306000000000001</v>
      </c>
      <c r="J98" s="330">
        <v>20.305600000000002</v>
      </c>
      <c r="K98" s="330">
        <v>20.756400000000006</v>
      </c>
      <c r="L98" s="330">
        <v>21.7364</v>
      </c>
      <c r="M98" s="331">
        <v>20.5212</v>
      </c>
    </row>
    <row r="99" spans="1:13" ht="30.6" x14ac:dyDescent="0.2">
      <c r="A99" s="359">
        <v>1</v>
      </c>
      <c r="B99" s="312" t="s">
        <v>3719</v>
      </c>
      <c r="C99" s="325" t="s">
        <v>3720</v>
      </c>
      <c r="D99" s="312">
        <v>0.11600000000000001</v>
      </c>
      <c r="E99" s="312" t="s">
        <v>2301</v>
      </c>
      <c r="F99" s="329">
        <v>21</v>
      </c>
      <c r="G99" s="330">
        <v>19.824000000000002</v>
      </c>
      <c r="H99" s="315">
        <v>20.117999999999999</v>
      </c>
      <c r="I99" s="330">
        <v>20.684999999999999</v>
      </c>
      <c r="J99" s="330">
        <v>21.756</v>
      </c>
      <c r="K99" s="330">
        <v>22.239000000000004</v>
      </c>
      <c r="L99" s="330">
        <v>23.289000000000001</v>
      </c>
      <c r="M99" s="331">
        <v>21.986999999999998</v>
      </c>
    </row>
    <row r="100" spans="1:13" ht="30.6" x14ac:dyDescent="0.2">
      <c r="A100" s="359">
        <v>1</v>
      </c>
      <c r="B100" s="312" t="s">
        <v>3731</v>
      </c>
      <c r="C100" s="325" t="s">
        <v>3732</v>
      </c>
      <c r="D100" s="312">
        <v>0.13300000000000001</v>
      </c>
      <c r="E100" s="312" t="s">
        <v>2301</v>
      </c>
      <c r="F100" s="329">
        <v>23.5</v>
      </c>
      <c r="G100" s="330">
        <v>22.184000000000001</v>
      </c>
      <c r="H100" s="315">
        <v>22.512999999999998</v>
      </c>
      <c r="I100" s="330">
        <v>23.147500000000001</v>
      </c>
      <c r="J100" s="330">
        <v>24.346</v>
      </c>
      <c r="K100" s="330">
        <v>24.886500000000005</v>
      </c>
      <c r="L100" s="330">
        <v>26.061499999999999</v>
      </c>
      <c r="M100" s="331">
        <v>24.604499999999998</v>
      </c>
    </row>
    <row r="101" spans="1:13" ht="30.6" x14ac:dyDescent="0.2">
      <c r="A101" s="359">
        <v>1</v>
      </c>
      <c r="B101" s="312" t="s">
        <v>3722</v>
      </c>
      <c r="C101" s="325" t="s">
        <v>3723</v>
      </c>
      <c r="D101" s="312">
        <v>7.3999999999999996E-2</v>
      </c>
      <c r="E101" s="312" t="s">
        <v>2301</v>
      </c>
      <c r="F101" s="329">
        <v>14.95</v>
      </c>
      <c r="G101" s="330">
        <v>14.1128</v>
      </c>
      <c r="H101" s="315">
        <v>14.322099999999999</v>
      </c>
      <c r="I101" s="330">
        <v>14.72575</v>
      </c>
      <c r="J101" s="330">
        <v>15.488199999999999</v>
      </c>
      <c r="K101" s="330">
        <v>15.832050000000002</v>
      </c>
      <c r="L101" s="330">
        <v>16.579549999999998</v>
      </c>
      <c r="M101" s="331">
        <v>15.652649999999998</v>
      </c>
    </row>
    <row r="102" spans="1:13" ht="30.6" x14ac:dyDescent="0.2">
      <c r="A102" s="359">
        <v>1</v>
      </c>
      <c r="B102" s="312" t="s">
        <v>3725</v>
      </c>
      <c r="C102" s="325" t="s">
        <v>3726</v>
      </c>
      <c r="D102" s="312">
        <v>0.08</v>
      </c>
      <c r="E102" s="312" t="s">
        <v>2301</v>
      </c>
      <c r="F102" s="329">
        <v>16.100000000000001</v>
      </c>
      <c r="G102" s="330">
        <v>15.198400000000003</v>
      </c>
      <c r="H102" s="315">
        <v>15.4238</v>
      </c>
      <c r="I102" s="330">
        <v>15.858500000000001</v>
      </c>
      <c r="J102" s="330">
        <v>16.679600000000001</v>
      </c>
      <c r="K102" s="330">
        <v>17.049900000000004</v>
      </c>
      <c r="L102" s="330">
        <v>17.854900000000001</v>
      </c>
      <c r="M102" s="331">
        <v>16.8567</v>
      </c>
    </row>
    <row r="103" spans="1:13" ht="30.6" x14ac:dyDescent="0.2">
      <c r="A103" s="359">
        <v>1</v>
      </c>
      <c r="B103" s="312" t="s">
        <v>3728</v>
      </c>
      <c r="C103" s="325" t="s">
        <v>3729</v>
      </c>
      <c r="D103" s="312">
        <v>9.8000000000000004E-2</v>
      </c>
      <c r="E103" s="312" t="s">
        <v>2301</v>
      </c>
      <c r="F103" s="329">
        <v>18.600000000000001</v>
      </c>
      <c r="G103" s="330">
        <v>17.558400000000002</v>
      </c>
      <c r="H103" s="315">
        <v>17.8188</v>
      </c>
      <c r="I103" s="330">
        <v>18.321000000000002</v>
      </c>
      <c r="J103" s="330">
        <v>19.269600000000001</v>
      </c>
      <c r="K103" s="330">
        <v>19.697400000000005</v>
      </c>
      <c r="L103" s="330">
        <v>20.627400000000002</v>
      </c>
      <c r="M103" s="331">
        <v>19.4742</v>
      </c>
    </row>
    <row r="104" spans="1:13" ht="30.6" x14ac:dyDescent="0.2">
      <c r="A104" s="359">
        <v>1</v>
      </c>
      <c r="B104" s="312" t="s">
        <v>3737</v>
      </c>
      <c r="C104" s="325" t="s">
        <v>3738</v>
      </c>
      <c r="D104" s="312">
        <v>0.11600000000000001</v>
      </c>
      <c r="E104" s="312" t="s">
        <v>2301</v>
      </c>
      <c r="F104" s="329">
        <v>22.5</v>
      </c>
      <c r="G104" s="330">
        <v>21.240000000000002</v>
      </c>
      <c r="H104" s="315">
        <v>21.555</v>
      </c>
      <c r="I104" s="330">
        <v>22.162500000000001</v>
      </c>
      <c r="J104" s="330">
        <v>23.310000000000002</v>
      </c>
      <c r="K104" s="330">
        <v>23.827500000000004</v>
      </c>
      <c r="L104" s="330">
        <v>24.952500000000001</v>
      </c>
      <c r="M104" s="331">
        <v>23.557499999999997</v>
      </c>
    </row>
    <row r="105" spans="1:13" ht="30.6" x14ac:dyDescent="0.2">
      <c r="A105" s="359">
        <v>1</v>
      </c>
      <c r="B105" s="312" t="s">
        <v>3740</v>
      </c>
      <c r="C105" s="325" t="s">
        <v>3741</v>
      </c>
      <c r="D105" s="312">
        <v>0.13300000000000001</v>
      </c>
      <c r="E105" s="312" t="s">
        <v>2301</v>
      </c>
      <c r="F105" s="329">
        <v>25.5</v>
      </c>
      <c r="G105" s="330">
        <v>24.072000000000003</v>
      </c>
      <c r="H105" s="315">
        <v>24.428999999999998</v>
      </c>
      <c r="I105" s="330">
        <v>25.1175</v>
      </c>
      <c r="J105" s="330">
        <v>26.417999999999999</v>
      </c>
      <c r="K105" s="330">
        <v>27.004500000000004</v>
      </c>
      <c r="L105" s="330">
        <v>28.279499999999999</v>
      </c>
      <c r="M105" s="331">
        <v>26.698499999999999</v>
      </c>
    </row>
    <row r="106" spans="1:13" ht="30.6" x14ac:dyDescent="0.2">
      <c r="A106" s="359">
        <v>1</v>
      </c>
      <c r="B106" s="312" t="s">
        <v>3734</v>
      </c>
      <c r="C106" s="325" t="s">
        <v>3735</v>
      </c>
      <c r="D106" s="312">
        <v>0.107</v>
      </c>
      <c r="E106" s="312" t="s">
        <v>2301</v>
      </c>
      <c r="F106" s="329">
        <v>21</v>
      </c>
      <c r="G106" s="330">
        <v>19.824000000000002</v>
      </c>
      <c r="H106" s="315">
        <v>20.117999999999999</v>
      </c>
      <c r="I106" s="330">
        <v>20.684999999999999</v>
      </c>
      <c r="J106" s="330">
        <v>21.756</v>
      </c>
      <c r="K106" s="330">
        <v>22.239000000000004</v>
      </c>
      <c r="L106" s="330">
        <v>23.289000000000001</v>
      </c>
      <c r="M106" s="331">
        <v>21.986999999999998</v>
      </c>
    </row>
    <row r="107" spans="1:13" ht="30.6" x14ac:dyDescent="0.2">
      <c r="A107" s="359">
        <v>1</v>
      </c>
      <c r="B107" s="312" t="s">
        <v>3743</v>
      </c>
      <c r="C107" s="325" t="s">
        <v>3744</v>
      </c>
      <c r="D107" s="312">
        <v>9.4E-2</v>
      </c>
      <c r="E107" s="312" t="s">
        <v>2301</v>
      </c>
      <c r="F107" s="329">
        <v>18.649999999999999</v>
      </c>
      <c r="G107" s="330">
        <v>17.605599999999999</v>
      </c>
      <c r="H107" s="315">
        <v>17.866699999999998</v>
      </c>
      <c r="I107" s="330">
        <v>18.370249999999999</v>
      </c>
      <c r="J107" s="330">
        <v>19.321400000000001</v>
      </c>
      <c r="K107" s="330">
        <v>19.750350000000001</v>
      </c>
      <c r="L107" s="330">
        <v>20.682849999999998</v>
      </c>
      <c r="M107" s="331">
        <v>19.526549999999997</v>
      </c>
    </row>
    <row r="108" spans="1:13" ht="30.6" x14ac:dyDescent="0.2">
      <c r="A108" s="359">
        <v>1</v>
      </c>
      <c r="B108" s="312" t="s">
        <v>3746</v>
      </c>
      <c r="C108" s="325" t="s">
        <v>3747</v>
      </c>
      <c r="D108" s="312">
        <v>0.10100000000000001</v>
      </c>
      <c r="E108" s="312" t="s">
        <v>2301</v>
      </c>
      <c r="F108" s="329">
        <v>19.75</v>
      </c>
      <c r="G108" s="330">
        <v>18.644000000000002</v>
      </c>
      <c r="H108" s="315">
        <v>18.920500000000001</v>
      </c>
      <c r="I108" s="330">
        <v>19.453749999999999</v>
      </c>
      <c r="J108" s="330">
        <v>20.461000000000002</v>
      </c>
      <c r="K108" s="330">
        <v>20.915250000000004</v>
      </c>
      <c r="L108" s="330">
        <v>21.902750000000001</v>
      </c>
      <c r="M108" s="331">
        <v>20.678249999999998</v>
      </c>
    </row>
    <row r="109" spans="1:13" ht="30.6" x14ac:dyDescent="0.2">
      <c r="A109" s="359">
        <v>1</v>
      </c>
      <c r="B109" s="312" t="s">
        <v>3749</v>
      </c>
      <c r="C109" s="325" t="s">
        <v>3750</v>
      </c>
      <c r="D109" s="312">
        <v>0.11600000000000001</v>
      </c>
      <c r="E109" s="312" t="s">
        <v>2301</v>
      </c>
      <c r="F109" s="329">
        <v>22</v>
      </c>
      <c r="G109" s="330">
        <v>20.768000000000001</v>
      </c>
      <c r="H109" s="315">
        <v>21.076000000000001</v>
      </c>
      <c r="I109" s="330">
        <v>21.669999999999998</v>
      </c>
      <c r="J109" s="330">
        <v>22.792000000000002</v>
      </c>
      <c r="K109" s="330">
        <v>23.298000000000002</v>
      </c>
      <c r="L109" s="330">
        <v>24.398</v>
      </c>
      <c r="M109" s="331">
        <v>23.033999999999999</v>
      </c>
    </row>
    <row r="110" spans="1:13" ht="30.6" x14ac:dyDescent="0.2">
      <c r="A110" s="359">
        <v>1</v>
      </c>
      <c r="B110" s="312" t="s">
        <v>3752</v>
      </c>
      <c r="C110" s="325" t="s">
        <v>3753</v>
      </c>
      <c r="D110" s="312">
        <v>7.0999999999999994E-2</v>
      </c>
      <c r="E110" s="312" t="s">
        <v>2301</v>
      </c>
      <c r="F110" s="329">
        <v>15.6</v>
      </c>
      <c r="G110" s="330">
        <v>14.7264</v>
      </c>
      <c r="H110" s="315">
        <v>14.944799999999999</v>
      </c>
      <c r="I110" s="330">
        <v>15.366</v>
      </c>
      <c r="J110" s="330">
        <v>16.1616</v>
      </c>
      <c r="K110" s="330">
        <v>16.520400000000002</v>
      </c>
      <c r="L110" s="330">
        <v>17.3004</v>
      </c>
      <c r="M110" s="331">
        <v>16.333199999999998</v>
      </c>
    </row>
    <row r="111" spans="1:13" ht="30.6" x14ac:dyDescent="0.2">
      <c r="A111" s="359">
        <v>1</v>
      </c>
      <c r="B111" s="312" t="s">
        <v>3755</v>
      </c>
      <c r="C111" s="325" t="s">
        <v>3756</v>
      </c>
      <c r="D111" s="312">
        <v>7.5999999999999998E-2</v>
      </c>
      <c r="E111" s="312" t="s">
        <v>2301</v>
      </c>
      <c r="F111" s="329">
        <v>16.399999999999999</v>
      </c>
      <c r="G111" s="330">
        <v>15.4816</v>
      </c>
      <c r="H111" s="315">
        <v>15.711199999999998</v>
      </c>
      <c r="I111" s="330">
        <v>16.154</v>
      </c>
      <c r="J111" s="330">
        <v>16.990399999999998</v>
      </c>
      <c r="K111" s="330">
        <v>17.367599999999999</v>
      </c>
      <c r="L111" s="330">
        <v>18.1876</v>
      </c>
      <c r="M111" s="331">
        <v>17.170799999999996</v>
      </c>
    </row>
    <row r="112" spans="1:13" ht="30.6" x14ac:dyDescent="0.2">
      <c r="A112" s="359">
        <v>1</v>
      </c>
      <c r="B112" s="312" t="s">
        <v>3758</v>
      </c>
      <c r="C112" s="325" t="s">
        <v>3759</v>
      </c>
      <c r="D112" s="312">
        <v>9.8000000000000004E-2</v>
      </c>
      <c r="E112" s="312" t="s">
        <v>2301</v>
      </c>
      <c r="F112" s="329">
        <v>19.55</v>
      </c>
      <c r="G112" s="330">
        <v>18.455200000000001</v>
      </c>
      <c r="H112" s="315">
        <v>18.728899999999999</v>
      </c>
      <c r="I112" s="330">
        <v>19.25675</v>
      </c>
      <c r="J112" s="330">
        <v>20.253800000000002</v>
      </c>
      <c r="K112" s="330">
        <v>20.703450000000004</v>
      </c>
      <c r="L112" s="330">
        <v>21.680949999999999</v>
      </c>
      <c r="M112" s="331">
        <v>20.46885</v>
      </c>
    </row>
    <row r="113" spans="1:13" ht="20.399999999999999" x14ac:dyDescent="0.2">
      <c r="A113" s="359">
        <v>1</v>
      </c>
      <c r="B113" s="312" t="s">
        <v>4358</v>
      </c>
      <c r="C113" s="325" t="s">
        <v>1913</v>
      </c>
      <c r="D113" s="312">
        <v>6.4000000000000001E-2</v>
      </c>
      <c r="E113" s="312" t="s">
        <v>2202</v>
      </c>
      <c r="F113" s="329">
        <v>4.95</v>
      </c>
      <c r="G113" s="330">
        <v>4.6728000000000005</v>
      </c>
      <c r="H113" s="315">
        <v>4.7420999999999998</v>
      </c>
      <c r="I113" s="330">
        <v>4.87575</v>
      </c>
      <c r="J113" s="330">
        <v>5.1282000000000005</v>
      </c>
      <c r="K113" s="330">
        <v>5.2420500000000008</v>
      </c>
      <c r="L113" s="330">
        <v>5.4895500000000004</v>
      </c>
      <c r="M113" s="331">
        <v>5.1826499999999998</v>
      </c>
    </row>
    <row r="114" spans="1:13" ht="20.399999999999999" x14ac:dyDescent="0.2">
      <c r="A114" s="359">
        <v>1</v>
      </c>
      <c r="B114" s="312" t="s">
        <v>4309</v>
      </c>
      <c r="C114" s="325" t="s">
        <v>1914</v>
      </c>
      <c r="D114" s="312">
        <v>6.9000000000000006E-2</v>
      </c>
      <c r="E114" s="312" t="s">
        <v>2202</v>
      </c>
      <c r="F114" s="329">
        <v>7.15</v>
      </c>
      <c r="G114" s="330">
        <v>6.7496000000000009</v>
      </c>
      <c r="H114" s="315">
        <v>6.8497000000000003</v>
      </c>
      <c r="I114" s="330">
        <v>7.0427499999999998</v>
      </c>
      <c r="J114" s="330">
        <v>7.4074000000000009</v>
      </c>
      <c r="K114" s="330">
        <v>7.5718500000000013</v>
      </c>
      <c r="L114" s="330">
        <v>7.9293500000000003</v>
      </c>
      <c r="M114" s="331">
        <v>7.4860499999999996</v>
      </c>
    </row>
    <row r="115" spans="1:13" x14ac:dyDescent="0.2">
      <c r="A115" s="359">
        <v>1</v>
      </c>
      <c r="B115" s="312" t="s">
        <v>4297</v>
      </c>
      <c r="C115" s="325" t="s">
        <v>2877</v>
      </c>
      <c r="D115" s="312">
        <v>0.33300000000000002</v>
      </c>
      <c r="E115" s="312" t="s">
        <v>2202</v>
      </c>
      <c r="F115" s="329">
        <v>40</v>
      </c>
      <c r="G115" s="330">
        <v>37.760000000000005</v>
      </c>
      <c r="H115" s="315">
        <v>38.32</v>
      </c>
      <c r="I115" s="330">
        <v>39.4</v>
      </c>
      <c r="J115" s="330">
        <v>41.44</v>
      </c>
      <c r="K115" s="330">
        <v>42.360000000000007</v>
      </c>
      <c r="L115" s="330">
        <v>44.36</v>
      </c>
      <c r="M115" s="331">
        <v>41.879999999999995</v>
      </c>
    </row>
    <row r="116" spans="1:13" ht="20.399999999999999" x14ac:dyDescent="0.2">
      <c r="A116" s="359">
        <v>1</v>
      </c>
      <c r="B116" s="312" t="s">
        <v>4303</v>
      </c>
      <c r="C116" s="325" t="s">
        <v>2879</v>
      </c>
      <c r="D116" s="312">
        <v>6.9870000000000001</v>
      </c>
      <c r="E116" s="312" t="s">
        <v>2265</v>
      </c>
      <c r="F116" s="329">
        <v>1025</v>
      </c>
      <c r="G116" s="330">
        <v>967.6</v>
      </c>
      <c r="H116" s="315">
        <v>981.94999999999993</v>
      </c>
      <c r="I116" s="330">
        <v>1009.625</v>
      </c>
      <c r="J116" s="330">
        <v>1061.9000000000001</v>
      </c>
      <c r="K116" s="330">
        <v>1085.4750000000001</v>
      </c>
      <c r="L116" s="330">
        <v>1136.7249999999999</v>
      </c>
      <c r="M116" s="331">
        <v>1073.175</v>
      </c>
    </row>
    <row r="117" spans="1:13" ht="20.399999999999999" x14ac:dyDescent="0.2">
      <c r="A117" s="359">
        <v>1</v>
      </c>
      <c r="B117" s="312" t="s">
        <v>4299</v>
      </c>
      <c r="C117" s="325" t="s">
        <v>2880</v>
      </c>
      <c r="D117" s="312">
        <v>4.9690000000000003</v>
      </c>
      <c r="E117" s="312" t="s">
        <v>2265</v>
      </c>
      <c r="F117" s="329">
        <v>725</v>
      </c>
      <c r="G117" s="330">
        <v>684.40000000000009</v>
      </c>
      <c r="H117" s="315">
        <v>694.55</v>
      </c>
      <c r="I117" s="330">
        <v>714.125</v>
      </c>
      <c r="J117" s="330">
        <v>751.1</v>
      </c>
      <c r="K117" s="330">
        <v>767.77500000000009</v>
      </c>
      <c r="L117" s="330">
        <v>804.02499999999998</v>
      </c>
      <c r="M117" s="331">
        <v>759.07499999999993</v>
      </c>
    </row>
    <row r="118" spans="1:13" ht="20.399999999999999" x14ac:dyDescent="0.2">
      <c r="A118" s="359">
        <v>1</v>
      </c>
      <c r="B118" s="312" t="s">
        <v>4301</v>
      </c>
      <c r="C118" s="325" t="s">
        <v>2882</v>
      </c>
      <c r="D118" s="312">
        <v>6.0149999999999997</v>
      </c>
      <c r="E118" s="312" t="s">
        <v>2265</v>
      </c>
      <c r="F118" s="329">
        <v>885</v>
      </c>
      <c r="G118" s="330">
        <v>835.44</v>
      </c>
      <c r="H118" s="315">
        <v>847.82999999999993</v>
      </c>
      <c r="I118" s="330">
        <v>871.72500000000002</v>
      </c>
      <c r="J118" s="330">
        <v>916.86</v>
      </c>
      <c r="K118" s="330">
        <v>937.21500000000015</v>
      </c>
      <c r="L118" s="330">
        <v>981.46500000000003</v>
      </c>
      <c r="M118" s="331">
        <v>926.59499999999991</v>
      </c>
    </row>
    <row r="119" spans="1:13" ht="20.399999999999999" x14ac:dyDescent="0.2">
      <c r="A119" s="359">
        <v>1</v>
      </c>
      <c r="B119" s="312" t="s">
        <v>4305</v>
      </c>
      <c r="C119" s="325" t="s">
        <v>2883</v>
      </c>
      <c r="D119" s="312">
        <v>10</v>
      </c>
      <c r="E119" s="312" t="s">
        <v>2265</v>
      </c>
      <c r="F119" s="329">
        <v>2250</v>
      </c>
      <c r="G119" s="330">
        <v>2124</v>
      </c>
      <c r="H119" s="315">
        <v>2155.5</v>
      </c>
      <c r="I119" s="330">
        <v>2216.25</v>
      </c>
      <c r="J119" s="330">
        <v>2331</v>
      </c>
      <c r="K119" s="330">
        <v>2382.7500000000005</v>
      </c>
      <c r="L119" s="330">
        <v>2495.25</v>
      </c>
      <c r="M119" s="331">
        <v>2355.75</v>
      </c>
    </row>
    <row r="120" spans="1:13" ht="20.399999999999999" x14ac:dyDescent="0.2">
      <c r="A120" s="359">
        <v>1</v>
      </c>
      <c r="B120" s="312" t="s">
        <v>3864</v>
      </c>
      <c r="C120" s="325" t="s">
        <v>3865</v>
      </c>
      <c r="D120" s="312">
        <v>123</v>
      </c>
      <c r="E120" s="312" t="s">
        <v>2265</v>
      </c>
      <c r="F120" s="329">
        <v>30600</v>
      </c>
      <c r="G120" s="330">
        <v>28886.400000000001</v>
      </c>
      <c r="H120" s="315">
        <v>29314.799999999999</v>
      </c>
      <c r="I120" s="330">
        <v>30141</v>
      </c>
      <c r="J120" s="330">
        <v>31701.600000000002</v>
      </c>
      <c r="K120" s="330">
        <v>32405.400000000005</v>
      </c>
      <c r="L120" s="330">
        <v>33935.4</v>
      </c>
      <c r="M120" s="331">
        <v>32038.199999999997</v>
      </c>
    </row>
    <row r="121" spans="1:13" ht="20.399999999999999" x14ac:dyDescent="0.2">
      <c r="A121" s="359">
        <v>1</v>
      </c>
      <c r="B121" s="312" t="s">
        <v>3867</v>
      </c>
      <c r="C121" s="325" t="s">
        <v>3868</v>
      </c>
      <c r="D121" s="312">
        <v>133</v>
      </c>
      <c r="E121" s="312" t="s">
        <v>2265</v>
      </c>
      <c r="F121" s="329">
        <v>43900</v>
      </c>
      <c r="G121" s="330">
        <v>41441.600000000006</v>
      </c>
      <c r="H121" s="315">
        <v>42056.2</v>
      </c>
      <c r="I121" s="330">
        <v>43241.5</v>
      </c>
      <c r="J121" s="330">
        <v>45480.4</v>
      </c>
      <c r="K121" s="330">
        <v>46490.100000000006</v>
      </c>
      <c r="L121" s="330">
        <v>48685.1</v>
      </c>
      <c r="M121" s="331">
        <v>45963.299999999996</v>
      </c>
    </row>
    <row r="122" spans="1:13" ht="20.399999999999999" x14ac:dyDescent="0.2">
      <c r="A122" s="359">
        <v>1</v>
      </c>
      <c r="B122" s="312" t="s">
        <v>3860</v>
      </c>
      <c r="C122" s="325" t="s">
        <v>3861</v>
      </c>
      <c r="D122" s="312">
        <v>114</v>
      </c>
      <c r="E122" s="312" t="s">
        <v>2265</v>
      </c>
      <c r="F122" s="329">
        <v>25200</v>
      </c>
      <c r="G122" s="330">
        <v>23788.800000000003</v>
      </c>
      <c r="H122" s="315">
        <v>24141.599999999999</v>
      </c>
      <c r="I122" s="330">
        <v>24822</v>
      </c>
      <c r="J122" s="330">
        <v>26107.200000000001</v>
      </c>
      <c r="K122" s="330">
        <v>26686.800000000003</v>
      </c>
      <c r="L122" s="330">
        <v>27946.799999999999</v>
      </c>
      <c r="M122" s="331">
        <v>26384.399999999998</v>
      </c>
    </row>
    <row r="123" spans="1:13" ht="30.6" x14ac:dyDescent="0.2">
      <c r="A123" s="359">
        <v>1</v>
      </c>
      <c r="B123" s="312" t="s">
        <v>3873</v>
      </c>
      <c r="C123" s="325" t="s">
        <v>3874</v>
      </c>
      <c r="E123" s="312" t="s">
        <v>2265</v>
      </c>
      <c r="F123" s="329">
        <v>3712.5</v>
      </c>
      <c r="G123" s="330">
        <v>3504.6000000000004</v>
      </c>
      <c r="H123" s="315">
        <v>3556.5749999999998</v>
      </c>
      <c r="I123" s="330">
        <v>3656.8125</v>
      </c>
      <c r="J123" s="330">
        <v>3846.15</v>
      </c>
      <c r="K123" s="330">
        <v>3931.5375000000008</v>
      </c>
      <c r="L123" s="330">
        <v>4117.1625000000004</v>
      </c>
      <c r="M123" s="331">
        <v>3886.9874999999997</v>
      </c>
    </row>
    <row r="124" spans="1:13" ht="30.6" x14ac:dyDescent="0.2">
      <c r="A124" s="359">
        <v>1</v>
      </c>
      <c r="B124" s="312" t="s">
        <v>3876</v>
      </c>
      <c r="C124" s="325" t="s">
        <v>3877</v>
      </c>
      <c r="E124" s="312" t="s">
        <v>2265</v>
      </c>
      <c r="F124" s="329">
        <v>3850</v>
      </c>
      <c r="G124" s="330">
        <v>3634.4</v>
      </c>
      <c r="H124" s="315">
        <v>3688.2999999999997</v>
      </c>
      <c r="I124" s="330">
        <v>3792.25</v>
      </c>
      <c r="J124" s="330">
        <v>3988.6</v>
      </c>
      <c r="K124" s="330">
        <v>4077.1500000000005</v>
      </c>
      <c r="L124" s="330">
        <v>4269.6499999999996</v>
      </c>
      <c r="M124" s="331">
        <v>4030.95</v>
      </c>
    </row>
    <row r="125" spans="1:13" ht="30.6" x14ac:dyDescent="0.2">
      <c r="A125" s="359">
        <v>1</v>
      </c>
      <c r="B125" s="312" t="s">
        <v>3879</v>
      </c>
      <c r="C125" s="325" t="s">
        <v>3880</v>
      </c>
      <c r="E125" s="312" t="s">
        <v>2265</v>
      </c>
      <c r="F125" s="329">
        <v>3932.5</v>
      </c>
      <c r="G125" s="330">
        <v>3712.28</v>
      </c>
      <c r="H125" s="315">
        <v>3767.335</v>
      </c>
      <c r="I125" s="330">
        <v>3873.5124999999998</v>
      </c>
      <c r="J125" s="330">
        <v>4074.07</v>
      </c>
      <c r="K125" s="330">
        <v>4164.5175000000008</v>
      </c>
      <c r="L125" s="330">
        <v>4361.1424999999999</v>
      </c>
      <c r="M125" s="331">
        <v>4117.3274999999994</v>
      </c>
    </row>
    <row r="126" spans="1:13" ht="30.6" x14ac:dyDescent="0.2">
      <c r="A126" s="359">
        <v>1</v>
      </c>
      <c r="B126" s="312" t="s">
        <v>3870</v>
      </c>
      <c r="C126" s="325" t="s">
        <v>3871</v>
      </c>
      <c r="E126" s="312" t="s">
        <v>2265</v>
      </c>
      <c r="F126" s="329">
        <v>3272.5</v>
      </c>
      <c r="G126" s="330">
        <v>3089.2400000000002</v>
      </c>
      <c r="H126" s="315">
        <v>3135.0549999999998</v>
      </c>
      <c r="I126" s="330">
        <v>3223.4124999999999</v>
      </c>
      <c r="J126" s="330">
        <v>3390.31</v>
      </c>
      <c r="K126" s="330">
        <v>3465.5775000000003</v>
      </c>
      <c r="L126" s="330">
        <v>3629.2024999999999</v>
      </c>
      <c r="M126" s="331">
        <v>3426.3074999999999</v>
      </c>
    </row>
    <row r="127" spans="1:13" ht="20.399999999999999" x14ac:dyDescent="0.2">
      <c r="A127" s="359">
        <v>1</v>
      </c>
      <c r="B127" s="312" t="s">
        <v>3885</v>
      </c>
      <c r="C127" s="325" t="s">
        <v>3886</v>
      </c>
      <c r="D127" s="312">
        <v>1.6</v>
      </c>
      <c r="E127" s="312" t="s">
        <v>2265</v>
      </c>
      <c r="F127" s="329">
        <v>269</v>
      </c>
      <c r="G127" s="330">
        <v>253.93600000000001</v>
      </c>
      <c r="H127" s="315">
        <v>257.702</v>
      </c>
      <c r="I127" s="330">
        <v>264.96499999999997</v>
      </c>
      <c r="J127" s="330">
        <v>278.68400000000003</v>
      </c>
      <c r="K127" s="330">
        <v>284.87100000000004</v>
      </c>
      <c r="L127" s="330">
        <v>298.32099999999997</v>
      </c>
      <c r="M127" s="331">
        <v>281.64299999999997</v>
      </c>
    </row>
    <row r="128" spans="1:13" ht="20.399999999999999" x14ac:dyDescent="0.2">
      <c r="A128" s="359">
        <v>1</v>
      </c>
      <c r="B128" s="312" t="s">
        <v>3882</v>
      </c>
      <c r="C128" s="325" t="s">
        <v>3883</v>
      </c>
      <c r="D128" s="312">
        <v>1.6</v>
      </c>
      <c r="E128" s="312" t="s">
        <v>2265</v>
      </c>
      <c r="F128" s="329">
        <v>235</v>
      </c>
      <c r="G128" s="330">
        <v>221.84</v>
      </c>
      <c r="H128" s="315">
        <v>225.13</v>
      </c>
      <c r="I128" s="330">
        <v>231.47499999999999</v>
      </c>
      <c r="J128" s="330">
        <v>243.46</v>
      </c>
      <c r="K128" s="330">
        <v>248.86500000000004</v>
      </c>
      <c r="L128" s="330">
        <v>260.61500000000001</v>
      </c>
      <c r="M128" s="331">
        <v>246.04499999999999</v>
      </c>
    </row>
    <row r="129" spans="1:13" ht="20.399999999999999" x14ac:dyDescent="0.2">
      <c r="A129" s="359">
        <v>1</v>
      </c>
      <c r="B129" s="312" t="s">
        <v>3888</v>
      </c>
      <c r="C129" s="325" t="s">
        <v>3889</v>
      </c>
      <c r="D129" s="312">
        <v>1.6</v>
      </c>
      <c r="E129" s="312" t="s">
        <v>2265</v>
      </c>
      <c r="F129" s="329">
        <v>395</v>
      </c>
      <c r="G129" s="330">
        <v>372.88000000000005</v>
      </c>
      <c r="H129" s="315">
        <v>378.40999999999997</v>
      </c>
      <c r="I129" s="330">
        <v>389.07499999999999</v>
      </c>
      <c r="J129" s="330">
        <v>409.22</v>
      </c>
      <c r="K129" s="330">
        <v>418.30500000000006</v>
      </c>
      <c r="L129" s="330">
        <v>438.05500000000001</v>
      </c>
      <c r="M129" s="331">
        <v>413.565</v>
      </c>
    </row>
    <row r="130" spans="1:13" x14ac:dyDescent="0.2">
      <c r="A130" s="359">
        <v>1</v>
      </c>
      <c r="B130" s="312" t="s">
        <v>3900</v>
      </c>
      <c r="C130" s="325" t="s">
        <v>3901</v>
      </c>
      <c r="D130" s="312">
        <v>1.6</v>
      </c>
      <c r="E130" s="312" t="s">
        <v>2265</v>
      </c>
      <c r="F130" s="329">
        <v>370</v>
      </c>
      <c r="G130" s="330">
        <v>349.28000000000003</v>
      </c>
      <c r="H130" s="315">
        <v>354.46</v>
      </c>
      <c r="I130" s="330">
        <v>364.45</v>
      </c>
      <c r="J130" s="330">
        <v>383.32</v>
      </c>
      <c r="K130" s="330">
        <v>391.83000000000004</v>
      </c>
      <c r="L130" s="330">
        <v>410.33</v>
      </c>
      <c r="M130" s="331">
        <v>387.39</v>
      </c>
    </row>
    <row r="131" spans="1:13" x14ac:dyDescent="0.2">
      <c r="A131" s="359">
        <v>1</v>
      </c>
      <c r="B131" s="312" t="s">
        <v>3897</v>
      </c>
      <c r="C131" s="325" t="s">
        <v>3898</v>
      </c>
      <c r="D131" s="312">
        <v>1.333</v>
      </c>
      <c r="E131" s="312" t="s">
        <v>2265</v>
      </c>
      <c r="F131" s="329">
        <v>274</v>
      </c>
      <c r="G131" s="330">
        <v>258.65600000000001</v>
      </c>
      <c r="H131" s="315">
        <v>262.49199999999996</v>
      </c>
      <c r="I131" s="330">
        <v>269.89</v>
      </c>
      <c r="J131" s="330">
        <v>283.86400000000003</v>
      </c>
      <c r="K131" s="330">
        <v>290.16600000000005</v>
      </c>
      <c r="L131" s="330">
        <v>303.86599999999999</v>
      </c>
      <c r="M131" s="331">
        <v>286.87799999999999</v>
      </c>
    </row>
    <row r="132" spans="1:13" x14ac:dyDescent="0.2">
      <c r="A132" s="359">
        <v>1</v>
      </c>
      <c r="B132" s="312" t="s">
        <v>3894</v>
      </c>
      <c r="C132" s="325" t="s">
        <v>3895</v>
      </c>
      <c r="D132" s="312">
        <v>1.6</v>
      </c>
      <c r="E132" s="312" t="s">
        <v>2265</v>
      </c>
      <c r="F132" s="329">
        <v>345</v>
      </c>
      <c r="G132" s="330">
        <v>325.68</v>
      </c>
      <c r="H132" s="315">
        <v>330.51</v>
      </c>
      <c r="I132" s="330">
        <v>339.82499999999999</v>
      </c>
      <c r="J132" s="330">
        <v>357.42</v>
      </c>
      <c r="K132" s="330">
        <v>365.35500000000008</v>
      </c>
      <c r="L132" s="330">
        <v>382.60500000000002</v>
      </c>
      <c r="M132" s="331">
        <v>361.21499999999997</v>
      </c>
    </row>
    <row r="133" spans="1:13" x14ac:dyDescent="0.2">
      <c r="A133" s="359">
        <v>1</v>
      </c>
      <c r="B133" s="312" t="s">
        <v>3891</v>
      </c>
      <c r="C133" s="325" t="s">
        <v>3892</v>
      </c>
      <c r="D133" s="312">
        <v>1.333</v>
      </c>
      <c r="E133" s="312" t="s">
        <v>2265</v>
      </c>
      <c r="F133" s="329">
        <v>249</v>
      </c>
      <c r="G133" s="330">
        <v>235.05600000000001</v>
      </c>
      <c r="H133" s="315">
        <v>238.542</v>
      </c>
      <c r="I133" s="330">
        <v>245.26499999999999</v>
      </c>
      <c r="J133" s="330">
        <v>257.964</v>
      </c>
      <c r="K133" s="330">
        <v>263.69100000000003</v>
      </c>
      <c r="L133" s="330">
        <v>276.14100000000002</v>
      </c>
      <c r="M133" s="331">
        <v>260.70299999999997</v>
      </c>
    </row>
    <row r="134" spans="1:13" x14ac:dyDescent="0.2">
      <c r="A134" s="359">
        <v>1</v>
      </c>
      <c r="B134" s="312" t="s">
        <v>4200</v>
      </c>
      <c r="C134" s="325" t="s">
        <v>4201</v>
      </c>
      <c r="F134" s="329">
        <v>0</v>
      </c>
      <c r="G134" s="330">
        <v>0</v>
      </c>
      <c r="H134" s="315">
        <v>0</v>
      </c>
      <c r="I134" s="330">
        <v>0</v>
      </c>
      <c r="J134" s="330">
        <v>0</v>
      </c>
      <c r="K134" s="330">
        <v>0</v>
      </c>
      <c r="L134" s="330">
        <v>0</v>
      </c>
      <c r="M134" s="331">
        <v>0</v>
      </c>
    </row>
    <row r="135" spans="1:13" x14ac:dyDescent="0.2">
      <c r="A135" s="359">
        <v>1</v>
      </c>
      <c r="B135" s="312" t="s">
        <v>4212</v>
      </c>
      <c r="C135" s="325" t="s">
        <v>2885</v>
      </c>
      <c r="D135" s="312">
        <v>2.3E-2</v>
      </c>
      <c r="E135" s="312" t="s">
        <v>2377</v>
      </c>
      <c r="F135" s="329">
        <v>36.5</v>
      </c>
      <c r="G135" s="330">
        <v>34.456000000000003</v>
      </c>
      <c r="H135" s="315">
        <v>34.966999999999999</v>
      </c>
      <c r="I135" s="330">
        <v>35.952500000000001</v>
      </c>
      <c r="J135" s="330">
        <v>37.814</v>
      </c>
      <c r="K135" s="330">
        <v>38.653500000000008</v>
      </c>
      <c r="L135" s="330">
        <v>40.478499999999997</v>
      </c>
      <c r="M135" s="331">
        <v>38.215499999999999</v>
      </c>
    </row>
    <row r="136" spans="1:13" ht="20.399999999999999" x14ac:dyDescent="0.2">
      <c r="A136" s="359">
        <v>1</v>
      </c>
      <c r="B136" s="312" t="s">
        <v>4208</v>
      </c>
      <c r="C136" s="325" t="s">
        <v>2886</v>
      </c>
      <c r="D136" s="312">
        <v>0.90600000000000003</v>
      </c>
      <c r="E136" s="312" t="s">
        <v>1802</v>
      </c>
      <c r="F136" s="329">
        <v>80</v>
      </c>
      <c r="G136" s="330">
        <v>75.52000000000001</v>
      </c>
      <c r="H136" s="315">
        <v>76.64</v>
      </c>
      <c r="I136" s="330">
        <v>78.8</v>
      </c>
      <c r="J136" s="330">
        <v>82.88</v>
      </c>
      <c r="K136" s="330">
        <v>84.720000000000013</v>
      </c>
      <c r="L136" s="330">
        <v>88.72</v>
      </c>
      <c r="M136" s="331">
        <v>83.759999999999991</v>
      </c>
    </row>
    <row r="137" spans="1:13" ht="20.399999999999999" x14ac:dyDescent="0.2">
      <c r="A137" s="359">
        <v>1</v>
      </c>
      <c r="B137" s="312" t="s">
        <v>4205</v>
      </c>
      <c r="C137" s="325" t="s">
        <v>4206</v>
      </c>
      <c r="D137" s="312">
        <v>0.6</v>
      </c>
      <c r="E137" s="312" t="s">
        <v>1802</v>
      </c>
      <c r="F137" s="329">
        <v>111</v>
      </c>
      <c r="G137" s="330">
        <v>104.78400000000001</v>
      </c>
      <c r="H137" s="315">
        <v>106.33799999999999</v>
      </c>
      <c r="I137" s="330">
        <v>109.33499999999999</v>
      </c>
      <c r="J137" s="330">
        <v>114.99600000000001</v>
      </c>
      <c r="K137" s="330">
        <v>117.54900000000002</v>
      </c>
      <c r="L137" s="330">
        <v>123.099</v>
      </c>
      <c r="M137" s="331">
        <v>116.217</v>
      </c>
    </row>
    <row r="138" spans="1:13" x14ac:dyDescent="0.2">
      <c r="A138" s="359">
        <v>1</v>
      </c>
      <c r="B138" s="312" t="s">
        <v>4214</v>
      </c>
      <c r="C138" s="325" t="s">
        <v>4215</v>
      </c>
      <c r="D138" s="312">
        <v>2.7E-2</v>
      </c>
      <c r="E138" s="312" t="s">
        <v>2377</v>
      </c>
      <c r="F138" s="329">
        <v>37</v>
      </c>
      <c r="G138" s="330">
        <v>34.928000000000004</v>
      </c>
      <c r="H138" s="315">
        <v>35.445999999999998</v>
      </c>
      <c r="I138" s="330">
        <v>36.445</v>
      </c>
      <c r="J138" s="330">
        <v>38.332000000000001</v>
      </c>
      <c r="K138" s="330">
        <v>39.183000000000007</v>
      </c>
      <c r="L138" s="330">
        <v>41.033000000000001</v>
      </c>
      <c r="M138" s="331">
        <v>38.738999999999997</v>
      </c>
    </row>
    <row r="139" spans="1:13" x14ac:dyDescent="0.2">
      <c r="A139" s="359">
        <v>1</v>
      </c>
      <c r="B139" s="312" t="s">
        <v>4210</v>
      </c>
      <c r="C139" s="325" t="s">
        <v>2887</v>
      </c>
      <c r="D139" s="312">
        <v>0.02</v>
      </c>
      <c r="E139" s="312" t="s">
        <v>2377</v>
      </c>
      <c r="F139" s="329">
        <v>36</v>
      </c>
      <c r="G139" s="330">
        <v>33.984000000000002</v>
      </c>
      <c r="H139" s="315">
        <v>34.488</v>
      </c>
      <c r="I139" s="330">
        <v>35.46</v>
      </c>
      <c r="J139" s="330">
        <v>37.295999999999999</v>
      </c>
      <c r="K139" s="330">
        <v>38.124000000000009</v>
      </c>
      <c r="L139" s="330">
        <v>39.923999999999999</v>
      </c>
      <c r="M139" s="331">
        <v>37.692</v>
      </c>
    </row>
    <row r="140" spans="1:13" x14ac:dyDescent="0.2">
      <c r="A140" s="359">
        <v>1</v>
      </c>
      <c r="B140" s="312" t="s">
        <v>4203</v>
      </c>
      <c r="C140" s="325" t="s">
        <v>2888</v>
      </c>
      <c r="D140" s="312">
        <v>0.25800000000000001</v>
      </c>
      <c r="E140" s="312" t="s">
        <v>1181</v>
      </c>
      <c r="F140" s="329">
        <v>60</v>
      </c>
      <c r="G140" s="330">
        <v>56.64</v>
      </c>
      <c r="H140" s="315">
        <v>57.48</v>
      </c>
      <c r="I140" s="330">
        <v>59.1</v>
      </c>
      <c r="J140" s="330">
        <v>62.160000000000004</v>
      </c>
      <c r="K140" s="330">
        <v>63.540000000000006</v>
      </c>
      <c r="L140" s="330">
        <v>66.539999999999992</v>
      </c>
      <c r="M140" s="331">
        <v>62.819999999999993</v>
      </c>
    </row>
    <row r="141" spans="1:13" x14ac:dyDescent="0.2">
      <c r="A141" s="359">
        <v>1</v>
      </c>
      <c r="B141" s="312" t="s">
        <v>4277</v>
      </c>
      <c r="C141" s="325" t="s">
        <v>4278</v>
      </c>
      <c r="D141" s="312">
        <v>2.3530000000000002</v>
      </c>
      <c r="E141" s="312" t="s">
        <v>2108</v>
      </c>
      <c r="F141" s="329">
        <v>420</v>
      </c>
      <c r="G141" s="330">
        <v>396.48</v>
      </c>
      <c r="H141" s="315">
        <v>402.35999999999996</v>
      </c>
      <c r="I141" s="330">
        <v>413.7</v>
      </c>
      <c r="J141" s="330">
        <v>435.12</v>
      </c>
      <c r="K141" s="330">
        <v>444.78000000000009</v>
      </c>
      <c r="L141" s="330">
        <v>465.78</v>
      </c>
      <c r="M141" s="331">
        <v>439.73999999999995</v>
      </c>
    </row>
    <row r="142" spans="1:13" x14ac:dyDescent="0.2">
      <c r="A142" s="359">
        <v>1</v>
      </c>
      <c r="B142" s="312" t="s">
        <v>4274</v>
      </c>
      <c r="C142" s="325" t="s">
        <v>4275</v>
      </c>
      <c r="D142" s="312">
        <v>1.8180000000000001</v>
      </c>
      <c r="E142" s="312" t="s">
        <v>2108</v>
      </c>
      <c r="F142" s="329">
        <v>325</v>
      </c>
      <c r="G142" s="330">
        <v>306.8</v>
      </c>
      <c r="H142" s="315">
        <v>311.34999999999997</v>
      </c>
      <c r="I142" s="330">
        <v>320.125</v>
      </c>
      <c r="J142" s="330">
        <v>336.7</v>
      </c>
      <c r="K142" s="330">
        <v>344.17500000000007</v>
      </c>
      <c r="L142" s="330">
        <v>360.42500000000001</v>
      </c>
      <c r="M142" s="331">
        <v>340.27499999999998</v>
      </c>
    </row>
    <row r="143" spans="1:13" x14ac:dyDescent="0.2">
      <c r="A143" s="359">
        <v>1</v>
      </c>
      <c r="B143" s="312" t="s">
        <v>4280</v>
      </c>
      <c r="C143" s="325" t="s">
        <v>2910</v>
      </c>
      <c r="D143" s="312">
        <v>2.9630000000000001</v>
      </c>
      <c r="E143" s="312" t="s">
        <v>2108</v>
      </c>
      <c r="F143" s="329">
        <v>475</v>
      </c>
      <c r="G143" s="330">
        <v>448.40000000000003</v>
      </c>
      <c r="H143" s="315">
        <v>455.04999999999995</v>
      </c>
      <c r="I143" s="330">
        <v>467.875</v>
      </c>
      <c r="J143" s="330">
        <v>492.1</v>
      </c>
      <c r="K143" s="330">
        <v>503.02500000000009</v>
      </c>
      <c r="L143" s="330">
        <v>526.77499999999998</v>
      </c>
      <c r="M143" s="331">
        <v>497.32499999999999</v>
      </c>
    </row>
    <row r="144" spans="1:13" x14ac:dyDescent="0.2">
      <c r="A144" s="359">
        <v>1</v>
      </c>
      <c r="B144" s="312" t="s">
        <v>4288</v>
      </c>
      <c r="C144" s="325" t="s">
        <v>1885</v>
      </c>
      <c r="D144" s="312">
        <v>10</v>
      </c>
      <c r="E144" s="312" t="s">
        <v>2108</v>
      </c>
      <c r="F144" s="329">
        <v>815</v>
      </c>
      <c r="G144" s="330">
        <v>769.36</v>
      </c>
      <c r="H144" s="315">
        <v>780.77</v>
      </c>
      <c r="I144" s="330">
        <v>802.77499999999998</v>
      </c>
      <c r="J144" s="330">
        <v>844.34</v>
      </c>
      <c r="K144" s="330">
        <v>863.08500000000015</v>
      </c>
      <c r="L144" s="330">
        <v>903.83500000000004</v>
      </c>
      <c r="M144" s="331">
        <v>853.30499999999995</v>
      </c>
    </row>
    <row r="145" spans="1:13" x14ac:dyDescent="0.2">
      <c r="A145" s="359">
        <v>1</v>
      </c>
      <c r="B145" s="312" t="s">
        <v>4285</v>
      </c>
      <c r="C145" s="325" t="s">
        <v>4286</v>
      </c>
      <c r="D145" s="312">
        <v>8</v>
      </c>
      <c r="E145" s="312" t="s">
        <v>2108</v>
      </c>
      <c r="F145" s="329">
        <v>695</v>
      </c>
      <c r="G145" s="330">
        <v>656.08</v>
      </c>
      <c r="H145" s="315">
        <v>665.81</v>
      </c>
      <c r="I145" s="330">
        <v>684.57500000000005</v>
      </c>
      <c r="J145" s="330">
        <v>720.02</v>
      </c>
      <c r="K145" s="330">
        <v>736.00500000000011</v>
      </c>
      <c r="L145" s="330">
        <v>770.755</v>
      </c>
      <c r="M145" s="331">
        <v>727.66499999999996</v>
      </c>
    </row>
    <row r="146" spans="1:13" x14ac:dyDescent="0.2">
      <c r="A146" s="359">
        <v>1</v>
      </c>
      <c r="B146" s="312" t="s">
        <v>4282</v>
      </c>
      <c r="C146" s="325" t="s">
        <v>4283</v>
      </c>
      <c r="D146" s="312">
        <v>6.6669999999999998</v>
      </c>
      <c r="E146" s="312" t="s">
        <v>2108</v>
      </c>
      <c r="F146" s="329">
        <v>560</v>
      </c>
      <c r="G146" s="330">
        <v>528.64</v>
      </c>
      <c r="H146" s="315">
        <v>536.48</v>
      </c>
      <c r="I146" s="330">
        <v>551.6</v>
      </c>
      <c r="J146" s="330">
        <v>580.16</v>
      </c>
      <c r="K146" s="330">
        <v>593.04000000000008</v>
      </c>
      <c r="L146" s="330">
        <v>621.04</v>
      </c>
      <c r="M146" s="331">
        <v>586.31999999999994</v>
      </c>
    </row>
    <row r="147" spans="1:13" ht="20.399999999999999" x14ac:dyDescent="0.2">
      <c r="A147" s="359">
        <v>1</v>
      </c>
      <c r="B147" s="312" t="s">
        <v>3903</v>
      </c>
      <c r="C147" s="325" t="s">
        <v>3904</v>
      </c>
      <c r="F147" s="329">
        <v>0</v>
      </c>
      <c r="G147" s="330">
        <v>0</v>
      </c>
      <c r="H147" s="315">
        <v>0</v>
      </c>
      <c r="I147" s="330">
        <v>0</v>
      </c>
      <c r="J147" s="330">
        <v>0</v>
      </c>
      <c r="K147" s="330">
        <v>0</v>
      </c>
      <c r="L147" s="330">
        <v>0</v>
      </c>
      <c r="M147" s="331">
        <v>0</v>
      </c>
    </row>
    <row r="148" spans="1:13" x14ac:dyDescent="0.2">
      <c r="A148" s="359">
        <v>1</v>
      </c>
      <c r="B148" s="312" t="s">
        <v>3663</v>
      </c>
      <c r="C148" s="325" t="s">
        <v>3664</v>
      </c>
      <c r="D148" s="312">
        <v>4.2000000000000003E-2</v>
      </c>
      <c r="E148" s="312" t="s">
        <v>2202</v>
      </c>
      <c r="F148" s="329">
        <v>4.07</v>
      </c>
      <c r="G148" s="330">
        <v>3.8420800000000006</v>
      </c>
      <c r="H148" s="315">
        <v>3.89906</v>
      </c>
      <c r="I148" s="330">
        <v>4.0089500000000005</v>
      </c>
      <c r="J148" s="330">
        <v>4.21652</v>
      </c>
      <c r="K148" s="330">
        <v>4.3101300000000009</v>
      </c>
      <c r="L148" s="330">
        <v>4.51363</v>
      </c>
      <c r="M148" s="331">
        <v>4.2612899999999998</v>
      </c>
    </row>
    <row r="149" spans="1:13" x14ac:dyDescent="0.2">
      <c r="A149" s="359">
        <v>1</v>
      </c>
      <c r="B149" s="312" t="s">
        <v>3666</v>
      </c>
      <c r="C149" s="325" t="s">
        <v>1274</v>
      </c>
      <c r="D149" s="312">
        <v>5.5E-2</v>
      </c>
      <c r="E149" s="312" t="s">
        <v>2202</v>
      </c>
      <c r="F149" s="329">
        <v>5.3</v>
      </c>
      <c r="G149" s="330">
        <v>5.0032000000000005</v>
      </c>
      <c r="H149" s="315">
        <v>5.0773999999999999</v>
      </c>
      <c r="I149" s="330">
        <v>5.2204999999999995</v>
      </c>
      <c r="J149" s="330">
        <v>5.4908000000000001</v>
      </c>
      <c r="K149" s="330">
        <v>5.6127000000000002</v>
      </c>
      <c r="L149" s="330">
        <v>5.8776999999999999</v>
      </c>
      <c r="M149" s="331">
        <v>5.5490999999999993</v>
      </c>
    </row>
    <row r="150" spans="1:13" x14ac:dyDescent="0.2">
      <c r="A150" s="359">
        <v>1</v>
      </c>
      <c r="B150" s="312" t="s">
        <v>3668</v>
      </c>
      <c r="C150" s="325" t="s">
        <v>3669</v>
      </c>
      <c r="D150" s="312">
        <v>4.2000000000000003E-2</v>
      </c>
      <c r="E150" s="312" t="s">
        <v>2202</v>
      </c>
      <c r="F150" s="329">
        <v>4.07</v>
      </c>
      <c r="G150" s="330">
        <v>3.8420800000000006</v>
      </c>
      <c r="H150" s="315">
        <v>3.89906</v>
      </c>
      <c r="I150" s="330">
        <v>4.0089500000000005</v>
      </c>
      <c r="J150" s="330">
        <v>4.21652</v>
      </c>
      <c r="K150" s="330">
        <v>4.3101300000000009</v>
      </c>
      <c r="L150" s="330">
        <v>4.51363</v>
      </c>
      <c r="M150" s="331">
        <v>4.2612899999999998</v>
      </c>
    </row>
    <row r="151" spans="1:13" x14ac:dyDescent="0.2">
      <c r="A151" s="359">
        <v>1</v>
      </c>
      <c r="B151" s="312" t="s">
        <v>3671</v>
      </c>
      <c r="C151" s="325" t="s">
        <v>3672</v>
      </c>
      <c r="D151" s="312">
        <v>5.5E-2</v>
      </c>
      <c r="E151" s="312" t="s">
        <v>2202</v>
      </c>
      <c r="F151" s="329">
        <v>6.05</v>
      </c>
      <c r="G151" s="330">
        <v>5.7111999999999998</v>
      </c>
      <c r="H151" s="315">
        <v>5.7958999999999996</v>
      </c>
      <c r="I151" s="330">
        <v>5.9592499999999999</v>
      </c>
      <c r="J151" s="330">
        <v>6.2678000000000003</v>
      </c>
      <c r="K151" s="330">
        <v>6.406950000000001</v>
      </c>
      <c r="L151" s="330">
        <v>6.7094499999999995</v>
      </c>
      <c r="M151" s="331">
        <v>6.3343499999999997</v>
      </c>
    </row>
    <row r="152" spans="1:13" x14ac:dyDescent="0.2">
      <c r="A152" s="359">
        <v>1</v>
      </c>
      <c r="B152" s="312" t="s">
        <v>3651</v>
      </c>
      <c r="C152" s="325" t="s">
        <v>3652</v>
      </c>
      <c r="D152" s="312">
        <v>4.2000000000000003E-2</v>
      </c>
      <c r="E152" s="312" t="s">
        <v>2202</v>
      </c>
      <c r="F152" s="329">
        <v>4.55</v>
      </c>
      <c r="G152" s="330">
        <v>4.2952000000000004</v>
      </c>
      <c r="H152" s="315">
        <v>4.3588999999999993</v>
      </c>
      <c r="I152" s="330">
        <v>4.4817499999999999</v>
      </c>
      <c r="J152" s="330">
        <v>4.7138</v>
      </c>
      <c r="K152" s="330">
        <v>4.8184500000000003</v>
      </c>
      <c r="L152" s="330">
        <v>5.0459499999999995</v>
      </c>
      <c r="M152" s="331">
        <v>4.7638499999999997</v>
      </c>
    </row>
    <row r="153" spans="1:13" x14ac:dyDescent="0.2">
      <c r="A153" s="359">
        <v>1</v>
      </c>
      <c r="B153" s="312" t="s">
        <v>3654</v>
      </c>
      <c r="C153" s="325" t="s">
        <v>3655</v>
      </c>
      <c r="D153" s="312">
        <v>5.5E-2</v>
      </c>
      <c r="E153" s="312" t="s">
        <v>2202</v>
      </c>
      <c r="F153" s="329">
        <v>6.05</v>
      </c>
      <c r="G153" s="330">
        <v>5.7111999999999998</v>
      </c>
      <c r="H153" s="315">
        <v>5.7958999999999996</v>
      </c>
      <c r="I153" s="330">
        <v>5.9592499999999999</v>
      </c>
      <c r="J153" s="330">
        <v>6.2678000000000003</v>
      </c>
      <c r="K153" s="330">
        <v>6.406950000000001</v>
      </c>
      <c r="L153" s="330">
        <v>6.7094499999999995</v>
      </c>
      <c r="M153" s="331">
        <v>6.3343499999999997</v>
      </c>
    </row>
    <row r="154" spans="1:13" x14ac:dyDescent="0.2">
      <c r="A154" s="359">
        <v>1</v>
      </c>
      <c r="B154" s="312" t="s">
        <v>3657</v>
      </c>
      <c r="C154" s="325" t="s">
        <v>3658</v>
      </c>
      <c r="D154" s="312">
        <v>6.2E-2</v>
      </c>
      <c r="E154" s="312" t="s">
        <v>2202</v>
      </c>
      <c r="F154" s="329">
        <v>7.7</v>
      </c>
      <c r="G154" s="330">
        <v>7.2688000000000006</v>
      </c>
      <c r="H154" s="315">
        <v>7.3765999999999998</v>
      </c>
      <c r="I154" s="330">
        <v>7.5845000000000002</v>
      </c>
      <c r="J154" s="330">
        <v>7.9772000000000007</v>
      </c>
      <c r="K154" s="330">
        <v>8.154300000000001</v>
      </c>
      <c r="L154" s="330">
        <v>8.5393000000000008</v>
      </c>
      <c r="M154" s="331">
        <v>8.0618999999999996</v>
      </c>
    </row>
    <row r="155" spans="1:13" x14ac:dyDescent="0.2">
      <c r="A155" s="359">
        <v>1</v>
      </c>
      <c r="B155" s="312" t="s">
        <v>3660</v>
      </c>
      <c r="C155" s="325" t="s">
        <v>3661</v>
      </c>
      <c r="D155" s="312">
        <v>7.5999999999999998E-2</v>
      </c>
      <c r="E155" s="312" t="s">
        <v>2202</v>
      </c>
      <c r="F155" s="329">
        <v>9.1999999999999993</v>
      </c>
      <c r="G155" s="330">
        <v>8.6847999999999992</v>
      </c>
      <c r="H155" s="315">
        <v>8.8135999999999992</v>
      </c>
      <c r="I155" s="330">
        <v>9.0619999999999994</v>
      </c>
      <c r="J155" s="330">
        <v>9.5312000000000001</v>
      </c>
      <c r="K155" s="330">
        <v>9.7428000000000008</v>
      </c>
      <c r="L155" s="330">
        <v>10.2028</v>
      </c>
      <c r="M155" s="331">
        <v>9.6323999999999987</v>
      </c>
    </row>
    <row r="156" spans="1:13" x14ac:dyDescent="0.2">
      <c r="A156" s="359">
        <v>1</v>
      </c>
      <c r="B156" s="312" t="s">
        <v>3625</v>
      </c>
      <c r="C156" s="325" t="s">
        <v>3626</v>
      </c>
      <c r="E156" s="312" t="s">
        <v>399</v>
      </c>
      <c r="F156" s="329">
        <v>7.8649999999999993</v>
      </c>
      <c r="G156" s="330">
        <v>7.4245599999999996</v>
      </c>
      <c r="H156" s="315">
        <v>7.5346699999999993</v>
      </c>
      <c r="I156" s="330">
        <v>7.7470249999999989</v>
      </c>
      <c r="J156" s="330">
        <v>8.1481399999999997</v>
      </c>
      <c r="K156" s="330">
        <v>8.3290350000000011</v>
      </c>
      <c r="L156" s="330">
        <v>8.7222849999999994</v>
      </c>
      <c r="M156" s="331">
        <v>8.2346549999999983</v>
      </c>
    </row>
    <row r="157" spans="1:13" ht="20.399999999999999" x14ac:dyDescent="0.2">
      <c r="A157" s="359">
        <v>1</v>
      </c>
      <c r="B157" s="312" t="s">
        <v>3622</v>
      </c>
      <c r="C157" s="325" t="s">
        <v>3623</v>
      </c>
      <c r="E157" s="312" t="s">
        <v>399</v>
      </c>
      <c r="F157" s="329">
        <v>12.65</v>
      </c>
      <c r="G157" s="330">
        <v>11.941600000000001</v>
      </c>
      <c r="H157" s="315">
        <v>12.1187</v>
      </c>
      <c r="I157" s="330">
        <v>12.46025</v>
      </c>
      <c r="J157" s="330">
        <v>13.105400000000001</v>
      </c>
      <c r="K157" s="330">
        <v>13.396350000000002</v>
      </c>
      <c r="L157" s="330">
        <v>14.02885</v>
      </c>
      <c r="M157" s="331">
        <v>13.24455</v>
      </c>
    </row>
    <row r="158" spans="1:13" ht="20.399999999999999" x14ac:dyDescent="0.2">
      <c r="A158" s="359">
        <v>1</v>
      </c>
      <c r="B158" s="312" t="s">
        <v>3619</v>
      </c>
      <c r="C158" s="325" t="s">
        <v>3620</v>
      </c>
      <c r="E158" s="312" t="s">
        <v>399</v>
      </c>
      <c r="F158" s="329">
        <v>6.3250000000000002</v>
      </c>
      <c r="G158" s="330">
        <v>5.9708000000000006</v>
      </c>
      <c r="H158" s="315">
        <v>6.0593500000000002</v>
      </c>
      <c r="I158" s="330">
        <v>6.2301250000000001</v>
      </c>
      <c r="J158" s="330">
        <v>6.5527000000000006</v>
      </c>
      <c r="K158" s="330">
        <v>6.6981750000000009</v>
      </c>
      <c r="L158" s="330">
        <v>7.0144250000000001</v>
      </c>
      <c r="M158" s="331">
        <v>6.6222750000000001</v>
      </c>
    </row>
    <row r="159" spans="1:13" x14ac:dyDescent="0.2">
      <c r="A159" s="359">
        <v>1</v>
      </c>
      <c r="B159" s="312" t="s">
        <v>3555</v>
      </c>
      <c r="C159" s="325" t="s">
        <v>3556</v>
      </c>
      <c r="E159" s="312" t="s">
        <v>2840</v>
      </c>
      <c r="F159" s="329">
        <v>101.2</v>
      </c>
      <c r="G159" s="330">
        <v>95.532800000000009</v>
      </c>
      <c r="H159" s="315">
        <v>96.949600000000004</v>
      </c>
      <c r="I159" s="330">
        <v>99.682000000000002</v>
      </c>
      <c r="J159" s="330">
        <v>104.84320000000001</v>
      </c>
      <c r="K159" s="330">
        <v>107.17080000000001</v>
      </c>
      <c r="L159" s="330">
        <v>112.2308</v>
      </c>
      <c r="M159" s="331">
        <v>105.9564</v>
      </c>
    </row>
    <row r="160" spans="1:13" ht="20.399999999999999" x14ac:dyDescent="0.2">
      <c r="A160" s="359">
        <v>1</v>
      </c>
      <c r="B160" s="312" t="s">
        <v>3526</v>
      </c>
      <c r="C160" s="325" t="s">
        <v>3527</v>
      </c>
      <c r="D160" s="312">
        <v>2.1000000000000001E-2</v>
      </c>
      <c r="E160" s="312" t="s">
        <v>399</v>
      </c>
      <c r="F160" s="329">
        <v>2.8</v>
      </c>
      <c r="G160" s="330">
        <v>2.6432000000000002</v>
      </c>
      <c r="H160" s="315">
        <v>2.6823999999999999</v>
      </c>
      <c r="I160" s="330">
        <v>2.758</v>
      </c>
      <c r="J160" s="330">
        <v>2.9007999999999998</v>
      </c>
      <c r="K160" s="330">
        <v>2.9652000000000003</v>
      </c>
      <c r="L160" s="330">
        <v>3.1052</v>
      </c>
      <c r="M160" s="331">
        <v>2.9315999999999995</v>
      </c>
    </row>
    <row r="161" spans="1:13" ht="20.399999999999999" x14ac:dyDescent="0.2">
      <c r="A161" s="359">
        <v>1</v>
      </c>
      <c r="B161" s="312" t="s">
        <v>3531</v>
      </c>
      <c r="C161" s="325" t="s">
        <v>3532</v>
      </c>
      <c r="D161" s="312">
        <v>2.1999999999999999E-2</v>
      </c>
      <c r="E161" s="312" t="s">
        <v>399</v>
      </c>
      <c r="F161" s="329">
        <v>3.52</v>
      </c>
      <c r="G161" s="330">
        <v>3.3228800000000001</v>
      </c>
      <c r="H161" s="315">
        <v>3.37216</v>
      </c>
      <c r="I161" s="330">
        <v>3.4672000000000001</v>
      </c>
      <c r="J161" s="330">
        <v>3.6467200000000002</v>
      </c>
      <c r="K161" s="330">
        <v>3.7276800000000008</v>
      </c>
      <c r="L161" s="330">
        <v>3.90368</v>
      </c>
      <c r="M161" s="331">
        <v>3.6854399999999998</v>
      </c>
    </row>
    <row r="162" spans="1:13" ht="20.399999999999999" x14ac:dyDescent="0.2">
      <c r="A162" s="359">
        <v>1</v>
      </c>
      <c r="B162" s="312" t="s">
        <v>3544</v>
      </c>
      <c r="C162" s="325" t="s">
        <v>3545</v>
      </c>
      <c r="D162" s="312">
        <v>4.3639999999999999</v>
      </c>
      <c r="E162" s="312" t="s">
        <v>2840</v>
      </c>
      <c r="F162" s="329">
        <v>435</v>
      </c>
      <c r="G162" s="330">
        <v>410.64000000000004</v>
      </c>
      <c r="H162" s="315">
        <v>416.72999999999996</v>
      </c>
      <c r="I162" s="330">
        <v>428.47499999999997</v>
      </c>
      <c r="J162" s="330">
        <v>450.66</v>
      </c>
      <c r="K162" s="330">
        <v>460.66500000000008</v>
      </c>
      <c r="L162" s="330">
        <v>482.41500000000002</v>
      </c>
      <c r="M162" s="331">
        <v>455.44499999999999</v>
      </c>
    </row>
    <row r="163" spans="1:13" ht="20.399999999999999" x14ac:dyDescent="0.2">
      <c r="A163" s="359">
        <v>1</v>
      </c>
      <c r="B163" s="312" t="s">
        <v>3548</v>
      </c>
      <c r="C163" s="325" t="s">
        <v>3549</v>
      </c>
      <c r="D163" s="312">
        <v>1.4490000000000001</v>
      </c>
      <c r="E163" s="312" t="s">
        <v>2840</v>
      </c>
      <c r="F163" s="329">
        <v>209</v>
      </c>
      <c r="G163" s="330">
        <v>197.29600000000002</v>
      </c>
      <c r="H163" s="315">
        <v>200.22199999999998</v>
      </c>
      <c r="I163" s="330">
        <v>205.86500000000001</v>
      </c>
      <c r="J163" s="330">
        <v>216.524</v>
      </c>
      <c r="K163" s="330">
        <v>221.33100000000005</v>
      </c>
      <c r="L163" s="330">
        <v>231.78100000000001</v>
      </c>
      <c r="M163" s="331">
        <v>218.82299999999998</v>
      </c>
    </row>
    <row r="164" spans="1:13" ht="20.399999999999999" x14ac:dyDescent="0.2">
      <c r="A164" s="359">
        <v>1</v>
      </c>
      <c r="B164" s="312" t="s">
        <v>3552</v>
      </c>
      <c r="C164" s="325" t="s">
        <v>3553</v>
      </c>
      <c r="D164" s="312">
        <v>0.95699999999999996</v>
      </c>
      <c r="E164" s="312" t="s">
        <v>2840</v>
      </c>
      <c r="F164" s="329">
        <v>177</v>
      </c>
      <c r="G164" s="330">
        <v>167.08800000000002</v>
      </c>
      <c r="H164" s="315">
        <v>169.566</v>
      </c>
      <c r="I164" s="330">
        <v>174.345</v>
      </c>
      <c r="J164" s="330">
        <v>183.37200000000001</v>
      </c>
      <c r="K164" s="330">
        <v>187.44300000000004</v>
      </c>
      <c r="L164" s="330">
        <v>196.29300000000001</v>
      </c>
      <c r="M164" s="331">
        <v>185.31899999999999</v>
      </c>
    </row>
    <row r="165" spans="1:13" ht="20.399999999999999" x14ac:dyDescent="0.2">
      <c r="A165" s="359">
        <v>1</v>
      </c>
      <c r="B165" s="312" t="s">
        <v>3538</v>
      </c>
      <c r="C165" s="325" t="s">
        <v>3539</v>
      </c>
      <c r="D165" s="312">
        <v>2.605</v>
      </c>
      <c r="E165" s="312" t="s">
        <v>2840</v>
      </c>
      <c r="F165" s="329">
        <v>345</v>
      </c>
      <c r="G165" s="330">
        <v>325.68</v>
      </c>
      <c r="H165" s="315">
        <v>330.51</v>
      </c>
      <c r="I165" s="330">
        <v>339.82499999999999</v>
      </c>
      <c r="J165" s="330">
        <v>357.42</v>
      </c>
      <c r="K165" s="330">
        <v>365.35500000000008</v>
      </c>
      <c r="L165" s="330">
        <v>382.60500000000002</v>
      </c>
      <c r="M165" s="331">
        <v>361.21499999999997</v>
      </c>
    </row>
    <row r="166" spans="1:13" ht="20.399999999999999" x14ac:dyDescent="0.2">
      <c r="A166" s="359">
        <v>1</v>
      </c>
      <c r="B166" s="312" t="s">
        <v>3541</v>
      </c>
      <c r="C166" s="325" t="s">
        <v>3542</v>
      </c>
      <c r="D166" s="312">
        <v>1.4930000000000001</v>
      </c>
      <c r="E166" s="312" t="s">
        <v>2840</v>
      </c>
      <c r="F166" s="329">
        <v>268</v>
      </c>
      <c r="G166" s="330">
        <v>252.99200000000002</v>
      </c>
      <c r="H166" s="315">
        <v>256.74399999999997</v>
      </c>
      <c r="I166" s="330">
        <v>263.98</v>
      </c>
      <c r="J166" s="330">
        <v>277.64800000000002</v>
      </c>
      <c r="K166" s="330">
        <v>283.81200000000007</v>
      </c>
      <c r="L166" s="330">
        <v>297.21199999999999</v>
      </c>
      <c r="M166" s="331">
        <v>280.596</v>
      </c>
    </row>
    <row r="167" spans="1:13" ht="20.399999999999999" x14ac:dyDescent="0.2">
      <c r="A167" s="359">
        <v>1</v>
      </c>
      <c r="B167" s="312" t="s">
        <v>3535</v>
      </c>
      <c r="C167" s="325" t="s">
        <v>3536</v>
      </c>
      <c r="D167" s="312">
        <v>4</v>
      </c>
      <c r="E167" s="312" t="s">
        <v>2840</v>
      </c>
      <c r="F167" s="329">
        <v>390</v>
      </c>
      <c r="G167" s="330">
        <v>368.16</v>
      </c>
      <c r="H167" s="315">
        <v>373.62</v>
      </c>
      <c r="I167" s="330">
        <v>384.15</v>
      </c>
      <c r="J167" s="330">
        <v>404.04</v>
      </c>
      <c r="K167" s="330">
        <v>413.01000000000005</v>
      </c>
      <c r="L167" s="330">
        <v>432.51</v>
      </c>
      <c r="M167" s="331">
        <v>408.33</v>
      </c>
    </row>
    <row r="168" spans="1:13" ht="20.399999999999999" x14ac:dyDescent="0.2">
      <c r="A168" s="359">
        <v>1</v>
      </c>
      <c r="B168" s="312" t="s">
        <v>3585</v>
      </c>
      <c r="C168" s="325" t="s">
        <v>3586</v>
      </c>
      <c r="D168" s="312">
        <v>0.436</v>
      </c>
      <c r="E168" s="312" t="s">
        <v>2840</v>
      </c>
      <c r="F168" s="329">
        <v>20.5</v>
      </c>
      <c r="G168" s="330">
        <v>19.352</v>
      </c>
      <c r="H168" s="315">
        <v>19.638999999999999</v>
      </c>
      <c r="I168" s="330">
        <v>20.192499999999999</v>
      </c>
      <c r="J168" s="330">
        <v>21.238</v>
      </c>
      <c r="K168" s="330">
        <v>21.709500000000002</v>
      </c>
      <c r="L168" s="330">
        <v>22.734500000000001</v>
      </c>
      <c r="M168" s="331">
        <v>21.4635</v>
      </c>
    </row>
    <row r="169" spans="1:13" ht="20.399999999999999" x14ac:dyDescent="0.2">
      <c r="A169" s="359">
        <v>1</v>
      </c>
      <c r="B169" s="312" t="s">
        <v>3588</v>
      </c>
      <c r="C169" s="325" t="s">
        <v>3589</v>
      </c>
      <c r="D169" s="312">
        <v>0.49199999999999999</v>
      </c>
      <c r="E169" s="312" t="s">
        <v>2840</v>
      </c>
      <c r="F169" s="329">
        <v>29.5</v>
      </c>
      <c r="G169" s="330">
        <v>27.848000000000003</v>
      </c>
      <c r="H169" s="315">
        <v>28.260999999999999</v>
      </c>
      <c r="I169" s="330">
        <v>29.057500000000001</v>
      </c>
      <c r="J169" s="330">
        <v>30.562000000000001</v>
      </c>
      <c r="K169" s="330">
        <v>31.240500000000004</v>
      </c>
      <c r="L169" s="330">
        <v>32.715499999999999</v>
      </c>
      <c r="M169" s="331">
        <v>30.886499999999998</v>
      </c>
    </row>
    <row r="170" spans="1:13" ht="20.399999999999999" x14ac:dyDescent="0.2">
      <c r="A170" s="359">
        <v>1</v>
      </c>
      <c r="B170" s="312" t="s">
        <v>3558</v>
      </c>
      <c r="C170" s="325" t="s">
        <v>1313</v>
      </c>
      <c r="E170" s="312" t="s">
        <v>2840</v>
      </c>
      <c r="F170" s="329">
        <v>100.65</v>
      </c>
      <c r="G170" s="330">
        <v>95.013600000000011</v>
      </c>
      <c r="H170" s="315">
        <v>96.422700000000006</v>
      </c>
      <c r="I170" s="330">
        <v>99.140250000000009</v>
      </c>
      <c r="J170" s="330">
        <v>104.27340000000001</v>
      </c>
      <c r="K170" s="330">
        <v>106.58835000000002</v>
      </c>
      <c r="L170" s="330">
        <v>111.62085</v>
      </c>
      <c r="M170" s="331">
        <v>105.38055</v>
      </c>
    </row>
    <row r="171" spans="1:13" ht="20.399999999999999" x14ac:dyDescent="0.2">
      <c r="A171" s="359">
        <v>1</v>
      </c>
      <c r="B171" s="312" t="s">
        <v>3560</v>
      </c>
      <c r="C171" s="325" t="s">
        <v>3561</v>
      </c>
      <c r="E171" s="312" t="s">
        <v>2840</v>
      </c>
      <c r="F171" s="329">
        <v>103.4</v>
      </c>
      <c r="G171" s="330">
        <v>97.609600000000015</v>
      </c>
      <c r="H171" s="315">
        <v>99.057199999999995</v>
      </c>
      <c r="I171" s="330">
        <v>101.849</v>
      </c>
      <c r="J171" s="330">
        <v>107.12240000000001</v>
      </c>
      <c r="K171" s="330">
        <v>109.50060000000002</v>
      </c>
      <c r="L171" s="330">
        <v>114.67060000000001</v>
      </c>
      <c r="M171" s="331">
        <v>108.2598</v>
      </c>
    </row>
    <row r="172" spans="1:13" ht="20.399999999999999" x14ac:dyDescent="0.2">
      <c r="A172" s="359">
        <v>1</v>
      </c>
      <c r="B172" s="312" t="s">
        <v>3563</v>
      </c>
      <c r="C172" s="325" t="s">
        <v>1315</v>
      </c>
      <c r="E172" s="312" t="s">
        <v>2840</v>
      </c>
      <c r="F172" s="329">
        <v>108.9</v>
      </c>
      <c r="G172" s="330">
        <v>102.80160000000001</v>
      </c>
      <c r="H172" s="315">
        <v>104.3262</v>
      </c>
      <c r="I172" s="330">
        <v>107.26650000000001</v>
      </c>
      <c r="J172" s="330">
        <v>112.82040000000001</v>
      </c>
      <c r="K172" s="330">
        <v>115.32510000000002</v>
      </c>
      <c r="L172" s="330">
        <v>120.7701</v>
      </c>
      <c r="M172" s="331">
        <v>114.0183</v>
      </c>
    </row>
    <row r="173" spans="1:13" ht="20.399999999999999" x14ac:dyDescent="0.2">
      <c r="A173" s="359">
        <v>1</v>
      </c>
      <c r="B173" s="312" t="s">
        <v>3565</v>
      </c>
      <c r="C173" s="325" t="s">
        <v>3566</v>
      </c>
      <c r="E173" s="312" t="s">
        <v>2840</v>
      </c>
      <c r="F173" s="329">
        <v>109.45</v>
      </c>
      <c r="G173" s="330">
        <v>103.32080000000001</v>
      </c>
      <c r="H173" s="315">
        <v>104.8531</v>
      </c>
      <c r="I173" s="330">
        <v>107.80825</v>
      </c>
      <c r="J173" s="330">
        <v>113.39020000000001</v>
      </c>
      <c r="K173" s="330">
        <v>115.90755000000001</v>
      </c>
      <c r="L173" s="330">
        <v>121.38005</v>
      </c>
      <c r="M173" s="331">
        <v>114.59415</v>
      </c>
    </row>
    <row r="174" spans="1:13" ht="20.399999999999999" x14ac:dyDescent="0.2">
      <c r="A174" s="359">
        <v>1</v>
      </c>
      <c r="B174" s="312" t="s">
        <v>3568</v>
      </c>
      <c r="C174" s="325" t="s">
        <v>1316</v>
      </c>
      <c r="E174" s="312" t="s">
        <v>2840</v>
      </c>
      <c r="F174" s="329">
        <v>113.3</v>
      </c>
      <c r="G174" s="330">
        <v>106.9552</v>
      </c>
      <c r="H174" s="315">
        <v>108.5414</v>
      </c>
      <c r="I174" s="330">
        <v>111.6005</v>
      </c>
      <c r="J174" s="330">
        <v>117.3788</v>
      </c>
      <c r="K174" s="330">
        <v>119.98470000000002</v>
      </c>
      <c r="L174" s="330">
        <v>125.6497</v>
      </c>
      <c r="M174" s="331">
        <v>118.62509999999999</v>
      </c>
    </row>
    <row r="175" spans="1:13" ht="20.399999999999999" x14ac:dyDescent="0.2">
      <c r="A175" s="359">
        <v>1</v>
      </c>
      <c r="B175" s="312" t="s">
        <v>3570</v>
      </c>
      <c r="C175" s="325" t="s">
        <v>3571</v>
      </c>
      <c r="E175" s="312" t="s">
        <v>2840</v>
      </c>
      <c r="F175" s="329">
        <v>116.6</v>
      </c>
      <c r="G175" s="330">
        <v>110.07040000000001</v>
      </c>
      <c r="H175" s="315">
        <v>111.7028</v>
      </c>
      <c r="I175" s="330">
        <v>114.851</v>
      </c>
      <c r="J175" s="330">
        <v>120.7976</v>
      </c>
      <c r="K175" s="330">
        <v>123.47940000000001</v>
      </c>
      <c r="L175" s="330">
        <v>129.30939999999998</v>
      </c>
      <c r="M175" s="331">
        <v>122.08019999999999</v>
      </c>
    </row>
    <row r="176" spans="1:13" ht="20.399999999999999" x14ac:dyDescent="0.2">
      <c r="A176" s="359">
        <v>1</v>
      </c>
      <c r="B176" s="312" t="s">
        <v>3573</v>
      </c>
      <c r="C176" s="325" t="s">
        <v>3574</v>
      </c>
      <c r="E176" s="312" t="s">
        <v>2840</v>
      </c>
      <c r="F176" s="329">
        <v>122.1</v>
      </c>
      <c r="G176" s="330">
        <v>115.2624</v>
      </c>
      <c r="H176" s="315">
        <v>116.97179999999999</v>
      </c>
      <c r="I176" s="330">
        <v>120.26849999999999</v>
      </c>
      <c r="J176" s="330">
        <v>126.4956</v>
      </c>
      <c r="K176" s="330">
        <v>129.30390000000003</v>
      </c>
      <c r="L176" s="330">
        <v>135.40889999999999</v>
      </c>
      <c r="M176" s="331">
        <v>127.83869999999999</v>
      </c>
    </row>
    <row r="177" spans="1:13" ht="20.399999999999999" x14ac:dyDescent="0.2">
      <c r="A177" s="359">
        <v>1</v>
      </c>
      <c r="B177" s="312" t="s">
        <v>3576</v>
      </c>
      <c r="C177" s="325" t="s">
        <v>3577</v>
      </c>
      <c r="E177" s="312" t="s">
        <v>2840</v>
      </c>
      <c r="F177" s="329">
        <v>139.69999999999999</v>
      </c>
      <c r="G177" s="330">
        <v>131.8768</v>
      </c>
      <c r="H177" s="315">
        <v>133.83259999999999</v>
      </c>
      <c r="I177" s="330">
        <v>137.60449999999997</v>
      </c>
      <c r="J177" s="330">
        <v>144.72919999999999</v>
      </c>
      <c r="K177" s="330">
        <v>147.94230000000002</v>
      </c>
      <c r="L177" s="330">
        <v>154.92729999999997</v>
      </c>
      <c r="M177" s="331">
        <v>146.26589999999999</v>
      </c>
    </row>
    <row r="178" spans="1:13" ht="20.399999999999999" x14ac:dyDescent="0.2">
      <c r="A178" s="359">
        <v>1</v>
      </c>
      <c r="B178" s="312" t="s">
        <v>3579</v>
      </c>
      <c r="C178" s="325" t="s">
        <v>3580</v>
      </c>
      <c r="E178" s="312" t="s">
        <v>2840</v>
      </c>
      <c r="F178" s="329">
        <v>226.6</v>
      </c>
      <c r="G178" s="330">
        <v>213.91040000000001</v>
      </c>
      <c r="H178" s="315">
        <v>217.08279999999999</v>
      </c>
      <c r="I178" s="330">
        <v>223.20099999999999</v>
      </c>
      <c r="J178" s="330">
        <v>234.7576</v>
      </c>
      <c r="K178" s="330">
        <v>239.96940000000004</v>
      </c>
      <c r="L178" s="330">
        <v>251.29939999999999</v>
      </c>
      <c r="M178" s="331">
        <v>237.25019999999998</v>
      </c>
    </row>
    <row r="179" spans="1:13" x14ac:dyDescent="0.2">
      <c r="A179" s="359">
        <v>1</v>
      </c>
      <c r="B179" s="312" t="s">
        <v>3582</v>
      </c>
      <c r="C179" s="325" t="s">
        <v>3583</v>
      </c>
      <c r="E179" s="312" t="s">
        <v>2840</v>
      </c>
      <c r="F179" s="329">
        <v>4.6749999999999998</v>
      </c>
      <c r="G179" s="330">
        <v>4.4131999999999998</v>
      </c>
      <c r="H179" s="315">
        <v>4.47865</v>
      </c>
      <c r="I179" s="330">
        <v>4.6048749999999998</v>
      </c>
      <c r="J179" s="330">
        <v>4.8433000000000002</v>
      </c>
      <c r="K179" s="330">
        <v>4.9508250000000009</v>
      </c>
      <c r="L179" s="330">
        <v>5.1845749999999997</v>
      </c>
      <c r="M179" s="331">
        <v>4.8947249999999993</v>
      </c>
    </row>
    <row r="180" spans="1:13" x14ac:dyDescent="0.2">
      <c r="A180" s="359">
        <v>1</v>
      </c>
      <c r="B180" s="312" t="s">
        <v>4189</v>
      </c>
      <c r="C180" s="325" t="s">
        <v>1319</v>
      </c>
      <c r="D180" s="312">
        <v>0.01</v>
      </c>
      <c r="E180" s="312" t="s">
        <v>2202</v>
      </c>
      <c r="F180" s="329">
        <v>7.7</v>
      </c>
      <c r="G180" s="330">
        <v>7.2688000000000006</v>
      </c>
      <c r="H180" s="315">
        <v>7.3765999999999998</v>
      </c>
      <c r="I180" s="330">
        <v>7.5845000000000002</v>
      </c>
      <c r="J180" s="330">
        <v>7.9772000000000007</v>
      </c>
      <c r="K180" s="330">
        <v>8.154300000000001</v>
      </c>
      <c r="L180" s="330">
        <v>8.5393000000000008</v>
      </c>
      <c r="M180" s="331">
        <v>8.0618999999999996</v>
      </c>
    </row>
    <row r="181" spans="1:13" x14ac:dyDescent="0.2">
      <c r="A181" s="359">
        <v>1</v>
      </c>
      <c r="B181" s="312" t="s">
        <v>4179</v>
      </c>
      <c r="C181" s="325" t="s">
        <v>2252</v>
      </c>
      <c r="D181" s="312">
        <v>0.01</v>
      </c>
      <c r="E181" s="312" t="s">
        <v>1802</v>
      </c>
      <c r="F181" s="329">
        <v>1.38</v>
      </c>
      <c r="G181" s="330">
        <v>1.3027199999999999</v>
      </c>
      <c r="H181" s="315">
        <v>1.3220399999999999</v>
      </c>
      <c r="I181" s="330">
        <v>1.3593</v>
      </c>
      <c r="J181" s="330">
        <v>1.4296799999999998</v>
      </c>
      <c r="K181" s="330">
        <v>1.4614200000000002</v>
      </c>
      <c r="L181" s="330">
        <v>1.5304199999999999</v>
      </c>
      <c r="M181" s="331">
        <v>1.4448599999999998</v>
      </c>
    </row>
    <row r="182" spans="1:13" x14ac:dyDescent="0.2">
      <c r="A182" s="359">
        <v>1</v>
      </c>
      <c r="B182" s="312" t="s">
        <v>4187</v>
      </c>
      <c r="C182" s="325" t="s">
        <v>1320</v>
      </c>
      <c r="D182" s="312">
        <v>8</v>
      </c>
      <c r="E182" s="312" t="s">
        <v>2377</v>
      </c>
      <c r="F182" s="329">
        <v>600</v>
      </c>
      <c r="G182" s="330">
        <v>566.40000000000009</v>
      </c>
      <c r="H182" s="315">
        <v>574.79999999999995</v>
      </c>
      <c r="I182" s="330">
        <v>591</v>
      </c>
      <c r="J182" s="330">
        <v>621.6</v>
      </c>
      <c r="K182" s="330">
        <v>635.40000000000009</v>
      </c>
      <c r="L182" s="330">
        <v>665.4</v>
      </c>
      <c r="M182" s="331">
        <v>628.19999999999993</v>
      </c>
    </row>
    <row r="183" spans="1:13" x14ac:dyDescent="0.2">
      <c r="A183" s="359">
        <v>1</v>
      </c>
      <c r="B183" s="312" t="s">
        <v>4182</v>
      </c>
      <c r="C183" s="325" t="s">
        <v>2810</v>
      </c>
      <c r="D183" s="312">
        <v>0.01</v>
      </c>
      <c r="E183" s="312" t="s">
        <v>1802</v>
      </c>
      <c r="F183" s="329">
        <v>0.84</v>
      </c>
      <c r="G183" s="330">
        <v>0.79296</v>
      </c>
      <c r="H183" s="315">
        <v>0.80471999999999999</v>
      </c>
      <c r="I183" s="330">
        <v>0.82739999999999991</v>
      </c>
      <c r="J183" s="330">
        <v>0.87024000000000001</v>
      </c>
      <c r="K183" s="330">
        <v>0.88956000000000013</v>
      </c>
      <c r="L183" s="330">
        <v>0.93155999999999994</v>
      </c>
      <c r="M183" s="331">
        <v>0.87947999999999993</v>
      </c>
    </row>
    <row r="184" spans="1:13" x14ac:dyDescent="0.2">
      <c r="A184" s="359">
        <v>1</v>
      </c>
      <c r="B184" s="312" t="s">
        <v>4185</v>
      </c>
      <c r="C184" s="325" t="s">
        <v>2812</v>
      </c>
      <c r="D184" s="312">
        <v>0.01</v>
      </c>
      <c r="E184" s="312" t="s">
        <v>2202</v>
      </c>
      <c r="F184" s="329">
        <v>0.89</v>
      </c>
      <c r="G184" s="330">
        <v>0.84016000000000002</v>
      </c>
      <c r="H184" s="315">
        <v>0.85261999999999993</v>
      </c>
      <c r="I184" s="330">
        <v>0.87665000000000004</v>
      </c>
      <c r="J184" s="330">
        <v>0.92204000000000008</v>
      </c>
      <c r="K184" s="330">
        <v>0.94251000000000018</v>
      </c>
      <c r="L184" s="330">
        <v>0.98701000000000005</v>
      </c>
      <c r="M184" s="331">
        <v>0.93182999999999994</v>
      </c>
    </row>
    <row r="185" spans="1:13" ht="20.399999999999999" x14ac:dyDescent="0.2">
      <c r="A185" s="359">
        <v>1</v>
      </c>
      <c r="B185" s="312" t="s">
        <v>4217</v>
      </c>
      <c r="C185" s="325" t="s">
        <v>4218</v>
      </c>
      <c r="D185" s="312">
        <v>0.126</v>
      </c>
      <c r="E185" s="312" t="s">
        <v>2202</v>
      </c>
      <c r="F185" s="329">
        <v>28.5</v>
      </c>
      <c r="G185" s="330">
        <v>26.904000000000003</v>
      </c>
      <c r="H185" s="315">
        <v>27.302999999999997</v>
      </c>
      <c r="I185" s="330">
        <v>28.072499999999998</v>
      </c>
      <c r="J185" s="330">
        <v>29.526</v>
      </c>
      <c r="K185" s="330">
        <v>30.181500000000003</v>
      </c>
      <c r="L185" s="330">
        <v>31.6065</v>
      </c>
      <c r="M185" s="331">
        <v>29.839499999999997</v>
      </c>
    </row>
    <row r="186" spans="1:13" ht="20.399999999999999" x14ac:dyDescent="0.2">
      <c r="A186" s="359">
        <v>1</v>
      </c>
      <c r="B186" s="312" t="s">
        <v>4221</v>
      </c>
      <c r="C186" s="325" t="s">
        <v>4222</v>
      </c>
      <c r="D186" s="312">
        <v>0.14099999999999999</v>
      </c>
      <c r="E186" s="312" t="s">
        <v>2202</v>
      </c>
      <c r="F186" s="329">
        <v>34</v>
      </c>
      <c r="G186" s="330">
        <v>32.096000000000004</v>
      </c>
      <c r="H186" s="315">
        <v>32.571999999999996</v>
      </c>
      <c r="I186" s="330">
        <v>33.49</v>
      </c>
      <c r="J186" s="330">
        <v>35.224000000000004</v>
      </c>
      <c r="K186" s="330">
        <v>36.006000000000007</v>
      </c>
      <c r="L186" s="330">
        <v>37.706000000000003</v>
      </c>
      <c r="M186" s="331">
        <v>35.597999999999999</v>
      </c>
    </row>
    <row r="187" spans="1:13" ht="20.399999999999999" x14ac:dyDescent="0.2">
      <c r="A187" s="359">
        <v>1</v>
      </c>
      <c r="B187" s="312" t="s">
        <v>4321</v>
      </c>
      <c r="C187" s="325" t="s">
        <v>4322</v>
      </c>
      <c r="D187" s="312">
        <v>0.11</v>
      </c>
      <c r="E187" s="312" t="s">
        <v>2840</v>
      </c>
      <c r="F187" s="329">
        <v>10.5</v>
      </c>
      <c r="G187" s="330">
        <v>9.9120000000000008</v>
      </c>
      <c r="H187" s="315">
        <v>10.058999999999999</v>
      </c>
      <c r="I187" s="330">
        <v>10.342499999999999</v>
      </c>
      <c r="J187" s="330">
        <v>10.878</v>
      </c>
      <c r="K187" s="330">
        <v>11.119500000000002</v>
      </c>
      <c r="L187" s="330">
        <v>11.644500000000001</v>
      </c>
      <c r="M187" s="331">
        <v>10.993499999999999</v>
      </c>
    </row>
    <row r="188" spans="1:13" ht="20.399999999999999" x14ac:dyDescent="0.2">
      <c r="A188" s="359">
        <v>1</v>
      </c>
      <c r="B188" s="312" t="s">
        <v>4324</v>
      </c>
      <c r="C188" s="325" t="s">
        <v>4325</v>
      </c>
      <c r="D188" s="312">
        <v>4.8000000000000001E-2</v>
      </c>
      <c r="E188" s="312" t="s">
        <v>2202</v>
      </c>
      <c r="F188" s="329">
        <v>4.55</v>
      </c>
      <c r="G188" s="330">
        <v>4.2952000000000004</v>
      </c>
      <c r="H188" s="315">
        <v>4.3588999999999993</v>
      </c>
      <c r="I188" s="330">
        <v>4.4817499999999999</v>
      </c>
      <c r="J188" s="330">
        <v>4.7138</v>
      </c>
      <c r="K188" s="330">
        <v>4.8184500000000003</v>
      </c>
      <c r="L188" s="330">
        <v>5.0459499999999995</v>
      </c>
      <c r="M188" s="331">
        <v>4.7638499999999997</v>
      </c>
    </row>
    <row r="189" spans="1:13" ht="20.399999999999999" x14ac:dyDescent="0.2">
      <c r="A189" s="359">
        <v>1</v>
      </c>
      <c r="B189" s="312" t="s">
        <v>4319</v>
      </c>
      <c r="C189" s="325" t="s">
        <v>2825</v>
      </c>
      <c r="D189" s="312">
        <v>0.16</v>
      </c>
      <c r="E189" s="312" t="s">
        <v>2840</v>
      </c>
      <c r="F189" s="329">
        <v>32</v>
      </c>
      <c r="G189" s="330">
        <v>30.208000000000002</v>
      </c>
      <c r="H189" s="315">
        <v>30.655999999999999</v>
      </c>
      <c r="I189" s="330">
        <v>31.52</v>
      </c>
      <c r="J189" s="330">
        <v>33.152000000000001</v>
      </c>
      <c r="K189" s="330">
        <v>33.888000000000005</v>
      </c>
      <c r="L189" s="330">
        <v>35.488</v>
      </c>
      <c r="M189" s="331">
        <v>33.503999999999998</v>
      </c>
    </row>
    <row r="190" spans="1:13" ht="20.399999999999999" x14ac:dyDescent="0.2">
      <c r="A190" s="359">
        <v>1</v>
      </c>
      <c r="B190" s="312" t="s">
        <v>4311</v>
      </c>
      <c r="C190" s="325" t="s">
        <v>4312</v>
      </c>
      <c r="D190" s="312">
        <v>3.5</v>
      </c>
      <c r="E190" s="312" t="s">
        <v>2265</v>
      </c>
      <c r="F190" s="329">
        <v>1150</v>
      </c>
      <c r="G190" s="330">
        <v>1085.6000000000001</v>
      </c>
      <c r="H190" s="315">
        <v>1101.7</v>
      </c>
      <c r="I190" s="330">
        <v>1132.75</v>
      </c>
      <c r="J190" s="330">
        <v>1191.4000000000001</v>
      </c>
      <c r="K190" s="330">
        <v>1217.8500000000001</v>
      </c>
      <c r="L190" s="330">
        <v>1275.3499999999999</v>
      </c>
      <c r="M190" s="331">
        <v>1204.05</v>
      </c>
    </row>
    <row r="191" spans="1:13" ht="20.399999999999999" x14ac:dyDescent="0.2">
      <c r="A191" s="359">
        <v>1</v>
      </c>
      <c r="B191" s="312" t="s">
        <v>4314</v>
      </c>
      <c r="C191" s="325" t="s">
        <v>4315</v>
      </c>
      <c r="D191" s="312">
        <v>4</v>
      </c>
      <c r="E191" s="312" t="s">
        <v>2265</v>
      </c>
      <c r="F191" s="329">
        <v>1825</v>
      </c>
      <c r="G191" s="330">
        <v>1722.8000000000002</v>
      </c>
      <c r="H191" s="315">
        <v>1748.35</v>
      </c>
      <c r="I191" s="330">
        <v>1797.625</v>
      </c>
      <c r="J191" s="330">
        <v>1890.7</v>
      </c>
      <c r="K191" s="330">
        <v>1932.6750000000004</v>
      </c>
      <c r="L191" s="330">
        <v>2023.925</v>
      </c>
      <c r="M191" s="331">
        <v>1910.7749999999999</v>
      </c>
    </row>
    <row r="192" spans="1:13" ht="20.399999999999999" x14ac:dyDescent="0.2">
      <c r="A192" s="359">
        <v>1</v>
      </c>
      <c r="B192" s="312" t="s">
        <v>4317</v>
      </c>
      <c r="C192" s="325" t="s">
        <v>2827</v>
      </c>
      <c r="D192" s="312">
        <v>5.6</v>
      </c>
      <c r="E192" s="312" t="s">
        <v>2265</v>
      </c>
      <c r="F192" s="329">
        <v>2300</v>
      </c>
      <c r="G192" s="330">
        <v>2171.2000000000003</v>
      </c>
      <c r="H192" s="315">
        <v>2203.4</v>
      </c>
      <c r="I192" s="330">
        <v>2265.5</v>
      </c>
      <c r="J192" s="330">
        <v>2382.8000000000002</v>
      </c>
      <c r="K192" s="330">
        <v>2435.7000000000003</v>
      </c>
      <c r="L192" s="330">
        <v>2550.6999999999998</v>
      </c>
      <c r="M192" s="331">
        <v>2408.1</v>
      </c>
    </row>
    <row r="193" spans="1:13" x14ac:dyDescent="0.2">
      <c r="A193" s="359">
        <v>1</v>
      </c>
      <c r="B193" s="312" t="s">
        <v>3703</v>
      </c>
      <c r="C193" s="325" t="s">
        <v>3704</v>
      </c>
      <c r="D193" s="312">
        <v>7.2999999999999995E-2</v>
      </c>
      <c r="E193" s="312" t="s">
        <v>2202</v>
      </c>
      <c r="F193" s="329">
        <v>5.25</v>
      </c>
      <c r="G193" s="330">
        <v>4.9560000000000004</v>
      </c>
      <c r="H193" s="315">
        <v>5.0294999999999996</v>
      </c>
      <c r="I193" s="330">
        <v>5.1712499999999997</v>
      </c>
      <c r="J193" s="330">
        <v>5.4390000000000001</v>
      </c>
      <c r="K193" s="330">
        <v>5.5597500000000011</v>
      </c>
      <c r="L193" s="330">
        <v>5.8222500000000004</v>
      </c>
      <c r="M193" s="331">
        <v>5.4967499999999996</v>
      </c>
    </row>
    <row r="194" spans="1:13" ht="20.399999999999999" x14ac:dyDescent="0.2">
      <c r="A194" s="359">
        <v>1</v>
      </c>
      <c r="B194" s="312" t="s">
        <v>4293</v>
      </c>
      <c r="C194" s="325" t="s">
        <v>4294</v>
      </c>
      <c r="D194" s="312">
        <v>1.4999999999999999E-2</v>
      </c>
      <c r="E194" s="312" t="s">
        <v>2202</v>
      </c>
      <c r="F194" s="329">
        <v>1.49</v>
      </c>
      <c r="G194" s="330">
        <v>1.40656</v>
      </c>
      <c r="H194" s="315">
        <v>1.4274199999999999</v>
      </c>
      <c r="I194" s="330">
        <v>1.4676499999999999</v>
      </c>
      <c r="J194" s="330">
        <v>1.5436400000000001</v>
      </c>
      <c r="K194" s="330">
        <v>1.5779100000000001</v>
      </c>
      <c r="L194" s="330">
        <v>1.6524099999999999</v>
      </c>
      <c r="M194" s="331">
        <v>1.5600299999999998</v>
      </c>
    </row>
    <row r="195" spans="1:13" x14ac:dyDescent="0.2">
      <c r="A195" s="359">
        <v>1</v>
      </c>
      <c r="B195" s="312" t="s">
        <v>3512</v>
      </c>
      <c r="C195" s="325" t="s">
        <v>3513</v>
      </c>
      <c r="D195" s="312">
        <v>5.1999999999999998E-2</v>
      </c>
      <c r="E195" s="312" t="s">
        <v>2202</v>
      </c>
      <c r="F195" s="329">
        <v>3.95</v>
      </c>
      <c r="G195" s="330">
        <v>3.7288000000000006</v>
      </c>
      <c r="H195" s="315">
        <v>3.7841</v>
      </c>
      <c r="I195" s="330">
        <v>3.8907500000000002</v>
      </c>
      <c r="J195" s="330">
        <v>4.0922000000000001</v>
      </c>
      <c r="K195" s="330">
        <v>4.1830500000000006</v>
      </c>
      <c r="L195" s="330">
        <v>4.3805500000000004</v>
      </c>
      <c r="M195" s="331">
        <v>4.13565</v>
      </c>
    </row>
    <row r="196" spans="1:13" x14ac:dyDescent="0.2">
      <c r="A196" s="359">
        <v>1</v>
      </c>
      <c r="B196" s="312" t="s">
        <v>3515</v>
      </c>
      <c r="C196" s="325" t="s">
        <v>1222</v>
      </c>
      <c r="D196" s="312">
        <v>5.5E-2</v>
      </c>
      <c r="E196" s="312" t="s">
        <v>2202</v>
      </c>
      <c r="F196" s="329">
        <v>5.05</v>
      </c>
      <c r="G196" s="330">
        <v>4.7671999999999999</v>
      </c>
      <c r="H196" s="315">
        <v>4.8378999999999994</v>
      </c>
      <c r="I196" s="330">
        <v>4.9742499999999996</v>
      </c>
      <c r="J196" s="330">
        <v>5.2317999999999998</v>
      </c>
      <c r="K196" s="330">
        <v>5.3479500000000009</v>
      </c>
      <c r="L196" s="330">
        <v>5.6004499999999995</v>
      </c>
      <c r="M196" s="331">
        <v>5.2873499999999991</v>
      </c>
    </row>
    <row r="197" spans="1:13" x14ac:dyDescent="0.2">
      <c r="A197" s="359">
        <v>1</v>
      </c>
      <c r="B197" s="312" t="s">
        <v>3517</v>
      </c>
      <c r="C197" s="325" t="s">
        <v>3518</v>
      </c>
      <c r="D197" s="312">
        <v>5.8999999999999997E-2</v>
      </c>
      <c r="E197" s="312" t="s">
        <v>2202</v>
      </c>
      <c r="F197" s="329">
        <v>5.0999999999999996</v>
      </c>
      <c r="G197" s="330">
        <v>4.8144</v>
      </c>
      <c r="H197" s="315">
        <v>4.8857999999999997</v>
      </c>
      <c r="I197" s="330">
        <v>5.0234999999999994</v>
      </c>
      <c r="J197" s="330">
        <v>5.2835999999999999</v>
      </c>
      <c r="K197" s="330">
        <v>5.4009</v>
      </c>
      <c r="L197" s="330">
        <v>5.6558999999999999</v>
      </c>
      <c r="M197" s="331">
        <v>5.3396999999999997</v>
      </c>
    </row>
    <row r="198" spans="1:13" x14ac:dyDescent="0.2">
      <c r="A198" s="359">
        <v>1</v>
      </c>
      <c r="B198" s="312" t="s">
        <v>3520</v>
      </c>
      <c r="C198" s="325" t="s">
        <v>3521</v>
      </c>
      <c r="D198" s="312">
        <v>6.2E-2</v>
      </c>
      <c r="E198" s="312" t="s">
        <v>2202</v>
      </c>
      <c r="F198" s="329">
        <v>6.65</v>
      </c>
      <c r="G198" s="330">
        <v>6.2776000000000005</v>
      </c>
      <c r="H198" s="315">
        <v>6.3707000000000003</v>
      </c>
      <c r="I198" s="330">
        <v>6.5502500000000001</v>
      </c>
      <c r="J198" s="330">
        <v>6.8894000000000002</v>
      </c>
      <c r="K198" s="330">
        <v>7.0423500000000017</v>
      </c>
      <c r="L198" s="330">
        <v>7.3748500000000003</v>
      </c>
      <c r="M198" s="331">
        <v>6.9625500000000002</v>
      </c>
    </row>
    <row r="199" spans="1:13" x14ac:dyDescent="0.2">
      <c r="A199" s="359">
        <v>1</v>
      </c>
      <c r="B199" s="312" t="s">
        <v>3523</v>
      </c>
      <c r="C199" s="325" t="s">
        <v>3524</v>
      </c>
      <c r="D199" s="312">
        <v>5.5E-2</v>
      </c>
      <c r="E199" s="312" t="s">
        <v>2202</v>
      </c>
      <c r="F199" s="329">
        <v>4.88</v>
      </c>
      <c r="G199" s="330">
        <v>4.6067200000000001</v>
      </c>
      <c r="H199" s="315">
        <v>4.6750400000000001</v>
      </c>
      <c r="I199" s="330">
        <v>4.8068</v>
      </c>
      <c r="J199" s="330">
        <v>5.0556799999999997</v>
      </c>
      <c r="K199" s="330">
        <v>5.1679200000000005</v>
      </c>
      <c r="L199" s="330">
        <v>5.4119199999999994</v>
      </c>
      <c r="M199" s="331">
        <v>5.1093599999999997</v>
      </c>
    </row>
    <row r="200" spans="1:13" x14ac:dyDescent="0.2">
      <c r="A200" s="359">
        <v>1</v>
      </c>
      <c r="B200" s="312" t="s">
        <v>3634</v>
      </c>
      <c r="C200" s="325" t="s">
        <v>3635</v>
      </c>
      <c r="D200" s="312">
        <v>0.216</v>
      </c>
      <c r="E200" s="312" t="s">
        <v>1053</v>
      </c>
      <c r="F200" s="329">
        <v>18.350000000000001</v>
      </c>
      <c r="G200" s="330">
        <v>17.322400000000002</v>
      </c>
      <c r="H200" s="315">
        <v>17.5793</v>
      </c>
      <c r="I200" s="330">
        <v>18.074750000000002</v>
      </c>
      <c r="J200" s="330">
        <v>19.010600000000004</v>
      </c>
      <c r="K200" s="330">
        <v>19.432650000000006</v>
      </c>
      <c r="L200" s="330">
        <v>20.350150000000003</v>
      </c>
      <c r="M200" s="331">
        <v>19.21245</v>
      </c>
    </row>
    <row r="201" spans="1:13" ht="20.399999999999999" x14ac:dyDescent="0.2">
      <c r="A201" s="359">
        <v>1</v>
      </c>
      <c r="B201" s="312" t="s">
        <v>4307</v>
      </c>
      <c r="C201" s="325" t="s">
        <v>684</v>
      </c>
      <c r="D201" s="312">
        <v>4</v>
      </c>
      <c r="E201" s="312" t="s">
        <v>2265</v>
      </c>
      <c r="F201" s="329">
        <v>1575</v>
      </c>
      <c r="G201" s="330">
        <v>1486.8000000000002</v>
      </c>
      <c r="H201" s="315">
        <v>1508.85</v>
      </c>
      <c r="I201" s="330">
        <v>1551.375</v>
      </c>
      <c r="J201" s="330">
        <v>1631.7</v>
      </c>
      <c r="K201" s="330">
        <v>1667.9250000000002</v>
      </c>
      <c r="L201" s="330">
        <v>1746.675</v>
      </c>
      <c r="M201" s="331">
        <v>1649.0249999999999</v>
      </c>
    </row>
    <row r="202" spans="1:13" ht="20.399999999999999" x14ac:dyDescent="0.2">
      <c r="A202" s="359">
        <v>1</v>
      </c>
      <c r="B202" s="312" t="s">
        <v>4230</v>
      </c>
      <c r="C202" s="325" t="s">
        <v>686</v>
      </c>
      <c r="E202" s="312" t="s">
        <v>603</v>
      </c>
      <c r="F202" s="329">
        <v>128</v>
      </c>
      <c r="G202" s="330">
        <v>120.83200000000001</v>
      </c>
      <c r="H202" s="315">
        <v>122.624</v>
      </c>
      <c r="I202" s="330">
        <v>126.08</v>
      </c>
      <c r="J202" s="330">
        <v>132.608</v>
      </c>
      <c r="K202" s="330">
        <v>135.55200000000002</v>
      </c>
      <c r="L202" s="330">
        <v>141.952</v>
      </c>
      <c r="M202" s="331">
        <v>134.01599999999999</v>
      </c>
    </row>
    <row r="203" spans="1:13" ht="20.399999999999999" x14ac:dyDescent="0.2">
      <c r="A203" s="359">
        <v>1</v>
      </c>
      <c r="B203" s="312" t="s">
        <v>4232</v>
      </c>
      <c r="C203" s="325" t="s">
        <v>687</v>
      </c>
      <c r="E203" s="312" t="s">
        <v>603</v>
      </c>
      <c r="F203" s="329">
        <v>147</v>
      </c>
      <c r="G203" s="330">
        <v>138.768</v>
      </c>
      <c r="H203" s="315">
        <v>140.82599999999999</v>
      </c>
      <c r="I203" s="330">
        <v>144.79499999999999</v>
      </c>
      <c r="J203" s="330">
        <v>152.292</v>
      </c>
      <c r="K203" s="330">
        <v>155.67300000000003</v>
      </c>
      <c r="L203" s="330">
        <v>163.023</v>
      </c>
      <c r="M203" s="331">
        <v>153.90899999999999</v>
      </c>
    </row>
    <row r="204" spans="1:13" x14ac:dyDescent="0.2">
      <c r="A204" s="359">
        <v>2</v>
      </c>
      <c r="B204" s="312" t="s">
        <v>4147</v>
      </c>
      <c r="C204" s="325" t="s">
        <v>4148</v>
      </c>
      <c r="D204" s="312">
        <v>0.01</v>
      </c>
      <c r="E204" s="312" t="s">
        <v>1183</v>
      </c>
      <c r="F204" s="329">
        <v>2.56</v>
      </c>
      <c r="G204" s="330">
        <v>2.4166400000000001</v>
      </c>
      <c r="H204" s="315">
        <v>2.45248</v>
      </c>
      <c r="I204" s="330">
        <v>2.5215999999999998</v>
      </c>
      <c r="J204" s="330">
        <v>2.6521600000000003</v>
      </c>
      <c r="K204" s="330">
        <v>2.7110400000000006</v>
      </c>
      <c r="L204" s="330">
        <v>2.8390400000000002</v>
      </c>
      <c r="M204" s="331">
        <v>2.68032</v>
      </c>
    </row>
    <row r="205" spans="1:13" x14ac:dyDescent="0.2">
      <c r="A205" s="359">
        <v>2</v>
      </c>
      <c r="B205" s="312" t="s">
        <v>4144</v>
      </c>
      <c r="C205" s="325" t="s">
        <v>1055</v>
      </c>
      <c r="D205" s="312">
        <v>7.0000000000000001E-3</v>
      </c>
      <c r="E205" s="312" t="s">
        <v>1181</v>
      </c>
      <c r="F205" s="329">
        <v>1.34</v>
      </c>
      <c r="G205" s="330">
        <v>1.2649600000000001</v>
      </c>
      <c r="H205" s="315">
        <v>1.28372</v>
      </c>
      <c r="I205" s="330">
        <v>1.3199000000000001</v>
      </c>
      <c r="J205" s="330">
        <v>1.3882400000000001</v>
      </c>
      <c r="K205" s="330">
        <v>1.4190600000000002</v>
      </c>
      <c r="L205" s="330">
        <v>1.4860600000000002</v>
      </c>
      <c r="M205" s="331">
        <v>1.4029799999999999</v>
      </c>
    </row>
    <row r="206" spans="1:13" x14ac:dyDescent="0.2">
      <c r="A206" s="359">
        <v>2</v>
      </c>
      <c r="B206" s="312" t="s">
        <v>4162</v>
      </c>
      <c r="C206" s="325" t="s">
        <v>1057</v>
      </c>
      <c r="D206" s="312">
        <v>7.0000000000000001E-3</v>
      </c>
      <c r="E206" s="312" t="s">
        <v>1181</v>
      </c>
      <c r="F206" s="329">
        <v>0.82</v>
      </c>
      <c r="G206" s="330">
        <v>0.77407999999999999</v>
      </c>
      <c r="H206" s="315">
        <v>0.78555999999999993</v>
      </c>
      <c r="I206" s="330">
        <v>0.80769999999999997</v>
      </c>
      <c r="J206" s="330">
        <v>0.84951999999999994</v>
      </c>
      <c r="K206" s="330">
        <v>0.86838000000000004</v>
      </c>
      <c r="L206" s="330">
        <v>0.90937999999999997</v>
      </c>
      <c r="M206" s="331">
        <v>0.85853999999999986</v>
      </c>
    </row>
    <row r="207" spans="1:13" x14ac:dyDescent="0.2">
      <c r="A207" s="359">
        <v>2</v>
      </c>
      <c r="B207" s="312" t="s">
        <v>4165</v>
      </c>
      <c r="C207" s="325" t="s">
        <v>4166</v>
      </c>
      <c r="D207" s="312">
        <v>4.0000000000000001E-3</v>
      </c>
      <c r="E207" s="312" t="s">
        <v>1181</v>
      </c>
      <c r="F207" s="329">
        <v>0.74</v>
      </c>
      <c r="G207" s="330">
        <v>0.69856000000000007</v>
      </c>
      <c r="H207" s="315">
        <v>0.70891999999999999</v>
      </c>
      <c r="I207" s="330">
        <v>0.72889999999999999</v>
      </c>
      <c r="J207" s="330">
        <v>0.76663999999999999</v>
      </c>
      <c r="K207" s="330">
        <v>0.78366000000000013</v>
      </c>
      <c r="L207" s="330">
        <v>0.82065999999999995</v>
      </c>
      <c r="M207" s="331">
        <v>0.77477999999999991</v>
      </c>
    </row>
    <row r="208" spans="1:13" x14ac:dyDescent="0.2">
      <c r="A208" s="359">
        <v>2</v>
      </c>
      <c r="B208" s="312" t="s">
        <v>4159</v>
      </c>
      <c r="C208" s="325" t="s">
        <v>4160</v>
      </c>
      <c r="D208" s="312">
        <v>2.4E-2</v>
      </c>
      <c r="E208" s="312" t="s">
        <v>1181</v>
      </c>
      <c r="F208" s="329">
        <v>2.76</v>
      </c>
      <c r="G208" s="330">
        <v>2.6054399999999998</v>
      </c>
      <c r="H208" s="315">
        <v>2.6440799999999998</v>
      </c>
      <c r="I208" s="330">
        <v>2.7185999999999999</v>
      </c>
      <c r="J208" s="330">
        <v>2.8593599999999997</v>
      </c>
      <c r="K208" s="330">
        <v>2.9228400000000003</v>
      </c>
      <c r="L208" s="330">
        <v>3.0608399999999998</v>
      </c>
      <c r="M208" s="331">
        <v>2.8897199999999996</v>
      </c>
    </row>
    <row r="209" spans="1:13" x14ac:dyDescent="0.2">
      <c r="A209" s="359">
        <v>2</v>
      </c>
      <c r="B209" s="312" t="s">
        <v>4156</v>
      </c>
      <c r="C209" s="325" t="s">
        <v>4157</v>
      </c>
      <c r="D209" s="312">
        <v>8.0000000000000002E-3</v>
      </c>
      <c r="E209" s="312" t="s">
        <v>1181</v>
      </c>
      <c r="F209" s="329">
        <v>0.94</v>
      </c>
      <c r="G209" s="330">
        <v>0.88736000000000004</v>
      </c>
      <c r="H209" s="315">
        <v>0.90051999999999988</v>
      </c>
      <c r="I209" s="330">
        <v>0.92589999999999995</v>
      </c>
      <c r="J209" s="330">
        <v>0.97383999999999993</v>
      </c>
      <c r="K209" s="330">
        <v>0.99546000000000012</v>
      </c>
      <c r="L209" s="330">
        <v>1.0424599999999999</v>
      </c>
      <c r="M209" s="331">
        <v>0.98417999999999983</v>
      </c>
    </row>
    <row r="210" spans="1:13" x14ac:dyDescent="0.2">
      <c r="A210" s="359">
        <v>2</v>
      </c>
      <c r="B210" s="312" t="s">
        <v>4154</v>
      </c>
      <c r="C210" s="325" t="s">
        <v>1059</v>
      </c>
      <c r="D210" s="312">
        <v>1.2E-2</v>
      </c>
      <c r="E210" s="312" t="s">
        <v>1183</v>
      </c>
      <c r="F210" s="329">
        <v>3.24</v>
      </c>
      <c r="G210" s="330">
        <v>3.0585600000000004</v>
      </c>
      <c r="H210" s="315">
        <v>3.10392</v>
      </c>
      <c r="I210" s="330">
        <v>3.1914000000000002</v>
      </c>
      <c r="J210" s="330">
        <v>3.3566400000000005</v>
      </c>
      <c r="K210" s="330">
        <v>3.4311600000000007</v>
      </c>
      <c r="L210" s="330">
        <v>3.5931600000000001</v>
      </c>
      <c r="M210" s="331">
        <v>3.39228</v>
      </c>
    </row>
    <row r="211" spans="1:13" x14ac:dyDescent="0.2">
      <c r="A211" s="359">
        <v>2</v>
      </c>
      <c r="B211" s="312" t="s">
        <v>4152</v>
      </c>
      <c r="C211" s="325" t="s">
        <v>1060</v>
      </c>
      <c r="D211" s="312">
        <v>1.0999999999999999E-2</v>
      </c>
      <c r="E211" s="312" t="s">
        <v>1183</v>
      </c>
      <c r="F211" s="329">
        <v>2.92</v>
      </c>
      <c r="G211" s="330">
        <v>2.7564800000000003</v>
      </c>
      <c r="H211" s="315">
        <v>2.7973599999999998</v>
      </c>
      <c r="I211" s="330">
        <v>2.8761999999999999</v>
      </c>
      <c r="J211" s="330">
        <v>3.0251199999999998</v>
      </c>
      <c r="K211" s="330">
        <v>3.0922800000000006</v>
      </c>
      <c r="L211" s="330">
        <v>3.23828</v>
      </c>
      <c r="M211" s="331">
        <v>3.0572399999999997</v>
      </c>
    </row>
    <row r="212" spans="1:13" x14ac:dyDescent="0.2">
      <c r="A212" s="359">
        <v>2</v>
      </c>
      <c r="B212" s="312" t="s">
        <v>4150</v>
      </c>
      <c r="C212" s="325" t="s">
        <v>1061</v>
      </c>
      <c r="D212" s="312">
        <v>8.9999999999999993E-3</v>
      </c>
      <c r="E212" s="312" t="s">
        <v>1181</v>
      </c>
      <c r="F212" s="329">
        <v>1.79</v>
      </c>
      <c r="G212" s="330">
        <v>1.6897600000000002</v>
      </c>
      <c r="H212" s="315">
        <v>1.71482</v>
      </c>
      <c r="I212" s="330">
        <v>1.76315</v>
      </c>
      <c r="J212" s="330">
        <v>1.8544400000000001</v>
      </c>
      <c r="K212" s="330">
        <v>1.8956100000000002</v>
      </c>
      <c r="L212" s="330">
        <v>1.9851099999999999</v>
      </c>
      <c r="M212" s="331">
        <v>1.8741299999999999</v>
      </c>
    </row>
    <row r="213" spans="1:13" x14ac:dyDescent="0.2">
      <c r="A213" s="359">
        <v>2</v>
      </c>
      <c r="B213" s="312" t="s">
        <v>3947</v>
      </c>
      <c r="C213" s="325" t="s">
        <v>1080</v>
      </c>
      <c r="D213" s="312">
        <v>0.05</v>
      </c>
      <c r="E213" s="312" t="s">
        <v>2265</v>
      </c>
      <c r="F213" s="329">
        <v>6.75</v>
      </c>
      <c r="G213" s="330">
        <v>6.3720000000000008</v>
      </c>
      <c r="H213" s="315">
        <v>6.4664999999999999</v>
      </c>
      <c r="I213" s="330">
        <v>6.6487499999999997</v>
      </c>
      <c r="J213" s="330">
        <v>6.9930000000000003</v>
      </c>
      <c r="K213" s="330">
        <v>7.1482500000000009</v>
      </c>
      <c r="L213" s="330">
        <v>7.4857499999999995</v>
      </c>
      <c r="M213" s="331">
        <v>7.0672499999999996</v>
      </c>
    </row>
    <row r="214" spans="1:13" x14ac:dyDescent="0.2">
      <c r="A214" s="359">
        <v>2</v>
      </c>
      <c r="B214" s="312" t="s">
        <v>3931</v>
      </c>
      <c r="C214" s="325" t="s">
        <v>1082</v>
      </c>
      <c r="D214" s="312">
        <v>48</v>
      </c>
      <c r="E214" s="312" t="s">
        <v>2376</v>
      </c>
      <c r="F214" s="329">
        <v>3700</v>
      </c>
      <c r="G214" s="330">
        <v>3492.8</v>
      </c>
      <c r="H214" s="315">
        <v>3544.6</v>
      </c>
      <c r="I214" s="330">
        <v>3644.5</v>
      </c>
      <c r="J214" s="330">
        <v>3833.2000000000003</v>
      </c>
      <c r="K214" s="330">
        <v>3918.3000000000006</v>
      </c>
      <c r="L214" s="330">
        <v>4103.3</v>
      </c>
      <c r="M214" s="331">
        <v>3873.8999999999996</v>
      </c>
    </row>
    <row r="215" spans="1:13" x14ac:dyDescent="0.2">
      <c r="A215" s="359">
        <v>2</v>
      </c>
      <c r="B215" s="312" t="s">
        <v>3933</v>
      </c>
      <c r="C215" s="325" t="s">
        <v>1083</v>
      </c>
      <c r="D215" s="312">
        <v>12</v>
      </c>
      <c r="E215" s="312" t="s">
        <v>2376</v>
      </c>
      <c r="F215" s="329">
        <v>1675</v>
      </c>
      <c r="G215" s="330">
        <v>1581.2</v>
      </c>
      <c r="H215" s="315">
        <v>1604.6499999999999</v>
      </c>
      <c r="I215" s="330">
        <v>1649.875</v>
      </c>
      <c r="J215" s="330">
        <v>1735.3</v>
      </c>
      <c r="K215" s="330">
        <v>1773.8250000000003</v>
      </c>
      <c r="L215" s="330">
        <v>1857.575</v>
      </c>
      <c r="M215" s="331">
        <v>1753.7249999999999</v>
      </c>
    </row>
    <row r="216" spans="1:13" x14ac:dyDescent="0.2">
      <c r="A216" s="359">
        <v>2</v>
      </c>
      <c r="B216" s="312" t="s">
        <v>3953</v>
      </c>
      <c r="C216" s="325" t="s">
        <v>1084</v>
      </c>
      <c r="D216" s="312">
        <v>6.7000000000000004E-2</v>
      </c>
      <c r="E216" s="312" t="s">
        <v>2265</v>
      </c>
      <c r="F216" s="329">
        <v>8.9499999999999993</v>
      </c>
      <c r="G216" s="330">
        <v>8.4488000000000003</v>
      </c>
      <c r="H216" s="315">
        <v>8.5740999999999996</v>
      </c>
      <c r="I216" s="330">
        <v>8.8157499999999995</v>
      </c>
      <c r="J216" s="330">
        <v>9.2721999999999998</v>
      </c>
      <c r="K216" s="330">
        <v>9.4780500000000014</v>
      </c>
      <c r="L216" s="330">
        <v>9.9255499999999994</v>
      </c>
      <c r="M216" s="331">
        <v>9.3706499999999995</v>
      </c>
    </row>
    <row r="217" spans="1:13" x14ac:dyDescent="0.2">
      <c r="A217" s="359">
        <v>2</v>
      </c>
      <c r="B217" s="312" t="s">
        <v>3951</v>
      </c>
      <c r="C217" s="325" t="s">
        <v>1085</v>
      </c>
      <c r="D217" s="312">
        <v>4.3999999999999997E-2</v>
      </c>
      <c r="E217" s="312" t="s">
        <v>2265</v>
      </c>
      <c r="F217" s="329">
        <v>6</v>
      </c>
      <c r="G217" s="330">
        <v>5.6640000000000006</v>
      </c>
      <c r="H217" s="315">
        <v>5.7479999999999993</v>
      </c>
      <c r="I217" s="330">
        <v>5.91</v>
      </c>
      <c r="J217" s="330">
        <v>6.2160000000000002</v>
      </c>
      <c r="K217" s="330">
        <v>6.354000000000001</v>
      </c>
      <c r="L217" s="330">
        <v>6.6539999999999999</v>
      </c>
      <c r="M217" s="331">
        <v>6.282</v>
      </c>
    </row>
    <row r="218" spans="1:13" x14ac:dyDescent="0.2">
      <c r="A218" s="359">
        <v>2</v>
      </c>
      <c r="B218" s="312" t="s">
        <v>3949</v>
      </c>
      <c r="C218" s="325" t="s">
        <v>1086</v>
      </c>
      <c r="D218" s="312">
        <v>3.3000000000000002E-2</v>
      </c>
      <c r="E218" s="312" t="s">
        <v>2265</v>
      </c>
      <c r="F218" s="329">
        <v>4.4800000000000004</v>
      </c>
      <c r="G218" s="330">
        <v>4.2291200000000009</v>
      </c>
      <c r="H218" s="315">
        <v>4.2918400000000005</v>
      </c>
      <c r="I218" s="330">
        <v>4.4128000000000007</v>
      </c>
      <c r="J218" s="330">
        <v>4.641280000000001</v>
      </c>
      <c r="K218" s="330">
        <v>4.744320000000001</v>
      </c>
      <c r="L218" s="330">
        <v>4.9683200000000003</v>
      </c>
      <c r="M218" s="331">
        <v>4.6905600000000005</v>
      </c>
    </row>
    <row r="219" spans="1:13" x14ac:dyDescent="0.2">
      <c r="A219" s="359">
        <v>2</v>
      </c>
      <c r="B219" s="312" t="s">
        <v>3944</v>
      </c>
      <c r="C219" s="325" t="s">
        <v>3945</v>
      </c>
      <c r="D219" s="312">
        <v>48</v>
      </c>
      <c r="E219" s="312" t="s">
        <v>2376</v>
      </c>
      <c r="F219" s="329">
        <v>6650</v>
      </c>
      <c r="G219" s="330">
        <v>6277.6</v>
      </c>
      <c r="H219" s="315">
        <v>6370.7</v>
      </c>
      <c r="I219" s="330">
        <v>6550.25</v>
      </c>
      <c r="J219" s="330">
        <v>6889.4000000000005</v>
      </c>
      <c r="K219" s="330">
        <v>7042.3500000000013</v>
      </c>
      <c r="L219" s="330">
        <v>7374.8499999999995</v>
      </c>
      <c r="M219" s="331">
        <v>6962.5499999999993</v>
      </c>
    </row>
    <row r="220" spans="1:13" x14ac:dyDescent="0.2">
      <c r="A220" s="359">
        <v>2</v>
      </c>
      <c r="B220" s="312" t="s">
        <v>3941</v>
      </c>
      <c r="C220" s="325" t="s">
        <v>3942</v>
      </c>
      <c r="D220" s="312">
        <v>160</v>
      </c>
      <c r="E220" s="312" t="s">
        <v>2376</v>
      </c>
      <c r="F220" s="329">
        <v>12300</v>
      </c>
      <c r="G220" s="330">
        <v>11611.2</v>
      </c>
      <c r="H220" s="315">
        <v>11783.4</v>
      </c>
      <c r="I220" s="330">
        <v>12115.5</v>
      </c>
      <c r="J220" s="330">
        <v>12742.800000000001</v>
      </c>
      <c r="K220" s="330">
        <v>13025.700000000003</v>
      </c>
      <c r="L220" s="330">
        <v>13640.7</v>
      </c>
      <c r="M220" s="331">
        <v>12878.099999999999</v>
      </c>
    </row>
    <row r="221" spans="1:13" x14ac:dyDescent="0.2">
      <c r="A221" s="359">
        <v>2</v>
      </c>
      <c r="B221" s="312" t="s">
        <v>3935</v>
      </c>
      <c r="C221" s="325" t="s">
        <v>3936</v>
      </c>
      <c r="D221" s="312">
        <v>68.570999999999998</v>
      </c>
      <c r="E221" s="312" t="s">
        <v>2376</v>
      </c>
      <c r="F221" s="329">
        <v>5275</v>
      </c>
      <c r="G221" s="330">
        <v>4979.6000000000004</v>
      </c>
      <c r="H221" s="315">
        <v>5053.45</v>
      </c>
      <c r="I221" s="330">
        <v>5195.875</v>
      </c>
      <c r="J221" s="330">
        <v>5464.9000000000005</v>
      </c>
      <c r="K221" s="330">
        <v>5586.2250000000013</v>
      </c>
      <c r="L221" s="330">
        <v>5849.9750000000004</v>
      </c>
      <c r="M221" s="331">
        <v>5522.9249999999993</v>
      </c>
    </row>
    <row r="222" spans="1:13" x14ac:dyDescent="0.2">
      <c r="A222" s="359">
        <v>2</v>
      </c>
      <c r="B222" s="312" t="s">
        <v>3938</v>
      </c>
      <c r="C222" s="325" t="s">
        <v>3939</v>
      </c>
      <c r="D222" s="312">
        <v>24</v>
      </c>
      <c r="E222" s="312" t="s">
        <v>2376</v>
      </c>
      <c r="F222" s="329">
        <v>3325</v>
      </c>
      <c r="G222" s="330">
        <v>3138.8</v>
      </c>
      <c r="H222" s="315">
        <v>3185.35</v>
      </c>
      <c r="I222" s="330">
        <v>3275.125</v>
      </c>
      <c r="J222" s="330">
        <v>3444.7000000000003</v>
      </c>
      <c r="K222" s="330">
        <v>3521.1750000000006</v>
      </c>
      <c r="L222" s="330">
        <v>3687.4249999999997</v>
      </c>
      <c r="M222" s="331">
        <v>3481.2749999999996</v>
      </c>
    </row>
    <row r="223" spans="1:13" ht="20.399999999999999" x14ac:dyDescent="0.2">
      <c r="A223" s="359">
        <v>2</v>
      </c>
      <c r="B223" s="312" t="s">
        <v>4098</v>
      </c>
      <c r="C223" s="325" t="s">
        <v>1547</v>
      </c>
      <c r="D223" s="312">
        <v>0.02</v>
      </c>
      <c r="E223" s="312" t="s">
        <v>614</v>
      </c>
      <c r="F223" s="329">
        <v>2.0299999999999998</v>
      </c>
      <c r="G223" s="330">
        <v>1.91632</v>
      </c>
      <c r="H223" s="315">
        <v>1.9447399999999997</v>
      </c>
      <c r="I223" s="330">
        <v>1.9995499999999997</v>
      </c>
      <c r="J223" s="330">
        <v>2.1030799999999998</v>
      </c>
      <c r="K223" s="330">
        <v>2.1497700000000002</v>
      </c>
      <c r="L223" s="330">
        <v>2.2512699999999999</v>
      </c>
      <c r="M223" s="331">
        <v>2.1254099999999996</v>
      </c>
    </row>
    <row r="224" spans="1:13" ht="20.399999999999999" x14ac:dyDescent="0.2">
      <c r="A224" s="359">
        <v>2</v>
      </c>
      <c r="B224" s="312" t="s">
        <v>4100</v>
      </c>
      <c r="C224" s="325" t="s">
        <v>1550</v>
      </c>
      <c r="D224" s="312">
        <v>1.4E-2</v>
      </c>
      <c r="E224" s="312" t="s">
        <v>614</v>
      </c>
      <c r="F224" s="329">
        <v>1.74</v>
      </c>
      <c r="G224" s="330">
        <v>1.64256</v>
      </c>
      <c r="H224" s="315">
        <v>1.66692</v>
      </c>
      <c r="I224" s="330">
        <v>1.7139</v>
      </c>
      <c r="J224" s="330">
        <v>1.80264</v>
      </c>
      <c r="K224" s="330">
        <v>1.8426600000000002</v>
      </c>
      <c r="L224" s="330">
        <v>1.9296599999999999</v>
      </c>
      <c r="M224" s="331">
        <v>1.82178</v>
      </c>
    </row>
    <row r="225" spans="1:13" ht="20.399999999999999" x14ac:dyDescent="0.2">
      <c r="A225" s="359">
        <v>2</v>
      </c>
      <c r="B225" s="312" t="s">
        <v>4102</v>
      </c>
      <c r="C225" s="325" t="s">
        <v>1551</v>
      </c>
      <c r="D225" s="312">
        <v>2.1999999999999999E-2</v>
      </c>
      <c r="E225" s="312" t="s">
        <v>614</v>
      </c>
      <c r="F225" s="329">
        <v>1.99</v>
      </c>
      <c r="G225" s="330">
        <v>1.87856</v>
      </c>
      <c r="H225" s="315">
        <v>1.90642</v>
      </c>
      <c r="I225" s="330">
        <v>1.9601500000000001</v>
      </c>
      <c r="J225" s="330">
        <v>2.0616400000000001</v>
      </c>
      <c r="K225" s="330">
        <v>2.1074100000000002</v>
      </c>
      <c r="L225" s="330">
        <v>2.2069100000000001</v>
      </c>
      <c r="M225" s="331">
        <v>2.0835299999999997</v>
      </c>
    </row>
    <row r="226" spans="1:13" ht="20.399999999999999" x14ac:dyDescent="0.2">
      <c r="A226" s="359">
        <v>2</v>
      </c>
      <c r="B226" s="312" t="s">
        <v>4104</v>
      </c>
      <c r="C226" s="325" t="s">
        <v>4105</v>
      </c>
      <c r="D226" s="312">
        <v>1.7000000000000001E-2</v>
      </c>
      <c r="E226" s="312" t="s">
        <v>614</v>
      </c>
      <c r="F226" s="329">
        <v>1.7</v>
      </c>
      <c r="G226" s="330">
        <v>1.6048</v>
      </c>
      <c r="H226" s="315">
        <v>1.6285999999999998</v>
      </c>
      <c r="I226" s="330">
        <v>1.6744999999999999</v>
      </c>
      <c r="J226" s="330">
        <v>1.7612000000000001</v>
      </c>
      <c r="K226" s="330">
        <v>1.8003000000000002</v>
      </c>
      <c r="L226" s="330">
        <v>1.8853</v>
      </c>
      <c r="M226" s="331">
        <v>1.7798999999999998</v>
      </c>
    </row>
    <row r="227" spans="1:13" ht="20.399999999999999" x14ac:dyDescent="0.2">
      <c r="A227" s="359">
        <v>2</v>
      </c>
      <c r="B227" s="312" t="s">
        <v>4120</v>
      </c>
      <c r="C227" s="325" t="s">
        <v>1552</v>
      </c>
      <c r="D227" s="312">
        <v>0.03</v>
      </c>
      <c r="E227" s="312" t="s">
        <v>614</v>
      </c>
      <c r="F227" s="329">
        <v>3.75</v>
      </c>
      <c r="G227" s="330">
        <v>3.54</v>
      </c>
      <c r="H227" s="315">
        <v>3.5924999999999998</v>
      </c>
      <c r="I227" s="330">
        <v>3.6937500000000001</v>
      </c>
      <c r="J227" s="330">
        <v>3.8850000000000002</v>
      </c>
      <c r="K227" s="330">
        <v>3.9712500000000004</v>
      </c>
      <c r="L227" s="330">
        <v>4.1587499999999995</v>
      </c>
      <c r="M227" s="331">
        <v>3.9262499999999996</v>
      </c>
    </row>
    <row r="228" spans="1:13" ht="20.399999999999999" x14ac:dyDescent="0.2">
      <c r="A228" s="359">
        <v>2</v>
      </c>
      <c r="B228" s="312" t="s">
        <v>4122</v>
      </c>
      <c r="C228" s="325" t="s">
        <v>4123</v>
      </c>
      <c r="D228" s="312">
        <v>6.7000000000000004E-2</v>
      </c>
      <c r="E228" s="312" t="s">
        <v>614</v>
      </c>
      <c r="F228" s="329">
        <v>8.4499999999999993</v>
      </c>
      <c r="G228" s="330">
        <v>7.9767999999999999</v>
      </c>
      <c r="H228" s="315">
        <v>8.0950999999999986</v>
      </c>
      <c r="I228" s="330">
        <v>8.3232499999999998</v>
      </c>
      <c r="J228" s="330">
        <v>8.7541999999999991</v>
      </c>
      <c r="K228" s="330">
        <v>8.9485500000000009</v>
      </c>
      <c r="L228" s="330">
        <v>9.3710499999999985</v>
      </c>
      <c r="M228" s="331">
        <v>8.8471499999999992</v>
      </c>
    </row>
    <row r="229" spans="1:13" ht="20.399999999999999" x14ac:dyDescent="0.2">
      <c r="A229" s="359">
        <v>2</v>
      </c>
      <c r="B229" s="312" t="s">
        <v>4117</v>
      </c>
      <c r="C229" s="325" t="s">
        <v>4118</v>
      </c>
      <c r="D229" s="312">
        <v>1.2999999999999999E-2</v>
      </c>
      <c r="E229" s="312" t="s">
        <v>614</v>
      </c>
      <c r="F229" s="329">
        <v>1.66</v>
      </c>
      <c r="G229" s="330">
        <v>1.56704</v>
      </c>
      <c r="H229" s="315">
        <v>1.5902799999999999</v>
      </c>
      <c r="I229" s="330">
        <v>1.6351</v>
      </c>
      <c r="J229" s="330">
        <v>1.71976</v>
      </c>
      <c r="K229" s="330">
        <v>1.7579400000000003</v>
      </c>
      <c r="L229" s="330">
        <v>1.8409399999999998</v>
      </c>
      <c r="M229" s="331">
        <v>1.7380199999999999</v>
      </c>
    </row>
    <row r="230" spans="1:13" ht="20.399999999999999" x14ac:dyDescent="0.2">
      <c r="A230" s="359">
        <v>2</v>
      </c>
      <c r="B230" s="312" t="s">
        <v>4129</v>
      </c>
      <c r="C230" s="325" t="s">
        <v>1553</v>
      </c>
      <c r="D230" s="312">
        <v>1.6E-2</v>
      </c>
      <c r="E230" s="312" t="s">
        <v>614</v>
      </c>
      <c r="F230" s="329">
        <v>3.12</v>
      </c>
      <c r="G230" s="330">
        <v>2.9452800000000003</v>
      </c>
      <c r="H230" s="315">
        <v>2.9889600000000001</v>
      </c>
      <c r="I230" s="330">
        <v>3.0731999999999999</v>
      </c>
      <c r="J230" s="330">
        <v>3.2323200000000001</v>
      </c>
      <c r="K230" s="330">
        <v>3.3040800000000008</v>
      </c>
      <c r="L230" s="330">
        <v>3.46008</v>
      </c>
      <c r="M230" s="331">
        <v>3.2666399999999998</v>
      </c>
    </row>
    <row r="231" spans="1:13" ht="20.399999999999999" x14ac:dyDescent="0.2">
      <c r="A231" s="359">
        <v>2</v>
      </c>
      <c r="B231" s="312" t="s">
        <v>4125</v>
      </c>
      <c r="C231" s="325" t="s">
        <v>4126</v>
      </c>
      <c r="D231" s="312">
        <v>6.0000000000000001E-3</v>
      </c>
      <c r="E231" s="312" t="s">
        <v>614</v>
      </c>
      <c r="F231" s="329">
        <v>1.31</v>
      </c>
      <c r="G231" s="330">
        <v>1.2366400000000002</v>
      </c>
      <c r="H231" s="315">
        <v>1.25498</v>
      </c>
      <c r="I231" s="330">
        <v>1.2903500000000001</v>
      </c>
      <c r="J231" s="330">
        <v>1.3571600000000001</v>
      </c>
      <c r="K231" s="330">
        <v>1.3872900000000004</v>
      </c>
      <c r="L231" s="330">
        <v>1.45279</v>
      </c>
      <c r="M231" s="331">
        <v>1.37157</v>
      </c>
    </row>
    <row r="232" spans="1:13" ht="20.399999999999999" x14ac:dyDescent="0.2">
      <c r="A232" s="359">
        <v>2</v>
      </c>
      <c r="B232" s="312" t="s">
        <v>4134</v>
      </c>
      <c r="C232" s="325" t="s">
        <v>4135</v>
      </c>
      <c r="D232" s="312">
        <v>0.01</v>
      </c>
      <c r="E232" s="312" t="s">
        <v>614</v>
      </c>
      <c r="F232" s="329">
        <v>2.78</v>
      </c>
      <c r="G232" s="330">
        <v>2.62432</v>
      </c>
      <c r="H232" s="315">
        <v>2.6632399999999996</v>
      </c>
      <c r="I232" s="330">
        <v>2.7382999999999997</v>
      </c>
      <c r="J232" s="330">
        <v>2.88008</v>
      </c>
      <c r="K232" s="330">
        <v>2.9440200000000001</v>
      </c>
      <c r="L232" s="330">
        <v>3.0830199999999999</v>
      </c>
      <c r="M232" s="331">
        <v>2.9106599999999996</v>
      </c>
    </row>
    <row r="233" spans="1:13" ht="20.399999999999999" x14ac:dyDescent="0.2">
      <c r="A233" s="359">
        <v>2</v>
      </c>
      <c r="B233" s="312" t="s">
        <v>4137</v>
      </c>
      <c r="C233" s="325" t="s">
        <v>4138</v>
      </c>
      <c r="D233" s="312">
        <v>0.02</v>
      </c>
      <c r="E233" s="312" t="s">
        <v>614</v>
      </c>
      <c r="F233" s="329">
        <v>5.4</v>
      </c>
      <c r="G233" s="330">
        <v>5.0976000000000008</v>
      </c>
      <c r="H233" s="315">
        <v>5.1732000000000005</v>
      </c>
      <c r="I233" s="330">
        <v>5.319</v>
      </c>
      <c r="J233" s="330">
        <v>5.5944000000000003</v>
      </c>
      <c r="K233" s="330">
        <v>5.7186000000000012</v>
      </c>
      <c r="L233" s="330">
        <v>5.9885999999999999</v>
      </c>
      <c r="M233" s="331">
        <v>5.6538000000000004</v>
      </c>
    </row>
    <row r="234" spans="1:13" ht="20.399999999999999" x14ac:dyDescent="0.2">
      <c r="A234" s="359">
        <v>2</v>
      </c>
      <c r="B234" s="312" t="s">
        <v>4131</v>
      </c>
      <c r="C234" s="325" t="s">
        <v>4132</v>
      </c>
      <c r="D234" s="312">
        <v>5.0000000000000001E-3</v>
      </c>
      <c r="E234" s="312" t="s">
        <v>614</v>
      </c>
      <c r="F234" s="329">
        <v>1.35</v>
      </c>
      <c r="G234" s="330">
        <v>1.2744000000000002</v>
      </c>
      <c r="H234" s="315">
        <v>1.2933000000000001</v>
      </c>
      <c r="I234" s="330">
        <v>1.32975</v>
      </c>
      <c r="J234" s="330">
        <v>1.3986000000000001</v>
      </c>
      <c r="K234" s="330">
        <v>1.4296500000000003</v>
      </c>
      <c r="L234" s="330">
        <v>1.49715</v>
      </c>
      <c r="M234" s="331">
        <v>1.4134500000000001</v>
      </c>
    </row>
    <row r="235" spans="1:13" ht="20.399999999999999" x14ac:dyDescent="0.2">
      <c r="A235" s="359">
        <v>2</v>
      </c>
      <c r="B235" s="312" t="s">
        <v>4111</v>
      </c>
      <c r="C235" s="325" t="s">
        <v>4112</v>
      </c>
      <c r="D235" s="312">
        <v>0.04</v>
      </c>
      <c r="E235" s="312" t="s">
        <v>614</v>
      </c>
      <c r="F235" s="329">
        <v>4.55</v>
      </c>
      <c r="G235" s="330">
        <v>4.2952000000000004</v>
      </c>
      <c r="H235" s="315">
        <v>4.3588999999999993</v>
      </c>
      <c r="I235" s="330">
        <v>4.4817499999999999</v>
      </c>
      <c r="J235" s="330">
        <v>4.7138</v>
      </c>
      <c r="K235" s="330">
        <v>4.8184500000000003</v>
      </c>
      <c r="L235" s="330">
        <v>5.0459499999999995</v>
      </c>
      <c r="M235" s="331">
        <v>4.7638499999999997</v>
      </c>
    </row>
    <row r="236" spans="1:13" ht="20.399999999999999" x14ac:dyDescent="0.2">
      <c r="A236" s="359">
        <v>2</v>
      </c>
      <c r="B236" s="312" t="s">
        <v>4114</v>
      </c>
      <c r="C236" s="325" t="s">
        <v>4115</v>
      </c>
      <c r="D236" s="312">
        <v>0.08</v>
      </c>
      <c r="E236" s="312" t="s">
        <v>614</v>
      </c>
      <c r="F236" s="329">
        <v>9.1</v>
      </c>
      <c r="G236" s="330">
        <v>8.5904000000000007</v>
      </c>
      <c r="H236" s="315">
        <v>8.7177999999999987</v>
      </c>
      <c r="I236" s="330">
        <v>8.9634999999999998</v>
      </c>
      <c r="J236" s="330">
        <v>9.4276</v>
      </c>
      <c r="K236" s="330">
        <v>9.6369000000000007</v>
      </c>
      <c r="L236" s="330">
        <v>10.091899999999999</v>
      </c>
      <c r="M236" s="331">
        <v>9.5276999999999994</v>
      </c>
    </row>
    <row r="237" spans="1:13" ht="20.399999999999999" x14ac:dyDescent="0.2">
      <c r="A237" s="359">
        <v>2</v>
      </c>
      <c r="B237" s="312" t="s">
        <v>4107</v>
      </c>
      <c r="C237" s="325" t="s">
        <v>4108</v>
      </c>
      <c r="D237" s="312">
        <v>0.02</v>
      </c>
      <c r="E237" s="312" t="s">
        <v>614</v>
      </c>
      <c r="F237" s="329">
        <v>2.27</v>
      </c>
      <c r="G237" s="330">
        <v>2.1428800000000003</v>
      </c>
      <c r="H237" s="315">
        <v>2.1746599999999998</v>
      </c>
      <c r="I237" s="330">
        <v>2.2359499999999999</v>
      </c>
      <c r="J237" s="330">
        <v>2.3517200000000003</v>
      </c>
      <c r="K237" s="330">
        <v>2.4039300000000003</v>
      </c>
      <c r="L237" s="330">
        <v>2.5174300000000001</v>
      </c>
      <c r="M237" s="331">
        <v>2.37669</v>
      </c>
    </row>
    <row r="238" spans="1:13" ht="20.399999999999999" x14ac:dyDescent="0.2">
      <c r="A238" s="359">
        <v>2</v>
      </c>
      <c r="B238" s="312" t="s">
        <v>4067</v>
      </c>
      <c r="C238" s="325" t="s">
        <v>4068</v>
      </c>
      <c r="D238" s="312">
        <v>1.2E-2</v>
      </c>
      <c r="E238" s="312" t="s">
        <v>2202</v>
      </c>
      <c r="F238" s="329">
        <v>0.65</v>
      </c>
      <c r="G238" s="330">
        <v>0.61360000000000003</v>
      </c>
      <c r="H238" s="315">
        <v>0.62270000000000003</v>
      </c>
      <c r="I238" s="330">
        <v>0.64024999999999999</v>
      </c>
      <c r="J238" s="330">
        <v>0.6734</v>
      </c>
      <c r="K238" s="330">
        <v>0.68835000000000013</v>
      </c>
      <c r="L238" s="330">
        <v>0.72084999999999999</v>
      </c>
      <c r="M238" s="331">
        <v>0.68054999999999999</v>
      </c>
    </row>
    <row r="239" spans="1:13" ht="20.399999999999999" x14ac:dyDescent="0.2">
      <c r="A239" s="359">
        <v>2</v>
      </c>
      <c r="B239" s="312" t="s">
        <v>4070</v>
      </c>
      <c r="C239" s="325" t="s">
        <v>1554</v>
      </c>
      <c r="D239" s="312">
        <v>1.2999999999999999E-2</v>
      </c>
      <c r="E239" s="312" t="s">
        <v>2202</v>
      </c>
      <c r="F239" s="329">
        <v>0.7</v>
      </c>
      <c r="G239" s="330">
        <v>0.66080000000000005</v>
      </c>
      <c r="H239" s="315">
        <v>0.67059999999999997</v>
      </c>
      <c r="I239" s="330">
        <v>0.6895</v>
      </c>
      <c r="J239" s="330">
        <v>0.72519999999999996</v>
      </c>
      <c r="K239" s="330">
        <v>0.74130000000000007</v>
      </c>
      <c r="L239" s="330">
        <v>0.77629999999999999</v>
      </c>
      <c r="M239" s="331">
        <v>0.73289999999999988</v>
      </c>
    </row>
    <row r="240" spans="1:13" ht="20.399999999999999" x14ac:dyDescent="0.2">
      <c r="A240" s="359">
        <v>2</v>
      </c>
      <c r="B240" s="312" t="s">
        <v>4072</v>
      </c>
      <c r="C240" s="325" t="s">
        <v>4073</v>
      </c>
      <c r="D240" s="312">
        <v>1.4999999999999999E-2</v>
      </c>
      <c r="E240" s="312" t="s">
        <v>2202</v>
      </c>
      <c r="F240" s="329">
        <v>0.75</v>
      </c>
      <c r="G240" s="330">
        <v>0.70800000000000007</v>
      </c>
      <c r="H240" s="315">
        <v>0.71849999999999992</v>
      </c>
      <c r="I240" s="330">
        <v>0.73875000000000002</v>
      </c>
      <c r="J240" s="330">
        <v>0.77700000000000002</v>
      </c>
      <c r="K240" s="330">
        <v>0.79425000000000012</v>
      </c>
      <c r="L240" s="330">
        <v>0.83174999999999999</v>
      </c>
      <c r="M240" s="331">
        <v>0.78525</v>
      </c>
    </row>
    <row r="241" spans="1:13" ht="20.399999999999999" x14ac:dyDescent="0.2">
      <c r="A241" s="359">
        <v>2</v>
      </c>
      <c r="B241" s="312" t="s">
        <v>4075</v>
      </c>
      <c r="C241" s="325" t="s">
        <v>4076</v>
      </c>
      <c r="D241" s="312">
        <v>1.7999999999999999E-2</v>
      </c>
      <c r="E241" s="312" t="s">
        <v>2202</v>
      </c>
      <c r="F241" s="329">
        <v>0.93</v>
      </c>
      <c r="G241" s="330">
        <v>0.87792000000000014</v>
      </c>
      <c r="H241" s="315">
        <v>0.89094000000000007</v>
      </c>
      <c r="I241" s="330">
        <v>0.91605000000000003</v>
      </c>
      <c r="J241" s="330">
        <v>0.96348000000000011</v>
      </c>
      <c r="K241" s="330">
        <v>0.98487000000000025</v>
      </c>
      <c r="L241" s="330">
        <v>1.0313700000000001</v>
      </c>
      <c r="M241" s="331">
        <v>0.97370999999999996</v>
      </c>
    </row>
    <row r="242" spans="1:13" ht="20.399999999999999" x14ac:dyDescent="0.2">
      <c r="A242" s="359">
        <v>2</v>
      </c>
      <c r="B242" s="312" t="s">
        <v>4064</v>
      </c>
      <c r="C242" s="325" t="s">
        <v>4065</v>
      </c>
      <c r="F242" s="329">
        <v>0</v>
      </c>
      <c r="G242" s="330">
        <v>0</v>
      </c>
      <c r="H242" s="315">
        <v>0</v>
      </c>
      <c r="I242" s="330">
        <v>0</v>
      </c>
      <c r="J242" s="330">
        <v>0</v>
      </c>
      <c r="K242" s="330">
        <v>0</v>
      </c>
      <c r="L242" s="330">
        <v>0</v>
      </c>
      <c r="M242" s="331">
        <v>0</v>
      </c>
    </row>
    <row r="243" spans="1:13" ht="20.399999999999999" x14ac:dyDescent="0.2">
      <c r="A243" s="359">
        <v>2</v>
      </c>
      <c r="B243" s="312" t="s">
        <v>4089</v>
      </c>
      <c r="C243" s="325" t="s">
        <v>4090</v>
      </c>
      <c r="F243" s="329">
        <v>0</v>
      </c>
      <c r="G243" s="330">
        <v>0</v>
      </c>
      <c r="H243" s="315">
        <v>0</v>
      </c>
      <c r="I243" s="330">
        <v>0</v>
      </c>
      <c r="J243" s="330">
        <v>0</v>
      </c>
      <c r="K243" s="330">
        <v>0</v>
      </c>
      <c r="L243" s="330">
        <v>0</v>
      </c>
      <c r="M243" s="331">
        <v>0</v>
      </c>
    </row>
    <row r="244" spans="1:13" ht="20.399999999999999" x14ac:dyDescent="0.2">
      <c r="A244" s="359">
        <v>2</v>
      </c>
      <c r="B244" s="312" t="s">
        <v>4078</v>
      </c>
      <c r="C244" s="325" t="s">
        <v>4079</v>
      </c>
      <c r="D244" s="312">
        <v>1.4999999999999999E-2</v>
      </c>
      <c r="E244" s="312" t="s">
        <v>2202</v>
      </c>
      <c r="F244" s="329">
        <v>0.76</v>
      </c>
      <c r="G244" s="330">
        <v>0.71744000000000008</v>
      </c>
      <c r="H244" s="315">
        <v>0.72807999999999995</v>
      </c>
      <c r="I244" s="330">
        <v>0.74860000000000004</v>
      </c>
      <c r="J244" s="330">
        <v>0.78736000000000006</v>
      </c>
      <c r="K244" s="330">
        <v>0.80484000000000011</v>
      </c>
      <c r="L244" s="330">
        <v>0.84284000000000003</v>
      </c>
      <c r="M244" s="331">
        <v>0.79571999999999998</v>
      </c>
    </row>
    <row r="245" spans="1:13" ht="20.399999999999999" x14ac:dyDescent="0.2">
      <c r="A245" s="359">
        <v>2</v>
      </c>
      <c r="B245" s="312" t="s">
        <v>4081</v>
      </c>
      <c r="C245" s="325" t="s">
        <v>1557</v>
      </c>
      <c r="D245" s="312">
        <v>0.02</v>
      </c>
      <c r="E245" s="312" t="s">
        <v>2202</v>
      </c>
      <c r="F245" s="329">
        <v>1</v>
      </c>
      <c r="G245" s="330">
        <v>0.94400000000000006</v>
      </c>
      <c r="H245" s="315">
        <v>0.95799999999999996</v>
      </c>
      <c r="I245" s="330">
        <v>0.98499999999999999</v>
      </c>
      <c r="J245" s="330">
        <v>1.036</v>
      </c>
      <c r="K245" s="330">
        <v>1.0590000000000002</v>
      </c>
      <c r="L245" s="330">
        <v>1.109</v>
      </c>
      <c r="M245" s="331">
        <v>1.0469999999999999</v>
      </c>
    </row>
    <row r="246" spans="1:13" ht="20.399999999999999" x14ac:dyDescent="0.2">
      <c r="A246" s="359">
        <v>2</v>
      </c>
      <c r="B246" s="312" t="s">
        <v>4083</v>
      </c>
      <c r="C246" s="325" t="s">
        <v>4084</v>
      </c>
      <c r="D246" s="312">
        <v>0.03</v>
      </c>
      <c r="E246" s="312" t="s">
        <v>2202</v>
      </c>
      <c r="F246" s="329">
        <v>1.51</v>
      </c>
      <c r="G246" s="330">
        <v>1.42544</v>
      </c>
      <c r="H246" s="315">
        <v>1.44658</v>
      </c>
      <c r="I246" s="330">
        <v>1.4873499999999999</v>
      </c>
      <c r="J246" s="330">
        <v>1.56436</v>
      </c>
      <c r="K246" s="330">
        <v>1.5990900000000003</v>
      </c>
      <c r="L246" s="330">
        <v>1.67459</v>
      </c>
      <c r="M246" s="331">
        <v>1.58097</v>
      </c>
    </row>
    <row r="247" spans="1:13" ht="20.399999999999999" x14ac:dyDescent="0.2">
      <c r="A247" s="359">
        <v>2</v>
      </c>
      <c r="B247" s="312" t="s">
        <v>4086</v>
      </c>
      <c r="C247" s="325" t="s">
        <v>4087</v>
      </c>
      <c r="D247" s="312">
        <v>4.3999999999999997E-2</v>
      </c>
      <c r="E247" s="312" t="s">
        <v>2202</v>
      </c>
      <c r="F247" s="329">
        <v>2.27</v>
      </c>
      <c r="G247" s="330">
        <v>2.1428800000000003</v>
      </c>
      <c r="H247" s="315">
        <v>2.1746599999999998</v>
      </c>
      <c r="I247" s="330">
        <v>2.2359499999999999</v>
      </c>
      <c r="J247" s="330">
        <v>2.3517200000000003</v>
      </c>
      <c r="K247" s="330">
        <v>2.4039300000000003</v>
      </c>
      <c r="L247" s="330">
        <v>2.5174300000000001</v>
      </c>
      <c r="M247" s="331">
        <v>2.37669</v>
      </c>
    </row>
    <row r="248" spans="1:13" ht="20.399999999999999" x14ac:dyDescent="0.2">
      <c r="A248" s="359">
        <v>2</v>
      </c>
      <c r="B248" s="312" t="s">
        <v>4052</v>
      </c>
      <c r="C248" s="325" t="s">
        <v>4053</v>
      </c>
      <c r="D248" s="312">
        <v>0.04</v>
      </c>
      <c r="E248" s="312" t="s">
        <v>1181</v>
      </c>
      <c r="F248" s="329">
        <v>3.58</v>
      </c>
      <c r="G248" s="330">
        <v>3.3795200000000003</v>
      </c>
      <c r="H248" s="315">
        <v>3.42964</v>
      </c>
      <c r="I248" s="330">
        <v>3.5263</v>
      </c>
      <c r="J248" s="330">
        <v>3.7088800000000002</v>
      </c>
      <c r="K248" s="330">
        <v>3.7912200000000005</v>
      </c>
      <c r="L248" s="330">
        <v>3.9702199999999999</v>
      </c>
      <c r="M248" s="331">
        <v>3.7482599999999997</v>
      </c>
    </row>
    <row r="249" spans="1:13" ht="20.399999999999999" x14ac:dyDescent="0.2">
      <c r="A249" s="359">
        <v>2</v>
      </c>
      <c r="B249" s="312" t="s">
        <v>4047</v>
      </c>
      <c r="C249" s="325" t="s">
        <v>4048</v>
      </c>
      <c r="F249" s="329">
        <v>0</v>
      </c>
      <c r="G249" s="330">
        <v>0</v>
      </c>
      <c r="H249" s="315">
        <v>0</v>
      </c>
      <c r="I249" s="330">
        <v>0</v>
      </c>
      <c r="J249" s="330">
        <v>0</v>
      </c>
      <c r="K249" s="330">
        <v>0</v>
      </c>
      <c r="L249" s="330">
        <v>0</v>
      </c>
      <c r="M249" s="331">
        <v>0</v>
      </c>
    </row>
    <row r="250" spans="1:13" ht="20.399999999999999" x14ac:dyDescent="0.2">
      <c r="A250" s="359">
        <v>2</v>
      </c>
      <c r="B250" s="312" t="s">
        <v>4050</v>
      </c>
      <c r="C250" s="325" t="s">
        <v>1558</v>
      </c>
      <c r="D250" s="312">
        <v>0.02</v>
      </c>
      <c r="E250" s="312" t="s">
        <v>1181</v>
      </c>
      <c r="F250" s="329">
        <v>1.79</v>
      </c>
      <c r="G250" s="330">
        <v>1.6897600000000002</v>
      </c>
      <c r="H250" s="315">
        <v>1.71482</v>
      </c>
      <c r="I250" s="330">
        <v>1.76315</v>
      </c>
      <c r="J250" s="330">
        <v>1.8544400000000001</v>
      </c>
      <c r="K250" s="330">
        <v>1.8956100000000002</v>
      </c>
      <c r="L250" s="330">
        <v>1.9851099999999999</v>
      </c>
      <c r="M250" s="331">
        <v>1.8741299999999999</v>
      </c>
    </row>
    <row r="251" spans="1:13" ht="20.399999999999999" x14ac:dyDescent="0.2">
      <c r="A251" s="359">
        <v>2</v>
      </c>
      <c r="B251" s="312" t="s">
        <v>4038</v>
      </c>
      <c r="C251" s="325" t="s">
        <v>1560</v>
      </c>
      <c r="D251" s="312">
        <v>0.08</v>
      </c>
      <c r="E251" s="312" t="s">
        <v>614</v>
      </c>
      <c r="F251" s="329">
        <v>5.95</v>
      </c>
      <c r="G251" s="330">
        <v>5.6168000000000005</v>
      </c>
      <c r="H251" s="315">
        <v>5.7000999999999999</v>
      </c>
      <c r="I251" s="330">
        <v>5.8607500000000003</v>
      </c>
      <c r="J251" s="330">
        <v>6.1642000000000001</v>
      </c>
      <c r="K251" s="330">
        <v>6.3010500000000009</v>
      </c>
      <c r="L251" s="330">
        <v>6.5985500000000004</v>
      </c>
      <c r="M251" s="331">
        <v>6.2296499999999995</v>
      </c>
    </row>
    <row r="252" spans="1:13" ht="20.399999999999999" x14ac:dyDescent="0.2">
      <c r="A252" s="359">
        <v>2</v>
      </c>
      <c r="B252" s="312" t="s">
        <v>4040</v>
      </c>
      <c r="C252" s="325" t="s">
        <v>1561</v>
      </c>
      <c r="D252" s="312">
        <v>0.08</v>
      </c>
      <c r="E252" s="312" t="s">
        <v>614</v>
      </c>
      <c r="F252" s="329">
        <v>5.95</v>
      </c>
      <c r="G252" s="330">
        <v>5.6168000000000005</v>
      </c>
      <c r="H252" s="315">
        <v>5.7000999999999999</v>
      </c>
      <c r="I252" s="330">
        <v>5.8607500000000003</v>
      </c>
      <c r="J252" s="330">
        <v>6.1642000000000001</v>
      </c>
      <c r="K252" s="330">
        <v>6.3010500000000009</v>
      </c>
      <c r="L252" s="330">
        <v>6.5985500000000004</v>
      </c>
      <c r="M252" s="331">
        <v>6.2296499999999995</v>
      </c>
    </row>
    <row r="253" spans="1:13" ht="20.399999999999999" x14ac:dyDescent="0.2">
      <c r="A253" s="359">
        <v>2</v>
      </c>
      <c r="B253" s="312" t="s">
        <v>4035</v>
      </c>
      <c r="C253" s="325" t="s">
        <v>4036</v>
      </c>
      <c r="D253" s="312">
        <v>0.107</v>
      </c>
      <c r="E253" s="312" t="s">
        <v>614</v>
      </c>
      <c r="F253" s="329">
        <v>7.75</v>
      </c>
      <c r="G253" s="330">
        <v>7.3160000000000007</v>
      </c>
      <c r="H253" s="315">
        <v>7.4245000000000001</v>
      </c>
      <c r="I253" s="330">
        <v>7.63375</v>
      </c>
      <c r="J253" s="330">
        <v>8.0289999999999999</v>
      </c>
      <c r="K253" s="330">
        <v>8.2072500000000019</v>
      </c>
      <c r="L253" s="330">
        <v>8.5947499999999994</v>
      </c>
      <c r="M253" s="331">
        <v>8.1142500000000002</v>
      </c>
    </row>
    <row r="254" spans="1:13" ht="20.399999999999999" x14ac:dyDescent="0.2">
      <c r="A254" s="359">
        <v>2</v>
      </c>
      <c r="B254" s="312" t="s">
        <v>4044</v>
      </c>
      <c r="C254" s="325" t="s">
        <v>4045</v>
      </c>
      <c r="D254" s="312">
        <v>2</v>
      </c>
      <c r="E254" s="312" t="s">
        <v>614</v>
      </c>
      <c r="F254" s="329">
        <v>88.5</v>
      </c>
      <c r="G254" s="330">
        <v>83.544000000000011</v>
      </c>
      <c r="H254" s="315">
        <v>84.783000000000001</v>
      </c>
      <c r="I254" s="330">
        <v>87.172499999999999</v>
      </c>
      <c r="J254" s="330">
        <v>91.686000000000007</v>
      </c>
      <c r="K254" s="330">
        <v>93.72150000000002</v>
      </c>
      <c r="L254" s="330">
        <v>98.146500000000003</v>
      </c>
      <c r="M254" s="331">
        <v>92.659499999999994</v>
      </c>
    </row>
    <row r="255" spans="1:13" ht="20.399999999999999" x14ac:dyDescent="0.2">
      <c r="A255" s="359">
        <v>2</v>
      </c>
      <c r="B255" s="312" t="s">
        <v>4042</v>
      </c>
      <c r="C255" s="325" t="s">
        <v>1562</v>
      </c>
      <c r="D255" s="312">
        <v>1</v>
      </c>
      <c r="E255" s="312" t="s">
        <v>614</v>
      </c>
      <c r="F255" s="329">
        <v>44.5</v>
      </c>
      <c r="G255" s="330">
        <v>42.008000000000003</v>
      </c>
      <c r="H255" s="315">
        <v>42.631</v>
      </c>
      <c r="I255" s="330">
        <v>43.832499999999996</v>
      </c>
      <c r="J255" s="330">
        <v>46.102000000000004</v>
      </c>
      <c r="K255" s="330">
        <v>47.125500000000009</v>
      </c>
      <c r="L255" s="330">
        <v>49.350499999999997</v>
      </c>
      <c r="M255" s="331">
        <v>46.591499999999996</v>
      </c>
    </row>
    <row r="256" spans="1:13" ht="20.399999999999999" x14ac:dyDescent="0.2">
      <c r="A256" s="359">
        <v>2</v>
      </c>
      <c r="B256" s="312" t="s">
        <v>4058</v>
      </c>
      <c r="C256" s="325" t="s">
        <v>4059</v>
      </c>
      <c r="D256" s="312">
        <v>7.3999999999999996E-2</v>
      </c>
      <c r="E256" s="312" t="s">
        <v>614</v>
      </c>
      <c r="F256" s="329">
        <v>5.55</v>
      </c>
      <c r="G256" s="330">
        <v>5.2392000000000003</v>
      </c>
      <c r="H256" s="315">
        <v>5.3168999999999995</v>
      </c>
      <c r="I256" s="330">
        <v>5.4667499999999993</v>
      </c>
      <c r="J256" s="330">
        <v>5.7497999999999996</v>
      </c>
      <c r="K256" s="330">
        <v>5.8774500000000005</v>
      </c>
      <c r="L256" s="330">
        <v>6.1549499999999995</v>
      </c>
      <c r="M256" s="331">
        <v>5.8108499999999994</v>
      </c>
    </row>
    <row r="257" spans="1:13" ht="20.399999999999999" x14ac:dyDescent="0.2">
      <c r="A257" s="359">
        <v>2</v>
      </c>
      <c r="B257" s="312" t="s">
        <v>4055</v>
      </c>
      <c r="C257" s="325" t="s">
        <v>4056</v>
      </c>
      <c r="D257" s="312">
        <v>9.9000000000000005E-2</v>
      </c>
      <c r="E257" s="312" t="s">
        <v>614</v>
      </c>
      <c r="F257" s="329">
        <v>7.2</v>
      </c>
      <c r="G257" s="330">
        <v>6.7968000000000002</v>
      </c>
      <c r="H257" s="315">
        <v>6.8975999999999997</v>
      </c>
      <c r="I257" s="330">
        <v>7.0919999999999996</v>
      </c>
      <c r="J257" s="330">
        <v>7.4592000000000001</v>
      </c>
      <c r="K257" s="330">
        <v>7.6248000000000014</v>
      </c>
      <c r="L257" s="330">
        <v>7.9847999999999999</v>
      </c>
      <c r="M257" s="331">
        <v>7.5383999999999993</v>
      </c>
    </row>
    <row r="258" spans="1:13" ht="20.399999999999999" x14ac:dyDescent="0.2">
      <c r="A258" s="359">
        <v>2</v>
      </c>
      <c r="B258" s="312" t="s">
        <v>4140</v>
      </c>
      <c r="C258" s="325" t="s">
        <v>4141</v>
      </c>
      <c r="D258" s="312">
        <v>1.7000000000000001E-2</v>
      </c>
      <c r="E258" s="312" t="s">
        <v>614</v>
      </c>
      <c r="F258" s="329">
        <v>3.68</v>
      </c>
      <c r="G258" s="330">
        <v>3.4739200000000006</v>
      </c>
      <c r="H258" s="315">
        <v>3.5254400000000001</v>
      </c>
      <c r="I258" s="330">
        <v>3.6248</v>
      </c>
      <c r="J258" s="330">
        <v>3.8124800000000003</v>
      </c>
      <c r="K258" s="330">
        <v>3.8971200000000006</v>
      </c>
      <c r="L258" s="330">
        <v>4.0811200000000003</v>
      </c>
      <c r="M258" s="331">
        <v>3.8529599999999999</v>
      </c>
    </row>
    <row r="259" spans="1:13" x14ac:dyDescent="0.2">
      <c r="A259" s="359">
        <v>2</v>
      </c>
      <c r="B259" s="312" t="s">
        <v>4026</v>
      </c>
      <c r="C259" s="325" t="s">
        <v>1571</v>
      </c>
      <c r="D259" s="312">
        <v>1.4999999999999999E-2</v>
      </c>
      <c r="E259" s="312" t="s">
        <v>1802</v>
      </c>
      <c r="F259" s="329">
        <v>1.35</v>
      </c>
      <c r="G259" s="330">
        <v>1.2744000000000002</v>
      </c>
      <c r="H259" s="315">
        <v>1.2933000000000001</v>
      </c>
      <c r="I259" s="330">
        <v>1.32975</v>
      </c>
      <c r="J259" s="330">
        <v>1.3986000000000001</v>
      </c>
      <c r="K259" s="330">
        <v>1.4296500000000003</v>
      </c>
      <c r="L259" s="330">
        <v>1.49715</v>
      </c>
      <c r="M259" s="331">
        <v>1.4134500000000001</v>
      </c>
    </row>
    <row r="260" spans="1:13" x14ac:dyDescent="0.2">
      <c r="A260" s="359">
        <v>2</v>
      </c>
      <c r="B260" s="312" t="s">
        <v>4023</v>
      </c>
      <c r="C260" s="325" t="s">
        <v>4024</v>
      </c>
      <c r="D260" s="312">
        <v>8.0000000000000002E-3</v>
      </c>
      <c r="E260" s="312" t="s">
        <v>1802</v>
      </c>
      <c r="F260" s="329">
        <v>0.71</v>
      </c>
      <c r="G260" s="330">
        <v>0.67024000000000006</v>
      </c>
      <c r="H260" s="315">
        <v>0.6801799999999999</v>
      </c>
      <c r="I260" s="330">
        <v>0.69934999999999992</v>
      </c>
      <c r="J260" s="330">
        <v>0.73555999999999999</v>
      </c>
      <c r="K260" s="330">
        <v>0.75189000000000006</v>
      </c>
      <c r="L260" s="330">
        <v>0.78738999999999992</v>
      </c>
      <c r="M260" s="331">
        <v>0.74336999999999986</v>
      </c>
    </row>
    <row r="261" spans="1:13" x14ac:dyDescent="0.2">
      <c r="A261" s="359">
        <v>2</v>
      </c>
      <c r="B261" s="312" t="s">
        <v>4033</v>
      </c>
      <c r="C261" s="325" t="s">
        <v>1573</v>
      </c>
      <c r="D261" s="312">
        <v>4</v>
      </c>
      <c r="E261" s="312" t="s">
        <v>2108</v>
      </c>
      <c r="F261" s="329">
        <v>350</v>
      </c>
      <c r="G261" s="330">
        <v>330.40000000000003</v>
      </c>
      <c r="H261" s="315">
        <v>335.3</v>
      </c>
      <c r="I261" s="330">
        <v>344.75</v>
      </c>
      <c r="J261" s="330">
        <v>362.6</v>
      </c>
      <c r="K261" s="330">
        <v>370.65000000000003</v>
      </c>
      <c r="L261" s="330">
        <v>388.15</v>
      </c>
      <c r="M261" s="331">
        <v>366.45</v>
      </c>
    </row>
    <row r="262" spans="1:13" x14ac:dyDescent="0.2">
      <c r="A262" s="359">
        <v>2</v>
      </c>
      <c r="B262" s="312" t="s">
        <v>4364</v>
      </c>
      <c r="C262" s="325" t="s">
        <v>4365</v>
      </c>
      <c r="E262" s="312" t="s">
        <v>4362</v>
      </c>
      <c r="F262" s="329">
        <v>10.56</v>
      </c>
      <c r="G262" s="330">
        <v>9.9686400000000006</v>
      </c>
      <c r="H262" s="315">
        <v>10.116479999999999</v>
      </c>
      <c r="I262" s="330">
        <v>10.4016</v>
      </c>
      <c r="J262" s="330">
        <v>10.940160000000001</v>
      </c>
      <c r="K262" s="330">
        <v>11.183040000000002</v>
      </c>
      <c r="L262" s="330">
        <v>11.711040000000001</v>
      </c>
      <c r="M262" s="331">
        <v>11.056319999999999</v>
      </c>
    </row>
    <row r="263" spans="1:13" x14ac:dyDescent="0.2">
      <c r="A263" s="359">
        <v>2</v>
      </c>
      <c r="B263" s="312" t="s">
        <v>4367</v>
      </c>
      <c r="C263" s="325" t="s">
        <v>2778</v>
      </c>
      <c r="E263" s="312" t="s">
        <v>4362</v>
      </c>
      <c r="F263" s="329">
        <v>343.86</v>
      </c>
      <c r="G263" s="330">
        <v>324.60384000000005</v>
      </c>
      <c r="H263" s="315">
        <v>329.41788000000003</v>
      </c>
      <c r="I263" s="330">
        <v>338.70210000000003</v>
      </c>
      <c r="J263" s="330">
        <v>356.23896000000002</v>
      </c>
      <c r="K263" s="330">
        <v>364.14774000000006</v>
      </c>
      <c r="L263" s="330">
        <v>381.34073999999998</v>
      </c>
      <c r="M263" s="331">
        <v>360.02141999999998</v>
      </c>
    </row>
    <row r="264" spans="1:13" x14ac:dyDescent="0.2">
      <c r="A264" s="359">
        <v>2</v>
      </c>
      <c r="B264" s="312" t="s">
        <v>4369</v>
      </c>
      <c r="C264" s="325" t="s">
        <v>2779</v>
      </c>
      <c r="E264" s="312" t="s">
        <v>4362</v>
      </c>
      <c r="F264" s="329">
        <v>489.94</v>
      </c>
      <c r="G264" s="330">
        <v>462.50336000000004</v>
      </c>
      <c r="H264" s="315">
        <v>469.36251999999996</v>
      </c>
      <c r="I264" s="330">
        <v>482.59089999999998</v>
      </c>
      <c r="J264" s="330">
        <v>507.57784000000004</v>
      </c>
      <c r="K264" s="330">
        <v>518.84646000000009</v>
      </c>
      <c r="L264" s="330">
        <v>543.34345999999994</v>
      </c>
      <c r="M264" s="331">
        <v>512.96717999999998</v>
      </c>
    </row>
    <row r="265" spans="1:13" x14ac:dyDescent="0.2">
      <c r="A265" s="359">
        <v>2</v>
      </c>
      <c r="B265" s="312" t="s">
        <v>4371</v>
      </c>
      <c r="C265" s="325" t="s">
        <v>4372</v>
      </c>
      <c r="E265" s="312" t="s">
        <v>4362</v>
      </c>
      <c r="F265" s="329">
        <v>231.88</v>
      </c>
      <c r="G265" s="330">
        <v>218.89472000000001</v>
      </c>
      <c r="H265" s="315">
        <v>222.14103999999998</v>
      </c>
      <c r="I265" s="330">
        <v>228.40179999999998</v>
      </c>
      <c r="J265" s="330">
        <v>240.22767999999999</v>
      </c>
      <c r="K265" s="330">
        <v>245.56092000000004</v>
      </c>
      <c r="L265" s="330">
        <v>257.15492</v>
      </c>
      <c r="M265" s="331">
        <v>242.77835999999999</v>
      </c>
    </row>
    <row r="266" spans="1:13" x14ac:dyDescent="0.2">
      <c r="A266" s="359">
        <v>2</v>
      </c>
      <c r="B266" s="312" t="s">
        <v>4374</v>
      </c>
      <c r="C266" s="325" t="s">
        <v>4375</v>
      </c>
      <c r="E266" s="312" t="s">
        <v>4362</v>
      </c>
      <c r="F266" s="329">
        <v>146.38800000000001</v>
      </c>
      <c r="G266" s="330">
        <v>138.19027200000002</v>
      </c>
      <c r="H266" s="315">
        <v>140.23970399999999</v>
      </c>
      <c r="I266" s="330">
        <v>144.19218000000001</v>
      </c>
      <c r="J266" s="330">
        <v>151.65796800000001</v>
      </c>
      <c r="K266" s="330">
        <v>155.02489200000002</v>
      </c>
      <c r="L266" s="330">
        <v>162.344292</v>
      </c>
      <c r="M266" s="331">
        <v>153.268236</v>
      </c>
    </row>
    <row r="267" spans="1:13" x14ac:dyDescent="0.2">
      <c r="A267" s="359">
        <v>2</v>
      </c>
      <c r="B267" s="312" t="s">
        <v>4360</v>
      </c>
      <c r="C267" s="325" t="s">
        <v>4361</v>
      </c>
      <c r="E267" s="312" t="s">
        <v>4362</v>
      </c>
      <c r="F267" s="329">
        <v>44.33</v>
      </c>
      <c r="G267" s="330">
        <v>41.847520000000003</v>
      </c>
      <c r="H267" s="315">
        <v>42.468139999999998</v>
      </c>
      <c r="I267" s="330">
        <v>43.665050000000001</v>
      </c>
      <c r="J267" s="330">
        <v>45.925879999999999</v>
      </c>
      <c r="K267" s="330">
        <v>46.945470000000007</v>
      </c>
      <c r="L267" s="330">
        <v>49.161969999999997</v>
      </c>
      <c r="M267" s="331">
        <v>46.413509999999995</v>
      </c>
    </row>
    <row r="268" spans="1:13" ht="20.399999999999999" x14ac:dyDescent="0.2">
      <c r="A268" s="359">
        <v>2</v>
      </c>
      <c r="B268" s="312" t="s">
        <v>4269</v>
      </c>
      <c r="C268" s="325" t="s">
        <v>4270</v>
      </c>
      <c r="D268" s="312">
        <v>2E-3</v>
      </c>
      <c r="E268" s="312" t="s">
        <v>1802</v>
      </c>
      <c r="F268" s="329">
        <v>0.37</v>
      </c>
      <c r="G268" s="330">
        <v>0.34928000000000003</v>
      </c>
      <c r="H268" s="315">
        <v>0.35446</v>
      </c>
      <c r="I268" s="330">
        <v>0.36445</v>
      </c>
      <c r="J268" s="330">
        <v>0.38331999999999999</v>
      </c>
      <c r="K268" s="330">
        <v>0.39183000000000007</v>
      </c>
      <c r="L268" s="330">
        <v>0.41032999999999997</v>
      </c>
      <c r="M268" s="331">
        <v>0.38738999999999996</v>
      </c>
    </row>
    <row r="269" spans="1:13" ht="20.399999999999999" x14ac:dyDescent="0.2">
      <c r="A269" s="359">
        <v>2</v>
      </c>
      <c r="B269" s="312" t="s">
        <v>3959</v>
      </c>
      <c r="C269" s="325" t="s">
        <v>1262</v>
      </c>
      <c r="D269" s="312">
        <v>8</v>
      </c>
      <c r="E269" s="312" t="s">
        <v>2376</v>
      </c>
      <c r="F269" s="329">
        <v>985</v>
      </c>
      <c r="G269" s="330">
        <v>929.84</v>
      </c>
      <c r="H269" s="315">
        <v>943.63</v>
      </c>
      <c r="I269" s="330">
        <v>970.22500000000002</v>
      </c>
      <c r="J269" s="330">
        <v>1020.46</v>
      </c>
      <c r="K269" s="330">
        <v>1043.1150000000002</v>
      </c>
      <c r="L269" s="330">
        <v>1092.365</v>
      </c>
      <c r="M269" s="331">
        <v>1031.2949999999998</v>
      </c>
    </row>
    <row r="270" spans="1:13" ht="20.399999999999999" x14ac:dyDescent="0.2">
      <c r="A270" s="359">
        <v>2</v>
      </c>
      <c r="B270" s="312" t="s">
        <v>3961</v>
      </c>
      <c r="C270" s="325" t="s">
        <v>3962</v>
      </c>
      <c r="D270" s="312">
        <v>10.667</v>
      </c>
      <c r="E270" s="312" t="s">
        <v>2376</v>
      </c>
      <c r="F270" s="329">
        <v>1300</v>
      </c>
      <c r="G270" s="330">
        <v>1227.2</v>
      </c>
      <c r="H270" s="315">
        <v>1245.3999999999999</v>
      </c>
      <c r="I270" s="330">
        <v>1280.5</v>
      </c>
      <c r="J270" s="330">
        <v>1346.8</v>
      </c>
      <c r="K270" s="330">
        <v>1376.7000000000003</v>
      </c>
      <c r="L270" s="330">
        <v>1441.7</v>
      </c>
      <c r="M270" s="331">
        <v>1361.1</v>
      </c>
    </row>
    <row r="271" spans="1:13" ht="20.399999999999999" x14ac:dyDescent="0.2">
      <c r="A271" s="359">
        <v>2</v>
      </c>
      <c r="B271" s="312" t="s">
        <v>3955</v>
      </c>
      <c r="C271" s="325" t="s">
        <v>1263</v>
      </c>
      <c r="D271" s="312">
        <v>32</v>
      </c>
      <c r="E271" s="312" t="s">
        <v>2376</v>
      </c>
      <c r="F271" s="329">
        <v>1550</v>
      </c>
      <c r="G271" s="330">
        <v>1463.2</v>
      </c>
      <c r="H271" s="315">
        <v>1484.8999999999999</v>
      </c>
      <c r="I271" s="330">
        <v>1526.75</v>
      </c>
      <c r="J271" s="330">
        <v>1605.8</v>
      </c>
      <c r="K271" s="330">
        <v>1641.4500000000003</v>
      </c>
      <c r="L271" s="330">
        <v>1718.95</v>
      </c>
      <c r="M271" s="331">
        <v>1622.85</v>
      </c>
    </row>
    <row r="272" spans="1:13" ht="20.399999999999999" x14ac:dyDescent="0.2">
      <c r="A272" s="359">
        <v>2</v>
      </c>
      <c r="B272" s="312" t="s">
        <v>3957</v>
      </c>
      <c r="C272" s="325" t="s">
        <v>1264</v>
      </c>
      <c r="D272" s="312">
        <v>66.667000000000002</v>
      </c>
      <c r="E272" s="312" t="s">
        <v>2376</v>
      </c>
      <c r="F272" s="329">
        <v>2950</v>
      </c>
      <c r="G272" s="330">
        <v>2784.8</v>
      </c>
      <c r="H272" s="315">
        <v>2826.1</v>
      </c>
      <c r="I272" s="330">
        <v>2905.75</v>
      </c>
      <c r="J272" s="330">
        <v>3056.2000000000003</v>
      </c>
      <c r="K272" s="330">
        <v>3124.0500000000006</v>
      </c>
      <c r="L272" s="330">
        <v>3271.55</v>
      </c>
      <c r="M272" s="331">
        <v>3088.6499999999996</v>
      </c>
    </row>
    <row r="273" spans="1:13" ht="20.399999999999999" x14ac:dyDescent="0.2">
      <c r="A273" s="359">
        <v>2</v>
      </c>
      <c r="B273" s="312" t="s">
        <v>3975</v>
      </c>
      <c r="C273" s="325" t="s">
        <v>2903</v>
      </c>
      <c r="D273" s="312">
        <v>8</v>
      </c>
      <c r="E273" s="312" t="s">
        <v>2376</v>
      </c>
      <c r="F273" s="329">
        <v>780</v>
      </c>
      <c r="G273" s="330">
        <v>736.32</v>
      </c>
      <c r="H273" s="315">
        <v>747.24</v>
      </c>
      <c r="I273" s="330">
        <v>768.3</v>
      </c>
      <c r="J273" s="330">
        <v>808.08</v>
      </c>
      <c r="K273" s="330">
        <v>826.0200000000001</v>
      </c>
      <c r="L273" s="330">
        <v>865.02</v>
      </c>
      <c r="M273" s="331">
        <v>816.66</v>
      </c>
    </row>
    <row r="274" spans="1:13" ht="20.399999999999999" x14ac:dyDescent="0.2">
      <c r="A274" s="359">
        <v>2</v>
      </c>
      <c r="B274" s="312" t="s">
        <v>3971</v>
      </c>
      <c r="C274" s="325" t="s">
        <v>2904</v>
      </c>
      <c r="D274" s="312">
        <v>4</v>
      </c>
      <c r="E274" s="312" t="s">
        <v>2376</v>
      </c>
      <c r="F274" s="329">
        <v>390</v>
      </c>
      <c r="G274" s="330">
        <v>368.16</v>
      </c>
      <c r="H274" s="315">
        <v>373.62</v>
      </c>
      <c r="I274" s="330">
        <v>384.15</v>
      </c>
      <c r="J274" s="330">
        <v>404.04</v>
      </c>
      <c r="K274" s="330">
        <v>413.01000000000005</v>
      </c>
      <c r="L274" s="330">
        <v>432.51</v>
      </c>
      <c r="M274" s="331">
        <v>408.33</v>
      </c>
    </row>
    <row r="275" spans="1:13" ht="20.399999999999999" x14ac:dyDescent="0.2">
      <c r="A275" s="359">
        <v>2</v>
      </c>
      <c r="B275" s="312" t="s">
        <v>3973</v>
      </c>
      <c r="C275" s="325" t="s">
        <v>2905</v>
      </c>
      <c r="D275" s="312">
        <v>5.3330000000000002</v>
      </c>
      <c r="E275" s="312" t="s">
        <v>2376</v>
      </c>
      <c r="F275" s="329">
        <v>520</v>
      </c>
      <c r="G275" s="330">
        <v>490.88000000000005</v>
      </c>
      <c r="H275" s="315">
        <v>498.15999999999997</v>
      </c>
      <c r="I275" s="330">
        <v>512.20000000000005</v>
      </c>
      <c r="J275" s="330">
        <v>538.72</v>
      </c>
      <c r="K275" s="330">
        <v>550.68000000000006</v>
      </c>
      <c r="L275" s="330">
        <v>576.67999999999995</v>
      </c>
      <c r="M275" s="331">
        <v>544.43999999999994</v>
      </c>
    </row>
    <row r="276" spans="1:13" ht="20.399999999999999" x14ac:dyDescent="0.2">
      <c r="A276" s="359">
        <v>2</v>
      </c>
      <c r="B276" s="312" t="s">
        <v>3968</v>
      </c>
      <c r="C276" s="325" t="s">
        <v>3969</v>
      </c>
      <c r="D276" s="312">
        <v>2.5</v>
      </c>
      <c r="E276" s="312" t="s">
        <v>2376</v>
      </c>
      <c r="F276" s="329">
        <v>310</v>
      </c>
      <c r="G276" s="330">
        <v>292.64000000000004</v>
      </c>
      <c r="H276" s="315">
        <v>296.97999999999996</v>
      </c>
      <c r="I276" s="330">
        <v>305.35000000000002</v>
      </c>
      <c r="J276" s="330">
        <v>321.16000000000003</v>
      </c>
      <c r="K276" s="330">
        <v>328.29000000000008</v>
      </c>
      <c r="L276" s="330">
        <v>343.79</v>
      </c>
      <c r="M276" s="331">
        <v>324.57</v>
      </c>
    </row>
    <row r="277" spans="1:13" ht="20.399999999999999" x14ac:dyDescent="0.2">
      <c r="A277" s="359">
        <v>2</v>
      </c>
      <c r="B277" s="312" t="s">
        <v>3964</v>
      </c>
      <c r="C277" s="325" t="s">
        <v>2906</v>
      </c>
      <c r="D277" s="312">
        <v>1.6</v>
      </c>
      <c r="E277" s="312" t="s">
        <v>2376</v>
      </c>
      <c r="F277" s="329">
        <v>197</v>
      </c>
      <c r="G277" s="330">
        <v>185.96800000000002</v>
      </c>
      <c r="H277" s="315">
        <v>188.726</v>
      </c>
      <c r="I277" s="330">
        <v>194.04499999999999</v>
      </c>
      <c r="J277" s="330">
        <v>204.09200000000001</v>
      </c>
      <c r="K277" s="330">
        <v>208.62300000000002</v>
      </c>
      <c r="L277" s="330">
        <v>218.47299999999998</v>
      </c>
      <c r="M277" s="331">
        <v>206.25899999999999</v>
      </c>
    </row>
    <row r="278" spans="1:13" ht="20.399999999999999" x14ac:dyDescent="0.2">
      <c r="A278" s="359">
        <v>2</v>
      </c>
      <c r="B278" s="312" t="s">
        <v>3966</v>
      </c>
      <c r="C278" s="325" t="s">
        <v>2907</v>
      </c>
      <c r="D278" s="312">
        <v>2</v>
      </c>
      <c r="E278" s="312" t="s">
        <v>2376</v>
      </c>
      <c r="F278" s="329">
        <v>246</v>
      </c>
      <c r="G278" s="330">
        <v>232.22400000000002</v>
      </c>
      <c r="H278" s="315">
        <v>235.66799999999998</v>
      </c>
      <c r="I278" s="330">
        <v>242.31</v>
      </c>
      <c r="J278" s="330">
        <v>254.85599999999999</v>
      </c>
      <c r="K278" s="330">
        <v>260.51400000000007</v>
      </c>
      <c r="L278" s="330">
        <v>272.81400000000002</v>
      </c>
      <c r="M278" s="331">
        <v>257.56199999999995</v>
      </c>
    </row>
    <row r="279" spans="1:13" x14ac:dyDescent="0.2">
      <c r="A279" s="359">
        <v>2</v>
      </c>
      <c r="B279" s="312" t="s">
        <v>4245</v>
      </c>
      <c r="C279" s="325" t="s">
        <v>4246</v>
      </c>
      <c r="D279" s="312">
        <v>2.9630000000000001</v>
      </c>
      <c r="E279" s="312" t="s">
        <v>2108</v>
      </c>
      <c r="F279" s="329">
        <v>515</v>
      </c>
      <c r="G279" s="330">
        <v>486.16</v>
      </c>
      <c r="H279" s="315">
        <v>493.37</v>
      </c>
      <c r="I279" s="330">
        <v>507.27499999999998</v>
      </c>
      <c r="J279" s="330">
        <v>533.54</v>
      </c>
      <c r="K279" s="330">
        <v>545.3850000000001</v>
      </c>
      <c r="L279" s="330">
        <v>571.13499999999999</v>
      </c>
      <c r="M279" s="331">
        <v>539.20499999999993</v>
      </c>
    </row>
    <row r="280" spans="1:13" x14ac:dyDescent="0.2">
      <c r="A280" s="359">
        <v>2</v>
      </c>
      <c r="B280" s="312" t="s">
        <v>4250</v>
      </c>
      <c r="C280" s="325" t="s">
        <v>4251</v>
      </c>
      <c r="D280" s="312">
        <v>8.8999999999999996E-2</v>
      </c>
      <c r="E280" s="312" t="s">
        <v>2108</v>
      </c>
      <c r="F280" s="329">
        <v>67</v>
      </c>
      <c r="G280" s="330">
        <v>63.248000000000005</v>
      </c>
      <c r="H280" s="315">
        <v>64.185999999999993</v>
      </c>
      <c r="I280" s="330">
        <v>65.995000000000005</v>
      </c>
      <c r="J280" s="330">
        <v>69.412000000000006</v>
      </c>
      <c r="K280" s="330">
        <v>70.953000000000017</v>
      </c>
      <c r="L280" s="330">
        <v>74.302999999999997</v>
      </c>
      <c r="M280" s="331">
        <v>70.149000000000001</v>
      </c>
    </row>
    <row r="281" spans="1:13" x14ac:dyDescent="0.2">
      <c r="A281" s="359">
        <v>2</v>
      </c>
      <c r="B281" s="312" t="s">
        <v>4255</v>
      </c>
      <c r="C281" s="325" t="s">
        <v>1889</v>
      </c>
      <c r="D281" s="312">
        <v>8.8999999999999996E-2</v>
      </c>
      <c r="E281" s="312" t="s">
        <v>2108</v>
      </c>
      <c r="F281" s="329">
        <v>67</v>
      </c>
      <c r="G281" s="330">
        <v>63.248000000000005</v>
      </c>
      <c r="H281" s="315">
        <v>64.185999999999993</v>
      </c>
      <c r="I281" s="330">
        <v>65.995000000000005</v>
      </c>
      <c r="J281" s="330">
        <v>69.412000000000006</v>
      </c>
      <c r="K281" s="330">
        <v>70.953000000000017</v>
      </c>
      <c r="L281" s="330">
        <v>74.302999999999997</v>
      </c>
      <c r="M281" s="331">
        <v>70.149000000000001</v>
      </c>
    </row>
    <row r="282" spans="1:13" x14ac:dyDescent="0.2">
      <c r="A282" s="359">
        <v>2</v>
      </c>
      <c r="B282" s="312" t="s">
        <v>4259</v>
      </c>
      <c r="C282" s="325" t="s">
        <v>1891</v>
      </c>
      <c r="D282" s="312">
        <v>1.97</v>
      </c>
      <c r="E282" s="312" t="s">
        <v>2108</v>
      </c>
      <c r="F282" s="329">
        <v>335</v>
      </c>
      <c r="G282" s="330">
        <v>316.24</v>
      </c>
      <c r="H282" s="315">
        <v>320.93</v>
      </c>
      <c r="I282" s="330">
        <v>329.97500000000002</v>
      </c>
      <c r="J282" s="330">
        <v>347.06</v>
      </c>
      <c r="K282" s="330">
        <v>354.76500000000004</v>
      </c>
      <c r="L282" s="330">
        <v>371.51499999999999</v>
      </c>
      <c r="M282" s="331">
        <v>350.745</v>
      </c>
    </row>
    <row r="283" spans="1:13" ht="30.6" x14ac:dyDescent="0.2">
      <c r="A283" s="359">
        <v>2</v>
      </c>
      <c r="B283" s="312" t="s">
        <v>4092</v>
      </c>
      <c r="C283" s="325" t="s">
        <v>1317</v>
      </c>
      <c r="D283" s="312">
        <v>0.29099999999999998</v>
      </c>
      <c r="E283" s="312" t="s">
        <v>614</v>
      </c>
      <c r="F283" s="329">
        <v>22.5</v>
      </c>
      <c r="G283" s="330">
        <v>21.240000000000002</v>
      </c>
      <c r="H283" s="315">
        <v>21.555</v>
      </c>
      <c r="I283" s="330">
        <v>22.162500000000001</v>
      </c>
      <c r="J283" s="330">
        <v>23.310000000000002</v>
      </c>
      <c r="K283" s="330">
        <v>23.827500000000004</v>
      </c>
      <c r="L283" s="330">
        <v>24.952500000000001</v>
      </c>
      <c r="M283" s="331">
        <v>23.557499999999997</v>
      </c>
    </row>
    <row r="284" spans="1:13" ht="30.6" x14ac:dyDescent="0.2">
      <c r="A284" s="359">
        <v>2</v>
      </c>
      <c r="B284" s="312" t="s">
        <v>4094</v>
      </c>
      <c r="C284" s="325" t="s">
        <v>4095</v>
      </c>
      <c r="D284" s="312">
        <v>0.16</v>
      </c>
      <c r="E284" s="312" t="s">
        <v>614</v>
      </c>
      <c r="F284" s="329">
        <v>15.25</v>
      </c>
      <c r="G284" s="330">
        <v>14.396000000000001</v>
      </c>
      <c r="H284" s="315">
        <v>14.609499999999999</v>
      </c>
      <c r="I284" s="330">
        <v>15.02125</v>
      </c>
      <c r="J284" s="330">
        <v>15.799000000000001</v>
      </c>
      <c r="K284" s="330">
        <v>16.149750000000001</v>
      </c>
      <c r="L284" s="330">
        <v>16.91225</v>
      </c>
      <c r="M284" s="331">
        <v>15.966749999999999</v>
      </c>
    </row>
    <row r="285" spans="1:13" ht="20.399999999999999" x14ac:dyDescent="0.2">
      <c r="A285" s="359">
        <v>2</v>
      </c>
      <c r="B285" s="312" t="s">
        <v>4265</v>
      </c>
      <c r="C285" s="325" t="s">
        <v>4266</v>
      </c>
      <c r="D285" s="312">
        <v>0.04</v>
      </c>
      <c r="E285" s="312" t="s">
        <v>2840</v>
      </c>
      <c r="F285" s="329">
        <v>4.04</v>
      </c>
      <c r="G285" s="330">
        <v>3.8137600000000003</v>
      </c>
      <c r="H285" s="315">
        <v>3.87032</v>
      </c>
      <c r="I285" s="330">
        <v>3.9794</v>
      </c>
      <c r="J285" s="330">
        <v>4.1854399999999998</v>
      </c>
      <c r="K285" s="330">
        <v>4.2783600000000011</v>
      </c>
      <c r="L285" s="330">
        <v>4.4803600000000001</v>
      </c>
      <c r="M285" s="331">
        <v>4.2298799999999996</v>
      </c>
    </row>
    <row r="286" spans="1:13" ht="20.399999999999999" x14ac:dyDescent="0.2">
      <c r="A286" s="359">
        <v>2</v>
      </c>
      <c r="B286" s="312" t="s">
        <v>3992</v>
      </c>
      <c r="C286" s="325" t="s">
        <v>3993</v>
      </c>
      <c r="D286" s="312">
        <v>5.0000000000000001E-3</v>
      </c>
      <c r="E286" s="312" t="s">
        <v>2840</v>
      </c>
      <c r="F286" s="329">
        <v>1.01</v>
      </c>
      <c r="G286" s="330">
        <v>0.95344000000000007</v>
      </c>
      <c r="H286" s="315">
        <v>0.96758</v>
      </c>
      <c r="I286" s="330">
        <v>0.99485000000000001</v>
      </c>
      <c r="J286" s="330">
        <v>1.04636</v>
      </c>
      <c r="K286" s="330">
        <v>1.0695900000000003</v>
      </c>
      <c r="L286" s="330">
        <v>1.12009</v>
      </c>
      <c r="M286" s="331">
        <v>1.0574699999999999</v>
      </c>
    </row>
    <row r="287" spans="1:13" ht="20.399999999999999" x14ac:dyDescent="0.2">
      <c r="A287" s="359">
        <v>2</v>
      </c>
      <c r="B287" s="312" t="s">
        <v>4007</v>
      </c>
      <c r="C287" s="325" t="s">
        <v>2818</v>
      </c>
      <c r="D287" s="312">
        <v>8.9999999999999993E-3</v>
      </c>
      <c r="E287" s="312" t="s">
        <v>2840</v>
      </c>
      <c r="F287" s="329">
        <v>1.87</v>
      </c>
      <c r="G287" s="330">
        <v>1.7652800000000002</v>
      </c>
      <c r="H287" s="315">
        <v>1.7914600000000001</v>
      </c>
      <c r="I287" s="330">
        <v>1.84195</v>
      </c>
      <c r="J287" s="330">
        <v>1.9373200000000002</v>
      </c>
      <c r="K287" s="330">
        <v>1.9803300000000004</v>
      </c>
      <c r="L287" s="330">
        <v>2.0738300000000001</v>
      </c>
      <c r="M287" s="331">
        <v>1.9578899999999999</v>
      </c>
    </row>
    <row r="288" spans="1:13" ht="20.399999999999999" x14ac:dyDescent="0.2">
      <c r="A288" s="359">
        <v>2</v>
      </c>
      <c r="B288" s="312" t="s">
        <v>4015</v>
      </c>
      <c r="C288" s="325" t="s">
        <v>2818</v>
      </c>
      <c r="D288" s="312">
        <v>2E-3</v>
      </c>
      <c r="E288" s="312" t="s">
        <v>1802</v>
      </c>
      <c r="F288" s="329">
        <v>0.32</v>
      </c>
      <c r="G288" s="330">
        <v>0.30208000000000002</v>
      </c>
      <c r="H288" s="315">
        <v>0.30656</v>
      </c>
      <c r="I288" s="330">
        <v>0.31519999999999998</v>
      </c>
      <c r="J288" s="330">
        <v>0.33152000000000004</v>
      </c>
      <c r="K288" s="330">
        <v>0.33888000000000007</v>
      </c>
      <c r="L288" s="330">
        <v>0.35488000000000003</v>
      </c>
      <c r="M288" s="331">
        <v>0.33504</v>
      </c>
    </row>
    <row r="289" spans="1:13" ht="20.399999999999999" x14ac:dyDescent="0.2">
      <c r="A289" s="359">
        <v>2</v>
      </c>
      <c r="B289" s="312" t="s">
        <v>4009</v>
      </c>
      <c r="C289" s="325" t="s">
        <v>4010</v>
      </c>
      <c r="D289" s="312">
        <v>1.4999999999999999E-2</v>
      </c>
      <c r="E289" s="312" t="s">
        <v>2840</v>
      </c>
      <c r="F289" s="329">
        <v>3.1</v>
      </c>
      <c r="G289" s="330">
        <v>2.9264000000000001</v>
      </c>
      <c r="H289" s="315">
        <v>2.9697999999999998</v>
      </c>
      <c r="I289" s="330">
        <v>3.0535000000000001</v>
      </c>
      <c r="J289" s="330">
        <v>3.2116000000000002</v>
      </c>
      <c r="K289" s="330">
        <v>3.2829000000000006</v>
      </c>
      <c r="L289" s="330">
        <v>3.4379</v>
      </c>
      <c r="M289" s="331">
        <v>3.2456999999999998</v>
      </c>
    </row>
    <row r="290" spans="1:13" ht="20.399999999999999" x14ac:dyDescent="0.2">
      <c r="A290" s="359">
        <v>2</v>
      </c>
      <c r="B290" s="312" t="s">
        <v>4012</v>
      </c>
      <c r="C290" s="325" t="s">
        <v>4013</v>
      </c>
      <c r="D290" s="312">
        <v>3.5999999999999997E-2</v>
      </c>
      <c r="E290" s="312" t="s">
        <v>2840</v>
      </c>
      <c r="F290" s="329">
        <v>7.2</v>
      </c>
      <c r="G290" s="330">
        <v>6.7968000000000002</v>
      </c>
      <c r="H290" s="315">
        <v>6.8975999999999997</v>
      </c>
      <c r="I290" s="330">
        <v>7.0919999999999996</v>
      </c>
      <c r="J290" s="330">
        <v>7.4592000000000001</v>
      </c>
      <c r="K290" s="330">
        <v>7.6248000000000014</v>
      </c>
      <c r="L290" s="330">
        <v>7.9847999999999999</v>
      </c>
      <c r="M290" s="331">
        <v>7.5383999999999993</v>
      </c>
    </row>
    <row r="291" spans="1:13" ht="20.399999999999999" x14ac:dyDescent="0.2">
      <c r="A291" s="359">
        <v>2</v>
      </c>
      <c r="B291" s="312" t="s">
        <v>4018</v>
      </c>
      <c r="C291" s="325" t="s">
        <v>4013</v>
      </c>
      <c r="D291" s="312">
        <v>6.0000000000000001E-3</v>
      </c>
      <c r="E291" s="312" t="s">
        <v>1802</v>
      </c>
      <c r="F291" s="329">
        <v>1.21</v>
      </c>
      <c r="G291" s="330">
        <v>1.1422400000000001</v>
      </c>
      <c r="H291" s="315">
        <v>1.1591799999999999</v>
      </c>
      <c r="I291" s="330">
        <v>1.1918499999999999</v>
      </c>
      <c r="J291" s="330">
        <v>1.25356</v>
      </c>
      <c r="K291" s="330">
        <v>1.2813900000000003</v>
      </c>
      <c r="L291" s="330">
        <v>1.34189</v>
      </c>
      <c r="M291" s="331">
        <v>1.2668699999999999</v>
      </c>
    </row>
    <row r="292" spans="1:13" ht="20.399999999999999" x14ac:dyDescent="0.2">
      <c r="A292" s="359">
        <v>2</v>
      </c>
      <c r="B292" s="312" t="s">
        <v>3996</v>
      </c>
      <c r="C292" s="325" t="s">
        <v>3997</v>
      </c>
      <c r="D292" s="312">
        <v>0.01</v>
      </c>
      <c r="E292" s="312" t="s">
        <v>2840</v>
      </c>
      <c r="F292" s="329">
        <v>2.02</v>
      </c>
      <c r="G292" s="330">
        <v>1.9068800000000001</v>
      </c>
      <c r="H292" s="315">
        <v>1.93516</v>
      </c>
      <c r="I292" s="330">
        <v>1.9897</v>
      </c>
      <c r="J292" s="330">
        <v>2.0927199999999999</v>
      </c>
      <c r="K292" s="330">
        <v>2.1391800000000005</v>
      </c>
      <c r="L292" s="330">
        <v>2.2401800000000001</v>
      </c>
      <c r="M292" s="331">
        <v>2.1149399999999998</v>
      </c>
    </row>
    <row r="293" spans="1:13" ht="20.399999999999999" x14ac:dyDescent="0.2">
      <c r="A293" s="359">
        <v>2</v>
      </c>
      <c r="B293" s="312" t="s">
        <v>4003</v>
      </c>
      <c r="C293" s="325" t="s">
        <v>4004</v>
      </c>
      <c r="D293" s="312">
        <v>7.0000000000000001E-3</v>
      </c>
      <c r="E293" s="312" t="s">
        <v>2840</v>
      </c>
      <c r="F293" s="329">
        <v>2.02</v>
      </c>
      <c r="G293" s="330">
        <v>1.9068800000000001</v>
      </c>
      <c r="H293" s="315">
        <v>1.93516</v>
      </c>
      <c r="I293" s="330">
        <v>1.9897</v>
      </c>
      <c r="J293" s="330">
        <v>2.0927199999999999</v>
      </c>
      <c r="K293" s="330">
        <v>2.1391800000000005</v>
      </c>
      <c r="L293" s="330">
        <v>2.2401800000000001</v>
      </c>
      <c r="M293" s="331">
        <v>2.1149399999999998</v>
      </c>
    </row>
    <row r="294" spans="1:13" ht="20.399999999999999" x14ac:dyDescent="0.2">
      <c r="A294" s="359">
        <v>2</v>
      </c>
      <c r="B294" s="312" t="s">
        <v>3999</v>
      </c>
      <c r="C294" s="325" t="s">
        <v>4000</v>
      </c>
      <c r="D294" s="312">
        <v>4.0000000000000001E-3</v>
      </c>
      <c r="E294" s="312" t="s">
        <v>2840</v>
      </c>
      <c r="F294" s="329">
        <v>1.1100000000000001</v>
      </c>
      <c r="G294" s="330">
        <v>1.0478400000000001</v>
      </c>
      <c r="H294" s="315">
        <v>1.06338</v>
      </c>
      <c r="I294" s="330">
        <v>1.09335</v>
      </c>
      <c r="J294" s="330">
        <v>1.1499600000000001</v>
      </c>
      <c r="K294" s="330">
        <v>1.1754900000000004</v>
      </c>
      <c r="L294" s="330">
        <v>1.23099</v>
      </c>
      <c r="M294" s="331">
        <v>1.1621699999999999</v>
      </c>
    </row>
    <row r="295" spans="1:13" ht="20.399999999999999" x14ac:dyDescent="0.2">
      <c r="A295" s="359">
        <v>2</v>
      </c>
      <c r="B295" s="312" t="s">
        <v>3980</v>
      </c>
      <c r="C295" s="325" t="s">
        <v>2819</v>
      </c>
      <c r="D295" s="312">
        <v>7.0000000000000001E-3</v>
      </c>
      <c r="E295" s="312" t="s">
        <v>2840</v>
      </c>
      <c r="F295" s="329">
        <v>1.41</v>
      </c>
      <c r="G295" s="330">
        <v>1.33104</v>
      </c>
      <c r="H295" s="315">
        <v>1.3507799999999999</v>
      </c>
      <c r="I295" s="330">
        <v>1.3888499999999999</v>
      </c>
      <c r="J295" s="330">
        <v>1.4607600000000001</v>
      </c>
      <c r="K295" s="330">
        <v>1.4931900000000002</v>
      </c>
      <c r="L295" s="330">
        <v>1.5636899999999998</v>
      </c>
      <c r="M295" s="331">
        <v>1.4762699999999997</v>
      </c>
    </row>
    <row r="296" spans="1:13" ht="20.399999999999999" x14ac:dyDescent="0.2">
      <c r="A296" s="359">
        <v>2</v>
      </c>
      <c r="B296" s="312" t="s">
        <v>3988</v>
      </c>
      <c r="C296" s="325" t="s">
        <v>3989</v>
      </c>
      <c r="D296" s="312">
        <v>5.0000000000000001E-3</v>
      </c>
      <c r="E296" s="312" t="s">
        <v>2840</v>
      </c>
      <c r="F296" s="329">
        <v>1.35</v>
      </c>
      <c r="G296" s="330">
        <v>1.2744000000000002</v>
      </c>
      <c r="H296" s="315">
        <v>1.2933000000000001</v>
      </c>
      <c r="I296" s="330">
        <v>1.32975</v>
      </c>
      <c r="J296" s="330">
        <v>1.3986000000000001</v>
      </c>
      <c r="K296" s="330">
        <v>1.4296500000000003</v>
      </c>
      <c r="L296" s="330">
        <v>1.49715</v>
      </c>
      <c r="M296" s="331">
        <v>1.4134500000000001</v>
      </c>
    </row>
    <row r="297" spans="1:13" ht="20.399999999999999" x14ac:dyDescent="0.2">
      <c r="A297" s="359">
        <v>2</v>
      </c>
      <c r="B297" s="312" t="s">
        <v>3977</v>
      </c>
      <c r="C297" s="325" t="s">
        <v>2820</v>
      </c>
      <c r="D297" s="312">
        <v>3.0000000000000001E-3</v>
      </c>
      <c r="E297" s="312" t="s">
        <v>2840</v>
      </c>
      <c r="F297" s="329">
        <v>0.7</v>
      </c>
      <c r="G297" s="330">
        <v>0.66080000000000005</v>
      </c>
      <c r="H297" s="315">
        <v>0.67059999999999997</v>
      </c>
      <c r="I297" s="330">
        <v>0.6895</v>
      </c>
      <c r="J297" s="330">
        <v>0.72519999999999996</v>
      </c>
      <c r="K297" s="330">
        <v>0.74130000000000007</v>
      </c>
      <c r="L297" s="330">
        <v>0.77629999999999999</v>
      </c>
      <c r="M297" s="331">
        <v>0.73289999999999988</v>
      </c>
    </row>
    <row r="298" spans="1:13" ht="20.399999999999999" x14ac:dyDescent="0.2">
      <c r="A298" s="359">
        <v>2</v>
      </c>
      <c r="B298" s="312" t="s">
        <v>3983</v>
      </c>
      <c r="C298" s="325" t="s">
        <v>3984</v>
      </c>
      <c r="D298" s="312">
        <v>3.0000000000000001E-3</v>
      </c>
      <c r="E298" s="312" t="s">
        <v>2840</v>
      </c>
      <c r="F298" s="329">
        <v>0.74</v>
      </c>
      <c r="G298" s="330">
        <v>0.69856000000000007</v>
      </c>
      <c r="H298" s="315">
        <v>0.70891999999999999</v>
      </c>
      <c r="I298" s="330">
        <v>0.72889999999999999</v>
      </c>
      <c r="J298" s="330">
        <v>0.76663999999999999</v>
      </c>
      <c r="K298" s="330">
        <v>0.78366000000000013</v>
      </c>
      <c r="L298" s="330">
        <v>0.82065999999999995</v>
      </c>
      <c r="M298" s="331">
        <v>0.77477999999999991</v>
      </c>
    </row>
    <row r="299" spans="1:13" ht="30.6" x14ac:dyDescent="0.2">
      <c r="A299" s="359">
        <v>2</v>
      </c>
      <c r="B299" s="312" t="s">
        <v>4176</v>
      </c>
      <c r="C299" s="325" t="s">
        <v>4177</v>
      </c>
      <c r="D299" s="312">
        <v>3.2000000000000001E-2</v>
      </c>
      <c r="E299" s="312" t="s">
        <v>1181</v>
      </c>
      <c r="F299" s="329">
        <v>3.64</v>
      </c>
      <c r="G299" s="330">
        <v>3.4361600000000005</v>
      </c>
      <c r="H299" s="315">
        <v>3.48712</v>
      </c>
      <c r="I299" s="330">
        <v>3.5853999999999999</v>
      </c>
      <c r="J299" s="330">
        <v>3.7710400000000002</v>
      </c>
      <c r="K299" s="330">
        <v>3.8547600000000006</v>
      </c>
      <c r="L299" s="330">
        <v>4.0367600000000001</v>
      </c>
      <c r="M299" s="331">
        <v>3.81108</v>
      </c>
    </row>
    <row r="300" spans="1:13" ht="20.399999999999999" x14ac:dyDescent="0.2">
      <c r="A300" s="359">
        <v>2</v>
      </c>
      <c r="B300" s="312" t="s">
        <v>3480</v>
      </c>
      <c r="C300" s="325" t="s">
        <v>3481</v>
      </c>
      <c r="D300" s="312">
        <v>9.4E-2</v>
      </c>
      <c r="E300" s="312" t="s">
        <v>1802</v>
      </c>
      <c r="F300" s="329">
        <v>6.55</v>
      </c>
      <c r="G300" s="330">
        <v>6.1832000000000003</v>
      </c>
      <c r="H300" s="315">
        <v>6.2748999999999997</v>
      </c>
      <c r="I300" s="330">
        <v>6.4517499999999997</v>
      </c>
      <c r="J300" s="330">
        <v>6.7858000000000001</v>
      </c>
      <c r="K300" s="330">
        <v>6.9364500000000007</v>
      </c>
      <c r="L300" s="330">
        <v>7.2639499999999995</v>
      </c>
      <c r="M300" s="331">
        <v>6.8578499999999991</v>
      </c>
    </row>
    <row r="301" spans="1:13" ht="20.399999999999999" x14ac:dyDescent="0.2">
      <c r="A301" s="359">
        <v>2</v>
      </c>
      <c r="B301" s="312" t="s">
        <v>3483</v>
      </c>
      <c r="C301" s="325" t="s">
        <v>1534</v>
      </c>
      <c r="D301" s="312">
        <v>0.12</v>
      </c>
      <c r="E301" s="312" t="s">
        <v>1802</v>
      </c>
      <c r="F301" s="329">
        <v>8.4</v>
      </c>
      <c r="G301" s="330">
        <v>7.9296000000000006</v>
      </c>
      <c r="H301" s="315">
        <v>8.0472000000000001</v>
      </c>
      <c r="I301" s="330">
        <v>8.2740000000000009</v>
      </c>
      <c r="J301" s="330">
        <v>8.7024000000000008</v>
      </c>
      <c r="K301" s="330">
        <v>8.8956000000000017</v>
      </c>
      <c r="L301" s="330">
        <v>9.3155999999999999</v>
      </c>
      <c r="M301" s="331">
        <v>8.7948000000000004</v>
      </c>
    </row>
    <row r="302" spans="1:13" x14ac:dyDescent="0.2">
      <c r="A302" s="359">
        <v>2</v>
      </c>
      <c r="B302" s="312" t="s">
        <v>4261</v>
      </c>
      <c r="C302" s="325" t="s">
        <v>4262</v>
      </c>
      <c r="D302" s="312">
        <v>7.0999999999999994E-2</v>
      </c>
      <c r="E302" s="312" t="s">
        <v>2840</v>
      </c>
      <c r="F302" s="329">
        <v>3.86</v>
      </c>
      <c r="G302" s="330">
        <v>3.64384</v>
      </c>
      <c r="H302" s="315">
        <v>3.6978799999999996</v>
      </c>
      <c r="I302" s="330">
        <v>3.8020999999999998</v>
      </c>
      <c r="J302" s="330">
        <v>3.9989599999999998</v>
      </c>
      <c r="K302" s="330">
        <v>4.0877400000000002</v>
      </c>
      <c r="L302" s="330">
        <v>4.2807399999999998</v>
      </c>
      <c r="M302" s="331">
        <v>4.0414199999999996</v>
      </c>
    </row>
    <row r="303" spans="1:13" ht="30.6" x14ac:dyDescent="0.2">
      <c r="A303" s="359">
        <v>2</v>
      </c>
      <c r="B303" s="312" t="s">
        <v>3613</v>
      </c>
      <c r="C303" s="325" t="s">
        <v>1265</v>
      </c>
      <c r="D303" s="312">
        <v>0.5</v>
      </c>
      <c r="E303" s="312" t="s">
        <v>2265</v>
      </c>
      <c r="F303" s="329">
        <v>56.5</v>
      </c>
      <c r="G303" s="330">
        <v>53.336000000000006</v>
      </c>
      <c r="H303" s="315">
        <v>54.126999999999995</v>
      </c>
      <c r="I303" s="330">
        <v>55.652499999999996</v>
      </c>
      <c r="J303" s="330">
        <v>58.533999999999999</v>
      </c>
      <c r="K303" s="330">
        <v>59.833500000000008</v>
      </c>
      <c r="L303" s="330">
        <v>62.658499999999997</v>
      </c>
      <c r="M303" s="331">
        <v>59.155499999999996</v>
      </c>
    </row>
    <row r="304" spans="1:13" ht="30.6" x14ac:dyDescent="0.2">
      <c r="A304" s="359">
        <v>2</v>
      </c>
      <c r="B304" s="312" t="s">
        <v>3607</v>
      </c>
      <c r="C304" s="325" t="s">
        <v>1266</v>
      </c>
      <c r="D304" s="312">
        <v>0.19</v>
      </c>
      <c r="E304" s="312" t="s">
        <v>2265</v>
      </c>
      <c r="F304" s="329">
        <v>13.2</v>
      </c>
      <c r="G304" s="330">
        <v>12.460800000000001</v>
      </c>
      <c r="H304" s="315">
        <v>12.645599999999998</v>
      </c>
      <c r="I304" s="330">
        <v>13.001999999999999</v>
      </c>
      <c r="J304" s="330">
        <v>13.6752</v>
      </c>
      <c r="K304" s="330">
        <v>13.978800000000001</v>
      </c>
      <c r="L304" s="330">
        <v>14.6388</v>
      </c>
      <c r="M304" s="331">
        <v>13.820399999999998</v>
      </c>
    </row>
    <row r="305" spans="1:13" ht="30.6" x14ac:dyDescent="0.2">
      <c r="A305" s="359">
        <v>2</v>
      </c>
      <c r="B305" s="312" t="s">
        <v>3609</v>
      </c>
      <c r="C305" s="325" t="s">
        <v>2900</v>
      </c>
      <c r="D305" s="312">
        <v>0.33300000000000002</v>
      </c>
      <c r="E305" s="312" t="s">
        <v>2265</v>
      </c>
      <c r="F305" s="329">
        <v>23</v>
      </c>
      <c r="G305" s="330">
        <v>21.712</v>
      </c>
      <c r="H305" s="315">
        <v>22.033999999999999</v>
      </c>
      <c r="I305" s="330">
        <v>22.655000000000001</v>
      </c>
      <c r="J305" s="330">
        <v>23.827999999999999</v>
      </c>
      <c r="K305" s="330">
        <v>24.357000000000003</v>
      </c>
      <c r="L305" s="330">
        <v>25.506999999999998</v>
      </c>
      <c r="M305" s="331">
        <v>24.081</v>
      </c>
    </row>
    <row r="306" spans="1:13" ht="30.6" x14ac:dyDescent="0.2">
      <c r="A306" s="359">
        <v>2</v>
      </c>
      <c r="B306" s="312" t="s">
        <v>3615</v>
      </c>
      <c r="C306" s="325" t="s">
        <v>2901</v>
      </c>
      <c r="D306" s="312">
        <v>0.66700000000000004</v>
      </c>
      <c r="E306" s="312" t="s">
        <v>2265</v>
      </c>
      <c r="F306" s="329">
        <v>75.5</v>
      </c>
      <c r="G306" s="330">
        <v>71.272000000000006</v>
      </c>
      <c r="H306" s="315">
        <v>72.328999999999994</v>
      </c>
      <c r="I306" s="330">
        <v>74.367499999999993</v>
      </c>
      <c r="J306" s="330">
        <v>78.218000000000004</v>
      </c>
      <c r="K306" s="330">
        <v>79.95450000000001</v>
      </c>
      <c r="L306" s="330">
        <v>83.729500000000002</v>
      </c>
      <c r="M306" s="331">
        <v>79.04849999999999</v>
      </c>
    </row>
    <row r="307" spans="1:13" ht="30.6" x14ac:dyDescent="0.2">
      <c r="A307" s="359">
        <v>2</v>
      </c>
      <c r="B307" s="312" t="s">
        <v>3611</v>
      </c>
      <c r="C307" s="325" t="s">
        <v>2902</v>
      </c>
      <c r="D307" s="312">
        <v>0.53300000000000003</v>
      </c>
      <c r="E307" s="312" t="s">
        <v>2265</v>
      </c>
      <c r="F307" s="329">
        <v>37</v>
      </c>
      <c r="G307" s="330">
        <v>34.928000000000004</v>
      </c>
      <c r="H307" s="315">
        <v>35.445999999999998</v>
      </c>
      <c r="I307" s="330">
        <v>36.445</v>
      </c>
      <c r="J307" s="330">
        <v>38.332000000000001</v>
      </c>
      <c r="K307" s="330">
        <v>39.183000000000007</v>
      </c>
      <c r="L307" s="330">
        <v>41.033000000000001</v>
      </c>
      <c r="M307" s="331">
        <v>38.738999999999997</v>
      </c>
    </row>
    <row r="308" spans="1:13" ht="30.6" x14ac:dyDescent="0.2">
      <c r="A308" s="359">
        <v>2</v>
      </c>
      <c r="B308" s="312" t="s">
        <v>3603</v>
      </c>
      <c r="C308" s="325" t="s">
        <v>3604</v>
      </c>
      <c r="D308" s="312">
        <v>8.3000000000000004E-2</v>
      </c>
      <c r="E308" s="312" t="s">
        <v>2265</v>
      </c>
      <c r="F308" s="329">
        <v>5.8</v>
      </c>
      <c r="G308" s="330">
        <v>5.4752000000000001</v>
      </c>
      <c r="H308" s="315">
        <v>5.5564</v>
      </c>
      <c r="I308" s="330">
        <v>5.7130000000000001</v>
      </c>
      <c r="J308" s="330">
        <v>6.0087999999999999</v>
      </c>
      <c r="K308" s="330">
        <v>6.1422000000000008</v>
      </c>
      <c r="L308" s="330">
        <v>6.4321999999999999</v>
      </c>
      <c r="M308" s="331">
        <v>6.0725999999999996</v>
      </c>
    </row>
    <row r="309" spans="1:13" ht="30.6" x14ac:dyDescent="0.2">
      <c r="A309" s="359">
        <v>2</v>
      </c>
      <c r="B309" s="312" t="s">
        <v>3595</v>
      </c>
      <c r="C309" s="325" t="s">
        <v>3596</v>
      </c>
      <c r="D309" s="312">
        <v>1.111</v>
      </c>
      <c r="E309" s="312" t="s">
        <v>2265</v>
      </c>
      <c r="F309" s="329">
        <v>107</v>
      </c>
      <c r="G309" s="330">
        <v>101.00800000000001</v>
      </c>
      <c r="H309" s="315">
        <v>102.506</v>
      </c>
      <c r="I309" s="330">
        <v>105.395</v>
      </c>
      <c r="J309" s="330">
        <v>110.852</v>
      </c>
      <c r="K309" s="330">
        <v>113.31300000000002</v>
      </c>
      <c r="L309" s="330">
        <v>118.663</v>
      </c>
      <c r="M309" s="331">
        <v>112.029</v>
      </c>
    </row>
    <row r="310" spans="1:13" ht="30.6" x14ac:dyDescent="0.2">
      <c r="A310" s="359">
        <v>2</v>
      </c>
      <c r="B310" s="312" t="s">
        <v>3599</v>
      </c>
      <c r="C310" s="325" t="s">
        <v>3600</v>
      </c>
      <c r="D310" s="312">
        <v>1.0669999999999999</v>
      </c>
      <c r="E310" s="312" t="s">
        <v>2265</v>
      </c>
      <c r="F310" s="329">
        <v>98</v>
      </c>
      <c r="G310" s="330">
        <v>92.512</v>
      </c>
      <c r="H310" s="315">
        <v>93.884</v>
      </c>
      <c r="I310" s="330">
        <v>96.53</v>
      </c>
      <c r="J310" s="330">
        <v>101.52800000000001</v>
      </c>
      <c r="K310" s="330">
        <v>103.78200000000001</v>
      </c>
      <c r="L310" s="330">
        <v>108.682</v>
      </c>
      <c r="M310" s="331">
        <v>102.60599999999999</v>
      </c>
    </row>
    <row r="311" spans="1:13" ht="30.6" x14ac:dyDescent="0.2">
      <c r="A311" s="359">
        <v>2</v>
      </c>
      <c r="B311" s="312" t="s">
        <v>3592</v>
      </c>
      <c r="C311" s="325" t="s">
        <v>3593</v>
      </c>
      <c r="D311" s="312">
        <v>0.5</v>
      </c>
      <c r="E311" s="312" t="s">
        <v>2265</v>
      </c>
      <c r="F311" s="329">
        <v>56.5</v>
      </c>
      <c r="G311" s="330">
        <v>53.336000000000006</v>
      </c>
      <c r="H311" s="315">
        <v>54.126999999999995</v>
      </c>
      <c r="I311" s="330">
        <v>55.652499999999996</v>
      </c>
      <c r="J311" s="330">
        <v>58.533999999999999</v>
      </c>
      <c r="K311" s="330">
        <v>59.833500000000008</v>
      </c>
      <c r="L311" s="330">
        <v>62.658499999999997</v>
      </c>
      <c r="M311" s="331">
        <v>59.155499999999996</v>
      </c>
    </row>
    <row r="312" spans="1:13" ht="20.399999999999999" x14ac:dyDescent="0.2">
      <c r="A312" s="359">
        <v>2</v>
      </c>
      <c r="B312" s="312" t="s">
        <v>3617</v>
      </c>
      <c r="C312" s="325" t="s">
        <v>680</v>
      </c>
      <c r="D312" s="312">
        <v>1</v>
      </c>
      <c r="E312" s="312" t="s">
        <v>1182</v>
      </c>
      <c r="F312" s="329">
        <v>89</v>
      </c>
      <c r="G312" s="330">
        <v>84.016000000000005</v>
      </c>
      <c r="H312" s="315">
        <v>85.262</v>
      </c>
      <c r="I312" s="330">
        <v>87.664999999999992</v>
      </c>
      <c r="J312" s="330">
        <v>92.204000000000008</v>
      </c>
      <c r="K312" s="330">
        <v>94.251000000000019</v>
      </c>
      <c r="L312" s="330">
        <v>98.700999999999993</v>
      </c>
      <c r="M312" s="331">
        <v>93.182999999999993</v>
      </c>
    </row>
    <row r="313" spans="1:13" ht="20.399999999999999" x14ac:dyDescent="0.2">
      <c r="A313" s="359">
        <v>3</v>
      </c>
      <c r="B313" s="312" t="s">
        <v>3471</v>
      </c>
      <c r="C313" s="325" t="s">
        <v>3472</v>
      </c>
      <c r="D313" s="312">
        <v>2</v>
      </c>
      <c r="E313" s="312" t="s">
        <v>2265</v>
      </c>
      <c r="F313" s="329">
        <v>300</v>
      </c>
      <c r="G313" s="330">
        <v>283.20000000000005</v>
      </c>
      <c r="H313" s="315">
        <v>287.39999999999998</v>
      </c>
      <c r="I313" s="330">
        <v>295.5</v>
      </c>
      <c r="J313" s="330">
        <v>310.8</v>
      </c>
      <c r="K313" s="330">
        <v>317.70000000000005</v>
      </c>
      <c r="L313" s="330">
        <v>332.7</v>
      </c>
      <c r="M313" s="331">
        <v>314.09999999999997</v>
      </c>
    </row>
    <row r="314" spans="1:13" ht="20.399999999999999" x14ac:dyDescent="0.2">
      <c r="A314" s="359">
        <v>3</v>
      </c>
      <c r="B314" s="312" t="s">
        <v>3468</v>
      </c>
      <c r="C314" s="325" t="s">
        <v>3469</v>
      </c>
      <c r="D314" s="312">
        <v>1</v>
      </c>
      <c r="E314" s="312" t="s">
        <v>2265</v>
      </c>
      <c r="F314" s="329">
        <v>120</v>
      </c>
      <c r="G314" s="330">
        <v>113.28</v>
      </c>
      <c r="H314" s="315">
        <v>114.96</v>
      </c>
      <c r="I314" s="330">
        <v>118.2</v>
      </c>
      <c r="J314" s="330">
        <v>124.32000000000001</v>
      </c>
      <c r="K314" s="330">
        <v>127.08000000000001</v>
      </c>
      <c r="L314" s="330">
        <v>133.07999999999998</v>
      </c>
      <c r="M314" s="331">
        <v>125.63999999999999</v>
      </c>
    </row>
    <row r="315" spans="1:13" ht="20.399999999999999" x14ac:dyDescent="0.2">
      <c r="A315" s="359">
        <v>3</v>
      </c>
      <c r="B315" s="312" t="s">
        <v>3462</v>
      </c>
      <c r="C315" s="325" t="s">
        <v>519</v>
      </c>
      <c r="D315" s="312">
        <v>2</v>
      </c>
      <c r="E315" s="312" t="s">
        <v>2265</v>
      </c>
      <c r="F315" s="329">
        <v>436</v>
      </c>
      <c r="G315" s="330">
        <v>411.584</v>
      </c>
      <c r="H315" s="315">
        <v>417.68799999999999</v>
      </c>
      <c r="I315" s="330">
        <v>429.46</v>
      </c>
      <c r="J315" s="330">
        <v>451.69600000000003</v>
      </c>
      <c r="K315" s="330">
        <v>461.72400000000005</v>
      </c>
      <c r="L315" s="330">
        <v>483.524</v>
      </c>
      <c r="M315" s="331">
        <v>456.49199999999996</v>
      </c>
    </row>
    <row r="316" spans="1:13" ht="20.399999999999999" x14ac:dyDescent="0.2">
      <c r="A316" s="359">
        <v>3</v>
      </c>
      <c r="B316" s="312" t="s">
        <v>3464</v>
      </c>
      <c r="C316" s="325" t="s">
        <v>3465</v>
      </c>
      <c r="D316" s="312">
        <v>2.6669999999999998</v>
      </c>
      <c r="E316" s="312" t="s">
        <v>2265</v>
      </c>
      <c r="F316" s="329">
        <v>810</v>
      </c>
      <c r="G316" s="330">
        <v>764.6400000000001</v>
      </c>
      <c r="H316" s="315">
        <v>775.98</v>
      </c>
      <c r="I316" s="330">
        <v>797.85</v>
      </c>
      <c r="J316" s="330">
        <v>839.16000000000008</v>
      </c>
      <c r="K316" s="330">
        <v>857.79000000000008</v>
      </c>
      <c r="L316" s="330">
        <v>898.29</v>
      </c>
      <c r="M316" s="331">
        <v>848.06999999999994</v>
      </c>
    </row>
    <row r="317" spans="1:13" x14ac:dyDescent="0.2">
      <c r="A317" s="359">
        <v>4</v>
      </c>
      <c r="B317" s="312" t="s">
        <v>4029</v>
      </c>
      <c r="C317" s="325" t="s">
        <v>4030</v>
      </c>
      <c r="D317" s="312">
        <v>3.4000000000000002E-2</v>
      </c>
      <c r="E317" s="312" t="s">
        <v>1802</v>
      </c>
      <c r="F317" s="329">
        <v>1.62</v>
      </c>
      <c r="G317" s="330">
        <v>1.5292800000000002</v>
      </c>
      <c r="H317" s="315">
        <v>1.55196</v>
      </c>
      <c r="I317" s="330">
        <v>1.5957000000000001</v>
      </c>
      <c r="J317" s="330">
        <v>1.6783200000000003</v>
      </c>
      <c r="K317" s="330">
        <v>1.7155800000000003</v>
      </c>
      <c r="L317" s="330">
        <v>1.7965800000000001</v>
      </c>
      <c r="M317" s="331">
        <v>1.69614</v>
      </c>
    </row>
    <row r="318" spans="1:13" x14ac:dyDescent="0.2">
      <c r="A318" s="359">
        <v>4</v>
      </c>
      <c r="B318" s="312" t="s">
        <v>4021</v>
      </c>
      <c r="C318" s="325" t="s">
        <v>1572</v>
      </c>
      <c r="D318" s="312">
        <v>0.04</v>
      </c>
      <c r="E318" s="312" t="s">
        <v>1802</v>
      </c>
      <c r="F318" s="329">
        <v>3.52</v>
      </c>
      <c r="G318" s="330">
        <v>3.3228800000000001</v>
      </c>
      <c r="H318" s="315">
        <v>3.37216</v>
      </c>
      <c r="I318" s="330">
        <v>3.4672000000000001</v>
      </c>
      <c r="J318" s="330">
        <v>3.6467200000000002</v>
      </c>
      <c r="K318" s="330">
        <v>3.7276800000000008</v>
      </c>
      <c r="L318" s="330">
        <v>3.90368</v>
      </c>
      <c r="M318" s="331">
        <v>3.6854399999999998</v>
      </c>
    </row>
    <row r="319" spans="1:13" x14ac:dyDescent="0.2">
      <c r="A319" s="359">
        <v>4</v>
      </c>
      <c r="B319" s="312" t="s">
        <v>3485</v>
      </c>
      <c r="C319" s="325" t="s">
        <v>2203</v>
      </c>
      <c r="D319" s="312">
        <v>0.88900000000000001</v>
      </c>
      <c r="E319" s="312" t="s">
        <v>2840</v>
      </c>
      <c r="F319" s="329">
        <v>71.5</v>
      </c>
      <c r="G319" s="330">
        <v>67.496000000000009</v>
      </c>
      <c r="H319" s="315">
        <v>68.497</v>
      </c>
      <c r="I319" s="330">
        <v>70.427499999999995</v>
      </c>
      <c r="J319" s="330">
        <v>74.073999999999998</v>
      </c>
      <c r="K319" s="330">
        <v>75.718500000000006</v>
      </c>
      <c r="L319" s="330">
        <v>79.293499999999995</v>
      </c>
      <c r="M319" s="331">
        <v>74.860500000000002</v>
      </c>
    </row>
    <row r="320" spans="1:13" x14ac:dyDescent="0.2">
      <c r="A320" s="359">
        <v>4</v>
      </c>
      <c r="B320" s="312" t="s">
        <v>4243</v>
      </c>
      <c r="C320" s="325" t="s">
        <v>1886</v>
      </c>
      <c r="D320" s="312">
        <v>0.08</v>
      </c>
      <c r="E320" s="312" t="s">
        <v>1802</v>
      </c>
      <c r="F320" s="329">
        <v>6.85</v>
      </c>
      <c r="G320" s="330">
        <v>6.4664000000000001</v>
      </c>
      <c r="H320" s="315">
        <v>6.5622999999999996</v>
      </c>
      <c r="I320" s="330">
        <v>6.7472499999999993</v>
      </c>
      <c r="J320" s="330">
        <v>7.0965999999999996</v>
      </c>
      <c r="K320" s="330">
        <v>7.254150000000001</v>
      </c>
      <c r="L320" s="330">
        <v>7.5966499999999995</v>
      </c>
      <c r="M320" s="331">
        <v>7.1719499999999989</v>
      </c>
    </row>
    <row r="321" spans="1:13" x14ac:dyDescent="0.2">
      <c r="A321" s="359">
        <v>4</v>
      </c>
      <c r="B321" s="312" t="s">
        <v>4248</v>
      </c>
      <c r="C321" s="325" t="s">
        <v>1887</v>
      </c>
      <c r="D321" s="312">
        <v>1.7000000000000001E-2</v>
      </c>
      <c r="E321" s="312" t="s">
        <v>1802</v>
      </c>
      <c r="F321" s="329">
        <v>1.3</v>
      </c>
      <c r="G321" s="330">
        <v>1.2272000000000001</v>
      </c>
      <c r="H321" s="315">
        <v>1.2454000000000001</v>
      </c>
      <c r="I321" s="330">
        <v>1.2805</v>
      </c>
      <c r="J321" s="330">
        <v>1.3468</v>
      </c>
      <c r="K321" s="330">
        <v>1.3767000000000003</v>
      </c>
      <c r="L321" s="330">
        <v>1.4417</v>
      </c>
      <c r="M321" s="331">
        <v>1.3611</v>
      </c>
    </row>
    <row r="322" spans="1:13" x14ac:dyDescent="0.2">
      <c r="A322" s="359">
        <v>4</v>
      </c>
      <c r="B322" s="312" t="s">
        <v>4253</v>
      </c>
      <c r="C322" s="325" t="s">
        <v>1888</v>
      </c>
      <c r="D322" s="312">
        <v>1.7000000000000001E-2</v>
      </c>
      <c r="E322" s="312" t="s">
        <v>1802</v>
      </c>
      <c r="F322" s="329">
        <v>1.3</v>
      </c>
      <c r="G322" s="330">
        <v>1.2272000000000001</v>
      </c>
      <c r="H322" s="315">
        <v>1.2454000000000001</v>
      </c>
      <c r="I322" s="330">
        <v>1.2805</v>
      </c>
      <c r="J322" s="330">
        <v>1.3468</v>
      </c>
      <c r="K322" s="330">
        <v>1.3767000000000003</v>
      </c>
      <c r="L322" s="330">
        <v>1.4417</v>
      </c>
      <c r="M322" s="331">
        <v>1.3611</v>
      </c>
    </row>
    <row r="323" spans="1:13" x14ac:dyDescent="0.2">
      <c r="A323" s="359">
        <v>4</v>
      </c>
      <c r="B323" s="312" t="s">
        <v>4257</v>
      </c>
      <c r="C323" s="325" t="s">
        <v>1890</v>
      </c>
      <c r="D323" s="312">
        <v>3.5999999999999997E-2</v>
      </c>
      <c r="E323" s="312" t="s">
        <v>1802</v>
      </c>
      <c r="F323" s="329">
        <v>3.76</v>
      </c>
      <c r="G323" s="330">
        <v>3.5494400000000002</v>
      </c>
      <c r="H323" s="315">
        <v>3.6020799999999995</v>
      </c>
      <c r="I323" s="330">
        <v>3.7035999999999998</v>
      </c>
      <c r="J323" s="330">
        <v>3.8953599999999997</v>
      </c>
      <c r="K323" s="330">
        <v>3.9818400000000005</v>
      </c>
      <c r="L323" s="330">
        <v>4.1698399999999998</v>
      </c>
      <c r="M323" s="331">
        <v>3.9367199999999993</v>
      </c>
    </row>
    <row r="324" spans="1:13" x14ac:dyDescent="0.2">
      <c r="A324" s="359">
        <v>2</v>
      </c>
      <c r="B324" s="312" t="s">
        <v>3477</v>
      </c>
      <c r="C324" s="325" t="s">
        <v>3478</v>
      </c>
      <c r="D324" s="312">
        <v>0.8</v>
      </c>
      <c r="E324" s="312" t="s">
        <v>2840</v>
      </c>
      <c r="F324" s="329">
        <v>59.5</v>
      </c>
      <c r="G324" s="330">
        <v>56.168000000000006</v>
      </c>
      <c r="H324" s="315">
        <v>57.000999999999998</v>
      </c>
      <c r="I324" s="330">
        <v>58.607500000000002</v>
      </c>
      <c r="J324" s="330">
        <v>61.642000000000003</v>
      </c>
      <c r="K324" s="330">
        <v>63.010500000000008</v>
      </c>
      <c r="L324" s="330">
        <v>65.985500000000002</v>
      </c>
      <c r="M324" s="331">
        <v>62.296499999999995</v>
      </c>
    </row>
    <row r="325" spans="1:13" x14ac:dyDescent="0.2">
      <c r="A325" s="359">
        <v>2</v>
      </c>
      <c r="B325" s="312" t="s">
        <v>3474</v>
      </c>
      <c r="C325" s="325" t="s">
        <v>3475</v>
      </c>
      <c r="D325" s="312">
        <v>0.57099999999999995</v>
      </c>
      <c r="E325" s="312" t="s">
        <v>2840</v>
      </c>
      <c r="F325" s="329">
        <v>43</v>
      </c>
      <c r="G325" s="330">
        <v>40.592000000000006</v>
      </c>
      <c r="H325" s="315">
        <v>41.193999999999996</v>
      </c>
      <c r="I325" s="330">
        <v>42.354999999999997</v>
      </c>
      <c r="J325" s="330">
        <v>44.548000000000002</v>
      </c>
      <c r="K325" s="330">
        <v>45.537000000000006</v>
      </c>
      <c r="L325" s="330">
        <v>47.686999999999998</v>
      </c>
      <c r="M325" s="331">
        <v>45.020999999999994</v>
      </c>
    </row>
    <row r="326" spans="1:13" x14ac:dyDescent="0.2">
      <c r="A326" s="359">
        <v>5</v>
      </c>
      <c r="B326" s="312" t="s">
        <v>3444</v>
      </c>
      <c r="C326" s="325" t="s">
        <v>3445</v>
      </c>
      <c r="E326" s="312" t="s">
        <v>3446</v>
      </c>
      <c r="F326" s="312" t="s">
        <v>3447</v>
      </c>
      <c r="G326" s="327"/>
      <c r="H326" s="327"/>
      <c r="I326" s="327"/>
      <c r="J326" s="327"/>
      <c r="K326" s="327"/>
      <c r="L326" s="327"/>
      <c r="M326" s="327"/>
    </row>
    <row r="327" spans="1:13" x14ac:dyDescent="0.2">
      <c r="A327" s="359">
        <v>5</v>
      </c>
      <c r="B327" s="312" t="s">
        <v>3450</v>
      </c>
      <c r="C327" s="325" t="s">
        <v>3451</v>
      </c>
      <c r="E327" s="312" t="s">
        <v>3446</v>
      </c>
      <c r="F327" s="312" t="s">
        <v>3452</v>
      </c>
      <c r="G327" s="328"/>
      <c r="H327" s="328"/>
      <c r="I327" s="326"/>
      <c r="J327" s="327"/>
      <c r="K327" s="327"/>
      <c r="L327" s="327"/>
      <c r="M327" s="327"/>
    </row>
    <row r="328" spans="1:13" x14ac:dyDescent="0.2">
      <c r="A328" s="359">
        <v>5</v>
      </c>
      <c r="B328" s="312" t="s">
        <v>3458</v>
      </c>
      <c r="C328" s="325" t="s">
        <v>3459</v>
      </c>
      <c r="E328" s="312" t="s">
        <v>3446</v>
      </c>
      <c r="F328" s="312" t="s">
        <v>3460</v>
      </c>
      <c r="G328" s="328"/>
      <c r="H328" s="328"/>
      <c r="I328" s="326"/>
      <c r="J328" s="327"/>
      <c r="K328" s="327"/>
      <c r="L328" s="327"/>
      <c r="M328" s="327"/>
    </row>
    <row r="329" spans="1:13" ht="20.399999999999999" x14ac:dyDescent="0.2">
      <c r="A329" s="359">
        <v>5</v>
      </c>
      <c r="B329" s="312" t="s">
        <v>3454</v>
      </c>
      <c r="C329" s="325" t="s">
        <v>3455</v>
      </c>
      <c r="E329" s="312" t="s">
        <v>3446</v>
      </c>
      <c r="F329" s="312" t="s">
        <v>3456</v>
      </c>
      <c r="G329" s="328"/>
      <c r="H329" s="328"/>
      <c r="I329" s="326"/>
      <c r="J329" s="327"/>
      <c r="K329" s="327"/>
      <c r="L329" s="327"/>
      <c r="M329" s="327"/>
    </row>
    <row r="330" spans="1:13" x14ac:dyDescent="0.2">
      <c r="B330" s="318"/>
      <c r="C330" s="319"/>
      <c r="D330" s="318"/>
      <c r="E330" s="318"/>
      <c r="F330" s="332"/>
      <c r="G330" s="333"/>
      <c r="H330" s="333"/>
      <c r="I330" s="320"/>
      <c r="J330" s="334"/>
      <c r="K330" s="334"/>
      <c r="L330" s="334"/>
      <c r="M330" s="334"/>
    </row>
    <row r="331" spans="1:13" x14ac:dyDescent="0.2">
      <c r="F331" s="313"/>
      <c r="J331" s="336"/>
      <c r="K331" s="336"/>
      <c r="L331" s="336"/>
      <c r="M331" s="336"/>
    </row>
    <row r="332" spans="1:13" x14ac:dyDescent="0.2">
      <c r="F332" s="313"/>
      <c r="J332" s="336"/>
      <c r="K332" s="336"/>
      <c r="L332" s="336"/>
      <c r="M332" s="336"/>
    </row>
  </sheetData>
  <sortState ref="A3:M329">
    <sortCondition ref="A32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0"/>
  <sheetViews>
    <sheetView workbookViewId="0">
      <selection activeCell="C25" sqref="C25"/>
    </sheetView>
  </sheetViews>
  <sheetFormatPr defaultRowHeight="13.2" x14ac:dyDescent="0.25"/>
  <cols>
    <col min="1" max="1" width="45.5546875" style="293" customWidth="1"/>
    <col min="2" max="2" width="14" style="294" customWidth="1"/>
    <col min="3" max="3" width="15.109375" style="295" customWidth="1"/>
    <col min="4" max="4" width="10.6640625" style="289" customWidth="1"/>
    <col min="5" max="5" width="11.33203125" style="290" customWidth="1"/>
    <col min="6" max="6" width="11.6640625" style="290" customWidth="1"/>
    <col min="7" max="7" width="9.109375" style="290"/>
    <col min="8" max="8" width="13.44140625" style="290" customWidth="1"/>
    <col min="9" max="9" width="22.5546875" style="290" customWidth="1"/>
  </cols>
  <sheetData>
    <row r="1" spans="1:11" x14ac:dyDescent="0.25">
      <c r="A1" s="293" t="s">
        <v>4377</v>
      </c>
      <c r="I1" s="291"/>
    </row>
    <row r="2" spans="1:11" x14ac:dyDescent="0.25">
      <c r="A2" s="296" t="s">
        <v>4378</v>
      </c>
      <c r="C2" s="288" t="s">
        <v>3426</v>
      </c>
      <c r="I2" s="291"/>
    </row>
    <row r="3" spans="1:11" ht="39.6" x14ac:dyDescent="0.25">
      <c r="A3" s="297" t="s">
        <v>563</v>
      </c>
      <c r="B3" s="298" t="s">
        <v>4379</v>
      </c>
      <c r="C3" s="299" t="s">
        <v>3438</v>
      </c>
      <c r="D3" s="300" t="s">
        <v>3439</v>
      </c>
      <c r="E3" s="301">
        <v>482</v>
      </c>
      <c r="F3" s="299" t="s">
        <v>3440</v>
      </c>
      <c r="G3" s="299" t="s">
        <v>3441</v>
      </c>
      <c r="H3" s="299" t="s">
        <v>3442</v>
      </c>
      <c r="I3" s="302" t="s">
        <v>3443</v>
      </c>
      <c r="J3" s="141" t="s">
        <v>2857</v>
      </c>
      <c r="K3" s="247" t="s">
        <v>1048</v>
      </c>
    </row>
    <row r="4" spans="1:11" x14ac:dyDescent="0.25">
      <c r="A4" s="303" t="s">
        <v>4380</v>
      </c>
      <c r="B4" s="304">
        <v>56.25</v>
      </c>
      <c r="C4" s="304">
        <f>(94.4/100)*B4</f>
        <v>53.1</v>
      </c>
      <c r="D4" s="305">
        <f>(95.8/100)*B4</f>
        <v>53.887499999999996</v>
      </c>
      <c r="E4" s="304">
        <f>(98.5/100)*B4</f>
        <v>55.40625</v>
      </c>
      <c r="F4" s="304">
        <f>(103.6/100)*B4</f>
        <v>58.274999999999999</v>
      </c>
      <c r="G4" s="304">
        <f>(105.9/100)*B4</f>
        <v>59.568750000000009</v>
      </c>
      <c r="H4" s="304">
        <f>(110.9/100)*B4</f>
        <v>62.381250000000001</v>
      </c>
      <c r="I4" s="306">
        <f>(104.7/100)*B4</f>
        <v>58.893749999999997</v>
      </c>
    </row>
    <row r="5" spans="1:11" x14ac:dyDescent="0.25">
      <c r="A5" s="303" t="s">
        <v>4381</v>
      </c>
      <c r="B5" s="304">
        <v>17.899999999999999</v>
      </c>
      <c r="C5" s="304">
        <f t="shared" ref="C5:C23" si="0">(94.4/100)*B5</f>
        <v>16.897600000000001</v>
      </c>
      <c r="D5" s="305">
        <f t="shared" ref="D5:D23" si="1">(95.8/100)*B5</f>
        <v>17.148199999999999</v>
      </c>
      <c r="E5" s="304">
        <f t="shared" ref="E5:E23" si="2">(98.5/100)*B5</f>
        <v>17.631499999999999</v>
      </c>
      <c r="F5" s="304">
        <f t="shared" ref="F5:F23" si="3">(103.6/100)*B5</f>
        <v>18.5444</v>
      </c>
      <c r="G5" s="304">
        <f t="shared" ref="G5:G23" si="4">(105.9/100)*B5</f>
        <v>18.956100000000003</v>
      </c>
      <c r="H5" s="304">
        <f t="shared" ref="H5:H23" si="5">(110.9/100)*B5</f>
        <v>19.851099999999999</v>
      </c>
      <c r="I5" s="306">
        <f t="shared" ref="I5:I23" si="6">(104.7/100)*B5</f>
        <v>18.741299999999999</v>
      </c>
    </row>
    <row r="6" spans="1:11" x14ac:dyDescent="0.25">
      <c r="A6" s="303" t="s">
        <v>4382</v>
      </c>
      <c r="B6" s="304">
        <v>109.06</v>
      </c>
      <c r="C6" s="304">
        <f t="shared" si="0"/>
        <v>102.95264</v>
      </c>
      <c r="D6" s="305">
        <f t="shared" si="1"/>
        <v>104.47948</v>
      </c>
      <c r="E6" s="304">
        <f t="shared" si="2"/>
        <v>107.4241</v>
      </c>
      <c r="F6" s="304">
        <f t="shared" si="3"/>
        <v>112.98616000000001</v>
      </c>
      <c r="G6" s="304">
        <f t="shared" si="4"/>
        <v>115.49454000000001</v>
      </c>
      <c r="H6" s="304">
        <f t="shared" si="5"/>
        <v>120.94754</v>
      </c>
      <c r="I6" s="306">
        <f t="shared" si="6"/>
        <v>114.18581999999999</v>
      </c>
    </row>
    <row r="7" spans="1:11" ht="26.4" x14ac:dyDescent="0.25">
      <c r="A7" s="302" t="s">
        <v>4383</v>
      </c>
      <c r="B7" s="304">
        <v>200.23</v>
      </c>
      <c r="C7" s="304">
        <f t="shared" si="0"/>
        <v>189.01712000000001</v>
      </c>
      <c r="D7" s="305">
        <f t="shared" si="1"/>
        <v>191.82033999999999</v>
      </c>
      <c r="E7" s="304">
        <f t="shared" si="2"/>
        <v>197.22654999999997</v>
      </c>
      <c r="F7" s="304">
        <f t="shared" si="3"/>
        <v>207.43827999999999</v>
      </c>
      <c r="G7" s="304">
        <f t="shared" si="4"/>
        <v>212.04357000000002</v>
      </c>
      <c r="H7" s="304">
        <f t="shared" si="5"/>
        <v>222.05506999999997</v>
      </c>
      <c r="I7" s="306">
        <f t="shared" si="6"/>
        <v>209.64080999999999</v>
      </c>
    </row>
    <row r="8" spans="1:11" x14ac:dyDescent="0.25">
      <c r="A8" s="303" t="s">
        <v>4384</v>
      </c>
      <c r="B8" s="304">
        <v>100.56</v>
      </c>
      <c r="C8" s="304">
        <f t="shared" si="0"/>
        <v>94.928640000000001</v>
      </c>
      <c r="D8" s="305">
        <f t="shared" si="1"/>
        <v>96.336479999999995</v>
      </c>
      <c r="E8" s="304">
        <f t="shared" si="2"/>
        <v>99.051600000000008</v>
      </c>
      <c r="F8" s="304">
        <f t="shared" si="3"/>
        <v>104.18016</v>
      </c>
      <c r="G8" s="304">
        <f t="shared" si="4"/>
        <v>106.49304000000002</v>
      </c>
      <c r="H8" s="304">
        <f t="shared" si="5"/>
        <v>111.52104</v>
      </c>
      <c r="I8" s="306">
        <f t="shared" si="6"/>
        <v>105.28631999999999</v>
      </c>
    </row>
    <row r="9" spans="1:11" x14ac:dyDescent="0.25">
      <c r="A9" s="303" t="s">
        <v>4385</v>
      </c>
      <c r="B9" s="304">
        <v>105.51</v>
      </c>
      <c r="C9" s="304">
        <f t="shared" si="0"/>
        <v>99.601440000000011</v>
      </c>
      <c r="D9" s="305">
        <f t="shared" si="1"/>
        <v>101.07858</v>
      </c>
      <c r="E9" s="304">
        <f t="shared" si="2"/>
        <v>103.92735</v>
      </c>
      <c r="F9" s="304">
        <f t="shared" si="3"/>
        <v>109.30836000000001</v>
      </c>
      <c r="G9" s="304">
        <f t="shared" si="4"/>
        <v>111.73509000000003</v>
      </c>
      <c r="H9" s="304">
        <f t="shared" si="5"/>
        <v>117.01059000000001</v>
      </c>
      <c r="I9" s="306">
        <f t="shared" si="6"/>
        <v>110.46897</v>
      </c>
    </row>
    <row r="10" spans="1:11" x14ac:dyDescent="0.25">
      <c r="A10" s="303" t="s">
        <v>4386</v>
      </c>
      <c r="B10" s="304">
        <v>92.01</v>
      </c>
      <c r="C10" s="304">
        <f t="shared" si="0"/>
        <v>86.857440000000011</v>
      </c>
      <c r="D10" s="305">
        <f t="shared" si="1"/>
        <v>88.145579999999995</v>
      </c>
      <c r="E10" s="304">
        <f t="shared" si="2"/>
        <v>90.629850000000005</v>
      </c>
      <c r="F10" s="304">
        <f t="shared" si="3"/>
        <v>95.322360000000003</v>
      </c>
      <c r="G10" s="304">
        <f t="shared" si="4"/>
        <v>97.438590000000019</v>
      </c>
      <c r="H10" s="304">
        <f t="shared" si="5"/>
        <v>102.03909</v>
      </c>
      <c r="I10" s="306">
        <f t="shared" si="6"/>
        <v>96.334469999999996</v>
      </c>
    </row>
    <row r="11" spans="1:11" x14ac:dyDescent="0.25">
      <c r="A11" s="303" t="s">
        <v>4387</v>
      </c>
      <c r="B11" s="304">
        <v>84.25</v>
      </c>
      <c r="C11" s="304">
        <f t="shared" si="0"/>
        <v>79.532000000000011</v>
      </c>
      <c r="D11" s="305">
        <f t="shared" si="1"/>
        <v>80.711500000000001</v>
      </c>
      <c r="E11" s="304">
        <f t="shared" si="2"/>
        <v>82.986249999999998</v>
      </c>
      <c r="F11" s="304">
        <f t="shared" si="3"/>
        <v>87.283000000000001</v>
      </c>
      <c r="G11" s="304">
        <f t="shared" si="4"/>
        <v>89.22075000000001</v>
      </c>
      <c r="H11" s="304">
        <f t="shared" si="5"/>
        <v>93.433250000000001</v>
      </c>
      <c r="I11" s="306">
        <f t="shared" si="6"/>
        <v>88.20975</v>
      </c>
    </row>
    <row r="12" spans="1:11" x14ac:dyDescent="0.25">
      <c r="A12" s="303" t="s">
        <v>4388</v>
      </c>
      <c r="B12" s="304">
        <v>105.1</v>
      </c>
      <c r="C12" s="304">
        <f t="shared" si="0"/>
        <v>99.214399999999998</v>
      </c>
      <c r="D12" s="305">
        <f t="shared" si="1"/>
        <v>100.68579999999999</v>
      </c>
      <c r="E12" s="304">
        <f t="shared" si="2"/>
        <v>103.5235</v>
      </c>
      <c r="F12" s="304">
        <f t="shared" si="3"/>
        <v>108.8836</v>
      </c>
      <c r="G12" s="304">
        <f t="shared" si="4"/>
        <v>111.30090000000001</v>
      </c>
      <c r="H12" s="304">
        <f t="shared" si="5"/>
        <v>116.55589999999999</v>
      </c>
      <c r="I12" s="306">
        <f t="shared" si="6"/>
        <v>110.03969999999998</v>
      </c>
    </row>
    <row r="13" spans="1:11" x14ac:dyDescent="0.25">
      <c r="A13" s="303" t="s">
        <v>4389</v>
      </c>
      <c r="B13" s="304">
        <v>95.62</v>
      </c>
      <c r="C13" s="304">
        <f t="shared" si="0"/>
        <v>90.265280000000004</v>
      </c>
      <c r="D13" s="305">
        <f t="shared" si="1"/>
        <v>91.603960000000001</v>
      </c>
      <c r="E13" s="304">
        <f t="shared" si="2"/>
        <v>94.185699999999997</v>
      </c>
      <c r="F13" s="304">
        <f t="shared" si="3"/>
        <v>99.062320000000014</v>
      </c>
      <c r="G13" s="304">
        <f t="shared" si="4"/>
        <v>101.26158000000002</v>
      </c>
      <c r="H13" s="304">
        <f t="shared" si="5"/>
        <v>106.04258</v>
      </c>
      <c r="I13" s="306">
        <f t="shared" si="6"/>
        <v>100.11413999999999</v>
      </c>
    </row>
    <row r="14" spans="1:11" x14ac:dyDescent="0.25">
      <c r="A14" s="303" t="s">
        <v>4390</v>
      </c>
      <c r="B14" s="304">
        <v>73.040000000000006</v>
      </c>
      <c r="C14" s="304">
        <f t="shared" si="0"/>
        <v>68.949760000000012</v>
      </c>
      <c r="D14" s="305">
        <f t="shared" si="1"/>
        <v>69.972319999999996</v>
      </c>
      <c r="E14" s="304">
        <f t="shared" si="2"/>
        <v>71.944400000000002</v>
      </c>
      <c r="F14" s="304">
        <f t="shared" si="3"/>
        <v>75.669440000000009</v>
      </c>
      <c r="G14" s="304">
        <f t="shared" si="4"/>
        <v>77.349360000000019</v>
      </c>
      <c r="H14" s="304">
        <f t="shared" si="5"/>
        <v>81.001360000000005</v>
      </c>
      <c r="I14" s="306">
        <f t="shared" si="6"/>
        <v>76.472880000000004</v>
      </c>
    </row>
    <row r="15" spans="1:11" x14ac:dyDescent="0.25">
      <c r="A15" s="303" t="s">
        <v>4391</v>
      </c>
      <c r="B15" s="307">
        <v>71.53</v>
      </c>
      <c r="C15" s="304">
        <f t="shared" si="0"/>
        <v>67.524320000000003</v>
      </c>
      <c r="D15" s="305">
        <f t="shared" si="1"/>
        <v>68.525739999999999</v>
      </c>
      <c r="E15" s="304">
        <f t="shared" si="2"/>
        <v>70.457049999999995</v>
      </c>
      <c r="F15" s="304">
        <f t="shared" si="3"/>
        <v>74.105080000000001</v>
      </c>
      <c r="G15" s="304">
        <f t="shared" si="4"/>
        <v>75.750270000000015</v>
      </c>
      <c r="H15" s="304">
        <f t="shared" si="5"/>
        <v>79.326769999999996</v>
      </c>
      <c r="I15" s="306">
        <f t="shared" si="6"/>
        <v>74.891909999999996</v>
      </c>
    </row>
    <row r="16" spans="1:11" x14ac:dyDescent="0.25">
      <c r="A16" s="303" t="s">
        <v>4392</v>
      </c>
      <c r="B16" s="307">
        <v>63.81</v>
      </c>
      <c r="C16" s="304">
        <f t="shared" si="0"/>
        <v>60.236640000000008</v>
      </c>
      <c r="D16" s="305">
        <f t="shared" si="1"/>
        <v>61.129980000000003</v>
      </c>
      <c r="E16" s="304">
        <f t="shared" si="2"/>
        <v>62.852850000000004</v>
      </c>
      <c r="F16" s="304">
        <f t="shared" si="3"/>
        <v>66.107160000000007</v>
      </c>
      <c r="G16" s="304">
        <f t="shared" si="4"/>
        <v>67.574790000000007</v>
      </c>
      <c r="H16" s="304">
        <f t="shared" si="5"/>
        <v>70.765290000000007</v>
      </c>
      <c r="I16" s="306">
        <f t="shared" si="6"/>
        <v>66.809069999999991</v>
      </c>
    </row>
    <row r="17" spans="1:9" x14ac:dyDescent="0.25">
      <c r="A17" s="303" t="s">
        <v>4393</v>
      </c>
      <c r="B17" s="307">
        <v>74.430000000000007</v>
      </c>
      <c r="C17" s="304">
        <f t="shared" si="0"/>
        <v>70.261920000000018</v>
      </c>
      <c r="D17" s="305">
        <f t="shared" si="1"/>
        <v>71.303939999999997</v>
      </c>
      <c r="E17" s="304">
        <f t="shared" si="2"/>
        <v>73.313550000000006</v>
      </c>
      <c r="F17" s="304">
        <f t="shared" si="3"/>
        <v>77.109480000000005</v>
      </c>
      <c r="G17" s="304">
        <f t="shared" si="4"/>
        <v>78.821370000000016</v>
      </c>
      <c r="H17" s="304">
        <f t="shared" si="5"/>
        <v>82.542870000000008</v>
      </c>
      <c r="I17" s="306">
        <f t="shared" si="6"/>
        <v>77.928210000000007</v>
      </c>
    </row>
    <row r="18" spans="1:9" x14ac:dyDescent="0.25">
      <c r="A18" s="303" t="s">
        <v>4394</v>
      </c>
      <c r="B18" s="307">
        <v>108.15</v>
      </c>
      <c r="C18" s="304">
        <f t="shared" si="0"/>
        <v>102.09360000000001</v>
      </c>
      <c r="D18" s="305">
        <f t="shared" si="1"/>
        <v>103.60770000000001</v>
      </c>
      <c r="E18" s="304">
        <f t="shared" si="2"/>
        <v>106.52775</v>
      </c>
      <c r="F18" s="304">
        <f t="shared" si="3"/>
        <v>112.04340000000001</v>
      </c>
      <c r="G18" s="304">
        <f t="shared" si="4"/>
        <v>114.53085000000003</v>
      </c>
      <c r="H18" s="304">
        <f t="shared" si="5"/>
        <v>119.93835</v>
      </c>
      <c r="I18" s="306">
        <f t="shared" si="6"/>
        <v>113.23304999999999</v>
      </c>
    </row>
    <row r="19" spans="1:9" x14ac:dyDescent="0.25">
      <c r="A19" s="303" t="s">
        <v>4395</v>
      </c>
      <c r="B19" s="307">
        <v>145.30000000000001</v>
      </c>
      <c r="C19" s="304">
        <f t="shared" si="0"/>
        <v>137.16320000000002</v>
      </c>
      <c r="D19" s="305">
        <f t="shared" si="1"/>
        <v>139.19740000000002</v>
      </c>
      <c r="E19" s="304">
        <f t="shared" si="2"/>
        <v>143.12050000000002</v>
      </c>
      <c r="F19" s="304">
        <f t="shared" si="3"/>
        <v>150.53080000000003</v>
      </c>
      <c r="G19" s="304">
        <f t="shared" si="4"/>
        <v>153.87270000000004</v>
      </c>
      <c r="H19" s="304">
        <f t="shared" si="5"/>
        <v>161.13770000000002</v>
      </c>
      <c r="I19" s="306">
        <f t="shared" si="6"/>
        <v>152.12909999999999</v>
      </c>
    </row>
    <row r="20" spans="1:9" x14ac:dyDescent="0.25">
      <c r="A20" s="303" t="s">
        <v>4396</v>
      </c>
      <c r="B20" s="307">
        <v>104.24</v>
      </c>
      <c r="C20" s="304">
        <f t="shared" si="0"/>
        <v>98.402560000000008</v>
      </c>
      <c r="D20" s="305">
        <f t="shared" si="1"/>
        <v>99.861919999999998</v>
      </c>
      <c r="E20" s="304">
        <f t="shared" si="2"/>
        <v>102.67639999999999</v>
      </c>
      <c r="F20" s="304">
        <f t="shared" si="3"/>
        <v>107.99263999999999</v>
      </c>
      <c r="G20" s="304">
        <f t="shared" si="4"/>
        <v>110.39016000000001</v>
      </c>
      <c r="H20" s="304">
        <f t="shared" si="5"/>
        <v>115.60216</v>
      </c>
      <c r="I20" s="306">
        <f t="shared" si="6"/>
        <v>109.13927999999999</v>
      </c>
    </row>
    <row r="21" spans="1:9" x14ac:dyDescent="0.25">
      <c r="A21" s="303" t="s">
        <v>4397</v>
      </c>
      <c r="B21" s="307">
        <v>106.98</v>
      </c>
      <c r="C21" s="304">
        <f t="shared" si="0"/>
        <v>100.98912000000001</v>
      </c>
      <c r="D21" s="305">
        <f t="shared" si="1"/>
        <v>102.48684</v>
      </c>
      <c r="E21" s="304">
        <f t="shared" si="2"/>
        <v>105.3753</v>
      </c>
      <c r="F21" s="304">
        <f t="shared" si="3"/>
        <v>110.83128000000001</v>
      </c>
      <c r="G21" s="304">
        <f t="shared" si="4"/>
        <v>113.29182000000002</v>
      </c>
      <c r="H21" s="304">
        <f t="shared" si="5"/>
        <v>118.64082000000001</v>
      </c>
      <c r="I21" s="306">
        <f t="shared" si="6"/>
        <v>112.00806</v>
      </c>
    </row>
    <row r="22" spans="1:9" x14ac:dyDescent="0.25">
      <c r="A22" s="303" t="s">
        <v>4398</v>
      </c>
      <c r="B22" s="307">
        <v>80</v>
      </c>
      <c r="C22" s="304">
        <f t="shared" si="0"/>
        <v>75.52000000000001</v>
      </c>
      <c r="D22" s="305">
        <f t="shared" si="1"/>
        <v>76.64</v>
      </c>
      <c r="E22" s="304">
        <f t="shared" si="2"/>
        <v>78.8</v>
      </c>
      <c r="F22" s="304">
        <f t="shared" si="3"/>
        <v>82.88</v>
      </c>
      <c r="G22" s="304">
        <f t="shared" si="4"/>
        <v>84.720000000000013</v>
      </c>
      <c r="H22" s="304">
        <f t="shared" si="5"/>
        <v>88.72</v>
      </c>
      <c r="I22" s="306">
        <f t="shared" si="6"/>
        <v>83.759999999999991</v>
      </c>
    </row>
    <row r="23" spans="1:9" x14ac:dyDescent="0.25">
      <c r="A23" s="308" t="s">
        <v>4399</v>
      </c>
      <c r="B23" s="304">
        <v>74.5</v>
      </c>
      <c r="C23" s="304">
        <f t="shared" si="0"/>
        <v>70.328000000000003</v>
      </c>
      <c r="D23" s="305">
        <f t="shared" si="1"/>
        <v>71.370999999999995</v>
      </c>
      <c r="E23" s="304">
        <f t="shared" si="2"/>
        <v>73.382499999999993</v>
      </c>
      <c r="F23" s="304">
        <f t="shared" si="3"/>
        <v>77.182000000000002</v>
      </c>
      <c r="G23" s="304">
        <f t="shared" si="4"/>
        <v>78.895500000000013</v>
      </c>
      <c r="H23" s="304">
        <f t="shared" si="5"/>
        <v>82.620499999999993</v>
      </c>
      <c r="I23" s="306">
        <f t="shared" si="6"/>
        <v>78.001499999999993</v>
      </c>
    </row>
    <row r="24" spans="1:9" x14ac:dyDescent="0.25">
      <c r="A24" s="309"/>
    </row>
    <row r="25" spans="1:9" x14ac:dyDescent="0.25">
      <c r="A25" s="309"/>
      <c r="D25" s="291"/>
      <c r="E25" s="292"/>
    </row>
    <row r="26" spans="1:9" x14ac:dyDescent="0.25">
      <c r="A26" s="309"/>
      <c r="D26" s="291"/>
      <c r="E26" s="292"/>
    </row>
    <row r="27" spans="1:9" x14ac:dyDescent="0.25">
      <c r="A27" s="309"/>
      <c r="D27" s="291"/>
      <c r="E27" s="292"/>
    </row>
    <row r="28" spans="1:9" x14ac:dyDescent="0.25">
      <c r="A28" s="309"/>
      <c r="D28" s="291"/>
      <c r="E28" s="292"/>
    </row>
    <row r="29" spans="1:9" x14ac:dyDescent="0.25">
      <c r="A29" s="309"/>
      <c r="D29" s="291"/>
      <c r="E29" s="292"/>
    </row>
    <row r="30" spans="1:9" x14ac:dyDescent="0.25">
      <c r="A30" s="309"/>
      <c r="D30" s="291"/>
      <c r="E30" s="292"/>
    </row>
    <row r="31" spans="1:9" x14ac:dyDescent="0.25">
      <c r="A31" s="309"/>
      <c r="D31" s="291"/>
      <c r="E31" s="292"/>
    </row>
    <row r="32" spans="1:9" x14ac:dyDescent="0.25">
      <c r="A32" s="309"/>
      <c r="D32" s="291"/>
      <c r="E32" s="292"/>
    </row>
    <row r="33" spans="1:5" x14ac:dyDescent="0.25">
      <c r="A33" s="309"/>
      <c r="D33" s="291"/>
      <c r="E33" s="292"/>
    </row>
    <row r="34" spans="1:5" x14ac:dyDescent="0.25">
      <c r="A34" s="309"/>
      <c r="D34" s="291"/>
      <c r="E34" s="292"/>
    </row>
    <row r="35" spans="1:5" x14ac:dyDescent="0.25">
      <c r="A35" s="309"/>
      <c r="D35" s="291"/>
      <c r="E35" s="292"/>
    </row>
    <row r="36" spans="1:5" x14ac:dyDescent="0.25">
      <c r="A36" s="310"/>
      <c r="D36" s="291"/>
      <c r="E36" s="292"/>
    </row>
    <row r="37" spans="1:5" x14ac:dyDescent="0.25">
      <c r="A37" s="311"/>
      <c r="D37" s="291"/>
      <c r="E37" s="292"/>
    </row>
    <row r="38" spans="1:5" x14ac:dyDescent="0.25">
      <c r="A38" s="311"/>
      <c r="D38" s="291"/>
      <c r="E38" s="292"/>
    </row>
    <row r="39" spans="1:5" x14ac:dyDescent="0.25">
      <c r="D39" s="291"/>
      <c r="E39" s="292"/>
    </row>
    <row r="40" spans="1:5" x14ac:dyDescent="0.25">
      <c r="D40" s="291"/>
      <c r="E40" s="29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57"/>
  <sheetViews>
    <sheetView zoomScaleNormal="100" workbookViewId="0">
      <selection activeCell="B2" sqref="B2"/>
    </sheetView>
  </sheetViews>
  <sheetFormatPr defaultRowHeight="13.2" x14ac:dyDescent="0.25"/>
  <cols>
    <col min="1" max="1" width="12.88671875" style="47" customWidth="1"/>
    <col min="2" max="2" width="57.33203125" style="159" customWidth="1"/>
    <col min="3" max="3" width="13.33203125" style="153" customWidth="1"/>
    <col min="4" max="4" width="11" style="248" customWidth="1"/>
    <col min="5" max="5" width="11.33203125" style="188" customWidth="1"/>
    <col min="6" max="6" width="11.109375" style="267" customWidth="1"/>
  </cols>
  <sheetData>
    <row r="1" spans="1:6" ht="39.6" x14ac:dyDescent="0.25">
      <c r="A1" s="47" t="s">
        <v>212</v>
      </c>
      <c r="B1" s="139" t="s">
        <v>563</v>
      </c>
      <c r="C1" s="140" t="s">
        <v>2372</v>
      </c>
      <c r="D1" s="247" t="s">
        <v>2856</v>
      </c>
      <c r="E1" s="141" t="s">
        <v>2857</v>
      </c>
      <c r="F1" s="247" t="s">
        <v>1048</v>
      </c>
    </row>
    <row r="2" spans="1:6" x14ac:dyDescent="0.25">
      <c r="B2" s="106" t="s">
        <v>3350</v>
      </c>
      <c r="C2" s="257" t="s">
        <v>1037</v>
      </c>
      <c r="D2" s="248">
        <v>0.9</v>
      </c>
      <c r="F2" s="266">
        <f t="shared" ref="F2:F66" si="0">IF(E2&gt;0,E2,D2)</f>
        <v>0.9</v>
      </c>
    </row>
    <row r="3" spans="1:6" x14ac:dyDescent="0.25">
      <c r="B3" s="106" t="s">
        <v>3352</v>
      </c>
      <c r="C3" s="257" t="s">
        <v>1037</v>
      </c>
      <c r="D3" s="248">
        <v>0.4</v>
      </c>
      <c r="F3" s="266">
        <f t="shared" si="0"/>
        <v>0.4</v>
      </c>
    </row>
    <row r="4" spans="1:6" x14ac:dyDescent="0.25">
      <c r="B4" s="106" t="s">
        <v>3351</v>
      </c>
      <c r="C4" s="257" t="s">
        <v>1037</v>
      </c>
      <c r="D4" s="248">
        <v>0.25</v>
      </c>
      <c r="F4" s="266">
        <f t="shared" si="0"/>
        <v>0.25</v>
      </c>
    </row>
    <row r="5" spans="1:6" x14ac:dyDescent="0.25">
      <c r="B5" s="125" t="s">
        <v>3349</v>
      </c>
      <c r="C5" s="257" t="s">
        <v>1037</v>
      </c>
      <c r="D5" s="248">
        <v>3.5</v>
      </c>
      <c r="F5" s="266">
        <f t="shared" si="0"/>
        <v>3.5</v>
      </c>
    </row>
    <row r="6" spans="1:6" x14ac:dyDescent="0.25">
      <c r="B6" s="106" t="s">
        <v>3354</v>
      </c>
      <c r="C6" s="257" t="s">
        <v>2577</v>
      </c>
      <c r="D6" s="248">
        <v>7</v>
      </c>
      <c r="E6" s="188">
        <v>7.25</v>
      </c>
      <c r="F6" s="266">
        <f>IF(E6&gt;0,E6,D6)</f>
        <v>7.25</v>
      </c>
    </row>
    <row r="7" spans="1:6" x14ac:dyDescent="0.25">
      <c r="B7" s="106" t="s">
        <v>3353</v>
      </c>
      <c r="C7" s="257" t="s">
        <v>2577</v>
      </c>
      <c r="D7" s="248">
        <v>7</v>
      </c>
      <c r="F7" s="266">
        <f t="shared" si="0"/>
        <v>7</v>
      </c>
    </row>
    <row r="8" spans="1:6" x14ac:dyDescent="0.25">
      <c r="B8" s="113" t="s">
        <v>2660</v>
      </c>
      <c r="C8" s="120"/>
      <c r="D8" s="248">
        <v>0</v>
      </c>
      <c r="E8" s="47"/>
      <c r="F8" s="266">
        <f t="shared" si="0"/>
        <v>0</v>
      </c>
    </row>
    <row r="9" spans="1:6" x14ac:dyDescent="0.25">
      <c r="B9" s="113" t="s">
        <v>3085</v>
      </c>
      <c r="C9" s="123" t="s">
        <v>195</v>
      </c>
      <c r="D9" s="248">
        <v>0.02</v>
      </c>
      <c r="E9" s="47"/>
      <c r="F9" s="266">
        <f t="shared" si="0"/>
        <v>0.02</v>
      </c>
    </row>
    <row r="10" spans="1:6" x14ac:dyDescent="0.25">
      <c r="B10" s="106" t="s">
        <v>978</v>
      </c>
      <c r="C10" s="120"/>
      <c r="E10" s="47"/>
      <c r="F10" s="266">
        <f t="shared" si="0"/>
        <v>0</v>
      </c>
    </row>
    <row r="11" spans="1:6" x14ac:dyDescent="0.25">
      <c r="B11" s="159" t="s">
        <v>1357</v>
      </c>
      <c r="C11" s="153" t="s">
        <v>2834</v>
      </c>
      <c r="D11" s="248">
        <v>7.78</v>
      </c>
      <c r="F11" s="266">
        <f t="shared" si="0"/>
        <v>7.78</v>
      </c>
    </row>
    <row r="12" spans="1:6" x14ac:dyDescent="0.25">
      <c r="B12" s="159" t="s">
        <v>2327</v>
      </c>
      <c r="C12" s="153" t="s">
        <v>2834</v>
      </c>
      <c r="D12" s="248">
        <v>7.78</v>
      </c>
      <c r="F12" s="266">
        <f t="shared" si="0"/>
        <v>7.78</v>
      </c>
    </row>
    <row r="13" spans="1:6" ht="21" x14ac:dyDescent="0.25">
      <c r="A13" s="184" t="s">
        <v>1796</v>
      </c>
      <c r="B13" s="184" t="s">
        <v>1750</v>
      </c>
      <c r="C13" s="191" t="s">
        <v>2840</v>
      </c>
      <c r="D13" s="248">
        <v>33.163089455999994</v>
      </c>
      <c r="E13" s="188">
        <v>35</v>
      </c>
      <c r="F13" s="266">
        <f t="shared" si="0"/>
        <v>35</v>
      </c>
    </row>
    <row r="14" spans="1:6" ht="21" x14ac:dyDescent="0.25">
      <c r="A14" s="184" t="s">
        <v>1805</v>
      </c>
      <c r="B14" s="184" t="s">
        <v>1749</v>
      </c>
      <c r="C14" s="191" t="s">
        <v>2840</v>
      </c>
      <c r="D14" s="248">
        <v>43.757092120000003</v>
      </c>
      <c r="F14" s="266">
        <f t="shared" si="0"/>
        <v>43.757092120000003</v>
      </c>
    </row>
    <row r="15" spans="1:6" ht="22.8" x14ac:dyDescent="0.25">
      <c r="B15" s="113" t="s">
        <v>979</v>
      </c>
      <c r="C15" s="120"/>
      <c r="E15" s="47"/>
      <c r="F15" s="266">
        <f t="shared" si="0"/>
        <v>0</v>
      </c>
    </row>
    <row r="16" spans="1:6" x14ac:dyDescent="0.25">
      <c r="B16" s="147" t="s">
        <v>2703</v>
      </c>
      <c r="C16" s="148" t="s">
        <v>2377</v>
      </c>
      <c r="D16" s="248">
        <v>12.75</v>
      </c>
      <c r="E16" s="146"/>
      <c r="F16" s="266">
        <f t="shared" si="0"/>
        <v>12.75</v>
      </c>
    </row>
    <row r="17" spans="1:6" x14ac:dyDescent="0.25">
      <c r="A17" s="184" t="s">
        <v>1806</v>
      </c>
      <c r="B17" s="184" t="s">
        <v>1743</v>
      </c>
      <c r="C17" s="191" t="s">
        <v>2265</v>
      </c>
      <c r="D17" s="248">
        <v>4.5961431599999996</v>
      </c>
      <c r="F17" s="266">
        <f t="shared" si="0"/>
        <v>4.5961431599999996</v>
      </c>
    </row>
    <row r="18" spans="1:6" x14ac:dyDescent="0.25">
      <c r="B18" s="106" t="s">
        <v>897</v>
      </c>
      <c r="C18" s="111"/>
      <c r="E18" s="47"/>
      <c r="F18" s="266">
        <f t="shared" si="0"/>
        <v>0</v>
      </c>
    </row>
    <row r="19" spans="1:6" x14ac:dyDescent="0.25">
      <c r="B19" s="106" t="s">
        <v>896</v>
      </c>
      <c r="C19" s="111"/>
      <c r="E19" s="47"/>
      <c r="F19" s="266">
        <f t="shared" si="0"/>
        <v>0</v>
      </c>
    </row>
    <row r="20" spans="1:6" x14ac:dyDescent="0.25">
      <c r="B20" s="106" t="s">
        <v>895</v>
      </c>
      <c r="C20" s="111"/>
      <c r="E20" s="47"/>
      <c r="F20" s="266">
        <f t="shared" si="0"/>
        <v>0</v>
      </c>
    </row>
    <row r="21" spans="1:6" x14ac:dyDescent="0.25">
      <c r="B21" s="106" t="s">
        <v>279</v>
      </c>
      <c r="C21" s="120"/>
      <c r="E21" s="47"/>
      <c r="F21" s="266">
        <f t="shared" si="0"/>
        <v>0</v>
      </c>
    </row>
    <row r="22" spans="1:6" x14ac:dyDescent="0.25">
      <c r="A22" s="184" t="s">
        <v>1808</v>
      </c>
      <c r="B22" s="184" t="s">
        <v>1052</v>
      </c>
      <c r="C22" s="191" t="s">
        <v>1053</v>
      </c>
      <c r="D22" s="248">
        <v>115.1435516</v>
      </c>
      <c r="F22" s="266">
        <f t="shared" si="0"/>
        <v>115.1435516</v>
      </c>
    </row>
    <row r="23" spans="1:6" x14ac:dyDescent="0.25">
      <c r="A23" s="184" t="s">
        <v>1810</v>
      </c>
      <c r="B23" s="184" t="s">
        <v>1054</v>
      </c>
      <c r="C23" s="191" t="s">
        <v>399</v>
      </c>
      <c r="D23" s="248">
        <v>0.85671599999999981</v>
      </c>
      <c r="F23" s="266">
        <f t="shared" si="0"/>
        <v>0.85671599999999981</v>
      </c>
    </row>
    <row r="24" spans="1:6" x14ac:dyDescent="0.25">
      <c r="B24" s="159" t="s">
        <v>3229</v>
      </c>
      <c r="C24" s="277" t="s">
        <v>516</v>
      </c>
      <c r="D24">
        <v>20</v>
      </c>
      <c r="E24"/>
      <c r="F24" s="266">
        <f t="shared" si="0"/>
        <v>20</v>
      </c>
    </row>
    <row r="25" spans="1:6" ht="22.8" x14ac:dyDescent="0.25">
      <c r="B25" s="114" t="s">
        <v>1716</v>
      </c>
      <c r="C25" s="120"/>
      <c r="E25" s="47"/>
      <c r="F25" s="266">
        <f t="shared" si="0"/>
        <v>0</v>
      </c>
    </row>
    <row r="26" spans="1:6" x14ac:dyDescent="0.25">
      <c r="B26" s="115" t="s">
        <v>1717</v>
      </c>
      <c r="C26" s="120"/>
      <c r="E26" s="47"/>
      <c r="F26" s="266">
        <f t="shared" si="0"/>
        <v>0</v>
      </c>
    </row>
    <row r="27" spans="1:6" x14ac:dyDescent="0.25">
      <c r="B27" s="115" t="s">
        <v>2204</v>
      </c>
      <c r="C27" s="120"/>
      <c r="E27" s="47"/>
      <c r="F27" s="266">
        <f t="shared" si="0"/>
        <v>0</v>
      </c>
    </row>
    <row r="28" spans="1:6" x14ac:dyDescent="0.25">
      <c r="B28" s="115" t="s">
        <v>2205</v>
      </c>
      <c r="C28" s="120"/>
      <c r="E28" s="47"/>
      <c r="F28" s="266">
        <f t="shared" si="0"/>
        <v>0</v>
      </c>
    </row>
    <row r="29" spans="1:6" x14ac:dyDescent="0.25">
      <c r="A29" s="184" t="s">
        <v>1818</v>
      </c>
      <c r="B29" s="184" t="s">
        <v>1759</v>
      </c>
      <c r="C29" s="191" t="s">
        <v>1365</v>
      </c>
      <c r="D29" s="248">
        <v>3.0030567280000002</v>
      </c>
      <c r="F29" s="266">
        <f t="shared" si="0"/>
        <v>3.0030567280000002</v>
      </c>
    </row>
    <row r="30" spans="1:6" x14ac:dyDescent="0.25">
      <c r="B30" s="157" t="s">
        <v>1364</v>
      </c>
      <c r="C30" s="144" t="s">
        <v>1365</v>
      </c>
      <c r="D30" s="248">
        <v>3</v>
      </c>
      <c r="E30" s="146"/>
      <c r="F30" s="266">
        <f t="shared" si="0"/>
        <v>3</v>
      </c>
    </row>
    <row r="31" spans="1:6" x14ac:dyDescent="0.25">
      <c r="B31" s="106" t="s">
        <v>3147</v>
      </c>
      <c r="C31" s="120" t="s">
        <v>516</v>
      </c>
      <c r="D31" s="248">
        <v>100</v>
      </c>
      <c r="F31" s="266">
        <f t="shared" si="0"/>
        <v>100</v>
      </c>
    </row>
    <row r="32" spans="1:6" x14ac:dyDescent="0.25">
      <c r="B32" s="106" t="s">
        <v>3146</v>
      </c>
      <c r="C32" s="120" t="s">
        <v>2921</v>
      </c>
      <c r="D32" s="248">
        <v>3.5</v>
      </c>
      <c r="F32" s="266">
        <f t="shared" si="0"/>
        <v>3.5</v>
      </c>
    </row>
    <row r="33" spans="2:6" x14ac:dyDescent="0.25">
      <c r="B33" s="106" t="s">
        <v>3146</v>
      </c>
      <c r="C33" s="120" t="s">
        <v>2921</v>
      </c>
      <c r="D33" s="120">
        <v>3.5</v>
      </c>
      <c r="F33" s="266">
        <f t="shared" si="0"/>
        <v>3.5</v>
      </c>
    </row>
    <row r="34" spans="2:6" x14ac:dyDescent="0.25">
      <c r="B34" s="17" t="s">
        <v>1062</v>
      </c>
      <c r="C34" s="101" t="s">
        <v>2016</v>
      </c>
      <c r="D34" s="101">
        <v>0.05</v>
      </c>
      <c r="F34" s="266">
        <f t="shared" si="0"/>
        <v>0.05</v>
      </c>
    </row>
    <row r="35" spans="2:6" x14ac:dyDescent="0.25">
      <c r="B35" s="106" t="s">
        <v>437</v>
      </c>
      <c r="C35" s="241"/>
      <c r="E35" s="241"/>
      <c r="F35" s="266">
        <f t="shared" si="0"/>
        <v>0</v>
      </c>
    </row>
    <row r="36" spans="2:6" x14ac:dyDescent="0.25">
      <c r="B36" s="106" t="s">
        <v>3423</v>
      </c>
      <c r="C36" s="241" t="s">
        <v>3424</v>
      </c>
      <c r="D36" s="248">
        <v>75</v>
      </c>
      <c r="E36" s="241"/>
      <c r="F36" s="266"/>
    </row>
    <row r="37" spans="2:6" x14ac:dyDescent="0.25">
      <c r="B37" s="96" t="s">
        <v>2773</v>
      </c>
      <c r="C37" s="120"/>
      <c r="E37" s="47"/>
      <c r="F37" s="266">
        <f t="shared" si="0"/>
        <v>0</v>
      </c>
    </row>
    <row r="38" spans="2:6" x14ac:dyDescent="0.25">
      <c r="B38" s="125" t="s">
        <v>2774</v>
      </c>
      <c r="C38" s="120" t="s">
        <v>195</v>
      </c>
      <c r="E38" s="47"/>
      <c r="F38" s="266">
        <f t="shared" si="0"/>
        <v>0</v>
      </c>
    </row>
    <row r="39" spans="2:6" x14ac:dyDescent="0.25">
      <c r="B39" s="125" t="s">
        <v>654</v>
      </c>
      <c r="C39" s="120"/>
      <c r="E39" s="47"/>
      <c r="F39" s="266">
        <f t="shared" si="0"/>
        <v>0</v>
      </c>
    </row>
    <row r="40" spans="2:6" x14ac:dyDescent="0.25">
      <c r="B40" s="96" t="s">
        <v>655</v>
      </c>
      <c r="C40" s="120"/>
      <c r="E40" s="47"/>
      <c r="F40" s="266">
        <f t="shared" si="0"/>
        <v>0</v>
      </c>
    </row>
    <row r="41" spans="2:6" x14ac:dyDescent="0.25">
      <c r="B41" s="125" t="s">
        <v>656</v>
      </c>
      <c r="C41" s="120"/>
      <c r="E41" s="47"/>
      <c r="F41" s="266">
        <f t="shared" si="0"/>
        <v>0</v>
      </c>
    </row>
    <row r="42" spans="2:6" x14ac:dyDescent="0.25">
      <c r="B42" s="125" t="s">
        <v>657</v>
      </c>
      <c r="C42" s="120" t="s">
        <v>2734</v>
      </c>
      <c r="E42" s="47"/>
      <c r="F42" s="266">
        <f t="shared" si="0"/>
        <v>0</v>
      </c>
    </row>
    <row r="43" spans="2:6" x14ac:dyDescent="0.25">
      <c r="B43" s="125" t="s">
        <v>2787</v>
      </c>
      <c r="C43" s="120" t="s">
        <v>2734</v>
      </c>
      <c r="E43" s="47"/>
      <c r="F43" s="266">
        <f t="shared" si="0"/>
        <v>0</v>
      </c>
    </row>
    <row r="44" spans="2:6" x14ac:dyDescent="0.25">
      <c r="B44" s="125" t="s">
        <v>1723</v>
      </c>
      <c r="C44" s="120" t="s">
        <v>2734</v>
      </c>
      <c r="E44" s="47"/>
      <c r="F44" s="266">
        <f t="shared" si="0"/>
        <v>0</v>
      </c>
    </row>
    <row r="45" spans="2:6" x14ac:dyDescent="0.25">
      <c r="B45" s="125" t="s">
        <v>2832</v>
      </c>
      <c r="C45" s="120"/>
      <c r="E45" s="47"/>
      <c r="F45" s="266">
        <f t="shared" si="0"/>
        <v>0</v>
      </c>
    </row>
    <row r="46" spans="2:6" x14ac:dyDescent="0.25">
      <c r="B46" s="106" t="s">
        <v>280</v>
      </c>
      <c r="C46" s="120"/>
      <c r="E46" s="47"/>
      <c r="F46" s="266">
        <f t="shared" si="0"/>
        <v>0</v>
      </c>
    </row>
    <row r="47" spans="2:6" x14ac:dyDescent="0.25">
      <c r="B47" s="159" t="s">
        <v>2924</v>
      </c>
      <c r="C47" s="277" t="s">
        <v>2734</v>
      </c>
      <c r="D47">
        <v>30</v>
      </c>
      <c r="E47"/>
      <c r="F47" s="266">
        <f t="shared" si="0"/>
        <v>30</v>
      </c>
    </row>
    <row r="48" spans="2:6" x14ac:dyDescent="0.25">
      <c r="B48" s="106" t="s">
        <v>1824</v>
      </c>
      <c r="C48" s="241" t="s">
        <v>2734</v>
      </c>
      <c r="D48" s="248">
        <v>60</v>
      </c>
      <c r="E48" s="241"/>
      <c r="F48" s="266">
        <f t="shared" si="0"/>
        <v>60</v>
      </c>
    </row>
    <row r="49" spans="1:6" x14ac:dyDescent="0.25">
      <c r="B49" s="17" t="s">
        <v>1071</v>
      </c>
      <c r="C49" s="101" t="s">
        <v>2265</v>
      </c>
      <c r="D49" s="101">
        <v>0.8</v>
      </c>
      <c r="F49" s="266">
        <f t="shared" si="0"/>
        <v>0.8</v>
      </c>
    </row>
    <row r="50" spans="1:6" x14ac:dyDescent="0.25">
      <c r="B50" s="17" t="s">
        <v>1072</v>
      </c>
      <c r="C50" s="101" t="s">
        <v>2265</v>
      </c>
      <c r="D50" s="101">
        <v>0.6</v>
      </c>
      <c r="F50" s="266">
        <f t="shared" si="0"/>
        <v>0.6</v>
      </c>
    </row>
    <row r="51" spans="1:6" x14ac:dyDescent="0.25">
      <c r="B51" s="17" t="s">
        <v>1073</v>
      </c>
      <c r="C51" s="101" t="s">
        <v>2016</v>
      </c>
      <c r="D51" s="101">
        <v>0.02</v>
      </c>
      <c r="F51" s="266">
        <f t="shared" si="0"/>
        <v>0.02</v>
      </c>
    </row>
    <row r="52" spans="1:6" ht="22.8" x14ac:dyDescent="0.25">
      <c r="B52" s="106" t="s">
        <v>3062</v>
      </c>
      <c r="C52" s="120" t="s">
        <v>552</v>
      </c>
      <c r="D52" s="248">
        <v>14</v>
      </c>
      <c r="E52"/>
      <c r="F52" s="266">
        <f t="shared" si="0"/>
        <v>14</v>
      </c>
    </row>
    <row r="53" spans="1:6" ht="22.8" x14ac:dyDescent="0.25">
      <c r="B53" s="106" t="s">
        <v>3062</v>
      </c>
      <c r="C53" s="120" t="s">
        <v>552</v>
      </c>
      <c r="D53" s="120">
        <v>14</v>
      </c>
      <c r="F53" s="266">
        <f t="shared" si="0"/>
        <v>14</v>
      </c>
    </row>
    <row r="54" spans="1:6" x14ac:dyDescent="0.25">
      <c r="B54" s="106" t="s">
        <v>3159</v>
      </c>
      <c r="C54" s="120" t="s">
        <v>552</v>
      </c>
      <c r="D54" s="248">
        <v>14</v>
      </c>
      <c r="F54" s="266">
        <f t="shared" si="0"/>
        <v>14</v>
      </c>
    </row>
    <row r="55" spans="1:6" x14ac:dyDescent="0.25">
      <c r="B55" s="106" t="s">
        <v>3159</v>
      </c>
      <c r="C55" s="120" t="s">
        <v>552</v>
      </c>
      <c r="D55" s="120">
        <v>14</v>
      </c>
      <c r="F55" s="266">
        <f t="shared" si="0"/>
        <v>14</v>
      </c>
    </row>
    <row r="56" spans="1:6" x14ac:dyDescent="0.25">
      <c r="B56" s="106" t="s">
        <v>232</v>
      </c>
      <c r="C56" s="241" t="s">
        <v>516</v>
      </c>
      <c r="D56" s="248">
        <v>191</v>
      </c>
      <c r="F56" s="266">
        <f t="shared" si="0"/>
        <v>191</v>
      </c>
    </row>
    <row r="57" spans="1:6" x14ac:dyDescent="0.25">
      <c r="B57" s="125" t="s">
        <v>3341</v>
      </c>
      <c r="C57" s="257" t="s">
        <v>1182</v>
      </c>
      <c r="D57" s="248">
        <v>30</v>
      </c>
      <c r="F57" s="266">
        <f t="shared" si="0"/>
        <v>30</v>
      </c>
    </row>
    <row r="58" spans="1:6" x14ac:dyDescent="0.25">
      <c r="A58" s="184" t="s">
        <v>1847</v>
      </c>
      <c r="B58" s="184" t="s">
        <v>1074</v>
      </c>
      <c r="C58" s="191" t="s">
        <v>2202</v>
      </c>
      <c r="D58" s="248">
        <v>9.350456359999999</v>
      </c>
      <c r="F58" s="266">
        <f t="shared" si="0"/>
        <v>9.350456359999999</v>
      </c>
    </row>
    <row r="59" spans="1:6" x14ac:dyDescent="0.25">
      <c r="B59" s="106" t="s">
        <v>3213</v>
      </c>
      <c r="C59" s="120" t="s">
        <v>2734</v>
      </c>
      <c r="D59" s="248">
        <v>300</v>
      </c>
      <c r="F59" s="266">
        <f t="shared" si="0"/>
        <v>300</v>
      </c>
    </row>
    <row r="60" spans="1:6" x14ac:dyDescent="0.25">
      <c r="B60" s="106" t="s">
        <v>3213</v>
      </c>
      <c r="C60" s="120" t="s">
        <v>2734</v>
      </c>
      <c r="D60" s="120">
        <v>300</v>
      </c>
      <c r="F60" s="266">
        <f t="shared" si="0"/>
        <v>300</v>
      </c>
    </row>
    <row r="61" spans="1:6" x14ac:dyDescent="0.25">
      <c r="A61" s="184" t="s">
        <v>1855</v>
      </c>
      <c r="B61" s="184" t="s">
        <v>1079</v>
      </c>
      <c r="C61" s="191" t="s">
        <v>1589</v>
      </c>
      <c r="D61" s="248">
        <v>10.791858</v>
      </c>
      <c r="F61" s="266">
        <f t="shared" si="0"/>
        <v>10.791858</v>
      </c>
    </row>
    <row r="62" spans="1:6" x14ac:dyDescent="0.25">
      <c r="A62" s="184"/>
      <c r="B62" s="258" t="s">
        <v>3320</v>
      </c>
      <c r="C62" s="274" t="s">
        <v>516</v>
      </c>
      <c r="D62" s="248">
        <v>66.400000000000006</v>
      </c>
      <c r="F62" s="266">
        <f t="shared" si="0"/>
        <v>66.400000000000006</v>
      </c>
    </row>
    <row r="63" spans="1:6" x14ac:dyDescent="0.25">
      <c r="B63" s="96" t="s">
        <v>3106</v>
      </c>
      <c r="C63" s="120" t="s">
        <v>552</v>
      </c>
      <c r="D63" s="248">
        <v>14.23</v>
      </c>
      <c r="F63" s="266">
        <f t="shared" si="0"/>
        <v>14.23</v>
      </c>
    </row>
    <row r="64" spans="1:6" ht="21" x14ac:dyDescent="0.25">
      <c r="A64" s="184"/>
      <c r="B64" s="184" t="s">
        <v>2854</v>
      </c>
      <c r="C64" s="191" t="s">
        <v>516</v>
      </c>
      <c r="D64" s="248">
        <v>191</v>
      </c>
      <c r="F64" s="266">
        <f t="shared" si="0"/>
        <v>191</v>
      </c>
    </row>
    <row r="65" spans="1:6" x14ac:dyDescent="0.25">
      <c r="A65" s="184" t="s">
        <v>1856</v>
      </c>
      <c r="B65" s="184" t="s">
        <v>1080</v>
      </c>
      <c r="C65" s="191" t="s">
        <v>2265</v>
      </c>
      <c r="D65" s="248">
        <v>5.9881684799999997</v>
      </c>
      <c r="F65" s="266">
        <f t="shared" si="0"/>
        <v>5.9881684799999997</v>
      </c>
    </row>
    <row r="66" spans="1:6" x14ac:dyDescent="0.25">
      <c r="A66" s="184" t="s">
        <v>1858</v>
      </c>
      <c r="B66" s="184" t="s">
        <v>1081</v>
      </c>
      <c r="C66" s="191" t="s">
        <v>2265</v>
      </c>
      <c r="D66" s="248">
        <v>3.9706299359999999</v>
      </c>
      <c r="F66" s="266">
        <f t="shared" si="0"/>
        <v>3.9706299359999999</v>
      </c>
    </row>
    <row r="67" spans="1:6" x14ac:dyDescent="0.25">
      <c r="A67" s="184" t="s">
        <v>1859</v>
      </c>
      <c r="B67" s="184" t="s">
        <v>1082</v>
      </c>
      <c r="C67" s="191" t="s">
        <v>2734</v>
      </c>
      <c r="D67" s="248">
        <v>2.63</v>
      </c>
      <c r="F67" s="266">
        <f t="shared" ref="F67:F130" si="1">IF(E67&gt;0,E67,D67)</f>
        <v>2.63</v>
      </c>
    </row>
    <row r="68" spans="1:6" x14ac:dyDescent="0.25">
      <c r="A68" s="184" t="s">
        <v>1861</v>
      </c>
      <c r="B68" s="184" t="s">
        <v>1083</v>
      </c>
      <c r="C68" s="191" t="s">
        <v>2734</v>
      </c>
      <c r="D68" s="248">
        <v>7.64</v>
      </c>
      <c r="F68" s="266">
        <f t="shared" si="1"/>
        <v>7.64</v>
      </c>
    </row>
    <row r="69" spans="1:6" x14ac:dyDescent="0.25">
      <c r="A69" s="184" t="s">
        <v>1863</v>
      </c>
      <c r="B69" s="184" t="s">
        <v>1084</v>
      </c>
      <c r="C69" s="191" t="s">
        <v>2265</v>
      </c>
      <c r="D69" s="248">
        <v>7.9686010879999998</v>
      </c>
      <c r="F69" s="266">
        <f t="shared" si="1"/>
        <v>7.9686010879999998</v>
      </c>
    </row>
    <row r="70" spans="1:6" x14ac:dyDescent="0.25">
      <c r="A70" s="184" t="s">
        <v>1864</v>
      </c>
      <c r="B70" s="184" t="s">
        <v>1085</v>
      </c>
      <c r="C70" s="191" t="s">
        <v>2265</v>
      </c>
      <c r="D70" s="248">
        <v>5.2963841279999988</v>
      </c>
      <c r="F70" s="266">
        <f t="shared" si="1"/>
        <v>5.2963841279999988</v>
      </c>
    </row>
    <row r="71" spans="1:6" x14ac:dyDescent="0.25">
      <c r="A71" s="184" t="s">
        <v>1865</v>
      </c>
      <c r="B71" s="184" t="s">
        <v>1086</v>
      </c>
      <c r="C71" s="191" t="s">
        <v>2265</v>
      </c>
      <c r="D71" s="248">
        <v>3.9706299359999999</v>
      </c>
      <c r="F71" s="266">
        <f t="shared" si="1"/>
        <v>3.9706299359999999</v>
      </c>
    </row>
    <row r="72" spans="1:6" ht="26.4" x14ac:dyDescent="0.25">
      <c r="B72" s="143" t="s">
        <v>590</v>
      </c>
      <c r="C72" s="97" t="s">
        <v>1711</v>
      </c>
      <c r="D72" s="248">
        <v>4.6500000000000004</v>
      </c>
      <c r="E72" s="152"/>
      <c r="F72" s="266">
        <f t="shared" si="1"/>
        <v>4.6500000000000004</v>
      </c>
    </row>
    <row r="73" spans="1:6" x14ac:dyDescent="0.25">
      <c r="B73" s="100" t="s">
        <v>2668</v>
      </c>
      <c r="F73" s="266">
        <f t="shared" si="1"/>
        <v>0</v>
      </c>
    </row>
    <row r="74" spans="1:6" x14ac:dyDescent="0.25">
      <c r="A74" s="184"/>
      <c r="B74" s="184" t="s">
        <v>1366</v>
      </c>
      <c r="C74" s="191" t="s">
        <v>1365</v>
      </c>
      <c r="D74" s="248">
        <v>1.2</v>
      </c>
      <c r="F74" s="266">
        <f t="shared" si="1"/>
        <v>1.2</v>
      </c>
    </row>
    <row r="75" spans="1:6" x14ac:dyDescent="0.25">
      <c r="B75" s="17" t="s">
        <v>727</v>
      </c>
      <c r="C75" s="149" t="s">
        <v>478</v>
      </c>
      <c r="E75" s="146"/>
      <c r="F75" s="266">
        <f t="shared" si="1"/>
        <v>0</v>
      </c>
    </row>
    <row r="76" spans="1:6" x14ac:dyDescent="0.25">
      <c r="B76" s="93" t="s">
        <v>3270</v>
      </c>
      <c r="C76" s="120" t="s">
        <v>2734</v>
      </c>
      <c r="D76" s="248">
        <v>25</v>
      </c>
      <c r="E76"/>
      <c r="F76" s="266">
        <f t="shared" si="1"/>
        <v>25</v>
      </c>
    </row>
    <row r="77" spans="1:6" x14ac:dyDescent="0.25">
      <c r="B77" s="47" t="s">
        <v>146</v>
      </c>
      <c r="C77" s="101"/>
      <c r="D77" s="248">
        <v>0</v>
      </c>
      <c r="E77" s="47"/>
      <c r="F77" s="266">
        <f t="shared" si="1"/>
        <v>0</v>
      </c>
    </row>
    <row r="78" spans="1:6" x14ac:dyDescent="0.25">
      <c r="B78" s="200" t="s">
        <v>3363</v>
      </c>
      <c r="C78" s="47" t="s">
        <v>735</v>
      </c>
      <c r="D78" s="248">
        <v>200</v>
      </c>
      <c r="E78" s="47"/>
      <c r="F78" s="266">
        <f t="shared" si="1"/>
        <v>200</v>
      </c>
    </row>
    <row r="79" spans="1:6" x14ac:dyDescent="0.25">
      <c r="B79" s="264" t="s">
        <v>3418</v>
      </c>
      <c r="C79" s="149" t="s">
        <v>2734</v>
      </c>
      <c r="D79" s="248">
        <v>60</v>
      </c>
      <c r="E79" s="146"/>
      <c r="F79" s="266">
        <f t="shared" si="1"/>
        <v>60</v>
      </c>
    </row>
    <row r="80" spans="1:6" x14ac:dyDescent="0.25">
      <c r="B80" s="264" t="s">
        <v>3419</v>
      </c>
      <c r="C80" s="149" t="s">
        <v>2734</v>
      </c>
      <c r="D80" s="248">
        <v>80</v>
      </c>
      <c r="E80" s="153"/>
      <c r="F80" s="266">
        <f t="shared" si="1"/>
        <v>80</v>
      </c>
    </row>
    <row r="81" spans="1:7" x14ac:dyDescent="0.25">
      <c r="A81" s="184" t="s">
        <v>1883</v>
      </c>
      <c r="B81" s="184" t="s">
        <v>1528</v>
      </c>
      <c r="C81" s="191" t="s">
        <v>1802</v>
      </c>
      <c r="D81" s="248">
        <v>16.858199512000002</v>
      </c>
      <c r="F81" s="266">
        <f t="shared" si="1"/>
        <v>16.858199512000002</v>
      </c>
    </row>
    <row r="82" spans="1:7" ht="21" x14ac:dyDescent="0.25">
      <c r="A82" s="184" t="s">
        <v>772</v>
      </c>
      <c r="B82" s="184" t="s">
        <v>1529</v>
      </c>
      <c r="C82" s="191" t="s">
        <v>2241</v>
      </c>
      <c r="D82" s="248">
        <v>50.666000000000004</v>
      </c>
      <c r="F82" s="266">
        <f t="shared" si="1"/>
        <v>50.666000000000004</v>
      </c>
    </row>
    <row r="83" spans="1:7" ht="21" x14ac:dyDescent="0.25">
      <c r="A83" s="184" t="s">
        <v>773</v>
      </c>
      <c r="B83" s="184" t="s">
        <v>1530</v>
      </c>
      <c r="C83" s="191" t="s">
        <v>2241</v>
      </c>
      <c r="D83" s="248">
        <v>21.279720000000001</v>
      </c>
      <c r="F83" s="266">
        <f t="shared" si="1"/>
        <v>21.279720000000001</v>
      </c>
    </row>
    <row r="84" spans="1:7" x14ac:dyDescent="0.25">
      <c r="B84" s="106" t="s">
        <v>3287</v>
      </c>
      <c r="C84" s="120" t="s">
        <v>3178</v>
      </c>
      <c r="D84" s="248">
        <v>400</v>
      </c>
      <c r="F84" s="266">
        <f t="shared" si="1"/>
        <v>400</v>
      </c>
    </row>
    <row r="85" spans="1:7" x14ac:dyDescent="0.25">
      <c r="B85" s="79" t="s">
        <v>3364</v>
      </c>
      <c r="C85" s="56" t="s">
        <v>735</v>
      </c>
      <c r="D85" s="110">
        <v>350</v>
      </c>
      <c r="F85" s="266">
        <f t="shared" si="1"/>
        <v>350</v>
      </c>
    </row>
    <row r="86" spans="1:7" x14ac:dyDescent="0.25">
      <c r="B86" s="200" t="s">
        <v>3362</v>
      </c>
      <c r="C86" s="120" t="s">
        <v>735</v>
      </c>
      <c r="D86" s="248">
        <v>350</v>
      </c>
      <c r="E86" s="47"/>
      <c r="F86" s="266">
        <f t="shared" si="1"/>
        <v>350</v>
      </c>
    </row>
    <row r="87" spans="1:7" x14ac:dyDescent="0.25">
      <c r="B87" s="106" t="s">
        <v>3204</v>
      </c>
      <c r="C87" s="120" t="s">
        <v>1711</v>
      </c>
      <c r="D87" s="248">
        <v>200</v>
      </c>
      <c r="F87" s="266">
        <f t="shared" si="1"/>
        <v>200</v>
      </c>
    </row>
    <row r="88" spans="1:7" x14ac:dyDescent="0.25">
      <c r="B88" s="200" t="s">
        <v>3284</v>
      </c>
      <c r="C88" s="198" t="s">
        <v>735</v>
      </c>
      <c r="D88" s="248">
        <v>350</v>
      </c>
      <c r="E88" s="47"/>
      <c r="F88" s="266">
        <f t="shared" si="1"/>
        <v>350</v>
      </c>
    </row>
    <row r="89" spans="1:7" x14ac:dyDescent="0.25">
      <c r="B89" s="256" t="s">
        <v>3286</v>
      </c>
      <c r="C89" s="282" t="s">
        <v>2915</v>
      </c>
      <c r="D89">
        <v>6.5</v>
      </c>
      <c r="E89"/>
      <c r="F89" s="266">
        <f t="shared" si="1"/>
        <v>6.5</v>
      </c>
    </row>
    <row r="90" spans="1:7" x14ac:dyDescent="0.25">
      <c r="B90" s="205" t="s">
        <v>3227</v>
      </c>
      <c r="C90" s="206" t="s">
        <v>1711</v>
      </c>
      <c r="D90" s="248">
        <v>102.54</v>
      </c>
      <c r="F90" s="266">
        <f t="shared" si="1"/>
        <v>102.54</v>
      </c>
    </row>
    <row r="91" spans="1:7" x14ac:dyDescent="0.25">
      <c r="B91" s="79" t="s">
        <v>736</v>
      </c>
      <c r="C91" s="56" t="s">
        <v>735</v>
      </c>
      <c r="D91" s="110">
        <v>320</v>
      </c>
      <c r="F91" s="266">
        <f t="shared" si="1"/>
        <v>320</v>
      </c>
    </row>
    <row r="92" spans="1:7" x14ac:dyDescent="0.25">
      <c r="B92" s="79" t="s">
        <v>737</v>
      </c>
      <c r="C92" s="56" t="s">
        <v>735</v>
      </c>
      <c r="D92" s="110">
        <v>192</v>
      </c>
      <c r="F92" s="266">
        <f t="shared" si="1"/>
        <v>192</v>
      </c>
    </row>
    <row r="93" spans="1:7" ht="22.8" x14ac:dyDescent="0.25">
      <c r="B93" s="106" t="s">
        <v>1963</v>
      </c>
      <c r="C93" s="47"/>
      <c r="D93" s="248">
        <v>0</v>
      </c>
      <c r="E93" s="47"/>
      <c r="F93" s="266">
        <f t="shared" si="1"/>
        <v>0</v>
      </c>
    </row>
    <row r="94" spans="1:7" x14ac:dyDescent="0.25">
      <c r="B94" s="106" t="s">
        <v>1111</v>
      </c>
      <c r="C94" s="47" t="s">
        <v>3052</v>
      </c>
      <c r="D94" s="248">
        <v>200</v>
      </c>
      <c r="E94" s="47"/>
      <c r="F94" s="266">
        <f t="shared" si="1"/>
        <v>200</v>
      </c>
      <c r="G94" s="244"/>
    </row>
    <row r="95" spans="1:7" x14ac:dyDescent="0.25">
      <c r="B95" s="106" t="s">
        <v>1964</v>
      </c>
      <c r="C95" s="47" t="s">
        <v>3052</v>
      </c>
      <c r="D95" s="248">
        <v>200</v>
      </c>
      <c r="E95" s="47"/>
      <c r="F95" s="266">
        <f t="shared" si="1"/>
        <v>200</v>
      </c>
    </row>
    <row r="96" spans="1:7" x14ac:dyDescent="0.25">
      <c r="B96" s="106" t="s">
        <v>1965</v>
      </c>
      <c r="C96" s="47" t="s">
        <v>3052</v>
      </c>
      <c r="D96" s="248">
        <v>200</v>
      </c>
      <c r="E96" s="47"/>
      <c r="F96" s="266">
        <f t="shared" si="1"/>
        <v>200</v>
      </c>
    </row>
    <row r="97" spans="2:8" x14ac:dyDescent="0.25">
      <c r="B97" s="106" t="s">
        <v>3355</v>
      </c>
      <c r="C97" s="257" t="s">
        <v>1711</v>
      </c>
      <c r="D97" s="248">
        <v>200</v>
      </c>
      <c r="F97" s="266">
        <f t="shared" si="1"/>
        <v>200</v>
      </c>
    </row>
    <row r="98" spans="2:8" x14ac:dyDescent="0.25">
      <c r="B98" s="106" t="s">
        <v>3209</v>
      </c>
      <c r="C98" s="120" t="s">
        <v>2912</v>
      </c>
      <c r="D98" s="248">
        <v>300</v>
      </c>
      <c r="F98" s="266">
        <f t="shared" si="1"/>
        <v>300</v>
      </c>
      <c r="H98" s="244"/>
    </row>
    <row r="99" spans="2:8" x14ac:dyDescent="0.25">
      <c r="B99" s="106" t="s">
        <v>3209</v>
      </c>
      <c r="C99" s="120" t="s">
        <v>2912</v>
      </c>
      <c r="D99" s="120">
        <v>300</v>
      </c>
      <c r="F99" s="266">
        <f t="shared" si="1"/>
        <v>300</v>
      </c>
      <c r="G99" s="244"/>
    </row>
    <row r="100" spans="2:8" x14ac:dyDescent="0.25">
      <c r="B100" s="125" t="s">
        <v>1966</v>
      </c>
      <c r="C100" s="99"/>
      <c r="D100" s="248">
        <v>0</v>
      </c>
      <c r="E100" s="47"/>
      <c r="F100" s="266">
        <f t="shared" si="1"/>
        <v>0</v>
      </c>
      <c r="G100" s="244"/>
    </row>
    <row r="101" spans="2:8" x14ac:dyDescent="0.25">
      <c r="B101" s="106" t="s">
        <v>2697</v>
      </c>
      <c r="C101" s="47"/>
      <c r="D101" s="248">
        <v>0</v>
      </c>
      <c r="E101" s="47"/>
      <c r="F101" s="266">
        <f t="shared" si="1"/>
        <v>0</v>
      </c>
    </row>
    <row r="102" spans="2:8" x14ac:dyDescent="0.25">
      <c r="B102" s="113" t="s">
        <v>1782</v>
      </c>
      <c r="C102" s="47"/>
      <c r="D102" s="248">
        <v>0</v>
      </c>
      <c r="E102" s="47"/>
      <c r="F102" s="266">
        <f t="shared" si="1"/>
        <v>0</v>
      </c>
      <c r="G102" s="244"/>
    </row>
    <row r="103" spans="2:8" ht="23.4" x14ac:dyDescent="0.25">
      <c r="B103" s="200" t="s">
        <v>3404</v>
      </c>
      <c r="C103" s="47" t="s">
        <v>195</v>
      </c>
      <c r="D103" s="248">
        <v>5</v>
      </c>
      <c r="E103" s="47"/>
      <c r="F103" s="266">
        <f t="shared" si="1"/>
        <v>5</v>
      </c>
    </row>
    <row r="104" spans="2:8" ht="23.4" x14ac:dyDescent="0.25">
      <c r="B104" s="200" t="s">
        <v>3406</v>
      </c>
      <c r="C104" s="47" t="s">
        <v>195</v>
      </c>
      <c r="D104" s="248">
        <v>6</v>
      </c>
      <c r="E104" s="47"/>
      <c r="F104" s="266">
        <f t="shared" si="1"/>
        <v>6</v>
      </c>
    </row>
    <row r="105" spans="2:8" x14ac:dyDescent="0.25">
      <c r="B105" s="195" t="s">
        <v>3407</v>
      </c>
      <c r="C105" s="198" t="s">
        <v>2911</v>
      </c>
      <c r="D105" s="199">
        <v>6</v>
      </c>
      <c r="F105" s="266">
        <f t="shared" si="1"/>
        <v>6</v>
      </c>
    </row>
    <row r="106" spans="2:8" x14ac:dyDescent="0.25">
      <c r="B106" s="106" t="s">
        <v>3180</v>
      </c>
      <c r="C106" s="120" t="s">
        <v>3178</v>
      </c>
      <c r="D106" s="248">
        <v>200</v>
      </c>
      <c r="F106" s="266">
        <f t="shared" si="1"/>
        <v>200</v>
      </c>
    </row>
    <row r="107" spans="2:8" ht="26.4" x14ac:dyDescent="0.25">
      <c r="B107" s="256" t="s">
        <v>3405</v>
      </c>
      <c r="C107" s="257" t="s">
        <v>195</v>
      </c>
      <c r="D107" s="248">
        <v>5.5</v>
      </c>
      <c r="F107" s="266">
        <f t="shared" si="1"/>
        <v>5.5</v>
      </c>
    </row>
    <row r="108" spans="2:8" ht="22.8" x14ac:dyDescent="0.25">
      <c r="B108" s="106" t="s">
        <v>3203</v>
      </c>
      <c r="C108" s="120" t="s">
        <v>2734</v>
      </c>
      <c r="D108" s="248">
        <v>2000</v>
      </c>
      <c r="F108" s="266">
        <f t="shared" si="1"/>
        <v>2000</v>
      </c>
      <c r="H108" s="244"/>
    </row>
    <row r="109" spans="2:8" ht="22.8" x14ac:dyDescent="0.25">
      <c r="B109" s="106" t="s">
        <v>3203</v>
      </c>
      <c r="C109" s="120" t="s">
        <v>2734</v>
      </c>
      <c r="D109" s="120">
        <v>2000</v>
      </c>
      <c r="F109" s="266">
        <f t="shared" si="1"/>
        <v>2000</v>
      </c>
      <c r="H109" s="244"/>
    </row>
    <row r="110" spans="2:8" x14ac:dyDescent="0.25">
      <c r="B110" s="106" t="s">
        <v>3202</v>
      </c>
      <c r="C110" s="120" t="s">
        <v>2734</v>
      </c>
      <c r="D110" s="248">
        <v>15500</v>
      </c>
      <c r="F110" s="266">
        <f t="shared" si="1"/>
        <v>15500</v>
      </c>
    </row>
    <row r="111" spans="2:8" x14ac:dyDescent="0.25">
      <c r="B111" s="106" t="s">
        <v>3202</v>
      </c>
      <c r="C111" s="120" t="s">
        <v>2734</v>
      </c>
      <c r="D111" s="120">
        <v>15500</v>
      </c>
      <c r="F111" s="266">
        <f t="shared" si="1"/>
        <v>15500</v>
      </c>
      <c r="H111" s="244"/>
    </row>
    <row r="112" spans="2:8" ht="23.4" x14ac:dyDescent="0.25">
      <c r="B112" s="128" t="s">
        <v>624</v>
      </c>
      <c r="C112" s="112"/>
      <c r="D112" s="248">
        <v>0</v>
      </c>
      <c r="E112" s="47"/>
      <c r="F112" s="266">
        <f t="shared" si="1"/>
        <v>0</v>
      </c>
    </row>
    <row r="113" spans="1:6" x14ac:dyDescent="0.25">
      <c r="B113" s="106" t="s">
        <v>285</v>
      </c>
      <c r="C113" s="47"/>
      <c r="D113" s="248">
        <v>0</v>
      </c>
      <c r="E113" s="47"/>
      <c r="F113" s="266">
        <f t="shared" si="1"/>
        <v>0</v>
      </c>
    </row>
    <row r="114" spans="1:6" x14ac:dyDescent="0.25">
      <c r="B114" s="17" t="s">
        <v>1531</v>
      </c>
      <c r="C114" s="101" t="s">
        <v>213</v>
      </c>
      <c r="D114" s="101">
        <v>4.5</v>
      </c>
      <c r="F114" s="266">
        <f t="shared" si="1"/>
        <v>4.5</v>
      </c>
    </row>
    <row r="115" spans="1:6" x14ac:dyDescent="0.25">
      <c r="B115" s="106" t="s">
        <v>3098</v>
      </c>
      <c r="C115" s="120" t="s">
        <v>552</v>
      </c>
      <c r="D115" s="120">
        <v>17</v>
      </c>
      <c r="F115" s="266">
        <f t="shared" si="1"/>
        <v>17</v>
      </c>
    </row>
    <row r="116" spans="1:6" x14ac:dyDescent="0.25">
      <c r="B116" s="106" t="s">
        <v>3162</v>
      </c>
      <c r="C116" s="120" t="s">
        <v>552</v>
      </c>
      <c r="D116" s="248">
        <v>17</v>
      </c>
      <c r="F116" s="266">
        <f t="shared" si="1"/>
        <v>17</v>
      </c>
    </row>
    <row r="117" spans="1:6" x14ac:dyDescent="0.25">
      <c r="A117" s="184" t="s">
        <v>1874</v>
      </c>
      <c r="B117" s="184" t="s">
        <v>1667</v>
      </c>
      <c r="C117" s="191" t="s">
        <v>2202</v>
      </c>
      <c r="D117" s="248">
        <v>170</v>
      </c>
      <c r="F117" s="266">
        <f t="shared" si="1"/>
        <v>170</v>
      </c>
    </row>
    <row r="118" spans="1:6" x14ac:dyDescent="0.25">
      <c r="A118" s="184" t="s">
        <v>1875</v>
      </c>
      <c r="B118" s="184" t="s">
        <v>1670</v>
      </c>
      <c r="C118" s="191" t="s">
        <v>2265</v>
      </c>
      <c r="D118" s="248">
        <v>243.1995636</v>
      </c>
      <c r="F118" s="266">
        <f t="shared" si="1"/>
        <v>243.1995636</v>
      </c>
    </row>
    <row r="119" spans="1:6" x14ac:dyDescent="0.25">
      <c r="B119" s="201" t="s">
        <v>2929</v>
      </c>
      <c r="C119" s="202" t="s">
        <v>1826</v>
      </c>
      <c r="D119" s="203">
        <v>5</v>
      </c>
      <c r="F119" s="266">
        <f t="shared" si="1"/>
        <v>5</v>
      </c>
    </row>
    <row r="120" spans="1:6" ht="31.2" x14ac:dyDescent="0.25">
      <c r="A120" s="184" t="s">
        <v>774</v>
      </c>
      <c r="B120" s="184" t="s">
        <v>1532</v>
      </c>
      <c r="C120" s="191" t="s">
        <v>1181</v>
      </c>
      <c r="D120" s="248">
        <v>4.1732570879999997</v>
      </c>
      <c r="F120" s="266">
        <f t="shared" si="1"/>
        <v>4.1732570879999997</v>
      </c>
    </row>
    <row r="121" spans="1:6" x14ac:dyDescent="0.25">
      <c r="B121" s="106" t="s">
        <v>2453</v>
      </c>
      <c r="F121" s="266">
        <f t="shared" si="1"/>
        <v>0</v>
      </c>
    </row>
    <row r="122" spans="1:6" x14ac:dyDescent="0.25">
      <c r="B122" s="106" t="s">
        <v>3386</v>
      </c>
      <c r="C122" s="257" t="s">
        <v>552</v>
      </c>
      <c r="D122" s="248">
        <v>200</v>
      </c>
      <c r="F122" s="267">
        <f t="shared" si="1"/>
        <v>200</v>
      </c>
    </row>
    <row r="123" spans="1:6" x14ac:dyDescent="0.25">
      <c r="B123" s="125" t="s">
        <v>3344</v>
      </c>
      <c r="C123" s="257" t="s">
        <v>3343</v>
      </c>
      <c r="D123" s="248">
        <v>1</v>
      </c>
      <c r="F123" s="266">
        <f t="shared" si="1"/>
        <v>1</v>
      </c>
    </row>
    <row r="124" spans="1:6" x14ac:dyDescent="0.25">
      <c r="B124" s="155" t="s">
        <v>1352</v>
      </c>
      <c r="C124" s="156" t="s">
        <v>1715</v>
      </c>
      <c r="D124" s="248">
        <v>18</v>
      </c>
      <c r="E124" s="151"/>
      <c r="F124" s="266">
        <f t="shared" si="1"/>
        <v>18</v>
      </c>
    </row>
    <row r="125" spans="1:6" x14ac:dyDescent="0.25">
      <c r="B125" s="154" t="s">
        <v>545</v>
      </c>
      <c r="C125" s="145" t="s">
        <v>2734</v>
      </c>
      <c r="D125" s="248">
        <v>148</v>
      </c>
      <c r="E125" s="146"/>
      <c r="F125" s="266">
        <f t="shared" si="1"/>
        <v>148</v>
      </c>
    </row>
    <row r="126" spans="1:6" x14ac:dyDescent="0.25">
      <c r="B126" s="154" t="s">
        <v>546</v>
      </c>
      <c r="C126" s="149" t="s">
        <v>1388</v>
      </c>
      <c r="D126" s="248">
        <v>80</v>
      </c>
      <c r="E126" s="146"/>
      <c r="F126" s="266">
        <f t="shared" si="1"/>
        <v>80</v>
      </c>
    </row>
    <row r="127" spans="1:6" ht="22.8" x14ac:dyDescent="0.25">
      <c r="B127" s="106" t="s">
        <v>3078</v>
      </c>
      <c r="C127" s="120" t="s">
        <v>2734</v>
      </c>
      <c r="D127" s="248">
        <v>44.8</v>
      </c>
      <c r="F127" s="266">
        <f t="shared" si="1"/>
        <v>44.8</v>
      </c>
    </row>
    <row r="128" spans="1:6" ht="21" x14ac:dyDescent="0.25">
      <c r="A128" s="184" t="s">
        <v>778</v>
      </c>
      <c r="B128" s="184" t="s">
        <v>1534</v>
      </c>
      <c r="C128" s="191" t="s">
        <v>1733</v>
      </c>
      <c r="D128" s="248">
        <v>0.8</v>
      </c>
      <c r="F128" s="266">
        <f t="shared" si="1"/>
        <v>0.8</v>
      </c>
    </row>
    <row r="129" spans="1:6" x14ac:dyDescent="0.25">
      <c r="A129" s="184" t="s">
        <v>780</v>
      </c>
      <c r="B129" s="184" t="s">
        <v>1758</v>
      </c>
      <c r="C129" s="191" t="s">
        <v>241</v>
      </c>
      <c r="D129" s="248">
        <v>114.23663019999999</v>
      </c>
      <c r="F129" s="266">
        <f t="shared" si="1"/>
        <v>114.23663019999999</v>
      </c>
    </row>
    <row r="130" spans="1:6" x14ac:dyDescent="0.25">
      <c r="B130" s="106" t="s">
        <v>249</v>
      </c>
      <c r="C130" s="120"/>
      <c r="D130" s="248">
        <v>0</v>
      </c>
      <c r="E130" s="47"/>
      <c r="F130" s="266">
        <f t="shared" si="1"/>
        <v>0</v>
      </c>
    </row>
    <row r="131" spans="1:6" x14ac:dyDescent="0.25">
      <c r="A131" s="249"/>
      <c r="B131" s="253" t="s">
        <v>3107</v>
      </c>
      <c r="C131" s="251" t="s">
        <v>552</v>
      </c>
      <c r="D131" s="251">
        <v>12.71</v>
      </c>
      <c r="E131" s="252"/>
      <c r="F131" s="266">
        <f t="shared" ref="F131:F193" si="2">IF(E131&gt;0,E131,D131)</f>
        <v>12.71</v>
      </c>
    </row>
    <row r="132" spans="1:6" x14ac:dyDescent="0.25">
      <c r="B132" s="96" t="s">
        <v>3107</v>
      </c>
      <c r="C132" s="120" t="s">
        <v>552</v>
      </c>
      <c r="D132" s="120">
        <v>12.71</v>
      </c>
      <c r="F132" s="266">
        <f t="shared" si="2"/>
        <v>12.71</v>
      </c>
    </row>
    <row r="133" spans="1:6" x14ac:dyDescent="0.25">
      <c r="B133" s="157" t="s">
        <v>376</v>
      </c>
      <c r="C133" s="144" t="s">
        <v>1365</v>
      </c>
      <c r="D133" s="248">
        <v>3</v>
      </c>
      <c r="E133" s="146"/>
      <c r="F133" s="266">
        <f t="shared" si="2"/>
        <v>3</v>
      </c>
    </row>
    <row r="134" spans="1:6" x14ac:dyDescent="0.25">
      <c r="B134" s="113" t="s">
        <v>3183</v>
      </c>
      <c r="C134" s="120" t="s">
        <v>516</v>
      </c>
      <c r="D134" s="248">
        <v>120</v>
      </c>
      <c r="F134" s="266">
        <f t="shared" si="2"/>
        <v>120</v>
      </c>
    </row>
    <row r="135" spans="1:6" x14ac:dyDescent="0.25">
      <c r="B135" s="106" t="s">
        <v>3194</v>
      </c>
      <c r="C135" s="120" t="s">
        <v>516</v>
      </c>
      <c r="D135" s="248">
        <v>100</v>
      </c>
      <c r="F135" s="266">
        <f t="shared" si="2"/>
        <v>100</v>
      </c>
    </row>
    <row r="136" spans="1:6" x14ac:dyDescent="0.25">
      <c r="A136" s="249"/>
      <c r="B136" s="253" t="s">
        <v>3220</v>
      </c>
      <c r="C136" s="251" t="s">
        <v>552</v>
      </c>
      <c r="D136" s="251">
        <v>15.28</v>
      </c>
      <c r="E136" s="252"/>
      <c r="F136" s="266">
        <f t="shared" si="2"/>
        <v>15.28</v>
      </c>
    </row>
    <row r="137" spans="1:6" x14ac:dyDescent="0.25">
      <c r="B137" s="106" t="s">
        <v>2277</v>
      </c>
      <c r="C137" s="47"/>
      <c r="D137" s="248">
        <v>0</v>
      </c>
      <c r="E137" s="47"/>
      <c r="F137" s="266">
        <f t="shared" si="2"/>
        <v>0</v>
      </c>
    </row>
    <row r="138" spans="1:6" x14ac:dyDescent="0.25">
      <c r="B138" s="264" t="s">
        <v>3288</v>
      </c>
      <c r="C138" s="149" t="s">
        <v>2834</v>
      </c>
      <c r="D138" s="248">
        <v>13.83</v>
      </c>
      <c r="E138" s="146"/>
      <c r="F138" s="266">
        <f t="shared" si="2"/>
        <v>13.83</v>
      </c>
    </row>
    <row r="139" spans="1:6" x14ac:dyDescent="0.25">
      <c r="A139" s="249"/>
      <c r="B139" s="253" t="s">
        <v>3221</v>
      </c>
      <c r="C139" s="251" t="s">
        <v>552</v>
      </c>
      <c r="D139" s="251">
        <v>13.83</v>
      </c>
      <c r="E139" s="252"/>
      <c r="F139" s="266">
        <f t="shared" si="2"/>
        <v>13.83</v>
      </c>
    </row>
    <row r="140" spans="1:6" x14ac:dyDescent="0.25">
      <c r="B140" s="96" t="s">
        <v>3109</v>
      </c>
      <c r="C140" s="120" t="s">
        <v>552</v>
      </c>
      <c r="D140" s="120">
        <v>13.83</v>
      </c>
      <c r="F140" s="266">
        <f t="shared" si="2"/>
        <v>13.83</v>
      </c>
    </row>
    <row r="141" spans="1:6" x14ac:dyDescent="0.25">
      <c r="A141" s="249"/>
      <c r="B141" s="253" t="s">
        <v>3111</v>
      </c>
      <c r="C141" s="251" t="s">
        <v>552</v>
      </c>
      <c r="D141" s="251">
        <v>15</v>
      </c>
      <c r="E141" s="252"/>
      <c r="F141" s="266">
        <f t="shared" si="2"/>
        <v>15</v>
      </c>
    </row>
    <row r="142" spans="1:6" ht="22.8" x14ac:dyDescent="0.25">
      <c r="B142" s="96" t="s">
        <v>3110</v>
      </c>
      <c r="C142" s="120" t="s">
        <v>2734</v>
      </c>
      <c r="D142" s="248">
        <v>125</v>
      </c>
      <c r="F142" s="266">
        <f t="shared" si="2"/>
        <v>125</v>
      </c>
    </row>
    <row r="143" spans="1:6" ht="22.8" x14ac:dyDescent="0.25">
      <c r="B143" s="96" t="s">
        <v>3110</v>
      </c>
      <c r="C143" s="120" t="s">
        <v>2734</v>
      </c>
      <c r="D143" s="120">
        <v>125</v>
      </c>
      <c r="F143" s="266">
        <f t="shared" si="2"/>
        <v>125</v>
      </c>
    </row>
    <row r="144" spans="1:6" ht="22.8" x14ac:dyDescent="0.25">
      <c r="A144" s="249"/>
      <c r="B144" s="253" t="s">
        <v>3222</v>
      </c>
      <c r="C144" s="251" t="s">
        <v>2734</v>
      </c>
      <c r="D144" s="251">
        <v>125</v>
      </c>
      <c r="E144" s="252"/>
      <c r="F144" s="266">
        <f t="shared" si="2"/>
        <v>125</v>
      </c>
    </row>
    <row r="145" spans="2:6" x14ac:dyDescent="0.25">
      <c r="B145" s="106" t="s">
        <v>3157</v>
      </c>
      <c r="C145" s="120" t="s">
        <v>552</v>
      </c>
      <c r="D145" s="248">
        <v>14</v>
      </c>
      <c r="F145" s="266">
        <f t="shared" si="2"/>
        <v>14</v>
      </c>
    </row>
    <row r="146" spans="2:6" x14ac:dyDescent="0.25">
      <c r="B146" s="106" t="s">
        <v>3157</v>
      </c>
      <c r="C146" s="120" t="s">
        <v>552</v>
      </c>
      <c r="D146" s="120">
        <v>14</v>
      </c>
      <c r="F146" s="266">
        <f t="shared" si="2"/>
        <v>14</v>
      </c>
    </row>
    <row r="147" spans="2:6" x14ac:dyDescent="0.25">
      <c r="B147" s="106" t="s">
        <v>3176</v>
      </c>
      <c r="C147" s="120" t="s">
        <v>552</v>
      </c>
      <c r="D147" s="248">
        <v>14</v>
      </c>
      <c r="F147" s="266">
        <f t="shared" si="2"/>
        <v>14</v>
      </c>
    </row>
    <row r="148" spans="2:6" x14ac:dyDescent="0.25">
      <c r="B148" s="106" t="s">
        <v>3176</v>
      </c>
      <c r="C148" s="120" t="s">
        <v>552</v>
      </c>
      <c r="D148" s="120">
        <v>14</v>
      </c>
      <c r="F148" s="266">
        <f t="shared" si="2"/>
        <v>14</v>
      </c>
    </row>
    <row r="149" spans="2:6" x14ac:dyDescent="0.25">
      <c r="B149" s="106" t="s">
        <v>3170</v>
      </c>
      <c r="C149" s="120" t="s">
        <v>552</v>
      </c>
      <c r="F149" s="266">
        <f t="shared" si="2"/>
        <v>0</v>
      </c>
    </row>
    <row r="150" spans="2:6" x14ac:dyDescent="0.25">
      <c r="B150" s="106" t="s">
        <v>2719</v>
      </c>
      <c r="C150" s="120"/>
      <c r="D150" s="248">
        <v>0</v>
      </c>
      <c r="E150" s="47"/>
      <c r="F150" s="266">
        <f t="shared" si="2"/>
        <v>0</v>
      </c>
    </row>
    <row r="151" spans="2:6" x14ac:dyDescent="0.25">
      <c r="B151" s="106" t="s">
        <v>983</v>
      </c>
      <c r="C151" s="120"/>
      <c r="D151" s="248">
        <v>0</v>
      </c>
      <c r="E151" s="47"/>
      <c r="F151" s="266">
        <f t="shared" si="2"/>
        <v>0</v>
      </c>
    </row>
    <row r="152" spans="2:6" x14ac:dyDescent="0.25">
      <c r="B152" s="106" t="s">
        <v>2310</v>
      </c>
      <c r="C152" s="47"/>
      <c r="D152" s="248">
        <v>0</v>
      </c>
      <c r="E152" s="47"/>
      <c r="F152" s="266">
        <f t="shared" si="2"/>
        <v>0</v>
      </c>
    </row>
    <row r="153" spans="2:6" x14ac:dyDescent="0.25">
      <c r="B153" s="106" t="s">
        <v>2311</v>
      </c>
      <c r="C153" s="101"/>
      <c r="D153" s="248">
        <v>0</v>
      </c>
      <c r="E153" s="47"/>
      <c r="F153" s="266">
        <f t="shared" si="2"/>
        <v>0</v>
      </c>
    </row>
    <row r="154" spans="2:6" x14ac:dyDescent="0.25">
      <c r="B154" s="106" t="s">
        <v>3051</v>
      </c>
      <c r="C154" s="211" t="s">
        <v>3052</v>
      </c>
      <c r="D154" s="248">
        <v>3.5</v>
      </c>
      <c r="F154" s="266">
        <f t="shared" si="2"/>
        <v>3.5</v>
      </c>
    </row>
    <row r="155" spans="2:6" x14ac:dyDescent="0.25">
      <c r="B155" s="106" t="s">
        <v>1110</v>
      </c>
      <c r="C155" s="120" t="s">
        <v>735</v>
      </c>
      <c r="D155" s="120"/>
      <c r="F155" s="266">
        <f t="shared" si="2"/>
        <v>0</v>
      </c>
    </row>
    <row r="156" spans="2:6" x14ac:dyDescent="0.25">
      <c r="B156" s="106" t="s">
        <v>3392</v>
      </c>
      <c r="C156" s="120" t="s">
        <v>735</v>
      </c>
      <c r="D156" s="248">
        <v>4</v>
      </c>
      <c r="E156" s="47"/>
      <c r="F156" s="266">
        <f t="shared" si="2"/>
        <v>4</v>
      </c>
    </row>
    <row r="157" spans="2:6" ht="22.8" x14ac:dyDescent="0.25">
      <c r="B157" s="106" t="s">
        <v>1748</v>
      </c>
      <c r="C157" s="241" t="s">
        <v>1711</v>
      </c>
      <c r="D157" s="248">
        <v>13</v>
      </c>
      <c r="E157" s="241"/>
      <c r="F157" s="266">
        <f t="shared" si="2"/>
        <v>13</v>
      </c>
    </row>
    <row r="158" spans="2:6" ht="22.8" x14ac:dyDescent="0.25">
      <c r="B158" s="106" t="s">
        <v>1748</v>
      </c>
      <c r="C158" s="120"/>
      <c r="D158" s="248">
        <v>0</v>
      </c>
      <c r="E158" s="47"/>
      <c r="F158" s="266">
        <f t="shared" si="2"/>
        <v>0</v>
      </c>
    </row>
    <row r="159" spans="2:6" ht="22.8" x14ac:dyDescent="0.25">
      <c r="B159" s="130" t="s">
        <v>1801</v>
      </c>
      <c r="C159" s="120"/>
      <c r="D159" s="248">
        <v>0</v>
      </c>
      <c r="E159" s="47"/>
      <c r="F159" s="266">
        <f t="shared" si="2"/>
        <v>0</v>
      </c>
    </row>
    <row r="160" spans="2:6" x14ac:dyDescent="0.25">
      <c r="B160" s="106" t="s">
        <v>1610</v>
      </c>
      <c r="C160" s="112"/>
      <c r="D160" s="248">
        <v>0</v>
      </c>
      <c r="E160" s="47"/>
      <c r="F160" s="266">
        <f t="shared" si="2"/>
        <v>0</v>
      </c>
    </row>
    <row r="161" spans="1:6" x14ac:dyDescent="0.25">
      <c r="A161" s="184" t="s">
        <v>784</v>
      </c>
      <c r="B161" s="184" t="s">
        <v>1744</v>
      </c>
      <c r="C161" s="191" t="s">
        <v>2265</v>
      </c>
      <c r="D161" s="248">
        <v>10.917325440000001</v>
      </c>
      <c r="F161" s="266">
        <f t="shared" si="2"/>
        <v>10.917325440000001</v>
      </c>
    </row>
    <row r="162" spans="1:6" x14ac:dyDescent="0.25">
      <c r="B162" s="106" t="s">
        <v>1825</v>
      </c>
      <c r="C162" s="241" t="s">
        <v>2734</v>
      </c>
      <c r="E162" s="241"/>
      <c r="F162" s="266">
        <f t="shared" si="2"/>
        <v>0</v>
      </c>
    </row>
    <row r="163" spans="1:6" x14ac:dyDescent="0.25">
      <c r="B163" s="106" t="s">
        <v>1659</v>
      </c>
      <c r="C163" s="120"/>
      <c r="D163" s="248">
        <v>0</v>
      </c>
      <c r="E163" s="47"/>
      <c r="F163" s="266">
        <f t="shared" si="2"/>
        <v>0</v>
      </c>
    </row>
    <row r="164" spans="1:6" x14ac:dyDescent="0.25">
      <c r="B164" s="256" t="s">
        <v>3289</v>
      </c>
      <c r="C164" s="284" t="s">
        <v>2915</v>
      </c>
      <c r="D164">
        <v>2</v>
      </c>
      <c r="E164"/>
      <c r="F164" s="266">
        <f t="shared" si="2"/>
        <v>2</v>
      </c>
    </row>
    <row r="165" spans="1:6" x14ac:dyDescent="0.25">
      <c r="B165" s="155" t="s">
        <v>2312</v>
      </c>
      <c r="C165" s="151" t="s">
        <v>1715</v>
      </c>
      <c r="D165" s="248">
        <v>0.4</v>
      </c>
      <c r="E165" s="151"/>
      <c r="F165" s="266">
        <f t="shared" si="2"/>
        <v>0.4</v>
      </c>
    </row>
    <row r="166" spans="1:6" x14ac:dyDescent="0.25">
      <c r="B166" s="264" t="s">
        <v>3401</v>
      </c>
      <c r="C166" s="279" t="s">
        <v>3083</v>
      </c>
      <c r="D166" s="248">
        <v>2</v>
      </c>
      <c r="E166" s="152"/>
      <c r="F166" s="266">
        <f t="shared" si="2"/>
        <v>2</v>
      </c>
    </row>
    <row r="167" spans="1:6" x14ac:dyDescent="0.25">
      <c r="A167" s="184" t="s">
        <v>791</v>
      </c>
      <c r="B167" s="184" t="s">
        <v>1757</v>
      </c>
      <c r="C167" s="191" t="s">
        <v>614</v>
      </c>
      <c r="D167" s="248">
        <v>3</v>
      </c>
      <c r="F167" s="266">
        <f t="shared" si="2"/>
        <v>3</v>
      </c>
    </row>
    <row r="168" spans="1:6" x14ac:dyDescent="0.25">
      <c r="A168" s="184" t="s">
        <v>799</v>
      </c>
      <c r="B168" s="184" t="s">
        <v>1756</v>
      </c>
      <c r="C168" s="191" t="s">
        <v>2202</v>
      </c>
      <c r="D168" s="248">
        <v>0.60806569600000004</v>
      </c>
      <c r="F168" s="266">
        <f t="shared" si="2"/>
        <v>0.60806569600000004</v>
      </c>
    </row>
    <row r="169" spans="1:6" x14ac:dyDescent="0.25">
      <c r="A169" s="184" t="s">
        <v>806</v>
      </c>
      <c r="B169" s="184" t="s">
        <v>1755</v>
      </c>
      <c r="C169" s="191" t="s">
        <v>1365</v>
      </c>
      <c r="D169" s="248">
        <v>1.32</v>
      </c>
      <c r="F169" s="266">
        <f t="shared" si="2"/>
        <v>1.32</v>
      </c>
    </row>
    <row r="170" spans="1:6" x14ac:dyDescent="0.25">
      <c r="A170" s="184" t="s">
        <v>808</v>
      </c>
      <c r="B170" s="184" t="s">
        <v>1754</v>
      </c>
      <c r="C170" s="191" t="s">
        <v>1365</v>
      </c>
      <c r="D170" s="248">
        <v>5.2043193999999993</v>
      </c>
      <c r="F170" s="266">
        <f t="shared" si="2"/>
        <v>5.2043193999999993</v>
      </c>
    </row>
    <row r="171" spans="1:6" x14ac:dyDescent="0.25">
      <c r="B171" s="106" t="s">
        <v>3192</v>
      </c>
      <c r="C171" s="120" t="s">
        <v>3193</v>
      </c>
      <c r="D171" s="248">
        <v>400</v>
      </c>
      <c r="F171" s="266">
        <f t="shared" si="2"/>
        <v>400</v>
      </c>
    </row>
    <row r="172" spans="1:6" x14ac:dyDescent="0.25">
      <c r="B172" s="106" t="s">
        <v>3408</v>
      </c>
      <c r="C172" s="120" t="s">
        <v>2921</v>
      </c>
      <c r="D172" s="248">
        <v>7.5</v>
      </c>
      <c r="F172" s="266">
        <f t="shared" si="2"/>
        <v>7.5</v>
      </c>
    </row>
    <row r="173" spans="1:6" x14ac:dyDescent="0.25">
      <c r="B173" s="158" t="s">
        <v>547</v>
      </c>
      <c r="C173" s="156" t="s">
        <v>2734</v>
      </c>
      <c r="D173" s="248">
        <v>60</v>
      </c>
      <c r="E173" s="151"/>
      <c r="F173" s="266">
        <f t="shared" si="2"/>
        <v>60</v>
      </c>
    </row>
    <row r="174" spans="1:6" x14ac:dyDescent="0.25">
      <c r="B174" s="17" t="s">
        <v>1563</v>
      </c>
      <c r="C174" s="101" t="s">
        <v>2265</v>
      </c>
      <c r="D174" s="101">
        <v>5</v>
      </c>
      <c r="F174" s="266">
        <f t="shared" si="2"/>
        <v>5</v>
      </c>
    </row>
    <row r="175" spans="1:6" x14ac:dyDescent="0.25">
      <c r="B175" s="17" t="s">
        <v>1564</v>
      </c>
      <c r="C175" s="101" t="s">
        <v>2265</v>
      </c>
      <c r="D175" s="101">
        <v>7</v>
      </c>
      <c r="F175" s="266">
        <f t="shared" si="2"/>
        <v>7</v>
      </c>
    </row>
    <row r="176" spans="1:6" x14ac:dyDescent="0.25">
      <c r="B176" s="17" t="s">
        <v>1565</v>
      </c>
      <c r="C176" s="101" t="s">
        <v>2265</v>
      </c>
      <c r="D176" s="101">
        <v>9</v>
      </c>
      <c r="F176" s="266">
        <f t="shared" si="2"/>
        <v>9</v>
      </c>
    </row>
    <row r="177" spans="1:6" x14ac:dyDescent="0.25">
      <c r="B177" s="264" t="s">
        <v>3331</v>
      </c>
      <c r="C177" s="101" t="s">
        <v>2265</v>
      </c>
      <c r="D177" s="101">
        <v>100</v>
      </c>
      <c r="F177" s="266">
        <f t="shared" si="2"/>
        <v>100</v>
      </c>
    </row>
    <row r="178" spans="1:6" x14ac:dyDescent="0.25">
      <c r="B178" s="17" t="s">
        <v>344</v>
      </c>
      <c r="C178" s="149" t="s">
        <v>2016</v>
      </c>
      <c r="D178" s="248">
        <v>0.05</v>
      </c>
      <c r="E178" s="146"/>
      <c r="F178" s="266">
        <f t="shared" si="2"/>
        <v>0.05</v>
      </c>
    </row>
    <row r="179" spans="1:6" x14ac:dyDescent="0.25">
      <c r="B179" s="17" t="s">
        <v>2282</v>
      </c>
      <c r="C179" s="149" t="s">
        <v>2734</v>
      </c>
      <c r="D179" s="248">
        <v>0.6</v>
      </c>
      <c r="E179" s="146"/>
      <c r="F179" s="266">
        <f t="shared" si="2"/>
        <v>0.6</v>
      </c>
    </row>
    <row r="180" spans="1:6" x14ac:dyDescent="0.25">
      <c r="B180" s="17" t="s">
        <v>1906</v>
      </c>
      <c r="C180" s="149" t="s">
        <v>2734</v>
      </c>
      <c r="D180" s="248">
        <v>0.45</v>
      </c>
      <c r="E180" s="146"/>
      <c r="F180" s="266">
        <f t="shared" si="2"/>
        <v>0.45</v>
      </c>
    </row>
    <row r="181" spans="1:6" x14ac:dyDescent="0.25">
      <c r="B181" s="17" t="s">
        <v>929</v>
      </c>
      <c r="C181" s="145" t="s">
        <v>2016</v>
      </c>
      <c r="D181" s="248">
        <v>0.02</v>
      </c>
      <c r="E181" s="150"/>
      <c r="F181" s="266">
        <f t="shared" si="2"/>
        <v>0.02</v>
      </c>
    </row>
    <row r="182" spans="1:6" ht="21" x14ac:dyDescent="0.25">
      <c r="A182" s="184" t="s">
        <v>813</v>
      </c>
      <c r="B182" s="184" t="s">
        <v>1566</v>
      </c>
      <c r="C182" s="191" t="s">
        <v>2202</v>
      </c>
      <c r="D182" s="248">
        <v>43.756309099999996</v>
      </c>
      <c r="F182" s="266">
        <f t="shared" si="2"/>
        <v>43.756309099999996</v>
      </c>
    </row>
    <row r="183" spans="1:6" ht="26.4" x14ac:dyDescent="0.25">
      <c r="B183" s="155" t="s">
        <v>1987</v>
      </c>
      <c r="C183" s="156" t="s">
        <v>2202</v>
      </c>
      <c r="D183" s="248">
        <v>6.75</v>
      </c>
      <c r="E183" s="151"/>
      <c r="F183" s="266">
        <f t="shared" si="2"/>
        <v>6.75</v>
      </c>
    </row>
    <row r="184" spans="1:6" x14ac:dyDescent="0.25">
      <c r="B184" s="17" t="s">
        <v>1347</v>
      </c>
      <c r="C184" s="145" t="s">
        <v>2734</v>
      </c>
      <c r="D184" s="248">
        <v>0.15</v>
      </c>
      <c r="E184" s="150"/>
      <c r="F184" s="266">
        <f t="shared" si="2"/>
        <v>0.15</v>
      </c>
    </row>
    <row r="185" spans="1:6" x14ac:dyDescent="0.25">
      <c r="B185" s="17" t="s">
        <v>346</v>
      </c>
      <c r="C185" s="149" t="s">
        <v>2265</v>
      </c>
      <c r="D185" s="248">
        <v>0.125</v>
      </c>
      <c r="E185" s="146"/>
      <c r="F185" s="266">
        <f t="shared" si="2"/>
        <v>0.125</v>
      </c>
    </row>
    <row r="186" spans="1:6" x14ac:dyDescent="0.25">
      <c r="B186" s="264" t="s">
        <v>2297</v>
      </c>
      <c r="C186" s="101" t="s">
        <v>2265</v>
      </c>
      <c r="D186" s="101">
        <v>14.5</v>
      </c>
      <c r="F186" s="266">
        <f t="shared" si="2"/>
        <v>14.5</v>
      </c>
    </row>
    <row r="187" spans="1:6" x14ac:dyDescent="0.25">
      <c r="B187" s="17" t="s">
        <v>2297</v>
      </c>
      <c r="C187" s="149" t="s">
        <v>2265</v>
      </c>
      <c r="D187" s="248">
        <v>17.3</v>
      </c>
      <c r="E187" s="146"/>
      <c r="F187" s="266">
        <f t="shared" si="2"/>
        <v>17.3</v>
      </c>
    </row>
    <row r="188" spans="1:6" x14ac:dyDescent="0.25">
      <c r="B188" s="264" t="s">
        <v>959</v>
      </c>
      <c r="C188" s="101" t="s">
        <v>2265</v>
      </c>
      <c r="D188" s="101">
        <v>350</v>
      </c>
      <c r="F188" s="266">
        <f t="shared" si="2"/>
        <v>350</v>
      </c>
    </row>
    <row r="189" spans="1:6" x14ac:dyDescent="0.25">
      <c r="B189" s="264" t="s">
        <v>960</v>
      </c>
      <c r="C189" s="101" t="s">
        <v>2265</v>
      </c>
      <c r="D189" s="101">
        <v>450</v>
      </c>
      <c r="F189" s="266">
        <f t="shared" si="2"/>
        <v>450</v>
      </c>
    </row>
    <row r="190" spans="1:6" x14ac:dyDescent="0.25">
      <c r="B190" s="264" t="s">
        <v>961</v>
      </c>
      <c r="C190" s="101" t="s">
        <v>2265</v>
      </c>
      <c r="D190" s="101">
        <v>850</v>
      </c>
      <c r="F190" s="266">
        <f t="shared" si="2"/>
        <v>850</v>
      </c>
    </row>
    <row r="191" spans="1:6" x14ac:dyDescent="0.25">
      <c r="B191" s="264" t="s">
        <v>3330</v>
      </c>
      <c r="C191" s="101" t="s">
        <v>2265</v>
      </c>
      <c r="D191" s="101">
        <v>145</v>
      </c>
      <c r="F191" s="266">
        <f t="shared" si="2"/>
        <v>145</v>
      </c>
    </row>
    <row r="192" spans="1:6" x14ac:dyDescent="0.25">
      <c r="B192" s="264" t="s">
        <v>958</v>
      </c>
      <c r="C192" s="101" t="s">
        <v>2265</v>
      </c>
      <c r="D192" s="101">
        <v>235</v>
      </c>
      <c r="F192" s="266">
        <f t="shared" si="2"/>
        <v>235</v>
      </c>
    </row>
    <row r="193" spans="2:7" x14ac:dyDescent="0.25">
      <c r="B193" s="17" t="s">
        <v>352</v>
      </c>
      <c r="C193" s="145" t="s">
        <v>2734</v>
      </c>
      <c r="D193" s="248">
        <v>1400</v>
      </c>
      <c r="E193" s="150"/>
      <c r="F193" s="266">
        <f t="shared" si="2"/>
        <v>1400</v>
      </c>
    </row>
    <row r="194" spans="2:7" x14ac:dyDescent="0.25">
      <c r="B194" s="17" t="s">
        <v>351</v>
      </c>
      <c r="C194" s="145" t="s">
        <v>2734</v>
      </c>
      <c r="D194" s="248">
        <v>128</v>
      </c>
      <c r="E194" s="150"/>
      <c r="F194" s="266">
        <f t="shared" ref="F194:F257" si="3">IF(E194&gt;0,E194,D194)</f>
        <v>128</v>
      </c>
    </row>
    <row r="195" spans="2:7" x14ac:dyDescent="0.25">
      <c r="B195" s="17" t="s">
        <v>353</v>
      </c>
      <c r="C195" s="145" t="s">
        <v>2734</v>
      </c>
      <c r="D195" s="248">
        <v>500</v>
      </c>
      <c r="E195" s="150"/>
      <c r="F195" s="266">
        <f t="shared" si="3"/>
        <v>500</v>
      </c>
    </row>
    <row r="196" spans="2:7" x14ac:dyDescent="0.25">
      <c r="B196" s="17" t="s">
        <v>348</v>
      </c>
      <c r="C196" s="145" t="s">
        <v>2734</v>
      </c>
      <c r="D196" s="248">
        <v>704</v>
      </c>
      <c r="E196" s="150"/>
      <c r="F196" s="266">
        <f t="shared" si="3"/>
        <v>704</v>
      </c>
    </row>
    <row r="197" spans="2:7" x14ac:dyDescent="0.25">
      <c r="B197" s="17" t="s">
        <v>349</v>
      </c>
      <c r="C197" s="145" t="s">
        <v>2734</v>
      </c>
      <c r="D197" s="248">
        <v>116</v>
      </c>
      <c r="E197" s="150"/>
      <c r="F197" s="266">
        <f t="shared" si="3"/>
        <v>116</v>
      </c>
    </row>
    <row r="198" spans="2:7" x14ac:dyDescent="0.25">
      <c r="B198" s="17" t="s">
        <v>350</v>
      </c>
      <c r="C198" s="145" t="s">
        <v>2734</v>
      </c>
      <c r="D198" s="248">
        <v>410</v>
      </c>
      <c r="E198" s="150"/>
      <c r="F198" s="266">
        <f t="shared" si="3"/>
        <v>410</v>
      </c>
    </row>
    <row r="199" spans="2:7" x14ac:dyDescent="0.25">
      <c r="B199" s="264" t="s">
        <v>1894</v>
      </c>
      <c r="C199" s="101" t="s">
        <v>2265</v>
      </c>
      <c r="D199" s="101">
        <v>150</v>
      </c>
      <c r="F199" s="266">
        <f t="shared" si="3"/>
        <v>150</v>
      </c>
    </row>
    <row r="200" spans="2:7" x14ac:dyDescent="0.25">
      <c r="B200" s="264" t="s">
        <v>2288</v>
      </c>
      <c r="C200" s="101" t="s">
        <v>2265</v>
      </c>
      <c r="D200" s="101">
        <v>175</v>
      </c>
      <c r="F200" s="266">
        <f t="shared" si="3"/>
        <v>175</v>
      </c>
    </row>
    <row r="201" spans="2:7" x14ac:dyDescent="0.25">
      <c r="B201" s="143" t="s">
        <v>1820</v>
      </c>
      <c r="C201" s="144" t="s">
        <v>2734</v>
      </c>
      <c r="D201" s="248">
        <v>142</v>
      </c>
      <c r="E201" s="146"/>
      <c r="F201" s="266">
        <f t="shared" si="3"/>
        <v>142</v>
      </c>
    </row>
    <row r="202" spans="2:7" x14ac:dyDescent="0.25">
      <c r="B202" s="143" t="s">
        <v>1897</v>
      </c>
      <c r="C202" s="144" t="s">
        <v>2734</v>
      </c>
      <c r="D202" s="248">
        <v>159</v>
      </c>
      <c r="E202" s="146"/>
      <c r="F202" s="266">
        <f t="shared" si="3"/>
        <v>159</v>
      </c>
    </row>
    <row r="203" spans="2:7" x14ac:dyDescent="0.25">
      <c r="B203" s="143" t="s">
        <v>1898</v>
      </c>
      <c r="C203" s="144" t="s">
        <v>2734</v>
      </c>
      <c r="D203" s="248">
        <v>179</v>
      </c>
      <c r="E203" s="146"/>
      <c r="F203" s="266">
        <f t="shared" si="3"/>
        <v>179</v>
      </c>
    </row>
    <row r="204" spans="2:7" x14ac:dyDescent="0.25">
      <c r="B204" s="143" t="s">
        <v>1899</v>
      </c>
      <c r="C204" s="144" t="s">
        <v>2734</v>
      </c>
      <c r="D204" s="248">
        <v>128</v>
      </c>
      <c r="E204" s="146"/>
      <c r="F204" s="266">
        <f t="shared" si="3"/>
        <v>128</v>
      </c>
    </row>
    <row r="205" spans="2:7" x14ac:dyDescent="0.25">
      <c r="B205" s="143" t="s">
        <v>1900</v>
      </c>
      <c r="C205" s="144" t="s">
        <v>2734</v>
      </c>
      <c r="D205" s="248">
        <v>149</v>
      </c>
      <c r="E205" s="146"/>
      <c r="F205" s="266">
        <f t="shared" si="3"/>
        <v>149</v>
      </c>
    </row>
    <row r="206" spans="2:7" x14ac:dyDescent="0.25">
      <c r="B206" s="143" t="s">
        <v>1901</v>
      </c>
      <c r="C206" s="144" t="s">
        <v>2734</v>
      </c>
      <c r="D206" s="248">
        <v>161.5</v>
      </c>
      <c r="E206" s="146"/>
      <c r="F206" s="266">
        <f t="shared" si="3"/>
        <v>161.5</v>
      </c>
      <c r="G206" s="244"/>
    </row>
    <row r="207" spans="2:7" x14ac:dyDescent="0.25">
      <c r="B207" s="264" t="s">
        <v>2293</v>
      </c>
      <c r="C207" s="101" t="s">
        <v>2265</v>
      </c>
      <c r="D207" s="101">
        <v>11.55</v>
      </c>
      <c r="F207" s="266">
        <f t="shared" si="3"/>
        <v>11.55</v>
      </c>
    </row>
    <row r="208" spans="2:7" x14ac:dyDescent="0.25">
      <c r="B208" s="143" t="s">
        <v>347</v>
      </c>
      <c r="C208" s="144" t="s">
        <v>2734</v>
      </c>
      <c r="D208" s="248">
        <v>13.2</v>
      </c>
      <c r="E208" s="146"/>
      <c r="F208" s="266">
        <f t="shared" si="3"/>
        <v>13.2</v>
      </c>
    </row>
    <row r="209" spans="2:8" x14ac:dyDescent="0.25">
      <c r="B209" s="96" t="s">
        <v>2456</v>
      </c>
      <c r="C209" s="101" t="s">
        <v>2202</v>
      </c>
      <c r="D209" s="101">
        <v>6.75</v>
      </c>
      <c r="F209" s="266">
        <f t="shared" si="3"/>
        <v>6.75</v>
      </c>
    </row>
    <row r="210" spans="2:8" x14ac:dyDescent="0.25">
      <c r="B210" s="17" t="s">
        <v>336</v>
      </c>
      <c r="C210" s="145" t="s">
        <v>2734</v>
      </c>
      <c r="D210" s="248">
        <v>0.3</v>
      </c>
      <c r="E210" s="150"/>
      <c r="F210" s="266">
        <f t="shared" si="3"/>
        <v>0.3</v>
      </c>
    </row>
    <row r="211" spans="2:8" x14ac:dyDescent="0.25">
      <c r="B211" s="17" t="s">
        <v>341</v>
      </c>
      <c r="C211" s="149" t="s">
        <v>2734</v>
      </c>
      <c r="D211" s="248">
        <v>6.3</v>
      </c>
      <c r="E211" s="146"/>
      <c r="F211" s="266">
        <f t="shared" si="3"/>
        <v>6.3</v>
      </c>
      <c r="H211" s="244"/>
    </row>
    <row r="212" spans="2:8" x14ac:dyDescent="0.25">
      <c r="B212" s="17" t="s">
        <v>342</v>
      </c>
      <c r="C212" s="149" t="s">
        <v>2734</v>
      </c>
      <c r="D212" s="248">
        <v>9.3000000000000007</v>
      </c>
      <c r="E212" s="146"/>
      <c r="F212" s="266">
        <f t="shared" si="3"/>
        <v>9.3000000000000007</v>
      </c>
    </row>
    <row r="213" spans="2:8" x14ac:dyDescent="0.25">
      <c r="B213" s="17" t="s">
        <v>340</v>
      </c>
      <c r="C213" s="149" t="s">
        <v>2734</v>
      </c>
      <c r="E213" s="146"/>
      <c r="F213" s="266">
        <f t="shared" si="3"/>
        <v>0</v>
      </c>
    </row>
    <row r="214" spans="2:8" x14ac:dyDescent="0.25">
      <c r="B214" s="17" t="s">
        <v>343</v>
      </c>
      <c r="C214" s="149" t="s">
        <v>2734</v>
      </c>
      <c r="D214" s="248">
        <v>12.9</v>
      </c>
      <c r="E214" s="146"/>
      <c r="F214" s="266">
        <f t="shared" si="3"/>
        <v>12.9</v>
      </c>
    </row>
    <row r="215" spans="2:8" x14ac:dyDescent="0.25">
      <c r="B215" s="17" t="s">
        <v>933</v>
      </c>
      <c r="C215" s="145" t="s">
        <v>2734</v>
      </c>
      <c r="D215" s="248">
        <v>1</v>
      </c>
      <c r="E215" s="150"/>
      <c r="F215" s="266">
        <f t="shared" si="3"/>
        <v>1</v>
      </c>
    </row>
    <row r="216" spans="2:8" x14ac:dyDescent="0.25">
      <c r="B216" s="17" t="s">
        <v>1819</v>
      </c>
      <c r="C216" s="149" t="s">
        <v>2016</v>
      </c>
      <c r="D216" s="248">
        <v>0.53</v>
      </c>
      <c r="E216" s="161"/>
      <c r="F216" s="266">
        <f t="shared" si="3"/>
        <v>0.53</v>
      </c>
    </row>
    <row r="217" spans="2:8" x14ac:dyDescent="0.25">
      <c r="B217" s="17" t="s">
        <v>2296</v>
      </c>
      <c r="C217" s="149" t="s">
        <v>2265</v>
      </c>
      <c r="D217" s="248">
        <v>10</v>
      </c>
      <c r="E217" s="146"/>
      <c r="F217" s="266">
        <f t="shared" si="3"/>
        <v>10</v>
      </c>
    </row>
    <row r="218" spans="2:8" x14ac:dyDescent="0.25">
      <c r="B218" s="17" t="s">
        <v>2287</v>
      </c>
      <c r="C218" s="145" t="s">
        <v>2577</v>
      </c>
      <c r="D218" s="248">
        <v>1.65</v>
      </c>
      <c r="E218" s="150"/>
      <c r="F218" s="266">
        <f t="shared" si="3"/>
        <v>1.65</v>
      </c>
    </row>
    <row r="219" spans="2:8" x14ac:dyDescent="0.25">
      <c r="B219" s="96" t="s">
        <v>2287</v>
      </c>
      <c r="C219" s="101" t="s">
        <v>2202</v>
      </c>
      <c r="D219" s="101">
        <v>6.75</v>
      </c>
      <c r="F219" s="266">
        <f t="shared" si="3"/>
        <v>6.75</v>
      </c>
    </row>
    <row r="220" spans="2:8" x14ac:dyDescent="0.25">
      <c r="B220" s="17" t="s">
        <v>338</v>
      </c>
      <c r="C220" s="149" t="s">
        <v>2265</v>
      </c>
      <c r="D220" s="248">
        <v>6.42</v>
      </c>
      <c r="E220" s="146"/>
      <c r="F220" s="266">
        <f t="shared" si="3"/>
        <v>6.42</v>
      </c>
    </row>
    <row r="221" spans="2:8" x14ac:dyDescent="0.25">
      <c r="B221" s="264" t="s">
        <v>338</v>
      </c>
      <c r="C221" s="47"/>
      <c r="D221" s="248">
        <v>0</v>
      </c>
      <c r="E221" s="47"/>
      <c r="F221" s="266">
        <f t="shared" si="3"/>
        <v>0</v>
      </c>
    </row>
    <row r="222" spans="2:8" x14ac:dyDescent="0.25">
      <c r="B222" s="155" t="s">
        <v>339</v>
      </c>
      <c r="C222" s="156" t="s">
        <v>2734</v>
      </c>
      <c r="D222" s="248">
        <v>7.31</v>
      </c>
      <c r="E222" s="151"/>
      <c r="F222" s="266">
        <f t="shared" si="3"/>
        <v>7.31</v>
      </c>
    </row>
    <row r="223" spans="2:8" x14ac:dyDescent="0.25">
      <c r="B223" s="155" t="s">
        <v>1719</v>
      </c>
      <c r="C223" s="156" t="s">
        <v>2734</v>
      </c>
      <c r="D223" s="248">
        <v>7.31</v>
      </c>
      <c r="E223" s="151"/>
      <c r="F223" s="266">
        <f t="shared" si="3"/>
        <v>7.31</v>
      </c>
    </row>
    <row r="224" spans="2:8" x14ac:dyDescent="0.25">
      <c r="B224" s="17" t="s">
        <v>2292</v>
      </c>
      <c r="C224" s="149" t="s">
        <v>2016</v>
      </c>
      <c r="E224" s="146"/>
      <c r="F224" s="266">
        <f t="shared" si="3"/>
        <v>0</v>
      </c>
    </row>
    <row r="225" spans="2:8" x14ac:dyDescent="0.25">
      <c r="B225" s="17" t="s">
        <v>2289</v>
      </c>
      <c r="C225" s="149" t="s">
        <v>2016</v>
      </c>
      <c r="D225" s="248">
        <v>0.02</v>
      </c>
      <c r="E225" s="146"/>
      <c r="F225" s="266">
        <f t="shared" si="3"/>
        <v>0.02</v>
      </c>
    </row>
    <row r="226" spans="2:8" x14ac:dyDescent="0.25">
      <c r="B226" s="17" t="s">
        <v>2291</v>
      </c>
      <c r="C226" s="149" t="s">
        <v>2265</v>
      </c>
      <c r="D226" s="248">
        <v>35</v>
      </c>
      <c r="E226" s="146"/>
      <c r="F226" s="266">
        <f t="shared" si="3"/>
        <v>35</v>
      </c>
    </row>
    <row r="227" spans="2:8" x14ac:dyDescent="0.25">
      <c r="B227" s="17" t="s">
        <v>2290</v>
      </c>
      <c r="C227" s="149" t="s">
        <v>2265</v>
      </c>
      <c r="D227" s="248">
        <v>3.29</v>
      </c>
      <c r="E227" s="146"/>
      <c r="F227" s="266">
        <f t="shared" si="3"/>
        <v>3.29</v>
      </c>
    </row>
    <row r="228" spans="2:8" x14ac:dyDescent="0.25">
      <c r="B228" s="264" t="s">
        <v>3329</v>
      </c>
      <c r="C228" s="279" t="s">
        <v>1826</v>
      </c>
      <c r="D228" s="248">
        <v>2.5</v>
      </c>
      <c r="E228" s="146"/>
      <c r="F228" s="266">
        <f t="shared" si="3"/>
        <v>2.5</v>
      </c>
    </row>
    <row r="229" spans="2:8" x14ac:dyDescent="0.25">
      <c r="B229" s="17" t="s">
        <v>337</v>
      </c>
      <c r="C229" s="149" t="s">
        <v>2265</v>
      </c>
      <c r="D229" s="248">
        <v>0.1</v>
      </c>
      <c r="E229" s="146"/>
      <c r="F229" s="266">
        <f t="shared" si="3"/>
        <v>0.1</v>
      </c>
      <c r="H229" s="244"/>
    </row>
    <row r="230" spans="2:8" x14ac:dyDescent="0.25">
      <c r="B230" s="17" t="s">
        <v>935</v>
      </c>
      <c r="C230" s="149" t="s">
        <v>2016</v>
      </c>
      <c r="D230" s="248">
        <v>1.1599999999999999</v>
      </c>
      <c r="E230" s="146"/>
      <c r="F230" s="266">
        <f t="shared" si="3"/>
        <v>1.1599999999999999</v>
      </c>
    </row>
    <row r="231" spans="2:8" x14ac:dyDescent="0.25">
      <c r="B231" s="264" t="s">
        <v>3282</v>
      </c>
      <c r="C231" s="120"/>
      <c r="D231" s="248">
        <v>0</v>
      </c>
      <c r="E231" s="47"/>
      <c r="F231" s="266">
        <f t="shared" si="3"/>
        <v>0</v>
      </c>
    </row>
    <row r="232" spans="2:8" x14ac:dyDescent="0.25">
      <c r="B232" s="17" t="s">
        <v>345</v>
      </c>
      <c r="C232" s="145" t="s">
        <v>2734</v>
      </c>
      <c r="D232" s="248">
        <v>1.05</v>
      </c>
      <c r="E232" s="150"/>
      <c r="F232" s="266">
        <f t="shared" si="3"/>
        <v>1.05</v>
      </c>
    </row>
    <row r="233" spans="2:8" x14ac:dyDescent="0.25">
      <c r="B233" s="155" t="s">
        <v>985</v>
      </c>
      <c r="C233" s="156" t="s">
        <v>2734</v>
      </c>
      <c r="D233" s="248">
        <v>75</v>
      </c>
      <c r="E233" s="151"/>
      <c r="F233" s="266">
        <f t="shared" si="3"/>
        <v>75</v>
      </c>
    </row>
    <row r="234" spans="2:8" x14ac:dyDescent="0.25">
      <c r="B234" s="113" t="s">
        <v>3080</v>
      </c>
      <c r="C234" s="123" t="s">
        <v>2577</v>
      </c>
      <c r="D234" s="248">
        <v>0.6</v>
      </c>
      <c r="F234" s="266">
        <f t="shared" si="3"/>
        <v>0.6</v>
      </c>
    </row>
    <row r="235" spans="2:8" x14ac:dyDescent="0.25">
      <c r="B235" s="106" t="s">
        <v>3080</v>
      </c>
      <c r="C235" s="120" t="s">
        <v>478</v>
      </c>
      <c r="D235" s="248">
        <v>1200</v>
      </c>
      <c r="F235" s="266">
        <f t="shared" si="3"/>
        <v>1200</v>
      </c>
    </row>
    <row r="236" spans="2:8" x14ac:dyDescent="0.25">
      <c r="B236" s="155" t="s">
        <v>1567</v>
      </c>
      <c r="C236" s="156" t="s">
        <v>2834</v>
      </c>
      <c r="D236" s="248">
        <v>7.98</v>
      </c>
      <c r="E236" s="151"/>
      <c r="F236" s="266">
        <f t="shared" si="3"/>
        <v>7.98</v>
      </c>
    </row>
    <row r="237" spans="2:8" x14ac:dyDescent="0.25">
      <c r="B237" s="155" t="s">
        <v>1358</v>
      </c>
      <c r="C237" s="156" t="s">
        <v>2834</v>
      </c>
      <c r="D237" s="248">
        <v>5.72</v>
      </c>
      <c r="E237" s="151"/>
      <c r="F237" s="266">
        <f t="shared" si="3"/>
        <v>5.72</v>
      </c>
    </row>
    <row r="238" spans="2:8" x14ac:dyDescent="0.25">
      <c r="B238" s="159" t="s">
        <v>2662</v>
      </c>
      <c r="C238" s="153" t="s">
        <v>478</v>
      </c>
      <c r="D238" s="248">
        <v>26</v>
      </c>
      <c r="E238" s="151"/>
      <c r="F238" s="266">
        <f t="shared" si="3"/>
        <v>26</v>
      </c>
    </row>
    <row r="239" spans="2:8" x14ac:dyDescent="0.25">
      <c r="B239" s="155" t="s">
        <v>1359</v>
      </c>
      <c r="C239" s="156" t="s">
        <v>734</v>
      </c>
      <c r="D239" s="248">
        <v>37.28</v>
      </c>
      <c r="E239" s="151"/>
      <c r="F239" s="266">
        <f t="shared" si="3"/>
        <v>37.28</v>
      </c>
    </row>
    <row r="240" spans="2:8" ht="26.4" x14ac:dyDescent="0.25">
      <c r="B240" s="155" t="s">
        <v>1360</v>
      </c>
      <c r="C240" s="156" t="s">
        <v>605</v>
      </c>
      <c r="D240" s="248">
        <v>12.5</v>
      </c>
      <c r="E240" s="151"/>
      <c r="F240" s="266">
        <f t="shared" si="3"/>
        <v>12.5</v>
      </c>
    </row>
    <row r="241" spans="1:8" ht="26.4" x14ac:dyDescent="0.25">
      <c r="B241" s="155" t="s">
        <v>1361</v>
      </c>
      <c r="C241" s="156" t="s">
        <v>605</v>
      </c>
      <c r="D241" s="248">
        <v>10.5</v>
      </c>
      <c r="E241" s="151"/>
      <c r="F241" s="266">
        <f t="shared" si="3"/>
        <v>10.5</v>
      </c>
    </row>
    <row r="242" spans="1:8" x14ac:dyDescent="0.25">
      <c r="B242" s="79" t="s">
        <v>2406</v>
      </c>
      <c r="C242" s="56" t="s">
        <v>1182</v>
      </c>
      <c r="D242" s="110">
        <v>87</v>
      </c>
      <c r="F242" s="266">
        <f t="shared" si="3"/>
        <v>87</v>
      </c>
    </row>
    <row r="243" spans="1:8" x14ac:dyDescent="0.25">
      <c r="B243" s="79" t="s">
        <v>757</v>
      </c>
      <c r="C243" s="56" t="s">
        <v>735</v>
      </c>
      <c r="D243" s="110">
        <v>12.1</v>
      </c>
      <c r="F243" s="266">
        <f t="shared" si="3"/>
        <v>12.1</v>
      </c>
    </row>
    <row r="244" spans="1:8" x14ac:dyDescent="0.25">
      <c r="B244" s="143" t="s">
        <v>636</v>
      </c>
      <c r="C244" s="47"/>
      <c r="D244" s="248">
        <v>0</v>
      </c>
      <c r="E244" s="47"/>
      <c r="F244" s="266">
        <f t="shared" si="3"/>
        <v>0</v>
      </c>
    </row>
    <row r="245" spans="1:8" x14ac:dyDescent="0.25">
      <c r="A245" s="184" t="s">
        <v>815</v>
      </c>
      <c r="B245" s="184" t="s">
        <v>1568</v>
      </c>
      <c r="C245" s="191" t="s">
        <v>1365</v>
      </c>
      <c r="D245" s="248">
        <v>1.4831320000000001</v>
      </c>
      <c r="F245" s="266">
        <f t="shared" si="3"/>
        <v>1.4831320000000001</v>
      </c>
    </row>
    <row r="246" spans="1:8" x14ac:dyDescent="0.25">
      <c r="A246" s="184" t="s">
        <v>816</v>
      </c>
      <c r="B246" s="184" t="s">
        <v>1760</v>
      </c>
      <c r="C246" s="191" t="s">
        <v>399</v>
      </c>
      <c r="D246" s="248">
        <v>0.62637915200000005</v>
      </c>
      <c r="F246" s="266">
        <f t="shared" si="3"/>
        <v>0.62637915200000005</v>
      </c>
      <c r="G246" s="244"/>
    </row>
    <row r="247" spans="1:8" x14ac:dyDescent="0.25">
      <c r="B247" s="106" t="s">
        <v>2751</v>
      </c>
      <c r="C247" s="120"/>
      <c r="D247" s="248">
        <v>0</v>
      </c>
      <c r="E247" s="47"/>
      <c r="F247" s="266">
        <f t="shared" si="3"/>
        <v>0</v>
      </c>
      <c r="G247" s="244"/>
    </row>
    <row r="248" spans="1:8" x14ac:dyDescent="0.25">
      <c r="B248" s="143" t="s">
        <v>218</v>
      </c>
      <c r="C248" s="144"/>
      <c r="E248" s="152"/>
      <c r="F248" s="266">
        <f t="shared" si="3"/>
        <v>0</v>
      </c>
    </row>
    <row r="249" spans="1:8" x14ac:dyDescent="0.25">
      <c r="A249" s="184" t="s">
        <v>822</v>
      </c>
      <c r="B249" s="184" t="s">
        <v>1752</v>
      </c>
      <c r="C249" s="191" t="s">
        <v>1733</v>
      </c>
      <c r="D249" s="248">
        <v>0.31</v>
      </c>
      <c r="F249" s="266">
        <f t="shared" si="3"/>
        <v>0.31</v>
      </c>
    </row>
    <row r="250" spans="1:8" x14ac:dyDescent="0.25">
      <c r="A250" s="184" t="s">
        <v>819</v>
      </c>
      <c r="B250" s="184" t="s">
        <v>1753</v>
      </c>
      <c r="C250" s="191" t="s">
        <v>1733</v>
      </c>
      <c r="D250" s="248">
        <v>0.13</v>
      </c>
      <c r="F250" s="266">
        <f t="shared" si="3"/>
        <v>0.13</v>
      </c>
      <c r="G250" s="244"/>
    </row>
    <row r="251" spans="1:8" x14ac:dyDescent="0.25">
      <c r="B251" s="17" t="s">
        <v>2316</v>
      </c>
      <c r="C251" s="149" t="s">
        <v>1037</v>
      </c>
      <c r="D251" s="248">
        <v>0.4</v>
      </c>
      <c r="E251" s="146">
        <v>0.45</v>
      </c>
      <c r="F251" s="266">
        <f t="shared" si="3"/>
        <v>0.45</v>
      </c>
    </row>
    <row r="252" spans="1:8" x14ac:dyDescent="0.25">
      <c r="B252" s="195" t="s">
        <v>3257</v>
      </c>
      <c r="C252" s="198" t="s">
        <v>195</v>
      </c>
      <c r="D252" s="199">
        <v>1.5</v>
      </c>
      <c r="F252" s="266">
        <f t="shared" si="3"/>
        <v>1.5</v>
      </c>
      <c r="H252" s="244"/>
    </row>
    <row r="253" spans="1:8" x14ac:dyDescent="0.25">
      <c r="B253" s="195" t="s">
        <v>3395</v>
      </c>
      <c r="C253" s="196" t="s">
        <v>516</v>
      </c>
      <c r="D253" s="197">
        <v>30</v>
      </c>
      <c r="F253" s="266">
        <f t="shared" si="3"/>
        <v>30</v>
      </c>
    </row>
    <row r="254" spans="1:8" x14ac:dyDescent="0.25">
      <c r="B254" s="195" t="s">
        <v>3256</v>
      </c>
      <c r="C254" s="196" t="s">
        <v>195</v>
      </c>
      <c r="D254" s="197">
        <v>1.1000000000000001</v>
      </c>
      <c r="F254" s="266">
        <f t="shared" si="3"/>
        <v>1.1000000000000001</v>
      </c>
    </row>
    <row r="255" spans="1:8" x14ac:dyDescent="0.25">
      <c r="A255" s="249"/>
      <c r="B255" s="250" t="s">
        <v>3116</v>
      </c>
      <c r="C255" s="251" t="s">
        <v>552</v>
      </c>
      <c r="D255" s="251">
        <v>116</v>
      </c>
      <c r="E255" s="252"/>
      <c r="F255" s="266">
        <f t="shared" si="3"/>
        <v>116</v>
      </c>
      <c r="H255" s="244"/>
    </row>
    <row r="256" spans="1:8" x14ac:dyDescent="0.25">
      <c r="B256" s="106" t="s">
        <v>3169</v>
      </c>
      <c r="C256" s="120" t="s">
        <v>552</v>
      </c>
      <c r="D256" s="120">
        <v>110</v>
      </c>
      <c r="F256" s="266">
        <f t="shared" si="3"/>
        <v>110</v>
      </c>
    </row>
    <row r="257" spans="1:7" ht="22.8" x14ac:dyDescent="0.25">
      <c r="B257" s="106" t="s">
        <v>1176</v>
      </c>
      <c r="C257" s="47"/>
      <c r="D257" s="248">
        <v>0</v>
      </c>
      <c r="E257" s="47"/>
      <c r="F257" s="266">
        <f t="shared" si="3"/>
        <v>0</v>
      </c>
    </row>
    <row r="258" spans="1:7" x14ac:dyDescent="0.25">
      <c r="B258" s="106" t="s">
        <v>3313</v>
      </c>
      <c r="C258" s="47" t="s">
        <v>516</v>
      </c>
      <c r="D258" s="248">
        <v>100</v>
      </c>
      <c r="E258" s="47"/>
      <c r="F258" s="266">
        <f t="shared" ref="F258:F321" si="4">IF(E258&gt;0,E258,D258)</f>
        <v>100</v>
      </c>
    </row>
    <row r="259" spans="1:7" x14ac:dyDescent="0.25">
      <c r="B259" s="143" t="s">
        <v>763</v>
      </c>
      <c r="C259" s="144" t="s">
        <v>2265</v>
      </c>
      <c r="D259" s="248">
        <v>260</v>
      </c>
      <c r="E259" s="146"/>
      <c r="F259" s="266">
        <f t="shared" si="4"/>
        <v>260</v>
      </c>
    </row>
    <row r="260" spans="1:7" x14ac:dyDescent="0.25">
      <c r="B260" s="143" t="s">
        <v>764</v>
      </c>
      <c r="C260" s="144" t="s">
        <v>2265</v>
      </c>
      <c r="D260" s="248">
        <v>320</v>
      </c>
      <c r="E260" s="152"/>
      <c r="F260" s="266">
        <f t="shared" si="4"/>
        <v>320</v>
      </c>
    </row>
    <row r="261" spans="1:7" x14ac:dyDescent="0.25">
      <c r="B261" s="106" t="s">
        <v>2452</v>
      </c>
      <c r="C261" s="120"/>
      <c r="F261" s="266">
        <f t="shared" si="4"/>
        <v>0</v>
      </c>
    </row>
    <row r="262" spans="1:7" x14ac:dyDescent="0.25">
      <c r="B262" s="79" t="s">
        <v>3322</v>
      </c>
      <c r="C262" s="47" t="s">
        <v>735</v>
      </c>
      <c r="D262" s="248">
        <v>120</v>
      </c>
      <c r="E262" s="47"/>
      <c r="F262" s="266">
        <f t="shared" si="4"/>
        <v>120</v>
      </c>
    </row>
    <row r="263" spans="1:7" x14ac:dyDescent="0.25">
      <c r="B263" s="106" t="s">
        <v>1465</v>
      </c>
      <c r="C263" s="47"/>
      <c r="D263" s="248">
        <v>0</v>
      </c>
      <c r="E263" s="47"/>
      <c r="F263" s="266">
        <f t="shared" si="4"/>
        <v>0</v>
      </c>
    </row>
    <row r="264" spans="1:7" x14ac:dyDescent="0.25">
      <c r="A264" s="184" t="s">
        <v>827</v>
      </c>
      <c r="B264" s="184" t="s">
        <v>1746</v>
      </c>
      <c r="C264" s="191" t="s">
        <v>2202</v>
      </c>
      <c r="D264" s="248">
        <v>5.2042457040000007</v>
      </c>
      <c r="F264" s="266">
        <f t="shared" si="4"/>
        <v>5.2042457040000007</v>
      </c>
    </row>
    <row r="265" spans="1:7" x14ac:dyDescent="0.25">
      <c r="B265" s="143" t="s">
        <v>1580</v>
      </c>
      <c r="C265" s="101" t="s">
        <v>2265</v>
      </c>
      <c r="D265" s="101">
        <v>72</v>
      </c>
      <c r="F265" s="266">
        <f t="shared" si="4"/>
        <v>72</v>
      </c>
    </row>
    <row r="266" spans="1:7" x14ac:dyDescent="0.25">
      <c r="B266" s="143" t="s">
        <v>1581</v>
      </c>
      <c r="C266" s="101" t="s">
        <v>2265</v>
      </c>
      <c r="D266" s="101">
        <v>88</v>
      </c>
      <c r="F266" s="266">
        <f t="shared" si="4"/>
        <v>88</v>
      </c>
    </row>
    <row r="267" spans="1:7" x14ac:dyDescent="0.25">
      <c r="B267" s="143" t="s">
        <v>1582</v>
      </c>
      <c r="C267" s="101" t="s">
        <v>2265</v>
      </c>
      <c r="D267" s="101">
        <v>92</v>
      </c>
      <c r="F267" s="266">
        <f t="shared" si="4"/>
        <v>92</v>
      </c>
    </row>
    <row r="268" spans="1:7" x14ac:dyDescent="0.25">
      <c r="B268" s="143" t="s">
        <v>1583</v>
      </c>
      <c r="C268" s="101" t="s">
        <v>2265</v>
      </c>
      <c r="D268" s="101">
        <v>135</v>
      </c>
      <c r="F268" s="266">
        <f t="shared" si="4"/>
        <v>135</v>
      </c>
    </row>
    <row r="269" spans="1:7" x14ac:dyDescent="0.25">
      <c r="B269" s="143" t="s">
        <v>1584</v>
      </c>
      <c r="C269" s="101" t="s">
        <v>2265</v>
      </c>
      <c r="D269" s="101">
        <v>146</v>
      </c>
      <c r="F269" s="266">
        <f t="shared" si="4"/>
        <v>146</v>
      </c>
    </row>
    <row r="270" spans="1:7" x14ac:dyDescent="0.25">
      <c r="B270" s="143" t="s">
        <v>1585</v>
      </c>
      <c r="C270" s="101" t="s">
        <v>2265</v>
      </c>
      <c r="D270" s="101">
        <v>162</v>
      </c>
      <c r="F270" s="266">
        <f t="shared" si="4"/>
        <v>162</v>
      </c>
    </row>
    <row r="271" spans="1:7" x14ac:dyDescent="0.25">
      <c r="B271" s="195" t="s">
        <v>3334</v>
      </c>
      <c r="C271" s="198" t="s">
        <v>3083</v>
      </c>
      <c r="D271" s="199">
        <v>4</v>
      </c>
      <c r="F271" s="266">
        <f t="shared" si="4"/>
        <v>4</v>
      </c>
      <c r="G271" s="246" t="s">
        <v>3113</v>
      </c>
    </row>
    <row r="272" spans="1:7" x14ac:dyDescent="0.25">
      <c r="B272" s="195" t="s">
        <v>3335</v>
      </c>
      <c r="C272" s="198" t="s">
        <v>195</v>
      </c>
      <c r="D272" s="199">
        <v>1.5</v>
      </c>
      <c r="F272" s="266">
        <f t="shared" si="4"/>
        <v>1.5</v>
      </c>
      <c r="G272" s="246" t="s">
        <v>3113</v>
      </c>
    </row>
    <row r="273" spans="2:8" x14ac:dyDescent="0.25">
      <c r="B273" s="106" t="s">
        <v>2432</v>
      </c>
      <c r="C273" s="117"/>
      <c r="D273" s="248">
        <v>0</v>
      </c>
      <c r="E273" s="47"/>
      <c r="F273" s="266">
        <f t="shared" si="4"/>
        <v>0</v>
      </c>
      <c r="G273" s="246" t="s">
        <v>3113</v>
      </c>
    </row>
    <row r="274" spans="2:8" x14ac:dyDescent="0.25">
      <c r="B274" s="106" t="s">
        <v>2557</v>
      </c>
      <c r="C274" s="120"/>
      <c r="D274" s="248">
        <v>0</v>
      </c>
      <c r="E274" s="47"/>
      <c r="F274" s="266">
        <f t="shared" si="4"/>
        <v>0</v>
      </c>
    </row>
    <row r="275" spans="2:8" x14ac:dyDescent="0.25">
      <c r="B275" s="264" t="s">
        <v>3294</v>
      </c>
      <c r="C275" s="145" t="s">
        <v>1387</v>
      </c>
      <c r="D275" s="248">
        <v>2.5</v>
      </c>
      <c r="E275" s="146"/>
      <c r="F275" s="266">
        <f t="shared" si="4"/>
        <v>2.5</v>
      </c>
      <c r="G275" s="260" t="s">
        <v>3113</v>
      </c>
    </row>
    <row r="276" spans="2:8" x14ac:dyDescent="0.25">
      <c r="B276" s="106" t="s">
        <v>2155</v>
      </c>
      <c r="C276" s="273" t="s">
        <v>739</v>
      </c>
      <c r="D276" s="248">
        <v>2.5</v>
      </c>
      <c r="E276" s="146"/>
      <c r="F276" s="266">
        <f t="shared" si="4"/>
        <v>2.5</v>
      </c>
    </row>
    <row r="277" spans="2:8" x14ac:dyDescent="0.25">
      <c r="B277" s="100" t="s">
        <v>3134</v>
      </c>
      <c r="C277" s="120" t="s">
        <v>726</v>
      </c>
      <c r="D277" s="248">
        <v>45</v>
      </c>
      <c r="F277" s="266">
        <f t="shared" si="4"/>
        <v>45</v>
      </c>
    </row>
    <row r="278" spans="2:8" x14ac:dyDescent="0.25">
      <c r="B278" s="256" t="s">
        <v>3383</v>
      </c>
      <c r="C278" s="285" t="s">
        <v>735</v>
      </c>
      <c r="D278" s="280">
        <v>4</v>
      </c>
      <c r="E278"/>
      <c r="F278" s="266">
        <f t="shared" si="4"/>
        <v>4</v>
      </c>
    </row>
    <row r="279" spans="2:8" x14ac:dyDescent="0.25">
      <c r="B279" s="113" t="s">
        <v>3290</v>
      </c>
      <c r="C279" s="123" t="s">
        <v>516</v>
      </c>
      <c r="D279" s="248">
        <v>35</v>
      </c>
      <c r="F279" s="266">
        <f t="shared" si="4"/>
        <v>35</v>
      </c>
      <c r="G279" s="244"/>
      <c r="H279" s="244"/>
    </row>
    <row r="280" spans="2:8" x14ac:dyDescent="0.25">
      <c r="B280" s="256" t="s">
        <v>3315</v>
      </c>
      <c r="C280" s="284" t="s">
        <v>516</v>
      </c>
      <c r="D280" s="280">
        <v>100</v>
      </c>
      <c r="E280"/>
      <c r="F280" s="266">
        <f t="shared" si="4"/>
        <v>100</v>
      </c>
    </row>
    <row r="281" spans="2:8" x14ac:dyDescent="0.25">
      <c r="B281" s="79" t="s">
        <v>741</v>
      </c>
      <c r="C281" s="56" t="s">
        <v>739</v>
      </c>
      <c r="D281" s="110">
        <v>1.52</v>
      </c>
      <c r="F281" s="266">
        <f t="shared" si="4"/>
        <v>1.52</v>
      </c>
    </row>
    <row r="282" spans="2:8" x14ac:dyDescent="0.25">
      <c r="B282" s="79" t="s">
        <v>2005</v>
      </c>
      <c r="C282" s="56" t="s">
        <v>1384</v>
      </c>
      <c r="D282" s="110">
        <v>6</v>
      </c>
      <c r="F282" s="266">
        <f t="shared" si="4"/>
        <v>6</v>
      </c>
    </row>
    <row r="283" spans="2:8" x14ac:dyDescent="0.25">
      <c r="B283" s="79" t="s">
        <v>3374</v>
      </c>
      <c r="C283" s="56" t="s">
        <v>735</v>
      </c>
      <c r="D283" s="110">
        <v>40</v>
      </c>
      <c r="F283" s="266">
        <f t="shared" si="4"/>
        <v>40</v>
      </c>
    </row>
    <row r="284" spans="2:8" x14ac:dyDescent="0.25">
      <c r="B284" s="79" t="s">
        <v>3356</v>
      </c>
      <c r="C284" s="56" t="s">
        <v>478</v>
      </c>
      <c r="D284" s="110">
        <v>6.3</v>
      </c>
      <c r="F284" s="266">
        <f t="shared" si="4"/>
        <v>6.3</v>
      </c>
    </row>
    <row r="285" spans="2:8" x14ac:dyDescent="0.25">
      <c r="B285" s="79" t="s">
        <v>3358</v>
      </c>
      <c r="C285" s="56" t="s">
        <v>735</v>
      </c>
      <c r="D285" s="110">
        <v>9.41</v>
      </c>
      <c r="F285" s="266">
        <f t="shared" si="4"/>
        <v>9.41</v>
      </c>
    </row>
    <row r="286" spans="2:8" x14ac:dyDescent="0.25">
      <c r="B286" s="79" t="s">
        <v>3357</v>
      </c>
      <c r="C286" s="56" t="s">
        <v>478</v>
      </c>
      <c r="D286" s="110">
        <v>10.6</v>
      </c>
      <c r="F286" s="266">
        <f t="shared" si="4"/>
        <v>10.6</v>
      </c>
    </row>
    <row r="287" spans="2:8" x14ac:dyDescent="0.25">
      <c r="B287" s="79" t="s">
        <v>3359</v>
      </c>
      <c r="C287" s="56" t="s">
        <v>735</v>
      </c>
      <c r="D287" s="110">
        <v>14.84</v>
      </c>
      <c r="F287" s="266">
        <f t="shared" si="4"/>
        <v>14.84</v>
      </c>
    </row>
    <row r="288" spans="2:8" x14ac:dyDescent="0.25">
      <c r="B288" s="205" t="s">
        <v>3291</v>
      </c>
      <c r="C288" s="206" t="s">
        <v>478</v>
      </c>
      <c r="D288" s="255">
        <v>20</v>
      </c>
      <c r="F288" s="266">
        <f t="shared" si="4"/>
        <v>20</v>
      </c>
    </row>
    <row r="289" spans="1:6" x14ac:dyDescent="0.25">
      <c r="B289" s="96" t="s">
        <v>3314</v>
      </c>
      <c r="C289" s="120" t="s">
        <v>735</v>
      </c>
      <c r="D289" s="120">
        <v>30</v>
      </c>
      <c r="F289" s="266">
        <f t="shared" si="4"/>
        <v>30</v>
      </c>
    </row>
    <row r="290" spans="1:6" x14ac:dyDescent="0.25">
      <c r="B290" s="79" t="s">
        <v>3339</v>
      </c>
      <c r="C290" s="56" t="s">
        <v>735</v>
      </c>
      <c r="D290" s="110">
        <v>25</v>
      </c>
      <c r="F290" s="266">
        <f t="shared" si="4"/>
        <v>25</v>
      </c>
    </row>
    <row r="291" spans="1:6" x14ac:dyDescent="0.25">
      <c r="B291" s="205" t="s">
        <v>3298</v>
      </c>
      <c r="C291" s="206" t="s">
        <v>478</v>
      </c>
      <c r="D291" s="255">
        <v>20</v>
      </c>
      <c r="F291" s="266">
        <f t="shared" si="4"/>
        <v>20</v>
      </c>
    </row>
    <row r="292" spans="1:6" x14ac:dyDescent="0.25">
      <c r="B292" s="79" t="s">
        <v>3360</v>
      </c>
      <c r="C292" s="56" t="s">
        <v>478</v>
      </c>
      <c r="D292" s="110">
        <v>11.63</v>
      </c>
      <c r="F292" s="266">
        <f t="shared" si="4"/>
        <v>11.63</v>
      </c>
    </row>
    <row r="293" spans="1:6" x14ac:dyDescent="0.25">
      <c r="B293" s="79" t="s">
        <v>3361</v>
      </c>
      <c r="C293" s="56" t="s">
        <v>735</v>
      </c>
      <c r="D293" s="110">
        <v>16.28</v>
      </c>
      <c r="F293" s="266">
        <f t="shared" si="4"/>
        <v>16.28</v>
      </c>
    </row>
    <row r="294" spans="1:6" x14ac:dyDescent="0.25">
      <c r="A294" s="184" t="s">
        <v>831</v>
      </c>
      <c r="B294" s="184" t="s">
        <v>1736</v>
      </c>
      <c r="C294" s="191" t="s">
        <v>399</v>
      </c>
      <c r="D294" s="248">
        <v>17.318007280000003</v>
      </c>
      <c r="F294" s="266">
        <f t="shared" si="4"/>
        <v>17.318007280000003</v>
      </c>
    </row>
    <row r="295" spans="1:6" x14ac:dyDescent="0.25">
      <c r="B295" s="106" t="s">
        <v>227</v>
      </c>
      <c r="C295" s="120"/>
      <c r="D295" s="248">
        <v>0</v>
      </c>
      <c r="E295" s="47"/>
      <c r="F295" s="266">
        <f t="shared" si="4"/>
        <v>0</v>
      </c>
    </row>
    <row r="296" spans="1:6" x14ac:dyDescent="0.25">
      <c r="B296" s="106" t="s">
        <v>226</v>
      </c>
      <c r="C296" s="120"/>
      <c r="D296" s="248">
        <v>0</v>
      </c>
      <c r="E296" s="47"/>
      <c r="F296" s="266">
        <f t="shared" si="4"/>
        <v>0</v>
      </c>
    </row>
    <row r="297" spans="1:6" x14ac:dyDescent="0.25">
      <c r="B297" s="106" t="s">
        <v>3379</v>
      </c>
      <c r="C297" s="120" t="s">
        <v>2734</v>
      </c>
      <c r="D297" s="248">
        <v>153</v>
      </c>
      <c r="E297" s="47"/>
      <c r="F297" s="266">
        <f t="shared" si="4"/>
        <v>153</v>
      </c>
    </row>
    <row r="298" spans="1:6" x14ac:dyDescent="0.25">
      <c r="B298" s="106" t="s">
        <v>3380</v>
      </c>
      <c r="C298" s="120" t="s">
        <v>2734</v>
      </c>
      <c r="D298" s="248">
        <v>105</v>
      </c>
      <c r="E298" s="47"/>
      <c r="F298" s="266">
        <f t="shared" si="4"/>
        <v>105</v>
      </c>
    </row>
    <row r="299" spans="1:6" x14ac:dyDescent="0.25">
      <c r="B299" s="106" t="s">
        <v>3373</v>
      </c>
      <c r="C299" s="120" t="s">
        <v>1826</v>
      </c>
      <c r="D299" s="248">
        <v>7.35</v>
      </c>
      <c r="E299" s="47"/>
      <c r="F299" s="266">
        <f t="shared" si="4"/>
        <v>7.35</v>
      </c>
    </row>
    <row r="300" spans="1:6" x14ac:dyDescent="0.25">
      <c r="B300" s="106" t="s">
        <v>3381</v>
      </c>
      <c r="C300" s="120" t="s">
        <v>1826</v>
      </c>
      <c r="D300" s="248">
        <v>6.6</v>
      </c>
      <c r="E300" s="47"/>
      <c r="F300" s="266">
        <f t="shared" si="4"/>
        <v>6.6</v>
      </c>
    </row>
    <row r="301" spans="1:6" x14ac:dyDescent="0.25">
      <c r="B301" s="100" t="s">
        <v>2451</v>
      </c>
      <c r="C301" s="120" t="s">
        <v>516</v>
      </c>
      <c r="D301" s="120">
        <v>20</v>
      </c>
      <c r="F301" s="266">
        <f t="shared" si="4"/>
        <v>20</v>
      </c>
    </row>
    <row r="302" spans="1:6" x14ac:dyDescent="0.25">
      <c r="B302" s="113" t="s">
        <v>3082</v>
      </c>
      <c r="C302" s="123" t="s">
        <v>3083</v>
      </c>
      <c r="D302" s="248">
        <v>1.22</v>
      </c>
      <c r="F302" s="266">
        <f t="shared" si="4"/>
        <v>1.22</v>
      </c>
    </row>
    <row r="303" spans="1:6" x14ac:dyDescent="0.25">
      <c r="B303" s="143" t="s">
        <v>2260</v>
      </c>
      <c r="C303" s="144" t="s">
        <v>2202</v>
      </c>
      <c r="D303" s="248">
        <v>2.75</v>
      </c>
      <c r="E303" s="146"/>
      <c r="F303" s="266">
        <f t="shared" si="4"/>
        <v>2.75</v>
      </c>
    </row>
    <row r="304" spans="1:6" x14ac:dyDescent="0.25">
      <c r="B304" s="106" t="s">
        <v>3065</v>
      </c>
      <c r="C304" s="120" t="s">
        <v>726</v>
      </c>
      <c r="D304" s="120">
        <v>45</v>
      </c>
      <c r="F304" s="266">
        <f t="shared" si="4"/>
        <v>45</v>
      </c>
    </row>
    <row r="305" spans="1:8" x14ac:dyDescent="0.25">
      <c r="B305" s="106" t="s">
        <v>3324</v>
      </c>
      <c r="C305" s="120" t="s">
        <v>552</v>
      </c>
      <c r="D305" s="120">
        <v>10</v>
      </c>
      <c r="F305" s="266">
        <f t="shared" si="4"/>
        <v>10</v>
      </c>
    </row>
    <row r="306" spans="1:8" ht="22.8" x14ac:dyDescent="0.25">
      <c r="A306" s="249"/>
      <c r="B306" s="250" t="s">
        <v>3274</v>
      </c>
      <c r="C306" s="251" t="s">
        <v>552</v>
      </c>
      <c r="D306" s="251">
        <v>21.4</v>
      </c>
      <c r="E306" s="252"/>
      <c r="F306" s="266">
        <f t="shared" si="4"/>
        <v>21.4</v>
      </c>
      <c r="G306" s="244"/>
      <c r="H306" s="244"/>
    </row>
    <row r="307" spans="1:8" ht="26.4" x14ac:dyDescent="0.25">
      <c r="B307" s="264" t="s">
        <v>3278</v>
      </c>
      <c r="C307" s="265" t="s">
        <v>552</v>
      </c>
      <c r="D307" s="248">
        <v>5</v>
      </c>
      <c r="E307" s="146"/>
      <c r="F307" s="266">
        <f t="shared" si="4"/>
        <v>5</v>
      </c>
    </row>
    <row r="308" spans="1:8" ht="39.6" x14ac:dyDescent="0.25">
      <c r="B308" s="264" t="s">
        <v>3277</v>
      </c>
      <c r="C308" s="265" t="s">
        <v>552</v>
      </c>
      <c r="D308" s="248">
        <v>0.3</v>
      </c>
      <c r="E308" s="146"/>
      <c r="F308" s="266">
        <f t="shared" si="4"/>
        <v>0.3</v>
      </c>
    </row>
    <row r="309" spans="1:8" x14ac:dyDescent="0.25">
      <c r="B309" s="264" t="s">
        <v>3276</v>
      </c>
      <c r="C309" s="149" t="s">
        <v>2241</v>
      </c>
      <c r="D309" s="248">
        <v>45</v>
      </c>
      <c r="E309" s="146"/>
      <c r="F309" s="266">
        <f t="shared" si="4"/>
        <v>45</v>
      </c>
    </row>
    <row r="310" spans="1:8" x14ac:dyDescent="0.25">
      <c r="B310" s="264" t="s">
        <v>3326</v>
      </c>
      <c r="C310" s="149" t="s">
        <v>2241</v>
      </c>
      <c r="D310" s="248">
        <v>251.6</v>
      </c>
      <c r="E310" s="146"/>
      <c r="F310" s="266">
        <f t="shared" si="4"/>
        <v>251.6</v>
      </c>
    </row>
    <row r="311" spans="1:8" x14ac:dyDescent="0.25">
      <c r="B311" s="264" t="s">
        <v>3325</v>
      </c>
      <c r="C311" s="149" t="s">
        <v>2241</v>
      </c>
      <c r="D311" s="248">
        <v>38.5</v>
      </c>
      <c r="E311" s="146"/>
      <c r="F311" s="266">
        <f t="shared" si="4"/>
        <v>38.5</v>
      </c>
    </row>
    <row r="312" spans="1:8" x14ac:dyDescent="0.25">
      <c r="B312" s="143" t="s">
        <v>2097</v>
      </c>
      <c r="C312" s="272" t="s">
        <v>195</v>
      </c>
      <c r="D312" s="248">
        <v>0.04</v>
      </c>
      <c r="E312" s="146"/>
      <c r="F312" s="266">
        <f t="shared" si="4"/>
        <v>0.04</v>
      </c>
    </row>
    <row r="313" spans="1:8" x14ac:dyDescent="0.25">
      <c r="B313" s="106" t="s">
        <v>2320</v>
      </c>
      <c r="C313" s="120"/>
      <c r="D313" s="248">
        <v>0</v>
      </c>
      <c r="E313" s="47"/>
      <c r="F313" s="266">
        <f t="shared" si="4"/>
        <v>0</v>
      </c>
    </row>
    <row r="314" spans="1:8" x14ac:dyDescent="0.25">
      <c r="B314" s="106" t="s">
        <v>1246</v>
      </c>
      <c r="C314" s="47"/>
      <c r="D314" s="248">
        <v>0</v>
      </c>
      <c r="E314" s="47"/>
      <c r="F314" s="266">
        <f t="shared" si="4"/>
        <v>0</v>
      </c>
    </row>
    <row r="315" spans="1:8" x14ac:dyDescent="0.25">
      <c r="B315" s="106" t="s">
        <v>2708</v>
      </c>
      <c r="C315" s="47"/>
      <c r="D315" s="248">
        <v>0</v>
      </c>
      <c r="E315" s="47"/>
      <c r="F315" s="266">
        <f t="shared" si="4"/>
        <v>0</v>
      </c>
    </row>
    <row r="316" spans="1:8" x14ac:dyDescent="0.25">
      <c r="B316" s="106" t="s">
        <v>2709</v>
      </c>
      <c r="C316" s="47"/>
      <c r="D316" s="248">
        <v>0</v>
      </c>
      <c r="E316" s="47"/>
      <c r="F316" s="266">
        <f t="shared" si="4"/>
        <v>0</v>
      </c>
    </row>
    <row r="317" spans="1:8" x14ac:dyDescent="0.25">
      <c r="B317" s="106" t="s">
        <v>1236</v>
      </c>
      <c r="C317" s="47"/>
      <c r="D317" s="248">
        <v>0</v>
      </c>
      <c r="E317" s="47"/>
      <c r="F317" s="266">
        <f t="shared" si="4"/>
        <v>0</v>
      </c>
    </row>
    <row r="318" spans="1:8" x14ac:dyDescent="0.25">
      <c r="B318" s="106" t="s">
        <v>2319</v>
      </c>
      <c r="C318" s="47"/>
      <c r="D318" s="248">
        <v>0</v>
      </c>
      <c r="E318" s="47"/>
      <c r="F318" s="266">
        <f t="shared" si="4"/>
        <v>0</v>
      </c>
    </row>
    <row r="319" spans="1:8" x14ac:dyDescent="0.25">
      <c r="B319" s="106" t="s">
        <v>3055</v>
      </c>
      <c r="C319" s="211" t="s">
        <v>516</v>
      </c>
      <c r="D319" s="248">
        <v>100</v>
      </c>
      <c r="F319" s="266">
        <f t="shared" si="4"/>
        <v>100</v>
      </c>
    </row>
    <row r="320" spans="1:8" x14ac:dyDescent="0.25">
      <c r="B320" s="106" t="s">
        <v>3280</v>
      </c>
      <c r="C320" s="120" t="s">
        <v>2734</v>
      </c>
      <c r="D320" s="248">
        <v>10</v>
      </c>
      <c r="F320" s="266">
        <f t="shared" si="4"/>
        <v>10</v>
      </c>
    </row>
    <row r="321" spans="2:6" ht="26.4" x14ac:dyDescent="0.25">
      <c r="B321" s="256" t="s">
        <v>3279</v>
      </c>
      <c r="C321" s="284" t="s">
        <v>1037</v>
      </c>
      <c r="D321" s="248">
        <v>1</v>
      </c>
      <c r="E321"/>
      <c r="F321" s="266">
        <f t="shared" si="4"/>
        <v>1</v>
      </c>
    </row>
    <row r="322" spans="2:6" x14ac:dyDescent="0.25">
      <c r="B322" s="106" t="s">
        <v>2737</v>
      </c>
      <c r="C322" s="120"/>
      <c r="D322" s="248">
        <v>0</v>
      </c>
      <c r="E322" s="47"/>
      <c r="F322" s="266">
        <f t="shared" ref="F322:F386" si="5">IF(E322&gt;0,E322,D322)</f>
        <v>0</v>
      </c>
    </row>
    <row r="323" spans="2:6" x14ac:dyDescent="0.25">
      <c r="B323" s="155" t="s">
        <v>2210</v>
      </c>
      <c r="C323" s="153" t="s">
        <v>1715</v>
      </c>
      <c r="D323" s="248">
        <v>5</v>
      </c>
      <c r="E323" s="151"/>
      <c r="F323" s="266">
        <f t="shared" si="5"/>
        <v>5</v>
      </c>
    </row>
    <row r="324" spans="2:6" x14ac:dyDescent="0.25">
      <c r="B324" s="158" t="s">
        <v>2792</v>
      </c>
      <c r="C324" s="151" t="s">
        <v>1715</v>
      </c>
      <c r="D324" s="248">
        <v>35</v>
      </c>
      <c r="E324" s="151"/>
      <c r="F324" s="266">
        <f t="shared" si="5"/>
        <v>35</v>
      </c>
    </row>
    <row r="325" spans="2:6" x14ac:dyDescent="0.25">
      <c r="B325" s="155" t="s">
        <v>1353</v>
      </c>
      <c r="C325" s="153" t="s">
        <v>1715</v>
      </c>
      <c r="D325" s="248">
        <v>15</v>
      </c>
      <c r="E325" s="151"/>
      <c r="F325" s="266">
        <f t="shared" si="5"/>
        <v>15</v>
      </c>
    </row>
    <row r="326" spans="2:6" x14ac:dyDescent="0.25">
      <c r="B326" s="155" t="s">
        <v>1354</v>
      </c>
      <c r="C326" s="153" t="s">
        <v>1715</v>
      </c>
      <c r="D326" s="248">
        <v>5</v>
      </c>
      <c r="E326" s="151"/>
      <c r="F326" s="266">
        <f t="shared" si="5"/>
        <v>5</v>
      </c>
    </row>
    <row r="327" spans="2:6" x14ac:dyDescent="0.25">
      <c r="B327" s="160" t="s">
        <v>2794</v>
      </c>
      <c r="C327" s="151" t="s">
        <v>2734</v>
      </c>
      <c r="D327" s="248">
        <v>25</v>
      </c>
      <c r="E327" s="151"/>
      <c r="F327" s="266">
        <f t="shared" si="5"/>
        <v>25</v>
      </c>
    </row>
    <row r="328" spans="2:6" ht="26.4" x14ac:dyDescent="0.25">
      <c r="B328" s="158" t="s">
        <v>2795</v>
      </c>
      <c r="C328" s="156" t="s">
        <v>1715</v>
      </c>
      <c r="D328" s="248">
        <v>25</v>
      </c>
      <c r="E328" s="151"/>
      <c r="F328" s="266">
        <f t="shared" si="5"/>
        <v>25</v>
      </c>
    </row>
    <row r="329" spans="2:6" ht="26.4" x14ac:dyDescent="0.25">
      <c r="B329" s="155" t="s">
        <v>2795</v>
      </c>
      <c r="C329" s="156" t="s">
        <v>1715</v>
      </c>
      <c r="D329" s="248">
        <v>25</v>
      </c>
      <c r="E329" s="151"/>
      <c r="F329" s="266">
        <f t="shared" si="5"/>
        <v>25</v>
      </c>
    </row>
    <row r="330" spans="2:6" x14ac:dyDescent="0.25">
      <c r="B330" s="261" t="s">
        <v>3387</v>
      </c>
      <c r="C330" s="286" t="s">
        <v>552</v>
      </c>
      <c r="D330" s="248">
        <v>750</v>
      </c>
      <c r="E330" s="151"/>
      <c r="F330" s="266">
        <f t="shared" si="5"/>
        <v>750</v>
      </c>
    </row>
    <row r="331" spans="2:6" x14ac:dyDescent="0.25">
      <c r="B331" s="106" t="s">
        <v>2799</v>
      </c>
      <c r="C331" s="120"/>
      <c r="D331" s="248">
        <v>0</v>
      </c>
      <c r="E331" s="47"/>
      <c r="F331" s="266">
        <f t="shared" si="5"/>
        <v>0</v>
      </c>
    </row>
    <row r="332" spans="2:6" x14ac:dyDescent="0.25">
      <c r="B332" s="106" t="s">
        <v>2177</v>
      </c>
      <c r="C332" s="120"/>
      <c r="D332" s="248">
        <v>0</v>
      </c>
      <c r="E332" s="47"/>
      <c r="F332" s="266">
        <f t="shared" si="5"/>
        <v>0</v>
      </c>
    </row>
    <row r="333" spans="2:6" x14ac:dyDescent="0.25">
      <c r="B333" s="106" t="s">
        <v>2549</v>
      </c>
      <c r="C333" s="120"/>
      <c r="D333" s="248">
        <v>0</v>
      </c>
      <c r="E333" s="47"/>
      <c r="F333" s="266">
        <f t="shared" si="5"/>
        <v>0</v>
      </c>
    </row>
    <row r="334" spans="2:6" x14ac:dyDescent="0.25">
      <c r="B334" s="125" t="s">
        <v>3346</v>
      </c>
      <c r="C334" s="257" t="s">
        <v>3343</v>
      </c>
      <c r="D334" s="248">
        <v>2</v>
      </c>
      <c r="F334" s="266">
        <f t="shared" si="5"/>
        <v>2</v>
      </c>
    </row>
    <row r="335" spans="2:6" x14ac:dyDescent="0.25">
      <c r="B335" s="106" t="s">
        <v>1047</v>
      </c>
      <c r="C335" s="120" t="s">
        <v>516</v>
      </c>
      <c r="D335" s="120">
        <v>20</v>
      </c>
      <c r="F335" s="266">
        <f t="shared" si="5"/>
        <v>20</v>
      </c>
    </row>
    <row r="336" spans="2:6" x14ac:dyDescent="0.25">
      <c r="B336" s="106" t="s">
        <v>1047</v>
      </c>
      <c r="C336" s="241" t="s">
        <v>516</v>
      </c>
      <c r="D336" s="248">
        <v>20</v>
      </c>
      <c r="F336" s="266">
        <f t="shared" si="5"/>
        <v>20</v>
      </c>
    </row>
    <row r="337" spans="1:6" x14ac:dyDescent="0.25">
      <c r="B337" s="106" t="s">
        <v>3206</v>
      </c>
      <c r="C337" s="120" t="s">
        <v>3207</v>
      </c>
      <c r="D337" s="248">
        <v>4000</v>
      </c>
      <c r="F337" s="266">
        <f t="shared" si="5"/>
        <v>4000</v>
      </c>
    </row>
    <row r="338" spans="1:6" x14ac:dyDescent="0.25">
      <c r="B338" s="106" t="s">
        <v>3283</v>
      </c>
      <c r="C338" s="120" t="s">
        <v>516</v>
      </c>
      <c r="D338" s="248">
        <v>20</v>
      </c>
      <c r="F338" s="266">
        <f t="shared" si="5"/>
        <v>20</v>
      </c>
    </row>
    <row r="339" spans="1:6" x14ac:dyDescent="0.25">
      <c r="B339" s="106" t="s">
        <v>3263</v>
      </c>
      <c r="C339" s="241" t="s">
        <v>516</v>
      </c>
      <c r="D339" s="248">
        <v>20</v>
      </c>
      <c r="F339" s="266">
        <f t="shared" si="5"/>
        <v>20</v>
      </c>
    </row>
    <row r="340" spans="1:6" x14ac:dyDescent="0.25">
      <c r="B340" s="100" t="s">
        <v>3138</v>
      </c>
      <c r="C340" s="120" t="s">
        <v>516</v>
      </c>
      <c r="D340" s="248">
        <v>20</v>
      </c>
      <c r="F340" s="266">
        <f t="shared" si="5"/>
        <v>20</v>
      </c>
    </row>
    <row r="341" spans="1:6" x14ac:dyDescent="0.25">
      <c r="B341" s="106" t="s">
        <v>3142</v>
      </c>
      <c r="C341" s="120" t="s">
        <v>516</v>
      </c>
      <c r="D341" s="120">
        <v>20</v>
      </c>
      <c r="F341" s="266">
        <f t="shared" si="5"/>
        <v>20</v>
      </c>
    </row>
    <row r="342" spans="1:6" x14ac:dyDescent="0.25">
      <c r="B342" s="106" t="s">
        <v>531</v>
      </c>
      <c r="C342" s="241" t="s">
        <v>532</v>
      </c>
      <c r="D342" s="248">
        <v>15</v>
      </c>
      <c r="E342" s="241"/>
      <c r="F342" s="266">
        <f t="shared" si="5"/>
        <v>15</v>
      </c>
    </row>
    <row r="343" spans="1:6" x14ac:dyDescent="0.25">
      <c r="A343" s="249"/>
      <c r="B343" s="250" t="s">
        <v>3118</v>
      </c>
      <c r="C343" s="251" t="s">
        <v>2734</v>
      </c>
      <c r="D343" s="251">
        <v>10</v>
      </c>
      <c r="E343" s="252"/>
      <c r="F343" s="266">
        <f t="shared" si="5"/>
        <v>10</v>
      </c>
    </row>
    <row r="344" spans="1:6" x14ac:dyDescent="0.25">
      <c r="B344" s="106" t="s">
        <v>3130</v>
      </c>
      <c r="C344" s="120" t="s">
        <v>2734</v>
      </c>
      <c r="D344" s="120">
        <v>1</v>
      </c>
      <c r="F344" s="266">
        <f t="shared" si="5"/>
        <v>1</v>
      </c>
    </row>
    <row r="345" spans="1:6" x14ac:dyDescent="0.25">
      <c r="B345" s="106" t="s">
        <v>2855</v>
      </c>
      <c r="C345" s="241" t="s">
        <v>516</v>
      </c>
      <c r="D345" s="248">
        <v>20</v>
      </c>
      <c r="F345" s="266">
        <f t="shared" si="5"/>
        <v>20</v>
      </c>
    </row>
    <row r="346" spans="1:6" x14ac:dyDescent="0.25">
      <c r="B346" s="106" t="s">
        <v>3115</v>
      </c>
      <c r="C346" s="120" t="s">
        <v>516</v>
      </c>
      <c r="D346" s="120">
        <v>20</v>
      </c>
      <c r="F346" s="266">
        <f t="shared" si="5"/>
        <v>20</v>
      </c>
    </row>
    <row r="347" spans="1:6" x14ac:dyDescent="0.25">
      <c r="B347" s="100" t="s">
        <v>3139</v>
      </c>
      <c r="C347" s="120" t="s">
        <v>516</v>
      </c>
      <c r="D347" s="248">
        <v>20</v>
      </c>
      <c r="F347" s="266">
        <f t="shared" si="5"/>
        <v>20</v>
      </c>
    </row>
    <row r="348" spans="1:6" x14ac:dyDescent="0.25">
      <c r="B348" s="106" t="s">
        <v>2276</v>
      </c>
      <c r="C348" s="47"/>
      <c r="D348" s="248">
        <v>0</v>
      </c>
      <c r="E348" s="47"/>
      <c r="F348" s="266">
        <f t="shared" si="5"/>
        <v>0</v>
      </c>
    </row>
    <row r="349" spans="1:6" x14ac:dyDescent="0.25">
      <c r="B349" s="106" t="s">
        <v>3151</v>
      </c>
      <c r="C349" s="120" t="s">
        <v>478</v>
      </c>
      <c r="D349" s="248">
        <v>26</v>
      </c>
      <c r="F349" s="266">
        <f t="shared" si="5"/>
        <v>26</v>
      </c>
    </row>
    <row r="350" spans="1:6" x14ac:dyDescent="0.25">
      <c r="B350" s="17" t="s">
        <v>514</v>
      </c>
      <c r="C350" s="101" t="s">
        <v>2265</v>
      </c>
      <c r="D350" s="101">
        <v>4.4999999999999998E-2</v>
      </c>
      <c r="F350" s="266">
        <f t="shared" si="5"/>
        <v>4.4999999999999998E-2</v>
      </c>
    </row>
    <row r="351" spans="1:6" x14ac:dyDescent="0.25">
      <c r="B351" s="106" t="s">
        <v>410</v>
      </c>
      <c r="C351" s="47"/>
      <c r="D351" s="248">
        <v>0</v>
      </c>
      <c r="E351" s="47"/>
      <c r="F351" s="266">
        <f t="shared" si="5"/>
        <v>0</v>
      </c>
    </row>
    <row r="352" spans="1:6" x14ac:dyDescent="0.25">
      <c r="B352" s="106" t="s">
        <v>188</v>
      </c>
      <c r="C352" s="47"/>
      <c r="D352" s="248">
        <v>0</v>
      </c>
      <c r="E352" s="47"/>
      <c r="F352" s="266">
        <f t="shared" si="5"/>
        <v>0</v>
      </c>
    </row>
    <row r="353" spans="2:6" x14ac:dyDescent="0.25">
      <c r="B353" s="106" t="s">
        <v>2669</v>
      </c>
      <c r="C353" s="120"/>
      <c r="F353" s="266">
        <f t="shared" si="5"/>
        <v>0</v>
      </c>
    </row>
    <row r="354" spans="2:6" x14ac:dyDescent="0.25">
      <c r="B354" s="256" t="s">
        <v>3303</v>
      </c>
      <c r="C354" s="257" t="s">
        <v>2834</v>
      </c>
      <c r="D354" s="248">
        <v>6</v>
      </c>
      <c r="F354" s="266">
        <f t="shared" si="5"/>
        <v>6</v>
      </c>
    </row>
    <row r="355" spans="2:6" x14ac:dyDescent="0.25">
      <c r="B355" s="147" t="s">
        <v>515</v>
      </c>
      <c r="C355" s="148" t="s">
        <v>516</v>
      </c>
      <c r="D355" s="248">
        <v>40</v>
      </c>
      <c r="E355" s="146"/>
      <c r="F355" s="266">
        <f t="shared" si="5"/>
        <v>40</v>
      </c>
    </row>
    <row r="356" spans="2:6" x14ac:dyDescent="0.25">
      <c r="B356" s="106" t="s">
        <v>2325</v>
      </c>
      <c r="C356" s="120"/>
      <c r="D356" s="248">
        <v>0</v>
      </c>
      <c r="E356" s="47"/>
      <c r="F356" s="266">
        <f t="shared" si="5"/>
        <v>0</v>
      </c>
    </row>
    <row r="357" spans="2:6" x14ac:dyDescent="0.25">
      <c r="B357" s="106" t="s">
        <v>1823</v>
      </c>
      <c r="C357" s="241" t="s">
        <v>2734</v>
      </c>
      <c r="E357" s="241"/>
      <c r="F357" s="266">
        <f t="shared" si="5"/>
        <v>0</v>
      </c>
    </row>
    <row r="358" spans="2:6" x14ac:dyDescent="0.25">
      <c r="B358" s="106" t="s">
        <v>3318</v>
      </c>
      <c r="C358" s="241" t="s">
        <v>3319</v>
      </c>
      <c r="D358" s="248">
        <v>34.28</v>
      </c>
      <c r="E358" s="241"/>
      <c r="F358" s="266">
        <f t="shared" si="5"/>
        <v>34.28</v>
      </c>
    </row>
    <row r="359" spans="2:6" x14ac:dyDescent="0.25">
      <c r="B359" s="17" t="s">
        <v>2182</v>
      </c>
      <c r="C359" s="149" t="s">
        <v>1388</v>
      </c>
      <c r="D359" s="248">
        <v>50</v>
      </c>
      <c r="E359" s="146"/>
      <c r="F359" s="266">
        <f t="shared" si="5"/>
        <v>50</v>
      </c>
    </row>
    <row r="360" spans="2:6" x14ac:dyDescent="0.25">
      <c r="B360" s="106" t="s">
        <v>1787</v>
      </c>
      <c r="C360" s="120" t="s">
        <v>516</v>
      </c>
      <c r="D360" s="248">
        <v>20</v>
      </c>
      <c r="E360" s="47"/>
      <c r="F360" s="266">
        <f t="shared" si="5"/>
        <v>20</v>
      </c>
    </row>
    <row r="361" spans="2:6" x14ac:dyDescent="0.25">
      <c r="B361" s="106" t="s">
        <v>3262</v>
      </c>
      <c r="C361" s="120" t="s">
        <v>516</v>
      </c>
      <c r="D361" s="248">
        <v>20</v>
      </c>
      <c r="E361" s="47"/>
      <c r="F361" s="266">
        <f t="shared" si="5"/>
        <v>20</v>
      </c>
    </row>
    <row r="362" spans="2:6" ht="22.8" x14ac:dyDescent="0.25">
      <c r="B362" s="106" t="s">
        <v>3323</v>
      </c>
      <c r="C362" s="120" t="s">
        <v>516</v>
      </c>
      <c r="D362" s="248">
        <v>20</v>
      </c>
      <c r="F362" s="266">
        <f t="shared" si="5"/>
        <v>20</v>
      </c>
    </row>
    <row r="363" spans="2:6" x14ac:dyDescent="0.25">
      <c r="B363" s="106" t="s">
        <v>3264</v>
      </c>
      <c r="C363" s="120" t="s">
        <v>516</v>
      </c>
      <c r="D363" s="248">
        <v>20</v>
      </c>
      <c r="E363" s="47"/>
      <c r="F363" s="266">
        <f t="shared" si="5"/>
        <v>20</v>
      </c>
    </row>
    <row r="364" spans="2:6" x14ac:dyDescent="0.25">
      <c r="B364" s="256" t="s">
        <v>3184</v>
      </c>
      <c r="C364" s="151" t="s">
        <v>2734</v>
      </c>
      <c r="D364" s="248">
        <v>40</v>
      </c>
      <c r="E364" s="151"/>
      <c r="F364" s="266">
        <f t="shared" si="5"/>
        <v>40</v>
      </c>
    </row>
    <row r="365" spans="2:6" x14ac:dyDescent="0.25">
      <c r="B365" s="155" t="s">
        <v>832</v>
      </c>
      <c r="C365" s="120"/>
      <c r="D365" s="248">
        <v>0</v>
      </c>
      <c r="E365" s="47"/>
      <c r="F365" s="266">
        <f t="shared" si="5"/>
        <v>0</v>
      </c>
    </row>
    <row r="366" spans="2:6" x14ac:dyDescent="0.25">
      <c r="B366" s="195" t="s">
        <v>2914</v>
      </c>
      <c r="C366" s="198" t="s">
        <v>2915</v>
      </c>
      <c r="D366" s="199">
        <v>20.5</v>
      </c>
      <c r="F366" s="266">
        <f t="shared" si="5"/>
        <v>20.5</v>
      </c>
    </row>
    <row r="367" spans="2:6" x14ac:dyDescent="0.25">
      <c r="B367" s="113" t="s">
        <v>2183</v>
      </c>
      <c r="C367" s="120"/>
      <c r="D367" s="248">
        <v>0</v>
      </c>
      <c r="E367" s="47"/>
      <c r="F367" s="266">
        <f t="shared" si="5"/>
        <v>0</v>
      </c>
    </row>
    <row r="368" spans="2:6" ht="26.4" x14ac:dyDescent="0.25">
      <c r="B368" s="142" t="s">
        <v>608</v>
      </c>
      <c r="C368" s="187" t="s">
        <v>2840</v>
      </c>
      <c r="D368" s="248">
        <v>113.32602400000002</v>
      </c>
      <c r="F368" s="266">
        <f t="shared" si="5"/>
        <v>113.32602400000002</v>
      </c>
    </row>
    <row r="369" spans="1:6" x14ac:dyDescent="0.25">
      <c r="A369" s="184" t="s">
        <v>20</v>
      </c>
      <c r="B369" s="184" t="s">
        <v>2203</v>
      </c>
      <c r="C369" s="191" t="s">
        <v>2840</v>
      </c>
      <c r="D369" s="248">
        <v>62.637454599999998</v>
      </c>
      <c r="F369" s="266">
        <f t="shared" si="5"/>
        <v>62.637454599999998</v>
      </c>
    </row>
    <row r="370" spans="1:6" ht="26.4" x14ac:dyDescent="0.25">
      <c r="B370" s="256" t="s">
        <v>3233</v>
      </c>
      <c r="C370" s="284" t="s">
        <v>195</v>
      </c>
      <c r="D370">
        <v>6.5</v>
      </c>
      <c r="E370"/>
      <c r="F370" s="266">
        <f t="shared" si="5"/>
        <v>6.5</v>
      </c>
    </row>
    <row r="371" spans="1:6" ht="21" x14ac:dyDescent="0.25">
      <c r="A371" s="259" t="s">
        <v>3243</v>
      </c>
      <c r="B371" s="258" t="s">
        <v>3242</v>
      </c>
      <c r="C371" s="120" t="s">
        <v>2734</v>
      </c>
      <c r="D371" s="248">
        <v>227</v>
      </c>
      <c r="F371" s="266">
        <f t="shared" si="5"/>
        <v>227</v>
      </c>
    </row>
    <row r="372" spans="1:6" ht="21" x14ac:dyDescent="0.25">
      <c r="A372" s="259" t="s">
        <v>3244</v>
      </c>
      <c r="B372" s="258" t="s">
        <v>3245</v>
      </c>
      <c r="C372" s="120" t="s">
        <v>2734</v>
      </c>
      <c r="D372" s="248">
        <v>420</v>
      </c>
      <c r="F372" s="266">
        <f t="shared" si="5"/>
        <v>420</v>
      </c>
    </row>
    <row r="373" spans="1:6" ht="21" x14ac:dyDescent="0.25">
      <c r="A373" s="184" t="s">
        <v>21</v>
      </c>
      <c r="B373" s="258" t="s">
        <v>3251</v>
      </c>
      <c r="C373" s="191" t="s">
        <v>2265</v>
      </c>
      <c r="D373" s="248">
        <v>159</v>
      </c>
      <c r="F373" s="266">
        <f t="shared" si="5"/>
        <v>159</v>
      </c>
    </row>
    <row r="374" spans="1:6" x14ac:dyDescent="0.25">
      <c r="A374" s="259" t="s">
        <v>3248</v>
      </c>
      <c r="B374" s="258" t="s">
        <v>3250</v>
      </c>
      <c r="C374" s="120" t="s">
        <v>2734</v>
      </c>
      <c r="D374" s="248">
        <v>420</v>
      </c>
      <c r="F374" s="266">
        <f t="shared" si="5"/>
        <v>420</v>
      </c>
    </row>
    <row r="375" spans="1:6" x14ac:dyDescent="0.25">
      <c r="A375" s="259" t="s">
        <v>3247</v>
      </c>
      <c r="B375" s="258" t="s">
        <v>3249</v>
      </c>
      <c r="C375" s="120" t="s">
        <v>2734</v>
      </c>
      <c r="D375" s="248">
        <v>350</v>
      </c>
      <c r="F375" s="266">
        <f t="shared" si="5"/>
        <v>350</v>
      </c>
    </row>
    <row r="376" spans="1:6" ht="21" x14ac:dyDescent="0.25">
      <c r="A376" s="184" t="s">
        <v>23</v>
      </c>
      <c r="B376" s="258" t="s">
        <v>3252</v>
      </c>
      <c r="C376" s="191" t="s">
        <v>2265</v>
      </c>
      <c r="D376" s="248">
        <v>65</v>
      </c>
      <c r="F376" s="266">
        <f t="shared" si="5"/>
        <v>65</v>
      </c>
    </row>
    <row r="377" spans="1:6" x14ac:dyDescent="0.25">
      <c r="B377" s="79" t="s">
        <v>733</v>
      </c>
      <c r="C377" s="56" t="s">
        <v>734</v>
      </c>
      <c r="D377" s="110">
        <v>1475</v>
      </c>
      <c r="F377" s="266">
        <f t="shared" si="5"/>
        <v>1475</v>
      </c>
    </row>
    <row r="378" spans="1:6" x14ac:dyDescent="0.25">
      <c r="B378" s="195" t="s">
        <v>3258</v>
      </c>
      <c r="C378" s="196" t="s">
        <v>2921</v>
      </c>
      <c r="D378" s="197">
        <v>16.66</v>
      </c>
      <c r="F378" s="266">
        <f t="shared" si="5"/>
        <v>16.66</v>
      </c>
    </row>
    <row r="379" spans="1:6" x14ac:dyDescent="0.25">
      <c r="B379" s="200" t="s">
        <v>2920</v>
      </c>
      <c r="C379" s="117"/>
      <c r="D379" s="248">
        <v>0</v>
      </c>
      <c r="E379" s="47"/>
      <c r="F379" s="266">
        <f t="shared" si="5"/>
        <v>0</v>
      </c>
    </row>
    <row r="380" spans="1:6" x14ac:dyDescent="0.25">
      <c r="A380" s="249"/>
      <c r="B380" s="250" t="s">
        <v>3061</v>
      </c>
      <c r="C380" s="251" t="s">
        <v>552</v>
      </c>
      <c r="D380" s="251">
        <v>12.53</v>
      </c>
      <c r="E380" s="252"/>
      <c r="F380" s="266">
        <f t="shared" si="5"/>
        <v>12.53</v>
      </c>
    </row>
    <row r="381" spans="1:6" x14ac:dyDescent="0.25">
      <c r="B381" s="143" t="s">
        <v>1356</v>
      </c>
      <c r="C381" s="144" t="s">
        <v>2834</v>
      </c>
      <c r="D381" s="248">
        <v>12.53</v>
      </c>
      <c r="E381" s="146"/>
      <c r="F381" s="266">
        <f t="shared" si="5"/>
        <v>12.53</v>
      </c>
    </row>
    <row r="382" spans="1:6" x14ac:dyDescent="0.25">
      <c r="B382" s="263" t="s">
        <v>3273</v>
      </c>
      <c r="C382" s="144" t="s">
        <v>2834</v>
      </c>
      <c r="D382" s="248">
        <v>13.91</v>
      </c>
      <c r="E382" s="146"/>
      <c r="F382" s="266">
        <f t="shared" si="5"/>
        <v>13.91</v>
      </c>
    </row>
    <row r="383" spans="1:6" x14ac:dyDescent="0.25">
      <c r="B383" s="106" t="s">
        <v>3075</v>
      </c>
      <c r="C383" s="120" t="s">
        <v>552</v>
      </c>
      <c r="D383" s="120">
        <v>15</v>
      </c>
      <c r="F383" s="266">
        <f t="shared" si="5"/>
        <v>15</v>
      </c>
    </row>
    <row r="384" spans="1:6" x14ac:dyDescent="0.25">
      <c r="B384" s="106" t="s">
        <v>3421</v>
      </c>
      <c r="C384" s="120" t="s">
        <v>3083</v>
      </c>
      <c r="D384" s="120">
        <v>0.5</v>
      </c>
      <c r="F384" s="266">
        <f t="shared" si="5"/>
        <v>0.5</v>
      </c>
    </row>
    <row r="385" spans="1:6" x14ac:dyDescent="0.25">
      <c r="B385" s="143" t="s">
        <v>1929</v>
      </c>
      <c r="C385" s="144" t="s">
        <v>1711</v>
      </c>
      <c r="D385" s="248">
        <v>22.25</v>
      </c>
      <c r="E385" s="150"/>
      <c r="F385" s="266">
        <f t="shared" si="5"/>
        <v>22.25</v>
      </c>
    </row>
    <row r="386" spans="1:6" x14ac:dyDescent="0.25">
      <c r="B386" s="143" t="s">
        <v>1930</v>
      </c>
      <c r="C386" s="144" t="s">
        <v>1711</v>
      </c>
      <c r="D386" s="248">
        <v>19</v>
      </c>
      <c r="E386" s="146"/>
      <c r="F386" s="266">
        <f t="shared" si="5"/>
        <v>19</v>
      </c>
    </row>
    <row r="387" spans="1:6" x14ac:dyDescent="0.25">
      <c r="A387" s="184"/>
      <c r="B387" s="192" t="s">
        <v>2173</v>
      </c>
      <c r="C387" s="156" t="s">
        <v>174</v>
      </c>
      <c r="D387" s="248">
        <v>12.71</v>
      </c>
      <c r="F387" s="266">
        <f t="shared" ref="F387:F457" si="6">IF(E387&gt;0,E387,D387)</f>
        <v>12.71</v>
      </c>
    </row>
    <row r="388" spans="1:6" x14ac:dyDescent="0.25">
      <c r="B388" s="205" t="s">
        <v>3398</v>
      </c>
      <c r="C388" s="206" t="s">
        <v>1007</v>
      </c>
      <c r="D388" s="208">
        <v>5</v>
      </c>
      <c r="F388" s="266">
        <f t="shared" si="6"/>
        <v>5</v>
      </c>
    </row>
    <row r="389" spans="1:6" x14ac:dyDescent="0.25">
      <c r="B389" s="205" t="s">
        <v>2936</v>
      </c>
      <c r="C389" s="206" t="s">
        <v>478</v>
      </c>
      <c r="D389" s="208">
        <v>100</v>
      </c>
      <c r="F389" s="266">
        <f t="shared" si="6"/>
        <v>100</v>
      </c>
    </row>
    <row r="390" spans="1:6" x14ac:dyDescent="0.25">
      <c r="A390" s="184"/>
      <c r="B390" s="258" t="s">
        <v>3396</v>
      </c>
      <c r="C390" s="274" t="s">
        <v>2734</v>
      </c>
      <c r="D390" s="248">
        <v>65</v>
      </c>
      <c r="F390" s="266">
        <f t="shared" si="6"/>
        <v>65</v>
      </c>
    </row>
    <row r="391" spans="1:6" x14ac:dyDescent="0.25">
      <c r="B391" s="205" t="s">
        <v>3400</v>
      </c>
      <c r="C391" s="206" t="s">
        <v>2734</v>
      </c>
      <c r="D391" s="208">
        <v>3.5</v>
      </c>
      <c r="F391" s="266">
        <f t="shared" si="6"/>
        <v>3.5</v>
      </c>
    </row>
    <row r="392" spans="1:6" ht="21" x14ac:dyDescent="0.25">
      <c r="A392" s="184" t="s">
        <v>100</v>
      </c>
      <c r="B392" s="258" t="s">
        <v>3397</v>
      </c>
      <c r="C392" s="191" t="s">
        <v>1802</v>
      </c>
      <c r="D392" s="248">
        <v>1.22</v>
      </c>
      <c r="F392" s="266">
        <f t="shared" si="6"/>
        <v>1.22</v>
      </c>
    </row>
    <row r="393" spans="1:6" x14ac:dyDescent="0.25">
      <c r="A393" s="184" t="s">
        <v>102</v>
      </c>
      <c r="B393" s="258" t="s">
        <v>3399</v>
      </c>
      <c r="C393" s="274" t="s">
        <v>516</v>
      </c>
      <c r="D393" s="248">
        <v>8.5399999999999991</v>
      </c>
      <c r="F393" s="266">
        <f t="shared" si="6"/>
        <v>8.5399999999999991</v>
      </c>
    </row>
    <row r="394" spans="1:6" x14ac:dyDescent="0.25">
      <c r="A394" s="184" t="s">
        <v>104</v>
      </c>
      <c r="B394" s="184" t="s">
        <v>525</v>
      </c>
      <c r="C394" s="191" t="s">
        <v>1802</v>
      </c>
      <c r="D394" s="248">
        <v>3.2889787840000002</v>
      </c>
      <c r="F394" s="266">
        <f t="shared" si="6"/>
        <v>3.2889787840000002</v>
      </c>
    </row>
    <row r="395" spans="1:6" x14ac:dyDescent="0.25">
      <c r="A395" s="184" t="s">
        <v>105</v>
      </c>
      <c r="B395" s="184" t="s">
        <v>526</v>
      </c>
      <c r="C395" s="191" t="s">
        <v>1663</v>
      </c>
      <c r="D395" s="248">
        <v>2.65</v>
      </c>
      <c r="F395" s="266">
        <f t="shared" si="6"/>
        <v>2.65</v>
      </c>
    </row>
    <row r="396" spans="1:6" x14ac:dyDescent="0.25">
      <c r="B396" s="155" t="s">
        <v>2219</v>
      </c>
      <c r="C396" s="156" t="s">
        <v>2734</v>
      </c>
      <c r="D396" s="248">
        <v>60</v>
      </c>
      <c r="E396" s="151"/>
      <c r="F396" s="266">
        <f t="shared" si="6"/>
        <v>60</v>
      </c>
    </row>
    <row r="397" spans="1:6" x14ac:dyDescent="0.25">
      <c r="B397" s="205" t="s">
        <v>2937</v>
      </c>
      <c r="C397" s="206" t="s">
        <v>2734</v>
      </c>
      <c r="D397" s="208">
        <v>120</v>
      </c>
      <c r="F397" s="266">
        <f t="shared" si="6"/>
        <v>120</v>
      </c>
    </row>
    <row r="398" spans="1:6" x14ac:dyDescent="0.25">
      <c r="B398" s="155" t="s">
        <v>2184</v>
      </c>
      <c r="C398" s="156" t="s">
        <v>2734</v>
      </c>
      <c r="D398" s="248">
        <v>42</v>
      </c>
      <c r="E398" s="151"/>
      <c r="F398" s="266">
        <f t="shared" si="6"/>
        <v>42</v>
      </c>
    </row>
    <row r="399" spans="1:6" x14ac:dyDescent="0.25">
      <c r="B399" s="106" t="s">
        <v>2281</v>
      </c>
      <c r="C399" s="101" t="s">
        <v>552</v>
      </c>
      <c r="D399" s="248">
        <v>116</v>
      </c>
      <c r="E399" s="47"/>
      <c r="F399" s="266">
        <f t="shared" si="6"/>
        <v>116</v>
      </c>
    </row>
    <row r="400" spans="1:6" x14ac:dyDescent="0.25">
      <c r="B400" s="106" t="s">
        <v>2014</v>
      </c>
      <c r="C400" s="120"/>
      <c r="D400" s="248">
        <v>0</v>
      </c>
      <c r="E400" s="47"/>
      <c r="F400" s="266">
        <f t="shared" si="6"/>
        <v>0</v>
      </c>
    </row>
    <row r="401" spans="1:6" x14ac:dyDescent="0.25">
      <c r="B401" s="106" t="s">
        <v>2012</v>
      </c>
      <c r="C401" s="47"/>
      <c r="D401" s="248">
        <v>0</v>
      </c>
      <c r="E401" s="47"/>
      <c r="F401" s="266">
        <f t="shared" si="6"/>
        <v>0</v>
      </c>
    </row>
    <row r="402" spans="1:6" x14ac:dyDescent="0.25">
      <c r="B402" s="106" t="s">
        <v>2013</v>
      </c>
      <c r="C402" s="47"/>
      <c r="D402" s="248">
        <v>0</v>
      </c>
      <c r="E402" s="47"/>
      <c r="F402" s="266">
        <f t="shared" si="6"/>
        <v>0</v>
      </c>
    </row>
    <row r="403" spans="1:6" x14ac:dyDescent="0.25">
      <c r="B403" s="155" t="s">
        <v>2711</v>
      </c>
      <c r="C403" s="151" t="s">
        <v>1715</v>
      </c>
      <c r="D403" s="248">
        <v>9</v>
      </c>
      <c r="E403" s="151"/>
      <c r="F403" s="266">
        <f t="shared" si="6"/>
        <v>9</v>
      </c>
    </row>
    <row r="404" spans="1:6" x14ac:dyDescent="0.25">
      <c r="B404" s="106" t="s">
        <v>3152</v>
      </c>
      <c r="C404" s="120" t="s">
        <v>478</v>
      </c>
      <c r="D404" s="248">
        <v>1380</v>
      </c>
      <c r="F404" s="266">
        <f t="shared" si="6"/>
        <v>1380</v>
      </c>
    </row>
    <row r="405" spans="1:6" x14ac:dyDescent="0.25">
      <c r="B405" s="79" t="s">
        <v>754</v>
      </c>
      <c r="C405" s="56" t="s">
        <v>740</v>
      </c>
      <c r="D405" s="110">
        <v>7</v>
      </c>
      <c r="F405" s="266">
        <f t="shared" si="6"/>
        <v>7</v>
      </c>
    </row>
    <row r="406" spans="1:6" x14ac:dyDescent="0.25">
      <c r="B406" s="106" t="s">
        <v>1728</v>
      </c>
      <c r="C406" s="120"/>
      <c r="D406" s="248">
        <v>0</v>
      </c>
      <c r="E406" s="47"/>
      <c r="F406" s="266">
        <f t="shared" si="6"/>
        <v>0</v>
      </c>
    </row>
    <row r="407" spans="1:6" x14ac:dyDescent="0.25">
      <c r="B407" s="106" t="s">
        <v>2718</v>
      </c>
      <c r="C407" s="101"/>
      <c r="D407" s="248">
        <v>0</v>
      </c>
      <c r="E407" s="47"/>
      <c r="F407" s="266">
        <f t="shared" si="6"/>
        <v>0</v>
      </c>
    </row>
    <row r="408" spans="1:6" x14ac:dyDescent="0.25">
      <c r="B408" s="17" t="s">
        <v>520</v>
      </c>
      <c r="C408" s="149" t="s">
        <v>734</v>
      </c>
      <c r="D408" s="248">
        <v>5</v>
      </c>
      <c r="E408" s="146"/>
      <c r="F408" s="266">
        <f t="shared" si="6"/>
        <v>5</v>
      </c>
    </row>
    <row r="409" spans="1:6" x14ac:dyDescent="0.25">
      <c r="B409" s="106" t="s">
        <v>3327</v>
      </c>
      <c r="C409" s="120" t="s">
        <v>2734</v>
      </c>
      <c r="D409" s="248">
        <v>1.2</v>
      </c>
      <c r="F409" s="266">
        <f t="shared" si="6"/>
        <v>1.2</v>
      </c>
    </row>
    <row r="410" spans="1:6" x14ac:dyDescent="0.25">
      <c r="A410" s="249"/>
      <c r="B410" s="250" t="s">
        <v>200</v>
      </c>
      <c r="C410" s="251" t="s">
        <v>2734</v>
      </c>
      <c r="D410" s="251">
        <v>1.2</v>
      </c>
      <c r="E410" s="252"/>
      <c r="F410" s="266">
        <f t="shared" si="6"/>
        <v>1.2</v>
      </c>
    </row>
    <row r="411" spans="1:6" x14ac:dyDescent="0.25">
      <c r="B411" s="159" t="s">
        <v>521</v>
      </c>
      <c r="C411" s="153" t="s">
        <v>2109</v>
      </c>
      <c r="D411" s="248">
        <v>1.75</v>
      </c>
      <c r="E411" s="151"/>
      <c r="F411" s="266">
        <f t="shared" si="6"/>
        <v>1.75</v>
      </c>
    </row>
    <row r="412" spans="1:6" ht="22.8" x14ac:dyDescent="0.25">
      <c r="B412" s="106" t="s">
        <v>3129</v>
      </c>
      <c r="C412" s="120" t="s">
        <v>2734</v>
      </c>
      <c r="D412" s="248">
        <v>2.75</v>
      </c>
      <c r="F412" s="266">
        <f t="shared" si="6"/>
        <v>2.75</v>
      </c>
    </row>
    <row r="413" spans="1:6" ht="22.8" x14ac:dyDescent="0.25">
      <c r="B413" s="106" t="s">
        <v>201</v>
      </c>
      <c r="C413" s="120" t="s">
        <v>2734</v>
      </c>
      <c r="D413" s="248">
        <v>3.75</v>
      </c>
      <c r="F413" s="266">
        <f t="shared" si="6"/>
        <v>3.75</v>
      </c>
    </row>
    <row r="414" spans="1:6" x14ac:dyDescent="0.25">
      <c r="B414" s="205" t="s">
        <v>2938</v>
      </c>
      <c r="C414" s="209" t="s">
        <v>1826</v>
      </c>
      <c r="D414" s="207">
        <v>1.25</v>
      </c>
      <c r="F414" s="266">
        <f t="shared" si="6"/>
        <v>1.25</v>
      </c>
    </row>
    <row r="415" spans="1:6" x14ac:dyDescent="0.25">
      <c r="B415" s="205" t="s">
        <v>2939</v>
      </c>
      <c r="C415" s="206" t="s">
        <v>1826</v>
      </c>
      <c r="D415" s="207">
        <v>2</v>
      </c>
      <c r="F415" s="266">
        <f t="shared" si="6"/>
        <v>2</v>
      </c>
    </row>
    <row r="416" spans="1:6" x14ac:dyDescent="0.25">
      <c r="B416" s="205" t="s">
        <v>2940</v>
      </c>
      <c r="C416" s="206" t="s">
        <v>1826</v>
      </c>
      <c r="D416" s="207">
        <v>2.5</v>
      </c>
      <c r="F416" s="266">
        <f t="shared" si="6"/>
        <v>2.5</v>
      </c>
    </row>
    <row r="417" spans="2:6" x14ac:dyDescent="0.25">
      <c r="B417" s="205" t="s">
        <v>2941</v>
      </c>
      <c r="C417" s="209" t="s">
        <v>2734</v>
      </c>
      <c r="D417" s="207">
        <v>500</v>
      </c>
      <c r="F417" s="266">
        <f t="shared" si="6"/>
        <v>500</v>
      </c>
    </row>
    <row r="418" spans="2:6" x14ac:dyDescent="0.25">
      <c r="B418" s="106" t="s">
        <v>3145</v>
      </c>
      <c r="C418" s="120" t="s">
        <v>1826</v>
      </c>
      <c r="D418" s="248">
        <v>1</v>
      </c>
      <c r="F418" s="266">
        <f t="shared" si="6"/>
        <v>1</v>
      </c>
    </row>
    <row r="419" spans="2:6" x14ac:dyDescent="0.25">
      <c r="B419" s="106" t="s">
        <v>1467</v>
      </c>
      <c r="C419" s="120"/>
      <c r="D419" s="248">
        <v>0</v>
      </c>
      <c r="E419" s="47"/>
      <c r="F419" s="266">
        <f t="shared" si="6"/>
        <v>0</v>
      </c>
    </row>
    <row r="420" spans="2:6" x14ac:dyDescent="0.25">
      <c r="B420" s="205" t="s">
        <v>2942</v>
      </c>
      <c r="C420" s="209" t="s">
        <v>2734</v>
      </c>
      <c r="D420" s="207">
        <v>20</v>
      </c>
      <c r="F420" s="266">
        <f t="shared" si="6"/>
        <v>20</v>
      </c>
    </row>
    <row r="421" spans="2:6" ht="26.4" x14ac:dyDescent="0.25">
      <c r="B421" s="205" t="s">
        <v>2943</v>
      </c>
      <c r="C421" s="206" t="s">
        <v>2734</v>
      </c>
      <c r="D421" s="207">
        <v>60</v>
      </c>
      <c r="F421" s="266">
        <f t="shared" si="6"/>
        <v>60</v>
      </c>
    </row>
    <row r="422" spans="2:6" ht="26.4" x14ac:dyDescent="0.25">
      <c r="B422" s="205" t="s">
        <v>2944</v>
      </c>
      <c r="C422" s="206" t="s">
        <v>2734</v>
      </c>
      <c r="D422" s="207">
        <v>80</v>
      </c>
      <c r="F422" s="266">
        <f t="shared" si="6"/>
        <v>80</v>
      </c>
    </row>
    <row r="423" spans="2:6" x14ac:dyDescent="0.25">
      <c r="B423" s="106" t="s">
        <v>1369</v>
      </c>
      <c r="C423" s="120"/>
      <c r="D423" s="248">
        <v>0</v>
      </c>
      <c r="E423" s="47"/>
      <c r="F423" s="266">
        <f t="shared" si="6"/>
        <v>0</v>
      </c>
    </row>
    <row r="424" spans="2:6" x14ac:dyDescent="0.25">
      <c r="B424" s="106" t="s">
        <v>2551</v>
      </c>
      <c r="C424" s="120"/>
      <c r="D424" s="248">
        <v>0</v>
      </c>
      <c r="E424" s="47"/>
      <c r="F424" s="266">
        <f t="shared" si="6"/>
        <v>0</v>
      </c>
    </row>
    <row r="425" spans="2:6" x14ac:dyDescent="0.25">
      <c r="B425" s="106" t="s">
        <v>2414</v>
      </c>
      <c r="C425" s="120"/>
      <c r="D425" s="248">
        <v>0</v>
      </c>
      <c r="E425" s="47"/>
      <c r="F425" s="266">
        <f t="shared" si="6"/>
        <v>0</v>
      </c>
    </row>
    <row r="426" spans="2:6" x14ac:dyDescent="0.25">
      <c r="B426" s="106" t="s">
        <v>1370</v>
      </c>
      <c r="C426" s="120"/>
      <c r="D426" s="248">
        <v>0</v>
      </c>
      <c r="E426" s="47"/>
      <c r="F426" s="266">
        <f t="shared" si="6"/>
        <v>0</v>
      </c>
    </row>
    <row r="427" spans="2:6" x14ac:dyDescent="0.25">
      <c r="B427" s="106" t="s">
        <v>2552</v>
      </c>
      <c r="C427" s="123"/>
      <c r="D427" s="248">
        <v>0</v>
      </c>
      <c r="E427" s="47"/>
      <c r="F427" s="266">
        <f t="shared" si="6"/>
        <v>0</v>
      </c>
    </row>
    <row r="428" spans="2:6" x14ac:dyDescent="0.25">
      <c r="B428" s="106" t="s">
        <v>1709</v>
      </c>
      <c r="C428" s="120"/>
      <c r="D428" s="248">
        <v>0</v>
      </c>
      <c r="E428" s="47"/>
      <c r="F428" s="266">
        <f t="shared" si="6"/>
        <v>0</v>
      </c>
    </row>
    <row r="429" spans="2:6" x14ac:dyDescent="0.25">
      <c r="B429" s="106" t="s">
        <v>3215</v>
      </c>
      <c r="C429" s="120" t="s">
        <v>2921</v>
      </c>
      <c r="D429" s="248">
        <v>8.5</v>
      </c>
      <c r="F429" s="266">
        <f t="shared" si="6"/>
        <v>8.5</v>
      </c>
    </row>
    <row r="430" spans="2:6" x14ac:dyDescent="0.25">
      <c r="B430" s="106" t="s">
        <v>3214</v>
      </c>
      <c r="C430" s="120" t="s">
        <v>2921</v>
      </c>
      <c r="D430" s="248">
        <v>10</v>
      </c>
      <c r="F430" s="266">
        <f t="shared" si="6"/>
        <v>10</v>
      </c>
    </row>
    <row r="431" spans="2:6" x14ac:dyDescent="0.25">
      <c r="B431" s="106" t="s">
        <v>3297</v>
      </c>
      <c r="C431" s="257" t="s">
        <v>2921</v>
      </c>
      <c r="D431" s="248">
        <v>12</v>
      </c>
      <c r="F431" s="266">
        <f t="shared" si="6"/>
        <v>12</v>
      </c>
    </row>
    <row r="432" spans="2:6" x14ac:dyDescent="0.25">
      <c r="B432" s="106" t="s">
        <v>3293</v>
      </c>
      <c r="C432" s="257" t="s">
        <v>2921</v>
      </c>
      <c r="D432" s="248">
        <v>15</v>
      </c>
      <c r="F432" s="266">
        <f t="shared" si="6"/>
        <v>15</v>
      </c>
    </row>
    <row r="433" spans="2:6" x14ac:dyDescent="0.25">
      <c r="B433" s="106" t="s">
        <v>3212</v>
      </c>
      <c r="C433" s="120" t="s">
        <v>2921</v>
      </c>
      <c r="D433" s="248">
        <v>2.5</v>
      </c>
      <c r="F433" s="266">
        <f t="shared" si="6"/>
        <v>2.5</v>
      </c>
    </row>
    <row r="434" spans="2:6" x14ac:dyDescent="0.25">
      <c r="B434" s="106" t="s">
        <v>3199</v>
      </c>
      <c r="C434" s="120" t="s">
        <v>2921</v>
      </c>
      <c r="D434" s="248">
        <v>3.75</v>
      </c>
      <c r="F434" s="266">
        <f t="shared" si="6"/>
        <v>3.75</v>
      </c>
    </row>
    <row r="435" spans="2:6" x14ac:dyDescent="0.25">
      <c r="B435" s="106" t="s">
        <v>3196</v>
      </c>
      <c r="C435" s="120" t="s">
        <v>2921</v>
      </c>
      <c r="D435" s="248">
        <v>40</v>
      </c>
      <c r="F435" s="266">
        <f t="shared" si="6"/>
        <v>40</v>
      </c>
    </row>
    <row r="436" spans="2:6" x14ac:dyDescent="0.25">
      <c r="B436" s="261" t="s">
        <v>3394</v>
      </c>
      <c r="C436" s="286" t="s">
        <v>2921</v>
      </c>
      <c r="D436" s="248">
        <v>2</v>
      </c>
      <c r="E436" s="151"/>
      <c r="F436" s="266">
        <f t="shared" si="6"/>
        <v>2</v>
      </c>
    </row>
    <row r="437" spans="2:6" x14ac:dyDescent="0.25">
      <c r="B437" s="106" t="s">
        <v>3332</v>
      </c>
      <c r="C437" s="120" t="s">
        <v>1826</v>
      </c>
      <c r="D437" s="248">
        <v>0.5</v>
      </c>
      <c r="E437" s="47"/>
      <c r="F437" s="266">
        <f t="shared" si="6"/>
        <v>0.5</v>
      </c>
    </row>
    <row r="438" spans="2:6" x14ac:dyDescent="0.25">
      <c r="B438" s="106" t="s">
        <v>3201</v>
      </c>
      <c r="C438" s="120" t="s">
        <v>2921</v>
      </c>
      <c r="D438" s="248">
        <v>4.3499999999999996</v>
      </c>
      <c r="F438" s="266">
        <f t="shared" si="6"/>
        <v>4.3499999999999996</v>
      </c>
    </row>
    <row r="439" spans="2:6" x14ac:dyDescent="0.25">
      <c r="B439" s="106" t="s">
        <v>3210</v>
      </c>
      <c r="C439" s="120" t="s">
        <v>2921</v>
      </c>
      <c r="D439" s="248">
        <v>4.5</v>
      </c>
      <c r="F439" s="266">
        <f t="shared" si="6"/>
        <v>4.5</v>
      </c>
    </row>
    <row r="440" spans="2:6" x14ac:dyDescent="0.25">
      <c r="B440" s="106" t="s">
        <v>3200</v>
      </c>
      <c r="C440" s="120" t="s">
        <v>2921</v>
      </c>
      <c r="D440" s="248">
        <v>6</v>
      </c>
      <c r="F440" s="266">
        <f t="shared" si="6"/>
        <v>6</v>
      </c>
    </row>
    <row r="441" spans="2:6" x14ac:dyDescent="0.25">
      <c r="B441" s="155" t="s">
        <v>366</v>
      </c>
      <c r="C441" s="156" t="s">
        <v>2734</v>
      </c>
      <c r="D441" s="248">
        <v>7.22</v>
      </c>
      <c r="E441" s="151"/>
      <c r="F441" s="266">
        <f t="shared" si="6"/>
        <v>7.22</v>
      </c>
    </row>
    <row r="442" spans="2:6" x14ac:dyDescent="0.25">
      <c r="B442" s="155" t="s">
        <v>365</v>
      </c>
      <c r="C442" s="156" t="s">
        <v>2734</v>
      </c>
      <c r="D442" s="248">
        <v>4.41</v>
      </c>
      <c r="E442" s="151"/>
      <c r="F442" s="266">
        <f t="shared" si="6"/>
        <v>4.41</v>
      </c>
    </row>
    <row r="443" spans="2:6" x14ac:dyDescent="0.25">
      <c r="B443" s="155" t="s">
        <v>369</v>
      </c>
      <c r="C443" s="156" t="s">
        <v>2734</v>
      </c>
      <c r="D443" s="248">
        <v>3.25</v>
      </c>
      <c r="E443" s="151"/>
      <c r="F443" s="266">
        <f t="shared" si="6"/>
        <v>3.25</v>
      </c>
    </row>
    <row r="444" spans="2:6" ht="22.8" x14ac:dyDescent="0.25">
      <c r="B444" s="106" t="s">
        <v>3240</v>
      </c>
      <c r="C444" s="257" t="s">
        <v>2921</v>
      </c>
      <c r="D444" s="248">
        <v>20</v>
      </c>
      <c r="F444" s="266">
        <f t="shared" si="6"/>
        <v>20</v>
      </c>
    </row>
    <row r="445" spans="2:6" x14ac:dyDescent="0.25">
      <c r="B445" s="155" t="s">
        <v>364</v>
      </c>
      <c r="C445" s="156" t="s">
        <v>2734</v>
      </c>
      <c r="D445" s="248">
        <v>7.03</v>
      </c>
      <c r="E445" s="151"/>
      <c r="F445" s="266">
        <f t="shared" si="6"/>
        <v>7.03</v>
      </c>
    </row>
    <row r="446" spans="2:6" x14ac:dyDescent="0.25">
      <c r="B446" s="155" t="s">
        <v>363</v>
      </c>
      <c r="C446" s="156" t="s">
        <v>2734</v>
      </c>
      <c r="D446" s="248">
        <v>4.6900000000000004</v>
      </c>
      <c r="E446" s="151"/>
      <c r="F446" s="266">
        <f t="shared" si="6"/>
        <v>4.6900000000000004</v>
      </c>
    </row>
    <row r="447" spans="2:6" x14ac:dyDescent="0.25">
      <c r="B447" s="261" t="s">
        <v>3402</v>
      </c>
      <c r="C447" s="286" t="s">
        <v>1826</v>
      </c>
      <c r="D447" s="248">
        <v>0.24</v>
      </c>
      <c r="E447" s="151"/>
      <c r="F447" s="266">
        <f t="shared" si="6"/>
        <v>0.24</v>
      </c>
    </row>
    <row r="448" spans="2:6" x14ac:dyDescent="0.25">
      <c r="B448" s="106" t="s">
        <v>3420</v>
      </c>
      <c r="C448" s="257" t="s">
        <v>1826</v>
      </c>
      <c r="D448" s="248">
        <v>15</v>
      </c>
      <c r="F448" s="266">
        <f>IF(E448&gt;0,E448,D448)</f>
        <v>15</v>
      </c>
    </row>
    <row r="449" spans="2:6" x14ac:dyDescent="0.25">
      <c r="B449" s="106" t="s">
        <v>3410</v>
      </c>
      <c r="C449" s="257" t="s">
        <v>1826</v>
      </c>
      <c r="D449" s="248">
        <v>20</v>
      </c>
      <c r="F449" s="266">
        <f t="shared" si="6"/>
        <v>20</v>
      </c>
    </row>
    <row r="450" spans="2:6" x14ac:dyDescent="0.25">
      <c r="B450" s="106" t="s">
        <v>3409</v>
      </c>
      <c r="C450" s="257" t="s">
        <v>1826</v>
      </c>
      <c r="D450" s="248">
        <v>25</v>
      </c>
      <c r="F450" s="266">
        <f t="shared" si="6"/>
        <v>25</v>
      </c>
    </row>
    <row r="451" spans="2:6" x14ac:dyDescent="0.25">
      <c r="B451" s="106" t="s">
        <v>3411</v>
      </c>
      <c r="C451" s="257" t="s">
        <v>2734</v>
      </c>
      <c r="D451" s="248">
        <v>300</v>
      </c>
      <c r="F451" s="266">
        <f>IF(E451&gt;0,E451,D451)</f>
        <v>300</v>
      </c>
    </row>
    <row r="452" spans="2:6" x14ac:dyDescent="0.25">
      <c r="B452" s="106" t="s">
        <v>3413</v>
      </c>
      <c r="C452" s="257" t="s">
        <v>1826</v>
      </c>
      <c r="D452" s="248">
        <v>30</v>
      </c>
      <c r="F452" s="266">
        <f>IF(E452&gt;0,E452,D452)</f>
        <v>30</v>
      </c>
    </row>
    <row r="453" spans="2:6" x14ac:dyDescent="0.25">
      <c r="B453" s="106" t="s">
        <v>3414</v>
      </c>
      <c r="C453" s="257" t="s">
        <v>2734</v>
      </c>
      <c r="D453" s="248">
        <v>500</v>
      </c>
      <c r="F453" s="266">
        <f>IF(E453&gt;0,E453,D453)</f>
        <v>500</v>
      </c>
    </row>
    <row r="454" spans="2:6" x14ac:dyDescent="0.25">
      <c r="B454" s="106" t="s">
        <v>3416</v>
      </c>
      <c r="C454" s="257" t="s">
        <v>2734</v>
      </c>
      <c r="D454" s="248">
        <v>400</v>
      </c>
      <c r="F454" s="266">
        <f>IF(E454&gt;0,E454,D454)</f>
        <v>400</v>
      </c>
    </row>
    <row r="455" spans="2:6" x14ac:dyDescent="0.25">
      <c r="B455" s="106" t="s">
        <v>3415</v>
      </c>
      <c r="C455" s="257" t="s">
        <v>2734</v>
      </c>
      <c r="D455" s="248">
        <v>300</v>
      </c>
      <c r="F455" s="266">
        <f>IF(E455&gt;0,E455,D455)</f>
        <v>300</v>
      </c>
    </row>
    <row r="456" spans="2:6" x14ac:dyDescent="0.25">
      <c r="B456" s="106" t="s">
        <v>3239</v>
      </c>
      <c r="C456" s="257" t="s">
        <v>2921</v>
      </c>
      <c r="D456" s="248">
        <v>5.05</v>
      </c>
      <c r="F456" s="266">
        <f t="shared" si="6"/>
        <v>5.05</v>
      </c>
    </row>
    <row r="457" spans="2:6" x14ac:dyDescent="0.25">
      <c r="B457" s="106" t="s">
        <v>479</v>
      </c>
      <c r="C457" s="120" t="s">
        <v>1826</v>
      </c>
      <c r="D457" s="248">
        <v>2.5</v>
      </c>
      <c r="F457" s="266">
        <f t="shared" si="6"/>
        <v>2.5</v>
      </c>
    </row>
    <row r="458" spans="2:6" x14ac:dyDescent="0.25">
      <c r="B458" s="106" t="s">
        <v>2539</v>
      </c>
      <c r="C458" s="120" t="s">
        <v>1826</v>
      </c>
      <c r="D458" s="120">
        <v>2</v>
      </c>
      <c r="F458" s="266">
        <f t="shared" ref="F458:F521" si="7">IF(E458&gt;0,E458,D458)</f>
        <v>2</v>
      </c>
    </row>
    <row r="459" spans="2:6" x14ac:dyDescent="0.25">
      <c r="B459" s="106" t="s">
        <v>3148</v>
      </c>
      <c r="C459" s="120" t="s">
        <v>2734</v>
      </c>
      <c r="D459" s="248">
        <v>20</v>
      </c>
      <c r="F459" s="266">
        <f t="shared" si="7"/>
        <v>20</v>
      </c>
    </row>
    <row r="460" spans="2:6" x14ac:dyDescent="0.25">
      <c r="B460" s="106" t="s">
        <v>3149</v>
      </c>
      <c r="C460" s="120" t="s">
        <v>2734</v>
      </c>
      <c r="D460" s="120">
        <v>60</v>
      </c>
      <c r="F460" s="266">
        <f t="shared" si="7"/>
        <v>60</v>
      </c>
    </row>
    <row r="461" spans="2:6" x14ac:dyDescent="0.25">
      <c r="B461" s="106" t="s">
        <v>3236</v>
      </c>
      <c r="C461" s="257" t="s">
        <v>2921</v>
      </c>
      <c r="D461" s="248">
        <v>2.11</v>
      </c>
      <c r="F461" s="266">
        <f t="shared" si="7"/>
        <v>2.11</v>
      </c>
    </row>
    <row r="462" spans="2:6" x14ac:dyDescent="0.25">
      <c r="B462" s="155" t="s">
        <v>368</v>
      </c>
      <c r="C462" s="156" t="s">
        <v>2734</v>
      </c>
      <c r="D462" s="248">
        <v>9.77</v>
      </c>
      <c r="E462" s="151"/>
      <c r="F462" s="266">
        <f t="shared" si="7"/>
        <v>9.77</v>
      </c>
    </row>
    <row r="463" spans="2:6" x14ac:dyDescent="0.25">
      <c r="B463" s="155" t="s">
        <v>367</v>
      </c>
      <c r="C463" s="156" t="s">
        <v>2734</v>
      </c>
      <c r="D463" s="248">
        <v>5.92</v>
      </c>
      <c r="E463" s="151"/>
      <c r="F463" s="266">
        <f t="shared" si="7"/>
        <v>5.92</v>
      </c>
    </row>
    <row r="464" spans="2:6" x14ac:dyDescent="0.25">
      <c r="B464" s="205" t="s">
        <v>3226</v>
      </c>
      <c r="C464" s="206" t="s">
        <v>2921</v>
      </c>
      <c r="D464" s="248">
        <v>4.47</v>
      </c>
      <c r="F464" s="266">
        <f t="shared" si="7"/>
        <v>4.47</v>
      </c>
    </row>
    <row r="465" spans="2:6" x14ac:dyDescent="0.25">
      <c r="B465" s="205" t="s">
        <v>2945</v>
      </c>
      <c r="C465" s="209" t="s">
        <v>2734</v>
      </c>
      <c r="D465" s="207">
        <v>100</v>
      </c>
      <c r="F465" s="266">
        <f t="shared" si="7"/>
        <v>100</v>
      </c>
    </row>
    <row r="466" spans="2:6" x14ac:dyDescent="0.25">
      <c r="B466" s="159" t="s">
        <v>1417</v>
      </c>
      <c r="C466" s="153" t="s">
        <v>2734</v>
      </c>
      <c r="D466" s="248">
        <v>0.55000000000000004</v>
      </c>
      <c r="E466" s="151"/>
      <c r="F466" s="266">
        <f t="shared" si="7"/>
        <v>0.55000000000000004</v>
      </c>
    </row>
    <row r="467" spans="2:6" x14ac:dyDescent="0.25">
      <c r="B467" s="159" t="s">
        <v>1420</v>
      </c>
      <c r="C467" s="153" t="s">
        <v>2734</v>
      </c>
      <c r="D467" s="248">
        <v>0.55000000000000004</v>
      </c>
      <c r="E467" s="151"/>
      <c r="F467" s="266">
        <f t="shared" si="7"/>
        <v>0.55000000000000004</v>
      </c>
    </row>
    <row r="468" spans="2:6" x14ac:dyDescent="0.25">
      <c r="B468" s="159" t="s">
        <v>1194</v>
      </c>
      <c r="C468" s="153" t="s">
        <v>2734</v>
      </c>
      <c r="D468" s="248">
        <v>0.55000000000000004</v>
      </c>
      <c r="E468" s="151"/>
      <c r="F468" s="266">
        <f t="shared" si="7"/>
        <v>0.55000000000000004</v>
      </c>
    </row>
    <row r="469" spans="2:6" x14ac:dyDescent="0.25">
      <c r="B469" s="159" t="s">
        <v>1504</v>
      </c>
      <c r="C469" s="153" t="s">
        <v>2734</v>
      </c>
      <c r="D469" s="248">
        <v>0.55000000000000004</v>
      </c>
      <c r="E469" s="151"/>
      <c r="F469" s="266">
        <f t="shared" si="7"/>
        <v>0.55000000000000004</v>
      </c>
    </row>
    <row r="470" spans="2:6" x14ac:dyDescent="0.25">
      <c r="B470" s="159" t="s">
        <v>2222</v>
      </c>
      <c r="C470" s="153" t="s">
        <v>2734</v>
      </c>
      <c r="D470" s="248">
        <v>0.55000000000000004</v>
      </c>
      <c r="E470" s="151"/>
      <c r="F470" s="266">
        <f t="shared" si="7"/>
        <v>0.55000000000000004</v>
      </c>
    </row>
    <row r="471" spans="2:6" x14ac:dyDescent="0.25">
      <c r="B471" s="159" t="s">
        <v>1195</v>
      </c>
      <c r="C471" s="153" t="s">
        <v>2734</v>
      </c>
      <c r="D471" s="248">
        <v>0.55000000000000004</v>
      </c>
      <c r="E471" s="151"/>
      <c r="F471" s="266">
        <f t="shared" si="7"/>
        <v>0.55000000000000004</v>
      </c>
    </row>
    <row r="472" spans="2:6" x14ac:dyDescent="0.25">
      <c r="B472" s="159" t="s">
        <v>1419</v>
      </c>
      <c r="C472" s="153" t="s">
        <v>2734</v>
      </c>
      <c r="D472" s="248">
        <v>6.75</v>
      </c>
      <c r="E472" s="151"/>
      <c r="F472" s="266">
        <f t="shared" si="7"/>
        <v>6.75</v>
      </c>
    </row>
    <row r="473" spans="2:6" x14ac:dyDescent="0.25">
      <c r="B473" s="159" t="s">
        <v>2223</v>
      </c>
      <c r="C473" s="153" t="s">
        <v>2734</v>
      </c>
      <c r="D473" s="248">
        <v>0.45</v>
      </c>
      <c r="E473" s="151"/>
      <c r="F473" s="266">
        <f t="shared" si="7"/>
        <v>0.45</v>
      </c>
    </row>
    <row r="474" spans="2:6" x14ac:dyDescent="0.25">
      <c r="B474" s="159" t="s">
        <v>1101</v>
      </c>
      <c r="C474" s="153" t="s">
        <v>2734</v>
      </c>
      <c r="D474" s="248">
        <v>0.55000000000000004</v>
      </c>
      <c r="E474" s="151"/>
      <c r="F474" s="266">
        <f t="shared" si="7"/>
        <v>0.55000000000000004</v>
      </c>
    </row>
    <row r="475" spans="2:6" x14ac:dyDescent="0.25">
      <c r="B475" s="159" t="s">
        <v>1418</v>
      </c>
      <c r="C475" s="153" t="s">
        <v>2734</v>
      </c>
      <c r="D475" s="248">
        <v>0.55000000000000004</v>
      </c>
      <c r="E475" s="151"/>
      <c r="F475" s="266">
        <f t="shared" si="7"/>
        <v>0.55000000000000004</v>
      </c>
    </row>
    <row r="476" spans="2:6" x14ac:dyDescent="0.25">
      <c r="B476" s="159" t="s">
        <v>1503</v>
      </c>
      <c r="C476" s="153" t="s">
        <v>2734</v>
      </c>
      <c r="D476" s="248">
        <v>0.55000000000000004</v>
      </c>
      <c r="E476" s="151"/>
      <c r="F476" s="266">
        <f t="shared" si="7"/>
        <v>0.55000000000000004</v>
      </c>
    </row>
    <row r="477" spans="2:6" x14ac:dyDescent="0.25">
      <c r="B477" s="159" t="s">
        <v>1196</v>
      </c>
      <c r="C477" s="153" t="s">
        <v>2734</v>
      </c>
      <c r="D477" s="248">
        <v>5.5</v>
      </c>
      <c r="E477" s="151"/>
      <c r="F477" s="266">
        <f t="shared" si="7"/>
        <v>5.5</v>
      </c>
    </row>
    <row r="478" spans="2:6" x14ac:dyDescent="0.25">
      <c r="B478" s="159" t="s">
        <v>2369</v>
      </c>
      <c r="C478" s="153" t="s">
        <v>2734</v>
      </c>
      <c r="D478" s="248">
        <v>0.55000000000000004</v>
      </c>
      <c r="E478" s="151"/>
      <c r="F478" s="266">
        <f t="shared" si="7"/>
        <v>0.55000000000000004</v>
      </c>
    </row>
    <row r="479" spans="2:6" x14ac:dyDescent="0.25">
      <c r="B479" s="159" t="s">
        <v>1421</v>
      </c>
      <c r="C479" s="153" t="s">
        <v>2734</v>
      </c>
      <c r="D479" s="248">
        <v>0.45</v>
      </c>
      <c r="E479" s="151"/>
      <c r="F479" s="266">
        <f t="shared" si="7"/>
        <v>0.45</v>
      </c>
    </row>
    <row r="480" spans="2:6" x14ac:dyDescent="0.25">
      <c r="B480" s="159" t="s">
        <v>181</v>
      </c>
      <c r="C480" s="153" t="s">
        <v>2734</v>
      </c>
      <c r="D480" s="248">
        <v>0.55000000000000004</v>
      </c>
      <c r="E480" s="151"/>
      <c r="F480" s="266">
        <f t="shared" si="7"/>
        <v>0.55000000000000004</v>
      </c>
    </row>
    <row r="481" spans="1:8" x14ac:dyDescent="0.25">
      <c r="B481" s="159" t="s">
        <v>1416</v>
      </c>
      <c r="C481" s="153" t="s">
        <v>2734</v>
      </c>
      <c r="D481" s="248">
        <v>0.55000000000000004</v>
      </c>
      <c r="E481" s="151"/>
      <c r="F481" s="266">
        <f t="shared" si="7"/>
        <v>0.55000000000000004</v>
      </c>
    </row>
    <row r="482" spans="1:8" x14ac:dyDescent="0.25">
      <c r="B482" s="93" t="s">
        <v>3271</v>
      </c>
      <c r="C482" s="120" t="s">
        <v>2734</v>
      </c>
      <c r="D482" s="248">
        <v>24</v>
      </c>
      <c r="F482" s="266">
        <f t="shared" si="7"/>
        <v>24</v>
      </c>
    </row>
    <row r="483" spans="1:8" ht="26.4" x14ac:dyDescent="0.25">
      <c r="B483" s="261" t="s">
        <v>3272</v>
      </c>
      <c r="C483" s="262" t="s">
        <v>2734</v>
      </c>
      <c r="D483" s="248">
        <v>27</v>
      </c>
      <c r="E483" s="151"/>
      <c r="F483" s="266">
        <f t="shared" si="7"/>
        <v>27</v>
      </c>
    </row>
    <row r="484" spans="1:8" x14ac:dyDescent="0.25">
      <c r="B484" s="159" t="s">
        <v>2096</v>
      </c>
      <c r="C484" s="153" t="s">
        <v>2734</v>
      </c>
      <c r="D484" s="248">
        <v>1.1399999999999999</v>
      </c>
      <c r="E484" s="151"/>
      <c r="F484" s="266">
        <f t="shared" si="7"/>
        <v>1.1399999999999999</v>
      </c>
    </row>
    <row r="485" spans="1:8" x14ac:dyDescent="0.25">
      <c r="B485" s="159" t="s">
        <v>2096</v>
      </c>
      <c r="C485" s="120"/>
      <c r="D485" s="248">
        <v>0</v>
      </c>
      <c r="E485" s="47"/>
      <c r="F485" s="266">
        <f t="shared" si="7"/>
        <v>0</v>
      </c>
    </row>
    <row r="486" spans="1:8" x14ac:dyDescent="0.25">
      <c r="B486" s="106" t="s">
        <v>2139</v>
      </c>
      <c r="C486" s="120" t="s">
        <v>552</v>
      </c>
      <c r="D486" s="248">
        <v>52</v>
      </c>
      <c r="E486" s="47"/>
      <c r="F486" s="266">
        <f t="shared" si="7"/>
        <v>52</v>
      </c>
    </row>
    <row r="487" spans="1:8" x14ac:dyDescent="0.25">
      <c r="B487" s="106" t="s">
        <v>2137</v>
      </c>
      <c r="C487" s="47"/>
      <c r="D487" s="248">
        <v>0</v>
      </c>
      <c r="E487" s="47"/>
      <c r="F487" s="266">
        <f t="shared" si="7"/>
        <v>0</v>
      </c>
    </row>
    <row r="488" spans="1:8" ht="22.8" x14ac:dyDescent="0.25">
      <c r="B488" s="106" t="s">
        <v>3099</v>
      </c>
      <c r="C488" s="120" t="s">
        <v>552</v>
      </c>
      <c r="D488" s="248">
        <v>45</v>
      </c>
      <c r="E488"/>
      <c r="F488" s="266">
        <f t="shared" si="7"/>
        <v>45</v>
      </c>
      <c r="G488" s="244"/>
      <c r="H488" s="244"/>
    </row>
    <row r="489" spans="1:8" x14ac:dyDescent="0.25">
      <c r="B489" s="106" t="s">
        <v>2140</v>
      </c>
      <c r="C489" s="47"/>
      <c r="D489" s="248">
        <v>0</v>
      </c>
      <c r="E489" s="47"/>
      <c r="F489" s="266">
        <f t="shared" si="7"/>
        <v>0</v>
      </c>
    </row>
    <row r="490" spans="1:8" x14ac:dyDescent="0.25">
      <c r="A490" s="184" t="s">
        <v>27</v>
      </c>
      <c r="B490" s="184" t="s">
        <v>1671</v>
      </c>
      <c r="C490" s="191" t="s">
        <v>1802</v>
      </c>
      <c r="D490" s="248">
        <v>8.9355478799999997</v>
      </c>
      <c r="F490" s="266">
        <f t="shared" si="7"/>
        <v>8.9355478799999997</v>
      </c>
    </row>
    <row r="491" spans="1:8" x14ac:dyDescent="0.25">
      <c r="B491" s="184" t="s">
        <v>1671</v>
      </c>
      <c r="C491" s="47"/>
      <c r="D491" s="248">
        <v>0</v>
      </c>
      <c r="E491" s="47"/>
      <c r="F491" s="266">
        <f t="shared" si="7"/>
        <v>0</v>
      </c>
    </row>
    <row r="492" spans="1:8" x14ac:dyDescent="0.25">
      <c r="B492" s="114" t="s">
        <v>2574</v>
      </c>
      <c r="C492" s="47"/>
      <c r="D492" s="248">
        <v>0</v>
      </c>
      <c r="E492" s="47"/>
      <c r="F492" s="266">
        <f t="shared" si="7"/>
        <v>0</v>
      </c>
    </row>
    <row r="493" spans="1:8" x14ac:dyDescent="0.25">
      <c r="B493" s="115" t="s">
        <v>2575</v>
      </c>
      <c r="C493" s="47"/>
      <c r="D493" s="248">
        <v>0</v>
      </c>
      <c r="E493" s="47"/>
      <c r="F493" s="266">
        <f t="shared" si="7"/>
        <v>0</v>
      </c>
    </row>
    <row r="494" spans="1:8" x14ac:dyDescent="0.25">
      <c r="B494" s="106" t="s">
        <v>3219</v>
      </c>
      <c r="C494" s="120" t="s">
        <v>2734</v>
      </c>
      <c r="D494" s="248">
        <v>500</v>
      </c>
      <c r="F494" s="266">
        <f t="shared" si="7"/>
        <v>500</v>
      </c>
    </row>
    <row r="495" spans="1:8" x14ac:dyDescent="0.25">
      <c r="B495" s="106" t="s">
        <v>3218</v>
      </c>
      <c r="C495" s="120" t="s">
        <v>516</v>
      </c>
      <c r="D495" s="248">
        <v>80</v>
      </c>
      <c r="F495" s="266">
        <f t="shared" si="7"/>
        <v>80</v>
      </c>
    </row>
    <row r="496" spans="1:8" x14ac:dyDescent="0.25">
      <c r="B496" s="106" t="s">
        <v>2522</v>
      </c>
      <c r="C496" s="47"/>
      <c r="D496" s="248">
        <v>0</v>
      </c>
      <c r="E496" s="47"/>
      <c r="F496" s="266">
        <f t="shared" si="7"/>
        <v>0</v>
      </c>
    </row>
    <row r="497" spans="2:8" x14ac:dyDescent="0.25">
      <c r="B497" s="106" t="s">
        <v>1230</v>
      </c>
      <c r="C497" s="47"/>
      <c r="D497" s="248">
        <v>0</v>
      </c>
      <c r="E497" s="47"/>
      <c r="F497" s="266">
        <f t="shared" si="7"/>
        <v>0</v>
      </c>
      <c r="G497" s="244"/>
      <c r="H497" s="244"/>
    </row>
    <row r="498" spans="2:8" x14ac:dyDescent="0.25">
      <c r="B498" s="106" t="s">
        <v>2710</v>
      </c>
      <c r="C498" s="47"/>
      <c r="D498" s="248">
        <v>0</v>
      </c>
      <c r="E498" s="47"/>
      <c r="F498" s="266">
        <f t="shared" si="7"/>
        <v>0</v>
      </c>
    </row>
    <row r="499" spans="2:8" x14ac:dyDescent="0.25">
      <c r="B499" s="106" t="s">
        <v>1231</v>
      </c>
      <c r="C499" s="47"/>
      <c r="D499" s="248">
        <v>0</v>
      </c>
      <c r="E499" s="47"/>
      <c r="F499" s="266">
        <f t="shared" si="7"/>
        <v>0</v>
      </c>
      <c r="G499" s="244"/>
      <c r="H499" s="244"/>
    </row>
    <row r="500" spans="2:8" x14ac:dyDescent="0.25">
      <c r="B500" s="106" t="s">
        <v>1232</v>
      </c>
      <c r="C500" s="47"/>
      <c r="D500" s="248">
        <v>0</v>
      </c>
      <c r="E500" s="47"/>
      <c r="F500" s="266">
        <f t="shared" si="7"/>
        <v>0</v>
      </c>
    </row>
    <row r="501" spans="2:8" x14ac:dyDescent="0.25">
      <c r="B501" s="106" t="s">
        <v>2543</v>
      </c>
      <c r="C501" s="47"/>
      <c r="D501" s="248">
        <v>0</v>
      </c>
      <c r="E501" s="47"/>
      <c r="F501" s="266">
        <f t="shared" si="7"/>
        <v>0</v>
      </c>
    </row>
    <row r="502" spans="2:8" x14ac:dyDescent="0.25">
      <c r="B502" s="106" t="s">
        <v>1233</v>
      </c>
      <c r="C502" s="47"/>
      <c r="D502" s="248">
        <v>0</v>
      </c>
      <c r="E502" s="47"/>
      <c r="F502" s="266">
        <f t="shared" si="7"/>
        <v>0</v>
      </c>
    </row>
    <row r="503" spans="2:8" x14ac:dyDescent="0.25">
      <c r="B503" s="106" t="s">
        <v>2544</v>
      </c>
      <c r="C503" s="47"/>
      <c r="D503" s="248">
        <v>0</v>
      </c>
      <c r="E503" s="47"/>
      <c r="F503" s="266">
        <f t="shared" si="7"/>
        <v>0</v>
      </c>
    </row>
    <row r="504" spans="2:8" x14ac:dyDescent="0.25">
      <c r="B504" s="106" t="s">
        <v>1234</v>
      </c>
      <c r="C504" s="104"/>
      <c r="D504" s="248">
        <v>0</v>
      </c>
      <c r="E504" s="47"/>
      <c r="F504" s="266">
        <f t="shared" si="7"/>
        <v>0</v>
      </c>
    </row>
    <row r="505" spans="2:8" x14ac:dyDescent="0.25">
      <c r="B505" s="106" t="s">
        <v>2318</v>
      </c>
      <c r="C505" s="47"/>
      <c r="D505" s="248">
        <v>0</v>
      </c>
      <c r="E505" s="47"/>
      <c r="F505" s="266">
        <f t="shared" si="7"/>
        <v>0</v>
      </c>
    </row>
    <row r="506" spans="2:8" x14ac:dyDescent="0.25">
      <c r="B506" s="205" t="s">
        <v>2946</v>
      </c>
      <c r="C506" s="206" t="s">
        <v>552</v>
      </c>
      <c r="D506" s="208">
        <v>15</v>
      </c>
      <c r="F506" s="266">
        <f t="shared" si="7"/>
        <v>15</v>
      </c>
    </row>
    <row r="507" spans="2:8" x14ac:dyDescent="0.25">
      <c r="B507" s="125" t="s">
        <v>3340</v>
      </c>
      <c r="C507" s="190" t="s">
        <v>1182</v>
      </c>
      <c r="D507" s="112">
        <v>40</v>
      </c>
      <c r="F507" s="266">
        <f t="shared" si="7"/>
        <v>40</v>
      </c>
    </row>
    <row r="508" spans="2:8" x14ac:dyDescent="0.25">
      <c r="B508" s="200" t="s">
        <v>2917</v>
      </c>
      <c r="C508" s="47"/>
      <c r="D508" s="248">
        <v>0</v>
      </c>
      <c r="E508" s="47"/>
      <c r="F508" s="266">
        <f t="shared" si="7"/>
        <v>0</v>
      </c>
    </row>
    <row r="509" spans="2:8" x14ac:dyDescent="0.25">
      <c r="B509" s="256" t="s">
        <v>3232</v>
      </c>
      <c r="C509" s="284" t="s">
        <v>2734</v>
      </c>
      <c r="D509">
        <v>2500</v>
      </c>
      <c r="E509"/>
      <c r="F509" s="266">
        <f t="shared" si="7"/>
        <v>2500</v>
      </c>
    </row>
    <row r="510" spans="2:8" x14ac:dyDescent="0.25">
      <c r="B510" s="195" t="s">
        <v>3259</v>
      </c>
      <c r="C510" s="198" t="s">
        <v>2734</v>
      </c>
      <c r="D510" s="199">
        <v>2500</v>
      </c>
      <c r="F510" s="266">
        <f t="shared" si="7"/>
        <v>2500</v>
      </c>
    </row>
    <row r="511" spans="2:8" x14ac:dyDescent="0.25">
      <c r="B511" s="106" t="s">
        <v>1386</v>
      </c>
      <c r="C511" s="123"/>
      <c r="D511" s="248">
        <v>0</v>
      </c>
      <c r="E511" s="47"/>
      <c r="F511" s="266">
        <f t="shared" si="7"/>
        <v>0</v>
      </c>
    </row>
    <row r="512" spans="2:8" x14ac:dyDescent="0.25">
      <c r="B512" s="106" t="s">
        <v>1156</v>
      </c>
      <c r="C512" s="120"/>
      <c r="D512" s="248">
        <v>0</v>
      </c>
      <c r="E512" s="47"/>
      <c r="F512" s="266">
        <f t="shared" si="7"/>
        <v>0</v>
      </c>
    </row>
    <row r="513" spans="2:8" x14ac:dyDescent="0.25">
      <c r="B513" s="100" t="s">
        <v>903</v>
      </c>
      <c r="C513" s="123"/>
      <c r="D513" s="248">
        <v>0</v>
      </c>
      <c r="E513" s="47"/>
      <c r="F513" s="266">
        <f t="shared" si="7"/>
        <v>0</v>
      </c>
    </row>
    <row r="514" spans="2:8" x14ac:dyDescent="0.25">
      <c r="B514" s="106" t="s">
        <v>3389</v>
      </c>
      <c r="C514" s="120" t="s">
        <v>2734</v>
      </c>
      <c r="D514" s="120">
        <v>6000</v>
      </c>
      <c r="F514" s="266">
        <f t="shared" si="7"/>
        <v>6000</v>
      </c>
    </row>
    <row r="515" spans="2:8" ht="26.4" x14ac:dyDescent="0.25">
      <c r="B515" s="205" t="s">
        <v>2947</v>
      </c>
      <c r="C515" s="206" t="s">
        <v>2734</v>
      </c>
      <c r="D515" s="208">
        <v>1280</v>
      </c>
      <c r="F515" s="266">
        <f t="shared" si="7"/>
        <v>1280</v>
      </c>
    </row>
    <row r="516" spans="2:8" ht="26.4" x14ac:dyDescent="0.25">
      <c r="B516" s="205" t="s">
        <v>2948</v>
      </c>
      <c r="C516" s="206" t="s">
        <v>2734</v>
      </c>
      <c r="D516" s="208">
        <v>1475</v>
      </c>
      <c r="F516" s="266">
        <f t="shared" si="7"/>
        <v>1475</v>
      </c>
    </row>
    <row r="517" spans="2:8" x14ac:dyDescent="0.25">
      <c r="B517" s="106" t="s">
        <v>3391</v>
      </c>
      <c r="C517" s="120" t="s">
        <v>2734</v>
      </c>
      <c r="D517" s="120">
        <v>150</v>
      </c>
      <c r="F517" s="266">
        <f t="shared" si="7"/>
        <v>150</v>
      </c>
    </row>
    <row r="518" spans="2:8" x14ac:dyDescent="0.25">
      <c r="B518" s="106" t="s">
        <v>3390</v>
      </c>
      <c r="C518" s="120" t="s">
        <v>1826</v>
      </c>
      <c r="D518" s="120">
        <v>14</v>
      </c>
      <c r="F518" s="266">
        <f t="shared" si="7"/>
        <v>14</v>
      </c>
    </row>
    <row r="519" spans="2:8" x14ac:dyDescent="0.25">
      <c r="B519" s="106" t="s">
        <v>3191</v>
      </c>
      <c r="C519" s="120" t="s">
        <v>2734</v>
      </c>
      <c r="D519" s="248">
        <v>800</v>
      </c>
      <c r="F519" s="266">
        <f t="shared" si="7"/>
        <v>800</v>
      </c>
    </row>
    <row r="520" spans="2:8" x14ac:dyDescent="0.25">
      <c r="B520" s="106" t="s">
        <v>3388</v>
      </c>
      <c r="C520" s="120" t="s">
        <v>2734</v>
      </c>
      <c r="D520" s="120">
        <v>3000</v>
      </c>
      <c r="F520" s="266">
        <f t="shared" si="7"/>
        <v>3000</v>
      </c>
    </row>
    <row r="521" spans="2:8" x14ac:dyDescent="0.25">
      <c r="B521" s="106" t="s">
        <v>3217</v>
      </c>
      <c r="C521" s="120" t="s">
        <v>2734</v>
      </c>
      <c r="D521" s="120">
        <v>500</v>
      </c>
      <c r="F521" s="266">
        <f t="shared" si="7"/>
        <v>500</v>
      </c>
    </row>
    <row r="522" spans="2:8" x14ac:dyDescent="0.25">
      <c r="B522" s="106" t="s">
        <v>1727</v>
      </c>
      <c r="C522" s="120"/>
      <c r="D522" s="248">
        <v>0</v>
      </c>
      <c r="E522" s="47"/>
      <c r="F522" s="266">
        <f t="shared" ref="F522:F585" si="8">IF(E522&gt;0,E522,D522)</f>
        <v>0</v>
      </c>
    </row>
    <row r="523" spans="2:8" x14ac:dyDescent="0.25">
      <c r="B523" s="100" t="s">
        <v>3136</v>
      </c>
      <c r="C523" s="120" t="s">
        <v>552</v>
      </c>
      <c r="D523" s="248">
        <v>13.5</v>
      </c>
      <c r="F523" s="266">
        <f t="shared" si="8"/>
        <v>13.5</v>
      </c>
    </row>
    <row r="524" spans="2:8" x14ac:dyDescent="0.25">
      <c r="B524" s="100" t="s">
        <v>3136</v>
      </c>
      <c r="C524" s="120" t="s">
        <v>552</v>
      </c>
      <c r="D524" s="120">
        <v>13.5</v>
      </c>
      <c r="F524" s="266">
        <f t="shared" si="8"/>
        <v>13.5</v>
      </c>
    </row>
    <row r="525" spans="2:8" x14ac:dyDescent="0.25">
      <c r="B525" s="125" t="s">
        <v>3348</v>
      </c>
      <c r="C525" s="257" t="s">
        <v>3343</v>
      </c>
      <c r="D525" s="248">
        <v>1.4</v>
      </c>
      <c r="F525" s="266">
        <f t="shared" si="8"/>
        <v>1.4</v>
      </c>
    </row>
    <row r="526" spans="2:8" x14ac:dyDescent="0.25">
      <c r="B526" s="125" t="s">
        <v>3347</v>
      </c>
      <c r="C526" s="257" t="s">
        <v>3343</v>
      </c>
      <c r="D526" s="248">
        <v>0.7</v>
      </c>
      <c r="F526" s="266">
        <f t="shared" si="8"/>
        <v>0.7</v>
      </c>
    </row>
    <row r="527" spans="2:8" x14ac:dyDescent="0.25">
      <c r="B527" s="79" t="s">
        <v>439</v>
      </c>
      <c r="C527" s="47"/>
      <c r="D527" s="248">
        <v>0</v>
      </c>
      <c r="E527" s="47"/>
      <c r="F527" s="266">
        <f t="shared" si="8"/>
        <v>0</v>
      </c>
      <c r="G527" s="244"/>
      <c r="H527" s="244"/>
    </row>
    <row r="528" spans="2:8" x14ac:dyDescent="0.25">
      <c r="B528" s="79" t="s">
        <v>439</v>
      </c>
      <c r="C528" s="56" t="s">
        <v>740</v>
      </c>
      <c r="D528" s="110">
        <v>25</v>
      </c>
      <c r="F528" s="266">
        <f t="shared" si="8"/>
        <v>25</v>
      </c>
    </row>
    <row r="529" spans="1:8" x14ac:dyDescent="0.25">
      <c r="A529" s="184" t="s">
        <v>64</v>
      </c>
      <c r="B529" s="184" t="s">
        <v>1668</v>
      </c>
      <c r="C529" s="191" t="s">
        <v>2202</v>
      </c>
      <c r="D529" s="248">
        <v>28.879620000000003</v>
      </c>
      <c r="F529" s="266">
        <f t="shared" si="8"/>
        <v>28.879620000000003</v>
      </c>
    </row>
    <row r="530" spans="1:8" x14ac:dyDescent="0.25">
      <c r="B530" s="184" t="s">
        <v>1668</v>
      </c>
      <c r="C530" s="47"/>
      <c r="D530" s="248">
        <v>0</v>
      </c>
      <c r="E530" s="47"/>
      <c r="F530" s="266">
        <f t="shared" si="8"/>
        <v>0</v>
      </c>
    </row>
    <row r="531" spans="1:8" x14ac:dyDescent="0.25">
      <c r="A531" s="184"/>
      <c r="B531" s="184" t="s">
        <v>1669</v>
      </c>
      <c r="C531" s="191" t="s">
        <v>2202</v>
      </c>
      <c r="F531" s="266">
        <f t="shared" si="8"/>
        <v>0</v>
      </c>
    </row>
    <row r="532" spans="1:8" x14ac:dyDescent="0.25">
      <c r="B532" s="184" t="s">
        <v>1669</v>
      </c>
      <c r="C532" s="112"/>
      <c r="D532" s="248">
        <v>0</v>
      </c>
      <c r="E532" s="47"/>
      <c r="F532" s="266">
        <f t="shared" si="8"/>
        <v>0</v>
      </c>
    </row>
    <row r="533" spans="1:8" x14ac:dyDescent="0.25">
      <c r="B533" s="106" t="s">
        <v>2704</v>
      </c>
      <c r="C533" s="120"/>
      <c r="D533" s="248">
        <v>0</v>
      </c>
      <c r="E533" s="47"/>
      <c r="F533" s="266">
        <f t="shared" si="8"/>
        <v>0</v>
      </c>
      <c r="G533" s="244"/>
      <c r="H533" s="244"/>
    </row>
    <row r="534" spans="1:8" x14ac:dyDescent="0.25">
      <c r="B534" s="205" t="s">
        <v>3225</v>
      </c>
      <c r="C534" s="206" t="s">
        <v>2577</v>
      </c>
      <c r="D534" s="248">
        <v>0.57999999999999996</v>
      </c>
      <c r="F534" s="266">
        <f t="shared" si="8"/>
        <v>0.57999999999999996</v>
      </c>
    </row>
    <row r="535" spans="1:8" x14ac:dyDescent="0.25">
      <c r="B535" s="205" t="s">
        <v>2949</v>
      </c>
      <c r="C535" s="206" t="s">
        <v>1826</v>
      </c>
      <c r="D535" s="208">
        <v>0.6</v>
      </c>
      <c r="F535" s="266">
        <f t="shared" si="8"/>
        <v>0.6</v>
      </c>
    </row>
    <row r="536" spans="1:8" x14ac:dyDescent="0.25">
      <c r="B536" s="106" t="s">
        <v>3197</v>
      </c>
      <c r="C536" s="120" t="s">
        <v>2734</v>
      </c>
      <c r="D536" s="248">
        <v>18000</v>
      </c>
      <c r="F536" s="266">
        <f t="shared" si="8"/>
        <v>18000</v>
      </c>
    </row>
    <row r="537" spans="1:8" x14ac:dyDescent="0.25">
      <c r="B537" s="106" t="s">
        <v>3195</v>
      </c>
      <c r="C537" s="120" t="s">
        <v>2734</v>
      </c>
      <c r="D537" s="120">
        <v>13000</v>
      </c>
      <c r="F537" s="266">
        <f t="shared" si="8"/>
        <v>13000</v>
      </c>
    </row>
    <row r="538" spans="1:8" x14ac:dyDescent="0.25">
      <c r="B538" s="155" t="s">
        <v>1693</v>
      </c>
      <c r="C538" s="151" t="s">
        <v>1715</v>
      </c>
      <c r="D538" s="248">
        <v>0.3</v>
      </c>
      <c r="E538" s="151"/>
      <c r="F538" s="266">
        <f t="shared" si="8"/>
        <v>0.3</v>
      </c>
    </row>
    <row r="539" spans="1:8" x14ac:dyDescent="0.25">
      <c r="B539" s="256" t="s">
        <v>3304</v>
      </c>
      <c r="C539" s="267" t="s">
        <v>2931</v>
      </c>
      <c r="D539">
        <v>7</v>
      </c>
      <c r="F539" s="266">
        <f t="shared" si="8"/>
        <v>7</v>
      </c>
    </row>
    <row r="540" spans="1:8" x14ac:dyDescent="0.25">
      <c r="B540" s="195" t="s">
        <v>3300</v>
      </c>
      <c r="C540" s="196" t="s">
        <v>2915</v>
      </c>
      <c r="D540" s="197">
        <v>6.5</v>
      </c>
      <c r="F540" s="266">
        <f t="shared" si="8"/>
        <v>6.5</v>
      </c>
    </row>
    <row r="541" spans="1:8" x14ac:dyDescent="0.25">
      <c r="B541" s="195" t="s">
        <v>3301</v>
      </c>
      <c r="C541" s="198" t="s">
        <v>2931</v>
      </c>
      <c r="D541" s="199">
        <v>8</v>
      </c>
      <c r="F541" s="266">
        <f t="shared" si="8"/>
        <v>8</v>
      </c>
    </row>
    <row r="542" spans="1:8" x14ac:dyDescent="0.25">
      <c r="B542" s="79" t="s">
        <v>744</v>
      </c>
      <c r="C542" s="56" t="s">
        <v>745</v>
      </c>
      <c r="D542" s="110">
        <v>0.84</v>
      </c>
      <c r="F542" s="266">
        <f t="shared" si="8"/>
        <v>0.84</v>
      </c>
      <c r="G542" s="244"/>
      <c r="H542" s="244"/>
    </row>
    <row r="543" spans="1:8" x14ac:dyDescent="0.25">
      <c r="B543" s="159" t="s">
        <v>1673</v>
      </c>
      <c r="C543" s="120"/>
      <c r="D543" s="248">
        <v>0</v>
      </c>
      <c r="E543" s="47"/>
      <c r="F543" s="266">
        <f t="shared" si="8"/>
        <v>0</v>
      </c>
    </row>
    <row r="544" spans="1:8" x14ac:dyDescent="0.25">
      <c r="B544" s="106" t="s">
        <v>2756</v>
      </c>
      <c r="C544" s="120" t="s">
        <v>516</v>
      </c>
      <c r="D544" s="248">
        <v>100</v>
      </c>
      <c r="E544" s="47"/>
      <c r="F544" s="266">
        <f t="shared" si="8"/>
        <v>100</v>
      </c>
    </row>
    <row r="545" spans="1:6" x14ac:dyDescent="0.25">
      <c r="B545" s="106" t="s">
        <v>1624</v>
      </c>
      <c r="C545" s="120"/>
      <c r="D545" s="248">
        <v>0</v>
      </c>
      <c r="E545" s="47"/>
      <c r="F545" s="266">
        <f t="shared" si="8"/>
        <v>0</v>
      </c>
    </row>
    <row r="546" spans="1:6" x14ac:dyDescent="0.25">
      <c r="B546" s="106" t="s">
        <v>1696</v>
      </c>
      <c r="C546" s="120"/>
      <c r="D546" s="248">
        <v>0</v>
      </c>
      <c r="E546" s="47"/>
      <c r="F546" s="266">
        <f t="shared" si="8"/>
        <v>0</v>
      </c>
    </row>
    <row r="547" spans="1:6" x14ac:dyDescent="0.25">
      <c r="A547" s="184" t="s">
        <v>68</v>
      </c>
      <c r="B547" s="184" t="s">
        <v>2887</v>
      </c>
      <c r="C547" s="191" t="s">
        <v>2377</v>
      </c>
      <c r="D547" s="248">
        <v>30.399710544000005</v>
      </c>
      <c r="F547" s="266">
        <f t="shared" si="8"/>
        <v>30.399710544000005</v>
      </c>
    </row>
    <row r="548" spans="1:6" x14ac:dyDescent="0.25">
      <c r="A548" s="184" t="s">
        <v>69</v>
      </c>
      <c r="B548" s="184" t="s">
        <v>2888</v>
      </c>
      <c r="C548" s="191" t="s">
        <v>1181</v>
      </c>
      <c r="D548" s="248">
        <v>53.430152719999995</v>
      </c>
      <c r="F548" s="266">
        <f t="shared" si="8"/>
        <v>53.430152719999995</v>
      </c>
    </row>
    <row r="549" spans="1:6" x14ac:dyDescent="0.25">
      <c r="B549" s="106" t="s">
        <v>3057</v>
      </c>
      <c r="C549" s="211" t="s">
        <v>2734</v>
      </c>
      <c r="D549" s="248">
        <v>500</v>
      </c>
      <c r="F549" s="266">
        <f t="shared" si="8"/>
        <v>500</v>
      </c>
    </row>
    <row r="550" spans="1:6" x14ac:dyDescent="0.25">
      <c r="B550" s="106" t="s">
        <v>3057</v>
      </c>
      <c r="C550" s="120"/>
      <c r="D550" s="248">
        <v>0</v>
      </c>
      <c r="E550" s="47"/>
      <c r="F550" s="266">
        <f t="shared" si="8"/>
        <v>0</v>
      </c>
    </row>
    <row r="551" spans="1:6" x14ac:dyDescent="0.25">
      <c r="B551" s="106" t="s">
        <v>3057</v>
      </c>
      <c r="C551" s="211" t="s">
        <v>2734</v>
      </c>
      <c r="D551" s="112">
        <v>500</v>
      </c>
      <c r="F551" s="266">
        <f t="shared" si="8"/>
        <v>500</v>
      </c>
    </row>
    <row r="552" spans="1:6" x14ac:dyDescent="0.25">
      <c r="B552" s="106" t="s">
        <v>3057</v>
      </c>
      <c r="C552" s="211" t="s">
        <v>2734</v>
      </c>
      <c r="D552" s="112">
        <v>500</v>
      </c>
      <c r="F552" s="266">
        <f t="shared" si="8"/>
        <v>500</v>
      </c>
    </row>
    <row r="553" spans="1:6" x14ac:dyDescent="0.25">
      <c r="B553" s="205" t="s">
        <v>2963</v>
      </c>
      <c r="C553" s="206" t="s">
        <v>2734</v>
      </c>
      <c r="D553" s="208">
        <v>500</v>
      </c>
      <c r="F553" s="266">
        <f t="shared" si="8"/>
        <v>500</v>
      </c>
    </row>
    <row r="554" spans="1:6" x14ac:dyDescent="0.25">
      <c r="B554" s="106" t="s">
        <v>3050</v>
      </c>
      <c r="C554" s="190" t="s">
        <v>2734</v>
      </c>
      <c r="D554" s="248">
        <v>200</v>
      </c>
      <c r="F554" s="266">
        <f t="shared" si="8"/>
        <v>200</v>
      </c>
    </row>
    <row r="555" spans="1:6" x14ac:dyDescent="0.25">
      <c r="B555" s="106" t="s">
        <v>3050</v>
      </c>
      <c r="C555" s="120"/>
      <c r="D555" s="248">
        <v>0</v>
      </c>
      <c r="E555" s="47"/>
      <c r="F555" s="266">
        <f t="shared" si="8"/>
        <v>0</v>
      </c>
    </row>
    <row r="556" spans="1:6" x14ac:dyDescent="0.25">
      <c r="B556" s="106" t="s">
        <v>3050</v>
      </c>
      <c r="C556" s="190" t="s">
        <v>2734</v>
      </c>
      <c r="D556" s="112">
        <v>200</v>
      </c>
      <c r="F556" s="266">
        <f t="shared" si="8"/>
        <v>200</v>
      </c>
    </row>
    <row r="557" spans="1:6" x14ac:dyDescent="0.25">
      <c r="B557" s="106" t="s">
        <v>3050</v>
      </c>
      <c r="C557" s="190" t="s">
        <v>2734</v>
      </c>
      <c r="D557" s="112">
        <v>200</v>
      </c>
      <c r="F557" s="266">
        <f t="shared" si="8"/>
        <v>200</v>
      </c>
    </row>
    <row r="558" spans="1:6" x14ac:dyDescent="0.25">
      <c r="B558" s="205" t="s">
        <v>2961</v>
      </c>
      <c r="C558" s="206" t="s">
        <v>2734</v>
      </c>
      <c r="D558" s="208">
        <v>200</v>
      </c>
      <c r="F558" s="266">
        <f t="shared" si="8"/>
        <v>200</v>
      </c>
    </row>
    <row r="559" spans="1:6" x14ac:dyDescent="0.25">
      <c r="B559" s="106" t="s">
        <v>3056</v>
      </c>
      <c r="C559" s="211" t="s">
        <v>2734</v>
      </c>
      <c r="D559" s="248">
        <v>400</v>
      </c>
      <c r="F559" s="266">
        <f t="shared" si="8"/>
        <v>400</v>
      </c>
    </row>
    <row r="560" spans="1:6" x14ac:dyDescent="0.25">
      <c r="B560" s="106" t="s">
        <v>3056</v>
      </c>
      <c r="C560" s="120"/>
      <c r="D560" s="248">
        <v>0</v>
      </c>
      <c r="E560" s="47"/>
      <c r="F560" s="266">
        <f t="shared" si="8"/>
        <v>0</v>
      </c>
    </row>
    <row r="561" spans="2:8" x14ac:dyDescent="0.25">
      <c r="B561" s="106" t="s">
        <v>3056</v>
      </c>
      <c r="C561" s="211" t="s">
        <v>2734</v>
      </c>
      <c r="D561" s="112">
        <v>400</v>
      </c>
      <c r="F561" s="266">
        <f t="shared" si="8"/>
        <v>400</v>
      </c>
    </row>
    <row r="562" spans="2:8" x14ac:dyDescent="0.25">
      <c r="B562" s="106" t="s">
        <v>3056</v>
      </c>
      <c r="C562" s="211" t="s">
        <v>2734</v>
      </c>
      <c r="D562" s="112">
        <v>400</v>
      </c>
      <c r="F562" s="266">
        <f t="shared" si="8"/>
        <v>400</v>
      </c>
    </row>
    <row r="563" spans="2:8" x14ac:dyDescent="0.25">
      <c r="B563" s="205" t="s">
        <v>2962</v>
      </c>
      <c r="C563" s="206" t="s">
        <v>2734</v>
      </c>
      <c r="D563" s="208">
        <v>400</v>
      </c>
      <c r="F563" s="266">
        <f t="shared" si="8"/>
        <v>400</v>
      </c>
    </row>
    <row r="564" spans="2:8" ht="26.4" x14ac:dyDescent="0.25">
      <c r="B564" s="17" t="s">
        <v>2705</v>
      </c>
      <c r="C564" s="149" t="s">
        <v>252</v>
      </c>
      <c r="D564" s="248">
        <v>2170</v>
      </c>
      <c r="E564" s="146"/>
      <c r="F564" s="266">
        <f t="shared" si="8"/>
        <v>2170</v>
      </c>
      <c r="G564" s="244"/>
      <c r="H564" s="244"/>
    </row>
    <row r="565" spans="2:8" ht="26.4" x14ac:dyDescent="0.25">
      <c r="B565" s="17" t="s">
        <v>2426</v>
      </c>
      <c r="C565" s="149" t="s">
        <v>252</v>
      </c>
      <c r="D565" s="248">
        <v>2220</v>
      </c>
      <c r="E565" s="146"/>
      <c r="F565" s="266">
        <f t="shared" si="8"/>
        <v>2220</v>
      </c>
      <c r="G565" s="244"/>
      <c r="H565" s="244"/>
    </row>
    <row r="566" spans="2:8" ht="26.4" x14ac:dyDescent="0.25">
      <c r="B566" s="17" t="s">
        <v>2427</v>
      </c>
      <c r="C566" s="149" t="s">
        <v>252</v>
      </c>
      <c r="D566" s="248">
        <v>2350</v>
      </c>
      <c r="E566" s="146"/>
      <c r="F566" s="266">
        <f t="shared" si="8"/>
        <v>2350</v>
      </c>
    </row>
    <row r="567" spans="2:8" ht="26.4" x14ac:dyDescent="0.25">
      <c r="B567" s="17" t="s">
        <v>1314</v>
      </c>
      <c r="C567" s="149" t="s">
        <v>252</v>
      </c>
      <c r="D567" s="248">
        <v>2440</v>
      </c>
      <c r="E567" s="153"/>
      <c r="F567" s="266">
        <f t="shared" si="8"/>
        <v>2440</v>
      </c>
    </row>
    <row r="568" spans="2:8" ht="26.4" x14ac:dyDescent="0.25">
      <c r="B568" s="17" t="s">
        <v>236</v>
      </c>
      <c r="C568" s="149" t="s">
        <v>252</v>
      </c>
      <c r="D568" s="248">
        <v>2710</v>
      </c>
      <c r="E568" s="146"/>
      <c r="F568" s="266">
        <f t="shared" si="8"/>
        <v>2710</v>
      </c>
    </row>
    <row r="569" spans="2:8" ht="26.4" x14ac:dyDescent="0.25">
      <c r="B569" s="17" t="s">
        <v>237</v>
      </c>
      <c r="C569" s="149" t="s">
        <v>252</v>
      </c>
      <c r="D569" s="248">
        <v>2610</v>
      </c>
      <c r="E569" s="146"/>
      <c r="F569" s="266">
        <f t="shared" si="8"/>
        <v>2610</v>
      </c>
      <c r="G569" s="244"/>
      <c r="H569" s="244"/>
    </row>
    <row r="570" spans="2:8" ht="26.4" x14ac:dyDescent="0.25">
      <c r="B570" s="17" t="s">
        <v>1423</v>
      </c>
      <c r="C570" s="149" t="s">
        <v>252</v>
      </c>
      <c r="D570" s="248">
        <v>2740</v>
      </c>
      <c r="E570" s="146"/>
      <c r="F570" s="266">
        <f t="shared" si="8"/>
        <v>2740</v>
      </c>
    </row>
    <row r="571" spans="2:8" ht="26.4" x14ac:dyDescent="0.25">
      <c r="B571" s="17" t="s">
        <v>1424</v>
      </c>
      <c r="C571" s="149" t="s">
        <v>252</v>
      </c>
      <c r="D571" s="248">
        <v>2870</v>
      </c>
      <c r="E571" s="146"/>
      <c r="F571" s="266">
        <f t="shared" si="8"/>
        <v>2870</v>
      </c>
    </row>
    <row r="572" spans="2:8" ht="26.4" x14ac:dyDescent="0.25">
      <c r="B572" s="17" t="s">
        <v>669</v>
      </c>
      <c r="C572" s="149" t="s">
        <v>252</v>
      </c>
      <c r="D572" s="248">
        <v>2180</v>
      </c>
      <c r="E572" s="146"/>
      <c r="F572" s="266">
        <f t="shared" si="8"/>
        <v>2180</v>
      </c>
    </row>
    <row r="573" spans="2:8" ht="26.4" x14ac:dyDescent="0.25">
      <c r="B573" s="17" t="s">
        <v>670</v>
      </c>
      <c r="C573" s="149" t="s">
        <v>252</v>
      </c>
      <c r="D573" s="248">
        <v>2220</v>
      </c>
      <c r="E573" s="146"/>
      <c r="F573" s="266">
        <f t="shared" si="8"/>
        <v>2220</v>
      </c>
    </row>
    <row r="574" spans="2:8" ht="26.4" x14ac:dyDescent="0.25">
      <c r="B574" s="17" t="s">
        <v>771</v>
      </c>
      <c r="C574" s="149" t="s">
        <v>252</v>
      </c>
      <c r="D574" s="248">
        <v>2320</v>
      </c>
      <c r="E574" s="146"/>
      <c r="F574" s="266">
        <f t="shared" si="8"/>
        <v>2320</v>
      </c>
    </row>
    <row r="575" spans="2:8" ht="26.4" x14ac:dyDescent="0.25">
      <c r="B575" s="17" t="s">
        <v>1821</v>
      </c>
      <c r="C575" s="149" t="s">
        <v>252</v>
      </c>
      <c r="D575" s="248">
        <v>2370</v>
      </c>
      <c r="E575" s="146"/>
      <c r="F575" s="266">
        <f t="shared" si="8"/>
        <v>2370</v>
      </c>
    </row>
    <row r="576" spans="2:8" ht="26.4" x14ac:dyDescent="0.25">
      <c r="B576" s="17" t="s">
        <v>2</v>
      </c>
      <c r="C576" s="149" t="s">
        <v>252</v>
      </c>
      <c r="D576" s="248">
        <v>2420</v>
      </c>
      <c r="E576" s="146"/>
      <c r="F576" s="266">
        <f t="shared" si="8"/>
        <v>2420</v>
      </c>
    </row>
    <row r="577" spans="2:8" ht="26.4" x14ac:dyDescent="0.25">
      <c r="B577" s="17" t="s">
        <v>2894</v>
      </c>
      <c r="C577" s="149" t="s">
        <v>252</v>
      </c>
      <c r="D577" s="248">
        <v>2420</v>
      </c>
      <c r="E577" s="146"/>
      <c r="F577" s="266">
        <f t="shared" si="8"/>
        <v>2420</v>
      </c>
      <c r="G577" s="244"/>
      <c r="H577" s="244"/>
    </row>
    <row r="578" spans="2:8" ht="26.4" x14ac:dyDescent="0.25">
      <c r="B578" s="17" t="s">
        <v>1994</v>
      </c>
      <c r="C578" s="149" t="s">
        <v>252</v>
      </c>
      <c r="D578" s="248">
        <v>5098</v>
      </c>
      <c r="E578" s="146"/>
      <c r="F578" s="266">
        <f t="shared" si="8"/>
        <v>5098</v>
      </c>
    </row>
    <row r="579" spans="2:8" ht="26.4" x14ac:dyDescent="0.25">
      <c r="B579" s="17" t="s">
        <v>1995</v>
      </c>
      <c r="C579" s="149" t="s">
        <v>252</v>
      </c>
      <c r="D579" s="248">
        <v>5456</v>
      </c>
      <c r="E579" s="152"/>
      <c r="F579" s="266">
        <f t="shared" si="8"/>
        <v>5456</v>
      </c>
    </row>
    <row r="580" spans="2:8" x14ac:dyDescent="0.25">
      <c r="B580" s="79" t="s">
        <v>755</v>
      </c>
      <c r="C580" s="56" t="s">
        <v>2377</v>
      </c>
      <c r="D580" s="110">
        <v>22</v>
      </c>
      <c r="F580" s="266">
        <f t="shared" si="8"/>
        <v>22</v>
      </c>
    </row>
    <row r="581" spans="2:8" ht="26.4" x14ac:dyDescent="0.25">
      <c r="B581" s="142" t="s">
        <v>2889</v>
      </c>
      <c r="C581" s="187" t="s">
        <v>2265</v>
      </c>
      <c r="D581" s="248">
        <v>113.30483639999999</v>
      </c>
      <c r="F581" s="266">
        <f t="shared" si="8"/>
        <v>113.30483639999999</v>
      </c>
    </row>
    <row r="582" spans="2:8" x14ac:dyDescent="0.25">
      <c r="B582" s="79" t="s">
        <v>2788</v>
      </c>
      <c r="C582" s="56" t="s">
        <v>2265</v>
      </c>
      <c r="D582" s="110">
        <v>24</v>
      </c>
      <c r="F582" s="266">
        <f t="shared" si="8"/>
        <v>24</v>
      </c>
      <c r="G582" s="244"/>
    </row>
    <row r="583" spans="2:8" x14ac:dyDescent="0.25">
      <c r="B583" s="106" t="s">
        <v>3369</v>
      </c>
      <c r="C583" s="47" t="s">
        <v>478</v>
      </c>
      <c r="D583" s="248">
        <v>17.649999999999999</v>
      </c>
      <c r="E583" s="47"/>
      <c r="F583" s="266">
        <f t="shared" si="8"/>
        <v>17.649999999999999</v>
      </c>
    </row>
    <row r="584" spans="2:8" x14ac:dyDescent="0.25">
      <c r="B584" s="106" t="s">
        <v>3368</v>
      </c>
      <c r="C584" s="257" t="s">
        <v>478</v>
      </c>
      <c r="D584" s="248">
        <v>21.63</v>
      </c>
      <c r="E584" s="153"/>
      <c r="F584" s="266">
        <f t="shared" si="8"/>
        <v>21.63</v>
      </c>
    </row>
    <row r="585" spans="2:8" x14ac:dyDescent="0.25">
      <c r="B585" s="106" t="s">
        <v>2755</v>
      </c>
      <c r="C585" s="120"/>
      <c r="D585" s="248">
        <v>0</v>
      </c>
      <c r="E585" s="47"/>
      <c r="F585" s="266">
        <f t="shared" si="8"/>
        <v>0</v>
      </c>
      <c r="H585" s="244"/>
    </row>
    <row r="586" spans="2:8" x14ac:dyDescent="0.25">
      <c r="B586" s="275" t="s">
        <v>3321</v>
      </c>
      <c r="C586" s="148" t="s">
        <v>1711</v>
      </c>
      <c r="D586" s="248">
        <v>33.5</v>
      </c>
      <c r="E586" s="146"/>
      <c r="F586" s="266">
        <f t="shared" ref="F586:F650" si="9">IF(E586&gt;0,E586,D586)</f>
        <v>33.5</v>
      </c>
      <c r="G586" s="244"/>
      <c r="H586" s="244"/>
    </row>
    <row r="587" spans="2:8" x14ac:dyDescent="0.25">
      <c r="B587" s="143" t="s">
        <v>1123</v>
      </c>
      <c r="C587" s="144"/>
      <c r="E587" s="146"/>
      <c r="F587" s="266">
        <f t="shared" si="9"/>
        <v>0</v>
      </c>
      <c r="G587" s="244"/>
    </row>
    <row r="588" spans="2:8" x14ac:dyDescent="0.25">
      <c r="B588" s="263" t="s">
        <v>3307</v>
      </c>
      <c r="C588" s="272" t="s">
        <v>735</v>
      </c>
      <c r="D588" s="248">
        <v>60</v>
      </c>
      <c r="E588" s="146"/>
      <c r="F588" s="266">
        <f t="shared" si="9"/>
        <v>60</v>
      </c>
    </row>
    <row r="589" spans="2:8" x14ac:dyDescent="0.25">
      <c r="B589" s="106" t="s">
        <v>3302</v>
      </c>
      <c r="C589" s="120" t="s">
        <v>478</v>
      </c>
      <c r="D589" s="248">
        <v>40</v>
      </c>
      <c r="E589" s="47"/>
      <c r="F589" s="266">
        <f t="shared" si="9"/>
        <v>40</v>
      </c>
    </row>
    <row r="590" spans="2:8" x14ac:dyDescent="0.25">
      <c r="B590" s="106" t="s">
        <v>3412</v>
      </c>
      <c r="C590" s="120" t="s">
        <v>478</v>
      </c>
      <c r="D590" s="248">
        <v>50</v>
      </c>
      <c r="E590" s="47"/>
      <c r="F590" s="266">
        <f>IF(E590&gt;0,E590,D590)</f>
        <v>50</v>
      </c>
    </row>
    <row r="591" spans="2:8" x14ac:dyDescent="0.25">
      <c r="B591" s="143" t="s">
        <v>1122</v>
      </c>
      <c r="C591" s="144"/>
      <c r="E591" s="146"/>
      <c r="F591" s="266">
        <f t="shared" si="9"/>
        <v>0</v>
      </c>
    </row>
    <row r="592" spans="2:8" x14ac:dyDescent="0.25">
      <c r="B592" s="106" t="s">
        <v>1822</v>
      </c>
      <c r="C592" s="47"/>
      <c r="D592" s="248">
        <v>0</v>
      </c>
      <c r="E592" s="47"/>
      <c r="F592" s="266">
        <f t="shared" si="9"/>
        <v>0</v>
      </c>
    </row>
    <row r="593" spans="2:6" x14ac:dyDescent="0.25">
      <c r="B593" s="17" t="s">
        <v>699</v>
      </c>
      <c r="C593" s="149" t="s">
        <v>252</v>
      </c>
      <c r="D593" s="248">
        <v>30</v>
      </c>
      <c r="E593" s="152"/>
      <c r="F593" s="266">
        <f t="shared" si="9"/>
        <v>30</v>
      </c>
    </row>
    <row r="594" spans="2:6" x14ac:dyDescent="0.25">
      <c r="B594" s="17" t="s">
        <v>700</v>
      </c>
      <c r="C594" s="149" t="s">
        <v>252</v>
      </c>
      <c r="D594" s="248">
        <v>32</v>
      </c>
      <c r="E594" s="152"/>
      <c r="F594" s="266">
        <f t="shared" si="9"/>
        <v>32</v>
      </c>
    </row>
    <row r="595" spans="2:6" x14ac:dyDescent="0.25">
      <c r="B595" s="17" t="s">
        <v>701</v>
      </c>
      <c r="C595" s="149" t="s">
        <v>252</v>
      </c>
      <c r="D595" s="248">
        <v>46</v>
      </c>
      <c r="E595" s="152"/>
      <c r="F595" s="266">
        <f t="shared" si="9"/>
        <v>46</v>
      </c>
    </row>
    <row r="596" spans="2:6" x14ac:dyDescent="0.25">
      <c r="B596" s="17" t="s">
        <v>702</v>
      </c>
      <c r="C596" s="149" t="s">
        <v>252</v>
      </c>
      <c r="D596" s="248">
        <v>21</v>
      </c>
      <c r="E596" s="146"/>
      <c r="F596" s="266">
        <f t="shared" si="9"/>
        <v>21</v>
      </c>
    </row>
    <row r="597" spans="2:6" x14ac:dyDescent="0.25">
      <c r="B597" s="17" t="s">
        <v>703</v>
      </c>
      <c r="C597" s="149" t="s">
        <v>252</v>
      </c>
      <c r="D597" s="248">
        <v>23</v>
      </c>
      <c r="E597" s="146"/>
      <c r="F597" s="266">
        <f t="shared" si="9"/>
        <v>23</v>
      </c>
    </row>
    <row r="598" spans="2:6" x14ac:dyDescent="0.25">
      <c r="B598" s="17" t="s">
        <v>704</v>
      </c>
      <c r="C598" s="149" t="s">
        <v>252</v>
      </c>
      <c r="D598" s="248">
        <v>26</v>
      </c>
      <c r="E598" s="146"/>
      <c r="F598" s="266">
        <f t="shared" si="9"/>
        <v>26</v>
      </c>
    </row>
    <row r="599" spans="2:6" x14ac:dyDescent="0.25">
      <c r="B599" s="106" t="s">
        <v>1469</v>
      </c>
      <c r="C599" s="120"/>
      <c r="D599" s="248">
        <v>0</v>
      </c>
      <c r="E599" s="47"/>
      <c r="F599" s="266">
        <f t="shared" si="9"/>
        <v>0</v>
      </c>
    </row>
    <row r="600" spans="2:6" x14ac:dyDescent="0.25">
      <c r="B600" s="195" t="s">
        <v>3260</v>
      </c>
      <c r="C600" s="198" t="s">
        <v>195</v>
      </c>
      <c r="D600" s="197">
        <v>11</v>
      </c>
      <c r="F600" s="266">
        <f t="shared" si="9"/>
        <v>11</v>
      </c>
    </row>
    <row r="601" spans="2:6" x14ac:dyDescent="0.25">
      <c r="B601" s="283" t="s">
        <v>3365</v>
      </c>
      <c r="C601" s="206" t="s">
        <v>195</v>
      </c>
      <c r="D601" s="207">
        <v>8</v>
      </c>
      <c r="F601" s="266">
        <f t="shared" si="9"/>
        <v>8</v>
      </c>
    </row>
    <row r="602" spans="2:6" x14ac:dyDescent="0.25">
      <c r="B602" s="17" t="s">
        <v>623</v>
      </c>
      <c r="C602" s="149" t="s">
        <v>2834</v>
      </c>
      <c r="D602" s="248">
        <v>6</v>
      </c>
      <c r="E602" s="146"/>
      <c r="F602" s="266">
        <f t="shared" si="9"/>
        <v>6</v>
      </c>
    </row>
    <row r="603" spans="2:6" x14ac:dyDescent="0.25">
      <c r="B603" s="106" t="s">
        <v>1697</v>
      </c>
      <c r="C603" s="120"/>
      <c r="D603" s="248">
        <v>0</v>
      </c>
      <c r="E603" s="47"/>
      <c r="F603" s="266">
        <f t="shared" si="9"/>
        <v>0</v>
      </c>
    </row>
    <row r="604" spans="2:6" x14ac:dyDescent="0.25">
      <c r="B604" s="106" t="s">
        <v>3141</v>
      </c>
      <c r="C604" s="120" t="s">
        <v>2734</v>
      </c>
      <c r="D604" s="248">
        <v>500</v>
      </c>
      <c r="F604" s="266">
        <f t="shared" si="9"/>
        <v>500</v>
      </c>
    </row>
    <row r="605" spans="2:6" x14ac:dyDescent="0.25">
      <c r="B605" s="106" t="s">
        <v>3141</v>
      </c>
      <c r="C605" s="120" t="s">
        <v>2734</v>
      </c>
      <c r="D605" s="120">
        <v>500</v>
      </c>
      <c r="F605" s="266">
        <f t="shared" si="9"/>
        <v>500</v>
      </c>
    </row>
    <row r="606" spans="2:6" x14ac:dyDescent="0.25">
      <c r="B606" s="17" t="s">
        <v>1921</v>
      </c>
      <c r="C606" s="149" t="s">
        <v>2265</v>
      </c>
      <c r="D606" s="248">
        <v>3</v>
      </c>
      <c r="E606" s="146"/>
      <c r="F606" s="266">
        <f t="shared" si="9"/>
        <v>3</v>
      </c>
    </row>
    <row r="607" spans="2:6" x14ac:dyDescent="0.25">
      <c r="B607" s="17" t="s">
        <v>1921</v>
      </c>
      <c r="C607" s="101" t="s">
        <v>2265</v>
      </c>
      <c r="D607" s="101">
        <v>3</v>
      </c>
      <c r="F607" s="266">
        <f t="shared" si="9"/>
        <v>3</v>
      </c>
    </row>
    <row r="608" spans="2:6" x14ac:dyDescent="0.25">
      <c r="B608" s="143" t="s">
        <v>585</v>
      </c>
      <c r="C608" s="144" t="s">
        <v>1036</v>
      </c>
      <c r="D608" s="248">
        <v>5</v>
      </c>
      <c r="E608" s="146"/>
      <c r="F608" s="266">
        <f t="shared" si="9"/>
        <v>5</v>
      </c>
    </row>
    <row r="609" spans="1:8" x14ac:dyDescent="0.25">
      <c r="B609" s="106" t="s">
        <v>2712</v>
      </c>
      <c r="C609" s="120" t="s">
        <v>735</v>
      </c>
      <c r="D609" s="248">
        <v>3.5</v>
      </c>
      <c r="E609" s="47"/>
      <c r="F609" s="266">
        <f t="shared" si="9"/>
        <v>3.5</v>
      </c>
    </row>
    <row r="610" spans="1:8" x14ac:dyDescent="0.25">
      <c r="B610" s="205" t="s">
        <v>3417</v>
      </c>
      <c r="C610" s="206" t="s">
        <v>478</v>
      </c>
      <c r="D610" s="207">
        <v>30</v>
      </c>
      <c r="F610" s="266">
        <f t="shared" si="9"/>
        <v>30</v>
      </c>
    </row>
    <row r="611" spans="1:8" x14ac:dyDescent="0.25">
      <c r="B611" s="106" t="s">
        <v>3295</v>
      </c>
      <c r="C611" s="120" t="s">
        <v>3178</v>
      </c>
      <c r="D611" s="248">
        <v>40</v>
      </c>
      <c r="F611" s="266">
        <f t="shared" si="9"/>
        <v>40</v>
      </c>
    </row>
    <row r="612" spans="1:8" x14ac:dyDescent="0.25">
      <c r="B612" s="205" t="s">
        <v>2951</v>
      </c>
      <c r="C612" s="206" t="s">
        <v>735</v>
      </c>
      <c r="D612" s="207">
        <v>30</v>
      </c>
      <c r="F612" s="266">
        <f t="shared" si="9"/>
        <v>30</v>
      </c>
      <c r="H612" s="244"/>
    </row>
    <row r="613" spans="1:8" x14ac:dyDescent="0.25">
      <c r="B613" s="106" t="s">
        <v>3393</v>
      </c>
      <c r="C613" s="120" t="s">
        <v>3178</v>
      </c>
      <c r="D613" s="120">
        <v>24</v>
      </c>
      <c r="F613" s="266">
        <f t="shared" si="9"/>
        <v>24</v>
      </c>
    </row>
    <row r="614" spans="1:8" x14ac:dyDescent="0.25">
      <c r="B614" s="103" t="s">
        <v>1928</v>
      </c>
      <c r="C614" s="47" t="s">
        <v>478</v>
      </c>
      <c r="D614" s="248">
        <v>12</v>
      </c>
      <c r="E614" s="47"/>
      <c r="F614" s="266">
        <f t="shared" si="9"/>
        <v>12</v>
      </c>
    </row>
    <row r="615" spans="1:8" x14ac:dyDescent="0.25">
      <c r="A615" s="184" t="s">
        <v>75</v>
      </c>
      <c r="B615" s="184" t="s">
        <v>891</v>
      </c>
      <c r="C615" s="191" t="s">
        <v>2377</v>
      </c>
      <c r="D615" s="248">
        <v>18.037096000000002</v>
      </c>
      <c r="F615" s="266">
        <f t="shared" si="9"/>
        <v>18.037096000000002</v>
      </c>
    </row>
    <row r="616" spans="1:8" x14ac:dyDescent="0.25">
      <c r="B616" s="106" t="s">
        <v>904</v>
      </c>
      <c r="C616" s="112"/>
      <c r="D616" s="248">
        <v>0</v>
      </c>
      <c r="E616" s="47"/>
      <c r="F616" s="266">
        <f t="shared" si="9"/>
        <v>0</v>
      </c>
    </row>
    <row r="617" spans="1:8" x14ac:dyDescent="0.25">
      <c r="B617" s="106" t="s">
        <v>3317</v>
      </c>
      <c r="C617" s="112" t="s">
        <v>2734</v>
      </c>
      <c r="D617" s="248">
        <v>839</v>
      </c>
      <c r="E617" s="47"/>
      <c r="F617" s="266">
        <f t="shared" si="9"/>
        <v>839</v>
      </c>
    </row>
    <row r="618" spans="1:8" x14ac:dyDescent="0.25">
      <c r="B618" s="106" t="s">
        <v>3316</v>
      </c>
      <c r="C618" s="112" t="s">
        <v>2734</v>
      </c>
      <c r="D618" s="248">
        <v>5125</v>
      </c>
      <c r="E618" s="47"/>
      <c r="F618" s="266">
        <f t="shared" si="9"/>
        <v>5125</v>
      </c>
    </row>
    <row r="619" spans="1:8" x14ac:dyDescent="0.25">
      <c r="B619" s="106" t="s">
        <v>3305</v>
      </c>
      <c r="C619" s="112" t="s">
        <v>3306</v>
      </c>
      <c r="D619" s="248">
        <v>1000</v>
      </c>
      <c r="E619" s="47"/>
      <c r="F619" s="266">
        <f t="shared" si="9"/>
        <v>1000</v>
      </c>
    </row>
    <row r="620" spans="1:8" x14ac:dyDescent="0.25">
      <c r="B620" s="143" t="s">
        <v>965</v>
      </c>
      <c r="C620" s="144" t="s">
        <v>1802</v>
      </c>
      <c r="D620" s="248">
        <v>0.44</v>
      </c>
      <c r="E620" s="151"/>
      <c r="F620" s="266">
        <f t="shared" si="9"/>
        <v>0.44</v>
      </c>
    </row>
    <row r="621" spans="1:8" x14ac:dyDescent="0.25">
      <c r="B621" s="159" t="s">
        <v>1517</v>
      </c>
      <c r="C621" s="153" t="s">
        <v>604</v>
      </c>
      <c r="D621" s="248">
        <v>3.5</v>
      </c>
      <c r="E621" s="151"/>
      <c r="F621" s="266">
        <f t="shared" si="9"/>
        <v>3.5</v>
      </c>
    </row>
    <row r="622" spans="1:8" x14ac:dyDescent="0.25">
      <c r="B622" s="159" t="s">
        <v>1827</v>
      </c>
      <c r="C622" s="156" t="s">
        <v>2199</v>
      </c>
      <c r="D622" s="248">
        <v>50</v>
      </c>
      <c r="E622" s="151"/>
      <c r="F622" s="266">
        <f t="shared" si="9"/>
        <v>50</v>
      </c>
    </row>
    <row r="623" spans="1:8" x14ac:dyDescent="0.25">
      <c r="B623" s="100" t="s">
        <v>1168</v>
      </c>
      <c r="C623" s="120" t="s">
        <v>2577</v>
      </c>
      <c r="F623" s="266">
        <f t="shared" si="9"/>
        <v>0</v>
      </c>
    </row>
    <row r="624" spans="1:8" x14ac:dyDescent="0.25">
      <c r="B624" s="100" t="s">
        <v>1762</v>
      </c>
      <c r="C624" s="120"/>
      <c r="D624" s="248">
        <v>0</v>
      </c>
      <c r="E624" s="47"/>
      <c r="F624" s="266">
        <f t="shared" si="9"/>
        <v>0</v>
      </c>
    </row>
    <row r="625" spans="1:6" x14ac:dyDescent="0.25">
      <c r="B625" s="159" t="s">
        <v>1510</v>
      </c>
      <c r="C625" s="156" t="s">
        <v>745</v>
      </c>
      <c r="D625" s="248">
        <v>4.34</v>
      </c>
      <c r="E625" s="151"/>
      <c r="F625" s="266">
        <f t="shared" si="9"/>
        <v>4.34</v>
      </c>
    </row>
    <row r="626" spans="1:6" x14ac:dyDescent="0.25">
      <c r="B626" s="106" t="s">
        <v>1510</v>
      </c>
      <c r="C626" s="120" t="s">
        <v>2577</v>
      </c>
      <c r="D626" s="120">
        <v>4.3499999999999996</v>
      </c>
      <c r="F626" s="266">
        <f t="shared" si="9"/>
        <v>4.3499999999999996</v>
      </c>
    </row>
    <row r="627" spans="1:6" x14ac:dyDescent="0.25">
      <c r="B627" s="159" t="s">
        <v>715</v>
      </c>
      <c r="C627" s="156" t="s">
        <v>745</v>
      </c>
      <c r="D627" s="248">
        <v>1.78</v>
      </c>
      <c r="E627" s="151"/>
      <c r="F627" s="266">
        <f t="shared" si="9"/>
        <v>1.78</v>
      </c>
    </row>
    <row r="628" spans="1:6" x14ac:dyDescent="0.25">
      <c r="B628" s="106" t="s">
        <v>3167</v>
      </c>
      <c r="C628" s="120" t="s">
        <v>2577</v>
      </c>
      <c r="D628" s="248">
        <v>0.6</v>
      </c>
      <c r="F628" s="266">
        <f t="shared" si="9"/>
        <v>0.6</v>
      </c>
    </row>
    <row r="629" spans="1:6" x14ac:dyDescent="0.25">
      <c r="B629" s="106" t="s">
        <v>3167</v>
      </c>
      <c r="C629" s="120" t="s">
        <v>2577</v>
      </c>
      <c r="D629" s="120">
        <v>0.6</v>
      </c>
      <c r="F629" s="266">
        <f t="shared" si="9"/>
        <v>0.6</v>
      </c>
    </row>
    <row r="630" spans="1:6" x14ac:dyDescent="0.25">
      <c r="B630" s="100" t="s">
        <v>708</v>
      </c>
      <c r="C630" s="120"/>
      <c r="D630" s="248">
        <v>0</v>
      </c>
      <c r="E630" s="47"/>
      <c r="F630" s="266">
        <f t="shared" si="9"/>
        <v>0</v>
      </c>
    </row>
    <row r="631" spans="1:6" x14ac:dyDescent="0.25">
      <c r="B631" s="205" t="s">
        <v>3281</v>
      </c>
      <c r="C631" s="206" t="s">
        <v>2577</v>
      </c>
      <c r="D631" s="208">
        <v>0.9</v>
      </c>
      <c r="F631" s="266">
        <f t="shared" si="9"/>
        <v>0.9</v>
      </c>
    </row>
    <row r="632" spans="1:6" x14ac:dyDescent="0.25">
      <c r="B632" s="159" t="s">
        <v>712</v>
      </c>
      <c r="C632" s="153" t="s">
        <v>745</v>
      </c>
      <c r="D632" s="248" t="s">
        <v>892</v>
      </c>
      <c r="E632" s="151"/>
      <c r="F632" s="266" t="str">
        <f t="shared" si="9"/>
        <v>$0.55 - 0.64</v>
      </c>
    </row>
    <row r="633" spans="1:6" x14ac:dyDescent="0.25">
      <c r="A633" s="249"/>
      <c r="B633" s="254" t="s">
        <v>1162</v>
      </c>
      <c r="C633" s="251" t="s">
        <v>2577</v>
      </c>
      <c r="D633" s="251">
        <v>0.55000000000000004</v>
      </c>
      <c r="E633" s="252"/>
      <c r="F633" s="266">
        <f t="shared" si="9"/>
        <v>0.55000000000000004</v>
      </c>
    </row>
    <row r="634" spans="1:6" x14ac:dyDescent="0.25">
      <c r="B634" s="100" t="s">
        <v>1774</v>
      </c>
      <c r="C634" s="120"/>
      <c r="D634" s="248">
        <v>0</v>
      </c>
      <c r="E634" s="47"/>
      <c r="F634" s="266">
        <f t="shared" si="9"/>
        <v>0</v>
      </c>
    </row>
    <row r="635" spans="1:6" x14ac:dyDescent="0.25">
      <c r="B635" s="100" t="s">
        <v>709</v>
      </c>
      <c r="C635" s="120"/>
      <c r="D635" s="248">
        <v>0</v>
      </c>
      <c r="E635" s="47"/>
      <c r="F635" s="266">
        <f t="shared" si="9"/>
        <v>0</v>
      </c>
    </row>
    <row r="636" spans="1:6" x14ac:dyDescent="0.25">
      <c r="B636" s="159" t="s">
        <v>1506</v>
      </c>
      <c r="C636" s="156" t="s">
        <v>745</v>
      </c>
      <c r="D636" s="248">
        <v>9.75</v>
      </c>
      <c r="E636" s="151"/>
      <c r="F636" s="266">
        <f t="shared" si="9"/>
        <v>9.75</v>
      </c>
    </row>
    <row r="637" spans="1:6" x14ac:dyDescent="0.25">
      <c r="B637" s="106" t="s">
        <v>1506</v>
      </c>
      <c r="C637" s="120" t="s">
        <v>2577</v>
      </c>
      <c r="D637" s="248">
        <v>13</v>
      </c>
      <c r="E637"/>
      <c r="F637" s="266">
        <f t="shared" si="9"/>
        <v>13</v>
      </c>
    </row>
    <row r="638" spans="1:6" x14ac:dyDescent="0.25">
      <c r="B638" s="100" t="s">
        <v>1506</v>
      </c>
      <c r="C638" s="120" t="s">
        <v>2577</v>
      </c>
      <c r="D638" s="248">
        <v>9.75</v>
      </c>
      <c r="F638" s="266">
        <f t="shared" si="9"/>
        <v>9.75</v>
      </c>
    </row>
    <row r="639" spans="1:6" x14ac:dyDescent="0.25">
      <c r="B639" s="106" t="s">
        <v>1506</v>
      </c>
      <c r="C639" s="120" t="s">
        <v>2577</v>
      </c>
      <c r="D639" s="248">
        <v>16</v>
      </c>
      <c r="F639" s="266">
        <f t="shared" si="9"/>
        <v>16</v>
      </c>
    </row>
    <row r="640" spans="1:6" x14ac:dyDescent="0.25">
      <c r="A640" s="249"/>
      <c r="B640" s="250" t="s">
        <v>1506</v>
      </c>
      <c r="C640" s="251" t="s">
        <v>2577</v>
      </c>
      <c r="D640" s="251">
        <v>16</v>
      </c>
      <c r="E640" s="252"/>
      <c r="F640" s="266">
        <f t="shared" si="9"/>
        <v>16</v>
      </c>
    </row>
    <row r="641" spans="1:6" x14ac:dyDescent="0.25">
      <c r="B641" s="106" t="s">
        <v>1506</v>
      </c>
      <c r="C641" s="120" t="s">
        <v>2577</v>
      </c>
      <c r="D641" s="120">
        <v>16</v>
      </c>
      <c r="F641" s="266">
        <f t="shared" si="9"/>
        <v>16</v>
      </c>
    </row>
    <row r="642" spans="1:6" x14ac:dyDescent="0.25">
      <c r="B642" s="106" t="s">
        <v>1506</v>
      </c>
      <c r="C642" s="120" t="s">
        <v>2577</v>
      </c>
      <c r="D642" s="120">
        <v>13</v>
      </c>
      <c r="F642" s="266">
        <f t="shared" si="9"/>
        <v>13</v>
      </c>
    </row>
    <row r="643" spans="1:6" x14ac:dyDescent="0.25">
      <c r="B643" s="159" t="s">
        <v>1790</v>
      </c>
      <c r="C643" s="153" t="s">
        <v>745</v>
      </c>
      <c r="D643" s="248">
        <v>6</v>
      </c>
      <c r="E643" s="151"/>
      <c r="F643" s="266">
        <f t="shared" si="9"/>
        <v>6</v>
      </c>
    </row>
    <row r="644" spans="1:6" x14ac:dyDescent="0.25">
      <c r="A644" s="249"/>
      <c r="B644" s="254" t="s">
        <v>1790</v>
      </c>
      <c r="C644" s="251" t="s">
        <v>2577</v>
      </c>
      <c r="D644" s="251">
        <v>6.08</v>
      </c>
      <c r="E644" s="252"/>
      <c r="F644" s="266">
        <f t="shared" si="9"/>
        <v>6.08</v>
      </c>
    </row>
    <row r="645" spans="1:6" x14ac:dyDescent="0.25">
      <c r="B645" s="159" t="s">
        <v>1247</v>
      </c>
      <c r="C645" s="153" t="s">
        <v>745</v>
      </c>
      <c r="D645" s="248">
        <v>3.45</v>
      </c>
      <c r="E645" s="151"/>
      <c r="F645" s="266">
        <f t="shared" si="9"/>
        <v>3.45</v>
      </c>
    </row>
    <row r="646" spans="1:6" x14ac:dyDescent="0.25">
      <c r="B646" s="159" t="s">
        <v>2239</v>
      </c>
      <c r="C646" s="153" t="s">
        <v>745</v>
      </c>
      <c r="D646" s="248">
        <v>4.5</v>
      </c>
      <c r="E646" s="151"/>
      <c r="F646" s="266">
        <f t="shared" si="9"/>
        <v>4.5</v>
      </c>
    </row>
    <row r="647" spans="1:6" x14ac:dyDescent="0.25">
      <c r="B647" s="159" t="s">
        <v>1012</v>
      </c>
      <c r="C647" s="153" t="s">
        <v>745</v>
      </c>
      <c r="D647" s="248">
        <v>8</v>
      </c>
      <c r="E647" s="151"/>
      <c r="F647" s="266">
        <f t="shared" si="9"/>
        <v>8</v>
      </c>
    </row>
    <row r="648" spans="1:6" x14ac:dyDescent="0.25">
      <c r="B648" s="106" t="s">
        <v>1012</v>
      </c>
      <c r="C648" s="120" t="s">
        <v>2577</v>
      </c>
      <c r="D648" s="248">
        <v>12</v>
      </c>
      <c r="E648"/>
      <c r="F648" s="266">
        <f t="shared" si="9"/>
        <v>12</v>
      </c>
    </row>
    <row r="649" spans="1:6" x14ac:dyDescent="0.25">
      <c r="B649" s="106" t="s">
        <v>1012</v>
      </c>
      <c r="C649" s="120" t="s">
        <v>2577</v>
      </c>
      <c r="D649" s="120">
        <v>12</v>
      </c>
      <c r="F649" s="266">
        <f t="shared" si="9"/>
        <v>12</v>
      </c>
    </row>
    <row r="650" spans="1:6" x14ac:dyDescent="0.25">
      <c r="B650" s="100" t="s">
        <v>2238</v>
      </c>
      <c r="C650" s="47"/>
      <c r="D650" s="248">
        <v>0</v>
      </c>
      <c r="E650" s="47"/>
      <c r="F650" s="266">
        <f t="shared" si="9"/>
        <v>0</v>
      </c>
    </row>
    <row r="651" spans="1:6" x14ac:dyDescent="0.25">
      <c r="B651" s="159" t="s">
        <v>1509</v>
      </c>
      <c r="C651" s="156" t="s">
        <v>745</v>
      </c>
      <c r="D651" s="248">
        <v>4.95</v>
      </c>
      <c r="E651" s="151"/>
      <c r="F651" s="266">
        <f t="shared" ref="F651:F715" si="10">IF(E651&gt;0,E651,D651)</f>
        <v>4.95</v>
      </c>
    </row>
    <row r="652" spans="1:6" x14ac:dyDescent="0.25">
      <c r="B652" s="106" t="s">
        <v>3171</v>
      </c>
      <c r="C652" s="120" t="s">
        <v>2577</v>
      </c>
      <c r="D652" s="248">
        <v>2.2000000000000002</v>
      </c>
      <c r="F652" s="266">
        <f t="shared" si="10"/>
        <v>2.2000000000000002</v>
      </c>
    </row>
    <row r="653" spans="1:6" x14ac:dyDescent="0.25">
      <c r="B653" s="106" t="s">
        <v>3171</v>
      </c>
      <c r="C653" s="120" t="s">
        <v>2577</v>
      </c>
      <c r="D653" s="120">
        <v>2.2000000000000002</v>
      </c>
      <c r="F653" s="266">
        <f t="shared" si="10"/>
        <v>2.2000000000000002</v>
      </c>
    </row>
    <row r="654" spans="1:6" x14ac:dyDescent="0.25">
      <c r="B654" s="159" t="s">
        <v>1515</v>
      </c>
      <c r="C654" s="153" t="s">
        <v>745</v>
      </c>
      <c r="D654" s="248">
        <v>2.2000000000000002</v>
      </c>
      <c r="E654" s="151"/>
      <c r="F654" s="266">
        <f t="shared" si="10"/>
        <v>2.2000000000000002</v>
      </c>
    </row>
    <row r="655" spans="1:6" x14ac:dyDescent="0.25">
      <c r="B655" s="159" t="s">
        <v>371</v>
      </c>
      <c r="C655" s="156" t="s">
        <v>745</v>
      </c>
      <c r="D655" s="248">
        <v>2.25</v>
      </c>
      <c r="E655" s="151"/>
      <c r="F655" s="266">
        <f t="shared" si="10"/>
        <v>2.25</v>
      </c>
    </row>
    <row r="656" spans="1:6" x14ac:dyDescent="0.25">
      <c r="B656" s="159" t="s">
        <v>370</v>
      </c>
      <c r="C656" s="156" t="s">
        <v>745</v>
      </c>
      <c r="D656" s="248">
        <v>2.35</v>
      </c>
      <c r="E656" s="151"/>
      <c r="F656" s="266">
        <f t="shared" si="10"/>
        <v>2.35</v>
      </c>
    </row>
    <row r="657" spans="2:6" x14ac:dyDescent="0.25">
      <c r="B657" s="113" t="s">
        <v>370</v>
      </c>
      <c r="C657" s="123" t="s">
        <v>2577</v>
      </c>
      <c r="D657" s="248">
        <v>2.5</v>
      </c>
      <c r="E657"/>
      <c r="F657" s="266">
        <f t="shared" si="10"/>
        <v>2.5</v>
      </c>
    </row>
    <row r="658" spans="2:6" x14ac:dyDescent="0.25">
      <c r="B658" s="113" t="s">
        <v>370</v>
      </c>
      <c r="C658" s="123" t="s">
        <v>2577</v>
      </c>
      <c r="D658" s="248">
        <v>2.5</v>
      </c>
      <c r="F658" s="266">
        <f t="shared" si="10"/>
        <v>2.5</v>
      </c>
    </row>
    <row r="659" spans="2:6" x14ac:dyDescent="0.25">
      <c r="B659" s="113" t="s">
        <v>370</v>
      </c>
      <c r="C659" s="123" t="s">
        <v>2577</v>
      </c>
      <c r="D659" s="123">
        <v>2.5</v>
      </c>
      <c r="F659" s="266">
        <f t="shared" si="10"/>
        <v>2.5</v>
      </c>
    </row>
    <row r="660" spans="2:6" x14ac:dyDescent="0.25">
      <c r="B660" s="159" t="s">
        <v>1765</v>
      </c>
      <c r="C660" s="156" t="s">
        <v>745</v>
      </c>
      <c r="D660" s="248">
        <v>2.15</v>
      </c>
      <c r="E660" s="151"/>
      <c r="F660" s="266">
        <f t="shared" si="10"/>
        <v>2.15</v>
      </c>
    </row>
    <row r="661" spans="2:6" x14ac:dyDescent="0.25">
      <c r="B661" s="100" t="s">
        <v>710</v>
      </c>
      <c r="C661" s="120"/>
      <c r="D661" s="248">
        <v>0</v>
      </c>
      <c r="E661" s="47"/>
      <c r="F661" s="266">
        <f t="shared" si="10"/>
        <v>0</v>
      </c>
    </row>
    <row r="662" spans="2:6" x14ac:dyDescent="0.25">
      <c r="B662" s="159" t="s">
        <v>1791</v>
      </c>
      <c r="C662" s="156" t="s">
        <v>745</v>
      </c>
      <c r="D662" s="248">
        <v>17</v>
      </c>
      <c r="E662" s="151"/>
      <c r="F662" s="266">
        <f t="shared" si="10"/>
        <v>17</v>
      </c>
    </row>
    <row r="663" spans="2:6" x14ac:dyDescent="0.25">
      <c r="B663" s="256" t="s">
        <v>3265</v>
      </c>
      <c r="C663" s="257" t="s">
        <v>2577</v>
      </c>
      <c r="D663" s="248">
        <v>100</v>
      </c>
      <c r="F663" s="266">
        <f t="shared" si="10"/>
        <v>100</v>
      </c>
    </row>
    <row r="664" spans="2:6" x14ac:dyDescent="0.25">
      <c r="B664" s="158" t="s">
        <v>12</v>
      </c>
      <c r="C664" s="156" t="s">
        <v>745</v>
      </c>
      <c r="D664" s="248">
        <v>175</v>
      </c>
      <c r="E664" s="151"/>
      <c r="F664" s="266">
        <f t="shared" si="10"/>
        <v>175</v>
      </c>
    </row>
    <row r="665" spans="2:6" x14ac:dyDescent="0.25">
      <c r="B665" s="159" t="s">
        <v>1381</v>
      </c>
      <c r="C665" s="153" t="s">
        <v>745</v>
      </c>
      <c r="D665" s="248">
        <v>12.75</v>
      </c>
      <c r="E665" s="151"/>
      <c r="F665" s="266">
        <f t="shared" si="10"/>
        <v>12.75</v>
      </c>
    </row>
    <row r="666" spans="2:6" ht="22.8" x14ac:dyDescent="0.25">
      <c r="B666" s="106" t="s">
        <v>3372</v>
      </c>
      <c r="C666" s="47" t="s">
        <v>195</v>
      </c>
      <c r="D666" s="248">
        <v>22.96</v>
      </c>
      <c r="E666" s="47"/>
      <c r="F666" s="266">
        <f t="shared" si="10"/>
        <v>22.96</v>
      </c>
    </row>
    <row r="667" spans="2:6" ht="22.8" x14ac:dyDescent="0.25">
      <c r="B667" s="106" t="s">
        <v>3309</v>
      </c>
      <c r="C667" s="47" t="s">
        <v>2834</v>
      </c>
      <c r="D667" s="248">
        <v>1000</v>
      </c>
      <c r="E667" s="47"/>
      <c r="F667" s="266">
        <f t="shared" si="10"/>
        <v>1000</v>
      </c>
    </row>
    <row r="668" spans="2:6" x14ac:dyDescent="0.25">
      <c r="B668" s="106" t="s">
        <v>3422</v>
      </c>
      <c r="C668" s="47" t="s">
        <v>2834</v>
      </c>
      <c r="D668" s="248">
        <v>800</v>
      </c>
      <c r="E668" s="47"/>
      <c r="F668" s="266">
        <f t="shared" si="10"/>
        <v>800</v>
      </c>
    </row>
    <row r="669" spans="2:6" x14ac:dyDescent="0.25">
      <c r="B669" s="159" t="s">
        <v>1248</v>
      </c>
      <c r="C669" s="47"/>
      <c r="D669" s="248">
        <v>0</v>
      </c>
      <c r="E669" s="47"/>
      <c r="F669" s="266">
        <f t="shared" si="10"/>
        <v>0</v>
      </c>
    </row>
    <row r="670" spans="2:6" x14ac:dyDescent="0.25">
      <c r="B670" s="100" t="s">
        <v>1771</v>
      </c>
      <c r="C670" s="120"/>
      <c r="D670" s="248">
        <v>0</v>
      </c>
      <c r="E670" s="47"/>
      <c r="F670" s="266">
        <f t="shared" si="10"/>
        <v>0</v>
      </c>
    </row>
    <row r="671" spans="2:6" x14ac:dyDescent="0.25">
      <c r="B671" s="100" t="s">
        <v>711</v>
      </c>
      <c r="C671" s="47"/>
      <c r="D671" s="248">
        <v>0</v>
      </c>
      <c r="E671" s="47"/>
      <c r="F671" s="266">
        <f t="shared" si="10"/>
        <v>0</v>
      </c>
    </row>
    <row r="672" spans="2:6" x14ac:dyDescent="0.25">
      <c r="B672" s="106" t="s">
        <v>1249</v>
      </c>
      <c r="C672" s="120" t="s">
        <v>2577</v>
      </c>
      <c r="D672" s="248">
        <v>0.6</v>
      </c>
      <c r="F672" s="266">
        <f t="shared" si="10"/>
        <v>0.6</v>
      </c>
    </row>
    <row r="673" spans="1:6" x14ac:dyDescent="0.25">
      <c r="B673" s="106" t="s">
        <v>1249</v>
      </c>
      <c r="C673" s="120" t="s">
        <v>2577</v>
      </c>
      <c r="D673" s="120">
        <v>0.6</v>
      </c>
      <c r="F673" s="266">
        <f t="shared" si="10"/>
        <v>0.6</v>
      </c>
    </row>
    <row r="674" spans="1:6" x14ac:dyDescent="0.25">
      <c r="B674" s="96" t="s">
        <v>1164</v>
      </c>
      <c r="C674" s="120" t="s">
        <v>2577</v>
      </c>
      <c r="F674" s="266">
        <f t="shared" si="10"/>
        <v>0</v>
      </c>
    </row>
    <row r="675" spans="1:6" x14ac:dyDescent="0.25">
      <c r="B675" s="159" t="s">
        <v>332</v>
      </c>
      <c r="C675" s="153" t="s">
        <v>745</v>
      </c>
      <c r="D675" s="248">
        <v>79.27</v>
      </c>
      <c r="E675" s="151"/>
      <c r="F675" s="266">
        <f t="shared" si="10"/>
        <v>79.27</v>
      </c>
    </row>
    <row r="676" spans="1:6" x14ac:dyDescent="0.25">
      <c r="B676" s="107" t="s">
        <v>598</v>
      </c>
      <c r="C676" s="47"/>
      <c r="D676" s="248">
        <v>0</v>
      </c>
      <c r="E676" s="47"/>
      <c r="F676" s="266">
        <f t="shared" si="10"/>
        <v>0</v>
      </c>
    </row>
    <row r="677" spans="1:6" x14ac:dyDescent="0.25">
      <c r="B677" s="159" t="s">
        <v>659</v>
      </c>
      <c r="C677" s="153" t="s">
        <v>745</v>
      </c>
      <c r="D677" s="248">
        <v>0.7</v>
      </c>
      <c r="E677" s="151"/>
      <c r="F677" s="266">
        <f t="shared" si="10"/>
        <v>0.7</v>
      </c>
    </row>
    <row r="678" spans="1:6" x14ac:dyDescent="0.25">
      <c r="B678" s="159" t="s">
        <v>1463</v>
      </c>
      <c r="C678" s="153" t="s">
        <v>745</v>
      </c>
      <c r="D678" s="248">
        <v>2.85</v>
      </c>
      <c r="E678" s="151"/>
      <c r="F678" s="266">
        <f t="shared" si="10"/>
        <v>2.85</v>
      </c>
    </row>
    <row r="679" spans="1:6" ht="26.4" x14ac:dyDescent="0.25">
      <c r="B679" s="159" t="s">
        <v>697</v>
      </c>
      <c r="C679" s="153" t="s">
        <v>745</v>
      </c>
      <c r="D679" s="248">
        <v>1.05</v>
      </c>
      <c r="E679" s="151"/>
      <c r="F679" s="266">
        <f t="shared" si="10"/>
        <v>1.05</v>
      </c>
    </row>
    <row r="680" spans="1:6" ht="26.4" x14ac:dyDescent="0.25">
      <c r="B680" s="159" t="s">
        <v>1519</v>
      </c>
      <c r="C680" s="153" t="s">
        <v>745</v>
      </c>
      <c r="D680" s="248">
        <v>1.78</v>
      </c>
      <c r="E680" s="151"/>
      <c r="F680" s="266">
        <f t="shared" si="10"/>
        <v>1.78</v>
      </c>
    </row>
    <row r="681" spans="1:6" x14ac:dyDescent="0.25">
      <c r="B681" s="159" t="s">
        <v>1518</v>
      </c>
      <c r="C681" s="153" t="s">
        <v>745</v>
      </c>
      <c r="D681" s="248">
        <v>2.5</v>
      </c>
      <c r="E681" s="151"/>
      <c r="F681" s="266">
        <f t="shared" si="10"/>
        <v>2.5</v>
      </c>
    </row>
    <row r="682" spans="1:6" x14ac:dyDescent="0.25">
      <c r="B682" s="159" t="s">
        <v>698</v>
      </c>
      <c r="C682" s="153" t="s">
        <v>745</v>
      </c>
      <c r="D682" s="248">
        <v>1.1499999999999999</v>
      </c>
      <c r="E682" s="146"/>
      <c r="F682" s="266">
        <f t="shared" si="10"/>
        <v>1.1499999999999999</v>
      </c>
    </row>
    <row r="683" spans="1:6" ht="26.4" x14ac:dyDescent="0.25">
      <c r="B683" s="159" t="s">
        <v>1520</v>
      </c>
      <c r="C683" s="153" t="s">
        <v>745</v>
      </c>
      <c r="D683" s="248">
        <v>1.25</v>
      </c>
      <c r="E683" s="146"/>
      <c r="F683" s="266">
        <f t="shared" si="10"/>
        <v>1.25</v>
      </c>
    </row>
    <row r="684" spans="1:6" x14ac:dyDescent="0.25">
      <c r="B684" s="159" t="s">
        <v>1464</v>
      </c>
      <c r="C684" s="153" t="s">
        <v>745</v>
      </c>
      <c r="D684" s="248">
        <v>0.45</v>
      </c>
      <c r="E684" s="151"/>
      <c r="F684" s="266">
        <f t="shared" si="10"/>
        <v>0.45</v>
      </c>
    </row>
    <row r="685" spans="1:6" x14ac:dyDescent="0.25">
      <c r="A685" s="249"/>
      <c r="B685" s="250" t="s">
        <v>3074</v>
      </c>
      <c r="C685" s="251" t="s">
        <v>2577</v>
      </c>
      <c r="D685" s="251">
        <v>9</v>
      </c>
      <c r="E685" s="252"/>
      <c r="F685" s="266">
        <f t="shared" si="10"/>
        <v>9</v>
      </c>
    </row>
    <row r="686" spans="1:6" x14ac:dyDescent="0.25">
      <c r="B686" s="106" t="s">
        <v>3074</v>
      </c>
      <c r="C686" s="120" t="s">
        <v>2577</v>
      </c>
      <c r="D686" s="120">
        <v>9</v>
      </c>
      <c r="F686" s="266">
        <f t="shared" si="10"/>
        <v>9</v>
      </c>
    </row>
    <row r="687" spans="1:6" x14ac:dyDescent="0.25">
      <c r="B687" s="159" t="s">
        <v>1508</v>
      </c>
      <c r="C687" s="156" t="s">
        <v>745</v>
      </c>
      <c r="D687" s="248">
        <v>8.5</v>
      </c>
      <c r="E687" s="151"/>
      <c r="F687" s="266">
        <f t="shared" si="10"/>
        <v>8.5</v>
      </c>
    </row>
    <row r="688" spans="1:6" x14ac:dyDescent="0.25">
      <c r="B688" s="159" t="s">
        <v>595</v>
      </c>
      <c r="C688" s="156" t="s">
        <v>745</v>
      </c>
      <c r="D688" s="248">
        <v>1.99</v>
      </c>
      <c r="E688" s="151"/>
      <c r="F688" s="266">
        <f t="shared" si="10"/>
        <v>1.99</v>
      </c>
    </row>
    <row r="689" spans="1:6" x14ac:dyDescent="0.25">
      <c r="B689" s="159" t="s">
        <v>333</v>
      </c>
      <c r="C689" s="156" t="s">
        <v>745</v>
      </c>
      <c r="D689" s="248">
        <v>30</v>
      </c>
      <c r="E689" s="151"/>
      <c r="F689" s="266">
        <f t="shared" si="10"/>
        <v>30</v>
      </c>
    </row>
    <row r="690" spans="1:6" x14ac:dyDescent="0.25">
      <c r="B690" s="159" t="s">
        <v>1250</v>
      </c>
      <c r="C690" s="47"/>
      <c r="D690" s="248">
        <v>0</v>
      </c>
      <c r="E690" s="47"/>
      <c r="F690" s="266">
        <f t="shared" si="10"/>
        <v>0</v>
      </c>
    </row>
    <row r="691" spans="1:6" x14ac:dyDescent="0.25">
      <c r="B691" s="159" t="s">
        <v>1766</v>
      </c>
      <c r="C691" s="156" t="s">
        <v>745</v>
      </c>
      <c r="D691" s="248">
        <v>2.95</v>
      </c>
      <c r="E691" s="151"/>
      <c r="F691" s="266">
        <f t="shared" si="10"/>
        <v>2.95</v>
      </c>
    </row>
    <row r="692" spans="1:6" x14ac:dyDescent="0.25">
      <c r="A692" s="249"/>
      <c r="B692" s="254" t="s">
        <v>1766</v>
      </c>
      <c r="C692" s="251" t="s">
        <v>2577</v>
      </c>
      <c r="D692" s="251">
        <v>3.45</v>
      </c>
      <c r="E692" s="252"/>
      <c r="F692" s="266">
        <f t="shared" si="10"/>
        <v>3.45</v>
      </c>
    </row>
    <row r="693" spans="1:6" x14ac:dyDescent="0.25">
      <c r="B693" s="159" t="s">
        <v>1251</v>
      </c>
      <c r="C693" s="123"/>
      <c r="D693" s="248">
        <v>0</v>
      </c>
      <c r="E693" s="47"/>
      <c r="F693" s="266">
        <f t="shared" si="10"/>
        <v>0</v>
      </c>
    </row>
    <row r="694" spans="1:6" x14ac:dyDescent="0.25">
      <c r="B694" s="159" t="s">
        <v>1167</v>
      </c>
      <c r="C694" s="156" t="s">
        <v>745</v>
      </c>
      <c r="D694" s="248">
        <v>5.86</v>
      </c>
      <c r="E694" s="151"/>
      <c r="F694" s="266">
        <f t="shared" si="10"/>
        <v>5.86</v>
      </c>
    </row>
    <row r="695" spans="1:6" x14ac:dyDescent="0.25">
      <c r="B695" s="159" t="s">
        <v>1252</v>
      </c>
      <c r="C695" s="156" t="s">
        <v>745</v>
      </c>
      <c r="D695" s="248">
        <v>0.32</v>
      </c>
      <c r="E695" s="151"/>
      <c r="F695" s="266">
        <f t="shared" si="10"/>
        <v>0.32</v>
      </c>
    </row>
    <row r="696" spans="1:6" x14ac:dyDescent="0.25">
      <c r="B696" s="106" t="s">
        <v>1010</v>
      </c>
      <c r="C696" s="120"/>
      <c r="F696" s="266">
        <f t="shared" si="10"/>
        <v>0</v>
      </c>
    </row>
    <row r="697" spans="1:6" x14ac:dyDescent="0.25">
      <c r="B697" s="106" t="s">
        <v>1011</v>
      </c>
      <c r="F697" s="266">
        <f t="shared" si="10"/>
        <v>0</v>
      </c>
    </row>
    <row r="698" spans="1:6" x14ac:dyDescent="0.25">
      <c r="B698" s="159" t="s">
        <v>1507</v>
      </c>
      <c r="C698" s="156" t="s">
        <v>745</v>
      </c>
      <c r="D698" s="248">
        <v>12.5</v>
      </c>
      <c r="E698" s="151"/>
      <c r="F698" s="266">
        <f t="shared" si="10"/>
        <v>12.5</v>
      </c>
    </row>
    <row r="699" spans="1:6" x14ac:dyDescent="0.25">
      <c r="B699" s="106" t="s">
        <v>1507</v>
      </c>
      <c r="C699" s="120" t="s">
        <v>2577</v>
      </c>
      <c r="D699" s="248">
        <v>19</v>
      </c>
      <c r="E699"/>
      <c r="F699" s="266">
        <f t="shared" si="10"/>
        <v>19</v>
      </c>
    </row>
    <row r="700" spans="1:6" x14ac:dyDescent="0.25">
      <c r="B700" s="100" t="s">
        <v>1507</v>
      </c>
      <c r="C700" s="120" t="s">
        <v>2577</v>
      </c>
      <c r="D700" s="248">
        <v>12.5</v>
      </c>
      <c r="F700" s="266">
        <f t="shared" si="10"/>
        <v>12.5</v>
      </c>
    </row>
    <row r="701" spans="1:6" x14ac:dyDescent="0.25">
      <c r="A701" s="249"/>
      <c r="B701" s="250" t="s">
        <v>1507</v>
      </c>
      <c r="C701" s="251" t="s">
        <v>2577</v>
      </c>
      <c r="D701" s="251">
        <v>19</v>
      </c>
      <c r="E701" s="252"/>
      <c r="F701" s="266">
        <f t="shared" si="10"/>
        <v>19</v>
      </c>
    </row>
    <row r="702" spans="1:6" x14ac:dyDescent="0.25">
      <c r="B702" s="106" t="s">
        <v>1507</v>
      </c>
      <c r="C702" s="120" t="s">
        <v>2577</v>
      </c>
      <c r="D702" s="120">
        <v>19</v>
      </c>
      <c r="F702" s="266">
        <f t="shared" si="10"/>
        <v>19</v>
      </c>
    </row>
    <row r="703" spans="1:6" x14ac:dyDescent="0.25">
      <c r="B703" s="159" t="s">
        <v>1169</v>
      </c>
      <c r="C703" s="153" t="s">
        <v>745</v>
      </c>
      <c r="D703" s="248">
        <v>0.7</v>
      </c>
      <c r="E703" s="151"/>
      <c r="F703" s="266">
        <f t="shared" si="10"/>
        <v>0.7</v>
      </c>
    </row>
    <row r="704" spans="1:6" x14ac:dyDescent="0.25">
      <c r="B704" s="159" t="s">
        <v>1253</v>
      </c>
      <c r="C704" s="156" t="s">
        <v>745</v>
      </c>
      <c r="D704" s="248">
        <v>2.02</v>
      </c>
      <c r="E704" s="151"/>
      <c r="F704" s="266">
        <f t="shared" si="10"/>
        <v>2.02</v>
      </c>
    </row>
    <row r="705" spans="2:8" x14ac:dyDescent="0.25">
      <c r="B705" s="159" t="s">
        <v>1254</v>
      </c>
      <c r="C705" s="47"/>
      <c r="D705" s="248">
        <v>0</v>
      </c>
      <c r="E705" s="47"/>
      <c r="F705" s="266">
        <f t="shared" si="10"/>
        <v>0</v>
      </c>
    </row>
    <row r="706" spans="2:8" x14ac:dyDescent="0.25">
      <c r="B706" s="106" t="s">
        <v>905</v>
      </c>
      <c r="C706" s="47"/>
      <c r="D706" s="248">
        <v>0</v>
      </c>
      <c r="E706" s="47"/>
      <c r="F706" s="266">
        <f t="shared" si="10"/>
        <v>0</v>
      </c>
      <c r="H706" s="244"/>
    </row>
    <row r="707" spans="2:8" x14ac:dyDescent="0.25">
      <c r="B707" s="100" t="s">
        <v>1778</v>
      </c>
      <c r="C707" s="120"/>
      <c r="D707" s="248">
        <v>0</v>
      </c>
      <c r="E707" s="47"/>
      <c r="F707" s="266">
        <f t="shared" si="10"/>
        <v>0</v>
      </c>
      <c r="G707" s="244"/>
    </row>
    <row r="708" spans="2:8" x14ac:dyDescent="0.25">
      <c r="B708" s="159" t="s">
        <v>2234</v>
      </c>
      <c r="C708" s="153" t="s">
        <v>745</v>
      </c>
      <c r="D708" s="248">
        <v>0.15</v>
      </c>
      <c r="E708" s="151"/>
      <c r="F708" s="266">
        <f t="shared" si="10"/>
        <v>0.15</v>
      </c>
    </row>
    <row r="709" spans="2:8" x14ac:dyDescent="0.25">
      <c r="B709" s="100" t="s">
        <v>1773</v>
      </c>
      <c r="C709" s="47"/>
      <c r="D709" s="248">
        <v>0</v>
      </c>
      <c r="E709" s="47"/>
      <c r="F709" s="266">
        <f t="shared" si="10"/>
        <v>0</v>
      </c>
    </row>
    <row r="710" spans="2:8" x14ac:dyDescent="0.25">
      <c r="B710" s="159" t="s">
        <v>1255</v>
      </c>
      <c r="C710" s="153" t="s">
        <v>745</v>
      </c>
      <c r="D710" s="248">
        <v>4.3499999999999996</v>
      </c>
      <c r="E710" s="151"/>
      <c r="F710" s="266">
        <f t="shared" si="10"/>
        <v>4.3499999999999996</v>
      </c>
    </row>
    <row r="711" spans="2:8" x14ac:dyDescent="0.25">
      <c r="B711" s="106" t="s">
        <v>2141</v>
      </c>
      <c r="C711" s="120" t="s">
        <v>2577</v>
      </c>
      <c r="D711" s="120">
        <v>4.3499999999999996</v>
      </c>
      <c r="F711" s="266">
        <f t="shared" si="10"/>
        <v>4.3499999999999996</v>
      </c>
    </row>
    <row r="712" spans="2:8" x14ac:dyDescent="0.25">
      <c r="B712" s="106" t="s">
        <v>3174</v>
      </c>
      <c r="C712" s="120" t="s">
        <v>2577</v>
      </c>
      <c r="D712" s="248">
        <v>5.85</v>
      </c>
      <c r="F712" s="266">
        <f t="shared" si="10"/>
        <v>5.85</v>
      </c>
    </row>
    <row r="713" spans="2:8" x14ac:dyDescent="0.25">
      <c r="B713" s="106" t="s">
        <v>3174</v>
      </c>
      <c r="C713" s="120" t="s">
        <v>2577</v>
      </c>
      <c r="D713" s="120">
        <v>5.85</v>
      </c>
      <c r="F713" s="266">
        <f t="shared" si="10"/>
        <v>5.85</v>
      </c>
    </row>
    <row r="714" spans="2:8" x14ac:dyDescent="0.25">
      <c r="B714" s="106" t="s">
        <v>3154</v>
      </c>
      <c r="C714" s="120" t="s">
        <v>2577</v>
      </c>
      <c r="D714" s="248">
        <v>0.9</v>
      </c>
      <c r="F714" s="266">
        <f t="shared" si="10"/>
        <v>0.9</v>
      </c>
    </row>
    <row r="715" spans="2:8" x14ac:dyDescent="0.25">
      <c r="B715" s="106" t="s">
        <v>3154</v>
      </c>
      <c r="C715" s="120" t="s">
        <v>2577</v>
      </c>
      <c r="D715" s="120">
        <v>0.9</v>
      </c>
      <c r="F715" s="266">
        <f t="shared" si="10"/>
        <v>0.9</v>
      </c>
    </row>
    <row r="716" spans="2:8" x14ac:dyDescent="0.25">
      <c r="B716" s="106" t="s">
        <v>3173</v>
      </c>
      <c r="C716" s="120" t="s">
        <v>2577</v>
      </c>
      <c r="D716" s="248">
        <v>2.2000000000000002</v>
      </c>
      <c r="F716" s="266">
        <f t="shared" ref="F716:F779" si="11">IF(E716&gt;0,E716,D716)</f>
        <v>2.2000000000000002</v>
      </c>
    </row>
    <row r="717" spans="2:8" x14ac:dyDescent="0.25">
      <c r="B717" s="106" t="s">
        <v>3173</v>
      </c>
      <c r="C717" s="120" t="s">
        <v>2577</v>
      </c>
      <c r="D717" s="120">
        <v>2.2000000000000002</v>
      </c>
      <c r="F717" s="266">
        <f t="shared" si="11"/>
        <v>2.2000000000000002</v>
      </c>
    </row>
    <row r="718" spans="2:8" x14ac:dyDescent="0.25">
      <c r="B718" s="106" t="s">
        <v>3155</v>
      </c>
      <c r="C718" s="120" t="s">
        <v>2577</v>
      </c>
      <c r="D718" s="248">
        <v>0.9</v>
      </c>
      <c r="F718" s="266">
        <f t="shared" si="11"/>
        <v>0.9</v>
      </c>
    </row>
    <row r="719" spans="2:8" x14ac:dyDescent="0.25">
      <c r="B719" s="106" t="s">
        <v>3155</v>
      </c>
      <c r="C719" s="120" t="s">
        <v>2577</v>
      </c>
      <c r="D719" s="120">
        <v>0.9</v>
      </c>
      <c r="F719" s="266">
        <f t="shared" si="11"/>
        <v>0.9</v>
      </c>
    </row>
    <row r="720" spans="2:8" x14ac:dyDescent="0.25">
      <c r="B720" s="106" t="s">
        <v>3172</v>
      </c>
      <c r="C720" s="120" t="s">
        <v>2577</v>
      </c>
      <c r="D720" s="248">
        <v>6</v>
      </c>
      <c r="F720" s="266">
        <f t="shared" si="11"/>
        <v>6</v>
      </c>
    </row>
    <row r="721" spans="1:6" x14ac:dyDescent="0.25">
      <c r="B721" s="106" t="s">
        <v>3172</v>
      </c>
      <c r="C721" s="120" t="s">
        <v>2577</v>
      </c>
      <c r="D721" s="120">
        <v>6</v>
      </c>
      <c r="F721" s="266">
        <f t="shared" si="11"/>
        <v>6</v>
      </c>
    </row>
    <row r="722" spans="1:6" x14ac:dyDescent="0.25">
      <c r="B722" s="106" t="s">
        <v>3175</v>
      </c>
      <c r="C722" s="120" t="s">
        <v>2577</v>
      </c>
      <c r="D722" s="248">
        <v>2.5</v>
      </c>
      <c r="F722" s="266">
        <f t="shared" si="11"/>
        <v>2.5</v>
      </c>
    </row>
    <row r="723" spans="1:6" x14ac:dyDescent="0.25">
      <c r="B723" s="106" t="s">
        <v>3175</v>
      </c>
      <c r="C723" s="120" t="s">
        <v>2577</v>
      </c>
      <c r="D723" s="120">
        <v>2.5</v>
      </c>
      <c r="F723" s="266">
        <f t="shared" si="11"/>
        <v>2.5</v>
      </c>
    </row>
    <row r="724" spans="1:6" x14ac:dyDescent="0.25">
      <c r="B724" s="106" t="s">
        <v>3156</v>
      </c>
      <c r="C724" s="120" t="s">
        <v>2953</v>
      </c>
      <c r="D724" s="248">
        <v>2.2000000000000002</v>
      </c>
      <c r="F724" s="266">
        <f t="shared" si="11"/>
        <v>2.2000000000000002</v>
      </c>
    </row>
    <row r="725" spans="1:6" x14ac:dyDescent="0.25">
      <c r="B725" s="106" t="s">
        <v>3156</v>
      </c>
      <c r="C725" s="120" t="s">
        <v>2953</v>
      </c>
      <c r="D725" s="120">
        <v>2.2000000000000002</v>
      </c>
      <c r="F725" s="266">
        <f t="shared" si="11"/>
        <v>2.2000000000000002</v>
      </c>
    </row>
    <row r="726" spans="1:6" x14ac:dyDescent="0.25">
      <c r="B726" s="106" t="s">
        <v>3153</v>
      </c>
      <c r="C726" s="120" t="s">
        <v>2577</v>
      </c>
      <c r="D726" s="248">
        <v>0.9</v>
      </c>
      <c r="F726" s="266">
        <f t="shared" si="11"/>
        <v>0.9</v>
      </c>
    </row>
    <row r="727" spans="1:6" x14ac:dyDescent="0.25">
      <c r="B727" s="106" t="s">
        <v>3153</v>
      </c>
      <c r="C727" s="120" t="s">
        <v>2577</v>
      </c>
      <c r="D727" s="120">
        <v>0.9</v>
      </c>
      <c r="F727" s="266">
        <f t="shared" si="11"/>
        <v>0.9</v>
      </c>
    </row>
    <row r="728" spans="1:6" x14ac:dyDescent="0.25">
      <c r="B728" s="159" t="s">
        <v>2235</v>
      </c>
      <c r="C728" s="156" t="s">
        <v>745</v>
      </c>
      <c r="D728" s="248" t="s">
        <v>1256</v>
      </c>
      <c r="E728" s="151"/>
      <c r="F728" s="266" t="str">
        <f t="shared" si="11"/>
        <v>$0.90 - 2.10</v>
      </c>
    </row>
    <row r="729" spans="1:6" x14ac:dyDescent="0.25">
      <c r="B729" s="106" t="s">
        <v>2235</v>
      </c>
      <c r="C729" s="120" t="s">
        <v>2577</v>
      </c>
      <c r="D729" s="248">
        <v>2</v>
      </c>
      <c r="F729" s="266">
        <f t="shared" si="11"/>
        <v>2</v>
      </c>
    </row>
    <row r="730" spans="1:6" x14ac:dyDescent="0.25">
      <c r="B730" s="106" t="s">
        <v>2235</v>
      </c>
      <c r="C730" s="120" t="s">
        <v>2577</v>
      </c>
      <c r="D730" s="120">
        <v>2</v>
      </c>
      <c r="F730" s="266">
        <f t="shared" si="11"/>
        <v>2</v>
      </c>
    </row>
    <row r="731" spans="1:6" x14ac:dyDescent="0.25">
      <c r="B731" s="159" t="s">
        <v>334</v>
      </c>
      <c r="C731" s="153" t="s">
        <v>745</v>
      </c>
      <c r="D731" s="248">
        <v>76.5</v>
      </c>
      <c r="E731" s="151"/>
      <c r="F731" s="266">
        <f t="shared" si="11"/>
        <v>76.5</v>
      </c>
    </row>
    <row r="732" spans="1:6" x14ac:dyDescent="0.25">
      <c r="B732" s="159" t="s">
        <v>660</v>
      </c>
      <c r="C732" s="153" t="s">
        <v>745</v>
      </c>
      <c r="D732" s="248">
        <v>0.6</v>
      </c>
      <c r="E732" s="151"/>
      <c r="F732" s="266">
        <f t="shared" si="11"/>
        <v>0.6</v>
      </c>
    </row>
    <row r="733" spans="1:6" x14ac:dyDescent="0.25">
      <c r="B733" s="159" t="s">
        <v>717</v>
      </c>
      <c r="C733" s="156" t="s">
        <v>745</v>
      </c>
      <c r="D733" s="248">
        <v>3.9</v>
      </c>
      <c r="E733" s="151"/>
      <c r="F733" s="266">
        <f t="shared" si="11"/>
        <v>3.9</v>
      </c>
    </row>
    <row r="734" spans="1:6" x14ac:dyDescent="0.25">
      <c r="A734" s="249"/>
      <c r="B734" s="254" t="s">
        <v>717</v>
      </c>
      <c r="C734" s="251" t="s">
        <v>2577</v>
      </c>
      <c r="D734" s="251">
        <v>4.51</v>
      </c>
      <c r="E734" s="252"/>
      <c r="F734" s="266">
        <f t="shared" si="11"/>
        <v>4.51</v>
      </c>
    </row>
    <row r="735" spans="1:6" x14ac:dyDescent="0.25">
      <c r="B735" s="159" t="s">
        <v>331</v>
      </c>
      <c r="C735" s="156" t="s">
        <v>745</v>
      </c>
      <c r="D735" s="248">
        <v>1.5</v>
      </c>
      <c r="E735" s="151"/>
      <c r="F735" s="266">
        <f t="shared" si="11"/>
        <v>1.5</v>
      </c>
    </row>
    <row r="736" spans="1:6" x14ac:dyDescent="0.25">
      <c r="A736" s="249"/>
      <c r="B736" s="254" t="s">
        <v>331</v>
      </c>
      <c r="C736" s="251" t="s">
        <v>2577</v>
      </c>
      <c r="D736" s="251">
        <v>1.5</v>
      </c>
      <c r="E736" s="252"/>
      <c r="F736" s="266">
        <f t="shared" si="11"/>
        <v>1.5</v>
      </c>
    </row>
    <row r="737" spans="1:6" x14ac:dyDescent="0.25">
      <c r="B737" s="159" t="s">
        <v>1767</v>
      </c>
      <c r="C737" s="156" t="s">
        <v>745</v>
      </c>
      <c r="D737" s="248">
        <v>8.5</v>
      </c>
      <c r="E737" s="151"/>
      <c r="F737" s="266">
        <f t="shared" si="11"/>
        <v>8.5</v>
      </c>
    </row>
    <row r="738" spans="1:6" x14ac:dyDescent="0.25">
      <c r="A738" s="249"/>
      <c r="B738" s="254" t="s">
        <v>1767</v>
      </c>
      <c r="C738" s="251" t="s">
        <v>2577</v>
      </c>
      <c r="D738" s="251">
        <v>8.5</v>
      </c>
      <c r="E738" s="252"/>
      <c r="F738" s="266">
        <f t="shared" si="11"/>
        <v>8.5</v>
      </c>
    </row>
    <row r="739" spans="1:6" x14ac:dyDescent="0.25">
      <c r="B739" s="159" t="s">
        <v>1768</v>
      </c>
      <c r="C739" s="156" t="s">
        <v>745</v>
      </c>
      <c r="D739" s="248" t="s">
        <v>1257</v>
      </c>
      <c r="E739" s="151"/>
      <c r="F739" s="266" t="str">
        <f t="shared" si="11"/>
        <v>$2.50 - 3.00</v>
      </c>
    </row>
    <row r="740" spans="1:6" x14ac:dyDescent="0.25">
      <c r="B740" s="159" t="s">
        <v>1258</v>
      </c>
      <c r="C740" s="156" t="s">
        <v>745</v>
      </c>
      <c r="E740" s="151"/>
      <c r="F740" s="266">
        <f t="shared" si="11"/>
        <v>0</v>
      </c>
    </row>
    <row r="741" spans="1:6" ht="26.4" x14ac:dyDescent="0.25">
      <c r="B741" s="158" t="s">
        <v>1700</v>
      </c>
      <c r="C741" s="156" t="s">
        <v>745</v>
      </c>
      <c r="D741" s="248">
        <v>188</v>
      </c>
      <c r="E741" s="151"/>
      <c r="F741" s="266">
        <f t="shared" si="11"/>
        <v>188</v>
      </c>
    </row>
    <row r="742" spans="1:6" x14ac:dyDescent="0.25">
      <c r="B742" s="155" t="s">
        <v>1674</v>
      </c>
      <c r="C742" s="156" t="s">
        <v>745</v>
      </c>
      <c r="D742" s="248">
        <v>12</v>
      </c>
      <c r="E742" s="151"/>
      <c r="F742" s="266">
        <f t="shared" si="11"/>
        <v>12</v>
      </c>
    </row>
    <row r="743" spans="1:6" x14ac:dyDescent="0.25">
      <c r="B743" s="106" t="s">
        <v>3168</v>
      </c>
      <c r="C743" s="120" t="s">
        <v>2577</v>
      </c>
      <c r="D743" s="248">
        <v>0.6</v>
      </c>
      <c r="F743" s="266">
        <f t="shared" si="11"/>
        <v>0.6</v>
      </c>
    </row>
    <row r="744" spans="1:6" x14ac:dyDescent="0.25">
      <c r="B744" s="106" t="s">
        <v>3168</v>
      </c>
      <c r="C744" s="120" t="s">
        <v>2577</v>
      </c>
      <c r="D744" s="120">
        <v>0.6</v>
      </c>
      <c r="F744" s="266">
        <f t="shared" si="11"/>
        <v>0.6</v>
      </c>
    </row>
    <row r="745" spans="1:6" x14ac:dyDescent="0.25">
      <c r="B745" s="159" t="s">
        <v>714</v>
      </c>
      <c r="C745" s="156" t="s">
        <v>745</v>
      </c>
      <c r="D745" s="248">
        <v>2.2000000000000002</v>
      </c>
      <c r="E745" s="151"/>
      <c r="F745" s="266">
        <f t="shared" si="11"/>
        <v>2.2000000000000002</v>
      </c>
    </row>
    <row r="746" spans="1:6" x14ac:dyDescent="0.25">
      <c r="A746" s="249"/>
      <c r="B746" s="254" t="s">
        <v>714</v>
      </c>
      <c r="C746" s="251" t="s">
        <v>2577</v>
      </c>
      <c r="D746" s="251">
        <v>2.57</v>
      </c>
      <c r="E746" s="252"/>
      <c r="F746" s="266">
        <f t="shared" si="11"/>
        <v>2.57</v>
      </c>
    </row>
    <row r="747" spans="1:6" x14ac:dyDescent="0.25">
      <c r="B747" s="106" t="s">
        <v>3166</v>
      </c>
      <c r="C747" s="120" t="s">
        <v>2577</v>
      </c>
      <c r="D747" s="248">
        <v>0.36</v>
      </c>
      <c r="F747" s="266">
        <f t="shared" si="11"/>
        <v>0.36</v>
      </c>
    </row>
    <row r="748" spans="1:6" x14ac:dyDescent="0.25">
      <c r="B748" s="106" t="s">
        <v>3166</v>
      </c>
      <c r="C748" s="120" t="s">
        <v>2577</v>
      </c>
      <c r="D748" s="120">
        <v>0.36</v>
      </c>
      <c r="F748" s="266">
        <f t="shared" si="11"/>
        <v>0.36</v>
      </c>
    </row>
    <row r="749" spans="1:6" x14ac:dyDescent="0.25">
      <c r="B749" s="159" t="s">
        <v>2233</v>
      </c>
      <c r="C749" s="153" t="s">
        <v>745</v>
      </c>
      <c r="D749" s="248">
        <v>0.36</v>
      </c>
      <c r="E749" s="151"/>
      <c r="F749" s="266">
        <f t="shared" si="11"/>
        <v>0.36</v>
      </c>
    </row>
    <row r="750" spans="1:6" x14ac:dyDescent="0.25">
      <c r="A750" s="249"/>
      <c r="B750" s="254" t="s">
        <v>1163</v>
      </c>
      <c r="C750" s="251" t="s">
        <v>2577</v>
      </c>
      <c r="D750" s="251">
        <v>0.36</v>
      </c>
      <c r="E750" s="252"/>
      <c r="F750" s="266">
        <f t="shared" si="11"/>
        <v>0.36</v>
      </c>
    </row>
    <row r="751" spans="1:6" x14ac:dyDescent="0.25">
      <c r="B751" s="106" t="s">
        <v>2236</v>
      </c>
      <c r="F751" s="266">
        <f t="shared" si="11"/>
        <v>0</v>
      </c>
    </row>
    <row r="752" spans="1:6" x14ac:dyDescent="0.25">
      <c r="B752" s="159" t="s">
        <v>1259</v>
      </c>
      <c r="C752" s="156" t="s">
        <v>745</v>
      </c>
      <c r="D752" s="248">
        <v>1.05</v>
      </c>
      <c r="E752" s="151"/>
      <c r="F752" s="266">
        <f t="shared" si="11"/>
        <v>1.05</v>
      </c>
    </row>
    <row r="753" spans="1:6" x14ac:dyDescent="0.25">
      <c r="B753" s="159" t="s">
        <v>1505</v>
      </c>
      <c r="C753" s="156" t="s">
        <v>745</v>
      </c>
      <c r="D753" s="248">
        <v>9</v>
      </c>
      <c r="E753" s="151"/>
      <c r="F753" s="266">
        <f t="shared" si="11"/>
        <v>9</v>
      </c>
    </row>
    <row r="754" spans="1:6" x14ac:dyDescent="0.25">
      <c r="B754" s="159" t="s">
        <v>593</v>
      </c>
      <c r="C754" s="156" t="s">
        <v>745</v>
      </c>
      <c r="D754" s="248">
        <v>1.55</v>
      </c>
      <c r="E754" s="151"/>
      <c r="F754" s="266">
        <f t="shared" si="11"/>
        <v>1.55</v>
      </c>
    </row>
    <row r="755" spans="1:6" x14ac:dyDescent="0.25">
      <c r="B755" s="108" t="s">
        <v>594</v>
      </c>
      <c r="C755" s="47"/>
      <c r="D755" s="248">
        <v>0</v>
      </c>
      <c r="E755" s="47"/>
      <c r="F755" s="266">
        <f t="shared" si="11"/>
        <v>0</v>
      </c>
    </row>
    <row r="756" spans="1:6" x14ac:dyDescent="0.25">
      <c r="A756" s="249"/>
      <c r="B756" s="254" t="s">
        <v>596</v>
      </c>
      <c r="C756" s="251" t="s">
        <v>2577</v>
      </c>
      <c r="D756" s="251">
        <v>2.74</v>
      </c>
      <c r="E756" s="252"/>
      <c r="F756" s="266">
        <f t="shared" si="11"/>
        <v>2.74</v>
      </c>
    </row>
    <row r="757" spans="1:6" x14ac:dyDescent="0.25">
      <c r="B757" s="159" t="s">
        <v>1777</v>
      </c>
      <c r="C757" s="153" t="s">
        <v>745</v>
      </c>
      <c r="E757" s="151"/>
      <c r="F757" s="266">
        <f t="shared" si="11"/>
        <v>0</v>
      </c>
    </row>
    <row r="758" spans="1:6" x14ac:dyDescent="0.25">
      <c r="B758" s="100" t="s">
        <v>1775</v>
      </c>
      <c r="C758" s="47"/>
      <c r="D758" s="248">
        <v>0</v>
      </c>
      <c r="E758" s="47"/>
      <c r="F758" s="266">
        <f t="shared" si="11"/>
        <v>0</v>
      </c>
    </row>
    <row r="759" spans="1:6" x14ac:dyDescent="0.25">
      <c r="B759" s="159" t="s">
        <v>1106</v>
      </c>
      <c r="C759" s="153" t="s">
        <v>745</v>
      </c>
      <c r="D759" s="248">
        <v>1.4</v>
      </c>
      <c r="E759" s="151"/>
      <c r="F759" s="266">
        <f t="shared" si="11"/>
        <v>1.4</v>
      </c>
    </row>
    <row r="760" spans="1:6" x14ac:dyDescent="0.25">
      <c r="B760" s="159" t="s">
        <v>1260</v>
      </c>
      <c r="C760" s="120"/>
      <c r="D760" s="248">
        <v>0</v>
      </c>
      <c r="E760" s="47"/>
      <c r="F760" s="266">
        <f t="shared" si="11"/>
        <v>0</v>
      </c>
    </row>
    <row r="761" spans="1:6" x14ac:dyDescent="0.25">
      <c r="B761" s="100" t="s">
        <v>2034</v>
      </c>
      <c r="F761" s="266">
        <f t="shared" si="11"/>
        <v>0</v>
      </c>
    </row>
    <row r="762" spans="1:6" x14ac:dyDescent="0.25">
      <c r="B762" s="159" t="s">
        <v>372</v>
      </c>
      <c r="C762" s="153" t="s">
        <v>745</v>
      </c>
      <c r="D762" s="248">
        <v>0.38</v>
      </c>
      <c r="E762" s="151"/>
      <c r="F762" s="266">
        <f t="shared" si="11"/>
        <v>0.38</v>
      </c>
    </row>
    <row r="763" spans="1:6" x14ac:dyDescent="0.25">
      <c r="B763" s="159" t="s">
        <v>373</v>
      </c>
      <c r="C763" s="153" t="s">
        <v>745</v>
      </c>
      <c r="D763" s="248">
        <v>0.38</v>
      </c>
      <c r="E763" s="151"/>
      <c r="F763" s="266">
        <f t="shared" si="11"/>
        <v>0.38</v>
      </c>
    </row>
    <row r="764" spans="1:6" x14ac:dyDescent="0.25">
      <c r="B764" s="158" t="s">
        <v>1261</v>
      </c>
      <c r="C764" s="156" t="s">
        <v>745</v>
      </c>
      <c r="D764" s="248">
        <v>110</v>
      </c>
      <c r="E764" s="151"/>
      <c r="F764" s="266">
        <f t="shared" si="11"/>
        <v>110</v>
      </c>
    </row>
    <row r="765" spans="1:6" x14ac:dyDescent="0.25">
      <c r="B765" s="159" t="s">
        <v>2368</v>
      </c>
      <c r="C765" s="153" t="s">
        <v>745</v>
      </c>
      <c r="D765" s="248">
        <v>300</v>
      </c>
      <c r="E765" s="151"/>
      <c r="F765" s="266">
        <f t="shared" si="11"/>
        <v>300</v>
      </c>
    </row>
    <row r="766" spans="1:6" x14ac:dyDescent="0.25">
      <c r="B766" s="159" t="s">
        <v>2237</v>
      </c>
      <c r="C766" s="153" t="s">
        <v>745</v>
      </c>
      <c r="D766" s="248">
        <v>0.19</v>
      </c>
      <c r="E766" s="151"/>
      <c r="F766" s="266">
        <f t="shared" si="11"/>
        <v>0.19</v>
      </c>
    </row>
    <row r="767" spans="1:6" x14ac:dyDescent="0.25">
      <c r="B767" s="100" t="s">
        <v>721</v>
      </c>
      <c r="C767" s="47"/>
      <c r="D767" s="248">
        <v>0</v>
      </c>
      <c r="E767" s="47"/>
      <c r="F767" s="266">
        <f t="shared" si="11"/>
        <v>0</v>
      </c>
    </row>
    <row r="768" spans="1:6" x14ac:dyDescent="0.25">
      <c r="B768" s="159" t="s">
        <v>719</v>
      </c>
      <c r="C768" s="156" t="s">
        <v>745</v>
      </c>
      <c r="D768" s="248">
        <v>5</v>
      </c>
      <c r="E768" s="151"/>
      <c r="F768" s="266">
        <f t="shared" si="11"/>
        <v>5</v>
      </c>
    </row>
    <row r="769" spans="1:8" x14ac:dyDescent="0.25">
      <c r="A769" s="249"/>
      <c r="B769" s="250" t="s">
        <v>3073</v>
      </c>
      <c r="C769" s="251" t="s">
        <v>2577</v>
      </c>
      <c r="D769" s="251">
        <v>150</v>
      </c>
      <c r="E769" s="252"/>
      <c r="F769" s="266">
        <f t="shared" si="11"/>
        <v>150</v>
      </c>
    </row>
    <row r="770" spans="1:8" x14ac:dyDescent="0.25">
      <c r="B770" s="100" t="s">
        <v>1382</v>
      </c>
      <c r="C770" s="120" t="s">
        <v>2577</v>
      </c>
      <c r="D770" s="248">
        <v>25</v>
      </c>
      <c r="F770" s="266">
        <f t="shared" si="11"/>
        <v>25</v>
      </c>
    </row>
    <row r="771" spans="1:8" x14ac:dyDescent="0.25">
      <c r="B771" s="159" t="s">
        <v>1683</v>
      </c>
      <c r="C771" s="156" t="s">
        <v>745</v>
      </c>
      <c r="D771" s="248">
        <v>18</v>
      </c>
      <c r="E771" s="151"/>
      <c r="F771" s="266">
        <f t="shared" si="11"/>
        <v>18</v>
      </c>
    </row>
    <row r="772" spans="1:8" x14ac:dyDescent="0.25">
      <c r="B772" s="159" t="s">
        <v>1680</v>
      </c>
      <c r="C772" s="156" t="s">
        <v>745</v>
      </c>
      <c r="D772" s="248">
        <v>22</v>
      </c>
      <c r="E772" s="151"/>
      <c r="F772" s="266">
        <f t="shared" si="11"/>
        <v>22</v>
      </c>
    </row>
    <row r="773" spans="1:8" x14ac:dyDescent="0.25">
      <c r="B773" s="159" t="s">
        <v>1686</v>
      </c>
      <c r="C773" s="156" t="s">
        <v>745</v>
      </c>
      <c r="D773" s="248">
        <v>22</v>
      </c>
      <c r="E773" s="151"/>
      <c r="F773" s="266">
        <f t="shared" si="11"/>
        <v>22</v>
      </c>
    </row>
    <row r="774" spans="1:8" x14ac:dyDescent="0.25">
      <c r="B774" s="159" t="s">
        <v>1678</v>
      </c>
      <c r="C774" s="156" t="s">
        <v>745</v>
      </c>
      <c r="D774" s="248">
        <v>140</v>
      </c>
      <c r="E774" s="151"/>
      <c r="F774" s="266">
        <f t="shared" si="11"/>
        <v>140</v>
      </c>
    </row>
    <row r="775" spans="1:8" x14ac:dyDescent="0.25">
      <c r="B775" s="159" t="s">
        <v>1681</v>
      </c>
      <c r="C775" s="156" t="s">
        <v>745</v>
      </c>
      <c r="D775" s="248">
        <v>25</v>
      </c>
      <c r="E775" s="151"/>
      <c r="F775" s="266">
        <f t="shared" si="11"/>
        <v>25</v>
      </c>
    </row>
    <row r="776" spans="1:8" x14ac:dyDescent="0.25">
      <c r="B776" s="159" t="s">
        <v>1682</v>
      </c>
      <c r="C776" s="156" t="s">
        <v>745</v>
      </c>
      <c r="D776" s="248">
        <v>230</v>
      </c>
      <c r="E776" s="151"/>
      <c r="F776" s="266">
        <f t="shared" si="11"/>
        <v>230</v>
      </c>
    </row>
    <row r="777" spans="1:8" x14ac:dyDescent="0.25">
      <c r="B777" s="159" t="s">
        <v>1684</v>
      </c>
      <c r="C777" s="156" t="s">
        <v>745</v>
      </c>
      <c r="D777" s="248">
        <v>75</v>
      </c>
      <c r="E777" s="151"/>
      <c r="F777" s="266">
        <f t="shared" si="11"/>
        <v>75</v>
      </c>
    </row>
    <row r="778" spans="1:8" x14ac:dyDescent="0.25">
      <c r="B778" s="159" t="s">
        <v>1675</v>
      </c>
      <c r="C778" s="156" t="s">
        <v>745</v>
      </c>
      <c r="D778" s="248">
        <v>180</v>
      </c>
      <c r="E778" s="151"/>
      <c r="F778" s="266">
        <f t="shared" si="11"/>
        <v>180</v>
      </c>
    </row>
    <row r="779" spans="1:8" x14ac:dyDescent="0.25">
      <c r="B779" s="159" t="s">
        <v>1685</v>
      </c>
      <c r="C779" s="156" t="s">
        <v>745</v>
      </c>
      <c r="D779" s="248">
        <v>110</v>
      </c>
      <c r="E779" s="151"/>
      <c r="F779" s="266">
        <f t="shared" si="11"/>
        <v>110</v>
      </c>
    </row>
    <row r="780" spans="1:8" x14ac:dyDescent="0.25">
      <c r="B780" s="100" t="s">
        <v>1383</v>
      </c>
      <c r="C780" s="120" t="s">
        <v>2577</v>
      </c>
      <c r="D780" s="248">
        <v>25</v>
      </c>
      <c r="F780" s="266">
        <f t="shared" ref="F780:F843" si="12">IF(E780&gt;0,E780,D780)</f>
        <v>25</v>
      </c>
    </row>
    <row r="781" spans="1:8" x14ac:dyDescent="0.25">
      <c r="A781" s="249"/>
      <c r="B781" s="254" t="s">
        <v>1383</v>
      </c>
      <c r="C781" s="251" t="s">
        <v>2577</v>
      </c>
      <c r="D781" s="251">
        <v>70</v>
      </c>
      <c r="E781" s="252"/>
      <c r="F781" s="266">
        <f t="shared" si="12"/>
        <v>70</v>
      </c>
      <c r="H781" s="244"/>
    </row>
    <row r="782" spans="1:8" x14ac:dyDescent="0.25">
      <c r="B782" s="159" t="s">
        <v>1687</v>
      </c>
      <c r="C782" s="156" t="s">
        <v>745</v>
      </c>
      <c r="D782" s="248">
        <v>100</v>
      </c>
      <c r="E782" s="151"/>
      <c r="F782" s="266">
        <f t="shared" si="12"/>
        <v>100</v>
      </c>
      <c r="G782" s="244"/>
    </row>
    <row r="783" spans="1:8" x14ac:dyDescent="0.25">
      <c r="B783" s="159" t="s">
        <v>1679</v>
      </c>
      <c r="C783" s="156" t="s">
        <v>745</v>
      </c>
      <c r="D783" s="248">
        <v>72</v>
      </c>
      <c r="E783" s="151"/>
      <c r="F783" s="266">
        <f t="shared" si="12"/>
        <v>72</v>
      </c>
    </row>
    <row r="784" spans="1:8" x14ac:dyDescent="0.25">
      <c r="B784" s="159" t="s">
        <v>1676</v>
      </c>
      <c r="C784" s="156" t="s">
        <v>745</v>
      </c>
      <c r="D784" s="248">
        <v>95</v>
      </c>
      <c r="E784" s="151"/>
      <c r="F784" s="266">
        <f t="shared" si="12"/>
        <v>95</v>
      </c>
    </row>
    <row r="785" spans="1:6" x14ac:dyDescent="0.25">
      <c r="B785" s="159" t="s">
        <v>1677</v>
      </c>
      <c r="C785" s="156" t="s">
        <v>745</v>
      </c>
      <c r="D785" s="248">
        <v>110</v>
      </c>
      <c r="E785" s="151"/>
      <c r="F785" s="266">
        <f t="shared" si="12"/>
        <v>110</v>
      </c>
    </row>
    <row r="786" spans="1:6" x14ac:dyDescent="0.25">
      <c r="B786" s="159" t="s">
        <v>1677</v>
      </c>
      <c r="C786" s="120"/>
      <c r="D786" s="248">
        <v>0</v>
      </c>
      <c r="E786" s="47"/>
      <c r="F786" s="266">
        <f t="shared" si="12"/>
        <v>0</v>
      </c>
    </row>
    <row r="787" spans="1:6" x14ac:dyDescent="0.25">
      <c r="B787" s="159" t="s">
        <v>335</v>
      </c>
      <c r="C787" s="153" t="s">
        <v>745</v>
      </c>
      <c r="D787" s="248">
        <v>79.27</v>
      </c>
      <c r="E787" s="151"/>
      <c r="F787" s="266">
        <f t="shared" si="12"/>
        <v>79.27</v>
      </c>
    </row>
    <row r="788" spans="1:6" x14ac:dyDescent="0.25">
      <c r="B788" s="100" t="s">
        <v>1161</v>
      </c>
      <c r="C788" s="120" t="s">
        <v>2953</v>
      </c>
      <c r="F788" s="266">
        <f t="shared" si="12"/>
        <v>0</v>
      </c>
    </row>
    <row r="789" spans="1:6" x14ac:dyDescent="0.25">
      <c r="A789" s="249"/>
      <c r="B789" s="254" t="s">
        <v>1160</v>
      </c>
      <c r="C789" s="251" t="s">
        <v>2577</v>
      </c>
      <c r="D789" s="251">
        <v>0.19</v>
      </c>
      <c r="E789" s="252"/>
      <c r="F789" s="266">
        <f t="shared" si="12"/>
        <v>0.19</v>
      </c>
    </row>
    <row r="790" spans="1:6" x14ac:dyDescent="0.25">
      <c r="B790" s="106" t="s">
        <v>1646</v>
      </c>
      <c r="C790" s="120" t="s">
        <v>552</v>
      </c>
      <c r="D790" s="120">
        <v>34</v>
      </c>
      <c r="F790" s="266">
        <f t="shared" si="12"/>
        <v>34</v>
      </c>
    </row>
    <row r="791" spans="1:6" x14ac:dyDescent="0.25">
      <c r="B791" s="159" t="s">
        <v>916</v>
      </c>
      <c r="C791" s="153" t="s">
        <v>1802</v>
      </c>
      <c r="D791" s="248">
        <v>0.44</v>
      </c>
      <c r="E791" s="151"/>
      <c r="F791" s="266">
        <f t="shared" si="12"/>
        <v>0.44</v>
      </c>
    </row>
    <row r="792" spans="1:6" x14ac:dyDescent="0.25">
      <c r="B792" s="106" t="s">
        <v>2665</v>
      </c>
      <c r="C792" s="120"/>
      <c r="F792" s="266">
        <f t="shared" si="12"/>
        <v>0</v>
      </c>
    </row>
    <row r="793" spans="1:6" x14ac:dyDescent="0.25">
      <c r="B793" s="106" t="s">
        <v>2666</v>
      </c>
      <c r="F793" s="266">
        <f t="shared" si="12"/>
        <v>0</v>
      </c>
    </row>
    <row r="794" spans="1:6" x14ac:dyDescent="0.25">
      <c r="B794" s="106" t="s">
        <v>3310</v>
      </c>
      <c r="C794" s="211" t="s">
        <v>3054</v>
      </c>
      <c r="D794" s="248">
        <v>23</v>
      </c>
      <c r="F794" s="266">
        <f t="shared" si="12"/>
        <v>23</v>
      </c>
    </row>
    <row r="795" spans="1:6" x14ac:dyDescent="0.25">
      <c r="B795" s="106" t="s">
        <v>375</v>
      </c>
      <c r="E795" s="153"/>
      <c r="F795" s="266">
        <f t="shared" si="12"/>
        <v>0</v>
      </c>
    </row>
    <row r="796" spans="1:6" x14ac:dyDescent="0.25">
      <c r="B796" s="106" t="s">
        <v>374</v>
      </c>
      <c r="E796" s="153"/>
      <c r="F796" s="266">
        <f t="shared" si="12"/>
        <v>0</v>
      </c>
    </row>
    <row r="797" spans="1:6" ht="22.8" x14ac:dyDescent="0.25">
      <c r="B797" s="106" t="s">
        <v>907</v>
      </c>
      <c r="C797" s="120" t="s">
        <v>195</v>
      </c>
      <c r="F797" s="266">
        <f t="shared" si="12"/>
        <v>0</v>
      </c>
    </row>
    <row r="798" spans="1:6" ht="22.8" x14ac:dyDescent="0.25">
      <c r="B798" s="106" t="s">
        <v>907</v>
      </c>
      <c r="C798" s="120" t="s">
        <v>195</v>
      </c>
      <c r="D798" s="120"/>
      <c r="F798" s="266">
        <f t="shared" si="12"/>
        <v>0</v>
      </c>
    </row>
    <row r="799" spans="1:6" x14ac:dyDescent="0.25">
      <c r="B799" s="106" t="s">
        <v>1781</v>
      </c>
      <c r="E799" s="153"/>
      <c r="F799" s="266">
        <f t="shared" si="12"/>
        <v>0</v>
      </c>
    </row>
    <row r="800" spans="1:6" ht="22.8" x14ac:dyDescent="0.25">
      <c r="B800" s="106" t="s">
        <v>908</v>
      </c>
      <c r="C800" s="120"/>
      <c r="D800" s="248">
        <v>0</v>
      </c>
      <c r="E800" s="47"/>
      <c r="F800" s="266">
        <f t="shared" si="12"/>
        <v>0</v>
      </c>
    </row>
    <row r="801" spans="1:8" ht="22.8" x14ac:dyDescent="0.25">
      <c r="B801" s="106" t="s">
        <v>909</v>
      </c>
      <c r="C801" s="120"/>
      <c r="D801" s="248">
        <v>0</v>
      </c>
      <c r="E801" s="47"/>
      <c r="F801" s="266">
        <f t="shared" si="12"/>
        <v>0</v>
      </c>
    </row>
    <row r="802" spans="1:8" ht="22.8" x14ac:dyDescent="0.25">
      <c r="B802" s="106" t="s">
        <v>910</v>
      </c>
      <c r="E802" s="153"/>
      <c r="F802" s="266">
        <f t="shared" si="12"/>
        <v>0</v>
      </c>
    </row>
    <row r="803" spans="1:8" ht="22.8" x14ac:dyDescent="0.25">
      <c r="B803" s="106" t="s">
        <v>910</v>
      </c>
      <c r="C803" s="120"/>
      <c r="D803" s="248">
        <v>0</v>
      </c>
      <c r="E803" s="47"/>
      <c r="F803" s="266">
        <f t="shared" si="12"/>
        <v>0</v>
      </c>
    </row>
    <row r="804" spans="1:8" ht="21" x14ac:dyDescent="0.25">
      <c r="A804" s="184" t="s">
        <v>76</v>
      </c>
      <c r="B804" s="184" t="s">
        <v>1262</v>
      </c>
      <c r="C804" s="191" t="s">
        <v>2376</v>
      </c>
      <c r="D804" s="248">
        <v>893.5409699999999</v>
      </c>
      <c r="F804" s="266">
        <f t="shared" si="12"/>
        <v>893.5409699999999</v>
      </c>
    </row>
    <row r="805" spans="1:8" ht="21" x14ac:dyDescent="0.25">
      <c r="A805" s="184" t="s">
        <v>77</v>
      </c>
      <c r="B805" s="184" t="s">
        <v>1263</v>
      </c>
      <c r="C805" s="191" t="s">
        <v>2376</v>
      </c>
      <c r="D805" s="248">
        <v>1335.9426640000004</v>
      </c>
      <c r="F805" s="266">
        <f t="shared" si="12"/>
        <v>1335.9426640000004</v>
      </c>
      <c r="H805" s="244"/>
    </row>
    <row r="806" spans="1:8" ht="21" x14ac:dyDescent="0.25">
      <c r="A806" s="184" t="s">
        <v>79</v>
      </c>
      <c r="B806" s="184" t="s">
        <v>1264</v>
      </c>
      <c r="C806" s="191" t="s">
        <v>2376</v>
      </c>
      <c r="D806" s="248">
        <v>2532.8393999999998</v>
      </c>
      <c r="F806" s="266">
        <f t="shared" si="12"/>
        <v>2532.8393999999998</v>
      </c>
      <c r="G806" s="244"/>
    </row>
    <row r="807" spans="1:8" ht="21" x14ac:dyDescent="0.25">
      <c r="A807" s="184" t="s">
        <v>87</v>
      </c>
      <c r="B807" s="184" t="s">
        <v>1737</v>
      </c>
      <c r="C807" s="191" t="s">
        <v>2377</v>
      </c>
      <c r="D807" s="248">
        <v>300</v>
      </c>
      <c r="F807" s="266">
        <f t="shared" si="12"/>
        <v>300</v>
      </c>
    </row>
    <row r="808" spans="1:8" ht="21" x14ac:dyDescent="0.25">
      <c r="A808" s="184" t="s">
        <v>89</v>
      </c>
      <c r="B808" s="184" t="s">
        <v>2903</v>
      </c>
      <c r="C808" s="191" t="s">
        <v>2376</v>
      </c>
      <c r="D808" s="248">
        <v>663.29163599999993</v>
      </c>
      <c r="F808" s="266">
        <f t="shared" si="12"/>
        <v>663.29163599999993</v>
      </c>
    </row>
    <row r="809" spans="1:8" ht="21" x14ac:dyDescent="0.25">
      <c r="A809" s="184" t="s">
        <v>91</v>
      </c>
      <c r="B809" s="184" t="s">
        <v>2904</v>
      </c>
      <c r="C809" s="191" t="s">
        <v>2376</v>
      </c>
      <c r="D809" s="248">
        <v>331.62831519999997</v>
      </c>
      <c r="F809" s="266">
        <f t="shared" si="12"/>
        <v>331.62831519999997</v>
      </c>
    </row>
    <row r="810" spans="1:8" ht="21" x14ac:dyDescent="0.25">
      <c r="A810" s="184" t="s">
        <v>92</v>
      </c>
      <c r="B810" s="184" t="s">
        <v>2905</v>
      </c>
      <c r="C810" s="191" t="s">
        <v>2376</v>
      </c>
      <c r="D810" s="248">
        <v>442.19442400000008</v>
      </c>
      <c r="F810" s="266">
        <f t="shared" si="12"/>
        <v>442.19442400000008</v>
      </c>
    </row>
    <row r="811" spans="1:8" ht="21" x14ac:dyDescent="0.25">
      <c r="A811" s="184" t="s">
        <v>93</v>
      </c>
      <c r="B811" s="184" t="s">
        <v>2906</v>
      </c>
      <c r="C811" s="191" t="s">
        <v>2376</v>
      </c>
      <c r="D811" s="248">
        <v>178.70819399999999</v>
      </c>
      <c r="F811" s="266">
        <f t="shared" si="12"/>
        <v>178.70819399999999</v>
      </c>
    </row>
    <row r="812" spans="1:8" ht="21" x14ac:dyDescent="0.25">
      <c r="A812" s="184" t="s">
        <v>94</v>
      </c>
      <c r="B812" s="184" t="s">
        <v>2907</v>
      </c>
      <c r="C812" s="191" t="s">
        <v>2376</v>
      </c>
      <c r="D812" s="248">
        <v>223.87739359999995</v>
      </c>
      <c r="F812" s="266">
        <f t="shared" si="12"/>
        <v>223.87739359999995</v>
      </c>
      <c r="H812" s="244"/>
    </row>
    <row r="813" spans="1:8" ht="21" x14ac:dyDescent="0.25">
      <c r="A813" s="184" t="s">
        <v>1492</v>
      </c>
      <c r="B813" s="184" t="s">
        <v>1665</v>
      </c>
      <c r="C813" s="191" t="s">
        <v>2265</v>
      </c>
      <c r="D813" s="248">
        <v>1911.4513096000003</v>
      </c>
      <c r="F813" s="266">
        <f t="shared" si="12"/>
        <v>1911.4513096000003</v>
      </c>
      <c r="G813" s="244"/>
    </row>
    <row r="814" spans="1:8" ht="21" x14ac:dyDescent="0.25">
      <c r="A814" s="184" t="s">
        <v>2587</v>
      </c>
      <c r="B814" s="184" t="s">
        <v>1666</v>
      </c>
      <c r="C814" s="191" t="s">
        <v>2265</v>
      </c>
      <c r="D814" s="248">
        <v>8290.6894560000001</v>
      </c>
      <c r="F814" s="266">
        <f t="shared" si="12"/>
        <v>8290.6894560000001</v>
      </c>
    </row>
    <row r="815" spans="1:8" x14ac:dyDescent="0.25">
      <c r="B815" s="106" t="s">
        <v>3189</v>
      </c>
      <c r="C815" s="120" t="s">
        <v>2734</v>
      </c>
      <c r="D815" s="248">
        <v>1125</v>
      </c>
      <c r="F815" s="266">
        <f t="shared" si="12"/>
        <v>1125</v>
      </c>
    </row>
    <row r="816" spans="1:8" x14ac:dyDescent="0.25">
      <c r="B816" s="106" t="s">
        <v>3189</v>
      </c>
      <c r="C816" s="120" t="s">
        <v>2734</v>
      </c>
      <c r="D816" s="120">
        <v>1125</v>
      </c>
      <c r="F816" s="266">
        <f t="shared" si="12"/>
        <v>1125</v>
      </c>
      <c r="H816" s="244"/>
    </row>
    <row r="817" spans="1:8" x14ac:dyDescent="0.25">
      <c r="B817" s="106" t="s">
        <v>3211</v>
      </c>
      <c r="C817" s="120" t="s">
        <v>2734</v>
      </c>
      <c r="D817" s="248">
        <v>2300</v>
      </c>
      <c r="F817" s="266">
        <f t="shared" si="12"/>
        <v>2300</v>
      </c>
      <c r="G817" s="244"/>
    </row>
    <row r="818" spans="1:8" x14ac:dyDescent="0.25">
      <c r="B818" s="106" t="s">
        <v>3211</v>
      </c>
      <c r="C818" s="120" t="s">
        <v>2734</v>
      </c>
      <c r="D818" s="120">
        <v>2300</v>
      </c>
      <c r="F818" s="266">
        <f t="shared" si="12"/>
        <v>2300</v>
      </c>
    </row>
    <row r="819" spans="1:8" x14ac:dyDescent="0.25">
      <c r="B819" s="113" t="s">
        <v>706</v>
      </c>
      <c r="C819" s="120"/>
      <c r="D819" s="248">
        <v>0</v>
      </c>
      <c r="E819" s="47"/>
      <c r="F819" s="266">
        <f t="shared" si="12"/>
        <v>0</v>
      </c>
    </row>
    <row r="820" spans="1:8" x14ac:dyDescent="0.25">
      <c r="B820" s="155" t="s">
        <v>869</v>
      </c>
      <c r="C820" s="153" t="s">
        <v>2734</v>
      </c>
      <c r="F820" s="266">
        <f t="shared" si="12"/>
        <v>0</v>
      </c>
      <c r="H820" s="244"/>
    </row>
    <row r="821" spans="1:8" x14ac:dyDescent="0.25">
      <c r="A821" s="249"/>
      <c r="B821" s="250" t="s">
        <v>3122</v>
      </c>
      <c r="C821" s="251" t="s">
        <v>2734</v>
      </c>
      <c r="D821" s="251">
        <v>0.8</v>
      </c>
      <c r="E821" s="252"/>
      <c r="F821" s="266">
        <f t="shared" si="12"/>
        <v>0.8</v>
      </c>
      <c r="G821" s="244"/>
    </row>
    <row r="822" spans="1:8" x14ac:dyDescent="0.25">
      <c r="B822" s="106" t="s">
        <v>3122</v>
      </c>
      <c r="C822" s="120" t="s">
        <v>2734</v>
      </c>
      <c r="D822" s="120">
        <v>0.8</v>
      </c>
      <c r="F822" s="266">
        <f t="shared" si="12"/>
        <v>0.8</v>
      </c>
    </row>
    <row r="823" spans="1:8" x14ac:dyDescent="0.25">
      <c r="B823" s="106" t="s">
        <v>3121</v>
      </c>
      <c r="C823" s="120" t="s">
        <v>2734</v>
      </c>
      <c r="D823" s="248">
        <v>1.2</v>
      </c>
      <c r="F823" s="266">
        <f t="shared" si="12"/>
        <v>1.2</v>
      </c>
    </row>
    <row r="824" spans="1:8" x14ac:dyDescent="0.25">
      <c r="A824" s="249"/>
      <c r="B824" s="250" t="s">
        <v>3121</v>
      </c>
      <c r="C824" s="251" t="s">
        <v>2734</v>
      </c>
      <c r="D824" s="251">
        <v>1.2</v>
      </c>
      <c r="E824" s="252"/>
      <c r="F824" s="266">
        <f t="shared" si="12"/>
        <v>1.2</v>
      </c>
      <c r="H824" s="244"/>
    </row>
    <row r="825" spans="1:8" x14ac:dyDescent="0.25">
      <c r="B825" s="106" t="s">
        <v>3121</v>
      </c>
      <c r="C825" s="120" t="s">
        <v>2734</v>
      </c>
      <c r="D825" s="120">
        <v>1.2</v>
      </c>
      <c r="F825" s="266">
        <f t="shared" si="12"/>
        <v>1.2</v>
      </c>
      <c r="G825" s="244"/>
    </row>
    <row r="826" spans="1:8" x14ac:dyDescent="0.25">
      <c r="B826" s="159" t="s">
        <v>871</v>
      </c>
      <c r="C826" s="153" t="s">
        <v>2734</v>
      </c>
      <c r="F826" s="266">
        <f t="shared" si="12"/>
        <v>0</v>
      </c>
    </row>
    <row r="827" spans="1:8" x14ac:dyDescent="0.25">
      <c r="B827" s="159" t="s">
        <v>870</v>
      </c>
      <c r="C827" s="120"/>
      <c r="D827" s="248">
        <v>0</v>
      </c>
      <c r="E827" s="47"/>
      <c r="F827" s="266">
        <f t="shared" si="12"/>
        <v>0</v>
      </c>
    </row>
    <row r="828" spans="1:8" x14ac:dyDescent="0.25">
      <c r="B828" s="106" t="s">
        <v>3068</v>
      </c>
      <c r="C828" s="120" t="s">
        <v>2734</v>
      </c>
      <c r="D828" s="248">
        <v>1</v>
      </c>
      <c r="F828" s="266">
        <f t="shared" si="12"/>
        <v>1</v>
      </c>
    </row>
    <row r="829" spans="1:8" x14ac:dyDescent="0.25">
      <c r="B829" s="106" t="s">
        <v>3068</v>
      </c>
      <c r="C829" s="120" t="s">
        <v>2734</v>
      </c>
      <c r="D829" s="120">
        <v>1</v>
      </c>
      <c r="F829" s="266">
        <f t="shared" si="12"/>
        <v>1</v>
      </c>
    </row>
    <row r="830" spans="1:8" x14ac:dyDescent="0.25">
      <c r="B830" s="155" t="s">
        <v>887</v>
      </c>
      <c r="F830" s="266">
        <f t="shared" si="12"/>
        <v>0</v>
      </c>
    </row>
    <row r="831" spans="1:8" x14ac:dyDescent="0.25">
      <c r="B831" s="155" t="s">
        <v>867</v>
      </c>
      <c r="C831" s="120"/>
      <c r="D831" s="248">
        <v>0</v>
      </c>
      <c r="E831" s="47"/>
      <c r="F831" s="266">
        <f t="shared" si="12"/>
        <v>0</v>
      </c>
    </row>
    <row r="832" spans="1:8" x14ac:dyDescent="0.25">
      <c r="B832" s="155" t="s">
        <v>868</v>
      </c>
      <c r="C832" s="153" t="s">
        <v>2734</v>
      </c>
      <c r="D832" s="248">
        <v>0.91</v>
      </c>
      <c r="F832" s="266">
        <f t="shared" si="12"/>
        <v>0.91</v>
      </c>
    </row>
    <row r="833" spans="2:8" x14ac:dyDescent="0.25">
      <c r="B833" s="155" t="s">
        <v>886</v>
      </c>
      <c r="C833" s="120"/>
      <c r="D833" s="248">
        <v>0</v>
      </c>
      <c r="E833" s="47"/>
      <c r="F833" s="266">
        <f t="shared" si="12"/>
        <v>0</v>
      </c>
    </row>
    <row r="834" spans="2:8" x14ac:dyDescent="0.25">
      <c r="B834" s="159" t="s">
        <v>864</v>
      </c>
      <c r="C834" s="153" t="s">
        <v>2734</v>
      </c>
      <c r="D834" s="248">
        <v>0.16</v>
      </c>
      <c r="F834" s="266">
        <f t="shared" si="12"/>
        <v>0.16</v>
      </c>
    </row>
    <row r="835" spans="2:8" x14ac:dyDescent="0.25">
      <c r="B835" s="155" t="s">
        <v>889</v>
      </c>
      <c r="C835" s="47"/>
      <c r="D835" s="248">
        <v>0</v>
      </c>
      <c r="E835" s="47"/>
      <c r="F835" s="266">
        <f t="shared" si="12"/>
        <v>0</v>
      </c>
    </row>
    <row r="836" spans="2:8" x14ac:dyDescent="0.25">
      <c r="B836" s="159" t="s">
        <v>866</v>
      </c>
      <c r="C836" s="153" t="s">
        <v>2734</v>
      </c>
      <c r="D836" s="248">
        <v>0.16</v>
      </c>
      <c r="F836" s="266">
        <f t="shared" si="12"/>
        <v>0.16</v>
      </c>
      <c r="H836" s="244"/>
    </row>
    <row r="837" spans="2:8" x14ac:dyDescent="0.25">
      <c r="B837" s="155" t="s">
        <v>872</v>
      </c>
      <c r="C837" s="47"/>
      <c r="D837" s="248">
        <v>0</v>
      </c>
      <c r="E837" s="47"/>
      <c r="F837" s="266">
        <f t="shared" si="12"/>
        <v>0</v>
      </c>
      <c r="G837" s="244"/>
    </row>
    <row r="838" spans="2:8" x14ac:dyDescent="0.25">
      <c r="B838" s="155" t="s">
        <v>873</v>
      </c>
      <c r="C838" s="153" t="s">
        <v>2734</v>
      </c>
      <c r="D838" s="248">
        <v>0.7</v>
      </c>
      <c r="F838" s="266">
        <f t="shared" si="12"/>
        <v>0.7</v>
      </c>
    </row>
    <row r="839" spans="2:8" x14ac:dyDescent="0.25">
      <c r="B839" s="155" t="s">
        <v>874</v>
      </c>
      <c r="C839" s="47"/>
      <c r="D839" s="248">
        <v>0</v>
      </c>
      <c r="E839" s="47"/>
      <c r="F839" s="266">
        <f t="shared" si="12"/>
        <v>0</v>
      </c>
    </row>
    <row r="840" spans="2:8" x14ac:dyDescent="0.25">
      <c r="B840" s="155" t="s">
        <v>865</v>
      </c>
      <c r="C840" s="153" t="s">
        <v>2734</v>
      </c>
      <c r="F840" s="266">
        <f t="shared" si="12"/>
        <v>0</v>
      </c>
      <c r="H840" s="244"/>
    </row>
    <row r="841" spans="2:8" x14ac:dyDescent="0.25">
      <c r="B841" s="159" t="s">
        <v>875</v>
      </c>
      <c r="C841" s="153" t="s">
        <v>2734</v>
      </c>
      <c r="D841" s="248">
        <v>2.2000000000000002</v>
      </c>
      <c r="F841" s="266">
        <f t="shared" si="12"/>
        <v>2.2000000000000002</v>
      </c>
      <c r="G841" s="244"/>
    </row>
    <row r="842" spans="2:8" x14ac:dyDescent="0.25">
      <c r="B842" s="159" t="s">
        <v>877</v>
      </c>
      <c r="C842" s="153" t="s">
        <v>2734</v>
      </c>
      <c r="D842" s="248">
        <v>0.7</v>
      </c>
      <c r="F842" s="266">
        <f t="shared" si="12"/>
        <v>0.7</v>
      </c>
    </row>
    <row r="843" spans="2:8" x14ac:dyDescent="0.25">
      <c r="B843" s="155" t="s">
        <v>876</v>
      </c>
      <c r="C843" s="156" t="s">
        <v>2734</v>
      </c>
      <c r="D843" s="248">
        <v>0.7</v>
      </c>
      <c r="E843" s="151"/>
      <c r="F843" s="266">
        <f t="shared" si="12"/>
        <v>0.7</v>
      </c>
      <c r="H843" s="244"/>
    </row>
    <row r="844" spans="2:8" x14ac:dyDescent="0.25">
      <c r="B844" s="155" t="s">
        <v>876</v>
      </c>
      <c r="C844" s="47"/>
      <c r="D844" s="248">
        <v>0</v>
      </c>
      <c r="E844" s="47"/>
      <c r="F844" s="266">
        <f t="shared" ref="F844:F907" si="13">IF(E844&gt;0,E844,D844)</f>
        <v>0</v>
      </c>
      <c r="G844" s="244"/>
    </row>
    <row r="845" spans="2:8" x14ac:dyDescent="0.25">
      <c r="B845" s="155" t="s">
        <v>888</v>
      </c>
      <c r="F845" s="266">
        <f t="shared" si="13"/>
        <v>0</v>
      </c>
    </row>
    <row r="846" spans="2:8" x14ac:dyDescent="0.25">
      <c r="B846" s="155" t="s">
        <v>888</v>
      </c>
      <c r="C846" s="47"/>
      <c r="D846" s="248">
        <v>0</v>
      </c>
      <c r="E846" s="47"/>
      <c r="F846" s="266">
        <f t="shared" si="13"/>
        <v>0</v>
      </c>
    </row>
    <row r="847" spans="2:8" x14ac:dyDescent="0.25">
      <c r="B847" s="155" t="s">
        <v>890</v>
      </c>
      <c r="F847" s="266">
        <f t="shared" si="13"/>
        <v>0</v>
      </c>
    </row>
    <row r="848" spans="2:8" x14ac:dyDescent="0.25">
      <c r="B848" s="155" t="s">
        <v>890</v>
      </c>
      <c r="C848" s="120"/>
      <c r="D848" s="248">
        <v>0</v>
      </c>
      <c r="E848" s="47"/>
      <c r="F848" s="266">
        <f t="shared" si="13"/>
        <v>0</v>
      </c>
    </row>
    <row r="849" spans="2:8" x14ac:dyDescent="0.25">
      <c r="B849" s="155" t="s">
        <v>885</v>
      </c>
      <c r="F849" s="266">
        <f t="shared" si="13"/>
        <v>0</v>
      </c>
    </row>
    <row r="850" spans="2:8" x14ac:dyDescent="0.25">
      <c r="B850" s="155" t="s">
        <v>885</v>
      </c>
      <c r="C850" s="120"/>
      <c r="D850" s="248">
        <v>0</v>
      </c>
      <c r="E850" s="47"/>
      <c r="F850" s="266">
        <f t="shared" si="13"/>
        <v>0</v>
      </c>
      <c r="H850" s="244"/>
    </row>
    <row r="851" spans="2:8" x14ac:dyDescent="0.25">
      <c r="B851" s="106" t="s">
        <v>1738</v>
      </c>
      <c r="C851" s="241" t="s">
        <v>2734</v>
      </c>
      <c r="D851" s="248">
        <v>13.3</v>
      </c>
      <c r="E851" s="241"/>
      <c r="F851" s="266">
        <f t="shared" si="13"/>
        <v>13.3</v>
      </c>
      <c r="G851" s="244"/>
    </row>
    <row r="852" spans="2:8" x14ac:dyDescent="0.25">
      <c r="B852" s="106" t="s">
        <v>1738</v>
      </c>
      <c r="C852" s="47"/>
      <c r="D852" s="248">
        <v>0</v>
      </c>
      <c r="E852" s="47"/>
      <c r="F852" s="266">
        <f t="shared" si="13"/>
        <v>0</v>
      </c>
    </row>
    <row r="853" spans="2:8" x14ac:dyDescent="0.25">
      <c r="B853" s="79" t="s">
        <v>752</v>
      </c>
      <c r="C853" s="56" t="s">
        <v>735</v>
      </c>
      <c r="D853" s="110">
        <v>4.6500000000000004</v>
      </c>
      <c r="F853" s="266">
        <f t="shared" si="13"/>
        <v>4.6500000000000004</v>
      </c>
    </row>
    <row r="854" spans="2:8" ht="22.8" x14ac:dyDescent="0.25">
      <c r="B854" s="106" t="s">
        <v>2386</v>
      </c>
      <c r="C854" s="47"/>
      <c r="D854" s="248">
        <v>0</v>
      </c>
      <c r="E854" s="47"/>
      <c r="F854" s="266">
        <f t="shared" si="13"/>
        <v>0</v>
      </c>
    </row>
    <row r="855" spans="2:8" ht="22.8" x14ac:dyDescent="0.25">
      <c r="B855" s="130" t="s">
        <v>2387</v>
      </c>
      <c r="C855" s="47"/>
      <c r="D855" s="248">
        <v>0</v>
      </c>
      <c r="E855" s="47"/>
      <c r="F855" s="266">
        <f t="shared" si="13"/>
        <v>0</v>
      </c>
    </row>
    <row r="856" spans="2:8" ht="23.4" x14ac:dyDescent="0.25">
      <c r="B856" s="108" t="s">
        <v>2388</v>
      </c>
      <c r="C856" s="47"/>
      <c r="D856" s="248">
        <v>0</v>
      </c>
      <c r="E856" s="47"/>
      <c r="F856" s="266">
        <f t="shared" si="13"/>
        <v>0</v>
      </c>
    </row>
    <row r="857" spans="2:8" x14ac:dyDescent="0.25">
      <c r="B857" s="108" t="s">
        <v>2389</v>
      </c>
      <c r="C857" s="120"/>
      <c r="D857" s="248">
        <v>0</v>
      </c>
      <c r="E857" s="47"/>
      <c r="F857" s="266">
        <f t="shared" si="13"/>
        <v>0</v>
      </c>
    </row>
    <row r="858" spans="2:8" x14ac:dyDescent="0.25">
      <c r="B858" s="108" t="s">
        <v>2390</v>
      </c>
      <c r="C858" s="47"/>
      <c r="D858" s="248">
        <v>0</v>
      </c>
      <c r="E858" s="47"/>
      <c r="F858" s="266">
        <f t="shared" si="13"/>
        <v>0</v>
      </c>
    </row>
    <row r="859" spans="2:8" x14ac:dyDescent="0.25">
      <c r="B859" s="108" t="s">
        <v>2391</v>
      </c>
      <c r="C859" s="47"/>
      <c r="D859" s="248">
        <v>0</v>
      </c>
      <c r="E859" s="47"/>
      <c r="F859" s="266">
        <f t="shared" si="13"/>
        <v>0</v>
      </c>
    </row>
    <row r="860" spans="2:8" ht="23.4" x14ac:dyDescent="0.25">
      <c r="B860" s="108" t="s">
        <v>2392</v>
      </c>
      <c r="C860" s="47"/>
      <c r="D860" s="248">
        <v>0</v>
      </c>
      <c r="E860" s="47"/>
      <c r="F860" s="266">
        <f t="shared" si="13"/>
        <v>0</v>
      </c>
    </row>
    <row r="861" spans="2:8" ht="23.4" x14ac:dyDescent="0.25">
      <c r="B861" s="108" t="s">
        <v>2826</v>
      </c>
      <c r="C861" s="47"/>
      <c r="D861" s="248">
        <v>0</v>
      </c>
      <c r="E861" s="47"/>
      <c r="F861" s="266">
        <f t="shared" si="13"/>
        <v>0</v>
      </c>
    </row>
    <row r="862" spans="2:8" ht="23.4" x14ac:dyDescent="0.25">
      <c r="B862" s="108" t="s">
        <v>692</v>
      </c>
      <c r="C862" s="47"/>
      <c r="D862" s="248">
        <v>0</v>
      </c>
      <c r="E862" s="47"/>
      <c r="F862" s="266">
        <f t="shared" si="13"/>
        <v>0</v>
      </c>
    </row>
    <row r="863" spans="2:8" x14ac:dyDescent="0.25">
      <c r="B863" s="100" t="s">
        <v>693</v>
      </c>
      <c r="C863" s="47"/>
      <c r="D863" s="248">
        <v>0</v>
      </c>
      <c r="E863" s="47"/>
      <c r="F863" s="266">
        <f t="shared" si="13"/>
        <v>0</v>
      </c>
    </row>
    <row r="864" spans="2:8" x14ac:dyDescent="0.25">
      <c r="B864" s="130" t="s">
        <v>661</v>
      </c>
      <c r="C864" s="47"/>
      <c r="D864" s="248">
        <v>0</v>
      </c>
      <c r="E864" s="47"/>
      <c r="F864" s="266">
        <f t="shared" si="13"/>
        <v>0</v>
      </c>
    </row>
    <row r="865" spans="2:6" x14ac:dyDescent="0.25">
      <c r="B865" s="130" t="s">
        <v>658</v>
      </c>
      <c r="C865" s="47"/>
      <c r="D865" s="248">
        <v>0</v>
      </c>
      <c r="E865" s="47"/>
      <c r="F865" s="266">
        <f t="shared" si="13"/>
        <v>0</v>
      </c>
    </row>
    <row r="866" spans="2:6" x14ac:dyDescent="0.25">
      <c r="B866" s="130" t="s">
        <v>653</v>
      </c>
      <c r="C866" s="47"/>
      <c r="D866" s="248">
        <v>0</v>
      </c>
      <c r="E866" s="47"/>
      <c r="F866" s="266">
        <f t="shared" si="13"/>
        <v>0</v>
      </c>
    </row>
    <row r="867" spans="2:6" x14ac:dyDescent="0.25">
      <c r="B867" s="130" t="s">
        <v>1593</v>
      </c>
      <c r="C867" s="47"/>
      <c r="D867" s="248">
        <v>0</v>
      </c>
      <c r="E867" s="47"/>
      <c r="F867" s="266">
        <f t="shared" si="13"/>
        <v>0</v>
      </c>
    </row>
    <row r="868" spans="2:6" x14ac:dyDescent="0.25">
      <c r="B868" s="130" t="s">
        <v>1594</v>
      </c>
      <c r="C868" s="47"/>
      <c r="D868" s="248">
        <v>0</v>
      </c>
      <c r="E868" s="47"/>
      <c r="F868" s="266">
        <f t="shared" si="13"/>
        <v>0</v>
      </c>
    </row>
    <row r="869" spans="2:6" ht="22.8" x14ac:dyDescent="0.25">
      <c r="B869" s="130" t="s">
        <v>1595</v>
      </c>
      <c r="C869" s="47"/>
      <c r="D869" s="248">
        <v>0</v>
      </c>
      <c r="E869" s="47"/>
      <c r="F869" s="266">
        <f t="shared" si="13"/>
        <v>0</v>
      </c>
    </row>
    <row r="870" spans="2:6" ht="22.8" x14ac:dyDescent="0.25">
      <c r="B870" s="130" t="s">
        <v>1596</v>
      </c>
      <c r="C870" s="47"/>
      <c r="D870" s="248">
        <v>0</v>
      </c>
      <c r="E870" s="47"/>
      <c r="F870" s="266">
        <f t="shared" si="13"/>
        <v>0</v>
      </c>
    </row>
    <row r="871" spans="2:6" ht="22.8" x14ac:dyDescent="0.25">
      <c r="B871" s="130" t="s">
        <v>180</v>
      </c>
      <c r="C871" s="47"/>
      <c r="D871" s="248">
        <v>0</v>
      </c>
      <c r="E871" s="47"/>
      <c r="F871" s="266">
        <f t="shared" si="13"/>
        <v>0</v>
      </c>
    </row>
    <row r="872" spans="2:6" ht="22.8" x14ac:dyDescent="0.25">
      <c r="B872" s="130" t="s">
        <v>238</v>
      </c>
      <c r="C872" s="47"/>
      <c r="D872" s="248">
        <v>0</v>
      </c>
      <c r="E872" s="47"/>
      <c r="F872" s="266">
        <f t="shared" si="13"/>
        <v>0</v>
      </c>
    </row>
    <row r="873" spans="2:6" ht="22.8" x14ac:dyDescent="0.25">
      <c r="B873" s="130" t="s">
        <v>239</v>
      </c>
      <c r="C873" s="47"/>
      <c r="D873" s="248">
        <v>0</v>
      </c>
      <c r="E873" s="47"/>
      <c r="F873" s="266">
        <f t="shared" si="13"/>
        <v>0</v>
      </c>
    </row>
    <row r="874" spans="2:6" ht="22.8" x14ac:dyDescent="0.25">
      <c r="B874" s="130" t="s">
        <v>240</v>
      </c>
      <c r="C874" s="47"/>
      <c r="D874" s="248">
        <v>0</v>
      </c>
      <c r="E874" s="47"/>
      <c r="F874" s="266">
        <f t="shared" si="13"/>
        <v>0</v>
      </c>
    </row>
    <row r="875" spans="2:6" x14ac:dyDescent="0.25">
      <c r="B875" s="108" t="s">
        <v>1043</v>
      </c>
      <c r="C875" s="47"/>
      <c r="D875" s="248">
        <v>0</v>
      </c>
      <c r="E875" s="47"/>
      <c r="F875" s="266">
        <f t="shared" si="13"/>
        <v>0</v>
      </c>
    </row>
    <row r="876" spans="2:6" x14ac:dyDescent="0.25">
      <c r="B876" s="108" t="s">
        <v>1044</v>
      </c>
      <c r="C876" s="47"/>
      <c r="D876" s="248">
        <v>0</v>
      </c>
      <c r="E876" s="47"/>
      <c r="F876" s="266">
        <f t="shared" si="13"/>
        <v>0</v>
      </c>
    </row>
    <row r="877" spans="2:6" x14ac:dyDescent="0.25">
      <c r="B877" s="108" t="s">
        <v>1045</v>
      </c>
      <c r="C877" s="47"/>
      <c r="D877" s="248">
        <v>0</v>
      </c>
      <c r="E877" s="47"/>
      <c r="F877" s="266">
        <f t="shared" si="13"/>
        <v>0</v>
      </c>
    </row>
    <row r="878" spans="2:6" x14ac:dyDescent="0.25">
      <c r="B878" s="108" t="s">
        <v>578</v>
      </c>
      <c r="C878" s="47"/>
      <c r="D878" s="248">
        <v>0</v>
      </c>
      <c r="E878" s="47"/>
      <c r="F878" s="266">
        <f t="shared" si="13"/>
        <v>0</v>
      </c>
    </row>
    <row r="879" spans="2:6" x14ac:dyDescent="0.25">
      <c r="B879" s="108" t="s">
        <v>576</v>
      </c>
      <c r="C879" s="47"/>
      <c r="D879" s="248">
        <v>0</v>
      </c>
      <c r="E879" s="47"/>
      <c r="F879" s="266">
        <f t="shared" si="13"/>
        <v>0</v>
      </c>
    </row>
    <row r="880" spans="2:6" x14ac:dyDescent="0.25">
      <c r="B880" s="108" t="s">
        <v>577</v>
      </c>
      <c r="C880" s="47"/>
      <c r="D880" s="248">
        <v>0</v>
      </c>
      <c r="E880" s="47"/>
      <c r="F880" s="266">
        <f t="shared" si="13"/>
        <v>0</v>
      </c>
    </row>
    <row r="881" spans="2:6" x14ac:dyDescent="0.25">
      <c r="B881" s="108" t="s">
        <v>579</v>
      </c>
      <c r="C881" s="47"/>
      <c r="D881" s="248">
        <v>0</v>
      </c>
      <c r="E881" s="47"/>
      <c r="F881" s="266">
        <f t="shared" si="13"/>
        <v>0</v>
      </c>
    </row>
    <row r="882" spans="2:6" x14ac:dyDescent="0.25">
      <c r="B882" s="108" t="s">
        <v>1046</v>
      </c>
      <c r="C882" s="47"/>
      <c r="D882" s="248">
        <v>0</v>
      </c>
      <c r="E882" s="47"/>
      <c r="F882" s="266">
        <f t="shared" si="13"/>
        <v>0</v>
      </c>
    </row>
    <row r="883" spans="2:6" x14ac:dyDescent="0.25">
      <c r="B883" s="106" t="s">
        <v>911</v>
      </c>
      <c r="C883" s="47"/>
      <c r="D883" s="248">
        <v>0</v>
      </c>
      <c r="E883" s="47"/>
      <c r="F883" s="266">
        <f t="shared" si="13"/>
        <v>0</v>
      </c>
    </row>
    <row r="884" spans="2:6" x14ac:dyDescent="0.25">
      <c r="B884" s="106" t="s">
        <v>663</v>
      </c>
      <c r="C884" s="47"/>
      <c r="D884" s="248">
        <v>0</v>
      </c>
      <c r="E884" s="47"/>
      <c r="F884" s="266">
        <f t="shared" si="13"/>
        <v>0</v>
      </c>
    </row>
    <row r="885" spans="2:6" x14ac:dyDescent="0.25">
      <c r="B885" s="106" t="s">
        <v>1523</v>
      </c>
      <c r="C885" s="47"/>
      <c r="D885" s="248">
        <v>0</v>
      </c>
      <c r="E885" s="47"/>
      <c r="F885" s="266">
        <f t="shared" si="13"/>
        <v>0</v>
      </c>
    </row>
    <row r="886" spans="2:6" x14ac:dyDescent="0.25">
      <c r="B886" s="106" t="s">
        <v>1658</v>
      </c>
      <c r="C886" s="120"/>
      <c r="D886" s="248">
        <v>0</v>
      </c>
      <c r="E886" s="47"/>
      <c r="F886" s="266">
        <f t="shared" si="13"/>
        <v>0</v>
      </c>
    </row>
    <row r="887" spans="2:6" x14ac:dyDescent="0.25">
      <c r="B887" s="106" t="s">
        <v>1524</v>
      </c>
      <c r="C887" s="101">
        <v>0</v>
      </c>
      <c r="D887" s="101">
        <v>0</v>
      </c>
      <c r="F887" s="266">
        <f t="shared" si="13"/>
        <v>0</v>
      </c>
    </row>
    <row r="888" spans="2:6" x14ac:dyDescent="0.25">
      <c r="B888" s="106" t="s">
        <v>1525</v>
      </c>
      <c r="C888" s="120"/>
      <c r="D888" s="248">
        <v>0</v>
      </c>
      <c r="E888" s="47"/>
      <c r="F888" s="266">
        <f t="shared" si="13"/>
        <v>0</v>
      </c>
    </row>
    <row r="889" spans="2:6" x14ac:dyDescent="0.25">
      <c r="B889" s="106" t="s">
        <v>1409</v>
      </c>
      <c r="C889" s="120"/>
      <c r="D889" s="248">
        <v>0</v>
      </c>
      <c r="E889" s="47"/>
      <c r="F889" s="266">
        <f t="shared" si="13"/>
        <v>0</v>
      </c>
    </row>
    <row r="890" spans="2:6" x14ac:dyDescent="0.25">
      <c r="B890" s="113" t="s">
        <v>3101</v>
      </c>
      <c r="C890" s="123" t="s">
        <v>516</v>
      </c>
      <c r="D890" s="248">
        <v>20</v>
      </c>
      <c r="F890" s="266">
        <f t="shared" si="13"/>
        <v>20</v>
      </c>
    </row>
    <row r="891" spans="2:6" ht="22.8" x14ac:dyDescent="0.25">
      <c r="B891" s="106" t="s">
        <v>1413</v>
      </c>
      <c r="C891" s="120"/>
      <c r="D891" s="248">
        <v>0</v>
      </c>
      <c r="E891" s="47"/>
      <c r="F891" s="266">
        <f t="shared" si="13"/>
        <v>0</v>
      </c>
    </row>
    <row r="892" spans="2:6" ht="22.8" x14ac:dyDescent="0.25">
      <c r="B892" s="192" t="s">
        <v>230</v>
      </c>
      <c r="C892" s="241"/>
      <c r="E892" s="241"/>
      <c r="F892" s="266">
        <f t="shared" si="13"/>
        <v>0</v>
      </c>
    </row>
    <row r="893" spans="2:6" ht="22.8" x14ac:dyDescent="0.25">
      <c r="B893" s="192" t="s">
        <v>230</v>
      </c>
      <c r="C893" s="120"/>
      <c r="D893" s="248">
        <v>0</v>
      </c>
      <c r="E893" s="47"/>
      <c r="F893" s="266">
        <f t="shared" si="13"/>
        <v>0</v>
      </c>
    </row>
    <row r="894" spans="2:6" x14ac:dyDescent="0.25">
      <c r="B894" s="192" t="s">
        <v>1414</v>
      </c>
      <c r="C894" s="120"/>
      <c r="D894" s="248">
        <v>0</v>
      </c>
      <c r="E894" s="47"/>
      <c r="F894" s="266">
        <f t="shared" si="13"/>
        <v>0</v>
      </c>
    </row>
    <row r="895" spans="2:6" ht="22.8" x14ac:dyDescent="0.25">
      <c r="B895" s="113" t="s">
        <v>3311</v>
      </c>
      <c r="C895" s="123" t="s">
        <v>516</v>
      </c>
      <c r="D895" s="123">
        <v>35</v>
      </c>
      <c r="F895" s="266">
        <f t="shared" si="13"/>
        <v>35</v>
      </c>
    </row>
    <row r="896" spans="2:6" ht="22.8" x14ac:dyDescent="0.25">
      <c r="B896" s="192" t="s">
        <v>1412</v>
      </c>
      <c r="C896" s="241" t="s">
        <v>2834</v>
      </c>
      <c r="E896" s="241"/>
      <c r="F896" s="266">
        <f t="shared" si="13"/>
        <v>0</v>
      </c>
    </row>
    <row r="897" spans="2:6" ht="22.8" x14ac:dyDescent="0.25">
      <c r="B897" s="192" t="s">
        <v>1411</v>
      </c>
      <c r="C897" s="120"/>
      <c r="D897" s="248">
        <v>0</v>
      </c>
      <c r="E897" s="47"/>
      <c r="F897" s="266">
        <f t="shared" si="13"/>
        <v>0</v>
      </c>
    </row>
    <row r="898" spans="2:6" x14ac:dyDescent="0.25">
      <c r="B898" s="106" t="s">
        <v>2136</v>
      </c>
      <c r="C898" s="120"/>
      <c r="D898" s="248">
        <v>0</v>
      </c>
      <c r="E898" s="47"/>
      <c r="F898" s="266">
        <f t="shared" si="13"/>
        <v>0</v>
      </c>
    </row>
    <row r="899" spans="2:6" x14ac:dyDescent="0.25">
      <c r="B899" s="159" t="s">
        <v>1362</v>
      </c>
      <c r="C899" s="153" t="s">
        <v>1363</v>
      </c>
      <c r="D899" s="248">
        <v>170.71</v>
      </c>
      <c r="F899" s="266">
        <f t="shared" si="13"/>
        <v>170.71</v>
      </c>
    </row>
    <row r="900" spans="2:6" x14ac:dyDescent="0.25">
      <c r="B900" s="113" t="s">
        <v>2661</v>
      </c>
      <c r="C900" s="120"/>
      <c r="D900" s="248">
        <v>0</v>
      </c>
      <c r="E900" s="47"/>
      <c r="F900" s="266">
        <f t="shared" si="13"/>
        <v>0</v>
      </c>
    </row>
    <row r="901" spans="2:6" x14ac:dyDescent="0.25">
      <c r="B901" s="205" t="s">
        <v>2952</v>
      </c>
      <c r="C901" s="206" t="s">
        <v>2953</v>
      </c>
      <c r="D901" s="208">
        <v>0.2</v>
      </c>
      <c r="F901" s="266">
        <f t="shared" si="13"/>
        <v>0.2</v>
      </c>
    </row>
    <row r="902" spans="2:6" x14ac:dyDescent="0.25">
      <c r="B902" s="96" t="s">
        <v>2908</v>
      </c>
      <c r="C902" s="120"/>
      <c r="D902" s="248">
        <v>0</v>
      </c>
      <c r="E902" s="47"/>
      <c r="F902" s="266">
        <f t="shared" si="13"/>
        <v>0</v>
      </c>
    </row>
    <row r="903" spans="2:6" x14ac:dyDescent="0.25">
      <c r="B903" s="96" t="s">
        <v>2908</v>
      </c>
      <c r="C903" s="101" t="s">
        <v>2016</v>
      </c>
      <c r="D903" s="101">
        <v>1.4999999999999999E-2</v>
      </c>
      <c r="F903" s="266">
        <f t="shared" si="13"/>
        <v>1.4999999999999999E-2</v>
      </c>
    </row>
    <row r="904" spans="2:6" x14ac:dyDescent="0.25">
      <c r="B904" s="205" t="s">
        <v>2954</v>
      </c>
      <c r="C904" s="206" t="s">
        <v>2577</v>
      </c>
      <c r="D904" s="207">
        <v>0.03</v>
      </c>
      <c r="F904" s="266">
        <f t="shared" si="13"/>
        <v>0.03</v>
      </c>
    </row>
    <row r="905" spans="2:6" x14ac:dyDescent="0.25">
      <c r="B905" s="205" t="s">
        <v>2955</v>
      </c>
      <c r="C905" s="206" t="s">
        <v>195</v>
      </c>
      <c r="D905" s="207">
        <v>0.79</v>
      </c>
      <c r="F905" s="266">
        <f t="shared" si="13"/>
        <v>0.79</v>
      </c>
    </row>
    <row r="906" spans="2:6" x14ac:dyDescent="0.25">
      <c r="B906" s="205" t="s">
        <v>2956</v>
      </c>
      <c r="C906" s="206" t="s">
        <v>2577</v>
      </c>
      <c r="D906" s="208"/>
      <c r="F906" s="266">
        <f t="shared" si="13"/>
        <v>0</v>
      </c>
    </row>
    <row r="907" spans="2:6" x14ac:dyDescent="0.25">
      <c r="B907" s="106" t="s">
        <v>3382</v>
      </c>
      <c r="C907" s="257" t="s">
        <v>735</v>
      </c>
      <c r="D907" s="248">
        <v>1</v>
      </c>
      <c r="F907" s="267">
        <f t="shared" si="13"/>
        <v>1</v>
      </c>
    </row>
    <row r="908" spans="2:6" x14ac:dyDescent="0.25">
      <c r="B908" s="113" t="s">
        <v>2659</v>
      </c>
      <c r="C908" s="120"/>
      <c r="D908" s="248">
        <v>0</v>
      </c>
      <c r="E908" s="47"/>
      <c r="F908" s="266">
        <f t="shared" ref="F908:F970" si="14">IF(E908&gt;0,E908,D908)</f>
        <v>0</v>
      </c>
    </row>
    <row r="909" spans="2:6" x14ac:dyDescent="0.25">
      <c r="B909" s="106" t="s">
        <v>3165</v>
      </c>
      <c r="C909" s="120" t="s">
        <v>552</v>
      </c>
      <c r="D909" s="248">
        <v>3</v>
      </c>
      <c r="F909" s="266">
        <f t="shared" si="14"/>
        <v>3</v>
      </c>
    </row>
    <row r="910" spans="2:6" x14ac:dyDescent="0.25">
      <c r="B910" s="106" t="s">
        <v>3164</v>
      </c>
      <c r="C910" s="120" t="s">
        <v>516</v>
      </c>
      <c r="D910" s="120">
        <v>15</v>
      </c>
      <c r="F910" s="266">
        <f t="shared" si="14"/>
        <v>15</v>
      </c>
    </row>
    <row r="911" spans="2:6" x14ac:dyDescent="0.25">
      <c r="B911" s="93" t="s">
        <v>1526</v>
      </c>
      <c r="C911" s="120"/>
      <c r="D911" s="120"/>
      <c r="F911" s="266">
        <f t="shared" si="14"/>
        <v>0</v>
      </c>
    </row>
    <row r="912" spans="2:6" x14ac:dyDescent="0.25">
      <c r="B912" s="261" t="s">
        <v>3275</v>
      </c>
      <c r="C912" s="262" t="s">
        <v>2734</v>
      </c>
      <c r="D912" s="248">
        <v>10</v>
      </c>
      <c r="E912" s="151"/>
      <c r="F912" s="266">
        <f t="shared" si="14"/>
        <v>10</v>
      </c>
    </row>
    <row r="913" spans="1:8" x14ac:dyDescent="0.25">
      <c r="A913" s="249"/>
      <c r="B913" s="250" t="s">
        <v>3268</v>
      </c>
      <c r="C913" s="251" t="s">
        <v>2734</v>
      </c>
      <c r="D913" s="251">
        <v>26</v>
      </c>
      <c r="E913" s="252"/>
      <c r="F913" s="266">
        <f t="shared" si="14"/>
        <v>26</v>
      </c>
    </row>
    <row r="914" spans="1:8" x14ac:dyDescent="0.25">
      <c r="B914" s="93" t="s">
        <v>3267</v>
      </c>
      <c r="C914" s="257" t="s">
        <v>2734</v>
      </c>
      <c r="D914" s="248">
        <v>17</v>
      </c>
      <c r="F914" s="266">
        <f t="shared" si="14"/>
        <v>17</v>
      </c>
      <c r="H914" s="244"/>
    </row>
    <row r="915" spans="1:8" x14ac:dyDescent="0.25">
      <c r="B915" s="261" t="s">
        <v>3266</v>
      </c>
      <c r="C915" s="151" t="s">
        <v>2734</v>
      </c>
      <c r="D915" s="248">
        <v>10</v>
      </c>
      <c r="E915" s="151"/>
      <c r="F915" s="266">
        <f t="shared" si="14"/>
        <v>10</v>
      </c>
      <c r="G915" s="244"/>
    </row>
    <row r="916" spans="1:8" x14ac:dyDescent="0.25">
      <c r="B916" s="261" t="s">
        <v>3269</v>
      </c>
      <c r="C916" s="120" t="s">
        <v>2734</v>
      </c>
      <c r="D916" s="248">
        <v>25</v>
      </c>
      <c r="E916" s="47"/>
      <c r="F916" s="266">
        <f t="shared" si="14"/>
        <v>25</v>
      </c>
    </row>
    <row r="917" spans="1:8" x14ac:dyDescent="0.25">
      <c r="A917" s="184" t="s">
        <v>106</v>
      </c>
      <c r="B917" s="184" t="s">
        <v>1747</v>
      </c>
      <c r="C917" s="191" t="s">
        <v>2840</v>
      </c>
      <c r="D917" s="248">
        <v>13</v>
      </c>
      <c r="F917" s="266">
        <f t="shared" si="14"/>
        <v>13</v>
      </c>
    </row>
    <row r="918" spans="1:8" x14ac:dyDescent="0.25">
      <c r="B918" s="184" t="s">
        <v>1747</v>
      </c>
      <c r="C918" s="120"/>
      <c r="D918" s="248">
        <v>0</v>
      </c>
      <c r="E918" s="47"/>
      <c r="F918" s="266">
        <f t="shared" si="14"/>
        <v>0</v>
      </c>
    </row>
    <row r="919" spans="1:8" s="244" customFormat="1" x14ac:dyDescent="0.25">
      <c r="A919" s="47"/>
      <c r="B919" s="106" t="s">
        <v>2548</v>
      </c>
      <c r="C919" s="47"/>
      <c r="D919" s="248">
        <v>0</v>
      </c>
      <c r="E919" s="47"/>
      <c r="F919" s="266">
        <f t="shared" si="14"/>
        <v>0</v>
      </c>
      <c r="G919"/>
      <c r="H919"/>
    </row>
    <row r="920" spans="1:8" s="244" customFormat="1" x14ac:dyDescent="0.25">
      <c r="A920" s="47"/>
      <c r="B920" s="205" t="s">
        <v>2957</v>
      </c>
      <c r="C920" s="206" t="s">
        <v>2577</v>
      </c>
      <c r="D920" s="208">
        <v>0.36</v>
      </c>
      <c r="E920" s="188"/>
      <c r="F920" s="266">
        <f t="shared" si="14"/>
        <v>0.36</v>
      </c>
      <c r="G920"/>
      <c r="H920"/>
    </row>
    <row r="921" spans="1:8" s="244" customFormat="1" x14ac:dyDescent="0.25">
      <c r="A921" s="47"/>
      <c r="B921" s="106" t="s">
        <v>243</v>
      </c>
      <c r="C921" s="120"/>
      <c r="D921" s="248">
        <v>0</v>
      </c>
      <c r="E921" s="47"/>
      <c r="F921" s="266">
        <f t="shared" si="14"/>
        <v>0</v>
      </c>
      <c r="G921"/>
      <c r="H921"/>
    </row>
    <row r="922" spans="1:8" s="244" customFormat="1" x14ac:dyDescent="0.25">
      <c r="A922" s="47"/>
      <c r="B922" s="106" t="s">
        <v>244</v>
      </c>
      <c r="C922" s="47"/>
      <c r="D922" s="248">
        <v>0</v>
      </c>
      <c r="E922" s="47"/>
      <c r="F922" s="266">
        <f t="shared" si="14"/>
        <v>0</v>
      </c>
      <c r="G922"/>
    </row>
    <row r="923" spans="1:8" s="244" customFormat="1" x14ac:dyDescent="0.25">
      <c r="A923" s="47"/>
      <c r="B923" s="254" t="s">
        <v>3223</v>
      </c>
      <c r="C923" s="149" t="s">
        <v>2834</v>
      </c>
      <c r="D923" s="248">
        <v>6.4</v>
      </c>
      <c r="E923" s="146"/>
      <c r="F923" s="266">
        <f t="shared" si="14"/>
        <v>6.4</v>
      </c>
      <c r="H923"/>
    </row>
    <row r="924" spans="1:8" s="244" customFormat="1" x14ac:dyDescent="0.25">
      <c r="A924" s="47"/>
      <c r="B924" s="106" t="s">
        <v>3333</v>
      </c>
      <c r="C924" s="120" t="s">
        <v>2734</v>
      </c>
      <c r="D924" s="248">
        <v>200</v>
      </c>
      <c r="E924" s="47"/>
      <c r="F924" s="266">
        <f t="shared" si="14"/>
        <v>200</v>
      </c>
      <c r="G924"/>
      <c r="H924"/>
    </row>
    <row r="925" spans="1:8" s="244" customFormat="1" x14ac:dyDescent="0.25">
      <c r="A925" s="47"/>
      <c r="B925" s="17" t="s">
        <v>1273</v>
      </c>
      <c r="C925" s="101" t="s">
        <v>2265</v>
      </c>
      <c r="D925" s="101">
        <v>10</v>
      </c>
      <c r="E925" s="188"/>
      <c r="F925" s="266">
        <f t="shared" si="14"/>
        <v>10</v>
      </c>
      <c r="G925"/>
      <c r="H925"/>
    </row>
    <row r="926" spans="1:8" s="244" customFormat="1" x14ac:dyDescent="0.25">
      <c r="A926" s="47"/>
      <c r="B926" s="205" t="s">
        <v>2958</v>
      </c>
      <c r="C926" s="206" t="s">
        <v>2734</v>
      </c>
      <c r="D926" s="208">
        <v>12</v>
      </c>
      <c r="E926" s="188"/>
      <c r="F926" s="266">
        <f t="shared" si="14"/>
        <v>12</v>
      </c>
      <c r="G926"/>
      <c r="H926"/>
    </row>
    <row r="927" spans="1:8" s="244" customFormat="1" ht="26.4" x14ac:dyDescent="0.25">
      <c r="A927" s="47"/>
      <c r="B927" s="205" t="s">
        <v>2959</v>
      </c>
      <c r="C927" s="206" t="s">
        <v>2960</v>
      </c>
      <c r="D927" s="208">
        <v>3500</v>
      </c>
      <c r="E927" s="188"/>
      <c r="F927" s="266">
        <f t="shared" si="14"/>
        <v>3500</v>
      </c>
      <c r="G927"/>
      <c r="H927"/>
    </row>
    <row r="928" spans="1:8" s="244" customFormat="1" x14ac:dyDescent="0.25">
      <c r="A928" s="47"/>
      <c r="B928" s="17" t="s">
        <v>586</v>
      </c>
      <c r="C928" s="149" t="s">
        <v>1037</v>
      </c>
      <c r="D928" s="248">
        <v>500</v>
      </c>
      <c r="E928" s="152"/>
      <c r="F928" s="266">
        <f t="shared" si="14"/>
        <v>500</v>
      </c>
      <c r="G928"/>
      <c r="H928"/>
    </row>
    <row r="929" spans="1:8" s="244" customFormat="1" x14ac:dyDescent="0.25">
      <c r="A929" s="47"/>
      <c r="B929" s="106" t="s">
        <v>2015</v>
      </c>
      <c r="C929" s="120"/>
      <c r="D929" s="248">
        <v>0</v>
      </c>
      <c r="E929" s="47"/>
      <c r="F929" s="266">
        <f t="shared" si="14"/>
        <v>0</v>
      </c>
      <c r="G929"/>
      <c r="H929"/>
    </row>
    <row r="930" spans="1:8" s="244" customFormat="1" x14ac:dyDescent="0.25">
      <c r="A930" s="47"/>
      <c r="B930" s="79" t="s">
        <v>746</v>
      </c>
      <c r="C930" s="56" t="s">
        <v>745</v>
      </c>
      <c r="D930" s="110">
        <v>1.52</v>
      </c>
      <c r="E930" s="188"/>
      <c r="F930" s="266">
        <f t="shared" si="14"/>
        <v>1.52</v>
      </c>
      <c r="G930"/>
      <c r="H930"/>
    </row>
    <row r="931" spans="1:8" s="244" customFormat="1" x14ac:dyDescent="0.25">
      <c r="A931" s="47"/>
      <c r="B931" s="79" t="s">
        <v>742</v>
      </c>
      <c r="C931" s="56" t="s">
        <v>740</v>
      </c>
      <c r="D931" s="110">
        <v>30</v>
      </c>
      <c r="E931" s="188"/>
      <c r="F931" s="266">
        <f t="shared" si="14"/>
        <v>30</v>
      </c>
      <c r="G931"/>
      <c r="H931"/>
    </row>
    <row r="932" spans="1:8" s="244" customFormat="1" x14ac:dyDescent="0.25">
      <c r="A932" s="47"/>
      <c r="B932" s="79" t="s">
        <v>747</v>
      </c>
      <c r="C932" s="56" t="s">
        <v>740</v>
      </c>
      <c r="D932" s="110">
        <v>40</v>
      </c>
      <c r="E932" s="188"/>
      <c r="F932" s="266">
        <f t="shared" si="14"/>
        <v>40</v>
      </c>
      <c r="G932"/>
      <c r="H932"/>
    </row>
    <row r="933" spans="1:8" s="244" customFormat="1" x14ac:dyDescent="0.25">
      <c r="A933" s="184" t="s">
        <v>107</v>
      </c>
      <c r="B933" s="184" t="s">
        <v>1745</v>
      </c>
      <c r="C933" s="191" t="s">
        <v>2202</v>
      </c>
      <c r="D933" s="248">
        <v>4.6064329639999988</v>
      </c>
      <c r="E933" s="188"/>
      <c r="F933" s="266">
        <f t="shared" si="14"/>
        <v>4.6064329639999988</v>
      </c>
      <c r="G933"/>
      <c r="H933"/>
    </row>
    <row r="934" spans="1:8" s="244" customFormat="1" x14ac:dyDescent="0.25">
      <c r="A934" s="47"/>
      <c r="B934" s="143" t="s">
        <v>1118</v>
      </c>
      <c r="C934" s="120"/>
      <c r="D934" s="248">
        <v>0</v>
      </c>
      <c r="E934" s="47"/>
      <c r="F934" s="266">
        <f t="shared" si="14"/>
        <v>0</v>
      </c>
      <c r="G934"/>
      <c r="H934"/>
    </row>
    <row r="935" spans="1:8" s="244" customFormat="1" x14ac:dyDescent="0.25">
      <c r="A935" s="47"/>
      <c r="B935" s="17" t="s">
        <v>1277</v>
      </c>
      <c r="C935" s="101" t="s">
        <v>2265</v>
      </c>
      <c r="D935" s="101">
        <v>2.59</v>
      </c>
      <c r="E935" s="188"/>
      <c r="F935" s="266">
        <f t="shared" si="14"/>
        <v>2.59</v>
      </c>
      <c r="G935"/>
      <c r="H935"/>
    </row>
    <row r="936" spans="1:8" s="244" customFormat="1" x14ac:dyDescent="0.25">
      <c r="A936" s="47"/>
      <c r="B936" s="155" t="s">
        <v>1278</v>
      </c>
      <c r="C936" s="120"/>
      <c r="D936" s="248">
        <v>0</v>
      </c>
      <c r="E936" s="47"/>
      <c r="F936" s="266">
        <f t="shared" si="14"/>
        <v>0</v>
      </c>
      <c r="G936"/>
      <c r="H936"/>
    </row>
    <row r="937" spans="1:8" s="244" customFormat="1" x14ac:dyDescent="0.25">
      <c r="A937" s="47"/>
      <c r="B937" s="155" t="s">
        <v>1278</v>
      </c>
      <c r="C937" s="101" t="s">
        <v>2265</v>
      </c>
      <c r="D937" s="101">
        <v>4.9800000000000004</v>
      </c>
      <c r="E937" s="188"/>
      <c r="F937" s="266">
        <f t="shared" si="14"/>
        <v>4.9800000000000004</v>
      </c>
      <c r="G937"/>
      <c r="H937"/>
    </row>
    <row r="938" spans="1:8" s="244" customFormat="1" x14ac:dyDescent="0.25">
      <c r="A938" s="184" t="s">
        <v>110</v>
      </c>
      <c r="B938" s="184" t="s">
        <v>1279</v>
      </c>
      <c r="C938" s="191" t="s">
        <v>399</v>
      </c>
      <c r="D938" s="248">
        <v>3.2149879999999995</v>
      </c>
      <c r="E938" s="188"/>
      <c r="F938" s="266">
        <f t="shared" si="14"/>
        <v>3.2149879999999995</v>
      </c>
      <c r="G938"/>
      <c r="H938"/>
    </row>
    <row r="939" spans="1:8" s="244" customFormat="1" x14ac:dyDescent="0.25">
      <c r="A939" s="47"/>
      <c r="B939" s="184" t="s">
        <v>1279</v>
      </c>
      <c r="C939" s="120"/>
      <c r="D939" s="248">
        <v>0</v>
      </c>
      <c r="E939" s="47"/>
      <c r="F939" s="266">
        <f t="shared" si="14"/>
        <v>0</v>
      </c>
      <c r="G939"/>
      <c r="H939"/>
    </row>
    <row r="940" spans="1:8" s="244" customFormat="1" ht="21" x14ac:dyDescent="0.25">
      <c r="A940" s="184" t="s">
        <v>112</v>
      </c>
      <c r="B940" s="184" t="s">
        <v>1280</v>
      </c>
      <c r="C940" s="191" t="s">
        <v>399</v>
      </c>
      <c r="D940" s="248">
        <v>3.1417341759999999</v>
      </c>
      <c r="E940" s="188"/>
      <c r="F940" s="266">
        <f t="shared" si="14"/>
        <v>3.1417341759999999</v>
      </c>
      <c r="G940"/>
      <c r="H940"/>
    </row>
    <row r="941" spans="1:8" s="244" customFormat="1" ht="21" x14ac:dyDescent="0.25">
      <c r="A941" s="47"/>
      <c r="B941" s="184" t="s">
        <v>1280</v>
      </c>
      <c r="C941" s="47"/>
      <c r="D941" s="248">
        <v>0</v>
      </c>
      <c r="E941" s="47"/>
      <c r="F941" s="266">
        <f t="shared" si="14"/>
        <v>0</v>
      </c>
      <c r="G941"/>
      <c r="H941"/>
    </row>
    <row r="942" spans="1:8" s="244" customFormat="1" x14ac:dyDescent="0.25">
      <c r="A942" s="47"/>
      <c r="B942" s="143" t="s">
        <v>1655</v>
      </c>
      <c r="C942" s="144" t="s">
        <v>1627</v>
      </c>
      <c r="D942" s="248">
        <v>2.21</v>
      </c>
      <c r="E942" s="153"/>
      <c r="F942" s="266">
        <f t="shared" si="14"/>
        <v>2.21</v>
      </c>
      <c r="G942"/>
      <c r="H942"/>
    </row>
    <row r="943" spans="1:8" s="244" customFormat="1" x14ac:dyDescent="0.25">
      <c r="A943" s="47"/>
      <c r="B943" s="205" t="s">
        <v>3224</v>
      </c>
      <c r="C943" s="206" t="s">
        <v>478</v>
      </c>
      <c r="D943" s="248">
        <v>22.87</v>
      </c>
      <c r="E943" s="188"/>
      <c r="F943" s="266">
        <f t="shared" si="14"/>
        <v>22.87</v>
      </c>
      <c r="G943"/>
      <c r="H943"/>
    </row>
    <row r="944" spans="1:8" s="244" customFormat="1" x14ac:dyDescent="0.25">
      <c r="A944" s="47"/>
      <c r="B944" s="96" t="s">
        <v>1282</v>
      </c>
      <c r="C944" s="47"/>
      <c r="D944" s="248">
        <v>0</v>
      </c>
      <c r="E944" s="47"/>
      <c r="F944" s="266">
        <f t="shared" si="14"/>
        <v>0</v>
      </c>
      <c r="G944"/>
      <c r="H944"/>
    </row>
    <row r="945" spans="1:8" s="244" customFormat="1" x14ac:dyDescent="0.25">
      <c r="A945" s="47"/>
      <c r="B945" s="96" t="s">
        <v>1282</v>
      </c>
      <c r="C945" s="101" t="s">
        <v>2265</v>
      </c>
      <c r="D945" s="101">
        <v>2</v>
      </c>
      <c r="E945" s="188"/>
      <c r="F945" s="266">
        <f t="shared" si="14"/>
        <v>2</v>
      </c>
      <c r="G945"/>
      <c r="H945"/>
    </row>
    <row r="946" spans="1:8" s="244" customFormat="1" x14ac:dyDescent="0.25">
      <c r="A946" s="47"/>
      <c r="B946" s="113" t="s">
        <v>3079</v>
      </c>
      <c r="C946" s="123" t="s">
        <v>2734</v>
      </c>
      <c r="D946" s="248">
        <v>65</v>
      </c>
      <c r="E946"/>
      <c r="F946" s="266">
        <f t="shared" si="14"/>
        <v>65</v>
      </c>
      <c r="G946"/>
      <c r="H946"/>
    </row>
    <row r="947" spans="1:8" s="244" customFormat="1" x14ac:dyDescent="0.25">
      <c r="A947" s="47"/>
      <c r="B947" s="113" t="s">
        <v>3079</v>
      </c>
      <c r="C947" s="123" t="s">
        <v>2734</v>
      </c>
      <c r="D947" s="123">
        <v>65</v>
      </c>
      <c r="E947" s="188"/>
      <c r="F947" s="266">
        <f t="shared" si="14"/>
        <v>65</v>
      </c>
      <c r="G947"/>
      <c r="H947"/>
    </row>
    <row r="948" spans="1:8" s="244" customFormat="1" x14ac:dyDescent="0.25">
      <c r="A948" s="47"/>
      <c r="B948" s="106" t="s">
        <v>245</v>
      </c>
      <c r="C948" s="120"/>
      <c r="D948" s="248">
        <v>0</v>
      </c>
      <c r="E948" s="47"/>
      <c r="F948" s="266">
        <f t="shared" si="14"/>
        <v>0</v>
      </c>
      <c r="G948"/>
      <c r="H948"/>
    </row>
    <row r="949" spans="1:8" s="244" customFormat="1" x14ac:dyDescent="0.25">
      <c r="A949" s="184" t="s">
        <v>118</v>
      </c>
      <c r="B949" s="184" t="s">
        <v>1741</v>
      </c>
      <c r="C949" s="191" t="s">
        <v>2840</v>
      </c>
      <c r="D949" s="248">
        <v>230.32855720000001</v>
      </c>
      <c r="E949" s="188"/>
      <c r="F949" s="266">
        <f t="shared" si="14"/>
        <v>230.32855720000001</v>
      </c>
      <c r="G949"/>
      <c r="H949"/>
    </row>
    <row r="950" spans="1:8" s="244" customFormat="1" x14ac:dyDescent="0.25">
      <c r="A950" s="47"/>
      <c r="B950" s="184" t="s">
        <v>1741</v>
      </c>
      <c r="C950" s="120"/>
      <c r="D950" s="248">
        <v>0</v>
      </c>
      <c r="E950" s="47"/>
      <c r="F950" s="266">
        <f t="shared" si="14"/>
        <v>0</v>
      </c>
      <c r="G950"/>
      <c r="H950"/>
    </row>
    <row r="951" spans="1:8" s="244" customFormat="1" x14ac:dyDescent="0.25">
      <c r="A951" s="184" t="s">
        <v>127</v>
      </c>
      <c r="B951" s="184" t="s">
        <v>1735</v>
      </c>
      <c r="C951" s="191" t="s">
        <v>399</v>
      </c>
      <c r="D951" s="248">
        <v>3.5</v>
      </c>
      <c r="E951" s="188"/>
      <c r="F951" s="266">
        <f t="shared" si="14"/>
        <v>3.5</v>
      </c>
      <c r="G951"/>
      <c r="H951"/>
    </row>
    <row r="952" spans="1:8" s="244" customFormat="1" ht="21" x14ac:dyDescent="0.25">
      <c r="A952" s="184"/>
      <c r="B952" s="184" t="s">
        <v>1734</v>
      </c>
      <c r="C952" s="191" t="s">
        <v>2840</v>
      </c>
      <c r="D952" s="248">
        <v>100</v>
      </c>
      <c r="E952" s="188"/>
      <c r="F952" s="266">
        <f t="shared" si="14"/>
        <v>100</v>
      </c>
      <c r="G952"/>
      <c r="H952"/>
    </row>
    <row r="953" spans="1:8" s="244" customFormat="1" ht="21" x14ac:dyDescent="0.25">
      <c r="A953" s="47"/>
      <c r="B953" s="184" t="s">
        <v>1734</v>
      </c>
      <c r="C953" s="120"/>
      <c r="D953" s="248">
        <v>0</v>
      </c>
      <c r="E953" s="47"/>
      <c r="F953" s="266">
        <f t="shared" si="14"/>
        <v>0</v>
      </c>
      <c r="G953"/>
      <c r="H953"/>
    </row>
    <row r="954" spans="1:8" s="244" customFormat="1" x14ac:dyDescent="0.25">
      <c r="A954" s="47"/>
      <c r="B954" s="79" t="s">
        <v>748</v>
      </c>
      <c r="C954" s="56" t="s">
        <v>743</v>
      </c>
      <c r="D954" s="110">
        <v>47.5</v>
      </c>
      <c r="E954" s="188"/>
      <c r="F954" s="266">
        <f t="shared" si="14"/>
        <v>47.5</v>
      </c>
      <c r="G954"/>
      <c r="H954"/>
    </row>
    <row r="955" spans="1:8" s="244" customFormat="1" x14ac:dyDescent="0.25">
      <c r="A955" s="47"/>
      <c r="B955" s="79" t="s">
        <v>749</v>
      </c>
      <c r="C955" s="56" t="s">
        <v>743</v>
      </c>
      <c r="D955" s="110">
        <v>45</v>
      </c>
      <c r="E955" s="188"/>
      <c r="F955" s="266">
        <f t="shared" si="14"/>
        <v>45</v>
      </c>
      <c r="H955"/>
    </row>
    <row r="956" spans="1:8" s="244" customFormat="1" x14ac:dyDescent="0.25">
      <c r="A956" s="47"/>
      <c r="B956" s="79" t="s">
        <v>1385</v>
      </c>
      <c r="C956" s="56" t="s">
        <v>743</v>
      </c>
      <c r="D956" s="110">
        <v>10</v>
      </c>
      <c r="E956" s="188"/>
      <c r="F956" s="266">
        <f t="shared" si="14"/>
        <v>10</v>
      </c>
      <c r="G956"/>
      <c r="H956"/>
    </row>
    <row r="957" spans="1:8" s="244" customFormat="1" ht="22.8" x14ac:dyDescent="0.25">
      <c r="A957" s="47"/>
      <c r="B957" s="79" t="s">
        <v>3296</v>
      </c>
      <c r="C957" s="120" t="s">
        <v>3193</v>
      </c>
      <c r="D957" s="248">
        <v>900</v>
      </c>
      <c r="E957" s="47"/>
      <c r="F957" s="266">
        <f t="shared" si="14"/>
        <v>900</v>
      </c>
      <c r="G957"/>
      <c r="H957"/>
    </row>
    <row r="958" spans="1:8" s="244" customFormat="1" ht="22.8" x14ac:dyDescent="0.25">
      <c r="A958" s="47"/>
      <c r="B958" s="79" t="s">
        <v>3292</v>
      </c>
      <c r="C958" s="120" t="s">
        <v>3193</v>
      </c>
      <c r="D958" s="248">
        <v>1000</v>
      </c>
      <c r="E958" s="47"/>
      <c r="F958" s="266">
        <f t="shared" si="14"/>
        <v>1000</v>
      </c>
      <c r="G958"/>
      <c r="H958"/>
    </row>
    <row r="959" spans="1:8" x14ac:dyDescent="0.25">
      <c r="B959" s="106" t="s">
        <v>14</v>
      </c>
      <c r="C959" s="120"/>
      <c r="D959" s="248">
        <v>0</v>
      </c>
      <c r="E959" s="47"/>
      <c r="F959" s="266">
        <f t="shared" si="14"/>
        <v>0</v>
      </c>
    </row>
    <row r="960" spans="1:8" x14ac:dyDescent="0.25">
      <c r="B960" s="106" t="s">
        <v>2789</v>
      </c>
      <c r="C960" s="120"/>
      <c r="D960" s="248">
        <v>0</v>
      </c>
      <c r="E960" s="47"/>
      <c r="F960" s="266">
        <f t="shared" si="14"/>
        <v>0</v>
      </c>
    </row>
    <row r="961" spans="1:6" x14ac:dyDescent="0.25">
      <c r="B961" s="106" t="s">
        <v>3370</v>
      </c>
      <c r="C961" s="120" t="s">
        <v>2734</v>
      </c>
      <c r="D961" s="248">
        <v>6</v>
      </c>
      <c r="E961" s="47"/>
      <c r="F961" s="266">
        <f t="shared" si="14"/>
        <v>6</v>
      </c>
    </row>
    <row r="962" spans="1:6" x14ac:dyDescent="0.25">
      <c r="B962" s="108" t="s">
        <v>1393</v>
      </c>
      <c r="C962" s="120"/>
      <c r="D962" s="248">
        <v>0</v>
      </c>
      <c r="E962" s="47"/>
      <c r="F962" s="266">
        <f t="shared" si="14"/>
        <v>0</v>
      </c>
    </row>
    <row r="963" spans="1:6" x14ac:dyDescent="0.25">
      <c r="B963" s="155" t="s">
        <v>1318</v>
      </c>
      <c r="C963" s="156" t="s">
        <v>2744</v>
      </c>
      <c r="D963" s="248">
        <v>17.63</v>
      </c>
      <c r="E963" s="151"/>
      <c r="F963" s="266">
        <f t="shared" si="14"/>
        <v>17.63</v>
      </c>
    </row>
    <row r="964" spans="1:6" x14ac:dyDescent="0.25">
      <c r="B964" s="106" t="s">
        <v>1731</v>
      </c>
      <c r="C964" s="123"/>
      <c r="D964" s="248">
        <v>0</v>
      </c>
      <c r="E964" s="47"/>
      <c r="F964" s="266">
        <f t="shared" si="14"/>
        <v>0</v>
      </c>
    </row>
    <row r="965" spans="1:6" x14ac:dyDescent="0.25">
      <c r="B965" s="106" t="s">
        <v>165</v>
      </c>
      <c r="C965" s="120"/>
      <c r="D965" s="248">
        <v>0</v>
      </c>
      <c r="E965" s="47"/>
      <c r="F965" s="266">
        <f t="shared" si="14"/>
        <v>0</v>
      </c>
    </row>
    <row r="966" spans="1:6" x14ac:dyDescent="0.25">
      <c r="A966" s="184" t="s">
        <v>139</v>
      </c>
      <c r="B966" s="184" t="s">
        <v>1319</v>
      </c>
      <c r="C966" s="191" t="s">
        <v>2202</v>
      </c>
      <c r="D966" s="248">
        <v>7.4157613320000006</v>
      </c>
      <c r="F966" s="266">
        <f t="shared" si="14"/>
        <v>7.4157613320000006</v>
      </c>
    </row>
    <row r="967" spans="1:6" x14ac:dyDescent="0.25">
      <c r="A967" s="184" t="s">
        <v>141</v>
      </c>
      <c r="B967" s="184" t="s">
        <v>2252</v>
      </c>
      <c r="C967" s="191" t="s">
        <v>1802</v>
      </c>
      <c r="D967" s="248">
        <v>1.5568279999999999</v>
      </c>
      <c r="F967" s="266">
        <f t="shared" si="14"/>
        <v>1.5568279999999999</v>
      </c>
    </row>
    <row r="968" spans="1:6" x14ac:dyDescent="0.25">
      <c r="A968" s="184" t="s">
        <v>143</v>
      </c>
      <c r="B968" s="184" t="s">
        <v>1320</v>
      </c>
      <c r="C968" s="191" t="s">
        <v>2377</v>
      </c>
      <c r="D968" s="248">
        <v>543.44351599999982</v>
      </c>
      <c r="F968" s="266">
        <f t="shared" si="14"/>
        <v>543.44351599999982</v>
      </c>
    </row>
    <row r="969" spans="1:6" x14ac:dyDescent="0.25">
      <c r="A969" s="184" t="s">
        <v>144</v>
      </c>
      <c r="B969" s="184" t="s">
        <v>2810</v>
      </c>
      <c r="C969" s="191" t="s">
        <v>1802</v>
      </c>
      <c r="D969" s="248">
        <v>1.197523152</v>
      </c>
      <c r="F969" s="266">
        <f t="shared" si="14"/>
        <v>1.197523152</v>
      </c>
    </row>
    <row r="970" spans="1:6" x14ac:dyDescent="0.25">
      <c r="A970" s="184" t="s">
        <v>1493</v>
      </c>
      <c r="B970" s="184" t="s">
        <v>2811</v>
      </c>
      <c r="C970" s="191" t="s">
        <v>1802</v>
      </c>
      <c r="D970" s="248">
        <v>2.0727368479999999</v>
      </c>
      <c r="F970" s="266">
        <f t="shared" si="14"/>
        <v>2.0727368479999999</v>
      </c>
    </row>
    <row r="971" spans="1:6" x14ac:dyDescent="0.25">
      <c r="A971" s="184" t="s">
        <v>1494</v>
      </c>
      <c r="B971" s="184" t="s">
        <v>2812</v>
      </c>
      <c r="C971" s="191" t="s">
        <v>2202</v>
      </c>
      <c r="D971" s="248">
        <v>0.77369745600000006</v>
      </c>
      <c r="F971" s="266">
        <f t="shared" ref="F971:F1034" si="15">IF(E971&gt;0,E971,D971)</f>
        <v>0.77369745600000006</v>
      </c>
    </row>
    <row r="972" spans="1:6" x14ac:dyDescent="0.25">
      <c r="A972" s="184" t="s">
        <v>1496</v>
      </c>
      <c r="B972" s="184" t="s">
        <v>2813</v>
      </c>
      <c r="C972" s="191" t="s">
        <v>1802</v>
      </c>
      <c r="D972" s="248">
        <v>0.46992254399999994</v>
      </c>
      <c r="F972" s="266">
        <f t="shared" si="15"/>
        <v>0.46992254399999994</v>
      </c>
    </row>
    <row r="973" spans="1:6" x14ac:dyDescent="0.25">
      <c r="B973" s="256" t="s">
        <v>3235</v>
      </c>
      <c r="C973" s="284" t="s">
        <v>516</v>
      </c>
      <c r="D973">
        <v>100</v>
      </c>
      <c r="E973"/>
      <c r="F973" s="266">
        <f t="shared" si="15"/>
        <v>100</v>
      </c>
    </row>
    <row r="974" spans="1:6" x14ac:dyDescent="0.25">
      <c r="B974" s="106" t="s">
        <v>15</v>
      </c>
      <c r="C974" s="101"/>
      <c r="D974" s="248">
        <v>0</v>
      </c>
      <c r="E974" s="47"/>
      <c r="F974" s="266">
        <f t="shared" si="15"/>
        <v>0</v>
      </c>
    </row>
    <row r="975" spans="1:6" x14ac:dyDescent="0.25">
      <c r="B975" s="106" t="s">
        <v>16</v>
      </c>
      <c r="C975" s="123"/>
      <c r="D975" s="248">
        <v>0</v>
      </c>
      <c r="E975" s="47"/>
      <c r="F975" s="266">
        <f t="shared" si="15"/>
        <v>0</v>
      </c>
    </row>
    <row r="976" spans="1:6" x14ac:dyDescent="0.25">
      <c r="B976" s="106" t="s">
        <v>413</v>
      </c>
      <c r="C976" s="47"/>
      <c r="D976" s="248">
        <v>0</v>
      </c>
      <c r="E976" s="47"/>
      <c r="F976" s="266">
        <f t="shared" si="15"/>
        <v>0</v>
      </c>
    </row>
    <row r="977" spans="1:8" x14ac:dyDescent="0.25">
      <c r="B977" s="256" t="s">
        <v>3234</v>
      </c>
      <c r="C977" s="284" t="s">
        <v>2734</v>
      </c>
      <c r="D977">
        <v>120</v>
      </c>
      <c r="E977"/>
      <c r="F977" s="266">
        <f t="shared" si="15"/>
        <v>120</v>
      </c>
    </row>
    <row r="978" spans="1:8" x14ac:dyDescent="0.25">
      <c r="B978" s="195" t="s">
        <v>3261</v>
      </c>
      <c r="C978" s="196" t="s">
        <v>2734</v>
      </c>
      <c r="D978" s="197">
        <v>120</v>
      </c>
      <c r="F978" s="266">
        <f t="shared" si="15"/>
        <v>120</v>
      </c>
    </row>
    <row r="979" spans="1:8" x14ac:dyDescent="0.25">
      <c r="B979" s="17" t="s">
        <v>2814</v>
      </c>
      <c r="C979" s="101" t="s">
        <v>2016</v>
      </c>
      <c r="D979" s="101">
        <v>0.65</v>
      </c>
      <c r="F979" s="266">
        <f t="shared" si="15"/>
        <v>0.65</v>
      </c>
    </row>
    <row r="980" spans="1:8" x14ac:dyDescent="0.25">
      <c r="B980" s="17" t="s">
        <v>2815</v>
      </c>
      <c r="C980" s="101" t="s">
        <v>2016</v>
      </c>
      <c r="D980" s="101">
        <v>0.05</v>
      </c>
      <c r="F980" s="266">
        <f t="shared" si="15"/>
        <v>0.05</v>
      </c>
    </row>
    <row r="981" spans="1:8" x14ac:dyDescent="0.25">
      <c r="B981" s="17" t="s">
        <v>2816</v>
      </c>
      <c r="C981" s="101" t="s">
        <v>2265</v>
      </c>
      <c r="D981" s="101">
        <v>35</v>
      </c>
      <c r="F981" s="266">
        <f t="shared" si="15"/>
        <v>35</v>
      </c>
    </row>
    <row r="982" spans="1:8" x14ac:dyDescent="0.25">
      <c r="B982" s="17" t="s">
        <v>2817</v>
      </c>
      <c r="C982" s="101" t="s">
        <v>2265</v>
      </c>
      <c r="D982" s="101">
        <v>2.5</v>
      </c>
      <c r="F982" s="266">
        <f t="shared" si="15"/>
        <v>2.5</v>
      </c>
    </row>
    <row r="983" spans="1:8" x14ac:dyDescent="0.25">
      <c r="B983" s="106" t="s">
        <v>556</v>
      </c>
      <c r="C983" s="47"/>
      <c r="D983" s="248">
        <v>0</v>
      </c>
      <c r="E983" s="47"/>
      <c r="F983" s="266">
        <f t="shared" si="15"/>
        <v>0</v>
      </c>
    </row>
    <row r="984" spans="1:8" x14ac:dyDescent="0.25">
      <c r="A984" s="249"/>
      <c r="B984" s="250" t="s">
        <v>1165</v>
      </c>
      <c r="C984" s="251" t="s">
        <v>552</v>
      </c>
      <c r="D984" s="251">
        <v>14</v>
      </c>
      <c r="E984" s="252"/>
      <c r="F984" s="266">
        <f t="shared" si="15"/>
        <v>14</v>
      </c>
    </row>
    <row r="985" spans="1:8" x14ac:dyDescent="0.25">
      <c r="B985" s="142" t="s">
        <v>1349</v>
      </c>
      <c r="C985" s="187" t="s">
        <v>552</v>
      </c>
      <c r="D985" s="248">
        <v>15.2</v>
      </c>
      <c r="F985" s="266">
        <f t="shared" si="15"/>
        <v>15.2</v>
      </c>
    </row>
    <row r="986" spans="1:8" x14ac:dyDescent="0.25">
      <c r="B986" s="155" t="s">
        <v>1350</v>
      </c>
      <c r="C986" s="156" t="s">
        <v>2834</v>
      </c>
      <c r="D986" s="248">
        <v>12.5</v>
      </c>
      <c r="E986" s="151"/>
      <c r="F986" s="266">
        <f t="shared" si="15"/>
        <v>12.5</v>
      </c>
    </row>
    <row r="987" spans="1:8" x14ac:dyDescent="0.25">
      <c r="B987" s="142" t="s">
        <v>1348</v>
      </c>
      <c r="C987" s="187" t="s">
        <v>552</v>
      </c>
      <c r="D987" s="248">
        <v>18.440000000000001</v>
      </c>
      <c r="F987" s="266">
        <f t="shared" si="15"/>
        <v>18.440000000000001</v>
      </c>
    </row>
    <row r="988" spans="1:8" x14ac:dyDescent="0.25">
      <c r="B988" s="155" t="s">
        <v>1351</v>
      </c>
      <c r="C988" s="156" t="s">
        <v>2834</v>
      </c>
      <c r="D988" s="248">
        <v>11.9</v>
      </c>
      <c r="E988" s="151"/>
      <c r="F988" s="266">
        <f t="shared" si="15"/>
        <v>11.9</v>
      </c>
    </row>
    <row r="989" spans="1:8" x14ac:dyDescent="0.25">
      <c r="B989" s="106" t="s">
        <v>1455</v>
      </c>
      <c r="C989" s="47"/>
      <c r="D989" s="248">
        <v>0</v>
      </c>
      <c r="E989" s="47"/>
      <c r="F989" s="266">
        <f t="shared" si="15"/>
        <v>0</v>
      </c>
    </row>
    <row r="990" spans="1:8" x14ac:dyDescent="0.25">
      <c r="B990" s="106" t="s">
        <v>1301</v>
      </c>
      <c r="C990" s="47"/>
      <c r="D990" s="248">
        <v>0</v>
      </c>
      <c r="E990" s="47"/>
      <c r="F990" s="266">
        <f t="shared" si="15"/>
        <v>0</v>
      </c>
    </row>
    <row r="991" spans="1:8" x14ac:dyDescent="0.25">
      <c r="A991" s="184" t="s">
        <v>1486</v>
      </c>
      <c r="B991" s="184" t="s">
        <v>1751</v>
      </c>
      <c r="C991" s="191" t="s">
        <v>2840</v>
      </c>
      <c r="D991" s="248">
        <v>1.7133214560000001</v>
      </c>
      <c r="F991" s="266">
        <f t="shared" si="15"/>
        <v>1.7133214560000001</v>
      </c>
      <c r="H991" s="244"/>
    </row>
    <row r="992" spans="1:8" x14ac:dyDescent="0.25">
      <c r="B992" s="106" t="s">
        <v>2321</v>
      </c>
      <c r="C992" s="47"/>
      <c r="D992" s="248">
        <v>0</v>
      </c>
      <c r="E992" s="47"/>
      <c r="F992" s="266">
        <f t="shared" si="15"/>
        <v>0</v>
      </c>
    </row>
    <row r="993" spans="2:6" x14ac:dyDescent="0.25">
      <c r="B993" s="106" t="s">
        <v>3312</v>
      </c>
      <c r="C993" s="47" t="s">
        <v>516</v>
      </c>
      <c r="D993" s="248">
        <v>120</v>
      </c>
      <c r="E993" s="47"/>
      <c r="F993" s="266">
        <f t="shared" si="15"/>
        <v>120</v>
      </c>
    </row>
    <row r="994" spans="2:6" x14ac:dyDescent="0.25">
      <c r="B994" s="275" t="s">
        <v>3336</v>
      </c>
      <c r="C994" s="148" t="s">
        <v>516</v>
      </c>
      <c r="D994" s="248">
        <v>80</v>
      </c>
      <c r="E994" s="146"/>
      <c r="F994" s="266">
        <f t="shared" si="15"/>
        <v>80</v>
      </c>
    </row>
    <row r="995" spans="2:6" x14ac:dyDescent="0.25">
      <c r="B995" s="275" t="s">
        <v>3337</v>
      </c>
      <c r="C995" s="101" t="s">
        <v>516</v>
      </c>
      <c r="D995" s="101">
        <v>80</v>
      </c>
      <c r="F995" s="266">
        <f t="shared" si="15"/>
        <v>80</v>
      </c>
    </row>
    <row r="996" spans="2:6" x14ac:dyDescent="0.25">
      <c r="B996" s="106" t="s">
        <v>3198</v>
      </c>
      <c r="C996" s="120" t="s">
        <v>2734</v>
      </c>
      <c r="D996" s="248">
        <v>28600</v>
      </c>
      <c r="F996" s="266">
        <f t="shared" si="15"/>
        <v>28600</v>
      </c>
    </row>
    <row r="997" spans="2:6" x14ac:dyDescent="0.25">
      <c r="B997" s="106" t="s">
        <v>3190</v>
      </c>
      <c r="C997" s="120" t="s">
        <v>2734</v>
      </c>
      <c r="D997" s="120">
        <v>2500</v>
      </c>
      <c r="F997" s="266">
        <f t="shared" si="15"/>
        <v>2500</v>
      </c>
    </row>
    <row r="998" spans="2:6" x14ac:dyDescent="0.25">
      <c r="B998" s="17" t="s">
        <v>695</v>
      </c>
      <c r="C998" s="162" t="s">
        <v>2791</v>
      </c>
      <c r="D998" s="248">
        <v>65</v>
      </c>
      <c r="E998" s="153"/>
      <c r="F998" s="266">
        <f t="shared" si="15"/>
        <v>65</v>
      </c>
    </row>
    <row r="999" spans="2:6" x14ac:dyDescent="0.25">
      <c r="B999" s="106" t="s">
        <v>3328</v>
      </c>
      <c r="C999" s="278" t="s">
        <v>2734</v>
      </c>
      <c r="D999" s="248">
        <v>2</v>
      </c>
      <c r="E999" s="47"/>
      <c r="F999" s="266">
        <f t="shared" si="15"/>
        <v>2</v>
      </c>
    </row>
    <row r="1000" spans="2:6" x14ac:dyDescent="0.25">
      <c r="B1000" s="184" t="s">
        <v>530</v>
      </c>
      <c r="C1000" s="241" t="s">
        <v>2734</v>
      </c>
      <c r="D1000" s="248">
        <v>7.5</v>
      </c>
      <c r="E1000" s="241"/>
      <c r="F1000" s="266">
        <f t="shared" si="15"/>
        <v>7.5</v>
      </c>
    </row>
    <row r="1001" spans="2:6" x14ac:dyDescent="0.25">
      <c r="B1001" s="106" t="s">
        <v>3063</v>
      </c>
      <c r="C1001" s="120" t="s">
        <v>516</v>
      </c>
      <c r="D1001" s="120">
        <v>35</v>
      </c>
      <c r="F1001" s="266">
        <f t="shared" si="15"/>
        <v>35</v>
      </c>
    </row>
    <row r="1002" spans="2:6" x14ac:dyDescent="0.25">
      <c r="B1002" s="159" t="s">
        <v>3228</v>
      </c>
      <c r="C1002" s="284" t="s">
        <v>1037</v>
      </c>
      <c r="D1002">
        <v>0.5</v>
      </c>
      <c r="E1002"/>
      <c r="F1002" s="266">
        <f t="shared" si="15"/>
        <v>0.5</v>
      </c>
    </row>
    <row r="1003" spans="2:6" x14ac:dyDescent="0.25">
      <c r="B1003" s="159" t="s">
        <v>3230</v>
      </c>
      <c r="C1003" s="284" t="s">
        <v>1037</v>
      </c>
      <c r="D1003">
        <v>0.5</v>
      </c>
      <c r="E1003"/>
      <c r="F1003" s="266">
        <f t="shared" si="15"/>
        <v>0.5</v>
      </c>
    </row>
    <row r="1004" spans="2:6" x14ac:dyDescent="0.25">
      <c r="B1004" s="106" t="s">
        <v>3385</v>
      </c>
      <c r="C1004" s="120" t="s">
        <v>2734</v>
      </c>
      <c r="D1004" s="248">
        <v>2</v>
      </c>
      <c r="F1004" s="266">
        <f t="shared" si="15"/>
        <v>2</v>
      </c>
    </row>
    <row r="1005" spans="2:6" x14ac:dyDescent="0.25">
      <c r="B1005" s="106" t="s">
        <v>3126</v>
      </c>
      <c r="C1005" s="120" t="s">
        <v>2834</v>
      </c>
      <c r="D1005" s="120">
        <v>140</v>
      </c>
      <c r="F1005" s="266">
        <f t="shared" si="15"/>
        <v>140</v>
      </c>
    </row>
    <row r="1006" spans="2:6" x14ac:dyDescent="0.25">
      <c r="B1006" s="106" t="s">
        <v>3070</v>
      </c>
      <c r="C1006" s="120" t="s">
        <v>2734</v>
      </c>
      <c r="D1006" s="248">
        <v>1</v>
      </c>
      <c r="F1006" s="266">
        <f t="shared" si="15"/>
        <v>1</v>
      </c>
    </row>
    <row r="1007" spans="2:6" ht="26.4" x14ac:dyDescent="0.25">
      <c r="B1007" s="159" t="s">
        <v>1647</v>
      </c>
      <c r="C1007" s="281" t="s">
        <v>2734</v>
      </c>
      <c r="D1007" s="248">
        <v>3.75</v>
      </c>
      <c r="E1007" s="47"/>
      <c r="F1007" s="266">
        <f t="shared" si="15"/>
        <v>3.75</v>
      </c>
    </row>
    <row r="1008" spans="2:6" x14ac:dyDescent="0.25">
      <c r="B1008" s="106" t="s">
        <v>485</v>
      </c>
      <c r="C1008" s="120"/>
      <c r="D1008" s="248">
        <v>0</v>
      </c>
      <c r="E1008" s="47"/>
      <c r="F1008" s="266">
        <f t="shared" si="15"/>
        <v>0</v>
      </c>
    </row>
    <row r="1009" spans="1:6" x14ac:dyDescent="0.25">
      <c r="B1009" s="106" t="s">
        <v>486</v>
      </c>
      <c r="C1009" s="120"/>
      <c r="D1009" s="248">
        <v>0</v>
      </c>
      <c r="E1009" s="47"/>
      <c r="F1009" s="266">
        <f t="shared" si="15"/>
        <v>0</v>
      </c>
    </row>
    <row r="1010" spans="1:6" x14ac:dyDescent="0.25">
      <c r="B1010" s="106" t="s">
        <v>484</v>
      </c>
      <c r="C1010" s="120"/>
      <c r="D1010" s="248">
        <v>0</v>
      </c>
      <c r="E1010" s="47"/>
      <c r="F1010" s="266">
        <f t="shared" si="15"/>
        <v>0</v>
      </c>
    </row>
    <row r="1011" spans="1:6" x14ac:dyDescent="0.25">
      <c r="B1011" s="108" t="s">
        <v>1392</v>
      </c>
      <c r="C1011" s="101"/>
      <c r="D1011" s="248">
        <v>0</v>
      </c>
      <c r="E1011" s="47"/>
      <c r="F1011" s="266">
        <f t="shared" si="15"/>
        <v>0</v>
      </c>
    </row>
    <row r="1012" spans="1:6" x14ac:dyDescent="0.25">
      <c r="B1012" s="108" t="s">
        <v>1396</v>
      </c>
      <c r="C1012" s="120"/>
      <c r="D1012" s="248">
        <v>0</v>
      </c>
      <c r="E1012" s="47"/>
      <c r="F1012" s="266">
        <f t="shared" si="15"/>
        <v>0</v>
      </c>
    </row>
    <row r="1013" spans="1:6" x14ac:dyDescent="0.25">
      <c r="B1013" s="108" t="s">
        <v>1395</v>
      </c>
      <c r="C1013" s="47"/>
      <c r="D1013" s="248">
        <v>0</v>
      </c>
      <c r="E1013" s="47"/>
      <c r="F1013" s="266">
        <f t="shared" si="15"/>
        <v>0</v>
      </c>
    </row>
    <row r="1014" spans="1:6" x14ac:dyDescent="0.25">
      <c r="B1014" s="108" t="s">
        <v>1394</v>
      </c>
      <c r="C1014" s="47"/>
      <c r="D1014" s="248">
        <v>0</v>
      </c>
      <c r="E1014" s="47"/>
      <c r="F1014" s="266">
        <f t="shared" si="15"/>
        <v>0</v>
      </c>
    </row>
    <row r="1015" spans="1:6" x14ac:dyDescent="0.25">
      <c r="B1015" s="108" t="s">
        <v>1038</v>
      </c>
      <c r="C1015" s="112"/>
      <c r="D1015" s="248">
        <v>0</v>
      </c>
      <c r="E1015" s="47"/>
      <c r="F1015" s="266">
        <f t="shared" si="15"/>
        <v>0</v>
      </c>
    </row>
    <row r="1016" spans="1:6" x14ac:dyDescent="0.25">
      <c r="B1016" s="106" t="s">
        <v>3125</v>
      </c>
      <c r="C1016" s="120" t="s">
        <v>2577</v>
      </c>
      <c r="D1016" s="248">
        <v>65.45</v>
      </c>
      <c r="F1016" s="266">
        <f t="shared" si="15"/>
        <v>65.45</v>
      </c>
    </row>
    <row r="1017" spans="1:6" x14ac:dyDescent="0.25">
      <c r="B1017" s="106" t="s">
        <v>3124</v>
      </c>
      <c r="C1017" s="120" t="s">
        <v>2577</v>
      </c>
      <c r="D1017" s="120">
        <v>9</v>
      </c>
      <c r="F1017" s="266">
        <f t="shared" si="15"/>
        <v>9</v>
      </c>
    </row>
    <row r="1018" spans="1:6" x14ac:dyDescent="0.25">
      <c r="B1018" s="192" t="s">
        <v>1623</v>
      </c>
      <c r="C1018" s="153" t="s">
        <v>2734</v>
      </c>
      <c r="D1018" s="248">
        <v>5.44</v>
      </c>
      <c r="F1018" s="266">
        <f t="shared" si="15"/>
        <v>5.44</v>
      </c>
    </row>
    <row r="1019" spans="1:6" x14ac:dyDescent="0.25">
      <c r="B1019" s="106" t="s">
        <v>3117</v>
      </c>
      <c r="C1019" s="120" t="s">
        <v>2734</v>
      </c>
      <c r="D1019" s="248">
        <v>2</v>
      </c>
      <c r="F1019" s="266">
        <f t="shared" si="15"/>
        <v>2</v>
      </c>
    </row>
    <row r="1020" spans="1:6" x14ac:dyDescent="0.25">
      <c r="A1020" s="249"/>
      <c r="B1020" s="250" t="s">
        <v>3117</v>
      </c>
      <c r="C1020" s="251" t="s">
        <v>2734</v>
      </c>
      <c r="D1020" s="251">
        <v>2</v>
      </c>
      <c r="E1020" s="252"/>
      <c r="F1020" s="266">
        <f t="shared" si="15"/>
        <v>2</v>
      </c>
    </row>
    <row r="1021" spans="1:6" x14ac:dyDescent="0.25">
      <c r="B1021" s="106" t="s">
        <v>3117</v>
      </c>
      <c r="C1021" s="120" t="s">
        <v>2734</v>
      </c>
      <c r="D1021" s="120">
        <v>2</v>
      </c>
      <c r="F1021" s="266">
        <f t="shared" si="15"/>
        <v>2</v>
      </c>
    </row>
    <row r="1022" spans="1:6" x14ac:dyDescent="0.25">
      <c r="B1022" s="192" t="s">
        <v>2531</v>
      </c>
      <c r="C1022" s="241"/>
      <c r="E1022" s="241"/>
      <c r="F1022" s="266">
        <f t="shared" si="15"/>
        <v>0</v>
      </c>
    </row>
    <row r="1023" spans="1:6" x14ac:dyDescent="0.25">
      <c r="B1023" s="106" t="s">
        <v>3131</v>
      </c>
      <c r="C1023" s="120" t="s">
        <v>2734</v>
      </c>
      <c r="D1023" s="248">
        <v>0.5</v>
      </c>
      <c r="F1023" s="266">
        <f t="shared" si="15"/>
        <v>0.5</v>
      </c>
    </row>
    <row r="1024" spans="1:6" x14ac:dyDescent="0.25">
      <c r="A1024" s="249"/>
      <c r="B1024" s="250" t="s">
        <v>3131</v>
      </c>
      <c r="C1024" s="251" t="s">
        <v>2734</v>
      </c>
      <c r="D1024" s="251">
        <v>0.5</v>
      </c>
      <c r="E1024" s="252"/>
      <c r="F1024" s="266">
        <f t="shared" si="15"/>
        <v>0.5</v>
      </c>
    </row>
    <row r="1025" spans="1:6" x14ac:dyDescent="0.25">
      <c r="B1025" s="106" t="s">
        <v>3131</v>
      </c>
      <c r="C1025" s="120" t="s">
        <v>2734</v>
      </c>
      <c r="D1025" s="120">
        <v>0.5</v>
      </c>
      <c r="F1025" s="266">
        <f t="shared" si="15"/>
        <v>0.5</v>
      </c>
    </row>
    <row r="1026" spans="1:6" x14ac:dyDescent="0.25">
      <c r="B1026" s="192" t="s">
        <v>2532</v>
      </c>
      <c r="C1026" s="241"/>
      <c r="E1026" s="241"/>
      <c r="F1026" s="266">
        <f t="shared" si="15"/>
        <v>0</v>
      </c>
    </row>
    <row r="1027" spans="1:6" x14ac:dyDescent="0.25">
      <c r="B1027" s="192" t="s">
        <v>2532</v>
      </c>
      <c r="C1027" s="153" t="s">
        <v>2734</v>
      </c>
      <c r="D1027" s="248">
        <v>1.1399999999999999</v>
      </c>
      <c r="F1027" s="266">
        <f t="shared" si="15"/>
        <v>1.1399999999999999</v>
      </c>
    </row>
    <row r="1028" spans="1:6" x14ac:dyDescent="0.25">
      <c r="B1028" s="100" t="s">
        <v>2532</v>
      </c>
      <c r="F1028" s="266">
        <f t="shared" si="15"/>
        <v>0</v>
      </c>
    </row>
    <row r="1029" spans="1:6" x14ac:dyDescent="0.25">
      <c r="B1029" s="100" t="s">
        <v>2532</v>
      </c>
      <c r="C1029" s="120"/>
      <c r="E1029"/>
      <c r="F1029" s="266">
        <f t="shared" si="15"/>
        <v>0</v>
      </c>
    </row>
    <row r="1030" spans="1:6" x14ac:dyDescent="0.25">
      <c r="B1030" s="100" t="s">
        <v>2532</v>
      </c>
      <c r="C1030" s="120"/>
      <c r="F1030" s="266">
        <f t="shared" si="15"/>
        <v>0</v>
      </c>
    </row>
    <row r="1031" spans="1:6" x14ac:dyDescent="0.25">
      <c r="B1031" s="106" t="s">
        <v>3119</v>
      </c>
      <c r="C1031" s="120" t="s">
        <v>2734</v>
      </c>
      <c r="D1031" s="248">
        <v>15</v>
      </c>
      <c r="F1031" s="266">
        <f t="shared" si="15"/>
        <v>15</v>
      </c>
    </row>
    <row r="1032" spans="1:6" x14ac:dyDescent="0.25">
      <c r="A1032" s="249"/>
      <c r="B1032" s="250" t="s">
        <v>3119</v>
      </c>
      <c r="C1032" s="251" t="s">
        <v>2734</v>
      </c>
      <c r="D1032" s="251">
        <v>15</v>
      </c>
      <c r="E1032" s="252"/>
      <c r="F1032" s="266">
        <f t="shared" si="15"/>
        <v>15</v>
      </c>
    </row>
    <row r="1033" spans="1:6" x14ac:dyDescent="0.25">
      <c r="B1033" s="106" t="s">
        <v>3119</v>
      </c>
      <c r="C1033" s="120" t="s">
        <v>2734</v>
      </c>
      <c r="D1033" s="120">
        <v>15</v>
      </c>
      <c r="F1033" s="266">
        <f t="shared" si="15"/>
        <v>15</v>
      </c>
    </row>
    <row r="1034" spans="1:6" x14ac:dyDescent="0.25">
      <c r="B1034" s="155" t="s">
        <v>970</v>
      </c>
      <c r="C1034" s="156"/>
      <c r="E1034" s="151"/>
      <c r="F1034" s="266">
        <f t="shared" si="15"/>
        <v>0</v>
      </c>
    </row>
    <row r="1035" spans="1:6" x14ac:dyDescent="0.25">
      <c r="B1035" s="96" t="s">
        <v>2457</v>
      </c>
      <c r="C1035" s="117"/>
      <c r="D1035" s="248">
        <v>0</v>
      </c>
      <c r="E1035" s="47"/>
      <c r="F1035" s="266">
        <f t="shared" ref="F1035:F1098" si="16">IF(E1035&gt;0,E1035,D1035)</f>
        <v>0</v>
      </c>
    </row>
    <row r="1036" spans="1:6" x14ac:dyDescent="0.25">
      <c r="B1036" s="155" t="s">
        <v>1956</v>
      </c>
      <c r="C1036" s="156" t="s">
        <v>2734</v>
      </c>
      <c r="D1036" s="248">
        <v>0.67</v>
      </c>
      <c r="E1036" s="151"/>
      <c r="F1036" s="266">
        <f t="shared" si="16"/>
        <v>0.67</v>
      </c>
    </row>
    <row r="1037" spans="1:6" x14ac:dyDescent="0.25">
      <c r="B1037" s="159" t="s">
        <v>310</v>
      </c>
      <c r="C1037" s="153" t="s">
        <v>2734</v>
      </c>
      <c r="D1037" s="248">
        <v>0.75</v>
      </c>
      <c r="E1037" s="151"/>
      <c r="F1037" s="266">
        <f t="shared" si="16"/>
        <v>0.75</v>
      </c>
    </row>
    <row r="1038" spans="1:6" x14ac:dyDescent="0.25">
      <c r="B1038" s="93" t="s">
        <v>2476</v>
      </c>
      <c r="C1038" s="120"/>
      <c r="D1038" s="248">
        <v>0</v>
      </c>
      <c r="E1038" s="47"/>
      <c r="F1038" s="266">
        <f t="shared" si="16"/>
        <v>0</v>
      </c>
    </row>
    <row r="1039" spans="1:6" x14ac:dyDescent="0.25">
      <c r="B1039" s="93" t="s">
        <v>2477</v>
      </c>
      <c r="C1039" s="47"/>
      <c r="D1039" s="248">
        <v>0</v>
      </c>
      <c r="E1039" s="47"/>
      <c r="F1039" s="266">
        <f t="shared" si="16"/>
        <v>0</v>
      </c>
    </row>
    <row r="1040" spans="1:6" x14ac:dyDescent="0.25">
      <c r="B1040" s="159" t="s">
        <v>311</v>
      </c>
      <c r="C1040" s="153" t="s">
        <v>2734</v>
      </c>
      <c r="E1040" s="151"/>
      <c r="F1040" s="266">
        <f t="shared" si="16"/>
        <v>0</v>
      </c>
    </row>
    <row r="1041" spans="2:6" x14ac:dyDescent="0.25">
      <c r="B1041" s="155" t="s">
        <v>2037</v>
      </c>
      <c r="C1041" s="156" t="s">
        <v>2734</v>
      </c>
      <c r="D1041" s="248">
        <v>0.7</v>
      </c>
      <c r="E1041" s="151"/>
      <c r="F1041" s="266">
        <f t="shared" si="16"/>
        <v>0.7</v>
      </c>
    </row>
    <row r="1042" spans="2:6" ht="26.4" x14ac:dyDescent="0.25">
      <c r="B1042" s="155" t="s">
        <v>1957</v>
      </c>
      <c r="C1042" s="156" t="s">
        <v>2734</v>
      </c>
      <c r="D1042" s="248">
        <v>0.23</v>
      </c>
      <c r="E1042" s="151"/>
      <c r="F1042" s="266">
        <f t="shared" si="16"/>
        <v>0.23</v>
      </c>
    </row>
    <row r="1043" spans="2:6" x14ac:dyDescent="0.25">
      <c r="B1043" s="93" t="s">
        <v>2463</v>
      </c>
      <c r="C1043" s="120"/>
      <c r="D1043" s="248">
        <v>0</v>
      </c>
      <c r="E1043" s="47"/>
      <c r="F1043" s="266">
        <f t="shared" si="16"/>
        <v>0</v>
      </c>
    </row>
    <row r="1044" spans="2:6" x14ac:dyDescent="0.25">
      <c r="B1044" s="155" t="s">
        <v>2464</v>
      </c>
      <c r="C1044" s="156" t="s">
        <v>2734</v>
      </c>
      <c r="D1044" s="248">
        <v>1</v>
      </c>
      <c r="E1044" s="151">
        <v>1.1000000000000001</v>
      </c>
      <c r="F1044" s="266">
        <f t="shared" si="16"/>
        <v>1.1000000000000001</v>
      </c>
    </row>
    <row r="1045" spans="2:6" x14ac:dyDescent="0.25">
      <c r="B1045" s="159" t="s">
        <v>291</v>
      </c>
      <c r="C1045" s="153" t="s">
        <v>2734</v>
      </c>
      <c r="E1045" s="151"/>
      <c r="F1045" s="266">
        <f t="shared" si="16"/>
        <v>0</v>
      </c>
    </row>
    <row r="1046" spans="2:6" x14ac:dyDescent="0.25">
      <c r="B1046" s="96" t="s">
        <v>2465</v>
      </c>
      <c r="C1046" s="47"/>
      <c r="D1046" s="248">
        <v>0</v>
      </c>
      <c r="E1046" s="47"/>
      <c r="F1046" s="266">
        <f t="shared" si="16"/>
        <v>0</v>
      </c>
    </row>
    <row r="1047" spans="2:6" x14ac:dyDescent="0.25">
      <c r="B1047" s="93" t="s">
        <v>2478</v>
      </c>
      <c r="C1047" s="47"/>
      <c r="D1047" s="248">
        <v>0</v>
      </c>
      <c r="E1047" s="47"/>
      <c r="F1047" s="266">
        <f t="shared" si="16"/>
        <v>0</v>
      </c>
    </row>
    <row r="1048" spans="2:6" x14ac:dyDescent="0.25">
      <c r="B1048" s="155" t="s">
        <v>2580</v>
      </c>
      <c r="C1048" s="156" t="s">
        <v>2734</v>
      </c>
      <c r="D1048" s="248">
        <v>0.42</v>
      </c>
      <c r="E1048" s="151"/>
      <c r="F1048" s="266">
        <f t="shared" si="16"/>
        <v>0.42</v>
      </c>
    </row>
    <row r="1049" spans="2:6" x14ac:dyDescent="0.25">
      <c r="B1049" s="155" t="s">
        <v>1949</v>
      </c>
      <c r="C1049" s="156" t="s">
        <v>2734</v>
      </c>
      <c r="D1049" s="248">
        <v>0.83</v>
      </c>
      <c r="E1049" s="151"/>
      <c r="F1049" s="266">
        <f t="shared" si="16"/>
        <v>0.83</v>
      </c>
    </row>
    <row r="1050" spans="2:6" x14ac:dyDescent="0.25">
      <c r="B1050" s="96" t="s">
        <v>2466</v>
      </c>
      <c r="C1050" s="120"/>
      <c r="D1050" s="248">
        <v>0</v>
      </c>
      <c r="E1050" s="47"/>
      <c r="F1050" s="266">
        <f t="shared" si="16"/>
        <v>0</v>
      </c>
    </row>
    <row r="1051" spans="2:6" x14ac:dyDescent="0.25">
      <c r="B1051" s="93" t="s">
        <v>2467</v>
      </c>
      <c r="C1051" s="120"/>
      <c r="D1051" s="248">
        <v>0</v>
      </c>
      <c r="E1051" s="47"/>
      <c r="F1051" s="266">
        <f t="shared" si="16"/>
        <v>0</v>
      </c>
    </row>
    <row r="1052" spans="2:6" x14ac:dyDescent="0.25">
      <c r="B1052" s="155" t="s">
        <v>2038</v>
      </c>
      <c r="C1052" s="156" t="s">
        <v>2734</v>
      </c>
      <c r="D1052" s="248">
        <v>0.7</v>
      </c>
      <c r="E1052" s="151"/>
      <c r="F1052" s="266">
        <f t="shared" si="16"/>
        <v>0.7</v>
      </c>
    </row>
    <row r="1053" spans="2:6" x14ac:dyDescent="0.25">
      <c r="B1053" s="155" t="s">
        <v>2039</v>
      </c>
      <c r="C1053" s="156" t="s">
        <v>2734</v>
      </c>
      <c r="D1053" s="248">
        <v>1</v>
      </c>
      <c r="E1053" s="151"/>
      <c r="F1053" s="266">
        <f t="shared" si="16"/>
        <v>1</v>
      </c>
    </row>
    <row r="1054" spans="2:6" x14ac:dyDescent="0.25">
      <c r="B1054" s="93" t="s">
        <v>2479</v>
      </c>
      <c r="C1054" s="47"/>
      <c r="D1054" s="248">
        <v>0</v>
      </c>
      <c r="E1054" s="47"/>
      <c r="F1054" s="266">
        <f t="shared" si="16"/>
        <v>0</v>
      </c>
    </row>
    <row r="1055" spans="2:6" x14ac:dyDescent="0.25">
      <c r="B1055" s="93" t="s">
        <v>2458</v>
      </c>
      <c r="C1055" s="47"/>
      <c r="D1055" s="248">
        <v>0</v>
      </c>
      <c r="E1055" s="47"/>
      <c r="F1055" s="266">
        <f t="shared" si="16"/>
        <v>0</v>
      </c>
    </row>
    <row r="1056" spans="2:6" x14ac:dyDescent="0.25">
      <c r="B1056" s="96" t="s">
        <v>297</v>
      </c>
      <c r="C1056" s="47"/>
      <c r="D1056" s="248">
        <v>0</v>
      </c>
      <c r="E1056" s="47"/>
      <c r="F1056" s="266">
        <f t="shared" si="16"/>
        <v>0</v>
      </c>
    </row>
    <row r="1057" spans="2:6" x14ac:dyDescent="0.25">
      <c r="B1057" s="96" t="s">
        <v>302</v>
      </c>
      <c r="C1057" s="120"/>
      <c r="D1057" s="248">
        <v>0</v>
      </c>
      <c r="E1057" s="47"/>
      <c r="F1057" s="266">
        <f t="shared" si="16"/>
        <v>0</v>
      </c>
    </row>
    <row r="1058" spans="2:6" x14ac:dyDescent="0.25">
      <c r="B1058" s="159" t="s">
        <v>1952</v>
      </c>
      <c r="C1058" s="153" t="s">
        <v>2734</v>
      </c>
      <c r="D1058" s="248">
        <v>0.7</v>
      </c>
      <c r="E1058" s="151"/>
      <c r="F1058" s="266">
        <f t="shared" si="16"/>
        <v>0.7</v>
      </c>
    </row>
    <row r="1059" spans="2:6" x14ac:dyDescent="0.25">
      <c r="B1059" s="159" t="s">
        <v>314</v>
      </c>
      <c r="C1059" s="153" t="s">
        <v>2734</v>
      </c>
      <c r="D1059" s="248">
        <v>1.2</v>
      </c>
      <c r="E1059" s="151"/>
      <c r="F1059" s="266">
        <f t="shared" si="16"/>
        <v>1.2</v>
      </c>
    </row>
    <row r="1060" spans="2:6" x14ac:dyDescent="0.25">
      <c r="B1060" s="155" t="s">
        <v>294</v>
      </c>
      <c r="C1060" s="156" t="s">
        <v>2734</v>
      </c>
      <c r="D1060" s="248">
        <v>0.7</v>
      </c>
      <c r="E1060" s="151"/>
      <c r="F1060" s="266">
        <f t="shared" si="16"/>
        <v>0.7</v>
      </c>
    </row>
    <row r="1061" spans="2:6" x14ac:dyDescent="0.25">
      <c r="B1061" s="155" t="s">
        <v>295</v>
      </c>
      <c r="C1061" s="156" t="s">
        <v>2734</v>
      </c>
      <c r="D1061" s="248">
        <v>0.7</v>
      </c>
      <c r="E1061" s="151"/>
      <c r="F1061" s="266">
        <f t="shared" si="16"/>
        <v>0.7</v>
      </c>
    </row>
    <row r="1062" spans="2:6" x14ac:dyDescent="0.25">
      <c r="B1062" s="155" t="s">
        <v>326</v>
      </c>
      <c r="C1062" s="156" t="s">
        <v>2734</v>
      </c>
      <c r="D1062" s="248">
        <v>0.36</v>
      </c>
      <c r="E1062" s="151"/>
      <c r="F1062" s="266">
        <f t="shared" si="16"/>
        <v>0.36</v>
      </c>
    </row>
    <row r="1063" spans="2:6" x14ac:dyDescent="0.25">
      <c r="B1063" s="93" t="s">
        <v>2459</v>
      </c>
      <c r="C1063" s="47"/>
      <c r="D1063" s="248">
        <v>0</v>
      </c>
      <c r="E1063" s="47"/>
      <c r="F1063" s="266">
        <f t="shared" si="16"/>
        <v>0</v>
      </c>
    </row>
    <row r="1064" spans="2:6" x14ac:dyDescent="0.25">
      <c r="B1064" s="155" t="s">
        <v>2444</v>
      </c>
      <c r="C1064" s="156" t="s">
        <v>2734</v>
      </c>
      <c r="D1064" s="248">
        <v>1.1000000000000001</v>
      </c>
      <c r="E1064" s="151"/>
      <c r="F1064" s="266">
        <f t="shared" si="16"/>
        <v>1.1000000000000001</v>
      </c>
    </row>
    <row r="1065" spans="2:6" x14ac:dyDescent="0.25">
      <c r="B1065" s="93" t="s">
        <v>2468</v>
      </c>
      <c r="C1065" s="47"/>
      <c r="D1065" s="248">
        <v>0</v>
      </c>
      <c r="E1065" s="47"/>
      <c r="F1065" s="266">
        <f t="shared" si="16"/>
        <v>0</v>
      </c>
    </row>
    <row r="1066" spans="2:6" x14ac:dyDescent="0.25">
      <c r="B1066" s="96" t="s">
        <v>2462</v>
      </c>
      <c r="C1066" s="47"/>
      <c r="D1066" s="248">
        <v>0</v>
      </c>
      <c r="E1066" s="47"/>
      <c r="F1066" s="266">
        <f t="shared" si="16"/>
        <v>0</v>
      </c>
    </row>
    <row r="1067" spans="2:6" x14ac:dyDescent="0.25">
      <c r="B1067" s="96" t="s">
        <v>2484</v>
      </c>
      <c r="C1067" s="117"/>
      <c r="D1067" s="248">
        <v>0</v>
      </c>
      <c r="E1067" s="47"/>
      <c r="F1067" s="266">
        <f t="shared" si="16"/>
        <v>0</v>
      </c>
    </row>
    <row r="1068" spans="2:6" x14ac:dyDescent="0.25">
      <c r="B1068" s="155" t="s">
        <v>2445</v>
      </c>
      <c r="C1068" s="156" t="s">
        <v>2734</v>
      </c>
      <c r="D1068" s="248">
        <v>0.75</v>
      </c>
      <c r="E1068" s="151"/>
      <c r="F1068" s="266">
        <f t="shared" si="16"/>
        <v>0.75</v>
      </c>
    </row>
    <row r="1069" spans="2:6" x14ac:dyDescent="0.25">
      <c r="B1069" s="93" t="s">
        <v>2469</v>
      </c>
      <c r="C1069" s="47"/>
      <c r="D1069" s="248">
        <v>0</v>
      </c>
      <c r="E1069" s="47"/>
      <c r="F1069" s="266">
        <f t="shared" si="16"/>
        <v>0</v>
      </c>
    </row>
    <row r="1070" spans="2:6" x14ac:dyDescent="0.25">
      <c r="B1070" s="155" t="s">
        <v>2446</v>
      </c>
      <c r="C1070" s="156" t="s">
        <v>2734</v>
      </c>
      <c r="D1070" s="248">
        <v>0.7</v>
      </c>
      <c r="E1070" s="151"/>
      <c r="F1070" s="266">
        <f t="shared" si="16"/>
        <v>0.7</v>
      </c>
    </row>
    <row r="1071" spans="2:6" x14ac:dyDescent="0.25">
      <c r="B1071" s="155" t="s">
        <v>2446</v>
      </c>
      <c r="C1071" s="47"/>
      <c r="D1071" s="248">
        <v>0</v>
      </c>
      <c r="E1071" s="47"/>
      <c r="F1071" s="266">
        <f t="shared" si="16"/>
        <v>0</v>
      </c>
    </row>
    <row r="1072" spans="2:6" x14ac:dyDescent="0.25">
      <c r="B1072" s="106" t="s">
        <v>292</v>
      </c>
      <c r="F1072" s="266">
        <f t="shared" si="16"/>
        <v>0</v>
      </c>
    </row>
    <row r="1073" spans="2:6" x14ac:dyDescent="0.25">
      <c r="B1073" s="159" t="s">
        <v>288</v>
      </c>
      <c r="C1073" s="153" t="s">
        <v>2734</v>
      </c>
      <c r="D1073" s="248">
        <v>0.13</v>
      </c>
      <c r="E1073" s="151"/>
      <c r="F1073" s="266">
        <f t="shared" si="16"/>
        <v>0.13</v>
      </c>
    </row>
    <row r="1074" spans="2:6" x14ac:dyDescent="0.25">
      <c r="B1074" s="155" t="s">
        <v>2447</v>
      </c>
      <c r="C1074" s="156" t="s">
        <v>2734</v>
      </c>
      <c r="D1074" s="248">
        <v>0.7</v>
      </c>
      <c r="E1074" s="151"/>
      <c r="F1074" s="266">
        <f t="shared" si="16"/>
        <v>0.7</v>
      </c>
    </row>
    <row r="1075" spans="2:6" x14ac:dyDescent="0.25">
      <c r="B1075" s="155" t="s">
        <v>2448</v>
      </c>
      <c r="C1075" s="156" t="s">
        <v>2734</v>
      </c>
      <c r="D1075" s="248">
        <v>1.2</v>
      </c>
      <c r="E1075" s="151"/>
      <c r="F1075" s="266">
        <f t="shared" si="16"/>
        <v>1.2</v>
      </c>
    </row>
    <row r="1076" spans="2:6" x14ac:dyDescent="0.25">
      <c r="B1076" s="96" t="s">
        <v>2470</v>
      </c>
      <c r="C1076" s="117"/>
      <c r="D1076" s="248">
        <v>0</v>
      </c>
      <c r="E1076" s="47"/>
      <c r="F1076" s="266">
        <f t="shared" si="16"/>
        <v>0</v>
      </c>
    </row>
    <row r="1077" spans="2:6" x14ac:dyDescent="0.25">
      <c r="B1077" s="106" t="s">
        <v>317</v>
      </c>
      <c r="F1077" s="266">
        <f t="shared" si="16"/>
        <v>0</v>
      </c>
    </row>
    <row r="1078" spans="2:6" x14ac:dyDescent="0.25">
      <c r="B1078" s="155" t="s">
        <v>1937</v>
      </c>
      <c r="C1078" s="156" t="s">
        <v>2734</v>
      </c>
      <c r="D1078" s="248">
        <v>1</v>
      </c>
      <c r="E1078" s="151"/>
      <c r="F1078" s="266">
        <f t="shared" si="16"/>
        <v>1</v>
      </c>
    </row>
    <row r="1079" spans="2:6" x14ac:dyDescent="0.25">
      <c r="B1079" s="93" t="s">
        <v>2480</v>
      </c>
      <c r="C1079" s="47"/>
      <c r="D1079" s="248">
        <v>0</v>
      </c>
      <c r="E1079" s="47"/>
      <c r="F1079" s="266">
        <f t="shared" si="16"/>
        <v>0</v>
      </c>
    </row>
    <row r="1080" spans="2:6" x14ac:dyDescent="0.25">
      <c r="B1080" s="93" t="s">
        <v>2481</v>
      </c>
      <c r="C1080" s="47"/>
      <c r="D1080" s="248">
        <v>0</v>
      </c>
      <c r="E1080" s="47"/>
      <c r="F1080" s="266">
        <f t="shared" si="16"/>
        <v>0</v>
      </c>
    </row>
    <row r="1081" spans="2:6" x14ac:dyDescent="0.25">
      <c r="B1081" s="93" t="s">
        <v>2482</v>
      </c>
      <c r="C1081" s="117"/>
      <c r="D1081" s="248">
        <v>0</v>
      </c>
      <c r="E1081" s="47"/>
      <c r="F1081" s="266">
        <f t="shared" si="16"/>
        <v>0</v>
      </c>
    </row>
    <row r="1082" spans="2:6" x14ac:dyDescent="0.25">
      <c r="B1082" s="155" t="s">
        <v>2449</v>
      </c>
      <c r="C1082" s="156" t="s">
        <v>2734</v>
      </c>
      <c r="D1082" s="248">
        <v>1.36</v>
      </c>
      <c r="E1082" s="151"/>
      <c r="F1082" s="266">
        <f t="shared" si="16"/>
        <v>1.36</v>
      </c>
    </row>
    <row r="1083" spans="2:6" x14ac:dyDescent="0.25">
      <c r="B1083" s="106" t="s">
        <v>318</v>
      </c>
      <c r="C1083" s="120"/>
      <c r="F1083" s="266">
        <f t="shared" si="16"/>
        <v>0</v>
      </c>
    </row>
    <row r="1084" spans="2:6" x14ac:dyDescent="0.25">
      <c r="B1084" s="106" t="s">
        <v>289</v>
      </c>
      <c r="F1084" s="266">
        <f t="shared" si="16"/>
        <v>0</v>
      </c>
    </row>
    <row r="1085" spans="2:6" x14ac:dyDescent="0.25">
      <c r="B1085" s="106" t="s">
        <v>298</v>
      </c>
      <c r="C1085" s="120"/>
      <c r="F1085" s="266">
        <f t="shared" si="16"/>
        <v>0</v>
      </c>
    </row>
    <row r="1086" spans="2:6" x14ac:dyDescent="0.25">
      <c r="B1086" s="155" t="s">
        <v>2450</v>
      </c>
      <c r="C1086" s="156" t="s">
        <v>2734</v>
      </c>
      <c r="D1086" s="248">
        <v>1.36</v>
      </c>
      <c r="E1086" s="151"/>
      <c r="F1086" s="266">
        <f t="shared" si="16"/>
        <v>1.36</v>
      </c>
    </row>
    <row r="1087" spans="2:6" x14ac:dyDescent="0.25">
      <c r="B1087" s="93" t="s">
        <v>319</v>
      </c>
      <c r="C1087" s="47"/>
      <c r="D1087" s="248">
        <v>0</v>
      </c>
      <c r="E1087" s="47"/>
      <c r="F1087" s="266">
        <f t="shared" si="16"/>
        <v>0</v>
      </c>
    </row>
    <row r="1088" spans="2:6" x14ac:dyDescent="0.25">
      <c r="B1088" s="155" t="s">
        <v>458</v>
      </c>
      <c r="C1088" s="156" t="s">
        <v>2734</v>
      </c>
      <c r="D1088" s="248">
        <v>0.78</v>
      </c>
      <c r="E1088" s="151"/>
      <c r="F1088" s="266">
        <f t="shared" si="16"/>
        <v>0.78</v>
      </c>
    </row>
    <row r="1089" spans="2:6" x14ac:dyDescent="0.25">
      <c r="B1089" s="106" t="s">
        <v>2035</v>
      </c>
      <c r="C1089" s="120"/>
      <c r="F1089" s="266">
        <f t="shared" si="16"/>
        <v>0</v>
      </c>
    </row>
    <row r="1090" spans="2:6" x14ac:dyDescent="0.25">
      <c r="B1090" s="96" t="s">
        <v>2471</v>
      </c>
      <c r="C1090" s="47"/>
      <c r="D1090" s="248">
        <v>0</v>
      </c>
      <c r="E1090" s="47"/>
      <c r="F1090" s="266">
        <f t="shared" si="16"/>
        <v>0</v>
      </c>
    </row>
    <row r="1091" spans="2:6" x14ac:dyDescent="0.25">
      <c r="B1091" s="96" t="s">
        <v>2472</v>
      </c>
      <c r="C1091" s="47"/>
      <c r="D1091" s="248">
        <v>0</v>
      </c>
      <c r="E1091" s="47"/>
      <c r="F1091" s="266">
        <f t="shared" si="16"/>
        <v>0</v>
      </c>
    </row>
    <row r="1092" spans="2:6" x14ac:dyDescent="0.25">
      <c r="B1092" s="155" t="s">
        <v>1941</v>
      </c>
      <c r="C1092" s="156" t="s">
        <v>2734</v>
      </c>
      <c r="D1092" s="248">
        <v>0.66</v>
      </c>
      <c r="E1092" s="151"/>
      <c r="F1092" s="266">
        <f t="shared" si="16"/>
        <v>0.66</v>
      </c>
    </row>
    <row r="1093" spans="2:6" x14ac:dyDescent="0.25">
      <c r="B1093" s="159" t="s">
        <v>1959</v>
      </c>
      <c r="C1093" s="153" t="s">
        <v>2734</v>
      </c>
      <c r="D1093" s="248">
        <v>2</v>
      </c>
      <c r="E1093" s="151"/>
      <c r="F1093" s="266">
        <f t="shared" si="16"/>
        <v>2</v>
      </c>
    </row>
    <row r="1094" spans="2:6" x14ac:dyDescent="0.25">
      <c r="B1094" s="155" t="s">
        <v>1942</v>
      </c>
      <c r="C1094" s="156" t="s">
        <v>2734</v>
      </c>
      <c r="D1094" s="248">
        <v>1.1000000000000001</v>
      </c>
      <c r="E1094" s="151"/>
      <c r="F1094" s="266">
        <f t="shared" si="16"/>
        <v>1.1000000000000001</v>
      </c>
    </row>
    <row r="1095" spans="2:6" x14ac:dyDescent="0.25">
      <c r="B1095" s="155" t="s">
        <v>1943</v>
      </c>
      <c r="C1095" s="156" t="s">
        <v>2734</v>
      </c>
      <c r="D1095" s="248">
        <v>0.75</v>
      </c>
      <c r="E1095" s="151"/>
      <c r="F1095" s="266">
        <f t="shared" si="16"/>
        <v>0.75</v>
      </c>
    </row>
    <row r="1096" spans="2:6" x14ac:dyDescent="0.25">
      <c r="B1096" s="96" t="s">
        <v>2473</v>
      </c>
      <c r="C1096" s="47"/>
      <c r="D1096" s="248">
        <v>0</v>
      </c>
      <c r="E1096" s="47"/>
      <c r="F1096" s="266">
        <f t="shared" si="16"/>
        <v>0</v>
      </c>
    </row>
    <row r="1097" spans="2:6" x14ac:dyDescent="0.25">
      <c r="B1097" s="155" t="s">
        <v>1944</v>
      </c>
      <c r="C1097" s="156" t="s">
        <v>2734</v>
      </c>
      <c r="D1097" s="248">
        <v>0.83</v>
      </c>
      <c r="E1097" s="151"/>
      <c r="F1097" s="266">
        <f t="shared" si="16"/>
        <v>0.83</v>
      </c>
    </row>
    <row r="1098" spans="2:6" x14ac:dyDescent="0.25">
      <c r="B1098" s="155" t="s">
        <v>1945</v>
      </c>
      <c r="C1098" s="156" t="s">
        <v>2734</v>
      </c>
      <c r="D1098" s="248">
        <v>0.94</v>
      </c>
      <c r="E1098" s="151"/>
      <c r="F1098" s="266">
        <f t="shared" si="16"/>
        <v>0.94</v>
      </c>
    </row>
    <row r="1099" spans="2:6" x14ac:dyDescent="0.25">
      <c r="B1099" s="96" t="s">
        <v>2474</v>
      </c>
      <c r="C1099" s="47"/>
      <c r="D1099" s="248">
        <v>0</v>
      </c>
      <c r="E1099" s="47"/>
      <c r="F1099" s="266">
        <f t="shared" ref="F1099:F1113" si="17">IF(E1099&gt;0,E1099,D1099)</f>
        <v>0</v>
      </c>
    </row>
    <row r="1100" spans="2:6" x14ac:dyDescent="0.25">
      <c r="B1100" s="106" t="s">
        <v>290</v>
      </c>
      <c r="F1100" s="266">
        <f t="shared" si="17"/>
        <v>0</v>
      </c>
    </row>
    <row r="1101" spans="2:6" x14ac:dyDescent="0.25">
      <c r="B1101" s="96" t="s">
        <v>299</v>
      </c>
      <c r="C1101" s="120"/>
      <c r="F1101" s="266">
        <f t="shared" si="17"/>
        <v>0</v>
      </c>
    </row>
    <row r="1102" spans="2:6" x14ac:dyDescent="0.25">
      <c r="B1102" s="96" t="s">
        <v>300</v>
      </c>
      <c r="F1102" s="266">
        <f t="shared" si="17"/>
        <v>0</v>
      </c>
    </row>
    <row r="1103" spans="2:6" x14ac:dyDescent="0.25">
      <c r="B1103" s="96" t="s">
        <v>307</v>
      </c>
      <c r="C1103" s="47"/>
      <c r="D1103" s="248">
        <v>0</v>
      </c>
      <c r="E1103" s="47"/>
      <c r="F1103" s="266">
        <f t="shared" si="17"/>
        <v>0</v>
      </c>
    </row>
    <row r="1104" spans="2:6" x14ac:dyDescent="0.25">
      <c r="B1104" s="159" t="s">
        <v>1954</v>
      </c>
      <c r="C1104" s="153" t="s">
        <v>2734</v>
      </c>
      <c r="D1104" s="248">
        <v>10</v>
      </c>
      <c r="E1104" s="151"/>
      <c r="F1104" s="266">
        <f t="shared" si="17"/>
        <v>10</v>
      </c>
    </row>
    <row r="1105" spans="1:6" x14ac:dyDescent="0.25">
      <c r="B1105" s="159" t="s">
        <v>1955</v>
      </c>
      <c r="C1105" s="153" t="s">
        <v>2734</v>
      </c>
      <c r="E1105" s="151"/>
      <c r="F1105" s="266">
        <f t="shared" si="17"/>
        <v>0</v>
      </c>
    </row>
    <row r="1106" spans="1:6" x14ac:dyDescent="0.25">
      <c r="B1106" s="93" t="s">
        <v>2483</v>
      </c>
      <c r="C1106" s="117"/>
      <c r="D1106" s="248">
        <v>0</v>
      </c>
      <c r="E1106" s="47"/>
      <c r="F1106" s="266">
        <f t="shared" si="17"/>
        <v>0</v>
      </c>
    </row>
    <row r="1107" spans="1:6" x14ac:dyDescent="0.25">
      <c r="B1107" s="93" t="s">
        <v>2475</v>
      </c>
      <c r="C1107" s="47"/>
      <c r="D1107" s="248">
        <v>0</v>
      </c>
      <c r="E1107" s="47"/>
      <c r="F1107" s="266">
        <f t="shared" si="17"/>
        <v>0</v>
      </c>
    </row>
    <row r="1108" spans="1:6" x14ac:dyDescent="0.25">
      <c r="B1108" s="96" t="s">
        <v>2460</v>
      </c>
      <c r="C1108" s="120"/>
      <c r="D1108" s="248">
        <v>0</v>
      </c>
      <c r="E1108" s="47"/>
      <c r="F1108" s="266">
        <f t="shared" si="17"/>
        <v>0</v>
      </c>
    </row>
    <row r="1109" spans="1:6" x14ac:dyDescent="0.25">
      <c r="B1109" s="96" t="s">
        <v>2461</v>
      </c>
      <c r="C1109" s="47"/>
      <c r="D1109" s="248">
        <v>0</v>
      </c>
      <c r="E1109" s="47"/>
      <c r="F1109" s="266">
        <f t="shared" si="17"/>
        <v>0</v>
      </c>
    </row>
    <row r="1110" spans="1:6" x14ac:dyDescent="0.25">
      <c r="B1110" s="106" t="s">
        <v>3128</v>
      </c>
      <c r="C1110" s="120" t="s">
        <v>2734</v>
      </c>
      <c r="D1110" s="248">
        <v>1.2</v>
      </c>
      <c r="F1110" s="266">
        <f t="shared" si="17"/>
        <v>1.2</v>
      </c>
    </row>
    <row r="1111" spans="1:6" x14ac:dyDescent="0.25">
      <c r="A1111" s="249"/>
      <c r="B1111" s="250" t="s">
        <v>3123</v>
      </c>
      <c r="C1111" s="251" t="s">
        <v>2734</v>
      </c>
      <c r="D1111" s="251">
        <v>1</v>
      </c>
      <c r="E1111" s="252"/>
      <c r="F1111" s="266">
        <f t="shared" si="17"/>
        <v>1</v>
      </c>
    </row>
    <row r="1112" spans="1:6" x14ac:dyDescent="0.25">
      <c r="B1112" s="106" t="s">
        <v>3123</v>
      </c>
      <c r="C1112" s="120" t="s">
        <v>2734</v>
      </c>
      <c r="D1112" s="120">
        <v>1</v>
      </c>
      <c r="F1112" s="266">
        <f t="shared" si="17"/>
        <v>1</v>
      </c>
    </row>
    <row r="1113" spans="1:6" x14ac:dyDescent="0.25">
      <c r="B1113" s="256" t="s">
        <v>3231</v>
      </c>
      <c r="C1113" s="284" t="s">
        <v>1037</v>
      </c>
      <c r="D1113">
        <v>0.8</v>
      </c>
      <c r="E1113"/>
      <c r="F1113" s="266">
        <f t="shared" si="17"/>
        <v>0.8</v>
      </c>
    </row>
    <row r="1114" spans="1:6" x14ac:dyDescent="0.25">
      <c r="B1114" s="258" t="s">
        <v>3384</v>
      </c>
      <c r="C1114" s="47" t="s">
        <v>2734</v>
      </c>
      <c r="D1114" s="248">
        <v>1.5</v>
      </c>
      <c r="E1114" s="47"/>
      <c r="F1114" s="266"/>
    </row>
    <row r="1115" spans="1:6" x14ac:dyDescent="0.25">
      <c r="B1115" s="159" t="s">
        <v>857</v>
      </c>
      <c r="C1115" s="153" t="s">
        <v>2734</v>
      </c>
      <c r="F1115" s="266">
        <f t="shared" ref="F1115:F1146" si="18">IF(E1115&gt;0,E1115,D1115)</f>
        <v>0</v>
      </c>
    </row>
    <row r="1116" spans="1:6" x14ac:dyDescent="0.25">
      <c r="B1116" s="184" t="s">
        <v>882</v>
      </c>
      <c r="C1116" s="47"/>
      <c r="D1116" s="248">
        <v>0</v>
      </c>
      <c r="E1116" s="47"/>
      <c r="F1116" s="266">
        <f t="shared" si="18"/>
        <v>0</v>
      </c>
    </row>
    <row r="1117" spans="1:6" x14ac:dyDescent="0.25">
      <c r="B1117" s="106" t="s">
        <v>3067</v>
      </c>
      <c r="C1117" s="120" t="s">
        <v>2734</v>
      </c>
      <c r="D1117" s="248">
        <v>10</v>
      </c>
      <c r="F1117" s="266">
        <f t="shared" si="18"/>
        <v>10</v>
      </c>
    </row>
    <row r="1118" spans="1:6" x14ac:dyDescent="0.25">
      <c r="B1118" s="159" t="s">
        <v>878</v>
      </c>
      <c r="C1118" s="153" t="s">
        <v>2734</v>
      </c>
      <c r="F1118" s="266">
        <f t="shared" si="18"/>
        <v>0</v>
      </c>
    </row>
    <row r="1119" spans="1:6" x14ac:dyDescent="0.25">
      <c r="B1119" s="184" t="s">
        <v>883</v>
      </c>
      <c r="C1119" s="47"/>
      <c r="D1119" s="248">
        <v>0</v>
      </c>
      <c r="E1119" s="47"/>
      <c r="F1119" s="266">
        <f t="shared" si="18"/>
        <v>0</v>
      </c>
    </row>
    <row r="1120" spans="1:6" x14ac:dyDescent="0.25">
      <c r="B1120" s="159" t="s">
        <v>841</v>
      </c>
      <c r="C1120" s="153" t="s">
        <v>2734</v>
      </c>
      <c r="F1120" s="266">
        <f t="shared" si="18"/>
        <v>0</v>
      </c>
    </row>
    <row r="1121" spans="1:6" x14ac:dyDescent="0.25">
      <c r="B1121" s="155" t="s">
        <v>847</v>
      </c>
      <c r="C1121" s="153" t="s">
        <v>2734</v>
      </c>
      <c r="D1121" s="248">
        <v>1.1000000000000001</v>
      </c>
      <c r="F1121" s="266">
        <f t="shared" si="18"/>
        <v>1.1000000000000001</v>
      </c>
    </row>
    <row r="1122" spans="1:6" x14ac:dyDescent="0.25">
      <c r="B1122" s="106" t="s">
        <v>3308</v>
      </c>
      <c r="C1122" s="120" t="s">
        <v>2734</v>
      </c>
      <c r="D1122" s="248">
        <v>0.5</v>
      </c>
      <c r="F1122" s="266">
        <f t="shared" si="18"/>
        <v>0.5</v>
      </c>
    </row>
    <row r="1123" spans="1:6" x14ac:dyDescent="0.25">
      <c r="B1123" s="106" t="s">
        <v>3120</v>
      </c>
      <c r="C1123" s="120" t="s">
        <v>2734</v>
      </c>
      <c r="D1123" s="248">
        <v>0.5</v>
      </c>
      <c r="F1123" s="266">
        <f t="shared" si="18"/>
        <v>0.5</v>
      </c>
    </row>
    <row r="1124" spans="1:6" x14ac:dyDescent="0.25">
      <c r="B1124" s="106" t="s">
        <v>3120</v>
      </c>
      <c r="C1124" s="120" t="s">
        <v>2734</v>
      </c>
      <c r="D1124" s="120">
        <v>0.5</v>
      </c>
      <c r="F1124" s="266">
        <f t="shared" si="18"/>
        <v>0.5</v>
      </c>
    </row>
    <row r="1125" spans="1:6" x14ac:dyDescent="0.25">
      <c r="A1125" s="249"/>
      <c r="B1125" s="250" t="s">
        <v>3132</v>
      </c>
      <c r="C1125" s="251" t="s">
        <v>2734</v>
      </c>
      <c r="D1125" s="251">
        <v>0.9</v>
      </c>
      <c r="E1125" s="252"/>
      <c r="F1125" s="266">
        <f t="shared" si="18"/>
        <v>0.9</v>
      </c>
    </row>
    <row r="1126" spans="1:6" x14ac:dyDescent="0.25">
      <c r="B1126" s="106" t="s">
        <v>3132</v>
      </c>
      <c r="C1126" s="120" t="s">
        <v>2734</v>
      </c>
      <c r="D1126" s="120">
        <v>0.9</v>
      </c>
      <c r="F1126" s="266">
        <f t="shared" si="18"/>
        <v>0.9</v>
      </c>
    </row>
    <row r="1127" spans="1:6" x14ac:dyDescent="0.25">
      <c r="B1127" s="155" t="s">
        <v>846</v>
      </c>
      <c r="C1127" s="153" t="s">
        <v>2734</v>
      </c>
      <c r="D1127" s="248">
        <v>0.83</v>
      </c>
      <c r="F1127" s="266">
        <f t="shared" si="18"/>
        <v>0.83</v>
      </c>
    </row>
    <row r="1128" spans="1:6" x14ac:dyDescent="0.25">
      <c r="B1128" s="155" t="s">
        <v>851</v>
      </c>
      <c r="C1128" s="153" t="s">
        <v>2734</v>
      </c>
      <c r="F1128" s="266">
        <f t="shared" si="18"/>
        <v>0</v>
      </c>
    </row>
    <row r="1129" spans="1:6" x14ac:dyDescent="0.25">
      <c r="B1129" s="159" t="s">
        <v>848</v>
      </c>
      <c r="C1129" s="153" t="s">
        <v>2734</v>
      </c>
      <c r="F1129" s="266">
        <f t="shared" si="18"/>
        <v>0</v>
      </c>
    </row>
    <row r="1130" spans="1:6" x14ac:dyDescent="0.25">
      <c r="B1130" s="159" t="s">
        <v>842</v>
      </c>
      <c r="C1130" s="153" t="s">
        <v>2734</v>
      </c>
      <c r="F1130" s="266">
        <f t="shared" si="18"/>
        <v>0</v>
      </c>
    </row>
    <row r="1131" spans="1:6" x14ac:dyDescent="0.25">
      <c r="B1131" s="155" t="s">
        <v>833</v>
      </c>
      <c r="C1131" s="153" t="s">
        <v>2734</v>
      </c>
      <c r="F1131" s="266">
        <f t="shared" si="18"/>
        <v>0</v>
      </c>
    </row>
    <row r="1132" spans="1:6" x14ac:dyDescent="0.25">
      <c r="B1132" s="155" t="s">
        <v>845</v>
      </c>
      <c r="C1132" s="153" t="s">
        <v>2734</v>
      </c>
      <c r="D1132" s="248">
        <v>1</v>
      </c>
      <c r="F1132" s="266">
        <f t="shared" si="18"/>
        <v>1</v>
      </c>
    </row>
    <row r="1133" spans="1:6" x14ac:dyDescent="0.25">
      <c r="B1133" s="159" t="s">
        <v>844</v>
      </c>
      <c r="C1133" s="153" t="s">
        <v>2734</v>
      </c>
      <c r="D1133" s="248">
        <v>1.46</v>
      </c>
      <c r="F1133" s="266">
        <f t="shared" si="18"/>
        <v>1.46</v>
      </c>
    </row>
    <row r="1134" spans="1:6" x14ac:dyDescent="0.25">
      <c r="B1134" s="184" t="s">
        <v>884</v>
      </c>
      <c r="C1134" s="47"/>
      <c r="D1134" s="248">
        <v>0</v>
      </c>
      <c r="E1134" s="47"/>
      <c r="F1134" s="266">
        <f t="shared" si="18"/>
        <v>0</v>
      </c>
    </row>
    <row r="1135" spans="1:6" x14ac:dyDescent="0.25">
      <c r="B1135" s="159" t="s">
        <v>836</v>
      </c>
      <c r="C1135" s="153" t="s">
        <v>2734</v>
      </c>
      <c r="F1135" s="266">
        <f t="shared" si="18"/>
        <v>0</v>
      </c>
    </row>
    <row r="1136" spans="1:6" x14ac:dyDescent="0.25">
      <c r="B1136" s="159" t="s">
        <v>835</v>
      </c>
      <c r="C1136" s="153" t="s">
        <v>2734</v>
      </c>
      <c r="D1136" s="248">
        <v>0.68</v>
      </c>
      <c r="F1136" s="266">
        <f t="shared" si="18"/>
        <v>0.68</v>
      </c>
    </row>
    <row r="1137" spans="2:6" x14ac:dyDescent="0.25">
      <c r="B1137" s="159" t="s">
        <v>854</v>
      </c>
      <c r="C1137" s="153" t="s">
        <v>2734</v>
      </c>
      <c r="D1137" s="248">
        <v>0.2</v>
      </c>
      <c r="F1137" s="266">
        <f t="shared" si="18"/>
        <v>0.2</v>
      </c>
    </row>
    <row r="1138" spans="2:6" x14ac:dyDescent="0.25">
      <c r="B1138" s="155" t="s">
        <v>855</v>
      </c>
      <c r="C1138" s="153" t="s">
        <v>2734</v>
      </c>
      <c r="D1138" s="248">
        <v>0.42</v>
      </c>
      <c r="F1138" s="266">
        <f t="shared" si="18"/>
        <v>0.42</v>
      </c>
    </row>
    <row r="1139" spans="2:6" x14ac:dyDescent="0.25">
      <c r="B1139" s="155" t="s">
        <v>856</v>
      </c>
      <c r="C1139" s="153" t="s">
        <v>2734</v>
      </c>
      <c r="D1139" s="248">
        <v>0.83</v>
      </c>
      <c r="F1139" s="266">
        <f t="shared" si="18"/>
        <v>0.83</v>
      </c>
    </row>
    <row r="1140" spans="2:6" x14ac:dyDescent="0.25">
      <c r="B1140" s="155" t="s">
        <v>839</v>
      </c>
      <c r="C1140" s="153" t="s">
        <v>2734</v>
      </c>
      <c r="D1140" s="248">
        <v>1</v>
      </c>
      <c r="F1140" s="266">
        <f t="shared" si="18"/>
        <v>1</v>
      </c>
    </row>
    <row r="1141" spans="2:6" x14ac:dyDescent="0.25">
      <c r="B1141" s="155" t="s">
        <v>840</v>
      </c>
      <c r="C1141" s="153" t="s">
        <v>2734</v>
      </c>
      <c r="D1141" s="248">
        <v>1.3</v>
      </c>
      <c r="F1141" s="266">
        <f t="shared" si="18"/>
        <v>1.3</v>
      </c>
    </row>
    <row r="1142" spans="2:6" x14ac:dyDescent="0.25">
      <c r="B1142" s="155" t="s">
        <v>849</v>
      </c>
      <c r="C1142" s="153" t="s">
        <v>2734</v>
      </c>
      <c r="D1142" s="248">
        <v>1</v>
      </c>
      <c r="F1142" s="266">
        <f t="shared" si="18"/>
        <v>1</v>
      </c>
    </row>
    <row r="1143" spans="2:6" x14ac:dyDescent="0.25">
      <c r="B1143" s="155" t="s">
        <v>858</v>
      </c>
      <c r="C1143" s="153" t="s">
        <v>2734</v>
      </c>
      <c r="D1143" s="248">
        <v>0.42</v>
      </c>
      <c r="F1143" s="266">
        <f t="shared" si="18"/>
        <v>0.42</v>
      </c>
    </row>
    <row r="1144" spans="2:6" ht="26.4" x14ac:dyDescent="0.25">
      <c r="B1144" s="159" t="s">
        <v>859</v>
      </c>
      <c r="C1144" s="153" t="s">
        <v>2734</v>
      </c>
      <c r="D1144" s="248">
        <v>0.23</v>
      </c>
      <c r="F1144" s="266">
        <f t="shared" si="18"/>
        <v>0.23</v>
      </c>
    </row>
    <row r="1145" spans="2:6" x14ac:dyDescent="0.25">
      <c r="B1145" s="159" t="s">
        <v>843</v>
      </c>
      <c r="C1145" s="153" t="s">
        <v>2734</v>
      </c>
      <c r="F1145" s="266">
        <f t="shared" si="18"/>
        <v>0</v>
      </c>
    </row>
    <row r="1146" spans="2:6" x14ac:dyDescent="0.25">
      <c r="B1146" s="159" t="s">
        <v>881</v>
      </c>
      <c r="C1146" s="153" t="s">
        <v>2734</v>
      </c>
      <c r="D1146" s="248">
        <v>2</v>
      </c>
      <c r="E1146" s="151"/>
      <c r="F1146" s="266">
        <f t="shared" si="18"/>
        <v>2</v>
      </c>
    </row>
    <row r="1147" spans="2:6" x14ac:dyDescent="0.25">
      <c r="B1147" s="155" t="s">
        <v>879</v>
      </c>
      <c r="C1147" s="153" t="s">
        <v>2734</v>
      </c>
      <c r="F1147" s="266">
        <f t="shared" ref="F1147:F1178" si="19">IF(E1147&gt;0,E1147,D1147)</f>
        <v>0</v>
      </c>
    </row>
    <row r="1148" spans="2:6" x14ac:dyDescent="0.25">
      <c r="B1148" s="155" t="s">
        <v>837</v>
      </c>
      <c r="C1148" s="153" t="s">
        <v>2734</v>
      </c>
      <c r="D1148" s="248">
        <v>1</v>
      </c>
      <c r="F1148" s="266">
        <f t="shared" si="19"/>
        <v>1</v>
      </c>
    </row>
    <row r="1149" spans="2:6" x14ac:dyDescent="0.25">
      <c r="B1149" s="155" t="s">
        <v>838</v>
      </c>
      <c r="C1149" s="153" t="s">
        <v>2734</v>
      </c>
      <c r="D1149" s="248">
        <v>1.1000000000000001</v>
      </c>
      <c r="F1149" s="266">
        <f t="shared" si="19"/>
        <v>1.1000000000000001</v>
      </c>
    </row>
    <row r="1150" spans="2:6" x14ac:dyDescent="0.25">
      <c r="B1150" s="155" t="s">
        <v>834</v>
      </c>
      <c r="C1150" s="153" t="s">
        <v>2734</v>
      </c>
      <c r="F1150" s="266">
        <f t="shared" si="19"/>
        <v>0</v>
      </c>
    </row>
    <row r="1151" spans="2:6" x14ac:dyDescent="0.25">
      <c r="B1151" s="155" t="s">
        <v>834</v>
      </c>
      <c r="C1151" s="117"/>
      <c r="D1151" s="248">
        <v>0</v>
      </c>
      <c r="E1151" s="47"/>
      <c r="F1151" s="266">
        <f t="shared" si="19"/>
        <v>0</v>
      </c>
    </row>
    <row r="1152" spans="2:6" x14ac:dyDescent="0.25">
      <c r="B1152" s="155" t="s">
        <v>850</v>
      </c>
      <c r="C1152" s="153" t="s">
        <v>2734</v>
      </c>
      <c r="D1152" s="248">
        <v>1</v>
      </c>
      <c r="F1152" s="266">
        <f t="shared" si="19"/>
        <v>1</v>
      </c>
    </row>
    <row r="1153" spans="1:6" x14ac:dyDescent="0.25">
      <c r="B1153" s="155" t="s">
        <v>850</v>
      </c>
      <c r="C1153" s="120"/>
      <c r="D1153" s="248">
        <v>0</v>
      </c>
      <c r="E1153" s="47"/>
      <c r="F1153" s="266">
        <f t="shared" si="19"/>
        <v>0</v>
      </c>
    </row>
    <row r="1154" spans="1:6" x14ac:dyDescent="0.25">
      <c r="B1154" s="159" t="s">
        <v>860</v>
      </c>
      <c r="C1154" s="153" t="s">
        <v>2734</v>
      </c>
      <c r="D1154" s="248">
        <v>0.2</v>
      </c>
      <c r="F1154" s="266">
        <f t="shared" si="19"/>
        <v>0.2</v>
      </c>
    </row>
    <row r="1155" spans="1:6" x14ac:dyDescent="0.25">
      <c r="B1155" s="155" t="s">
        <v>861</v>
      </c>
      <c r="C1155" s="153" t="s">
        <v>2734</v>
      </c>
      <c r="D1155" s="248">
        <v>0.56000000000000005</v>
      </c>
      <c r="F1155" s="266">
        <f t="shared" si="19"/>
        <v>0.56000000000000005</v>
      </c>
    </row>
    <row r="1156" spans="1:6" x14ac:dyDescent="0.25">
      <c r="B1156" s="155" t="s">
        <v>862</v>
      </c>
      <c r="C1156" s="153" t="s">
        <v>2734</v>
      </c>
      <c r="D1156" s="248">
        <v>0.83</v>
      </c>
      <c r="F1156" s="266">
        <f t="shared" si="19"/>
        <v>0.83</v>
      </c>
    </row>
    <row r="1157" spans="1:6" x14ac:dyDescent="0.25">
      <c r="B1157" s="155" t="s">
        <v>863</v>
      </c>
      <c r="C1157" s="153" t="s">
        <v>2734</v>
      </c>
      <c r="D1157" s="248">
        <v>0.42</v>
      </c>
      <c r="F1157" s="266">
        <f t="shared" si="19"/>
        <v>0.42</v>
      </c>
    </row>
    <row r="1158" spans="1:6" x14ac:dyDescent="0.25">
      <c r="B1158" s="159" t="s">
        <v>880</v>
      </c>
      <c r="C1158" s="153" t="s">
        <v>2734</v>
      </c>
      <c r="D1158" s="248">
        <v>0.2</v>
      </c>
      <c r="F1158" s="266">
        <f t="shared" si="19"/>
        <v>0.2</v>
      </c>
    </row>
    <row r="1159" spans="1:6" x14ac:dyDescent="0.25">
      <c r="B1159" s="155" t="s">
        <v>852</v>
      </c>
      <c r="C1159" s="153" t="s">
        <v>2734</v>
      </c>
      <c r="D1159" s="248">
        <v>0.42</v>
      </c>
      <c r="F1159" s="266">
        <f t="shared" si="19"/>
        <v>0.42</v>
      </c>
    </row>
    <row r="1160" spans="1:6" x14ac:dyDescent="0.25">
      <c r="B1160" s="155" t="s">
        <v>853</v>
      </c>
      <c r="C1160" s="153" t="s">
        <v>2734</v>
      </c>
      <c r="D1160" s="248">
        <v>0.83</v>
      </c>
      <c r="F1160" s="266">
        <f t="shared" si="19"/>
        <v>0.83</v>
      </c>
    </row>
    <row r="1161" spans="1:6" ht="22.8" x14ac:dyDescent="0.25">
      <c r="B1161" s="106" t="s">
        <v>1410</v>
      </c>
      <c r="C1161" s="117"/>
      <c r="D1161" s="248">
        <v>0</v>
      </c>
      <c r="E1161" s="47"/>
      <c r="F1161" s="266">
        <f t="shared" si="19"/>
        <v>0</v>
      </c>
    </row>
    <row r="1162" spans="1:6" x14ac:dyDescent="0.25">
      <c r="A1162" s="249"/>
      <c r="B1162" s="250" t="s">
        <v>170</v>
      </c>
      <c r="C1162" s="251" t="s">
        <v>2734</v>
      </c>
      <c r="D1162" s="251">
        <v>0.8</v>
      </c>
      <c r="E1162" s="252"/>
      <c r="F1162" s="266">
        <f t="shared" si="19"/>
        <v>0.8</v>
      </c>
    </row>
    <row r="1163" spans="1:6" x14ac:dyDescent="0.25">
      <c r="B1163" s="106" t="s">
        <v>170</v>
      </c>
      <c r="C1163" s="120" t="s">
        <v>2734</v>
      </c>
      <c r="D1163" s="120">
        <v>0.8</v>
      </c>
      <c r="F1163" s="266">
        <f t="shared" si="19"/>
        <v>0.8</v>
      </c>
    </row>
    <row r="1164" spans="1:6" x14ac:dyDescent="0.25">
      <c r="B1164" s="106" t="s">
        <v>171</v>
      </c>
      <c r="C1164" s="47"/>
      <c r="D1164" s="248">
        <v>0</v>
      </c>
      <c r="E1164" s="47"/>
      <c r="F1164" s="266">
        <f t="shared" si="19"/>
        <v>0</v>
      </c>
    </row>
    <row r="1165" spans="1:6" x14ac:dyDescent="0.25">
      <c r="B1165" s="106" t="s">
        <v>3144</v>
      </c>
      <c r="C1165" s="120" t="s">
        <v>2921</v>
      </c>
      <c r="D1165" s="248">
        <v>1.75</v>
      </c>
      <c r="F1165" s="266">
        <f t="shared" si="19"/>
        <v>1.75</v>
      </c>
    </row>
    <row r="1166" spans="1:6" x14ac:dyDescent="0.25">
      <c r="B1166" s="106" t="s">
        <v>3144</v>
      </c>
      <c r="C1166" s="120" t="s">
        <v>2921</v>
      </c>
      <c r="D1166" s="120">
        <v>1.75</v>
      </c>
      <c r="F1166" s="266">
        <f t="shared" si="19"/>
        <v>1.75</v>
      </c>
    </row>
    <row r="1167" spans="1:6" x14ac:dyDescent="0.25">
      <c r="B1167" s="106" t="s">
        <v>3237</v>
      </c>
      <c r="C1167" s="257" t="s">
        <v>2921</v>
      </c>
      <c r="D1167" s="248">
        <v>3.5</v>
      </c>
      <c r="F1167" s="266">
        <f t="shared" si="19"/>
        <v>3.5</v>
      </c>
    </row>
    <row r="1168" spans="1:6" x14ac:dyDescent="0.25">
      <c r="B1168" s="147" t="s">
        <v>2847</v>
      </c>
      <c r="C1168" s="148" t="s">
        <v>399</v>
      </c>
      <c r="D1168" s="248">
        <v>0.71</v>
      </c>
      <c r="E1168" s="151"/>
      <c r="F1168" s="266">
        <f t="shared" si="19"/>
        <v>0.71</v>
      </c>
    </row>
    <row r="1169" spans="2:6" x14ac:dyDescent="0.25">
      <c r="B1169" s="147" t="s">
        <v>362</v>
      </c>
      <c r="C1169" s="148" t="s">
        <v>2734</v>
      </c>
      <c r="D1169" s="248">
        <v>50</v>
      </c>
      <c r="E1169" s="151"/>
      <c r="F1169" s="266">
        <f t="shared" si="19"/>
        <v>50</v>
      </c>
    </row>
    <row r="1170" spans="2:6" x14ac:dyDescent="0.25">
      <c r="B1170" s="147" t="s">
        <v>361</v>
      </c>
      <c r="C1170" s="148" t="s">
        <v>2734</v>
      </c>
      <c r="D1170" s="248">
        <v>50</v>
      </c>
      <c r="E1170" s="151"/>
      <c r="F1170" s="266">
        <f t="shared" si="19"/>
        <v>50</v>
      </c>
    </row>
    <row r="1171" spans="2:6" x14ac:dyDescent="0.25">
      <c r="B1171" s="147" t="s">
        <v>361</v>
      </c>
      <c r="C1171" s="47"/>
      <c r="D1171" s="248">
        <v>0</v>
      </c>
      <c r="E1171" s="47"/>
      <c r="F1171" s="266">
        <f t="shared" si="19"/>
        <v>0</v>
      </c>
    </row>
    <row r="1172" spans="2:6" x14ac:dyDescent="0.25">
      <c r="B1172" s="106" t="s">
        <v>696</v>
      </c>
      <c r="C1172" s="47"/>
      <c r="D1172" s="248">
        <v>0</v>
      </c>
      <c r="E1172" s="47"/>
      <c r="F1172" s="266">
        <f t="shared" si="19"/>
        <v>0</v>
      </c>
    </row>
    <row r="1173" spans="2:6" x14ac:dyDescent="0.25">
      <c r="B1173" s="106" t="s">
        <v>1377</v>
      </c>
      <c r="C1173" s="47"/>
      <c r="D1173" s="248">
        <v>0</v>
      </c>
      <c r="E1173" s="47"/>
      <c r="F1173" s="266">
        <f t="shared" si="19"/>
        <v>0</v>
      </c>
    </row>
    <row r="1174" spans="2:6" x14ac:dyDescent="0.25">
      <c r="B1174" s="106" t="s">
        <v>1378</v>
      </c>
      <c r="C1174" s="47"/>
      <c r="D1174" s="248">
        <v>0</v>
      </c>
      <c r="E1174" s="47"/>
      <c r="F1174" s="266">
        <f t="shared" si="19"/>
        <v>0</v>
      </c>
    </row>
    <row r="1175" spans="2:6" x14ac:dyDescent="0.25">
      <c r="B1175" s="155" t="s">
        <v>358</v>
      </c>
      <c r="C1175" s="153" t="s">
        <v>2734</v>
      </c>
      <c r="D1175" s="248">
        <v>275</v>
      </c>
      <c r="E1175" s="146"/>
      <c r="F1175" s="266">
        <f t="shared" si="19"/>
        <v>275</v>
      </c>
    </row>
    <row r="1176" spans="2:6" x14ac:dyDescent="0.25">
      <c r="B1176" s="155" t="s">
        <v>359</v>
      </c>
      <c r="C1176" s="153" t="s">
        <v>2734</v>
      </c>
      <c r="D1176" s="248">
        <v>175</v>
      </c>
      <c r="E1176" s="146"/>
      <c r="F1176" s="266">
        <f t="shared" si="19"/>
        <v>175</v>
      </c>
    </row>
    <row r="1177" spans="2:6" x14ac:dyDescent="0.25">
      <c r="B1177" s="155" t="s">
        <v>360</v>
      </c>
      <c r="C1177" s="153" t="s">
        <v>2734</v>
      </c>
      <c r="D1177" s="248">
        <v>85</v>
      </c>
      <c r="E1177" s="146"/>
      <c r="F1177" s="266">
        <f t="shared" si="19"/>
        <v>85</v>
      </c>
    </row>
    <row r="1178" spans="2:6" x14ac:dyDescent="0.25">
      <c r="B1178" s="106" t="s">
        <v>1379</v>
      </c>
      <c r="C1178" s="47"/>
      <c r="D1178" s="248">
        <v>0</v>
      </c>
      <c r="E1178" s="47"/>
      <c r="F1178" s="266">
        <f t="shared" si="19"/>
        <v>0</v>
      </c>
    </row>
    <row r="1179" spans="2:6" x14ac:dyDescent="0.25">
      <c r="B1179" s="155" t="s">
        <v>355</v>
      </c>
      <c r="C1179" s="153" t="s">
        <v>2734</v>
      </c>
      <c r="D1179" s="248">
        <v>116.6</v>
      </c>
      <c r="E1179" s="146"/>
      <c r="F1179" s="266">
        <f t="shared" ref="F1179:F1210" si="20">IF(E1179&gt;0,E1179,D1179)</f>
        <v>116.6</v>
      </c>
    </row>
    <row r="1180" spans="2:6" x14ac:dyDescent="0.25">
      <c r="B1180" s="155" t="s">
        <v>2822</v>
      </c>
      <c r="C1180" s="153" t="s">
        <v>2734</v>
      </c>
      <c r="E1180" s="146"/>
      <c r="F1180" s="266">
        <f t="shared" si="20"/>
        <v>0</v>
      </c>
    </row>
    <row r="1181" spans="2:6" x14ac:dyDescent="0.25">
      <c r="B1181" s="106" t="s">
        <v>671</v>
      </c>
      <c r="C1181" s="47"/>
      <c r="D1181" s="248">
        <v>0</v>
      </c>
      <c r="E1181" s="47"/>
      <c r="F1181" s="266">
        <f t="shared" si="20"/>
        <v>0</v>
      </c>
    </row>
    <row r="1182" spans="2:6" x14ac:dyDescent="0.25">
      <c r="B1182" s="155" t="s">
        <v>2823</v>
      </c>
      <c r="C1182" s="153" t="s">
        <v>2734</v>
      </c>
      <c r="E1182" s="146"/>
      <c r="F1182" s="266">
        <f t="shared" si="20"/>
        <v>0</v>
      </c>
    </row>
    <row r="1183" spans="2:6" x14ac:dyDescent="0.25">
      <c r="B1183" s="106" t="s">
        <v>672</v>
      </c>
      <c r="C1183" s="47"/>
      <c r="D1183" s="248">
        <v>0</v>
      </c>
      <c r="E1183" s="47"/>
      <c r="F1183" s="266">
        <f t="shared" si="20"/>
        <v>0</v>
      </c>
    </row>
    <row r="1184" spans="2:6" x14ac:dyDescent="0.25">
      <c r="B1184" s="155" t="s">
        <v>357</v>
      </c>
      <c r="C1184" s="153" t="s">
        <v>2734</v>
      </c>
      <c r="D1184" s="248">
        <v>40.200000000000003</v>
      </c>
      <c r="E1184" s="146"/>
      <c r="F1184" s="266">
        <f t="shared" si="20"/>
        <v>40.200000000000003</v>
      </c>
    </row>
    <row r="1185" spans="1:6" x14ac:dyDescent="0.25">
      <c r="B1185" s="155" t="s">
        <v>354</v>
      </c>
      <c r="C1185" s="153" t="s">
        <v>2734</v>
      </c>
      <c r="D1185" s="248">
        <v>51.9</v>
      </c>
      <c r="E1185" s="146"/>
      <c r="F1185" s="266">
        <f t="shared" si="20"/>
        <v>51.9</v>
      </c>
    </row>
    <row r="1186" spans="1:6" x14ac:dyDescent="0.25">
      <c r="B1186" s="155" t="s">
        <v>354</v>
      </c>
      <c r="C1186" s="47"/>
      <c r="D1186" s="248">
        <v>0</v>
      </c>
      <c r="E1186" s="47"/>
      <c r="F1186" s="266">
        <f t="shared" si="20"/>
        <v>0</v>
      </c>
    </row>
    <row r="1187" spans="1:6" x14ac:dyDescent="0.25">
      <c r="B1187" s="155" t="s">
        <v>356</v>
      </c>
      <c r="C1187" s="153" t="s">
        <v>2734</v>
      </c>
      <c r="D1187" s="248">
        <v>65.7</v>
      </c>
      <c r="E1187" s="146"/>
      <c r="F1187" s="266">
        <f t="shared" si="20"/>
        <v>65.7</v>
      </c>
    </row>
    <row r="1188" spans="1:6" x14ac:dyDescent="0.25">
      <c r="B1188" s="155" t="s">
        <v>356</v>
      </c>
      <c r="C1188" s="47"/>
      <c r="D1188" s="248">
        <v>0</v>
      </c>
      <c r="E1188" s="47"/>
      <c r="F1188" s="266">
        <f t="shared" si="20"/>
        <v>0</v>
      </c>
    </row>
    <row r="1189" spans="1:6" x14ac:dyDescent="0.25">
      <c r="A1189" s="166" t="s">
        <v>774</v>
      </c>
      <c r="B1189" s="184" t="s">
        <v>1138</v>
      </c>
      <c r="C1189" s="166" t="s">
        <v>1181</v>
      </c>
      <c r="D1189" s="248">
        <v>4.1732570879999997</v>
      </c>
      <c r="E1189" s="146"/>
      <c r="F1189" s="266">
        <f t="shared" si="20"/>
        <v>4.1732570879999997</v>
      </c>
    </row>
    <row r="1190" spans="1:6" x14ac:dyDescent="0.25">
      <c r="A1190" s="166"/>
      <c r="B1190" s="258" t="s">
        <v>3403</v>
      </c>
      <c r="C1190" s="287" t="s">
        <v>3083</v>
      </c>
      <c r="D1190" s="248">
        <v>5</v>
      </c>
      <c r="E1190" s="146"/>
      <c r="F1190" s="266">
        <f t="shared" si="20"/>
        <v>5</v>
      </c>
    </row>
    <row r="1191" spans="1:6" x14ac:dyDescent="0.25">
      <c r="B1191" s="159" t="s">
        <v>662</v>
      </c>
      <c r="C1191" s="153" t="s">
        <v>2734</v>
      </c>
      <c r="D1191" s="248">
        <v>1.25</v>
      </c>
      <c r="E1191" s="151"/>
      <c r="F1191" s="266">
        <f t="shared" si="20"/>
        <v>1.25</v>
      </c>
    </row>
    <row r="1192" spans="1:6" x14ac:dyDescent="0.25">
      <c r="B1192" s="106" t="s">
        <v>430</v>
      </c>
      <c r="C1192" s="120"/>
      <c r="F1192" s="266">
        <f t="shared" si="20"/>
        <v>0</v>
      </c>
    </row>
    <row r="1193" spans="1:6" x14ac:dyDescent="0.25">
      <c r="B1193" s="106" t="s">
        <v>431</v>
      </c>
      <c r="C1193" s="120"/>
      <c r="F1193" s="266">
        <f t="shared" si="20"/>
        <v>0</v>
      </c>
    </row>
    <row r="1194" spans="1:6" x14ac:dyDescent="0.25">
      <c r="B1194" s="159" t="s">
        <v>432</v>
      </c>
      <c r="E1194" s="151"/>
      <c r="F1194" s="266">
        <f t="shared" si="20"/>
        <v>0</v>
      </c>
    </row>
    <row r="1195" spans="1:6" x14ac:dyDescent="0.25">
      <c r="B1195" s="106" t="s">
        <v>433</v>
      </c>
      <c r="C1195" s="120"/>
      <c r="F1195" s="266">
        <f t="shared" si="20"/>
        <v>0</v>
      </c>
    </row>
    <row r="1196" spans="1:6" x14ac:dyDescent="0.25">
      <c r="B1196" s="106" t="s">
        <v>1430</v>
      </c>
      <c r="F1196" s="266">
        <f t="shared" si="20"/>
        <v>0</v>
      </c>
    </row>
    <row r="1197" spans="1:6" x14ac:dyDescent="0.25">
      <c r="B1197" s="106" t="s">
        <v>434</v>
      </c>
      <c r="C1197" s="120"/>
      <c r="F1197" s="266">
        <f t="shared" si="20"/>
        <v>0</v>
      </c>
    </row>
    <row r="1198" spans="1:6" x14ac:dyDescent="0.25">
      <c r="B1198" s="159" t="s">
        <v>435</v>
      </c>
      <c r="E1198" s="151"/>
      <c r="F1198" s="266">
        <f t="shared" si="20"/>
        <v>0</v>
      </c>
    </row>
    <row r="1199" spans="1:6" x14ac:dyDescent="0.25">
      <c r="B1199" s="159" t="s">
        <v>436</v>
      </c>
      <c r="C1199" s="153" t="s">
        <v>2030</v>
      </c>
      <c r="D1199" s="248">
        <v>68</v>
      </c>
      <c r="E1199" s="151"/>
      <c r="F1199" s="266">
        <f t="shared" si="20"/>
        <v>68</v>
      </c>
    </row>
    <row r="1200" spans="1:6" ht="26.4" x14ac:dyDescent="0.25">
      <c r="B1200" s="142" t="s">
        <v>2824</v>
      </c>
      <c r="C1200" s="187" t="s">
        <v>2840</v>
      </c>
      <c r="D1200" s="248">
        <v>37.307494560000002</v>
      </c>
      <c r="F1200" s="266">
        <f t="shared" si="20"/>
        <v>37.307494560000002</v>
      </c>
    </row>
    <row r="1201" spans="1:6" x14ac:dyDescent="0.25">
      <c r="B1201" s="106" t="s">
        <v>723</v>
      </c>
      <c r="C1201" s="120"/>
      <c r="D1201" s="248">
        <v>0</v>
      </c>
      <c r="E1201" s="47"/>
      <c r="F1201" s="266">
        <f t="shared" si="20"/>
        <v>0</v>
      </c>
    </row>
    <row r="1202" spans="1:6" x14ac:dyDescent="0.25">
      <c r="B1202" s="106" t="s">
        <v>2745</v>
      </c>
      <c r="C1202" s="120"/>
      <c r="D1202" s="248">
        <v>0</v>
      </c>
      <c r="E1202" s="47"/>
      <c r="F1202" s="266">
        <f t="shared" si="20"/>
        <v>0</v>
      </c>
    </row>
    <row r="1203" spans="1:6" x14ac:dyDescent="0.25">
      <c r="B1203" s="106" t="s">
        <v>330</v>
      </c>
      <c r="C1203" s="241"/>
      <c r="E1203" s="241"/>
      <c r="F1203" s="266">
        <f t="shared" si="20"/>
        <v>0</v>
      </c>
    </row>
    <row r="1204" spans="1:6" x14ac:dyDescent="0.25">
      <c r="B1204" s="106" t="s">
        <v>330</v>
      </c>
      <c r="C1204" s="120"/>
      <c r="D1204" s="248">
        <v>0</v>
      </c>
      <c r="E1204" s="47"/>
      <c r="F1204" s="266">
        <f t="shared" si="20"/>
        <v>0</v>
      </c>
    </row>
    <row r="1205" spans="1:6" ht="22.8" x14ac:dyDescent="0.25">
      <c r="B1205" s="106" t="s">
        <v>202</v>
      </c>
      <c r="C1205" s="47"/>
      <c r="D1205" s="248">
        <v>0</v>
      </c>
      <c r="E1205" s="47"/>
      <c r="F1205" s="266">
        <f t="shared" si="20"/>
        <v>0</v>
      </c>
    </row>
    <row r="1206" spans="1:6" x14ac:dyDescent="0.25">
      <c r="B1206" s="106" t="s">
        <v>172</v>
      </c>
      <c r="C1206" s="120"/>
      <c r="F1206" s="266">
        <f t="shared" si="20"/>
        <v>0</v>
      </c>
    </row>
    <row r="1207" spans="1:6" x14ac:dyDescent="0.25">
      <c r="B1207" s="106" t="s">
        <v>1368</v>
      </c>
      <c r="C1207" s="120"/>
      <c r="D1207" s="248">
        <v>0</v>
      </c>
      <c r="E1207" s="47"/>
      <c r="F1207" s="266">
        <f t="shared" si="20"/>
        <v>0</v>
      </c>
    </row>
    <row r="1208" spans="1:6" x14ac:dyDescent="0.25">
      <c r="B1208" s="106" t="s">
        <v>2700</v>
      </c>
      <c r="C1208" s="120"/>
      <c r="F1208" s="266">
        <f t="shared" si="20"/>
        <v>0</v>
      </c>
    </row>
    <row r="1209" spans="1:6" x14ac:dyDescent="0.25">
      <c r="B1209" s="106" t="s">
        <v>179</v>
      </c>
      <c r="C1209" s="47"/>
      <c r="D1209" s="248">
        <v>0</v>
      </c>
      <c r="E1209" s="47"/>
      <c r="F1209" s="266">
        <f t="shared" si="20"/>
        <v>0</v>
      </c>
    </row>
    <row r="1210" spans="1:6" x14ac:dyDescent="0.25">
      <c r="B1210" s="106" t="s">
        <v>572</v>
      </c>
      <c r="C1210" s="47"/>
      <c r="D1210" s="248">
        <v>0</v>
      </c>
      <c r="E1210" s="47"/>
      <c r="F1210" s="266">
        <f t="shared" si="20"/>
        <v>0</v>
      </c>
    </row>
    <row r="1211" spans="1:6" x14ac:dyDescent="0.25">
      <c r="B1211" s="96" t="s">
        <v>573</v>
      </c>
      <c r="C1211" s="120"/>
      <c r="D1211" s="248">
        <v>0</v>
      </c>
      <c r="E1211" s="47"/>
      <c r="F1211" s="266">
        <f t="shared" ref="F1211:F1242" si="21">IF(E1211&gt;0,E1211,D1211)</f>
        <v>0</v>
      </c>
    </row>
    <row r="1212" spans="1:6" ht="23.4" x14ac:dyDescent="0.25">
      <c r="B1212" s="128" t="s">
        <v>1708</v>
      </c>
      <c r="C1212" s="47"/>
      <c r="D1212" s="248">
        <v>0</v>
      </c>
      <c r="E1212" s="47"/>
      <c r="F1212" s="266">
        <f t="shared" si="21"/>
        <v>0</v>
      </c>
    </row>
    <row r="1213" spans="1:6" x14ac:dyDescent="0.25">
      <c r="B1213" s="17" t="s">
        <v>2829</v>
      </c>
      <c r="C1213" s="149" t="s">
        <v>2265</v>
      </c>
      <c r="D1213" s="248">
        <v>1.5</v>
      </c>
      <c r="E1213" s="146"/>
      <c r="F1213" s="266">
        <f t="shared" si="21"/>
        <v>1.5</v>
      </c>
    </row>
    <row r="1214" spans="1:6" x14ac:dyDescent="0.25">
      <c r="B1214" s="17" t="s">
        <v>2829</v>
      </c>
      <c r="C1214" s="101" t="s">
        <v>2265</v>
      </c>
      <c r="D1214" s="101">
        <v>1.5</v>
      </c>
      <c r="F1214" s="266">
        <f t="shared" si="21"/>
        <v>1.5</v>
      </c>
    </row>
    <row r="1215" spans="1:6" x14ac:dyDescent="0.25">
      <c r="A1215" s="184" t="s">
        <v>53</v>
      </c>
      <c r="B1215" s="184" t="s">
        <v>1672</v>
      </c>
      <c r="C1215" s="191" t="s">
        <v>2202</v>
      </c>
      <c r="D1215" s="248">
        <v>36.385787899999997</v>
      </c>
      <c r="F1215" s="266">
        <f t="shared" si="21"/>
        <v>36.385787899999997</v>
      </c>
    </row>
    <row r="1216" spans="1:6" x14ac:dyDescent="0.25">
      <c r="B1216" s="113" t="s">
        <v>1660</v>
      </c>
      <c r="C1216" s="196"/>
      <c r="D1216" s="248">
        <v>0</v>
      </c>
      <c r="E1216" s="47"/>
      <c r="F1216" s="266">
        <f t="shared" si="21"/>
        <v>0</v>
      </c>
    </row>
    <row r="1217" spans="1:6" x14ac:dyDescent="0.25">
      <c r="B1217" s="113" t="s">
        <v>1661</v>
      </c>
      <c r="C1217" s="47"/>
      <c r="D1217" s="248">
        <v>0</v>
      </c>
      <c r="E1217" s="47"/>
      <c r="F1217" s="266">
        <f t="shared" si="21"/>
        <v>0</v>
      </c>
    </row>
    <row r="1218" spans="1:6" x14ac:dyDescent="0.25">
      <c r="B1218" s="113" t="s">
        <v>1662</v>
      </c>
      <c r="C1218" s="120"/>
      <c r="D1218" s="248">
        <v>0</v>
      </c>
      <c r="E1218" s="47"/>
      <c r="F1218" s="266">
        <f t="shared" si="21"/>
        <v>0</v>
      </c>
    </row>
    <row r="1219" spans="1:6" x14ac:dyDescent="0.25">
      <c r="B1219" s="113" t="s">
        <v>191</v>
      </c>
      <c r="C1219" s="112"/>
      <c r="D1219" s="248">
        <v>0</v>
      </c>
      <c r="E1219" s="47"/>
      <c r="F1219" s="266">
        <f t="shared" si="21"/>
        <v>0</v>
      </c>
    </row>
    <row r="1220" spans="1:6" x14ac:dyDescent="0.25">
      <c r="B1220" s="113" t="s">
        <v>192</v>
      </c>
      <c r="C1220" s="120"/>
      <c r="D1220" s="248">
        <v>0</v>
      </c>
      <c r="E1220" s="47"/>
      <c r="F1220" s="266">
        <f t="shared" si="21"/>
        <v>0</v>
      </c>
    </row>
    <row r="1221" spans="1:6" x14ac:dyDescent="0.25">
      <c r="B1221" s="113" t="s">
        <v>2126</v>
      </c>
      <c r="C1221" s="120"/>
      <c r="D1221" s="248">
        <v>0</v>
      </c>
      <c r="E1221" s="47"/>
      <c r="F1221" s="266">
        <f t="shared" si="21"/>
        <v>0</v>
      </c>
    </row>
    <row r="1222" spans="1:6" x14ac:dyDescent="0.25">
      <c r="B1222" s="106" t="s">
        <v>250</v>
      </c>
      <c r="C1222" s="102"/>
      <c r="D1222" s="248">
        <v>0</v>
      </c>
      <c r="E1222" s="47"/>
      <c r="F1222" s="266">
        <f t="shared" si="21"/>
        <v>0</v>
      </c>
    </row>
    <row r="1223" spans="1:6" x14ac:dyDescent="0.25">
      <c r="B1223" s="195" t="s">
        <v>2928</v>
      </c>
      <c r="C1223" s="196" t="s">
        <v>2734</v>
      </c>
      <c r="D1223" s="197">
        <v>25</v>
      </c>
      <c r="F1223" s="266">
        <f t="shared" si="21"/>
        <v>25</v>
      </c>
    </row>
    <row r="1224" spans="1:6" x14ac:dyDescent="0.25">
      <c r="B1224" s="106" t="s">
        <v>3150</v>
      </c>
      <c r="C1224" s="120" t="s">
        <v>2734</v>
      </c>
      <c r="D1224" s="248">
        <v>750</v>
      </c>
      <c r="F1224" s="266">
        <f t="shared" si="21"/>
        <v>750</v>
      </c>
    </row>
    <row r="1225" spans="1:6" x14ac:dyDescent="0.25">
      <c r="B1225" s="106" t="s">
        <v>3150</v>
      </c>
      <c r="C1225" s="120" t="s">
        <v>2734</v>
      </c>
      <c r="D1225" s="248">
        <v>2000</v>
      </c>
      <c r="F1225" s="266">
        <f t="shared" si="21"/>
        <v>2000</v>
      </c>
    </row>
    <row r="1226" spans="1:6" x14ac:dyDescent="0.25">
      <c r="B1226" s="106" t="s">
        <v>3150</v>
      </c>
      <c r="C1226" s="120" t="s">
        <v>2734</v>
      </c>
      <c r="D1226" s="120">
        <v>750</v>
      </c>
      <c r="F1226" s="266">
        <f t="shared" si="21"/>
        <v>750</v>
      </c>
    </row>
    <row r="1227" spans="1:6" x14ac:dyDescent="0.25">
      <c r="B1227" s="106" t="s">
        <v>3150</v>
      </c>
      <c r="C1227" s="120" t="s">
        <v>2734</v>
      </c>
      <c r="D1227" s="120">
        <v>2000</v>
      </c>
      <c r="F1227" s="266">
        <f t="shared" si="21"/>
        <v>2000</v>
      </c>
    </row>
    <row r="1228" spans="1:6" x14ac:dyDescent="0.25">
      <c r="A1228" s="184" t="s">
        <v>59</v>
      </c>
      <c r="B1228" s="184" t="s">
        <v>1664</v>
      </c>
      <c r="C1228" s="191" t="s">
        <v>2265</v>
      </c>
      <c r="D1228" s="248">
        <v>800</v>
      </c>
      <c r="F1228" s="266">
        <f t="shared" si="21"/>
        <v>800</v>
      </c>
    </row>
    <row r="1229" spans="1:6" x14ac:dyDescent="0.25">
      <c r="B1229" s="106" t="s">
        <v>1466</v>
      </c>
      <c r="C1229" s="120" t="s">
        <v>2734</v>
      </c>
      <c r="D1229" s="248">
        <v>250</v>
      </c>
      <c r="E1229" s="241"/>
      <c r="F1229" s="266">
        <f t="shared" si="21"/>
        <v>250</v>
      </c>
    </row>
    <row r="1230" spans="1:6" x14ac:dyDescent="0.25">
      <c r="A1230" s="184" t="s">
        <v>2594</v>
      </c>
      <c r="B1230" s="184" t="s">
        <v>1740</v>
      </c>
      <c r="C1230" s="191" t="s">
        <v>2202</v>
      </c>
      <c r="D1230" s="248">
        <v>4.4953823040000005</v>
      </c>
      <c r="F1230" s="266">
        <f t="shared" si="21"/>
        <v>4.4953823040000005</v>
      </c>
    </row>
    <row r="1231" spans="1:6" x14ac:dyDescent="0.25">
      <c r="B1231" s="106" t="s">
        <v>3071</v>
      </c>
      <c r="C1231" s="120" t="s">
        <v>2734</v>
      </c>
      <c r="D1231" s="248">
        <v>1.2</v>
      </c>
      <c r="F1231" s="266">
        <f t="shared" si="21"/>
        <v>1.2</v>
      </c>
    </row>
    <row r="1232" spans="1:6" x14ac:dyDescent="0.25">
      <c r="B1232" s="106" t="s">
        <v>3071</v>
      </c>
      <c r="C1232" s="120" t="s">
        <v>2734</v>
      </c>
      <c r="D1232" s="120">
        <v>1.2</v>
      </c>
      <c r="F1232" s="266">
        <f t="shared" si="21"/>
        <v>1.2</v>
      </c>
    </row>
    <row r="1233" spans="1:6" x14ac:dyDescent="0.25">
      <c r="A1233" s="249"/>
      <c r="B1233" s="250" t="s">
        <v>3072</v>
      </c>
      <c r="C1233" s="251" t="s">
        <v>2734</v>
      </c>
      <c r="D1233" s="251">
        <v>1.2</v>
      </c>
      <c r="E1233" s="252"/>
      <c r="F1233" s="266">
        <f t="shared" si="21"/>
        <v>1.2</v>
      </c>
    </row>
    <row r="1234" spans="1:6" x14ac:dyDescent="0.25">
      <c r="B1234" s="106" t="s">
        <v>3072</v>
      </c>
      <c r="C1234" s="120" t="s">
        <v>2734</v>
      </c>
      <c r="D1234" s="120">
        <v>1.2</v>
      </c>
      <c r="F1234" s="266">
        <f t="shared" si="21"/>
        <v>1.2</v>
      </c>
    </row>
    <row r="1235" spans="1:6" x14ac:dyDescent="0.25">
      <c r="B1235" s="106" t="s">
        <v>574</v>
      </c>
      <c r="C1235" s="120"/>
      <c r="D1235" s="248">
        <v>0</v>
      </c>
      <c r="E1235" s="47"/>
      <c r="F1235" s="266">
        <f t="shared" si="21"/>
        <v>0</v>
      </c>
    </row>
    <row r="1236" spans="1:6" x14ac:dyDescent="0.25">
      <c r="B1236" s="106" t="s">
        <v>575</v>
      </c>
      <c r="C1236" s="120"/>
      <c r="D1236" s="248">
        <v>0</v>
      </c>
      <c r="E1236" s="47"/>
      <c r="F1236" s="266">
        <f t="shared" si="21"/>
        <v>0</v>
      </c>
    </row>
    <row r="1237" spans="1:6" x14ac:dyDescent="0.25">
      <c r="B1237" s="106" t="s">
        <v>3114</v>
      </c>
      <c r="C1237" s="120" t="s">
        <v>552</v>
      </c>
      <c r="F1237" s="266">
        <f t="shared" si="21"/>
        <v>0</v>
      </c>
    </row>
    <row r="1238" spans="1:6" x14ac:dyDescent="0.25">
      <c r="B1238" s="106" t="s">
        <v>3114</v>
      </c>
      <c r="C1238" s="120" t="s">
        <v>552</v>
      </c>
      <c r="D1238" s="120"/>
      <c r="F1238" s="266">
        <f t="shared" si="21"/>
        <v>0</v>
      </c>
    </row>
    <row r="1239" spans="1:6" ht="22.8" x14ac:dyDescent="0.25">
      <c r="B1239" s="106" t="s">
        <v>1422</v>
      </c>
      <c r="C1239" s="120"/>
      <c r="D1239" s="248">
        <v>0</v>
      </c>
      <c r="E1239" s="47"/>
      <c r="F1239" s="266">
        <f t="shared" si="21"/>
        <v>0</v>
      </c>
    </row>
    <row r="1240" spans="1:6" x14ac:dyDescent="0.25">
      <c r="A1240" s="184" t="s">
        <v>2595</v>
      </c>
      <c r="B1240" s="184" t="s">
        <v>1742</v>
      </c>
      <c r="C1240" s="191" t="s">
        <v>1182</v>
      </c>
      <c r="D1240" s="248">
        <v>81.068363600000012</v>
      </c>
      <c r="F1240" s="266">
        <f t="shared" si="21"/>
        <v>81.068363600000012</v>
      </c>
    </row>
    <row r="1241" spans="1:6" x14ac:dyDescent="0.25">
      <c r="B1241" s="106" t="s">
        <v>560</v>
      </c>
      <c r="C1241" s="120"/>
      <c r="D1241" s="248">
        <v>0</v>
      </c>
      <c r="E1241" s="47"/>
      <c r="F1241" s="266">
        <f t="shared" si="21"/>
        <v>0</v>
      </c>
    </row>
    <row r="1242" spans="1:6" x14ac:dyDescent="0.25">
      <c r="B1242" s="106" t="s">
        <v>2689</v>
      </c>
      <c r="C1242" s="120"/>
      <c r="D1242" s="248">
        <v>0</v>
      </c>
      <c r="E1242" s="47"/>
      <c r="F1242" s="266">
        <f t="shared" si="21"/>
        <v>0</v>
      </c>
    </row>
    <row r="1243" spans="1:6" x14ac:dyDescent="0.25">
      <c r="B1243" s="106" t="s">
        <v>5</v>
      </c>
      <c r="C1243" s="120"/>
      <c r="D1243" s="248">
        <v>0</v>
      </c>
      <c r="E1243" s="47"/>
      <c r="F1243" s="266">
        <f t="shared" ref="F1243:F1257" si="22">IF(E1243&gt;0,E1243,D1243)</f>
        <v>0</v>
      </c>
    </row>
    <row r="1244" spans="1:6" x14ac:dyDescent="0.25">
      <c r="B1244" s="106" t="s">
        <v>6</v>
      </c>
      <c r="C1244" s="120"/>
      <c r="D1244" s="248">
        <v>0</v>
      </c>
      <c r="E1244" s="47"/>
      <c r="F1244" s="266">
        <f t="shared" si="22"/>
        <v>0</v>
      </c>
    </row>
    <row r="1245" spans="1:6" x14ac:dyDescent="0.25">
      <c r="B1245" s="106" t="s">
        <v>7</v>
      </c>
      <c r="C1245" s="120"/>
      <c r="D1245" s="248">
        <v>0</v>
      </c>
      <c r="E1245" s="47"/>
      <c r="F1245" s="266">
        <f t="shared" si="22"/>
        <v>0</v>
      </c>
    </row>
    <row r="1246" spans="1:6" x14ac:dyDescent="0.25">
      <c r="B1246" s="106" t="s">
        <v>2720</v>
      </c>
      <c r="C1246" s="120"/>
      <c r="D1246" s="248">
        <v>0</v>
      </c>
      <c r="E1246" s="47"/>
      <c r="F1246" s="266">
        <f t="shared" si="22"/>
        <v>0</v>
      </c>
    </row>
    <row r="1247" spans="1:6" x14ac:dyDescent="0.25">
      <c r="B1247" s="106" t="s">
        <v>2690</v>
      </c>
      <c r="C1247" s="120"/>
      <c r="D1247" s="248">
        <v>0</v>
      </c>
      <c r="E1247" s="47"/>
      <c r="F1247" s="266">
        <f t="shared" si="22"/>
        <v>0</v>
      </c>
    </row>
    <row r="1248" spans="1:6" x14ac:dyDescent="0.25">
      <c r="B1248" s="106" t="s">
        <v>1180</v>
      </c>
      <c r="C1248" s="120"/>
      <c r="D1248" s="248">
        <v>0</v>
      </c>
      <c r="E1248" s="47"/>
      <c r="F1248" s="266">
        <f t="shared" si="22"/>
        <v>0</v>
      </c>
    </row>
    <row r="1249" spans="1:6" x14ac:dyDescent="0.25">
      <c r="B1249" s="106" t="s">
        <v>2754</v>
      </c>
      <c r="C1249" s="120" t="s">
        <v>2734</v>
      </c>
      <c r="D1249" s="248">
        <v>0</v>
      </c>
      <c r="E1249" s="47"/>
      <c r="F1249" s="266">
        <f t="shared" si="22"/>
        <v>0</v>
      </c>
    </row>
    <row r="1250" spans="1:6" x14ac:dyDescent="0.25">
      <c r="A1250" s="184" t="s">
        <v>2601</v>
      </c>
      <c r="B1250" s="184" t="s">
        <v>1739</v>
      </c>
      <c r="C1250" s="191" t="s">
        <v>2840</v>
      </c>
      <c r="D1250" s="248">
        <v>5.3199300000000003</v>
      </c>
      <c r="F1250" s="266">
        <f t="shared" si="22"/>
        <v>5.3199300000000003</v>
      </c>
    </row>
    <row r="1251" spans="1:6" x14ac:dyDescent="0.25">
      <c r="B1251" s="106" t="s">
        <v>8</v>
      </c>
      <c r="C1251" s="120" t="s">
        <v>735</v>
      </c>
      <c r="D1251" s="248">
        <v>25</v>
      </c>
      <c r="E1251" s="47"/>
      <c r="F1251" s="266">
        <f t="shared" si="22"/>
        <v>25</v>
      </c>
    </row>
    <row r="1252" spans="1:6" x14ac:dyDescent="0.25">
      <c r="A1252" s="184" t="s">
        <v>2606</v>
      </c>
      <c r="B1252" s="184" t="s">
        <v>690</v>
      </c>
      <c r="C1252" s="191" t="s">
        <v>2759</v>
      </c>
      <c r="D1252" s="248">
        <v>3085.5594000000001</v>
      </c>
      <c r="F1252" s="266">
        <f t="shared" si="22"/>
        <v>3085.5594000000001</v>
      </c>
    </row>
    <row r="1253" spans="1:6" x14ac:dyDescent="0.25">
      <c r="B1253" s="184" t="s">
        <v>690</v>
      </c>
      <c r="C1253" s="120"/>
      <c r="D1253" s="248">
        <v>0</v>
      </c>
      <c r="E1253" s="47"/>
      <c r="F1253" s="266">
        <f t="shared" si="22"/>
        <v>0</v>
      </c>
    </row>
    <row r="1254" spans="1:6" x14ac:dyDescent="0.25">
      <c r="B1254" s="96" t="s">
        <v>3342</v>
      </c>
      <c r="C1254" s="257" t="s">
        <v>3343</v>
      </c>
      <c r="D1254" s="248">
        <v>5</v>
      </c>
      <c r="F1254" s="266">
        <f t="shared" si="22"/>
        <v>5</v>
      </c>
    </row>
    <row r="1255" spans="1:6" x14ac:dyDescent="0.25">
      <c r="B1255" s="106" t="s">
        <v>2371</v>
      </c>
      <c r="C1255" s="120"/>
      <c r="D1255" s="248">
        <v>0</v>
      </c>
      <c r="E1255" s="47"/>
      <c r="F1255" s="266">
        <f t="shared" si="22"/>
        <v>0</v>
      </c>
    </row>
    <row r="1256" spans="1:6" x14ac:dyDescent="0.25">
      <c r="B1256" s="17" t="s">
        <v>2507</v>
      </c>
      <c r="C1256" s="101" t="s">
        <v>2016</v>
      </c>
      <c r="D1256" s="101">
        <v>0.5</v>
      </c>
      <c r="F1256" s="266">
        <f t="shared" si="22"/>
        <v>0.5</v>
      </c>
    </row>
    <row r="1257" spans="1:6" x14ac:dyDescent="0.25">
      <c r="B1257" s="17" t="s">
        <v>691</v>
      </c>
      <c r="C1257" s="101" t="s">
        <v>2016</v>
      </c>
      <c r="D1257" s="101">
        <v>0.03</v>
      </c>
      <c r="F1257" s="266">
        <f t="shared" si="22"/>
        <v>0.03</v>
      </c>
    </row>
  </sheetData>
  <sortState ref="A2:H1257">
    <sortCondition ref="B2:B1257"/>
  </sortState>
  <phoneticPr fontId="6"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0"/>
  <sheetViews>
    <sheetView workbookViewId="0">
      <selection activeCell="B6" sqref="B6"/>
    </sheetView>
  </sheetViews>
  <sheetFormatPr defaultRowHeight="13.2" x14ac:dyDescent="0.25"/>
  <cols>
    <col min="1" max="1" width="16.88671875" customWidth="1"/>
    <col min="2" max="2" width="84.33203125" customWidth="1"/>
    <col min="4" max="4" width="12.6640625" customWidth="1"/>
    <col min="5" max="5" width="9.44140625" style="163" customWidth="1"/>
  </cols>
  <sheetData>
    <row r="1" spans="1:6" x14ac:dyDescent="0.25">
      <c r="B1" t="s">
        <v>1792</v>
      </c>
    </row>
    <row r="2" spans="1:6" ht="30.6" x14ac:dyDescent="0.25">
      <c r="A2" s="164" t="s">
        <v>1793</v>
      </c>
      <c r="B2" s="164" t="s">
        <v>2090</v>
      </c>
      <c r="C2" s="164" t="s">
        <v>1794</v>
      </c>
      <c r="D2" s="164" t="s">
        <v>2372</v>
      </c>
      <c r="E2" s="165" t="s">
        <v>1795</v>
      </c>
      <c r="F2" s="164"/>
    </row>
    <row r="3" spans="1:6" x14ac:dyDescent="0.25">
      <c r="A3" s="166" t="s">
        <v>1796</v>
      </c>
      <c r="B3" s="166" t="s">
        <v>1049</v>
      </c>
      <c r="C3" s="166" t="s">
        <v>1797</v>
      </c>
      <c r="D3" s="166" t="s">
        <v>2840</v>
      </c>
      <c r="E3" s="163">
        <v>33.163089455999994</v>
      </c>
    </row>
    <row r="4" spans="1:6" x14ac:dyDescent="0.25">
      <c r="A4" s="166" t="s">
        <v>1798</v>
      </c>
      <c r="B4" s="166" t="s">
        <v>1803</v>
      </c>
      <c r="C4" s="166" t="s">
        <v>1804</v>
      </c>
      <c r="D4" s="166" t="s">
        <v>1804</v>
      </c>
      <c r="E4" s="163">
        <v>0</v>
      </c>
    </row>
    <row r="5" spans="1:6" x14ac:dyDescent="0.25">
      <c r="A5" s="166" t="s">
        <v>1805</v>
      </c>
      <c r="B5" s="166" t="s">
        <v>1050</v>
      </c>
      <c r="C5" s="166" t="s">
        <v>1797</v>
      </c>
      <c r="D5" s="166" t="s">
        <v>2840</v>
      </c>
      <c r="E5" s="163">
        <v>43.757092120000003</v>
      </c>
    </row>
    <row r="6" spans="1:6" x14ac:dyDescent="0.25">
      <c r="A6" s="166" t="s">
        <v>1806</v>
      </c>
      <c r="B6" s="166" t="s">
        <v>1051</v>
      </c>
      <c r="C6" s="166" t="s">
        <v>1807</v>
      </c>
      <c r="D6" s="166" t="s">
        <v>2265</v>
      </c>
      <c r="E6" s="163">
        <v>4.5961431599999996</v>
      </c>
    </row>
    <row r="7" spans="1:6" ht="12.75" customHeight="1" x14ac:dyDescent="0.25">
      <c r="A7" s="166" t="s">
        <v>1808</v>
      </c>
      <c r="B7" s="166" t="s">
        <v>1052</v>
      </c>
      <c r="C7" s="166" t="s">
        <v>1809</v>
      </c>
      <c r="D7" s="166" t="s">
        <v>1053</v>
      </c>
      <c r="E7" s="163">
        <v>115.1435516</v>
      </c>
    </row>
    <row r="8" spans="1:6" x14ac:dyDescent="0.25">
      <c r="A8" s="166" t="s">
        <v>1810</v>
      </c>
      <c r="B8" s="166" t="s">
        <v>1054</v>
      </c>
      <c r="C8" s="166" t="s">
        <v>1811</v>
      </c>
      <c r="D8" s="166" t="s">
        <v>399</v>
      </c>
      <c r="E8" s="163">
        <v>0.85671599999999981</v>
      </c>
    </row>
    <row r="9" spans="1:6" x14ac:dyDescent="0.25">
      <c r="A9" s="166" t="s">
        <v>1812</v>
      </c>
      <c r="B9" s="166" t="s">
        <v>1055</v>
      </c>
      <c r="C9" s="166" t="s">
        <v>1813</v>
      </c>
      <c r="D9" s="166" t="s">
        <v>1181</v>
      </c>
      <c r="E9" s="163">
        <v>1.2344724840000001</v>
      </c>
    </row>
    <row r="10" spans="1:6" x14ac:dyDescent="0.25">
      <c r="A10" s="166" t="s">
        <v>1814</v>
      </c>
      <c r="B10" s="166" t="s">
        <v>1056</v>
      </c>
      <c r="C10" s="166" t="s">
        <v>1813</v>
      </c>
      <c r="D10" s="166" t="s">
        <v>1181</v>
      </c>
      <c r="E10" s="163">
        <v>1.4001503039999998</v>
      </c>
    </row>
    <row r="11" spans="1:6" x14ac:dyDescent="0.25">
      <c r="A11" s="166" t="s">
        <v>1815</v>
      </c>
      <c r="B11" s="166" t="s">
        <v>1057</v>
      </c>
      <c r="C11" s="166" t="s">
        <v>1816</v>
      </c>
      <c r="D11" s="166" t="s">
        <v>1181</v>
      </c>
      <c r="E11" s="163">
        <v>0.81069284800000008</v>
      </c>
    </row>
    <row r="12" spans="1:6" x14ac:dyDescent="0.25">
      <c r="A12" s="166" t="s">
        <v>1817</v>
      </c>
      <c r="B12" s="166" t="s">
        <v>1058</v>
      </c>
      <c r="C12" s="166" t="s">
        <v>1816</v>
      </c>
      <c r="D12" s="166" t="s">
        <v>1181</v>
      </c>
      <c r="E12" s="163">
        <v>0.73691394000000021</v>
      </c>
    </row>
    <row r="13" spans="1:6" x14ac:dyDescent="0.25">
      <c r="A13" s="166" t="s">
        <v>1818</v>
      </c>
      <c r="B13" s="166" t="s">
        <v>1059</v>
      </c>
      <c r="C13" s="166" t="s">
        <v>1828</v>
      </c>
      <c r="D13" s="166" t="s">
        <v>1183</v>
      </c>
      <c r="E13" s="163">
        <v>3.0030567280000002</v>
      </c>
    </row>
    <row r="14" spans="1:6" x14ac:dyDescent="0.25">
      <c r="A14" s="166" t="s">
        <v>1829</v>
      </c>
      <c r="B14" s="166" t="s">
        <v>1060</v>
      </c>
      <c r="C14" s="166" t="s">
        <v>1830</v>
      </c>
      <c r="D14" s="166" t="s">
        <v>1183</v>
      </c>
      <c r="E14" s="163">
        <v>2.7175031519999999</v>
      </c>
    </row>
    <row r="15" spans="1:6" x14ac:dyDescent="0.25">
      <c r="A15" s="166" t="s">
        <v>1831</v>
      </c>
      <c r="B15" s="166" t="s">
        <v>1061</v>
      </c>
      <c r="C15" s="166" t="s">
        <v>1813</v>
      </c>
      <c r="D15" s="166" t="s">
        <v>1181</v>
      </c>
      <c r="E15" s="163">
        <v>1.6490585439999998</v>
      </c>
    </row>
    <row r="16" spans="1:6" x14ac:dyDescent="0.25">
      <c r="A16" s="166" t="s">
        <v>1832</v>
      </c>
      <c r="B16" s="166" t="s">
        <v>1063</v>
      </c>
      <c r="C16" s="166" t="s">
        <v>1833</v>
      </c>
      <c r="D16" s="166" t="s">
        <v>1802</v>
      </c>
      <c r="E16" s="163">
        <v>11.561041576000003</v>
      </c>
    </row>
    <row r="17" spans="1:5" x14ac:dyDescent="0.25">
      <c r="A17" s="166" t="s">
        <v>1834</v>
      </c>
      <c r="B17" s="166" t="s">
        <v>1064</v>
      </c>
      <c r="C17" s="166" t="s">
        <v>1833</v>
      </c>
      <c r="D17" s="166" t="s">
        <v>1802</v>
      </c>
      <c r="E17" s="163">
        <v>5.9417400000000002</v>
      </c>
    </row>
    <row r="18" spans="1:5" x14ac:dyDescent="0.25">
      <c r="A18" s="166" t="s">
        <v>1835</v>
      </c>
      <c r="B18" s="166" t="s">
        <v>1065</v>
      </c>
      <c r="C18" s="166" t="s">
        <v>1833</v>
      </c>
      <c r="D18" s="166" t="s">
        <v>1802</v>
      </c>
      <c r="E18" s="163">
        <v>8.7974600000000009</v>
      </c>
    </row>
    <row r="19" spans="1:5" x14ac:dyDescent="0.25">
      <c r="A19" s="166" t="s">
        <v>1836</v>
      </c>
      <c r="B19" s="166" t="s">
        <v>1066</v>
      </c>
      <c r="C19" s="166" t="s">
        <v>1837</v>
      </c>
      <c r="D19" s="166" t="s">
        <v>1802</v>
      </c>
      <c r="E19" s="163">
        <v>10.041190543999997</v>
      </c>
    </row>
    <row r="20" spans="1:5" x14ac:dyDescent="0.25">
      <c r="A20" s="166" t="s">
        <v>1838</v>
      </c>
      <c r="B20" s="166" t="s">
        <v>1067</v>
      </c>
      <c r="C20" s="166" t="s">
        <v>1837</v>
      </c>
      <c r="D20" s="166" t="s">
        <v>1802</v>
      </c>
      <c r="E20" s="163">
        <v>13.265280000000001</v>
      </c>
    </row>
    <row r="21" spans="1:5" x14ac:dyDescent="0.25">
      <c r="A21" s="166" t="s">
        <v>1839</v>
      </c>
      <c r="B21" s="166" t="s">
        <v>1068</v>
      </c>
      <c r="C21" s="166" t="s">
        <v>1840</v>
      </c>
      <c r="D21" s="166" t="s">
        <v>1802</v>
      </c>
      <c r="E21" s="163">
        <v>9.5804431519999973</v>
      </c>
    </row>
    <row r="22" spans="1:5" x14ac:dyDescent="0.25">
      <c r="A22" s="166" t="s">
        <v>1841</v>
      </c>
      <c r="B22" s="166" t="s">
        <v>1069</v>
      </c>
      <c r="C22" s="166" t="s">
        <v>1840</v>
      </c>
      <c r="D22" s="166" t="s">
        <v>1802</v>
      </c>
      <c r="E22" s="163">
        <v>14.002258423999999</v>
      </c>
    </row>
    <row r="23" spans="1:5" x14ac:dyDescent="0.25">
      <c r="A23" s="166" t="s">
        <v>1842</v>
      </c>
      <c r="B23" s="166" t="s">
        <v>1070</v>
      </c>
      <c r="C23" s="166" t="s">
        <v>1843</v>
      </c>
      <c r="D23" s="166" t="s">
        <v>1802</v>
      </c>
      <c r="E23" s="163">
        <v>1.6121000000000003</v>
      </c>
    </row>
    <row r="24" spans="1:5" x14ac:dyDescent="0.25">
      <c r="A24" s="166" t="s">
        <v>1844</v>
      </c>
      <c r="B24" s="166" t="s">
        <v>1127</v>
      </c>
      <c r="C24" s="166" t="s">
        <v>1845</v>
      </c>
      <c r="D24" s="166" t="s">
        <v>1128</v>
      </c>
      <c r="E24" s="163">
        <v>5.9413346719999991</v>
      </c>
    </row>
    <row r="25" spans="1:5" x14ac:dyDescent="0.25">
      <c r="A25" s="166" t="s">
        <v>1846</v>
      </c>
      <c r="B25" s="166" t="s">
        <v>2521</v>
      </c>
      <c r="C25" s="166" t="s">
        <v>1845</v>
      </c>
      <c r="D25" s="166" t="s">
        <v>1128</v>
      </c>
      <c r="E25" s="163">
        <v>6.6800173160000016</v>
      </c>
    </row>
    <row r="26" spans="1:5" x14ac:dyDescent="0.25">
      <c r="A26" s="166" t="s">
        <v>1847</v>
      </c>
      <c r="B26" s="166" t="s">
        <v>1074</v>
      </c>
      <c r="C26" s="166" t="s">
        <v>1848</v>
      </c>
      <c r="D26" s="166" t="s">
        <v>2202</v>
      </c>
      <c r="E26" s="163">
        <v>9.350456359999999</v>
      </c>
    </row>
    <row r="27" spans="1:5" x14ac:dyDescent="0.25">
      <c r="A27" s="166" t="s">
        <v>1849</v>
      </c>
      <c r="B27" s="166" t="s">
        <v>1075</v>
      </c>
      <c r="C27" s="166" t="s">
        <v>1850</v>
      </c>
      <c r="D27" s="166" t="s">
        <v>399</v>
      </c>
      <c r="E27" s="163">
        <v>44.680364820000001</v>
      </c>
    </row>
    <row r="28" spans="1:5" x14ac:dyDescent="0.25">
      <c r="A28" s="166" t="s">
        <v>1851</v>
      </c>
      <c r="B28" s="166" t="s">
        <v>1076</v>
      </c>
      <c r="C28" s="166" t="s">
        <v>1850</v>
      </c>
      <c r="D28" s="166" t="s">
        <v>399</v>
      </c>
      <c r="E28" s="163">
        <v>46.981061820000001</v>
      </c>
    </row>
    <row r="29" spans="1:5" x14ac:dyDescent="0.25">
      <c r="A29" s="166" t="s">
        <v>1852</v>
      </c>
      <c r="B29" s="166" t="s">
        <v>1077</v>
      </c>
      <c r="C29" s="166" t="s">
        <v>1853</v>
      </c>
      <c r="D29" s="166" t="s">
        <v>2202</v>
      </c>
      <c r="E29" s="163">
        <v>373.06297000000001</v>
      </c>
    </row>
    <row r="30" spans="1:5" x14ac:dyDescent="0.25">
      <c r="A30" s="166" t="s">
        <v>1854</v>
      </c>
      <c r="B30" s="166" t="s">
        <v>1078</v>
      </c>
      <c r="C30" s="166" t="s">
        <v>1853</v>
      </c>
      <c r="D30" s="166" t="s">
        <v>2202</v>
      </c>
      <c r="E30" s="163">
        <v>263.43556400000006</v>
      </c>
    </row>
    <row r="31" spans="1:5" x14ac:dyDescent="0.25">
      <c r="A31" s="166" t="s">
        <v>1855</v>
      </c>
      <c r="B31" s="166" t="s">
        <v>1079</v>
      </c>
      <c r="C31" s="166" t="s">
        <v>1804</v>
      </c>
      <c r="D31" s="166" t="s">
        <v>1589</v>
      </c>
      <c r="E31" s="163">
        <v>10.791858</v>
      </c>
    </row>
    <row r="32" spans="1:5" x14ac:dyDescent="0.25">
      <c r="A32" s="166" t="s">
        <v>1856</v>
      </c>
      <c r="B32" s="166" t="s">
        <v>1080</v>
      </c>
      <c r="C32" s="166" t="s">
        <v>1857</v>
      </c>
      <c r="D32" s="166" t="s">
        <v>2265</v>
      </c>
      <c r="E32" s="163">
        <v>5.9881684799999997</v>
      </c>
    </row>
    <row r="33" spans="1:5" x14ac:dyDescent="0.25">
      <c r="A33" s="166" t="s">
        <v>1858</v>
      </c>
      <c r="B33" s="166" t="s">
        <v>1081</v>
      </c>
      <c r="C33" s="166" t="s">
        <v>1857</v>
      </c>
      <c r="D33" s="166" t="s">
        <v>2265</v>
      </c>
      <c r="E33" s="163">
        <v>3.9706299359999999</v>
      </c>
    </row>
    <row r="34" spans="1:5" x14ac:dyDescent="0.25">
      <c r="A34" s="166" t="s">
        <v>1859</v>
      </c>
      <c r="B34" s="166" t="s">
        <v>1082</v>
      </c>
      <c r="C34" s="166" t="s">
        <v>1860</v>
      </c>
      <c r="D34" s="166" t="s">
        <v>2376</v>
      </c>
      <c r="E34" s="163">
        <v>3247.23</v>
      </c>
    </row>
    <row r="35" spans="1:5" x14ac:dyDescent="0.25">
      <c r="A35" s="166" t="s">
        <v>1861</v>
      </c>
      <c r="B35" s="166" t="s">
        <v>1083</v>
      </c>
      <c r="C35" s="166" t="s">
        <v>1862</v>
      </c>
      <c r="D35" s="166" t="s">
        <v>2376</v>
      </c>
      <c r="E35" s="163">
        <v>1473.9752720000001</v>
      </c>
    </row>
    <row r="36" spans="1:5" x14ac:dyDescent="0.25">
      <c r="A36" s="166" t="s">
        <v>1863</v>
      </c>
      <c r="B36" s="166" t="s">
        <v>1084</v>
      </c>
      <c r="C36" s="166" t="s">
        <v>1857</v>
      </c>
      <c r="D36" s="166" t="s">
        <v>2265</v>
      </c>
      <c r="E36" s="163">
        <v>7.9686010879999998</v>
      </c>
    </row>
    <row r="37" spans="1:5" x14ac:dyDescent="0.25">
      <c r="A37" s="166" t="s">
        <v>1864</v>
      </c>
      <c r="B37" s="166" t="s">
        <v>1085</v>
      </c>
      <c r="C37" s="166" t="s">
        <v>1857</v>
      </c>
      <c r="D37" s="166" t="s">
        <v>2265</v>
      </c>
      <c r="E37" s="163">
        <v>5.2963841279999988</v>
      </c>
    </row>
    <row r="38" spans="1:5" x14ac:dyDescent="0.25">
      <c r="A38" s="166" t="s">
        <v>1865</v>
      </c>
      <c r="B38" s="166" t="s">
        <v>1086</v>
      </c>
      <c r="C38" s="166" t="s">
        <v>1857</v>
      </c>
      <c r="D38" s="166" t="s">
        <v>2265</v>
      </c>
      <c r="E38" s="163">
        <v>3.9706299359999999</v>
      </c>
    </row>
    <row r="39" spans="1:5" x14ac:dyDescent="0.25">
      <c r="A39" s="166" t="s">
        <v>1866</v>
      </c>
      <c r="B39" s="166" t="s">
        <v>1087</v>
      </c>
      <c r="C39" s="166" t="s">
        <v>1867</v>
      </c>
      <c r="D39" s="166" t="s">
        <v>1182</v>
      </c>
      <c r="E39" s="163">
        <v>65.853824399999993</v>
      </c>
    </row>
    <row r="40" spans="1:5" x14ac:dyDescent="0.25">
      <c r="A40" s="166" t="s">
        <v>1868</v>
      </c>
      <c r="B40" s="166" t="s">
        <v>1088</v>
      </c>
      <c r="C40" s="166" t="s">
        <v>1869</v>
      </c>
      <c r="D40" s="166" t="s">
        <v>1183</v>
      </c>
      <c r="E40" s="163">
        <v>1.1883480000000002</v>
      </c>
    </row>
    <row r="41" spans="1:5" x14ac:dyDescent="0.25">
      <c r="A41" s="166" t="s">
        <v>1870</v>
      </c>
      <c r="B41" s="166" t="s">
        <v>611</v>
      </c>
      <c r="C41" s="166" t="s">
        <v>1871</v>
      </c>
      <c r="D41" s="166" t="s">
        <v>1183</v>
      </c>
      <c r="E41" s="163">
        <v>1.6767221799999998</v>
      </c>
    </row>
    <row r="42" spans="1:5" x14ac:dyDescent="0.25">
      <c r="A42" s="166" t="s">
        <v>1872</v>
      </c>
      <c r="B42" s="166" t="s">
        <v>414</v>
      </c>
      <c r="C42" s="166" t="s">
        <v>1873</v>
      </c>
      <c r="D42" s="166" t="s">
        <v>399</v>
      </c>
      <c r="E42" s="163">
        <v>6.6783315200000004</v>
      </c>
    </row>
    <row r="43" spans="1:5" x14ac:dyDescent="0.25">
      <c r="A43" s="166" t="s">
        <v>1874</v>
      </c>
      <c r="B43" s="166" t="s">
        <v>415</v>
      </c>
      <c r="C43" s="166" t="s">
        <v>1850</v>
      </c>
      <c r="D43" s="166" t="s">
        <v>2202</v>
      </c>
      <c r="E43" s="163">
        <v>216.47592008000001</v>
      </c>
    </row>
    <row r="44" spans="1:5" x14ac:dyDescent="0.25">
      <c r="A44" s="166" t="s">
        <v>1875</v>
      </c>
      <c r="B44" s="166" t="s">
        <v>416</v>
      </c>
      <c r="C44" s="166" t="s">
        <v>1850</v>
      </c>
      <c r="D44" s="166" t="s">
        <v>2265</v>
      </c>
      <c r="E44" s="163">
        <v>243.1995636</v>
      </c>
    </row>
    <row r="45" spans="1:5" x14ac:dyDescent="0.25">
      <c r="A45" s="166" t="s">
        <v>1876</v>
      </c>
      <c r="B45" s="166" t="s">
        <v>417</v>
      </c>
      <c r="C45" s="166" t="s">
        <v>1850</v>
      </c>
      <c r="D45" s="166" t="s">
        <v>2265</v>
      </c>
      <c r="E45" s="163">
        <v>649.42941840000015</v>
      </c>
    </row>
    <row r="46" spans="1:5" x14ac:dyDescent="0.25">
      <c r="A46" s="166" t="s">
        <v>1877</v>
      </c>
      <c r="B46" s="166" t="s">
        <v>418</v>
      </c>
      <c r="C46" s="166" t="s">
        <v>1850</v>
      </c>
      <c r="D46" s="166" t="s">
        <v>2202</v>
      </c>
      <c r="E46" s="163">
        <v>125.27712008000003</v>
      </c>
    </row>
    <row r="47" spans="1:5" x14ac:dyDescent="0.25">
      <c r="A47" s="166" t="s">
        <v>1878</v>
      </c>
      <c r="B47" s="166" t="s">
        <v>419</v>
      </c>
      <c r="C47" s="166" t="s">
        <v>1879</v>
      </c>
      <c r="D47" s="166" t="s">
        <v>399</v>
      </c>
      <c r="E47" s="163">
        <v>0.50677054399999999</v>
      </c>
    </row>
    <row r="48" spans="1:5" x14ac:dyDescent="0.25">
      <c r="A48" s="166" t="s">
        <v>1880</v>
      </c>
      <c r="B48" s="166" t="s">
        <v>420</v>
      </c>
      <c r="C48" s="166" t="s">
        <v>1881</v>
      </c>
      <c r="D48" s="166" t="s">
        <v>1802</v>
      </c>
      <c r="E48" s="163">
        <v>24.411800000000003</v>
      </c>
    </row>
    <row r="49" spans="1:5" x14ac:dyDescent="0.25">
      <c r="A49" s="166" t="s">
        <v>1882</v>
      </c>
      <c r="B49" s="166" t="s">
        <v>421</v>
      </c>
      <c r="C49" s="166" t="s">
        <v>1881</v>
      </c>
      <c r="D49" s="166" t="s">
        <v>1802</v>
      </c>
      <c r="E49" s="163">
        <v>21.187415760000004</v>
      </c>
    </row>
    <row r="50" spans="1:5" x14ac:dyDescent="0.25">
      <c r="A50" s="166" t="s">
        <v>1883</v>
      </c>
      <c r="B50" s="166" t="s">
        <v>1528</v>
      </c>
      <c r="C50" s="166" t="s">
        <v>1884</v>
      </c>
      <c r="D50" s="166" t="s">
        <v>1802</v>
      </c>
      <c r="E50" s="163">
        <v>16.858199512000002</v>
      </c>
    </row>
    <row r="51" spans="1:5" x14ac:dyDescent="0.25">
      <c r="A51" s="166" t="s">
        <v>772</v>
      </c>
      <c r="B51" s="166" t="s">
        <v>1529</v>
      </c>
      <c r="C51" s="166" t="s">
        <v>1804</v>
      </c>
      <c r="D51" s="166" t="s">
        <v>2241</v>
      </c>
      <c r="E51" s="163">
        <v>50.666000000000004</v>
      </c>
    </row>
    <row r="52" spans="1:5" x14ac:dyDescent="0.25">
      <c r="A52" s="166" t="s">
        <v>773</v>
      </c>
      <c r="B52" s="166" t="s">
        <v>1530</v>
      </c>
      <c r="C52" s="166" t="s">
        <v>1804</v>
      </c>
      <c r="D52" s="166" t="s">
        <v>2241</v>
      </c>
      <c r="E52" s="163">
        <v>21.279720000000001</v>
      </c>
    </row>
    <row r="53" spans="1:5" x14ac:dyDescent="0.25">
      <c r="A53" s="166" t="s">
        <v>774</v>
      </c>
      <c r="B53" s="166" t="s">
        <v>1532</v>
      </c>
      <c r="C53" s="166" t="s">
        <v>775</v>
      </c>
      <c r="D53" s="166" t="s">
        <v>1181</v>
      </c>
      <c r="E53" s="163">
        <v>4.1732570879999997</v>
      </c>
    </row>
    <row r="54" spans="1:5" x14ac:dyDescent="0.25">
      <c r="A54" s="166" t="s">
        <v>776</v>
      </c>
      <c r="B54" s="166" t="s">
        <v>1533</v>
      </c>
      <c r="C54" s="166" t="s">
        <v>777</v>
      </c>
      <c r="D54" s="166" t="s">
        <v>399</v>
      </c>
      <c r="E54" s="163">
        <v>1.2709243679999997</v>
      </c>
    </row>
    <row r="55" spans="1:5" x14ac:dyDescent="0.25">
      <c r="A55" s="166" t="s">
        <v>778</v>
      </c>
      <c r="B55" s="166" t="s">
        <v>1534</v>
      </c>
      <c r="C55" s="166" t="s">
        <v>779</v>
      </c>
      <c r="D55" s="166" t="s">
        <v>1802</v>
      </c>
      <c r="E55" s="163">
        <v>7.0940690799999997</v>
      </c>
    </row>
    <row r="56" spans="1:5" x14ac:dyDescent="0.25">
      <c r="A56" s="166" t="s">
        <v>780</v>
      </c>
      <c r="B56" s="166" t="s">
        <v>1535</v>
      </c>
      <c r="C56" s="166" t="s">
        <v>781</v>
      </c>
      <c r="D56" s="166" t="s">
        <v>241</v>
      </c>
      <c r="E56" s="163">
        <v>114.23663019999999</v>
      </c>
    </row>
    <row r="57" spans="1:5" x14ac:dyDescent="0.25">
      <c r="A57" s="166" t="s">
        <v>782</v>
      </c>
      <c r="B57" s="166" t="s">
        <v>1391</v>
      </c>
      <c r="C57" s="166" t="s">
        <v>783</v>
      </c>
      <c r="D57" s="166" t="s">
        <v>2840</v>
      </c>
      <c r="E57" s="163">
        <v>7.3227201320000006</v>
      </c>
    </row>
    <row r="58" spans="1:5" x14ac:dyDescent="0.25">
      <c r="A58" s="166" t="s">
        <v>784</v>
      </c>
      <c r="B58" s="166" t="s">
        <v>1536</v>
      </c>
      <c r="C58" s="166" t="s">
        <v>785</v>
      </c>
      <c r="D58" s="166" t="s">
        <v>2265</v>
      </c>
      <c r="E58" s="163">
        <v>10.917325440000001</v>
      </c>
    </row>
    <row r="59" spans="1:5" x14ac:dyDescent="0.25">
      <c r="A59" s="166" t="s">
        <v>786</v>
      </c>
      <c r="B59" s="166" t="s">
        <v>1537</v>
      </c>
      <c r="C59" s="166" t="s">
        <v>785</v>
      </c>
      <c r="D59" s="166" t="s">
        <v>2265</v>
      </c>
      <c r="E59" s="163">
        <v>16.49058544</v>
      </c>
    </row>
    <row r="60" spans="1:5" x14ac:dyDescent="0.25">
      <c r="A60" s="166" t="s">
        <v>787</v>
      </c>
      <c r="B60" s="166" t="s">
        <v>1547</v>
      </c>
      <c r="C60" s="166" t="s">
        <v>788</v>
      </c>
      <c r="D60" s="166" t="s">
        <v>614</v>
      </c>
      <c r="E60" s="163">
        <v>1.7228282400000003</v>
      </c>
    </row>
    <row r="61" spans="1:5" x14ac:dyDescent="0.25">
      <c r="A61" s="166" t="s">
        <v>789</v>
      </c>
      <c r="B61" s="166" t="s">
        <v>1548</v>
      </c>
      <c r="C61" s="166" t="s">
        <v>790</v>
      </c>
      <c r="D61" s="166" t="s">
        <v>614</v>
      </c>
      <c r="E61" s="163">
        <v>3.4449840039999997</v>
      </c>
    </row>
    <row r="62" spans="1:5" x14ac:dyDescent="0.25">
      <c r="A62" s="166" t="s">
        <v>791</v>
      </c>
      <c r="B62" s="166" t="s">
        <v>1549</v>
      </c>
      <c r="C62" s="166" t="s">
        <v>792</v>
      </c>
      <c r="D62" s="166" t="s">
        <v>614</v>
      </c>
      <c r="E62" s="163">
        <v>3.1325221760000002</v>
      </c>
    </row>
    <row r="63" spans="1:5" x14ac:dyDescent="0.25">
      <c r="A63" s="166" t="s">
        <v>793</v>
      </c>
      <c r="B63" s="166" t="s">
        <v>1550</v>
      </c>
      <c r="C63" s="166" t="s">
        <v>794</v>
      </c>
      <c r="D63" s="166" t="s">
        <v>614</v>
      </c>
      <c r="E63" s="163">
        <v>1.3539981840000002</v>
      </c>
    </row>
    <row r="64" spans="1:5" x14ac:dyDescent="0.25">
      <c r="A64" s="166" t="s">
        <v>795</v>
      </c>
      <c r="B64" s="166" t="s">
        <v>1551</v>
      </c>
      <c r="C64" s="166" t="s">
        <v>796</v>
      </c>
      <c r="D64" s="166" t="s">
        <v>614</v>
      </c>
      <c r="E64" s="163">
        <v>1.7407824279999999</v>
      </c>
    </row>
    <row r="65" spans="1:5" x14ac:dyDescent="0.25">
      <c r="A65" s="166" t="s">
        <v>797</v>
      </c>
      <c r="B65" s="166" t="s">
        <v>1552</v>
      </c>
      <c r="C65" s="166" t="s">
        <v>1816</v>
      </c>
      <c r="D65" s="166" t="s">
        <v>614</v>
      </c>
      <c r="E65" s="163">
        <v>3.6844130960000001</v>
      </c>
    </row>
    <row r="66" spans="1:5" x14ac:dyDescent="0.25">
      <c r="A66" s="166" t="s">
        <v>798</v>
      </c>
      <c r="B66" s="166" t="s">
        <v>1553</v>
      </c>
      <c r="C66" s="166" t="s">
        <v>1813</v>
      </c>
      <c r="D66" s="166" t="s">
        <v>614</v>
      </c>
      <c r="E66" s="163">
        <v>2.8741163640000007</v>
      </c>
    </row>
    <row r="67" spans="1:5" x14ac:dyDescent="0.25">
      <c r="A67" s="166" t="s">
        <v>799</v>
      </c>
      <c r="B67" s="166" t="s">
        <v>1554</v>
      </c>
      <c r="C67" s="166" t="s">
        <v>800</v>
      </c>
      <c r="D67" s="166" t="s">
        <v>2202</v>
      </c>
      <c r="E67" s="163">
        <v>0.60806569600000004</v>
      </c>
    </row>
    <row r="68" spans="1:5" x14ac:dyDescent="0.25">
      <c r="A68" s="166" t="s">
        <v>801</v>
      </c>
      <c r="B68" s="166" t="s">
        <v>1555</v>
      </c>
      <c r="C68" s="166" t="s">
        <v>800</v>
      </c>
      <c r="D68" s="166" t="s">
        <v>2202</v>
      </c>
      <c r="E68" s="163">
        <v>0.902656244</v>
      </c>
    </row>
    <row r="69" spans="1:5" x14ac:dyDescent="0.25">
      <c r="A69" s="166" t="s">
        <v>802</v>
      </c>
      <c r="B69" s="166" t="s">
        <v>1556</v>
      </c>
      <c r="C69" s="166" t="s">
        <v>803</v>
      </c>
      <c r="D69" s="166" t="s">
        <v>2202</v>
      </c>
      <c r="E69" s="163">
        <v>0.6631350319999999</v>
      </c>
    </row>
    <row r="70" spans="1:5" x14ac:dyDescent="0.25">
      <c r="A70" s="166" t="s">
        <v>804</v>
      </c>
      <c r="B70" s="166" t="s">
        <v>1557</v>
      </c>
      <c r="C70" s="166" t="s">
        <v>803</v>
      </c>
      <c r="D70" s="166" t="s">
        <v>2202</v>
      </c>
      <c r="E70" s="163">
        <v>0.8657806079999999</v>
      </c>
    </row>
    <row r="71" spans="1:5" x14ac:dyDescent="0.25">
      <c r="A71" s="166" t="s">
        <v>805</v>
      </c>
      <c r="B71" s="166" t="s">
        <v>1558</v>
      </c>
      <c r="C71" s="166" t="s">
        <v>796</v>
      </c>
      <c r="D71" s="166" t="s">
        <v>1181</v>
      </c>
      <c r="E71" s="163">
        <v>1.5754730879999999</v>
      </c>
    </row>
    <row r="72" spans="1:5" x14ac:dyDescent="0.25">
      <c r="A72" s="166" t="s">
        <v>806</v>
      </c>
      <c r="B72" s="166" t="s">
        <v>1559</v>
      </c>
      <c r="C72" s="166" t="s">
        <v>807</v>
      </c>
      <c r="D72" s="166" t="s">
        <v>1181</v>
      </c>
      <c r="E72" s="163">
        <v>1.3172423040000001</v>
      </c>
    </row>
    <row r="73" spans="1:5" x14ac:dyDescent="0.25">
      <c r="A73" s="166" t="s">
        <v>808</v>
      </c>
      <c r="B73" s="166" t="s">
        <v>1560</v>
      </c>
      <c r="C73" s="166" t="s">
        <v>809</v>
      </c>
      <c r="D73" s="166" t="s">
        <v>614</v>
      </c>
      <c r="E73" s="163">
        <v>5.2043193999999993</v>
      </c>
    </row>
    <row r="74" spans="1:5" x14ac:dyDescent="0.25">
      <c r="A74" s="166" t="s">
        <v>810</v>
      </c>
      <c r="B74" s="166" t="s">
        <v>1561</v>
      </c>
      <c r="C74" s="166" t="s">
        <v>809</v>
      </c>
      <c r="D74" s="166" t="s">
        <v>614</v>
      </c>
      <c r="E74" s="163">
        <v>5.2043193999999993</v>
      </c>
    </row>
    <row r="75" spans="1:5" x14ac:dyDescent="0.25">
      <c r="A75" s="166" t="s">
        <v>811</v>
      </c>
      <c r="B75" s="166" t="s">
        <v>1562</v>
      </c>
      <c r="C75" s="166" t="s">
        <v>812</v>
      </c>
      <c r="D75" s="166" t="s">
        <v>614</v>
      </c>
      <c r="E75" s="163">
        <v>37.758606200000003</v>
      </c>
    </row>
    <row r="76" spans="1:5" x14ac:dyDescent="0.25">
      <c r="A76" s="166" t="s">
        <v>813</v>
      </c>
      <c r="B76" s="166" t="s">
        <v>1566</v>
      </c>
      <c r="C76" s="166" t="s">
        <v>814</v>
      </c>
      <c r="D76" s="166" t="s">
        <v>2202</v>
      </c>
      <c r="E76" s="163">
        <v>43.756309099999996</v>
      </c>
    </row>
    <row r="77" spans="1:5" x14ac:dyDescent="0.25">
      <c r="A77" s="166" t="s">
        <v>815</v>
      </c>
      <c r="B77" s="166" t="s">
        <v>1568</v>
      </c>
      <c r="C77" s="166" t="s">
        <v>1813</v>
      </c>
      <c r="D77" s="166" t="s">
        <v>1181</v>
      </c>
      <c r="E77" s="163">
        <v>1.4831320000000001</v>
      </c>
    </row>
    <row r="78" spans="1:5" x14ac:dyDescent="0.25">
      <c r="A78" s="166" t="s">
        <v>816</v>
      </c>
      <c r="B78" s="166" t="s">
        <v>1569</v>
      </c>
      <c r="C78" s="166" t="s">
        <v>817</v>
      </c>
      <c r="D78" s="166" t="s">
        <v>399</v>
      </c>
      <c r="E78" s="163">
        <v>0.62637915200000005</v>
      </c>
    </row>
    <row r="79" spans="1:5" x14ac:dyDescent="0.25">
      <c r="A79" s="166" t="s">
        <v>818</v>
      </c>
      <c r="B79" s="166" t="s">
        <v>1570</v>
      </c>
      <c r="C79" s="166" t="s">
        <v>817</v>
      </c>
      <c r="D79" s="166" t="s">
        <v>399</v>
      </c>
      <c r="E79" s="163">
        <v>0.92112630399999995</v>
      </c>
    </row>
    <row r="80" spans="1:5" x14ac:dyDescent="0.25">
      <c r="A80" s="166" t="s">
        <v>819</v>
      </c>
      <c r="B80" s="166" t="s">
        <v>1571</v>
      </c>
      <c r="C80" s="166" t="s">
        <v>820</v>
      </c>
      <c r="D80" s="166" t="s">
        <v>1802</v>
      </c>
      <c r="E80" s="163">
        <v>1.1973849719999996</v>
      </c>
    </row>
    <row r="81" spans="1:5" x14ac:dyDescent="0.25">
      <c r="A81" s="166" t="s">
        <v>821</v>
      </c>
      <c r="B81" s="166" t="s">
        <v>1572</v>
      </c>
      <c r="C81" s="166" t="s">
        <v>820</v>
      </c>
      <c r="D81" s="166" t="s">
        <v>1802</v>
      </c>
      <c r="E81" s="163">
        <v>3.1131401280000004</v>
      </c>
    </row>
    <row r="82" spans="1:5" x14ac:dyDescent="0.25">
      <c r="A82" s="166" t="s">
        <v>822</v>
      </c>
      <c r="B82" s="166" t="s">
        <v>1573</v>
      </c>
      <c r="C82" s="166" t="s">
        <v>820</v>
      </c>
      <c r="D82" s="166" t="s">
        <v>2108</v>
      </c>
      <c r="E82" s="163">
        <v>313.17115200000001</v>
      </c>
    </row>
    <row r="83" spans="1:5" x14ac:dyDescent="0.25">
      <c r="A83" s="166" t="s">
        <v>823</v>
      </c>
      <c r="B83" s="166" t="s">
        <v>1574</v>
      </c>
      <c r="C83" s="166" t="s">
        <v>1850</v>
      </c>
      <c r="D83" s="166" t="s">
        <v>1802</v>
      </c>
      <c r="E83" s="163">
        <v>59.416847279999992</v>
      </c>
    </row>
    <row r="84" spans="1:5" x14ac:dyDescent="0.25">
      <c r="A84" s="166" t="s">
        <v>824</v>
      </c>
      <c r="B84" s="166" t="s">
        <v>1575</v>
      </c>
      <c r="C84" s="166" t="s">
        <v>1850</v>
      </c>
      <c r="D84" s="166" t="s">
        <v>1802</v>
      </c>
      <c r="E84" s="163">
        <v>85.211460600000009</v>
      </c>
    </row>
    <row r="85" spans="1:5" x14ac:dyDescent="0.25">
      <c r="A85" s="166" t="s">
        <v>825</v>
      </c>
      <c r="B85" s="166" t="s">
        <v>1576</v>
      </c>
      <c r="C85" s="166" t="s">
        <v>1850</v>
      </c>
      <c r="D85" s="166" t="s">
        <v>1802</v>
      </c>
      <c r="E85" s="163">
        <v>128.04680000000002</v>
      </c>
    </row>
    <row r="86" spans="1:5" x14ac:dyDescent="0.25">
      <c r="A86" s="166" t="s">
        <v>826</v>
      </c>
      <c r="B86" s="166" t="s">
        <v>1577</v>
      </c>
      <c r="C86" s="166" t="s">
        <v>1850</v>
      </c>
      <c r="D86" s="166" t="s">
        <v>1802</v>
      </c>
      <c r="E86" s="163">
        <v>38.230951499999996</v>
      </c>
    </row>
    <row r="87" spans="1:5" x14ac:dyDescent="0.25">
      <c r="A87" s="166" t="s">
        <v>827</v>
      </c>
      <c r="B87" s="166" t="s">
        <v>1578</v>
      </c>
      <c r="C87" s="166" t="s">
        <v>785</v>
      </c>
      <c r="D87" s="166" t="s">
        <v>2202</v>
      </c>
      <c r="E87" s="163">
        <v>5.2042457040000007</v>
      </c>
    </row>
    <row r="88" spans="1:5" x14ac:dyDescent="0.25">
      <c r="A88" s="166" t="s">
        <v>828</v>
      </c>
      <c r="B88" s="166" t="s">
        <v>1579</v>
      </c>
      <c r="C88" s="166" t="s">
        <v>785</v>
      </c>
      <c r="D88" s="166" t="s">
        <v>2202</v>
      </c>
      <c r="E88" s="163">
        <v>5.9408740720000006</v>
      </c>
    </row>
    <row r="89" spans="1:5" x14ac:dyDescent="0.25">
      <c r="A89" s="166" t="s">
        <v>829</v>
      </c>
      <c r="B89" s="166" t="s">
        <v>511</v>
      </c>
      <c r="C89" s="166" t="s">
        <v>830</v>
      </c>
      <c r="D89" s="166" t="s">
        <v>512</v>
      </c>
      <c r="E89" s="163">
        <v>9.2589811999999974</v>
      </c>
    </row>
    <row r="90" spans="1:5" x14ac:dyDescent="0.25">
      <c r="A90" s="166" t="s">
        <v>831</v>
      </c>
      <c r="B90" s="166" t="s">
        <v>513</v>
      </c>
      <c r="C90" s="166" t="s">
        <v>17</v>
      </c>
      <c r="D90" s="166" t="s">
        <v>399</v>
      </c>
      <c r="E90" s="163">
        <v>17.318007280000003</v>
      </c>
    </row>
    <row r="91" spans="1:5" x14ac:dyDescent="0.25">
      <c r="A91" s="166" t="s">
        <v>18</v>
      </c>
      <c r="B91" s="166" t="s">
        <v>608</v>
      </c>
      <c r="C91" s="166" t="s">
        <v>19</v>
      </c>
      <c r="D91" s="166" t="s">
        <v>2840</v>
      </c>
      <c r="E91" s="163">
        <v>113.32602400000002</v>
      </c>
    </row>
    <row r="92" spans="1:5" x14ac:dyDescent="0.25">
      <c r="A92" s="166" t="s">
        <v>20</v>
      </c>
      <c r="B92" s="166" t="s">
        <v>2203</v>
      </c>
      <c r="C92" s="166" t="s">
        <v>19</v>
      </c>
      <c r="D92" s="166" t="s">
        <v>2840</v>
      </c>
      <c r="E92" s="163">
        <v>62.637454599999998</v>
      </c>
    </row>
    <row r="93" spans="1:5" x14ac:dyDescent="0.25">
      <c r="A93" s="166" t="s">
        <v>21</v>
      </c>
      <c r="B93" s="166" t="s">
        <v>517</v>
      </c>
      <c r="C93" s="166" t="s">
        <v>22</v>
      </c>
      <c r="D93" s="166" t="s">
        <v>2265</v>
      </c>
      <c r="E93" s="163">
        <v>134.5053332</v>
      </c>
    </row>
    <row r="94" spans="1:5" x14ac:dyDescent="0.25">
      <c r="A94" s="166" t="s">
        <v>23</v>
      </c>
      <c r="B94" s="166" t="s">
        <v>518</v>
      </c>
      <c r="C94" s="166" t="s">
        <v>24</v>
      </c>
      <c r="D94" s="166" t="s">
        <v>2265</v>
      </c>
      <c r="E94" s="163">
        <v>53.886975799999988</v>
      </c>
    </row>
    <row r="95" spans="1:5" x14ac:dyDescent="0.25">
      <c r="A95" s="166" t="s">
        <v>25</v>
      </c>
      <c r="B95" s="166" t="s">
        <v>519</v>
      </c>
      <c r="C95" s="166" t="s">
        <v>26</v>
      </c>
      <c r="D95" s="166" t="s">
        <v>2265</v>
      </c>
      <c r="E95" s="163">
        <v>196.20132139999998</v>
      </c>
    </row>
    <row r="96" spans="1:5" x14ac:dyDescent="0.25">
      <c r="A96" s="166" t="s">
        <v>27</v>
      </c>
      <c r="B96" s="166" t="s">
        <v>522</v>
      </c>
      <c r="C96" s="166" t="s">
        <v>28</v>
      </c>
      <c r="D96" s="166" t="s">
        <v>1802</v>
      </c>
      <c r="E96" s="163">
        <v>8.9355478799999997</v>
      </c>
    </row>
    <row r="97" spans="1:5" x14ac:dyDescent="0.25">
      <c r="A97" s="166" t="s">
        <v>29</v>
      </c>
      <c r="B97" s="166" t="s">
        <v>523</v>
      </c>
      <c r="C97" s="166" t="s">
        <v>30</v>
      </c>
      <c r="D97" s="166" t="s">
        <v>2265</v>
      </c>
      <c r="E97" s="163">
        <v>2210.8717092000002</v>
      </c>
    </row>
    <row r="98" spans="1:5" x14ac:dyDescent="0.25">
      <c r="A98" s="166" t="s">
        <v>31</v>
      </c>
      <c r="B98" s="166" t="s">
        <v>524</v>
      </c>
      <c r="C98" s="166" t="s">
        <v>32</v>
      </c>
      <c r="D98" s="166" t="s">
        <v>2202</v>
      </c>
      <c r="E98" s="163">
        <v>14.785149455999999</v>
      </c>
    </row>
    <row r="99" spans="1:5" x14ac:dyDescent="0.25">
      <c r="A99" s="166" t="s">
        <v>33</v>
      </c>
      <c r="B99" s="166" t="s">
        <v>1907</v>
      </c>
      <c r="C99" s="166" t="s">
        <v>34</v>
      </c>
      <c r="D99" s="166" t="s">
        <v>2202</v>
      </c>
      <c r="E99" s="163">
        <v>6.4027084800000011</v>
      </c>
    </row>
    <row r="100" spans="1:5" x14ac:dyDescent="0.25">
      <c r="A100" s="166" t="s">
        <v>35</v>
      </c>
      <c r="B100" s="166" t="s">
        <v>1908</v>
      </c>
      <c r="C100" s="166" t="s">
        <v>34</v>
      </c>
      <c r="D100" s="166" t="s">
        <v>2202</v>
      </c>
      <c r="E100" s="163">
        <v>10.409044128000001</v>
      </c>
    </row>
    <row r="101" spans="1:5" x14ac:dyDescent="0.25">
      <c r="A101" s="166" t="s">
        <v>36</v>
      </c>
      <c r="B101" s="166" t="s">
        <v>1909</v>
      </c>
      <c r="C101" s="166" t="s">
        <v>34</v>
      </c>
      <c r="D101" s="166" t="s">
        <v>2202</v>
      </c>
      <c r="E101" s="163">
        <v>16.305101820000001</v>
      </c>
    </row>
    <row r="102" spans="1:5" x14ac:dyDescent="0.25">
      <c r="A102" s="166" t="s">
        <v>37</v>
      </c>
      <c r="B102" s="166" t="s">
        <v>1910</v>
      </c>
      <c r="C102" s="166" t="s">
        <v>38</v>
      </c>
      <c r="D102" s="166" t="s">
        <v>2202</v>
      </c>
      <c r="E102" s="163">
        <v>15.106924615999999</v>
      </c>
    </row>
    <row r="103" spans="1:5" x14ac:dyDescent="0.25">
      <c r="A103" s="166" t="s">
        <v>39</v>
      </c>
      <c r="B103" s="166" t="s">
        <v>1911</v>
      </c>
      <c r="C103" s="166" t="s">
        <v>38</v>
      </c>
      <c r="D103" s="166" t="s">
        <v>2202</v>
      </c>
      <c r="E103" s="163">
        <v>16.812203996000001</v>
      </c>
    </row>
    <row r="104" spans="1:5" x14ac:dyDescent="0.25">
      <c r="A104" s="166" t="s">
        <v>40</v>
      </c>
      <c r="B104" s="166" t="s">
        <v>1912</v>
      </c>
      <c r="C104" s="166" t="s">
        <v>34</v>
      </c>
      <c r="D104" s="166" t="s">
        <v>2202</v>
      </c>
      <c r="E104" s="163">
        <v>9.948766548</v>
      </c>
    </row>
    <row r="105" spans="1:5" x14ac:dyDescent="0.25">
      <c r="A105" s="166" t="s">
        <v>41</v>
      </c>
      <c r="B105" s="166" t="s">
        <v>1913</v>
      </c>
      <c r="C105" s="166" t="s">
        <v>34</v>
      </c>
      <c r="D105" s="166" t="s">
        <v>2202</v>
      </c>
      <c r="E105" s="163">
        <v>4.1818795199999999</v>
      </c>
    </row>
    <row r="106" spans="1:5" x14ac:dyDescent="0.25">
      <c r="A106" s="166" t="s">
        <v>42</v>
      </c>
      <c r="B106" s="166" t="s">
        <v>1914</v>
      </c>
      <c r="C106" s="166" t="s">
        <v>34</v>
      </c>
      <c r="D106" s="166" t="s">
        <v>2202</v>
      </c>
      <c r="E106" s="163">
        <v>6.1262010879999993</v>
      </c>
    </row>
    <row r="107" spans="1:5" x14ac:dyDescent="0.25">
      <c r="A107" s="166" t="s">
        <v>43</v>
      </c>
      <c r="B107" s="166" t="s">
        <v>1915</v>
      </c>
      <c r="C107" s="166" t="s">
        <v>44</v>
      </c>
      <c r="D107" s="166" t="s">
        <v>2202</v>
      </c>
      <c r="E107" s="163">
        <v>23.950527524000002</v>
      </c>
    </row>
    <row r="108" spans="1:5" x14ac:dyDescent="0.25">
      <c r="A108" s="166" t="s">
        <v>45</v>
      </c>
      <c r="B108" s="166" t="s">
        <v>1916</v>
      </c>
      <c r="C108" s="166" t="s">
        <v>44</v>
      </c>
      <c r="D108" s="166" t="s">
        <v>2202</v>
      </c>
      <c r="E108" s="163">
        <v>29.017016979999998</v>
      </c>
    </row>
    <row r="109" spans="1:5" x14ac:dyDescent="0.25">
      <c r="A109" s="166" t="s">
        <v>46</v>
      </c>
      <c r="B109" s="166" t="s">
        <v>1917</v>
      </c>
      <c r="C109" s="166" t="s">
        <v>44</v>
      </c>
      <c r="D109" s="166" t="s">
        <v>2202</v>
      </c>
      <c r="E109" s="163">
        <v>19.345209211999997</v>
      </c>
    </row>
    <row r="110" spans="1:5" x14ac:dyDescent="0.25">
      <c r="A110" s="166" t="s">
        <v>47</v>
      </c>
      <c r="B110" s="166" t="s">
        <v>1918</v>
      </c>
      <c r="C110" s="166" t="s">
        <v>44</v>
      </c>
      <c r="D110" s="166" t="s">
        <v>2202</v>
      </c>
      <c r="E110" s="163">
        <v>19.346305439999998</v>
      </c>
    </row>
    <row r="111" spans="1:5" x14ac:dyDescent="0.25">
      <c r="A111" s="166" t="s">
        <v>48</v>
      </c>
      <c r="B111" s="166" t="s">
        <v>2872</v>
      </c>
      <c r="C111" s="166" t="s">
        <v>44</v>
      </c>
      <c r="D111" s="166" t="s">
        <v>2202</v>
      </c>
      <c r="E111" s="163">
        <v>23.02834184</v>
      </c>
    </row>
    <row r="112" spans="1:5" x14ac:dyDescent="0.25">
      <c r="A112" s="166" t="s">
        <v>49</v>
      </c>
      <c r="B112" s="166" t="s">
        <v>2873</v>
      </c>
      <c r="C112" s="166" t="s">
        <v>44</v>
      </c>
      <c r="D112" s="166" t="s">
        <v>2202</v>
      </c>
      <c r="E112" s="163">
        <v>16.718324503999998</v>
      </c>
    </row>
    <row r="113" spans="1:5" x14ac:dyDescent="0.25">
      <c r="A113" s="166" t="s">
        <v>50</v>
      </c>
      <c r="B113" s="166" t="s">
        <v>2874</v>
      </c>
      <c r="C113" s="166" t="s">
        <v>44</v>
      </c>
      <c r="D113" s="166" t="s">
        <v>2265</v>
      </c>
      <c r="E113" s="163">
        <v>205.42483640000003</v>
      </c>
    </row>
    <row r="114" spans="1:5" x14ac:dyDescent="0.25">
      <c r="A114" s="166" t="s">
        <v>51</v>
      </c>
      <c r="B114" s="166" t="s">
        <v>2875</v>
      </c>
      <c r="C114" s="166" t="s">
        <v>44</v>
      </c>
      <c r="D114" s="166" t="s">
        <v>2265</v>
      </c>
      <c r="E114" s="163">
        <v>181.46258200000003</v>
      </c>
    </row>
    <row r="115" spans="1:5" x14ac:dyDescent="0.25">
      <c r="A115" s="166" t="s">
        <v>52</v>
      </c>
      <c r="B115" s="166" t="s">
        <v>2876</v>
      </c>
      <c r="C115" s="166" t="s">
        <v>44</v>
      </c>
      <c r="D115" s="166" t="s">
        <v>2265</v>
      </c>
      <c r="E115" s="163">
        <v>194.36583039999999</v>
      </c>
    </row>
    <row r="116" spans="1:5" x14ac:dyDescent="0.25">
      <c r="A116" s="166" t="s">
        <v>53</v>
      </c>
      <c r="B116" s="166" t="s">
        <v>2877</v>
      </c>
      <c r="C116" s="166" t="s">
        <v>54</v>
      </c>
      <c r="D116" s="166" t="s">
        <v>2202</v>
      </c>
      <c r="E116" s="163">
        <v>36.385787899999997</v>
      </c>
    </row>
    <row r="117" spans="1:5" x14ac:dyDescent="0.25">
      <c r="A117" s="166" t="s">
        <v>55</v>
      </c>
      <c r="B117" s="166" t="s">
        <v>2878</v>
      </c>
      <c r="C117" s="166" t="s">
        <v>56</v>
      </c>
      <c r="D117" s="166" t="s">
        <v>2265</v>
      </c>
      <c r="E117" s="163">
        <v>1796.4321199999999</v>
      </c>
    </row>
    <row r="118" spans="1:5" x14ac:dyDescent="0.25">
      <c r="A118" s="166" t="s">
        <v>57</v>
      </c>
      <c r="B118" s="166" t="s">
        <v>2879</v>
      </c>
      <c r="C118" s="166" t="s">
        <v>58</v>
      </c>
      <c r="D118" s="166" t="s">
        <v>2265</v>
      </c>
      <c r="E118" s="163">
        <v>967.1816980000001</v>
      </c>
    </row>
    <row r="119" spans="1:5" x14ac:dyDescent="0.25">
      <c r="A119" s="166" t="s">
        <v>59</v>
      </c>
      <c r="B119" s="166" t="s">
        <v>2880</v>
      </c>
      <c r="C119" s="166" t="s">
        <v>58</v>
      </c>
      <c r="D119" s="166" t="s">
        <v>2265</v>
      </c>
      <c r="E119" s="163">
        <v>709.36084800000003</v>
      </c>
    </row>
    <row r="120" spans="1:5" x14ac:dyDescent="0.25">
      <c r="A120" s="166" t="s">
        <v>60</v>
      </c>
      <c r="B120" s="166" t="s">
        <v>2881</v>
      </c>
      <c r="C120" s="166" t="s">
        <v>56</v>
      </c>
      <c r="D120" s="166" t="s">
        <v>2265</v>
      </c>
      <c r="E120" s="163">
        <v>7254.3486680000015</v>
      </c>
    </row>
    <row r="121" spans="1:5" x14ac:dyDescent="0.25">
      <c r="A121" s="166" t="s">
        <v>61</v>
      </c>
      <c r="B121" s="166" t="s">
        <v>2882</v>
      </c>
      <c r="C121" s="166" t="s">
        <v>58</v>
      </c>
      <c r="D121" s="166" t="s">
        <v>2265</v>
      </c>
      <c r="E121" s="163">
        <v>865.86812199999986</v>
      </c>
    </row>
    <row r="122" spans="1:5" x14ac:dyDescent="0.25">
      <c r="A122" s="166" t="s">
        <v>62</v>
      </c>
      <c r="B122" s="166" t="s">
        <v>2883</v>
      </c>
      <c r="C122" s="166" t="s">
        <v>63</v>
      </c>
      <c r="D122" s="166" t="s">
        <v>2265</v>
      </c>
      <c r="E122" s="163">
        <v>1243.6384240000002</v>
      </c>
    </row>
    <row r="123" spans="1:5" x14ac:dyDescent="0.25">
      <c r="A123" s="166" t="s">
        <v>64</v>
      </c>
      <c r="B123" s="166" t="s">
        <v>2884</v>
      </c>
      <c r="C123" s="166" t="s">
        <v>1804</v>
      </c>
      <c r="D123" s="166" t="s">
        <v>2202</v>
      </c>
      <c r="E123" s="163">
        <v>28.879620000000003</v>
      </c>
    </row>
    <row r="124" spans="1:5" x14ac:dyDescent="0.25">
      <c r="A124" s="166" t="s">
        <v>65</v>
      </c>
      <c r="B124" s="166" t="s">
        <v>2885</v>
      </c>
      <c r="C124" s="166" t="s">
        <v>66</v>
      </c>
      <c r="D124" s="166" t="s">
        <v>2377</v>
      </c>
      <c r="E124" s="163">
        <v>43.296142064000001</v>
      </c>
    </row>
    <row r="125" spans="1:5" x14ac:dyDescent="0.25">
      <c r="A125" s="166" t="s">
        <v>67</v>
      </c>
      <c r="B125" s="166" t="s">
        <v>2886</v>
      </c>
      <c r="C125" s="166" t="s">
        <v>1850</v>
      </c>
      <c r="D125" s="166" t="s">
        <v>1802</v>
      </c>
      <c r="E125" s="163">
        <v>70.9305576</v>
      </c>
    </row>
    <row r="126" spans="1:5" x14ac:dyDescent="0.25">
      <c r="A126" s="166" t="s">
        <v>68</v>
      </c>
      <c r="B126" s="166" t="s">
        <v>2887</v>
      </c>
      <c r="C126" s="166" t="s">
        <v>66</v>
      </c>
      <c r="D126" s="166" t="s">
        <v>2377</v>
      </c>
      <c r="E126" s="163">
        <v>30.399710544000005</v>
      </c>
    </row>
    <row r="127" spans="1:5" x14ac:dyDescent="0.25">
      <c r="A127" s="166" t="s">
        <v>69</v>
      </c>
      <c r="B127" s="166" t="s">
        <v>2888</v>
      </c>
      <c r="C127" s="166" t="s">
        <v>70</v>
      </c>
      <c r="D127" s="166" t="s">
        <v>1181</v>
      </c>
      <c r="E127" s="163">
        <v>53.430152719999995</v>
      </c>
    </row>
    <row r="128" spans="1:5" x14ac:dyDescent="0.25">
      <c r="A128" s="166" t="s">
        <v>71</v>
      </c>
      <c r="B128" s="166" t="s">
        <v>2889</v>
      </c>
      <c r="C128" s="166" t="s">
        <v>72</v>
      </c>
      <c r="D128" s="166" t="s">
        <v>2265</v>
      </c>
      <c r="E128" s="163">
        <v>113.30483639999999</v>
      </c>
    </row>
    <row r="129" spans="1:5" x14ac:dyDescent="0.25">
      <c r="A129" s="166" t="s">
        <v>73</v>
      </c>
      <c r="B129" s="166" t="s">
        <v>1920</v>
      </c>
      <c r="C129" s="166" t="s">
        <v>74</v>
      </c>
      <c r="D129" s="166" t="s">
        <v>2265</v>
      </c>
      <c r="E129" s="163">
        <v>124.35499888</v>
      </c>
    </row>
    <row r="130" spans="1:5" x14ac:dyDescent="0.25">
      <c r="A130" s="166" t="s">
        <v>75</v>
      </c>
      <c r="B130" s="166" t="s">
        <v>891</v>
      </c>
      <c r="C130" s="166" t="s">
        <v>1804</v>
      </c>
      <c r="D130" s="166" t="s">
        <v>2377</v>
      </c>
      <c r="E130" s="163">
        <v>18.037096000000002</v>
      </c>
    </row>
    <row r="131" spans="1:5" x14ac:dyDescent="0.25">
      <c r="A131" s="166" t="s">
        <v>76</v>
      </c>
      <c r="B131" s="166" t="s">
        <v>1262</v>
      </c>
      <c r="C131" s="166" t="s">
        <v>66</v>
      </c>
      <c r="D131" s="166" t="s">
        <v>2376</v>
      </c>
      <c r="E131" s="163">
        <v>893.5409699999999</v>
      </c>
    </row>
    <row r="132" spans="1:5" x14ac:dyDescent="0.25">
      <c r="A132" s="166" t="s">
        <v>77</v>
      </c>
      <c r="B132" s="166" t="s">
        <v>1263</v>
      </c>
      <c r="C132" s="166" t="s">
        <v>78</v>
      </c>
      <c r="D132" s="166" t="s">
        <v>2376</v>
      </c>
      <c r="E132" s="163">
        <v>1335.9426640000004</v>
      </c>
    </row>
    <row r="133" spans="1:5" x14ac:dyDescent="0.25">
      <c r="A133" s="166" t="s">
        <v>79</v>
      </c>
      <c r="B133" s="166" t="s">
        <v>1264</v>
      </c>
      <c r="C133" s="166" t="s">
        <v>812</v>
      </c>
      <c r="D133" s="166" t="s">
        <v>2376</v>
      </c>
      <c r="E133" s="163">
        <v>2532.8393999999998</v>
      </c>
    </row>
    <row r="134" spans="1:5" x14ac:dyDescent="0.25">
      <c r="A134" s="166" t="s">
        <v>80</v>
      </c>
      <c r="B134" s="166" t="s">
        <v>1265</v>
      </c>
      <c r="C134" s="166" t="s">
        <v>81</v>
      </c>
      <c r="D134" s="166" t="s">
        <v>2265</v>
      </c>
      <c r="E134" s="163">
        <v>51.126507879999991</v>
      </c>
    </row>
    <row r="135" spans="1:5" x14ac:dyDescent="0.25">
      <c r="A135" s="166" t="s">
        <v>82</v>
      </c>
      <c r="B135" s="166" t="s">
        <v>1266</v>
      </c>
      <c r="C135" s="166" t="s">
        <v>83</v>
      </c>
      <c r="D135" s="166" t="s">
        <v>2265</v>
      </c>
      <c r="E135" s="163">
        <v>11.331496959999999</v>
      </c>
    </row>
    <row r="136" spans="1:5" x14ac:dyDescent="0.25">
      <c r="A136" s="166" t="s">
        <v>84</v>
      </c>
      <c r="B136" s="166" t="s">
        <v>2900</v>
      </c>
      <c r="C136" s="166" t="s">
        <v>85</v>
      </c>
      <c r="D136" s="166" t="s">
        <v>2265</v>
      </c>
      <c r="E136" s="163">
        <v>19.809484800000003</v>
      </c>
    </row>
    <row r="137" spans="1:5" x14ac:dyDescent="0.25">
      <c r="A137" s="166" t="s">
        <v>86</v>
      </c>
      <c r="B137" s="166" t="s">
        <v>2901</v>
      </c>
      <c r="C137" s="166" t="s">
        <v>81</v>
      </c>
      <c r="D137" s="166" t="s">
        <v>2265</v>
      </c>
      <c r="E137" s="163">
        <v>67.710042399999992</v>
      </c>
    </row>
    <row r="138" spans="1:5" x14ac:dyDescent="0.25">
      <c r="A138" s="166" t="s">
        <v>87</v>
      </c>
      <c r="B138" s="166" t="s">
        <v>2902</v>
      </c>
      <c r="C138" s="166" t="s">
        <v>88</v>
      </c>
      <c r="D138" s="166" t="s">
        <v>2265</v>
      </c>
      <c r="E138" s="163">
        <v>31.775227959999995</v>
      </c>
    </row>
    <row r="139" spans="1:5" x14ac:dyDescent="0.25">
      <c r="A139" s="166" t="s">
        <v>89</v>
      </c>
      <c r="B139" s="166" t="s">
        <v>2903</v>
      </c>
      <c r="C139" s="166" t="s">
        <v>90</v>
      </c>
      <c r="D139" s="166" t="s">
        <v>2376</v>
      </c>
      <c r="E139" s="163">
        <v>663.29163599999993</v>
      </c>
    </row>
    <row r="140" spans="1:5" x14ac:dyDescent="0.25">
      <c r="A140" s="166" t="s">
        <v>91</v>
      </c>
      <c r="B140" s="166" t="s">
        <v>2904</v>
      </c>
      <c r="C140" s="166" t="s">
        <v>90</v>
      </c>
      <c r="D140" s="166" t="s">
        <v>2376</v>
      </c>
      <c r="E140" s="163">
        <v>331.62831519999997</v>
      </c>
    </row>
    <row r="141" spans="1:5" x14ac:dyDescent="0.25">
      <c r="A141" s="166" t="s">
        <v>92</v>
      </c>
      <c r="B141" s="166" t="s">
        <v>2905</v>
      </c>
      <c r="C141" s="166" t="s">
        <v>90</v>
      </c>
      <c r="D141" s="166" t="s">
        <v>2376</v>
      </c>
      <c r="E141" s="163">
        <v>442.19442400000008</v>
      </c>
    </row>
    <row r="142" spans="1:5" x14ac:dyDescent="0.25">
      <c r="A142" s="166" t="s">
        <v>93</v>
      </c>
      <c r="B142" s="166" t="s">
        <v>2906</v>
      </c>
      <c r="C142" s="166" t="s">
        <v>66</v>
      </c>
      <c r="D142" s="166" t="s">
        <v>2376</v>
      </c>
      <c r="E142" s="163">
        <v>178.70819399999999</v>
      </c>
    </row>
    <row r="143" spans="1:5" x14ac:dyDescent="0.25">
      <c r="A143" s="166" t="s">
        <v>94</v>
      </c>
      <c r="B143" s="166" t="s">
        <v>2907</v>
      </c>
      <c r="C143" s="166" t="s">
        <v>66</v>
      </c>
      <c r="D143" s="166" t="s">
        <v>2376</v>
      </c>
      <c r="E143" s="163">
        <v>223.87739359999995</v>
      </c>
    </row>
    <row r="144" spans="1:5" x14ac:dyDescent="0.25">
      <c r="A144" s="166" t="s">
        <v>95</v>
      </c>
      <c r="B144" s="166" t="s">
        <v>2909</v>
      </c>
      <c r="C144" s="166" t="s">
        <v>96</v>
      </c>
      <c r="D144" s="166" t="s">
        <v>2108</v>
      </c>
      <c r="E144" s="163">
        <v>819.8555637999998</v>
      </c>
    </row>
    <row r="145" spans="1:5" x14ac:dyDescent="0.25">
      <c r="A145" s="166" t="s">
        <v>97</v>
      </c>
      <c r="B145" s="166" t="s">
        <v>2910</v>
      </c>
      <c r="C145" s="166" t="s">
        <v>96</v>
      </c>
      <c r="D145" s="166" t="s">
        <v>2108</v>
      </c>
      <c r="E145" s="163">
        <v>423.7437091999999</v>
      </c>
    </row>
    <row r="146" spans="1:5" x14ac:dyDescent="0.25">
      <c r="A146" s="166" t="s">
        <v>98</v>
      </c>
      <c r="B146" s="166" t="s">
        <v>1885</v>
      </c>
      <c r="C146" s="166" t="s">
        <v>96</v>
      </c>
      <c r="D146" s="166" t="s">
        <v>2108</v>
      </c>
      <c r="E146" s="163">
        <v>713.87288560000002</v>
      </c>
    </row>
    <row r="147" spans="1:5" x14ac:dyDescent="0.25">
      <c r="A147" s="166" t="s">
        <v>99</v>
      </c>
      <c r="B147" s="166" t="s">
        <v>1886</v>
      </c>
      <c r="C147" s="166" t="s">
        <v>812</v>
      </c>
      <c r="D147" s="166" t="s">
        <v>1802</v>
      </c>
      <c r="E147" s="163">
        <v>5.9416018199999998</v>
      </c>
    </row>
    <row r="148" spans="1:5" x14ac:dyDescent="0.25">
      <c r="A148" s="166" t="s">
        <v>100</v>
      </c>
      <c r="B148" s="166" t="s">
        <v>1887</v>
      </c>
      <c r="C148" s="166" t="s">
        <v>812</v>
      </c>
      <c r="D148" s="166" t="s">
        <v>1802</v>
      </c>
      <c r="E148" s="163">
        <v>1.1145598800000001</v>
      </c>
    </row>
    <row r="149" spans="1:5" x14ac:dyDescent="0.25">
      <c r="A149" s="166" t="s">
        <v>101</v>
      </c>
      <c r="B149" s="166" t="s">
        <v>1888</v>
      </c>
      <c r="C149" s="166" t="s">
        <v>812</v>
      </c>
      <c r="D149" s="166" t="s">
        <v>1802</v>
      </c>
      <c r="E149" s="163">
        <v>1.1055597560000001</v>
      </c>
    </row>
    <row r="150" spans="1:5" x14ac:dyDescent="0.25">
      <c r="A150" s="166" t="s">
        <v>102</v>
      </c>
      <c r="B150" s="166" t="s">
        <v>1889</v>
      </c>
      <c r="C150" s="166" t="s">
        <v>103</v>
      </c>
      <c r="D150" s="166" t="s">
        <v>2108</v>
      </c>
      <c r="E150" s="163">
        <v>56.654279024000012</v>
      </c>
    </row>
    <row r="151" spans="1:5" x14ac:dyDescent="0.25">
      <c r="A151" s="166" t="s">
        <v>104</v>
      </c>
      <c r="B151" s="166" t="s">
        <v>1890</v>
      </c>
      <c r="C151" s="166" t="s">
        <v>812</v>
      </c>
      <c r="D151" s="166" t="s">
        <v>1802</v>
      </c>
      <c r="E151" s="163">
        <v>3.2889787840000002</v>
      </c>
    </row>
    <row r="152" spans="1:5" x14ac:dyDescent="0.25">
      <c r="A152" s="166" t="s">
        <v>105</v>
      </c>
      <c r="B152" s="166" t="s">
        <v>1891</v>
      </c>
      <c r="C152" s="166" t="s">
        <v>96</v>
      </c>
      <c r="D152" s="166" t="s">
        <v>2108</v>
      </c>
      <c r="E152" s="163">
        <v>294.79966039999999</v>
      </c>
    </row>
    <row r="153" spans="1:5" x14ac:dyDescent="0.25">
      <c r="A153" s="166" t="s">
        <v>106</v>
      </c>
      <c r="B153" s="166" t="s">
        <v>1892</v>
      </c>
      <c r="C153" s="166" t="s">
        <v>1797</v>
      </c>
      <c r="D153" s="166" t="s">
        <v>2840</v>
      </c>
      <c r="E153" s="163">
        <v>13.034869455999997</v>
      </c>
    </row>
    <row r="154" spans="1:5" x14ac:dyDescent="0.25">
      <c r="A154" s="166" t="s">
        <v>107</v>
      </c>
      <c r="B154" s="166" t="s">
        <v>1274</v>
      </c>
      <c r="C154" s="166" t="s">
        <v>785</v>
      </c>
      <c r="D154" s="166" t="s">
        <v>2202</v>
      </c>
      <c r="E154" s="163">
        <v>4.6064329639999988</v>
      </c>
    </row>
    <row r="155" spans="1:5" x14ac:dyDescent="0.25">
      <c r="A155" s="166" t="s">
        <v>108</v>
      </c>
      <c r="B155" s="166" t="s">
        <v>1275</v>
      </c>
      <c r="C155" s="166" t="s">
        <v>785</v>
      </c>
      <c r="D155" s="166" t="s">
        <v>2202</v>
      </c>
      <c r="E155" s="163">
        <v>4.0354639919999995</v>
      </c>
    </row>
    <row r="156" spans="1:5" x14ac:dyDescent="0.25">
      <c r="A156" s="166" t="s">
        <v>109</v>
      </c>
      <c r="B156" s="166" t="s">
        <v>1276</v>
      </c>
      <c r="C156" s="166" t="s">
        <v>785</v>
      </c>
      <c r="D156" s="166" t="s">
        <v>2202</v>
      </c>
      <c r="E156" s="163">
        <v>5.480375404000001</v>
      </c>
    </row>
    <row r="157" spans="1:5" x14ac:dyDescent="0.25">
      <c r="A157" s="166" t="s">
        <v>110</v>
      </c>
      <c r="B157" s="166" t="s">
        <v>1279</v>
      </c>
      <c r="C157" s="166" t="s">
        <v>111</v>
      </c>
      <c r="D157" s="166" t="s">
        <v>399</v>
      </c>
      <c r="E157" s="163">
        <v>3.2149879999999995</v>
      </c>
    </row>
    <row r="158" spans="1:5" x14ac:dyDescent="0.25">
      <c r="A158" s="166" t="s">
        <v>112</v>
      </c>
      <c r="B158" s="166" t="s">
        <v>1280</v>
      </c>
      <c r="C158" s="166" t="s">
        <v>111</v>
      </c>
      <c r="D158" s="166" t="s">
        <v>399</v>
      </c>
      <c r="E158" s="163">
        <v>3.1417341759999999</v>
      </c>
    </row>
    <row r="159" spans="1:5" x14ac:dyDescent="0.25">
      <c r="A159" s="166" t="s">
        <v>113</v>
      </c>
      <c r="B159" s="166" t="s">
        <v>1281</v>
      </c>
      <c r="C159" s="166" t="s">
        <v>114</v>
      </c>
      <c r="D159" s="166" t="s">
        <v>399</v>
      </c>
      <c r="E159" s="163">
        <v>63.10551632</v>
      </c>
    </row>
    <row r="160" spans="1:5" x14ac:dyDescent="0.25">
      <c r="A160" s="166" t="s">
        <v>115</v>
      </c>
      <c r="B160" s="166" t="s">
        <v>1283</v>
      </c>
      <c r="C160" s="166" t="s">
        <v>116</v>
      </c>
      <c r="D160" s="166" t="s">
        <v>2840</v>
      </c>
      <c r="E160" s="163">
        <v>1358.6133960000002</v>
      </c>
    </row>
    <row r="161" spans="1:5" x14ac:dyDescent="0.25">
      <c r="A161" s="166" t="s">
        <v>117</v>
      </c>
      <c r="B161" s="166" t="s">
        <v>1284</v>
      </c>
      <c r="C161" s="166" t="s">
        <v>116</v>
      </c>
      <c r="D161" s="166" t="s">
        <v>2840</v>
      </c>
      <c r="E161" s="163">
        <v>1773.1764260000002</v>
      </c>
    </row>
    <row r="162" spans="1:5" x14ac:dyDescent="0.25">
      <c r="A162" s="166" t="s">
        <v>118</v>
      </c>
      <c r="B162" s="166" t="s">
        <v>1321</v>
      </c>
      <c r="C162" s="166" t="s">
        <v>119</v>
      </c>
      <c r="D162" s="166" t="s">
        <v>2840</v>
      </c>
      <c r="E162" s="163">
        <v>230.32855720000001</v>
      </c>
    </row>
    <row r="163" spans="1:5" x14ac:dyDescent="0.25">
      <c r="A163" s="166" t="s">
        <v>120</v>
      </c>
      <c r="B163" s="166" t="s">
        <v>1322</v>
      </c>
      <c r="C163" s="166" t="s">
        <v>121</v>
      </c>
      <c r="D163" s="166" t="s">
        <v>2840</v>
      </c>
      <c r="E163" s="163">
        <v>308.61535739999999</v>
      </c>
    </row>
    <row r="164" spans="1:5" x14ac:dyDescent="0.25">
      <c r="A164" s="166" t="s">
        <v>122</v>
      </c>
      <c r="B164" s="166" t="s">
        <v>1342</v>
      </c>
      <c r="C164" s="166" t="s">
        <v>121</v>
      </c>
      <c r="D164" s="166" t="s">
        <v>2840</v>
      </c>
      <c r="E164" s="163">
        <v>280.96415760000008</v>
      </c>
    </row>
    <row r="165" spans="1:5" x14ac:dyDescent="0.25">
      <c r="A165" s="166" t="s">
        <v>123</v>
      </c>
      <c r="B165" s="166" t="s">
        <v>1343</v>
      </c>
      <c r="C165" s="166" t="s">
        <v>119</v>
      </c>
      <c r="D165" s="166" t="s">
        <v>2840</v>
      </c>
      <c r="E165" s="163">
        <v>215.57093320000004</v>
      </c>
    </row>
    <row r="166" spans="1:5" x14ac:dyDescent="0.25">
      <c r="A166" s="166" t="s">
        <v>124</v>
      </c>
      <c r="B166" s="166" t="s">
        <v>1344</v>
      </c>
      <c r="C166" s="166" t="s">
        <v>125</v>
      </c>
      <c r="D166" s="166" t="s">
        <v>399</v>
      </c>
      <c r="E166" s="163">
        <v>5.2048721200000001</v>
      </c>
    </row>
    <row r="167" spans="1:5" x14ac:dyDescent="0.25">
      <c r="A167" s="166" t="s">
        <v>126</v>
      </c>
      <c r="B167" s="166" t="s">
        <v>1310</v>
      </c>
      <c r="C167" s="166" t="s">
        <v>125</v>
      </c>
      <c r="D167" s="166" t="s">
        <v>399</v>
      </c>
      <c r="E167" s="163">
        <v>2.9200750320000002</v>
      </c>
    </row>
    <row r="168" spans="1:5" x14ac:dyDescent="0.25">
      <c r="A168" s="166" t="s">
        <v>127</v>
      </c>
      <c r="B168" s="166" t="s">
        <v>1345</v>
      </c>
      <c r="C168" s="166" t="s">
        <v>125</v>
      </c>
      <c r="D168" s="166" t="s">
        <v>399</v>
      </c>
      <c r="E168" s="163">
        <v>3.6941225439999998</v>
      </c>
    </row>
    <row r="169" spans="1:5" x14ac:dyDescent="0.25">
      <c r="A169" s="166" t="s">
        <v>128</v>
      </c>
      <c r="B169" s="166" t="s">
        <v>1346</v>
      </c>
      <c r="C169" s="166" t="s">
        <v>121</v>
      </c>
      <c r="D169" s="166" t="s">
        <v>2840</v>
      </c>
      <c r="E169" s="163">
        <v>345.42052160000003</v>
      </c>
    </row>
    <row r="170" spans="1:5" x14ac:dyDescent="0.25">
      <c r="A170" s="166" t="s">
        <v>129</v>
      </c>
      <c r="B170" s="166" t="s">
        <v>1311</v>
      </c>
      <c r="C170" s="166" t="s">
        <v>130</v>
      </c>
      <c r="D170" s="166" t="s">
        <v>2840</v>
      </c>
      <c r="E170" s="163">
        <v>13.912883599999999</v>
      </c>
    </row>
    <row r="171" spans="1:5" x14ac:dyDescent="0.25">
      <c r="A171" s="166" t="s">
        <v>131</v>
      </c>
      <c r="B171" s="166" t="s">
        <v>1986</v>
      </c>
      <c r="C171" s="166" t="s">
        <v>130</v>
      </c>
      <c r="D171" s="166" t="s">
        <v>2840</v>
      </c>
      <c r="E171" s="163">
        <v>16.261022399999998</v>
      </c>
    </row>
    <row r="172" spans="1:5" x14ac:dyDescent="0.25">
      <c r="A172" s="166" t="s">
        <v>132</v>
      </c>
      <c r="B172" s="166" t="s">
        <v>569</v>
      </c>
      <c r="C172" s="166" t="s">
        <v>130</v>
      </c>
      <c r="D172" s="166" t="s">
        <v>2840</v>
      </c>
      <c r="E172" s="163">
        <v>11.78896488</v>
      </c>
    </row>
    <row r="173" spans="1:5" x14ac:dyDescent="0.25">
      <c r="A173" s="166" t="s">
        <v>133</v>
      </c>
      <c r="B173" s="166" t="s">
        <v>1312</v>
      </c>
      <c r="C173" s="166" t="s">
        <v>130</v>
      </c>
      <c r="D173" s="166" t="s">
        <v>2840</v>
      </c>
      <c r="E173" s="163">
        <v>17.691093280000004</v>
      </c>
    </row>
    <row r="174" spans="1:5" x14ac:dyDescent="0.25">
      <c r="A174" s="166" t="s">
        <v>134</v>
      </c>
      <c r="B174" s="166" t="s">
        <v>920</v>
      </c>
      <c r="C174" s="166" t="s">
        <v>130</v>
      </c>
      <c r="D174" s="166" t="s">
        <v>2840</v>
      </c>
      <c r="E174" s="163">
        <v>21.649812100000002</v>
      </c>
    </row>
    <row r="175" spans="1:5" x14ac:dyDescent="0.25">
      <c r="A175" s="166" t="s">
        <v>135</v>
      </c>
      <c r="B175" s="166" t="s">
        <v>1313</v>
      </c>
      <c r="C175" s="166" t="s">
        <v>1804</v>
      </c>
      <c r="D175" s="166" t="s">
        <v>2840</v>
      </c>
      <c r="E175" s="163">
        <v>98.29204</v>
      </c>
    </row>
    <row r="176" spans="1:5" x14ac:dyDescent="0.25">
      <c r="A176" s="166" t="s">
        <v>136</v>
      </c>
      <c r="B176" s="166" t="s">
        <v>1315</v>
      </c>
      <c r="C176" s="166" t="s">
        <v>1804</v>
      </c>
      <c r="D176" s="166" t="s">
        <v>2840</v>
      </c>
      <c r="E176" s="163">
        <v>102.34531999999997</v>
      </c>
    </row>
    <row r="177" spans="1:5" x14ac:dyDescent="0.25">
      <c r="A177" s="166" t="s">
        <v>137</v>
      </c>
      <c r="B177" s="166" t="s">
        <v>1316</v>
      </c>
      <c r="C177" s="166" t="s">
        <v>1804</v>
      </c>
      <c r="D177" s="166" t="s">
        <v>2840</v>
      </c>
      <c r="E177" s="163">
        <v>107.41191999999999</v>
      </c>
    </row>
    <row r="178" spans="1:5" x14ac:dyDescent="0.25">
      <c r="A178" s="166" t="s">
        <v>138</v>
      </c>
      <c r="B178" s="166" t="s">
        <v>1317</v>
      </c>
      <c r="C178" s="166" t="s">
        <v>790</v>
      </c>
      <c r="D178" s="166" t="s">
        <v>614</v>
      </c>
      <c r="E178" s="163">
        <v>20.266307879999999</v>
      </c>
    </row>
    <row r="179" spans="1:5" x14ac:dyDescent="0.25">
      <c r="A179" s="166" t="s">
        <v>139</v>
      </c>
      <c r="B179" s="166" t="s">
        <v>1319</v>
      </c>
      <c r="C179" s="166" t="s">
        <v>140</v>
      </c>
      <c r="D179" s="166" t="s">
        <v>2202</v>
      </c>
      <c r="E179" s="163">
        <v>7.4157613320000006</v>
      </c>
    </row>
    <row r="180" spans="1:5" x14ac:dyDescent="0.25">
      <c r="A180" s="166" t="s">
        <v>141</v>
      </c>
      <c r="B180" s="166" t="s">
        <v>2252</v>
      </c>
      <c r="C180" s="166" t="s">
        <v>142</v>
      </c>
      <c r="D180" s="166" t="s">
        <v>1802</v>
      </c>
      <c r="E180" s="163">
        <v>1.5568279999999999</v>
      </c>
    </row>
    <row r="181" spans="1:5" x14ac:dyDescent="0.25">
      <c r="A181" s="166" t="s">
        <v>143</v>
      </c>
      <c r="B181" s="166" t="s">
        <v>1320</v>
      </c>
      <c r="C181" s="166" t="s">
        <v>140</v>
      </c>
      <c r="D181" s="166" t="s">
        <v>2377</v>
      </c>
      <c r="E181" s="163">
        <v>543.44351599999982</v>
      </c>
    </row>
    <row r="182" spans="1:5" x14ac:dyDescent="0.25">
      <c r="A182" s="166" t="s">
        <v>144</v>
      </c>
      <c r="B182" s="166" t="s">
        <v>2810</v>
      </c>
      <c r="C182" s="166" t="s">
        <v>145</v>
      </c>
      <c r="D182" s="166" t="s">
        <v>1802</v>
      </c>
      <c r="E182" s="163">
        <v>1.197523152</v>
      </c>
    </row>
    <row r="183" spans="1:5" x14ac:dyDescent="0.25">
      <c r="A183" s="166" t="s">
        <v>1493</v>
      </c>
      <c r="B183" s="166" t="s">
        <v>2811</v>
      </c>
      <c r="C183" s="166" t="s">
        <v>145</v>
      </c>
      <c r="D183" s="166" t="s">
        <v>1802</v>
      </c>
      <c r="E183" s="163">
        <v>2.0727368479999999</v>
      </c>
    </row>
    <row r="184" spans="1:5" x14ac:dyDescent="0.25">
      <c r="A184" s="166" t="s">
        <v>1494</v>
      </c>
      <c r="B184" s="166" t="s">
        <v>2812</v>
      </c>
      <c r="C184" s="166" t="s">
        <v>1495</v>
      </c>
      <c r="D184" s="166" t="s">
        <v>2202</v>
      </c>
      <c r="E184" s="163">
        <v>0.77369745600000006</v>
      </c>
    </row>
    <row r="185" spans="1:5" x14ac:dyDescent="0.25">
      <c r="A185" s="166" t="s">
        <v>1496</v>
      </c>
      <c r="B185" s="166" t="s">
        <v>2813</v>
      </c>
      <c r="C185" s="166" t="s">
        <v>145</v>
      </c>
      <c r="D185" s="166" t="s">
        <v>1802</v>
      </c>
      <c r="E185" s="163">
        <v>0.46992254399999994</v>
      </c>
    </row>
    <row r="186" spans="1:5" x14ac:dyDescent="0.25">
      <c r="A186" s="166" t="s">
        <v>1486</v>
      </c>
      <c r="B186" s="166" t="s">
        <v>2818</v>
      </c>
      <c r="C186" s="166" t="s">
        <v>1813</v>
      </c>
      <c r="D186" s="166" t="s">
        <v>2840</v>
      </c>
      <c r="E186" s="163">
        <v>1.7133214560000001</v>
      </c>
    </row>
    <row r="187" spans="1:5" x14ac:dyDescent="0.25">
      <c r="A187" s="166" t="s">
        <v>1487</v>
      </c>
      <c r="B187" s="166" t="s">
        <v>2818</v>
      </c>
      <c r="C187" s="166" t="s">
        <v>1813</v>
      </c>
      <c r="D187" s="166" t="s">
        <v>1802</v>
      </c>
      <c r="E187" s="163">
        <v>0.28557199999999999</v>
      </c>
    </row>
    <row r="188" spans="1:5" x14ac:dyDescent="0.25">
      <c r="A188" s="166" t="s">
        <v>1488</v>
      </c>
      <c r="B188" s="166" t="s">
        <v>2819</v>
      </c>
      <c r="C188" s="166" t="s">
        <v>1813</v>
      </c>
      <c r="D188" s="166" t="s">
        <v>2840</v>
      </c>
      <c r="E188" s="163">
        <v>1.2897536959999998</v>
      </c>
    </row>
    <row r="189" spans="1:5" x14ac:dyDescent="0.25">
      <c r="A189" s="166" t="s">
        <v>1489</v>
      </c>
      <c r="B189" s="166" t="s">
        <v>2820</v>
      </c>
      <c r="C189" s="166" t="s">
        <v>1813</v>
      </c>
      <c r="D189" s="166" t="s">
        <v>2840</v>
      </c>
      <c r="E189" s="163">
        <v>0.64487684799999989</v>
      </c>
    </row>
    <row r="190" spans="1:5" x14ac:dyDescent="0.25">
      <c r="A190" s="166" t="s">
        <v>1490</v>
      </c>
      <c r="B190" s="166" t="s">
        <v>2824</v>
      </c>
      <c r="C190" s="166" t="s">
        <v>1843</v>
      </c>
      <c r="D190" s="166" t="s">
        <v>2840</v>
      </c>
      <c r="E190" s="163">
        <v>37.307494560000002</v>
      </c>
    </row>
    <row r="191" spans="1:5" x14ac:dyDescent="0.25">
      <c r="A191" s="166" t="s">
        <v>1491</v>
      </c>
      <c r="B191" s="166" t="s">
        <v>2825</v>
      </c>
      <c r="C191" s="166" t="s">
        <v>1843</v>
      </c>
      <c r="D191" s="166" t="s">
        <v>2840</v>
      </c>
      <c r="E191" s="163">
        <v>33.625642400000011</v>
      </c>
    </row>
    <row r="192" spans="1:5" x14ac:dyDescent="0.25">
      <c r="A192" s="166" t="s">
        <v>1492</v>
      </c>
      <c r="B192" s="166" t="s">
        <v>2827</v>
      </c>
      <c r="C192" s="166" t="s">
        <v>38</v>
      </c>
      <c r="D192" s="166" t="s">
        <v>2265</v>
      </c>
      <c r="E192" s="163">
        <v>1911.4513096000003</v>
      </c>
    </row>
    <row r="193" spans="1:5" x14ac:dyDescent="0.25">
      <c r="A193" s="166" t="s">
        <v>2587</v>
      </c>
      <c r="B193" s="166" t="s">
        <v>2828</v>
      </c>
      <c r="C193" s="166" t="s">
        <v>1850</v>
      </c>
      <c r="D193" s="166" t="s">
        <v>2265</v>
      </c>
      <c r="E193" s="163">
        <v>8290.6894560000001</v>
      </c>
    </row>
    <row r="194" spans="1:5" x14ac:dyDescent="0.25">
      <c r="A194" s="166" t="s">
        <v>2588</v>
      </c>
      <c r="B194" s="166" t="s">
        <v>2830</v>
      </c>
      <c r="C194" s="166" t="s">
        <v>34</v>
      </c>
      <c r="D194" s="166" t="s">
        <v>2265</v>
      </c>
      <c r="E194" s="163">
        <v>103.17403152</v>
      </c>
    </row>
    <row r="195" spans="1:5" x14ac:dyDescent="0.25">
      <c r="A195" s="166" t="s">
        <v>2589</v>
      </c>
      <c r="B195" s="166" t="s">
        <v>2831</v>
      </c>
      <c r="C195" s="166" t="s">
        <v>34</v>
      </c>
      <c r="D195" s="166" t="s">
        <v>2202</v>
      </c>
      <c r="E195" s="163">
        <v>4.1732202399999991</v>
      </c>
    </row>
    <row r="196" spans="1:5" x14ac:dyDescent="0.25">
      <c r="A196" s="166" t="s">
        <v>2590</v>
      </c>
      <c r="B196" s="166" t="s">
        <v>677</v>
      </c>
      <c r="C196" s="166" t="s">
        <v>34</v>
      </c>
      <c r="D196" s="166" t="s">
        <v>2202</v>
      </c>
      <c r="E196" s="163">
        <v>6.3106806000000004</v>
      </c>
    </row>
    <row r="197" spans="1:5" x14ac:dyDescent="0.25">
      <c r="A197" s="166" t="s">
        <v>2591</v>
      </c>
      <c r="B197" s="166" t="s">
        <v>678</v>
      </c>
      <c r="C197" s="166" t="s">
        <v>2592</v>
      </c>
      <c r="D197" s="166" t="s">
        <v>2202</v>
      </c>
      <c r="E197" s="163">
        <v>6.0798831519999998</v>
      </c>
    </row>
    <row r="198" spans="1:5" x14ac:dyDescent="0.25">
      <c r="A198" s="166" t="s">
        <v>2593</v>
      </c>
      <c r="B198" s="166" t="s">
        <v>679</v>
      </c>
      <c r="C198" s="166" t="s">
        <v>2592</v>
      </c>
      <c r="D198" s="166" t="s">
        <v>2202</v>
      </c>
      <c r="E198" s="163">
        <v>9.1208748960000001</v>
      </c>
    </row>
    <row r="199" spans="1:5" x14ac:dyDescent="0.25">
      <c r="A199" s="166" t="s">
        <v>2594</v>
      </c>
      <c r="B199" s="166" t="s">
        <v>1222</v>
      </c>
      <c r="C199" s="166" t="s">
        <v>1807</v>
      </c>
      <c r="D199" s="166" t="s">
        <v>2202</v>
      </c>
      <c r="E199" s="163">
        <v>4.4953823040000005</v>
      </c>
    </row>
    <row r="200" spans="1:5" x14ac:dyDescent="0.25">
      <c r="A200" s="166" t="s">
        <v>2595</v>
      </c>
      <c r="B200" s="166" t="s">
        <v>680</v>
      </c>
      <c r="C200" s="166" t="s">
        <v>2596</v>
      </c>
      <c r="D200" s="166" t="s">
        <v>1182</v>
      </c>
      <c r="E200" s="163">
        <v>81.068363600000012</v>
      </c>
    </row>
    <row r="201" spans="1:5" x14ac:dyDescent="0.25">
      <c r="A201" s="166" t="s">
        <v>2597</v>
      </c>
      <c r="B201" s="166" t="s">
        <v>681</v>
      </c>
      <c r="C201" s="166" t="s">
        <v>2596</v>
      </c>
      <c r="D201" s="166" t="s">
        <v>2377</v>
      </c>
      <c r="E201" s="163">
        <v>81.068363600000012</v>
      </c>
    </row>
    <row r="202" spans="1:5" x14ac:dyDescent="0.25">
      <c r="A202" s="166" t="s">
        <v>2598</v>
      </c>
      <c r="B202" s="166" t="s">
        <v>682</v>
      </c>
      <c r="C202" s="166" t="s">
        <v>2596</v>
      </c>
      <c r="D202" s="166" t="s">
        <v>2202</v>
      </c>
      <c r="E202" s="163">
        <v>4.3110317599999997</v>
      </c>
    </row>
    <row r="203" spans="1:5" x14ac:dyDescent="0.25">
      <c r="A203" s="166" t="s">
        <v>2599</v>
      </c>
      <c r="B203" s="166" t="s">
        <v>683</v>
      </c>
      <c r="C203" s="166" t="s">
        <v>2596</v>
      </c>
      <c r="D203" s="166" t="s">
        <v>2202</v>
      </c>
      <c r="E203" s="163">
        <v>12.942076979999998</v>
      </c>
    </row>
    <row r="204" spans="1:5" x14ac:dyDescent="0.25">
      <c r="A204" s="166" t="s">
        <v>2600</v>
      </c>
      <c r="B204" s="166" t="s">
        <v>684</v>
      </c>
      <c r="C204" s="166" t="s">
        <v>63</v>
      </c>
      <c r="D204" s="166" t="s">
        <v>2265</v>
      </c>
      <c r="E204" s="163">
        <v>718.48072800000011</v>
      </c>
    </row>
    <row r="205" spans="1:5" x14ac:dyDescent="0.25">
      <c r="A205" s="166" t="s">
        <v>2601</v>
      </c>
      <c r="B205" s="166" t="s">
        <v>685</v>
      </c>
      <c r="C205" s="166" t="s">
        <v>1804</v>
      </c>
      <c r="D205" s="166" t="s">
        <v>2840</v>
      </c>
      <c r="E205" s="163">
        <v>5.3199300000000003</v>
      </c>
    </row>
    <row r="206" spans="1:5" x14ac:dyDescent="0.25">
      <c r="A206" s="166" t="s">
        <v>2602</v>
      </c>
      <c r="B206" s="166" t="s">
        <v>686</v>
      </c>
      <c r="C206" s="166" t="s">
        <v>1804</v>
      </c>
      <c r="D206" s="166" t="s">
        <v>603</v>
      </c>
      <c r="E206" s="163">
        <v>35.466199999999994</v>
      </c>
    </row>
    <row r="207" spans="1:5" x14ac:dyDescent="0.25">
      <c r="A207" s="166" t="s">
        <v>2603</v>
      </c>
      <c r="B207" s="166" t="s">
        <v>687</v>
      </c>
      <c r="C207" s="166" t="s">
        <v>1804</v>
      </c>
      <c r="D207" s="166" t="s">
        <v>603</v>
      </c>
      <c r="E207" s="163">
        <v>47.119379999999992</v>
      </c>
    </row>
    <row r="208" spans="1:5" x14ac:dyDescent="0.25">
      <c r="A208" s="166" t="s">
        <v>2604</v>
      </c>
      <c r="B208" s="166" t="s">
        <v>688</v>
      </c>
      <c r="C208" s="166" t="s">
        <v>1804</v>
      </c>
      <c r="D208" s="166" t="s">
        <v>603</v>
      </c>
      <c r="E208" s="163">
        <v>47.119379999999992</v>
      </c>
    </row>
    <row r="209" spans="1:5" x14ac:dyDescent="0.25">
      <c r="A209" s="166" t="s">
        <v>2605</v>
      </c>
      <c r="B209" s="166" t="s">
        <v>689</v>
      </c>
      <c r="C209" s="166" t="s">
        <v>1804</v>
      </c>
      <c r="D209" s="166" t="s">
        <v>204</v>
      </c>
      <c r="E209" s="163">
        <v>19.709074000000001</v>
      </c>
    </row>
    <row r="210" spans="1:5" x14ac:dyDescent="0.25">
      <c r="A210" s="166" t="s">
        <v>2606</v>
      </c>
      <c r="B210" s="166" t="s">
        <v>690</v>
      </c>
      <c r="C210" s="166" t="s">
        <v>2607</v>
      </c>
      <c r="D210" s="166" t="s">
        <v>2759</v>
      </c>
      <c r="E210" s="163">
        <v>3085.5594000000001</v>
      </c>
    </row>
  </sheetData>
  <phoneticPr fontId="6"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416"/>
  <sheetViews>
    <sheetView workbookViewId="0">
      <selection activeCell="J14" sqref="J14"/>
    </sheetView>
  </sheetViews>
  <sheetFormatPr defaultRowHeight="13.2" x14ac:dyDescent="0.25"/>
  <cols>
    <col min="1" max="1" width="8" style="169" customWidth="1"/>
    <col min="2" max="2" width="4.5546875" style="173" customWidth="1"/>
    <col min="3" max="3" width="46.6640625" style="106" customWidth="1"/>
    <col min="4" max="4" width="11.6640625" style="268" customWidth="1"/>
    <col min="5" max="5" width="10.88671875" style="268" customWidth="1"/>
  </cols>
  <sheetData>
    <row r="1" spans="1:6" ht="24" x14ac:dyDescent="0.25">
      <c r="A1" s="168" t="s">
        <v>475</v>
      </c>
      <c r="B1" s="173" t="s">
        <v>2488</v>
      </c>
      <c r="C1" s="98" t="s">
        <v>1967</v>
      </c>
      <c r="D1" s="99" t="s">
        <v>182</v>
      </c>
      <c r="E1" s="99" t="s">
        <v>183</v>
      </c>
      <c r="F1" s="194" t="s">
        <v>3059</v>
      </c>
    </row>
    <row r="2" spans="1:6" x14ac:dyDescent="0.25">
      <c r="A2" s="168">
        <v>309</v>
      </c>
      <c r="B2" s="174" t="s">
        <v>499</v>
      </c>
    </row>
    <row r="3" spans="1:6" x14ac:dyDescent="0.25">
      <c r="A3" s="168">
        <v>309</v>
      </c>
      <c r="B3" s="174"/>
      <c r="C3" s="200" t="s">
        <v>3284</v>
      </c>
      <c r="D3" s="269" t="str">
        <f>VLOOKUP(C3,lookup!$B$2:$F$1240,2)</f>
        <v>Cu Yd</v>
      </c>
      <c r="E3" s="271">
        <f>VLOOKUP(C3,lookup!$B$2:$F$1240,5)</f>
        <v>350</v>
      </c>
      <c r="F3" s="197"/>
    </row>
    <row r="4" spans="1:6" x14ac:dyDescent="0.25">
      <c r="A4" s="168">
        <v>309</v>
      </c>
      <c r="B4" s="174"/>
      <c r="C4" s="106" t="s">
        <v>897</v>
      </c>
      <c r="D4" s="269">
        <f>VLOOKUP(C4,lookup!$B$2:$F$1240,2)</f>
        <v>0</v>
      </c>
      <c r="E4" s="271">
        <f>VLOOKUP(C4,lookup!$B$2:$F$1240,5)</f>
        <v>0</v>
      </c>
    </row>
    <row r="5" spans="1:6" x14ac:dyDescent="0.25">
      <c r="A5" s="168">
        <v>309</v>
      </c>
      <c r="B5" s="174"/>
      <c r="C5" s="106" t="s">
        <v>896</v>
      </c>
      <c r="D5" s="269">
        <f>VLOOKUP(C5,lookup!$B$2:$F$1240,2)</f>
        <v>0</v>
      </c>
      <c r="E5" s="271">
        <f>VLOOKUP(C5,lookup!$B$2:$F$1240,5)</f>
        <v>0</v>
      </c>
    </row>
    <row r="6" spans="1:6" x14ac:dyDescent="0.25">
      <c r="A6" s="168">
        <v>309</v>
      </c>
      <c r="B6" s="174"/>
      <c r="C6" s="106" t="s">
        <v>895</v>
      </c>
      <c r="D6" s="269">
        <f>VLOOKUP(C6,lookup!$B$2:$F$1240,2)</f>
        <v>0</v>
      </c>
      <c r="E6" s="271">
        <f>VLOOKUP(C6,lookup!$B$2:$F$1240,5)</f>
        <v>0</v>
      </c>
    </row>
    <row r="7" spans="1:6" x14ac:dyDescent="0.25">
      <c r="A7" s="168">
        <v>309</v>
      </c>
      <c r="B7" s="174"/>
      <c r="C7" s="96" t="s">
        <v>728</v>
      </c>
      <c r="D7" s="269" t="str">
        <f>VLOOKUP(C7,lookup!$B$2:$F$1240,2)</f>
        <v>each</v>
      </c>
      <c r="E7" s="271">
        <f>VLOOKUP(C7,lookup!$B$2:$F$1240,5)</f>
        <v>60</v>
      </c>
      <c r="F7" s="203"/>
    </row>
    <row r="8" spans="1:6" x14ac:dyDescent="0.25">
      <c r="A8" s="168">
        <v>309</v>
      </c>
      <c r="B8" s="174"/>
      <c r="C8" s="96" t="s">
        <v>729</v>
      </c>
      <c r="D8" s="269" t="str">
        <f>VLOOKUP(C8,lookup!$B$2:$F$1240,2)</f>
        <v>each</v>
      </c>
      <c r="E8" s="271">
        <f>VLOOKUP(C8,lookup!$B$2:$F$1240,5)</f>
        <v>80</v>
      </c>
      <c r="F8" s="203"/>
    </row>
    <row r="9" spans="1:6" x14ac:dyDescent="0.25">
      <c r="A9" s="168">
        <v>309</v>
      </c>
      <c r="B9" s="174"/>
      <c r="C9" s="195" t="s">
        <v>2933</v>
      </c>
      <c r="D9" s="269" t="str">
        <f>VLOOKUP(C9,lookup!$B$2:$F$1240,2)</f>
        <v>each</v>
      </c>
      <c r="E9" s="271">
        <f>VLOOKUP(C9,lookup!$B$2:$F$1240,5)</f>
        <v>80</v>
      </c>
      <c r="F9" s="197"/>
    </row>
    <row r="10" spans="1:6" x14ac:dyDescent="0.25">
      <c r="A10" s="168">
        <v>309</v>
      </c>
      <c r="B10" s="174"/>
      <c r="C10" s="195" t="s">
        <v>2934</v>
      </c>
      <c r="D10" s="269" t="str">
        <f>VLOOKUP(C10,lookup!$B$2:$F$1240,2)</f>
        <v>Ea.</v>
      </c>
      <c r="E10" s="271">
        <f>VLOOKUP(C10,lookup!$B$2:$F$1240,5)</f>
        <v>243.1995636</v>
      </c>
      <c r="F10" s="197"/>
    </row>
    <row r="11" spans="1:6" x14ac:dyDescent="0.25">
      <c r="A11" s="168">
        <v>309</v>
      </c>
      <c r="B11" s="174"/>
      <c r="C11" s="201" t="s">
        <v>2929</v>
      </c>
      <c r="D11" s="269" t="str">
        <f>VLOOKUP(C11,lookup!$B$2:$F$1240,2)</f>
        <v>ft</v>
      </c>
      <c r="E11" s="271">
        <f>VLOOKUP(C11,lookup!$B$2:$F$1240,5)</f>
        <v>5</v>
      </c>
      <c r="F11" s="203"/>
    </row>
    <row r="12" spans="1:6" x14ac:dyDescent="0.25">
      <c r="A12" s="168">
        <v>309</v>
      </c>
      <c r="B12" s="172"/>
      <c r="C12" s="106" t="s">
        <v>1151</v>
      </c>
      <c r="D12" s="269">
        <f>VLOOKUP(C12,lookup!$B$2:$F$1240,2)</f>
        <v>0</v>
      </c>
      <c r="E12" s="271">
        <f>VLOOKUP(C12,lookup!$B$2:$F$1240,5)</f>
        <v>0</v>
      </c>
    </row>
    <row r="13" spans="1:6" x14ac:dyDescent="0.25">
      <c r="A13" s="168">
        <v>309</v>
      </c>
      <c r="B13" s="172"/>
      <c r="C13" s="106" t="s">
        <v>1376</v>
      </c>
      <c r="D13" s="269" t="str">
        <f>VLOOKUP(C13,lookup!$B$2:$F$1240,2)</f>
        <v>cu yd</v>
      </c>
      <c r="E13" s="271">
        <f>VLOOKUP(C13,lookup!$B$2:$F$1240,5)</f>
        <v>3.5</v>
      </c>
    </row>
    <row r="14" spans="1:6" x14ac:dyDescent="0.25">
      <c r="A14" s="168">
        <v>309</v>
      </c>
      <c r="B14" s="172"/>
      <c r="C14" s="106" t="s">
        <v>1110</v>
      </c>
      <c r="D14" s="269" t="str">
        <f>VLOOKUP(C14,lookup!$B$2:$F$1240,2)</f>
        <v>Cu Yd</v>
      </c>
      <c r="E14" s="271">
        <f>VLOOKUP(C14,lookup!$B$2:$F$1240,5)</f>
        <v>0</v>
      </c>
    </row>
    <row r="15" spans="1:6" x14ac:dyDescent="0.25">
      <c r="A15" s="168">
        <v>309</v>
      </c>
      <c r="B15" s="175"/>
      <c r="C15" s="195" t="s">
        <v>2916</v>
      </c>
      <c r="D15" s="269">
        <f>VLOOKUP(C15,lookup!$B$2:$F$1240,2)</f>
        <v>0</v>
      </c>
      <c r="E15" s="271">
        <f>VLOOKUP(C15,lookup!$B$2:$F$1240,5)</f>
        <v>0</v>
      </c>
      <c r="F15" s="197"/>
    </row>
    <row r="16" spans="1:6" x14ac:dyDescent="0.25">
      <c r="A16" s="168">
        <v>309</v>
      </c>
      <c r="B16" s="176"/>
      <c r="C16" s="106" t="s">
        <v>1034</v>
      </c>
      <c r="D16" s="269" t="str">
        <f>VLOOKUP(C16,lookup!$B$2:$F$1240,2)</f>
        <v>l.s.</v>
      </c>
      <c r="E16" s="271">
        <f>VLOOKUP(C16,lookup!$B$2:$F$1240,5)</f>
        <v>400</v>
      </c>
    </row>
    <row r="17" spans="1:6" x14ac:dyDescent="0.25">
      <c r="A17" s="168">
        <v>309</v>
      </c>
      <c r="B17" s="176"/>
      <c r="C17" s="195" t="s">
        <v>2930</v>
      </c>
      <c r="D17" s="269" t="str">
        <f>VLOOKUP(C17,lookup!$B$2:$F$1240,2)</f>
        <v>ea</v>
      </c>
      <c r="E17" s="271">
        <f>VLOOKUP(C17,lookup!$B$2:$F$1240,5)</f>
        <v>0.45</v>
      </c>
      <c r="F17" s="197"/>
    </row>
    <row r="18" spans="1:6" x14ac:dyDescent="0.25">
      <c r="A18" s="168">
        <v>309</v>
      </c>
      <c r="B18" s="177"/>
      <c r="C18" s="195" t="s">
        <v>2918</v>
      </c>
      <c r="D18" s="269" t="str">
        <f>VLOOKUP(C18,lookup!$B$2:$F$1240,2)</f>
        <v>ea</v>
      </c>
      <c r="E18" s="271">
        <f>VLOOKUP(C18,lookup!$B$2:$F$1240,5)</f>
        <v>0.45</v>
      </c>
      <c r="F18" s="199"/>
    </row>
    <row r="19" spans="1:6" x14ac:dyDescent="0.25">
      <c r="A19" s="168">
        <v>309</v>
      </c>
      <c r="B19" s="177"/>
      <c r="C19" s="195" t="s">
        <v>2919</v>
      </c>
      <c r="D19" s="269" t="str">
        <f>VLOOKUP(C19,lookup!$B$2:$F$1240,2)</f>
        <v>Ea.</v>
      </c>
      <c r="E19" s="271">
        <f>VLOOKUP(C19,lookup!$B$2:$F$1240,5)</f>
        <v>162</v>
      </c>
      <c r="F19" s="199"/>
    </row>
    <row r="20" spans="1:6" x14ac:dyDescent="0.25">
      <c r="A20" s="168">
        <v>309</v>
      </c>
      <c r="B20" s="178"/>
      <c r="C20" s="195" t="s">
        <v>3238</v>
      </c>
      <c r="D20" s="269" t="str">
        <f>VLOOKUP(C20,lookup!$B$2:$F$1240,2)</f>
        <v>hr</v>
      </c>
      <c r="E20" s="271">
        <f>VLOOKUP(C20,lookup!$B$2:$F$1240,5)</f>
        <v>100</v>
      </c>
      <c r="F20" s="203"/>
    </row>
    <row r="21" spans="1:6" x14ac:dyDescent="0.25">
      <c r="A21" s="168">
        <v>309</v>
      </c>
      <c r="B21" s="177"/>
      <c r="C21" s="106" t="s">
        <v>987</v>
      </c>
      <c r="D21" s="269" t="str">
        <f>VLOOKUP(C21,lookup!$B$2:$F$1240,2)</f>
        <v>Cu Yd</v>
      </c>
      <c r="E21" s="271">
        <f>VLOOKUP(C21,lookup!$B$2:$F$1240,5)</f>
        <v>40</v>
      </c>
    </row>
    <row r="22" spans="1:6" x14ac:dyDescent="0.25">
      <c r="A22" s="168">
        <v>309</v>
      </c>
      <c r="B22" s="177"/>
      <c r="C22" s="106" t="s">
        <v>988</v>
      </c>
      <c r="D22" s="269" t="str">
        <f>VLOOKUP(C22,lookup!$B$2:$F$1240,2)</f>
        <v>ton</v>
      </c>
      <c r="E22" s="271">
        <f>VLOOKUP(C22,lookup!$B$2:$F$1240,5)</f>
        <v>20</v>
      </c>
    </row>
    <row r="23" spans="1:6" x14ac:dyDescent="0.25">
      <c r="A23" s="168">
        <v>309</v>
      </c>
      <c r="B23" s="178"/>
      <c r="C23" s="106" t="s">
        <v>2797</v>
      </c>
      <c r="D23" s="269" t="str">
        <f>VLOOKUP(C23,lookup!$B$2:$F$1240,2)</f>
        <v>ton</v>
      </c>
      <c r="E23" s="271">
        <f>VLOOKUP(C23,lookup!$B$2:$F$1240,5)</f>
        <v>20</v>
      </c>
    </row>
    <row r="24" spans="1:6" x14ac:dyDescent="0.25">
      <c r="A24" s="168">
        <v>309</v>
      </c>
      <c r="B24" s="177"/>
      <c r="C24" s="106" t="s">
        <v>725</v>
      </c>
      <c r="D24" s="269" t="str">
        <f>VLOOKUP(C24,lookup!$B$2:$F$1240,2)</f>
        <v>ft</v>
      </c>
      <c r="E24" s="271">
        <f>VLOOKUP(C24,lookup!$B$2:$F$1240,5)</f>
        <v>6.6</v>
      </c>
    </row>
    <row r="25" spans="1:6" x14ac:dyDescent="0.25">
      <c r="A25" s="168">
        <v>309</v>
      </c>
      <c r="B25" s="177"/>
      <c r="C25" s="195" t="s">
        <v>2914</v>
      </c>
      <c r="D25" s="269" t="str">
        <f>VLOOKUP(C25,lookup!$B$2:$F$1240,2)</f>
        <v>sq.ft</v>
      </c>
      <c r="E25" s="271">
        <f>VLOOKUP(C25,lookup!$B$2:$F$1240,5)</f>
        <v>20.5</v>
      </c>
      <c r="F25" s="199"/>
    </row>
    <row r="26" spans="1:6" x14ac:dyDescent="0.25">
      <c r="A26" s="168">
        <v>309</v>
      </c>
      <c r="B26" s="177"/>
      <c r="C26" s="100" t="s">
        <v>1042</v>
      </c>
      <c r="D26" s="269" t="str">
        <f>VLOOKUP(C26,lookup!$B$2:$F$1240,2)</f>
        <v>Ea.</v>
      </c>
      <c r="E26" s="271">
        <f>VLOOKUP(C26,lookup!$B$2:$F$1240,5)</f>
        <v>65</v>
      </c>
    </row>
    <row r="27" spans="1:6" x14ac:dyDescent="0.25">
      <c r="A27" s="168">
        <v>309</v>
      </c>
      <c r="B27" s="172"/>
      <c r="C27" s="100" t="s">
        <v>1039</v>
      </c>
      <c r="D27" s="269" t="str">
        <f>VLOOKUP(C27,lookup!$B$2:$F$1240,2)</f>
        <v>Ea.</v>
      </c>
      <c r="E27" s="271">
        <f>VLOOKUP(C27,lookup!$B$2:$F$1240,5)</f>
        <v>65</v>
      </c>
    </row>
    <row r="28" spans="1:6" ht="22.8" x14ac:dyDescent="0.25">
      <c r="A28" s="168">
        <v>309</v>
      </c>
      <c r="B28" s="172"/>
      <c r="C28" s="100" t="s">
        <v>1040</v>
      </c>
      <c r="D28" s="269" t="str">
        <f>VLOOKUP(C28,lookup!$B$2:$F$1240,2)</f>
        <v>Ea.</v>
      </c>
      <c r="E28" s="271">
        <f>VLOOKUP(C28,lookup!$B$2:$F$1240,5)</f>
        <v>65</v>
      </c>
    </row>
    <row r="29" spans="1:6" x14ac:dyDescent="0.25">
      <c r="A29" s="168">
        <v>309</v>
      </c>
      <c r="B29" s="172"/>
      <c r="C29" s="100" t="s">
        <v>1041</v>
      </c>
      <c r="D29" s="269" t="str">
        <f>VLOOKUP(C29,lookup!$B$2:$F$1240,2)</f>
        <v>Ea.</v>
      </c>
      <c r="E29" s="271">
        <f>VLOOKUP(C29,lookup!$B$2:$F$1240,5)</f>
        <v>65</v>
      </c>
    </row>
    <row r="30" spans="1:6" x14ac:dyDescent="0.25">
      <c r="A30" s="168">
        <v>309</v>
      </c>
      <c r="B30" s="172"/>
      <c r="C30" s="195" t="s">
        <v>2913</v>
      </c>
      <c r="D30" s="269" t="str">
        <f>VLOOKUP(C30,lookup!$B$2:$F$1240,2)</f>
        <v>Ac.</v>
      </c>
      <c r="E30" s="271">
        <f>VLOOKUP(C30,lookup!$B$2:$F$1240,5)</f>
        <v>1475</v>
      </c>
      <c r="F30" s="204"/>
    </row>
    <row r="31" spans="1:6" x14ac:dyDescent="0.25">
      <c r="A31" s="168">
        <v>309</v>
      </c>
      <c r="B31" s="172"/>
      <c r="C31" s="195" t="s">
        <v>3258</v>
      </c>
      <c r="D31" s="269" t="str">
        <f>VLOOKUP(C31,lookup!$B$2:$F$1240,2)</f>
        <v>lin ft</v>
      </c>
      <c r="E31" s="271">
        <f>VLOOKUP(C31,lookup!$B$2:$F$1240,5)</f>
        <v>16.66</v>
      </c>
      <c r="F31" s="197"/>
    </row>
    <row r="32" spans="1:6" x14ac:dyDescent="0.25">
      <c r="A32" s="168">
        <v>309</v>
      </c>
      <c r="B32" s="172"/>
      <c r="C32" s="114" t="s">
        <v>2574</v>
      </c>
      <c r="D32" s="269">
        <f>VLOOKUP(C32,lookup!$B$2:$F$1240,2)</f>
        <v>0</v>
      </c>
      <c r="E32" s="271">
        <f>VLOOKUP(C32,lookup!$B$2:$F$1240,5)</f>
        <v>0</v>
      </c>
    </row>
    <row r="33" spans="1:6" x14ac:dyDescent="0.25">
      <c r="A33" s="168">
        <v>309</v>
      </c>
      <c r="B33" s="172"/>
      <c r="C33" s="115" t="s">
        <v>2575</v>
      </c>
      <c r="D33" s="269">
        <f>VLOOKUP(C33,lookup!$B$2:$F$1240,2)</f>
        <v>0</v>
      </c>
      <c r="E33" s="271">
        <f>VLOOKUP(C33,lookup!$B$2:$F$1240,5)</f>
        <v>0</v>
      </c>
    </row>
    <row r="34" spans="1:6" x14ac:dyDescent="0.25">
      <c r="A34" s="168">
        <v>309</v>
      </c>
      <c r="B34" s="172"/>
      <c r="C34" s="195" t="s">
        <v>2917</v>
      </c>
      <c r="D34" s="269">
        <f>VLOOKUP(C34,lookup!$B$2:$F$1240,2)</f>
        <v>0</v>
      </c>
      <c r="E34" s="271">
        <f>VLOOKUP(C34,lookup!$B$2:$F$1240,5)</f>
        <v>0</v>
      </c>
      <c r="F34" s="199"/>
    </row>
    <row r="35" spans="1:6" x14ac:dyDescent="0.25">
      <c r="A35" s="168">
        <v>309</v>
      </c>
      <c r="B35" s="172"/>
      <c r="C35" s="195" t="s">
        <v>2935</v>
      </c>
      <c r="D35" s="269" t="str">
        <f>VLOOKUP(C35,lookup!$B$2:$F$1240,2)</f>
        <v>AC</v>
      </c>
      <c r="E35" s="271">
        <f>VLOOKUP(C35,lookup!$B$2:$F$1240,5)</f>
        <v>0.3</v>
      </c>
      <c r="F35" s="197"/>
    </row>
    <row r="36" spans="1:6" x14ac:dyDescent="0.25">
      <c r="A36" s="168">
        <v>309</v>
      </c>
      <c r="B36" s="172"/>
      <c r="C36" s="195" t="s">
        <v>2935</v>
      </c>
      <c r="D36" s="269" t="str">
        <f>VLOOKUP(C36,lookup!$B$2:$F$1240,2)</f>
        <v>AC</v>
      </c>
      <c r="E36" s="271">
        <f>VLOOKUP(C36,lookup!$B$2:$F$1240,5)</f>
        <v>0.3</v>
      </c>
      <c r="F36" s="199"/>
    </row>
    <row r="37" spans="1:6" x14ac:dyDescent="0.25">
      <c r="A37" s="168">
        <v>309</v>
      </c>
      <c r="B37" s="172"/>
      <c r="C37" s="106" t="s">
        <v>1469</v>
      </c>
      <c r="D37" s="269">
        <f>VLOOKUP(C37,lookup!$B$2:$F$1240,2)</f>
        <v>0</v>
      </c>
      <c r="E37" s="271">
        <f>VLOOKUP(C37,lookup!$B$2:$F$1240,5)</f>
        <v>0</v>
      </c>
    </row>
    <row r="38" spans="1:6" x14ac:dyDescent="0.25">
      <c r="A38" s="168">
        <v>309</v>
      </c>
      <c r="B38" s="172"/>
      <c r="C38" s="195" t="s">
        <v>2927</v>
      </c>
      <c r="D38" s="269">
        <f>VLOOKUP(C38,lookup!$B$2:$F$1240,2)</f>
        <v>0</v>
      </c>
      <c r="E38" s="271">
        <f>VLOOKUP(C38,lookup!$B$2:$F$1240,5)</f>
        <v>0</v>
      </c>
      <c r="F38" s="197"/>
    </row>
    <row r="39" spans="1:6" x14ac:dyDescent="0.25">
      <c r="A39" s="168">
        <v>309</v>
      </c>
      <c r="B39" s="172"/>
      <c r="C39" s="106" t="s">
        <v>2712</v>
      </c>
      <c r="D39" s="269" t="str">
        <f>VLOOKUP(C39,lookup!$B$2:$F$1240,2)</f>
        <v>Cu Yd</v>
      </c>
      <c r="E39" s="271">
        <f>VLOOKUP(C39,lookup!$B$2:$F$1240,5)</f>
        <v>3.5</v>
      </c>
    </row>
    <row r="40" spans="1:6" x14ac:dyDescent="0.25">
      <c r="A40" s="168">
        <v>309</v>
      </c>
      <c r="B40" s="172"/>
      <c r="C40" s="195" t="s">
        <v>2932</v>
      </c>
      <c r="D40" s="269" t="str">
        <f>VLOOKUP(C40,lookup!$B$2:$F$1240,2)</f>
        <v xml:space="preserve">CY </v>
      </c>
      <c r="E40" s="271">
        <f>VLOOKUP(C40,lookup!$B$2:$F$1240,5)</f>
        <v>40</v>
      </c>
      <c r="F40" s="197"/>
    </row>
    <row r="41" spans="1:6" x14ac:dyDescent="0.25">
      <c r="A41" s="168">
        <v>309</v>
      </c>
      <c r="B41" s="172"/>
      <c r="C41" s="103" t="s">
        <v>1928</v>
      </c>
      <c r="D41" s="269" t="str">
        <f>VLOOKUP(C41,lookup!$B$2:$F$1240,2)</f>
        <v>ton</v>
      </c>
      <c r="E41" s="271">
        <f>VLOOKUP(C41,lookup!$B$2:$F$1240,5)</f>
        <v>12</v>
      </c>
    </row>
    <row r="42" spans="1:6" x14ac:dyDescent="0.25">
      <c r="A42" s="168">
        <v>309</v>
      </c>
      <c r="B42" s="172"/>
      <c r="C42" s="195" t="s">
        <v>2925</v>
      </c>
      <c r="D42" s="269" t="str">
        <f>VLOOKUP(C42,lookup!$B$2:$F$1240,2)</f>
        <v>S.Y.</v>
      </c>
      <c r="E42" s="271">
        <f>VLOOKUP(C42,lookup!$B$2:$F$1240,5)</f>
        <v>0.46992254399999994</v>
      </c>
      <c r="F42" s="204"/>
    </row>
    <row r="43" spans="1:6" x14ac:dyDescent="0.25">
      <c r="A43" s="168">
        <v>309</v>
      </c>
      <c r="B43" s="172"/>
      <c r="C43" s="195" t="s">
        <v>2923</v>
      </c>
      <c r="D43" s="269">
        <f>VLOOKUP(C43,lookup!$B$2:$F$1240,2)</f>
        <v>0</v>
      </c>
      <c r="E43" s="271">
        <f>VLOOKUP(C43,lookup!$B$2:$F$1240,5)</f>
        <v>0</v>
      </c>
      <c r="F43" s="197"/>
    </row>
    <row r="44" spans="1:6" x14ac:dyDescent="0.25">
      <c r="A44" s="168">
        <v>309</v>
      </c>
      <c r="B44" s="172"/>
      <c r="C44" s="200" t="s">
        <v>2926</v>
      </c>
      <c r="D44" s="269" t="str">
        <f>VLOOKUP(C44,lookup!$B$2:$F$1240,2)</f>
        <v>sq yd</v>
      </c>
      <c r="E44" s="271">
        <f>VLOOKUP(C44,lookup!$B$2:$F$1240,5)</f>
        <v>5</v>
      </c>
      <c r="F44" s="197"/>
    </row>
    <row r="45" spans="1:6" x14ac:dyDescent="0.25">
      <c r="A45" s="168">
        <v>309</v>
      </c>
      <c r="B45" s="172"/>
      <c r="C45" s="195" t="s">
        <v>2922</v>
      </c>
      <c r="D45" s="269" t="str">
        <f>VLOOKUP(C45,lookup!$B$2:$F$1240,2)</f>
        <v>sq yd</v>
      </c>
      <c r="E45" s="271">
        <f>VLOOKUP(C45,lookup!$B$2:$F$1240,5)</f>
        <v>5</v>
      </c>
      <c r="F45" s="199"/>
    </row>
    <row r="46" spans="1:6" x14ac:dyDescent="0.25">
      <c r="A46" s="168">
        <v>309</v>
      </c>
      <c r="B46" s="172"/>
      <c r="C46" s="106" t="s">
        <v>723</v>
      </c>
      <c r="D46" s="269">
        <f>VLOOKUP(C46,lookup!$B$2:$F$1240,2)</f>
        <v>0</v>
      </c>
      <c r="E46" s="271">
        <f>VLOOKUP(C46,lookup!$B$2:$F$1240,5)</f>
        <v>0</v>
      </c>
    </row>
    <row r="47" spans="1:6" x14ac:dyDescent="0.25">
      <c r="A47" s="168">
        <v>309</v>
      </c>
      <c r="B47" s="172"/>
      <c r="C47" s="195" t="s">
        <v>2928</v>
      </c>
      <c r="D47" s="269" t="str">
        <f>VLOOKUP(C47,lookup!$B$2:$F$1240,2)</f>
        <v>each</v>
      </c>
      <c r="E47" s="271">
        <f>VLOOKUP(C47,lookup!$B$2:$F$1240,5)</f>
        <v>25</v>
      </c>
      <c r="F47" s="197"/>
    </row>
    <row r="48" spans="1:6" x14ac:dyDescent="0.25">
      <c r="A48" s="169">
        <v>311</v>
      </c>
      <c r="B48" s="174" t="s">
        <v>2486</v>
      </c>
      <c r="C48" s="116"/>
      <c r="D48" s="269" t="e">
        <f>VLOOKUP(C48,lookup!$B$2:$F$1240,2)</f>
        <v>#N/A</v>
      </c>
      <c r="E48" s="271" t="e">
        <f>VLOOKUP(C48,lookup!$B$2:$F$1240,5)</f>
        <v>#N/A</v>
      </c>
    </row>
    <row r="49" spans="1:5" x14ac:dyDescent="0.25">
      <c r="A49" s="169">
        <v>311</v>
      </c>
      <c r="B49" s="172"/>
      <c r="C49" s="106" t="s">
        <v>725</v>
      </c>
      <c r="D49" s="269" t="str">
        <f>VLOOKUP(C49,lookup!$B$2:$F$1240,2)</f>
        <v>ft</v>
      </c>
      <c r="E49" s="271">
        <f>VLOOKUP(C49,lookup!$B$2:$F$1240,5)</f>
        <v>6.6</v>
      </c>
    </row>
    <row r="50" spans="1:5" x14ac:dyDescent="0.25">
      <c r="A50" s="169">
        <v>311</v>
      </c>
      <c r="B50" s="172"/>
      <c r="C50" s="100" t="s">
        <v>1042</v>
      </c>
      <c r="D50" s="269" t="str">
        <f>VLOOKUP(C50,lookup!$B$2:$F$1240,2)</f>
        <v>Ea.</v>
      </c>
      <c r="E50" s="271">
        <f>VLOOKUP(C50,lookup!$B$2:$F$1240,5)</f>
        <v>65</v>
      </c>
    </row>
    <row r="51" spans="1:5" x14ac:dyDescent="0.25">
      <c r="A51" s="169">
        <v>311</v>
      </c>
      <c r="B51" s="172"/>
      <c r="C51" s="100" t="s">
        <v>1039</v>
      </c>
      <c r="D51" s="269" t="str">
        <f>VLOOKUP(C51,lookup!$B$2:$F$1240,2)</f>
        <v>Ea.</v>
      </c>
      <c r="E51" s="271">
        <f>VLOOKUP(C51,lookup!$B$2:$F$1240,5)</f>
        <v>65</v>
      </c>
    </row>
    <row r="52" spans="1:5" ht="22.8" x14ac:dyDescent="0.25">
      <c r="A52" s="169">
        <v>311</v>
      </c>
      <c r="B52" s="172"/>
      <c r="C52" s="100" t="s">
        <v>1040</v>
      </c>
      <c r="D52" s="269" t="str">
        <f>VLOOKUP(C52,lookup!$B$2:$F$1240,2)</f>
        <v>Ea.</v>
      </c>
      <c r="E52" s="271">
        <f>VLOOKUP(C52,lookup!$B$2:$F$1240,5)</f>
        <v>65</v>
      </c>
    </row>
    <row r="53" spans="1:5" x14ac:dyDescent="0.25">
      <c r="A53" s="169">
        <v>311</v>
      </c>
      <c r="B53" s="172"/>
      <c r="C53" s="100" t="s">
        <v>1041</v>
      </c>
      <c r="D53" s="269" t="str">
        <f>VLOOKUP(C53,lookup!$B$2:$F$1240,2)</f>
        <v>Ea.</v>
      </c>
      <c r="E53" s="271">
        <f>VLOOKUP(C53,lookup!$B$2:$F$1240,5)</f>
        <v>65</v>
      </c>
    </row>
    <row r="54" spans="1:5" x14ac:dyDescent="0.25">
      <c r="A54" s="169">
        <v>311</v>
      </c>
      <c r="B54" s="172"/>
      <c r="C54" s="106" t="s">
        <v>199</v>
      </c>
      <c r="D54" s="269" t="str">
        <f>VLOOKUP(C54,lookup!$B$2:$F$1240,2)</f>
        <v>Ac.</v>
      </c>
      <c r="E54" s="271">
        <f>VLOOKUP(C54,lookup!$B$2:$F$1240,5)</f>
        <v>5</v>
      </c>
    </row>
    <row r="55" spans="1:5" x14ac:dyDescent="0.25">
      <c r="A55" s="169">
        <v>311</v>
      </c>
      <c r="B55" s="172"/>
      <c r="C55" s="106" t="s">
        <v>200</v>
      </c>
      <c r="D55" s="269" t="str">
        <f>VLOOKUP(C55,lookup!$B$2:$F$1240,2)</f>
        <v>each</v>
      </c>
      <c r="E55" s="271">
        <f>VLOOKUP(C55,lookup!$B$2:$F$1240,5)</f>
        <v>1.2</v>
      </c>
    </row>
    <row r="56" spans="1:5" ht="34.200000000000003" x14ac:dyDescent="0.25">
      <c r="A56" s="169">
        <v>311</v>
      </c>
      <c r="B56" s="172"/>
      <c r="C56" s="106" t="s">
        <v>201</v>
      </c>
      <c r="D56" s="269" t="str">
        <f>VLOOKUP(C56,lookup!$B$2:$F$1240,2)</f>
        <v>each</v>
      </c>
      <c r="E56" s="271">
        <f>VLOOKUP(C56,lookup!$B$2:$F$1240,5)</f>
        <v>3.75</v>
      </c>
    </row>
    <row r="57" spans="1:5" x14ac:dyDescent="0.25">
      <c r="A57" s="169">
        <v>311</v>
      </c>
      <c r="B57" s="172"/>
      <c r="C57" s="100" t="s">
        <v>2096</v>
      </c>
      <c r="D57" s="269">
        <f>VLOOKUP(C57,lookup!$B$2:$F$1240,2)</f>
        <v>0</v>
      </c>
      <c r="E57" s="271">
        <f>VLOOKUP(C57,lookup!$B$2:$F$1240,5)</f>
        <v>0</v>
      </c>
    </row>
    <row r="58" spans="1:5" x14ac:dyDescent="0.25">
      <c r="A58" s="169">
        <v>311</v>
      </c>
      <c r="B58" s="172"/>
      <c r="C58" s="106" t="s">
        <v>898</v>
      </c>
      <c r="D58" s="269" t="str">
        <f>VLOOKUP(C58,lookup!$B$2:$F$1240,2)</f>
        <v>each</v>
      </c>
      <c r="E58" s="271">
        <f>VLOOKUP(C58,lookup!$B$2:$F$1240,5)</f>
        <v>13000</v>
      </c>
    </row>
    <row r="59" spans="1:5" x14ac:dyDescent="0.25">
      <c r="A59" s="169">
        <v>311</v>
      </c>
      <c r="B59" s="172"/>
      <c r="C59" s="93" t="s">
        <v>1526</v>
      </c>
      <c r="D59" s="269">
        <f>VLOOKUP(C59,lookup!$B$2:$F$1240,2)</f>
        <v>0</v>
      </c>
      <c r="E59" s="271">
        <f>VLOOKUP(C59,lookup!$B$2:$F$1240,5)</f>
        <v>0</v>
      </c>
    </row>
    <row r="60" spans="1:5" x14ac:dyDescent="0.25">
      <c r="A60" s="169">
        <v>311</v>
      </c>
      <c r="B60" s="172"/>
      <c r="C60" s="106" t="s">
        <v>1302</v>
      </c>
      <c r="D60" s="269" t="str">
        <f>VLOOKUP(C60,lookup!$B$2:$F$1240,2)</f>
        <v>each</v>
      </c>
      <c r="E60" s="271">
        <f>VLOOKUP(C60,lookup!$B$2:$F$1240,5)</f>
        <v>2</v>
      </c>
    </row>
    <row r="61" spans="1:5" x14ac:dyDescent="0.25">
      <c r="A61" s="169">
        <v>311</v>
      </c>
      <c r="B61" s="172"/>
      <c r="C61" s="96" t="s">
        <v>1302</v>
      </c>
      <c r="D61" s="269" t="str">
        <f>VLOOKUP(C61,lookup!$B$2:$F$1240,2)</f>
        <v>each</v>
      </c>
      <c r="E61" s="271">
        <f>VLOOKUP(C61,lookup!$B$2:$F$1240,5)</f>
        <v>2</v>
      </c>
    </row>
    <row r="62" spans="1:5" ht="22.8" x14ac:dyDescent="0.25">
      <c r="A62" s="169">
        <v>311</v>
      </c>
      <c r="B62" s="172"/>
      <c r="C62" s="106" t="s">
        <v>1303</v>
      </c>
      <c r="D62" s="269" t="str">
        <f>VLOOKUP(C62,lookup!$B$2:$F$1240,2)</f>
        <v>each</v>
      </c>
      <c r="E62" s="271">
        <f>VLOOKUP(C62,lookup!$B$2:$F$1240,5)</f>
        <v>2</v>
      </c>
    </row>
    <row r="63" spans="1:5" x14ac:dyDescent="0.25">
      <c r="A63" s="169">
        <v>311</v>
      </c>
      <c r="B63" s="172"/>
      <c r="C63" s="100" t="s">
        <v>2531</v>
      </c>
      <c r="D63" s="269">
        <f>VLOOKUP(C63,lookup!$B$2:$F$1240,2)</f>
        <v>0</v>
      </c>
      <c r="E63" s="271">
        <f>VLOOKUP(C63,lookup!$B$2:$F$1240,5)</f>
        <v>0</v>
      </c>
    </row>
    <row r="64" spans="1:5" x14ac:dyDescent="0.25">
      <c r="A64" s="169">
        <v>311</v>
      </c>
      <c r="B64" s="172"/>
      <c r="C64" s="96" t="s">
        <v>2457</v>
      </c>
      <c r="D64" s="269">
        <f>VLOOKUP(C64,lookup!$B$2:$F$1240,2)</f>
        <v>0</v>
      </c>
      <c r="E64" s="271">
        <f>VLOOKUP(C64,lookup!$B$2:$F$1240,5)</f>
        <v>0</v>
      </c>
    </row>
    <row r="65" spans="1:5" x14ac:dyDescent="0.25">
      <c r="A65" s="169">
        <v>311</v>
      </c>
      <c r="B65" s="172"/>
      <c r="C65" s="93" t="s">
        <v>2476</v>
      </c>
      <c r="D65" s="269">
        <f>VLOOKUP(C65,lookup!$B$2:$F$1240,2)</f>
        <v>0</v>
      </c>
      <c r="E65" s="271">
        <f>VLOOKUP(C65,lookup!$B$2:$F$1240,5)</f>
        <v>0</v>
      </c>
    </row>
    <row r="66" spans="1:5" x14ac:dyDescent="0.25">
      <c r="A66" s="169">
        <v>311</v>
      </c>
      <c r="B66" s="172"/>
      <c r="C66" s="93" t="s">
        <v>2477</v>
      </c>
      <c r="D66" s="269">
        <f>VLOOKUP(C66,lookup!$B$2:$F$1240,2)</f>
        <v>0</v>
      </c>
      <c r="E66" s="271">
        <f>VLOOKUP(C66,lookup!$B$2:$F$1240,5)</f>
        <v>0</v>
      </c>
    </row>
    <row r="67" spans="1:5" x14ac:dyDescent="0.25">
      <c r="A67" s="169">
        <v>311</v>
      </c>
      <c r="B67" s="172"/>
      <c r="C67" s="93" t="s">
        <v>2463</v>
      </c>
      <c r="D67" s="269">
        <f>VLOOKUP(C67,lookup!$B$2:$F$1240,2)</f>
        <v>0</v>
      </c>
      <c r="E67" s="271">
        <f>VLOOKUP(C67,lookup!$B$2:$F$1240,5)</f>
        <v>0</v>
      </c>
    </row>
    <row r="68" spans="1:5" x14ac:dyDescent="0.25">
      <c r="A68" s="169">
        <v>311</v>
      </c>
      <c r="B68" s="172"/>
      <c r="C68" s="96" t="s">
        <v>2464</v>
      </c>
      <c r="D68" s="269" t="str">
        <f>VLOOKUP(C68,lookup!$B$2:$F$1240,2)</f>
        <v>each</v>
      </c>
      <c r="E68" s="271">
        <f>VLOOKUP(C68,lookup!$B$2:$F$1240,5)</f>
        <v>1.1000000000000001</v>
      </c>
    </row>
    <row r="69" spans="1:5" x14ac:dyDescent="0.25">
      <c r="A69" s="169">
        <v>311</v>
      </c>
      <c r="B69" s="172"/>
      <c r="C69" s="93" t="s">
        <v>291</v>
      </c>
      <c r="D69" s="269" t="str">
        <f>VLOOKUP(C69,lookup!$B$2:$F$1240,2)</f>
        <v>each</v>
      </c>
      <c r="E69" s="271">
        <f>VLOOKUP(C69,lookup!$B$2:$F$1240,5)</f>
        <v>0</v>
      </c>
    </row>
    <row r="70" spans="1:5" x14ac:dyDescent="0.25">
      <c r="A70" s="169">
        <v>311</v>
      </c>
      <c r="B70" s="172"/>
      <c r="C70" s="96" t="s">
        <v>2465</v>
      </c>
      <c r="D70" s="269">
        <f>VLOOKUP(C70,lookup!$B$2:$F$1240,2)</f>
        <v>0</v>
      </c>
      <c r="E70" s="271">
        <f>VLOOKUP(C70,lookup!$B$2:$F$1240,5)</f>
        <v>0</v>
      </c>
    </row>
    <row r="71" spans="1:5" x14ac:dyDescent="0.25">
      <c r="A71" s="169">
        <v>311</v>
      </c>
      <c r="B71" s="172"/>
      <c r="C71" s="93" t="s">
        <v>2478</v>
      </c>
      <c r="D71" s="269">
        <f>VLOOKUP(C71,lookup!$B$2:$F$1240,2)</f>
        <v>0</v>
      </c>
      <c r="E71" s="271">
        <f>VLOOKUP(C71,lookup!$B$2:$F$1240,5)</f>
        <v>0</v>
      </c>
    </row>
    <row r="72" spans="1:5" x14ac:dyDescent="0.25">
      <c r="A72" s="169">
        <v>311</v>
      </c>
      <c r="B72" s="172"/>
      <c r="C72" s="96" t="s">
        <v>322</v>
      </c>
      <c r="D72" s="269">
        <f>VLOOKUP(C72,lookup!$B$2:$F$1240,2)</f>
        <v>0</v>
      </c>
      <c r="E72" s="271">
        <f>VLOOKUP(C72,lookup!$B$2:$F$1240,5)</f>
        <v>0</v>
      </c>
    </row>
    <row r="73" spans="1:5" x14ac:dyDescent="0.25">
      <c r="A73" s="169">
        <v>311</v>
      </c>
      <c r="B73" s="172"/>
      <c r="C73" s="96" t="s">
        <v>2466</v>
      </c>
      <c r="D73" s="269">
        <f>VLOOKUP(C73,lookup!$B$2:$F$1240,2)</f>
        <v>0</v>
      </c>
      <c r="E73" s="271">
        <f>VLOOKUP(C73,lookup!$B$2:$F$1240,5)</f>
        <v>0</v>
      </c>
    </row>
    <row r="74" spans="1:5" x14ac:dyDescent="0.25">
      <c r="A74" s="169">
        <v>311</v>
      </c>
      <c r="B74" s="172"/>
      <c r="C74" s="93" t="s">
        <v>2467</v>
      </c>
      <c r="D74" s="269">
        <f>VLOOKUP(C74,lookup!$B$2:$F$1240,2)</f>
        <v>0</v>
      </c>
      <c r="E74" s="271">
        <f>VLOOKUP(C74,lookup!$B$2:$F$1240,5)</f>
        <v>0</v>
      </c>
    </row>
    <row r="75" spans="1:5" x14ac:dyDescent="0.25">
      <c r="A75" s="169">
        <v>311</v>
      </c>
      <c r="B75" s="172"/>
      <c r="C75" s="93" t="s">
        <v>2479</v>
      </c>
      <c r="D75" s="269">
        <f>VLOOKUP(C75,lookup!$B$2:$F$1240,2)</f>
        <v>0</v>
      </c>
      <c r="E75" s="271">
        <f>VLOOKUP(C75,lookup!$B$2:$F$1240,5)</f>
        <v>0</v>
      </c>
    </row>
    <row r="76" spans="1:5" x14ac:dyDescent="0.25">
      <c r="A76" s="169">
        <v>311</v>
      </c>
      <c r="B76" s="172"/>
      <c r="C76" s="93" t="s">
        <v>2458</v>
      </c>
      <c r="D76" s="269">
        <f>VLOOKUP(C76,lookup!$B$2:$F$1240,2)</f>
        <v>0</v>
      </c>
      <c r="E76" s="271">
        <f>VLOOKUP(C76,lookup!$B$2:$F$1240,5)</f>
        <v>0</v>
      </c>
    </row>
    <row r="77" spans="1:5" x14ac:dyDescent="0.25">
      <c r="A77" s="169">
        <v>311</v>
      </c>
      <c r="B77" s="172"/>
      <c r="C77" s="96" t="s">
        <v>297</v>
      </c>
      <c r="D77" s="269">
        <f>VLOOKUP(C77,lookup!$B$2:$F$1240,2)</f>
        <v>0</v>
      </c>
      <c r="E77" s="271">
        <f>VLOOKUP(C77,lookup!$B$2:$F$1240,5)</f>
        <v>0</v>
      </c>
    </row>
    <row r="78" spans="1:5" x14ac:dyDescent="0.25">
      <c r="A78" s="169">
        <v>311</v>
      </c>
      <c r="B78" s="172"/>
      <c r="C78" s="96" t="s">
        <v>302</v>
      </c>
      <c r="D78" s="269">
        <f>VLOOKUP(C78,lookup!$B$2:$F$1240,2)</f>
        <v>0</v>
      </c>
      <c r="E78" s="271">
        <f>VLOOKUP(C78,lookup!$B$2:$F$1240,5)</f>
        <v>0</v>
      </c>
    </row>
    <row r="79" spans="1:5" x14ac:dyDescent="0.25">
      <c r="A79" s="169">
        <v>311</v>
      </c>
      <c r="B79" s="172"/>
      <c r="C79" s="96" t="s">
        <v>294</v>
      </c>
      <c r="D79" s="269" t="str">
        <f>VLOOKUP(C79,lookup!$B$2:$F$1240,2)</f>
        <v>each</v>
      </c>
      <c r="E79" s="271">
        <f>VLOOKUP(C79,lookup!$B$2:$F$1240,5)</f>
        <v>0.7</v>
      </c>
    </row>
    <row r="80" spans="1:5" x14ac:dyDescent="0.25">
      <c r="A80" s="169">
        <v>311</v>
      </c>
      <c r="B80" s="172"/>
      <c r="C80" s="96" t="s">
        <v>295</v>
      </c>
      <c r="D80" s="269" t="str">
        <f>VLOOKUP(C80,lookup!$B$2:$F$1240,2)</f>
        <v>each</v>
      </c>
      <c r="E80" s="271">
        <f>VLOOKUP(C80,lookup!$B$2:$F$1240,5)</f>
        <v>0.7</v>
      </c>
    </row>
    <row r="81" spans="1:5" x14ac:dyDescent="0.25">
      <c r="A81" s="169">
        <v>311</v>
      </c>
      <c r="B81" s="172"/>
      <c r="C81" s="93" t="s">
        <v>2459</v>
      </c>
      <c r="D81" s="269">
        <f>VLOOKUP(C81,lookup!$B$2:$F$1240,2)</f>
        <v>0</v>
      </c>
      <c r="E81" s="271">
        <f>VLOOKUP(C81,lookup!$B$2:$F$1240,5)</f>
        <v>0</v>
      </c>
    </row>
    <row r="82" spans="1:5" x14ac:dyDescent="0.25">
      <c r="A82" s="169">
        <v>311</v>
      </c>
      <c r="B82" s="172"/>
      <c r="C82" s="93" t="s">
        <v>2468</v>
      </c>
      <c r="D82" s="269">
        <f>VLOOKUP(C82,lookup!$B$2:$F$1240,2)</f>
        <v>0</v>
      </c>
      <c r="E82" s="271">
        <f>VLOOKUP(C82,lookup!$B$2:$F$1240,5)</f>
        <v>0</v>
      </c>
    </row>
    <row r="83" spans="1:5" x14ac:dyDescent="0.25">
      <c r="A83" s="169">
        <v>311</v>
      </c>
      <c r="B83" s="172"/>
      <c r="C83" s="96" t="s">
        <v>2462</v>
      </c>
      <c r="D83" s="269">
        <f>VLOOKUP(C83,lookup!$B$2:$F$1240,2)</f>
        <v>0</v>
      </c>
      <c r="E83" s="271">
        <f>VLOOKUP(C83,lookup!$B$2:$F$1240,5)</f>
        <v>0</v>
      </c>
    </row>
    <row r="84" spans="1:5" x14ac:dyDescent="0.25">
      <c r="A84" s="169">
        <v>311</v>
      </c>
      <c r="B84" s="172"/>
      <c r="C84" s="96" t="s">
        <v>2484</v>
      </c>
      <c r="D84" s="269">
        <f>VLOOKUP(C84,lookup!$B$2:$F$1240,2)</f>
        <v>0</v>
      </c>
      <c r="E84" s="271">
        <f>VLOOKUP(C84,lookup!$B$2:$F$1240,5)</f>
        <v>0</v>
      </c>
    </row>
    <row r="85" spans="1:5" x14ac:dyDescent="0.25">
      <c r="A85" s="169">
        <v>311</v>
      </c>
      <c r="B85" s="172"/>
      <c r="C85" s="93" t="s">
        <v>2469</v>
      </c>
      <c r="D85" s="269">
        <f>VLOOKUP(C85,lookup!$B$2:$F$1240,2)</f>
        <v>0</v>
      </c>
      <c r="E85" s="271">
        <f>VLOOKUP(C85,lookup!$B$2:$F$1240,5)</f>
        <v>0</v>
      </c>
    </row>
    <row r="86" spans="1:5" x14ac:dyDescent="0.25">
      <c r="A86" s="169">
        <v>311</v>
      </c>
      <c r="B86" s="172"/>
      <c r="C86" s="96" t="s">
        <v>2446</v>
      </c>
      <c r="D86" s="269">
        <f>VLOOKUP(C86,lookup!$B$2:$F$1240,2)</f>
        <v>0</v>
      </c>
      <c r="E86" s="271">
        <f>VLOOKUP(C86,lookup!$B$2:$F$1240,5)</f>
        <v>0</v>
      </c>
    </row>
    <row r="87" spans="1:5" x14ac:dyDescent="0.25">
      <c r="A87" s="169">
        <v>311</v>
      </c>
      <c r="B87" s="172"/>
      <c r="C87" s="96" t="s">
        <v>2470</v>
      </c>
      <c r="D87" s="269">
        <f>VLOOKUP(C87,lookup!$B$2:$F$1240,2)</f>
        <v>0</v>
      </c>
      <c r="E87" s="271">
        <f>VLOOKUP(C87,lookup!$B$2:$F$1240,5)</f>
        <v>0</v>
      </c>
    </row>
    <row r="88" spans="1:5" x14ac:dyDescent="0.25">
      <c r="A88" s="169">
        <v>311</v>
      </c>
      <c r="B88" s="172"/>
      <c r="C88" s="93" t="s">
        <v>2480</v>
      </c>
      <c r="D88" s="269">
        <f>VLOOKUP(C88,lookup!$B$2:$F$1240,2)</f>
        <v>0</v>
      </c>
      <c r="E88" s="271">
        <f>VLOOKUP(C88,lookup!$B$2:$F$1240,5)</f>
        <v>0</v>
      </c>
    </row>
    <row r="89" spans="1:5" x14ac:dyDescent="0.25">
      <c r="A89" s="169">
        <v>311</v>
      </c>
      <c r="B89" s="172"/>
      <c r="C89" s="93" t="s">
        <v>2481</v>
      </c>
      <c r="D89" s="269">
        <f>VLOOKUP(C89,lookup!$B$2:$F$1240,2)</f>
        <v>0</v>
      </c>
      <c r="E89" s="271">
        <f>VLOOKUP(C89,lookup!$B$2:$F$1240,5)</f>
        <v>0</v>
      </c>
    </row>
    <row r="90" spans="1:5" x14ac:dyDescent="0.25">
      <c r="A90" s="169">
        <v>311</v>
      </c>
      <c r="B90" s="172"/>
      <c r="C90" s="93" t="s">
        <v>2482</v>
      </c>
      <c r="D90" s="269">
        <f>VLOOKUP(C90,lookup!$B$2:$F$1240,2)</f>
        <v>0</v>
      </c>
      <c r="E90" s="271">
        <f>VLOOKUP(C90,lookup!$B$2:$F$1240,5)</f>
        <v>0</v>
      </c>
    </row>
    <row r="91" spans="1:5" x14ac:dyDescent="0.25">
      <c r="A91" s="169">
        <v>311</v>
      </c>
      <c r="B91" s="172"/>
      <c r="C91" s="93" t="s">
        <v>319</v>
      </c>
      <c r="D91" s="269">
        <f>VLOOKUP(C91,lookup!$B$2:$F$1240,2)</f>
        <v>0</v>
      </c>
      <c r="E91" s="271">
        <f>VLOOKUP(C91,lookup!$B$2:$F$1240,5)</f>
        <v>0</v>
      </c>
    </row>
    <row r="92" spans="1:5" x14ac:dyDescent="0.25">
      <c r="A92" s="169">
        <v>311</v>
      </c>
      <c r="B92" s="172"/>
      <c r="C92" s="96" t="s">
        <v>2471</v>
      </c>
      <c r="D92" s="269">
        <f>VLOOKUP(C92,lookup!$B$2:$F$1240,2)</f>
        <v>0</v>
      </c>
      <c r="E92" s="271">
        <f>VLOOKUP(C92,lookup!$B$2:$F$1240,5)</f>
        <v>0</v>
      </c>
    </row>
    <row r="93" spans="1:5" x14ac:dyDescent="0.25">
      <c r="A93" s="169">
        <v>311</v>
      </c>
      <c r="B93" s="172"/>
      <c r="C93" s="96" t="s">
        <v>2472</v>
      </c>
      <c r="D93" s="269">
        <f>VLOOKUP(C93,lookup!$B$2:$F$1240,2)</f>
        <v>0</v>
      </c>
      <c r="E93" s="271">
        <f>VLOOKUP(C93,lookup!$B$2:$F$1240,5)</f>
        <v>0</v>
      </c>
    </row>
    <row r="94" spans="1:5" x14ac:dyDescent="0.25">
      <c r="A94" s="169">
        <v>311</v>
      </c>
      <c r="B94" s="172"/>
      <c r="C94" s="96" t="s">
        <v>2473</v>
      </c>
      <c r="D94" s="269">
        <f>VLOOKUP(C94,lookup!$B$2:$F$1240,2)</f>
        <v>0</v>
      </c>
      <c r="E94" s="271">
        <f>VLOOKUP(C94,lookup!$B$2:$F$1240,5)</f>
        <v>0</v>
      </c>
    </row>
    <row r="95" spans="1:5" x14ac:dyDescent="0.25">
      <c r="A95" s="169">
        <v>311</v>
      </c>
      <c r="B95" s="172"/>
      <c r="C95" s="96" t="s">
        <v>305</v>
      </c>
      <c r="D95" s="269">
        <f>VLOOKUP(C95,lookup!$B$2:$F$1240,2)</f>
        <v>0</v>
      </c>
      <c r="E95" s="271">
        <f>VLOOKUP(C95,lookup!$B$2:$F$1240,5)</f>
        <v>0</v>
      </c>
    </row>
    <row r="96" spans="1:5" x14ac:dyDescent="0.25">
      <c r="A96" s="169">
        <v>311</v>
      </c>
      <c r="B96" s="172"/>
      <c r="C96" s="96" t="s">
        <v>2474</v>
      </c>
      <c r="D96" s="269">
        <f>VLOOKUP(C96,lookup!$B$2:$F$1240,2)</f>
        <v>0</v>
      </c>
      <c r="E96" s="271">
        <f>VLOOKUP(C96,lookup!$B$2:$F$1240,5)</f>
        <v>0</v>
      </c>
    </row>
    <row r="97" spans="1:5" x14ac:dyDescent="0.25">
      <c r="A97" s="169">
        <v>311</v>
      </c>
      <c r="B97" s="172"/>
      <c r="C97" s="96" t="s">
        <v>299</v>
      </c>
      <c r="D97" s="269">
        <f>VLOOKUP(C97,lookup!$B$2:$F$1240,2)</f>
        <v>0</v>
      </c>
      <c r="E97" s="271">
        <f>VLOOKUP(C97,lookup!$B$2:$F$1240,5)</f>
        <v>0</v>
      </c>
    </row>
    <row r="98" spans="1:5" x14ac:dyDescent="0.25">
      <c r="A98" s="169">
        <v>311</v>
      </c>
      <c r="B98" s="172"/>
      <c r="C98" s="96" t="s">
        <v>300</v>
      </c>
      <c r="D98" s="269">
        <f>VLOOKUP(C98,lookup!$B$2:$F$1240,2)</f>
        <v>0</v>
      </c>
      <c r="E98" s="271">
        <f>VLOOKUP(C98,lookup!$B$2:$F$1240,5)</f>
        <v>0</v>
      </c>
    </row>
    <row r="99" spans="1:5" x14ac:dyDescent="0.25">
      <c r="A99" s="169">
        <v>311</v>
      </c>
      <c r="B99" s="172"/>
      <c r="C99" s="96" t="s">
        <v>307</v>
      </c>
      <c r="D99" s="269">
        <f>VLOOKUP(C99,lookup!$B$2:$F$1240,2)</f>
        <v>0</v>
      </c>
      <c r="E99" s="271">
        <f>VLOOKUP(C99,lookup!$B$2:$F$1240,5)</f>
        <v>0</v>
      </c>
    </row>
    <row r="100" spans="1:5" x14ac:dyDescent="0.25">
      <c r="A100" s="169">
        <v>311</v>
      </c>
      <c r="B100" s="172"/>
      <c r="C100" s="93" t="s">
        <v>2483</v>
      </c>
      <c r="D100" s="269">
        <f>VLOOKUP(C100,lookup!$B$2:$F$1240,2)</f>
        <v>0</v>
      </c>
      <c r="E100" s="271">
        <f>VLOOKUP(C100,lookup!$B$2:$F$1240,5)</f>
        <v>0</v>
      </c>
    </row>
    <row r="101" spans="1:5" x14ac:dyDescent="0.25">
      <c r="A101" s="169">
        <v>311</v>
      </c>
      <c r="B101" s="172"/>
      <c r="C101" s="93" t="s">
        <v>2475</v>
      </c>
      <c r="D101" s="269">
        <f>VLOOKUP(C101,lookup!$B$2:$F$1240,2)</f>
        <v>0</v>
      </c>
      <c r="E101" s="271">
        <f>VLOOKUP(C101,lookup!$B$2:$F$1240,5)</f>
        <v>0</v>
      </c>
    </row>
    <row r="102" spans="1:5" x14ac:dyDescent="0.25">
      <c r="A102" s="169">
        <v>311</v>
      </c>
      <c r="B102" s="172"/>
      <c r="C102" s="96" t="s">
        <v>2460</v>
      </c>
      <c r="D102" s="269">
        <f>VLOOKUP(C102,lookup!$B$2:$F$1240,2)</f>
        <v>0</v>
      </c>
      <c r="E102" s="271">
        <f>VLOOKUP(C102,lookup!$B$2:$F$1240,5)</f>
        <v>0</v>
      </c>
    </row>
    <row r="103" spans="1:5" x14ac:dyDescent="0.25">
      <c r="A103" s="169">
        <v>311</v>
      </c>
      <c r="B103" s="172"/>
      <c r="C103" s="96" t="s">
        <v>2461</v>
      </c>
      <c r="D103" s="269">
        <f>VLOOKUP(C103,lookup!$B$2:$F$1240,2)</f>
        <v>0</v>
      </c>
      <c r="E103" s="271">
        <f>VLOOKUP(C103,lookup!$B$2:$F$1240,5)</f>
        <v>0</v>
      </c>
    </row>
    <row r="104" spans="1:5" x14ac:dyDescent="0.25">
      <c r="A104" s="169">
        <v>311</v>
      </c>
      <c r="B104" s="172"/>
      <c r="C104" s="96" t="s">
        <v>573</v>
      </c>
      <c r="D104" s="269">
        <f>VLOOKUP(C104,lookup!$B$2:$F$1240,2)</f>
        <v>0</v>
      </c>
      <c r="E104" s="271">
        <f>VLOOKUP(C104,lookup!$B$2:$F$1240,5)</f>
        <v>0</v>
      </c>
    </row>
    <row r="105" spans="1:5" x14ac:dyDescent="0.25">
      <c r="A105" s="169">
        <v>311</v>
      </c>
      <c r="B105" s="172"/>
      <c r="C105" s="106" t="s">
        <v>574</v>
      </c>
      <c r="D105" s="269">
        <f>VLOOKUP(C105,lookup!$B$2:$F$1240,2)</f>
        <v>0</v>
      </c>
      <c r="E105" s="271">
        <f>VLOOKUP(C105,lookup!$B$2:$F$1240,5)</f>
        <v>0</v>
      </c>
    </row>
    <row r="106" spans="1:5" x14ac:dyDescent="0.25">
      <c r="A106" s="169">
        <v>311</v>
      </c>
      <c r="B106" s="172"/>
      <c r="C106" s="96" t="s">
        <v>574</v>
      </c>
      <c r="D106" s="269">
        <f>VLOOKUP(C106,lookup!$B$2:$F$1240,2)</f>
        <v>0</v>
      </c>
      <c r="E106" s="271">
        <f>VLOOKUP(C106,lookup!$B$2:$F$1240,5)</f>
        <v>0</v>
      </c>
    </row>
    <row r="107" spans="1:5" x14ac:dyDescent="0.25">
      <c r="A107" s="169">
        <v>311</v>
      </c>
      <c r="B107" s="172"/>
      <c r="C107" s="106" t="s">
        <v>575</v>
      </c>
      <c r="D107" s="269">
        <f>VLOOKUP(C107,lookup!$B$2:$F$1240,2)</f>
        <v>0</v>
      </c>
      <c r="E107" s="271">
        <f>VLOOKUP(C107,lookup!$B$2:$F$1240,5)</f>
        <v>0</v>
      </c>
    </row>
    <row r="108" spans="1:5" ht="22.8" x14ac:dyDescent="0.25">
      <c r="A108" s="169">
        <v>311</v>
      </c>
      <c r="B108" s="172"/>
      <c r="C108" s="106" t="s">
        <v>1422</v>
      </c>
      <c r="D108" s="269">
        <f>VLOOKUP(C108,lookup!$B$2:$F$1240,2)</f>
        <v>0</v>
      </c>
      <c r="E108" s="271">
        <f>VLOOKUP(C108,lookup!$B$2:$F$1240,5)</f>
        <v>0</v>
      </c>
    </row>
    <row r="109" spans="1:5" x14ac:dyDescent="0.25">
      <c r="A109" s="169">
        <v>313</v>
      </c>
      <c r="B109" s="172" t="s">
        <v>2065</v>
      </c>
      <c r="D109" s="269" t="e">
        <f>VLOOKUP(C109,lookup!$B$2:$F$1240,2)</f>
        <v>#N/A</v>
      </c>
      <c r="E109" s="271" t="e">
        <f>VLOOKUP(C109,lookup!$B$2:$F$1240,5)</f>
        <v>#N/A</v>
      </c>
    </row>
    <row r="110" spans="1:5" x14ac:dyDescent="0.25">
      <c r="A110" s="169">
        <v>313</v>
      </c>
      <c r="C110" s="114" t="s">
        <v>422</v>
      </c>
      <c r="D110" s="269" t="str">
        <f>VLOOKUP(C110,lookup!$B$2:$F$1240,2)</f>
        <v>lb</v>
      </c>
      <c r="E110" s="271">
        <f>VLOOKUP(C110,lookup!$B$2:$F$1240,5)</f>
        <v>7</v>
      </c>
    </row>
    <row r="111" spans="1:5" x14ac:dyDescent="0.25">
      <c r="A111" s="169">
        <v>313</v>
      </c>
      <c r="C111" s="114" t="s">
        <v>2860</v>
      </c>
      <c r="D111" s="269" t="str">
        <f>VLOOKUP(C111,lookup!$B$2:$F$1240,2)</f>
        <v>lb</v>
      </c>
      <c r="E111" s="271">
        <f>VLOOKUP(C111,lookup!$B$2:$F$1240,5)</f>
        <v>7</v>
      </c>
    </row>
    <row r="112" spans="1:5" x14ac:dyDescent="0.25">
      <c r="A112" s="169">
        <v>313</v>
      </c>
      <c r="C112" s="113" t="s">
        <v>2660</v>
      </c>
      <c r="D112" s="269">
        <f>VLOOKUP(C112,lookup!$B$2:$F$1240,2)</f>
        <v>0</v>
      </c>
      <c r="E112" s="271">
        <f>VLOOKUP(C112,lookup!$B$2:$F$1240,5)</f>
        <v>0</v>
      </c>
    </row>
    <row r="113" spans="1:5" ht="22.8" x14ac:dyDescent="0.25">
      <c r="A113" s="169">
        <v>313</v>
      </c>
      <c r="C113" s="114" t="s">
        <v>1716</v>
      </c>
      <c r="D113" s="269">
        <f>VLOOKUP(C113,lookup!$B$2:$F$1240,2)</f>
        <v>0</v>
      </c>
      <c r="E113" s="271">
        <f>VLOOKUP(C113,lookup!$B$2:$F$1240,5)</f>
        <v>0</v>
      </c>
    </row>
    <row r="114" spans="1:5" ht="22.8" x14ac:dyDescent="0.25">
      <c r="A114" s="169">
        <v>313</v>
      </c>
      <c r="C114" s="115" t="s">
        <v>1717</v>
      </c>
      <c r="D114" s="269">
        <f>VLOOKUP(C114,lookup!$B$2:$F$1240,2)</f>
        <v>0</v>
      </c>
      <c r="E114" s="271">
        <f>VLOOKUP(C114,lookup!$B$2:$F$1240,5)</f>
        <v>0</v>
      </c>
    </row>
    <row r="115" spans="1:5" ht="22.8" x14ac:dyDescent="0.25">
      <c r="A115" s="169">
        <v>313</v>
      </c>
      <c r="C115" s="115" t="s">
        <v>2204</v>
      </c>
      <c r="D115" s="269">
        <f>VLOOKUP(C115,lookup!$B$2:$F$1240,2)</f>
        <v>0</v>
      </c>
      <c r="E115" s="271">
        <f>VLOOKUP(C115,lookup!$B$2:$F$1240,5)</f>
        <v>0</v>
      </c>
    </row>
    <row r="116" spans="1:5" ht="22.8" x14ac:dyDescent="0.25">
      <c r="A116" s="169">
        <v>313</v>
      </c>
      <c r="C116" s="115" t="s">
        <v>2205</v>
      </c>
      <c r="D116" s="269">
        <f>VLOOKUP(C116,lookup!$B$2:$F$1240,2)</f>
        <v>0</v>
      </c>
      <c r="E116" s="271">
        <f>VLOOKUP(C116,lookup!$B$2:$F$1240,5)</f>
        <v>0</v>
      </c>
    </row>
    <row r="117" spans="1:5" x14ac:dyDescent="0.25">
      <c r="A117" s="169">
        <v>313</v>
      </c>
      <c r="C117" s="113" t="s">
        <v>2658</v>
      </c>
      <c r="D117" s="269" t="str">
        <f>VLOOKUP(C117,lookup!$B$2:$F$1240,2)</f>
        <v>each</v>
      </c>
      <c r="E117" s="271">
        <f>VLOOKUP(C117,lookup!$B$2:$F$1240,5)</f>
        <v>80</v>
      </c>
    </row>
    <row r="118" spans="1:5" x14ac:dyDescent="0.25">
      <c r="A118" s="169">
        <v>313</v>
      </c>
      <c r="C118" s="106" t="s">
        <v>1376</v>
      </c>
      <c r="D118" s="269" t="str">
        <f>VLOOKUP(C118,lookup!$B$2:$F$1240,2)</f>
        <v>cu yd</v>
      </c>
      <c r="E118" s="271">
        <f>VLOOKUP(C118,lookup!$B$2:$F$1240,5)</f>
        <v>3.5</v>
      </c>
    </row>
    <row r="119" spans="1:5" x14ac:dyDescent="0.25">
      <c r="A119" s="169">
        <v>313</v>
      </c>
      <c r="C119" s="106" t="s">
        <v>1110</v>
      </c>
      <c r="D119" s="269" t="str">
        <f>VLOOKUP(C119,lookup!$B$2:$F$1240,2)</f>
        <v>Cu Yd</v>
      </c>
      <c r="E119" s="271">
        <f>VLOOKUP(C119,lookup!$B$2:$F$1240,5)</f>
        <v>0</v>
      </c>
    </row>
    <row r="120" spans="1:5" x14ac:dyDescent="0.25">
      <c r="A120" s="169">
        <v>313</v>
      </c>
      <c r="C120" s="106" t="s">
        <v>2313</v>
      </c>
      <c r="D120" s="269" t="str">
        <f>VLOOKUP(C120,lookup!$B$2:$F$1240,2)</f>
        <v>l.s.</v>
      </c>
      <c r="E120" s="271">
        <f>VLOOKUP(C120,lookup!$B$2:$F$1240,5)</f>
        <v>400</v>
      </c>
    </row>
    <row r="121" spans="1:5" x14ac:dyDescent="0.25">
      <c r="A121" s="169">
        <v>313</v>
      </c>
      <c r="C121" s="106" t="s">
        <v>1034</v>
      </c>
      <c r="D121" s="269" t="str">
        <f>VLOOKUP(C121,lookup!$B$2:$F$1240,2)</f>
        <v>l.s.</v>
      </c>
      <c r="E121" s="271">
        <f>VLOOKUP(C121,lookup!$B$2:$F$1240,5)</f>
        <v>400</v>
      </c>
    </row>
    <row r="122" spans="1:5" x14ac:dyDescent="0.25">
      <c r="A122" s="169">
        <v>313</v>
      </c>
      <c r="C122" s="106" t="s">
        <v>2654</v>
      </c>
      <c r="D122" s="269" t="str">
        <f>VLOOKUP(C122,lookup!$B$2:$F$1240,2)</f>
        <v>each</v>
      </c>
      <c r="E122" s="271">
        <f>VLOOKUP(C122,lookup!$B$2:$F$1240,5)</f>
        <v>75</v>
      </c>
    </row>
    <row r="123" spans="1:5" x14ac:dyDescent="0.25">
      <c r="A123" s="169">
        <v>313</v>
      </c>
      <c r="C123" s="106" t="s">
        <v>401</v>
      </c>
      <c r="D123" s="269" t="str">
        <f>VLOOKUP(C123,lookup!$B$2:$F$1240,2)</f>
        <v>each</v>
      </c>
      <c r="E123" s="271">
        <f>VLOOKUP(C123,lookup!$B$2:$F$1240,5)</f>
        <v>75</v>
      </c>
    </row>
    <row r="124" spans="1:5" x14ac:dyDescent="0.25">
      <c r="A124" s="169">
        <v>313</v>
      </c>
      <c r="C124" s="106" t="s">
        <v>1984</v>
      </c>
      <c r="D124" s="269" t="str">
        <f>VLOOKUP(C124,lookup!$B$2:$F$1240,2)</f>
        <v>each</v>
      </c>
      <c r="E124" s="271">
        <f>VLOOKUP(C124,lookup!$B$2:$F$1240,5)</f>
        <v>75</v>
      </c>
    </row>
    <row r="125" spans="1:5" x14ac:dyDescent="0.25">
      <c r="A125" s="169">
        <v>313</v>
      </c>
      <c r="C125" s="106" t="s">
        <v>403</v>
      </c>
      <c r="D125" s="269" t="str">
        <f>VLOOKUP(C125,lookup!$B$2:$F$1240,2)</f>
        <v>each</v>
      </c>
      <c r="E125" s="271">
        <f>VLOOKUP(C125,lookup!$B$2:$F$1240,5)</f>
        <v>75</v>
      </c>
    </row>
    <row r="126" spans="1:5" x14ac:dyDescent="0.25">
      <c r="A126" s="169">
        <v>313</v>
      </c>
      <c r="C126" s="113" t="s">
        <v>2183</v>
      </c>
      <c r="D126" s="269">
        <f>VLOOKUP(C126,lookup!$B$2:$F$1240,2)</f>
        <v>0</v>
      </c>
      <c r="E126" s="271">
        <f>VLOOKUP(C126,lookup!$B$2:$F$1240,5)</f>
        <v>0</v>
      </c>
    </row>
    <row r="127" spans="1:5" ht="22.8" x14ac:dyDescent="0.25">
      <c r="A127" s="169">
        <v>313</v>
      </c>
      <c r="C127" s="106" t="s">
        <v>1187</v>
      </c>
      <c r="D127" s="269" t="str">
        <f>VLOOKUP(C127,lookup!$B$2:$F$1240,2)</f>
        <v>lin ft</v>
      </c>
      <c r="E127" s="271">
        <f>VLOOKUP(C127,lookup!$B$2:$F$1240,5)</f>
        <v>20</v>
      </c>
    </row>
    <row r="128" spans="1:5" ht="22.8" x14ac:dyDescent="0.25">
      <c r="A128" s="169">
        <v>313</v>
      </c>
      <c r="C128" s="106" t="s">
        <v>203</v>
      </c>
      <c r="D128" s="269" t="str">
        <f>VLOOKUP(C128,lookup!$B$2:$F$1240,2)</f>
        <v>lin ft</v>
      </c>
      <c r="E128" s="271">
        <f>VLOOKUP(C128,lookup!$B$2:$F$1240,5)</f>
        <v>20</v>
      </c>
    </row>
    <row r="129" spans="1:5" ht="22.8" x14ac:dyDescent="0.25">
      <c r="A129" s="169">
        <v>313</v>
      </c>
      <c r="C129" s="106" t="s">
        <v>1188</v>
      </c>
      <c r="D129" s="269" t="str">
        <f>VLOOKUP(C129,lookup!$B$2:$F$1240,2)</f>
        <v>lin ft</v>
      </c>
      <c r="E129" s="271">
        <f>VLOOKUP(C129,lookup!$B$2:$F$1240,5)</f>
        <v>20</v>
      </c>
    </row>
    <row r="130" spans="1:5" ht="22.8" x14ac:dyDescent="0.25">
      <c r="A130" s="169">
        <v>313</v>
      </c>
      <c r="C130" s="106" t="s">
        <v>2363</v>
      </c>
      <c r="D130" s="269" t="str">
        <f>VLOOKUP(C130,lookup!$B$2:$F$1240,2)</f>
        <v>lin ft</v>
      </c>
      <c r="E130" s="271">
        <f>VLOOKUP(C130,lookup!$B$2:$F$1240,5)</f>
        <v>20</v>
      </c>
    </row>
    <row r="131" spans="1:5" ht="22.8" x14ac:dyDescent="0.25">
      <c r="A131" s="169">
        <v>313</v>
      </c>
      <c r="C131" s="106" t="s">
        <v>2364</v>
      </c>
      <c r="D131" s="269" t="str">
        <f>VLOOKUP(C131,lookup!$B$2:$F$1240,2)</f>
        <v>lin ft</v>
      </c>
      <c r="E131" s="271">
        <f>VLOOKUP(C131,lookup!$B$2:$F$1240,5)</f>
        <v>20</v>
      </c>
    </row>
    <row r="132" spans="1:5" ht="22.8" x14ac:dyDescent="0.25">
      <c r="A132" s="169">
        <v>313</v>
      </c>
      <c r="C132" s="106" t="s">
        <v>1374</v>
      </c>
      <c r="D132" s="269" t="str">
        <f>VLOOKUP(C132,lookup!$B$2:$F$1240,2)</f>
        <v>lin ft</v>
      </c>
      <c r="E132" s="271">
        <f>VLOOKUP(C132,lookup!$B$2:$F$1240,5)</f>
        <v>20</v>
      </c>
    </row>
    <row r="133" spans="1:5" ht="22.8" x14ac:dyDescent="0.25">
      <c r="A133" s="169">
        <v>313</v>
      </c>
      <c r="C133" s="106" t="s">
        <v>1375</v>
      </c>
      <c r="D133" s="269" t="str">
        <f>VLOOKUP(C133,lookup!$B$2:$F$1240,2)</f>
        <v>lin ft</v>
      </c>
      <c r="E133" s="271">
        <f>VLOOKUP(C133,lookup!$B$2:$F$1240,5)</f>
        <v>20</v>
      </c>
    </row>
    <row r="134" spans="1:5" ht="22.8" x14ac:dyDescent="0.25">
      <c r="A134" s="169">
        <v>313</v>
      </c>
      <c r="C134" s="106" t="s">
        <v>1184</v>
      </c>
      <c r="D134" s="269" t="str">
        <f>VLOOKUP(C134,lookup!$B$2:$F$1240,2)</f>
        <v>lin ft</v>
      </c>
      <c r="E134" s="271">
        <f>VLOOKUP(C134,lookup!$B$2:$F$1240,5)</f>
        <v>20</v>
      </c>
    </row>
    <row r="135" spans="1:5" ht="22.8" x14ac:dyDescent="0.25">
      <c r="A135" s="169">
        <v>313</v>
      </c>
      <c r="C135" s="106" t="s">
        <v>1185</v>
      </c>
      <c r="D135" s="269" t="str">
        <f>VLOOKUP(C135,lookup!$B$2:$F$1240,2)</f>
        <v>lin ft</v>
      </c>
      <c r="E135" s="271">
        <f>VLOOKUP(C135,lookup!$B$2:$F$1240,5)</f>
        <v>20</v>
      </c>
    </row>
    <row r="136" spans="1:5" ht="22.8" x14ac:dyDescent="0.25">
      <c r="A136" s="169">
        <v>313</v>
      </c>
      <c r="C136" s="106" t="s">
        <v>1186</v>
      </c>
      <c r="D136" s="269" t="str">
        <f>VLOOKUP(C136,lookup!$B$2:$F$1240,2)</f>
        <v>lin ft</v>
      </c>
      <c r="E136" s="271">
        <f>VLOOKUP(C136,lookup!$B$2:$F$1240,5)</f>
        <v>20</v>
      </c>
    </row>
    <row r="137" spans="1:5" ht="22.8" x14ac:dyDescent="0.25">
      <c r="A137" s="169">
        <v>313</v>
      </c>
      <c r="C137" s="106" t="s">
        <v>1481</v>
      </c>
      <c r="D137" s="269" t="str">
        <f>VLOOKUP(C137,lookup!$B$2:$F$1240,2)</f>
        <v>lin ft</v>
      </c>
      <c r="E137" s="271">
        <f>VLOOKUP(C137,lookup!$B$2:$F$1240,5)</f>
        <v>20</v>
      </c>
    </row>
    <row r="138" spans="1:5" ht="22.8" x14ac:dyDescent="0.25">
      <c r="A138" s="169">
        <v>313</v>
      </c>
      <c r="C138" s="106" t="s">
        <v>438</v>
      </c>
      <c r="D138" s="269" t="str">
        <f>VLOOKUP(C138,lookup!$B$2:$F$1240,2)</f>
        <v>lin ft</v>
      </c>
      <c r="E138" s="271">
        <f>VLOOKUP(C138,lookup!$B$2:$F$1240,5)</f>
        <v>20</v>
      </c>
    </row>
    <row r="139" spans="1:5" ht="22.8" x14ac:dyDescent="0.25">
      <c r="A139" s="169">
        <v>313</v>
      </c>
      <c r="C139" s="106" t="s">
        <v>1397</v>
      </c>
      <c r="D139" s="269" t="str">
        <f>VLOOKUP(C139,lookup!$B$2:$F$1240,2)</f>
        <v>lin ft</v>
      </c>
      <c r="E139" s="271">
        <f>VLOOKUP(C139,lookup!$B$2:$F$1240,5)</f>
        <v>20</v>
      </c>
    </row>
    <row r="140" spans="1:5" x14ac:dyDescent="0.25">
      <c r="A140" s="169">
        <v>313</v>
      </c>
      <c r="C140" s="106" t="s">
        <v>1341</v>
      </c>
      <c r="D140" s="269" t="str">
        <f>VLOOKUP(C140,lookup!$B$2:$F$1240,2)</f>
        <v>ft</v>
      </c>
      <c r="E140" s="271">
        <f>VLOOKUP(C140,lookup!$B$2:$F$1240,5)</f>
        <v>2</v>
      </c>
    </row>
    <row r="141" spans="1:5" x14ac:dyDescent="0.25">
      <c r="A141" s="169">
        <v>313</v>
      </c>
      <c r="C141" s="106" t="s">
        <v>2540</v>
      </c>
      <c r="D141" s="269" t="str">
        <f>VLOOKUP(C141,lookup!$B$2:$F$1240,2)</f>
        <v>ft</v>
      </c>
      <c r="E141" s="271">
        <f>VLOOKUP(C141,lookup!$B$2:$F$1240,5)</f>
        <v>2</v>
      </c>
    </row>
    <row r="142" spans="1:5" x14ac:dyDescent="0.25">
      <c r="A142" s="169">
        <v>313</v>
      </c>
      <c r="C142" s="106" t="s">
        <v>2541</v>
      </c>
      <c r="D142" s="269" t="str">
        <f>VLOOKUP(C142,lookup!$B$2:$F$1240,2)</f>
        <v>ft</v>
      </c>
      <c r="E142" s="271">
        <f>VLOOKUP(C142,lookup!$B$2:$F$1240,5)</f>
        <v>2</v>
      </c>
    </row>
    <row r="143" spans="1:5" x14ac:dyDescent="0.25">
      <c r="A143" s="169">
        <v>313</v>
      </c>
      <c r="C143" s="106" t="s">
        <v>2542</v>
      </c>
      <c r="D143" s="269" t="str">
        <f>VLOOKUP(C143,lookup!$B$2:$F$1240,2)</f>
        <v>ft</v>
      </c>
      <c r="E143" s="271">
        <f>VLOOKUP(C143,lookup!$B$2:$F$1240,5)</f>
        <v>2</v>
      </c>
    </row>
    <row r="144" spans="1:5" x14ac:dyDescent="0.25">
      <c r="A144" s="169">
        <v>313</v>
      </c>
      <c r="C144" s="106" t="s">
        <v>1604</v>
      </c>
      <c r="D144" s="269" t="str">
        <f>VLOOKUP(C144,lookup!$B$2:$F$1240,2)</f>
        <v>ft</v>
      </c>
      <c r="E144" s="271">
        <f>VLOOKUP(C144,lookup!$B$2:$F$1240,5)</f>
        <v>2</v>
      </c>
    </row>
    <row r="145" spans="1:5" x14ac:dyDescent="0.25">
      <c r="A145" s="169">
        <v>313</v>
      </c>
      <c r="C145" s="106" t="s">
        <v>1605</v>
      </c>
      <c r="D145" s="269" t="str">
        <f>VLOOKUP(C145,lookup!$B$2:$F$1240,2)</f>
        <v>ft</v>
      </c>
      <c r="E145" s="271">
        <f>VLOOKUP(C145,lookup!$B$2:$F$1240,5)</f>
        <v>2</v>
      </c>
    </row>
    <row r="146" spans="1:5" x14ac:dyDescent="0.25">
      <c r="A146" s="169">
        <v>313</v>
      </c>
      <c r="C146" s="106" t="s">
        <v>1004</v>
      </c>
      <c r="D146" s="269" t="str">
        <f>VLOOKUP(C146,lookup!$B$2:$F$1240,2)</f>
        <v>ft</v>
      </c>
      <c r="E146" s="271">
        <f>VLOOKUP(C146,lookup!$B$2:$F$1240,5)</f>
        <v>2</v>
      </c>
    </row>
    <row r="147" spans="1:5" x14ac:dyDescent="0.25">
      <c r="A147" s="169">
        <v>313</v>
      </c>
      <c r="C147" s="106" t="s">
        <v>1622</v>
      </c>
      <c r="D147" s="269" t="str">
        <f>VLOOKUP(C147,lookup!$B$2:$F$1240,2)</f>
        <v>ft</v>
      </c>
      <c r="E147" s="271">
        <f>VLOOKUP(C147,lookup!$B$2:$F$1240,5)</f>
        <v>2</v>
      </c>
    </row>
    <row r="148" spans="1:5" x14ac:dyDescent="0.25">
      <c r="A148" s="169">
        <v>313</v>
      </c>
      <c r="C148" s="106" t="s">
        <v>231</v>
      </c>
      <c r="D148" s="269" t="str">
        <f>VLOOKUP(C148,lookup!$B$2:$F$1240,2)</f>
        <v>ft</v>
      </c>
      <c r="E148" s="271">
        <f>VLOOKUP(C148,lookup!$B$2:$F$1240,5)</f>
        <v>2</v>
      </c>
    </row>
    <row r="149" spans="1:5" ht="22.8" x14ac:dyDescent="0.25">
      <c r="A149" s="169">
        <v>313</v>
      </c>
      <c r="C149" s="106" t="s">
        <v>2522</v>
      </c>
      <c r="D149" s="269">
        <f>VLOOKUP(C149,lookup!$B$2:$F$1240,2)</f>
        <v>0</v>
      </c>
      <c r="E149" s="271">
        <f>VLOOKUP(C149,lookup!$B$2:$F$1240,5)</f>
        <v>0</v>
      </c>
    </row>
    <row r="150" spans="1:5" x14ac:dyDescent="0.25">
      <c r="A150" s="169">
        <v>313</v>
      </c>
      <c r="C150" s="106" t="s">
        <v>1232</v>
      </c>
      <c r="D150" s="269">
        <f>VLOOKUP(C150,lookup!$B$2:$F$1240,2)</f>
        <v>0</v>
      </c>
      <c r="E150" s="271">
        <f>VLOOKUP(C150,lookup!$B$2:$F$1240,5)</f>
        <v>0</v>
      </c>
    </row>
    <row r="151" spans="1:5" ht="22.8" x14ac:dyDescent="0.25">
      <c r="A151" s="169">
        <v>313</v>
      </c>
      <c r="C151" s="106" t="s">
        <v>2543</v>
      </c>
      <c r="D151" s="269">
        <f>VLOOKUP(C151,lookup!$B$2:$F$1240,2)</f>
        <v>0</v>
      </c>
      <c r="E151" s="271">
        <f>VLOOKUP(C151,lookup!$B$2:$F$1240,5)</f>
        <v>0</v>
      </c>
    </row>
    <row r="152" spans="1:5" ht="22.8" x14ac:dyDescent="0.25">
      <c r="A152" s="169">
        <v>313</v>
      </c>
      <c r="C152" s="106" t="s">
        <v>2544</v>
      </c>
      <c r="D152" s="269">
        <f>VLOOKUP(C152,lookup!$B$2:$F$1240,2)</f>
        <v>0</v>
      </c>
      <c r="E152" s="271">
        <f>VLOOKUP(C152,lookup!$B$2:$F$1240,5)</f>
        <v>0</v>
      </c>
    </row>
    <row r="153" spans="1:5" ht="22.8" x14ac:dyDescent="0.25">
      <c r="A153" s="169">
        <v>313</v>
      </c>
      <c r="C153" s="106" t="s">
        <v>2318</v>
      </c>
      <c r="D153" s="269">
        <f>VLOOKUP(C153,lookup!$B$2:$F$1240,2)</f>
        <v>0</v>
      </c>
      <c r="E153" s="271">
        <f>VLOOKUP(C153,lookup!$B$2:$F$1240,5)</f>
        <v>0</v>
      </c>
    </row>
    <row r="154" spans="1:5" x14ac:dyDescent="0.25">
      <c r="A154" s="169">
        <v>313</v>
      </c>
      <c r="C154" s="106" t="s">
        <v>702</v>
      </c>
      <c r="D154" s="269" t="str">
        <f>VLOOKUP(C154,lookup!$B$2:$F$1240,2)</f>
        <v>ea.</v>
      </c>
      <c r="E154" s="271">
        <f>VLOOKUP(C154,lookup!$B$2:$F$1240,5)</f>
        <v>21</v>
      </c>
    </row>
    <row r="155" spans="1:5" x14ac:dyDescent="0.25">
      <c r="A155" s="169">
        <v>313</v>
      </c>
      <c r="C155" s="106" t="s">
        <v>703</v>
      </c>
      <c r="D155" s="269" t="str">
        <f>VLOOKUP(C155,lookup!$B$2:$F$1240,2)</f>
        <v>ea.</v>
      </c>
      <c r="E155" s="271">
        <f>VLOOKUP(C155,lookup!$B$2:$F$1240,5)</f>
        <v>23</v>
      </c>
    </row>
    <row r="156" spans="1:5" x14ac:dyDescent="0.25">
      <c r="A156" s="169">
        <v>313</v>
      </c>
      <c r="C156" s="106" t="s">
        <v>704</v>
      </c>
      <c r="D156" s="269" t="str">
        <f>VLOOKUP(C156,lookup!$B$2:$F$1240,2)</f>
        <v>ea.</v>
      </c>
      <c r="E156" s="271">
        <f>VLOOKUP(C156,lookup!$B$2:$F$1240,5)</f>
        <v>26</v>
      </c>
    </row>
    <row r="157" spans="1:5" x14ac:dyDescent="0.25">
      <c r="A157" s="169">
        <v>313</v>
      </c>
      <c r="C157" s="106" t="s">
        <v>1469</v>
      </c>
      <c r="D157" s="269">
        <f>VLOOKUP(C157,lookup!$B$2:$F$1240,2)</f>
        <v>0</v>
      </c>
      <c r="E157" s="271">
        <f>VLOOKUP(C157,lookup!$B$2:$F$1240,5)</f>
        <v>0</v>
      </c>
    </row>
    <row r="158" spans="1:5" x14ac:dyDescent="0.25">
      <c r="A158" s="169">
        <v>313</v>
      </c>
      <c r="C158" s="106" t="s">
        <v>2433</v>
      </c>
      <c r="D158" s="269" t="str">
        <f>VLOOKUP(C158,lookup!$B$2:$F$1240,2)</f>
        <v>Cu Yd</v>
      </c>
      <c r="E158" s="271">
        <f>VLOOKUP(C158,lookup!$B$2:$F$1240,5)</f>
        <v>3.5</v>
      </c>
    </row>
    <row r="159" spans="1:5" ht="22.8" x14ac:dyDescent="0.25">
      <c r="A159" s="169">
        <v>313</v>
      </c>
      <c r="C159" s="106" t="s">
        <v>906</v>
      </c>
      <c r="D159" s="269">
        <f>VLOOKUP(C159,lookup!$B$2:$F$1240,2)</f>
        <v>0</v>
      </c>
      <c r="E159" s="271">
        <f>VLOOKUP(C159,lookup!$B$2:$F$1240,5)</f>
        <v>0</v>
      </c>
    </row>
    <row r="160" spans="1:5" ht="22.8" x14ac:dyDescent="0.25">
      <c r="A160" s="169">
        <v>313</v>
      </c>
      <c r="C160" s="106" t="s">
        <v>907</v>
      </c>
      <c r="D160" s="269" t="str">
        <f>VLOOKUP(C160,lookup!$B$2:$F$1240,2)</f>
        <v>sq ft</v>
      </c>
      <c r="E160" s="271">
        <f>VLOOKUP(C160,lookup!$B$2:$F$1240,5)</f>
        <v>0</v>
      </c>
    </row>
    <row r="161" spans="1:5" ht="22.8" x14ac:dyDescent="0.25">
      <c r="A161" s="169">
        <v>313</v>
      </c>
      <c r="C161" s="106" t="s">
        <v>1781</v>
      </c>
      <c r="D161" s="269">
        <f>VLOOKUP(C161,lookup!$B$2:$F$1240,2)</f>
        <v>0</v>
      </c>
      <c r="E161" s="271">
        <f>VLOOKUP(C161,lookup!$B$2:$F$1240,5)</f>
        <v>0</v>
      </c>
    </row>
    <row r="162" spans="1:5" ht="22.8" x14ac:dyDescent="0.25">
      <c r="A162" s="169">
        <v>313</v>
      </c>
      <c r="C162" s="106" t="s">
        <v>908</v>
      </c>
      <c r="D162" s="269">
        <f>VLOOKUP(C162,lookup!$B$2:$F$1240,2)</f>
        <v>0</v>
      </c>
      <c r="E162" s="271">
        <f>VLOOKUP(C162,lookup!$B$2:$F$1240,5)</f>
        <v>0</v>
      </c>
    </row>
    <row r="163" spans="1:5" ht="22.8" x14ac:dyDescent="0.25">
      <c r="A163" s="169">
        <v>313</v>
      </c>
      <c r="C163" s="106" t="s">
        <v>909</v>
      </c>
      <c r="D163" s="269">
        <f>VLOOKUP(C163,lookup!$B$2:$F$1240,2)</f>
        <v>0</v>
      </c>
      <c r="E163" s="271">
        <f>VLOOKUP(C163,lookup!$B$2:$F$1240,5)</f>
        <v>0</v>
      </c>
    </row>
    <row r="164" spans="1:5" ht="22.8" x14ac:dyDescent="0.25">
      <c r="A164" s="169">
        <v>313</v>
      </c>
      <c r="C164" s="106" t="s">
        <v>910</v>
      </c>
      <c r="D164" s="269">
        <f>VLOOKUP(C164,lookup!$B$2:$F$1240,2)</f>
        <v>0</v>
      </c>
      <c r="E164" s="271">
        <f>VLOOKUP(C164,lookup!$B$2:$F$1240,5)</f>
        <v>0</v>
      </c>
    </row>
    <row r="165" spans="1:5" x14ac:dyDescent="0.25">
      <c r="A165" s="169">
        <v>313</v>
      </c>
      <c r="C165" s="106" t="s">
        <v>1523</v>
      </c>
      <c r="D165" s="269">
        <f>VLOOKUP(C165,lookup!$B$2:$F$1240,2)</f>
        <v>0</v>
      </c>
      <c r="E165" s="271">
        <f>VLOOKUP(C165,lookup!$B$2:$F$1240,5)</f>
        <v>0</v>
      </c>
    </row>
    <row r="166" spans="1:5" x14ac:dyDescent="0.25">
      <c r="A166" s="169">
        <v>313</v>
      </c>
      <c r="C166" s="113" t="s">
        <v>2661</v>
      </c>
      <c r="D166" s="269">
        <f>VLOOKUP(C166,lookup!$B$2:$F$1240,2)</f>
        <v>0</v>
      </c>
      <c r="E166" s="271">
        <f>VLOOKUP(C166,lookup!$B$2:$F$1240,5)</f>
        <v>0</v>
      </c>
    </row>
    <row r="167" spans="1:5" x14ac:dyDescent="0.25">
      <c r="A167" s="169">
        <v>313</v>
      </c>
      <c r="C167" s="113" t="s">
        <v>2659</v>
      </c>
      <c r="D167" s="269">
        <f>VLOOKUP(C167,lookup!$B$2:$F$1240,2)</f>
        <v>0</v>
      </c>
      <c r="E167" s="271">
        <f>VLOOKUP(C167,lookup!$B$2:$F$1240,5)</f>
        <v>0</v>
      </c>
    </row>
    <row r="168" spans="1:5" x14ac:dyDescent="0.25">
      <c r="A168" s="169">
        <v>313</v>
      </c>
      <c r="C168" s="106" t="s">
        <v>1455</v>
      </c>
      <c r="D168" s="269">
        <f>VLOOKUP(C168,lookup!$B$2:$F$1240,2)</f>
        <v>0</v>
      </c>
      <c r="E168" s="271">
        <f>VLOOKUP(C168,lookup!$B$2:$F$1240,5)</f>
        <v>0</v>
      </c>
    </row>
    <row r="169" spans="1:5" x14ac:dyDescent="0.25">
      <c r="A169" s="169">
        <v>314</v>
      </c>
      <c r="B169" s="171" t="s">
        <v>498</v>
      </c>
      <c r="C169" s="119"/>
      <c r="D169" s="269" t="e">
        <f>VLOOKUP(C169,lookup!$B$2:$F$1240,2)</f>
        <v>#N/A</v>
      </c>
      <c r="E169" s="271" t="e">
        <f>VLOOKUP(C169,lookup!$B$2:$F$1240,5)</f>
        <v>#N/A</v>
      </c>
    </row>
    <row r="170" spans="1:5" x14ac:dyDescent="0.25">
      <c r="A170" s="169">
        <v>314</v>
      </c>
      <c r="C170" s="100" t="s">
        <v>902</v>
      </c>
      <c r="D170" s="269">
        <f>VLOOKUP(C170,lookup!$B$2:$F$1240,2)</f>
        <v>0</v>
      </c>
      <c r="E170" s="271">
        <f>VLOOKUP(C170,lookup!$B$2:$F$1240,5)</f>
        <v>0</v>
      </c>
    </row>
    <row r="171" spans="1:5" x14ac:dyDescent="0.25">
      <c r="A171" s="169">
        <v>314</v>
      </c>
      <c r="C171" s="100" t="s">
        <v>1155</v>
      </c>
      <c r="D171" s="269" t="str">
        <f>VLOOKUP(C171,lookup!$B$2:$F$1240,2)</f>
        <v>ac</v>
      </c>
      <c r="E171" s="271">
        <f>VLOOKUP(C171,lookup!$B$2:$F$1240,5)</f>
        <v>14</v>
      </c>
    </row>
    <row r="172" spans="1:5" x14ac:dyDescent="0.25">
      <c r="A172" s="169">
        <v>314</v>
      </c>
      <c r="C172" s="100" t="s">
        <v>901</v>
      </c>
      <c r="D172" s="269" t="str">
        <f>VLOOKUP(C172,lookup!$B$2:$F$1240,2)</f>
        <v>hr</v>
      </c>
      <c r="E172" s="271">
        <f>VLOOKUP(C172,lookup!$B$2:$F$1240,5)</f>
        <v>66.400000000000006</v>
      </c>
    </row>
    <row r="173" spans="1:5" x14ac:dyDescent="0.25">
      <c r="A173" s="169">
        <v>314</v>
      </c>
      <c r="C173" s="100" t="s">
        <v>899</v>
      </c>
      <c r="D173" s="269" t="str">
        <f>VLOOKUP(C173,lookup!$B$2:$F$1240,2)</f>
        <v>CY</v>
      </c>
      <c r="E173" s="271">
        <f>VLOOKUP(C173,lookup!$B$2:$F$1240,5)</f>
        <v>4.6500000000000004</v>
      </c>
    </row>
    <row r="174" spans="1:5" x14ac:dyDescent="0.25">
      <c r="A174" s="169">
        <v>314</v>
      </c>
      <c r="C174" s="106" t="s">
        <v>2837</v>
      </c>
      <c r="D174" s="269" t="str">
        <f>VLOOKUP(C174,lookup!$B$2:$F$1240,2)</f>
        <v>ac</v>
      </c>
      <c r="E174" s="271">
        <f>VLOOKUP(C174,lookup!$B$2:$F$1240,5)</f>
        <v>17</v>
      </c>
    </row>
    <row r="175" spans="1:5" x14ac:dyDescent="0.25">
      <c r="A175" s="169">
        <v>314</v>
      </c>
      <c r="C175" s="106" t="s">
        <v>284</v>
      </c>
      <c r="D175" s="269" t="str">
        <f>VLOOKUP(C175,lookup!$B$2:$F$1240,2)</f>
        <v>ac</v>
      </c>
      <c r="E175" s="271">
        <f>VLOOKUP(C175,lookup!$B$2:$F$1240,5)</f>
        <v>17</v>
      </c>
    </row>
    <row r="176" spans="1:5" x14ac:dyDescent="0.25">
      <c r="A176" s="169">
        <v>314</v>
      </c>
      <c r="C176" s="106" t="s">
        <v>2307</v>
      </c>
      <c r="D176" s="269" t="str">
        <f>VLOOKUP(C176,lookup!$B$2:$F$1240,2)</f>
        <v>ac</v>
      </c>
      <c r="E176" s="271">
        <f>VLOOKUP(C176,lookup!$B$2:$F$1240,5)</f>
        <v>17</v>
      </c>
    </row>
    <row r="177" spans="1:6" x14ac:dyDescent="0.25">
      <c r="A177" s="169">
        <v>314</v>
      </c>
      <c r="C177" s="100" t="s">
        <v>1154</v>
      </c>
      <c r="D177" s="269" t="str">
        <f>VLOOKUP(C177,lookup!$B$2:$F$1240,2)</f>
        <v>ea</v>
      </c>
      <c r="E177" s="271">
        <f>VLOOKUP(C177,lookup!$B$2:$F$1240,5)</f>
        <v>0.45</v>
      </c>
    </row>
    <row r="178" spans="1:6" x14ac:dyDescent="0.25">
      <c r="A178" s="169">
        <v>314</v>
      </c>
      <c r="C178" s="106" t="s">
        <v>1157</v>
      </c>
      <c r="D178" s="269" t="str">
        <f>VLOOKUP(C178,lookup!$B$2:$F$1240,2)</f>
        <v>Gal.</v>
      </c>
      <c r="E178" s="271">
        <f>VLOOKUP(C178,lookup!$B$2:$F$1240,5)</f>
        <v>38.5</v>
      </c>
    </row>
    <row r="179" spans="1:6" x14ac:dyDescent="0.25">
      <c r="A179" s="169">
        <v>314</v>
      </c>
      <c r="C179" s="106" t="s">
        <v>409</v>
      </c>
      <c r="D179" s="269" t="str">
        <f>VLOOKUP(C179,lookup!$B$2:$F$1240,2)</f>
        <v>Gal.</v>
      </c>
      <c r="E179" s="271">
        <f>VLOOKUP(C179,lookup!$B$2:$F$1240,5)</f>
        <v>38.5</v>
      </c>
    </row>
    <row r="180" spans="1:6" ht="22.8" x14ac:dyDescent="0.25">
      <c r="A180" s="169">
        <v>314</v>
      </c>
      <c r="C180" s="100" t="s">
        <v>900</v>
      </c>
      <c r="D180" s="269">
        <f>VLOOKUP(C180,lookup!$B$2:$F$1240,2)</f>
        <v>0</v>
      </c>
      <c r="E180" s="271">
        <f>VLOOKUP(C180,lookup!$B$2:$F$1240,5)</f>
        <v>0</v>
      </c>
    </row>
    <row r="181" spans="1:6" x14ac:dyDescent="0.25">
      <c r="A181" s="169">
        <v>314</v>
      </c>
      <c r="C181" s="100" t="s">
        <v>1473</v>
      </c>
      <c r="D181" s="269">
        <f>VLOOKUP(C181,lookup!$B$2:$F$1240,2)</f>
        <v>0</v>
      </c>
      <c r="E181" s="271">
        <f>VLOOKUP(C181,lookup!$B$2:$F$1240,5)</f>
        <v>0</v>
      </c>
    </row>
    <row r="182" spans="1:6" x14ac:dyDescent="0.25">
      <c r="A182" s="169">
        <v>314</v>
      </c>
      <c r="C182" s="106" t="s">
        <v>1156</v>
      </c>
      <c r="D182" s="269">
        <f>VLOOKUP(C182,lookup!$B$2:$F$1240,2)</f>
        <v>0</v>
      </c>
      <c r="E182" s="271">
        <f>VLOOKUP(C182,lookup!$B$2:$F$1240,5)</f>
        <v>0</v>
      </c>
    </row>
    <row r="183" spans="1:6" x14ac:dyDescent="0.25">
      <c r="A183" s="169">
        <v>314</v>
      </c>
      <c r="C183" s="100" t="s">
        <v>903</v>
      </c>
      <c r="D183" s="269">
        <f>VLOOKUP(C183,lookup!$B$2:$F$1240,2)</f>
        <v>0</v>
      </c>
      <c r="E183" s="271">
        <f>VLOOKUP(C183,lookup!$B$2:$F$1240,5)</f>
        <v>0</v>
      </c>
    </row>
    <row r="184" spans="1:6" x14ac:dyDescent="0.25">
      <c r="A184" s="169">
        <v>315</v>
      </c>
      <c r="B184" s="173" t="s">
        <v>3133</v>
      </c>
      <c r="C184" s="100"/>
      <c r="D184" s="269" t="e">
        <f>VLOOKUP(C184,lookup!$B$2:$F$1240,2)</f>
        <v>#N/A</v>
      </c>
      <c r="E184" s="271" t="e">
        <f>VLOOKUP(C184,lookup!$B$2:$F$1240,5)</f>
        <v>#N/A</v>
      </c>
      <c r="F184" t="s">
        <v>3113</v>
      </c>
    </row>
    <row r="185" spans="1:6" x14ac:dyDescent="0.25">
      <c r="A185" s="169">
        <v>315</v>
      </c>
      <c r="C185" s="100" t="s">
        <v>3134</v>
      </c>
      <c r="D185" s="269" t="str">
        <f>VLOOKUP(C185,lookup!$B$2:$F$1240,2)</f>
        <v>gal</v>
      </c>
      <c r="E185" s="271">
        <f>VLOOKUP(C185,lookup!$B$2:$F$1240,5)</f>
        <v>45</v>
      </c>
    </row>
    <row r="186" spans="1:6" x14ac:dyDescent="0.25">
      <c r="A186" s="169">
        <v>315</v>
      </c>
      <c r="C186" s="100" t="s">
        <v>3135</v>
      </c>
      <c r="D186" s="269" t="str">
        <f>VLOOKUP(C186,lookup!$B$2:$F$1240,2)</f>
        <v>gal</v>
      </c>
      <c r="E186" s="271">
        <f>VLOOKUP(C186,lookup!$B$2:$F$1240,5)</f>
        <v>45</v>
      </c>
    </row>
    <row r="187" spans="1:6" x14ac:dyDescent="0.25">
      <c r="A187" s="169">
        <v>315</v>
      </c>
      <c r="C187" s="100" t="s">
        <v>3136</v>
      </c>
      <c r="D187" s="269" t="str">
        <f>VLOOKUP(C187,lookup!$B$2:$F$1240,2)</f>
        <v>ac</v>
      </c>
      <c r="E187" s="271">
        <f>VLOOKUP(C187,lookup!$B$2:$F$1240,5)</f>
        <v>13.5</v>
      </c>
    </row>
    <row r="188" spans="1:6" x14ac:dyDescent="0.25">
      <c r="A188" s="169">
        <v>315</v>
      </c>
      <c r="C188" s="100" t="s">
        <v>3137</v>
      </c>
      <c r="D188" s="269" t="str">
        <f>VLOOKUP(C188,lookup!$B$2:$F$1240,2)</f>
        <v>ac</v>
      </c>
      <c r="E188" s="271">
        <f>VLOOKUP(C188,lookup!$B$2:$F$1240,5)</f>
        <v>15</v>
      </c>
    </row>
    <row r="189" spans="1:6" x14ac:dyDescent="0.25">
      <c r="A189" s="169">
        <v>315</v>
      </c>
      <c r="C189" s="100" t="s">
        <v>3138</v>
      </c>
      <c r="D189" s="269" t="str">
        <f>VLOOKUP(C189,lookup!$B$2:$F$1240,2)</f>
        <v>hr</v>
      </c>
      <c r="E189" s="271">
        <f>VLOOKUP(C189,lookup!$B$2:$F$1240,5)</f>
        <v>20</v>
      </c>
    </row>
    <row r="190" spans="1:6" x14ac:dyDescent="0.25">
      <c r="A190" s="169">
        <v>315</v>
      </c>
      <c r="C190" s="100" t="s">
        <v>3139</v>
      </c>
      <c r="D190" s="269" t="str">
        <f>VLOOKUP(C190,lookup!$B$2:$F$1240,2)</f>
        <v>hr</v>
      </c>
      <c r="E190" s="271">
        <f>VLOOKUP(C190,lookup!$B$2:$F$1240,5)</f>
        <v>20</v>
      </c>
    </row>
    <row r="191" spans="1:6" x14ac:dyDescent="0.25">
      <c r="A191" s="169">
        <v>315</v>
      </c>
      <c r="C191" s="100" t="s">
        <v>2913</v>
      </c>
      <c r="D191" s="269" t="str">
        <f>VLOOKUP(C191,lookup!$B$2:$F$1240,2)</f>
        <v>Ac.</v>
      </c>
      <c r="E191" s="271">
        <f>VLOOKUP(C191,lookup!$B$2:$F$1240,5)</f>
        <v>1475</v>
      </c>
    </row>
    <row r="192" spans="1:6" x14ac:dyDescent="0.25">
      <c r="A192" s="169">
        <v>317</v>
      </c>
      <c r="B192" s="171" t="s">
        <v>1238</v>
      </c>
      <c r="C192" s="119"/>
      <c r="D192" s="269" t="e">
        <f>VLOOKUP(C192,lookup!$B$2:$F$1240,2)</f>
        <v>#N/A</v>
      </c>
      <c r="E192" s="271" t="e">
        <f>VLOOKUP(C192,lookup!$B$2:$F$1240,5)</f>
        <v>#N/A</v>
      </c>
    </row>
    <row r="193" spans="1:5" ht="22.8" x14ac:dyDescent="0.25">
      <c r="A193" s="169">
        <v>317</v>
      </c>
      <c r="C193" s="113" t="s">
        <v>979</v>
      </c>
      <c r="D193" s="269">
        <f>VLOOKUP(C193,lookup!$B$2:$F$1240,2)</f>
        <v>0</v>
      </c>
      <c r="E193" s="271">
        <f>VLOOKUP(C193,lookup!$B$2:$F$1240,5)</f>
        <v>0</v>
      </c>
    </row>
    <row r="194" spans="1:5" x14ac:dyDescent="0.25">
      <c r="A194" s="169">
        <v>317</v>
      </c>
      <c r="C194" s="106" t="s">
        <v>1376</v>
      </c>
      <c r="D194" s="269" t="str">
        <f>VLOOKUP(C194,lookup!$B$2:$F$1240,2)</f>
        <v>cu yd</v>
      </c>
      <c r="E194" s="271">
        <f>VLOOKUP(C194,lookup!$B$2:$F$1240,5)</f>
        <v>3.5</v>
      </c>
    </row>
    <row r="195" spans="1:5" x14ac:dyDescent="0.25">
      <c r="A195" s="169">
        <v>317</v>
      </c>
      <c r="C195" s="106" t="s">
        <v>1110</v>
      </c>
      <c r="D195" s="269" t="str">
        <f>VLOOKUP(C195,lookup!$B$2:$F$1240,2)</f>
        <v>Cu Yd</v>
      </c>
      <c r="E195" s="271">
        <f>VLOOKUP(C195,lookup!$B$2:$F$1240,5)</f>
        <v>0</v>
      </c>
    </row>
    <row r="196" spans="1:5" x14ac:dyDescent="0.25">
      <c r="A196" s="169">
        <v>317</v>
      </c>
      <c r="C196" s="109" t="s">
        <v>2299</v>
      </c>
      <c r="D196" s="269" t="str">
        <f>VLOOKUP(C196,lookup!$B$2:$F$1240,2)</f>
        <v>AC</v>
      </c>
      <c r="E196" s="271">
        <f>VLOOKUP(C196,lookup!$B$2:$F$1240,5)</f>
        <v>0.4</v>
      </c>
    </row>
    <row r="197" spans="1:5" x14ac:dyDescent="0.25">
      <c r="A197" s="169">
        <v>317</v>
      </c>
      <c r="C197" s="106" t="s">
        <v>1034</v>
      </c>
      <c r="D197" s="269" t="str">
        <f>VLOOKUP(C197,lookup!$B$2:$F$1240,2)</f>
        <v>l.s.</v>
      </c>
      <c r="E197" s="271">
        <f>VLOOKUP(C197,lookup!$B$2:$F$1240,5)</f>
        <v>400</v>
      </c>
    </row>
    <row r="198" spans="1:5" x14ac:dyDescent="0.25">
      <c r="A198" s="169">
        <v>317</v>
      </c>
      <c r="C198" s="106" t="s">
        <v>987</v>
      </c>
      <c r="D198" s="269" t="str">
        <f>VLOOKUP(C198,lookup!$B$2:$F$1240,2)</f>
        <v>Cu Yd</v>
      </c>
      <c r="E198" s="271">
        <f>VLOOKUP(C198,lookup!$B$2:$F$1240,5)</f>
        <v>40</v>
      </c>
    </row>
    <row r="199" spans="1:5" x14ac:dyDescent="0.25">
      <c r="A199" s="169">
        <v>317</v>
      </c>
      <c r="C199" s="106" t="s">
        <v>988</v>
      </c>
      <c r="D199" s="269" t="str">
        <f>VLOOKUP(C199,lookup!$B$2:$F$1240,2)</f>
        <v>ton</v>
      </c>
      <c r="E199" s="271">
        <f>VLOOKUP(C199,lookup!$B$2:$F$1240,5)</f>
        <v>20</v>
      </c>
    </row>
    <row r="200" spans="1:5" x14ac:dyDescent="0.25">
      <c r="A200" s="169">
        <v>317</v>
      </c>
      <c r="C200" s="106" t="s">
        <v>1159</v>
      </c>
      <c r="D200" s="269" t="str">
        <f>VLOOKUP(C200,lookup!$B$2:$F$1240,2)</f>
        <v>ft</v>
      </c>
      <c r="E200" s="271">
        <f>VLOOKUP(C200,lookup!$B$2:$F$1240,5)</f>
        <v>6.6</v>
      </c>
    </row>
    <row r="201" spans="1:5" x14ac:dyDescent="0.25">
      <c r="A201" s="169">
        <v>317</v>
      </c>
      <c r="C201" s="109" t="s">
        <v>724</v>
      </c>
      <c r="D201" s="269" t="str">
        <f>VLOOKUP(C201,lookup!$B$2:$F$1240,2)</f>
        <v>hr</v>
      </c>
      <c r="E201" s="271">
        <f>VLOOKUP(C201,lookup!$B$2:$F$1240,5)</f>
        <v>20</v>
      </c>
    </row>
    <row r="202" spans="1:5" x14ac:dyDescent="0.25">
      <c r="A202" s="169">
        <v>317</v>
      </c>
      <c r="C202" s="109" t="s">
        <v>329</v>
      </c>
      <c r="D202" s="269">
        <f>VLOOKUP(C202,lookup!$B$2:$F$1240,2)</f>
        <v>0</v>
      </c>
      <c r="E202" s="271">
        <f>VLOOKUP(C202,lookup!$B$2:$F$1240,5)</f>
        <v>0</v>
      </c>
    </row>
    <row r="203" spans="1:5" x14ac:dyDescent="0.25">
      <c r="A203" s="169">
        <v>317</v>
      </c>
      <c r="C203" s="100" t="s">
        <v>1042</v>
      </c>
      <c r="D203" s="269" t="str">
        <f>VLOOKUP(C203,lookup!$B$2:$F$1240,2)</f>
        <v>Ea.</v>
      </c>
      <c r="E203" s="271">
        <f>VLOOKUP(C203,lookup!$B$2:$F$1240,5)</f>
        <v>65</v>
      </c>
    </row>
    <row r="204" spans="1:5" x14ac:dyDescent="0.25">
      <c r="A204" s="169">
        <v>317</v>
      </c>
      <c r="C204" s="100" t="s">
        <v>1039</v>
      </c>
      <c r="D204" s="269" t="str">
        <f>VLOOKUP(C204,lookup!$B$2:$F$1240,2)</f>
        <v>Ea.</v>
      </c>
      <c r="E204" s="271">
        <f>VLOOKUP(C204,lookup!$B$2:$F$1240,5)</f>
        <v>65</v>
      </c>
    </row>
    <row r="205" spans="1:5" ht="22.8" x14ac:dyDescent="0.25">
      <c r="A205" s="169">
        <v>317</v>
      </c>
      <c r="C205" s="100" t="s">
        <v>1040</v>
      </c>
      <c r="D205" s="269" t="str">
        <f>VLOOKUP(C205,lookup!$B$2:$F$1240,2)</f>
        <v>Ea.</v>
      </c>
      <c r="E205" s="271">
        <f>VLOOKUP(C205,lookup!$B$2:$F$1240,5)</f>
        <v>65</v>
      </c>
    </row>
    <row r="206" spans="1:5" x14ac:dyDescent="0.25">
      <c r="A206" s="169">
        <v>317</v>
      </c>
      <c r="C206" s="100" t="s">
        <v>1041</v>
      </c>
      <c r="D206" s="269" t="str">
        <f>VLOOKUP(C206,lookup!$B$2:$F$1240,2)</f>
        <v>Ea.</v>
      </c>
      <c r="E206" s="271">
        <f>VLOOKUP(C206,lookup!$B$2:$F$1240,5)</f>
        <v>65</v>
      </c>
    </row>
    <row r="207" spans="1:5" x14ac:dyDescent="0.25">
      <c r="A207" s="169">
        <v>317</v>
      </c>
      <c r="C207" s="109" t="s">
        <v>722</v>
      </c>
      <c r="D207" s="269" t="str">
        <f>VLOOKUP(C207,lookup!$B$2:$F$1240,2)</f>
        <v>Ac.</v>
      </c>
      <c r="E207" s="271">
        <f>VLOOKUP(C207,lookup!$B$2:$F$1240,5)</f>
        <v>1475</v>
      </c>
    </row>
    <row r="208" spans="1:5" ht="22.8" x14ac:dyDescent="0.25">
      <c r="A208" s="169">
        <v>317</v>
      </c>
      <c r="C208" s="106" t="s">
        <v>2655</v>
      </c>
      <c r="D208" s="269" t="str">
        <f>VLOOKUP(C208,lookup!$B$2:$F$1240,2)</f>
        <v>lin ft</v>
      </c>
      <c r="E208" s="271">
        <f>VLOOKUP(C208,lookup!$B$2:$F$1240,5)</f>
        <v>20</v>
      </c>
    </row>
    <row r="209" spans="1:5" ht="22.8" x14ac:dyDescent="0.25">
      <c r="A209" s="169">
        <v>317</v>
      </c>
      <c r="C209" s="106" t="s">
        <v>2656</v>
      </c>
      <c r="D209" s="269" t="str">
        <f>VLOOKUP(C209,lookup!$B$2:$F$1240,2)</f>
        <v>lin ft</v>
      </c>
      <c r="E209" s="271">
        <f>VLOOKUP(C209,lookup!$B$2:$F$1240,5)</f>
        <v>20</v>
      </c>
    </row>
    <row r="210" spans="1:5" ht="22.8" x14ac:dyDescent="0.25">
      <c r="A210" s="169">
        <v>317</v>
      </c>
      <c r="C210" s="106" t="s">
        <v>1481</v>
      </c>
      <c r="D210" s="269" t="str">
        <f>VLOOKUP(C210,lookup!$B$2:$F$1240,2)</f>
        <v>lin ft</v>
      </c>
      <c r="E210" s="271">
        <f>VLOOKUP(C210,lookup!$B$2:$F$1240,5)</f>
        <v>20</v>
      </c>
    </row>
    <row r="211" spans="1:5" ht="22.8" x14ac:dyDescent="0.25">
      <c r="A211" s="169">
        <v>317</v>
      </c>
      <c r="C211" s="106" t="s">
        <v>438</v>
      </c>
      <c r="D211" s="269" t="str">
        <f>VLOOKUP(C211,lookup!$B$2:$F$1240,2)</f>
        <v>lin ft</v>
      </c>
      <c r="E211" s="271">
        <f>VLOOKUP(C211,lookup!$B$2:$F$1240,5)</f>
        <v>20</v>
      </c>
    </row>
    <row r="212" spans="1:5" ht="22.8" x14ac:dyDescent="0.25">
      <c r="A212" s="169">
        <v>317</v>
      </c>
      <c r="C212" s="106" t="s">
        <v>1397</v>
      </c>
      <c r="D212" s="269" t="str">
        <f>VLOOKUP(C212,lookup!$B$2:$F$1240,2)</f>
        <v>lin ft</v>
      </c>
      <c r="E212" s="271">
        <f>VLOOKUP(C212,lookup!$B$2:$F$1240,5)</f>
        <v>20</v>
      </c>
    </row>
    <row r="213" spans="1:5" x14ac:dyDescent="0.25">
      <c r="A213" s="169">
        <v>317</v>
      </c>
      <c r="C213" s="106" t="s">
        <v>2712</v>
      </c>
      <c r="D213" s="269" t="str">
        <f>VLOOKUP(C213,lookup!$B$2:$F$1240,2)</f>
        <v>Cu Yd</v>
      </c>
      <c r="E213" s="271">
        <f>VLOOKUP(C213,lookup!$B$2:$F$1240,5)</f>
        <v>3.5</v>
      </c>
    </row>
    <row r="214" spans="1:5" x14ac:dyDescent="0.25">
      <c r="A214" s="169">
        <v>317</v>
      </c>
      <c r="C214" s="106" t="s">
        <v>1455</v>
      </c>
      <c r="D214" s="269">
        <f>VLOOKUP(C214,lookup!$B$2:$F$1240,2)</f>
        <v>0</v>
      </c>
      <c r="E214" s="271">
        <f>VLOOKUP(C214,lookup!$B$2:$F$1240,5)</f>
        <v>0</v>
      </c>
    </row>
    <row r="215" spans="1:5" ht="22.8" x14ac:dyDescent="0.25">
      <c r="A215" s="169">
        <v>317</v>
      </c>
      <c r="C215" s="106" t="s">
        <v>2745</v>
      </c>
      <c r="D215" s="269">
        <f>VLOOKUP(C215,lookup!$B$2:$F$1240,2)</f>
        <v>0</v>
      </c>
      <c r="E215" s="271">
        <f>VLOOKUP(C215,lookup!$B$2:$F$1240,5)</f>
        <v>0</v>
      </c>
    </row>
    <row r="216" spans="1:5" x14ac:dyDescent="0.25">
      <c r="A216" s="169">
        <v>317</v>
      </c>
      <c r="C216" s="109"/>
      <c r="D216" s="269" t="e">
        <f>VLOOKUP(C216,lookup!$B$2:$F$1240,2)</f>
        <v>#N/A</v>
      </c>
      <c r="E216" s="271" t="e">
        <f>VLOOKUP(C216,lookup!$B$2:$F$1240,5)</f>
        <v>#N/A</v>
      </c>
    </row>
    <row r="217" spans="1:5" x14ac:dyDescent="0.25">
      <c r="A217" s="169">
        <v>317</v>
      </c>
      <c r="C217" s="109"/>
      <c r="D217" s="269" t="e">
        <f>VLOOKUP(C217,lookup!$B$2:$F$1240,2)</f>
        <v>#N/A</v>
      </c>
      <c r="E217" s="271" t="e">
        <f>VLOOKUP(C217,lookup!$B$2:$F$1240,5)</f>
        <v>#N/A</v>
      </c>
    </row>
    <row r="218" spans="1:5" x14ac:dyDescent="0.25">
      <c r="A218" s="169">
        <v>324</v>
      </c>
      <c r="B218" s="171" t="s">
        <v>2331</v>
      </c>
      <c r="C218" s="119"/>
      <c r="D218" s="269" t="e">
        <f>VLOOKUP(C218,lookup!$B$2:$F$1240,2)</f>
        <v>#N/A</v>
      </c>
      <c r="E218" s="271" t="e">
        <f>VLOOKUP(C218,lookup!$B$2:$F$1240,5)</f>
        <v>#N/A</v>
      </c>
    </row>
    <row r="219" spans="1:5" x14ac:dyDescent="0.25">
      <c r="A219" s="169">
        <v>324</v>
      </c>
      <c r="C219" s="106" t="s">
        <v>2308</v>
      </c>
      <c r="D219" s="269" t="str">
        <f>VLOOKUP(C219,lookup!$B$2:$F$1240,2)</f>
        <v>lf</v>
      </c>
      <c r="E219" s="271">
        <f>VLOOKUP(C219,lookup!$B$2:$F$1240,5)</f>
        <v>1</v>
      </c>
    </row>
    <row r="220" spans="1:5" x14ac:dyDescent="0.25">
      <c r="A220" s="169">
        <v>324</v>
      </c>
      <c r="C220" s="106" t="s">
        <v>1696</v>
      </c>
      <c r="D220" s="269">
        <f>VLOOKUP(C220,lookup!$B$2:$F$1240,2)</f>
        <v>0</v>
      </c>
      <c r="E220" s="271">
        <f>VLOOKUP(C220,lookup!$B$2:$F$1240,5)</f>
        <v>0</v>
      </c>
    </row>
    <row r="221" spans="1:5" x14ac:dyDescent="0.25">
      <c r="A221" s="169">
        <v>324</v>
      </c>
      <c r="C221" s="106" t="s">
        <v>1697</v>
      </c>
      <c r="D221" s="269">
        <f>VLOOKUP(C221,lookup!$B$2:$F$1240,2)</f>
        <v>0</v>
      </c>
      <c r="E221" s="271">
        <f>VLOOKUP(C221,lookup!$B$2:$F$1240,5)</f>
        <v>0</v>
      </c>
    </row>
    <row r="222" spans="1:5" x14ac:dyDescent="0.25">
      <c r="A222" s="169">
        <v>324</v>
      </c>
      <c r="C222" s="106" t="s">
        <v>247</v>
      </c>
      <c r="D222" s="269" t="str">
        <f>VLOOKUP(C222,lookup!$B$2:$F$1240,2)</f>
        <v>Ac</v>
      </c>
      <c r="E222" s="271">
        <f>VLOOKUP(C222,lookup!$B$2:$F$1240,5)</f>
        <v>17.63</v>
      </c>
    </row>
    <row r="223" spans="1:5" x14ac:dyDescent="0.25">
      <c r="A223" s="169">
        <v>324</v>
      </c>
      <c r="C223" s="106" t="s">
        <v>9</v>
      </c>
      <c r="D223" s="269" t="str">
        <f>VLOOKUP(C223,lookup!$B$2:$F$1240,2)</f>
        <v>Hr.</v>
      </c>
      <c r="E223" s="271">
        <f>VLOOKUP(C223,lookup!$B$2:$F$1240,5)</f>
        <v>81.068363600000012</v>
      </c>
    </row>
    <row r="224" spans="1:5" x14ac:dyDescent="0.25">
      <c r="A224" s="169">
        <v>326</v>
      </c>
      <c r="B224" s="171" t="s">
        <v>2611</v>
      </c>
      <c r="C224" s="119"/>
      <c r="D224" s="269" t="e">
        <f>VLOOKUP(C224,lookup!$B$2:$F$1240,2)</f>
        <v>#N/A</v>
      </c>
      <c r="E224" s="271" t="e">
        <f>VLOOKUP(C224,lookup!$B$2:$F$1240,5)</f>
        <v>#N/A</v>
      </c>
    </row>
    <row r="225" spans="1:6" x14ac:dyDescent="0.25">
      <c r="A225" s="169">
        <v>326</v>
      </c>
      <c r="C225" s="106" t="s">
        <v>2424</v>
      </c>
      <c r="D225" s="269" t="str">
        <f>VLOOKUP(C225,lookup!$B$2:$F$1240,2)</f>
        <v>lin ft</v>
      </c>
      <c r="E225" s="271">
        <f>VLOOKUP(C225,lookup!$B$2:$F$1240,5)</f>
        <v>3.5</v>
      </c>
    </row>
    <row r="226" spans="1:6" x14ac:dyDescent="0.25">
      <c r="A226" s="169">
        <v>326</v>
      </c>
      <c r="C226" s="106" t="s">
        <v>2425</v>
      </c>
      <c r="D226" s="269" t="str">
        <f>VLOOKUP(C226,lookup!$B$2:$F$1240,2)</f>
        <v>lin ft</v>
      </c>
      <c r="E226" s="271">
        <f>VLOOKUP(C226,lookup!$B$2:$F$1240,5)</f>
        <v>3.5</v>
      </c>
    </row>
    <row r="227" spans="1:6" x14ac:dyDescent="0.25">
      <c r="A227" s="169">
        <v>326</v>
      </c>
      <c r="C227" s="106" t="s">
        <v>2310</v>
      </c>
      <c r="D227" s="269">
        <f>VLOOKUP(C227,lookup!$B$2:$F$1240,2)</f>
        <v>0</v>
      </c>
      <c r="E227" s="271">
        <f>VLOOKUP(C227,lookup!$B$2:$F$1240,5)</f>
        <v>0</v>
      </c>
    </row>
    <row r="228" spans="1:6" x14ac:dyDescent="0.25">
      <c r="A228" s="169">
        <v>326</v>
      </c>
      <c r="C228" s="106" t="s">
        <v>2311</v>
      </c>
      <c r="D228" s="269">
        <f>VLOOKUP(C228,lookup!$B$2:$F$1240,2)</f>
        <v>0</v>
      </c>
      <c r="E228" s="271">
        <f>VLOOKUP(C228,lookup!$B$2:$F$1240,5)</f>
        <v>0</v>
      </c>
    </row>
    <row r="229" spans="1:6" x14ac:dyDescent="0.25">
      <c r="A229" s="169">
        <v>326</v>
      </c>
      <c r="C229" s="109" t="s">
        <v>329</v>
      </c>
      <c r="D229" s="269">
        <f>VLOOKUP(C229,lookup!$B$2:$F$1240,2)</f>
        <v>0</v>
      </c>
      <c r="E229" s="271">
        <f>VLOOKUP(C229,lookup!$B$2:$F$1240,5)</f>
        <v>0</v>
      </c>
    </row>
    <row r="230" spans="1:6" x14ac:dyDescent="0.25">
      <c r="A230" s="169">
        <v>326</v>
      </c>
      <c r="C230" s="100" t="s">
        <v>1042</v>
      </c>
      <c r="D230" s="269" t="str">
        <f>VLOOKUP(C230,lookup!$B$2:$F$1240,2)</f>
        <v>Ea.</v>
      </c>
      <c r="E230" s="271">
        <f>VLOOKUP(C230,lookup!$B$2:$F$1240,5)</f>
        <v>65</v>
      </c>
    </row>
    <row r="231" spans="1:6" x14ac:dyDescent="0.25">
      <c r="A231" s="169">
        <v>326</v>
      </c>
      <c r="C231" s="100" t="s">
        <v>1039</v>
      </c>
      <c r="D231" s="269" t="str">
        <f>VLOOKUP(C231,lookup!$B$2:$F$1240,2)</f>
        <v>Ea.</v>
      </c>
      <c r="E231" s="271">
        <f>VLOOKUP(C231,lookup!$B$2:$F$1240,5)</f>
        <v>65</v>
      </c>
    </row>
    <row r="232" spans="1:6" ht="22.8" x14ac:dyDescent="0.25">
      <c r="A232" s="169">
        <v>326</v>
      </c>
      <c r="C232" s="100" t="s">
        <v>1040</v>
      </c>
      <c r="D232" s="269" t="str">
        <f>VLOOKUP(C232,lookup!$B$2:$F$1240,2)</f>
        <v>Ea.</v>
      </c>
      <c r="E232" s="271">
        <f>VLOOKUP(C232,lookup!$B$2:$F$1240,5)</f>
        <v>65</v>
      </c>
    </row>
    <row r="233" spans="1:6" x14ac:dyDescent="0.25">
      <c r="A233" s="169">
        <v>326</v>
      </c>
      <c r="C233" s="100" t="s">
        <v>1041</v>
      </c>
      <c r="D233" s="269" t="str">
        <f>VLOOKUP(C233,lookup!$B$2:$F$1240,2)</f>
        <v>Ea.</v>
      </c>
      <c r="E233" s="271">
        <f>VLOOKUP(C233,lookup!$B$2:$F$1240,5)</f>
        <v>65</v>
      </c>
    </row>
    <row r="234" spans="1:6" ht="22.8" x14ac:dyDescent="0.25">
      <c r="A234" s="169">
        <v>326</v>
      </c>
      <c r="C234" s="106" t="s">
        <v>2745</v>
      </c>
      <c r="D234" s="269">
        <f>VLOOKUP(C234,lookup!$B$2:$F$1240,2)</f>
        <v>0</v>
      </c>
      <c r="E234" s="271">
        <f>VLOOKUP(C234,lookup!$B$2:$F$1240,5)</f>
        <v>0</v>
      </c>
    </row>
    <row r="235" spans="1:6" x14ac:dyDescent="0.25">
      <c r="A235" s="169">
        <v>327</v>
      </c>
      <c r="B235" s="171" t="s">
        <v>1240</v>
      </c>
      <c r="C235" s="121"/>
      <c r="D235" s="269" t="e">
        <f>VLOOKUP(C235,lookup!$B$2:$F$1240,2)</f>
        <v>#N/A</v>
      </c>
      <c r="E235" s="271" t="e">
        <f>VLOOKUP(C235,lookup!$B$2:$F$1240,5)</f>
        <v>#N/A</v>
      </c>
      <c r="F235" t="s">
        <v>3113</v>
      </c>
    </row>
    <row r="236" spans="1:6" x14ac:dyDescent="0.25">
      <c r="A236" s="169">
        <v>327</v>
      </c>
      <c r="C236" s="96" t="s">
        <v>3106</v>
      </c>
      <c r="D236" s="269" t="str">
        <f>VLOOKUP(C236,lookup!$B$2:$F$1240,2)</f>
        <v>ac</v>
      </c>
      <c r="E236" s="271">
        <f>VLOOKUP(C236,lookup!$B$2:$F$1240,5)</f>
        <v>14.23</v>
      </c>
    </row>
    <row r="237" spans="1:6" x14ac:dyDescent="0.25">
      <c r="A237" s="169">
        <v>327</v>
      </c>
      <c r="C237" s="96" t="s">
        <v>3107</v>
      </c>
      <c r="D237" s="269" t="str">
        <f>VLOOKUP(C237,lookup!$B$2:$F$1240,2)</f>
        <v>ac</v>
      </c>
      <c r="E237" s="271">
        <f>VLOOKUP(C237,lookup!$B$2:$F$1240,5)</f>
        <v>12.71</v>
      </c>
    </row>
    <row r="238" spans="1:6" x14ac:dyDescent="0.25">
      <c r="A238" s="169">
        <v>327</v>
      </c>
      <c r="C238" s="96" t="s">
        <v>3108</v>
      </c>
      <c r="D238" s="269" t="str">
        <f>VLOOKUP(C238,lookup!$B$2:$F$1240,2)</f>
        <v>hr</v>
      </c>
      <c r="E238" s="271">
        <f>VLOOKUP(C238,lookup!$B$2:$F$1240,5)</f>
        <v>100</v>
      </c>
    </row>
    <row r="239" spans="1:6" x14ac:dyDescent="0.25">
      <c r="A239" s="169">
        <v>327</v>
      </c>
      <c r="C239" s="96" t="s">
        <v>3109</v>
      </c>
      <c r="D239" s="269" t="str">
        <f>VLOOKUP(C239,lookup!$B$2:$F$1240,2)</f>
        <v>ac</v>
      </c>
      <c r="E239" s="271">
        <f>VLOOKUP(C239,lookup!$B$2:$F$1240,5)</f>
        <v>13.83</v>
      </c>
    </row>
    <row r="240" spans="1:6" ht="22.8" x14ac:dyDescent="0.25">
      <c r="A240" s="169">
        <v>327</v>
      </c>
      <c r="C240" s="96" t="s">
        <v>3110</v>
      </c>
      <c r="D240" s="269" t="str">
        <f>VLOOKUP(C240,lookup!$B$2:$F$1240,2)</f>
        <v>each</v>
      </c>
      <c r="E240" s="271">
        <f>VLOOKUP(C240,lookup!$B$2:$F$1240,5)</f>
        <v>125</v>
      </c>
    </row>
    <row r="241" spans="1:5" x14ac:dyDescent="0.25">
      <c r="A241" s="169">
        <v>327</v>
      </c>
      <c r="C241" s="96" t="s">
        <v>3111</v>
      </c>
      <c r="D241" s="269" t="str">
        <f>VLOOKUP(C241,lookup!$B$2:$F$1240,2)</f>
        <v>ac</v>
      </c>
      <c r="E241" s="271">
        <f>VLOOKUP(C241,lookup!$B$2:$F$1240,5)</f>
        <v>15</v>
      </c>
    </row>
    <row r="242" spans="1:5" x14ac:dyDescent="0.25">
      <c r="A242" s="169">
        <v>327</v>
      </c>
      <c r="C242" s="100" t="s">
        <v>2866</v>
      </c>
      <c r="D242" s="269" t="str">
        <f>VLOOKUP(C242,lookup!$B$2:$F$1240,2)</f>
        <v>acre</v>
      </c>
      <c r="E242" s="271">
        <f>VLOOKUP(C242,lookup!$B$2:$F$1240,5)</f>
        <v>5.72</v>
      </c>
    </row>
    <row r="243" spans="1:5" x14ac:dyDescent="0.25">
      <c r="A243" s="169">
        <v>327</v>
      </c>
      <c r="C243" s="100" t="s">
        <v>2863</v>
      </c>
      <c r="D243" s="269" t="str">
        <f>VLOOKUP(C243,lookup!$B$2:$F$1240,2)</f>
        <v>acre</v>
      </c>
      <c r="E243" s="271">
        <f>VLOOKUP(C243,lookup!$B$2:$F$1240,5)</f>
        <v>5.72</v>
      </c>
    </row>
    <row r="244" spans="1:5" x14ac:dyDescent="0.25">
      <c r="A244" s="169">
        <v>327</v>
      </c>
      <c r="C244" s="100" t="s">
        <v>2868</v>
      </c>
      <c r="D244" s="269" t="str">
        <f>VLOOKUP(C244,lookup!$B$2:$F$1240,2)</f>
        <v>acre</v>
      </c>
      <c r="E244" s="271">
        <f>VLOOKUP(C244,lookup!$B$2:$F$1240,5)</f>
        <v>5.72</v>
      </c>
    </row>
    <row r="245" spans="1:5" x14ac:dyDescent="0.25">
      <c r="A245" s="169">
        <v>327</v>
      </c>
      <c r="C245" s="100" t="s">
        <v>2662</v>
      </c>
      <c r="D245" s="269" t="str">
        <f>VLOOKUP(C245,lookup!$B$2:$F$1240,2)</f>
        <v>ton</v>
      </c>
      <c r="E245" s="271">
        <f>VLOOKUP(C245,lookup!$B$2:$F$1240,5)</f>
        <v>26</v>
      </c>
    </row>
    <row r="246" spans="1:5" x14ac:dyDescent="0.25">
      <c r="A246" s="169">
        <v>327</v>
      </c>
      <c r="C246" s="100" t="s">
        <v>2663</v>
      </c>
      <c r="D246" s="269" t="str">
        <f>VLOOKUP(C246,lookup!$B$2:$F$1240,2)</f>
        <v>1,000 gal.</v>
      </c>
      <c r="E246" s="271">
        <f>VLOOKUP(C246,lookup!$B$2:$F$1240,5)</f>
        <v>10.5</v>
      </c>
    </row>
    <row r="247" spans="1:5" x14ac:dyDescent="0.25">
      <c r="A247" s="169">
        <v>327</v>
      </c>
      <c r="C247" s="100" t="s">
        <v>2864</v>
      </c>
      <c r="D247" s="269" t="str">
        <f>VLOOKUP(C247,lookup!$B$2:$F$1240,2)</f>
        <v>1,000 gal.</v>
      </c>
      <c r="E247" s="271">
        <f>VLOOKUP(C247,lookup!$B$2:$F$1240,5)</f>
        <v>10.5</v>
      </c>
    </row>
    <row r="248" spans="1:5" x14ac:dyDescent="0.25">
      <c r="A248" s="169">
        <v>327</v>
      </c>
      <c r="C248" s="93" t="s">
        <v>2314</v>
      </c>
      <c r="D248" s="269" t="str">
        <f>VLOOKUP(C248,lookup!$B$2:$F$1240,2)</f>
        <v>1,000 gal.</v>
      </c>
      <c r="E248" s="271">
        <f>VLOOKUP(C248,lookup!$B$2:$F$1240,5)</f>
        <v>10.5</v>
      </c>
    </row>
    <row r="249" spans="1:5" x14ac:dyDescent="0.25">
      <c r="A249" s="169">
        <v>327</v>
      </c>
      <c r="C249" s="93" t="s">
        <v>2315</v>
      </c>
      <c r="D249" s="269" t="str">
        <f>VLOOKUP(C249,lookup!$B$2:$F$1240,2)</f>
        <v>1,000 gal.</v>
      </c>
      <c r="E249" s="271">
        <f>VLOOKUP(C249,lookup!$B$2:$F$1240,5)</f>
        <v>10.5</v>
      </c>
    </row>
    <row r="250" spans="1:5" x14ac:dyDescent="0.25">
      <c r="A250" s="169">
        <v>327</v>
      </c>
      <c r="C250" s="100" t="s">
        <v>2869</v>
      </c>
      <c r="D250" s="269" t="str">
        <f>VLOOKUP(C250,lookup!$B$2:$F$1240,2)</f>
        <v>1,000 gal.</v>
      </c>
      <c r="E250" s="271">
        <f>VLOOKUP(C250,lookup!$B$2:$F$1240,5)</f>
        <v>10.5</v>
      </c>
    </row>
    <row r="251" spans="1:5" x14ac:dyDescent="0.25">
      <c r="A251" s="169">
        <v>327</v>
      </c>
      <c r="C251" s="100" t="s">
        <v>2870</v>
      </c>
      <c r="D251" s="269" t="str">
        <f>VLOOKUP(C251,lookup!$B$2:$F$1240,2)</f>
        <v>1,000 gal.</v>
      </c>
      <c r="E251" s="271">
        <f>VLOOKUP(C251,lookup!$B$2:$F$1240,5)</f>
        <v>10.5</v>
      </c>
    </row>
    <row r="252" spans="1:5" x14ac:dyDescent="0.25">
      <c r="A252" s="169">
        <v>327</v>
      </c>
      <c r="C252" s="100" t="s">
        <v>2867</v>
      </c>
      <c r="D252" s="269" t="str">
        <f>VLOOKUP(C252,lookup!$B$2:$F$1240,2)</f>
        <v>1,000 gal.</v>
      </c>
      <c r="E252" s="271">
        <f>VLOOKUP(C252,lookup!$B$2:$F$1240,5)</f>
        <v>10.5</v>
      </c>
    </row>
    <row r="253" spans="1:5" x14ac:dyDescent="0.25">
      <c r="A253" s="169">
        <v>327</v>
      </c>
      <c r="C253" s="100" t="s">
        <v>2865</v>
      </c>
      <c r="D253" s="269" t="str">
        <f>VLOOKUP(C253,lookup!$B$2:$F$1240,2)</f>
        <v>1,000 gal.</v>
      </c>
      <c r="E253" s="271">
        <f>VLOOKUP(C253,lookup!$B$2:$F$1240,5)</f>
        <v>10.5</v>
      </c>
    </row>
    <row r="254" spans="1:5" x14ac:dyDescent="0.25">
      <c r="A254" s="169">
        <v>327</v>
      </c>
      <c r="C254" s="106" t="s">
        <v>1159</v>
      </c>
      <c r="D254" s="269" t="str">
        <f>VLOOKUP(C254,lookup!$B$2:$F$1240,2)</f>
        <v>ft</v>
      </c>
      <c r="E254" s="271">
        <f>VLOOKUP(C254,lookup!$B$2:$F$1240,5)</f>
        <v>6.6</v>
      </c>
    </row>
    <row r="255" spans="1:5" x14ac:dyDescent="0.25">
      <c r="A255" s="169">
        <v>327</v>
      </c>
      <c r="C255" s="100" t="s">
        <v>1157</v>
      </c>
      <c r="D255" s="269" t="str">
        <f>VLOOKUP(C255,lookup!$B$2:$F$1240,2)</f>
        <v>Gal.</v>
      </c>
      <c r="E255" s="271">
        <f>VLOOKUP(C255,lookup!$B$2:$F$1240,5)</f>
        <v>38.5</v>
      </c>
    </row>
    <row r="256" spans="1:5" ht="22.8" x14ac:dyDescent="0.25">
      <c r="A256" s="169">
        <v>327</v>
      </c>
      <c r="C256" s="100" t="s">
        <v>1040</v>
      </c>
      <c r="D256" s="269" t="str">
        <f>VLOOKUP(C256,lookup!$B$2:$F$1240,2)</f>
        <v>Ea.</v>
      </c>
      <c r="E256" s="271">
        <f>VLOOKUP(C256,lookup!$B$2:$F$1240,5)</f>
        <v>65</v>
      </c>
    </row>
    <row r="257" spans="1:5" x14ac:dyDescent="0.25">
      <c r="A257" s="169">
        <v>327</v>
      </c>
      <c r="C257" s="100" t="s">
        <v>1041</v>
      </c>
      <c r="D257" s="269" t="str">
        <f>VLOOKUP(C257,lookup!$B$2:$F$1240,2)</f>
        <v>Ea.</v>
      </c>
      <c r="E257" s="271">
        <f>VLOOKUP(C257,lookup!$B$2:$F$1240,5)</f>
        <v>65</v>
      </c>
    </row>
    <row r="258" spans="1:5" x14ac:dyDescent="0.25">
      <c r="A258" s="169">
        <v>327</v>
      </c>
      <c r="C258" s="100" t="s">
        <v>1355</v>
      </c>
      <c r="D258" s="269">
        <f>VLOOKUP(C258,lookup!$B$2:$F$1240,2)</f>
        <v>0</v>
      </c>
      <c r="E258" s="271">
        <f>VLOOKUP(C258,lookup!$B$2:$F$1240,5)</f>
        <v>0</v>
      </c>
    </row>
    <row r="259" spans="1:5" x14ac:dyDescent="0.25">
      <c r="A259" s="169">
        <v>327</v>
      </c>
      <c r="C259" s="100" t="s">
        <v>3104</v>
      </c>
      <c r="D259" s="269" t="str">
        <f>VLOOKUP(C259,lookup!$B$2:$F$1240,2)</f>
        <v>ac</v>
      </c>
      <c r="E259" s="271">
        <f>VLOOKUP(C259,lookup!$B$2:$F$1240,5)</f>
        <v>12.53</v>
      </c>
    </row>
    <row r="260" spans="1:5" x14ac:dyDescent="0.25">
      <c r="A260" s="169">
        <v>327</v>
      </c>
      <c r="C260" s="100" t="s">
        <v>1168</v>
      </c>
      <c r="D260" s="269" t="str">
        <f>VLOOKUP(C260,lookup!$B$2:$F$1240,2)</f>
        <v>lb</v>
      </c>
      <c r="E260" s="271">
        <f>VLOOKUP(C260,lookup!$B$2:$F$1240,5)</f>
        <v>0</v>
      </c>
    </row>
    <row r="261" spans="1:5" x14ac:dyDescent="0.25">
      <c r="A261" s="169">
        <v>327</v>
      </c>
      <c r="C261" s="100" t="s">
        <v>1510</v>
      </c>
      <c r="D261" s="269" t="str">
        <f>VLOOKUP(C261,lookup!$B$2:$F$1240,2)</f>
        <v>lb</v>
      </c>
      <c r="E261" s="271">
        <f>VLOOKUP(C261,lookup!$B$2:$F$1240,5)</f>
        <v>4.3499999999999996</v>
      </c>
    </row>
    <row r="262" spans="1:5" x14ac:dyDescent="0.25">
      <c r="A262" s="169">
        <v>327</v>
      </c>
      <c r="C262" s="100" t="s">
        <v>1166</v>
      </c>
      <c r="D262" s="269" t="str">
        <f>VLOOKUP(C262,lookup!$B$2:$F$1240,2)</f>
        <v>lb.</v>
      </c>
      <c r="E262" s="271">
        <f>VLOOKUP(C262,lookup!$B$2:$F$1240,5)</f>
        <v>1.78</v>
      </c>
    </row>
    <row r="263" spans="1:5" x14ac:dyDescent="0.25">
      <c r="A263" s="169">
        <v>327</v>
      </c>
      <c r="C263" s="100" t="s">
        <v>1162</v>
      </c>
      <c r="D263" s="269" t="str">
        <f>VLOOKUP(C263,lookup!$B$2:$F$1240,2)</f>
        <v>lb</v>
      </c>
      <c r="E263" s="271">
        <f>VLOOKUP(C263,lookup!$B$2:$F$1240,5)</f>
        <v>0.55000000000000004</v>
      </c>
    </row>
    <row r="264" spans="1:5" x14ac:dyDescent="0.25">
      <c r="A264" s="169">
        <v>327</v>
      </c>
      <c r="C264" s="100" t="s">
        <v>1506</v>
      </c>
      <c r="D264" s="269" t="str">
        <f>VLOOKUP(C264,lookup!$B$2:$F$1240,2)</f>
        <v>lb</v>
      </c>
      <c r="E264" s="271">
        <f>VLOOKUP(C264,lookup!$B$2:$F$1240,5)</f>
        <v>13</v>
      </c>
    </row>
    <row r="265" spans="1:5" x14ac:dyDescent="0.25">
      <c r="A265" s="169">
        <v>327</v>
      </c>
      <c r="C265" s="100" t="s">
        <v>1790</v>
      </c>
      <c r="D265" s="269" t="str">
        <f>VLOOKUP(C265,lookup!$B$2:$F$1240,2)</f>
        <v>lb</v>
      </c>
      <c r="E265" s="271">
        <f>VLOOKUP(C265,lookup!$B$2:$F$1240,5)</f>
        <v>6.08</v>
      </c>
    </row>
    <row r="266" spans="1:5" x14ac:dyDescent="0.25">
      <c r="A266" s="169">
        <v>327</v>
      </c>
      <c r="C266" s="96" t="s">
        <v>1164</v>
      </c>
      <c r="D266" s="269" t="str">
        <f>VLOOKUP(C266,lookup!$B$2:$F$1240,2)</f>
        <v>lb</v>
      </c>
      <c r="E266" s="271">
        <f>VLOOKUP(C266,lookup!$B$2:$F$1240,5)</f>
        <v>0</v>
      </c>
    </row>
    <row r="267" spans="1:5" x14ac:dyDescent="0.25">
      <c r="A267" s="169">
        <v>327</v>
      </c>
      <c r="C267" s="100" t="s">
        <v>1508</v>
      </c>
      <c r="D267" s="269" t="str">
        <f>VLOOKUP(C267,lookup!$B$2:$F$1240,2)</f>
        <v>lb.</v>
      </c>
      <c r="E267" s="271">
        <f>VLOOKUP(C267,lookup!$B$2:$F$1240,5)</f>
        <v>8.5</v>
      </c>
    </row>
    <row r="268" spans="1:5" x14ac:dyDescent="0.25">
      <c r="A268" s="169">
        <v>327</v>
      </c>
      <c r="C268" s="100" t="s">
        <v>595</v>
      </c>
      <c r="D268" s="269" t="str">
        <f>VLOOKUP(C268,lookup!$B$2:$F$1240,2)</f>
        <v>lb.</v>
      </c>
      <c r="E268" s="271">
        <f>VLOOKUP(C268,lookup!$B$2:$F$1240,5)</f>
        <v>1.99</v>
      </c>
    </row>
    <row r="269" spans="1:5" x14ac:dyDescent="0.25">
      <c r="A269" s="169">
        <v>327</v>
      </c>
      <c r="C269" s="100" t="s">
        <v>1766</v>
      </c>
      <c r="D269" s="269" t="str">
        <f>VLOOKUP(C269,lookup!$B$2:$F$1240,2)</f>
        <v>lb</v>
      </c>
      <c r="E269" s="271">
        <f>VLOOKUP(C269,lookup!$B$2:$F$1240,5)</f>
        <v>3.45</v>
      </c>
    </row>
    <row r="270" spans="1:5" x14ac:dyDescent="0.25">
      <c r="A270" s="169">
        <v>327</v>
      </c>
      <c r="C270" s="100" t="s">
        <v>1167</v>
      </c>
      <c r="D270" s="269" t="str">
        <f>VLOOKUP(C270,lookup!$B$2:$F$1240,2)</f>
        <v>lb.</v>
      </c>
      <c r="E270" s="271">
        <f>VLOOKUP(C270,lookup!$B$2:$F$1240,5)</f>
        <v>5.86</v>
      </c>
    </row>
    <row r="271" spans="1:5" x14ac:dyDescent="0.25">
      <c r="A271" s="169">
        <v>327</v>
      </c>
      <c r="C271" s="100" t="s">
        <v>1507</v>
      </c>
      <c r="D271" s="269" t="str">
        <f>VLOOKUP(C271,lookup!$B$2:$F$1240,2)</f>
        <v>lb</v>
      </c>
      <c r="E271" s="271">
        <f>VLOOKUP(C271,lookup!$B$2:$F$1240,5)</f>
        <v>19</v>
      </c>
    </row>
    <row r="272" spans="1:5" x14ac:dyDescent="0.25">
      <c r="A272" s="169">
        <v>327</v>
      </c>
      <c r="C272" s="100" t="s">
        <v>2234</v>
      </c>
      <c r="D272" s="269" t="str">
        <f>VLOOKUP(C272,lookup!$B$2:$F$1240,2)</f>
        <v>lb.</v>
      </c>
      <c r="E272" s="271">
        <f>VLOOKUP(C272,lookup!$B$2:$F$1240,5)</f>
        <v>0.15</v>
      </c>
    </row>
    <row r="273" spans="1:5" x14ac:dyDescent="0.25">
      <c r="A273" s="169">
        <v>327</v>
      </c>
      <c r="C273" s="100" t="s">
        <v>2141</v>
      </c>
      <c r="D273" s="269" t="str">
        <f>VLOOKUP(C273,lookup!$B$2:$F$1240,2)</f>
        <v>lb</v>
      </c>
      <c r="E273" s="271">
        <f>VLOOKUP(C273,lookup!$B$2:$F$1240,5)</f>
        <v>4.3499999999999996</v>
      </c>
    </row>
    <row r="274" spans="1:5" x14ac:dyDescent="0.25">
      <c r="A274" s="169">
        <v>327</v>
      </c>
      <c r="C274" s="100" t="s">
        <v>1767</v>
      </c>
      <c r="D274" s="269" t="str">
        <f>VLOOKUP(C274,lookup!$B$2:$F$1240,2)</f>
        <v>lb</v>
      </c>
      <c r="E274" s="271">
        <f>VLOOKUP(C274,lookup!$B$2:$F$1240,5)</f>
        <v>8.5</v>
      </c>
    </row>
    <row r="275" spans="1:5" x14ac:dyDescent="0.25">
      <c r="A275" s="169">
        <v>327</v>
      </c>
      <c r="C275" s="100" t="s">
        <v>331</v>
      </c>
      <c r="D275" s="269" t="str">
        <f>VLOOKUP(C275,lookup!$B$2:$F$1240,2)</f>
        <v>lb</v>
      </c>
      <c r="E275" s="271">
        <f>VLOOKUP(C275,lookup!$B$2:$F$1240,5)</f>
        <v>1.5</v>
      </c>
    </row>
    <row r="276" spans="1:5" x14ac:dyDescent="0.25">
      <c r="A276" s="169">
        <v>327</v>
      </c>
      <c r="C276" s="100" t="s">
        <v>714</v>
      </c>
      <c r="D276" s="269" t="str">
        <f>VLOOKUP(C276,lookup!$B$2:$F$1240,2)</f>
        <v>lb</v>
      </c>
      <c r="E276" s="271">
        <f>VLOOKUP(C276,lookup!$B$2:$F$1240,5)</f>
        <v>2.57</v>
      </c>
    </row>
    <row r="277" spans="1:5" x14ac:dyDescent="0.25">
      <c r="A277" s="169">
        <v>327</v>
      </c>
      <c r="C277" s="100" t="s">
        <v>1163</v>
      </c>
      <c r="D277" s="269" t="str">
        <f>VLOOKUP(C277,lookup!$B$2:$F$1240,2)</f>
        <v>lb</v>
      </c>
      <c r="E277" s="271">
        <f>VLOOKUP(C277,lookup!$B$2:$F$1240,5)</f>
        <v>0.36</v>
      </c>
    </row>
    <row r="278" spans="1:5" x14ac:dyDescent="0.25">
      <c r="A278" s="169">
        <v>327</v>
      </c>
      <c r="C278" s="100" t="s">
        <v>2236</v>
      </c>
      <c r="D278" s="269">
        <f>VLOOKUP(C278,lookup!$B$2:$F$1240,2)</f>
        <v>0</v>
      </c>
      <c r="E278" s="271">
        <f>VLOOKUP(C278,lookup!$B$2:$F$1240,5)</f>
        <v>0</v>
      </c>
    </row>
    <row r="279" spans="1:5" x14ac:dyDescent="0.25">
      <c r="A279" s="169">
        <v>327</v>
      </c>
      <c r="C279" s="100" t="s">
        <v>1505</v>
      </c>
      <c r="D279" s="269" t="str">
        <f>VLOOKUP(C279,lookup!$B$2:$F$1240,2)</f>
        <v>lb.</v>
      </c>
      <c r="E279" s="271">
        <f>VLOOKUP(C279,lookup!$B$2:$F$1240,5)</f>
        <v>9</v>
      </c>
    </row>
    <row r="280" spans="1:5" x14ac:dyDescent="0.25">
      <c r="A280" s="169">
        <v>327</v>
      </c>
      <c r="C280" s="100" t="s">
        <v>596</v>
      </c>
      <c r="D280" s="269" t="str">
        <f>VLOOKUP(C280,lookup!$B$2:$F$1240,2)</f>
        <v>lb</v>
      </c>
      <c r="E280" s="271">
        <f>VLOOKUP(C280,lookup!$B$2:$F$1240,5)</f>
        <v>2.74</v>
      </c>
    </row>
    <row r="281" spans="1:5" x14ac:dyDescent="0.25">
      <c r="A281" s="169">
        <v>327</v>
      </c>
      <c r="C281" s="100" t="s">
        <v>1382</v>
      </c>
      <c r="D281" s="269" t="str">
        <f>VLOOKUP(C281,lookup!$B$2:$F$1240,2)</f>
        <v>lb</v>
      </c>
      <c r="E281" s="271">
        <f>VLOOKUP(C281,lookup!$B$2:$F$1240,5)</f>
        <v>25</v>
      </c>
    </row>
    <row r="282" spans="1:5" x14ac:dyDescent="0.25">
      <c r="A282" s="169">
        <v>327</v>
      </c>
      <c r="C282" s="100" t="s">
        <v>1383</v>
      </c>
      <c r="D282" s="269" t="str">
        <f>VLOOKUP(C282,lookup!$B$2:$F$1240,2)</f>
        <v>lb</v>
      </c>
      <c r="E282" s="271">
        <f>VLOOKUP(C282,lookup!$B$2:$F$1240,5)</f>
        <v>70</v>
      </c>
    </row>
    <row r="283" spans="1:5" x14ac:dyDescent="0.25">
      <c r="A283" s="169">
        <v>327</v>
      </c>
      <c r="C283" s="100" t="s">
        <v>3112</v>
      </c>
      <c r="D283" s="269" t="str">
        <f>VLOOKUP(C283,lookup!$B$2:$F$1240,2)</f>
        <v>lb.</v>
      </c>
      <c r="E283" s="271">
        <f>VLOOKUP(C283,lookup!$B$2:$F$1240,5)</f>
        <v>230</v>
      </c>
    </row>
    <row r="284" spans="1:5" x14ac:dyDescent="0.25">
      <c r="A284" s="169">
        <v>327</v>
      </c>
      <c r="C284" s="100" t="s">
        <v>1161</v>
      </c>
      <c r="D284" s="269" t="str">
        <f>VLOOKUP(C284,lookup!$B$2:$F$1240,2)</f>
        <v>bu</v>
      </c>
      <c r="E284" s="271">
        <f>VLOOKUP(C284,lookup!$B$2:$F$1240,5)</f>
        <v>0</v>
      </c>
    </row>
    <row r="285" spans="1:5" x14ac:dyDescent="0.25">
      <c r="A285" s="169">
        <v>327</v>
      </c>
      <c r="C285" s="100" t="s">
        <v>1160</v>
      </c>
      <c r="D285" s="269" t="str">
        <f>VLOOKUP(C285,lookup!$B$2:$F$1240,2)</f>
        <v>lb</v>
      </c>
      <c r="E285" s="271">
        <f>VLOOKUP(C285,lookup!$B$2:$F$1240,5)</f>
        <v>0.19</v>
      </c>
    </row>
    <row r="286" spans="1:5" x14ac:dyDescent="0.25">
      <c r="A286" s="169">
        <v>327</v>
      </c>
      <c r="C286" s="106" t="s">
        <v>1373</v>
      </c>
      <c r="D286" s="269" t="str">
        <f>VLOOKUP(C286,lookup!$B$2:$F$1240,2)</f>
        <v>hr</v>
      </c>
      <c r="E286" s="271">
        <f>VLOOKUP(C286,lookup!$B$2:$F$1240,5)</f>
        <v>15</v>
      </c>
    </row>
    <row r="287" spans="1:5" x14ac:dyDescent="0.25">
      <c r="A287" s="169">
        <v>327</v>
      </c>
      <c r="C287" s="106" t="s">
        <v>1165</v>
      </c>
      <c r="D287" s="269" t="str">
        <f>VLOOKUP(C287,lookup!$B$2:$F$1240,2)</f>
        <v>ac</v>
      </c>
      <c r="E287" s="271">
        <f>VLOOKUP(C287,lookup!$B$2:$F$1240,5)</f>
        <v>14</v>
      </c>
    </row>
    <row r="288" spans="1:5" x14ac:dyDescent="0.25">
      <c r="A288" s="169">
        <v>328</v>
      </c>
      <c r="B288" s="171" t="s">
        <v>1242</v>
      </c>
      <c r="C288" s="122"/>
      <c r="D288" s="269" t="e">
        <f>VLOOKUP(C288,lookup!$B$2:$F$1240,2)</f>
        <v>#N/A</v>
      </c>
      <c r="E288" s="271" t="e">
        <f>VLOOKUP(C288,lookup!$B$2:$F$1240,5)</f>
        <v>#N/A</v>
      </c>
    </row>
    <row r="289" spans="1:5" x14ac:dyDescent="0.25">
      <c r="A289" s="169">
        <v>328</v>
      </c>
      <c r="C289" s="106" t="s">
        <v>1172</v>
      </c>
      <c r="D289" s="269" t="str">
        <f>VLOOKUP(C289,lookup!$B$2:$F$1240,2)</f>
        <v>Ton</v>
      </c>
      <c r="E289" s="271">
        <f>VLOOKUP(C289,lookup!$B$2:$F$1240,5)</f>
        <v>12.75</v>
      </c>
    </row>
    <row r="290" spans="1:5" ht="22.8" x14ac:dyDescent="0.25">
      <c r="A290" s="169">
        <v>328</v>
      </c>
      <c r="C290" s="106" t="s">
        <v>2271</v>
      </c>
      <c r="D290" s="269" t="str">
        <f>VLOOKUP(C290,lookup!$B$2:$F$1240,2)</f>
        <v>Sq. Ft.</v>
      </c>
      <c r="E290" s="271">
        <f>VLOOKUP(C290,lookup!$B$2:$F$1240,5)</f>
        <v>0.8</v>
      </c>
    </row>
    <row r="291" spans="1:5" x14ac:dyDescent="0.25">
      <c r="A291" s="169">
        <v>328</v>
      </c>
      <c r="C291" s="106" t="s">
        <v>2272</v>
      </c>
      <c r="D291" s="269" t="str">
        <f>VLOOKUP(C291,lookup!$B$2:$F$1240,2)</f>
        <v>AC</v>
      </c>
      <c r="E291" s="271">
        <f>VLOOKUP(C291,lookup!$B$2:$F$1240,5)</f>
        <v>0.3</v>
      </c>
    </row>
    <row r="292" spans="1:5" x14ac:dyDescent="0.25">
      <c r="A292" s="169">
        <v>329</v>
      </c>
      <c r="B292" s="172" t="s">
        <v>269</v>
      </c>
      <c r="D292" s="269" t="e">
        <f>VLOOKUP(C292,lookup!$B$2:$F$1240,2)</f>
        <v>#N/A</v>
      </c>
      <c r="E292" s="271" t="e">
        <f>VLOOKUP(C292,lookup!$B$2:$F$1240,5)</f>
        <v>#N/A</v>
      </c>
    </row>
    <row r="293" spans="1:5" x14ac:dyDescent="0.25">
      <c r="A293" s="169">
        <v>329</v>
      </c>
      <c r="C293" s="106" t="s">
        <v>2274</v>
      </c>
      <c r="D293" s="269" t="str">
        <f>VLOOKUP(C293,lookup!$B$2:$F$1240,2)</f>
        <v>Sq. Ft.</v>
      </c>
      <c r="E293" s="271">
        <f>VLOOKUP(C293,lookup!$B$2:$F$1240,5)</f>
        <v>0.8</v>
      </c>
    </row>
    <row r="294" spans="1:5" x14ac:dyDescent="0.25">
      <c r="A294" s="169">
        <v>329</v>
      </c>
      <c r="C294" s="106" t="s">
        <v>2277</v>
      </c>
      <c r="D294" s="269">
        <f>VLOOKUP(C294,lookup!$B$2:$F$1240,2)</f>
        <v>0</v>
      </c>
      <c r="E294" s="271">
        <f>VLOOKUP(C294,lookup!$B$2:$F$1240,5)</f>
        <v>0</v>
      </c>
    </row>
    <row r="295" spans="1:5" x14ac:dyDescent="0.25">
      <c r="A295" s="169">
        <v>329</v>
      </c>
      <c r="C295" s="106" t="s">
        <v>2276</v>
      </c>
      <c r="D295" s="269">
        <f>VLOOKUP(C295,lookup!$B$2:$F$1240,2)</f>
        <v>0</v>
      </c>
      <c r="E295" s="271">
        <f>VLOOKUP(C295,lookup!$B$2:$F$1240,5)</f>
        <v>0</v>
      </c>
    </row>
    <row r="296" spans="1:5" x14ac:dyDescent="0.25">
      <c r="A296" s="169">
        <v>329</v>
      </c>
      <c r="C296" s="106" t="s">
        <v>2273</v>
      </c>
      <c r="D296" s="269">
        <f>VLOOKUP(C296,lookup!$B$2:$F$1240,2)</f>
        <v>0</v>
      </c>
      <c r="E296" s="271">
        <f>VLOOKUP(C296,lookup!$B$2:$F$1240,5)</f>
        <v>0</v>
      </c>
    </row>
    <row r="297" spans="1:5" x14ac:dyDescent="0.25">
      <c r="A297" s="169">
        <v>329</v>
      </c>
      <c r="C297" s="106" t="s">
        <v>2275</v>
      </c>
      <c r="D297" s="269" t="str">
        <f>VLOOKUP(C297,lookup!$B$2:$F$1240,2)</f>
        <v>AC</v>
      </c>
      <c r="E297" s="271">
        <f>VLOOKUP(C297,lookup!$B$2:$F$1240,5)</f>
        <v>0.3</v>
      </c>
    </row>
    <row r="298" spans="1:5" x14ac:dyDescent="0.25">
      <c r="A298" s="169">
        <v>330</v>
      </c>
      <c r="B298" s="171" t="s">
        <v>1245</v>
      </c>
      <c r="C298" s="119"/>
      <c r="D298" s="269" t="e">
        <f>VLOOKUP(C298,lookup!$B$2:$F$1240,2)</f>
        <v>#N/A</v>
      </c>
      <c r="E298" s="271" t="e">
        <f>VLOOKUP(C298,lookup!$B$2:$F$1240,5)</f>
        <v>#N/A</v>
      </c>
    </row>
    <row r="299" spans="1:5" x14ac:dyDescent="0.25">
      <c r="A299" s="169">
        <v>330</v>
      </c>
      <c r="B299" s="171" t="s">
        <v>1270</v>
      </c>
      <c r="C299" s="119"/>
      <c r="D299" s="269" t="e">
        <f>VLOOKUP(C299,lookup!$B$2:$F$1240,2)</f>
        <v>#N/A</v>
      </c>
      <c r="E299" s="271" t="e">
        <f>VLOOKUP(C299,lookup!$B$2:$F$1240,5)</f>
        <v>#N/A</v>
      </c>
    </row>
    <row r="300" spans="1:5" x14ac:dyDescent="0.25">
      <c r="A300" s="169">
        <v>332</v>
      </c>
      <c r="B300" s="171" t="s">
        <v>1244</v>
      </c>
      <c r="C300" s="119"/>
      <c r="D300" s="269" t="e">
        <f>VLOOKUP(C300,lookup!$B$2:$F$1240,2)</f>
        <v>#N/A</v>
      </c>
      <c r="E300" s="271" t="e">
        <f>VLOOKUP(C300,lookup!$B$2:$F$1240,5)</f>
        <v>#N/A</v>
      </c>
    </row>
    <row r="301" spans="1:5" x14ac:dyDescent="0.25">
      <c r="A301" s="169">
        <v>332</v>
      </c>
      <c r="B301" s="174"/>
      <c r="C301" s="106" t="s">
        <v>2279</v>
      </c>
      <c r="D301" s="269">
        <f>VLOOKUP(C301,lookup!$B$2:$F$1240,2)</f>
        <v>0</v>
      </c>
      <c r="E301" s="271">
        <f>VLOOKUP(C301,lookup!$B$2:$F$1240,5)</f>
        <v>0</v>
      </c>
    </row>
    <row r="302" spans="1:5" x14ac:dyDescent="0.25">
      <c r="A302" s="169">
        <v>332</v>
      </c>
      <c r="B302" s="174"/>
      <c r="C302" s="106" t="s">
        <v>2454</v>
      </c>
      <c r="D302" s="269" t="str">
        <f>VLOOKUP(C302,lookup!$B$2:$F$1240,2)</f>
        <v>hr</v>
      </c>
      <c r="E302" s="271">
        <f>VLOOKUP(C302,lookup!$B$2:$F$1240,5)</f>
        <v>100</v>
      </c>
    </row>
    <row r="303" spans="1:5" x14ac:dyDescent="0.25">
      <c r="A303" s="169">
        <v>332</v>
      </c>
      <c r="B303" s="174"/>
      <c r="C303" s="106" t="s">
        <v>2281</v>
      </c>
      <c r="D303" s="269" t="str">
        <f>VLOOKUP(C303,lookup!$B$2:$F$1240,2)</f>
        <v>ac</v>
      </c>
      <c r="E303" s="271">
        <f>VLOOKUP(C303,lookup!$B$2:$F$1240,5)</f>
        <v>116</v>
      </c>
    </row>
    <row r="304" spans="1:5" x14ac:dyDescent="0.25">
      <c r="A304" s="169">
        <v>332</v>
      </c>
      <c r="B304" s="174"/>
      <c r="C304" s="113" t="s">
        <v>2278</v>
      </c>
      <c r="D304" s="269" t="str">
        <f>VLOOKUP(C304,lookup!$B$2:$F$1240,2)</f>
        <v>Job</v>
      </c>
      <c r="E304" s="271">
        <f>VLOOKUP(C304,lookup!$B$2:$F$1240,5)</f>
        <v>1000</v>
      </c>
    </row>
    <row r="305" spans="1:5" x14ac:dyDescent="0.25">
      <c r="A305" s="169">
        <v>332</v>
      </c>
      <c r="B305" s="174"/>
      <c r="C305" s="106" t="s">
        <v>2280</v>
      </c>
      <c r="D305" s="269">
        <f>VLOOKUP(C305,lookup!$B$2:$F$1240,2)</f>
        <v>0</v>
      </c>
      <c r="E305" s="271">
        <f>VLOOKUP(C305,lookup!$B$2:$F$1240,5)</f>
        <v>0</v>
      </c>
    </row>
    <row r="306" spans="1:5" x14ac:dyDescent="0.25">
      <c r="A306" s="170">
        <v>338</v>
      </c>
      <c r="B306" s="171" t="s">
        <v>260</v>
      </c>
      <c r="C306" s="105"/>
      <c r="D306" s="269" t="e">
        <f>VLOOKUP(C306,lookup!$B$2:$F$1240,2)</f>
        <v>#N/A</v>
      </c>
      <c r="E306" s="271" t="e">
        <f>VLOOKUP(C306,lookup!$B$2:$F$1240,5)</f>
        <v>#N/A</v>
      </c>
    </row>
    <row r="307" spans="1:5" x14ac:dyDescent="0.25">
      <c r="A307" s="170">
        <v>338</v>
      </c>
      <c r="B307" s="172"/>
      <c r="C307" s="106" t="s">
        <v>2324</v>
      </c>
      <c r="D307" s="269" t="str">
        <f>VLOOKUP(C307,lookup!$B$2:$F$1240,2)</f>
        <v>hr</v>
      </c>
      <c r="E307" s="271">
        <f>VLOOKUP(C307,lookup!$B$2:$F$1240,5)</f>
        <v>191</v>
      </c>
    </row>
    <row r="308" spans="1:5" x14ac:dyDescent="0.25">
      <c r="A308" s="170">
        <v>338</v>
      </c>
      <c r="B308" s="172"/>
      <c r="C308" s="106" t="s">
        <v>2323</v>
      </c>
      <c r="D308" s="269">
        <f>VLOOKUP(C308,lookup!$B$2:$F$1240,2)</f>
        <v>0</v>
      </c>
      <c r="E308" s="271">
        <f>VLOOKUP(C308,lookup!$B$2:$F$1240,5)</f>
        <v>0</v>
      </c>
    </row>
    <row r="309" spans="1:5" x14ac:dyDescent="0.25">
      <c r="A309" s="170">
        <v>338</v>
      </c>
      <c r="B309" s="172"/>
      <c r="C309" s="106" t="s">
        <v>2322</v>
      </c>
      <c r="D309" s="269">
        <f>VLOOKUP(C309,lookup!$B$2:$F$1240,2)</f>
        <v>0</v>
      </c>
      <c r="E309" s="271">
        <f>VLOOKUP(C309,lookup!$B$2:$F$1240,5)</f>
        <v>0</v>
      </c>
    </row>
    <row r="310" spans="1:5" x14ac:dyDescent="0.25">
      <c r="A310" s="170">
        <v>338</v>
      </c>
      <c r="B310" s="172"/>
      <c r="C310" s="106" t="s">
        <v>2325</v>
      </c>
      <c r="D310" s="269">
        <f>VLOOKUP(C310,lookup!$B$2:$F$1240,2)</f>
        <v>0</v>
      </c>
      <c r="E310" s="271">
        <f>VLOOKUP(C310,lookup!$B$2:$F$1240,5)</f>
        <v>0</v>
      </c>
    </row>
    <row r="311" spans="1:5" x14ac:dyDescent="0.25">
      <c r="A311" s="170">
        <v>338</v>
      </c>
      <c r="B311" s="172"/>
      <c r="C311" s="106" t="s">
        <v>2321</v>
      </c>
      <c r="D311" s="269">
        <f>VLOOKUP(C311,lookup!$B$2:$F$1240,2)</f>
        <v>0</v>
      </c>
      <c r="E311" s="271">
        <f>VLOOKUP(C311,lookup!$B$2:$F$1240,5)</f>
        <v>0</v>
      </c>
    </row>
    <row r="312" spans="1:5" x14ac:dyDescent="0.25">
      <c r="A312" s="169">
        <v>340</v>
      </c>
      <c r="B312" s="171" t="s">
        <v>529</v>
      </c>
      <c r="C312" s="119"/>
      <c r="D312" s="269" t="e">
        <f>VLOOKUP(C312,lookup!$B$2:$F$1240,2)</f>
        <v>#N/A</v>
      </c>
      <c r="E312" s="271" t="e">
        <f>VLOOKUP(C312,lookup!$B$2:$F$1240,5)</f>
        <v>#N/A</v>
      </c>
    </row>
    <row r="313" spans="1:5" x14ac:dyDescent="0.25">
      <c r="A313" s="169">
        <v>340</v>
      </c>
      <c r="C313" s="106" t="s">
        <v>2327</v>
      </c>
      <c r="D313" s="269" t="str">
        <f>VLOOKUP(C313,lookup!$B$2:$F$1240,2)</f>
        <v>acre</v>
      </c>
      <c r="E313" s="271">
        <f>VLOOKUP(C313,lookup!$B$2:$F$1240,5)</f>
        <v>7.78</v>
      </c>
    </row>
    <row r="314" spans="1:5" x14ac:dyDescent="0.25">
      <c r="A314" s="169">
        <v>340</v>
      </c>
      <c r="C314" s="96" t="s">
        <v>619</v>
      </c>
      <c r="D314" s="269" t="str">
        <f>VLOOKUP(C314,lookup!$B$2:$F$1240,2)</f>
        <v>hr</v>
      </c>
      <c r="E314" s="271">
        <f>VLOOKUP(C314,lookup!$B$2:$F$1240,5)</f>
        <v>66.400000000000006</v>
      </c>
    </row>
    <row r="315" spans="1:5" x14ac:dyDescent="0.25">
      <c r="A315" s="169">
        <v>340</v>
      </c>
      <c r="C315" s="96" t="s">
        <v>2309</v>
      </c>
      <c r="D315" s="269">
        <f>VLOOKUP(C315,lookup!$B$2:$F$1240,2)</f>
        <v>0</v>
      </c>
      <c r="E315" s="271">
        <f>VLOOKUP(C315,lookup!$B$2:$F$1240,5)</f>
        <v>0</v>
      </c>
    </row>
    <row r="316" spans="1:5" x14ac:dyDescent="0.25">
      <c r="A316" s="169">
        <v>340</v>
      </c>
      <c r="C316" s="96" t="s">
        <v>639</v>
      </c>
      <c r="D316" s="269" t="str">
        <f>VLOOKUP(C316,lookup!$B$2:$F$1240,2)</f>
        <v>hr</v>
      </c>
      <c r="E316" s="271">
        <f>VLOOKUP(C316,lookup!$B$2:$F$1240,5)</f>
        <v>100</v>
      </c>
    </row>
    <row r="317" spans="1:5" x14ac:dyDescent="0.25">
      <c r="A317" s="169">
        <v>340</v>
      </c>
      <c r="C317" s="96" t="s">
        <v>640</v>
      </c>
      <c r="D317" s="269" t="str">
        <f>VLOOKUP(C317,lookup!$B$2:$F$1240,2)</f>
        <v>ac</v>
      </c>
      <c r="E317" s="271">
        <f>VLOOKUP(C317,lookup!$B$2:$F$1240,5)</f>
        <v>13.83</v>
      </c>
    </row>
    <row r="318" spans="1:5" ht="22.8" x14ac:dyDescent="0.25">
      <c r="A318" s="169">
        <v>340</v>
      </c>
      <c r="C318" s="100" t="s">
        <v>1040</v>
      </c>
      <c r="D318" s="269" t="str">
        <f>VLOOKUP(C318,lookup!$B$2:$F$1240,2)</f>
        <v>Ea.</v>
      </c>
      <c r="E318" s="271">
        <f>VLOOKUP(C318,lookup!$B$2:$F$1240,5)</f>
        <v>65</v>
      </c>
    </row>
    <row r="319" spans="1:5" x14ac:dyDescent="0.25">
      <c r="A319" s="169">
        <v>340</v>
      </c>
      <c r="C319" s="96" t="s">
        <v>2326</v>
      </c>
      <c r="D319" s="269" t="str">
        <f>VLOOKUP(C319,lookup!$B$2:$F$1240,2)</f>
        <v>sq ft</v>
      </c>
      <c r="E319" s="271">
        <f>VLOOKUP(C319,lookup!$B$2:$F$1240,5)</f>
        <v>8</v>
      </c>
    </row>
    <row r="320" spans="1:5" x14ac:dyDescent="0.25">
      <c r="A320" s="169">
        <v>340</v>
      </c>
      <c r="C320" s="100" t="s">
        <v>1762</v>
      </c>
      <c r="D320" s="269">
        <f>VLOOKUP(C320,lookup!$B$2:$F$1240,2)</f>
        <v>0</v>
      </c>
      <c r="E320" s="271">
        <f>VLOOKUP(C320,lookup!$B$2:$F$1240,5)</f>
        <v>0</v>
      </c>
    </row>
    <row r="321" spans="1:5" x14ac:dyDescent="0.25">
      <c r="A321" s="169">
        <v>340</v>
      </c>
      <c r="C321" s="100" t="s">
        <v>1510</v>
      </c>
      <c r="D321" s="269" t="str">
        <f>VLOOKUP(C321,lookup!$B$2:$F$1240,2)</f>
        <v>lb</v>
      </c>
      <c r="E321" s="271">
        <f>VLOOKUP(C321,lookup!$B$2:$F$1240,5)</f>
        <v>4.3499999999999996</v>
      </c>
    </row>
    <row r="322" spans="1:5" x14ac:dyDescent="0.25">
      <c r="A322" s="169">
        <v>340</v>
      </c>
      <c r="C322" s="100" t="s">
        <v>1166</v>
      </c>
      <c r="D322" s="269" t="str">
        <f>VLOOKUP(C322,lookup!$B$2:$F$1240,2)</f>
        <v>lb.</v>
      </c>
      <c r="E322" s="271">
        <f>VLOOKUP(C322,lookup!$B$2:$F$1240,5)</f>
        <v>1.78</v>
      </c>
    </row>
    <row r="323" spans="1:5" x14ac:dyDescent="0.25">
      <c r="A323" s="169">
        <v>340</v>
      </c>
      <c r="C323" s="100" t="s">
        <v>708</v>
      </c>
      <c r="D323" s="269">
        <f>VLOOKUP(C323,lookup!$B$2:$F$1240,2)</f>
        <v>0</v>
      </c>
      <c r="E323" s="271">
        <f>VLOOKUP(C323,lookup!$B$2:$F$1240,5)</f>
        <v>0</v>
      </c>
    </row>
    <row r="324" spans="1:5" x14ac:dyDescent="0.25">
      <c r="A324" s="169">
        <v>340</v>
      </c>
      <c r="C324" s="100" t="s">
        <v>712</v>
      </c>
      <c r="D324" s="269" t="str">
        <f>VLOOKUP(C324,lookup!$B$2:$F$1240,2)</f>
        <v>lb</v>
      </c>
      <c r="E324" s="271">
        <f>VLOOKUP(C324,lookup!$B$2:$F$1240,5)</f>
        <v>0.55000000000000004</v>
      </c>
    </row>
    <row r="325" spans="1:5" x14ac:dyDescent="0.25">
      <c r="A325" s="169">
        <v>340</v>
      </c>
      <c r="C325" s="100" t="s">
        <v>1774</v>
      </c>
      <c r="D325" s="269">
        <f>VLOOKUP(C325,lookup!$B$2:$F$1240,2)</f>
        <v>0</v>
      </c>
      <c r="E325" s="271">
        <f>VLOOKUP(C325,lookup!$B$2:$F$1240,5)</f>
        <v>0</v>
      </c>
    </row>
    <row r="326" spans="1:5" x14ac:dyDescent="0.25">
      <c r="A326" s="169">
        <v>340</v>
      </c>
      <c r="C326" s="100" t="s">
        <v>709</v>
      </c>
      <c r="D326" s="269">
        <f>VLOOKUP(C326,lookup!$B$2:$F$1240,2)</f>
        <v>0</v>
      </c>
      <c r="E326" s="271">
        <f>VLOOKUP(C326,lookup!$B$2:$F$1240,5)</f>
        <v>0</v>
      </c>
    </row>
    <row r="327" spans="1:5" x14ac:dyDescent="0.25">
      <c r="A327" s="169">
        <v>340</v>
      </c>
      <c r="C327" s="100" t="s">
        <v>1790</v>
      </c>
      <c r="D327" s="269" t="str">
        <f>VLOOKUP(C327,lookup!$B$2:$F$1240,2)</f>
        <v>lb</v>
      </c>
      <c r="E327" s="271">
        <f>VLOOKUP(C327,lookup!$B$2:$F$1240,5)</f>
        <v>6.08</v>
      </c>
    </row>
    <row r="328" spans="1:5" x14ac:dyDescent="0.25">
      <c r="A328" s="169">
        <v>340</v>
      </c>
      <c r="C328" s="100" t="s">
        <v>2239</v>
      </c>
      <c r="D328" s="269" t="str">
        <f>VLOOKUP(C328,lookup!$B$2:$F$1240,2)</f>
        <v>lb.</v>
      </c>
      <c r="E328" s="271">
        <f>VLOOKUP(C328,lookup!$B$2:$F$1240,5)</f>
        <v>4.5</v>
      </c>
    </row>
    <row r="329" spans="1:5" x14ac:dyDescent="0.25">
      <c r="A329" s="169">
        <v>340</v>
      </c>
      <c r="C329" s="100" t="s">
        <v>2238</v>
      </c>
      <c r="D329" s="269">
        <f>VLOOKUP(C329,lookup!$B$2:$F$1240,2)</f>
        <v>0</v>
      </c>
      <c r="E329" s="271">
        <f>VLOOKUP(C329,lookup!$B$2:$F$1240,5)</f>
        <v>0</v>
      </c>
    </row>
    <row r="330" spans="1:5" x14ac:dyDescent="0.25">
      <c r="A330" s="169">
        <v>340</v>
      </c>
      <c r="C330" s="100" t="s">
        <v>1770</v>
      </c>
      <c r="D330" s="269" t="str">
        <f>VLOOKUP(C330,lookup!$B$2:$F$1240,2)</f>
        <v>lb</v>
      </c>
      <c r="E330" s="271">
        <f>VLOOKUP(C330,lookup!$B$2:$F$1240,5)</f>
        <v>2.5</v>
      </c>
    </row>
    <row r="331" spans="1:5" x14ac:dyDescent="0.25">
      <c r="A331" s="169">
        <v>340</v>
      </c>
      <c r="C331" s="100" t="s">
        <v>710</v>
      </c>
      <c r="D331" s="269">
        <f>VLOOKUP(C331,lookup!$B$2:$F$1240,2)</f>
        <v>0</v>
      </c>
      <c r="E331" s="271">
        <f>VLOOKUP(C331,lookup!$B$2:$F$1240,5)</f>
        <v>0</v>
      </c>
    </row>
    <row r="332" spans="1:5" x14ac:dyDescent="0.25">
      <c r="A332" s="169">
        <v>340</v>
      </c>
      <c r="C332" s="100" t="s">
        <v>1791</v>
      </c>
      <c r="D332" s="269" t="str">
        <f>VLOOKUP(C332,lookup!$B$2:$F$1240,2)</f>
        <v>lb.</v>
      </c>
      <c r="E332" s="271">
        <f>VLOOKUP(C332,lookup!$B$2:$F$1240,5)</f>
        <v>17</v>
      </c>
    </row>
    <row r="333" spans="1:5" x14ac:dyDescent="0.25">
      <c r="A333" s="169">
        <v>340</v>
      </c>
      <c r="C333" s="100" t="s">
        <v>1771</v>
      </c>
      <c r="D333" s="269">
        <f>VLOOKUP(C333,lookup!$B$2:$F$1240,2)</f>
        <v>0</v>
      </c>
      <c r="E333" s="271">
        <f>VLOOKUP(C333,lookup!$B$2:$F$1240,5)</f>
        <v>0</v>
      </c>
    </row>
    <row r="334" spans="1:5" x14ac:dyDescent="0.25">
      <c r="A334" s="169">
        <v>340</v>
      </c>
      <c r="C334" s="100" t="s">
        <v>711</v>
      </c>
      <c r="D334" s="269">
        <f>VLOOKUP(C334,lookup!$B$2:$F$1240,2)</f>
        <v>0</v>
      </c>
      <c r="E334" s="271">
        <f>VLOOKUP(C334,lookup!$B$2:$F$1240,5)</f>
        <v>0</v>
      </c>
    </row>
    <row r="335" spans="1:5" x14ac:dyDescent="0.25">
      <c r="A335" s="169">
        <v>340</v>
      </c>
      <c r="C335" s="100" t="s">
        <v>1463</v>
      </c>
      <c r="D335" s="269" t="str">
        <f>VLOOKUP(C335,lookup!$B$2:$F$1240,2)</f>
        <v>lb.</v>
      </c>
      <c r="E335" s="271">
        <f>VLOOKUP(C335,lookup!$B$2:$F$1240,5)</f>
        <v>2.85</v>
      </c>
    </row>
    <row r="336" spans="1:5" x14ac:dyDescent="0.25">
      <c r="A336" s="169">
        <v>340</v>
      </c>
      <c r="C336" s="100" t="s">
        <v>720</v>
      </c>
      <c r="D336" s="269" t="str">
        <f>VLOOKUP(C336,lookup!$B$2:$F$1240,2)</f>
        <v>lb.</v>
      </c>
      <c r="E336" s="271">
        <f>VLOOKUP(C336,lookup!$B$2:$F$1240,5)</f>
        <v>0.7</v>
      </c>
    </row>
    <row r="337" spans="1:6" x14ac:dyDescent="0.25">
      <c r="A337" s="169">
        <v>340</v>
      </c>
      <c r="C337" s="100" t="s">
        <v>1761</v>
      </c>
      <c r="D337" s="269" t="str">
        <f>VLOOKUP(C337,lookup!$B$2:$F$1240,2)</f>
        <v>lb.</v>
      </c>
      <c r="E337" s="271">
        <f>VLOOKUP(C337,lookup!$B$2:$F$1240,5)</f>
        <v>2.02</v>
      </c>
    </row>
    <row r="338" spans="1:6" x14ac:dyDescent="0.25">
      <c r="A338" s="169">
        <v>340</v>
      </c>
      <c r="C338" s="100" t="s">
        <v>1778</v>
      </c>
      <c r="D338" s="269">
        <f>VLOOKUP(C338,lookup!$B$2:$F$1240,2)</f>
        <v>0</v>
      </c>
      <c r="E338" s="271">
        <f>VLOOKUP(C338,lookup!$B$2:$F$1240,5)</f>
        <v>0</v>
      </c>
    </row>
    <row r="339" spans="1:6" x14ac:dyDescent="0.25">
      <c r="A339" s="169">
        <v>340</v>
      </c>
      <c r="C339" s="100" t="s">
        <v>2234</v>
      </c>
      <c r="D339" s="269" t="str">
        <f>VLOOKUP(C339,lookup!$B$2:$F$1240,2)</f>
        <v>lb.</v>
      </c>
      <c r="E339" s="271">
        <f>VLOOKUP(C339,lookup!$B$2:$F$1240,5)</f>
        <v>0.15</v>
      </c>
    </row>
    <row r="340" spans="1:6" x14ac:dyDescent="0.25">
      <c r="A340" s="169">
        <v>340</v>
      </c>
      <c r="C340" s="100" t="s">
        <v>1773</v>
      </c>
      <c r="D340" s="269">
        <f>VLOOKUP(C340,lookup!$B$2:$F$1240,2)</f>
        <v>0</v>
      </c>
      <c r="E340" s="271">
        <f>VLOOKUP(C340,lookup!$B$2:$F$1240,5)</f>
        <v>0</v>
      </c>
    </row>
    <row r="341" spans="1:6" x14ac:dyDescent="0.25">
      <c r="A341" s="169">
        <v>340</v>
      </c>
      <c r="C341" s="100" t="s">
        <v>660</v>
      </c>
      <c r="D341" s="269" t="str">
        <f>VLOOKUP(C341,lookup!$B$2:$F$1240,2)</f>
        <v>lb.</v>
      </c>
      <c r="E341" s="271">
        <f>VLOOKUP(C341,lookup!$B$2:$F$1240,5)</f>
        <v>0.6</v>
      </c>
    </row>
    <row r="342" spans="1:6" x14ac:dyDescent="0.25">
      <c r="A342" s="169">
        <v>340</v>
      </c>
      <c r="C342" s="100" t="s">
        <v>1763</v>
      </c>
      <c r="D342" s="269" t="str">
        <f>VLOOKUP(C342,lookup!$B$2:$F$1240,2)</f>
        <v>lb</v>
      </c>
      <c r="E342" s="271">
        <f>VLOOKUP(C342,lookup!$B$2:$F$1240,5)</f>
        <v>0.36</v>
      </c>
    </row>
    <row r="343" spans="1:6" x14ac:dyDescent="0.25">
      <c r="A343" s="169">
        <v>340</v>
      </c>
      <c r="C343" s="100" t="s">
        <v>2236</v>
      </c>
      <c r="D343" s="269">
        <f>VLOOKUP(C343,lookup!$B$2:$F$1240,2)</f>
        <v>0</v>
      </c>
      <c r="E343" s="271">
        <f>VLOOKUP(C343,lookup!$B$2:$F$1240,5)</f>
        <v>0</v>
      </c>
    </row>
    <row r="344" spans="1:6" x14ac:dyDescent="0.25">
      <c r="A344" s="169">
        <v>340</v>
      </c>
      <c r="C344" s="100" t="s">
        <v>718</v>
      </c>
      <c r="D344" s="269" t="str">
        <f>VLOOKUP(C344,lookup!$B$2:$F$1240,2)</f>
        <v>lb.</v>
      </c>
      <c r="E344" s="271">
        <f>VLOOKUP(C344,lookup!$B$2:$F$1240,5)</f>
        <v>1.05</v>
      </c>
    </row>
    <row r="345" spans="1:6" x14ac:dyDescent="0.25">
      <c r="A345" s="169">
        <v>340</v>
      </c>
      <c r="C345" s="100" t="s">
        <v>1775</v>
      </c>
      <c r="D345" s="269">
        <f>VLOOKUP(C345,lookup!$B$2:$F$1240,2)</f>
        <v>0</v>
      </c>
      <c r="E345" s="271">
        <f>VLOOKUP(C345,lookup!$B$2:$F$1240,5)</f>
        <v>0</v>
      </c>
    </row>
    <row r="346" spans="1:6" x14ac:dyDescent="0.25">
      <c r="A346" s="169">
        <v>340</v>
      </c>
      <c r="C346" s="100" t="s">
        <v>1106</v>
      </c>
      <c r="D346" s="269" t="str">
        <f>VLOOKUP(C346,lookup!$B$2:$F$1240,2)</f>
        <v>lb.</v>
      </c>
      <c r="E346" s="271">
        <f>VLOOKUP(C346,lookup!$B$2:$F$1240,5)</f>
        <v>1.4</v>
      </c>
    </row>
    <row r="347" spans="1:6" x14ac:dyDescent="0.25">
      <c r="A347" s="169">
        <v>340</v>
      </c>
      <c r="C347" s="100" t="s">
        <v>2237</v>
      </c>
      <c r="D347" s="269" t="str">
        <f>VLOOKUP(C347,lookup!$B$2:$F$1240,2)</f>
        <v>lb.</v>
      </c>
      <c r="E347" s="271">
        <f>VLOOKUP(C347,lookup!$B$2:$F$1240,5)</f>
        <v>0.19</v>
      </c>
    </row>
    <row r="348" spans="1:6" x14ac:dyDescent="0.25">
      <c r="A348" s="169">
        <v>340</v>
      </c>
      <c r="C348" s="100" t="s">
        <v>721</v>
      </c>
      <c r="D348" s="269">
        <f>VLOOKUP(C348,lookup!$B$2:$F$1240,2)</f>
        <v>0</v>
      </c>
      <c r="E348" s="271">
        <f>VLOOKUP(C348,lookup!$B$2:$F$1240,5)</f>
        <v>0</v>
      </c>
    </row>
    <row r="349" spans="1:6" x14ac:dyDescent="0.25">
      <c r="A349" s="169">
        <v>340</v>
      </c>
      <c r="C349" s="93" t="s">
        <v>1526</v>
      </c>
      <c r="D349" s="269">
        <f>VLOOKUP(C349,lookup!$B$2:$F$1240,2)</f>
        <v>0</v>
      </c>
      <c r="E349" s="271">
        <f>VLOOKUP(C349,lookup!$B$2:$F$1240,5)</f>
        <v>0</v>
      </c>
    </row>
    <row r="350" spans="1:6" x14ac:dyDescent="0.25">
      <c r="A350" s="169">
        <v>342</v>
      </c>
      <c r="B350" s="171" t="s">
        <v>2329</v>
      </c>
      <c r="C350" s="119"/>
      <c r="D350" s="269" t="e">
        <f>VLOOKUP(C350,lookup!$B$2:$F$1240,2)</f>
        <v>#N/A</v>
      </c>
      <c r="E350" s="271" t="e">
        <f>VLOOKUP(C350,lookup!$B$2:$F$1240,5)</f>
        <v>#N/A</v>
      </c>
      <c r="F350" t="s">
        <v>3058</v>
      </c>
    </row>
    <row r="351" spans="1:6" x14ac:dyDescent="0.25">
      <c r="A351" s="169">
        <v>342</v>
      </c>
      <c r="B351" s="174"/>
      <c r="C351" s="113" t="s">
        <v>3085</v>
      </c>
      <c r="D351" s="269" t="str">
        <f>VLOOKUP(C351,lookup!$B$2:$F$1240,2)</f>
        <v>sq ft</v>
      </c>
      <c r="E351" s="271">
        <f>VLOOKUP(C351,lookup!$B$2:$F$1240,5)</f>
        <v>0.02</v>
      </c>
      <c r="F351" s="193"/>
    </row>
    <row r="352" spans="1:6" x14ac:dyDescent="0.25">
      <c r="A352" s="169">
        <v>342</v>
      </c>
      <c r="C352" s="100" t="s">
        <v>2668</v>
      </c>
      <c r="D352" s="269">
        <f>VLOOKUP(C352,lookup!$B$2:$F$1240,2)</f>
        <v>0</v>
      </c>
      <c r="E352" s="271">
        <f>VLOOKUP(C352,lookup!$B$2:$F$1240,5)</f>
        <v>0</v>
      </c>
    </row>
    <row r="353" spans="1:6" x14ac:dyDescent="0.25">
      <c r="A353" s="169">
        <v>342</v>
      </c>
      <c r="C353" s="106" t="s">
        <v>2455</v>
      </c>
      <c r="D353" s="269" t="str">
        <f>VLOOKUP(C353,lookup!$B$2:$F$1240,2)</f>
        <v>ac</v>
      </c>
      <c r="E353" s="271">
        <f>VLOOKUP(C353,lookup!$B$2:$F$1240,5)</f>
        <v>17</v>
      </c>
    </row>
    <row r="354" spans="1:6" x14ac:dyDescent="0.25">
      <c r="A354" s="169">
        <v>342</v>
      </c>
      <c r="C354" s="106" t="s">
        <v>2453</v>
      </c>
      <c r="D354" s="269">
        <f>VLOOKUP(C354,lookup!$B$2:$F$1240,2)</f>
        <v>0</v>
      </c>
      <c r="E354" s="271">
        <f>VLOOKUP(C354,lookup!$B$2:$F$1240,5)</f>
        <v>0</v>
      </c>
    </row>
    <row r="355" spans="1:6" x14ac:dyDescent="0.25">
      <c r="A355" s="169">
        <v>342</v>
      </c>
      <c r="C355" s="106" t="s">
        <v>2454</v>
      </c>
      <c r="D355" s="269" t="str">
        <f>VLOOKUP(C355,lookup!$B$2:$F$1240,2)</f>
        <v>hr</v>
      </c>
      <c r="E355" s="271">
        <f>VLOOKUP(C355,lookup!$B$2:$F$1240,5)</f>
        <v>100</v>
      </c>
    </row>
    <row r="356" spans="1:6" x14ac:dyDescent="0.25">
      <c r="A356" s="169">
        <v>342</v>
      </c>
      <c r="C356" s="96" t="s">
        <v>953</v>
      </c>
      <c r="D356" s="269" t="str">
        <f>VLOOKUP(C356,lookup!$B$2:$F$1240,2)</f>
        <v>sq yd</v>
      </c>
      <c r="E356" s="271">
        <f>VLOOKUP(C356,lookup!$B$2:$F$1240,5)</f>
        <v>2</v>
      </c>
    </row>
    <row r="357" spans="1:6" ht="22.8" x14ac:dyDescent="0.25">
      <c r="A357" s="169">
        <v>342</v>
      </c>
      <c r="C357" s="96" t="s">
        <v>196</v>
      </c>
      <c r="D357" s="269" t="str">
        <f>VLOOKUP(C357,lookup!$B$2:$F$1240,2)</f>
        <v>sq yd</v>
      </c>
      <c r="E357" s="271">
        <f>VLOOKUP(C357,lookup!$B$2:$F$1240,5)</f>
        <v>2</v>
      </c>
    </row>
    <row r="358" spans="1:6" ht="22.8" x14ac:dyDescent="0.25">
      <c r="A358" s="169">
        <v>342</v>
      </c>
      <c r="C358" s="96" t="s">
        <v>198</v>
      </c>
      <c r="D358" s="269" t="str">
        <f>VLOOKUP(C358,lookup!$B$2:$F$1240,2)</f>
        <v>sq yd</v>
      </c>
      <c r="E358" s="271">
        <f>VLOOKUP(C358,lookup!$B$2:$F$1240,5)</f>
        <v>2</v>
      </c>
    </row>
    <row r="359" spans="1:6" x14ac:dyDescent="0.25">
      <c r="A359" s="169">
        <v>342</v>
      </c>
      <c r="C359" s="106" t="s">
        <v>1009</v>
      </c>
      <c r="D359" s="269" t="str">
        <f>VLOOKUP(C359,lookup!$B$2:$F$1240,2)</f>
        <v>sq yd</v>
      </c>
      <c r="E359" s="271">
        <f>VLOOKUP(C359,lookup!$B$2:$F$1240,5)</f>
        <v>2</v>
      </c>
    </row>
    <row r="360" spans="1:6" x14ac:dyDescent="0.25">
      <c r="A360" s="169">
        <v>342</v>
      </c>
      <c r="C360" s="96" t="s">
        <v>955</v>
      </c>
      <c r="D360" s="269" t="str">
        <f>VLOOKUP(C360,lookup!$B$2:$F$1240,2)</f>
        <v>sq yd</v>
      </c>
      <c r="E360" s="271">
        <f>VLOOKUP(C360,lookup!$B$2:$F$1240,5)</f>
        <v>2</v>
      </c>
    </row>
    <row r="361" spans="1:6" ht="22.8" x14ac:dyDescent="0.25">
      <c r="A361" s="169">
        <v>342</v>
      </c>
      <c r="C361" s="100" t="s">
        <v>951</v>
      </c>
      <c r="D361" s="269" t="str">
        <f>VLOOKUP(C361,lookup!$B$2:$F$1240,2)</f>
        <v>sq yd</v>
      </c>
      <c r="E361" s="271">
        <f>VLOOKUP(C361,lookup!$B$2:$F$1240,5)</f>
        <v>2</v>
      </c>
    </row>
    <row r="362" spans="1:6" ht="22.8" x14ac:dyDescent="0.25">
      <c r="A362" s="169">
        <v>342</v>
      </c>
      <c r="C362" s="100" t="s">
        <v>952</v>
      </c>
      <c r="D362" s="269" t="str">
        <f>VLOOKUP(C362,lookup!$B$2:$F$1240,2)</f>
        <v>sq yd</v>
      </c>
      <c r="E362" s="271">
        <f>VLOOKUP(C362,lookup!$B$2:$F$1240,5)</f>
        <v>2</v>
      </c>
    </row>
    <row r="363" spans="1:6" x14ac:dyDescent="0.25">
      <c r="A363" s="169">
        <v>342</v>
      </c>
      <c r="C363" s="106" t="s">
        <v>1006</v>
      </c>
      <c r="D363" s="269" t="str">
        <f>VLOOKUP(C363,lookup!$B$2:$F$1240,2)</f>
        <v>sq yd</v>
      </c>
      <c r="E363" s="271">
        <f>VLOOKUP(C363,lookup!$B$2:$F$1240,5)</f>
        <v>2</v>
      </c>
    </row>
    <row r="364" spans="1:6" x14ac:dyDescent="0.25">
      <c r="A364" s="169">
        <v>342</v>
      </c>
      <c r="C364" s="106" t="s">
        <v>1008</v>
      </c>
      <c r="D364" s="269" t="str">
        <f>VLOOKUP(C364,lookup!$B$2:$F$1240,2)</f>
        <v>sq yd</v>
      </c>
      <c r="E364" s="271">
        <f>VLOOKUP(C364,lookup!$B$2:$F$1240,5)</f>
        <v>2</v>
      </c>
    </row>
    <row r="365" spans="1:6" ht="22.8" x14ac:dyDescent="0.25">
      <c r="A365" s="169">
        <v>342</v>
      </c>
      <c r="C365" s="103" t="s">
        <v>1453</v>
      </c>
      <c r="D365" s="269" t="str">
        <f>VLOOKUP(C365,lookup!$B$2:$F$1240,2)</f>
        <v>Cu. Yd.</v>
      </c>
      <c r="E365" s="271">
        <f>VLOOKUP(C365,lookup!$B$2:$F$1240,5)</f>
        <v>5.2043193999999993</v>
      </c>
    </row>
    <row r="366" spans="1:6" x14ac:dyDescent="0.25">
      <c r="A366" s="169">
        <v>342</v>
      </c>
      <c r="B366" s="174"/>
      <c r="C366" s="113" t="s">
        <v>3080</v>
      </c>
      <c r="D366" s="269" t="str">
        <f>VLOOKUP(C366,lookup!$B$2:$F$1240,2)</f>
        <v>ton</v>
      </c>
      <c r="E366" s="271">
        <f>VLOOKUP(C366,lookup!$B$2:$F$1240,5)</f>
        <v>1200</v>
      </c>
      <c r="F366" s="193"/>
    </row>
    <row r="367" spans="1:6" x14ac:dyDescent="0.25">
      <c r="A367" s="169">
        <v>342</v>
      </c>
      <c r="C367" s="103" t="s">
        <v>1170</v>
      </c>
      <c r="D367" s="269" t="str">
        <f>VLOOKUP(C367,lookup!$B$2:$F$1240,2)</f>
        <v>acre</v>
      </c>
      <c r="E367" s="271">
        <f>VLOOKUP(C367,lookup!$B$2:$F$1240,5)</f>
        <v>5.72</v>
      </c>
    </row>
    <row r="368" spans="1:6" x14ac:dyDescent="0.25">
      <c r="A368" s="169">
        <v>342</v>
      </c>
      <c r="C368" s="100" t="s">
        <v>2662</v>
      </c>
      <c r="D368" s="269" t="str">
        <f>VLOOKUP(C368,lookup!$B$2:$F$1240,2)</f>
        <v>ton</v>
      </c>
      <c r="E368" s="271">
        <f>VLOOKUP(C368,lookup!$B$2:$F$1240,5)</f>
        <v>26</v>
      </c>
    </row>
    <row r="369" spans="1:6" x14ac:dyDescent="0.25">
      <c r="A369" s="169">
        <v>342</v>
      </c>
      <c r="C369" s="100" t="s">
        <v>2663</v>
      </c>
      <c r="D369" s="269" t="str">
        <f>VLOOKUP(C369,lookup!$B$2:$F$1240,2)</f>
        <v>1,000 gal.</v>
      </c>
      <c r="E369" s="271">
        <f>VLOOKUP(C369,lookup!$B$2:$F$1240,5)</f>
        <v>10.5</v>
      </c>
    </row>
    <row r="370" spans="1:6" x14ac:dyDescent="0.25">
      <c r="A370" s="169">
        <v>342</v>
      </c>
      <c r="C370" s="93" t="s">
        <v>2314</v>
      </c>
      <c r="D370" s="269" t="str">
        <f>VLOOKUP(C370,lookup!$B$2:$F$1240,2)</f>
        <v>1,000 gal.</v>
      </c>
      <c r="E370" s="271">
        <f>VLOOKUP(C370,lookup!$B$2:$F$1240,5)</f>
        <v>10.5</v>
      </c>
    </row>
    <row r="371" spans="1:6" x14ac:dyDescent="0.25">
      <c r="A371" s="169">
        <v>342</v>
      </c>
      <c r="C371" s="93" t="s">
        <v>2315</v>
      </c>
      <c r="D371" s="269" t="str">
        <f>VLOOKUP(C371,lookup!$B$2:$F$1240,2)</f>
        <v>1,000 gal.</v>
      </c>
      <c r="E371" s="271">
        <f>VLOOKUP(C371,lookup!$B$2:$F$1240,5)</f>
        <v>10.5</v>
      </c>
    </row>
    <row r="372" spans="1:6" x14ac:dyDescent="0.25">
      <c r="A372" s="169">
        <v>342</v>
      </c>
      <c r="C372" s="106" t="s">
        <v>2452</v>
      </c>
      <c r="D372" s="269">
        <f>VLOOKUP(C372,lookup!$B$2:$F$1240,2)</f>
        <v>0</v>
      </c>
      <c r="E372" s="271">
        <f>VLOOKUP(C372,lookup!$B$2:$F$1240,5)</f>
        <v>0</v>
      </c>
    </row>
    <row r="373" spans="1:6" x14ac:dyDescent="0.25">
      <c r="A373" s="169">
        <v>342</v>
      </c>
      <c r="B373" s="174"/>
      <c r="C373" s="113" t="s">
        <v>3081</v>
      </c>
      <c r="D373" s="269" t="str">
        <f>VLOOKUP(C373,lookup!$B$2:$F$1240,2)</f>
        <v>Cu Yd</v>
      </c>
      <c r="E373" s="271">
        <f>VLOOKUP(C373,lookup!$B$2:$F$1240,5)</f>
        <v>4</v>
      </c>
      <c r="F373" s="193"/>
    </row>
    <row r="374" spans="1:6" x14ac:dyDescent="0.25">
      <c r="A374" s="169">
        <v>342</v>
      </c>
      <c r="C374" s="106" t="s">
        <v>2664</v>
      </c>
      <c r="D374" s="269" t="str">
        <f>VLOOKUP(C374,lookup!$B$2:$F$1240,2)</f>
        <v>Sq Yd</v>
      </c>
      <c r="E374" s="271">
        <f>VLOOKUP(C374,lookup!$B$2:$F$1240,5)</f>
        <v>1.52</v>
      </c>
    </row>
    <row r="375" spans="1:6" x14ac:dyDescent="0.25">
      <c r="A375" s="169">
        <v>342</v>
      </c>
      <c r="C375" s="106" t="s">
        <v>1159</v>
      </c>
      <c r="D375" s="269" t="str">
        <f>VLOOKUP(C375,lookup!$B$2:$F$1240,2)</f>
        <v>ft</v>
      </c>
      <c r="E375" s="271">
        <f>VLOOKUP(C375,lookup!$B$2:$F$1240,5)</f>
        <v>6.6</v>
      </c>
    </row>
    <row r="376" spans="1:6" x14ac:dyDescent="0.25">
      <c r="A376" s="169">
        <v>342</v>
      </c>
      <c r="C376" s="100" t="s">
        <v>2451</v>
      </c>
      <c r="D376" s="269" t="str">
        <f>VLOOKUP(C376,lookup!$B$2:$F$1240,2)</f>
        <v>hr</v>
      </c>
      <c r="E376" s="271">
        <f>VLOOKUP(C376,lookup!$B$2:$F$1240,5)</f>
        <v>20</v>
      </c>
    </row>
    <row r="377" spans="1:6" x14ac:dyDescent="0.25">
      <c r="A377" s="169">
        <v>342</v>
      </c>
      <c r="B377" s="174"/>
      <c r="C377" s="113" t="s">
        <v>3082</v>
      </c>
      <c r="D377" s="269" t="str">
        <f>VLOOKUP(C377,lookup!$B$2:$F$1240,2)</f>
        <v>sq yd</v>
      </c>
      <c r="E377" s="271">
        <f>VLOOKUP(C377,lookup!$B$2:$F$1240,5)</f>
        <v>1.22</v>
      </c>
      <c r="F377" s="193"/>
    </row>
    <row r="378" spans="1:6" ht="22.8" x14ac:dyDescent="0.25">
      <c r="A378" s="169">
        <v>342</v>
      </c>
      <c r="B378" s="174"/>
      <c r="C378" s="113" t="s">
        <v>3084</v>
      </c>
      <c r="D378" s="269" t="str">
        <f>VLOOKUP(C378,lookup!$B$2:$F$1240,2)</f>
        <v>sq ft</v>
      </c>
      <c r="E378" s="271">
        <f>VLOOKUP(C378,lookup!$B$2:$F$1240,5)</f>
        <v>0.04</v>
      </c>
      <c r="F378" s="193"/>
    </row>
    <row r="379" spans="1:6" x14ac:dyDescent="0.25">
      <c r="A379" s="169">
        <v>342</v>
      </c>
      <c r="C379" s="106" t="s">
        <v>3103</v>
      </c>
      <c r="D379" s="269" t="str">
        <f>VLOOKUP(C379,lookup!$B$2:$F$1240,2)</f>
        <v>sq ft</v>
      </c>
      <c r="E379" s="271">
        <f>VLOOKUP(C379,lookup!$B$2:$F$1240,5)</f>
        <v>0.04</v>
      </c>
    </row>
    <row r="380" spans="1:6" x14ac:dyDescent="0.25">
      <c r="A380" s="169">
        <v>342</v>
      </c>
      <c r="B380" s="174"/>
      <c r="C380" s="113" t="s">
        <v>1047</v>
      </c>
      <c r="D380" s="269" t="str">
        <f>VLOOKUP(C380,lookup!$B$2:$F$1240,2)</f>
        <v>hr</v>
      </c>
      <c r="E380" s="271">
        <f>VLOOKUP(C380,lookup!$B$2:$F$1240,5)</f>
        <v>20</v>
      </c>
      <c r="F380" s="193"/>
    </row>
    <row r="381" spans="1:6" x14ac:dyDescent="0.25">
      <c r="A381" s="169">
        <v>342</v>
      </c>
      <c r="C381" s="106" t="s">
        <v>2669</v>
      </c>
      <c r="D381" s="269">
        <f>VLOOKUP(C381,lookup!$B$2:$F$1240,2)</f>
        <v>0</v>
      </c>
      <c r="E381" s="271">
        <f>VLOOKUP(C381,lookup!$B$2:$F$1240,5)</f>
        <v>0</v>
      </c>
    </row>
    <row r="382" spans="1:6" x14ac:dyDescent="0.25">
      <c r="A382" s="169">
        <v>342</v>
      </c>
      <c r="C382" s="100" t="s">
        <v>1042</v>
      </c>
      <c r="D382" s="269" t="str">
        <f>VLOOKUP(C382,lookup!$B$2:$F$1240,2)</f>
        <v>Ea.</v>
      </c>
      <c r="E382" s="271">
        <f>VLOOKUP(C382,lookup!$B$2:$F$1240,5)</f>
        <v>65</v>
      </c>
    </row>
    <row r="383" spans="1:6" x14ac:dyDescent="0.25">
      <c r="A383" s="169">
        <v>342</v>
      </c>
      <c r="C383" s="100" t="s">
        <v>1039</v>
      </c>
      <c r="D383" s="269" t="str">
        <f>VLOOKUP(C383,lookup!$B$2:$F$1240,2)</f>
        <v>Ea.</v>
      </c>
      <c r="E383" s="271">
        <f>VLOOKUP(C383,lookup!$B$2:$F$1240,5)</f>
        <v>65</v>
      </c>
    </row>
    <row r="384" spans="1:6" ht="22.8" x14ac:dyDescent="0.25">
      <c r="A384" s="169">
        <v>342</v>
      </c>
      <c r="C384" s="100" t="s">
        <v>1040</v>
      </c>
      <c r="D384" s="269" t="str">
        <f>VLOOKUP(C384,lookup!$B$2:$F$1240,2)</f>
        <v>Ea.</v>
      </c>
      <c r="E384" s="271">
        <f>VLOOKUP(C384,lookup!$B$2:$F$1240,5)</f>
        <v>65</v>
      </c>
    </row>
    <row r="385" spans="1:6" x14ac:dyDescent="0.25">
      <c r="A385" s="169">
        <v>342</v>
      </c>
      <c r="C385" s="100" t="s">
        <v>1041</v>
      </c>
      <c r="D385" s="269" t="str">
        <f>VLOOKUP(C385,lookup!$B$2:$F$1240,2)</f>
        <v>Ea.</v>
      </c>
      <c r="E385" s="271">
        <f>VLOOKUP(C385,lookup!$B$2:$F$1240,5)</f>
        <v>65</v>
      </c>
    </row>
    <row r="386" spans="1:6" x14ac:dyDescent="0.25">
      <c r="A386" s="169">
        <v>342</v>
      </c>
      <c r="C386" s="106" t="s">
        <v>2667</v>
      </c>
      <c r="D386" s="269" t="str">
        <f>VLOOKUP(C386,lookup!$B$2:$F$1240,2)</f>
        <v>ac</v>
      </c>
      <c r="E386" s="271">
        <f>VLOOKUP(C386,lookup!$B$2:$F$1240,5)</f>
        <v>15</v>
      </c>
    </row>
    <row r="387" spans="1:6" x14ac:dyDescent="0.25">
      <c r="A387" s="169">
        <v>342</v>
      </c>
      <c r="C387" s="106" t="s">
        <v>2670</v>
      </c>
      <c r="D387" s="269" t="str">
        <f>VLOOKUP(C387,lookup!$B$2:$F$1240,2)</f>
        <v>each</v>
      </c>
      <c r="E387" s="271">
        <f>VLOOKUP(C387,lookup!$B$2:$F$1240,5)</f>
        <v>27</v>
      </c>
    </row>
    <row r="388" spans="1:6" ht="22.8" x14ac:dyDescent="0.25">
      <c r="A388" s="169">
        <v>342</v>
      </c>
      <c r="C388" s="100" t="s">
        <v>1517</v>
      </c>
      <c r="D388" s="269" t="str">
        <f>VLOOKUP(C388,lookup!$B$2:$F$1240,2)</f>
        <v>pkt.</v>
      </c>
      <c r="E388" s="271">
        <f>VLOOKUP(C388,lookup!$B$2:$F$1240,5)</f>
        <v>3.5</v>
      </c>
    </row>
    <row r="389" spans="1:6" x14ac:dyDescent="0.25">
      <c r="A389" s="169">
        <v>342</v>
      </c>
      <c r="C389" s="106" t="s">
        <v>1779</v>
      </c>
      <c r="D389" s="269" t="str">
        <f>VLOOKUP(C389,lookup!$B$2:$F$1240,2)</f>
        <v>pkt.</v>
      </c>
      <c r="E389" s="271">
        <f>VLOOKUP(C389,lookup!$B$2:$F$1240,5)</f>
        <v>3.5</v>
      </c>
    </row>
    <row r="390" spans="1:6" x14ac:dyDescent="0.25">
      <c r="A390" s="169">
        <v>342</v>
      </c>
      <c r="C390" s="106" t="s">
        <v>1510</v>
      </c>
      <c r="D390" s="269" t="str">
        <f>VLOOKUP(C390,lookup!$B$2:$F$1240,2)</f>
        <v>lb</v>
      </c>
      <c r="E390" s="271">
        <f>VLOOKUP(C390,lookup!$B$2:$F$1240,5)</f>
        <v>4.3499999999999996</v>
      </c>
    </row>
    <row r="391" spans="1:6" x14ac:dyDescent="0.25">
      <c r="A391" s="169">
        <v>342</v>
      </c>
      <c r="C391" s="106" t="s">
        <v>715</v>
      </c>
      <c r="D391" s="269" t="str">
        <f>VLOOKUP(C391,lookup!$B$2:$F$1240,2)</f>
        <v>lb.</v>
      </c>
      <c r="E391" s="271">
        <f>VLOOKUP(C391,lookup!$B$2:$F$1240,5)</f>
        <v>1.78</v>
      </c>
    </row>
    <row r="392" spans="1:6" x14ac:dyDescent="0.25">
      <c r="A392" s="169">
        <v>342</v>
      </c>
      <c r="C392" s="106" t="s">
        <v>1506</v>
      </c>
      <c r="D392" s="269" t="str">
        <f>VLOOKUP(C392,lookup!$B$2:$F$1240,2)</f>
        <v>lb</v>
      </c>
      <c r="E392" s="271">
        <f>VLOOKUP(C392,lookup!$B$2:$F$1240,5)</f>
        <v>13</v>
      </c>
    </row>
    <row r="393" spans="1:6" x14ac:dyDescent="0.25">
      <c r="A393" s="169">
        <v>342</v>
      </c>
      <c r="C393" s="106" t="s">
        <v>1790</v>
      </c>
      <c r="D393" s="269" t="str">
        <f>VLOOKUP(C393,lookup!$B$2:$F$1240,2)</f>
        <v>lb</v>
      </c>
      <c r="E393" s="271">
        <f>VLOOKUP(C393,lookup!$B$2:$F$1240,5)</f>
        <v>6.08</v>
      </c>
    </row>
    <row r="394" spans="1:6" x14ac:dyDescent="0.25">
      <c r="A394" s="169">
        <v>342</v>
      </c>
      <c r="C394" s="106" t="s">
        <v>2239</v>
      </c>
      <c r="D394" s="269" t="str">
        <f>VLOOKUP(C394,lookup!$B$2:$F$1240,2)</f>
        <v>lb.</v>
      </c>
      <c r="E394" s="271">
        <f>VLOOKUP(C394,lookup!$B$2:$F$1240,5)</f>
        <v>4.5</v>
      </c>
    </row>
    <row r="395" spans="1:6" x14ac:dyDescent="0.25">
      <c r="A395" s="169">
        <v>342</v>
      </c>
      <c r="C395" s="100" t="s">
        <v>1012</v>
      </c>
      <c r="D395" s="269" t="str">
        <f>VLOOKUP(C395,lookup!$B$2:$F$1240,2)</f>
        <v>lb</v>
      </c>
      <c r="E395" s="271">
        <f>VLOOKUP(C395,lookup!$B$2:$F$1240,5)</f>
        <v>12</v>
      </c>
    </row>
    <row r="396" spans="1:6" x14ac:dyDescent="0.25">
      <c r="A396" s="169">
        <v>342</v>
      </c>
      <c r="C396" s="106" t="s">
        <v>2238</v>
      </c>
      <c r="D396" s="269">
        <f>VLOOKUP(C396,lookup!$B$2:$F$1240,2)</f>
        <v>0</v>
      </c>
      <c r="E396" s="271">
        <f>VLOOKUP(C396,lookup!$B$2:$F$1240,5)</f>
        <v>0</v>
      </c>
    </row>
    <row r="397" spans="1:6" x14ac:dyDescent="0.25">
      <c r="A397" s="169">
        <v>342</v>
      </c>
      <c r="B397" s="174"/>
      <c r="C397" s="113" t="s">
        <v>370</v>
      </c>
      <c r="D397" s="269" t="str">
        <f>VLOOKUP(C397,lookup!$B$2:$F$1240,2)</f>
        <v>lb</v>
      </c>
      <c r="E397" s="271">
        <f>VLOOKUP(C397,lookup!$B$2:$F$1240,5)</f>
        <v>2.5</v>
      </c>
      <c r="F397" s="193"/>
    </row>
    <row r="398" spans="1:6" x14ac:dyDescent="0.25">
      <c r="A398" s="169">
        <v>342</v>
      </c>
      <c r="C398" s="106" t="s">
        <v>1765</v>
      </c>
      <c r="D398" s="269" t="str">
        <f>VLOOKUP(C398,lookup!$B$2:$F$1240,2)</f>
        <v>lb.</v>
      </c>
      <c r="E398" s="271">
        <f>VLOOKUP(C398,lookup!$B$2:$F$1240,5)</f>
        <v>2.15</v>
      </c>
    </row>
    <row r="399" spans="1:6" x14ac:dyDescent="0.25">
      <c r="A399" s="169">
        <v>342</v>
      </c>
      <c r="C399" s="106" t="s">
        <v>1508</v>
      </c>
      <c r="D399" s="269" t="str">
        <f>VLOOKUP(C399,lookup!$B$2:$F$1240,2)</f>
        <v>lb.</v>
      </c>
      <c r="E399" s="271">
        <f>VLOOKUP(C399,lookup!$B$2:$F$1240,5)</f>
        <v>8.5</v>
      </c>
    </row>
    <row r="400" spans="1:6" x14ac:dyDescent="0.25">
      <c r="A400" s="169">
        <v>342</v>
      </c>
      <c r="C400" s="106" t="s">
        <v>1766</v>
      </c>
      <c r="D400" s="269" t="str">
        <f>VLOOKUP(C400,lookup!$B$2:$F$1240,2)</f>
        <v>lb</v>
      </c>
      <c r="E400" s="271">
        <f>VLOOKUP(C400,lookup!$B$2:$F$1240,5)</f>
        <v>3.45</v>
      </c>
    </row>
    <row r="401" spans="1:5" x14ac:dyDescent="0.25">
      <c r="A401" s="169">
        <v>342</v>
      </c>
      <c r="C401" s="106" t="s">
        <v>1167</v>
      </c>
      <c r="D401" s="269" t="str">
        <f>VLOOKUP(C401,lookup!$B$2:$F$1240,2)</f>
        <v>lb.</v>
      </c>
      <c r="E401" s="271">
        <f>VLOOKUP(C401,lookup!$B$2:$F$1240,5)</f>
        <v>5.86</v>
      </c>
    </row>
    <row r="402" spans="1:5" x14ac:dyDescent="0.25">
      <c r="A402" s="169">
        <v>342</v>
      </c>
      <c r="C402" s="106" t="s">
        <v>1010</v>
      </c>
      <c r="D402" s="269">
        <f>VLOOKUP(C402,lookup!$B$2:$F$1240,2)</f>
        <v>0</v>
      </c>
      <c r="E402" s="271">
        <f>VLOOKUP(C402,lookup!$B$2:$F$1240,5)</f>
        <v>0</v>
      </c>
    </row>
    <row r="403" spans="1:5" x14ac:dyDescent="0.25">
      <c r="A403" s="169">
        <v>342</v>
      </c>
      <c r="C403" s="106" t="s">
        <v>1011</v>
      </c>
      <c r="D403" s="269">
        <f>VLOOKUP(C403,lookup!$B$2:$F$1240,2)</f>
        <v>0</v>
      </c>
      <c r="E403" s="271">
        <f>VLOOKUP(C403,lookup!$B$2:$F$1240,5)</f>
        <v>0</v>
      </c>
    </row>
    <row r="404" spans="1:5" x14ac:dyDescent="0.25">
      <c r="A404" s="169">
        <v>342</v>
      </c>
      <c r="C404" s="100" t="s">
        <v>1507</v>
      </c>
      <c r="D404" s="269" t="str">
        <f>VLOOKUP(C404,lookup!$B$2:$F$1240,2)</f>
        <v>lb</v>
      </c>
      <c r="E404" s="271">
        <f>VLOOKUP(C404,lookup!$B$2:$F$1240,5)</f>
        <v>19</v>
      </c>
    </row>
    <row r="405" spans="1:5" x14ac:dyDescent="0.25">
      <c r="A405" s="169">
        <v>342</v>
      </c>
      <c r="C405" s="106" t="s">
        <v>2234</v>
      </c>
      <c r="D405" s="269" t="str">
        <f>VLOOKUP(C405,lookup!$B$2:$F$1240,2)</f>
        <v>lb.</v>
      </c>
      <c r="E405" s="271">
        <f>VLOOKUP(C405,lookup!$B$2:$F$1240,5)</f>
        <v>0.15</v>
      </c>
    </row>
    <row r="406" spans="1:5" x14ac:dyDescent="0.25">
      <c r="A406" s="169">
        <v>342</v>
      </c>
      <c r="C406" s="106" t="s">
        <v>2141</v>
      </c>
      <c r="D406" s="269" t="str">
        <f>VLOOKUP(C406,lookup!$B$2:$F$1240,2)</f>
        <v>lb</v>
      </c>
      <c r="E406" s="271">
        <f>VLOOKUP(C406,lookup!$B$2:$F$1240,5)</f>
        <v>4.3499999999999996</v>
      </c>
    </row>
    <row r="407" spans="1:5" x14ac:dyDescent="0.25">
      <c r="A407" s="169">
        <v>342</v>
      </c>
      <c r="C407" s="106" t="s">
        <v>2235</v>
      </c>
      <c r="D407" s="269" t="str">
        <f>VLOOKUP(C407,lookup!$B$2:$F$1240,2)</f>
        <v>lb</v>
      </c>
      <c r="E407" s="271">
        <f>VLOOKUP(C407,lookup!$B$2:$F$1240,5)</f>
        <v>2</v>
      </c>
    </row>
    <row r="408" spans="1:5" x14ac:dyDescent="0.25">
      <c r="A408" s="169">
        <v>342</v>
      </c>
      <c r="C408" s="106" t="s">
        <v>1776</v>
      </c>
      <c r="D408" s="269" t="str">
        <f>VLOOKUP(C408,lookup!$B$2:$F$1240,2)</f>
        <v>lb.</v>
      </c>
      <c r="E408" s="271">
        <f>VLOOKUP(C408,lookup!$B$2:$F$1240,5)</f>
        <v>76.5</v>
      </c>
    </row>
    <row r="409" spans="1:5" x14ac:dyDescent="0.25">
      <c r="A409" s="169">
        <v>342</v>
      </c>
      <c r="C409" s="106" t="s">
        <v>717</v>
      </c>
      <c r="D409" s="269" t="str">
        <f>VLOOKUP(C409,lookup!$B$2:$F$1240,2)</f>
        <v>lb</v>
      </c>
      <c r="E409" s="271">
        <f>VLOOKUP(C409,lookup!$B$2:$F$1240,5)</f>
        <v>4.51</v>
      </c>
    </row>
    <row r="410" spans="1:5" x14ac:dyDescent="0.25">
      <c r="A410" s="169">
        <v>342</v>
      </c>
      <c r="C410" s="106" t="s">
        <v>1767</v>
      </c>
      <c r="D410" s="269" t="str">
        <f>VLOOKUP(C410,lookup!$B$2:$F$1240,2)</f>
        <v>lb</v>
      </c>
      <c r="E410" s="271">
        <f>VLOOKUP(C410,lookup!$B$2:$F$1240,5)</f>
        <v>8.5</v>
      </c>
    </row>
    <row r="411" spans="1:5" x14ac:dyDescent="0.25">
      <c r="A411" s="169">
        <v>342</v>
      </c>
      <c r="C411" s="106" t="s">
        <v>1768</v>
      </c>
      <c r="D411" s="269" t="str">
        <f>VLOOKUP(C411,lookup!$B$2:$F$1240,2)</f>
        <v>lb.</v>
      </c>
      <c r="E411" s="271" t="str">
        <f>VLOOKUP(C411,lookup!$B$2:$F$1240,5)</f>
        <v>$2.50 - 3.00</v>
      </c>
    </row>
    <row r="412" spans="1:5" x14ac:dyDescent="0.25">
      <c r="A412" s="169">
        <v>342</v>
      </c>
      <c r="C412" s="106" t="s">
        <v>714</v>
      </c>
      <c r="D412" s="269" t="str">
        <f>VLOOKUP(C412,lookup!$B$2:$F$1240,2)</f>
        <v>lb</v>
      </c>
      <c r="E412" s="271">
        <f>VLOOKUP(C412,lookup!$B$2:$F$1240,5)</f>
        <v>2.57</v>
      </c>
    </row>
    <row r="413" spans="1:5" x14ac:dyDescent="0.25">
      <c r="A413" s="169">
        <v>342</v>
      </c>
      <c r="C413" s="106" t="s">
        <v>2236</v>
      </c>
      <c r="D413" s="269">
        <f>VLOOKUP(C413,lookup!$B$2:$F$1240,2)</f>
        <v>0</v>
      </c>
      <c r="E413" s="271">
        <f>VLOOKUP(C413,lookup!$B$2:$F$1240,5)</f>
        <v>0</v>
      </c>
    </row>
    <row r="414" spans="1:5" x14ac:dyDescent="0.25">
      <c r="A414" s="169">
        <v>342</v>
      </c>
      <c r="C414" s="106" t="s">
        <v>718</v>
      </c>
      <c r="D414" s="269" t="str">
        <f>VLOOKUP(C414,lookup!$B$2:$F$1240,2)</f>
        <v>lb.</v>
      </c>
      <c r="E414" s="271">
        <f>VLOOKUP(C414,lookup!$B$2:$F$1240,5)</f>
        <v>1.05</v>
      </c>
    </row>
    <row r="415" spans="1:5" x14ac:dyDescent="0.25">
      <c r="A415" s="169">
        <v>342</v>
      </c>
      <c r="C415" s="106" t="s">
        <v>1505</v>
      </c>
      <c r="D415" s="269" t="str">
        <f>VLOOKUP(C415,lookup!$B$2:$F$1240,2)</f>
        <v>lb.</v>
      </c>
      <c r="E415" s="271">
        <f>VLOOKUP(C415,lookup!$B$2:$F$1240,5)</f>
        <v>9</v>
      </c>
    </row>
    <row r="416" spans="1:5" x14ac:dyDescent="0.25">
      <c r="A416" s="169">
        <v>342</v>
      </c>
      <c r="C416" s="106" t="s">
        <v>593</v>
      </c>
      <c r="D416" s="269" t="str">
        <f>VLOOKUP(C416,lookup!$B$2:$F$1240,2)</f>
        <v>lb.</v>
      </c>
      <c r="E416" s="271">
        <f>VLOOKUP(C416,lookup!$B$2:$F$1240,5)</f>
        <v>1.55</v>
      </c>
    </row>
    <row r="417" spans="1:6" x14ac:dyDescent="0.25">
      <c r="A417" s="169">
        <v>342</v>
      </c>
      <c r="C417" s="106" t="s">
        <v>596</v>
      </c>
      <c r="D417" s="269" t="str">
        <f>VLOOKUP(C417,lookup!$B$2:$F$1240,2)</f>
        <v>lb</v>
      </c>
      <c r="E417" s="271">
        <f>VLOOKUP(C417,lookup!$B$2:$F$1240,5)</f>
        <v>2.74</v>
      </c>
    </row>
    <row r="418" spans="1:6" x14ac:dyDescent="0.25">
      <c r="A418" s="169">
        <v>342</v>
      </c>
      <c r="C418" s="106" t="s">
        <v>1777</v>
      </c>
      <c r="D418" s="269" t="str">
        <f>VLOOKUP(C418,lookup!$B$2:$F$1240,2)</f>
        <v>lb.</v>
      </c>
      <c r="E418" s="271">
        <f>VLOOKUP(C418,lookup!$B$2:$F$1240,5)</f>
        <v>0</v>
      </c>
    </row>
    <row r="419" spans="1:6" x14ac:dyDescent="0.25">
      <c r="A419" s="169">
        <v>342</v>
      </c>
      <c r="C419" s="100" t="s">
        <v>2034</v>
      </c>
      <c r="D419" s="269">
        <f>VLOOKUP(C419,lookup!$B$2:$F$1240,2)</f>
        <v>0</v>
      </c>
      <c r="E419" s="271">
        <f>VLOOKUP(C419,lookup!$B$2:$F$1240,5)</f>
        <v>0</v>
      </c>
    </row>
    <row r="420" spans="1:6" x14ac:dyDescent="0.25">
      <c r="A420" s="169">
        <v>342</v>
      </c>
      <c r="C420" s="106" t="s">
        <v>2237</v>
      </c>
      <c r="D420" s="269" t="str">
        <f>VLOOKUP(C420,lookup!$B$2:$F$1240,2)</f>
        <v>lb.</v>
      </c>
      <c r="E420" s="271">
        <f>VLOOKUP(C420,lookup!$B$2:$F$1240,5)</f>
        <v>0.19</v>
      </c>
    </row>
    <row r="421" spans="1:6" x14ac:dyDescent="0.25">
      <c r="A421" s="169">
        <v>342</v>
      </c>
      <c r="C421" s="106" t="s">
        <v>719</v>
      </c>
      <c r="D421" s="269" t="str">
        <f>VLOOKUP(C421,lookup!$B$2:$F$1240,2)</f>
        <v>lb.</v>
      </c>
      <c r="E421" s="271">
        <f>VLOOKUP(C421,lookup!$B$2:$F$1240,5)</f>
        <v>5</v>
      </c>
    </row>
    <row r="422" spans="1:6" x14ac:dyDescent="0.25">
      <c r="A422" s="169">
        <v>342</v>
      </c>
      <c r="C422" s="106" t="s">
        <v>2665</v>
      </c>
      <c r="D422" s="269">
        <f>VLOOKUP(C422,lookup!$B$2:$F$1240,2)</f>
        <v>0</v>
      </c>
      <c r="E422" s="271">
        <f>VLOOKUP(C422,lookup!$B$2:$F$1240,5)</f>
        <v>0</v>
      </c>
    </row>
    <row r="423" spans="1:6" x14ac:dyDescent="0.25">
      <c r="A423" s="169">
        <v>342</v>
      </c>
      <c r="C423" s="106" t="s">
        <v>2666</v>
      </c>
      <c r="D423" s="269">
        <f>VLOOKUP(C423,lookup!$B$2:$F$1240,2)</f>
        <v>0</v>
      </c>
      <c r="E423" s="271">
        <f>VLOOKUP(C423,lookup!$B$2:$F$1240,5)</f>
        <v>0</v>
      </c>
    </row>
    <row r="424" spans="1:6" x14ac:dyDescent="0.25">
      <c r="A424" s="169">
        <v>342</v>
      </c>
      <c r="B424" s="174"/>
      <c r="C424" s="113" t="s">
        <v>3100</v>
      </c>
      <c r="D424" s="269" t="str">
        <f>VLOOKUP(C424,lookup!$B$2:$F$1240,2)</f>
        <v>sq ft</v>
      </c>
      <c r="E424" s="271">
        <f>VLOOKUP(C424,lookup!$B$2:$F$1240,5)</f>
        <v>0.79</v>
      </c>
      <c r="F424" s="193"/>
    </row>
    <row r="425" spans="1:6" x14ac:dyDescent="0.25">
      <c r="A425" s="169">
        <v>342</v>
      </c>
      <c r="B425" s="174"/>
      <c r="C425" s="113" t="s">
        <v>3101</v>
      </c>
      <c r="D425" s="269" t="str">
        <f>VLOOKUP(C425,lookup!$B$2:$F$1240,2)</f>
        <v>hr</v>
      </c>
      <c r="E425" s="271">
        <f>VLOOKUP(C425,lookup!$B$2:$F$1240,5)</f>
        <v>20</v>
      </c>
      <c r="F425" s="193"/>
    </row>
    <row r="426" spans="1:6" ht="22.8" x14ac:dyDescent="0.25">
      <c r="A426" s="169">
        <v>342</v>
      </c>
      <c r="B426" s="174"/>
      <c r="C426" s="113" t="s">
        <v>3102</v>
      </c>
      <c r="D426" s="269">
        <f>VLOOKUP(C426,lookup!$B$2:$F$1240,2)</f>
        <v>0</v>
      </c>
      <c r="E426" s="271">
        <f>VLOOKUP(C426,lookup!$B$2:$F$1240,5)</f>
        <v>0</v>
      </c>
      <c r="F426" s="193"/>
    </row>
    <row r="427" spans="1:6" x14ac:dyDescent="0.25">
      <c r="A427" s="169">
        <v>342</v>
      </c>
      <c r="C427" s="93" t="s">
        <v>1526</v>
      </c>
      <c r="D427" s="269">
        <f>VLOOKUP(C427,lookup!$B$2:$F$1240,2)</f>
        <v>0</v>
      </c>
      <c r="E427" s="271">
        <f>VLOOKUP(C427,lookup!$B$2:$F$1240,5)</f>
        <v>0</v>
      </c>
    </row>
    <row r="428" spans="1:6" x14ac:dyDescent="0.25">
      <c r="A428" s="169">
        <v>342</v>
      </c>
      <c r="B428" s="174"/>
      <c r="C428" s="113" t="s">
        <v>3079</v>
      </c>
      <c r="D428" s="269" t="str">
        <f>VLOOKUP(C428,lookup!$B$2:$F$1240,2)</f>
        <v>each</v>
      </c>
      <c r="E428" s="271">
        <f>VLOOKUP(C428,lookup!$B$2:$F$1240,5)</f>
        <v>65</v>
      </c>
      <c r="F428" s="193"/>
    </row>
    <row r="429" spans="1:6" x14ac:dyDescent="0.25">
      <c r="A429" s="169">
        <v>342</v>
      </c>
      <c r="C429" s="100" t="s">
        <v>2531</v>
      </c>
      <c r="D429" s="269">
        <f>VLOOKUP(C429,lookup!$B$2:$F$1240,2)</f>
        <v>0</v>
      </c>
      <c r="E429" s="271">
        <f>VLOOKUP(C429,lookup!$B$2:$F$1240,5)</f>
        <v>0</v>
      </c>
    </row>
    <row r="430" spans="1:6" ht="22.8" x14ac:dyDescent="0.25">
      <c r="A430" s="169">
        <v>342</v>
      </c>
      <c r="C430" s="100" t="s">
        <v>2532</v>
      </c>
      <c r="D430" s="269">
        <f>VLOOKUP(C430,lookup!$B$2:$F$1240,2)</f>
        <v>0</v>
      </c>
      <c r="E430" s="271">
        <f>VLOOKUP(C430,lookup!$B$2:$F$1240,5)</f>
        <v>0</v>
      </c>
    </row>
    <row r="431" spans="1:6" x14ac:dyDescent="0.25">
      <c r="A431" s="169">
        <v>342</v>
      </c>
      <c r="C431" s="106" t="s">
        <v>310</v>
      </c>
      <c r="D431" s="269" t="str">
        <f>VLOOKUP(C431,lookup!$B$2:$F$1240,2)</f>
        <v>each</v>
      </c>
      <c r="E431" s="271">
        <f>VLOOKUP(C431,lookup!$B$2:$F$1240,5)</f>
        <v>0.75</v>
      </c>
    </row>
    <row r="432" spans="1:6" x14ac:dyDescent="0.25">
      <c r="A432" s="169">
        <v>342</v>
      </c>
      <c r="C432" s="106" t="s">
        <v>313</v>
      </c>
      <c r="D432" s="269">
        <f>VLOOKUP(C432,lookup!$B$2:$F$1240,2)</f>
        <v>0</v>
      </c>
      <c r="E432" s="271">
        <f>VLOOKUP(C432,lookup!$B$2:$F$1240,5)</f>
        <v>0</v>
      </c>
    </row>
    <row r="433" spans="1:5" x14ac:dyDescent="0.25">
      <c r="A433" s="169">
        <v>342</v>
      </c>
      <c r="C433" s="106" t="s">
        <v>292</v>
      </c>
      <c r="D433" s="269">
        <f>VLOOKUP(C433,lookup!$B$2:$F$1240,2)</f>
        <v>0</v>
      </c>
      <c r="E433" s="271">
        <f>VLOOKUP(C433,lookup!$B$2:$F$1240,5)</f>
        <v>0</v>
      </c>
    </row>
    <row r="434" spans="1:5" x14ac:dyDescent="0.25">
      <c r="A434" s="169">
        <v>342</v>
      </c>
      <c r="C434" s="106" t="s">
        <v>288</v>
      </c>
      <c r="D434" s="269" t="str">
        <f>VLOOKUP(C434,lookup!$B$2:$F$1240,2)</f>
        <v>each</v>
      </c>
      <c r="E434" s="271">
        <f>VLOOKUP(C434,lookup!$B$2:$F$1240,5)</f>
        <v>0.13</v>
      </c>
    </row>
    <row r="435" spans="1:5" x14ac:dyDescent="0.25">
      <c r="A435" s="169">
        <v>342</v>
      </c>
      <c r="C435" s="106" t="s">
        <v>317</v>
      </c>
      <c r="D435" s="269">
        <f>VLOOKUP(C435,lookup!$B$2:$F$1240,2)</f>
        <v>0</v>
      </c>
      <c r="E435" s="271">
        <f>VLOOKUP(C435,lookup!$B$2:$F$1240,5)</f>
        <v>0</v>
      </c>
    </row>
    <row r="436" spans="1:5" x14ac:dyDescent="0.25">
      <c r="A436" s="169">
        <v>342</v>
      </c>
      <c r="C436" s="106" t="s">
        <v>318</v>
      </c>
      <c r="D436" s="269">
        <f>VLOOKUP(C436,lookup!$B$2:$F$1240,2)</f>
        <v>0</v>
      </c>
      <c r="E436" s="271">
        <f>VLOOKUP(C436,lookup!$B$2:$F$1240,5)</f>
        <v>0</v>
      </c>
    </row>
    <row r="437" spans="1:5" x14ac:dyDescent="0.25">
      <c r="A437" s="169">
        <v>342</v>
      </c>
      <c r="C437" s="106" t="s">
        <v>289</v>
      </c>
      <c r="D437" s="269">
        <f>VLOOKUP(C437,lookup!$B$2:$F$1240,2)</f>
        <v>0</v>
      </c>
      <c r="E437" s="271">
        <f>VLOOKUP(C437,lookup!$B$2:$F$1240,5)</f>
        <v>0</v>
      </c>
    </row>
    <row r="438" spans="1:5" x14ac:dyDescent="0.25">
      <c r="A438" s="169">
        <v>342</v>
      </c>
      <c r="C438" s="106" t="s">
        <v>298</v>
      </c>
      <c r="D438" s="269">
        <f>VLOOKUP(C438,lookup!$B$2:$F$1240,2)</f>
        <v>0</v>
      </c>
      <c r="E438" s="271">
        <f>VLOOKUP(C438,lookup!$B$2:$F$1240,5)</f>
        <v>0</v>
      </c>
    </row>
    <row r="439" spans="1:5" x14ac:dyDescent="0.25">
      <c r="A439" s="169">
        <v>342</v>
      </c>
      <c r="C439" s="106" t="s">
        <v>2035</v>
      </c>
      <c r="D439" s="269">
        <f>VLOOKUP(C439,lookup!$B$2:$F$1240,2)</f>
        <v>0</v>
      </c>
      <c r="E439" s="271">
        <f>VLOOKUP(C439,lookup!$B$2:$F$1240,5)</f>
        <v>0</v>
      </c>
    </row>
    <row r="440" spans="1:5" x14ac:dyDescent="0.25">
      <c r="A440" s="169">
        <v>342</v>
      </c>
      <c r="C440" s="106" t="s">
        <v>290</v>
      </c>
      <c r="D440" s="269">
        <f>VLOOKUP(C440,lookup!$B$2:$F$1240,2)</f>
        <v>0</v>
      </c>
      <c r="E440" s="271">
        <f>VLOOKUP(C440,lookup!$B$2:$F$1240,5)</f>
        <v>0</v>
      </c>
    </row>
    <row r="441" spans="1:5" x14ac:dyDescent="0.25">
      <c r="A441" s="169">
        <v>342</v>
      </c>
      <c r="C441" s="96" t="s">
        <v>299</v>
      </c>
      <c r="D441" s="269">
        <f>VLOOKUP(C441,lookup!$B$2:$F$1240,2)</f>
        <v>0</v>
      </c>
      <c r="E441" s="271">
        <f>VLOOKUP(C441,lookup!$B$2:$F$1240,5)</f>
        <v>0</v>
      </c>
    </row>
    <row r="442" spans="1:5" x14ac:dyDescent="0.25">
      <c r="A442" s="169">
        <v>342</v>
      </c>
      <c r="C442" s="96" t="s">
        <v>300</v>
      </c>
      <c r="D442" s="269">
        <f>VLOOKUP(C442,lookup!$B$2:$F$1240,2)</f>
        <v>0</v>
      </c>
      <c r="E442" s="271">
        <f>VLOOKUP(C442,lookup!$B$2:$F$1240,5)</f>
        <v>0</v>
      </c>
    </row>
    <row r="443" spans="1:5" x14ac:dyDescent="0.25">
      <c r="A443" s="169">
        <v>342</v>
      </c>
      <c r="C443" s="106" t="s">
        <v>430</v>
      </c>
      <c r="D443" s="269">
        <f>VLOOKUP(C443,lookup!$B$2:$F$1240,2)</f>
        <v>0</v>
      </c>
      <c r="E443" s="271">
        <f>VLOOKUP(C443,lookup!$B$2:$F$1240,5)</f>
        <v>0</v>
      </c>
    </row>
    <row r="444" spans="1:5" x14ac:dyDescent="0.25">
      <c r="A444" s="169">
        <v>342</v>
      </c>
      <c r="C444" s="106" t="s">
        <v>431</v>
      </c>
      <c r="D444" s="269">
        <f>VLOOKUP(C444,lookup!$B$2:$F$1240,2)</f>
        <v>0</v>
      </c>
      <c r="E444" s="271">
        <f>VLOOKUP(C444,lookup!$B$2:$F$1240,5)</f>
        <v>0</v>
      </c>
    </row>
    <row r="445" spans="1:5" x14ac:dyDescent="0.25">
      <c r="A445" s="169">
        <v>342</v>
      </c>
      <c r="C445" s="106" t="s">
        <v>432</v>
      </c>
      <c r="D445" s="269">
        <f>VLOOKUP(C445,lookup!$B$2:$F$1240,2)</f>
        <v>0</v>
      </c>
      <c r="E445" s="271">
        <f>VLOOKUP(C445,lookup!$B$2:$F$1240,5)</f>
        <v>0</v>
      </c>
    </row>
    <row r="446" spans="1:5" x14ac:dyDescent="0.25">
      <c r="A446" s="169">
        <v>342</v>
      </c>
      <c r="C446" s="106" t="s">
        <v>433</v>
      </c>
      <c r="D446" s="269">
        <f>VLOOKUP(C446,lookup!$B$2:$F$1240,2)</f>
        <v>0</v>
      </c>
      <c r="E446" s="271">
        <f>VLOOKUP(C446,lookup!$B$2:$F$1240,5)</f>
        <v>0</v>
      </c>
    </row>
    <row r="447" spans="1:5" x14ac:dyDescent="0.25">
      <c r="A447" s="169">
        <v>342</v>
      </c>
      <c r="C447" s="106" t="s">
        <v>1430</v>
      </c>
      <c r="D447" s="269">
        <f>VLOOKUP(C447,lookup!$B$2:$F$1240,2)</f>
        <v>0</v>
      </c>
      <c r="E447" s="271">
        <f>VLOOKUP(C447,lookup!$B$2:$F$1240,5)</f>
        <v>0</v>
      </c>
    </row>
    <row r="448" spans="1:5" x14ac:dyDescent="0.25">
      <c r="A448" s="169">
        <v>342</v>
      </c>
      <c r="C448" s="106" t="s">
        <v>434</v>
      </c>
      <c r="D448" s="269">
        <f>VLOOKUP(C448,lookup!$B$2:$F$1240,2)</f>
        <v>0</v>
      </c>
      <c r="E448" s="271">
        <f>VLOOKUP(C448,lookup!$B$2:$F$1240,5)</f>
        <v>0</v>
      </c>
    </row>
    <row r="449" spans="1:5" x14ac:dyDescent="0.25">
      <c r="A449" s="169">
        <v>342</v>
      </c>
      <c r="C449" s="106" t="s">
        <v>435</v>
      </c>
      <c r="D449" s="269">
        <f>VLOOKUP(C449,lookup!$B$2:$F$1240,2)</f>
        <v>0</v>
      </c>
      <c r="E449" s="271">
        <f>VLOOKUP(C449,lookup!$B$2:$F$1240,5)</f>
        <v>0</v>
      </c>
    </row>
    <row r="450" spans="1:5" x14ac:dyDescent="0.25">
      <c r="A450" s="169">
        <v>342</v>
      </c>
      <c r="C450" s="106" t="s">
        <v>436</v>
      </c>
      <c r="D450" s="269" t="str">
        <f>VLOOKUP(C450,lookup!$B$2:$F$1240,2)</f>
        <v>Flat</v>
      </c>
      <c r="E450" s="271">
        <f>VLOOKUP(C450,lookup!$B$2:$F$1240,5)</f>
        <v>68</v>
      </c>
    </row>
    <row r="451" spans="1:5" x14ac:dyDescent="0.25">
      <c r="A451" s="169">
        <v>344</v>
      </c>
      <c r="B451" s="172" t="s">
        <v>272</v>
      </c>
      <c r="C451" s="109"/>
      <c r="D451" s="269" t="e">
        <f>VLOOKUP(C451,lookup!$B$2:$F$1240,2)</f>
        <v>#N/A</v>
      </c>
      <c r="E451" s="271" t="e">
        <f>VLOOKUP(C451,lookup!$B$2:$F$1240,5)</f>
        <v>#N/A</v>
      </c>
    </row>
    <row r="452" spans="1:5" x14ac:dyDescent="0.25">
      <c r="A452" s="169">
        <v>344</v>
      </c>
      <c r="C452" s="106" t="s">
        <v>2274</v>
      </c>
      <c r="D452" s="269" t="str">
        <f>VLOOKUP(C452,lookup!$B$2:$F$1240,2)</f>
        <v>Sq. Ft.</v>
      </c>
      <c r="E452" s="271">
        <f>VLOOKUP(C452,lookup!$B$2:$F$1240,5)</f>
        <v>0.8</v>
      </c>
    </row>
    <row r="453" spans="1:5" x14ac:dyDescent="0.25">
      <c r="A453" s="169">
        <v>344</v>
      </c>
      <c r="C453" s="106" t="s">
        <v>2273</v>
      </c>
      <c r="D453" s="269">
        <f>VLOOKUP(C453,lookup!$B$2:$F$1240,2)</f>
        <v>0</v>
      </c>
      <c r="E453" s="271">
        <f>VLOOKUP(C453,lookup!$B$2:$F$1240,5)</f>
        <v>0</v>
      </c>
    </row>
    <row r="454" spans="1:5" x14ac:dyDescent="0.25">
      <c r="A454" s="169">
        <v>344</v>
      </c>
      <c r="C454" s="106" t="s">
        <v>2275</v>
      </c>
      <c r="D454" s="269" t="str">
        <f>VLOOKUP(C454,lookup!$B$2:$F$1240,2)</f>
        <v>AC</v>
      </c>
      <c r="E454" s="271">
        <f>VLOOKUP(C454,lookup!$B$2:$F$1240,5)</f>
        <v>0.3</v>
      </c>
    </row>
    <row r="455" spans="1:5" x14ac:dyDescent="0.25">
      <c r="A455" s="169">
        <v>345</v>
      </c>
      <c r="B455" s="172" t="s">
        <v>1267</v>
      </c>
      <c r="C455" s="109"/>
      <c r="D455" s="269" t="e">
        <f>VLOOKUP(C455,lookup!$B$2:$F$1240,2)</f>
        <v>#N/A</v>
      </c>
      <c r="E455" s="271" t="e">
        <f>VLOOKUP(C455,lookup!$B$2:$F$1240,5)</f>
        <v>#N/A</v>
      </c>
    </row>
    <row r="456" spans="1:5" x14ac:dyDescent="0.25">
      <c r="A456" s="170">
        <v>346</v>
      </c>
      <c r="B456" s="180" t="s">
        <v>270</v>
      </c>
      <c r="C456" s="119"/>
      <c r="D456" s="269" t="e">
        <f>VLOOKUP(C456,lookup!$B$2:$F$1240,2)</f>
        <v>#N/A</v>
      </c>
      <c r="E456" s="271" t="e">
        <f>VLOOKUP(C456,lookup!$B$2:$F$1240,5)</f>
        <v>#N/A</v>
      </c>
    </row>
    <row r="457" spans="1:5" x14ac:dyDescent="0.25">
      <c r="A457" s="170">
        <v>346</v>
      </c>
      <c r="C457" s="106" t="s">
        <v>2274</v>
      </c>
      <c r="D457" s="269" t="str">
        <f>VLOOKUP(C457,lookup!$B$2:$F$1240,2)</f>
        <v>Sq. Ft.</v>
      </c>
      <c r="E457" s="271">
        <f>VLOOKUP(C457,lookup!$B$2:$F$1240,5)</f>
        <v>0.8</v>
      </c>
    </row>
    <row r="458" spans="1:5" x14ac:dyDescent="0.25">
      <c r="A458" s="170">
        <v>346</v>
      </c>
      <c r="C458" s="106" t="s">
        <v>2273</v>
      </c>
      <c r="D458" s="269">
        <f>VLOOKUP(C458,lookup!$B$2:$F$1240,2)</f>
        <v>0</v>
      </c>
      <c r="E458" s="271">
        <f>VLOOKUP(C458,lookup!$B$2:$F$1240,5)</f>
        <v>0</v>
      </c>
    </row>
    <row r="459" spans="1:5" x14ac:dyDescent="0.25">
      <c r="A459" s="170">
        <v>346</v>
      </c>
      <c r="C459" s="106" t="s">
        <v>2275</v>
      </c>
      <c r="D459" s="269" t="str">
        <f>VLOOKUP(C459,lookup!$B$2:$F$1240,2)</f>
        <v>AC</v>
      </c>
      <c r="E459" s="271">
        <f>VLOOKUP(C459,lookup!$B$2:$F$1240,5)</f>
        <v>0.3</v>
      </c>
    </row>
    <row r="460" spans="1:5" x14ac:dyDescent="0.25">
      <c r="A460" s="169">
        <v>350</v>
      </c>
      <c r="B460" s="172" t="s">
        <v>674</v>
      </c>
      <c r="D460" s="269" t="e">
        <f>VLOOKUP(C460,lookup!$B$2:$F$1240,2)</f>
        <v>#N/A</v>
      </c>
      <c r="E460" s="271" t="e">
        <f>VLOOKUP(C460,lookup!$B$2:$F$1240,5)</f>
        <v>#N/A</v>
      </c>
    </row>
    <row r="461" spans="1:5" x14ac:dyDescent="0.25">
      <c r="A461" s="169">
        <v>350</v>
      </c>
      <c r="C461" s="106" t="s">
        <v>1376</v>
      </c>
      <c r="D461" s="269" t="str">
        <f>VLOOKUP(C461,lookup!$B$2:$F$1240,2)</f>
        <v>cu yd</v>
      </c>
      <c r="E461" s="271">
        <f>VLOOKUP(C461,lookup!$B$2:$F$1240,5)</f>
        <v>3.5</v>
      </c>
    </row>
    <row r="462" spans="1:5" x14ac:dyDescent="0.25">
      <c r="A462" s="169">
        <v>350</v>
      </c>
      <c r="C462" s="106" t="s">
        <v>1110</v>
      </c>
      <c r="D462" s="269" t="str">
        <f>VLOOKUP(C462,lookup!$B$2:$F$1240,2)</f>
        <v>Cu Yd</v>
      </c>
      <c r="E462" s="271">
        <f>VLOOKUP(C462,lookup!$B$2:$F$1240,5)</f>
        <v>0</v>
      </c>
    </row>
    <row r="463" spans="1:5" x14ac:dyDescent="0.25">
      <c r="A463" s="169">
        <v>350</v>
      </c>
      <c r="C463" s="106" t="s">
        <v>2313</v>
      </c>
      <c r="D463" s="269" t="str">
        <f>VLOOKUP(C463,lookup!$B$2:$F$1240,2)</f>
        <v>l.s.</v>
      </c>
      <c r="E463" s="271">
        <f>VLOOKUP(C463,lookup!$B$2:$F$1240,5)</f>
        <v>400</v>
      </c>
    </row>
    <row r="464" spans="1:5" x14ac:dyDescent="0.25">
      <c r="A464" s="169">
        <v>350</v>
      </c>
      <c r="C464" s="106" t="s">
        <v>1034</v>
      </c>
      <c r="D464" s="269" t="str">
        <f>VLOOKUP(C464,lookup!$B$2:$F$1240,2)</f>
        <v>l.s.</v>
      </c>
      <c r="E464" s="271">
        <f>VLOOKUP(C464,lookup!$B$2:$F$1240,5)</f>
        <v>400</v>
      </c>
    </row>
    <row r="465" spans="1:5" x14ac:dyDescent="0.25">
      <c r="A465" s="169">
        <v>350</v>
      </c>
      <c r="C465" s="106" t="s">
        <v>1034</v>
      </c>
      <c r="D465" s="269" t="str">
        <f>VLOOKUP(C465,lookup!$B$2:$F$1240,2)</f>
        <v>l.s.</v>
      </c>
      <c r="E465" s="271">
        <f>VLOOKUP(C465,lookup!$B$2:$F$1240,5)</f>
        <v>400</v>
      </c>
    </row>
    <row r="466" spans="1:5" x14ac:dyDescent="0.25">
      <c r="A466" s="169">
        <v>350</v>
      </c>
      <c r="C466" s="106" t="s">
        <v>987</v>
      </c>
      <c r="D466" s="269" t="str">
        <f>VLOOKUP(C466,lookup!$B$2:$F$1240,2)</f>
        <v>Cu Yd</v>
      </c>
      <c r="E466" s="271">
        <f>VLOOKUP(C466,lookup!$B$2:$F$1240,5)</f>
        <v>40</v>
      </c>
    </row>
    <row r="467" spans="1:5" x14ac:dyDescent="0.25">
      <c r="A467" s="169">
        <v>350</v>
      </c>
      <c r="C467" s="106" t="s">
        <v>988</v>
      </c>
      <c r="D467" s="269" t="str">
        <f>VLOOKUP(C467,lookup!$B$2:$F$1240,2)</f>
        <v>ton</v>
      </c>
      <c r="E467" s="271">
        <f>VLOOKUP(C467,lookup!$B$2:$F$1240,5)</f>
        <v>20</v>
      </c>
    </row>
    <row r="468" spans="1:5" x14ac:dyDescent="0.25">
      <c r="A468" s="169">
        <v>350</v>
      </c>
      <c r="C468" s="106" t="s">
        <v>2797</v>
      </c>
      <c r="D468" s="269" t="str">
        <f>VLOOKUP(C468,lookup!$B$2:$F$1240,2)</f>
        <v>ton</v>
      </c>
      <c r="E468" s="271">
        <f>VLOOKUP(C468,lookup!$B$2:$F$1240,5)</f>
        <v>20</v>
      </c>
    </row>
    <row r="469" spans="1:5" x14ac:dyDescent="0.25">
      <c r="A469" s="169">
        <v>350</v>
      </c>
      <c r="C469" s="106" t="s">
        <v>2320</v>
      </c>
      <c r="D469" s="269">
        <f>VLOOKUP(C469,lookup!$B$2:$F$1240,2)</f>
        <v>0</v>
      </c>
      <c r="E469" s="271">
        <f>VLOOKUP(C469,lookup!$B$2:$F$1240,5)</f>
        <v>0</v>
      </c>
    </row>
    <row r="470" spans="1:5" x14ac:dyDescent="0.25">
      <c r="A470" s="169">
        <v>350</v>
      </c>
      <c r="C470" s="106" t="s">
        <v>1246</v>
      </c>
      <c r="D470" s="269">
        <f>VLOOKUP(C470,lookup!$B$2:$F$1240,2)</f>
        <v>0</v>
      </c>
      <c r="E470" s="271">
        <f>VLOOKUP(C470,lookup!$B$2:$F$1240,5)</f>
        <v>0</v>
      </c>
    </row>
    <row r="471" spans="1:5" x14ac:dyDescent="0.25">
      <c r="A471" s="169">
        <v>350</v>
      </c>
      <c r="C471" s="106" t="s">
        <v>2708</v>
      </c>
      <c r="D471" s="269">
        <f>VLOOKUP(C471,lookup!$B$2:$F$1240,2)</f>
        <v>0</v>
      </c>
      <c r="E471" s="271">
        <f>VLOOKUP(C471,lookup!$B$2:$F$1240,5)</f>
        <v>0</v>
      </c>
    </row>
    <row r="472" spans="1:5" x14ac:dyDescent="0.25">
      <c r="A472" s="169">
        <v>350</v>
      </c>
      <c r="C472" s="106" t="s">
        <v>2709</v>
      </c>
      <c r="D472" s="269">
        <f>VLOOKUP(C472,lookup!$B$2:$F$1240,2)</f>
        <v>0</v>
      </c>
      <c r="E472" s="271">
        <f>VLOOKUP(C472,lookup!$B$2:$F$1240,5)</f>
        <v>0</v>
      </c>
    </row>
    <row r="473" spans="1:5" x14ac:dyDescent="0.25">
      <c r="A473" s="169">
        <v>350</v>
      </c>
      <c r="C473" s="106" t="s">
        <v>1236</v>
      </c>
      <c r="D473" s="269">
        <f>VLOOKUP(C473,lookup!$B$2:$F$1240,2)</f>
        <v>0</v>
      </c>
      <c r="E473" s="271">
        <f>VLOOKUP(C473,lookup!$B$2:$F$1240,5)</f>
        <v>0</v>
      </c>
    </row>
    <row r="474" spans="1:5" x14ac:dyDescent="0.25">
      <c r="A474" s="169">
        <v>350</v>
      </c>
      <c r="C474" s="106" t="s">
        <v>2319</v>
      </c>
      <c r="D474" s="269">
        <f>VLOOKUP(C474,lookup!$B$2:$F$1240,2)</f>
        <v>0</v>
      </c>
      <c r="E474" s="271">
        <f>VLOOKUP(C474,lookup!$B$2:$F$1240,5)</f>
        <v>0</v>
      </c>
    </row>
    <row r="475" spans="1:5" x14ac:dyDescent="0.25">
      <c r="A475" s="169">
        <v>350</v>
      </c>
      <c r="C475" s="106" t="s">
        <v>1988</v>
      </c>
      <c r="D475" s="269" t="str">
        <f>VLOOKUP(C475,lookup!$B$2:$F$1240,2)</f>
        <v>lin ft</v>
      </c>
      <c r="E475" s="271">
        <f>VLOOKUP(C475,lookup!$B$2:$F$1240,5)</f>
        <v>20</v>
      </c>
    </row>
    <row r="476" spans="1:5" x14ac:dyDescent="0.25">
      <c r="A476" s="169">
        <v>350</v>
      </c>
      <c r="C476" s="106" t="s">
        <v>1989</v>
      </c>
      <c r="D476" s="269" t="str">
        <f>VLOOKUP(C476,lookup!$B$2:$F$1240,2)</f>
        <v>lin ft</v>
      </c>
      <c r="E476" s="271">
        <f>VLOOKUP(C476,lookup!$B$2:$F$1240,5)</f>
        <v>20</v>
      </c>
    </row>
    <row r="477" spans="1:5" x14ac:dyDescent="0.25">
      <c r="A477" s="169">
        <v>350</v>
      </c>
      <c r="C477" s="106" t="s">
        <v>2195</v>
      </c>
      <c r="D477" s="269" t="str">
        <f>VLOOKUP(C477,lookup!$B$2:$F$1240,2)</f>
        <v>lin ft</v>
      </c>
      <c r="E477" s="271">
        <f>VLOOKUP(C477,lookup!$B$2:$F$1240,5)</f>
        <v>20</v>
      </c>
    </row>
    <row r="478" spans="1:5" x14ac:dyDescent="0.25">
      <c r="A478" s="169">
        <v>350</v>
      </c>
      <c r="C478" s="106" t="s">
        <v>2196</v>
      </c>
      <c r="D478" s="269" t="str">
        <f>VLOOKUP(C478,lookup!$B$2:$F$1240,2)</f>
        <v>lin ft</v>
      </c>
      <c r="E478" s="271">
        <f>VLOOKUP(C478,lookup!$B$2:$F$1240,5)</f>
        <v>20</v>
      </c>
    </row>
    <row r="479" spans="1:5" x14ac:dyDescent="0.25">
      <c r="A479" s="169">
        <v>350</v>
      </c>
      <c r="C479" s="106" t="s">
        <v>2193</v>
      </c>
      <c r="D479" s="269" t="str">
        <f>VLOOKUP(C479,lookup!$B$2:$F$1240,2)</f>
        <v>lin ft</v>
      </c>
      <c r="E479" s="271">
        <f>VLOOKUP(C479,lookup!$B$2:$F$1240,5)</f>
        <v>20</v>
      </c>
    </row>
    <row r="480" spans="1:5" x14ac:dyDescent="0.25">
      <c r="A480" s="169">
        <v>350</v>
      </c>
      <c r="C480" s="106" t="s">
        <v>2194</v>
      </c>
      <c r="D480" s="269" t="str">
        <f>VLOOKUP(C480,lookup!$B$2:$F$1240,2)</f>
        <v>lin ft</v>
      </c>
      <c r="E480" s="271">
        <f>VLOOKUP(C480,lookup!$B$2:$F$1240,5)</f>
        <v>20</v>
      </c>
    </row>
    <row r="481" spans="1:5" x14ac:dyDescent="0.25">
      <c r="A481" s="169">
        <v>350</v>
      </c>
      <c r="C481" s="106" t="s">
        <v>600</v>
      </c>
      <c r="D481" s="269" t="str">
        <f>VLOOKUP(C481,lookup!$B$2:$F$1240,2)</f>
        <v>lin ft</v>
      </c>
      <c r="E481" s="271">
        <f>VLOOKUP(C481,lookup!$B$2:$F$1240,5)</f>
        <v>20</v>
      </c>
    </row>
    <row r="482" spans="1:5" x14ac:dyDescent="0.25">
      <c r="A482" s="169">
        <v>350</v>
      </c>
      <c r="C482" s="106" t="s">
        <v>1371</v>
      </c>
      <c r="D482" s="269" t="str">
        <f>VLOOKUP(C482,lookup!$B$2:$F$1240,2)</f>
        <v>lin ft</v>
      </c>
      <c r="E482" s="271">
        <f>VLOOKUP(C482,lookup!$B$2:$F$1240,5)</f>
        <v>20</v>
      </c>
    </row>
    <row r="483" spans="1:5" x14ac:dyDescent="0.25">
      <c r="A483" s="169">
        <v>350</v>
      </c>
      <c r="C483" s="106" t="s">
        <v>1372</v>
      </c>
      <c r="D483" s="269" t="str">
        <f>VLOOKUP(C483,lookup!$B$2:$F$1240,2)</f>
        <v>lin ft</v>
      </c>
      <c r="E483" s="271">
        <f>VLOOKUP(C483,lookup!$B$2:$F$1240,5)</f>
        <v>20</v>
      </c>
    </row>
    <row r="484" spans="1:5" ht="22.8" x14ac:dyDescent="0.25">
      <c r="A484" s="169">
        <v>350</v>
      </c>
      <c r="C484" s="106" t="s">
        <v>1187</v>
      </c>
      <c r="D484" s="269" t="str">
        <f>VLOOKUP(C484,lookup!$B$2:$F$1240,2)</f>
        <v>lin ft</v>
      </c>
      <c r="E484" s="271">
        <f>VLOOKUP(C484,lookup!$B$2:$F$1240,5)</f>
        <v>20</v>
      </c>
    </row>
    <row r="485" spans="1:5" ht="22.8" x14ac:dyDescent="0.25">
      <c r="A485" s="169">
        <v>350</v>
      </c>
      <c r="C485" s="106" t="s">
        <v>1228</v>
      </c>
      <c r="D485" s="269" t="str">
        <f>VLOOKUP(C485,lookup!$B$2:$F$1240,2)</f>
        <v>lin ft</v>
      </c>
      <c r="E485" s="271">
        <f>VLOOKUP(C485,lookup!$B$2:$F$1240,5)</f>
        <v>20</v>
      </c>
    </row>
    <row r="486" spans="1:5" ht="22.8" x14ac:dyDescent="0.25">
      <c r="A486" s="169">
        <v>350</v>
      </c>
      <c r="C486" s="106" t="s">
        <v>203</v>
      </c>
      <c r="D486" s="269" t="str">
        <f>VLOOKUP(C486,lookup!$B$2:$F$1240,2)</f>
        <v>lin ft</v>
      </c>
      <c r="E486" s="271">
        <f>VLOOKUP(C486,lookup!$B$2:$F$1240,5)</f>
        <v>20</v>
      </c>
    </row>
    <row r="487" spans="1:5" ht="22.8" x14ac:dyDescent="0.25">
      <c r="A487" s="169">
        <v>350</v>
      </c>
      <c r="C487" s="106" t="s">
        <v>1229</v>
      </c>
      <c r="D487" s="269" t="str">
        <f>VLOOKUP(C487,lookup!$B$2:$F$1240,2)</f>
        <v>lin ft</v>
      </c>
      <c r="E487" s="271">
        <f>VLOOKUP(C487,lookup!$B$2:$F$1240,5)</f>
        <v>20</v>
      </c>
    </row>
    <row r="488" spans="1:5" ht="22.8" x14ac:dyDescent="0.25">
      <c r="A488" s="169">
        <v>350</v>
      </c>
      <c r="C488" s="106" t="s">
        <v>1188</v>
      </c>
      <c r="D488" s="269" t="str">
        <f>VLOOKUP(C488,lookup!$B$2:$F$1240,2)</f>
        <v>lin ft</v>
      </c>
      <c r="E488" s="271">
        <f>VLOOKUP(C488,lookup!$B$2:$F$1240,5)</f>
        <v>20</v>
      </c>
    </row>
    <row r="489" spans="1:5" ht="22.8" x14ac:dyDescent="0.25">
      <c r="A489" s="169">
        <v>350</v>
      </c>
      <c r="C489" s="106" t="s">
        <v>2363</v>
      </c>
      <c r="D489" s="269" t="str">
        <f>VLOOKUP(C489,lookup!$B$2:$F$1240,2)</f>
        <v>lin ft</v>
      </c>
      <c r="E489" s="271">
        <f>VLOOKUP(C489,lookup!$B$2:$F$1240,5)</f>
        <v>20</v>
      </c>
    </row>
    <row r="490" spans="1:5" ht="22.8" x14ac:dyDescent="0.25">
      <c r="A490" s="169">
        <v>350</v>
      </c>
      <c r="C490" s="106" t="s">
        <v>2364</v>
      </c>
      <c r="D490" s="269" t="str">
        <f>VLOOKUP(C490,lookup!$B$2:$F$1240,2)</f>
        <v>lin ft</v>
      </c>
      <c r="E490" s="271">
        <f>VLOOKUP(C490,lookup!$B$2:$F$1240,5)</f>
        <v>20</v>
      </c>
    </row>
    <row r="491" spans="1:5" ht="22.8" x14ac:dyDescent="0.25">
      <c r="A491" s="169">
        <v>350</v>
      </c>
      <c r="C491" s="106" t="s">
        <v>1374</v>
      </c>
      <c r="D491" s="269" t="str">
        <f>VLOOKUP(C491,lookup!$B$2:$F$1240,2)</f>
        <v>lin ft</v>
      </c>
      <c r="E491" s="271">
        <f>VLOOKUP(C491,lookup!$B$2:$F$1240,5)</f>
        <v>20</v>
      </c>
    </row>
    <row r="492" spans="1:5" ht="22.8" x14ac:dyDescent="0.25">
      <c r="A492" s="169">
        <v>350</v>
      </c>
      <c r="C492" s="106" t="s">
        <v>1375</v>
      </c>
      <c r="D492" s="269" t="str">
        <f>VLOOKUP(C492,lookup!$B$2:$F$1240,2)</f>
        <v>lin ft</v>
      </c>
      <c r="E492" s="271">
        <f>VLOOKUP(C492,lookup!$B$2:$F$1240,5)</f>
        <v>20</v>
      </c>
    </row>
    <row r="493" spans="1:5" ht="22.8" x14ac:dyDescent="0.25">
      <c r="A493" s="169">
        <v>350</v>
      </c>
      <c r="C493" s="106" t="s">
        <v>1184</v>
      </c>
      <c r="D493" s="269" t="str">
        <f>VLOOKUP(C493,lookup!$B$2:$F$1240,2)</f>
        <v>lin ft</v>
      </c>
      <c r="E493" s="271">
        <f>VLOOKUP(C493,lookup!$B$2:$F$1240,5)</f>
        <v>20</v>
      </c>
    </row>
    <row r="494" spans="1:5" ht="22.8" x14ac:dyDescent="0.25">
      <c r="A494" s="169">
        <v>350</v>
      </c>
      <c r="C494" s="106" t="s">
        <v>1225</v>
      </c>
      <c r="D494" s="269" t="str">
        <f>VLOOKUP(C494,lookup!$B$2:$F$1240,2)</f>
        <v>lin ft</v>
      </c>
      <c r="E494" s="271">
        <f>VLOOKUP(C494,lookup!$B$2:$F$1240,5)</f>
        <v>20</v>
      </c>
    </row>
    <row r="495" spans="1:5" ht="22.8" x14ac:dyDescent="0.25">
      <c r="A495" s="169">
        <v>350</v>
      </c>
      <c r="C495" s="106" t="s">
        <v>1185</v>
      </c>
      <c r="D495" s="269" t="str">
        <f>VLOOKUP(C495,lookup!$B$2:$F$1240,2)</f>
        <v>lin ft</v>
      </c>
      <c r="E495" s="271">
        <f>VLOOKUP(C495,lookup!$B$2:$F$1240,5)</f>
        <v>20</v>
      </c>
    </row>
    <row r="496" spans="1:5" ht="22.8" x14ac:dyDescent="0.25">
      <c r="A496" s="169">
        <v>350</v>
      </c>
      <c r="C496" s="106" t="s">
        <v>1226</v>
      </c>
      <c r="D496" s="269" t="str">
        <f>VLOOKUP(C496,lookup!$B$2:$F$1240,2)</f>
        <v>lin ft</v>
      </c>
      <c r="E496" s="271">
        <f>VLOOKUP(C496,lookup!$B$2:$F$1240,5)</f>
        <v>20</v>
      </c>
    </row>
    <row r="497" spans="1:5" ht="22.8" x14ac:dyDescent="0.25">
      <c r="A497" s="169">
        <v>350</v>
      </c>
      <c r="C497" s="106" t="s">
        <v>1186</v>
      </c>
      <c r="D497" s="269" t="str">
        <f>VLOOKUP(C497,lookup!$B$2:$F$1240,2)</f>
        <v>lin ft</v>
      </c>
      <c r="E497" s="271">
        <f>VLOOKUP(C497,lookup!$B$2:$F$1240,5)</f>
        <v>20</v>
      </c>
    </row>
    <row r="498" spans="1:5" ht="22.8" x14ac:dyDescent="0.25">
      <c r="A498" s="169">
        <v>350</v>
      </c>
      <c r="C498" s="106" t="s">
        <v>1227</v>
      </c>
      <c r="D498" s="269" t="str">
        <f>VLOOKUP(C498,lookup!$B$2:$F$1240,2)</f>
        <v>lin ft</v>
      </c>
      <c r="E498" s="271">
        <f>VLOOKUP(C498,lookup!$B$2:$F$1240,5)</f>
        <v>20</v>
      </c>
    </row>
    <row r="499" spans="1:5" ht="22.8" x14ac:dyDescent="0.25">
      <c r="A499" s="169">
        <v>350</v>
      </c>
      <c r="C499" s="106" t="s">
        <v>2655</v>
      </c>
      <c r="D499" s="269" t="str">
        <f>VLOOKUP(C499,lookup!$B$2:$F$1240,2)</f>
        <v>lin ft</v>
      </c>
      <c r="E499" s="271">
        <f>VLOOKUP(C499,lookup!$B$2:$F$1240,5)</f>
        <v>20</v>
      </c>
    </row>
    <row r="500" spans="1:5" ht="22.8" x14ac:dyDescent="0.25">
      <c r="A500" s="169">
        <v>350</v>
      </c>
      <c r="C500" s="106" t="s">
        <v>1309</v>
      </c>
      <c r="D500" s="269" t="str">
        <f>VLOOKUP(C500,lookup!$B$2:$F$1240,2)</f>
        <v>lin ft</v>
      </c>
      <c r="E500" s="271">
        <f>VLOOKUP(C500,lookup!$B$2:$F$1240,5)</f>
        <v>20</v>
      </c>
    </row>
    <row r="501" spans="1:5" ht="22.8" x14ac:dyDescent="0.25">
      <c r="A501" s="169">
        <v>350</v>
      </c>
      <c r="C501" s="106" t="s">
        <v>2656</v>
      </c>
      <c r="D501" s="269" t="str">
        <f>VLOOKUP(C501,lookup!$B$2:$F$1240,2)</f>
        <v>lin ft</v>
      </c>
      <c r="E501" s="271">
        <f>VLOOKUP(C501,lookup!$B$2:$F$1240,5)</f>
        <v>20</v>
      </c>
    </row>
    <row r="502" spans="1:5" ht="22.8" x14ac:dyDescent="0.25">
      <c r="A502" s="169">
        <v>350</v>
      </c>
      <c r="C502" s="106" t="s">
        <v>214</v>
      </c>
      <c r="D502" s="269" t="str">
        <f>VLOOKUP(C502,lookup!$B$2:$F$1240,2)</f>
        <v>lin ft</v>
      </c>
      <c r="E502" s="271">
        <f>VLOOKUP(C502,lookup!$B$2:$F$1240,5)</f>
        <v>20</v>
      </c>
    </row>
    <row r="503" spans="1:5" ht="22.8" x14ac:dyDescent="0.25">
      <c r="A503" s="169">
        <v>350</v>
      </c>
      <c r="C503" s="106" t="s">
        <v>1481</v>
      </c>
      <c r="D503" s="269" t="str">
        <f>VLOOKUP(C503,lookup!$B$2:$F$1240,2)</f>
        <v>lin ft</v>
      </c>
      <c r="E503" s="271">
        <f>VLOOKUP(C503,lookup!$B$2:$F$1240,5)</f>
        <v>20</v>
      </c>
    </row>
    <row r="504" spans="1:5" ht="22.8" x14ac:dyDescent="0.25">
      <c r="A504" s="169">
        <v>350</v>
      </c>
      <c r="C504" s="106" t="s">
        <v>2168</v>
      </c>
      <c r="D504" s="269" t="str">
        <f>VLOOKUP(C504,lookup!$B$2:$F$1240,2)</f>
        <v>lin ft</v>
      </c>
      <c r="E504" s="271">
        <f>VLOOKUP(C504,lookup!$B$2:$F$1240,5)</f>
        <v>20</v>
      </c>
    </row>
    <row r="505" spans="1:5" ht="22.8" x14ac:dyDescent="0.25">
      <c r="A505" s="169">
        <v>350</v>
      </c>
      <c r="C505" s="106" t="s">
        <v>438</v>
      </c>
      <c r="D505" s="269" t="str">
        <f>VLOOKUP(C505,lookup!$B$2:$F$1240,2)</f>
        <v>lin ft</v>
      </c>
      <c r="E505" s="271">
        <f>VLOOKUP(C505,lookup!$B$2:$F$1240,5)</f>
        <v>20</v>
      </c>
    </row>
    <row r="506" spans="1:5" ht="22.8" x14ac:dyDescent="0.25">
      <c r="A506" s="169">
        <v>350</v>
      </c>
      <c r="C506" s="106" t="s">
        <v>1981</v>
      </c>
      <c r="D506" s="269" t="str">
        <f>VLOOKUP(C506,lookup!$B$2:$F$1240,2)</f>
        <v>lin ft</v>
      </c>
      <c r="E506" s="271">
        <f>VLOOKUP(C506,lookup!$B$2:$F$1240,5)</f>
        <v>20</v>
      </c>
    </row>
    <row r="507" spans="1:5" ht="22.8" x14ac:dyDescent="0.25">
      <c r="A507" s="169">
        <v>350</v>
      </c>
      <c r="C507" s="106" t="s">
        <v>1397</v>
      </c>
      <c r="D507" s="269" t="str">
        <f>VLOOKUP(C507,lookup!$B$2:$F$1240,2)</f>
        <v>lin ft</v>
      </c>
      <c r="E507" s="271">
        <f>VLOOKUP(C507,lookup!$B$2:$F$1240,5)</f>
        <v>20</v>
      </c>
    </row>
    <row r="508" spans="1:5" ht="22.8" x14ac:dyDescent="0.25">
      <c r="A508" s="169">
        <v>350</v>
      </c>
      <c r="C508" s="106" t="s">
        <v>1982</v>
      </c>
      <c r="D508" s="269" t="str">
        <f>VLOOKUP(C508,lookup!$B$2:$F$1240,2)</f>
        <v>lin ft</v>
      </c>
      <c r="E508" s="271">
        <f>VLOOKUP(C508,lookup!$B$2:$F$1240,5)</f>
        <v>20</v>
      </c>
    </row>
    <row r="509" spans="1:5" x14ac:dyDescent="0.25">
      <c r="A509" s="169">
        <v>350</v>
      </c>
      <c r="C509" s="106" t="s">
        <v>1341</v>
      </c>
      <c r="D509" s="269" t="str">
        <f>VLOOKUP(C509,lookup!$B$2:$F$1240,2)</f>
        <v>ft</v>
      </c>
      <c r="E509" s="271">
        <f>VLOOKUP(C509,lookup!$B$2:$F$1240,5)</f>
        <v>2</v>
      </c>
    </row>
    <row r="510" spans="1:5" x14ac:dyDescent="0.25">
      <c r="A510" s="169">
        <v>350</v>
      </c>
      <c r="C510" s="106" t="s">
        <v>2540</v>
      </c>
      <c r="D510" s="269" t="str">
        <f>VLOOKUP(C510,lookup!$B$2:$F$1240,2)</f>
        <v>ft</v>
      </c>
      <c r="E510" s="271">
        <f>VLOOKUP(C510,lookup!$B$2:$F$1240,5)</f>
        <v>2</v>
      </c>
    </row>
    <row r="511" spans="1:5" x14ac:dyDescent="0.25">
      <c r="A511" s="169">
        <v>350</v>
      </c>
      <c r="C511" s="106" t="s">
        <v>2541</v>
      </c>
      <c r="D511" s="269" t="str">
        <f>VLOOKUP(C511,lookup!$B$2:$F$1240,2)</f>
        <v>ft</v>
      </c>
      <c r="E511" s="271">
        <f>VLOOKUP(C511,lookup!$B$2:$F$1240,5)</f>
        <v>2</v>
      </c>
    </row>
    <row r="512" spans="1:5" x14ac:dyDescent="0.25">
      <c r="A512" s="169">
        <v>350</v>
      </c>
      <c r="C512" s="106" t="s">
        <v>2542</v>
      </c>
      <c r="D512" s="269" t="str">
        <f>VLOOKUP(C512,lookup!$B$2:$F$1240,2)</f>
        <v>ft</v>
      </c>
      <c r="E512" s="271">
        <f>VLOOKUP(C512,lookup!$B$2:$F$1240,5)</f>
        <v>2</v>
      </c>
    </row>
    <row r="513" spans="1:5" x14ac:dyDescent="0.25">
      <c r="A513" s="169">
        <v>350</v>
      </c>
      <c r="C513" s="106" t="s">
        <v>1604</v>
      </c>
      <c r="D513" s="269" t="str">
        <f>VLOOKUP(C513,lookup!$B$2:$F$1240,2)</f>
        <v>ft</v>
      </c>
      <c r="E513" s="271">
        <f>VLOOKUP(C513,lookup!$B$2:$F$1240,5)</f>
        <v>2</v>
      </c>
    </row>
    <row r="514" spans="1:5" x14ac:dyDescent="0.25">
      <c r="A514" s="169">
        <v>350</v>
      </c>
      <c r="C514" s="106" t="s">
        <v>1605</v>
      </c>
      <c r="D514" s="269" t="str">
        <f>VLOOKUP(C514,lookup!$B$2:$F$1240,2)</f>
        <v>ft</v>
      </c>
      <c r="E514" s="271">
        <f>VLOOKUP(C514,lookup!$B$2:$F$1240,5)</f>
        <v>2</v>
      </c>
    </row>
    <row r="515" spans="1:5" x14ac:dyDescent="0.25">
      <c r="A515" s="169">
        <v>350</v>
      </c>
      <c r="C515" s="106" t="s">
        <v>1004</v>
      </c>
      <c r="D515" s="269" t="str">
        <f>VLOOKUP(C515,lookup!$B$2:$F$1240,2)</f>
        <v>ft</v>
      </c>
      <c r="E515" s="271">
        <f>VLOOKUP(C515,lookup!$B$2:$F$1240,5)</f>
        <v>2</v>
      </c>
    </row>
    <row r="516" spans="1:5" x14ac:dyDescent="0.25">
      <c r="A516" s="169">
        <v>350</v>
      </c>
      <c r="C516" s="106" t="s">
        <v>1622</v>
      </c>
      <c r="D516" s="269" t="str">
        <f>VLOOKUP(C516,lookup!$B$2:$F$1240,2)</f>
        <v>ft</v>
      </c>
      <c r="E516" s="271">
        <f>VLOOKUP(C516,lookup!$B$2:$F$1240,5)</f>
        <v>2</v>
      </c>
    </row>
    <row r="517" spans="1:5" x14ac:dyDescent="0.25">
      <c r="A517" s="169">
        <v>350</v>
      </c>
      <c r="C517" s="106" t="s">
        <v>231</v>
      </c>
      <c r="D517" s="269" t="str">
        <f>VLOOKUP(C517,lookup!$B$2:$F$1240,2)</f>
        <v>ft</v>
      </c>
      <c r="E517" s="271">
        <f>VLOOKUP(C517,lookup!$B$2:$F$1240,5)</f>
        <v>2</v>
      </c>
    </row>
    <row r="518" spans="1:5" ht="22.8" x14ac:dyDescent="0.25">
      <c r="A518" s="169">
        <v>350</v>
      </c>
      <c r="C518" s="106" t="s">
        <v>2761</v>
      </c>
      <c r="D518" s="269" t="str">
        <f>VLOOKUP(C518,lookup!$B$2:$F$1240,2)</f>
        <v>ea.</v>
      </c>
      <c r="E518" s="271">
        <f>VLOOKUP(C518,lookup!$B$2:$F$1240,5)</f>
        <v>2220</v>
      </c>
    </row>
    <row r="519" spans="1:5" ht="22.8" x14ac:dyDescent="0.25">
      <c r="A519" s="169">
        <v>350</v>
      </c>
      <c r="C519" s="106" t="s">
        <v>2762</v>
      </c>
      <c r="D519" s="269" t="str">
        <f>VLOOKUP(C519,lookup!$B$2:$F$1240,2)</f>
        <v>ea.</v>
      </c>
      <c r="E519" s="271">
        <f>VLOOKUP(C519,lookup!$B$2:$F$1240,5)</f>
        <v>2220</v>
      </c>
    </row>
    <row r="520" spans="1:5" ht="22.8" x14ac:dyDescent="0.25">
      <c r="A520" s="169">
        <v>350</v>
      </c>
      <c r="C520" s="106" t="s">
        <v>2763</v>
      </c>
      <c r="D520" s="269" t="str">
        <f>VLOOKUP(C520,lookup!$B$2:$F$1240,2)</f>
        <v>ea.</v>
      </c>
      <c r="E520" s="271">
        <f>VLOOKUP(C520,lookup!$B$2:$F$1240,5)</f>
        <v>2440</v>
      </c>
    </row>
    <row r="521" spans="1:5" ht="22.8" x14ac:dyDescent="0.25">
      <c r="A521" s="169">
        <v>350</v>
      </c>
      <c r="C521" s="106" t="s">
        <v>2764</v>
      </c>
      <c r="D521" s="269" t="str">
        <f>VLOOKUP(C521,lookup!$B$2:$F$1240,2)</f>
        <v>ea.</v>
      </c>
      <c r="E521" s="271">
        <f>VLOOKUP(C521,lookup!$B$2:$F$1240,5)</f>
        <v>2440</v>
      </c>
    </row>
    <row r="522" spans="1:5" ht="22.8" x14ac:dyDescent="0.25">
      <c r="A522" s="169">
        <v>350</v>
      </c>
      <c r="C522" s="106" t="s">
        <v>2765</v>
      </c>
      <c r="D522" s="269" t="str">
        <f>VLOOKUP(C522,lookup!$B$2:$F$1240,2)</f>
        <v>ea.</v>
      </c>
      <c r="E522" s="271">
        <f>VLOOKUP(C522,lookup!$B$2:$F$1240,5)</f>
        <v>2610</v>
      </c>
    </row>
    <row r="523" spans="1:5" ht="22.8" x14ac:dyDescent="0.25">
      <c r="A523" s="169">
        <v>350</v>
      </c>
      <c r="C523" s="106" t="s">
        <v>2766</v>
      </c>
      <c r="D523" s="269" t="str">
        <f>VLOOKUP(C523,lookup!$B$2:$F$1240,2)</f>
        <v>ea.</v>
      </c>
      <c r="E523" s="271">
        <f>VLOOKUP(C523,lookup!$B$2:$F$1240,5)</f>
        <v>2610</v>
      </c>
    </row>
    <row r="524" spans="1:5" ht="22.8" x14ac:dyDescent="0.25">
      <c r="A524" s="169">
        <v>350</v>
      </c>
      <c r="C524" s="106" t="s">
        <v>2767</v>
      </c>
      <c r="D524" s="269" t="str">
        <f>VLOOKUP(C524,lookup!$B$2:$F$1240,2)</f>
        <v>ea.</v>
      </c>
      <c r="E524" s="271">
        <f>VLOOKUP(C524,lookup!$B$2:$F$1240,5)</f>
        <v>2220</v>
      </c>
    </row>
    <row r="525" spans="1:5" ht="22.8" x14ac:dyDescent="0.25">
      <c r="A525" s="169">
        <v>350</v>
      </c>
      <c r="C525" s="106" t="s">
        <v>2768</v>
      </c>
      <c r="D525" s="269" t="str">
        <f>VLOOKUP(C525,lookup!$B$2:$F$1240,2)</f>
        <v>ea.</v>
      </c>
      <c r="E525" s="271">
        <f>VLOOKUP(C525,lookup!$B$2:$F$1240,5)</f>
        <v>2220</v>
      </c>
    </row>
    <row r="526" spans="1:5" ht="22.8" x14ac:dyDescent="0.25">
      <c r="A526" s="169">
        <v>350</v>
      </c>
      <c r="C526" s="106" t="s">
        <v>2769</v>
      </c>
      <c r="D526" s="269" t="str">
        <f>VLOOKUP(C526,lookup!$B$2:$F$1240,2)</f>
        <v>ea.</v>
      </c>
      <c r="E526" s="271">
        <f>VLOOKUP(C526,lookup!$B$2:$F$1240,5)</f>
        <v>2370</v>
      </c>
    </row>
    <row r="527" spans="1:5" ht="22.8" x14ac:dyDescent="0.25">
      <c r="A527" s="169">
        <v>350</v>
      </c>
      <c r="C527" s="106" t="s">
        <v>2120</v>
      </c>
      <c r="D527" s="269" t="str">
        <f>VLOOKUP(C527,lookup!$B$2:$F$1240,2)</f>
        <v>ea.</v>
      </c>
      <c r="E527" s="271">
        <f>VLOOKUP(C527,lookup!$B$2:$F$1240,5)</f>
        <v>2370</v>
      </c>
    </row>
    <row r="528" spans="1:5" ht="22.8" x14ac:dyDescent="0.25">
      <c r="A528" s="169">
        <v>350</v>
      </c>
      <c r="C528" s="106" t="s">
        <v>2694</v>
      </c>
      <c r="D528" s="269" t="str">
        <f>VLOOKUP(C528,lookup!$B$2:$F$1240,2)</f>
        <v>ea.</v>
      </c>
      <c r="E528" s="271">
        <f>VLOOKUP(C528,lookup!$B$2:$F$1240,5)</f>
        <v>2420</v>
      </c>
    </row>
    <row r="529" spans="1:5" ht="22.8" x14ac:dyDescent="0.25">
      <c r="A529" s="169">
        <v>350</v>
      </c>
      <c r="C529" s="106" t="s">
        <v>2695</v>
      </c>
      <c r="D529" s="269" t="str">
        <f>VLOOKUP(C529,lookup!$B$2:$F$1240,2)</f>
        <v>ea.</v>
      </c>
      <c r="E529" s="271">
        <f>VLOOKUP(C529,lookup!$B$2:$F$1240,5)</f>
        <v>2420</v>
      </c>
    </row>
    <row r="530" spans="1:5" x14ac:dyDescent="0.25">
      <c r="A530" s="169">
        <v>350</v>
      </c>
      <c r="C530" s="106" t="s">
        <v>1996</v>
      </c>
      <c r="D530" s="269" t="str">
        <f>VLOOKUP(C530,lookup!$B$2:$F$1240,2)</f>
        <v>ton</v>
      </c>
      <c r="E530" s="271">
        <f>VLOOKUP(C530,lookup!$B$2:$F$1240,5)</f>
        <v>21.63</v>
      </c>
    </row>
    <row r="531" spans="1:5" x14ac:dyDescent="0.25">
      <c r="A531" s="169">
        <v>350</v>
      </c>
      <c r="C531" s="106" t="s">
        <v>1997</v>
      </c>
      <c r="D531" s="269" t="str">
        <f>VLOOKUP(C531,lookup!$B$2:$F$1240,2)</f>
        <v>ton</v>
      </c>
      <c r="E531" s="271">
        <f>VLOOKUP(C531,lookup!$B$2:$F$1240,5)</f>
        <v>21.63</v>
      </c>
    </row>
    <row r="532" spans="1:5" x14ac:dyDescent="0.25">
      <c r="A532" s="169">
        <v>350</v>
      </c>
      <c r="C532" s="106" t="s">
        <v>1998</v>
      </c>
      <c r="D532" s="269" t="str">
        <f>VLOOKUP(C532,lookup!$B$2:$F$1240,2)</f>
        <v>ton</v>
      </c>
      <c r="E532" s="271">
        <f>VLOOKUP(C532,lookup!$B$2:$F$1240,5)</f>
        <v>21.63</v>
      </c>
    </row>
    <row r="533" spans="1:5" x14ac:dyDescent="0.25">
      <c r="A533" s="169">
        <v>350</v>
      </c>
      <c r="C533" s="106" t="s">
        <v>1999</v>
      </c>
      <c r="D533" s="269" t="str">
        <f>VLOOKUP(C533,lookup!$B$2:$F$1240,2)</f>
        <v>ton</v>
      </c>
      <c r="E533" s="271">
        <f>VLOOKUP(C533,lookup!$B$2:$F$1240,5)</f>
        <v>21.63</v>
      </c>
    </row>
    <row r="534" spans="1:5" x14ac:dyDescent="0.25">
      <c r="A534" s="169">
        <v>350</v>
      </c>
      <c r="C534" s="106" t="s">
        <v>2786</v>
      </c>
      <c r="D534" s="269" t="str">
        <f>VLOOKUP(C534,lookup!$B$2:$F$1240,2)</f>
        <v>ton</v>
      </c>
      <c r="E534" s="271">
        <f>VLOOKUP(C534,lookup!$B$2:$F$1240,5)</f>
        <v>21.63</v>
      </c>
    </row>
    <row r="535" spans="1:5" x14ac:dyDescent="0.25">
      <c r="A535" s="169">
        <v>350</v>
      </c>
      <c r="C535" s="106" t="s">
        <v>2784</v>
      </c>
      <c r="D535" s="269" t="str">
        <f>VLOOKUP(C535,lookup!$B$2:$F$1240,2)</f>
        <v>ton</v>
      </c>
      <c r="E535" s="271">
        <f>VLOOKUP(C535,lookup!$B$2:$F$1240,5)</f>
        <v>21.63</v>
      </c>
    </row>
    <row r="536" spans="1:5" x14ac:dyDescent="0.25">
      <c r="A536" s="169">
        <v>350</v>
      </c>
      <c r="C536" s="106" t="s">
        <v>699</v>
      </c>
      <c r="D536" s="269" t="str">
        <f>VLOOKUP(C536,lookup!$B$2:$F$1240,2)</f>
        <v>ea.</v>
      </c>
      <c r="E536" s="271">
        <f>VLOOKUP(C536,lookup!$B$2:$F$1240,5)</f>
        <v>30</v>
      </c>
    </row>
    <row r="537" spans="1:5" x14ac:dyDescent="0.25">
      <c r="A537" s="169">
        <v>350</v>
      </c>
      <c r="C537" s="106" t="s">
        <v>700</v>
      </c>
      <c r="D537" s="269" t="str">
        <f>VLOOKUP(C537,lookup!$B$2:$F$1240,2)</f>
        <v>ea.</v>
      </c>
      <c r="E537" s="271">
        <f>VLOOKUP(C537,lookup!$B$2:$F$1240,5)</f>
        <v>32</v>
      </c>
    </row>
    <row r="538" spans="1:5" x14ac:dyDescent="0.25">
      <c r="A538" s="169">
        <v>350</v>
      </c>
      <c r="C538" s="106" t="s">
        <v>701</v>
      </c>
      <c r="D538" s="269" t="str">
        <f>VLOOKUP(C538,lookup!$B$2:$F$1240,2)</f>
        <v>ea.</v>
      </c>
      <c r="E538" s="271">
        <f>VLOOKUP(C538,lookup!$B$2:$F$1240,5)</f>
        <v>46</v>
      </c>
    </row>
    <row r="539" spans="1:5" x14ac:dyDescent="0.25">
      <c r="A539" s="169">
        <v>350</v>
      </c>
      <c r="C539" s="106" t="s">
        <v>702</v>
      </c>
      <c r="D539" s="269" t="str">
        <f>VLOOKUP(C539,lookup!$B$2:$F$1240,2)</f>
        <v>ea.</v>
      </c>
      <c r="E539" s="271">
        <f>VLOOKUP(C539,lookup!$B$2:$F$1240,5)</f>
        <v>21</v>
      </c>
    </row>
    <row r="540" spans="1:5" x14ac:dyDescent="0.25">
      <c r="A540" s="169">
        <v>350</v>
      </c>
      <c r="C540" s="106" t="s">
        <v>703</v>
      </c>
      <c r="D540" s="269" t="str">
        <f>VLOOKUP(C540,lookup!$B$2:$F$1240,2)</f>
        <v>ea.</v>
      </c>
      <c r="E540" s="271">
        <f>VLOOKUP(C540,lookup!$B$2:$F$1240,5)</f>
        <v>23</v>
      </c>
    </row>
    <row r="541" spans="1:5" x14ac:dyDescent="0.25">
      <c r="A541" s="169">
        <v>350</v>
      </c>
      <c r="C541" s="106" t="s">
        <v>704</v>
      </c>
      <c r="D541" s="269" t="str">
        <f>VLOOKUP(C541,lookup!$B$2:$F$1240,2)</f>
        <v>ea.</v>
      </c>
      <c r="E541" s="271">
        <f>VLOOKUP(C541,lookup!$B$2:$F$1240,5)</f>
        <v>26</v>
      </c>
    </row>
    <row r="542" spans="1:5" x14ac:dyDescent="0.25">
      <c r="A542" s="169">
        <v>350</v>
      </c>
      <c r="C542" s="106" t="s">
        <v>2712</v>
      </c>
      <c r="D542" s="269" t="str">
        <f>VLOOKUP(C542,lookup!$B$2:$F$1240,2)</f>
        <v>Cu Yd</v>
      </c>
      <c r="E542" s="271">
        <f>VLOOKUP(C542,lookup!$B$2:$F$1240,5)</f>
        <v>3.5</v>
      </c>
    </row>
    <row r="543" spans="1:5" ht="22.8" x14ac:dyDescent="0.25">
      <c r="A543" s="169">
        <v>350</v>
      </c>
      <c r="C543" s="106" t="s">
        <v>906</v>
      </c>
      <c r="D543" s="269">
        <f>VLOOKUP(C543,lookup!$B$2:$F$1240,2)</f>
        <v>0</v>
      </c>
      <c r="E543" s="271">
        <f>VLOOKUP(C543,lookup!$B$2:$F$1240,5)</f>
        <v>0</v>
      </c>
    </row>
    <row r="544" spans="1:5" ht="22.8" x14ac:dyDescent="0.25">
      <c r="A544" s="169">
        <v>350</v>
      </c>
      <c r="C544" s="106" t="s">
        <v>907</v>
      </c>
      <c r="D544" s="269" t="str">
        <f>VLOOKUP(C544,lookup!$B$2:$F$1240,2)</f>
        <v>sq ft</v>
      </c>
      <c r="E544" s="271">
        <f>VLOOKUP(C544,lookup!$B$2:$F$1240,5)</f>
        <v>0</v>
      </c>
    </row>
    <row r="545" spans="1:5" ht="22.8" x14ac:dyDescent="0.25">
      <c r="A545" s="169">
        <v>350</v>
      </c>
      <c r="C545" s="106" t="s">
        <v>1781</v>
      </c>
      <c r="D545" s="269">
        <f>VLOOKUP(C545,lookup!$B$2:$F$1240,2)</f>
        <v>0</v>
      </c>
      <c r="E545" s="271">
        <f>VLOOKUP(C545,lookup!$B$2:$F$1240,5)</f>
        <v>0</v>
      </c>
    </row>
    <row r="546" spans="1:5" ht="22.8" x14ac:dyDescent="0.25">
      <c r="A546" s="169">
        <v>350</v>
      </c>
      <c r="C546" s="106" t="s">
        <v>908</v>
      </c>
      <c r="D546" s="269">
        <f>VLOOKUP(C546,lookup!$B$2:$F$1240,2)</f>
        <v>0</v>
      </c>
      <c r="E546" s="271">
        <f>VLOOKUP(C546,lookup!$B$2:$F$1240,5)</f>
        <v>0</v>
      </c>
    </row>
    <row r="547" spans="1:5" ht="22.8" x14ac:dyDescent="0.25">
      <c r="A547" s="169">
        <v>350</v>
      </c>
      <c r="C547" s="106" t="s">
        <v>909</v>
      </c>
      <c r="D547" s="269">
        <f>VLOOKUP(C547,lookup!$B$2:$F$1240,2)</f>
        <v>0</v>
      </c>
      <c r="E547" s="271">
        <f>VLOOKUP(C547,lookup!$B$2:$F$1240,5)</f>
        <v>0</v>
      </c>
    </row>
    <row r="548" spans="1:5" ht="22.8" x14ac:dyDescent="0.25">
      <c r="A548" s="169">
        <v>350</v>
      </c>
      <c r="C548" s="106" t="s">
        <v>910</v>
      </c>
      <c r="D548" s="269">
        <f>VLOOKUP(C548,lookup!$B$2:$F$1240,2)</f>
        <v>0</v>
      </c>
      <c r="E548" s="271">
        <f>VLOOKUP(C548,lookup!$B$2:$F$1240,5)</f>
        <v>0</v>
      </c>
    </row>
    <row r="549" spans="1:5" x14ac:dyDescent="0.25">
      <c r="A549" s="169">
        <v>350</v>
      </c>
      <c r="C549" s="106" t="s">
        <v>1523</v>
      </c>
      <c r="D549" s="269">
        <f>VLOOKUP(C549,lookup!$B$2:$F$1240,2)</f>
        <v>0</v>
      </c>
      <c r="E549" s="271">
        <f>VLOOKUP(C549,lookup!$B$2:$F$1240,5)</f>
        <v>0</v>
      </c>
    </row>
    <row r="550" spans="1:5" x14ac:dyDescent="0.25">
      <c r="A550" s="169">
        <v>351</v>
      </c>
      <c r="B550" s="172" t="s">
        <v>2074</v>
      </c>
      <c r="D550" s="269" t="e">
        <f>VLOOKUP(C550,lookup!$B$2:$F$1240,2)</f>
        <v>#N/A</v>
      </c>
      <c r="E550" s="271" t="e">
        <f>VLOOKUP(C550,lookup!$B$2:$F$1240,5)</f>
        <v>#N/A</v>
      </c>
    </row>
    <row r="551" spans="1:5" x14ac:dyDescent="0.25">
      <c r="A551" s="169">
        <v>351</v>
      </c>
      <c r="C551" s="106" t="s">
        <v>5</v>
      </c>
      <c r="D551" s="269" t="str">
        <f>VLOOKUP(C551,lookup!$B$2:$F$1240,2)</f>
        <v>Hr.</v>
      </c>
      <c r="E551" s="271">
        <f>VLOOKUP(C551,lookup!$B$2:$F$1240,5)</f>
        <v>81.068363600000012</v>
      </c>
    </row>
    <row r="552" spans="1:5" x14ac:dyDescent="0.25">
      <c r="A552" s="169">
        <v>351</v>
      </c>
      <c r="C552" s="106" t="s">
        <v>6</v>
      </c>
      <c r="D552" s="269" t="str">
        <f>VLOOKUP(C552,lookup!$B$2:$F$1240,2)</f>
        <v>Hr.</v>
      </c>
      <c r="E552" s="271">
        <f>VLOOKUP(C552,lookup!$B$2:$F$1240,5)</f>
        <v>81.068363600000012</v>
      </c>
    </row>
    <row r="553" spans="1:5" x14ac:dyDescent="0.25">
      <c r="A553" s="169">
        <v>351</v>
      </c>
      <c r="C553" s="106" t="s">
        <v>7</v>
      </c>
      <c r="D553" s="269" t="str">
        <f>VLOOKUP(C553,lookup!$B$2:$F$1240,2)</f>
        <v>Hr.</v>
      </c>
      <c r="E553" s="271">
        <f>VLOOKUP(C553,lookup!$B$2:$F$1240,5)</f>
        <v>81.068363600000012</v>
      </c>
    </row>
    <row r="554" spans="1:5" x14ac:dyDescent="0.25">
      <c r="A554" s="169">
        <v>351</v>
      </c>
      <c r="D554" s="269" t="e">
        <f>VLOOKUP(C554,lookup!$B$2:$F$1240,2)</f>
        <v>#N/A</v>
      </c>
      <c r="E554" s="271" t="e">
        <f>VLOOKUP(C554,lookup!$B$2:$F$1240,5)</f>
        <v>#N/A</v>
      </c>
    </row>
    <row r="555" spans="1:5" x14ac:dyDescent="0.25">
      <c r="A555" s="169">
        <v>356</v>
      </c>
      <c r="B555" s="171" t="s">
        <v>2332</v>
      </c>
      <c r="C555" s="119"/>
      <c r="D555" s="269" t="e">
        <f>VLOOKUP(C555,lookup!$B$2:$F$1240,2)</f>
        <v>#N/A</v>
      </c>
      <c r="E555" s="271" t="e">
        <f>VLOOKUP(C555,lookup!$B$2:$F$1240,5)</f>
        <v>#N/A</v>
      </c>
    </row>
    <row r="556" spans="1:5" x14ac:dyDescent="0.25">
      <c r="A556" s="169">
        <v>356</v>
      </c>
      <c r="C556" s="106" t="s">
        <v>1376</v>
      </c>
      <c r="D556" s="269" t="str">
        <f>VLOOKUP(C556,lookup!$B$2:$F$1240,2)</f>
        <v>cu yd</v>
      </c>
      <c r="E556" s="271">
        <f>VLOOKUP(C556,lookup!$B$2:$F$1240,5)</f>
        <v>3.5</v>
      </c>
    </row>
    <row r="557" spans="1:5" x14ac:dyDescent="0.25">
      <c r="A557" s="169">
        <v>356</v>
      </c>
      <c r="C557" s="106" t="s">
        <v>1110</v>
      </c>
      <c r="D557" s="269" t="str">
        <f>VLOOKUP(C557,lookup!$B$2:$F$1240,2)</f>
        <v>Cu Yd</v>
      </c>
      <c r="E557" s="271">
        <f>VLOOKUP(C557,lookup!$B$2:$F$1240,5)</f>
        <v>0</v>
      </c>
    </row>
    <row r="558" spans="1:5" x14ac:dyDescent="0.25">
      <c r="A558" s="169">
        <v>356</v>
      </c>
      <c r="C558" s="106" t="s">
        <v>2313</v>
      </c>
      <c r="D558" s="269" t="str">
        <f>VLOOKUP(C558,lookup!$B$2:$F$1240,2)</f>
        <v>l.s.</v>
      </c>
      <c r="E558" s="271">
        <f>VLOOKUP(C558,lookup!$B$2:$F$1240,5)</f>
        <v>400</v>
      </c>
    </row>
    <row r="559" spans="1:5" x14ac:dyDescent="0.25">
      <c r="A559" s="169">
        <v>356</v>
      </c>
      <c r="C559" s="106" t="s">
        <v>1034</v>
      </c>
      <c r="D559" s="269" t="str">
        <f>VLOOKUP(C559,lookup!$B$2:$F$1240,2)</f>
        <v>l.s.</v>
      </c>
      <c r="E559" s="271">
        <f>VLOOKUP(C559,lookup!$B$2:$F$1240,5)</f>
        <v>400</v>
      </c>
    </row>
    <row r="560" spans="1:5" x14ac:dyDescent="0.25">
      <c r="A560" s="169">
        <v>356</v>
      </c>
      <c r="C560" s="106" t="s">
        <v>1996</v>
      </c>
      <c r="D560" s="269" t="str">
        <f>VLOOKUP(C560,lookup!$B$2:$F$1240,2)</f>
        <v>ton</v>
      </c>
      <c r="E560" s="271">
        <f>VLOOKUP(C560,lookup!$B$2:$F$1240,5)</f>
        <v>21.63</v>
      </c>
    </row>
    <row r="561" spans="1:5" x14ac:dyDescent="0.25">
      <c r="A561" s="169">
        <v>356</v>
      </c>
      <c r="C561" s="106" t="s">
        <v>1997</v>
      </c>
      <c r="D561" s="269" t="str">
        <f>VLOOKUP(C561,lookup!$B$2:$F$1240,2)</f>
        <v>ton</v>
      </c>
      <c r="E561" s="271">
        <f>VLOOKUP(C561,lookup!$B$2:$F$1240,5)</f>
        <v>21.63</v>
      </c>
    </row>
    <row r="562" spans="1:5" x14ac:dyDescent="0.25">
      <c r="A562" s="169">
        <v>356</v>
      </c>
      <c r="C562" s="106" t="s">
        <v>1998</v>
      </c>
      <c r="D562" s="269" t="str">
        <f>VLOOKUP(C562,lookup!$B$2:$F$1240,2)</f>
        <v>ton</v>
      </c>
      <c r="E562" s="271">
        <f>VLOOKUP(C562,lookup!$B$2:$F$1240,5)</f>
        <v>21.63</v>
      </c>
    </row>
    <row r="563" spans="1:5" x14ac:dyDescent="0.25">
      <c r="A563" s="169">
        <v>356</v>
      </c>
      <c r="C563" s="106" t="s">
        <v>1999</v>
      </c>
      <c r="D563" s="269" t="str">
        <f>VLOOKUP(C563,lookup!$B$2:$F$1240,2)</f>
        <v>ton</v>
      </c>
      <c r="E563" s="271">
        <f>VLOOKUP(C563,lookup!$B$2:$F$1240,5)</f>
        <v>21.63</v>
      </c>
    </row>
    <row r="564" spans="1:5" x14ac:dyDescent="0.25">
      <c r="A564" s="169">
        <v>356</v>
      </c>
      <c r="C564" s="106" t="s">
        <v>2786</v>
      </c>
      <c r="D564" s="269" t="str">
        <f>VLOOKUP(C564,lookup!$B$2:$F$1240,2)</f>
        <v>ton</v>
      </c>
      <c r="E564" s="271">
        <f>VLOOKUP(C564,lookup!$B$2:$F$1240,5)</f>
        <v>21.63</v>
      </c>
    </row>
    <row r="565" spans="1:5" x14ac:dyDescent="0.25">
      <c r="A565" s="169">
        <v>356</v>
      </c>
      <c r="C565" s="106" t="s">
        <v>2784</v>
      </c>
      <c r="D565" s="269" t="str">
        <f>VLOOKUP(C565,lookup!$B$2:$F$1240,2)</f>
        <v>ton</v>
      </c>
      <c r="E565" s="271">
        <f>VLOOKUP(C565,lookup!$B$2:$F$1240,5)</f>
        <v>21.63</v>
      </c>
    </row>
    <row r="566" spans="1:5" x14ac:dyDescent="0.25">
      <c r="A566" s="169">
        <v>356</v>
      </c>
      <c r="C566" s="106" t="s">
        <v>2712</v>
      </c>
      <c r="D566" s="269" t="str">
        <f>VLOOKUP(C566,lookup!$B$2:$F$1240,2)</f>
        <v>Cu Yd</v>
      </c>
      <c r="E566" s="271">
        <f>VLOOKUP(C566,lookup!$B$2:$F$1240,5)</f>
        <v>3.5</v>
      </c>
    </row>
    <row r="567" spans="1:5" x14ac:dyDescent="0.25">
      <c r="A567" s="169">
        <v>356</v>
      </c>
      <c r="C567" s="106" t="s">
        <v>1523</v>
      </c>
      <c r="D567" s="269">
        <f>VLOOKUP(C567,lookup!$B$2:$F$1240,2)</f>
        <v>0</v>
      </c>
      <c r="E567" s="271">
        <f>VLOOKUP(C567,lookup!$B$2:$F$1240,5)</f>
        <v>0</v>
      </c>
    </row>
    <row r="568" spans="1:5" x14ac:dyDescent="0.25">
      <c r="A568" s="169">
        <v>356</v>
      </c>
      <c r="C568" s="106" t="s">
        <v>243</v>
      </c>
      <c r="D568" s="269">
        <f>VLOOKUP(C568,lookup!$B$2:$F$1240,2)</f>
        <v>0</v>
      </c>
      <c r="E568" s="271">
        <f>VLOOKUP(C568,lookup!$B$2:$F$1240,5)</f>
        <v>0</v>
      </c>
    </row>
    <row r="569" spans="1:5" ht="22.8" x14ac:dyDescent="0.25">
      <c r="A569" s="169">
        <v>356</v>
      </c>
      <c r="C569" s="106" t="s">
        <v>2745</v>
      </c>
      <c r="D569" s="269">
        <f>VLOOKUP(C569,lookup!$B$2:$F$1240,2)</f>
        <v>0</v>
      </c>
      <c r="E569" s="271">
        <f>VLOOKUP(C569,lookup!$B$2:$F$1240,5)</f>
        <v>0</v>
      </c>
    </row>
    <row r="570" spans="1:5" x14ac:dyDescent="0.25">
      <c r="A570" s="169">
        <v>360</v>
      </c>
      <c r="B570" s="171" t="s">
        <v>510</v>
      </c>
      <c r="C570" s="119"/>
      <c r="D570" s="269" t="e">
        <f>VLOOKUP(C570,lookup!$B$2:$F$1240,2)</f>
        <v>#N/A</v>
      </c>
      <c r="E570" s="271" t="e">
        <f>VLOOKUP(C570,lookup!$B$2:$F$1240,5)</f>
        <v>#N/A</v>
      </c>
    </row>
    <row r="571" spans="1:5" x14ac:dyDescent="0.25">
      <c r="A571" s="169">
        <v>360</v>
      </c>
      <c r="C571" s="106" t="s">
        <v>2424</v>
      </c>
      <c r="D571" s="269" t="str">
        <f>VLOOKUP(C571,lookup!$B$2:$F$1240,2)</f>
        <v>lin ft</v>
      </c>
      <c r="E571" s="271">
        <f>VLOOKUP(C571,lookup!$B$2:$F$1240,5)</f>
        <v>3.5</v>
      </c>
    </row>
    <row r="572" spans="1:5" x14ac:dyDescent="0.25">
      <c r="A572" s="169">
        <v>360</v>
      </c>
      <c r="C572" s="106" t="s">
        <v>2425</v>
      </c>
      <c r="D572" s="269" t="str">
        <f>VLOOKUP(C572,lookup!$B$2:$F$1240,2)</f>
        <v>lin ft</v>
      </c>
      <c r="E572" s="271">
        <f>VLOOKUP(C572,lookup!$B$2:$F$1240,5)</f>
        <v>3.5</v>
      </c>
    </row>
    <row r="573" spans="1:5" x14ac:dyDescent="0.25">
      <c r="A573" s="169">
        <v>360</v>
      </c>
      <c r="C573" s="106" t="s">
        <v>2310</v>
      </c>
      <c r="D573" s="269">
        <f>VLOOKUP(C573,lookup!$B$2:$F$1240,2)</f>
        <v>0</v>
      </c>
      <c r="E573" s="271">
        <f>VLOOKUP(C573,lookup!$B$2:$F$1240,5)</f>
        <v>0</v>
      </c>
    </row>
    <row r="574" spans="1:5" x14ac:dyDescent="0.25">
      <c r="A574" s="169">
        <v>360</v>
      </c>
      <c r="C574" s="106" t="s">
        <v>2311</v>
      </c>
      <c r="D574" s="269">
        <f>VLOOKUP(C574,lookup!$B$2:$F$1240,2)</f>
        <v>0</v>
      </c>
      <c r="E574" s="271">
        <f>VLOOKUP(C574,lookup!$B$2:$F$1240,5)</f>
        <v>0</v>
      </c>
    </row>
    <row r="575" spans="1:5" x14ac:dyDescent="0.25">
      <c r="A575" s="169">
        <v>360</v>
      </c>
      <c r="C575" s="106" t="s">
        <v>1376</v>
      </c>
      <c r="D575" s="269" t="str">
        <f>VLOOKUP(C575,lookup!$B$2:$F$1240,2)</f>
        <v>cu yd</v>
      </c>
      <c r="E575" s="271">
        <f>VLOOKUP(C575,lookup!$B$2:$F$1240,5)</f>
        <v>3.5</v>
      </c>
    </row>
    <row r="576" spans="1:5" x14ac:dyDescent="0.25">
      <c r="A576" s="169">
        <v>360</v>
      </c>
      <c r="C576" s="106" t="s">
        <v>1110</v>
      </c>
      <c r="D576" s="269" t="str">
        <f>VLOOKUP(C576,lookup!$B$2:$F$1240,2)</f>
        <v>Cu Yd</v>
      </c>
      <c r="E576" s="271">
        <f>VLOOKUP(C576,lookup!$B$2:$F$1240,5)</f>
        <v>0</v>
      </c>
    </row>
    <row r="577" spans="1:5" x14ac:dyDescent="0.25">
      <c r="A577" s="169">
        <v>360</v>
      </c>
      <c r="C577" s="106" t="s">
        <v>1034</v>
      </c>
      <c r="D577" s="269" t="str">
        <f>VLOOKUP(C577,lookup!$B$2:$F$1240,2)</f>
        <v>l.s.</v>
      </c>
      <c r="E577" s="271">
        <f>VLOOKUP(C577,lookup!$B$2:$F$1240,5)</f>
        <v>400</v>
      </c>
    </row>
    <row r="578" spans="1:5" x14ac:dyDescent="0.25">
      <c r="A578" s="169">
        <v>360</v>
      </c>
      <c r="C578" s="100" t="s">
        <v>1042</v>
      </c>
      <c r="D578" s="269" t="str">
        <f>VLOOKUP(C578,lookup!$B$2:$F$1240,2)</f>
        <v>Ea.</v>
      </c>
      <c r="E578" s="271">
        <f>VLOOKUP(C578,lookup!$B$2:$F$1240,5)</f>
        <v>65</v>
      </c>
    </row>
    <row r="579" spans="1:5" x14ac:dyDescent="0.25">
      <c r="A579" s="169">
        <v>360</v>
      </c>
      <c r="C579" s="100" t="s">
        <v>1039</v>
      </c>
      <c r="D579" s="269" t="str">
        <f>VLOOKUP(C579,lookup!$B$2:$F$1240,2)</f>
        <v>Ea.</v>
      </c>
      <c r="E579" s="271">
        <f>VLOOKUP(C579,lookup!$B$2:$F$1240,5)</f>
        <v>65</v>
      </c>
    </row>
    <row r="580" spans="1:5" ht="22.8" x14ac:dyDescent="0.25">
      <c r="A580" s="169">
        <v>360</v>
      </c>
      <c r="C580" s="100" t="s">
        <v>1040</v>
      </c>
      <c r="D580" s="269" t="str">
        <f>VLOOKUP(C580,lookup!$B$2:$F$1240,2)</f>
        <v>Ea.</v>
      </c>
      <c r="E580" s="271">
        <f>VLOOKUP(C580,lookup!$B$2:$F$1240,5)</f>
        <v>65</v>
      </c>
    </row>
    <row r="581" spans="1:5" x14ac:dyDescent="0.25">
      <c r="A581" s="169">
        <v>360</v>
      </c>
      <c r="C581" s="100" t="s">
        <v>1041</v>
      </c>
      <c r="D581" s="269" t="str">
        <f>VLOOKUP(C581,lookup!$B$2:$F$1240,2)</f>
        <v>Ea.</v>
      </c>
      <c r="E581" s="271">
        <f>VLOOKUP(C581,lookup!$B$2:$F$1240,5)</f>
        <v>65</v>
      </c>
    </row>
    <row r="582" spans="1:5" x14ac:dyDescent="0.25">
      <c r="A582" s="169">
        <v>360</v>
      </c>
      <c r="C582" s="106" t="s">
        <v>2712</v>
      </c>
      <c r="D582" s="269" t="str">
        <f>VLOOKUP(C582,lookup!$B$2:$F$1240,2)</f>
        <v>Cu Yd</v>
      </c>
      <c r="E582" s="271">
        <f>VLOOKUP(C582,lookup!$B$2:$F$1240,5)</f>
        <v>3.5</v>
      </c>
    </row>
    <row r="583" spans="1:5" x14ac:dyDescent="0.25">
      <c r="A583" s="169">
        <v>360</v>
      </c>
      <c r="C583" s="106" t="s">
        <v>14</v>
      </c>
      <c r="D583" s="269">
        <f>VLOOKUP(C583,lookup!$B$2:$F$1240,2)</f>
        <v>0</v>
      </c>
      <c r="E583" s="271">
        <f>VLOOKUP(C583,lookup!$B$2:$F$1240,5)</f>
        <v>0</v>
      </c>
    </row>
    <row r="584" spans="1:5" ht="22.8" x14ac:dyDescent="0.25">
      <c r="A584" s="169">
        <v>360</v>
      </c>
      <c r="C584" s="106" t="s">
        <v>2745</v>
      </c>
      <c r="D584" s="269">
        <f>VLOOKUP(C584,lookup!$B$2:$F$1240,2)</f>
        <v>0</v>
      </c>
      <c r="E584" s="271">
        <f>VLOOKUP(C584,lookup!$B$2:$F$1240,5)</f>
        <v>0</v>
      </c>
    </row>
    <row r="585" spans="1:5" x14ac:dyDescent="0.25">
      <c r="A585" s="169">
        <v>362</v>
      </c>
      <c r="B585" s="171" t="s">
        <v>2333</v>
      </c>
      <c r="C585" s="105"/>
      <c r="D585" s="269" t="e">
        <f>VLOOKUP(C585,lookup!$B$2:$F$1240,2)</f>
        <v>#N/A</v>
      </c>
      <c r="E585" s="271" t="e">
        <f>VLOOKUP(C585,lookup!$B$2:$F$1240,5)</f>
        <v>#N/A</v>
      </c>
    </row>
    <row r="586" spans="1:5" x14ac:dyDescent="0.25">
      <c r="A586" s="169">
        <v>362</v>
      </c>
      <c r="C586" s="106" t="s">
        <v>2011</v>
      </c>
      <c r="D586" s="269">
        <f>VLOOKUP(C586,lookup!$B$2:$F$1240,2)</f>
        <v>0</v>
      </c>
      <c r="E586" s="271">
        <f>VLOOKUP(C586,lookup!$B$2:$F$1240,5)</f>
        <v>0</v>
      </c>
    </row>
    <row r="587" spans="1:5" x14ac:dyDescent="0.25">
      <c r="A587" s="169">
        <v>362</v>
      </c>
      <c r="C587" s="106" t="s">
        <v>2014</v>
      </c>
      <c r="D587" s="269">
        <f>VLOOKUP(C587,lookup!$B$2:$F$1240,2)</f>
        <v>0</v>
      </c>
      <c r="E587" s="271">
        <f>VLOOKUP(C587,lookup!$B$2:$F$1240,5)</f>
        <v>0</v>
      </c>
    </row>
    <row r="588" spans="1:5" x14ac:dyDescent="0.25">
      <c r="A588" s="169">
        <v>362</v>
      </c>
      <c r="C588" s="106" t="s">
        <v>2012</v>
      </c>
      <c r="D588" s="269">
        <f>VLOOKUP(C588,lookup!$B$2:$F$1240,2)</f>
        <v>0</v>
      </c>
      <c r="E588" s="271">
        <f>VLOOKUP(C588,lookup!$B$2:$F$1240,5)</f>
        <v>0</v>
      </c>
    </row>
    <row r="589" spans="1:5" x14ac:dyDescent="0.25">
      <c r="A589" s="169">
        <v>362</v>
      </c>
      <c r="C589" s="106" t="s">
        <v>2013</v>
      </c>
      <c r="D589" s="269">
        <f>VLOOKUP(C589,lookup!$B$2:$F$1240,2)</f>
        <v>0</v>
      </c>
      <c r="E589" s="271">
        <f>VLOOKUP(C589,lookup!$B$2:$F$1240,5)</f>
        <v>0</v>
      </c>
    </row>
    <row r="590" spans="1:5" ht="22.8" x14ac:dyDescent="0.25">
      <c r="A590" s="169">
        <v>362</v>
      </c>
      <c r="C590" s="113" t="s">
        <v>1481</v>
      </c>
      <c r="D590" s="269" t="str">
        <f>VLOOKUP(C590,lookup!$B$2:$F$1240,2)</f>
        <v>lin ft</v>
      </c>
      <c r="E590" s="271">
        <f>VLOOKUP(C590,lookup!$B$2:$F$1240,5)</f>
        <v>20</v>
      </c>
    </row>
    <row r="591" spans="1:5" x14ac:dyDescent="0.25">
      <c r="A591" s="169">
        <v>362</v>
      </c>
      <c r="C591" s="106" t="s">
        <v>2712</v>
      </c>
      <c r="D591" s="269" t="str">
        <f>VLOOKUP(C591,lookup!$B$2:$F$1240,2)</f>
        <v>Cu Yd</v>
      </c>
      <c r="E591" s="271">
        <f>VLOOKUP(C591,lookup!$B$2:$F$1240,5)</f>
        <v>3.5</v>
      </c>
    </row>
    <row r="592" spans="1:5" x14ac:dyDescent="0.25">
      <c r="A592" s="169">
        <v>362</v>
      </c>
      <c r="C592" s="106" t="s">
        <v>1523</v>
      </c>
      <c r="D592" s="269">
        <f>VLOOKUP(C592,lookup!$B$2:$F$1240,2)</f>
        <v>0</v>
      </c>
      <c r="E592" s="271">
        <f>VLOOKUP(C592,lookup!$B$2:$F$1240,5)</f>
        <v>0</v>
      </c>
    </row>
    <row r="593" spans="1:5" x14ac:dyDescent="0.25">
      <c r="A593" s="169">
        <v>362</v>
      </c>
      <c r="C593" s="106" t="s">
        <v>13</v>
      </c>
      <c r="D593" s="269" t="str">
        <f>VLOOKUP(C593,lookup!$B$2:$F$1240,2)</f>
        <v>lb</v>
      </c>
      <c r="E593" s="271">
        <f>VLOOKUP(C593,lookup!$B$2:$F$1240,5)</f>
        <v>0.03</v>
      </c>
    </row>
    <row r="594" spans="1:5" ht="22.8" x14ac:dyDescent="0.25">
      <c r="A594" s="169">
        <v>362</v>
      </c>
      <c r="C594" s="106" t="s">
        <v>2745</v>
      </c>
      <c r="D594" s="269">
        <f>VLOOKUP(C594,lookup!$B$2:$F$1240,2)</f>
        <v>0</v>
      </c>
      <c r="E594" s="271">
        <f>VLOOKUP(C594,lookup!$B$2:$F$1240,5)</f>
        <v>0</v>
      </c>
    </row>
    <row r="595" spans="1:5" x14ac:dyDescent="0.25">
      <c r="A595" s="169">
        <v>366</v>
      </c>
      <c r="B595" s="173" t="s">
        <v>503</v>
      </c>
      <c r="C595" s="116"/>
      <c r="D595" s="269" t="e">
        <f>VLOOKUP(C595,lookup!$B$2:$F$1240,2)</f>
        <v>#N/A</v>
      </c>
      <c r="E595" s="271" t="e">
        <f>VLOOKUP(C595,lookup!$B$2:$F$1240,5)</f>
        <v>#N/A</v>
      </c>
    </row>
    <row r="596" spans="1:5" x14ac:dyDescent="0.25">
      <c r="A596" s="169">
        <v>367</v>
      </c>
      <c r="B596" s="173" t="s">
        <v>2063</v>
      </c>
      <c r="C596" s="109"/>
      <c r="D596" s="269" t="e">
        <f>VLOOKUP(C596,lookup!$B$2:$F$1240,2)</f>
        <v>#N/A</v>
      </c>
      <c r="E596" s="271" t="e">
        <f>VLOOKUP(C596,lookup!$B$2:$F$1240,5)</f>
        <v>#N/A</v>
      </c>
    </row>
    <row r="597" spans="1:5" x14ac:dyDescent="0.25">
      <c r="A597" s="169">
        <v>378</v>
      </c>
      <c r="B597" s="173" t="s">
        <v>2647</v>
      </c>
      <c r="C597" s="109"/>
      <c r="D597" s="269" t="e">
        <f>VLOOKUP(C597,lookup!$B$2:$F$1240,2)</f>
        <v>#N/A</v>
      </c>
      <c r="E597" s="271" t="e">
        <f>VLOOKUP(C597,lookup!$B$2:$F$1240,5)</f>
        <v>#N/A</v>
      </c>
    </row>
    <row r="598" spans="1:5" x14ac:dyDescent="0.25">
      <c r="A598" s="169">
        <v>378</v>
      </c>
      <c r="C598" s="106" t="s">
        <v>1376</v>
      </c>
      <c r="D598" s="269" t="str">
        <f>VLOOKUP(C598,lookup!$B$2:$F$1240,2)</f>
        <v>cu yd</v>
      </c>
      <c r="E598" s="271">
        <f>VLOOKUP(C598,lookup!$B$2:$F$1240,5)</f>
        <v>3.5</v>
      </c>
    </row>
    <row r="599" spans="1:5" x14ac:dyDescent="0.25">
      <c r="A599" s="169">
        <v>378</v>
      </c>
      <c r="C599" s="106" t="s">
        <v>1110</v>
      </c>
      <c r="D599" s="269" t="str">
        <f>VLOOKUP(C599,lookup!$B$2:$F$1240,2)</f>
        <v>Cu Yd</v>
      </c>
      <c r="E599" s="271">
        <f>VLOOKUP(C599,lookup!$B$2:$F$1240,5)</f>
        <v>0</v>
      </c>
    </row>
    <row r="600" spans="1:5" x14ac:dyDescent="0.25">
      <c r="A600" s="169">
        <v>378</v>
      </c>
      <c r="C600" s="106" t="s">
        <v>2313</v>
      </c>
      <c r="D600" s="269" t="str">
        <f>VLOOKUP(C600,lookup!$B$2:$F$1240,2)</f>
        <v>l.s.</v>
      </c>
      <c r="E600" s="271">
        <f>VLOOKUP(C600,lookup!$B$2:$F$1240,5)</f>
        <v>400</v>
      </c>
    </row>
    <row r="601" spans="1:5" x14ac:dyDescent="0.25">
      <c r="A601" s="169">
        <v>378</v>
      </c>
      <c r="C601" s="106" t="s">
        <v>1034</v>
      </c>
      <c r="D601" s="269" t="str">
        <f>VLOOKUP(C601,lookup!$B$2:$F$1240,2)</f>
        <v>l.s.</v>
      </c>
      <c r="E601" s="271">
        <f>VLOOKUP(C601,lookup!$B$2:$F$1240,5)</f>
        <v>400</v>
      </c>
    </row>
    <row r="602" spans="1:5" x14ac:dyDescent="0.25">
      <c r="A602" s="169">
        <v>378</v>
      </c>
      <c r="C602" s="106" t="s">
        <v>1034</v>
      </c>
      <c r="D602" s="269" t="str">
        <f>VLOOKUP(C602,lookup!$B$2:$F$1240,2)</f>
        <v>l.s.</v>
      </c>
      <c r="E602" s="271">
        <f>VLOOKUP(C602,lookup!$B$2:$F$1240,5)</f>
        <v>400</v>
      </c>
    </row>
    <row r="603" spans="1:5" x14ac:dyDescent="0.25">
      <c r="A603" s="169">
        <v>378</v>
      </c>
      <c r="C603" s="106" t="s">
        <v>987</v>
      </c>
      <c r="D603" s="269" t="str">
        <f>VLOOKUP(C603,lookup!$B$2:$F$1240,2)</f>
        <v>Cu Yd</v>
      </c>
      <c r="E603" s="271">
        <f>VLOOKUP(C603,lookup!$B$2:$F$1240,5)</f>
        <v>40</v>
      </c>
    </row>
    <row r="604" spans="1:5" x14ac:dyDescent="0.25">
      <c r="A604" s="169">
        <v>378</v>
      </c>
      <c r="C604" s="106" t="s">
        <v>988</v>
      </c>
      <c r="D604" s="269" t="str">
        <f>VLOOKUP(C604,lookup!$B$2:$F$1240,2)</f>
        <v>ton</v>
      </c>
      <c r="E604" s="271">
        <f>VLOOKUP(C604,lookup!$B$2:$F$1240,5)</f>
        <v>20</v>
      </c>
    </row>
    <row r="605" spans="1:5" x14ac:dyDescent="0.25">
      <c r="A605" s="169">
        <v>378</v>
      </c>
      <c r="C605" s="106" t="s">
        <v>2797</v>
      </c>
      <c r="D605" s="269" t="str">
        <f>VLOOKUP(C605,lookup!$B$2:$F$1240,2)</f>
        <v>ton</v>
      </c>
      <c r="E605" s="271">
        <f>VLOOKUP(C605,lookup!$B$2:$F$1240,5)</f>
        <v>20</v>
      </c>
    </row>
    <row r="606" spans="1:5" x14ac:dyDescent="0.25">
      <c r="A606" s="169">
        <v>378</v>
      </c>
      <c r="C606" s="106" t="s">
        <v>2320</v>
      </c>
      <c r="D606" s="269">
        <f>VLOOKUP(C606,lookup!$B$2:$F$1240,2)</f>
        <v>0</v>
      </c>
      <c r="E606" s="271">
        <f>VLOOKUP(C606,lookup!$B$2:$F$1240,5)</f>
        <v>0</v>
      </c>
    </row>
    <row r="607" spans="1:5" x14ac:dyDescent="0.25">
      <c r="A607" s="169">
        <v>378</v>
      </c>
      <c r="C607" s="106" t="s">
        <v>1246</v>
      </c>
      <c r="D607" s="269">
        <f>VLOOKUP(C607,lookup!$B$2:$F$1240,2)</f>
        <v>0</v>
      </c>
      <c r="E607" s="271">
        <f>VLOOKUP(C607,lookup!$B$2:$F$1240,5)</f>
        <v>0</v>
      </c>
    </row>
    <row r="608" spans="1:5" x14ac:dyDescent="0.25">
      <c r="A608" s="169">
        <v>378</v>
      </c>
      <c r="C608" s="106" t="s">
        <v>2708</v>
      </c>
      <c r="D608" s="269">
        <f>VLOOKUP(C608,lookup!$B$2:$F$1240,2)</f>
        <v>0</v>
      </c>
      <c r="E608" s="271">
        <f>VLOOKUP(C608,lookup!$B$2:$F$1240,5)</f>
        <v>0</v>
      </c>
    </row>
    <row r="609" spans="1:5" x14ac:dyDescent="0.25">
      <c r="A609" s="169">
        <v>378</v>
      </c>
      <c r="C609" s="106" t="s">
        <v>2709</v>
      </c>
      <c r="D609" s="269">
        <f>VLOOKUP(C609,lookup!$B$2:$F$1240,2)</f>
        <v>0</v>
      </c>
      <c r="E609" s="271">
        <f>VLOOKUP(C609,lookup!$B$2:$F$1240,5)</f>
        <v>0</v>
      </c>
    </row>
    <row r="610" spans="1:5" x14ac:dyDescent="0.25">
      <c r="A610" s="169">
        <v>378</v>
      </c>
      <c r="C610" s="106" t="s">
        <v>1236</v>
      </c>
      <c r="D610" s="269">
        <f>VLOOKUP(C610,lookup!$B$2:$F$1240,2)</f>
        <v>0</v>
      </c>
      <c r="E610" s="271">
        <f>VLOOKUP(C610,lookup!$B$2:$F$1240,5)</f>
        <v>0</v>
      </c>
    </row>
    <row r="611" spans="1:5" x14ac:dyDescent="0.25">
      <c r="A611" s="169">
        <v>378</v>
      </c>
      <c r="C611" s="106" t="s">
        <v>2319</v>
      </c>
      <c r="D611" s="269">
        <f>VLOOKUP(C611,lookup!$B$2:$F$1240,2)</f>
        <v>0</v>
      </c>
      <c r="E611" s="271">
        <f>VLOOKUP(C611,lookup!$B$2:$F$1240,5)</f>
        <v>0</v>
      </c>
    </row>
    <row r="612" spans="1:5" x14ac:dyDescent="0.25">
      <c r="A612" s="169">
        <v>378</v>
      </c>
      <c r="C612" s="106" t="s">
        <v>1988</v>
      </c>
      <c r="D612" s="269" t="str">
        <f>VLOOKUP(C612,lookup!$B$2:$F$1240,2)</f>
        <v>lin ft</v>
      </c>
      <c r="E612" s="271">
        <f>VLOOKUP(C612,lookup!$B$2:$F$1240,5)</f>
        <v>20</v>
      </c>
    </row>
    <row r="613" spans="1:5" x14ac:dyDescent="0.25">
      <c r="A613" s="169">
        <v>378</v>
      </c>
      <c r="C613" s="106" t="s">
        <v>1989</v>
      </c>
      <c r="D613" s="269" t="str">
        <f>VLOOKUP(C613,lookup!$B$2:$F$1240,2)</f>
        <v>lin ft</v>
      </c>
      <c r="E613" s="271">
        <f>VLOOKUP(C613,lookup!$B$2:$F$1240,5)</f>
        <v>20</v>
      </c>
    </row>
    <row r="614" spans="1:5" x14ac:dyDescent="0.25">
      <c r="A614" s="169">
        <v>378</v>
      </c>
      <c r="C614" s="106" t="s">
        <v>2195</v>
      </c>
      <c r="D614" s="269" t="str">
        <f>VLOOKUP(C614,lookup!$B$2:$F$1240,2)</f>
        <v>lin ft</v>
      </c>
      <c r="E614" s="271">
        <f>VLOOKUP(C614,lookup!$B$2:$F$1240,5)</f>
        <v>20</v>
      </c>
    </row>
    <row r="615" spans="1:5" x14ac:dyDescent="0.25">
      <c r="A615" s="169">
        <v>378</v>
      </c>
      <c r="C615" s="106" t="s">
        <v>2196</v>
      </c>
      <c r="D615" s="269" t="str">
        <f>VLOOKUP(C615,lookup!$B$2:$F$1240,2)</f>
        <v>lin ft</v>
      </c>
      <c r="E615" s="271">
        <f>VLOOKUP(C615,lookup!$B$2:$F$1240,5)</f>
        <v>20</v>
      </c>
    </row>
    <row r="616" spans="1:5" x14ac:dyDescent="0.25">
      <c r="A616" s="169">
        <v>378</v>
      </c>
      <c r="C616" s="106" t="s">
        <v>2193</v>
      </c>
      <c r="D616" s="269" t="str">
        <f>VLOOKUP(C616,lookup!$B$2:$F$1240,2)</f>
        <v>lin ft</v>
      </c>
      <c r="E616" s="271">
        <f>VLOOKUP(C616,lookup!$B$2:$F$1240,5)</f>
        <v>20</v>
      </c>
    </row>
    <row r="617" spans="1:5" x14ac:dyDescent="0.25">
      <c r="A617" s="169">
        <v>378</v>
      </c>
      <c r="C617" s="106" t="s">
        <v>2194</v>
      </c>
      <c r="D617" s="269" t="str">
        <f>VLOOKUP(C617,lookup!$B$2:$F$1240,2)</f>
        <v>lin ft</v>
      </c>
      <c r="E617" s="271">
        <f>VLOOKUP(C617,lookup!$B$2:$F$1240,5)</f>
        <v>20</v>
      </c>
    </row>
    <row r="618" spans="1:5" x14ac:dyDescent="0.25">
      <c r="A618" s="169">
        <v>378</v>
      </c>
      <c r="C618" s="106" t="s">
        <v>600</v>
      </c>
      <c r="D618" s="269" t="str">
        <f>VLOOKUP(C618,lookup!$B$2:$F$1240,2)</f>
        <v>lin ft</v>
      </c>
      <c r="E618" s="271">
        <f>VLOOKUP(C618,lookup!$B$2:$F$1240,5)</f>
        <v>20</v>
      </c>
    </row>
    <row r="619" spans="1:5" x14ac:dyDescent="0.25">
      <c r="A619" s="169">
        <v>378</v>
      </c>
      <c r="C619" s="106" t="s">
        <v>1371</v>
      </c>
      <c r="D619" s="269" t="str">
        <f>VLOOKUP(C619,lookup!$B$2:$F$1240,2)</f>
        <v>lin ft</v>
      </c>
      <c r="E619" s="271">
        <f>VLOOKUP(C619,lookup!$B$2:$F$1240,5)</f>
        <v>20</v>
      </c>
    </row>
    <row r="620" spans="1:5" x14ac:dyDescent="0.25">
      <c r="A620" s="169">
        <v>378</v>
      </c>
      <c r="C620" s="106" t="s">
        <v>1372</v>
      </c>
      <c r="D620" s="269" t="str">
        <f>VLOOKUP(C620,lookup!$B$2:$F$1240,2)</f>
        <v>lin ft</v>
      </c>
      <c r="E620" s="271">
        <f>VLOOKUP(C620,lookup!$B$2:$F$1240,5)</f>
        <v>20</v>
      </c>
    </row>
    <row r="621" spans="1:5" ht="22.8" x14ac:dyDescent="0.25">
      <c r="A621" s="169">
        <v>378</v>
      </c>
      <c r="C621" s="106" t="s">
        <v>1187</v>
      </c>
      <c r="D621" s="269" t="str">
        <f>VLOOKUP(C621,lookup!$B$2:$F$1240,2)</f>
        <v>lin ft</v>
      </c>
      <c r="E621" s="271">
        <f>VLOOKUP(C621,lookup!$B$2:$F$1240,5)</f>
        <v>20</v>
      </c>
    </row>
    <row r="622" spans="1:5" ht="22.8" x14ac:dyDescent="0.25">
      <c r="A622" s="169">
        <v>378</v>
      </c>
      <c r="C622" s="106" t="s">
        <v>1228</v>
      </c>
      <c r="D622" s="269" t="str">
        <f>VLOOKUP(C622,lookup!$B$2:$F$1240,2)</f>
        <v>lin ft</v>
      </c>
      <c r="E622" s="271">
        <f>VLOOKUP(C622,lookup!$B$2:$F$1240,5)</f>
        <v>20</v>
      </c>
    </row>
    <row r="623" spans="1:5" ht="22.8" x14ac:dyDescent="0.25">
      <c r="A623" s="169">
        <v>378</v>
      </c>
      <c r="C623" s="106" t="s">
        <v>203</v>
      </c>
      <c r="D623" s="269" t="str">
        <f>VLOOKUP(C623,lookup!$B$2:$F$1240,2)</f>
        <v>lin ft</v>
      </c>
      <c r="E623" s="271">
        <f>VLOOKUP(C623,lookup!$B$2:$F$1240,5)</f>
        <v>20</v>
      </c>
    </row>
    <row r="624" spans="1:5" ht="22.8" x14ac:dyDescent="0.25">
      <c r="A624" s="169">
        <v>378</v>
      </c>
      <c r="C624" s="106" t="s">
        <v>1229</v>
      </c>
      <c r="D624" s="269" t="str">
        <f>VLOOKUP(C624,lookup!$B$2:$F$1240,2)</f>
        <v>lin ft</v>
      </c>
      <c r="E624" s="271">
        <f>VLOOKUP(C624,lookup!$B$2:$F$1240,5)</f>
        <v>20</v>
      </c>
    </row>
    <row r="625" spans="1:5" ht="22.8" x14ac:dyDescent="0.25">
      <c r="A625" s="169">
        <v>378</v>
      </c>
      <c r="C625" s="106" t="s">
        <v>1188</v>
      </c>
      <c r="D625" s="269" t="str">
        <f>VLOOKUP(C625,lookup!$B$2:$F$1240,2)</f>
        <v>lin ft</v>
      </c>
      <c r="E625" s="271">
        <f>VLOOKUP(C625,lookup!$B$2:$F$1240,5)</f>
        <v>20</v>
      </c>
    </row>
    <row r="626" spans="1:5" ht="22.8" x14ac:dyDescent="0.25">
      <c r="A626" s="169">
        <v>378</v>
      </c>
      <c r="C626" s="106" t="s">
        <v>2363</v>
      </c>
      <c r="D626" s="269" t="str">
        <f>VLOOKUP(C626,lookup!$B$2:$F$1240,2)</f>
        <v>lin ft</v>
      </c>
      <c r="E626" s="271">
        <f>VLOOKUP(C626,lookup!$B$2:$F$1240,5)</f>
        <v>20</v>
      </c>
    </row>
    <row r="627" spans="1:5" ht="22.8" x14ac:dyDescent="0.25">
      <c r="A627" s="169">
        <v>378</v>
      </c>
      <c r="C627" s="106" t="s">
        <v>2364</v>
      </c>
      <c r="D627" s="269" t="str">
        <f>VLOOKUP(C627,lookup!$B$2:$F$1240,2)</f>
        <v>lin ft</v>
      </c>
      <c r="E627" s="271">
        <f>VLOOKUP(C627,lookup!$B$2:$F$1240,5)</f>
        <v>20</v>
      </c>
    </row>
    <row r="628" spans="1:5" ht="22.8" x14ac:dyDescent="0.25">
      <c r="A628" s="169">
        <v>378</v>
      </c>
      <c r="C628" s="106" t="s">
        <v>1374</v>
      </c>
      <c r="D628" s="269" t="str">
        <f>VLOOKUP(C628,lookup!$B$2:$F$1240,2)</f>
        <v>lin ft</v>
      </c>
      <c r="E628" s="271">
        <f>VLOOKUP(C628,lookup!$B$2:$F$1240,5)</f>
        <v>20</v>
      </c>
    </row>
    <row r="629" spans="1:5" ht="22.8" x14ac:dyDescent="0.25">
      <c r="A629" s="169">
        <v>378</v>
      </c>
      <c r="C629" s="106" t="s">
        <v>1375</v>
      </c>
      <c r="D629" s="269" t="str">
        <f>VLOOKUP(C629,lookup!$B$2:$F$1240,2)</f>
        <v>lin ft</v>
      </c>
      <c r="E629" s="271">
        <f>VLOOKUP(C629,lookup!$B$2:$F$1240,5)</f>
        <v>20</v>
      </c>
    </row>
    <row r="630" spans="1:5" ht="22.8" x14ac:dyDescent="0.25">
      <c r="A630" s="169">
        <v>378</v>
      </c>
      <c r="C630" s="106" t="s">
        <v>1184</v>
      </c>
      <c r="D630" s="269" t="str">
        <f>VLOOKUP(C630,lookup!$B$2:$F$1240,2)</f>
        <v>lin ft</v>
      </c>
      <c r="E630" s="271">
        <f>VLOOKUP(C630,lookup!$B$2:$F$1240,5)</f>
        <v>20</v>
      </c>
    </row>
    <row r="631" spans="1:5" ht="22.8" x14ac:dyDescent="0.25">
      <c r="A631" s="169">
        <v>378</v>
      </c>
      <c r="C631" s="106" t="s">
        <v>1225</v>
      </c>
      <c r="D631" s="269" t="str">
        <f>VLOOKUP(C631,lookup!$B$2:$F$1240,2)</f>
        <v>lin ft</v>
      </c>
      <c r="E631" s="271">
        <f>VLOOKUP(C631,lookup!$B$2:$F$1240,5)</f>
        <v>20</v>
      </c>
    </row>
    <row r="632" spans="1:5" ht="22.8" x14ac:dyDescent="0.25">
      <c r="A632" s="169">
        <v>378</v>
      </c>
      <c r="C632" s="106" t="s">
        <v>1185</v>
      </c>
      <c r="D632" s="269" t="str">
        <f>VLOOKUP(C632,lookup!$B$2:$F$1240,2)</f>
        <v>lin ft</v>
      </c>
      <c r="E632" s="271">
        <f>VLOOKUP(C632,lookup!$B$2:$F$1240,5)</f>
        <v>20</v>
      </c>
    </row>
    <row r="633" spans="1:5" ht="22.8" x14ac:dyDescent="0.25">
      <c r="A633" s="169">
        <v>378</v>
      </c>
      <c r="C633" s="106" t="s">
        <v>1226</v>
      </c>
      <c r="D633" s="269" t="str">
        <f>VLOOKUP(C633,lookup!$B$2:$F$1240,2)</f>
        <v>lin ft</v>
      </c>
      <c r="E633" s="271">
        <f>VLOOKUP(C633,lookup!$B$2:$F$1240,5)</f>
        <v>20</v>
      </c>
    </row>
    <row r="634" spans="1:5" ht="22.8" x14ac:dyDescent="0.25">
      <c r="A634" s="169">
        <v>378</v>
      </c>
      <c r="C634" s="106" t="s">
        <v>1186</v>
      </c>
      <c r="D634" s="269" t="str">
        <f>VLOOKUP(C634,lookup!$B$2:$F$1240,2)</f>
        <v>lin ft</v>
      </c>
      <c r="E634" s="271">
        <f>VLOOKUP(C634,lookup!$B$2:$F$1240,5)</f>
        <v>20</v>
      </c>
    </row>
    <row r="635" spans="1:5" ht="22.8" x14ac:dyDescent="0.25">
      <c r="A635" s="169">
        <v>378</v>
      </c>
      <c r="C635" s="106" t="s">
        <v>1227</v>
      </c>
      <c r="D635" s="269" t="str">
        <f>VLOOKUP(C635,lookup!$B$2:$F$1240,2)</f>
        <v>lin ft</v>
      </c>
      <c r="E635" s="271">
        <f>VLOOKUP(C635,lookup!$B$2:$F$1240,5)</f>
        <v>20</v>
      </c>
    </row>
    <row r="636" spans="1:5" ht="22.8" x14ac:dyDescent="0.25">
      <c r="A636" s="169">
        <v>378</v>
      </c>
      <c r="C636" s="106" t="s">
        <v>2655</v>
      </c>
      <c r="D636" s="269" t="str">
        <f>VLOOKUP(C636,lookup!$B$2:$F$1240,2)</f>
        <v>lin ft</v>
      </c>
      <c r="E636" s="271">
        <f>VLOOKUP(C636,lookup!$B$2:$F$1240,5)</f>
        <v>20</v>
      </c>
    </row>
    <row r="637" spans="1:5" ht="22.8" x14ac:dyDescent="0.25">
      <c r="A637" s="169">
        <v>378</v>
      </c>
      <c r="C637" s="106" t="s">
        <v>1309</v>
      </c>
      <c r="D637" s="269" t="str">
        <f>VLOOKUP(C637,lookup!$B$2:$F$1240,2)</f>
        <v>lin ft</v>
      </c>
      <c r="E637" s="271">
        <f>VLOOKUP(C637,lookup!$B$2:$F$1240,5)</f>
        <v>20</v>
      </c>
    </row>
    <row r="638" spans="1:5" ht="22.8" x14ac:dyDescent="0.25">
      <c r="A638" s="169">
        <v>378</v>
      </c>
      <c r="C638" s="106" t="s">
        <v>2656</v>
      </c>
      <c r="D638" s="269" t="str">
        <f>VLOOKUP(C638,lookup!$B$2:$F$1240,2)</f>
        <v>lin ft</v>
      </c>
      <c r="E638" s="271">
        <f>VLOOKUP(C638,lookup!$B$2:$F$1240,5)</f>
        <v>20</v>
      </c>
    </row>
    <row r="639" spans="1:5" ht="22.8" x14ac:dyDescent="0.25">
      <c r="A639" s="169">
        <v>378</v>
      </c>
      <c r="C639" s="106" t="s">
        <v>214</v>
      </c>
      <c r="D639" s="269" t="str">
        <f>VLOOKUP(C639,lookup!$B$2:$F$1240,2)</f>
        <v>lin ft</v>
      </c>
      <c r="E639" s="271">
        <f>VLOOKUP(C639,lookup!$B$2:$F$1240,5)</f>
        <v>20</v>
      </c>
    </row>
    <row r="640" spans="1:5" ht="22.8" x14ac:dyDescent="0.25">
      <c r="A640" s="169">
        <v>378</v>
      </c>
      <c r="C640" s="106" t="s">
        <v>1481</v>
      </c>
      <c r="D640" s="269" t="str">
        <f>VLOOKUP(C640,lookup!$B$2:$F$1240,2)</f>
        <v>lin ft</v>
      </c>
      <c r="E640" s="271">
        <f>VLOOKUP(C640,lookup!$B$2:$F$1240,5)</f>
        <v>20</v>
      </c>
    </row>
    <row r="641" spans="1:5" ht="22.8" x14ac:dyDescent="0.25">
      <c r="A641" s="169">
        <v>378</v>
      </c>
      <c r="C641" s="106" t="s">
        <v>2168</v>
      </c>
      <c r="D641" s="269" t="str">
        <f>VLOOKUP(C641,lookup!$B$2:$F$1240,2)</f>
        <v>lin ft</v>
      </c>
      <c r="E641" s="271">
        <f>VLOOKUP(C641,lookup!$B$2:$F$1240,5)</f>
        <v>20</v>
      </c>
    </row>
    <row r="642" spans="1:5" ht="22.8" x14ac:dyDescent="0.25">
      <c r="A642" s="169">
        <v>378</v>
      </c>
      <c r="C642" s="106" t="s">
        <v>438</v>
      </c>
      <c r="D642" s="269" t="str">
        <f>VLOOKUP(C642,lookup!$B$2:$F$1240,2)</f>
        <v>lin ft</v>
      </c>
      <c r="E642" s="271">
        <f>VLOOKUP(C642,lookup!$B$2:$F$1240,5)</f>
        <v>20</v>
      </c>
    </row>
    <row r="643" spans="1:5" ht="22.8" x14ac:dyDescent="0.25">
      <c r="A643" s="169">
        <v>378</v>
      </c>
      <c r="C643" s="106" t="s">
        <v>1981</v>
      </c>
      <c r="D643" s="269" t="str">
        <f>VLOOKUP(C643,lookup!$B$2:$F$1240,2)</f>
        <v>lin ft</v>
      </c>
      <c r="E643" s="271">
        <f>VLOOKUP(C643,lookup!$B$2:$F$1240,5)</f>
        <v>20</v>
      </c>
    </row>
    <row r="644" spans="1:5" ht="22.8" x14ac:dyDescent="0.25">
      <c r="A644" s="169">
        <v>378</v>
      </c>
      <c r="C644" s="106" t="s">
        <v>1397</v>
      </c>
      <c r="D644" s="269" t="str">
        <f>VLOOKUP(C644,lookup!$B$2:$F$1240,2)</f>
        <v>lin ft</v>
      </c>
      <c r="E644" s="271">
        <f>VLOOKUP(C644,lookup!$B$2:$F$1240,5)</f>
        <v>20</v>
      </c>
    </row>
    <row r="645" spans="1:5" ht="22.8" x14ac:dyDescent="0.25">
      <c r="A645" s="169">
        <v>378</v>
      </c>
      <c r="C645" s="106" t="s">
        <v>1982</v>
      </c>
      <c r="D645" s="269" t="str">
        <f>VLOOKUP(C645,lookup!$B$2:$F$1240,2)</f>
        <v>lin ft</v>
      </c>
      <c r="E645" s="271">
        <f>VLOOKUP(C645,lookup!$B$2:$F$1240,5)</f>
        <v>20</v>
      </c>
    </row>
    <row r="646" spans="1:5" x14ac:dyDescent="0.25">
      <c r="A646" s="169">
        <v>378</v>
      </c>
      <c r="C646" s="106" t="s">
        <v>1341</v>
      </c>
      <c r="D646" s="269" t="str">
        <f>VLOOKUP(C646,lookup!$B$2:$F$1240,2)</f>
        <v>ft</v>
      </c>
      <c r="E646" s="271">
        <f>VLOOKUP(C646,lookup!$B$2:$F$1240,5)</f>
        <v>2</v>
      </c>
    </row>
    <row r="647" spans="1:5" x14ac:dyDescent="0.25">
      <c r="A647" s="169">
        <v>378</v>
      </c>
      <c r="C647" s="106" t="s">
        <v>2540</v>
      </c>
      <c r="D647" s="269" t="str">
        <f>VLOOKUP(C647,lookup!$B$2:$F$1240,2)</f>
        <v>ft</v>
      </c>
      <c r="E647" s="271">
        <f>VLOOKUP(C647,lookup!$B$2:$F$1240,5)</f>
        <v>2</v>
      </c>
    </row>
    <row r="648" spans="1:5" x14ac:dyDescent="0.25">
      <c r="A648" s="169">
        <v>378</v>
      </c>
      <c r="C648" s="106" t="s">
        <v>2541</v>
      </c>
      <c r="D648" s="269" t="str">
        <f>VLOOKUP(C648,lookup!$B$2:$F$1240,2)</f>
        <v>ft</v>
      </c>
      <c r="E648" s="271">
        <f>VLOOKUP(C648,lookup!$B$2:$F$1240,5)</f>
        <v>2</v>
      </c>
    </row>
    <row r="649" spans="1:5" x14ac:dyDescent="0.25">
      <c r="A649" s="169">
        <v>378</v>
      </c>
      <c r="C649" s="106" t="s">
        <v>2542</v>
      </c>
      <c r="D649" s="269" t="str">
        <f>VLOOKUP(C649,lookup!$B$2:$F$1240,2)</f>
        <v>ft</v>
      </c>
      <c r="E649" s="271">
        <f>VLOOKUP(C649,lookup!$B$2:$F$1240,5)</f>
        <v>2</v>
      </c>
    </row>
    <row r="650" spans="1:5" x14ac:dyDescent="0.25">
      <c r="A650" s="169">
        <v>378</v>
      </c>
      <c r="C650" s="106" t="s">
        <v>1604</v>
      </c>
      <c r="D650" s="269" t="str">
        <f>VLOOKUP(C650,lookup!$B$2:$F$1240,2)</f>
        <v>ft</v>
      </c>
      <c r="E650" s="271">
        <f>VLOOKUP(C650,lookup!$B$2:$F$1240,5)</f>
        <v>2</v>
      </c>
    </row>
    <row r="651" spans="1:5" x14ac:dyDescent="0.25">
      <c r="A651" s="169">
        <v>378</v>
      </c>
      <c r="C651" s="106" t="s">
        <v>1605</v>
      </c>
      <c r="D651" s="269" t="str">
        <f>VLOOKUP(C651,lookup!$B$2:$F$1240,2)</f>
        <v>ft</v>
      </c>
      <c r="E651" s="271">
        <f>VLOOKUP(C651,lookup!$B$2:$F$1240,5)</f>
        <v>2</v>
      </c>
    </row>
    <row r="652" spans="1:5" x14ac:dyDescent="0.25">
      <c r="A652" s="169">
        <v>378</v>
      </c>
      <c r="C652" s="106" t="s">
        <v>1004</v>
      </c>
      <c r="D652" s="269" t="str">
        <f>VLOOKUP(C652,lookup!$B$2:$F$1240,2)</f>
        <v>ft</v>
      </c>
      <c r="E652" s="271">
        <f>VLOOKUP(C652,lookup!$B$2:$F$1240,5)</f>
        <v>2</v>
      </c>
    </row>
    <row r="653" spans="1:5" x14ac:dyDescent="0.25">
      <c r="A653" s="169">
        <v>378</v>
      </c>
      <c r="C653" s="106" t="s">
        <v>1622</v>
      </c>
      <c r="D653" s="269" t="str">
        <f>VLOOKUP(C653,lookup!$B$2:$F$1240,2)</f>
        <v>ft</v>
      </c>
      <c r="E653" s="271">
        <f>VLOOKUP(C653,lookup!$B$2:$F$1240,5)</f>
        <v>2</v>
      </c>
    </row>
    <row r="654" spans="1:5" x14ac:dyDescent="0.25">
      <c r="A654" s="169">
        <v>378</v>
      </c>
      <c r="C654" s="106" t="s">
        <v>231</v>
      </c>
      <c r="D654" s="269" t="str">
        <f>VLOOKUP(C654,lookup!$B$2:$F$1240,2)</f>
        <v>ft</v>
      </c>
      <c r="E654" s="271">
        <f>VLOOKUP(C654,lookup!$B$2:$F$1240,5)</f>
        <v>2</v>
      </c>
    </row>
    <row r="655" spans="1:5" ht="22.8" x14ac:dyDescent="0.25">
      <c r="A655" s="169">
        <v>378</v>
      </c>
      <c r="C655" s="106" t="s">
        <v>2522</v>
      </c>
      <c r="D655" s="269">
        <f>VLOOKUP(C655,lookup!$B$2:$F$1240,2)</f>
        <v>0</v>
      </c>
      <c r="E655" s="271">
        <f>VLOOKUP(C655,lookup!$B$2:$F$1240,5)</f>
        <v>0</v>
      </c>
    </row>
    <row r="656" spans="1:5" ht="22.8" x14ac:dyDescent="0.25">
      <c r="A656" s="169">
        <v>378</v>
      </c>
      <c r="C656" s="106" t="s">
        <v>2710</v>
      </c>
      <c r="D656" s="269">
        <f>VLOOKUP(C656,lookup!$B$2:$F$1240,2)</f>
        <v>0</v>
      </c>
      <c r="E656" s="271">
        <f>VLOOKUP(C656,lookup!$B$2:$F$1240,5)</f>
        <v>0</v>
      </c>
    </row>
    <row r="657" spans="1:5" x14ac:dyDescent="0.25">
      <c r="A657" s="169">
        <v>378</v>
      </c>
      <c r="C657" s="106" t="s">
        <v>1232</v>
      </c>
      <c r="D657" s="269">
        <f>VLOOKUP(C657,lookup!$B$2:$F$1240,2)</f>
        <v>0</v>
      </c>
      <c r="E657" s="271">
        <f>VLOOKUP(C657,lookup!$B$2:$F$1240,5)</f>
        <v>0</v>
      </c>
    </row>
    <row r="658" spans="1:5" ht="22.8" x14ac:dyDescent="0.25">
      <c r="A658" s="169">
        <v>378</v>
      </c>
      <c r="C658" s="106" t="s">
        <v>2543</v>
      </c>
      <c r="D658" s="269">
        <f>VLOOKUP(C658,lookup!$B$2:$F$1240,2)</f>
        <v>0</v>
      </c>
      <c r="E658" s="271">
        <f>VLOOKUP(C658,lookup!$B$2:$F$1240,5)</f>
        <v>0</v>
      </c>
    </row>
    <row r="659" spans="1:5" ht="22.8" x14ac:dyDescent="0.25">
      <c r="A659" s="169">
        <v>378</v>
      </c>
      <c r="C659" s="106" t="s">
        <v>2544</v>
      </c>
      <c r="D659" s="269">
        <f>VLOOKUP(C659,lookup!$B$2:$F$1240,2)</f>
        <v>0</v>
      </c>
      <c r="E659" s="271">
        <f>VLOOKUP(C659,lookup!$B$2:$F$1240,5)</f>
        <v>0</v>
      </c>
    </row>
    <row r="660" spans="1:5" ht="22.8" x14ac:dyDescent="0.25">
      <c r="A660" s="169">
        <v>378</v>
      </c>
      <c r="C660" s="106" t="s">
        <v>2318</v>
      </c>
      <c r="D660" s="269">
        <f>VLOOKUP(C660,lookup!$B$2:$F$1240,2)</f>
        <v>0</v>
      </c>
      <c r="E660" s="271">
        <f>VLOOKUP(C660,lookup!$B$2:$F$1240,5)</f>
        <v>0</v>
      </c>
    </row>
    <row r="661" spans="1:5" ht="22.8" x14ac:dyDescent="0.25">
      <c r="A661" s="169">
        <v>378</v>
      </c>
      <c r="C661" s="106" t="s">
        <v>2761</v>
      </c>
      <c r="D661" s="269" t="str">
        <f>VLOOKUP(C661,lookup!$B$2:$F$1240,2)</f>
        <v>ea.</v>
      </c>
      <c r="E661" s="271">
        <f>VLOOKUP(C661,lookup!$B$2:$F$1240,5)</f>
        <v>2220</v>
      </c>
    </row>
    <row r="662" spans="1:5" ht="22.8" x14ac:dyDescent="0.25">
      <c r="A662" s="169">
        <v>378</v>
      </c>
      <c r="C662" s="106" t="s">
        <v>2762</v>
      </c>
      <c r="D662" s="269" t="str">
        <f>VLOOKUP(C662,lookup!$B$2:$F$1240,2)</f>
        <v>ea.</v>
      </c>
      <c r="E662" s="271">
        <f>VLOOKUP(C662,lookup!$B$2:$F$1240,5)</f>
        <v>2220</v>
      </c>
    </row>
    <row r="663" spans="1:5" ht="22.8" x14ac:dyDescent="0.25">
      <c r="A663" s="169">
        <v>378</v>
      </c>
      <c r="C663" s="106" t="s">
        <v>2763</v>
      </c>
      <c r="D663" s="269" t="str">
        <f>VLOOKUP(C663,lookup!$B$2:$F$1240,2)</f>
        <v>ea.</v>
      </c>
      <c r="E663" s="271">
        <f>VLOOKUP(C663,lookup!$B$2:$F$1240,5)</f>
        <v>2440</v>
      </c>
    </row>
    <row r="664" spans="1:5" ht="22.8" x14ac:dyDescent="0.25">
      <c r="A664" s="169">
        <v>378</v>
      </c>
      <c r="C664" s="106" t="s">
        <v>2764</v>
      </c>
      <c r="D664" s="269" t="str">
        <f>VLOOKUP(C664,lookup!$B$2:$F$1240,2)</f>
        <v>ea.</v>
      </c>
      <c r="E664" s="271">
        <f>VLOOKUP(C664,lookup!$B$2:$F$1240,5)</f>
        <v>2440</v>
      </c>
    </row>
    <row r="665" spans="1:5" ht="22.8" x14ac:dyDescent="0.25">
      <c r="A665" s="169">
        <v>378</v>
      </c>
      <c r="C665" s="106" t="s">
        <v>2765</v>
      </c>
      <c r="D665" s="269" t="str">
        <f>VLOOKUP(C665,lookup!$B$2:$F$1240,2)</f>
        <v>ea.</v>
      </c>
      <c r="E665" s="271">
        <f>VLOOKUP(C665,lookup!$B$2:$F$1240,5)</f>
        <v>2610</v>
      </c>
    </row>
    <row r="666" spans="1:5" ht="22.8" x14ac:dyDescent="0.25">
      <c r="A666" s="169">
        <v>378</v>
      </c>
      <c r="C666" s="106" t="s">
        <v>2766</v>
      </c>
      <c r="D666" s="269" t="str">
        <f>VLOOKUP(C666,lookup!$B$2:$F$1240,2)</f>
        <v>ea.</v>
      </c>
      <c r="E666" s="271">
        <f>VLOOKUP(C666,lookup!$B$2:$F$1240,5)</f>
        <v>2610</v>
      </c>
    </row>
    <row r="667" spans="1:5" ht="22.8" x14ac:dyDescent="0.25">
      <c r="A667" s="169">
        <v>378</v>
      </c>
      <c r="C667" s="106" t="s">
        <v>2767</v>
      </c>
      <c r="D667" s="269" t="str">
        <f>VLOOKUP(C667,lookup!$B$2:$F$1240,2)</f>
        <v>ea.</v>
      </c>
      <c r="E667" s="271">
        <f>VLOOKUP(C667,lookup!$B$2:$F$1240,5)</f>
        <v>2220</v>
      </c>
    </row>
    <row r="668" spans="1:5" ht="22.8" x14ac:dyDescent="0.25">
      <c r="A668" s="169">
        <v>378</v>
      </c>
      <c r="C668" s="106" t="s">
        <v>2768</v>
      </c>
      <c r="D668" s="269" t="str">
        <f>VLOOKUP(C668,lookup!$B$2:$F$1240,2)</f>
        <v>ea.</v>
      </c>
      <c r="E668" s="271">
        <f>VLOOKUP(C668,lookup!$B$2:$F$1240,5)</f>
        <v>2220</v>
      </c>
    </row>
    <row r="669" spans="1:5" ht="22.8" x14ac:dyDescent="0.25">
      <c r="A669" s="169">
        <v>378</v>
      </c>
      <c r="C669" s="106" t="s">
        <v>2769</v>
      </c>
      <c r="D669" s="269" t="str">
        <f>VLOOKUP(C669,lookup!$B$2:$F$1240,2)</f>
        <v>ea.</v>
      </c>
      <c r="E669" s="271">
        <f>VLOOKUP(C669,lookup!$B$2:$F$1240,5)</f>
        <v>2370</v>
      </c>
    </row>
    <row r="670" spans="1:5" ht="22.8" x14ac:dyDescent="0.25">
      <c r="A670" s="169">
        <v>378</v>
      </c>
      <c r="C670" s="106" t="s">
        <v>2120</v>
      </c>
      <c r="D670" s="269" t="str">
        <f>VLOOKUP(C670,lookup!$B$2:$F$1240,2)</f>
        <v>ea.</v>
      </c>
      <c r="E670" s="271">
        <f>VLOOKUP(C670,lookup!$B$2:$F$1240,5)</f>
        <v>2370</v>
      </c>
    </row>
    <row r="671" spans="1:5" ht="22.8" x14ac:dyDescent="0.25">
      <c r="A671" s="169">
        <v>378</v>
      </c>
      <c r="C671" s="106" t="s">
        <v>2694</v>
      </c>
      <c r="D671" s="269" t="str">
        <f>VLOOKUP(C671,lookup!$B$2:$F$1240,2)</f>
        <v>ea.</v>
      </c>
      <c r="E671" s="271">
        <f>VLOOKUP(C671,lookup!$B$2:$F$1240,5)</f>
        <v>2420</v>
      </c>
    </row>
    <row r="672" spans="1:5" ht="22.8" x14ac:dyDescent="0.25">
      <c r="A672" s="169">
        <v>378</v>
      </c>
      <c r="C672" s="106" t="s">
        <v>2695</v>
      </c>
      <c r="D672" s="269" t="str">
        <f>VLOOKUP(C672,lookup!$B$2:$F$1240,2)</f>
        <v>ea.</v>
      </c>
      <c r="E672" s="271">
        <f>VLOOKUP(C672,lookup!$B$2:$F$1240,5)</f>
        <v>2420</v>
      </c>
    </row>
    <row r="673" spans="1:5" x14ac:dyDescent="0.25">
      <c r="A673" s="169">
        <v>378</v>
      </c>
      <c r="C673" s="106" t="s">
        <v>1996</v>
      </c>
      <c r="D673" s="269" t="str">
        <f>VLOOKUP(C673,lookup!$B$2:$F$1240,2)</f>
        <v>ton</v>
      </c>
      <c r="E673" s="271">
        <f>VLOOKUP(C673,lookup!$B$2:$F$1240,5)</f>
        <v>21.63</v>
      </c>
    </row>
    <row r="674" spans="1:5" x14ac:dyDescent="0.25">
      <c r="A674" s="169">
        <v>378</v>
      </c>
      <c r="C674" s="106" t="s">
        <v>1997</v>
      </c>
      <c r="D674" s="269" t="str">
        <f>VLOOKUP(C674,lookup!$B$2:$F$1240,2)</f>
        <v>ton</v>
      </c>
      <c r="E674" s="271">
        <f>VLOOKUP(C674,lookup!$B$2:$F$1240,5)</f>
        <v>21.63</v>
      </c>
    </row>
    <row r="675" spans="1:5" x14ac:dyDescent="0.25">
      <c r="A675" s="169">
        <v>378</v>
      </c>
      <c r="C675" s="106" t="s">
        <v>1998</v>
      </c>
      <c r="D675" s="269" t="str">
        <f>VLOOKUP(C675,lookup!$B$2:$F$1240,2)</f>
        <v>ton</v>
      </c>
      <c r="E675" s="271">
        <f>VLOOKUP(C675,lookup!$B$2:$F$1240,5)</f>
        <v>21.63</v>
      </c>
    </row>
    <row r="676" spans="1:5" x14ac:dyDescent="0.25">
      <c r="A676" s="169">
        <v>378</v>
      </c>
      <c r="C676" s="106" t="s">
        <v>1999</v>
      </c>
      <c r="D676" s="269" t="str">
        <f>VLOOKUP(C676,lookup!$B$2:$F$1240,2)</f>
        <v>ton</v>
      </c>
      <c r="E676" s="271">
        <f>VLOOKUP(C676,lookup!$B$2:$F$1240,5)</f>
        <v>21.63</v>
      </c>
    </row>
    <row r="677" spans="1:5" x14ac:dyDescent="0.25">
      <c r="A677" s="169">
        <v>378</v>
      </c>
      <c r="C677" s="106" t="s">
        <v>2786</v>
      </c>
      <c r="D677" s="269" t="str">
        <f>VLOOKUP(C677,lookup!$B$2:$F$1240,2)</f>
        <v>ton</v>
      </c>
      <c r="E677" s="271">
        <f>VLOOKUP(C677,lookup!$B$2:$F$1240,5)</f>
        <v>21.63</v>
      </c>
    </row>
    <row r="678" spans="1:5" x14ac:dyDescent="0.25">
      <c r="A678" s="169">
        <v>378</v>
      </c>
      <c r="C678" s="106" t="s">
        <v>2784</v>
      </c>
      <c r="D678" s="269" t="str">
        <f>VLOOKUP(C678,lookup!$B$2:$F$1240,2)</f>
        <v>ton</v>
      </c>
      <c r="E678" s="271">
        <f>VLOOKUP(C678,lookup!$B$2:$F$1240,5)</f>
        <v>21.63</v>
      </c>
    </row>
    <row r="679" spans="1:5" x14ac:dyDescent="0.25">
      <c r="A679" s="169">
        <v>378</v>
      </c>
      <c r="C679" s="106" t="s">
        <v>699</v>
      </c>
      <c r="D679" s="269" t="str">
        <f>VLOOKUP(C679,lookup!$B$2:$F$1240,2)</f>
        <v>ea.</v>
      </c>
      <c r="E679" s="271">
        <f>VLOOKUP(C679,lookup!$B$2:$F$1240,5)</f>
        <v>30</v>
      </c>
    </row>
    <row r="680" spans="1:5" x14ac:dyDescent="0.25">
      <c r="A680" s="169">
        <v>378</v>
      </c>
      <c r="C680" s="106" t="s">
        <v>700</v>
      </c>
      <c r="D680" s="269" t="str">
        <f>VLOOKUP(C680,lookup!$B$2:$F$1240,2)</f>
        <v>ea.</v>
      </c>
      <c r="E680" s="271">
        <f>VLOOKUP(C680,lookup!$B$2:$F$1240,5)</f>
        <v>32</v>
      </c>
    </row>
    <row r="681" spans="1:5" x14ac:dyDescent="0.25">
      <c r="A681" s="169">
        <v>378</v>
      </c>
      <c r="C681" s="106" t="s">
        <v>701</v>
      </c>
      <c r="D681" s="269" t="str">
        <f>VLOOKUP(C681,lookup!$B$2:$F$1240,2)</f>
        <v>ea.</v>
      </c>
      <c r="E681" s="271">
        <f>VLOOKUP(C681,lookup!$B$2:$F$1240,5)</f>
        <v>46</v>
      </c>
    </row>
    <row r="682" spans="1:5" x14ac:dyDescent="0.25">
      <c r="A682" s="169">
        <v>378</v>
      </c>
      <c r="C682" s="106" t="s">
        <v>702</v>
      </c>
      <c r="D682" s="269" t="str">
        <f>VLOOKUP(C682,lookup!$B$2:$F$1240,2)</f>
        <v>ea.</v>
      </c>
      <c r="E682" s="271">
        <f>VLOOKUP(C682,lookup!$B$2:$F$1240,5)</f>
        <v>21</v>
      </c>
    </row>
    <row r="683" spans="1:5" x14ac:dyDescent="0.25">
      <c r="A683" s="169">
        <v>378</v>
      </c>
      <c r="C683" s="106" t="s">
        <v>703</v>
      </c>
      <c r="D683" s="269" t="str">
        <f>VLOOKUP(C683,lookup!$B$2:$F$1240,2)</f>
        <v>ea.</v>
      </c>
      <c r="E683" s="271">
        <f>VLOOKUP(C683,lookup!$B$2:$F$1240,5)</f>
        <v>23</v>
      </c>
    </row>
    <row r="684" spans="1:5" x14ac:dyDescent="0.25">
      <c r="A684" s="169">
        <v>378</v>
      </c>
      <c r="C684" s="106" t="s">
        <v>704</v>
      </c>
      <c r="D684" s="269" t="str">
        <f>VLOOKUP(C684,lookup!$B$2:$F$1240,2)</f>
        <v>ea.</v>
      </c>
      <c r="E684" s="271">
        <f>VLOOKUP(C684,lookup!$B$2:$F$1240,5)</f>
        <v>26</v>
      </c>
    </row>
    <row r="685" spans="1:5" x14ac:dyDescent="0.25">
      <c r="A685" s="169">
        <v>378</v>
      </c>
      <c r="C685" s="106" t="s">
        <v>2712</v>
      </c>
      <c r="D685" s="269" t="str">
        <f>VLOOKUP(C685,lookup!$B$2:$F$1240,2)</f>
        <v>Cu Yd</v>
      </c>
      <c r="E685" s="271">
        <f>VLOOKUP(C685,lookup!$B$2:$F$1240,5)</f>
        <v>3.5</v>
      </c>
    </row>
    <row r="686" spans="1:5" ht="22.8" x14ac:dyDescent="0.25">
      <c r="A686" s="169">
        <v>378</v>
      </c>
      <c r="C686" s="106" t="s">
        <v>906</v>
      </c>
      <c r="D686" s="269">
        <f>VLOOKUP(C686,lookup!$B$2:$F$1240,2)</f>
        <v>0</v>
      </c>
      <c r="E686" s="271">
        <f>VLOOKUP(C686,lookup!$B$2:$F$1240,5)</f>
        <v>0</v>
      </c>
    </row>
    <row r="687" spans="1:5" ht="22.8" x14ac:dyDescent="0.25">
      <c r="A687" s="169">
        <v>378</v>
      </c>
      <c r="C687" s="106" t="s">
        <v>907</v>
      </c>
      <c r="D687" s="269" t="str">
        <f>VLOOKUP(C687,lookup!$B$2:$F$1240,2)</f>
        <v>sq ft</v>
      </c>
      <c r="E687" s="271">
        <f>VLOOKUP(C687,lookup!$B$2:$F$1240,5)</f>
        <v>0</v>
      </c>
    </row>
    <row r="688" spans="1:5" ht="22.8" x14ac:dyDescent="0.25">
      <c r="A688" s="169">
        <v>378</v>
      </c>
      <c r="C688" s="106" t="s">
        <v>1781</v>
      </c>
      <c r="D688" s="269">
        <f>VLOOKUP(C688,lookup!$B$2:$F$1240,2)</f>
        <v>0</v>
      </c>
      <c r="E688" s="271">
        <f>VLOOKUP(C688,lookup!$B$2:$F$1240,5)</f>
        <v>0</v>
      </c>
    </row>
    <row r="689" spans="1:5" ht="22.8" x14ac:dyDescent="0.25">
      <c r="A689" s="169">
        <v>378</v>
      </c>
      <c r="C689" s="106" t="s">
        <v>908</v>
      </c>
      <c r="D689" s="269">
        <f>VLOOKUP(C689,lookup!$B$2:$F$1240,2)</f>
        <v>0</v>
      </c>
      <c r="E689" s="271">
        <f>VLOOKUP(C689,lookup!$B$2:$F$1240,5)</f>
        <v>0</v>
      </c>
    </row>
    <row r="690" spans="1:5" ht="22.8" x14ac:dyDescent="0.25">
      <c r="A690" s="169">
        <v>378</v>
      </c>
      <c r="C690" s="106" t="s">
        <v>909</v>
      </c>
      <c r="D690" s="269">
        <f>VLOOKUP(C690,lookup!$B$2:$F$1240,2)</f>
        <v>0</v>
      </c>
      <c r="E690" s="271">
        <f>VLOOKUP(C690,lookup!$B$2:$F$1240,5)</f>
        <v>0</v>
      </c>
    </row>
    <row r="691" spans="1:5" ht="22.8" x14ac:dyDescent="0.25">
      <c r="A691" s="169">
        <v>378</v>
      </c>
      <c r="C691" s="106" t="s">
        <v>910</v>
      </c>
      <c r="D691" s="269">
        <f>VLOOKUP(C691,lookup!$B$2:$F$1240,2)</f>
        <v>0</v>
      </c>
      <c r="E691" s="271">
        <f>VLOOKUP(C691,lookup!$B$2:$F$1240,5)</f>
        <v>0</v>
      </c>
    </row>
    <row r="692" spans="1:5" x14ac:dyDescent="0.25">
      <c r="A692" s="169">
        <v>378</v>
      </c>
      <c r="C692" s="106" t="s">
        <v>1523</v>
      </c>
      <c r="D692" s="269">
        <f>VLOOKUP(C692,lookup!$B$2:$F$1240,2)</f>
        <v>0</v>
      </c>
      <c r="E692" s="271">
        <f>VLOOKUP(C692,lookup!$B$2:$F$1240,5)</f>
        <v>0</v>
      </c>
    </row>
    <row r="693" spans="1:5" x14ac:dyDescent="0.25">
      <c r="A693" s="169">
        <v>378</v>
      </c>
      <c r="C693" s="106" t="s">
        <v>243</v>
      </c>
      <c r="D693" s="269">
        <f>VLOOKUP(C693,lookup!$B$2:$F$1240,2)</f>
        <v>0</v>
      </c>
      <c r="E693" s="271">
        <f>VLOOKUP(C693,lookup!$B$2:$F$1240,5)</f>
        <v>0</v>
      </c>
    </row>
    <row r="694" spans="1:5" x14ac:dyDescent="0.25">
      <c r="A694" s="169">
        <v>380</v>
      </c>
      <c r="B694" s="172" t="s">
        <v>2083</v>
      </c>
      <c r="D694" s="269" t="e">
        <f>VLOOKUP(C694,lookup!$B$2:$F$1240,2)</f>
        <v>#N/A</v>
      </c>
      <c r="E694" s="271" t="e">
        <f>VLOOKUP(C694,lookup!$B$2:$F$1240,5)</f>
        <v>#N/A</v>
      </c>
    </row>
    <row r="695" spans="1:5" x14ac:dyDescent="0.25">
      <c r="A695" s="169">
        <v>380</v>
      </c>
      <c r="C695" s="106" t="s">
        <v>989</v>
      </c>
      <c r="D695" s="269" t="str">
        <f>VLOOKUP(C695,lookup!$B$2:$F$1240,2)</f>
        <v>CY</v>
      </c>
      <c r="E695" s="271">
        <f>VLOOKUP(C695,lookup!$B$2:$F$1240,5)</f>
        <v>19</v>
      </c>
    </row>
    <row r="696" spans="1:5" x14ac:dyDescent="0.25">
      <c r="A696" s="169">
        <v>380</v>
      </c>
      <c r="C696" s="106" t="s">
        <v>2173</v>
      </c>
      <c r="D696" s="269" t="str">
        <f>VLOOKUP(C696,lookup!$B$2:$F$1240,2)</f>
        <v>CuYd</v>
      </c>
      <c r="E696" s="271">
        <f>VLOOKUP(C696,lookup!$B$2:$F$1240,5)</f>
        <v>12.71</v>
      </c>
    </row>
    <row r="697" spans="1:5" x14ac:dyDescent="0.25">
      <c r="A697" s="169">
        <v>380</v>
      </c>
      <c r="C697" s="106" t="s">
        <v>990</v>
      </c>
      <c r="D697" s="269" t="str">
        <f>VLOOKUP(C697,lookup!$B$2:$F$1240,2)</f>
        <v>CuYd</v>
      </c>
      <c r="E697" s="271">
        <f>VLOOKUP(C697,lookup!$B$2:$F$1240,5)</f>
        <v>12.71</v>
      </c>
    </row>
    <row r="698" spans="1:5" ht="34.200000000000003" x14ac:dyDescent="0.25">
      <c r="A698" s="169">
        <v>380</v>
      </c>
      <c r="C698" s="106" t="s">
        <v>1413</v>
      </c>
      <c r="D698" s="269">
        <f>VLOOKUP(C698,lookup!$B$2:$F$1240,2)</f>
        <v>0</v>
      </c>
      <c r="E698" s="271">
        <f>VLOOKUP(C698,lookup!$B$2:$F$1240,5)</f>
        <v>0</v>
      </c>
    </row>
    <row r="699" spans="1:5" ht="22.8" x14ac:dyDescent="0.25">
      <c r="A699" s="169">
        <v>380</v>
      </c>
      <c r="C699" s="106" t="s">
        <v>230</v>
      </c>
      <c r="D699" s="269">
        <f>VLOOKUP(C699,lookup!$B$2:$F$1240,2)</f>
        <v>0</v>
      </c>
      <c r="E699" s="271">
        <f>VLOOKUP(C699,lookup!$B$2:$F$1240,5)</f>
        <v>0</v>
      </c>
    </row>
    <row r="700" spans="1:5" x14ac:dyDescent="0.25">
      <c r="A700" s="169">
        <v>380</v>
      </c>
      <c r="C700" s="106" t="s">
        <v>1414</v>
      </c>
      <c r="D700" s="269">
        <f>VLOOKUP(C700,lookup!$B$2:$F$1240,2)</f>
        <v>0</v>
      </c>
      <c r="E700" s="271">
        <f>VLOOKUP(C700,lookup!$B$2:$F$1240,5)</f>
        <v>0</v>
      </c>
    </row>
    <row r="701" spans="1:5" ht="22.8" x14ac:dyDescent="0.25">
      <c r="A701" s="169">
        <v>380</v>
      </c>
      <c r="C701" s="106" t="s">
        <v>1412</v>
      </c>
      <c r="D701" s="269" t="str">
        <f>VLOOKUP(C701,lookup!$B$2:$F$1240,2)</f>
        <v>acre</v>
      </c>
      <c r="E701" s="271">
        <f>VLOOKUP(C701,lookup!$B$2:$F$1240,5)</f>
        <v>0</v>
      </c>
    </row>
    <row r="702" spans="1:5" ht="22.8" x14ac:dyDescent="0.25">
      <c r="A702" s="169">
        <v>380</v>
      </c>
      <c r="C702" s="106" t="s">
        <v>1411</v>
      </c>
      <c r="D702" s="269">
        <f>VLOOKUP(C702,lookup!$B$2:$F$1240,2)</f>
        <v>0</v>
      </c>
      <c r="E702" s="271">
        <f>VLOOKUP(C702,lookup!$B$2:$F$1240,5)</f>
        <v>0</v>
      </c>
    </row>
    <row r="703" spans="1:5" ht="34.200000000000003" x14ac:dyDescent="0.25">
      <c r="A703" s="169">
        <v>380</v>
      </c>
      <c r="C703" s="106" t="s">
        <v>1647</v>
      </c>
      <c r="D703" s="269" t="str">
        <f>VLOOKUP(C703,lookup!$B$2:$F$1240,2)</f>
        <v>each</v>
      </c>
      <c r="E703" s="271">
        <f>VLOOKUP(C703,lookup!$B$2:$F$1240,5)</f>
        <v>3.75</v>
      </c>
    </row>
    <row r="704" spans="1:5" x14ac:dyDescent="0.25">
      <c r="A704" s="169">
        <v>380</v>
      </c>
      <c r="C704" s="106" t="s">
        <v>2531</v>
      </c>
      <c r="D704" s="269">
        <f>VLOOKUP(C704,lookup!$B$2:$F$1240,2)</f>
        <v>0</v>
      </c>
      <c r="E704" s="271">
        <f>VLOOKUP(C704,lookup!$B$2:$F$1240,5)</f>
        <v>0</v>
      </c>
    </row>
    <row r="705" spans="1:5" ht="22.8" x14ac:dyDescent="0.25">
      <c r="A705" s="169">
        <v>380</v>
      </c>
      <c r="C705" s="106" t="s">
        <v>2532</v>
      </c>
      <c r="D705" s="269">
        <f>VLOOKUP(C705,lookup!$B$2:$F$1240,2)</f>
        <v>0</v>
      </c>
      <c r="E705" s="271">
        <f>VLOOKUP(C705,lookup!$B$2:$F$1240,5)</f>
        <v>0</v>
      </c>
    </row>
    <row r="706" spans="1:5" ht="34.200000000000003" x14ac:dyDescent="0.25">
      <c r="A706" s="169">
        <v>380</v>
      </c>
      <c r="C706" s="106" t="s">
        <v>1410</v>
      </c>
      <c r="D706" s="269">
        <f>VLOOKUP(C706,lookup!$B$2:$F$1240,2)</f>
        <v>0</v>
      </c>
      <c r="E706" s="271">
        <f>VLOOKUP(C706,lookup!$B$2:$F$1240,5)</f>
        <v>0</v>
      </c>
    </row>
    <row r="707" spans="1:5" x14ac:dyDescent="0.25">
      <c r="A707" s="169">
        <v>380</v>
      </c>
      <c r="D707" s="269" t="e">
        <f>VLOOKUP(C707,lookup!$B$2:$F$1240,2)</f>
        <v>#N/A</v>
      </c>
      <c r="E707" s="271" t="e">
        <f>VLOOKUP(C707,lookup!$B$2:$F$1240,5)</f>
        <v>#N/A</v>
      </c>
    </row>
    <row r="708" spans="1:5" x14ac:dyDescent="0.25">
      <c r="A708" s="169">
        <v>382</v>
      </c>
      <c r="B708" s="171" t="s">
        <v>2338</v>
      </c>
      <c r="C708" s="105"/>
      <c r="D708" s="269" t="e">
        <f>VLOOKUP(C708,lookup!$B$2:$F$1240,2)</f>
        <v>#N/A</v>
      </c>
      <c r="E708" s="271" t="e">
        <f>VLOOKUP(C708,lookup!$B$2:$F$1240,5)</f>
        <v>#N/A</v>
      </c>
    </row>
    <row r="709" spans="1:5" x14ac:dyDescent="0.25">
      <c r="A709" s="169">
        <v>382</v>
      </c>
      <c r="C709" s="17" t="s">
        <v>1062</v>
      </c>
      <c r="D709" s="269" t="str">
        <f>VLOOKUP(C709,lookup!$B$2:$F$1240,2)</f>
        <v>Ft.</v>
      </c>
      <c r="E709" s="271">
        <f>VLOOKUP(C709,lookup!$B$2:$F$1240,5)</f>
        <v>0.05</v>
      </c>
    </row>
    <row r="710" spans="1:5" x14ac:dyDescent="0.25">
      <c r="A710" s="169">
        <v>382</v>
      </c>
      <c r="C710" s="17" t="s">
        <v>1071</v>
      </c>
      <c r="D710" s="269" t="str">
        <f>VLOOKUP(C710,lookup!$B$2:$F$1240,2)</f>
        <v>Ea.</v>
      </c>
      <c r="E710" s="271">
        <f>VLOOKUP(C710,lookup!$B$2:$F$1240,5)</f>
        <v>0.8</v>
      </c>
    </row>
    <row r="711" spans="1:5" x14ac:dyDescent="0.25">
      <c r="A711" s="169">
        <v>382</v>
      </c>
      <c r="C711" s="17" t="s">
        <v>1072</v>
      </c>
      <c r="D711" s="269" t="str">
        <f>VLOOKUP(C711,lookup!$B$2:$F$1240,2)</f>
        <v>Ea.</v>
      </c>
      <c r="E711" s="271">
        <f>VLOOKUP(C711,lookup!$B$2:$F$1240,5)</f>
        <v>0.6</v>
      </c>
    </row>
    <row r="712" spans="1:5" x14ac:dyDescent="0.25">
      <c r="A712" s="169">
        <v>382</v>
      </c>
      <c r="C712" s="17" t="s">
        <v>1073</v>
      </c>
      <c r="D712" s="269" t="str">
        <f>VLOOKUP(C712,lookup!$B$2:$F$1240,2)</f>
        <v>Ft.</v>
      </c>
      <c r="E712" s="271">
        <f>VLOOKUP(C712,lookup!$B$2:$F$1240,5)</f>
        <v>0.02</v>
      </c>
    </row>
    <row r="713" spans="1:5" x14ac:dyDescent="0.25">
      <c r="A713" s="169">
        <v>382</v>
      </c>
      <c r="C713" s="17" t="s">
        <v>1531</v>
      </c>
      <c r="D713" s="269" t="str">
        <f>VLOOKUP(C713,lookup!$B$2:$F$1240,2)</f>
        <v>Pkg.</v>
      </c>
      <c r="E713" s="271">
        <f>VLOOKUP(C713,lookup!$B$2:$F$1240,5)</f>
        <v>4.5</v>
      </c>
    </row>
    <row r="714" spans="1:5" x14ac:dyDescent="0.25">
      <c r="A714" s="169">
        <v>382</v>
      </c>
      <c r="C714" s="17" t="s">
        <v>1538</v>
      </c>
      <c r="D714" s="269" t="str">
        <f>VLOOKUP(C714,lookup!$B$2:$F$1240,2)</f>
        <v>Ea.</v>
      </c>
      <c r="E714" s="271">
        <f>VLOOKUP(C714,lookup!$B$2:$F$1240,5)</f>
        <v>10.917325440000001</v>
      </c>
    </row>
    <row r="715" spans="1:5" x14ac:dyDescent="0.25">
      <c r="A715" s="169">
        <v>382</v>
      </c>
      <c r="C715" s="17" t="s">
        <v>1539</v>
      </c>
      <c r="D715" s="269">
        <f>VLOOKUP(C715,lookup!$B$2:$F$1240,2)</f>
        <v>0</v>
      </c>
      <c r="E715" s="271">
        <f>VLOOKUP(C715,lookup!$B$2:$F$1240,5)</f>
        <v>0</v>
      </c>
    </row>
    <row r="716" spans="1:5" x14ac:dyDescent="0.25">
      <c r="A716" s="169">
        <v>382</v>
      </c>
      <c r="C716" s="17" t="s">
        <v>1540</v>
      </c>
      <c r="D716" s="269">
        <f>VLOOKUP(C716,lookup!$B$2:$F$1240,2)</f>
        <v>0</v>
      </c>
      <c r="E716" s="271">
        <f>VLOOKUP(C716,lookup!$B$2:$F$1240,5)</f>
        <v>0</v>
      </c>
    </row>
    <row r="717" spans="1:5" x14ac:dyDescent="0.25">
      <c r="A717" s="169">
        <v>382</v>
      </c>
      <c r="C717" s="17" t="s">
        <v>1541</v>
      </c>
      <c r="D717" s="269">
        <f>VLOOKUP(C717,lookup!$B$2:$F$1240,2)</f>
        <v>0</v>
      </c>
      <c r="E717" s="271">
        <f>VLOOKUP(C717,lookup!$B$2:$F$1240,5)</f>
        <v>0</v>
      </c>
    </row>
    <row r="718" spans="1:5" x14ac:dyDescent="0.25">
      <c r="A718" s="169">
        <v>382</v>
      </c>
      <c r="C718" s="17" t="s">
        <v>1542</v>
      </c>
      <c r="D718" s="269">
        <f>VLOOKUP(C718,lookup!$B$2:$F$1240,2)</f>
        <v>0</v>
      </c>
      <c r="E718" s="271">
        <f>VLOOKUP(C718,lookup!$B$2:$F$1240,5)</f>
        <v>0</v>
      </c>
    </row>
    <row r="719" spans="1:5" x14ac:dyDescent="0.25">
      <c r="A719" s="169">
        <v>382</v>
      </c>
      <c r="C719" s="17" t="s">
        <v>1543</v>
      </c>
      <c r="D719" s="269">
        <f>VLOOKUP(C719,lookup!$B$2:$F$1240,2)</f>
        <v>0</v>
      </c>
      <c r="E719" s="271">
        <f>VLOOKUP(C719,lookup!$B$2:$F$1240,5)</f>
        <v>0</v>
      </c>
    </row>
    <row r="720" spans="1:5" x14ac:dyDescent="0.25">
      <c r="A720" s="169">
        <v>382</v>
      </c>
      <c r="C720" s="17" t="s">
        <v>1544</v>
      </c>
      <c r="D720" s="269">
        <f>VLOOKUP(C720,lookup!$B$2:$F$1240,2)</f>
        <v>0</v>
      </c>
      <c r="E720" s="271">
        <f>VLOOKUP(C720,lookup!$B$2:$F$1240,5)</f>
        <v>0</v>
      </c>
    </row>
    <row r="721" spans="1:5" x14ac:dyDescent="0.25">
      <c r="A721" s="169">
        <v>382</v>
      </c>
      <c r="C721" s="17" t="s">
        <v>1545</v>
      </c>
      <c r="D721" s="269">
        <f>VLOOKUP(C721,lookup!$B$2:$F$1240,2)</f>
        <v>0</v>
      </c>
      <c r="E721" s="271">
        <f>VLOOKUP(C721,lookup!$B$2:$F$1240,5)</f>
        <v>0</v>
      </c>
    </row>
    <row r="722" spans="1:5" x14ac:dyDescent="0.25">
      <c r="A722" s="169">
        <v>382</v>
      </c>
      <c r="C722" s="17" t="s">
        <v>1546</v>
      </c>
      <c r="D722" s="269">
        <f>VLOOKUP(C722,lookup!$B$2:$F$1240,2)</f>
        <v>0</v>
      </c>
      <c r="E722" s="271">
        <f>VLOOKUP(C722,lookup!$B$2:$F$1240,5)</f>
        <v>0</v>
      </c>
    </row>
    <row r="723" spans="1:5" x14ac:dyDescent="0.25">
      <c r="A723" s="169">
        <v>382</v>
      </c>
      <c r="C723" s="158" t="s">
        <v>547</v>
      </c>
      <c r="D723" s="269" t="str">
        <f>VLOOKUP(C723,lookup!$B$2:$F$1240,2)</f>
        <v>l.s.</v>
      </c>
      <c r="E723" s="271">
        <f>VLOOKUP(C723,lookup!$B$2:$F$1240,5)</f>
        <v>400</v>
      </c>
    </row>
    <row r="724" spans="1:5" x14ac:dyDescent="0.25">
      <c r="A724" s="169">
        <v>382</v>
      </c>
      <c r="C724" s="17" t="s">
        <v>1563</v>
      </c>
      <c r="D724" s="269" t="str">
        <f>VLOOKUP(C724,lookup!$B$2:$F$1240,2)</f>
        <v>l.s.</v>
      </c>
      <c r="E724" s="271">
        <f>VLOOKUP(C724,lookup!$B$2:$F$1240,5)</f>
        <v>400</v>
      </c>
    </row>
    <row r="725" spans="1:5" x14ac:dyDescent="0.25">
      <c r="A725" s="169">
        <v>382</v>
      </c>
      <c r="C725" s="17" t="s">
        <v>1564</v>
      </c>
      <c r="D725" s="269" t="str">
        <f>VLOOKUP(C725,lookup!$B$2:$F$1240,2)</f>
        <v>Ea.</v>
      </c>
      <c r="E725" s="271">
        <f>VLOOKUP(C725,lookup!$B$2:$F$1240,5)</f>
        <v>7</v>
      </c>
    </row>
    <row r="726" spans="1:5" x14ac:dyDescent="0.25">
      <c r="A726" s="169">
        <v>382</v>
      </c>
      <c r="C726" s="17" t="s">
        <v>1565</v>
      </c>
      <c r="D726" s="269" t="str">
        <f>VLOOKUP(C726,lookup!$B$2:$F$1240,2)</f>
        <v>Ea.</v>
      </c>
      <c r="E726" s="271">
        <f>VLOOKUP(C726,lookup!$B$2:$F$1240,5)</f>
        <v>9</v>
      </c>
    </row>
    <row r="727" spans="1:5" x14ac:dyDescent="0.25">
      <c r="A727" s="169">
        <v>382</v>
      </c>
      <c r="C727" s="96" t="s">
        <v>1919</v>
      </c>
      <c r="D727" s="269" t="str">
        <f>VLOOKUP(C727,lookup!$B$2:$F$1240,2)</f>
        <v>Ea.</v>
      </c>
      <c r="E727" s="271">
        <f>VLOOKUP(C727,lookup!$B$2:$F$1240,5)</f>
        <v>9</v>
      </c>
    </row>
    <row r="728" spans="1:5" x14ac:dyDescent="0.25">
      <c r="A728" s="169">
        <v>382</v>
      </c>
      <c r="C728" s="17" t="s">
        <v>1919</v>
      </c>
      <c r="D728" s="269" t="str">
        <f>VLOOKUP(C728,lookup!$B$2:$F$1240,2)</f>
        <v>Ea.</v>
      </c>
      <c r="E728" s="271">
        <f>VLOOKUP(C728,lookup!$B$2:$F$1240,5)</f>
        <v>9</v>
      </c>
    </row>
    <row r="729" spans="1:5" x14ac:dyDescent="0.25">
      <c r="A729" s="169">
        <v>382</v>
      </c>
      <c r="C729" s="96" t="s">
        <v>2456</v>
      </c>
      <c r="D729" s="269" t="str">
        <f>VLOOKUP(C729,lookup!$B$2:$F$1240,2)</f>
        <v>L.F.</v>
      </c>
      <c r="E729" s="271">
        <f>VLOOKUP(C729,lookup!$B$2:$F$1240,5)</f>
        <v>6.75</v>
      </c>
    </row>
    <row r="730" spans="1:5" x14ac:dyDescent="0.25">
      <c r="A730" s="169">
        <v>382</v>
      </c>
      <c r="C730" s="96" t="s">
        <v>2287</v>
      </c>
      <c r="D730" s="269" t="str">
        <f>VLOOKUP(C730,lookup!$B$2:$F$1240,2)</f>
        <v>L.F.</v>
      </c>
      <c r="E730" s="271">
        <f>VLOOKUP(C730,lookup!$B$2:$F$1240,5)</f>
        <v>6.75</v>
      </c>
    </row>
    <row r="731" spans="1:5" x14ac:dyDescent="0.25">
      <c r="A731" s="169">
        <v>382</v>
      </c>
      <c r="C731" s="155" t="s">
        <v>985</v>
      </c>
      <c r="D731" s="269" t="str">
        <f>VLOOKUP(C731,lookup!$B$2:$F$1240,2)</f>
        <v>each</v>
      </c>
      <c r="E731" s="271">
        <f>VLOOKUP(C731,lookup!$B$2:$F$1240,5)</f>
        <v>75</v>
      </c>
    </row>
    <row r="732" spans="1:5" x14ac:dyDescent="0.25">
      <c r="A732" s="169">
        <v>382</v>
      </c>
      <c r="C732" s="143" t="s">
        <v>1580</v>
      </c>
      <c r="D732" s="269" t="str">
        <f>VLOOKUP(C732,lookup!$B$2:$F$1240,2)</f>
        <v>Ea.</v>
      </c>
      <c r="E732" s="271">
        <f>VLOOKUP(C732,lookup!$B$2:$F$1240,5)</f>
        <v>72</v>
      </c>
    </row>
    <row r="733" spans="1:5" x14ac:dyDescent="0.25">
      <c r="A733" s="169">
        <v>382</v>
      </c>
      <c r="C733" s="143" t="s">
        <v>1581</v>
      </c>
      <c r="D733" s="269" t="str">
        <f>VLOOKUP(C733,lookup!$B$2:$F$1240,2)</f>
        <v>Ea.</v>
      </c>
      <c r="E733" s="271">
        <f>VLOOKUP(C733,lookup!$B$2:$F$1240,5)</f>
        <v>88</v>
      </c>
    </row>
    <row r="734" spans="1:5" x14ac:dyDescent="0.25">
      <c r="A734" s="169">
        <v>382</v>
      </c>
      <c r="C734" s="143" t="s">
        <v>1582</v>
      </c>
      <c r="D734" s="269" t="str">
        <f>VLOOKUP(C734,lookup!$B$2:$F$1240,2)</f>
        <v>Ea.</v>
      </c>
      <c r="E734" s="271">
        <f>VLOOKUP(C734,lookup!$B$2:$F$1240,5)</f>
        <v>92</v>
      </c>
    </row>
    <row r="735" spans="1:5" x14ac:dyDescent="0.25">
      <c r="A735" s="169">
        <v>382</v>
      </c>
      <c r="C735" s="143" t="s">
        <v>1583</v>
      </c>
      <c r="D735" s="269" t="str">
        <f>VLOOKUP(C735,lookup!$B$2:$F$1240,2)</f>
        <v>Ea.</v>
      </c>
      <c r="E735" s="271">
        <f>VLOOKUP(C735,lookup!$B$2:$F$1240,5)</f>
        <v>135</v>
      </c>
    </row>
    <row r="736" spans="1:5" x14ac:dyDescent="0.25">
      <c r="A736" s="169">
        <v>382</v>
      </c>
      <c r="C736" s="143" t="s">
        <v>1584</v>
      </c>
      <c r="D736" s="269" t="str">
        <f>VLOOKUP(C736,lookup!$B$2:$F$1240,2)</f>
        <v>Ea.</v>
      </c>
      <c r="E736" s="271">
        <f>VLOOKUP(C736,lookup!$B$2:$F$1240,5)</f>
        <v>146</v>
      </c>
    </row>
    <row r="737" spans="1:5" x14ac:dyDescent="0.25">
      <c r="A737" s="169">
        <v>382</v>
      </c>
      <c r="C737" s="143" t="s">
        <v>1585</v>
      </c>
      <c r="D737" s="269" t="str">
        <f>VLOOKUP(C737,lookup!$B$2:$F$1240,2)</f>
        <v>Ea.</v>
      </c>
      <c r="E737" s="271">
        <f>VLOOKUP(C737,lookup!$B$2:$F$1240,5)</f>
        <v>162</v>
      </c>
    </row>
    <row r="738" spans="1:5" x14ac:dyDescent="0.25">
      <c r="A738" s="169">
        <v>382</v>
      </c>
      <c r="C738" s="17" t="s">
        <v>1586</v>
      </c>
      <c r="D738" s="269" t="str">
        <f>VLOOKUP(C738,lookup!$B$2:$F$1240,2)</f>
        <v>Cu Yd</v>
      </c>
      <c r="E738" s="271">
        <f>VLOOKUP(C738,lookup!$B$2:$F$1240,5)</f>
        <v>16.28</v>
      </c>
    </row>
    <row r="739" spans="1:5" x14ac:dyDescent="0.25">
      <c r="A739" s="169">
        <v>382</v>
      </c>
      <c r="C739" s="106" t="s">
        <v>1159</v>
      </c>
      <c r="D739" s="269" t="str">
        <f>VLOOKUP(C739,lookup!$B$2:$F$1240,2)</f>
        <v>ft</v>
      </c>
      <c r="E739" s="271">
        <f>VLOOKUP(C739,lookup!$B$2:$F$1240,5)</f>
        <v>6.6</v>
      </c>
    </row>
    <row r="740" spans="1:5" x14ac:dyDescent="0.25">
      <c r="A740" s="169">
        <v>382</v>
      </c>
      <c r="C740" s="17" t="s">
        <v>514</v>
      </c>
      <c r="D740" s="269" t="str">
        <f>VLOOKUP(C740,lookup!$B$2:$F$1240,2)</f>
        <v>Ea.</v>
      </c>
      <c r="E740" s="271">
        <f>VLOOKUP(C740,lookup!$B$2:$F$1240,5)</f>
        <v>4.4999999999999998E-2</v>
      </c>
    </row>
    <row r="741" spans="1:5" x14ac:dyDescent="0.25">
      <c r="A741" s="169">
        <v>382</v>
      </c>
      <c r="C741" s="147" t="s">
        <v>515</v>
      </c>
      <c r="D741" s="269" t="str">
        <f>VLOOKUP(C741,lookup!$B$2:$F$1240,2)</f>
        <v>hr</v>
      </c>
      <c r="E741" s="271">
        <f>VLOOKUP(C741,lookup!$B$2:$F$1240,5)</f>
        <v>40</v>
      </c>
    </row>
    <row r="742" spans="1:5" ht="22.8" x14ac:dyDescent="0.25">
      <c r="A742" s="169">
        <v>382</v>
      </c>
      <c r="C742" s="100" t="s">
        <v>1040</v>
      </c>
      <c r="D742" s="269" t="str">
        <f>VLOOKUP(C742,lookup!$B$2:$F$1240,2)</f>
        <v>Ea.</v>
      </c>
      <c r="E742" s="271">
        <f>VLOOKUP(C742,lookup!$B$2:$F$1240,5)</f>
        <v>65</v>
      </c>
    </row>
    <row r="743" spans="1:5" x14ac:dyDescent="0.25">
      <c r="A743" s="169">
        <v>382</v>
      </c>
      <c r="C743" s="100" t="s">
        <v>1041</v>
      </c>
      <c r="D743" s="269" t="str">
        <f>VLOOKUP(C743,lookup!$B$2:$F$1240,2)</f>
        <v>Ea.</v>
      </c>
      <c r="E743" s="271">
        <f>VLOOKUP(C743,lookup!$B$2:$F$1240,5)</f>
        <v>65</v>
      </c>
    </row>
    <row r="744" spans="1:5" x14ac:dyDescent="0.25">
      <c r="A744" s="169">
        <v>382</v>
      </c>
      <c r="C744" s="17" t="s">
        <v>1921</v>
      </c>
      <c r="D744" s="269" t="str">
        <f>VLOOKUP(C744,lookup!$B$2:$F$1240,2)</f>
        <v>Ea.</v>
      </c>
      <c r="E744" s="271">
        <f>VLOOKUP(C744,lookup!$B$2:$F$1240,5)</f>
        <v>3</v>
      </c>
    </row>
    <row r="745" spans="1:5" x14ac:dyDescent="0.25">
      <c r="A745" s="169">
        <v>382</v>
      </c>
      <c r="C745" s="106" t="s">
        <v>1524</v>
      </c>
      <c r="D745" s="269">
        <f>VLOOKUP(C745,lookup!$B$2:$F$1240,2)</f>
        <v>0</v>
      </c>
      <c r="E745" s="271">
        <f>VLOOKUP(C745,lookup!$B$2:$F$1240,5)</f>
        <v>0</v>
      </c>
    </row>
    <row r="746" spans="1:5" x14ac:dyDescent="0.25">
      <c r="A746" s="169">
        <v>382</v>
      </c>
      <c r="C746" s="96" t="s">
        <v>2908</v>
      </c>
      <c r="D746" s="269" t="str">
        <f>VLOOKUP(C746,lookup!$B$2:$F$1240,2)</f>
        <v>Ft.</v>
      </c>
      <c r="E746" s="271">
        <f>VLOOKUP(C746,lookup!$B$2:$F$1240,5)</f>
        <v>1.4999999999999999E-2</v>
      </c>
    </row>
    <row r="747" spans="1:5" x14ac:dyDescent="0.25">
      <c r="A747" s="169">
        <v>382</v>
      </c>
      <c r="C747" s="17" t="s">
        <v>1273</v>
      </c>
      <c r="D747" s="269" t="str">
        <f>VLOOKUP(C747,lookup!$B$2:$F$1240,2)</f>
        <v>Ea.</v>
      </c>
      <c r="E747" s="271">
        <f>VLOOKUP(C747,lookup!$B$2:$F$1240,5)</f>
        <v>10</v>
      </c>
    </row>
    <row r="748" spans="1:5" x14ac:dyDescent="0.25">
      <c r="A748" s="169">
        <v>382</v>
      </c>
      <c r="C748" s="17" t="s">
        <v>1277</v>
      </c>
      <c r="D748" s="269" t="str">
        <f>VLOOKUP(C748,lookup!$B$2:$F$1240,2)</f>
        <v>Ea.</v>
      </c>
      <c r="E748" s="271">
        <f>VLOOKUP(C748,lookup!$B$2:$F$1240,5)</f>
        <v>2.59</v>
      </c>
    </row>
    <row r="749" spans="1:5" x14ac:dyDescent="0.25">
      <c r="A749" s="169">
        <v>382</v>
      </c>
      <c r="C749" s="155" t="s">
        <v>1278</v>
      </c>
      <c r="D749" s="269" t="str">
        <f>VLOOKUP(C749,lookup!$B$2:$F$1240,2)</f>
        <v>Ea.</v>
      </c>
      <c r="E749" s="271">
        <f>VLOOKUP(C749,lookup!$B$2:$F$1240,5)</f>
        <v>4.9800000000000004</v>
      </c>
    </row>
    <row r="750" spans="1:5" x14ac:dyDescent="0.25">
      <c r="A750" s="169">
        <v>382</v>
      </c>
      <c r="C750" s="96" t="s">
        <v>1282</v>
      </c>
      <c r="D750" s="269" t="str">
        <f>VLOOKUP(C750,lookup!$B$2:$F$1240,2)</f>
        <v>Ea.</v>
      </c>
      <c r="E750" s="271">
        <f>VLOOKUP(C750,lookup!$B$2:$F$1240,5)</f>
        <v>2</v>
      </c>
    </row>
    <row r="751" spans="1:5" x14ac:dyDescent="0.25">
      <c r="A751" s="169">
        <v>382</v>
      </c>
      <c r="C751" s="17" t="s">
        <v>2814</v>
      </c>
      <c r="D751" s="269" t="str">
        <f>VLOOKUP(C751,lookup!$B$2:$F$1240,2)</f>
        <v>Ft.</v>
      </c>
      <c r="E751" s="271">
        <f>VLOOKUP(C751,lookup!$B$2:$F$1240,5)</f>
        <v>0.65</v>
      </c>
    </row>
    <row r="752" spans="1:5" x14ac:dyDescent="0.25">
      <c r="A752" s="169">
        <v>382</v>
      </c>
      <c r="C752" s="17" t="s">
        <v>2815</v>
      </c>
      <c r="D752" s="269" t="str">
        <f>VLOOKUP(C752,lookup!$B$2:$F$1240,2)</f>
        <v>Ft.</v>
      </c>
      <c r="E752" s="271">
        <f>VLOOKUP(C752,lookup!$B$2:$F$1240,5)</f>
        <v>0.05</v>
      </c>
    </row>
    <row r="753" spans="1:5" x14ac:dyDescent="0.25">
      <c r="A753" s="169">
        <v>382</v>
      </c>
      <c r="C753" s="17" t="s">
        <v>2816</v>
      </c>
      <c r="D753" s="269" t="str">
        <f>VLOOKUP(C753,lookup!$B$2:$F$1240,2)</f>
        <v>Ea.</v>
      </c>
      <c r="E753" s="271">
        <f>VLOOKUP(C753,lookup!$B$2:$F$1240,5)</f>
        <v>35</v>
      </c>
    </row>
    <row r="754" spans="1:5" x14ac:dyDescent="0.25">
      <c r="A754" s="169">
        <v>382</v>
      </c>
      <c r="C754" s="17" t="s">
        <v>2817</v>
      </c>
      <c r="D754" s="269" t="str">
        <f>VLOOKUP(C754,lookup!$B$2:$F$1240,2)</f>
        <v>Ea.</v>
      </c>
      <c r="E754" s="271">
        <f>VLOOKUP(C754,lookup!$B$2:$F$1240,5)</f>
        <v>2.5</v>
      </c>
    </row>
    <row r="755" spans="1:5" x14ac:dyDescent="0.25">
      <c r="A755" s="169">
        <v>382</v>
      </c>
      <c r="C755" s="147" t="s">
        <v>2821</v>
      </c>
      <c r="D755" s="269" t="str">
        <f>VLOOKUP(C755,lookup!$B$2:$F$1240,2)</f>
        <v>hr</v>
      </c>
      <c r="E755" s="271">
        <f>VLOOKUP(C755,lookup!$B$2:$F$1240,5)</f>
        <v>80</v>
      </c>
    </row>
    <row r="756" spans="1:5" x14ac:dyDescent="0.25">
      <c r="A756" s="169">
        <v>382</v>
      </c>
      <c r="C756" s="17" t="s">
        <v>2829</v>
      </c>
      <c r="D756" s="269" t="str">
        <f>VLOOKUP(C756,lookup!$B$2:$F$1240,2)</f>
        <v>Ea.</v>
      </c>
      <c r="E756" s="271">
        <f>VLOOKUP(C756,lookup!$B$2:$F$1240,5)</f>
        <v>1.5</v>
      </c>
    </row>
    <row r="757" spans="1:5" x14ac:dyDescent="0.25">
      <c r="A757" s="169">
        <v>382</v>
      </c>
      <c r="C757" s="17" t="s">
        <v>2507</v>
      </c>
      <c r="D757" s="269" t="str">
        <f>VLOOKUP(C757,lookup!$B$2:$F$1240,2)</f>
        <v>Hr.</v>
      </c>
      <c r="E757" s="271">
        <f>VLOOKUP(C757,lookup!$B$2:$F$1240,5)</f>
        <v>81.068363600000012</v>
      </c>
    </row>
    <row r="758" spans="1:5" x14ac:dyDescent="0.25">
      <c r="A758" s="169">
        <v>382</v>
      </c>
      <c r="C758" s="17" t="s">
        <v>691</v>
      </c>
      <c r="D758" s="269" t="str">
        <f>VLOOKUP(C758,lookup!$B$2:$F$1240,2)</f>
        <v>Hr.</v>
      </c>
      <c r="E758" s="271">
        <f>VLOOKUP(C758,lookup!$B$2:$F$1240,5)</f>
        <v>81.068363600000012</v>
      </c>
    </row>
    <row r="759" spans="1:5" x14ac:dyDescent="0.25">
      <c r="A759" s="169">
        <v>386</v>
      </c>
      <c r="B759" s="171" t="s">
        <v>2340</v>
      </c>
      <c r="C759" s="105"/>
      <c r="D759" s="269" t="e">
        <f>VLOOKUP(C759,lookup!$B$2:$F$1240,2)</f>
        <v>#N/A</v>
      </c>
      <c r="E759" s="271" t="e">
        <f>VLOOKUP(C759,lookup!$B$2:$F$1240,5)</f>
        <v>#N/A</v>
      </c>
    </row>
    <row r="760" spans="1:5" x14ac:dyDescent="0.25">
      <c r="A760" s="169">
        <v>386</v>
      </c>
      <c r="B760" s="181"/>
      <c r="C760" s="106" t="s">
        <v>2662</v>
      </c>
      <c r="D760" s="269" t="str">
        <f>VLOOKUP(C760,lookup!$B$2:$F$1240,2)</f>
        <v>ton</v>
      </c>
      <c r="E760" s="271">
        <f>VLOOKUP(C760,lookup!$B$2:$F$1240,5)</f>
        <v>26</v>
      </c>
    </row>
    <row r="761" spans="1:5" x14ac:dyDescent="0.25">
      <c r="A761" s="169">
        <v>386</v>
      </c>
      <c r="B761" s="181"/>
      <c r="C761" s="106" t="s">
        <v>2663</v>
      </c>
      <c r="D761" s="269" t="str">
        <f>VLOOKUP(C761,lookup!$B$2:$F$1240,2)</f>
        <v>1,000 gal.</v>
      </c>
      <c r="E761" s="271">
        <f>VLOOKUP(C761,lookup!$B$2:$F$1240,5)</f>
        <v>10.5</v>
      </c>
    </row>
    <row r="762" spans="1:5" x14ac:dyDescent="0.25">
      <c r="A762" s="169">
        <v>386</v>
      </c>
      <c r="B762" s="181"/>
      <c r="C762" s="107" t="s">
        <v>2315</v>
      </c>
      <c r="D762" s="269" t="str">
        <f>VLOOKUP(C762,lookup!$B$2:$F$1240,2)</f>
        <v>1,000 gal.</v>
      </c>
      <c r="E762" s="271">
        <f>VLOOKUP(C762,lookup!$B$2:$F$1240,5)</f>
        <v>10.5</v>
      </c>
    </row>
    <row r="763" spans="1:5" x14ac:dyDescent="0.25">
      <c r="A763" s="169">
        <v>386</v>
      </c>
      <c r="B763" s="181"/>
      <c r="C763" s="106" t="s">
        <v>2137</v>
      </c>
      <c r="D763" s="269">
        <f>VLOOKUP(C763,lookup!$B$2:$F$1240,2)</f>
        <v>0</v>
      </c>
      <c r="E763" s="271">
        <f>VLOOKUP(C763,lookup!$B$2:$F$1240,5)</f>
        <v>0</v>
      </c>
    </row>
    <row r="764" spans="1:5" x14ac:dyDescent="0.25">
      <c r="A764" s="169">
        <v>386</v>
      </c>
      <c r="B764" s="181"/>
      <c r="C764" s="106" t="s">
        <v>2138</v>
      </c>
      <c r="D764" s="269" t="str">
        <f>VLOOKUP(C764,lookup!$B$2:$F$1240,2)</f>
        <v>ac</v>
      </c>
      <c r="E764" s="271">
        <f>VLOOKUP(C764,lookup!$B$2:$F$1240,5)</f>
        <v>45</v>
      </c>
    </row>
    <row r="765" spans="1:5" x14ac:dyDescent="0.25">
      <c r="A765" s="169">
        <v>386</v>
      </c>
      <c r="B765" s="181"/>
      <c r="C765" s="106" t="s">
        <v>2140</v>
      </c>
      <c r="D765" s="269">
        <f>VLOOKUP(C765,lookup!$B$2:$F$1240,2)</f>
        <v>0</v>
      </c>
      <c r="E765" s="271">
        <f>VLOOKUP(C765,lookup!$B$2:$F$1240,5)</f>
        <v>0</v>
      </c>
    </row>
    <row r="766" spans="1:5" x14ac:dyDescent="0.25">
      <c r="A766" s="169">
        <v>386</v>
      </c>
      <c r="B766" s="181"/>
      <c r="C766" s="108" t="s">
        <v>1510</v>
      </c>
      <c r="D766" s="269" t="str">
        <f>VLOOKUP(C766,lookup!$B$2:$F$1240,2)</f>
        <v>lb</v>
      </c>
      <c r="E766" s="271">
        <f>VLOOKUP(C766,lookup!$B$2:$F$1240,5)</f>
        <v>4.3499999999999996</v>
      </c>
    </row>
    <row r="767" spans="1:5" x14ac:dyDescent="0.25">
      <c r="A767" s="169">
        <v>386</v>
      </c>
      <c r="B767" s="181"/>
      <c r="C767" s="96" t="s">
        <v>1506</v>
      </c>
      <c r="D767" s="269" t="str">
        <f>VLOOKUP(C767,lookup!$B$2:$F$1240,2)</f>
        <v>lb</v>
      </c>
      <c r="E767" s="271">
        <f>VLOOKUP(C767,lookup!$B$2:$F$1240,5)</f>
        <v>13</v>
      </c>
    </row>
    <row r="768" spans="1:5" x14ac:dyDescent="0.25">
      <c r="A768" s="169">
        <v>386</v>
      </c>
      <c r="B768" s="181"/>
      <c r="C768" s="108" t="s">
        <v>1381</v>
      </c>
      <c r="D768" s="269" t="str">
        <f>VLOOKUP(C768,lookup!$B$2:$F$1240,2)</f>
        <v>lb.</v>
      </c>
      <c r="E768" s="271">
        <f>VLOOKUP(C768,lookup!$B$2:$F$1240,5)</f>
        <v>12.75</v>
      </c>
    </row>
    <row r="769" spans="1:5" x14ac:dyDescent="0.25">
      <c r="A769" s="169">
        <v>386</v>
      </c>
      <c r="B769" s="181"/>
      <c r="C769" s="107" t="s">
        <v>598</v>
      </c>
      <c r="D769" s="269">
        <f>VLOOKUP(C769,lookup!$B$2:$F$1240,2)</f>
        <v>0</v>
      </c>
      <c r="E769" s="271">
        <f>VLOOKUP(C769,lookup!$B$2:$F$1240,5)</f>
        <v>0</v>
      </c>
    </row>
    <row r="770" spans="1:5" x14ac:dyDescent="0.25">
      <c r="A770" s="169">
        <v>386</v>
      </c>
      <c r="B770" s="181"/>
      <c r="C770" s="108" t="s">
        <v>1508</v>
      </c>
      <c r="D770" s="269" t="str">
        <f>VLOOKUP(C770,lookup!$B$2:$F$1240,2)</f>
        <v>lb.</v>
      </c>
      <c r="E770" s="271">
        <f>VLOOKUP(C770,lookup!$B$2:$F$1240,5)</f>
        <v>8.5</v>
      </c>
    </row>
    <row r="771" spans="1:5" x14ac:dyDescent="0.25">
      <c r="A771" s="169">
        <v>386</v>
      </c>
      <c r="B771" s="181"/>
      <c r="C771" s="108" t="s">
        <v>595</v>
      </c>
      <c r="D771" s="269" t="str">
        <f>VLOOKUP(C771,lookup!$B$2:$F$1240,2)</f>
        <v>lb.</v>
      </c>
      <c r="E771" s="271">
        <f>VLOOKUP(C771,lookup!$B$2:$F$1240,5)</f>
        <v>1.99</v>
      </c>
    </row>
    <row r="772" spans="1:5" x14ac:dyDescent="0.25">
      <c r="A772" s="169">
        <v>386</v>
      </c>
      <c r="B772" s="181"/>
      <c r="C772" s="108" t="s">
        <v>2141</v>
      </c>
      <c r="D772" s="269" t="str">
        <f>VLOOKUP(C772,lookup!$B$2:$F$1240,2)</f>
        <v>lb</v>
      </c>
      <c r="E772" s="271">
        <f>VLOOKUP(C772,lookup!$B$2:$F$1240,5)</f>
        <v>4.3499999999999996</v>
      </c>
    </row>
    <row r="773" spans="1:5" x14ac:dyDescent="0.25">
      <c r="A773" s="169">
        <v>386</v>
      </c>
      <c r="B773" s="181"/>
      <c r="C773" s="108" t="s">
        <v>592</v>
      </c>
      <c r="D773" s="269" t="str">
        <f>VLOOKUP(C773,lookup!$B$2:$F$1240,2)</f>
        <v>lb.</v>
      </c>
      <c r="E773" s="271" t="str">
        <f>VLOOKUP(C773,lookup!$B$2:$F$1240,5)</f>
        <v>$2.50 - 3.00</v>
      </c>
    </row>
    <row r="774" spans="1:5" x14ac:dyDescent="0.25">
      <c r="A774" s="169">
        <v>386</v>
      </c>
      <c r="B774" s="181"/>
      <c r="C774" s="108" t="s">
        <v>597</v>
      </c>
      <c r="D774" s="269" t="str">
        <f>VLOOKUP(C774,lookup!$B$2:$F$1240,2)</f>
        <v>lb</v>
      </c>
      <c r="E774" s="271">
        <f>VLOOKUP(C774,lookup!$B$2:$F$1240,5)</f>
        <v>2.57</v>
      </c>
    </row>
    <row r="775" spans="1:5" x14ac:dyDescent="0.25">
      <c r="A775" s="169">
        <v>386</v>
      </c>
      <c r="B775" s="181"/>
      <c r="C775" s="96" t="s">
        <v>1505</v>
      </c>
      <c r="D775" s="269" t="str">
        <f>VLOOKUP(C775,lookup!$B$2:$F$1240,2)</f>
        <v>lb.</v>
      </c>
      <c r="E775" s="271">
        <f>VLOOKUP(C775,lookup!$B$2:$F$1240,5)</f>
        <v>9</v>
      </c>
    </row>
    <row r="776" spans="1:5" x14ac:dyDescent="0.25">
      <c r="A776" s="169">
        <v>386</v>
      </c>
      <c r="B776" s="181"/>
      <c r="C776" s="108" t="s">
        <v>593</v>
      </c>
      <c r="D776" s="269" t="str">
        <f>VLOOKUP(C776,lookup!$B$2:$F$1240,2)</f>
        <v>lb.</v>
      </c>
      <c r="E776" s="271">
        <f>VLOOKUP(C776,lookup!$B$2:$F$1240,5)</f>
        <v>1.55</v>
      </c>
    </row>
    <row r="777" spans="1:5" x14ac:dyDescent="0.25">
      <c r="A777" s="169">
        <v>386</v>
      </c>
      <c r="B777" s="181"/>
      <c r="C777" s="108" t="s">
        <v>594</v>
      </c>
      <c r="D777" s="269">
        <f>VLOOKUP(C777,lookup!$B$2:$F$1240,2)</f>
        <v>0</v>
      </c>
      <c r="E777" s="271">
        <f>VLOOKUP(C777,lookup!$B$2:$F$1240,5)</f>
        <v>0</v>
      </c>
    </row>
    <row r="778" spans="1:5" x14ac:dyDescent="0.25">
      <c r="A778" s="169">
        <v>386</v>
      </c>
      <c r="B778" s="181"/>
      <c r="C778" s="108" t="s">
        <v>596</v>
      </c>
      <c r="D778" s="269" t="str">
        <f>VLOOKUP(C778,lookup!$B$2:$F$1240,2)</f>
        <v>lb</v>
      </c>
      <c r="E778" s="271">
        <f>VLOOKUP(C778,lookup!$B$2:$F$1240,5)</f>
        <v>2.74</v>
      </c>
    </row>
    <row r="779" spans="1:5" x14ac:dyDescent="0.25">
      <c r="A779" s="169">
        <v>386</v>
      </c>
      <c r="B779" s="181"/>
      <c r="C779" s="108" t="s">
        <v>1383</v>
      </c>
      <c r="D779" s="269" t="str">
        <f>VLOOKUP(C779,lookup!$B$2:$F$1240,2)</f>
        <v>lb</v>
      </c>
      <c r="E779" s="271">
        <f>VLOOKUP(C779,lookup!$B$2:$F$1240,5)</f>
        <v>70</v>
      </c>
    </row>
    <row r="780" spans="1:5" x14ac:dyDescent="0.25">
      <c r="A780" s="169">
        <v>386</v>
      </c>
      <c r="B780" s="181"/>
      <c r="C780" s="106" t="s">
        <v>1409</v>
      </c>
      <c r="D780" s="269">
        <f>VLOOKUP(C780,lookup!$B$2:$F$1240,2)</f>
        <v>0</v>
      </c>
      <c r="E780" s="271">
        <f>VLOOKUP(C780,lookup!$B$2:$F$1240,5)</f>
        <v>0</v>
      </c>
    </row>
    <row r="781" spans="1:5" x14ac:dyDescent="0.25">
      <c r="A781" s="169">
        <v>386</v>
      </c>
      <c r="B781" s="181"/>
      <c r="C781" s="106" t="s">
        <v>2136</v>
      </c>
      <c r="D781" s="269">
        <f>VLOOKUP(C781,lookup!$B$2:$F$1240,2)</f>
        <v>0</v>
      </c>
      <c r="E781" s="271">
        <f>VLOOKUP(C781,lookup!$B$2:$F$1240,5)</f>
        <v>0</v>
      </c>
    </row>
    <row r="782" spans="1:5" x14ac:dyDescent="0.25">
      <c r="A782" s="169">
        <v>386</v>
      </c>
      <c r="B782" s="181"/>
      <c r="C782" s="93" t="s">
        <v>1526</v>
      </c>
      <c r="D782" s="269">
        <f>VLOOKUP(C782,lookup!$B$2:$F$1240,2)</f>
        <v>0</v>
      </c>
      <c r="E782" s="271">
        <f>VLOOKUP(C782,lookup!$B$2:$F$1240,5)</f>
        <v>0</v>
      </c>
    </row>
    <row r="783" spans="1:5" x14ac:dyDescent="0.25">
      <c r="A783" s="169">
        <v>390</v>
      </c>
      <c r="B783" s="172" t="s">
        <v>275</v>
      </c>
      <c r="D783" s="269" t="e">
        <f>VLOOKUP(C783,lookup!$B$2:$F$1240,2)</f>
        <v>#N/A</v>
      </c>
      <c r="E783" s="271" t="e">
        <f>VLOOKUP(C783,lookup!$B$2:$F$1240,5)</f>
        <v>#N/A</v>
      </c>
    </row>
    <row r="784" spans="1:5" x14ac:dyDescent="0.25">
      <c r="A784" s="169">
        <v>390</v>
      </c>
      <c r="C784" s="106" t="s">
        <v>2219</v>
      </c>
      <c r="D784" s="269" t="str">
        <f>VLOOKUP(C784,lookup!$B$2:$F$1240,2)</f>
        <v>each</v>
      </c>
      <c r="E784" s="271">
        <f>VLOOKUP(C784,lookup!$B$2:$F$1240,5)</f>
        <v>60</v>
      </c>
    </row>
    <row r="785" spans="1:5" ht="22.8" x14ac:dyDescent="0.25">
      <c r="A785" s="169">
        <v>390</v>
      </c>
      <c r="C785" s="106" t="s">
        <v>2221</v>
      </c>
      <c r="D785" s="269" t="str">
        <f>VLOOKUP(C785,lookup!$B$2:$F$1240,2)</f>
        <v>each</v>
      </c>
      <c r="E785" s="271">
        <f>VLOOKUP(C785,lookup!$B$2:$F$1240,5)</f>
        <v>60</v>
      </c>
    </row>
    <row r="786" spans="1:5" x14ac:dyDescent="0.25">
      <c r="A786" s="169">
        <v>391</v>
      </c>
      <c r="B786" s="172" t="s">
        <v>1268</v>
      </c>
      <c r="C786" s="109"/>
      <c r="D786" s="269" t="e">
        <f>VLOOKUP(C786,lookup!$B$2:$F$1240,2)</f>
        <v>#N/A</v>
      </c>
      <c r="E786" s="271" t="e">
        <f>VLOOKUP(C786,lookup!$B$2:$F$1240,5)</f>
        <v>#N/A</v>
      </c>
    </row>
    <row r="787" spans="1:5" x14ac:dyDescent="0.25">
      <c r="A787" s="169">
        <v>391</v>
      </c>
      <c r="C787" s="106" t="s">
        <v>199</v>
      </c>
      <c r="D787" s="269" t="str">
        <f>VLOOKUP(C787,lookup!$B$2:$F$1240,2)</f>
        <v>Ac.</v>
      </c>
      <c r="E787" s="271">
        <f>VLOOKUP(C787,lookup!$B$2:$F$1240,5)</f>
        <v>5</v>
      </c>
    </row>
    <row r="788" spans="1:5" x14ac:dyDescent="0.25">
      <c r="A788" s="169">
        <v>391</v>
      </c>
      <c r="C788" s="106" t="s">
        <v>200</v>
      </c>
      <c r="D788" s="269" t="str">
        <f>VLOOKUP(C788,lookup!$B$2:$F$1240,2)</f>
        <v>each</v>
      </c>
      <c r="E788" s="271">
        <f>VLOOKUP(C788,lookup!$B$2:$F$1240,5)</f>
        <v>1.2</v>
      </c>
    </row>
    <row r="789" spans="1:5" ht="34.200000000000003" x14ac:dyDescent="0.25">
      <c r="A789" s="169">
        <v>391</v>
      </c>
      <c r="C789" s="106" t="s">
        <v>201</v>
      </c>
      <c r="D789" s="269" t="str">
        <f>VLOOKUP(C789,lookup!$B$2:$F$1240,2)</f>
        <v>each</v>
      </c>
      <c r="E789" s="271">
        <f>VLOOKUP(C789,lookup!$B$2:$F$1240,5)</f>
        <v>3.75</v>
      </c>
    </row>
    <row r="790" spans="1:5" x14ac:dyDescent="0.25">
      <c r="A790" s="169">
        <v>391</v>
      </c>
      <c r="C790" s="106" t="s">
        <v>1302</v>
      </c>
      <c r="D790" s="269" t="str">
        <f>VLOOKUP(C790,lookup!$B$2:$F$1240,2)</f>
        <v>each</v>
      </c>
      <c r="E790" s="271">
        <f>VLOOKUP(C790,lookup!$B$2:$F$1240,5)</f>
        <v>2</v>
      </c>
    </row>
    <row r="791" spans="1:5" ht="22.8" x14ac:dyDescent="0.25">
      <c r="A791" s="169">
        <v>391</v>
      </c>
      <c r="C791" s="106" t="s">
        <v>1303</v>
      </c>
      <c r="D791" s="269" t="str">
        <f>VLOOKUP(C791,lookup!$B$2:$F$1240,2)</f>
        <v>each</v>
      </c>
      <c r="E791" s="271">
        <f>VLOOKUP(C791,lookup!$B$2:$F$1240,5)</f>
        <v>2</v>
      </c>
    </row>
    <row r="792" spans="1:5" ht="22.8" x14ac:dyDescent="0.25">
      <c r="A792" s="169">
        <v>391</v>
      </c>
      <c r="C792" s="106" t="s">
        <v>170</v>
      </c>
      <c r="D792" s="269" t="str">
        <f>VLOOKUP(C792,lookup!$B$2:$F$1240,2)</f>
        <v>each</v>
      </c>
      <c r="E792" s="271">
        <f>VLOOKUP(C792,lookup!$B$2:$F$1240,5)</f>
        <v>0.8</v>
      </c>
    </row>
    <row r="793" spans="1:5" x14ac:dyDescent="0.25">
      <c r="A793" s="169">
        <v>391</v>
      </c>
      <c r="C793" s="106" t="s">
        <v>171</v>
      </c>
      <c r="D793" s="269">
        <f>VLOOKUP(C793,lookup!$B$2:$F$1240,2)</f>
        <v>0</v>
      </c>
      <c r="E793" s="271">
        <f>VLOOKUP(C793,lookup!$B$2:$F$1240,5)</f>
        <v>0</v>
      </c>
    </row>
    <row r="794" spans="1:5" x14ac:dyDescent="0.25">
      <c r="A794" s="169">
        <v>391</v>
      </c>
      <c r="C794" s="106" t="s">
        <v>574</v>
      </c>
      <c r="D794" s="269">
        <f>VLOOKUP(C794,lookup!$B$2:$F$1240,2)</f>
        <v>0</v>
      </c>
      <c r="E794" s="271">
        <f>VLOOKUP(C794,lookup!$B$2:$F$1240,5)</f>
        <v>0</v>
      </c>
    </row>
    <row r="795" spans="1:5" x14ac:dyDescent="0.25">
      <c r="A795" s="169">
        <v>391</v>
      </c>
      <c r="C795" s="106" t="s">
        <v>575</v>
      </c>
      <c r="D795" s="269">
        <f>VLOOKUP(C795,lookup!$B$2:$F$1240,2)</f>
        <v>0</v>
      </c>
      <c r="E795" s="271">
        <f>VLOOKUP(C795,lookup!$B$2:$F$1240,5)</f>
        <v>0</v>
      </c>
    </row>
    <row r="796" spans="1:5" ht="22.8" x14ac:dyDescent="0.25">
      <c r="A796" s="169">
        <v>391</v>
      </c>
      <c r="C796" s="106" t="s">
        <v>1422</v>
      </c>
      <c r="D796" s="269">
        <f>VLOOKUP(C796,lookup!$B$2:$F$1240,2)</f>
        <v>0</v>
      </c>
      <c r="E796" s="271">
        <f>VLOOKUP(C796,lookup!$B$2:$F$1240,5)</f>
        <v>0</v>
      </c>
    </row>
    <row r="797" spans="1:5" x14ac:dyDescent="0.25">
      <c r="A797" s="169">
        <v>393</v>
      </c>
      <c r="B797" s="180" t="s">
        <v>2341</v>
      </c>
      <c r="C797" s="105"/>
      <c r="D797" s="269" t="e">
        <f>VLOOKUP(C797,lookup!$B$2:$F$1240,2)</f>
        <v>#N/A</v>
      </c>
      <c r="E797" s="271" t="e">
        <f>VLOOKUP(C797,lookup!$B$2:$F$1240,5)</f>
        <v>#N/A</v>
      </c>
    </row>
    <row r="798" spans="1:5" x14ac:dyDescent="0.25">
      <c r="A798" s="169">
        <v>393</v>
      </c>
      <c r="B798" s="172"/>
      <c r="C798" s="106" t="s">
        <v>2662</v>
      </c>
      <c r="D798" s="269" t="str">
        <f>VLOOKUP(C798,lookup!$B$2:$F$1240,2)</f>
        <v>ton</v>
      </c>
      <c r="E798" s="271">
        <f>VLOOKUP(C798,lookup!$B$2:$F$1240,5)</f>
        <v>26</v>
      </c>
    </row>
    <row r="799" spans="1:5" x14ac:dyDescent="0.25">
      <c r="A799" s="169">
        <v>393</v>
      </c>
      <c r="B799" s="172"/>
      <c r="C799" s="106" t="s">
        <v>2663</v>
      </c>
      <c r="D799" s="269" t="str">
        <f>VLOOKUP(C799,lookup!$B$2:$F$1240,2)</f>
        <v>1,000 gal.</v>
      </c>
      <c r="E799" s="271">
        <f>VLOOKUP(C799,lookup!$B$2:$F$1240,5)</f>
        <v>10.5</v>
      </c>
    </row>
    <row r="800" spans="1:5" x14ac:dyDescent="0.25">
      <c r="A800" s="169">
        <v>393</v>
      </c>
      <c r="B800" s="172"/>
      <c r="C800" s="107" t="s">
        <v>2314</v>
      </c>
      <c r="D800" s="269" t="str">
        <f>VLOOKUP(C800,lookup!$B$2:$F$1240,2)</f>
        <v>1,000 gal.</v>
      </c>
      <c r="E800" s="271">
        <f>VLOOKUP(C800,lookup!$B$2:$F$1240,5)</f>
        <v>10.5</v>
      </c>
    </row>
    <row r="801" spans="1:5" x14ac:dyDescent="0.25">
      <c r="A801" s="169">
        <v>393</v>
      </c>
      <c r="B801" s="172"/>
      <c r="C801" s="107" t="s">
        <v>2315</v>
      </c>
      <c r="D801" s="269" t="str">
        <f>VLOOKUP(C801,lookup!$B$2:$F$1240,2)</f>
        <v>1,000 gal.</v>
      </c>
      <c r="E801" s="271">
        <f>VLOOKUP(C801,lookup!$B$2:$F$1240,5)</f>
        <v>10.5</v>
      </c>
    </row>
    <row r="802" spans="1:5" x14ac:dyDescent="0.25">
      <c r="A802" s="169">
        <v>393</v>
      </c>
      <c r="B802" s="172"/>
      <c r="C802" s="106" t="s">
        <v>2139</v>
      </c>
      <c r="D802" s="269" t="str">
        <f>VLOOKUP(C802,lookup!$B$2:$F$1240,2)</f>
        <v>ac</v>
      </c>
      <c r="E802" s="271">
        <f>VLOOKUP(C802,lookup!$B$2:$F$1240,5)</f>
        <v>52</v>
      </c>
    </row>
    <row r="803" spans="1:5" x14ac:dyDescent="0.25">
      <c r="A803" s="169">
        <v>393</v>
      </c>
      <c r="B803" s="172"/>
      <c r="C803" s="106" t="s">
        <v>2137</v>
      </c>
      <c r="D803" s="269">
        <f>VLOOKUP(C803,lookup!$B$2:$F$1240,2)</f>
        <v>0</v>
      </c>
      <c r="E803" s="271">
        <f>VLOOKUP(C803,lookup!$B$2:$F$1240,5)</f>
        <v>0</v>
      </c>
    </row>
    <row r="804" spans="1:5" x14ac:dyDescent="0.25">
      <c r="A804" s="169">
        <v>393</v>
      </c>
      <c r="B804" s="172"/>
      <c r="C804" s="106" t="s">
        <v>2138</v>
      </c>
      <c r="D804" s="269" t="str">
        <f>VLOOKUP(C804,lookup!$B$2:$F$1240,2)</f>
        <v>ac</v>
      </c>
      <c r="E804" s="271">
        <f>VLOOKUP(C804,lookup!$B$2:$F$1240,5)</f>
        <v>45</v>
      </c>
    </row>
    <row r="805" spans="1:5" x14ac:dyDescent="0.25">
      <c r="A805" s="169">
        <v>393</v>
      </c>
      <c r="B805" s="172"/>
      <c r="C805" s="106" t="s">
        <v>2140</v>
      </c>
      <c r="D805" s="269">
        <f>VLOOKUP(C805,lookup!$B$2:$F$1240,2)</f>
        <v>0</v>
      </c>
      <c r="E805" s="271">
        <f>VLOOKUP(C805,lookup!$B$2:$F$1240,5)</f>
        <v>0</v>
      </c>
    </row>
    <row r="806" spans="1:5" x14ac:dyDescent="0.25">
      <c r="A806" s="169">
        <v>393</v>
      </c>
      <c r="B806" s="172"/>
      <c r="C806" s="106" t="s">
        <v>1510</v>
      </c>
      <c r="D806" s="269" t="str">
        <f>VLOOKUP(C806,lookup!$B$2:$F$1240,2)</f>
        <v>lb</v>
      </c>
      <c r="E806" s="271">
        <f>VLOOKUP(C806,lookup!$B$2:$F$1240,5)</f>
        <v>4.3499999999999996</v>
      </c>
    </row>
    <row r="807" spans="1:5" x14ac:dyDescent="0.25">
      <c r="A807" s="169">
        <v>393</v>
      </c>
      <c r="B807" s="172"/>
      <c r="C807" s="96" t="s">
        <v>1506</v>
      </c>
      <c r="D807" s="269" t="str">
        <f>VLOOKUP(C807,lookup!$B$2:$F$1240,2)</f>
        <v>lb</v>
      </c>
      <c r="E807" s="271">
        <f>VLOOKUP(C807,lookup!$B$2:$F$1240,5)</f>
        <v>13</v>
      </c>
    </row>
    <row r="808" spans="1:5" x14ac:dyDescent="0.25">
      <c r="A808" s="169">
        <v>393</v>
      </c>
      <c r="B808" s="172"/>
      <c r="C808" s="106" t="s">
        <v>2485</v>
      </c>
      <c r="D808" s="269" t="str">
        <f>VLOOKUP(C808,lookup!$B$2:$F$1240,2)</f>
        <v>lb.</v>
      </c>
      <c r="E808" s="271">
        <f>VLOOKUP(C808,lookup!$B$2:$F$1240,5)</f>
        <v>3.45</v>
      </c>
    </row>
    <row r="809" spans="1:5" x14ac:dyDescent="0.25">
      <c r="A809" s="169">
        <v>393</v>
      </c>
      <c r="B809" s="172"/>
      <c r="C809" s="108" t="s">
        <v>1381</v>
      </c>
      <c r="D809" s="269" t="str">
        <f>VLOOKUP(C809,lookup!$B$2:$F$1240,2)</f>
        <v>lb.</v>
      </c>
      <c r="E809" s="271">
        <f>VLOOKUP(C809,lookup!$B$2:$F$1240,5)</f>
        <v>12.75</v>
      </c>
    </row>
    <row r="810" spans="1:5" x14ac:dyDescent="0.25">
      <c r="A810" s="169">
        <v>393</v>
      </c>
      <c r="B810" s="172"/>
      <c r="C810" s="108" t="s">
        <v>598</v>
      </c>
      <c r="D810" s="269">
        <f>VLOOKUP(C810,lookup!$B$2:$F$1240,2)</f>
        <v>0</v>
      </c>
      <c r="E810" s="271">
        <f>VLOOKUP(C810,lookup!$B$2:$F$1240,5)</f>
        <v>0</v>
      </c>
    </row>
    <row r="811" spans="1:5" x14ac:dyDescent="0.25">
      <c r="A811" s="169">
        <v>393</v>
      </c>
      <c r="B811" s="172"/>
      <c r="C811" s="108" t="s">
        <v>1508</v>
      </c>
      <c r="D811" s="269" t="str">
        <f>VLOOKUP(C811,lookup!$B$2:$F$1240,2)</f>
        <v>lb.</v>
      </c>
      <c r="E811" s="271">
        <f>VLOOKUP(C811,lookup!$B$2:$F$1240,5)</f>
        <v>8.5</v>
      </c>
    </row>
    <row r="812" spans="1:5" x14ac:dyDescent="0.25">
      <c r="A812" s="169">
        <v>393</v>
      </c>
      <c r="B812" s="172"/>
      <c r="C812" s="108" t="s">
        <v>595</v>
      </c>
      <c r="D812" s="269" t="str">
        <f>VLOOKUP(C812,lookup!$B$2:$F$1240,2)</f>
        <v>lb.</v>
      </c>
      <c r="E812" s="271">
        <f>VLOOKUP(C812,lookup!$B$2:$F$1240,5)</f>
        <v>1.99</v>
      </c>
    </row>
    <row r="813" spans="1:5" x14ac:dyDescent="0.25">
      <c r="A813" s="169">
        <v>393</v>
      </c>
      <c r="B813" s="172"/>
      <c r="C813" s="106" t="s">
        <v>2141</v>
      </c>
      <c r="D813" s="269" t="str">
        <f>VLOOKUP(C813,lookup!$B$2:$F$1240,2)</f>
        <v>lb</v>
      </c>
      <c r="E813" s="271">
        <f>VLOOKUP(C813,lookup!$B$2:$F$1240,5)</f>
        <v>4.3499999999999996</v>
      </c>
    </row>
    <row r="814" spans="1:5" x14ac:dyDescent="0.25">
      <c r="A814" s="169">
        <v>393</v>
      </c>
      <c r="B814" s="172"/>
      <c r="C814" s="106" t="s">
        <v>1768</v>
      </c>
      <c r="D814" s="269" t="str">
        <f>VLOOKUP(C814,lookup!$B$2:$F$1240,2)</f>
        <v>lb.</v>
      </c>
      <c r="E814" s="271" t="str">
        <f>VLOOKUP(C814,lookup!$B$2:$F$1240,5)</f>
        <v>$2.50 - 3.00</v>
      </c>
    </row>
    <row r="815" spans="1:5" x14ac:dyDescent="0.25">
      <c r="A815" s="169">
        <v>393</v>
      </c>
      <c r="B815" s="172"/>
      <c r="C815" s="106" t="s">
        <v>714</v>
      </c>
      <c r="D815" s="269" t="str">
        <f>VLOOKUP(C815,lookup!$B$2:$F$1240,2)</f>
        <v>lb</v>
      </c>
      <c r="E815" s="271">
        <f>VLOOKUP(C815,lookup!$B$2:$F$1240,5)</f>
        <v>2.57</v>
      </c>
    </row>
    <row r="816" spans="1:5" x14ac:dyDescent="0.25">
      <c r="A816" s="169">
        <v>393</v>
      </c>
      <c r="B816" s="172"/>
      <c r="C816" s="96" t="s">
        <v>1505</v>
      </c>
      <c r="D816" s="269" t="str">
        <f>VLOOKUP(C816,lookup!$B$2:$F$1240,2)</f>
        <v>lb.</v>
      </c>
      <c r="E816" s="271">
        <f>VLOOKUP(C816,lookup!$B$2:$F$1240,5)</f>
        <v>9</v>
      </c>
    </row>
    <row r="817" spans="1:5" x14ac:dyDescent="0.25">
      <c r="A817" s="169">
        <v>393</v>
      </c>
      <c r="B817" s="172"/>
      <c r="C817" s="106" t="s">
        <v>593</v>
      </c>
      <c r="D817" s="269" t="str">
        <f>VLOOKUP(C817,lookup!$B$2:$F$1240,2)</f>
        <v>lb.</v>
      </c>
      <c r="E817" s="271">
        <f>VLOOKUP(C817,lookup!$B$2:$F$1240,5)</f>
        <v>1.55</v>
      </c>
    </row>
    <row r="818" spans="1:5" x14ac:dyDescent="0.25">
      <c r="A818" s="169">
        <v>393</v>
      </c>
      <c r="B818" s="172"/>
      <c r="C818" s="106" t="s">
        <v>594</v>
      </c>
      <c r="D818" s="269">
        <f>VLOOKUP(C818,lookup!$B$2:$F$1240,2)</f>
        <v>0</v>
      </c>
      <c r="E818" s="271">
        <f>VLOOKUP(C818,lookup!$B$2:$F$1240,5)</f>
        <v>0</v>
      </c>
    </row>
    <row r="819" spans="1:5" x14ac:dyDescent="0.25">
      <c r="A819" s="169">
        <v>393</v>
      </c>
      <c r="B819" s="172"/>
      <c r="C819" s="106" t="s">
        <v>596</v>
      </c>
      <c r="D819" s="269" t="str">
        <f>VLOOKUP(C819,lookup!$B$2:$F$1240,2)</f>
        <v>lb</v>
      </c>
      <c r="E819" s="271">
        <f>VLOOKUP(C819,lookup!$B$2:$F$1240,5)</f>
        <v>2.74</v>
      </c>
    </row>
    <row r="820" spans="1:5" x14ac:dyDescent="0.25">
      <c r="A820" s="169">
        <v>393</v>
      </c>
      <c r="B820" s="172"/>
      <c r="C820" s="106" t="s">
        <v>1409</v>
      </c>
      <c r="D820" s="269">
        <f>VLOOKUP(C820,lookup!$B$2:$F$1240,2)</f>
        <v>0</v>
      </c>
      <c r="E820" s="271">
        <f>VLOOKUP(C820,lookup!$B$2:$F$1240,5)</f>
        <v>0</v>
      </c>
    </row>
    <row r="821" spans="1:5" x14ac:dyDescent="0.25">
      <c r="A821" s="169">
        <v>393</v>
      </c>
      <c r="B821" s="172"/>
      <c r="C821" s="106" t="s">
        <v>2136</v>
      </c>
      <c r="D821" s="269">
        <f>VLOOKUP(C821,lookup!$B$2:$F$1240,2)</f>
        <v>0</v>
      </c>
      <c r="E821" s="271">
        <f>VLOOKUP(C821,lookup!$B$2:$F$1240,5)</f>
        <v>0</v>
      </c>
    </row>
    <row r="822" spans="1:5" x14ac:dyDescent="0.25">
      <c r="A822" s="169">
        <v>394</v>
      </c>
      <c r="B822" s="173" t="s">
        <v>2343</v>
      </c>
      <c r="C822" s="109"/>
      <c r="D822" s="269" t="e">
        <f>VLOOKUP(C822,lookup!$B$2:$F$1240,2)</f>
        <v>#N/A</v>
      </c>
      <c r="E822" s="271" t="e">
        <f>VLOOKUP(C822,lookup!$B$2:$F$1240,5)</f>
        <v>#N/A</v>
      </c>
    </row>
    <row r="823" spans="1:5" x14ac:dyDescent="0.25">
      <c r="A823" s="169">
        <v>394</v>
      </c>
      <c r="C823" s="106" t="s">
        <v>2218</v>
      </c>
      <c r="D823" s="269">
        <f>VLOOKUP(C823,lookup!$B$2:$F$1240,2)</f>
        <v>0</v>
      </c>
      <c r="E823" s="271">
        <f>VLOOKUP(C823,lookup!$B$2:$F$1240,5)</f>
        <v>0</v>
      </c>
    </row>
    <row r="824" spans="1:5" x14ac:dyDescent="0.25">
      <c r="A824" s="169">
        <v>394</v>
      </c>
      <c r="C824" s="106" t="s">
        <v>1728</v>
      </c>
      <c r="D824" s="269">
        <f>VLOOKUP(C824,lookup!$B$2:$F$1240,2)</f>
        <v>0</v>
      </c>
      <c r="E824" s="271">
        <f>VLOOKUP(C824,lookup!$B$2:$F$1240,5)</f>
        <v>0</v>
      </c>
    </row>
    <row r="825" spans="1:5" x14ac:dyDescent="0.25">
      <c r="A825" s="169">
        <v>394</v>
      </c>
      <c r="C825" s="106" t="s">
        <v>1523</v>
      </c>
      <c r="D825" s="269">
        <f>VLOOKUP(C825,lookup!$B$2:$F$1240,2)</f>
        <v>0</v>
      </c>
      <c r="E825" s="271">
        <f>VLOOKUP(C825,lookup!$B$2:$F$1240,5)</f>
        <v>0</v>
      </c>
    </row>
    <row r="826" spans="1:5" x14ac:dyDescent="0.25">
      <c r="A826" s="169">
        <v>394</v>
      </c>
      <c r="C826" s="106" t="s">
        <v>551</v>
      </c>
      <c r="D826" s="269">
        <f>VLOOKUP(C826,lookup!$B$2:$F$1240,2)</f>
        <v>0</v>
      </c>
      <c r="E826" s="271">
        <f>VLOOKUP(C826,lookup!$B$2:$F$1240,5)</f>
        <v>0</v>
      </c>
    </row>
    <row r="827" spans="1:5" x14ac:dyDescent="0.25">
      <c r="A827" s="169">
        <v>395</v>
      </c>
      <c r="B827" s="172" t="s">
        <v>2043</v>
      </c>
      <c r="D827" s="269" t="e">
        <f>VLOOKUP(C827,lookup!$B$2:$F$1240,2)</f>
        <v>#N/A</v>
      </c>
      <c r="E827" s="271" t="e">
        <f>VLOOKUP(C827,lookup!$B$2:$F$1240,5)</f>
        <v>#N/A</v>
      </c>
    </row>
    <row r="828" spans="1:5" x14ac:dyDescent="0.25">
      <c r="A828" s="169">
        <v>395</v>
      </c>
      <c r="C828" s="96" t="s">
        <v>2773</v>
      </c>
      <c r="D828" s="269">
        <f>VLOOKUP(C828,lookup!$B$2:$F$1240,2)</f>
        <v>0</v>
      </c>
      <c r="E828" s="271">
        <f>VLOOKUP(C828,lookup!$B$2:$F$1240,5)</f>
        <v>0</v>
      </c>
    </row>
    <row r="829" spans="1:5" x14ac:dyDescent="0.25">
      <c r="A829" s="169">
        <v>395</v>
      </c>
      <c r="C829" s="113" t="s">
        <v>655</v>
      </c>
      <c r="D829" s="269">
        <f>VLOOKUP(C829,lookup!$B$2:$F$1240,2)</f>
        <v>0</v>
      </c>
      <c r="E829" s="271">
        <f>VLOOKUP(C829,lookup!$B$2:$F$1240,5)</f>
        <v>0</v>
      </c>
    </row>
    <row r="830" spans="1:5" x14ac:dyDescent="0.25">
      <c r="A830" s="169">
        <v>395</v>
      </c>
      <c r="C830" s="106" t="s">
        <v>1389</v>
      </c>
      <c r="D830" s="269" t="str">
        <f>VLOOKUP(C830,lookup!$B$2:$F$1240,2)</f>
        <v>ac</v>
      </c>
      <c r="E830" s="271">
        <f>VLOOKUP(C830,lookup!$B$2:$F$1240,5)</f>
        <v>14</v>
      </c>
    </row>
    <row r="831" spans="1:5" x14ac:dyDescent="0.25">
      <c r="A831" s="169">
        <v>395</v>
      </c>
      <c r="C831" s="106" t="s">
        <v>2838</v>
      </c>
      <c r="D831" s="269" t="str">
        <f>VLOOKUP(C831,lookup!$B$2:$F$1240,2)</f>
        <v>AC</v>
      </c>
      <c r="E831" s="271">
        <f>VLOOKUP(C831,lookup!$B$2:$F$1240,5)</f>
        <v>18</v>
      </c>
    </row>
    <row r="832" spans="1:5" x14ac:dyDescent="0.25">
      <c r="A832" s="169">
        <v>395</v>
      </c>
      <c r="C832" s="106" t="s">
        <v>2159</v>
      </c>
      <c r="D832" s="269" t="str">
        <f>VLOOKUP(C832,lookup!$B$2:$F$1240,2)</f>
        <v>Cu. Yd.</v>
      </c>
      <c r="E832" s="271">
        <f>VLOOKUP(C832,lookup!$B$2:$F$1240,5)</f>
        <v>3</v>
      </c>
    </row>
    <row r="833" spans="1:5" x14ac:dyDescent="0.25">
      <c r="A833" s="169">
        <v>395</v>
      </c>
      <c r="C833" s="106" t="s">
        <v>2158</v>
      </c>
      <c r="D833" s="269" t="str">
        <f>VLOOKUP(C833,lookup!$B$2:$F$1240,2)</f>
        <v>Cu. Yd.</v>
      </c>
      <c r="E833" s="271">
        <f>VLOOKUP(C833,lookup!$B$2:$F$1240,5)</f>
        <v>3</v>
      </c>
    </row>
    <row r="834" spans="1:5" x14ac:dyDescent="0.25">
      <c r="A834" s="169">
        <v>395</v>
      </c>
      <c r="C834" s="106" t="s">
        <v>2737</v>
      </c>
      <c r="D834" s="269">
        <f>VLOOKUP(C834,lookup!$B$2:$F$1240,2)</f>
        <v>0</v>
      </c>
      <c r="E834" s="271">
        <f>VLOOKUP(C834,lookup!$B$2:$F$1240,5)</f>
        <v>0</v>
      </c>
    </row>
    <row r="835" spans="1:5" x14ac:dyDescent="0.25">
      <c r="A835" s="169">
        <v>395</v>
      </c>
      <c r="C835" s="106" t="s">
        <v>2182</v>
      </c>
      <c r="D835" s="269" t="str">
        <f>VLOOKUP(C835,lookup!$B$2:$F$1240,2)</f>
        <v>FT</v>
      </c>
      <c r="E835" s="271">
        <f>VLOOKUP(C835,lookup!$B$2:$F$1240,5)</f>
        <v>50</v>
      </c>
    </row>
    <row r="836" spans="1:5" x14ac:dyDescent="0.25">
      <c r="A836" s="169">
        <v>395</v>
      </c>
      <c r="C836" s="106" t="s">
        <v>1996</v>
      </c>
      <c r="D836" s="269" t="str">
        <f>VLOOKUP(C836,lookup!$B$2:$F$1240,2)</f>
        <v>ton</v>
      </c>
      <c r="E836" s="271">
        <f>VLOOKUP(C836,lookup!$B$2:$F$1240,5)</f>
        <v>21.63</v>
      </c>
    </row>
    <row r="837" spans="1:5" x14ac:dyDescent="0.25">
      <c r="A837" s="169">
        <v>395</v>
      </c>
      <c r="C837" s="106" t="s">
        <v>1997</v>
      </c>
      <c r="D837" s="269" t="str">
        <f>VLOOKUP(C837,lookup!$B$2:$F$1240,2)</f>
        <v>ton</v>
      </c>
      <c r="E837" s="271">
        <f>VLOOKUP(C837,lookup!$B$2:$F$1240,5)</f>
        <v>21.63</v>
      </c>
    </row>
    <row r="838" spans="1:5" x14ac:dyDescent="0.25">
      <c r="A838" s="169">
        <v>395</v>
      </c>
      <c r="C838" s="106" t="s">
        <v>1998</v>
      </c>
      <c r="D838" s="269" t="str">
        <f>VLOOKUP(C838,lookup!$B$2:$F$1240,2)</f>
        <v>ton</v>
      </c>
      <c r="E838" s="271">
        <f>VLOOKUP(C838,lookup!$B$2:$F$1240,5)</f>
        <v>21.63</v>
      </c>
    </row>
    <row r="839" spans="1:5" x14ac:dyDescent="0.25">
      <c r="A839" s="169">
        <v>395</v>
      </c>
      <c r="C839" s="106" t="s">
        <v>1999</v>
      </c>
      <c r="D839" s="269" t="str">
        <f>VLOOKUP(C839,lookup!$B$2:$F$1240,2)</f>
        <v>ton</v>
      </c>
      <c r="E839" s="271">
        <f>VLOOKUP(C839,lookup!$B$2:$F$1240,5)</f>
        <v>21.63</v>
      </c>
    </row>
    <row r="840" spans="1:5" x14ac:dyDescent="0.25">
      <c r="A840" s="169">
        <v>395</v>
      </c>
      <c r="C840" s="106" t="s">
        <v>2786</v>
      </c>
      <c r="D840" s="269" t="str">
        <f>VLOOKUP(C840,lookup!$B$2:$F$1240,2)</f>
        <v>ton</v>
      </c>
      <c r="E840" s="271">
        <f>VLOOKUP(C840,lookup!$B$2:$F$1240,5)</f>
        <v>21.63</v>
      </c>
    </row>
    <row r="841" spans="1:5" x14ac:dyDescent="0.25">
      <c r="A841" s="169">
        <v>395</v>
      </c>
      <c r="C841" s="106" t="s">
        <v>2784</v>
      </c>
      <c r="D841" s="269" t="str">
        <f>VLOOKUP(C841,lookup!$B$2:$F$1240,2)</f>
        <v>ton</v>
      </c>
      <c r="E841" s="271">
        <f>VLOOKUP(C841,lookup!$B$2:$F$1240,5)</f>
        <v>21.63</v>
      </c>
    </row>
    <row r="842" spans="1:5" ht="22.8" x14ac:dyDescent="0.25">
      <c r="A842" s="169">
        <v>395</v>
      </c>
      <c r="C842" s="106" t="s">
        <v>906</v>
      </c>
      <c r="D842" s="269">
        <f>VLOOKUP(C842,lookup!$B$2:$F$1240,2)</f>
        <v>0</v>
      </c>
      <c r="E842" s="271">
        <f>VLOOKUP(C842,lookup!$B$2:$F$1240,5)</f>
        <v>0</v>
      </c>
    </row>
    <row r="843" spans="1:5" ht="22.8" x14ac:dyDescent="0.25">
      <c r="A843" s="169">
        <v>395</v>
      </c>
      <c r="C843" s="106" t="s">
        <v>907</v>
      </c>
      <c r="D843" s="269" t="str">
        <f>VLOOKUP(C843,lookup!$B$2:$F$1240,2)</f>
        <v>sq ft</v>
      </c>
      <c r="E843" s="271">
        <f>VLOOKUP(C843,lookup!$B$2:$F$1240,5)</f>
        <v>0</v>
      </c>
    </row>
    <row r="844" spans="1:5" ht="22.8" x14ac:dyDescent="0.25">
      <c r="A844" s="169">
        <v>395</v>
      </c>
      <c r="C844" s="106" t="s">
        <v>1781</v>
      </c>
      <c r="D844" s="269">
        <f>VLOOKUP(C844,lookup!$B$2:$F$1240,2)</f>
        <v>0</v>
      </c>
      <c r="E844" s="271">
        <f>VLOOKUP(C844,lookup!$B$2:$F$1240,5)</f>
        <v>0</v>
      </c>
    </row>
    <row r="845" spans="1:5" ht="22.8" x14ac:dyDescent="0.25">
      <c r="A845" s="169">
        <v>395</v>
      </c>
      <c r="C845" s="106" t="s">
        <v>908</v>
      </c>
      <c r="D845" s="269">
        <f>VLOOKUP(C845,lookup!$B$2:$F$1240,2)</f>
        <v>0</v>
      </c>
      <c r="E845" s="271">
        <f>VLOOKUP(C845,lookup!$B$2:$F$1240,5)</f>
        <v>0</v>
      </c>
    </row>
    <row r="846" spans="1:5" ht="22.8" x14ac:dyDescent="0.25">
      <c r="A846" s="169">
        <v>395</v>
      </c>
      <c r="C846" s="106" t="s">
        <v>909</v>
      </c>
      <c r="D846" s="269">
        <f>VLOOKUP(C846,lookup!$B$2:$F$1240,2)</f>
        <v>0</v>
      </c>
      <c r="E846" s="271">
        <f>VLOOKUP(C846,lookup!$B$2:$F$1240,5)</f>
        <v>0</v>
      </c>
    </row>
    <row r="847" spans="1:5" ht="22.8" x14ac:dyDescent="0.25">
      <c r="A847" s="169">
        <v>395</v>
      </c>
      <c r="C847" s="106" t="s">
        <v>910</v>
      </c>
      <c r="D847" s="269">
        <f>VLOOKUP(C847,lookup!$B$2:$F$1240,2)</f>
        <v>0</v>
      </c>
      <c r="E847" s="271">
        <f>VLOOKUP(C847,lookup!$B$2:$F$1240,5)</f>
        <v>0</v>
      </c>
    </row>
    <row r="848" spans="1:5" x14ac:dyDescent="0.25">
      <c r="A848" s="169">
        <v>395</v>
      </c>
      <c r="C848" s="106" t="s">
        <v>1525</v>
      </c>
      <c r="D848" s="269">
        <f>VLOOKUP(C848,lookup!$B$2:$F$1240,2)</f>
        <v>0</v>
      </c>
      <c r="E848" s="271">
        <f>VLOOKUP(C848,lookup!$B$2:$F$1240,5)</f>
        <v>0</v>
      </c>
    </row>
    <row r="849" spans="1:5" x14ac:dyDescent="0.25">
      <c r="A849" s="169">
        <v>396</v>
      </c>
      <c r="B849" s="173" t="s">
        <v>2344</v>
      </c>
      <c r="D849" s="269" t="e">
        <f>VLOOKUP(C849,lookup!$B$2:$F$1240,2)</f>
        <v>#N/A</v>
      </c>
      <c r="E849" s="271" t="e">
        <f>VLOOKUP(C849,lookup!$B$2:$F$1240,5)</f>
        <v>#N/A</v>
      </c>
    </row>
    <row r="850" spans="1:5" x14ac:dyDescent="0.25">
      <c r="A850" s="66">
        <v>397</v>
      </c>
      <c r="B850" s="167" t="s">
        <v>506</v>
      </c>
      <c r="C850" s="119"/>
      <c r="D850" s="269" t="e">
        <f>VLOOKUP(C850,lookup!$B$2:$F$1240,2)</f>
        <v>#N/A</v>
      </c>
      <c r="E850" s="271" t="e">
        <f>VLOOKUP(C850,lookup!$B$2:$F$1240,5)</f>
        <v>#N/A</v>
      </c>
    </row>
    <row r="851" spans="1:5" x14ac:dyDescent="0.25">
      <c r="A851" s="66">
        <v>397</v>
      </c>
      <c r="C851" s="106" t="s">
        <v>978</v>
      </c>
      <c r="D851" s="269">
        <f>VLOOKUP(C851,lookup!$B$2:$F$1240,2)</f>
        <v>0</v>
      </c>
      <c r="E851" s="271">
        <f>VLOOKUP(C851,lookup!$B$2:$F$1240,5)</f>
        <v>0</v>
      </c>
    </row>
    <row r="852" spans="1:5" x14ac:dyDescent="0.25">
      <c r="A852" s="66">
        <v>397</v>
      </c>
      <c r="C852" s="113" t="s">
        <v>2424</v>
      </c>
      <c r="D852" s="269" t="str">
        <f>VLOOKUP(C852,lookup!$B$2:$F$1240,2)</f>
        <v>lin ft</v>
      </c>
      <c r="E852" s="271">
        <f>VLOOKUP(C852,lookup!$B$2:$F$1240,5)</f>
        <v>3.5</v>
      </c>
    </row>
    <row r="853" spans="1:5" x14ac:dyDescent="0.25">
      <c r="A853" s="66">
        <v>397</v>
      </c>
      <c r="C853" s="113" t="s">
        <v>2425</v>
      </c>
      <c r="D853" s="269" t="str">
        <f>VLOOKUP(C853,lookup!$B$2:$F$1240,2)</f>
        <v>lin ft</v>
      </c>
      <c r="E853" s="271">
        <f>VLOOKUP(C853,lookup!$B$2:$F$1240,5)</f>
        <v>3.5</v>
      </c>
    </row>
    <row r="854" spans="1:5" x14ac:dyDescent="0.25">
      <c r="A854" s="66">
        <v>397</v>
      </c>
      <c r="C854" s="106" t="s">
        <v>1389</v>
      </c>
      <c r="D854" s="269" t="str">
        <f>VLOOKUP(C854,lookup!$B$2:$F$1240,2)</f>
        <v>ac</v>
      </c>
      <c r="E854" s="271">
        <f>VLOOKUP(C854,lookup!$B$2:$F$1240,5)</f>
        <v>14</v>
      </c>
    </row>
    <row r="855" spans="1:5" x14ac:dyDescent="0.25">
      <c r="A855" s="66">
        <v>397</v>
      </c>
      <c r="C855" s="106" t="s">
        <v>1034</v>
      </c>
      <c r="D855" s="269" t="str">
        <f>VLOOKUP(C855,lookup!$B$2:$F$1240,2)</f>
        <v>l.s.</v>
      </c>
      <c r="E855" s="271">
        <f>VLOOKUP(C855,lookup!$B$2:$F$1240,5)</f>
        <v>400</v>
      </c>
    </row>
    <row r="856" spans="1:5" x14ac:dyDescent="0.25">
      <c r="A856" s="66">
        <v>397</v>
      </c>
      <c r="C856" s="106" t="s">
        <v>2316</v>
      </c>
      <c r="D856" s="269" t="str">
        <f>VLOOKUP(C856,lookup!$B$2:$F$1240,2)</f>
        <v>ea</v>
      </c>
      <c r="E856" s="271">
        <f>VLOOKUP(C856,lookup!$B$2:$F$1240,5)</f>
        <v>0.45</v>
      </c>
    </row>
    <row r="857" spans="1:5" x14ac:dyDescent="0.25">
      <c r="A857" s="66">
        <v>397</v>
      </c>
      <c r="C857" s="106" t="s">
        <v>1159</v>
      </c>
      <c r="D857" s="269" t="str">
        <f>VLOOKUP(C857,lookup!$B$2:$F$1240,2)</f>
        <v>ft</v>
      </c>
      <c r="E857" s="271">
        <f>VLOOKUP(C857,lookup!$B$2:$F$1240,5)</f>
        <v>6.6</v>
      </c>
    </row>
    <row r="858" spans="1:5" x14ac:dyDescent="0.25">
      <c r="A858" s="66">
        <v>397</v>
      </c>
      <c r="C858" s="106" t="s">
        <v>1158</v>
      </c>
      <c r="D858" s="269" t="str">
        <f>VLOOKUP(C858,lookup!$B$2:$F$1240,2)</f>
        <v>Gal.</v>
      </c>
      <c r="E858" s="271">
        <f>VLOOKUP(C858,lookup!$B$2:$F$1240,5)</f>
        <v>38.5</v>
      </c>
    </row>
    <row r="859" spans="1:5" x14ac:dyDescent="0.25">
      <c r="A859" s="66">
        <v>397</v>
      </c>
      <c r="C859" s="100" t="s">
        <v>1042</v>
      </c>
      <c r="D859" s="269" t="str">
        <f>VLOOKUP(C859,lookup!$B$2:$F$1240,2)</f>
        <v>Ea.</v>
      </c>
      <c r="E859" s="271">
        <f>VLOOKUP(C859,lookup!$B$2:$F$1240,5)</f>
        <v>65</v>
      </c>
    </row>
    <row r="860" spans="1:5" x14ac:dyDescent="0.25">
      <c r="A860" s="66">
        <v>397</v>
      </c>
      <c r="C860" s="100" t="s">
        <v>1039</v>
      </c>
      <c r="D860" s="269" t="str">
        <f>VLOOKUP(C860,lookup!$B$2:$F$1240,2)</f>
        <v>Ea.</v>
      </c>
      <c r="E860" s="271">
        <f>VLOOKUP(C860,lookup!$B$2:$F$1240,5)</f>
        <v>65</v>
      </c>
    </row>
    <row r="861" spans="1:5" ht="22.8" x14ac:dyDescent="0.25">
      <c r="A861" s="66">
        <v>397</v>
      </c>
      <c r="C861" s="100" t="s">
        <v>1040</v>
      </c>
      <c r="D861" s="269" t="str">
        <f>VLOOKUP(C861,lookup!$B$2:$F$1240,2)</f>
        <v>Ea.</v>
      </c>
      <c r="E861" s="271">
        <f>VLOOKUP(C861,lookup!$B$2:$F$1240,5)</f>
        <v>65</v>
      </c>
    </row>
    <row r="862" spans="1:5" x14ac:dyDescent="0.25">
      <c r="A862" s="66">
        <v>397</v>
      </c>
      <c r="C862" s="100" t="s">
        <v>1041</v>
      </c>
      <c r="D862" s="269" t="str">
        <f>VLOOKUP(C862,lookup!$B$2:$F$1240,2)</f>
        <v>Ea.</v>
      </c>
      <c r="E862" s="271">
        <f>VLOOKUP(C862,lookup!$B$2:$F$1240,5)</f>
        <v>65</v>
      </c>
    </row>
    <row r="863" spans="1:5" x14ac:dyDescent="0.25">
      <c r="A863" s="66">
        <v>397</v>
      </c>
      <c r="C863" s="106" t="s">
        <v>1523</v>
      </c>
      <c r="D863" s="269">
        <f>VLOOKUP(C863,lookup!$B$2:$F$1240,2)</f>
        <v>0</v>
      </c>
      <c r="E863" s="271">
        <f>VLOOKUP(C863,lookup!$B$2:$F$1240,5)</f>
        <v>0</v>
      </c>
    </row>
    <row r="864" spans="1:5" ht="22.8" x14ac:dyDescent="0.25">
      <c r="A864" s="66">
        <v>397</v>
      </c>
      <c r="C864" s="106" t="s">
        <v>2745</v>
      </c>
      <c r="D864" s="269">
        <f>VLOOKUP(C864,lookup!$B$2:$F$1240,2)</f>
        <v>0</v>
      </c>
      <c r="E864" s="271">
        <f>VLOOKUP(C864,lookup!$B$2:$F$1240,5)</f>
        <v>0</v>
      </c>
    </row>
    <row r="865" spans="1:5" x14ac:dyDescent="0.25">
      <c r="A865" s="169">
        <v>398</v>
      </c>
      <c r="B865" s="173" t="s">
        <v>2348</v>
      </c>
      <c r="C865" s="109"/>
      <c r="D865" s="269" t="e">
        <f>VLOOKUP(C865,lookup!$B$2:$F$1240,2)</f>
        <v>#N/A</v>
      </c>
      <c r="E865" s="271" t="e">
        <f>VLOOKUP(C865,lookup!$B$2:$F$1240,5)</f>
        <v>#N/A</v>
      </c>
    </row>
    <row r="866" spans="1:5" x14ac:dyDescent="0.25">
      <c r="A866" s="169">
        <v>398</v>
      </c>
      <c r="C866" s="106" t="s">
        <v>410</v>
      </c>
      <c r="D866" s="269">
        <f>VLOOKUP(C866,lookup!$B$2:$F$1240,2)</f>
        <v>0</v>
      </c>
      <c r="E866" s="271">
        <f>VLOOKUP(C866,lookup!$B$2:$F$1240,5)</f>
        <v>0</v>
      </c>
    </row>
    <row r="867" spans="1:5" x14ac:dyDescent="0.25">
      <c r="A867" s="169">
        <v>398</v>
      </c>
      <c r="C867" s="106" t="s">
        <v>188</v>
      </c>
      <c r="D867" s="269">
        <f>VLOOKUP(C867,lookup!$B$2:$F$1240,2)</f>
        <v>0</v>
      </c>
      <c r="E867" s="271">
        <f>VLOOKUP(C867,lookup!$B$2:$F$1240,5)</f>
        <v>0</v>
      </c>
    </row>
    <row r="868" spans="1:5" x14ac:dyDescent="0.25">
      <c r="A868" s="169">
        <v>398</v>
      </c>
      <c r="C868" s="106" t="s">
        <v>15</v>
      </c>
      <c r="D868" s="269">
        <f>VLOOKUP(C868,lookup!$B$2:$F$1240,2)</f>
        <v>0</v>
      </c>
      <c r="E868" s="271">
        <f>VLOOKUP(C868,lookup!$B$2:$F$1240,5)</f>
        <v>0</v>
      </c>
    </row>
    <row r="869" spans="1:5" x14ac:dyDescent="0.25">
      <c r="A869" s="169">
        <v>398</v>
      </c>
      <c r="C869" s="106" t="s">
        <v>16</v>
      </c>
      <c r="D869" s="269">
        <f>VLOOKUP(C869,lookup!$B$2:$F$1240,2)</f>
        <v>0</v>
      </c>
      <c r="E869" s="271">
        <f>VLOOKUP(C869,lookup!$B$2:$F$1240,5)</f>
        <v>0</v>
      </c>
    </row>
    <row r="870" spans="1:5" x14ac:dyDescent="0.25">
      <c r="A870" s="169">
        <v>398</v>
      </c>
      <c r="C870" s="106" t="s">
        <v>413</v>
      </c>
      <c r="D870" s="269">
        <f>VLOOKUP(C870,lookup!$B$2:$F$1240,2)</f>
        <v>0</v>
      </c>
      <c r="E870" s="271">
        <f>VLOOKUP(C870,lookup!$B$2:$F$1240,5)</f>
        <v>0</v>
      </c>
    </row>
    <row r="871" spans="1:5" x14ac:dyDescent="0.25">
      <c r="A871" s="169">
        <v>399</v>
      </c>
      <c r="B871" s="173" t="s">
        <v>2346</v>
      </c>
      <c r="C871" s="109"/>
      <c r="D871" s="269" t="e">
        <f>VLOOKUP(C871,lookup!$B$2:$F$1240,2)</f>
        <v>#N/A</v>
      </c>
      <c r="E871" s="271" t="e">
        <f>VLOOKUP(C871,lookup!$B$2:$F$1240,5)</f>
        <v>#N/A</v>
      </c>
    </row>
    <row r="872" spans="1:5" x14ac:dyDescent="0.25">
      <c r="A872" s="169">
        <v>410</v>
      </c>
      <c r="B872" s="172" t="s">
        <v>210</v>
      </c>
      <c r="D872" s="269" t="e">
        <f>VLOOKUP(C872,lookup!$B$2:$F$1240,2)</f>
        <v>#N/A</v>
      </c>
      <c r="E872" s="271" t="e">
        <f>VLOOKUP(C872,lookup!$B$2:$F$1240,5)</f>
        <v>#N/A</v>
      </c>
    </row>
    <row r="873" spans="1:5" x14ac:dyDescent="0.25">
      <c r="A873" s="169">
        <v>410</v>
      </c>
      <c r="C873" s="106" t="s">
        <v>2835</v>
      </c>
      <c r="D873" s="269" t="str">
        <f>VLOOKUP(C873,lookup!$B$2:$F$1240,2)</f>
        <v>Cu Yd</v>
      </c>
      <c r="E873" s="271">
        <f>VLOOKUP(C873,lookup!$B$2:$F$1240,5)</f>
        <v>200</v>
      </c>
    </row>
    <row r="874" spans="1:5" x14ac:dyDescent="0.25">
      <c r="A874" s="169">
        <v>410</v>
      </c>
      <c r="C874" s="106" t="s">
        <v>2696</v>
      </c>
      <c r="D874" s="269" t="str">
        <f>VLOOKUP(C874,lookup!$B$2:$F$1240,2)</f>
        <v>each</v>
      </c>
      <c r="E874" s="271">
        <f>VLOOKUP(C874,lookup!$B$2:$F$1240,5)</f>
        <v>80</v>
      </c>
    </row>
    <row r="875" spans="1:5" x14ac:dyDescent="0.25">
      <c r="A875" s="169">
        <v>410</v>
      </c>
      <c r="C875" s="106" t="s">
        <v>2697</v>
      </c>
      <c r="D875" s="269">
        <f>VLOOKUP(C875,lookup!$B$2:$F$1240,2)</f>
        <v>0</v>
      </c>
      <c r="E875" s="271">
        <f>VLOOKUP(C875,lookup!$B$2:$F$1240,5)</f>
        <v>0</v>
      </c>
    </row>
    <row r="876" spans="1:5" x14ac:dyDescent="0.25">
      <c r="A876" s="169">
        <v>410</v>
      </c>
      <c r="C876" s="106" t="s">
        <v>1376</v>
      </c>
      <c r="D876" s="269" t="str">
        <f>VLOOKUP(C876,lookup!$B$2:$F$1240,2)</f>
        <v>cu yd</v>
      </c>
      <c r="E876" s="271">
        <f>VLOOKUP(C876,lookup!$B$2:$F$1240,5)</f>
        <v>3.5</v>
      </c>
    </row>
    <row r="877" spans="1:5" x14ac:dyDescent="0.25">
      <c r="A877" s="169">
        <v>410</v>
      </c>
      <c r="C877" s="106" t="s">
        <v>1110</v>
      </c>
      <c r="D877" s="269" t="str">
        <f>VLOOKUP(C877,lookup!$B$2:$F$1240,2)</f>
        <v>Cu Yd</v>
      </c>
      <c r="E877" s="271">
        <f>VLOOKUP(C877,lookup!$B$2:$F$1240,5)</f>
        <v>0</v>
      </c>
    </row>
    <row r="878" spans="1:5" x14ac:dyDescent="0.25">
      <c r="A878" s="169">
        <v>410</v>
      </c>
      <c r="C878" s="106" t="s">
        <v>2313</v>
      </c>
      <c r="D878" s="269" t="str">
        <f>VLOOKUP(C878,lookup!$B$2:$F$1240,2)</f>
        <v>l.s.</v>
      </c>
      <c r="E878" s="271">
        <f>VLOOKUP(C878,lookup!$B$2:$F$1240,5)</f>
        <v>400</v>
      </c>
    </row>
    <row r="879" spans="1:5" x14ac:dyDescent="0.25">
      <c r="A879" s="169">
        <v>410</v>
      </c>
      <c r="C879" s="106" t="s">
        <v>1034</v>
      </c>
      <c r="D879" s="269" t="str">
        <f>VLOOKUP(C879,lookup!$B$2:$F$1240,2)</f>
        <v>l.s.</v>
      </c>
      <c r="E879" s="271">
        <f>VLOOKUP(C879,lookup!$B$2:$F$1240,5)</f>
        <v>400</v>
      </c>
    </row>
    <row r="880" spans="1:5" x14ac:dyDescent="0.25">
      <c r="A880" s="169">
        <v>410</v>
      </c>
      <c r="C880" s="106" t="s">
        <v>1034</v>
      </c>
      <c r="D880" s="269" t="str">
        <f>VLOOKUP(C880,lookup!$B$2:$F$1240,2)</f>
        <v>l.s.</v>
      </c>
      <c r="E880" s="271">
        <f>VLOOKUP(C880,lookup!$B$2:$F$1240,5)</f>
        <v>400</v>
      </c>
    </row>
    <row r="881" spans="1:5" x14ac:dyDescent="0.25">
      <c r="A881" s="169">
        <v>410</v>
      </c>
      <c r="C881" s="106" t="s">
        <v>988</v>
      </c>
      <c r="D881" s="269" t="str">
        <f>VLOOKUP(C881,lookup!$B$2:$F$1240,2)</f>
        <v>ton</v>
      </c>
      <c r="E881" s="271">
        <f>VLOOKUP(C881,lookup!$B$2:$F$1240,5)</f>
        <v>20</v>
      </c>
    </row>
    <row r="882" spans="1:5" x14ac:dyDescent="0.25">
      <c r="A882" s="169">
        <v>410</v>
      </c>
      <c r="C882" s="106" t="s">
        <v>2797</v>
      </c>
      <c r="D882" s="269" t="str">
        <f>VLOOKUP(C882,lookup!$B$2:$F$1240,2)</f>
        <v>ton</v>
      </c>
      <c r="E882" s="271">
        <f>VLOOKUP(C882,lookup!$B$2:$F$1240,5)</f>
        <v>20</v>
      </c>
    </row>
    <row r="883" spans="1:5" x14ac:dyDescent="0.25">
      <c r="A883" s="169">
        <v>410</v>
      </c>
      <c r="C883" s="113" t="s">
        <v>2183</v>
      </c>
      <c r="D883" s="269">
        <f>VLOOKUP(C883,lookup!$B$2:$F$1240,2)</f>
        <v>0</v>
      </c>
      <c r="E883" s="271">
        <f>VLOOKUP(C883,lookup!$B$2:$F$1240,5)</f>
        <v>0</v>
      </c>
    </row>
    <row r="884" spans="1:5" x14ac:dyDescent="0.25">
      <c r="A884" s="169">
        <v>410</v>
      </c>
      <c r="C884" s="106" t="s">
        <v>1988</v>
      </c>
      <c r="D884" s="269" t="str">
        <f>VLOOKUP(C884,lookup!$B$2:$F$1240,2)</f>
        <v>lin ft</v>
      </c>
      <c r="E884" s="271">
        <f>VLOOKUP(C884,lookup!$B$2:$F$1240,5)</f>
        <v>20</v>
      </c>
    </row>
    <row r="885" spans="1:5" x14ac:dyDescent="0.25">
      <c r="A885" s="169">
        <v>410</v>
      </c>
      <c r="C885" s="106" t="s">
        <v>1989</v>
      </c>
      <c r="D885" s="269" t="str">
        <f>VLOOKUP(C885,lookup!$B$2:$F$1240,2)</f>
        <v>lin ft</v>
      </c>
      <c r="E885" s="271">
        <f>VLOOKUP(C885,lookup!$B$2:$F$1240,5)</f>
        <v>20</v>
      </c>
    </row>
    <row r="886" spans="1:5" x14ac:dyDescent="0.25">
      <c r="A886" s="169">
        <v>410</v>
      </c>
      <c r="C886" s="106" t="s">
        <v>2195</v>
      </c>
      <c r="D886" s="269" t="str">
        <f>VLOOKUP(C886,lookup!$B$2:$F$1240,2)</f>
        <v>lin ft</v>
      </c>
      <c r="E886" s="271">
        <f>VLOOKUP(C886,lookup!$B$2:$F$1240,5)</f>
        <v>20</v>
      </c>
    </row>
    <row r="887" spans="1:5" x14ac:dyDescent="0.25">
      <c r="A887" s="169">
        <v>410</v>
      </c>
      <c r="C887" s="106" t="s">
        <v>2196</v>
      </c>
      <c r="D887" s="269" t="str">
        <f>VLOOKUP(C887,lookup!$B$2:$F$1240,2)</f>
        <v>lin ft</v>
      </c>
      <c r="E887" s="271">
        <f>VLOOKUP(C887,lookup!$B$2:$F$1240,5)</f>
        <v>20</v>
      </c>
    </row>
    <row r="888" spans="1:5" x14ac:dyDescent="0.25">
      <c r="A888" s="169">
        <v>410</v>
      </c>
      <c r="C888" s="106" t="s">
        <v>2193</v>
      </c>
      <c r="D888" s="269" t="str">
        <f>VLOOKUP(C888,lookup!$B$2:$F$1240,2)</f>
        <v>lin ft</v>
      </c>
      <c r="E888" s="271">
        <f>VLOOKUP(C888,lookup!$B$2:$F$1240,5)</f>
        <v>20</v>
      </c>
    </row>
    <row r="889" spans="1:5" x14ac:dyDescent="0.25">
      <c r="A889" s="169">
        <v>410</v>
      </c>
      <c r="C889" s="106" t="s">
        <v>2194</v>
      </c>
      <c r="D889" s="269" t="str">
        <f>VLOOKUP(C889,lookup!$B$2:$F$1240,2)</f>
        <v>lin ft</v>
      </c>
      <c r="E889" s="271">
        <f>VLOOKUP(C889,lookup!$B$2:$F$1240,5)</f>
        <v>20</v>
      </c>
    </row>
    <row r="890" spans="1:5" x14ac:dyDescent="0.25">
      <c r="A890" s="169">
        <v>410</v>
      </c>
      <c r="C890" s="106" t="s">
        <v>600</v>
      </c>
      <c r="D890" s="269" t="str">
        <f>VLOOKUP(C890,lookup!$B$2:$F$1240,2)</f>
        <v>lin ft</v>
      </c>
      <c r="E890" s="271">
        <f>VLOOKUP(C890,lookup!$B$2:$F$1240,5)</f>
        <v>20</v>
      </c>
    </row>
    <row r="891" spans="1:5" x14ac:dyDescent="0.25">
      <c r="A891" s="169">
        <v>410</v>
      </c>
      <c r="C891" s="106" t="s">
        <v>1371</v>
      </c>
      <c r="D891" s="269" t="str">
        <f>VLOOKUP(C891,lookup!$B$2:$F$1240,2)</f>
        <v>lin ft</v>
      </c>
      <c r="E891" s="271">
        <f>VLOOKUP(C891,lookup!$B$2:$F$1240,5)</f>
        <v>20</v>
      </c>
    </row>
    <row r="892" spans="1:5" x14ac:dyDescent="0.25">
      <c r="A892" s="169">
        <v>410</v>
      </c>
      <c r="C892" s="106" t="s">
        <v>1372</v>
      </c>
      <c r="D892" s="269" t="str">
        <f>VLOOKUP(C892,lookup!$B$2:$F$1240,2)</f>
        <v>lin ft</v>
      </c>
      <c r="E892" s="271">
        <f>VLOOKUP(C892,lookup!$B$2:$F$1240,5)</f>
        <v>20</v>
      </c>
    </row>
    <row r="893" spans="1:5" ht="22.8" x14ac:dyDescent="0.25">
      <c r="A893" s="169">
        <v>410</v>
      </c>
      <c r="C893" s="106" t="s">
        <v>1187</v>
      </c>
      <c r="D893" s="269" t="str">
        <f>VLOOKUP(C893,lookup!$B$2:$F$1240,2)</f>
        <v>lin ft</v>
      </c>
      <c r="E893" s="271">
        <f>VLOOKUP(C893,lookup!$B$2:$F$1240,5)</f>
        <v>20</v>
      </c>
    </row>
    <row r="894" spans="1:5" ht="22.8" x14ac:dyDescent="0.25">
      <c r="A894" s="169">
        <v>410</v>
      </c>
      <c r="C894" s="106" t="s">
        <v>203</v>
      </c>
      <c r="D894" s="269" t="str">
        <f>VLOOKUP(C894,lookup!$B$2:$F$1240,2)</f>
        <v>lin ft</v>
      </c>
      <c r="E894" s="271">
        <f>VLOOKUP(C894,lookup!$B$2:$F$1240,5)</f>
        <v>20</v>
      </c>
    </row>
    <row r="895" spans="1:5" ht="22.8" x14ac:dyDescent="0.25">
      <c r="A895" s="169">
        <v>410</v>
      </c>
      <c r="C895" s="106" t="s">
        <v>1188</v>
      </c>
      <c r="D895" s="269" t="str">
        <f>VLOOKUP(C895,lookup!$B$2:$F$1240,2)</f>
        <v>lin ft</v>
      </c>
      <c r="E895" s="271">
        <f>VLOOKUP(C895,lookup!$B$2:$F$1240,5)</f>
        <v>20</v>
      </c>
    </row>
    <row r="896" spans="1:5" ht="22.8" x14ac:dyDescent="0.25">
      <c r="A896" s="169">
        <v>410</v>
      </c>
      <c r="C896" s="106" t="s">
        <v>2363</v>
      </c>
      <c r="D896" s="269" t="str">
        <f>VLOOKUP(C896,lookup!$B$2:$F$1240,2)</f>
        <v>lin ft</v>
      </c>
      <c r="E896" s="271">
        <f>VLOOKUP(C896,lookup!$B$2:$F$1240,5)</f>
        <v>20</v>
      </c>
    </row>
    <row r="897" spans="1:5" ht="22.8" x14ac:dyDescent="0.25">
      <c r="A897" s="169">
        <v>410</v>
      </c>
      <c r="C897" s="106" t="s">
        <v>2364</v>
      </c>
      <c r="D897" s="269" t="str">
        <f>VLOOKUP(C897,lookup!$B$2:$F$1240,2)</f>
        <v>lin ft</v>
      </c>
      <c r="E897" s="271">
        <f>VLOOKUP(C897,lookup!$B$2:$F$1240,5)</f>
        <v>20</v>
      </c>
    </row>
    <row r="898" spans="1:5" ht="22.8" x14ac:dyDescent="0.25">
      <c r="A898" s="169">
        <v>410</v>
      </c>
      <c r="C898" s="106" t="s">
        <v>1374</v>
      </c>
      <c r="D898" s="269" t="str">
        <f>VLOOKUP(C898,lookup!$B$2:$F$1240,2)</f>
        <v>lin ft</v>
      </c>
      <c r="E898" s="271">
        <f>VLOOKUP(C898,lookup!$B$2:$F$1240,5)</f>
        <v>20</v>
      </c>
    </row>
    <row r="899" spans="1:5" ht="22.8" x14ac:dyDescent="0.25">
      <c r="A899" s="169">
        <v>410</v>
      </c>
      <c r="C899" s="106" t="s">
        <v>1375</v>
      </c>
      <c r="D899" s="269" t="str">
        <f>VLOOKUP(C899,lookup!$B$2:$F$1240,2)</f>
        <v>lin ft</v>
      </c>
      <c r="E899" s="271">
        <f>VLOOKUP(C899,lookup!$B$2:$F$1240,5)</f>
        <v>20</v>
      </c>
    </row>
    <row r="900" spans="1:5" ht="22.8" x14ac:dyDescent="0.25">
      <c r="A900" s="169">
        <v>410</v>
      </c>
      <c r="C900" s="106" t="s">
        <v>1184</v>
      </c>
      <c r="D900" s="269" t="str">
        <f>VLOOKUP(C900,lookup!$B$2:$F$1240,2)</f>
        <v>lin ft</v>
      </c>
      <c r="E900" s="271">
        <f>VLOOKUP(C900,lookup!$B$2:$F$1240,5)</f>
        <v>20</v>
      </c>
    </row>
    <row r="901" spans="1:5" ht="22.8" x14ac:dyDescent="0.25">
      <c r="A901" s="169">
        <v>410</v>
      </c>
      <c r="C901" s="106" t="s">
        <v>1185</v>
      </c>
      <c r="D901" s="269" t="str">
        <f>VLOOKUP(C901,lookup!$B$2:$F$1240,2)</f>
        <v>lin ft</v>
      </c>
      <c r="E901" s="271">
        <f>VLOOKUP(C901,lookup!$B$2:$F$1240,5)</f>
        <v>20</v>
      </c>
    </row>
    <row r="902" spans="1:5" ht="22.8" x14ac:dyDescent="0.25">
      <c r="A902" s="169">
        <v>410</v>
      </c>
      <c r="C902" s="106" t="s">
        <v>1186</v>
      </c>
      <c r="D902" s="269" t="str">
        <f>VLOOKUP(C902,lookup!$B$2:$F$1240,2)</f>
        <v>lin ft</v>
      </c>
      <c r="E902" s="271">
        <f>VLOOKUP(C902,lookup!$B$2:$F$1240,5)</f>
        <v>20</v>
      </c>
    </row>
    <row r="903" spans="1:5" x14ac:dyDescent="0.25">
      <c r="A903" s="169">
        <v>410</v>
      </c>
      <c r="C903" s="106" t="s">
        <v>1341</v>
      </c>
      <c r="D903" s="269" t="str">
        <f>VLOOKUP(C903,lookup!$B$2:$F$1240,2)</f>
        <v>ft</v>
      </c>
      <c r="E903" s="271">
        <f>VLOOKUP(C903,lookup!$B$2:$F$1240,5)</f>
        <v>2</v>
      </c>
    </row>
    <row r="904" spans="1:5" x14ac:dyDescent="0.25">
      <c r="A904" s="169">
        <v>410</v>
      </c>
      <c r="C904" s="106" t="s">
        <v>2540</v>
      </c>
      <c r="D904" s="269" t="str">
        <f>VLOOKUP(C904,lookup!$B$2:$F$1240,2)</f>
        <v>ft</v>
      </c>
      <c r="E904" s="271">
        <f>VLOOKUP(C904,lookup!$B$2:$F$1240,5)</f>
        <v>2</v>
      </c>
    </row>
    <row r="905" spans="1:5" x14ac:dyDescent="0.25">
      <c r="A905" s="169">
        <v>410</v>
      </c>
      <c r="C905" s="106" t="s">
        <v>2541</v>
      </c>
      <c r="D905" s="269" t="str">
        <f>VLOOKUP(C905,lookup!$B$2:$F$1240,2)</f>
        <v>ft</v>
      </c>
      <c r="E905" s="271">
        <f>VLOOKUP(C905,lookup!$B$2:$F$1240,5)</f>
        <v>2</v>
      </c>
    </row>
    <row r="906" spans="1:5" x14ac:dyDescent="0.25">
      <c r="A906" s="169">
        <v>410</v>
      </c>
      <c r="C906" s="106" t="s">
        <v>2542</v>
      </c>
      <c r="D906" s="269" t="str">
        <f>VLOOKUP(C906,lookup!$B$2:$F$1240,2)</f>
        <v>ft</v>
      </c>
      <c r="E906" s="271">
        <f>VLOOKUP(C906,lookup!$B$2:$F$1240,5)</f>
        <v>2</v>
      </c>
    </row>
    <row r="907" spans="1:5" x14ac:dyDescent="0.25">
      <c r="A907" s="169">
        <v>410</v>
      </c>
      <c r="C907" s="106" t="s">
        <v>1604</v>
      </c>
      <c r="D907" s="269" t="str">
        <f>VLOOKUP(C907,lookup!$B$2:$F$1240,2)</f>
        <v>ft</v>
      </c>
      <c r="E907" s="271">
        <f>VLOOKUP(C907,lookup!$B$2:$F$1240,5)</f>
        <v>2</v>
      </c>
    </row>
    <row r="908" spans="1:5" x14ac:dyDescent="0.25">
      <c r="A908" s="169">
        <v>410</v>
      </c>
      <c r="C908" s="106" t="s">
        <v>1605</v>
      </c>
      <c r="D908" s="269" t="str">
        <f>VLOOKUP(C908,lookup!$B$2:$F$1240,2)</f>
        <v>ft</v>
      </c>
      <c r="E908" s="271">
        <f>VLOOKUP(C908,lookup!$B$2:$F$1240,5)</f>
        <v>2</v>
      </c>
    </row>
    <row r="909" spans="1:5" x14ac:dyDescent="0.25">
      <c r="A909" s="169">
        <v>410</v>
      </c>
      <c r="C909" s="106" t="s">
        <v>1004</v>
      </c>
      <c r="D909" s="269" t="str">
        <f>VLOOKUP(C909,lookup!$B$2:$F$1240,2)</f>
        <v>ft</v>
      </c>
      <c r="E909" s="271">
        <f>VLOOKUP(C909,lookup!$B$2:$F$1240,5)</f>
        <v>2</v>
      </c>
    </row>
    <row r="910" spans="1:5" x14ac:dyDescent="0.25">
      <c r="A910" s="169">
        <v>410</v>
      </c>
      <c r="C910" s="106" t="s">
        <v>1622</v>
      </c>
      <c r="D910" s="269" t="str">
        <f>VLOOKUP(C910,lookup!$B$2:$F$1240,2)</f>
        <v>ft</v>
      </c>
      <c r="E910" s="271">
        <f>VLOOKUP(C910,lookup!$B$2:$F$1240,5)</f>
        <v>2</v>
      </c>
    </row>
    <row r="911" spans="1:5" x14ac:dyDescent="0.25">
      <c r="A911" s="169">
        <v>410</v>
      </c>
      <c r="C911" s="106" t="s">
        <v>231</v>
      </c>
      <c r="D911" s="269" t="str">
        <f>VLOOKUP(C911,lookup!$B$2:$F$1240,2)</f>
        <v>ft</v>
      </c>
      <c r="E911" s="271">
        <f>VLOOKUP(C911,lookup!$B$2:$F$1240,5)</f>
        <v>2</v>
      </c>
    </row>
    <row r="912" spans="1:5" ht="22.8" x14ac:dyDescent="0.25">
      <c r="A912" s="169">
        <v>410</v>
      </c>
      <c r="C912" s="106" t="s">
        <v>2761</v>
      </c>
      <c r="D912" s="269" t="str">
        <f>VLOOKUP(C912,lookup!$B$2:$F$1240,2)</f>
        <v>ea.</v>
      </c>
      <c r="E912" s="271">
        <f>VLOOKUP(C912,lookup!$B$2:$F$1240,5)</f>
        <v>2220</v>
      </c>
    </row>
    <row r="913" spans="1:5" ht="22.8" x14ac:dyDescent="0.25">
      <c r="A913" s="169">
        <v>410</v>
      </c>
      <c r="C913" s="106" t="s">
        <v>2762</v>
      </c>
      <c r="D913" s="269" t="str">
        <f>VLOOKUP(C913,lookup!$B$2:$F$1240,2)</f>
        <v>ea.</v>
      </c>
      <c r="E913" s="271">
        <f>VLOOKUP(C913,lookup!$B$2:$F$1240,5)</f>
        <v>2220</v>
      </c>
    </row>
    <row r="914" spans="1:5" ht="22.8" x14ac:dyDescent="0.25">
      <c r="A914" s="169">
        <v>410</v>
      </c>
      <c r="C914" s="106" t="s">
        <v>2763</v>
      </c>
      <c r="D914" s="269" t="str">
        <f>VLOOKUP(C914,lookup!$B$2:$F$1240,2)</f>
        <v>ea.</v>
      </c>
      <c r="E914" s="271">
        <f>VLOOKUP(C914,lookup!$B$2:$F$1240,5)</f>
        <v>2440</v>
      </c>
    </row>
    <row r="915" spans="1:5" ht="22.8" x14ac:dyDescent="0.25">
      <c r="A915" s="169">
        <v>410</v>
      </c>
      <c r="C915" s="106" t="s">
        <v>2764</v>
      </c>
      <c r="D915" s="269" t="str">
        <f>VLOOKUP(C915,lookup!$B$2:$F$1240,2)</f>
        <v>ea.</v>
      </c>
      <c r="E915" s="271">
        <f>VLOOKUP(C915,lookup!$B$2:$F$1240,5)</f>
        <v>2440</v>
      </c>
    </row>
    <row r="916" spans="1:5" ht="22.8" x14ac:dyDescent="0.25">
      <c r="A916" s="169">
        <v>410</v>
      </c>
      <c r="C916" s="106" t="s">
        <v>2765</v>
      </c>
      <c r="D916" s="269" t="str">
        <f>VLOOKUP(C916,lookup!$B$2:$F$1240,2)</f>
        <v>ea.</v>
      </c>
      <c r="E916" s="271">
        <f>VLOOKUP(C916,lookup!$B$2:$F$1240,5)</f>
        <v>2610</v>
      </c>
    </row>
    <row r="917" spans="1:5" ht="22.8" x14ac:dyDescent="0.25">
      <c r="A917" s="169">
        <v>410</v>
      </c>
      <c r="C917" s="106" t="s">
        <v>2766</v>
      </c>
      <c r="D917" s="269" t="str">
        <f>VLOOKUP(C917,lookup!$B$2:$F$1240,2)</f>
        <v>ea.</v>
      </c>
      <c r="E917" s="271">
        <f>VLOOKUP(C917,lookup!$B$2:$F$1240,5)</f>
        <v>2610</v>
      </c>
    </row>
    <row r="918" spans="1:5" ht="22.8" x14ac:dyDescent="0.25">
      <c r="A918" s="169">
        <v>410</v>
      </c>
      <c r="C918" s="106" t="s">
        <v>2767</v>
      </c>
      <c r="D918" s="269" t="str">
        <f>VLOOKUP(C918,lookup!$B$2:$F$1240,2)</f>
        <v>ea.</v>
      </c>
      <c r="E918" s="271">
        <f>VLOOKUP(C918,lookup!$B$2:$F$1240,5)</f>
        <v>2220</v>
      </c>
    </row>
    <row r="919" spans="1:5" ht="22.8" x14ac:dyDescent="0.25">
      <c r="A919" s="169">
        <v>410</v>
      </c>
      <c r="C919" s="106" t="s">
        <v>2768</v>
      </c>
      <c r="D919" s="269" t="str">
        <f>VLOOKUP(C919,lookup!$B$2:$F$1240,2)</f>
        <v>ea.</v>
      </c>
      <c r="E919" s="271">
        <f>VLOOKUP(C919,lookup!$B$2:$F$1240,5)</f>
        <v>2220</v>
      </c>
    </row>
    <row r="920" spans="1:5" ht="22.8" x14ac:dyDescent="0.25">
      <c r="A920" s="169">
        <v>410</v>
      </c>
      <c r="C920" s="106" t="s">
        <v>2769</v>
      </c>
      <c r="D920" s="269" t="str">
        <f>VLOOKUP(C920,lookup!$B$2:$F$1240,2)</f>
        <v>ea.</v>
      </c>
      <c r="E920" s="271">
        <f>VLOOKUP(C920,lookup!$B$2:$F$1240,5)</f>
        <v>2370</v>
      </c>
    </row>
    <row r="921" spans="1:5" ht="22.8" x14ac:dyDescent="0.25">
      <c r="A921" s="169">
        <v>410</v>
      </c>
      <c r="C921" s="106" t="s">
        <v>2120</v>
      </c>
      <c r="D921" s="269" t="str">
        <f>VLOOKUP(C921,lookup!$B$2:$F$1240,2)</f>
        <v>ea.</v>
      </c>
      <c r="E921" s="271">
        <f>VLOOKUP(C921,lookup!$B$2:$F$1240,5)</f>
        <v>2370</v>
      </c>
    </row>
    <row r="922" spans="1:5" ht="22.8" x14ac:dyDescent="0.25">
      <c r="A922" s="169">
        <v>410</v>
      </c>
      <c r="C922" s="106" t="s">
        <v>2694</v>
      </c>
      <c r="D922" s="269" t="str">
        <f>VLOOKUP(C922,lookup!$B$2:$F$1240,2)</f>
        <v>ea.</v>
      </c>
      <c r="E922" s="271">
        <f>VLOOKUP(C922,lookup!$B$2:$F$1240,5)</f>
        <v>2420</v>
      </c>
    </row>
    <row r="923" spans="1:5" ht="22.8" x14ac:dyDescent="0.25">
      <c r="A923" s="169">
        <v>410</v>
      </c>
      <c r="C923" s="106" t="s">
        <v>2695</v>
      </c>
      <c r="D923" s="269" t="str">
        <f>VLOOKUP(C923,lookup!$B$2:$F$1240,2)</f>
        <v>ea.</v>
      </c>
      <c r="E923" s="271">
        <f>VLOOKUP(C923,lookup!$B$2:$F$1240,5)</f>
        <v>2420</v>
      </c>
    </row>
    <row r="924" spans="1:5" x14ac:dyDescent="0.25">
      <c r="A924" s="169">
        <v>410</v>
      </c>
      <c r="C924" s="106" t="s">
        <v>1996</v>
      </c>
      <c r="D924" s="269" t="str">
        <f>VLOOKUP(C924,lookup!$B$2:$F$1240,2)</f>
        <v>ton</v>
      </c>
      <c r="E924" s="271">
        <f>VLOOKUP(C924,lookup!$B$2:$F$1240,5)</f>
        <v>21.63</v>
      </c>
    </row>
    <row r="925" spans="1:5" x14ac:dyDescent="0.25">
      <c r="A925" s="169">
        <v>410</v>
      </c>
      <c r="C925" s="106" t="s">
        <v>1997</v>
      </c>
      <c r="D925" s="269" t="str">
        <f>VLOOKUP(C925,lookup!$B$2:$F$1240,2)</f>
        <v>ton</v>
      </c>
      <c r="E925" s="271">
        <f>VLOOKUP(C925,lookup!$B$2:$F$1240,5)</f>
        <v>21.63</v>
      </c>
    </row>
    <row r="926" spans="1:5" x14ac:dyDescent="0.25">
      <c r="A926" s="169">
        <v>410</v>
      </c>
      <c r="C926" s="106" t="s">
        <v>1998</v>
      </c>
      <c r="D926" s="269" t="str">
        <f>VLOOKUP(C926,lookup!$B$2:$F$1240,2)</f>
        <v>ton</v>
      </c>
      <c r="E926" s="271">
        <f>VLOOKUP(C926,lookup!$B$2:$F$1240,5)</f>
        <v>21.63</v>
      </c>
    </row>
    <row r="927" spans="1:5" x14ac:dyDescent="0.25">
      <c r="A927" s="169">
        <v>410</v>
      </c>
      <c r="C927" s="106" t="s">
        <v>1999</v>
      </c>
      <c r="D927" s="269" t="str">
        <f>VLOOKUP(C927,lookup!$B$2:$F$1240,2)</f>
        <v>ton</v>
      </c>
      <c r="E927" s="271">
        <f>VLOOKUP(C927,lookup!$B$2:$F$1240,5)</f>
        <v>21.63</v>
      </c>
    </row>
    <row r="928" spans="1:5" x14ac:dyDescent="0.25">
      <c r="A928" s="169">
        <v>410</v>
      </c>
      <c r="C928" s="106" t="s">
        <v>2786</v>
      </c>
      <c r="D928" s="269" t="str">
        <f>VLOOKUP(C928,lookup!$B$2:$F$1240,2)</f>
        <v>ton</v>
      </c>
      <c r="E928" s="271">
        <f>VLOOKUP(C928,lookup!$B$2:$F$1240,5)</f>
        <v>21.63</v>
      </c>
    </row>
    <row r="929" spans="1:5" x14ac:dyDescent="0.25">
      <c r="A929" s="169">
        <v>410</v>
      </c>
      <c r="C929" s="106" t="s">
        <v>2784</v>
      </c>
      <c r="D929" s="269" t="str">
        <f>VLOOKUP(C929,lookup!$B$2:$F$1240,2)</f>
        <v>ton</v>
      </c>
      <c r="E929" s="271">
        <f>VLOOKUP(C929,lookup!$B$2:$F$1240,5)</f>
        <v>21.63</v>
      </c>
    </row>
    <row r="930" spans="1:5" x14ac:dyDescent="0.25">
      <c r="A930" s="169">
        <v>410</v>
      </c>
      <c r="C930" s="106" t="s">
        <v>699</v>
      </c>
      <c r="D930" s="269" t="str">
        <f>VLOOKUP(C930,lookup!$B$2:$F$1240,2)</f>
        <v>ea.</v>
      </c>
      <c r="E930" s="271">
        <f>VLOOKUP(C930,lookup!$B$2:$F$1240,5)</f>
        <v>30</v>
      </c>
    </row>
    <row r="931" spans="1:5" x14ac:dyDescent="0.25">
      <c r="A931" s="169">
        <v>410</v>
      </c>
      <c r="C931" s="106" t="s">
        <v>700</v>
      </c>
      <c r="D931" s="269" t="str">
        <f>VLOOKUP(C931,lookup!$B$2:$F$1240,2)</f>
        <v>ea.</v>
      </c>
      <c r="E931" s="271">
        <f>VLOOKUP(C931,lookup!$B$2:$F$1240,5)</f>
        <v>32</v>
      </c>
    </row>
    <row r="932" spans="1:5" x14ac:dyDescent="0.25">
      <c r="A932" s="169">
        <v>410</v>
      </c>
      <c r="C932" s="106" t="s">
        <v>701</v>
      </c>
      <c r="D932" s="269" t="str">
        <f>VLOOKUP(C932,lookup!$B$2:$F$1240,2)</f>
        <v>ea.</v>
      </c>
      <c r="E932" s="271">
        <f>VLOOKUP(C932,lookup!$B$2:$F$1240,5)</f>
        <v>46</v>
      </c>
    </row>
    <row r="933" spans="1:5" x14ac:dyDescent="0.25">
      <c r="A933" s="169">
        <v>410</v>
      </c>
      <c r="C933" s="106" t="s">
        <v>702</v>
      </c>
      <c r="D933" s="269" t="str">
        <f>VLOOKUP(C933,lookup!$B$2:$F$1240,2)</f>
        <v>ea.</v>
      </c>
      <c r="E933" s="271">
        <f>VLOOKUP(C933,lookup!$B$2:$F$1240,5)</f>
        <v>21</v>
      </c>
    </row>
    <row r="934" spans="1:5" x14ac:dyDescent="0.25">
      <c r="A934" s="169">
        <v>410</v>
      </c>
      <c r="C934" s="106" t="s">
        <v>703</v>
      </c>
      <c r="D934" s="269" t="str">
        <f>VLOOKUP(C934,lookup!$B$2:$F$1240,2)</f>
        <v>ea.</v>
      </c>
      <c r="E934" s="271">
        <f>VLOOKUP(C934,lookup!$B$2:$F$1240,5)</f>
        <v>23</v>
      </c>
    </row>
    <row r="935" spans="1:5" x14ac:dyDescent="0.25">
      <c r="A935" s="169">
        <v>410</v>
      </c>
      <c r="C935" s="106" t="s">
        <v>704</v>
      </c>
      <c r="D935" s="269" t="str">
        <f>VLOOKUP(C935,lookup!$B$2:$F$1240,2)</f>
        <v>ea.</v>
      </c>
      <c r="E935" s="271">
        <f>VLOOKUP(C935,lookup!$B$2:$F$1240,5)</f>
        <v>26</v>
      </c>
    </row>
    <row r="936" spans="1:5" x14ac:dyDescent="0.25">
      <c r="A936" s="169">
        <v>410</v>
      </c>
      <c r="C936" s="106" t="s">
        <v>2712</v>
      </c>
      <c r="D936" s="269" t="str">
        <f>VLOOKUP(C936,lookup!$B$2:$F$1240,2)</f>
        <v>Cu Yd</v>
      </c>
      <c r="E936" s="271">
        <f>VLOOKUP(C936,lookup!$B$2:$F$1240,5)</f>
        <v>3.5</v>
      </c>
    </row>
    <row r="937" spans="1:5" ht="22.8" x14ac:dyDescent="0.25">
      <c r="A937" s="169">
        <v>410</v>
      </c>
      <c r="C937" s="106" t="s">
        <v>906</v>
      </c>
      <c r="D937" s="269">
        <f>VLOOKUP(C937,lookup!$B$2:$F$1240,2)</f>
        <v>0</v>
      </c>
      <c r="E937" s="271">
        <f>VLOOKUP(C937,lookup!$B$2:$F$1240,5)</f>
        <v>0</v>
      </c>
    </row>
    <row r="938" spans="1:5" ht="22.8" x14ac:dyDescent="0.25">
      <c r="A938" s="169">
        <v>410</v>
      </c>
      <c r="C938" s="106" t="s">
        <v>907</v>
      </c>
      <c r="D938" s="269" t="str">
        <f>VLOOKUP(C938,lookup!$B$2:$F$1240,2)</f>
        <v>sq ft</v>
      </c>
      <c r="E938" s="271">
        <f>VLOOKUP(C938,lookup!$B$2:$F$1240,5)</f>
        <v>0</v>
      </c>
    </row>
    <row r="939" spans="1:5" ht="22.8" x14ac:dyDescent="0.25">
      <c r="A939" s="169">
        <v>410</v>
      </c>
      <c r="C939" s="106" t="s">
        <v>1781</v>
      </c>
      <c r="D939" s="269">
        <f>VLOOKUP(C939,lookup!$B$2:$F$1240,2)</f>
        <v>0</v>
      </c>
      <c r="E939" s="271">
        <f>VLOOKUP(C939,lookup!$B$2:$F$1240,5)</f>
        <v>0</v>
      </c>
    </row>
    <row r="940" spans="1:5" ht="22.8" x14ac:dyDescent="0.25">
      <c r="A940" s="169">
        <v>410</v>
      </c>
      <c r="C940" s="106" t="s">
        <v>908</v>
      </c>
      <c r="D940" s="269">
        <f>VLOOKUP(C940,lookup!$B$2:$F$1240,2)</f>
        <v>0</v>
      </c>
      <c r="E940" s="271">
        <f>VLOOKUP(C940,lookup!$B$2:$F$1240,5)</f>
        <v>0</v>
      </c>
    </row>
    <row r="941" spans="1:5" ht="22.8" x14ac:dyDescent="0.25">
      <c r="A941" s="169">
        <v>410</v>
      </c>
      <c r="C941" s="106" t="s">
        <v>909</v>
      </c>
      <c r="D941" s="269">
        <f>VLOOKUP(C941,lookup!$B$2:$F$1240,2)</f>
        <v>0</v>
      </c>
      <c r="E941" s="271">
        <f>VLOOKUP(C941,lookup!$B$2:$F$1240,5)</f>
        <v>0</v>
      </c>
    </row>
    <row r="942" spans="1:5" ht="22.8" x14ac:dyDescent="0.25">
      <c r="A942" s="169">
        <v>410</v>
      </c>
      <c r="C942" s="106" t="s">
        <v>910</v>
      </c>
      <c r="D942" s="269">
        <f>VLOOKUP(C942,lookup!$B$2:$F$1240,2)</f>
        <v>0</v>
      </c>
      <c r="E942" s="271">
        <f>VLOOKUP(C942,lookup!$B$2:$F$1240,5)</f>
        <v>0</v>
      </c>
    </row>
    <row r="943" spans="1:5" x14ac:dyDescent="0.25">
      <c r="A943" s="169">
        <v>410</v>
      </c>
      <c r="C943" s="113" t="s">
        <v>706</v>
      </c>
      <c r="D943" s="269">
        <f>VLOOKUP(C943,lookup!$B$2:$F$1240,2)</f>
        <v>0</v>
      </c>
      <c r="E943" s="271">
        <f>VLOOKUP(C943,lookup!$B$2:$F$1240,5)</f>
        <v>0</v>
      </c>
    </row>
    <row r="944" spans="1:5" x14ac:dyDescent="0.25">
      <c r="A944" s="169">
        <v>410</v>
      </c>
      <c r="C944" s="106" t="s">
        <v>1523</v>
      </c>
      <c r="D944" s="269">
        <f>VLOOKUP(C944,lookup!$B$2:$F$1240,2)</f>
        <v>0</v>
      </c>
      <c r="E944" s="271">
        <f>VLOOKUP(C944,lookup!$B$2:$F$1240,5)</f>
        <v>0</v>
      </c>
    </row>
    <row r="945" spans="1:5" x14ac:dyDescent="0.25">
      <c r="A945" s="169">
        <v>410</v>
      </c>
      <c r="C945" s="106" t="s">
        <v>13</v>
      </c>
      <c r="D945" s="269" t="str">
        <f>VLOOKUP(C945,lookup!$B$2:$F$1240,2)</f>
        <v>lb</v>
      </c>
      <c r="E945" s="271">
        <f>VLOOKUP(C945,lookup!$B$2:$F$1240,5)</f>
        <v>0.03</v>
      </c>
    </row>
    <row r="946" spans="1:5" x14ac:dyDescent="0.25">
      <c r="A946" s="169">
        <v>410</v>
      </c>
      <c r="C946" s="106" t="s">
        <v>1455</v>
      </c>
      <c r="D946" s="269">
        <f>VLOOKUP(C946,lookup!$B$2:$F$1240,2)</f>
        <v>0</v>
      </c>
      <c r="E946" s="271">
        <f>VLOOKUP(C946,lookup!$B$2:$F$1240,5)</f>
        <v>0</v>
      </c>
    </row>
    <row r="947" spans="1:5" x14ac:dyDescent="0.25">
      <c r="A947" s="169">
        <v>412</v>
      </c>
      <c r="B947" s="172" t="s">
        <v>2356</v>
      </c>
      <c r="D947" s="269" t="e">
        <f>VLOOKUP(C947,lookup!$B$2:$F$1240,2)</f>
        <v>#N/A</v>
      </c>
      <c r="E947" s="271" t="e">
        <f>VLOOKUP(C947,lookup!$B$2:$F$1240,5)</f>
        <v>#N/A</v>
      </c>
    </row>
    <row r="948" spans="1:5" x14ac:dyDescent="0.25">
      <c r="A948" s="169">
        <v>412</v>
      </c>
      <c r="C948" s="106" t="s">
        <v>1376</v>
      </c>
      <c r="D948" s="269" t="str">
        <f>VLOOKUP(C948,lookup!$B$2:$F$1240,2)</f>
        <v>cu yd</v>
      </c>
      <c r="E948" s="271">
        <f>VLOOKUP(C948,lookup!$B$2:$F$1240,5)</f>
        <v>3.5</v>
      </c>
    </row>
    <row r="949" spans="1:5" x14ac:dyDescent="0.25">
      <c r="A949" s="169">
        <v>412</v>
      </c>
      <c r="C949" s="106" t="s">
        <v>1110</v>
      </c>
      <c r="D949" s="269" t="str">
        <f>VLOOKUP(C949,lookup!$B$2:$F$1240,2)</f>
        <v>Cu Yd</v>
      </c>
      <c r="E949" s="271">
        <f>VLOOKUP(C949,lookup!$B$2:$F$1240,5)</f>
        <v>0</v>
      </c>
    </row>
    <row r="950" spans="1:5" x14ac:dyDescent="0.25">
      <c r="A950" s="169">
        <v>412</v>
      </c>
      <c r="C950" s="106" t="s">
        <v>1034</v>
      </c>
      <c r="D950" s="269" t="str">
        <f>VLOOKUP(C950,lookup!$B$2:$F$1240,2)</f>
        <v>l.s.</v>
      </c>
      <c r="E950" s="271">
        <f>VLOOKUP(C950,lookup!$B$2:$F$1240,5)</f>
        <v>400</v>
      </c>
    </row>
    <row r="951" spans="1:5" x14ac:dyDescent="0.25">
      <c r="A951" s="169">
        <v>412</v>
      </c>
      <c r="C951" s="106" t="s">
        <v>2699</v>
      </c>
      <c r="D951" s="269" t="str">
        <f>VLOOKUP(C951,lookup!$B$2:$F$1240,2)</f>
        <v>hr</v>
      </c>
      <c r="E951" s="271">
        <f>VLOOKUP(C951,lookup!$B$2:$F$1240,5)</f>
        <v>100</v>
      </c>
    </row>
    <row r="952" spans="1:5" ht="22.8" x14ac:dyDescent="0.25">
      <c r="A952" s="169">
        <v>412</v>
      </c>
      <c r="C952" s="106" t="s">
        <v>2655</v>
      </c>
      <c r="D952" s="269" t="str">
        <f>VLOOKUP(C952,lookup!$B$2:$F$1240,2)</f>
        <v>lin ft</v>
      </c>
      <c r="E952" s="271">
        <f>VLOOKUP(C952,lookup!$B$2:$F$1240,5)</f>
        <v>20</v>
      </c>
    </row>
    <row r="953" spans="1:5" ht="22.8" x14ac:dyDescent="0.25">
      <c r="A953" s="169">
        <v>412</v>
      </c>
      <c r="C953" s="106" t="s">
        <v>1309</v>
      </c>
      <c r="D953" s="269" t="str">
        <f>VLOOKUP(C953,lookup!$B$2:$F$1240,2)</f>
        <v>lin ft</v>
      </c>
      <c r="E953" s="271">
        <f>VLOOKUP(C953,lookup!$B$2:$F$1240,5)</f>
        <v>20</v>
      </c>
    </row>
    <row r="954" spans="1:5" ht="22.8" x14ac:dyDescent="0.25">
      <c r="A954" s="169">
        <v>412</v>
      </c>
      <c r="C954" s="106" t="s">
        <v>2656</v>
      </c>
      <c r="D954" s="269" t="str">
        <f>VLOOKUP(C954,lookup!$B$2:$F$1240,2)</f>
        <v>lin ft</v>
      </c>
      <c r="E954" s="271">
        <f>VLOOKUP(C954,lookup!$B$2:$F$1240,5)</f>
        <v>20</v>
      </c>
    </row>
    <row r="955" spans="1:5" ht="22.8" x14ac:dyDescent="0.25">
      <c r="A955" s="169">
        <v>412</v>
      </c>
      <c r="C955" s="106" t="s">
        <v>214</v>
      </c>
      <c r="D955" s="269" t="str">
        <f>VLOOKUP(C955,lookup!$B$2:$F$1240,2)</f>
        <v>lin ft</v>
      </c>
      <c r="E955" s="271">
        <f>VLOOKUP(C955,lookup!$B$2:$F$1240,5)</f>
        <v>20</v>
      </c>
    </row>
    <row r="956" spans="1:5" ht="22.8" x14ac:dyDescent="0.25">
      <c r="A956" s="169">
        <v>412</v>
      </c>
      <c r="C956" s="106" t="s">
        <v>1481</v>
      </c>
      <c r="D956" s="269" t="str">
        <f>VLOOKUP(C956,lookup!$B$2:$F$1240,2)</f>
        <v>lin ft</v>
      </c>
      <c r="E956" s="271">
        <f>VLOOKUP(C956,lookup!$B$2:$F$1240,5)</f>
        <v>20</v>
      </c>
    </row>
    <row r="957" spans="1:5" ht="22.8" x14ac:dyDescent="0.25">
      <c r="A957" s="169">
        <v>412</v>
      </c>
      <c r="C957" s="106" t="s">
        <v>2168</v>
      </c>
      <c r="D957" s="269" t="str">
        <f>VLOOKUP(C957,lookup!$B$2:$F$1240,2)</f>
        <v>lin ft</v>
      </c>
      <c r="E957" s="271">
        <f>VLOOKUP(C957,lookup!$B$2:$F$1240,5)</f>
        <v>20</v>
      </c>
    </row>
    <row r="958" spans="1:5" ht="22.8" x14ac:dyDescent="0.25">
      <c r="A958" s="169">
        <v>412</v>
      </c>
      <c r="C958" s="106" t="s">
        <v>438</v>
      </c>
      <c r="D958" s="269" t="str">
        <f>VLOOKUP(C958,lookup!$B$2:$F$1240,2)</f>
        <v>lin ft</v>
      </c>
      <c r="E958" s="271">
        <f>VLOOKUP(C958,lookup!$B$2:$F$1240,5)</f>
        <v>20</v>
      </c>
    </row>
    <row r="959" spans="1:5" ht="22.8" x14ac:dyDescent="0.25">
      <c r="A959" s="169">
        <v>412</v>
      </c>
      <c r="C959" s="106" t="s">
        <v>1981</v>
      </c>
      <c r="D959" s="269" t="str">
        <f>VLOOKUP(C959,lookup!$B$2:$F$1240,2)</f>
        <v>lin ft</v>
      </c>
      <c r="E959" s="271">
        <f>VLOOKUP(C959,lookup!$B$2:$F$1240,5)</f>
        <v>20</v>
      </c>
    </row>
    <row r="960" spans="1:5" ht="22.8" x14ac:dyDescent="0.25">
      <c r="A960" s="169">
        <v>412</v>
      </c>
      <c r="C960" s="106" t="s">
        <v>1397</v>
      </c>
      <c r="D960" s="269" t="str">
        <f>VLOOKUP(C960,lookup!$B$2:$F$1240,2)</f>
        <v>lin ft</v>
      </c>
      <c r="E960" s="271">
        <f>VLOOKUP(C960,lookup!$B$2:$F$1240,5)</f>
        <v>20</v>
      </c>
    </row>
    <row r="961" spans="1:5" ht="22.8" x14ac:dyDescent="0.25">
      <c r="A961" s="169">
        <v>412</v>
      </c>
      <c r="C961" s="106" t="s">
        <v>1982</v>
      </c>
      <c r="D961" s="269" t="str">
        <f>VLOOKUP(C961,lookup!$B$2:$F$1240,2)</f>
        <v>lin ft</v>
      </c>
      <c r="E961" s="271">
        <f>VLOOKUP(C961,lookup!$B$2:$F$1240,5)</f>
        <v>20</v>
      </c>
    </row>
    <row r="962" spans="1:5" x14ac:dyDescent="0.25">
      <c r="A962" s="169">
        <v>412</v>
      </c>
      <c r="C962" s="106" t="s">
        <v>1999</v>
      </c>
      <c r="D962" s="269" t="str">
        <f>VLOOKUP(C962,lookup!$B$2:$F$1240,2)</f>
        <v>ton</v>
      </c>
      <c r="E962" s="271">
        <f>VLOOKUP(C962,lookup!$B$2:$F$1240,5)</f>
        <v>21.63</v>
      </c>
    </row>
    <row r="963" spans="1:5" x14ac:dyDescent="0.25">
      <c r="A963" s="169">
        <v>412</v>
      </c>
      <c r="C963" s="106" t="s">
        <v>2786</v>
      </c>
      <c r="D963" s="269" t="str">
        <f>VLOOKUP(C963,lookup!$B$2:$F$1240,2)</f>
        <v>ton</v>
      </c>
      <c r="E963" s="271">
        <f>VLOOKUP(C963,lookup!$B$2:$F$1240,5)</f>
        <v>21.63</v>
      </c>
    </row>
    <row r="964" spans="1:5" x14ac:dyDescent="0.25">
      <c r="A964" s="169">
        <v>412</v>
      </c>
      <c r="C964" s="106" t="s">
        <v>2784</v>
      </c>
      <c r="D964" s="269" t="str">
        <f>VLOOKUP(C964,lookup!$B$2:$F$1240,2)</f>
        <v>ton</v>
      </c>
      <c r="E964" s="271">
        <f>VLOOKUP(C964,lookup!$B$2:$F$1240,5)</f>
        <v>21.63</v>
      </c>
    </row>
    <row r="965" spans="1:5" x14ac:dyDescent="0.25">
      <c r="A965" s="169">
        <v>412</v>
      </c>
      <c r="C965" s="106" t="s">
        <v>2712</v>
      </c>
      <c r="D965" s="269" t="str">
        <f>VLOOKUP(C965,lookup!$B$2:$F$1240,2)</f>
        <v>Cu Yd</v>
      </c>
      <c r="E965" s="271">
        <f>VLOOKUP(C965,lookup!$B$2:$F$1240,5)</f>
        <v>3.5</v>
      </c>
    </row>
    <row r="966" spans="1:5" ht="22.8" x14ac:dyDescent="0.25">
      <c r="A966" s="169">
        <v>412</v>
      </c>
      <c r="C966" s="106" t="s">
        <v>906</v>
      </c>
      <c r="D966" s="269">
        <f>VLOOKUP(C966,lookup!$B$2:$F$1240,2)</f>
        <v>0</v>
      </c>
      <c r="E966" s="271">
        <f>VLOOKUP(C966,lookup!$B$2:$F$1240,5)</f>
        <v>0</v>
      </c>
    </row>
    <row r="967" spans="1:5" ht="22.8" x14ac:dyDescent="0.25">
      <c r="A967" s="169">
        <v>412</v>
      </c>
      <c r="C967" s="106" t="s">
        <v>907</v>
      </c>
      <c r="D967" s="269" t="str">
        <f>VLOOKUP(C967,lookup!$B$2:$F$1240,2)</f>
        <v>sq ft</v>
      </c>
      <c r="E967" s="271">
        <f>VLOOKUP(C967,lookup!$B$2:$F$1240,5)</f>
        <v>0</v>
      </c>
    </row>
    <row r="968" spans="1:5" ht="22.8" x14ac:dyDescent="0.25">
      <c r="A968" s="169">
        <v>412</v>
      </c>
      <c r="C968" s="106" t="s">
        <v>1781</v>
      </c>
      <c r="D968" s="269">
        <f>VLOOKUP(C968,lookup!$B$2:$F$1240,2)</f>
        <v>0</v>
      </c>
      <c r="E968" s="271">
        <f>VLOOKUP(C968,lookup!$B$2:$F$1240,5)</f>
        <v>0</v>
      </c>
    </row>
    <row r="969" spans="1:5" ht="22.8" x14ac:dyDescent="0.25">
      <c r="A969" s="169">
        <v>412</v>
      </c>
      <c r="C969" s="106" t="s">
        <v>908</v>
      </c>
      <c r="D969" s="269">
        <f>VLOOKUP(C969,lookup!$B$2:$F$1240,2)</f>
        <v>0</v>
      </c>
      <c r="E969" s="271">
        <f>VLOOKUP(C969,lookup!$B$2:$F$1240,5)</f>
        <v>0</v>
      </c>
    </row>
    <row r="970" spans="1:5" ht="22.8" x14ac:dyDescent="0.25">
      <c r="A970" s="169">
        <v>412</v>
      </c>
      <c r="C970" s="106" t="s">
        <v>909</v>
      </c>
      <c r="D970" s="269">
        <f>VLOOKUP(C970,lookup!$B$2:$F$1240,2)</f>
        <v>0</v>
      </c>
      <c r="E970" s="271">
        <f>VLOOKUP(C970,lookup!$B$2:$F$1240,5)</f>
        <v>0</v>
      </c>
    </row>
    <row r="971" spans="1:5" ht="22.8" x14ac:dyDescent="0.25">
      <c r="A971" s="169">
        <v>412</v>
      </c>
      <c r="C971" s="106" t="s">
        <v>910</v>
      </c>
      <c r="D971" s="269">
        <f>VLOOKUP(C971,lookup!$B$2:$F$1240,2)</f>
        <v>0</v>
      </c>
      <c r="E971" s="271">
        <f>VLOOKUP(C971,lookup!$B$2:$F$1240,5)</f>
        <v>0</v>
      </c>
    </row>
    <row r="972" spans="1:5" x14ac:dyDescent="0.25">
      <c r="A972" s="169">
        <v>412</v>
      </c>
      <c r="C972" s="106" t="s">
        <v>1523</v>
      </c>
      <c r="D972" s="269">
        <f>VLOOKUP(C972,lookup!$B$2:$F$1240,2)</f>
        <v>0</v>
      </c>
      <c r="E972" s="271">
        <f>VLOOKUP(C972,lookup!$B$2:$F$1240,5)</f>
        <v>0</v>
      </c>
    </row>
    <row r="973" spans="1:5" x14ac:dyDescent="0.25">
      <c r="A973" s="169">
        <v>412</v>
      </c>
      <c r="C973" s="106" t="s">
        <v>13</v>
      </c>
      <c r="D973" s="269" t="str">
        <f>VLOOKUP(C973,lookup!$B$2:$F$1240,2)</f>
        <v>lb</v>
      </c>
      <c r="E973" s="271">
        <f>VLOOKUP(C973,lookup!$B$2:$F$1240,5)</f>
        <v>0.03</v>
      </c>
    </row>
    <row r="974" spans="1:5" x14ac:dyDescent="0.25">
      <c r="A974" s="169">
        <v>412</v>
      </c>
      <c r="C974" s="106" t="s">
        <v>243</v>
      </c>
      <c r="D974" s="269">
        <f>VLOOKUP(C974,lookup!$B$2:$F$1240,2)</f>
        <v>0</v>
      </c>
      <c r="E974" s="271">
        <f>VLOOKUP(C974,lookup!$B$2:$F$1240,5)</f>
        <v>0</v>
      </c>
    </row>
    <row r="975" spans="1:5" x14ac:dyDescent="0.25">
      <c r="A975" s="169">
        <v>422</v>
      </c>
      <c r="B975" s="172" t="s">
        <v>2613</v>
      </c>
      <c r="D975" s="269" t="e">
        <f>VLOOKUP(C975,lookup!$B$2:$F$1240,2)</f>
        <v>#N/A</v>
      </c>
      <c r="E975" s="271" t="e">
        <f>VLOOKUP(C975,lookup!$B$2:$F$1240,5)</f>
        <v>#N/A</v>
      </c>
    </row>
    <row r="976" spans="1:5" x14ac:dyDescent="0.25">
      <c r="A976" s="169">
        <v>432</v>
      </c>
      <c r="B976" s="180" t="s">
        <v>2335</v>
      </c>
      <c r="C976" s="124"/>
      <c r="D976" s="269" t="e">
        <f>VLOOKUP(C976,lookup!$B$2:$F$1240,2)</f>
        <v>#N/A</v>
      </c>
      <c r="E976" s="271" t="e">
        <f>VLOOKUP(C976,lookup!$B$2:$F$1240,5)</f>
        <v>#N/A</v>
      </c>
    </row>
    <row r="977" spans="1:5" x14ac:dyDescent="0.25">
      <c r="A977" s="169">
        <v>432</v>
      </c>
      <c r="C977" s="106" t="s">
        <v>750</v>
      </c>
      <c r="D977" s="269">
        <f>VLOOKUP(C977,lookup!$B$2:$F$1240,2)</f>
        <v>0</v>
      </c>
      <c r="E977" s="271">
        <f>VLOOKUP(C977,lookup!$B$2:$F$1240,5)</f>
        <v>0</v>
      </c>
    </row>
    <row r="978" spans="1:5" ht="22.8" x14ac:dyDescent="0.25">
      <c r="A978" s="169">
        <v>432</v>
      </c>
      <c r="C978" s="106" t="s">
        <v>983</v>
      </c>
      <c r="D978" s="269">
        <f>VLOOKUP(C978,lookup!$B$2:$F$1240,2)</f>
        <v>0</v>
      </c>
      <c r="E978" s="271">
        <f>VLOOKUP(C978,lookup!$B$2:$F$1240,5)</f>
        <v>0</v>
      </c>
    </row>
    <row r="979" spans="1:5" x14ac:dyDescent="0.25">
      <c r="A979" s="169">
        <v>432</v>
      </c>
      <c r="C979" s="106" t="s">
        <v>1376</v>
      </c>
      <c r="D979" s="269" t="str">
        <f>VLOOKUP(C979,lookup!$B$2:$F$1240,2)</f>
        <v>cu yd</v>
      </c>
      <c r="E979" s="271">
        <f>VLOOKUP(C979,lookup!$B$2:$F$1240,5)</f>
        <v>3.5</v>
      </c>
    </row>
    <row r="980" spans="1:5" x14ac:dyDescent="0.25">
      <c r="A980" s="169">
        <v>432</v>
      </c>
      <c r="C980" s="106" t="s">
        <v>1110</v>
      </c>
      <c r="D980" s="269" t="str">
        <f>VLOOKUP(C980,lookup!$B$2:$F$1240,2)</f>
        <v>Cu Yd</v>
      </c>
      <c r="E980" s="271">
        <f>VLOOKUP(C980,lookup!$B$2:$F$1240,5)</f>
        <v>0</v>
      </c>
    </row>
    <row r="981" spans="1:5" x14ac:dyDescent="0.25">
      <c r="A981" s="169">
        <v>432</v>
      </c>
      <c r="C981" s="106" t="s">
        <v>2313</v>
      </c>
      <c r="D981" s="269" t="str">
        <f>VLOOKUP(C981,lookup!$B$2:$F$1240,2)</f>
        <v>l.s.</v>
      </c>
      <c r="E981" s="271">
        <f>VLOOKUP(C981,lookup!$B$2:$F$1240,5)</f>
        <v>400</v>
      </c>
    </row>
    <row r="982" spans="1:5" x14ac:dyDescent="0.25">
      <c r="A982" s="169">
        <v>432</v>
      </c>
      <c r="C982" s="106" t="s">
        <v>1034</v>
      </c>
      <c r="D982" s="269" t="str">
        <f>VLOOKUP(C982,lookup!$B$2:$F$1240,2)</f>
        <v>l.s.</v>
      </c>
      <c r="E982" s="271">
        <f>VLOOKUP(C982,lookup!$B$2:$F$1240,5)</f>
        <v>400</v>
      </c>
    </row>
    <row r="983" spans="1:5" x14ac:dyDescent="0.25">
      <c r="A983" s="169">
        <v>432</v>
      </c>
      <c r="C983" s="106" t="s">
        <v>988</v>
      </c>
      <c r="D983" s="269" t="str">
        <f>VLOOKUP(C983,lookup!$B$2:$F$1240,2)</f>
        <v>ton</v>
      </c>
      <c r="E983" s="271">
        <f>VLOOKUP(C983,lookup!$B$2:$F$1240,5)</f>
        <v>20</v>
      </c>
    </row>
    <row r="984" spans="1:5" ht="22.8" x14ac:dyDescent="0.25">
      <c r="A984" s="169">
        <v>432</v>
      </c>
      <c r="C984" s="106" t="s">
        <v>2414</v>
      </c>
      <c r="D984" s="269">
        <f>VLOOKUP(C984,lookup!$B$2:$F$1240,2)</f>
        <v>0</v>
      </c>
      <c r="E984" s="271">
        <f>VLOOKUP(C984,lookup!$B$2:$F$1240,5)</f>
        <v>0</v>
      </c>
    </row>
    <row r="985" spans="1:5" ht="22.8" x14ac:dyDescent="0.25">
      <c r="A985" s="169">
        <v>432</v>
      </c>
      <c r="C985" s="106" t="s">
        <v>1709</v>
      </c>
      <c r="D985" s="269">
        <f>VLOOKUP(C985,lookup!$B$2:$F$1240,2)</f>
        <v>0</v>
      </c>
      <c r="E985" s="271">
        <f>VLOOKUP(C985,lookup!$B$2:$F$1240,5)</f>
        <v>0</v>
      </c>
    </row>
    <row r="986" spans="1:5" x14ac:dyDescent="0.25">
      <c r="A986" s="169">
        <v>432</v>
      </c>
      <c r="C986" s="106" t="s">
        <v>1341</v>
      </c>
      <c r="D986" s="269" t="str">
        <f>VLOOKUP(C986,lookup!$B$2:$F$1240,2)</f>
        <v>ft</v>
      </c>
      <c r="E986" s="271">
        <f>VLOOKUP(C986,lookup!$B$2:$F$1240,5)</f>
        <v>2</v>
      </c>
    </row>
    <row r="987" spans="1:5" x14ac:dyDescent="0.25">
      <c r="A987" s="169">
        <v>432</v>
      </c>
      <c r="C987" s="106" t="s">
        <v>2540</v>
      </c>
      <c r="D987" s="269" t="str">
        <f>VLOOKUP(C987,lookup!$B$2:$F$1240,2)</f>
        <v>ft</v>
      </c>
      <c r="E987" s="271">
        <f>VLOOKUP(C987,lookup!$B$2:$F$1240,5)</f>
        <v>2</v>
      </c>
    </row>
    <row r="988" spans="1:5" x14ac:dyDescent="0.25">
      <c r="A988" s="169">
        <v>432</v>
      </c>
      <c r="C988" s="106" t="s">
        <v>2541</v>
      </c>
      <c r="D988" s="269" t="str">
        <f>VLOOKUP(C988,lookup!$B$2:$F$1240,2)</f>
        <v>ft</v>
      </c>
      <c r="E988" s="271">
        <f>VLOOKUP(C988,lookup!$B$2:$F$1240,5)</f>
        <v>2</v>
      </c>
    </row>
    <row r="989" spans="1:5" x14ac:dyDescent="0.25">
      <c r="A989" s="169">
        <v>432</v>
      </c>
      <c r="C989" s="106" t="s">
        <v>2542</v>
      </c>
      <c r="D989" s="269" t="str">
        <f>VLOOKUP(C989,lookup!$B$2:$F$1240,2)</f>
        <v>ft</v>
      </c>
      <c r="E989" s="271">
        <f>VLOOKUP(C989,lookup!$B$2:$F$1240,5)</f>
        <v>2</v>
      </c>
    </row>
    <row r="990" spans="1:5" x14ac:dyDescent="0.25">
      <c r="A990" s="169">
        <v>432</v>
      </c>
      <c r="C990" s="106" t="s">
        <v>2712</v>
      </c>
      <c r="D990" s="269" t="str">
        <f>VLOOKUP(C990,lookup!$B$2:$F$1240,2)</f>
        <v>Cu Yd</v>
      </c>
      <c r="E990" s="271">
        <f>VLOOKUP(C990,lookup!$B$2:$F$1240,5)</f>
        <v>3.5</v>
      </c>
    </row>
    <row r="991" spans="1:5" x14ac:dyDescent="0.25">
      <c r="A991" s="169">
        <v>432</v>
      </c>
      <c r="C991" s="106" t="s">
        <v>1523</v>
      </c>
      <c r="D991" s="269">
        <f>VLOOKUP(C991,lookup!$B$2:$F$1240,2)</f>
        <v>0</v>
      </c>
      <c r="E991" s="271">
        <f>VLOOKUP(C991,lookup!$B$2:$F$1240,5)</f>
        <v>0</v>
      </c>
    </row>
    <row r="992" spans="1:5" ht="22.8" x14ac:dyDescent="0.25">
      <c r="A992" s="169">
        <v>432</v>
      </c>
      <c r="C992" s="106" t="s">
        <v>2745</v>
      </c>
      <c r="D992" s="269">
        <f>VLOOKUP(C992,lookup!$B$2:$F$1240,2)</f>
        <v>0</v>
      </c>
      <c r="E992" s="271">
        <f>VLOOKUP(C992,lookup!$B$2:$F$1240,5)</f>
        <v>0</v>
      </c>
    </row>
    <row r="993" spans="1:5" x14ac:dyDescent="0.25">
      <c r="A993" s="169">
        <v>436</v>
      </c>
      <c r="B993" s="172" t="s">
        <v>2618</v>
      </c>
      <c r="D993" s="269" t="e">
        <f>VLOOKUP(C993,lookup!$B$2:$F$1240,2)</f>
        <v>#N/A</v>
      </c>
      <c r="E993" s="271" t="e">
        <f>VLOOKUP(C993,lookup!$B$2:$F$1240,5)</f>
        <v>#N/A</v>
      </c>
    </row>
    <row r="994" spans="1:5" x14ac:dyDescent="0.25">
      <c r="A994" s="169">
        <v>436</v>
      </c>
      <c r="C994" s="106" t="s">
        <v>1376</v>
      </c>
      <c r="D994" s="269" t="str">
        <f>VLOOKUP(C994,lookup!$B$2:$F$1240,2)</f>
        <v>cu yd</v>
      </c>
      <c r="E994" s="271">
        <f>VLOOKUP(C994,lookup!$B$2:$F$1240,5)</f>
        <v>3.5</v>
      </c>
    </row>
    <row r="995" spans="1:5" x14ac:dyDescent="0.25">
      <c r="A995" s="169">
        <v>436</v>
      </c>
      <c r="C995" s="106" t="s">
        <v>1110</v>
      </c>
      <c r="D995" s="269" t="str">
        <f>VLOOKUP(C995,lookup!$B$2:$F$1240,2)</f>
        <v>Cu Yd</v>
      </c>
      <c r="E995" s="271">
        <f>VLOOKUP(C995,lookup!$B$2:$F$1240,5)</f>
        <v>0</v>
      </c>
    </row>
    <row r="996" spans="1:5" x14ac:dyDescent="0.25">
      <c r="A996" s="169">
        <v>436</v>
      </c>
      <c r="C996" s="106" t="s">
        <v>2313</v>
      </c>
      <c r="D996" s="269" t="str">
        <f>VLOOKUP(C996,lookup!$B$2:$F$1240,2)</f>
        <v>l.s.</v>
      </c>
      <c r="E996" s="271">
        <f>VLOOKUP(C996,lookup!$B$2:$F$1240,5)</f>
        <v>400</v>
      </c>
    </row>
    <row r="997" spans="1:5" x14ac:dyDescent="0.25">
      <c r="A997" s="169">
        <v>436</v>
      </c>
      <c r="C997" s="106" t="s">
        <v>1034</v>
      </c>
      <c r="D997" s="269" t="str">
        <f>VLOOKUP(C997,lookup!$B$2:$F$1240,2)</f>
        <v>l.s.</v>
      </c>
      <c r="E997" s="271">
        <f>VLOOKUP(C997,lookup!$B$2:$F$1240,5)</f>
        <v>400</v>
      </c>
    </row>
    <row r="998" spans="1:5" x14ac:dyDescent="0.25">
      <c r="A998" s="169">
        <v>436</v>
      </c>
      <c r="C998" s="106" t="s">
        <v>1034</v>
      </c>
      <c r="D998" s="269" t="str">
        <f>VLOOKUP(C998,lookup!$B$2:$F$1240,2)</f>
        <v>l.s.</v>
      </c>
      <c r="E998" s="271">
        <f>VLOOKUP(C998,lookup!$B$2:$F$1240,5)</f>
        <v>400</v>
      </c>
    </row>
    <row r="999" spans="1:5" x14ac:dyDescent="0.25">
      <c r="A999" s="169">
        <v>436</v>
      </c>
      <c r="C999" s="106" t="s">
        <v>987</v>
      </c>
      <c r="D999" s="269" t="str">
        <f>VLOOKUP(C999,lookup!$B$2:$F$1240,2)</f>
        <v>Cu Yd</v>
      </c>
      <c r="E999" s="271">
        <f>VLOOKUP(C999,lookup!$B$2:$F$1240,5)</f>
        <v>40</v>
      </c>
    </row>
    <row r="1000" spans="1:5" x14ac:dyDescent="0.25">
      <c r="A1000" s="169">
        <v>436</v>
      </c>
      <c r="C1000" s="106" t="s">
        <v>988</v>
      </c>
      <c r="D1000" s="269" t="str">
        <f>VLOOKUP(C1000,lookup!$B$2:$F$1240,2)</f>
        <v>ton</v>
      </c>
      <c r="E1000" s="271">
        <f>VLOOKUP(C1000,lookup!$B$2:$F$1240,5)</f>
        <v>20</v>
      </c>
    </row>
    <row r="1001" spans="1:5" x14ac:dyDescent="0.25">
      <c r="A1001" s="169">
        <v>436</v>
      </c>
      <c r="C1001" s="106" t="s">
        <v>2797</v>
      </c>
      <c r="D1001" s="269" t="str">
        <f>VLOOKUP(C1001,lookup!$B$2:$F$1240,2)</f>
        <v>ton</v>
      </c>
      <c r="E1001" s="271">
        <f>VLOOKUP(C1001,lookup!$B$2:$F$1240,5)</f>
        <v>20</v>
      </c>
    </row>
    <row r="1002" spans="1:5" x14ac:dyDescent="0.25">
      <c r="A1002" s="169">
        <v>436</v>
      </c>
      <c r="C1002" s="106" t="s">
        <v>2320</v>
      </c>
      <c r="D1002" s="269">
        <f>VLOOKUP(C1002,lookup!$B$2:$F$1240,2)</f>
        <v>0</v>
      </c>
      <c r="E1002" s="271">
        <f>VLOOKUP(C1002,lookup!$B$2:$F$1240,5)</f>
        <v>0</v>
      </c>
    </row>
    <row r="1003" spans="1:5" x14ac:dyDescent="0.25">
      <c r="A1003" s="169">
        <v>436</v>
      </c>
      <c r="C1003" s="106" t="s">
        <v>1246</v>
      </c>
      <c r="D1003" s="269">
        <f>VLOOKUP(C1003,lookup!$B$2:$F$1240,2)</f>
        <v>0</v>
      </c>
      <c r="E1003" s="271">
        <f>VLOOKUP(C1003,lookup!$B$2:$F$1240,5)</f>
        <v>0</v>
      </c>
    </row>
    <row r="1004" spans="1:5" x14ac:dyDescent="0.25">
      <c r="A1004" s="169">
        <v>436</v>
      </c>
      <c r="C1004" s="106" t="s">
        <v>2708</v>
      </c>
      <c r="D1004" s="269">
        <f>VLOOKUP(C1004,lookup!$B$2:$F$1240,2)</f>
        <v>0</v>
      </c>
      <c r="E1004" s="271">
        <f>VLOOKUP(C1004,lookup!$B$2:$F$1240,5)</f>
        <v>0</v>
      </c>
    </row>
    <row r="1005" spans="1:5" x14ac:dyDescent="0.25">
      <c r="A1005" s="169">
        <v>436</v>
      </c>
      <c r="C1005" s="106" t="s">
        <v>2709</v>
      </c>
      <c r="D1005" s="269">
        <f>VLOOKUP(C1005,lookup!$B$2:$F$1240,2)</f>
        <v>0</v>
      </c>
      <c r="E1005" s="271">
        <f>VLOOKUP(C1005,lookup!$B$2:$F$1240,5)</f>
        <v>0</v>
      </c>
    </row>
    <row r="1006" spans="1:5" x14ac:dyDescent="0.25">
      <c r="A1006" s="169">
        <v>436</v>
      </c>
      <c r="C1006" s="106" t="s">
        <v>1236</v>
      </c>
      <c r="D1006" s="269">
        <f>VLOOKUP(C1006,lookup!$B$2:$F$1240,2)</f>
        <v>0</v>
      </c>
      <c r="E1006" s="271">
        <f>VLOOKUP(C1006,lookup!$B$2:$F$1240,5)</f>
        <v>0</v>
      </c>
    </row>
    <row r="1007" spans="1:5" x14ac:dyDescent="0.25">
      <c r="A1007" s="169">
        <v>436</v>
      </c>
      <c r="C1007" s="106" t="s">
        <v>2319</v>
      </c>
      <c r="D1007" s="269">
        <f>VLOOKUP(C1007,lookup!$B$2:$F$1240,2)</f>
        <v>0</v>
      </c>
      <c r="E1007" s="271">
        <f>VLOOKUP(C1007,lookup!$B$2:$F$1240,5)</f>
        <v>0</v>
      </c>
    </row>
    <row r="1008" spans="1:5" x14ac:dyDescent="0.25">
      <c r="A1008" s="169">
        <v>436</v>
      </c>
      <c r="C1008" s="106" t="s">
        <v>1988</v>
      </c>
      <c r="D1008" s="269" t="str">
        <f>VLOOKUP(C1008,lookup!$B$2:$F$1240,2)</f>
        <v>lin ft</v>
      </c>
      <c r="E1008" s="271">
        <f>VLOOKUP(C1008,lookup!$B$2:$F$1240,5)</f>
        <v>20</v>
      </c>
    </row>
    <row r="1009" spans="1:5" x14ac:dyDescent="0.25">
      <c r="A1009" s="169">
        <v>436</v>
      </c>
      <c r="C1009" s="106" t="s">
        <v>1989</v>
      </c>
      <c r="D1009" s="269" t="str">
        <f>VLOOKUP(C1009,lookup!$B$2:$F$1240,2)</f>
        <v>lin ft</v>
      </c>
      <c r="E1009" s="271">
        <f>VLOOKUP(C1009,lookup!$B$2:$F$1240,5)</f>
        <v>20</v>
      </c>
    </row>
    <row r="1010" spans="1:5" x14ac:dyDescent="0.25">
      <c r="A1010" s="169">
        <v>436</v>
      </c>
      <c r="C1010" s="106" t="s">
        <v>2195</v>
      </c>
      <c r="D1010" s="269" t="str">
        <f>VLOOKUP(C1010,lookup!$B$2:$F$1240,2)</f>
        <v>lin ft</v>
      </c>
      <c r="E1010" s="271">
        <f>VLOOKUP(C1010,lookup!$B$2:$F$1240,5)</f>
        <v>20</v>
      </c>
    </row>
    <row r="1011" spans="1:5" x14ac:dyDescent="0.25">
      <c r="A1011" s="169">
        <v>436</v>
      </c>
      <c r="C1011" s="106" t="s">
        <v>2196</v>
      </c>
      <c r="D1011" s="269" t="str">
        <f>VLOOKUP(C1011,lookup!$B$2:$F$1240,2)</f>
        <v>lin ft</v>
      </c>
      <c r="E1011" s="271">
        <f>VLOOKUP(C1011,lookup!$B$2:$F$1240,5)</f>
        <v>20</v>
      </c>
    </row>
    <row r="1012" spans="1:5" x14ac:dyDescent="0.25">
      <c r="A1012" s="169">
        <v>436</v>
      </c>
      <c r="C1012" s="106" t="s">
        <v>2193</v>
      </c>
      <c r="D1012" s="269" t="str">
        <f>VLOOKUP(C1012,lookup!$B$2:$F$1240,2)</f>
        <v>lin ft</v>
      </c>
      <c r="E1012" s="271">
        <f>VLOOKUP(C1012,lookup!$B$2:$F$1240,5)</f>
        <v>20</v>
      </c>
    </row>
    <row r="1013" spans="1:5" x14ac:dyDescent="0.25">
      <c r="A1013" s="169">
        <v>436</v>
      </c>
      <c r="C1013" s="106" t="s">
        <v>2194</v>
      </c>
      <c r="D1013" s="269" t="str">
        <f>VLOOKUP(C1013,lookup!$B$2:$F$1240,2)</f>
        <v>lin ft</v>
      </c>
      <c r="E1013" s="271">
        <f>VLOOKUP(C1013,lookup!$B$2:$F$1240,5)</f>
        <v>20</v>
      </c>
    </row>
    <row r="1014" spans="1:5" x14ac:dyDescent="0.25">
      <c r="A1014" s="169">
        <v>436</v>
      </c>
      <c r="C1014" s="106" t="s">
        <v>600</v>
      </c>
      <c r="D1014" s="269" t="str">
        <f>VLOOKUP(C1014,lookup!$B$2:$F$1240,2)</f>
        <v>lin ft</v>
      </c>
      <c r="E1014" s="271">
        <f>VLOOKUP(C1014,lookup!$B$2:$F$1240,5)</f>
        <v>20</v>
      </c>
    </row>
    <row r="1015" spans="1:5" x14ac:dyDescent="0.25">
      <c r="A1015" s="169">
        <v>436</v>
      </c>
      <c r="C1015" s="106" t="s">
        <v>1371</v>
      </c>
      <c r="D1015" s="269" t="str">
        <f>VLOOKUP(C1015,lookup!$B$2:$F$1240,2)</f>
        <v>lin ft</v>
      </c>
      <c r="E1015" s="271">
        <f>VLOOKUP(C1015,lookup!$B$2:$F$1240,5)</f>
        <v>20</v>
      </c>
    </row>
    <row r="1016" spans="1:5" x14ac:dyDescent="0.25">
      <c r="A1016" s="169">
        <v>436</v>
      </c>
      <c r="C1016" s="106" t="s">
        <v>1372</v>
      </c>
      <c r="D1016" s="269" t="str">
        <f>VLOOKUP(C1016,lookup!$B$2:$F$1240,2)</f>
        <v>lin ft</v>
      </c>
      <c r="E1016" s="271">
        <f>VLOOKUP(C1016,lookup!$B$2:$F$1240,5)</f>
        <v>20</v>
      </c>
    </row>
    <row r="1017" spans="1:5" ht="22.8" x14ac:dyDescent="0.25">
      <c r="A1017" s="169">
        <v>436</v>
      </c>
      <c r="C1017" s="106" t="s">
        <v>1187</v>
      </c>
      <c r="D1017" s="269" t="str">
        <f>VLOOKUP(C1017,lookup!$B$2:$F$1240,2)</f>
        <v>lin ft</v>
      </c>
      <c r="E1017" s="271">
        <f>VLOOKUP(C1017,lookup!$B$2:$F$1240,5)</f>
        <v>20</v>
      </c>
    </row>
    <row r="1018" spans="1:5" ht="22.8" x14ac:dyDescent="0.25">
      <c r="A1018" s="169">
        <v>436</v>
      </c>
      <c r="C1018" s="106" t="s">
        <v>1228</v>
      </c>
      <c r="D1018" s="269" t="str">
        <f>VLOOKUP(C1018,lookup!$B$2:$F$1240,2)</f>
        <v>lin ft</v>
      </c>
      <c r="E1018" s="271">
        <f>VLOOKUP(C1018,lookup!$B$2:$F$1240,5)</f>
        <v>20</v>
      </c>
    </row>
    <row r="1019" spans="1:5" ht="22.8" x14ac:dyDescent="0.25">
      <c r="A1019" s="169">
        <v>436</v>
      </c>
      <c r="C1019" s="106" t="s">
        <v>203</v>
      </c>
      <c r="D1019" s="269" t="str">
        <f>VLOOKUP(C1019,lookup!$B$2:$F$1240,2)</f>
        <v>lin ft</v>
      </c>
      <c r="E1019" s="271">
        <f>VLOOKUP(C1019,lookup!$B$2:$F$1240,5)</f>
        <v>20</v>
      </c>
    </row>
    <row r="1020" spans="1:5" ht="22.8" x14ac:dyDescent="0.25">
      <c r="A1020" s="169">
        <v>436</v>
      </c>
      <c r="C1020" s="106" t="s">
        <v>1229</v>
      </c>
      <c r="D1020" s="269" t="str">
        <f>VLOOKUP(C1020,lookup!$B$2:$F$1240,2)</f>
        <v>lin ft</v>
      </c>
      <c r="E1020" s="271">
        <f>VLOOKUP(C1020,lookup!$B$2:$F$1240,5)</f>
        <v>20</v>
      </c>
    </row>
    <row r="1021" spans="1:5" ht="22.8" x14ac:dyDescent="0.25">
      <c r="A1021" s="169">
        <v>436</v>
      </c>
      <c r="C1021" s="106" t="s">
        <v>1188</v>
      </c>
      <c r="D1021" s="269" t="str">
        <f>VLOOKUP(C1021,lookup!$B$2:$F$1240,2)</f>
        <v>lin ft</v>
      </c>
      <c r="E1021" s="271">
        <f>VLOOKUP(C1021,lookup!$B$2:$F$1240,5)</f>
        <v>20</v>
      </c>
    </row>
    <row r="1022" spans="1:5" ht="22.8" x14ac:dyDescent="0.25">
      <c r="A1022" s="169">
        <v>436</v>
      </c>
      <c r="C1022" s="106" t="s">
        <v>2363</v>
      </c>
      <c r="D1022" s="269" t="str">
        <f>VLOOKUP(C1022,lookup!$B$2:$F$1240,2)</f>
        <v>lin ft</v>
      </c>
      <c r="E1022" s="271">
        <f>VLOOKUP(C1022,lookup!$B$2:$F$1240,5)</f>
        <v>20</v>
      </c>
    </row>
    <row r="1023" spans="1:5" ht="22.8" x14ac:dyDescent="0.25">
      <c r="A1023" s="169">
        <v>436</v>
      </c>
      <c r="C1023" s="106" t="s">
        <v>2364</v>
      </c>
      <c r="D1023" s="269" t="str">
        <f>VLOOKUP(C1023,lookup!$B$2:$F$1240,2)</f>
        <v>lin ft</v>
      </c>
      <c r="E1023" s="271">
        <f>VLOOKUP(C1023,lookup!$B$2:$F$1240,5)</f>
        <v>20</v>
      </c>
    </row>
    <row r="1024" spans="1:5" ht="22.8" x14ac:dyDescent="0.25">
      <c r="A1024" s="169">
        <v>436</v>
      </c>
      <c r="C1024" s="106" t="s">
        <v>1374</v>
      </c>
      <c r="D1024" s="269" t="str">
        <f>VLOOKUP(C1024,lookup!$B$2:$F$1240,2)</f>
        <v>lin ft</v>
      </c>
      <c r="E1024" s="271">
        <f>VLOOKUP(C1024,lookup!$B$2:$F$1240,5)</f>
        <v>20</v>
      </c>
    </row>
    <row r="1025" spans="1:5" ht="22.8" x14ac:dyDescent="0.25">
      <c r="A1025" s="169">
        <v>436</v>
      </c>
      <c r="C1025" s="106" t="s">
        <v>1375</v>
      </c>
      <c r="D1025" s="269" t="str">
        <f>VLOOKUP(C1025,lookup!$B$2:$F$1240,2)</f>
        <v>lin ft</v>
      </c>
      <c r="E1025" s="271">
        <f>VLOOKUP(C1025,lookup!$B$2:$F$1240,5)</f>
        <v>20</v>
      </c>
    </row>
    <row r="1026" spans="1:5" ht="22.8" x14ac:dyDescent="0.25">
      <c r="A1026" s="169">
        <v>436</v>
      </c>
      <c r="C1026" s="106" t="s">
        <v>1184</v>
      </c>
      <c r="D1026" s="269" t="str">
        <f>VLOOKUP(C1026,lookup!$B$2:$F$1240,2)</f>
        <v>lin ft</v>
      </c>
      <c r="E1026" s="271">
        <f>VLOOKUP(C1026,lookup!$B$2:$F$1240,5)</f>
        <v>20</v>
      </c>
    </row>
    <row r="1027" spans="1:5" ht="22.8" x14ac:dyDescent="0.25">
      <c r="A1027" s="169">
        <v>436</v>
      </c>
      <c r="C1027" s="106" t="s">
        <v>1225</v>
      </c>
      <c r="D1027" s="269" t="str">
        <f>VLOOKUP(C1027,lookup!$B$2:$F$1240,2)</f>
        <v>lin ft</v>
      </c>
      <c r="E1027" s="271">
        <f>VLOOKUP(C1027,lookup!$B$2:$F$1240,5)</f>
        <v>20</v>
      </c>
    </row>
    <row r="1028" spans="1:5" ht="22.8" x14ac:dyDescent="0.25">
      <c r="A1028" s="169">
        <v>436</v>
      </c>
      <c r="C1028" s="106" t="s">
        <v>1185</v>
      </c>
      <c r="D1028" s="269" t="str">
        <f>VLOOKUP(C1028,lookup!$B$2:$F$1240,2)</f>
        <v>lin ft</v>
      </c>
      <c r="E1028" s="271">
        <f>VLOOKUP(C1028,lookup!$B$2:$F$1240,5)</f>
        <v>20</v>
      </c>
    </row>
    <row r="1029" spans="1:5" ht="22.8" x14ac:dyDescent="0.25">
      <c r="A1029" s="169">
        <v>436</v>
      </c>
      <c r="C1029" s="106" t="s">
        <v>1226</v>
      </c>
      <c r="D1029" s="269" t="str">
        <f>VLOOKUP(C1029,lookup!$B$2:$F$1240,2)</f>
        <v>lin ft</v>
      </c>
      <c r="E1029" s="271">
        <f>VLOOKUP(C1029,lookup!$B$2:$F$1240,5)</f>
        <v>20</v>
      </c>
    </row>
    <row r="1030" spans="1:5" ht="22.8" x14ac:dyDescent="0.25">
      <c r="A1030" s="169">
        <v>436</v>
      </c>
      <c r="C1030" s="106" t="s">
        <v>1186</v>
      </c>
      <c r="D1030" s="269" t="str">
        <f>VLOOKUP(C1030,lookup!$B$2:$F$1240,2)</f>
        <v>lin ft</v>
      </c>
      <c r="E1030" s="271">
        <f>VLOOKUP(C1030,lookup!$B$2:$F$1240,5)</f>
        <v>20</v>
      </c>
    </row>
    <row r="1031" spans="1:5" ht="22.8" x14ac:dyDescent="0.25">
      <c r="A1031" s="169">
        <v>436</v>
      </c>
      <c r="C1031" s="106" t="s">
        <v>1227</v>
      </c>
      <c r="D1031" s="269" t="str">
        <f>VLOOKUP(C1031,lookup!$B$2:$F$1240,2)</f>
        <v>lin ft</v>
      </c>
      <c r="E1031" s="271">
        <f>VLOOKUP(C1031,lookup!$B$2:$F$1240,5)</f>
        <v>20</v>
      </c>
    </row>
    <row r="1032" spans="1:5" ht="22.8" x14ac:dyDescent="0.25">
      <c r="A1032" s="169">
        <v>436</v>
      </c>
      <c r="C1032" s="106" t="s">
        <v>2655</v>
      </c>
      <c r="D1032" s="269" t="str">
        <f>VLOOKUP(C1032,lookup!$B$2:$F$1240,2)</f>
        <v>lin ft</v>
      </c>
      <c r="E1032" s="271">
        <f>VLOOKUP(C1032,lookup!$B$2:$F$1240,5)</f>
        <v>20</v>
      </c>
    </row>
    <row r="1033" spans="1:5" ht="22.8" x14ac:dyDescent="0.25">
      <c r="A1033" s="169">
        <v>436</v>
      </c>
      <c r="C1033" s="106" t="s">
        <v>1309</v>
      </c>
      <c r="D1033" s="269" t="str">
        <f>VLOOKUP(C1033,lookup!$B$2:$F$1240,2)</f>
        <v>lin ft</v>
      </c>
      <c r="E1033" s="271">
        <f>VLOOKUP(C1033,lookup!$B$2:$F$1240,5)</f>
        <v>20</v>
      </c>
    </row>
    <row r="1034" spans="1:5" ht="22.8" x14ac:dyDescent="0.25">
      <c r="A1034" s="169">
        <v>436</v>
      </c>
      <c r="C1034" s="106" t="s">
        <v>2656</v>
      </c>
      <c r="D1034" s="269" t="str">
        <f>VLOOKUP(C1034,lookup!$B$2:$F$1240,2)</f>
        <v>lin ft</v>
      </c>
      <c r="E1034" s="271">
        <f>VLOOKUP(C1034,lookup!$B$2:$F$1240,5)</f>
        <v>20</v>
      </c>
    </row>
    <row r="1035" spans="1:5" ht="22.8" x14ac:dyDescent="0.25">
      <c r="A1035" s="169">
        <v>436</v>
      </c>
      <c r="C1035" s="106" t="s">
        <v>214</v>
      </c>
      <c r="D1035" s="269" t="str">
        <f>VLOOKUP(C1035,lookup!$B$2:$F$1240,2)</f>
        <v>lin ft</v>
      </c>
      <c r="E1035" s="271">
        <f>VLOOKUP(C1035,lookup!$B$2:$F$1240,5)</f>
        <v>20</v>
      </c>
    </row>
    <row r="1036" spans="1:5" ht="22.8" x14ac:dyDescent="0.25">
      <c r="A1036" s="169">
        <v>436</v>
      </c>
      <c r="C1036" s="106" t="s">
        <v>1481</v>
      </c>
      <c r="D1036" s="269" t="str">
        <f>VLOOKUP(C1036,lookup!$B$2:$F$1240,2)</f>
        <v>lin ft</v>
      </c>
      <c r="E1036" s="271">
        <f>VLOOKUP(C1036,lookup!$B$2:$F$1240,5)</f>
        <v>20</v>
      </c>
    </row>
    <row r="1037" spans="1:5" ht="22.8" x14ac:dyDescent="0.25">
      <c r="A1037" s="169">
        <v>436</v>
      </c>
      <c r="C1037" s="106" t="s">
        <v>2168</v>
      </c>
      <c r="D1037" s="269" t="str">
        <f>VLOOKUP(C1037,lookup!$B$2:$F$1240,2)</f>
        <v>lin ft</v>
      </c>
      <c r="E1037" s="271">
        <f>VLOOKUP(C1037,lookup!$B$2:$F$1240,5)</f>
        <v>20</v>
      </c>
    </row>
    <row r="1038" spans="1:5" ht="22.8" x14ac:dyDescent="0.25">
      <c r="A1038" s="169">
        <v>436</v>
      </c>
      <c r="C1038" s="106" t="s">
        <v>438</v>
      </c>
      <c r="D1038" s="269" t="str">
        <f>VLOOKUP(C1038,lookup!$B$2:$F$1240,2)</f>
        <v>lin ft</v>
      </c>
      <c r="E1038" s="271">
        <f>VLOOKUP(C1038,lookup!$B$2:$F$1240,5)</f>
        <v>20</v>
      </c>
    </row>
    <row r="1039" spans="1:5" ht="22.8" x14ac:dyDescent="0.25">
      <c r="A1039" s="169">
        <v>436</v>
      </c>
      <c r="C1039" s="106" t="s">
        <v>1981</v>
      </c>
      <c r="D1039" s="269" t="str">
        <f>VLOOKUP(C1039,lookup!$B$2:$F$1240,2)</f>
        <v>lin ft</v>
      </c>
      <c r="E1039" s="271">
        <f>VLOOKUP(C1039,lookup!$B$2:$F$1240,5)</f>
        <v>20</v>
      </c>
    </row>
    <row r="1040" spans="1:5" ht="22.8" x14ac:dyDescent="0.25">
      <c r="A1040" s="169">
        <v>436</v>
      </c>
      <c r="C1040" s="106" t="s">
        <v>1397</v>
      </c>
      <c r="D1040" s="269" t="str">
        <f>VLOOKUP(C1040,lookup!$B$2:$F$1240,2)</f>
        <v>lin ft</v>
      </c>
      <c r="E1040" s="271">
        <f>VLOOKUP(C1040,lookup!$B$2:$F$1240,5)</f>
        <v>20</v>
      </c>
    </row>
    <row r="1041" spans="1:5" ht="22.8" x14ac:dyDescent="0.25">
      <c r="A1041" s="169">
        <v>436</v>
      </c>
      <c r="C1041" s="106" t="s">
        <v>1982</v>
      </c>
      <c r="D1041" s="269" t="str">
        <f>VLOOKUP(C1041,lookup!$B$2:$F$1240,2)</f>
        <v>lin ft</v>
      </c>
      <c r="E1041" s="271">
        <f>VLOOKUP(C1041,lookup!$B$2:$F$1240,5)</f>
        <v>20</v>
      </c>
    </row>
    <row r="1042" spans="1:5" x14ac:dyDescent="0.25">
      <c r="A1042" s="169">
        <v>436</v>
      </c>
      <c r="C1042" s="106" t="s">
        <v>1341</v>
      </c>
      <c r="D1042" s="269" t="str">
        <f>VLOOKUP(C1042,lookup!$B$2:$F$1240,2)</f>
        <v>ft</v>
      </c>
      <c r="E1042" s="271">
        <f>VLOOKUP(C1042,lookup!$B$2:$F$1240,5)</f>
        <v>2</v>
      </c>
    </row>
    <row r="1043" spans="1:5" x14ac:dyDescent="0.25">
      <c r="A1043" s="169">
        <v>436</v>
      </c>
      <c r="C1043" s="106" t="s">
        <v>2540</v>
      </c>
      <c r="D1043" s="269" t="str">
        <f>VLOOKUP(C1043,lookup!$B$2:$F$1240,2)</f>
        <v>ft</v>
      </c>
      <c r="E1043" s="271">
        <f>VLOOKUP(C1043,lookup!$B$2:$F$1240,5)</f>
        <v>2</v>
      </c>
    </row>
    <row r="1044" spans="1:5" x14ac:dyDescent="0.25">
      <c r="A1044" s="169">
        <v>436</v>
      </c>
      <c r="C1044" s="106" t="s">
        <v>2541</v>
      </c>
      <c r="D1044" s="269" t="str">
        <f>VLOOKUP(C1044,lookup!$B$2:$F$1240,2)</f>
        <v>ft</v>
      </c>
      <c r="E1044" s="271">
        <f>VLOOKUP(C1044,lookup!$B$2:$F$1240,5)</f>
        <v>2</v>
      </c>
    </row>
    <row r="1045" spans="1:5" x14ac:dyDescent="0.25">
      <c r="A1045" s="169">
        <v>436</v>
      </c>
      <c r="C1045" s="106" t="s">
        <v>2542</v>
      </c>
      <c r="D1045" s="269" t="str">
        <f>VLOOKUP(C1045,lookup!$B$2:$F$1240,2)</f>
        <v>ft</v>
      </c>
      <c r="E1045" s="271">
        <f>VLOOKUP(C1045,lookup!$B$2:$F$1240,5)</f>
        <v>2</v>
      </c>
    </row>
    <row r="1046" spans="1:5" x14ac:dyDescent="0.25">
      <c r="A1046" s="169">
        <v>436</v>
      </c>
      <c r="C1046" s="106" t="s">
        <v>1604</v>
      </c>
      <c r="D1046" s="269" t="str">
        <f>VLOOKUP(C1046,lookup!$B$2:$F$1240,2)</f>
        <v>ft</v>
      </c>
      <c r="E1046" s="271">
        <f>VLOOKUP(C1046,lookup!$B$2:$F$1240,5)</f>
        <v>2</v>
      </c>
    </row>
    <row r="1047" spans="1:5" x14ac:dyDescent="0.25">
      <c r="A1047" s="169">
        <v>436</v>
      </c>
      <c r="C1047" s="106" t="s">
        <v>1605</v>
      </c>
      <c r="D1047" s="269" t="str">
        <f>VLOOKUP(C1047,lookup!$B$2:$F$1240,2)</f>
        <v>ft</v>
      </c>
      <c r="E1047" s="271">
        <f>VLOOKUP(C1047,lookup!$B$2:$F$1240,5)</f>
        <v>2</v>
      </c>
    </row>
    <row r="1048" spans="1:5" x14ac:dyDescent="0.25">
      <c r="A1048" s="169">
        <v>436</v>
      </c>
      <c r="C1048" s="106" t="s">
        <v>1004</v>
      </c>
      <c r="D1048" s="269" t="str">
        <f>VLOOKUP(C1048,lookup!$B$2:$F$1240,2)</f>
        <v>ft</v>
      </c>
      <c r="E1048" s="271">
        <f>VLOOKUP(C1048,lookup!$B$2:$F$1240,5)</f>
        <v>2</v>
      </c>
    </row>
    <row r="1049" spans="1:5" x14ac:dyDescent="0.25">
      <c r="A1049" s="169">
        <v>436</v>
      </c>
      <c r="C1049" s="106" t="s">
        <v>1622</v>
      </c>
      <c r="D1049" s="269" t="str">
        <f>VLOOKUP(C1049,lookup!$B$2:$F$1240,2)</f>
        <v>ft</v>
      </c>
      <c r="E1049" s="271">
        <f>VLOOKUP(C1049,lookup!$B$2:$F$1240,5)</f>
        <v>2</v>
      </c>
    </row>
    <row r="1050" spans="1:5" x14ac:dyDescent="0.25">
      <c r="A1050" s="169">
        <v>436</v>
      </c>
      <c r="C1050" s="106" t="s">
        <v>231</v>
      </c>
      <c r="D1050" s="269" t="str">
        <f>VLOOKUP(C1050,lookup!$B$2:$F$1240,2)</f>
        <v>ft</v>
      </c>
      <c r="E1050" s="271">
        <f>VLOOKUP(C1050,lookup!$B$2:$F$1240,5)</f>
        <v>2</v>
      </c>
    </row>
    <row r="1051" spans="1:5" ht="22.8" x14ac:dyDescent="0.25">
      <c r="A1051" s="169">
        <v>436</v>
      </c>
      <c r="C1051" s="106" t="s">
        <v>2522</v>
      </c>
      <c r="D1051" s="269">
        <f>VLOOKUP(C1051,lookup!$B$2:$F$1240,2)</f>
        <v>0</v>
      </c>
      <c r="E1051" s="271">
        <f>VLOOKUP(C1051,lookup!$B$2:$F$1240,5)</f>
        <v>0</v>
      </c>
    </row>
    <row r="1052" spans="1:5" ht="22.8" x14ac:dyDescent="0.25">
      <c r="A1052" s="169">
        <v>436</v>
      </c>
      <c r="C1052" s="106" t="s">
        <v>2710</v>
      </c>
      <c r="D1052" s="269">
        <f>VLOOKUP(C1052,lookup!$B$2:$F$1240,2)</f>
        <v>0</v>
      </c>
      <c r="E1052" s="271">
        <f>VLOOKUP(C1052,lookup!$B$2:$F$1240,5)</f>
        <v>0</v>
      </c>
    </row>
    <row r="1053" spans="1:5" x14ac:dyDescent="0.25">
      <c r="A1053" s="169">
        <v>436</v>
      </c>
      <c r="C1053" s="106" t="s">
        <v>1232</v>
      </c>
      <c r="D1053" s="269">
        <f>VLOOKUP(C1053,lookup!$B$2:$F$1240,2)</f>
        <v>0</v>
      </c>
      <c r="E1053" s="271">
        <f>VLOOKUP(C1053,lookup!$B$2:$F$1240,5)</f>
        <v>0</v>
      </c>
    </row>
    <row r="1054" spans="1:5" ht="22.8" x14ac:dyDescent="0.25">
      <c r="A1054" s="169">
        <v>436</v>
      </c>
      <c r="C1054" s="106" t="s">
        <v>2543</v>
      </c>
      <c r="D1054" s="269">
        <f>VLOOKUP(C1054,lookup!$B$2:$F$1240,2)</f>
        <v>0</v>
      </c>
      <c r="E1054" s="271">
        <f>VLOOKUP(C1054,lookup!$B$2:$F$1240,5)</f>
        <v>0</v>
      </c>
    </row>
    <row r="1055" spans="1:5" ht="22.8" x14ac:dyDescent="0.25">
      <c r="A1055" s="169">
        <v>436</v>
      </c>
      <c r="C1055" s="106" t="s">
        <v>2544</v>
      </c>
      <c r="D1055" s="269">
        <f>VLOOKUP(C1055,lookup!$B$2:$F$1240,2)</f>
        <v>0</v>
      </c>
      <c r="E1055" s="271">
        <f>VLOOKUP(C1055,lookup!$B$2:$F$1240,5)</f>
        <v>0</v>
      </c>
    </row>
    <row r="1056" spans="1:5" ht="22.8" x14ac:dyDescent="0.25">
      <c r="A1056" s="169">
        <v>436</v>
      </c>
      <c r="C1056" s="106" t="s">
        <v>2318</v>
      </c>
      <c r="D1056" s="269">
        <f>VLOOKUP(C1056,lookup!$B$2:$F$1240,2)</f>
        <v>0</v>
      </c>
      <c r="E1056" s="271">
        <f>VLOOKUP(C1056,lookup!$B$2:$F$1240,5)</f>
        <v>0</v>
      </c>
    </row>
    <row r="1057" spans="1:5" ht="22.8" x14ac:dyDescent="0.25">
      <c r="A1057" s="169">
        <v>436</v>
      </c>
      <c r="C1057" s="106" t="s">
        <v>2761</v>
      </c>
      <c r="D1057" s="269" t="str">
        <f>VLOOKUP(C1057,lookup!$B$2:$F$1240,2)</f>
        <v>ea.</v>
      </c>
      <c r="E1057" s="271">
        <f>VLOOKUP(C1057,lookup!$B$2:$F$1240,5)</f>
        <v>2220</v>
      </c>
    </row>
    <row r="1058" spans="1:5" ht="22.8" x14ac:dyDescent="0.25">
      <c r="A1058" s="169">
        <v>436</v>
      </c>
      <c r="C1058" s="106" t="s">
        <v>2762</v>
      </c>
      <c r="D1058" s="269" t="str">
        <f>VLOOKUP(C1058,lookup!$B$2:$F$1240,2)</f>
        <v>ea.</v>
      </c>
      <c r="E1058" s="271">
        <f>VLOOKUP(C1058,lookup!$B$2:$F$1240,5)</f>
        <v>2220</v>
      </c>
    </row>
    <row r="1059" spans="1:5" ht="22.8" x14ac:dyDescent="0.25">
      <c r="A1059" s="169">
        <v>436</v>
      </c>
      <c r="C1059" s="106" t="s">
        <v>2763</v>
      </c>
      <c r="D1059" s="269" t="str">
        <f>VLOOKUP(C1059,lookup!$B$2:$F$1240,2)</f>
        <v>ea.</v>
      </c>
      <c r="E1059" s="271">
        <f>VLOOKUP(C1059,lookup!$B$2:$F$1240,5)</f>
        <v>2440</v>
      </c>
    </row>
    <row r="1060" spans="1:5" ht="22.8" x14ac:dyDescent="0.25">
      <c r="A1060" s="169">
        <v>436</v>
      </c>
      <c r="C1060" s="106" t="s">
        <v>2764</v>
      </c>
      <c r="D1060" s="269" t="str">
        <f>VLOOKUP(C1060,lookup!$B$2:$F$1240,2)</f>
        <v>ea.</v>
      </c>
      <c r="E1060" s="271">
        <f>VLOOKUP(C1060,lookup!$B$2:$F$1240,5)</f>
        <v>2440</v>
      </c>
    </row>
    <row r="1061" spans="1:5" ht="22.8" x14ac:dyDescent="0.25">
      <c r="A1061" s="169">
        <v>436</v>
      </c>
      <c r="C1061" s="106" t="s">
        <v>2765</v>
      </c>
      <c r="D1061" s="269" t="str">
        <f>VLOOKUP(C1061,lookup!$B$2:$F$1240,2)</f>
        <v>ea.</v>
      </c>
      <c r="E1061" s="271">
        <f>VLOOKUP(C1061,lookup!$B$2:$F$1240,5)</f>
        <v>2610</v>
      </c>
    </row>
    <row r="1062" spans="1:5" ht="22.8" x14ac:dyDescent="0.25">
      <c r="A1062" s="169">
        <v>436</v>
      </c>
      <c r="C1062" s="106" t="s">
        <v>2766</v>
      </c>
      <c r="D1062" s="269" t="str">
        <f>VLOOKUP(C1062,lookup!$B$2:$F$1240,2)</f>
        <v>ea.</v>
      </c>
      <c r="E1062" s="271">
        <f>VLOOKUP(C1062,lookup!$B$2:$F$1240,5)</f>
        <v>2610</v>
      </c>
    </row>
    <row r="1063" spans="1:5" ht="22.8" x14ac:dyDescent="0.25">
      <c r="A1063" s="169">
        <v>436</v>
      </c>
      <c r="C1063" s="106" t="s">
        <v>2767</v>
      </c>
      <c r="D1063" s="269" t="str">
        <f>VLOOKUP(C1063,lookup!$B$2:$F$1240,2)</f>
        <v>ea.</v>
      </c>
      <c r="E1063" s="271">
        <f>VLOOKUP(C1063,lookup!$B$2:$F$1240,5)</f>
        <v>2220</v>
      </c>
    </row>
    <row r="1064" spans="1:5" ht="22.8" x14ac:dyDescent="0.25">
      <c r="A1064" s="169">
        <v>436</v>
      </c>
      <c r="C1064" s="106" t="s">
        <v>2768</v>
      </c>
      <c r="D1064" s="269" t="str">
        <f>VLOOKUP(C1064,lookup!$B$2:$F$1240,2)</f>
        <v>ea.</v>
      </c>
      <c r="E1064" s="271">
        <f>VLOOKUP(C1064,lookup!$B$2:$F$1240,5)</f>
        <v>2220</v>
      </c>
    </row>
    <row r="1065" spans="1:5" ht="22.8" x14ac:dyDescent="0.25">
      <c r="A1065" s="169">
        <v>436</v>
      </c>
      <c r="C1065" s="106" t="s">
        <v>2769</v>
      </c>
      <c r="D1065" s="269" t="str">
        <f>VLOOKUP(C1065,lookup!$B$2:$F$1240,2)</f>
        <v>ea.</v>
      </c>
      <c r="E1065" s="271">
        <f>VLOOKUP(C1065,lookup!$B$2:$F$1240,5)</f>
        <v>2370</v>
      </c>
    </row>
    <row r="1066" spans="1:5" ht="22.8" x14ac:dyDescent="0.25">
      <c r="A1066" s="169">
        <v>436</v>
      </c>
      <c r="C1066" s="106" t="s">
        <v>2120</v>
      </c>
      <c r="D1066" s="269" t="str">
        <f>VLOOKUP(C1066,lookup!$B$2:$F$1240,2)</f>
        <v>ea.</v>
      </c>
      <c r="E1066" s="271">
        <f>VLOOKUP(C1066,lookup!$B$2:$F$1240,5)</f>
        <v>2370</v>
      </c>
    </row>
    <row r="1067" spans="1:5" ht="22.8" x14ac:dyDescent="0.25">
      <c r="A1067" s="169">
        <v>436</v>
      </c>
      <c r="C1067" s="106" t="s">
        <v>2694</v>
      </c>
      <c r="D1067" s="269" t="str">
        <f>VLOOKUP(C1067,lookup!$B$2:$F$1240,2)</f>
        <v>ea.</v>
      </c>
      <c r="E1067" s="271">
        <f>VLOOKUP(C1067,lookup!$B$2:$F$1240,5)</f>
        <v>2420</v>
      </c>
    </row>
    <row r="1068" spans="1:5" ht="22.8" x14ac:dyDescent="0.25">
      <c r="A1068" s="169">
        <v>436</v>
      </c>
      <c r="C1068" s="106" t="s">
        <v>2695</v>
      </c>
      <c r="D1068" s="269" t="str">
        <f>VLOOKUP(C1068,lookup!$B$2:$F$1240,2)</f>
        <v>ea.</v>
      </c>
      <c r="E1068" s="271">
        <f>VLOOKUP(C1068,lookup!$B$2:$F$1240,5)</f>
        <v>2420</v>
      </c>
    </row>
    <row r="1069" spans="1:5" x14ac:dyDescent="0.25">
      <c r="A1069" s="169">
        <v>436</v>
      </c>
      <c r="C1069" s="106" t="s">
        <v>1996</v>
      </c>
      <c r="D1069" s="269" t="str">
        <f>VLOOKUP(C1069,lookup!$B$2:$F$1240,2)</f>
        <v>ton</v>
      </c>
      <c r="E1069" s="271">
        <f>VLOOKUP(C1069,lookup!$B$2:$F$1240,5)</f>
        <v>21.63</v>
      </c>
    </row>
    <row r="1070" spans="1:5" x14ac:dyDescent="0.25">
      <c r="A1070" s="169">
        <v>436</v>
      </c>
      <c r="C1070" s="106" t="s">
        <v>1997</v>
      </c>
      <c r="D1070" s="269" t="str">
        <f>VLOOKUP(C1070,lookup!$B$2:$F$1240,2)</f>
        <v>ton</v>
      </c>
      <c r="E1070" s="271">
        <f>VLOOKUP(C1070,lookup!$B$2:$F$1240,5)</f>
        <v>21.63</v>
      </c>
    </row>
    <row r="1071" spans="1:5" x14ac:dyDescent="0.25">
      <c r="A1071" s="169">
        <v>436</v>
      </c>
      <c r="C1071" s="106" t="s">
        <v>1998</v>
      </c>
      <c r="D1071" s="269" t="str">
        <f>VLOOKUP(C1071,lookup!$B$2:$F$1240,2)</f>
        <v>ton</v>
      </c>
      <c r="E1071" s="271">
        <f>VLOOKUP(C1071,lookup!$B$2:$F$1240,5)</f>
        <v>21.63</v>
      </c>
    </row>
    <row r="1072" spans="1:5" x14ac:dyDescent="0.25">
      <c r="A1072" s="169">
        <v>436</v>
      </c>
      <c r="C1072" s="106" t="s">
        <v>1999</v>
      </c>
      <c r="D1072" s="269" t="str">
        <f>VLOOKUP(C1072,lookup!$B$2:$F$1240,2)</f>
        <v>ton</v>
      </c>
      <c r="E1072" s="271">
        <f>VLOOKUP(C1072,lookup!$B$2:$F$1240,5)</f>
        <v>21.63</v>
      </c>
    </row>
    <row r="1073" spans="1:5" x14ac:dyDescent="0.25">
      <c r="A1073" s="169">
        <v>436</v>
      </c>
      <c r="C1073" s="106" t="s">
        <v>2786</v>
      </c>
      <c r="D1073" s="269" t="str">
        <f>VLOOKUP(C1073,lookup!$B$2:$F$1240,2)</f>
        <v>ton</v>
      </c>
      <c r="E1073" s="271">
        <f>VLOOKUP(C1073,lookup!$B$2:$F$1240,5)</f>
        <v>21.63</v>
      </c>
    </row>
    <row r="1074" spans="1:5" x14ac:dyDescent="0.25">
      <c r="A1074" s="169">
        <v>436</v>
      </c>
      <c r="C1074" s="106" t="s">
        <v>2784</v>
      </c>
      <c r="D1074" s="269" t="str">
        <f>VLOOKUP(C1074,lookup!$B$2:$F$1240,2)</f>
        <v>ton</v>
      </c>
      <c r="E1074" s="271">
        <f>VLOOKUP(C1074,lookup!$B$2:$F$1240,5)</f>
        <v>21.63</v>
      </c>
    </row>
    <row r="1075" spans="1:5" x14ac:dyDescent="0.25">
      <c r="A1075" s="169">
        <v>436</v>
      </c>
      <c r="C1075" s="106" t="s">
        <v>699</v>
      </c>
      <c r="D1075" s="269" t="str">
        <f>VLOOKUP(C1075,lookup!$B$2:$F$1240,2)</f>
        <v>ea.</v>
      </c>
      <c r="E1075" s="271">
        <f>VLOOKUP(C1075,lookup!$B$2:$F$1240,5)</f>
        <v>30</v>
      </c>
    </row>
    <row r="1076" spans="1:5" x14ac:dyDescent="0.25">
      <c r="A1076" s="169">
        <v>436</v>
      </c>
      <c r="C1076" s="106" t="s">
        <v>700</v>
      </c>
      <c r="D1076" s="269" t="str">
        <f>VLOOKUP(C1076,lookup!$B$2:$F$1240,2)</f>
        <v>ea.</v>
      </c>
      <c r="E1076" s="271">
        <f>VLOOKUP(C1076,lookup!$B$2:$F$1240,5)</f>
        <v>32</v>
      </c>
    </row>
    <row r="1077" spans="1:5" x14ac:dyDescent="0.25">
      <c r="A1077" s="169">
        <v>436</v>
      </c>
      <c r="C1077" s="106" t="s">
        <v>701</v>
      </c>
      <c r="D1077" s="269" t="str">
        <f>VLOOKUP(C1077,lookup!$B$2:$F$1240,2)</f>
        <v>ea.</v>
      </c>
      <c r="E1077" s="271">
        <f>VLOOKUP(C1077,lookup!$B$2:$F$1240,5)</f>
        <v>46</v>
      </c>
    </row>
    <row r="1078" spans="1:5" x14ac:dyDescent="0.25">
      <c r="A1078" s="169">
        <v>436</v>
      </c>
      <c r="C1078" s="106" t="s">
        <v>702</v>
      </c>
      <c r="D1078" s="269" t="str">
        <f>VLOOKUP(C1078,lookup!$B$2:$F$1240,2)</f>
        <v>ea.</v>
      </c>
      <c r="E1078" s="271">
        <f>VLOOKUP(C1078,lookup!$B$2:$F$1240,5)</f>
        <v>21</v>
      </c>
    </row>
    <row r="1079" spans="1:5" x14ac:dyDescent="0.25">
      <c r="A1079" s="169">
        <v>436</v>
      </c>
      <c r="C1079" s="106" t="s">
        <v>703</v>
      </c>
      <c r="D1079" s="269" t="str">
        <f>VLOOKUP(C1079,lookup!$B$2:$F$1240,2)</f>
        <v>ea.</v>
      </c>
      <c r="E1079" s="271">
        <f>VLOOKUP(C1079,lookup!$B$2:$F$1240,5)</f>
        <v>23</v>
      </c>
    </row>
    <row r="1080" spans="1:5" x14ac:dyDescent="0.25">
      <c r="A1080" s="169">
        <v>436</v>
      </c>
      <c r="C1080" s="106" t="s">
        <v>704</v>
      </c>
      <c r="D1080" s="269" t="str">
        <f>VLOOKUP(C1080,lookup!$B$2:$F$1240,2)</f>
        <v>ea.</v>
      </c>
      <c r="E1080" s="271">
        <f>VLOOKUP(C1080,lookup!$B$2:$F$1240,5)</f>
        <v>26</v>
      </c>
    </row>
    <row r="1081" spans="1:5" x14ac:dyDescent="0.25">
      <c r="A1081" s="169">
        <v>436</v>
      </c>
      <c r="C1081" s="106" t="s">
        <v>2712</v>
      </c>
      <c r="D1081" s="269" t="str">
        <f>VLOOKUP(C1081,lookup!$B$2:$F$1240,2)</f>
        <v>Cu Yd</v>
      </c>
      <c r="E1081" s="271">
        <f>VLOOKUP(C1081,lookup!$B$2:$F$1240,5)</f>
        <v>3.5</v>
      </c>
    </row>
    <row r="1082" spans="1:5" ht="22.8" x14ac:dyDescent="0.25">
      <c r="A1082" s="169">
        <v>436</v>
      </c>
      <c r="C1082" s="106" t="s">
        <v>906</v>
      </c>
      <c r="D1082" s="269">
        <f>VLOOKUP(C1082,lookup!$B$2:$F$1240,2)</f>
        <v>0</v>
      </c>
      <c r="E1082" s="271">
        <f>VLOOKUP(C1082,lookup!$B$2:$F$1240,5)</f>
        <v>0</v>
      </c>
    </row>
    <row r="1083" spans="1:5" ht="22.8" x14ac:dyDescent="0.25">
      <c r="A1083" s="169">
        <v>436</v>
      </c>
      <c r="C1083" s="106" t="s">
        <v>907</v>
      </c>
      <c r="D1083" s="269" t="str">
        <f>VLOOKUP(C1083,lookup!$B$2:$F$1240,2)</f>
        <v>sq ft</v>
      </c>
      <c r="E1083" s="271">
        <f>VLOOKUP(C1083,lookup!$B$2:$F$1240,5)</f>
        <v>0</v>
      </c>
    </row>
    <row r="1084" spans="1:5" ht="22.8" x14ac:dyDescent="0.25">
      <c r="A1084" s="169">
        <v>436</v>
      </c>
      <c r="C1084" s="106" t="s">
        <v>1781</v>
      </c>
      <c r="D1084" s="269">
        <f>VLOOKUP(C1084,lookup!$B$2:$F$1240,2)</f>
        <v>0</v>
      </c>
      <c r="E1084" s="271">
        <f>VLOOKUP(C1084,lookup!$B$2:$F$1240,5)</f>
        <v>0</v>
      </c>
    </row>
    <row r="1085" spans="1:5" ht="22.8" x14ac:dyDescent="0.25">
      <c r="A1085" s="169">
        <v>436</v>
      </c>
      <c r="C1085" s="106" t="s">
        <v>908</v>
      </c>
      <c r="D1085" s="269">
        <f>VLOOKUP(C1085,lookup!$B$2:$F$1240,2)</f>
        <v>0</v>
      </c>
      <c r="E1085" s="271">
        <f>VLOOKUP(C1085,lookup!$B$2:$F$1240,5)</f>
        <v>0</v>
      </c>
    </row>
    <row r="1086" spans="1:5" ht="22.8" x14ac:dyDescent="0.25">
      <c r="A1086" s="169">
        <v>436</v>
      </c>
      <c r="C1086" s="106" t="s">
        <v>909</v>
      </c>
      <c r="D1086" s="269">
        <f>VLOOKUP(C1086,lookup!$B$2:$F$1240,2)</f>
        <v>0</v>
      </c>
      <c r="E1086" s="271">
        <f>VLOOKUP(C1086,lookup!$B$2:$F$1240,5)</f>
        <v>0</v>
      </c>
    </row>
    <row r="1087" spans="1:5" ht="22.8" x14ac:dyDescent="0.25">
      <c r="A1087" s="169">
        <v>436</v>
      </c>
      <c r="C1087" s="106" t="s">
        <v>910</v>
      </c>
      <c r="D1087" s="269">
        <f>VLOOKUP(C1087,lookup!$B$2:$F$1240,2)</f>
        <v>0</v>
      </c>
      <c r="E1087" s="271">
        <f>VLOOKUP(C1087,lookup!$B$2:$F$1240,5)</f>
        <v>0</v>
      </c>
    </row>
    <row r="1088" spans="1:5" x14ac:dyDescent="0.25">
      <c r="A1088" s="169">
        <v>436</v>
      </c>
      <c r="C1088" s="113" t="s">
        <v>706</v>
      </c>
      <c r="D1088" s="269">
        <f>VLOOKUP(C1088,lookup!$B$2:$F$1240,2)</f>
        <v>0</v>
      </c>
      <c r="E1088" s="271">
        <f>VLOOKUP(C1088,lookup!$B$2:$F$1240,5)</f>
        <v>0</v>
      </c>
    </row>
    <row r="1089" spans="1:5" x14ac:dyDescent="0.25">
      <c r="A1089" s="169">
        <v>436</v>
      </c>
      <c r="C1089" s="106" t="s">
        <v>1523</v>
      </c>
      <c r="D1089" s="269">
        <f>VLOOKUP(C1089,lookup!$B$2:$F$1240,2)</f>
        <v>0</v>
      </c>
      <c r="E1089" s="271">
        <f>VLOOKUP(C1089,lookup!$B$2:$F$1240,5)</f>
        <v>0</v>
      </c>
    </row>
    <row r="1090" spans="1:5" x14ac:dyDescent="0.25">
      <c r="A1090" s="169">
        <v>436</v>
      </c>
      <c r="C1090" s="106" t="s">
        <v>243</v>
      </c>
      <c r="D1090" s="269">
        <f>VLOOKUP(C1090,lookup!$B$2:$F$1240,2)</f>
        <v>0</v>
      </c>
      <c r="E1090" s="271">
        <f>VLOOKUP(C1090,lookup!$B$2:$F$1240,5)</f>
        <v>0</v>
      </c>
    </row>
    <row r="1091" spans="1:5" x14ac:dyDescent="0.25">
      <c r="A1091" s="169">
        <v>441</v>
      </c>
      <c r="B1091" s="172" t="s">
        <v>1272</v>
      </c>
      <c r="D1091" s="269" t="e">
        <f>VLOOKUP(C1091,lookup!$B$2:$F$1240,2)</f>
        <v>#N/A</v>
      </c>
      <c r="E1091" s="271" t="e">
        <f>VLOOKUP(C1091,lookup!$B$2:$F$1240,5)</f>
        <v>#N/A</v>
      </c>
    </row>
    <row r="1092" spans="1:5" x14ac:dyDescent="0.25">
      <c r="A1092" s="169">
        <v>442</v>
      </c>
      <c r="B1092" s="172" t="s">
        <v>2621</v>
      </c>
      <c r="C1092" s="109"/>
      <c r="D1092" s="269" t="e">
        <f>VLOOKUP(C1092,lookup!$B$2:$F$1240,2)</f>
        <v>#N/A</v>
      </c>
      <c r="E1092" s="271" t="e">
        <f>VLOOKUP(C1092,lookup!$B$2:$F$1240,5)</f>
        <v>#N/A</v>
      </c>
    </row>
    <row r="1093" spans="1:5" ht="22.8" x14ac:dyDescent="0.25">
      <c r="A1093" s="169">
        <v>442</v>
      </c>
      <c r="C1093" s="106" t="s">
        <v>2799</v>
      </c>
      <c r="D1093" s="269">
        <f>VLOOKUP(C1093,lookup!$B$2:$F$1240,2)</f>
        <v>0</v>
      </c>
      <c r="E1093" s="271">
        <f>VLOOKUP(C1093,lookup!$B$2:$F$1240,5)</f>
        <v>0</v>
      </c>
    </row>
    <row r="1094" spans="1:5" ht="22.8" x14ac:dyDescent="0.25">
      <c r="A1094" s="169">
        <v>442</v>
      </c>
      <c r="C1094" s="106" t="s">
        <v>2177</v>
      </c>
      <c r="D1094" s="269">
        <f>VLOOKUP(C1094,lookup!$B$2:$F$1240,2)</f>
        <v>0</v>
      </c>
      <c r="E1094" s="271">
        <f>VLOOKUP(C1094,lookup!$B$2:$F$1240,5)</f>
        <v>0</v>
      </c>
    </row>
    <row r="1095" spans="1:5" ht="22.8" x14ac:dyDescent="0.25">
      <c r="A1095" s="169">
        <v>442</v>
      </c>
      <c r="C1095" s="106" t="s">
        <v>2549</v>
      </c>
      <c r="D1095" s="269">
        <f>VLOOKUP(C1095,lookup!$B$2:$F$1240,2)</f>
        <v>0</v>
      </c>
      <c r="E1095" s="271">
        <f>VLOOKUP(C1095,lookup!$B$2:$F$1240,5)</f>
        <v>0</v>
      </c>
    </row>
    <row r="1096" spans="1:5" x14ac:dyDescent="0.25">
      <c r="A1096" s="169">
        <v>442</v>
      </c>
      <c r="C1096" s="106" t="s">
        <v>1341</v>
      </c>
      <c r="D1096" s="269" t="str">
        <f>VLOOKUP(C1096,lookup!$B$2:$F$1240,2)</f>
        <v>ft</v>
      </c>
      <c r="E1096" s="271">
        <f>VLOOKUP(C1096,lookup!$B$2:$F$1240,5)</f>
        <v>2</v>
      </c>
    </row>
    <row r="1097" spans="1:5" x14ac:dyDescent="0.25">
      <c r="A1097" s="169">
        <v>442</v>
      </c>
      <c r="C1097" s="106" t="s">
        <v>2540</v>
      </c>
      <c r="D1097" s="269" t="str">
        <f>VLOOKUP(C1097,lookup!$B$2:$F$1240,2)</f>
        <v>ft</v>
      </c>
      <c r="E1097" s="271">
        <f>VLOOKUP(C1097,lookup!$B$2:$F$1240,5)</f>
        <v>2</v>
      </c>
    </row>
    <row r="1098" spans="1:5" x14ac:dyDescent="0.25">
      <c r="A1098" s="169">
        <v>442</v>
      </c>
      <c r="C1098" s="106" t="s">
        <v>2541</v>
      </c>
      <c r="D1098" s="269" t="str">
        <f>VLOOKUP(C1098,lookup!$B$2:$F$1240,2)</f>
        <v>ft</v>
      </c>
      <c r="E1098" s="271">
        <f>VLOOKUP(C1098,lookup!$B$2:$F$1240,5)</f>
        <v>2</v>
      </c>
    </row>
    <row r="1099" spans="1:5" x14ac:dyDescent="0.25">
      <c r="A1099" s="169">
        <v>442</v>
      </c>
      <c r="C1099" s="106" t="s">
        <v>2542</v>
      </c>
      <c r="D1099" s="269" t="str">
        <f>VLOOKUP(C1099,lookup!$B$2:$F$1240,2)</f>
        <v>ft</v>
      </c>
      <c r="E1099" s="271">
        <f>VLOOKUP(C1099,lookup!$B$2:$F$1240,5)</f>
        <v>2</v>
      </c>
    </row>
    <row r="1100" spans="1:5" x14ac:dyDescent="0.25">
      <c r="A1100" s="169">
        <v>442</v>
      </c>
      <c r="C1100" s="106" t="s">
        <v>2548</v>
      </c>
      <c r="D1100" s="269">
        <f>VLOOKUP(C1100,lookup!$B$2:$F$1240,2)</f>
        <v>0</v>
      </c>
      <c r="E1100" s="271">
        <f>VLOOKUP(C1100,lookup!$B$2:$F$1240,5)</f>
        <v>0</v>
      </c>
    </row>
    <row r="1101" spans="1:5" x14ac:dyDescent="0.25">
      <c r="A1101" s="169">
        <v>443</v>
      </c>
      <c r="B1101" s="173" t="s">
        <v>2623</v>
      </c>
      <c r="D1101" s="269" t="e">
        <f>VLOOKUP(C1101,lookup!$B$2:$F$1240,2)</f>
        <v>#N/A</v>
      </c>
      <c r="E1101" s="271" t="e">
        <f>VLOOKUP(C1101,lookup!$B$2:$F$1240,5)</f>
        <v>#N/A</v>
      </c>
    </row>
    <row r="1102" spans="1:5" x14ac:dyDescent="0.25">
      <c r="A1102" s="169">
        <v>449</v>
      </c>
      <c r="B1102" s="172" t="s">
        <v>2627</v>
      </c>
      <c r="D1102" s="269" t="e">
        <f>VLOOKUP(C1102,lookup!$B$2:$F$1240,2)</f>
        <v>#N/A</v>
      </c>
      <c r="E1102" s="271" t="e">
        <f>VLOOKUP(C1102,lookup!$B$2:$F$1240,5)</f>
        <v>#N/A</v>
      </c>
    </row>
    <row r="1103" spans="1:5" ht="22.8" x14ac:dyDescent="0.25">
      <c r="A1103" s="169">
        <v>449</v>
      </c>
      <c r="C1103" s="106" t="s">
        <v>1787</v>
      </c>
      <c r="D1103" s="269" t="str">
        <f>VLOOKUP(C1103,lookup!$B$2:$F$1240,2)</f>
        <v>hr</v>
      </c>
      <c r="E1103" s="271">
        <f>VLOOKUP(C1103,lookup!$B$2:$F$1240,5)</f>
        <v>20</v>
      </c>
    </row>
    <row r="1104" spans="1:5" x14ac:dyDescent="0.25">
      <c r="A1104" s="169">
        <v>449</v>
      </c>
      <c r="C1104" s="106" t="s">
        <v>2758</v>
      </c>
      <c r="D1104" s="269" t="str">
        <f>VLOOKUP(C1104,lookup!$B$2:$F$1240,2)</f>
        <v>each</v>
      </c>
      <c r="E1104" s="271">
        <f>VLOOKUP(C1104,lookup!$B$2:$F$1240,5)</f>
        <v>13000</v>
      </c>
    </row>
    <row r="1105" spans="1:5" x14ac:dyDescent="0.25">
      <c r="A1105" s="169">
        <v>457</v>
      </c>
      <c r="B1105" s="172" t="s">
        <v>2633</v>
      </c>
      <c r="D1105" s="269" t="e">
        <f>VLOOKUP(C1105,lookup!$B$2:$F$1240,2)</f>
        <v>#N/A</v>
      </c>
      <c r="E1105" s="271" t="e">
        <f>VLOOKUP(C1105,lookup!$B$2:$F$1240,5)</f>
        <v>#N/A</v>
      </c>
    </row>
    <row r="1106" spans="1:5" x14ac:dyDescent="0.25">
      <c r="A1106" s="169">
        <v>457</v>
      </c>
      <c r="C1106" s="79" t="s">
        <v>736</v>
      </c>
      <c r="D1106" s="269" t="str">
        <f>VLOOKUP(C1106,lookup!$B$2:$F$1240,2)</f>
        <v>Cu Yd</v>
      </c>
      <c r="E1106" s="271">
        <f>VLOOKUP(C1106,lookup!$B$2:$F$1240,5)</f>
        <v>320</v>
      </c>
    </row>
    <row r="1107" spans="1:5" x14ac:dyDescent="0.25">
      <c r="A1107" s="169">
        <v>457</v>
      </c>
      <c r="C1107" s="79" t="s">
        <v>738</v>
      </c>
      <c r="D1107" s="269" t="str">
        <f>VLOOKUP(C1107,lookup!$B$2:$F$1240,2)</f>
        <v>Cu Yd</v>
      </c>
      <c r="E1107" s="271">
        <f>VLOOKUP(C1107,lookup!$B$2:$F$1240,5)</f>
        <v>320</v>
      </c>
    </row>
    <row r="1108" spans="1:5" x14ac:dyDescent="0.25">
      <c r="A1108" s="169">
        <v>457</v>
      </c>
      <c r="C1108" s="79" t="s">
        <v>737</v>
      </c>
      <c r="D1108" s="269" t="str">
        <f>VLOOKUP(C1108,lookup!$B$2:$F$1240,2)</f>
        <v>Cu Yd</v>
      </c>
      <c r="E1108" s="271">
        <f>VLOOKUP(C1108,lookup!$B$2:$F$1240,5)</f>
        <v>192</v>
      </c>
    </row>
    <row r="1109" spans="1:5" x14ac:dyDescent="0.25">
      <c r="A1109" s="169">
        <v>457</v>
      </c>
      <c r="C1109" s="79" t="s">
        <v>753</v>
      </c>
      <c r="D1109" s="269" t="str">
        <f>VLOOKUP(C1109,lookup!$B$2:$F$1240,2)</f>
        <v>Cu. Yd.</v>
      </c>
      <c r="E1109" s="271">
        <f>VLOOKUP(C1109,lookup!$B$2:$F$1240,5)</f>
        <v>5.2043193999999993</v>
      </c>
    </row>
    <row r="1110" spans="1:5" x14ac:dyDescent="0.25">
      <c r="A1110" s="169">
        <v>457</v>
      </c>
      <c r="C1110" s="79" t="s">
        <v>2406</v>
      </c>
      <c r="D1110" s="269" t="str">
        <f>VLOOKUP(C1110,lookup!$B$2:$F$1240,2)</f>
        <v>Hr.</v>
      </c>
      <c r="E1110" s="271">
        <f>VLOOKUP(C1110,lookup!$B$2:$F$1240,5)</f>
        <v>87</v>
      </c>
    </row>
    <row r="1111" spans="1:5" x14ac:dyDescent="0.25">
      <c r="A1111" s="169">
        <v>457</v>
      </c>
      <c r="C1111" s="79" t="s">
        <v>757</v>
      </c>
      <c r="D1111" s="269" t="str">
        <f>VLOOKUP(C1111,lookup!$B$2:$F$1240,2)</f>
        <v>Cu Yd</v>
      </c>
      <c r="E1111" s="271">
        <f>VLOOKUP(C1111,lookup!$B$2:$F$1240,5)</f>
        <v>12.1</v>
      </c>
    </row>
    <row r="1112" spans="1:5" x14ac:dyDescent="0.25">
      <c r="A1112" s="169">
        <v>457</v>
      </c>
      <c r="C1112" s="79" t="s">
        <v>1179</v>
      </c>
      <c r="D1112" s="269">
        <f>VLOOKUP(C1112,lookup!$B$2:$F$1240,2)</f>
        <v>0</v>
      </c>
      <c r="E1112" s="271">
        <f>VLOOKUP(C1112,lookup!$B$2:$F$1240,5)</f>
        <v>0</v>
      </c>
    </row>
    <row r="1113" spans="1:5" x14ac:dyDescent="0.25">
      <c r="A1113" s="169">
        <v>457</v>
      </c>
      <c r="C1113" s="79" t="s">
        <v>741</v>
      </c>
      <c r="D1113" s="269" t="str">
        <f>VLOOKUP(C1113,lookup!$B$2:$F$1240,2)</f>
        <v>Sq Yd</v>
      </c>
      <c r="E1113" s="271">
        <f>VLOOKUP(C1113,lookup!$B$2:$F$1240,5)</f>
        <v>1.52</v>
      </c>
    </row>
    <row r="1114" spans="1:5" x14ac:dyDescent="0.25">
      <c r="A1114" s="169">
        <v>457</v>
      </c>
      <c r="C1114" s="79" t="s">
        <v>2005</v>
      </c>
      <c r="D1114" s="269" t="str">
        <f>VLOOKUP(C1114,lookup!$B$2:$F$1240,2)</f>
        <v>Sq Ft</v>
      </c>
      <c r="E1114" s="271">
        <f>VLOOKUP(C1114,lookup!$B$2:$F$1240,5)</f>
        <v>6</v>
      </c>
    </row>
    <row r="1115" spans="1:5" x14ac:dyDescent="0.25">
      <c r="A1115" s="169">
        <v>457</v>
      </c>
      <c r="C1115" s="79" t="s">
        <v>1124</v>
      </c>
      <c r="D1115" s="269" t="str">
        <f>VLOOKUP(C1115,lookup!$B$2:$F$1240,2)</f>
        <v>Sq Ft</v>
      </c>
      <c r="E1115" s="271">
        <f>VLOOKUP(C1115,lookup!$B$2:$F$1240,5)</f>
        <v>6</v>
      </c>
    </row>
    <row r="1116" spans="1:5" ht="22.8" x14ac:dyDescent="0.25">
      <c r="A1116" s="169">
        <v>457</v>
      </c>
      <c r="C1116" s="79" t="s">
        <v>733</v>
      </c>
      <c r="D1116" s="269" t="str">
        <f>VLOOKUP(C1116,lookup!$B$2:$F$1240,2)</f>
        <v>Ac.</v>
      </c>
      <c r="E1116" s="271">
        <f>VLOOKUP(C1116,lookup!$B$2:$F$1240,5)</f>
        <v>1475</v>
      </c>
    </row>
    <row r="1117" spans="1:5" x14ac:dyDescent="0.25">
      <c r="A1117" s="169">
        <v>457</v>
      </c>
      <c r="C1117" s="79" t="s">
        <v>732</v>
      </c>
      <c r="D1117" s="269" t="str">
        <f>VLOOKUP(C1117,lookup!$B$2:$F$1240,2)</f>
        <v>Ac.</v>
      </c>
      <c r="E1117" s="271">
        <f>VLOOKUP(C1117,lookup!$B$2:$F$1240,5)</f>
        <v>1475</v>
      </c>
    </row>
    <row r="1118" spans="1:5" x14ac:dyDescent="0.25">
      <c r="A1118" s="169">
        <v>457</v>
      </c>
      <c r="C1118" s="79" t="s">
        <v>754</v>
      </c>
      <c r="D1118" s="269" t="str">
        <f>VLOOKUP(C1118,lookup!$B$2:$F$1240,2)</f>
        <v>Lin Ft</v>
      </c>
      <c r="E1118" s="271">
        <f>VLOOKUP(C1118,lookup!$B$2:$F$1240,5)</f>
        <v>7</v>
      </c>
    </row>
    <row r="1119" spans="1:5" x14ac:dyDescent="0.25">
      <c r="A1119" s="169">
        <v>457</v>
      </c>
      <c r="C1119" s="79" t="s">
        <v>439</v>
      </c>
      <c r="D1119" s="269" t="str">
        <f>VLOOKUP(C1119,lookup!$B$2:$F$1240,2)</f>
        <v>Lin Ft</v>
      </c>
      <c r="E1119" s="271">
        <f>VLOOKUP(C1119,lookup!$B$2:$F$1240,5)</f>
        <v>25</v>
      </c>
    </row>
    <row r="1120" spans="1:5" x14ac:dyDescent="0.25">
      <c r="A1120" s="169">
        <v>457</v>
      </c>
      <c r="C1120" s="79" t="s">
        <v>744</v>
      </c>
      <c r="D1120" s="269" t="str">
        <f>VLOOKUP(C1120,lookup!$B$2:$F$1240,2)</f>
        <v>lb.</v>
      </c>
      <c r="E1120" s="271">
        <f>VLOOKUP(C1120,lookup!$B$2:$F$1240,5)</f>
        <v>0.84</v>
      </c>
    </row>
    <row r="1121" spans="1:5" x14ac:dyDescent="0.25">
      <c r="A1121" s="169">
        <v>457</v>
      </c>
      <c r="C1121" s="79" t="s">
        <v>755</v>
      </c>
      <c r="D1121" s="269" t="str">
        <f>VLOOKUP(C1121,lookup!$B$2:$F$1240,2)</f>
        <v>Ton</v>
      </c>
      <c r="E1121" s="271">
        <f>VLOOKUP(C1121,lookup!$B$2:$F$1240,5)</f>
        <v>22</v>
      </c>
    </row>
    <row r="1122" spans="1:5" x14ac:dyDescent="0.25">
      <c r="A1122" s="169">
        <v>457</v>
      </c>
      <c r="C1122" s="79" t="s">
        <v>2788</v>
      </c>
      <c r="D1122" s="269" t="str">
        <f>VLOOKUP(C1122,lookup!$B$2:$F$1240,2)</f>
        <v>Ea.</v>
      </c>
      <c r="E1122" s="271">
        <f>VLOOKUP(C1122,lookup!$B$2:$F$1240,5)</f>
        <v>24</v>
      </c>
    </row>
    <row r="1123" spans="1:5" x14ac:dyDescent="0.25">
      <c r="A1123" s="169">
        <v>457</v>
      </c>
      <c r="C1123" s="79" t="s">
        <v>756</v>
      </c>
      <c r="D1123" s="269">
        <f>VLOOKUP(C1123,lookup!$B$2:$F$1240,2)</f>
        <v>0</v>
      </c>
      <c r="E1123" s="271">
        <f>VLOOKUP(C1123,lookup!$B$2:$F$1240,5)</f>
        <v>0</v>
      </c>
    </row>
    <row r="1124" spans="1:5" ht="22.8" x14ac:dyDescent="0.25">
      <c r="A1124" s="169">
        <v>457</v>
      </c>
      <c r="C1124" s="79" t="s">
        <v>752</v>
      </c>
      <c r="D1124" s="269" t="str">
        <f>VLOOKUP(C1124,lookup!$B$2:$F$1240,2)</f>
        <v>Cu Yd</v>
      </c>
      <c r="E1124" s="271">
        <f>VLOOKUP(C1124,lookup!$B$2:$F$1240,5)</f>
        <v>4.6500000000000004</v>
      </c>
    </row>
    <row r="1125" spans="1:5" x14ac:dyDescent="0.25">
      <c r="A1125" s="169">
        <v>457</v>
      </c>
      <c r="C1125" s="79" t="s">
        <v>746</v>
      </c>
      <c r="D1125" s="269" t="str">
        <f>VLOOKUP(C1125,lookup!$B$2:$F$1240,2)</f>
        <v>lb.</v>
      </c>
      <c r="E1125" s="271">
        <f>VLOOKUP(C1125,lookup!$B$2:$F$1240,5)</f>
        <v>1.52</v>
      </c>
    </row>
    <row r="1126" spans="1:5" x14ac:dyDescent="0.25">
      <c r="A1126" s="169">
        <v>457</v>
      </c>
      <c r="C1126" s="79" t="s">
        <v>742</v>
      </c>
      <c r="D1126" s="269" t="str">
        <f>VLOOKUP(C1126,lookup!$B$2:$F$1240,2)</f>
        <v>Lin Ft</v>
      </c>
      <c r="E1126" s="271">
        <f>VLOOKUP(C1126,lookup!$B$2:$F$1240,5)</f>
        <v>30</v>
      </c>
    </row>
    <row r="1127" spans="1:5" x14ac:dyDescent="0.25">
      <c r="A1127" s="169">
        <v>457</v>
      </c>
      <c r="C1127" s="79" t="s">
        <v>747</v>
      </c>
      <c r="D1127" s="269" t="str">
        <f>VLOOKUP(C1127,lookup!$B$2:$F$1240,2)</f>
        <v>Lin Ft</v>
      </c>
      <c r="E1127" s="271">
        <f>VLOOKUP(C1127,lookup!$B$2:$F$1240,5)</f>
        <v>40</v>
      </c>
    </row>
    <row r="1128" spans="1:5" x14ac:dyDescent="0.25">
      <c r="A1128" s="169">
        <v>457</v>
      </c>
      <c r="C1128" s="79" t="s">
        <v>748</v>
      </c>
      <c r="D1128" s="269" t="str">
        <f>VLOOKUP(C1128,lookup!$B$2:$F$1240,2)</f>
        <v>cwt.</v>
      </c>
      <c r="E1128" s="271">
        <f>VLOOKUP(C1128,lookup!$B$2:$F$1240,5)</f>
        <v>47.5</v>
      </c>
    </row>
    <row r="1129" spans="1:5" x14ac:dyDescent="0.25">
      <c r="A1129" s="169">
        <v>457</v>
      </c>
      <c r="C1129" s="79" t="s">
        <v>749</v>
      </c>
      <c r="D1129" s="269" t="str">
        <f>VLOOKUP(C1129,lookup!$B$2:$F$1240,2)</f>
        <v>cwt.</v>
      </c>
      <c r="E1129" s="271">
        <f>VLOOKUP(C1129,lookup!$B$2:$F$1240,5)</f>
        <v>45</v>
      </c>
    </row>
    <row r="1130" spans="1:5" x14ac:dyDescent="0.25">
      <c r="A1130" s="169">
        <v>457</v>
      </c>
      <c r="C1130" s="79" t="s">
        <v>1385</v>
      </c>
      <c r="D1130" s="269" t="str">
        <f>VLOOKUP(C1130,lookup!$B$2:$F$1240,2)</f>
        <v>cwt.</v>
      </c>
      <c r="E1130" s="271">
        <f>VLOOKUP(C1130,lookup!$B$2:$F$1240,5)</f>
        <v>10</v>
      </c>
    </row>
    <row r="1131" spans="1:5" x14ac:dyDescent="0.25">
      <c r="A1131" s="169">
        <v>466</v>
      </c>
      <c r="B1131" s="172" t="s">
        <v>2629</v>
      </c>
      <c r="D1131" s="269" t="e">
        <f>VLOOKUP(C1131,lookup!$B$2:$F$1240,2)</f>
        <v>#N/A</v>
      </c>
      <c r="E1131" s="271" t="e">
        <f>VLOOKUP(C1131,lookup!$B$2:$F$1240,5)</f>
        <v>#N/A</v>
      </c>
    </row>
    <row r="1132" spans="1:5" x14ac:dyDescent="0.25">
      <c r="A1132" s="169">
        <v>466</v>
      </c>
      <c r="C1132" s="106" t="s">
        <v>1389</v>
      </c>
      <c r="D1132" s="269" t="str">
        <f>VLOOKUP(C1132,lookup!$B$2:$F$1240,2)</f>
        <v>ac</v>
      </c>
      <c r="E1132" s="271">
        <f>VLOOKUP(C1132,lookup!$B$2:$F$1240,5)</f>
        <v>14</v>
      </c>
    </row>
    <row r="1133" spans="1:5" x14ac:dyDescent="0.25">
      <c r="A1133" s="169">
        <v>466</v>
      </c>
      <c r="C1133" s="106" t="s">
        <v>2159</v>
      </c>
      <c r="D1133" s="269" t="str">
        <f>VLOOKUP(C1133,lookup!$B$2:$F$1240,2)</f>
        <v>Cu. Yd.</v>
      </c>
      <c r="E1133" s="271">
        <f>VLOOKUP(C1133,lookup!$B$2:$F$1240,5)</f>
        <v>3</v>
      </c>
    </row>
    <row r="1134" spans="1:5" x14ac:dyDescent="0.25">
      <c r="A1134" s="169">
        <v>466</v>
      </c>
      <c r="C1134" s="106" t="s">
        <v>2158</v>
      </c>
      <c r="D1134" s="269" t="str">
        <f>VLOOKUP(C1134,lookup!$B$2:$F$1240,2)</f>
        <v>Cu. Yd.</v>
      </c>
      <c r="E1134" s="271">
        <f>VLOOKUP(C1134,lookup!$B$2:$F$1240,5)</f>
        <v>3</v>
      </c>
    </row>
    <row r="1135" spans="1:5" x14ac:dyDescent="0.25">
      <c r="A1135" s="169">
        <v>466</v>
      </c>
      <c r="C1135" s="106" t="s">
        <v>2712</v>
      </c>
      <c r="D1135" s="269" t="str">
        <f>VLOOKUP(C1135,lookup!$B$2:$F$1240,2)</f>
        <v>Cu Yd</v>
      </c>
      <c r="E1135" s="271">
        <f>VLOOKUP(C1135,lookup!$B$2:$F$1240,5)</f>
        <v>3.5</v>
      </c>
    </row>
    <row r="1136" spans="1:5" ht="22.8" x14ac:dyDescent="0.25">
      <c r="A1136" s="169">
        <v>466</v>
      </c>
      <c r="C1136" s="106" t="s">
        <v>1475</v>
      </c>
      <c r="D1136" s="269">
        <f>VLOOKUP(C1136,lookup!$B$2:$F$1240,2)</f>
        <v>0</v>
      </c>
      <c r="E1136" s="271">
        <f>VLOOKUP(C1136,lookup!$B$2:$F$1240,5)</f>
        <v>0</v>
      </c>
    </row>
    <row r="1137" spans="1:5" ht="22.8" x14ac:dyDescent="0.25">
      <c r="A1137" s="169">
        <v>466</v>
      </c>
      <c r="C1137" s="106" t="s">
        <v>907</v>
      </c>
      <c r="D1137" s="269" t="str">
        <f>VLOOKUP(C1137,lookup!$B$2:$F$1240,2)</f>
        <v>sq ft</v>
      </c>
      <c r="E1137" s="271">
        <f>VLOOKUP(C1137,lookup!$B$2:$F$1240,5)</f>
        <v>0</v>
      </c>
    </row>
    <row r="1138" spans="1:5" ht="22.8" x14ac:dyDescent="0.25">
      <c r="A1138" s="169">
        <v>466</v>
      </c>
      <c r="C1138" s="106" t="s">
        <v>908</v>
      </c>
      <c r="D1138" s="269">
        <f>VLOOKUP(C1138,lookup!$B$2:$F$1240,2)</f>
        <v>0</v>
      </c>
      <c r="E1138" s="271">
        <f>VLOOKUP(C1138,lookup!$B$2:$F$1240,5)</f>
        <v>0</v>
      </c>
    </row>
    <row r="1139" spans="1:5" x14ac:dyDescent="0.25">
      <c r="A1139" s="169">
        <v>466</v>
      </c>
      <c r="C1139" s="106" t="s">
        <v>1523</v>
      </c>
      <c r="D1139" s="269">
        <f>VLOOKUP(C1139,lookup!$B$2:$F$1240,2)</f>
        <v>0</v>
      </c>
      <c r="E1139" s="271">
        <f>VLOOKUP(C1139,lookup!$B$2:$F$1240,5)</f>
        <v>0</v>
      </c>
    </row>
    <row r="1140" spans="1:5" x14ac:dyDescent="0.25">
      <c r="A1140" s="169">
        <v>466</v>
      </c>
      <c r="C1140" s="106" t="s">
        <v>243</v>
      </c>
      <c r="D1140" s="269">
        <f>VLOOKUP(C1140,lookup!$B$2:$F$1240,2)</f>
        <v>0</v>
      </c>
      <c r="E1140" s="271">
        <f>VLOOKUP(C1140,lookup!$B$2:$F$1240,5)</f>
        <v>0</v>
      </c>
    </row>
    <row r="1141" spans="1:5" x14ac:dyDescent="0.25">
      <c r="A1141" s="169">
        <v>468</v>
      </c>
      <c r="B1141" s="172" t="s">
        <v>2630</v>
      </c>
      <c r="D1141" s="269" t="e">
        <f>VLOOKUP(C1141,lookup!$B$2:$F$1240,2)</f>
        <v>#N/A</v>
      </c>
      <c r="E1141" s="271" t="e">
        <f>VLOOKUP(C1141,lookup!$B$2:$F$1240,5)</f>
        <v>#N/A</v>
      </c>
    </row>
    <row r="1142" spans="1:5" x14ac:dyDescent="0.25">
      <c r="A1142" s="169">
        <v>468</v>
      </c>
      <c r="C1142" s="106" t="s">
        <v>1376</v>
      </c>
      <c r="D1142" s="269" t="str">
        <f>VLOOKUP(C1142,lookup!$B$2:$F$1240,2)</f>
        <v>cu yd</v>
      </c>
      <c r="E1142" s="271">
        <f>VLOOKUP(C1142,lookup!$B$2:$F$1240,5)</f>
        <v>3.5</v>
      </c>
    </row>
    <row r="1143" spans="1:5" x14ac:dyDescent="0.25">
      <c r="A1143" s="169">
        <v>468</v>
      </c>
      <c r="C1143" s="106" t="s">
        <v>1110</v>
      </c>
      <c r="D1143" s="269" t="str">
        <f>VLOOKUP(C1143,lookup!$B$2:$F$1240,2)</f>
        <v>Cu Yd</v>
      </c>
      <c r="E1143" s="271">
        <f>VLOOKUP(C1143,lookup!$B$2:$F$1240,5)</f>
        <v>0</v>
      </c>
    </row>
    <row r="1144" spans="1:5" x14ac:dyDescent="0.25">
      <c r="A1144" s="169">
        <v>468</v>
      </c>
      <c r="C1144" s="106" t="s">
        <v>1034</v>
      </c>
      <c r="D1144" s="269" t="str">
        <f>VLOOKUP(C1144,lookup!$B$2:$F$1240,2)</f>
        <v>l.s.</v>
      </c>
      <c r="E1144" s="271">
        <f>VLOOKUP(C1144,lookup!$B$2:$F$1240,5)</f>
        <v>400</v>
      </c>
    </row>
    <row r="1145" spans="1:5" x14ac:dyDescent="0.25">
      <c r="A1145" s="169">
        <v>468</v>
      </c>
      <c r="C1145" s="106" t="s">
        <v>2699</v>
      </c>
      <c r="D1145" s="269" t="str">
        <f>VLOOKUP(C1145,lookup!$B$2:$F$1240,2)</f>
        <v>hr</v>
      </c>
      <c r="E1145" s="271">
        <f>VLOOKUP(C1145,lookup!$B$2:$F$1240,5)</f>
        <v>100</v>
      </c>
    </row>
    <row r="1146" spans="1:5" ht="22.8" x14ac:dyDescent="0.25">
      <c r="A1146" s="169">
        <v>468</v>
      </c>
      <c r="C1146" s="106" t="s">
        <v>2655</v>
      </c>
      <c r="D1146" s="269" t="str">
        <f>VLOOKUP(C1146,lookup!$B$2:$F$1240,2)</f>
        <v>lin ft</v>
      </c>
      <c r="E1146" s="271">
        <f>VLOOKUP(C1146,lookup!$B$2:$F$1240,5)</f>
        <v>20</v>
      </c>
    </row>
    <row r="1147" spans="1:5" ht="22.8" x14ac:dyDescent="0.25">
      <c r="A1147" s="169">
        <v>468</v>
      </c>
      <c r="C1147" s="106" t="s">
        <v>1309</v>
      </c>
      <c r="D1147" s="269" t="str">
        <f>VLOOKUP(C1147,lookup!$B$2:$F$1240,2)</f>
        <v>lin ft</v>
      </c>
      <c r="E1147" s="271">
        <f>VLOOKUP(C1147,lookup!$B$2:$F$1240,5)</f>
        <v>20</v>
      </c>
    </row>
    <row r="1148" spans="1:5" ht="22.8" x14ac:dyDescent="0.25">
      <c r="A1148" s="169">
        <v>468</v>
      </c>
      <c r="C1148" s="106" t="s">
        <v>2656</v>
      </c>
      <c r="D1148" s="269" t="str">
        <f>VLOOKUP(C1148,lookup!$B$2:$F$1240,2)</f>
        <v>lin ft</v>
      </c>
      <c r="E1148" s="271">
        <f>VLOOKUP(C1148,lookup!$B$2:$F$1240,5)</f>
        <v>20</v>
      </c>
    </row>
    <row r="1149" spans="1:5" ht="22.8" x14ac:dyDescent="0.25">
      <c r="A1149" s="169">
        <v>468</v>
      </c>
      <c r="C1149" s="106" t="s">
        <v>214</v>
      </c>
      <c r="D1149" s="269" t="str">
        <f>VLOOKUP(C1149,lookup!$B$2:$F$1240,2)</f>
        <v>lin ft</v>
      </c>
      <c r="E1149" s="271">
        <f>VLOOKUP(C1149,lookup!$B$2:$F$1240,5)</f>
        <v>20</v>
      </c>
    </row>
    <row r="1150" spans="1:5" ht="22.8" x14ac:dyDescent="0.25">
      <c r="A1150" s="169">
        <v>468</v>
      </c>
      <c r="C1150" s="106" t="s">
        <v>1481</v>
      </c>
      <c r="D1150" s="269" t="str">
        <f>VLOOKUP(C1150,lookup!$B$2:$F$1240,2)</f>
        <v>lin ft</v>
      </c>
      <c r="E1150" s="271">
        <f>VLOOKUP(C1150,lookup!$B$2:$F$1240,5)</f>
        <v>20</v>
      </c>
    </row>
    <row r="1151" spans="1:5" ht="22.8" x14ac:dyDescent="0.25">
      <c r="A1151" s="169">
        <v>468</v>
      </c>
      <c r="C1151" s="106" t="s">
        <v>2168</v>
      </c>
      <c r="D1151" s="269" t="str">
        <f>VLOOKUP(C1151,lookup!$B$2:$F$1240,2)</f>
        <v>lin ft</v>
      </c>
      <c r="E1151" s="271">
        <f>VLOOKUP(C1151,lookup!$B$2:$F$1240,5)</f>
        <v>20</v>
      </c>
    </row>
    <row r="1152" spans="1:5" ht="22.8" x14ac:dyDescent="0.25">
      <c r="A1152" s="169">
        <v>468</v>
      </c>
      <c r="C1152" s="106" t="s">
        <v>438</v>
      </c>
      <c r="D1152" s="269" t="str">
        <f>VLOOKUP(C1152,lookup!$B$2:$F$1240,2)</f>
        <v>lin ft</v>
      </c>
      <c r="E1152" s="271">
        <f>VLOOKUP(C1152,lookup!$B$2:$F$1240,5)</f>
        <v>20</v>
      </c>
    </row>
    <row r="1153" spans="1:5" ht="22.8" x14ac:dyDescent="0.25">
      <c r="A1153" s="169">
        <v>468</v>
      </c>
      <c r="C1153" s="106" t="s">
        <v>1981</v>
      </c>
      <c r="D1153" s="269" t="str">
        <f>VLOOKUP(C1153,lookup!$B$2:$F$1240,2)</f>
        <v>lin ft</v>
      </c>
      <c r="E1153" s="271">
        <f>VLOOKUP(C1153,lookup!$B$2:$F$1240,5)</f>
        <v>20</v>
      </c>
    </row>
    <row r="1154" spans="1:5" ht="22.8" x14ac:dyDescent="0.25">
      <c r="A1154" s="169">
        <v>468</v>
      </c>
      <c r="C1154" s="106" t="s">
        <v>1397</v>
      </c>
      <c r="D1154" s="269" t="str">
        <f>VLOOKUP(C1154,lookup!$B$2:$F$1240,2)</f>
        <v>lin ft</v>
      </c>
      <c r="E1154" s="271">
        <f>VLOOKUP(C1154,lookup!$B$2:$F$1240,5)</f>
        <v>20</v>
      </c>
    </row>
    <row r="1155" spans="1:5" ht="22.8" x14ac:dyDescent="0.25">
      <c r="A1155" s="169">
        <v>468</v>
      </c>
      <c r="C1155" s="106" t="s">
        <v>1982</v>
      </c>
      <c r="D1155" s="269" t="str">
        <f>VLOOKUP(C1155,lookup!$B$2:$F$1240,2)</f>
        <v>lin ft</v>
      </c>
      <c r="E1155" s="271">
        <f>VLOOKUP(C1155,lookup!$B$2:$F$1240,5)</f>
        <v>20</v>
      </c>
    </row>
    <row r="1156" spans="1:5" x14ac:dyDescent="0.25">
      <c r="A1156" s="169">
        <v>468</v>
      </c>
      <c r="C1156" s="106" t="s">
        <v>1999</v>
      </c>
      <c r="D1156" s="269" t="str">
        <f>VLOOKUP(C1156,lookup!$B$2:$F$1240,2)</f>
        <v>ton</v>
      </c>
      <c r="E1156" s="271">
        <f>VLOOKUP(C1156,lookup!$B$2:$F$1240,5)</f>
        <v>21.63</v>
      </c>
    </row>
    <row r="1157" spans="1:5" x14ac:dyDescent="0.25">
      <c r="A1157" s="169">
        <v>468</v>
      </c>
      <c r="C1157" s="106" t="s">
        <v>2786</v>
      </c>
      <c r="D1157" s="269" t="str">
        <f>VLOOKUP(C1157,lookup!$B$2:$F$1240,2)</f>
        <v>ton</v>
      </c>
      <c r="E1157" s="271">
        <f>VLOOKUP(C1157,lookup!$B$2:$F$1240,5)</f>
        <v>21.63</v>
      </c>
    </row>
    <row r="1158" spans="1:5" x14ac:dyDescent="0.25">
      <c r="A1158" s="169">
        <v>468</v>
      </c>
      <c r="C1158" s="106" t="s">
        <v>2784</v>
      </c>
      <c r="D1158" s="269" t="str">
        <f>VLOOKUP(C1158,lookup!$B$2:$F$1240,2)</f>
        <v>ton</v>
      </c>
      <c r="E1158" s="271">
        <f>VLOOKUP(C1158,lookup!$B$2:$F$1240,5)</f>
        <v>21.63</v>
      </c>
    </row>
    <row r="1159" spans="1:5" x14ac:dyDescent="0.25">
      <c r="A1159" s="169">
        <v>468</v>
      </c>
      <c r="C1159" s="106" t="s">
        <v>2712</v>
      </c>
      <c r="D1159" s="269" t="str">
        <f>VLOOKUP(C1159,lookup!$B$2:$F$1240,2)</f>
        <v>Cu Yd</v>
      </c>
      <c r="E1159" s="271">
        <f>VLOOKUP(C1159,lookup!$B$2:$F$1240,5)</f>
        <v>3.5</v>
      </c>
    </row>
    <row r="1160" spans="1:5" ht="22.8" x14ac:dyDescent="0.25">
      <c r="A1160" s="169">
        <v>468</v>
      </c>
      <c r="C1160" s="106" t="s">
        <v>906</v>
      </c>
      <c r="D1160" s="269">
        <f>VLOOKUP(C1160,lookup!$B$2:$F$1240,2)</f>
        <v>0</v>
      </c>
      <c r="E1160" s="271">
        <f>VLOOKUP(C1160,lookup!$B$2:$F$1240,5)</f>
        <v>0</v>
      </c>
    </row>
    <row r="1161" spans="1:5" ht="22.8" x14ac:dyDescent="0.25">
      <c r="A1161" s="169">
        <v>468</v>
      </c>
      <c r="C1161" s="106" t="s">
        <v>907</v>
      </c>
      <c r="D1161" s="269" t="str">
        <f>VLOOKUP(C1161,lookup!$B$2:$F$1240,2)</f>
        <v>sq ft</v>
      </c>
      <c r="E1161" s="271">
        <f>VLOOKUP(C1161,lookup!$B$2:$F$1240,5)</f>
        <v>0</v>
      </c>
    </row>
    <row r="1162" spans="1:5" ht="22.8" x14ac:dyDescent="0.25">
      <c r="A1162" s="169">
        <v>468</v>
      </c>
      <c r="C1162" s="106" t="s">
        <v>1781</v>
      </c>
      <c r="D1162" s="269">
        <f>VLOOKUP(C1162,lookup!$B$2:$F$1240,2)</f>
        <v>0</v>
      </c>
      <c r="E1162" s="271">
        <f>VLOOKUP(C1162,lookup!$B$2:$F$1240,5)</f>
        <v>0</v>
      </c>
    </row>
    <row r="1163" spans="1:5" ht="22.8" x14ac:dyDescent="0.25">
      <c r="A1163" s="169">
        <v>468</v>
      </c>
      <c r="C1163" s="106" t="s">
        <v>908</v>
      </c>
      <c r="D1163" s="269">
        <f>VLOOKUP(C1163,lookup!$B$2:$F$1240,2)</f>
        <v>0</v>
      </c>
      <c r="E1163" s="271">
        <f>VLOOKUP(C1163,lookup!$B$2:$F$1240,5)</f>
        <v>0</v>
      </c>
    </row>
    <row r="1164" spans="1:5" ht="22.8" x14ac:dyDescent="0.25">
      <c r="A1164" s="169">
        <v>468</v>
      </c>
      <c r="C1164" s="106" t="s">
        <v>909</v>
      </c>
      <c r="D1164" s="269">
        <f>VLOOKUP(C1164,lookup!$B$2:$F$1240,2)</f>
        <v>0</v>
      </c>
      <c r="E1164" s="271">
        <f>VLOOKUP(C1164,lookup!$B$2:$F$1240,5)</f>
        <v>0</v>
      </c>
    </row>
    <row r="1165" spans="1:5" ht="22.8" x14ac:dyDescent="0.25">
      <c r="A1165" s="169">
        <v>468</v>
      </c>
      <c r="C1165" s="106" t="s">
        <v>910</v>
      </c>
      <c r="D1165" s="269">
        <f>VLOOKUP(C1165,lookup!$B$2:$F$1240,2)</f>
        <v>0</v>
      </c>
      <c r="E1165" s="271">
        <f>VLOOKUP(C1165,lookup!$B$2:$F$1240,5)</f>
        <v>0</v>
      </c>
    </row>
    <row r="1166" spans="1:5" x14ac:dyDescent="0.25">
      <c r="A1166" s="169">
        <v>468</v>
      </c>
      <c r="C1166" s="106" t="s">
        <v>1523</v>
      </c>
      <c r="D1166" s="269">
        <f>VLOOKUP(C1166,lookup!$B$2:$F$1240,2)</f>
        <v>0</v>
      </c>
      <c r="E1166" s="271">
        <f>VLOOKUP(C1166,lookup!$B$2:$F$1240,5)</f>
        <v>0</v>
      </c>
    </row>
    <row r="1167" spans="1:5" x14ac:dyDescent="0.25">
      <c r="A1167" s="169">
        <v>468</v>
      </c>
      <c r="C1167" s="106" t="s">
        <v>13</v>
      </c>
      <c r="D1167" s="269" t="str">
        <f>VLOOKUP(C1167,lookup!$B$2:$F$1240,2)</f>
        <v>lb</v>
      </c>
      <c r="E1167" s="271">
        <f>VLOOKUP(C1167,lookup!$B$2:$F$1240,5)</f>
        <v>0.03</v>
      </c>
    </row>
    <row r="1168" spans="1:5" x14ac:dyDescent="0.25">
      <c r="A1168" s="169">
        <v>468</v>
      </c>
      <c r="C1168" s="106" t="s">
        <v>243</v>
      </c>
      <c r="D1168" s="269">
        <f>VLOOKUP(C1168,lookup!$B$2:$F$1240,2)</f>
        <v>0</v>
      </c>
      <c r="E1168" s="271">
        <f>VLOOKUP(C1168,lookup!$B$2:$F$1240,5)</f>
        <v>0</v>
      </c>
    </row>
    <row r="1169" spans="1:6" x14ac:dyDescent="0.25">
      <c r="A1169" s="169">
        <v>472</v>
      </c>
      <c r="B1169" s="174" t="s">
        <v>2964</v>
      </c>
      <c r="D1169" s="269" t="e">
        <f>VLOOKUP(C1169,lookup!$B$2:$F$1240,2)</f>
        <v>#N/A</v>
      </c>
      <c r="E1169" s="271" t="e">
        <f>VLOOKUP(C1169,lookup!$B$2:$F$1240,5)</f>
        <v>#N/A</v>
      </c>
      <c r="F1169" s="118"/>
    </row>
    <row r="1170" spans="1:6" x14ac:dyDescent="0.25">
      <c r="A1170" s="169">
        <v>472</v>
      </c>
      <c r="B1170" s="173" t="s">
        <v>378</v>
      </c>
      <c r="D1170" s="269" t="e">
        <f>VLOOKUP(C1170,lookup!$B$2:$F$1240,2)</f>
        <v>#N/A</v>
      </c>
      <c r="E1170" s="271" t="e">
        <f>VLOOKUP(C1170,lookup!$B$2:$F$1240,5)</f>
        <v>#N/A</v>
      </c>
    </row>
    <row r="1171" spans="1:6" x14ac:dyDescent="0.25">
      <c r="A1171" s="169">
        <v>472</v>
      </c>
      <c r="B1171" s="174"/>
      <c r="C1171" s="106" t="s">
        <v>437</v>
      </c>
      <c r="D1171" s="269">
        <f>VLOOKUP(C1171,lookup!$B$2:$F$1240,2)</f>
        <v>0</v>
      </c>
      <c r="E1171" s="271">
        <f>VLOOKUP(C1171,lookup!$B$2:$F$1240,5)</f>
        <v>0</v>
      </c>
      <c r="F1171" s="118"/>
    </row>
    <row r="1172" spans="1:6" x14ac:dyDescent="0.25">
      <c r="A1172" s="169">
        <v>472</v>
      </c>
      <c r="B1172" s="174"/>
      <c r="C1172" s="106" t="s">
        <v>232</v>
      </c>
      <c r="D1172" s="269" t="str">
        <f>VLOOKUP(C1172,lookup!$B$2:$F$1240,2)</f>
        <v>hr</v>
      </c>
      <c r="E1172" s="271">
        <f>VLOOKUP(C1172,lookup!$B$2:$F$1240,5)</f>
        <v>191</v>
      </c>
      <c r="F1172" s="118"/>
    </row>
    <row r="1173" spans="1:6" x14ac:dyDescent="0.25">
      <c r="A1173" s="169">
        <v>472</v>
      </c>
      <c r="B1173" s="174"/>
      <c r="C1173" s="106" t="s">
        <v>1376</v>
      </c>
      <c r="D1173" s="269" t="str">
        <f>VLOOKUP(C1173,lookup!$B$2:$F$1240,2)</f>
        <v>cu yd</v>
      </c>
      <c r="E1173" s="271">
        <f>VLOOKUP(C1173,lookup!$B$2:$F$1240,5)</f>
        <v>3.5</v>
      </c>
      <c r="F1173" s="118"/>
    </row>
    <row r="1174" spans="1:6" x14ac:dyDescent="0.25">
      <c r="A1174" s="169">
        <v>472</v>
      </c>
      <c r="B1174" s="174"/>
      <c r="C1174" s="106" t="s">
        <v>1110</v>
      </c>
      <c r="D1174" s="269" t="str">
        <f>VLOOKUP(C1174,lookup!$B$2:$F$1240,2)</f>
        <v>Cu Yd</v>
      </c>
      <c r="E1174" s="271">
        <f>VLOOKUP(C1174,lookup!$B$2:$F$1240,5)</f>
        <v>0</v>
      </c>
      <c r="F1174" s="118"/>
    </row>
    <row r="1175" spans="1:6" x14ac:dyDescent="0.25">
      <c r="A1175" s="169">
        <v>472</v>
      </c>
      <c r="B1175" s="174"/>
      <c r="C1175" s="106" t="s">
        <v>1610</v>
      </c>
      <c r="D1175" s="269">
        <f>VLOOKUP(C1175,lookup!$B$2:$F$1240,2)</f>
        <v>0</v>
      </c>
      <c r="E1175" s="271">
        <f>VLOOKUP(C1175,lookup!$B$2:$F$1240,5)</f>
        <v>0</v>
      </c>
      <c r="F1175" s="118"/>
    </row>
    <row r="1176" spans="1:6" x14ac:dyDescent="0.25">
      <c r="A1176" s="169">
        <v>472</v>
      </c>
      <c r="B1176" s="174"/>
      <c r="C1176" s="106" t="s">
        <v>1034</v>
      </c>
      <c r="D1176" s="269" t="str">
        <f>VLOOKUP(C1176,lookup!$B$2:$F$1240,2)</f>
        <v>l.s.</v>
      </c>
      <c r="E1176" s="271">
        <f>VLOOKUP(C1176,lookup!$B$2:$F$1240,5)</f>
        <v>400</v>
      </c>
      <c r="F1176" s="118"/>
    </row>
    <row r="1177" spans="1:6" x14ac:dyDescent="0.25">
      <c r="A1177" s="169">
        <v>472</v>
      </c>
      <c r="B1177" s="174"/>
      <c r="C1177" s="106" t="s">
        <v>1465</v>
      </c>
      <c r="D1177" s="269">
        <f>VLOOKUP(C1177,lookup!$B$2:$F$1240,2)</f>
        <v>0</v>
      </c>
      <c r="E1177" s="271">
        <f>VLOOKUP(C1177,lookup!$B$2:$F$1240,5)</f>
        <v>0</v>
      </c>
      <c r="F1177" s="118"/>
    </row>
    <row r="1178" spans="1:6" x14ac:dyDescent="0.25">
      <c r="A1178" s="169">
        <v>472</v>
      </c>
      <c r="B1178" s="174"/>
      <c r="C1178" s="113" t="s">
        <v>1179</v>
      </c>
      <c r="D1178" s="269">
        <f>VLOOKUP(C1178,lookup!$B$2:$F$1240,2)</f>
        <v>0</v>
      </c>
      <c r="E1178" s="271">
        <f>VLOOKUP(C1178,lookup!$B$2:$F$1240,5)</f>
        <v>0</v>
      </c>
      <c r="F1178" s="118"/>
    </row>
    <row r="1179" spans="1:6" x14ac:dyDescent="0.25">
      <c r="A1179" s="169">
        <v>472</v>
      </c>
      <c r="B1179" s="174"/>
      <c r="C1179" s="106" t="s">
        <v>476</v>
      </c>
      <c r="D1179" s="269" t="str">
        <f>VLOOKUP(C1179,lookup!$B$2:$F$1240,2)</f>
        <v>Cu Yd</v>
      </c>
      <c r="E1179" s="271">
        <f>VLOOKUP(C1179,lookup!$B$2:$F$1240,5)</f>
        <v>40</v>
      </c>
      <c r="F1179" s="118"/>
    </row>
    <row r="1180" spans="1:6" x14ac:dyDescent="0.25">
      <c r="A1180" s="169">
        <v>472</v>
      </c>
      <c r="B1180" s="174"/>
      <c r="C1180" s="106" t="s">
        <v>477</v>
      </c>
      <c r="D1180" s="269" t="str">
        <f>VLOOKUP(C1180,lookup!$B$2:$F$1240,2)</f>
        <v>ton</v>
      </c>
      <c r="E1180" s="271">
        <f>VLOOKUP(C1180,lookup!$B$2:$F$1240,5)</f>
        <v>20</v>
      </c>
      <c r="F1180" s="118"/>
    </row>
    <row r="1181" spans="1:6" x14ac:dyDescent="0.25">
      <c r="A1181" s="169">
        <v>472</v>
      </c>
      <c r="B1181" s="174"/>
      <c r="C1181" s="106" t="s">
        <v>725</v>
      </c>
      <c r="D1181" s="269" t="str">
        <f>VLOOKUP(C1181,lookup!$B$2:$F$1240,2)</f>
        <v>ft</v>
      </c>
      <c r="E1181" s="271">
        <f>VLOOKUP(C1181,lookup!$B$2:$F$1240,5)</f>
        <v>6.6</v>
      </c>
      <c r="F1181" s="118"/>
    </row>
    <row r="1182" spans="1:6" x14ac:dyDescent="0.25">
      <c r="A1182" s="169">
        <v>472</v>
      </c>
      <c r="B1182" s="174"/>
      <c r="C1182" s="100" t="s">
        <v>1042</v>
      </c>
      <c r="D1182" s="269" t="str">
        <f>VLOOKUP(C1182,lookup!$B$2:$F$1240,2)</f>
        <v>Ea.</v>
      </c>
      <c r="E1182" s="271">
        <f>VLOOKUP(C1182,lookup!$B$2:$F$1240,5)</f>
        <v>65</v>
      </c>
      <c r="F1182" s="118"/>
    </row>
    <row r="1183" spans="1:6" x14ac:dyDescent="0.25">
      <c r="A1183" s="169">
        <v>472</v>
      </c>
      <c r="B1183" s="174"/>
      <c r="C1183" s="100" t="s">
        <v>1039</v>
      </c>
      <c r="D1183" s="269" t="str">
        <f>VLOOKUP(C1183,lookup!$B$2:$F$1240,2)</f>
        <v>Ea.</v>
      </c>
      <c r="E1183" s="271">
        <f>VLOOKUP(C1183,lookup!$B$2:$F$1240,5)</f>
        <v>65</v>
      </c>
      <c r="F1183" s="118"/>
    </row>
    <row r="1184" spans="1:6" ht="22.8" x14ac:dyDescent="0.25">
      <c r="A1184" s="169">
        <v>472</v>
      </c>
      <c r="B1184" s="174"/>
      <c r="C1184" s="100" t="s">
        <v>1040</v>
      </c>
      <c r="D1184" s="269" t="str">
        <f>VLOOKUP(C1184,lookup!$B$2:$F$1240,2)</f>
        <v>Ea.</v>
      </c>
      <c r="E1184" s="271">
        <f>VLOOKUP(C1184,lookup!$B$2:$F$1240,5)</f>
        <v>65</v>
      </c>
      <c r="F1184" s="118"/>
    </row>
    <row r="1185" spans="1:6" x14ac:dyDescent="0.25">
      <c r="A1185" s="169">
        <v>472</v>
      </c>
      <c r="B1185" s="174"/>
      <c r="C1185" s="100" t="s">
        <v>1041</v>
      </c>
      <c r="D1185" s="269" t="str">
        <f>VLOOKUP(C1185,lookup!$B$2:$F$1240,2)</f>
        <v>Ea.</v>
      </c>
      <c r="E1185" s="271">
        <f>VLOOKUP(C1185,lookup!$B$2:$F$1240,5)</f>
        <v>65</v>
      </c>
      <c r="F1185" s="118"/>
    </row>
    <row r="1186" spans="1:6" x14ac:dyDescent="0.25">
      <c r="A1186" s="169">
        <v>472</v>
      </c>
      <c r="B1186" s="174"/>
      <c r="C1186" s="106" t="s">
        <v>2712</v>
      </c>
      <c r="D1186" s="269" t="str">
        <f>VLOOKUP(C1186,lookup!$B$2:$F$1240,2)</f>
        <v>Cu Yd</v>
      </c>
      <c r="E1186" s="271">
        <f>VLOOKUP(C1186,lookup!$B$2:$F$1240,5)</f>
        <v>3.5</v>
      </c>
      <c r="F1186" s="118"/>
    </row>
    <row r="1187" spans="1:6" x14ac:dyDescent="0.25">
      <c r="A1187" s="169">
        <v>472</v>
      </c>
      <c r="B1187" s="174"/>
      <c r="C1187" s="106" t="s">
        <v>723</v>
      </c>
      <c r="D1187" s="269">
        <f>VLOOKUP(C1187,lookup!$B$2:$F$1240,2)</f>
        <v>0</v>
      </c>
      <c r="E1187" s="271">
        <f>VLOOKUP(C1187,lookup!$B$2:$F$1240,5)</f>
        <v>0</v>
      </c>
      <c r="F1187" s="118"/>
    </row>
    <row r="1188" spans="1:6" x14ac:dyDescent="0.25">
      <c r="A1188" s="169">
        <v>472</v>
      </c>
      <c r="B1188" s="174"/>
      <c r="C1188" s="106" t="s">
        <v>330</v>
      </c>
      <c r="D1188" s="269">
        <f>VLOOKUP(C1188,lookup!$B$2:$F$1240,2)</f>
        <v>0</v>
      </c>
      <c r="E1188" s="271">
        <f>VLOOKUP(C1188,lookup!$B$2:$F$1240,5)</f>
        <v>0</v>
      </c>
      <c r="F1188" s="118"/>
    </row>
    <row r="1189" spans="1:6" x14ac:dyDescent="0.25">
      <c r="A1189" s="169">
        <v>472</v>
      </c>
      <c r="B1189" s="174"/>
      <c r="C1189" s="106" t="s">
        <v>1466</v>
      </c>
      <c r="D1189" s="269" t="str">
        <f>VLOOKUP(C1189,lookup!$B$2:$F$1240,2)</f>
        <v>each</v>
      </c>
      <c r="E1189" s="271">
        <f>VLOOKUP(C1189,lookup!$B$2:$F$1240,5)</f>
        <v>250</v>
      </c>
      <c r="F1189" s="118"/>
    </row>
    <row r="1190" spans="1:6" x14ac:dyDescent="0.25">
      <c r="A1190" s="169">
        <v>484</v>
      </c>
      <c r="B1190" s="172" t="s">
        <v>2635</v>
      </c>
      <c r="D1190" s="269" t="e">
        <f>VLOOKUP(C1190,lookup!$B$2:$F$1240,2)</f>
        <v>#N/A</v>
      </c>
      <c r="E1190" s="271" t="e">
        <f>VLOOKUP(C1190,lookup!$B$2:$F$1240,5)</f>
        <v>#N/A</v>
      </c>
    </row>
    <row r="1191" spans="1:6" x14ac:dyDescent="0.25">
      <c r="A1191" s="169">
        <v>484</v>
      </c>
      <c r="B1191" s="172"/>
      <c r="C1191" s="100" t="s">
        <v>2668</v>
      </c>
      <c r="D1191" s="269">
        <f>VLOOKUP(C1191,lookup!$B$2:$F$1240,2)</f>
        <v>0</v>
      </c>
      <c r="E1191" s="271">
        <f>VLOOKUP(C1191,lookup!$B$2:$F$1240,5)</f>
        <v>0</v>
      </c>
    </row>
    <row r="1192" spans="1:6" x14ac:dyDescent="0.25">
      <c r="A1192" s="169">
        <v>484</v>
      </c>
      <c r="C1192" s="106" t="s">
        <v>285</v>
      </c>
      <c r="D1192" s="269">
        <f>VLOOKUP(C1192,lookup!$B$2:$F$1240,2)</f>
        <v>0</v>
      </c>
      <c r="E1192" s="271">
        <f>VLOOKUP(C1192,lookup!$B$2:$F$1240,5)</f>
        <v>0</v>
      </c>
    </row>
    <row r="1193" spans="1:6" x14ac:dyDescent="0.25">
      <c r="A1193" s="169">
        <v>484</v>
      </c>
      <c r="C1193" s="106" t="s">
        <v>911</v>
      </c>
      <c r="D1193" s="269">
        <f>VLOOKUP(C1193,lookup!$B$2:$F$1240,2)</f>
        <v>0</v>
      </c>
      <c r="E1193" s="271">
        <f>VLOOKUP(C1193,lookup!$B$2:$F$1240,5)</f>
        <v>0</v>
      </c>
    </row>
    <row r="1194" spans="1:6" x14ac:dyDescent="0.25">
      <c r="A1194" s="169">
        <v>484</v>
      </c>
      <c r="C1194" s="106" t="s">
        <v>245</v>
      </c>
      <c r="D1194" s="269">
        <f>VLOOKUP(C1194,lookup!$B$2:$F$1240,2)</f>
        <v>0</v>
      </c>
      <c r="E1194" s="271">
        <f>VLOOKUP(C1194,lookup!$B$2:$F$1240,5)</f>
        <v>0</v>
      </c>
    </row>
    <row r="1195" spans="1:6" x14ac:dyDescent="0.25">
      <c r="A1195" s="169">
        <v>484</v>
      </c>
      <c r="C1195" s="106" t="s">
        <v>8</v>
      </c>
      <c r="D1195" s="269" t="str">
        <f>VLOOKUP(C1195,lookup!$B$2:$F$1240,2)</f>
        <v>Hr.</v>
      </c>
      <c r="E1195" s="271">
        <f>VLOOKUP(C1195,lookup!$B$2:$F$1240,5)</f>
        <v>81.068363600000012</v>
      </c>
    </row>
    <row r="1196" spans="1:6" x14ac:dyDescent="0.25">
      <c r="A1196" s="169">
        <v>490</v>
      </c>
      <c r="B1196" s="173" t="s">
        <v>377</v>
      </c>
      <c r="D1196" s="269" t="e">
        <f>VLOOKUP(C1196,lookup!$B$2:$F$1240,2)</f>
        <v>#N/A</v>
      </c>
      <c r="E1196" s="271" t="e">
        <f>VLOOKUP(C1196,lookup!$B$2:$F$1240,5)</f>
        <v>#N/A</v>
      </c>
    </row>
    <row r="1197" spans="1:6" x14ac:dyDescent="0.25">
      <c r="A1197" s="169">
        <v>500</v>
      </c>
      <c r="B1197" s="172" t="s">
        <v>2638</v>
      </c>
      <c r="D1197" s="269" t="e">
        <f>VLOOKUP(C1197,lookup!$B$2:$F$1240,2)</f>
        <v>#N/A</v>
      </c>
      <c r="E1197" s="271" t="e">
        <f>VLOOKUP(C1197,lookup!$B$2:$F$1240,5)</f>
        <v>#N/A</v>
      </c>
    </row>
    <row r="1198" spans="1:6" x14ac:dyDescent="0.25">
      <c r="A1198" s="169">
        <v>500</v>
      </c>
      <c r="C1198" s="106" t="s">
        <v>2424</v>
      </c>
      <c r="D1198" s="269" t="str">
        <f>VLOOKUP(C1198,lookup!$B$2:$F$1240,2)</f>
        <v>lin ft</v>
      </c>
      <c r="E1198" s="271">
        <f>VLOOKUP(C1198,lookup!$B$2:$F$1240,5)</f>
        <v>3.5</v>
      </c>
    </row>
    <row r="1199" spans="1:6" x14ac:dyDescent="0.25">
      <c r="A1199" s="169">
        <v>500</v>
      </c>
      <c r="C1199" s="106" t="s">
        <v>2425</v>
      </c>
      <c r="D1199" s="269" t="str">
        <f>VLOOKUP(C1199,lookup!$B$2:$F$1240,2)</f>
        <v>lin ft</v>
      </c>
      <c r="E1199" s="271">
        <f>VLOOKUP(C1199,lookup!$B$2:$F$1240,5)</f>
        <v>3.5</v>
      </c>
    </row>
    <row r="1200" spans="1:6" x14ac:dyDescent="0.25">
      <c r="A1200" s="169">
        <v>500</v>
      </c>
      <c r="C1200" s="106" t="s">
        <v>1389</v>
      </c>
      <c r="D1200" s="269" t="str">
        <f>VLOOKUP(C1200,lookup!$B$2:$F$1240,2)</f>
        <v>ac</v>
      </c>
      <c r="E1200" s="271">
        <f>VLOOKUP(C1200,lookup!$B$2:$F$1240,5)</f>
        <v>14</v>
      </c>
    </row>
    <row r="1201" spans="1:6" x14ac:dyDescent="0.25">
      <c r="A1201" s="169">
        <v>500</v>
      </c>
      <c r="C1201" s="106" t="s">
        <v>2159</v>
      </c>
      <c r="D1201" s="269" t="str">
        <f>VLOOKUP(C1201,lookup!$B$2:$F$1240,2)</f>
        <v>Cu. Yd.</v>
      </c>
      <c r="E1201" s="271">
        <f>VLOOKUP(C1201,lookup!$B$2:$F$1240,5)</f>
        <v>3</v>
      </c>
    </row>
    <row r="1202" spans="1:6" x14ac:dyDescent="0.25">
      <c r="A1202" s="169">
        <v>500</v>
      </c>
      <c r="C1202" s="106" t="s">
        <v>2158</v>
      </c>
      <c r="D1202" s="269" t="str">
        <f>VLOOKUP(C1202,lookup!$B$2:$F$1240,2)</f>
        <v>Cu. Yd.</v>
      </c>
      <c r="E1202" s="271">
        <f>VLOOKUP(C1202,lookup!$B$2:$F$1240,5)</f>
        <v>3</v>
      </c>
    </row>
    <row r="1203" spans="1:6" x14ac:dyDescent="0.25">
      <c r="A1203" s="169">
        <v>500</v>
      </c>
      <c r="C1203" s="106" t="s">
        <v>2310</v>
      </c>
      <c r="D1203" s="269">
        <f>VLOOKUP(C1203,lookup!$B$2:$F$1240,2)</f>
        <v>0</v>
      </c>
      <c r="E1203" s="271">
        <f>VLOOKUP(C1203,lookup!$B$2:$F$1240,5)</f>
        <v>0</v>
      </c>
    </row>
    <row r="1204" spans="1:6" x14ac:dyDescent="0.25">
      <c r="A1204" s="169">
        <v>500</v>
      </c>
      <c r="C1204" s="106" t="s">
        <v>2311</v>
      </c>
      <c r="D1204" s="269">
        <f>VLOOKUP(C1204,lookup!$B$2:$F$1240,2)</f>
        <v>0</v>
      </c>
      <c r="E1204" s="271">
        <f>VLOOKUP(C1204,lookup!$B$2:$F$1240,5)</f>
        <v>0</v>
      </c>
    </row>
    <row r="1205" spans="1:6" x14ac:dyDescent="0.25">
      <c r="A1205" s="169">
        <v>500</v>
      </c>
      <c r="C1205" s="106" t="s">
        <v>2712</v>
      </c>
      <c r="D1205" s="269" t="str">
        <f>VLOOKUP(C1205,lookup!$B$2:$F$1240,2)</f>
        <v>Cu Yd</v>
      </c>
      <c r="E1205" s="271">
        <f>VLOOKUP(C1205,lookup!$B$2:$F$1240,5)</f>
        <v>3.5</v>
      </c>
    </row>
    <row r="1206" spans="1:6" ht="22.8" x14ac:dyDescent="0.25">
      <c r="A1206" s="169">
        <v>500</v>
      </c>
      <c r="C1206" s="106" t="s">
        <v>906</v>
      </c>
      <c r="D1206" s="269">
        <f>VLOOKUP(C1206,lookup!$B$2:$F$1240,2)</f>
        <v>0</v>
      </c>
      <c r="E1206" s="271">
        <f>VLOOKUP(C1206,lookup!$B$2:$F$1240,5)</f>
        <v>0</v>
      </c>
    </row>
    <row r="1207" spans="1:6" ht="22.8" x14ac:dyDescent="0.25">
      <c r="A1207" s="169">
        <v>500</v>
      </c>
      <c r="C1207" s="106" t="s">
        <v>907</v>
      </c>
      <c r="D1207" s="269" t="str">
        <f>VLOOKUP(C1207,lookup!$B$2:$F$1240,2)</f>
        <v>sq ft</v>
      </c>
      <c r="E1207" s="271">
        <f>VLOOKUP(C1207,lookup!$B$2:$F$1240,5)</f>
        <v>0</v>
      </c>
    </row>
    <row r="1208" spans="1:6" ht="22.8" x14ac:dyDescent="0.25">
      <c r="A1208" s="169">
        <v>500</v>
      </c>
      <c r="C1208" s="106" t="s">
        <v>1781</v>
      </c>
      <c r="D1208" s="269">
        <f>VLOOKUP(C1208,lookup!$B$2:$F$1240,2)</f>
        <v>0</v>
      </c>
      <c r="E1208" s="271">
        <f>VLOOKUP(C1208,lookup!$B$2:$F$1240,5)</f>
        <v>0</v>
      </c>
    </row>
    <row r="1209" spans="1:6" ht="22.8" x14ac:dyDescent="0.25">
      <c r="A1209" s="169">
        <v>500</v>
      </c>
      <c r="C1209" s="106" t="s">
        <v>908</v>
      </c>
      <c r="D1209" s="269">
        <f>VLOOKUP(C1209,lookup!$B$2:$F$1240,2)</f>
        <v>0</v>
      </c>
      <c r="E1209" s="271">
        <f>VLOOKUP(C1209,lookup!$B$2:$F$1240,5)</f>
        <v>0</v>
      </c>
    </row>
    <row r="1210" spans="1:6" ht="22.8" x14ac:dyDescent="0.25">
      <c r="A1210" s="169">
        <v>500</v>
      </c>
      <c r="C1210" s="106" t="s">
        <v>909</v>
      </c>
      <c r="D1210" s="269">
        <f>VLOOKUP(C1210,lookup!$B$2:$F$1240,2)</f>
        <v>0</v>
      </c>
      <c r="E1210" s="271">
        <f>VLOOKUP(C1210,lookup!$B$2:$F$1240,5)</f>
        <v>0</v>
      </c>
    </row>
    <row r="1211" spans="1:6" ht="22.8" x14ac:dyDescent="0.25">
      <c r="A1211" s="169">
        <v>500</v>
      </c>
      <c r="C1211" s="106" t="s">
        <v>910</v>
      </c>
      <c r="D1211" s="269">
        <f>VLOOKUP(C1211,lookup!$B$2:$F$1240,2)</f>
        <v>0</v>
      </c>
      <c r="E1211" s="271">
        <f>VLOOKUP(C1211,lookup!$B$2:$F$1240,5)</f>
        <v>0</v>
      </c>
    </row>
    <row r="1212" spans="1:6" x14ac:dyDescent="0.25">
      <c r="A1212" s="169">
        <v>500</v>
      </c>
      <c r="C1212" s="106" t="s">
        <v>663</v>
      </c>
      <c r="D1212" s="269">
        <f>VLOOKUP(C1212,lookup!$B$2:$F$1240,2)</f>
        <v>0</v>
      </c>
      <c r="E1212" s="271">
        <f>VLOOKUP(C1212,lookup!$B$2:$F$1240,5)</f>
        <v>0</v>
      </c>
    </row>
    <row r="1213" spans="1:6" x14ac:dyDescent="0.25">
      <c r="A1213" s="169">
        <v>511</v>
      </c>
      <c r="B1213" s="173" t="s">
        <v>2349</v>
      </c>
      <c r="C1213" s="109"/>
      <c r="D1213" s="269" t="e">
        <f>VLOOKUP(C1213,lookup!$B$2:$F$1240,2)</f>
        <v>#N/A</v>
      </c>
      <c r="E1213" s="271" t="e">
        <f>VLOOKUP(C1213,lookup!$B$2:$F$1240,5)</f>
        <v>#N/A</v>
      </c>
    </row>
    <row r="1214" spans="1:6" x14ac:dyDescent="0.25">
      <c r="A1214" s="169">
        <v>511</v>
      </c>
      <c r="C1214" s="106" t="s">
        <v>730</v>
      </c>
      <c r="D1214" s="269" t="str">
        <f>VLOOKUP(C1214,lookup!$B$2:$F$1240,2)</f>
        <v>FT</v>
      </c>
      <c r="E1214" s="271">
        <f>VLOOKUP(C1214,lookup!$B$2:$F$1240,5)</f>
        <v>50</v>
      </c>
    </row>
    <row r="1215" spans="1:6" x14ac:dyDescent="0.25">
      <c r="A1215" s="169">
        <v>512</v>
      </c>
      <c r="B1215" s="172" t="s">
        <v>2642</v>
      </c>
      <c r="D1215" s="269" t="e">
        <f>VLOOKUP(C1215,lookup!$B$2:$F$1240,2)</f>
        <v>#N/A</v>
      </c>
      <c r="E1215" s="271" t="e">
        <f>VLOOKUP(C1215,lookup!$B$2:$F$1240,5)</f>
        <v>#N/A</v>
      </c>
      <c r="F1215" s="246" t="s">
        <v>3113</v>
      </c>
    </row>
    <row r="1216" spans="1:6" x14ac:dyDescent="0.25">
      <c r="A1216" s="169">
        <v>512</v>
      </c>
      <c r="B1216" s="129"/>
      <c r="C1216" s="106" t="s">
        <v>3151</v>
      </c>
      <c r="D1216" s="269" t="str">
        <f>VLOOKUP(C1216,lookup!$B$2:$F$1240,2)</f>
        <v>ton</v>
      </c>
      <c r="E1216" s="271">
        <f>VLOOKUP(C1216,lookup!$B$2:$F$1240,5)</f>
        <v>26</v>
      </c>
    </row>
    <row r="1217" spans="1:5" x14ac:dyDescent="0.25">
      <c r="A1217" s="169">
        <v>512</v>
      </c>
      <c r="B1217" s="129"/>
      <c r="C1217" s="106" t="s">
        <v>3152</v>
      </c>
      <c r="D1217" s="269" t="str">
        <f>VLOOKUP(C1217,lookup!$B$2:$F$1240,2)</f>
        <v>ton</v>
      </c>
      <c r="E1217" s="271">
        <f>VLOOKUP(C1217,lookup!$B$2:$F$1240,5)</f>
        <v>1380</v>
      </c>
    </row>
    <row r="1218" spans="1:5" x14ac:dyDescent="0.25">
      <c r="A1218" s="169">
        <v>512</v>
      </c>
      <c r="B1218" s="129"/>
      <c r="C1218" s="106" t="s">
        <v>3153</v>
      </c>
      <c r="D1218" s="269" t="str">
        <f>VLOOKUP(C1218,lookup!$B$2:$F$1240,2)</f>
        <v>lb</v>
      </c>
      <c r="E1218" s="271">
        <f>VLOOKUP(C1218,lookup!$B$2:$F$1240,5)</f>
        <v>0.9</v>
      </c>
    </row>
    <row r="1219" spans="1:5" x14ac:dyDescent="0.25">
      <c r="A1219" s="169">
        <v>512</v>
      </c>
      <c r="B1219" s="129"/>
      <c r="C1219" s="106" t="s">
        <v>3154</v>
      </c>
      <c r="D1219" s="269" t="str">
        <f>VLOOKUP(C1219,lookup!$B$2:$F$1240,2)</f>
        <v>lb</v>
      </c>
      <c r="E1219" s="271">
        <f>VLOOKUP(C1219,lookup!$B$2:$F$1240,5)</f>
        <v>0.9</v>
      </c>
    </row>
    <row r="1220" spans="1:5" x14ac:dyDescent="0.25">
      <c r="A1220" s="169">
        <v>512</v>
      </c>
      <c r="B1220" s="129"/>
      <c r="C1220" s="106" t="s">
        <v>3155</v>
      </c>
      <c r="D1220" s="269" t="str">
        <f>VLOOKUP(C1220,lookup!$B$2:$F$1240,2)</f>
        <v>lb</v>
      </c>
      <c r="E1220" s="271">
        <f>VLOOKUP(C1220,lookup!$B$2:$F$1240,5)</f>
        <v>0.9</v>
      </c>
    </row>
    <row r="1221" spans="1:5" x14ac:dyDescent="0.25">
      <c r="A1221" s="169">
        <v>512</v>
      </c>
      <c r="B1221" s="129"/>
      <c r="C1221" s="106" t="s">
        <v>3156</v>
      </c>
      <c r="D1221" s="269" t="str">
        <f>VLOOKUP(C1221,lookup!$B$2:$F$1240,2)</f>
        <v>bu</v>
      </c>
      <c r="E1221" s="271">
        <f>VLOOKUP(C1221,lookup!$B$2:$F$1240,5)</f>
        <v>2.2000000000000002</v>
      </c>
    </row>
    <row r="1222" spans="1:5" x14ac:dyDescent="0.25">
      <c r="A1222" s="169">
        <v>512</v>
      </c>
      <c r="B1222" s="129"/>
      <c r="C1222" s="106" t="s">
        <v>3159</v>
      </c>
      <c r="D1222" s="269" t="str">
        <f>VLOOKUP(C1222,lookup!$B$2:$F$1240,2)</f>
        <v>ac</v>
      </c>
      <c r="E1222" s="271">
        <f>VLOOKUP(C1222,lookup!$B$2:$F$1240,5)</f>
        <v>14</v>
      </c>
    </row>
    <row r="1223" spans="1:5" x14ac:dyDescent="0.25">
      <c r="A1223" s="169">
        <v>512</v>
      </c>
      <c r="B1223" s="129"/>
      <c r="C1223" s="106" t="s">
        <v>3157</v>
      </c>
      <c r="D1223" s="269" t="str">
        <f>VLOOKUP(C1223,lookup!$B$2:$F$1240,2)</f>
        <v>ac</v>
      </c>
      <c r="E1223" s="271">
        <f>VLOOKUP(C1223,lookup!$B$2:$F$1240,5)</f>
        <v>14</v>
      </c>
    </row>
    <row r="1224" spans="1:5" x14ac:dyDescent="0.25">
      <c r="A1224" s="169">
        <v>512</v>
      </c>
      <c r="B1224" s="129"/>
      <c r="C1224" s="106" t="s">
        <v>3176</v>
      </c>
      <c r="D1224" s="269" t="str">
        <f>VLOOKUP(C1224,lookup!$B$2:$F$1240,2)</f>
        <v>ac</v>
      </c>
      <c r="E1224" s="271">
        <f>VLOOKUP(C1224,lookup!$B$2:$F$1240,5)</f>
        <v>14</v>
      </c>
    </row>
    <row r="1225" spans="1:5" x14ac:dyDescent="0.25">
      <c r="A1225" s="169">
        <v>512</v>
      </c>
      <c r="B1225" s="129"/>
      <c r="C1225" s="106" t="s">
        <v>3158</v>
      </c>
      <c r="D1225" s="269" t="str">
        <f>VLOOKUP(C1225,lookup!$B$2:$F$1240,2)</f>
        <v>ac</v>
      </c>
      <c r="E1225" s="271">
        <f>VLOOKUP(C1225,lookup!$B$2:$F$1240,5)</f>
        <v>15</v>
      </c>
    </row>
    <row r="1226" spans="1:5" x14ac:dyDescent="0.25">
      <c r="A1226" s="169">
        <v>512</v>
      </c>
      <c r="B1226" s="129"/>
      <c r="C1226" s="106" t="s">
        <v>3160</v>
      </c>
      <c r="D1226" s="269">
        <f>VLOOKUP(C1226,lookup!$B$2:$F$1240,2)</f>
        <v>0</v>
      </c>
      <c r="E1226" s="271">
        <f>VLOOKUP(C1226,lookup!$B$2:$F$1240,5)</f>
        <v>0</v>
      </c>
    </row>
    <row r="1227" spans="1:5" x14ac:dyDescent="0.25">
      <c r="A1227" s="169">
        <v>512</v>
      </c>
      <c r="B1227" s="129"/>
      <c r="C1227" s="106" t="s">
        <v>3161</v>
      </c>
      <c r="D1227" s="269" t="str">
        <f>VLOOKUP(C1227,lookup!$B$2:$F$1240,2)</f>
        <v>ac</v>
      </c>
      <c r="E1227" s="271">
        <f>VLOOKUP(C1227,lookup!$B$2:$F$1240,5)</f>
        <v>14.23</v>
      </c>
    </row>
    <row r="1228" spans="1:5" x14ac:dyDescent="0.25">
      <c r="A1228" s="169">
        <v>512</v>
      </c>
      <c r="B1228" s="129"/>
      <c r="C1228" s="106" t="s">
        <v>3162</v>
      </c>
      <c r="D1228" s="269" t="str">
        <f>VLOOKUP(C1228,lookup!$B$2:$F$1240,2)</f>
        <v>ac</v>
      </c>
      <c r="E1228" s="271">
        <f>VLOOKUP(C1228,lookup!$B$2:$F$1240,5)</f>
        <v>17</v>
      </c>
    </row>
    <row r="1229" spans="1:5" x14ac:dyDescent="0.25">
      <c r="A1229" s="169">
        <v>512</v>
      </c>
      <c r="B1229" s="129"/>
      <c r="C1229" s="106" t="s">
        <v>3163</v>
      </c>
      <c r="D1229" s="269" t="str">
        <f>VLOOKUP(C1229,lookup!$B$2:$F$1240,2)</f>
        <v>hr</v>
      </c>
      <c r="E1229" s="271">
        <f>VLOOKUP(C1229,lookup!$B$2:$F$1240,5)</f>
        <v>15</v>
      </c>
    </row>
    <row r="1230" spans="1:5" x14ac:dyDescent="0.25">
      <c r="A1230" s="169">
        <v>512</v>
      </c>
      <c r="B1230" s="129"/>
      <c r="C1230" s="106" t="s">
        <v>3164</v>
      </c>
      <c r="D1230" s="269" t="str">
        <f>VLOOKUP(C1230,lookup!$B$2:$F$1240,2)</f>
        <v>hr</v>
      </c>
      <c r="E1230" s="271">
        <f>VLOOKUP(C1230,lookup!$B$2:$F$1240,5)</f>
        <v>15</v>
      </c>
    </row>
    <row r="1231" spans="1:5" x14ac:dyDescent="0.25">
      <c r="A1231" s="169">
        <v>512</v>
      </c>
      <c r="B1231" s="129"/>
      <c r="C1231" s="106" t="s">
        <v>3165</v>
      </c>
      <c r="D1231" s="269" t="str">
        <f>VLOOKUP(C1231,lookup!$B$2:$F$1240,2)</f>
        <v>ac</v>
      </c>
      <c r="E1231" s="271">
        <f>VLOOKUP(C1231,lookup!$B$2:$F$1240,5)</f>
        <v>3</v>
      </c>
    </row>
    <row r="1232" spans="1:5" x14ac:dyDescent="0.25">
      <c r="A1232" s="169">
        <v>512</v>
      </c>
      <c r="C1232" s="106" t="s">
        <v>3080</v>
      </c>
      <c r="D1232" s="269" t="str">
        <f>VLOOKUP(C1232,lookup!$B$2:$F$1240,2)</f>
        <v>ton</v>
      </c>
      <c r="E1232" s="271">
        <f>VLOOKUP(C1232,lookup!$B$2:$F$1240,5)</f>
        <v>1200</v>
      </c>
    </row>
    <row r="1233" spans="1:5" x14ac:dyDescent="0.25">
      <c r="A1233" s="169">
        <v>512</v>
      </c>
      <c r="C1233" s="106" t="s">
        <v>3065</v>
      </c>
      <c r="D1233" s="269" t="str">
        <f>VLOOKUP(C1233,lookup!$B$2:$F$1240,2)</f>
        <v>gal</v>
      </c>
      <c r="E1233" s="271">
        <f>VLOOKUP(C1233,lookup!$B$2:$F$1240,5)</f>
        <v>45</v>
      </c>
    </row>
    <row r="1234" spans="1:5" x14ac:dyDescent="0.25">
      <c r="A1234" s="169">
        <v>512</v>
      </c>
      <c r="C1234" s="106" t="s">
        <v>3166</v>
      </c>
      <c r="D1234" s="269" t="str">
        <f>VLOOKUP(C1234,lookup!$B$2:$F$1240,2)</f>
        <v>lb</v>
      </c>
      <c r="E1234" s="271">
        <f>VLOOKUP(C1234,lookup!$B$2:$F$1240,5)</f>
        <v>0.36</v>
      </c>
    </row>
    <row r="1235" spans="1:5" x14ac:dyDescent="0.25">
      <c r="A1235" s="169">
        <v>512</v>
      </c>
      <c r="C1235" s="106" t="s">
        <v>3167</v>
      </c>
      <c r="D1235" s="269" t="str">
        <f>VLOOKUP(C1235,lookup!$B$2:$F$1240,2)</f>
        <v>lb</v>
      </c>
      <c r="E1235" s="271">
        <f>VLOOKUP(C1235,lookup!$B$2:$F$1240,5)</f>
        <v>0.6</v>
      </c>
    </row>
    <row r="1236" spans="1:5" x14ac:dyDescent="0.25">
      <c r="A1236" s="169">
        <v>512</v>
      </c>
      <c r="C1236" s="106" t="s">
        <v>1249</v>
      </c>
      <c r="D1236" s="269" t="str">
        <f>VLOOKUP(C1236,lookup!$B$2:$F$1240,2)</f>
        <v>lb</v>
      </c>
      <c r="E1236" s="271">
        <f>VLOOKUP(C1236,lookup!$B$2:$F$1240,5)</f>
        <v>0.6</v>
      </c>
    </row>
    <row r="1237" spans="1:5" x14ac:dyDescent="0.25">
      <c r="A1237" s="169">
        <v>512</v>
      </c>
      <c r="C1237" s="106" t="s">
        <v>3168</v>
      </c>
      <c r="D1237" s="269" t="str">
        <f>VLOOKUP(C1237,lookup!$B$2:$F$1240,2)</f>
        <v>lb</v>
      </c>
      <c r="E1237" s="271">
        <f>VLOOKUP(C1237,lookup!$B$2:$F$1240,5)</f>
        <v>0.6</v>
      </c>
    </row>
    <row r="1238" spans="1:5" x14ac:dyDescent="0.25">
      <c r="A1238" s="169">
        <v>512</v>
      </c>
      <c r="C1238" s="106" t="s">
        <v>1355</v>
      </c>
      <c r="D1238" s="269">
        <f>VLOOKUP(C1238,lookup!$B$2:$F$1240,2)</f>
        <v>0</v>
      </c>
      <c r="E1238" s="271">
        <f>VLOOKUP(C1238,lookup!$B$2:$F$1240,5)</f>
        <v>0</v>
      </c>
    </row>
    <row r="1239" spans="1:5" x14ac:dyDescent="0.25">
      <c r="A1239" s="169">
        <v>512</v>
      </c>
      <c r="C1239" s="106" t="s">
        <v>3169</v>
      </c>
      <c r="D1239" s="269" t="str">
        <f>VLOOKUP(C1239,lookup!$B$2:$F$1240,2)</f>
        <v>ac</v>
      </c>
      <c r="E1239" s="271">
        <f>VLOOKUP(C1239,lookup!$B$2:$F$1240,5)</f>
        <v>110</v>
      </c>
    </row>
    <row r="1240" spans="1:5" x14ac:dyDescent="0.25">
      <c r="A1240" s="169">
        <v>512</v>
      </c>
      <c r="C1240" s="106" t="s">
        <v>1505</v>
      </c>
      <c r="D1240" s="269" t="str">
        <f>VLOOKUP(C1240,lookup!$B$2:$F$1240,2)</f>
        <v>lb.</v>
      </c>
      <c r="E1240" s="271">
        <f>VLOOKUP(C1240,lookup!$B$2:$F$1240,5)</f>
        <v>9</v>
      </c>
    </row>
    <row r="1241" spans="1:5" x14ac:dyDescent="0.25">
      <c r="A1241" s="169">
        <v>512</v>
      </c>
      <c r="C1241" s="106" t="s">
        <v>3170</v>
      </c>
      <c r="D1241" s="269" t="str">
        <f>VLOOKUP(C1241,lookup!$B$2:$F$1240,2)</f>
        <v>ac</v>
      </c>
      <c r="E1241" s="271">
        <f>VLOOKUP(C1241,lookup!$B$2:$F$1240,5)</f>
        <v>0</v>
      </c>
    </row>
    <row r="1242" spans="1:5" x14ac:dyDescent="0.25">
      <c r="A1242" s="169">
        <v>512</v>
      </c>
      <c r="C1242" s="106" t="s">
        <v>1506</v>
      </c>
      <c r="D1242" s="269" t="str">
        <f>VLOOKUP(C1242,lookup!$B$2:$F$1240,2)</f>
        <v>lb</v>
      </c>
      <c r="E1242" s="271">
        <f>VLOOKUP(C1242,lookup!$B$2:$F$1240,5)</f>
        <v>13</v>
      </c>
    </row>
    <row r="1243" spans="1:5" x14ac:dyDescent="0.25">
      <c r="A1243" s="169">
        <v>512</v>
      </c>
      <c r="C1243" s="106" t="s">
        <v>3172</v>
      </c>
      <c r="D1243" s="269" t="str">
        <f>VLOOKUP(C1243,lookup!$B$2:$F$1240,2)</f>
        <v>lb</v>
      </c>
      <c r="E1243" s="271">
        <f>VLOOKUP(C1243,lookup!$B$2:$F$1240,5)</f>
        <v>6</v>
      </c>
    </row>
    <row r="1244" spans="1:5" x14ac:dyDescent="0.25">
      <c r="A1244" s="169">
        <v>512</v>
      </c>
      <c r="C1244" s="106" t="s">
        <v>3173</v>
      </c>
      <c r="D1244" s="269" t="str">
        <f>VLOOKUP(C1244,lookup!$B$2:$F$1240,2)</f>
        <v>lb</v>
      </c>
      <c r="E1244" s="271">
        <f>VLOOKUP(C1244,lookup!$B$2:$F$1240,5)</f>
        <v>2.2000000000000002</v>
      </c>
    </row>
    <row r="1245" spans="1:5" x14ac:dyDescent="0.25">
      <c r="A1245" s="169">
        <v>512</v>
      </c>
      <c r="C1245" s="106" t="s">
        <v>3174</v>
      </c>
      <c r="D1245" s="269" t="str">
        <f>VLOOKUP(C1245,lookup!$B$2:$F$1240,2)</f>
        <v>lb</v>
      </c>
      <c r="E1245" s="271">
        <f>VLOOKUP(C1245,lookup!$B$2:$F$1240,5)</f>
        <v>5.85</v>
      </c>
    </row>
    <row r="1246" spans="1:5" x14ac:dyDescent="0.25">
      <c r="A1246" s="169">
        <v>512</v>
      </c>
      <c r="C1246" s="106" t="s">
        <v>3175</v>
      </c>
      <c r="D1246" s="269" t="str">
        <f>VLOOKUP(C1246,lookup!$B$2:$F$1240,2)</f>
        <v>lb</v>
      </c>
      <c r="E1246" s="271">
        <f>VLOOKUP(C1246,lookup!$B$2:$F$1240,5)</f>
        <v>2.5</v>
      </c>
    </row>
    <row r="1247" spans="1:5" x14ac:dyDescent="0.25">
      <c r="A1247" s="169">
        <v>512</v>
      </c>
      <c r="C1247" s="106" t="s">
        <v>2141</v>
      </c>
      <c r="D1247" s="269" t="str">
        <f>VLOOKUP(C1247,lookup!$B$2:$F$1240,2)</f>
        <v>lb</v>
      </c>
      <c r="E1247" s="271">
        <f>VLOOKUP(C1247,lookup!$B$2:$F$1240,5)</f>
        <v>4.3499999999999996</v>
      </c>
    </row>
    <row r="1248" spans="1:5" x14ac:dyDescent="0.25">
      <c r="A1248" s="169">
        <v>512</v>
      </c>
      <c r="C1248" s="106" t="s">
        <v>3171</v>
      </c>
      <c r="D1248" s="269" t="str">
        <f>VLOOKUP(C1248,lookup!$B$2:$F$1240,2)</f>
        <v>lb</v>
      </c>
      <c r="E1248" s="271">
        <f>VLOOKUP(C1248,lookup!$B$2:$F$1240,5)</f>
        <v>2.2000000000000002</v>
      </c>
    </row>
    <row r="1249" spans="1:6" x14ac:dyDescent="0.25">
      <c r="A1249" s="169">
        <v>512</v>
      </c>
      <c r="C1249" s="106" t="s">
        <v>1510</v>
      </c>
      <c r="D1249" s="269" t="str">
        <f>VLOOKUP(C1249,lookup!$B$2:$F$1240,2)</f>
        <v>lb</v>
      </c>
      <c r="E1249" s="271">
        <f>VLOOKUP(C1249,lookup!$B$2:$F$1240,5)</f>
        <v>4.3499999999999996</v>
      </c>
    </row>
    <row r="1250" spans="1:6" x14ac:dyDescent="0.25">
      <c r="A1250" s="169">
        <v>512</v>
      </c>
      <c r="C1250" s="106" t="s">
        <v>2235</v>
      </c>
      <c r="D1250" s="269" t="str">
        <f>VLOOKUP(C1250,lookup!$B$2:$F$1240,2)</f>
        <v>lb</v>
      </c>
      <c r="E1250" s="271">
        <f>VLOOKUP(C1250,lookup!$B$2:$F$1240,5)</f>
        <v>2</v>
      </c>
    </row>
    <row r="1251" spans="1:6" x14ac:dyDescent="0.25">
      <c r="A1251" s="169">
        <v>516</v>
      </c>
      <c r="B1251" s="172" t="s">
        <v>2645</v>
      </c>
      <c r="D1251" s="269" t="e">
        <f>VLOOKUP(C1251,lookup!$B$2:$F$1240,2)</f>
        <v>#N/A</v>
      </c>
      <c r="E1251" s="271" t="e">
        <f>VLOOKUP(C1251,lookup!$B$2:$F$1240,5)</f>
        <v>#N/A</v>
      </c>
      <c r="F1251" s="246" t="s">
        <v>3113</v>
      </c>
    </row>
    <row r="1252" spans="1:6" x14ac:dyDescent="0.25">
      <c r="A1252" s="169">
        <v>516</v>
      </c>
      <c r="C1252" s="106" t="s">
        <v>3140</v>
      </c>
      <c r="D1252" s="269">
        <f>VLOOKUP(C1252,lookup!$B$2:$F$1240,2)</f>
        <v>0</v>
      </c>
      <c r="E1252" s="271">
        <f>VLOOKUP(C1252,lookup!$B$2:$F$1240,5)</f>
        <v>0</v>
      </c>
    </row>
    <row r="1253" spans="1:6" x14ac:dyDescent="0.25">
      <c r="A1253" s="169">
        <v>516</v>
      </c>
      <c r="C1253" s="106" t="s">
        <v>3141</v>
      </c>
      <c r="D1253" s="269" t="str">
        <f>VLOOKUP(C1253,lookup!$B$2:$F$1240,2)</f>
        <v>each</v>
      </c>
      <c r="E1253" s="271">
        <f>VLOOKUP(C1253,lookup!$B$2:$F$1240,5)</f>
        <v>500</v>
      </c>
    </row>
    <row r="1254" spans="1:6" x14ac:dyDescent="0.25">
      <c r="A1254" s="169">
        <v>516</v>
      </c>
      <c r="C1254" s="106" t="s">
        <v>3148</v>
      </c>
      <c r="D1254" s="269" t="str">
        <f>VLOOKUP(C1254,lookup!$B$2:$F$1240,2)</f>
        <v>each</v>
      </c>
      <c r="E1254" s="271">
        <f>VLOOKUP(C1254,lookup!$B$2:$F$1240,5)</f>
        <v>20</v>
      </c>
    </row>
    <row r="1255" spans="1:6" x14ac:dyDescent="0.25">
      <c r="A1255" s="169">
        <v>516</v>
      </c>
      <c r="C1255" s="106" t="s">
        <v>3149</v>
      </c>
      <c r="D1255" s="269" t="str">
        <f>VLOOKUP(C1255,lookup!$B$2:$F$1240,2)</f>
        <v>each</v>
      </c>
      <c r="E1255" s="271">
        <f>VLOOKUP(C1255,lookup!$B$2:$F$1240,5)</f>
        <v>60</v>
      </c>
    </row>
    <row r="1256" spans="1:6" x14ac:dyDescent="0.25">
      <c r="A1256" s="169">
        <v>516</v>
      </c>
      <c r="C1256" s="106" t="s">
        <v>3142</v>
      </c>
      <c r="D1256" s="269" t="str">
        <f>VLOOKUP(C1256,lookup!$B$2:$F$1240,2)</f>
        <v>hr</v>
      </c>
      <c r="E1256" s="271">
        <f>VLOOKUP(C1256,lookup!$B$2:$F$1240,5)</f>
        <v>20</v>
      </c>
    </row>
    <row r="1257" spans="1:6" x14ac:dyDescent="0.25">
      <c r="A1257" s="169">
        <v>516</v>
      </c>
      <c r="C1257" s="106" t="s">
        <v>3145</v>
      </c>
      <c r="D1257" s="269" t="str">
        <f>VLOOKUP(C1257,lookup!$B$2:$F$1240,2)</f>
        <v>ft</v>
      </c>
      <c r="E1257" s="271">
        <f>VLOOKUP(C1257,lookup!$B$2:$F$1240,5)</f>
        <v>1</v>
      </c>
    </row>
    <row r="1258" spans="1:6" x14ac:dyDescent="0.25">
      <c r="A1258" s="169">
        <v>516</v>
      </c>
      <c r="C1258" s="106" t="s">
        <v>3143</v>
      </c>
      <c r="D1258" s="269" t="str">
        <f>VLOOKUP(C1258,lookup!$B$2:$F$1240,2)</f>
        <v>lin ft</v>
      </c>
      <c r="E1258" s="271">
        <f>VLOOKUP(C1258,lookup!$B$2:$F$1240,5)</f>
        <v>4.47</v>
      </c>
    </row>
    <row r="1259" spans="1:6" x14ac:dyDescent="0.25">
      <c r="A1259" s="169">
        <v>516</v>
      </c>
      <c r="C1259" s="106" t="s">
        <v>3150</v>
      </c>
      <c r="D1259" s="269" t="str">
        <f>VLOOKUP(C1259,lookup!$B$2:$F$1240,2)</f>
        <v>each</v>
      </c>
      <c r="E1259" s="271">
        <f>VLOOKUP(C1259,lookup!$B$2:$F$1240,5)</f>
        <v>2000</v>
      </c>
    </row>
    <row r="1260" spans="1:6" x14ac:dyDescent="0.25">
      <c r="A1260" s="169">
        <v>516</v>
      </c>
      <c r="C1260" s="106" t="s">
        <v>3146</v>
      </c>
      <c r="D1260" s="269" t="str">
        <f>VLOOKUP(C1260,lookup!$B$2:$F$1240,2)</f>
        <v>lin ft</v>
      </c>
      <c r="E1260" s="271">
        <f>VLOOKUP(C1260,lookup!$B$2:$F$1240,5)</f>
        <v>3.5</v>
      </c>
    </row>
    <row r="1261" spans="1:6" x14ac:dyDescent="0.25">
      <c r="A1261" s="169">
        <v>516</v>
      </c>
      <c r="C1261" s="106" t="s">
        <v>3147</v>
      </c>
      <c r="D1261" s="269" t="str">
        <f>VLOOKUP(C1261,lookup!$B$2:$F$1240,2)</f>
        <v>hr</v>
      </c>
      <c r="E1261" s="271">
        <f>VLOOKUP(C1261,lookup!$B$2:$F$1240,5)</f>
        <v>100</v>
      </c>
    </row>
    <row r="1262" spans="1:6" x14ac:dyDescent="0.25">
      <c r="A1262" s="169">
        <v>516</v>
      </c>
      <c r="C1262" s="106" t="s">
        <v>3144</v>
      </c>
      <c r="D1262" s="269" t="str">
        <f>VLOOKUP(C1262,lookup!$B$2:$F$1240,2)</f>
        <v>lin ft</v>
      </c>
      <c r="E1262" s="271">
        <f>VLOOKUP(C1262,lookup!$B$2:$F$1240,5)</f>
        <v>1.75</v>
      </c>
    </row>
    <row r="1263" spans="1:6" x14ac:dyDescent="0.25">
      <c r="A1263" s="169">
        <v>516</v>
      </c>
      <c r="C1263" s="106" t="s">
        <v>2538</v>
      </c>
      <c r="D1263" s="269" t="str">
        <f>VLOOKUP(C1263,lookup!$B$2:$F$1240,2)</f>
        <v>lin ft</v>
      </c>
      <c r="E1263" s="271">
        <f>VLOOKUP(C1263,lookup!$B$2:$F$1240,5)</f>
        <v>5.05</v>
      </c>
    </row>
    <row r="1264" spans="1:6" x14ac:dyDescent="0.25">
      <c r="A1264" s="169">
        <v>516</v>
      </c>
      <c r="C1264" s="106" t="s">
        <v>2026</v>
      </c>
      <c r="D1264" s="269" t="str">
        <f>VLOOKUP(C1264,lookup!$B$2:$F$1240,2)</f>
        <v>lin ft</v>
      </c>
      <c r="E1264" s="271">
        <f>VLOOKUP(C1264,lookup!$B$2:$F$1240,5)</f>
        <v>5.05</v>
      </c>
    </row>
    <row r="1265" spans="1:5" x14ac:dyDescent="0.25">
      <c r="A1265" s="169">
        <v>516</v>
      </c>
      <c r="C1265" s="106" t="s">
        <v>479</v>
      </c>
      <c r="D1265" s="269" t="str">
        <f>VLOOKUP(C1265,lookup!$B$2:$F$1240,2)</f>
        <v>ft</v>
      </c>
      <c r="E1265" s="271">
        <f>VLOOKUP(C1265,lookup!$B$2:$F$1240,5)</f>
        <v>2.5</v>
      </c>
    </row>
    <row r="1266" spans="1:5" x14ac:dyDescent="0.25">
      <c r="A1266" s="169">
        <v>516</v>
      </c>
      <c r="C1266" s="106" t="s">
        <v>2539</v>
      </c>
      <c r="D1266" s="269" t="str">
        <f>VLOOKUP(C1266,lookup!$B$2:$F$1240,2)</f>
        <v>ft</v>
      </c>
      <c r="E1266" s="271">
        <f>VLOOKUP(C1266,lookup!$B$2:$F$1240,5)</f>
        <v>2</v>
      </c>
    </row>
    <row r="1267" spans="1:5" x14ac:dyDescent="0.25">
      <c r="A1267" s="169">
        <v>516</v>
      </c>
      <c r="C1267" s="106" t="s">
        <v>424</v>
      </c>
      <c r="D1267" s="269" t="str">
        <f>VLOOKUP(C1267,lookup!$B$2:$F$1240,2)</f>
        <v>sq ft</v>
      </c>
      <c r="E1267" s="271">
        <f>VLOOKUP(C1267,lookup!$B$2:$F$1240,5)</f>
        <v>6.5</v>
      </c>
    </row>
    <row r="1268" spans="1:5" x14ac:dyDescent="0.25">
      <c r="A1268" s="169">
        <v>528</v>
      </c>
      <c r="B1268" s="172" t="s">
        <v>262</v>
      </c>
      <c r="D1268" s="269" t="e">
        <f>VLOOKUP(C1268,lookup!$B$2:$F$1240,2)</f>
        <v>#N/A</v>
      </c>
      <c r="E1268" s="271" t="e">
        <f>VLOOKUP(C1268,lookup!$B$2:$F$1240,5)</f>
        <v>#N/A</v>
      </c>
    </row>
    <row r="1269" spans="1:5" x14ac:dyDescent="0.25">
      <c r="A1269" s="169">
        <v>533</v>
      </c>
      <c r="B1269" s="172" t="s">
        <v>264</v>
      </c>
      <c r="D1269" s="269" t="e">
        <f>VLOOKUP(C1269,lookup!$B$2:$F$1240,2)</f>
        <v>#N/A</v>
      </c>
      <c r="E1269" s="271" t="e">
        <f>VLOOKUP(C1269,lookup!$B$2:$F$1240,5)</f>
        <v>#N/A</v>
      </c>
    </row>
    <row r="1270" spans="1:5" x14ac:dyDescent="0.25">
      <c r="A1270" s="169">
        <v>533</v>
      </c>
      <c r="C1270" s="106" t="s">
        <v>1727</v>
      </c>
      <c r="D1270" s="269">
        <f>VLOOKUP(C1270,lookup!$B$2:$F$1240,2)</f>
        <v>0</v>
      </c>
      <c r="E1270" s="271">
        <f>VLOOKUP(C1270,lookup!$B$2:$F$1240,5)</f>
        <v>0</v>
      </c>
    </row>
    <row r="1271" spans="1:5" x14ac:dyDescent="0.25">
      <c r="A1271" s="169">
        <v>543</v>
      </c>
      <c r="B1271" s="172" t="s">
        <v>768</v>
      </c>
      <c r="D1271" s="269" t="e">
        <f>VLOOKUP(C1271,lookup!$B$2:$F$1240,2)</f>
        <v>#N/A</v>
      </c>
      <c r="E1271" s="271" t="e">
        <f>VLOOKUP(C1271,lookup!$B$2:$F$1240,5)</f>
        <v>#N/A</v>
      </c>
    </row>
    <row r="1272" spans="1:5" x14ac:dyDescent="0.25">
      <c r="A1272" s="169">
        <v>543</v>
      </c>
      <c r="C1272" s="106" t="s">
        <v>750</v>
      </c>
      <c r="D1272" s="269">
        <f>VLOOKUP(C1272,lookup!$B$2:$F$1240,2)</f>
        <v>0</v>
      </c>
      <c r="E1272" s="271">
        <f>VLOOKUP(C1272,lookup!$B$2:$F$1240,5)</f>
        <v>0</v>
      </c>
    </row>
    <row r="1273" spans="1:5" x14ac:dyDescent="0.25">
      <c r="A1273" s="169">
        <v>543</v>
      </c>
      <c r="C1273" s="106" t="s">
        <v>2424</v>
      </c>
      <c r="D1273" s="269" t="str">
        <f>VLOOKUP(C1273,lookup!$B$2:$F$1240,2)</f>
        <v>lin ft</v>
      </c>
      <c r="E1273" s="271">
        <f>VLOOKUP(C1273,lookup!$B$2:$F$1240,5)</f>
        <v>3.5</v>
      </c>
    </row>
    <row r="1274" spans="1:5" x14ac:dyDescent="0.25">
      <c r="A1274" s="169">
        <v>543</v>
      </c>
      <c r="C1274" s="106" t="s">
        <v>2425</v>
      </c>
      <c r="D1274" s="269" t="str">
        <f>VLOOKUP(C1274,lookup!$B$2:$F$1240,2)</f>
        <v>lin ft</v>
      </c>
      <c r="E1274" s="271">
        <f>VLOOKUP(C1274,lookup!$B$2:$F$1240,5)</f>
        <v>3.5</v>
      </c>
    </row>
    <row r="1275" spans="1:5" x14ac:dyDescent="0.25">
      <c r="A1275" s="169">
        <v>543</v>
      </c>
      <c r="C1275" s="106" t="s">
        <v>1389</v>
      </c>
      <c r="D1275" s="269" t="str">
        <f>VLOOKUP(C1275,lookup!$B$2:$F$1240,2)</f>
        <v>ac</v>
      </c>
      <c r="E1275" s="271">
        <f>VLOOKUP(C1275,lookup!$B$2:$F$1240,5)</f>
        <v>14</v>
      </c>
    </row>
    <row r="1276" spans="1:5" x14ac:dyDescent="0.25">
      <c r="A1276" s="169">
        <v>543</v>
      </c>
      <c r="C1276" s="106" t="s">
        <v>2159</v>
      </c>
      <c r="D1276" s="269" t="str">
        <f>VLOOKUP(C1276,lookup!$B$2:$F$1240,2)</f>
        <v>Cu. Yd.</v>
      </c>
      <c r="E1276" s="271">
        <f>VLOOKUP(C1276,lookup!$B$2:$F$1240,5)</f>
        <v>3</v>
      </c>
    </row>
    <row r="1277" spans="1:5" x14ac:dyDescent="0.25">
      <c r="A1277" s="169">
        <v>543</v>
      </c>
      <c r="C1277" s="106" t="s">
        <v>2158</v>
      </c>
      <c r="D1277" s="269" t="str">
        <f>VLOOKUP(C1277,lookup!$B$2:$F$1240,2)</f>
        <v>Cu. Yd.</v>
      </c>
      <c r="E1277" s="271">
        <f>VLOOKUP(C1277,lookup!$B$2:$F$1240,5)</f>
        <v>3</v>
      </c>
    </row>
    <row r="1278" spans="1:5" x14ac:dyDescent="0.25">
      <c r="A1278" s="169">
        <v>543</v>
      </c>
      <c r="C1278" s="106" t="s">
        <v>2310</v>
      </c>
      <c r="D1278" s="269">
        <f>VLOOKUP(C1278,lookup!$B$2:$F$1240,2)</f>
        <v>0</v>
      </c>
      <c r="E1278" s="271">
        <f>VLOOKUP(C1278,lookup!$B$2:$F$1240,5)</f>
        <v>0</v>
      </c>
    </row>
    <row r="1279" spans="1:5" x14ac:dyDescent="0.25">
      <c r="A1279" s="169">
        <v>543</v>
      </c>
      <c r="C1279" s="106" t="s">
        <v>2311</v>
      </c>
      <c r="D1279" s="269">
        <f>VLOOKUP(C1279,lookup!$B$2:$F$1240,2)</f>
        <v>0</v>
      </c>
      <c r="E1279" s="271">
        <f>VLOOKUP(C1279,lookup!$B$2:$F$1240,5)</f>
        <v>0</v>
      </c>
    </row>
    <row r="1280" spans="1:5" x14ac:dyDescent="0.25">
      <c r="A1280" s="169">
        <v>543</v>
      </c>
      <c r="C1280" s="106" t="s">
        <v>1376</v>
      </c>
      <c r="D1280" s="269" t="str">
        <f>VLOOKUP(C1280,lookup!$B$2:$F$1240,2)</f>
        <v>cu yd</v>
      </c>
      <c r="E1280" s="271">
        <f>VLOOKUP(C1280,lookup!$B$2:$F$1240,5)</f>
        <v>3.5</v>
      </c>
    </row>
    <row r="1281" spans="1:5" x14ac:dyDescent="0.25">
      <c r="A1281" s="169">
        <v>543</v>
      </c>
      <c r="C1281" s="106" t="s">
        <v>1110</v>
      </c>
      <c r="D1281" s="269" t="str">
        <f>VLOOKUP(C1281,lookup!$B$2:$F$1240,2)</f>
        <v>Cu Yd</v>
      </c>
      <c r="E1281" s="271">
        <f>VLOOKUP(C1281,lookup!$B$2:$F$1240,5)</f>
        <v>0</v>
      </c>
    </row>
    <row r="1282" spans="1:5" x14ac:dyDescent="0.25">
      <c r="A1282" s="169">
        <v>543</v>
      </c>
      <c r="C1282" s="106" t="s">
        <v>2313</v>
      </c>
      <c r="D1282" s="269" t="str">
        <f>VLOOKUP(C1282,lookup!$B$2:$F$1240,2)</f>
        <v>l.s.</v>
      </c>
      <c r="E1282" s="271">
        <f>VLOOKUP(C1282,lookup!$B$2:$F$1240,5)</f>
        <v>400</v>
      </c>
    </row>
    <row r="1283" spans="1:5" x14ac:dyDescent="0.25">
      <c r="A1283" s="169">
        <v>543</v>
      </c>
      <c r="C1283" s="106" t="s">
        <v>1034</v>
      </c>
      <c r="D1283" s="269" t="str">
        <f>VLOOKUP(C1283,lookup!$B$2:$F$1240,2)</f>
        <v>l.s.</v>
      </c>
      <c r="E1283" s="271">
        <f>VLOOKUP(C1283,lookup!$B$2:$F$1240,5)</f>
        <v>400</v>
      </c>
    </row>
    <row r="1284" spans="1:5" x14ac:dyDescent="0.25">
      <c r="A1284" s="169">
        <v>543</v>
      </c>
      <c r="C1284" s="106" t="s">
        <v>1034</v>
      </c>
      <c r="D1284" s="269" t="str">
        <f>VLOOKUP(C1284,lookup!$B$2:$F$1240,2)</f>
        <v>l.s.</v>
      </c>
      <c r="E1284" s="271">
        <f>VLOOKUP(C1284,lookup!$B$2:$F$1240,5)</f>
        <v>400</v>
      </c>
    </row>
    <row r="1285" spans="1:5" x14ac:dyDescent="0.25">
      <c r="A1285" s="169">
        <v>543</v>
      </c>
      <c r="C1285" s="106" t="s">
        <v>400</v>
      </c>
      <c r="D1285" s="269" t="str">
        <f>VLOOKUP(C1285,lookup!$B$2:$F$1240,2)</f>
        <v>each</v>
      </c>
      <c r="E1285" s="271">
        <f>VLOOKUP(C1285,lookup!$B$2:$F$1240,5)</f>
        <v>75</v>
      </c>
    </row>
    <row r="1286" spans="1:5" x14ac:dyDescent="0.25">
      <c r="A1286" s="169">
        <v>543</v>
      </c>
      <c r="C1286" s="106" t="s">
        <v>401</v>
      </c>
      <c r="D1286" s="269" t="str">
        <f>VLOOKUP(C1286,lookup!$B$2:$F$1240,2)</f>
        <v>each</v>
      </c>
      <c r="E1286" s="271">
        <f>VLOOKUP(C1286,lookup!$B$2:$F$1240,5)</f>
        <v>75</v>
      </c>
    </row>
    <row r="1287" spans="1:5" x14ac:dyDescent="0.25">
      <c r="A1287" s="169">
        <v>543</v>
      </c>
      <c r="C1287" s="106" t="s">
        <v>402</v>
      </c>
      <c r="D1287" s="269" t="str">
        <f>VLOOKUP(C1287,lookup!$B$2:$F$1240,2)</f>
        <v>each</v>
      </c>
      <c r="E1287" s="271">
        <f>VLOOKUP(C1287,lookup!$B$2:$F$1240,5)</f>
        <v>75</v>
      </c>
    </row>
    <row r="1288" spans="1:5" x14ac:dyDescent="0.25">
      <c r="A1288" s="169">
        <v>543</v>
      </c>
      <c r="C1288" s="106" t="s">
        <v>403</v>
      </c>
      <c r="D1288" s="269" t="str">
        <f>VLOOKUP(C1288,lookup!$B$2:$F$1240,2)</f>
        <v>each</v>
      </c>
      <c r="E1288" s="271">
        <f>VLOOKUP(C1288,lookup!$B$2:$F$1240,5)</f>
        <v>75</v>
      </c>
    </row>
    <row r="1289" spans="1:5" x14ac:dyDescent="0.25">
      <c r="A1289" s="169">
        <v>543</v>
      </c>
      <c r="C1289" s="106" t="s">
        <v>2556</v>
      </c>
      <c r="D1289" s="269">
        <f>VLOOKUP(C1289,lookup!$B$2:$F$1240,2)</f>
        <v>0</v>
      </c>
      <c r="E1289" s="271">
        <f>VLOOKUP(C1289,lookup!$B$2:$F$1240,5)</f>
        <v>0</v>
      </c>
    </row>
    <row r="1290" spans="1:5" x14ac:dyDescent="0.25">
      <c r="A1290" s="169">
        <v>543</v>
      </c>
      <c r="C1290" s="106" t="s">
        <v>2557</v>
      </c>
      <c r="D1290" s="269">
        <f>VLOOKUP(C1290,lookup!$B$2:$F$1240,2)</f>
        <v>0</v>
      </c>
      <c r="E1290" s="271">
        <f>VLOOKUP(C1290,lookup!$B$2:$F$1240,5)</f>
        <v>0</v>
      </c>
    </row>
    <row r="1291" spans="1:5" x14ac:dyDescent="0.25">
      <c r="A1291" s="169">
        <v>543</v>
      </c>
      <c r="C1291" s="106" t="s">
        <v>2154</v>
      </c>
      <c r="D1291" s="269" t="str">
        <f>VLOOKUP(C1291,lookup!$B$2:$F$1240,2)</f>
        <v>SY</v>
      </c>
      <c r="E1291" s="271">
        <f>VLOOKUP(C1291,lookup!$B$2:$F$1240,5)</f>
        <v>2.5</v>
      </c>
    </row>
    <row r="1292" spans="1:5" x14ac:dyDescent="0.25">
      <c r="A1292" s="169">
        <v>543</v>
      </c>
      <c r="C1292" s="106" t="s">
        <v>2155</v>
      </c>
      <c r="D1292" s="269" t="str">
        <f>VLOOKUP(C1292,lookup!$B$2:$F$1240,2)</f>
        <v>Sq Yd</v>
      </c>
      <c r="E1292" s="271">
        <f>VLOOKUP(C1292,lookup!$B$2:$F$1240,5)</f>
        <v>2.5</v>
      </c>
    </row>
    <row r="1293" spans="1:5" x14ac:dyDescent="0.25">
      <c r="A1293" s="169">
        <v>543</v>
      </c>
      <c r="C1293" s="106" t="s">
        <v>2156</v>
      </c>
      <c r="D1293" s="269" t="str">
        <f>VLOOKUP(C1293,lookup!$B$2:$F$1240,2)</f>
        <v>Sq Yd</v>
      </c>
      <c r="E1293" s="271">
        <f>VLOOKUP(C1293,lookup!$B$2:$F$1240,5)</f>
        <v>2.5</v>
      </c>
    </row>
    <row r="1294" spans="1:5" x14ac:dyDescent="0.25">
      <c r="A1294" s="169">
        <v>543</v>
      </c>
      <c r="C1294" s="106" t="s">
        <v>2157</v>
      </c>
      <c r="D1294" s="269" t="str">
        <f>VLOOKUP(C1294,lookup!$B$2:$F$1240,2)</f>
        <v>Sq Yd</v>
      </c>
      <c r="E1294" s="271">
        <f>VLOOKUP(C1294,lookup!$B$2:$F$1240,5)</f>
        <v>2.5</v>
      </c>
    </row>
    <row r="1295" spans="1:5" x14ac:dyDescent="0.25">
      <c r="A1295" s="169">
        <v>543</v>
      </c>
      <c r="C1295" s="106" t="s">
        <v>987</v>
      </c>
      <c r="D1295" s="269" t="str">
        <f>VLOOKUP(C1295,lookup!$B$2:$F$1240,2)</f>
        <v>Cu Yd</v>
      </c>
      <c r="E1295" s="271">
        <f>VLOOKUP(C1295,lookup!$B$2:$F$1240,5)</f>
        <v>40</v>
      </c>
    </row>
    <row r="1296" spans="1:5" x14ac:dyDescent="0.25">
      <c r="A1296" s="169">
        <v>543</v>
      </c>
      <c r="C1296" s="106" t="s">
        <v>988</v>
      </c>
      <c r="D1296" s="269" t="str">
        <f>VLOOKUP(C1296,lookup!$B$2:$F$1240,2)</f>
        <v>ton</v>
      </c>
      <c r="E1296" s="271">
        <f>VLOOKUP(C1296,lookup!$B$2:$F$1240,5)</f>
        <v>20</v>
      </c>
    </row>
    <row r="1297" spans="1:5" x14ac:dyDescent="0.25">
      <c r="A1297" s="169">
        <v>543</v>
      </c>
      <c r="C1297" s="106" t="s">
        <v>2797</v>
      </c>
      <c r="D1297" s="269" t="str">
        <f>VLOOKUP(C1297,lookup!$B$2:$F$1240,2)</f>
        <v>ton</v>
      </c>
      <c r="E1297" s="271">
        <f>VLOOKUP(C1297,lookup!$B$2:$F$1240,5)</f>
        <v>20</v>
      </c>
    </row>
    <row r="1298" spans="1:5" x14ac:dyDescent="0.25">
      <c r="A1298" s="169">
        <v>543</v>
      </c>
      <c r="C1298" s="106" t="s">
        <v>1996</v>
      </c>
      <c r="D1298" s="269" t="str">
        <f>VLOOKUP(C1298,lookup!$B$2:$F$1240,2)</f>
        <v>ton</v>
      </c>
      <c r="E1298" s="271">
        <f>VLOOKUP(C1298,lookup!$B$2:$F$1240,5)</f>
        <v>21.63</v>
      </c>
    </row>
    <row r="1299" spans="1:5" x14ac:dyDescent="0.25">
      <c r="A1299" s="169">
        <v>543</v>
      </c>
      <c r="C1299" s="106" t="s">
        <v>1997</v>
      </c>
      <c r="D1299" s="269" t="str">
        <f>VLOOKUP(C1299,lookup!$B$2:$F$1240,2)</f>
        <v>ton</v>
      </c>
      <c r="E1299" s="271">
        <f>VLOOKUP(C1299,lookup!$B$2:$F$1240,5)</f>
        <v>21.63</v>
      </c>
    </row>
    <row r="1300" spans="1:5" x14ac:dyDescent="0.25">
      <c r="A1300" s="169">
        <v>543</v>
      </c>
      <c r="C1300" s="106" t="s">
        <v>1998</v>
      </c>
      <c r="D1300" s="269" t="str">
        <f>VLOOKUP(C1300,lookup!$B$2:$F$1240,2)</f>
        <v>ton</v>
      </c>
      <c r="E1300" s="271">
        <f>VLOOKUP(C1300,lookup!$B$2:$F$1240,5)</f>
        <v>21.63</v>
      </c>
    </row>
    <row r="1301" spans="1:5" x14ac:dyDescent="0.25">
      <c r="A1301" s="169">
        <v>543</v>
      </c>
      <c r="C1301" s="106" t="s">
        <v>1999</v>
      </c>
      <c r="D1301" s="269" t="str">
        <f>VLOOKUP(C1301,lookup!$B$2:$F$1240,2)</f>
        <v>ton</v>
      </c>
      <c r="E1301" s="271">
        <f>VLOOKUP(C1301,lookup!$B$2:$F$1240,5)</f>
        <v>21.63</v>
      </c>
    </row>
    <row r="1302" spans="1:5" x14ac:dyDescent="0.25">
      <c r="A1302" s="169">
        <v>543</v>
      </c>
      <c r="C1302" s="106" t="s">
        <v>2786</v>
      </c>
      <c r="D1302" s="269" t="str">
        <f>VLOOKUP(C1302,lookup!$B$2:$F$1240,2)</f>
        <v>ton</v>
      </c>
      <c r="E1302" s="271">
        <f>VLOOKUP(C1302,lookup!$B$2:$F$1240,5)</f>
        <v>21.63</v>
      </c>
    </row>
    <row r="1303" spans="1:5" x14ac:dyDescent="0.25">
      <c r="A1303" s="169">
        <v>543</v>
      </c>
      <c r="C1303" s="106" t="s">
        <v>2784</v>
      </c>
      <c r="D1303" s="269" t="str">
        <f>VLOOKUP(C1303,lookup!$B$2:$F$1240,2)</f>
        <v>ton</v>
      </c>
      <c r="E1303" s="271">
        <f>VLOOKUP(C1303,lookup!$B$2:$F$1240,5)</f>
        <v>21.63</v>
      </c>
    </row>
    <row r="1304" spans="1:5" x14ac:dyDescent="0.25">
      <c r="A1304" s="169">
        <v>543</v>
      </c>
      <c r="C1304" s="106" t="s">
        <v>2712</v>
      </c>
      <c r="D1304" s="269" t="str">
        <f>VLOOKUP(C1304,lookup!$B$2:$F$1240,2)</f>
        <v>Cu Yd</v>
      </c>
      <c r="E1304" s="271">
        <f>VLOOKUP(C1304,lookup!$B$2:$F$1240,5)</f>
        <v>3.5</v>
      </c>
    </row>
    <row r="1305" spans="1:5" ht="22.8" x14ac:dyDescent="0.25">
      <c r="A1305" s="169">
        <v>543</v>
      </c>
      <c r="C1305" s="106" t="s">
        <v>906</v>
      </c>
      <c r="D1305" s="269">
        <f>VLOOKUP(C1305,lookup!$B$2:$F$1240,2)</f>
        <v>0</v>
      </c>
      <c r="E1305" s="271">
        <f>VLOOKUP(C1305,lookup!$B$2:$F$1240,5)</f>
        <v>0</v>
      </c>
    </row>
    <row r="1306" spans="1:5" ht="22.8" x14ac:dyDescent="0.25">
      <c r="A1306" s="169">
        <v>543</v>
      </c>
      <c r="C1306" s="106" t="s">
        <v>907</v>
      </c>
      <c r="D1306" s="269" t="str">
        <f>VLOOKUP(C1306,lookup!$B$2:$F$1240,2)</f>
        <v>sq ft</v>
      </c>
      <c r="E1306" s="271">
        <f>VLOOKUP(C1306,lookup!$B$2:$F$1240,5)</f>
        <v>0</v>
      </c>
    </row>
    <row r="1307" spans="1:5" ht="22.8" x14ac:dyDescent="0.25">
      <c r="A1307" s="169">
        <v>543</v>
      </c>
      <c r="C1307" s="106" t="s">
        <v>1781</v>
      </c>
      <c r="D1307" s="269">
        <f>VLOOKUP(C1307,lookup!$B$2:$F$1240,2)</f>
        <v>0</v>
      </c>
      <c r="E1307" s="271">
        <f>VLOOKUP(C1307,lookup!$B$2:$F$1240,5)</f>
        <v>0</v>
      </c>
    </row>
    <row r="1308" spans="1:5" ht="22.8" x14ac:dyDescent="0.25">
      <c r="A1308" s="169">
        <v>543</v>
      </c>
      <c r="C1308" s="106" t="s">
        <v>908</v>
      </c>
      <c r="D1308" s="269">
        <f>VLOOKUP(C1308,lookup!$B$2:$F$1240,2)</f>
        <v>0</v>
      </c>
      <c r="E1308" s="271">
        <f>VLOOKUP(C1308,lookup!$B$2:$F$1240,5)</f>
        <v>0</v>
      </c>
    </row>
    <row r="1309" spans="1:5" ht="22.8" x14ac:dyDescent="0.25">
      <c r="A1309" s="169">
        <v>543</v>
      </c>
      <c r="C1309" s="106" t="s">
        <v>909</v>
      </c>
      <c r="D1309" s="269">
        <f>VLOOKUP(C1309,lookup!$B$2:$F$1240,2)</f>
        <v>0</v>
      </c>
      <c r="E1309" s="271">
        <f>VLOOKUP(C1309,lookup!$B$2:$F$1240,5)</f>
        <v>0</v>
      </c>
    </row>
    <row r="1310" spans="1:5" ht="22.8" x14ac:dyDescent="0.25">
      <c r="A1310" s="169">
        <v>543</v>
      </c>
      <c r="C1310" s="106" t="s">
        <v>910</v>
      </c>
      <c r="D1310" s="269">
        <f>VLOOKUP(C1310,lookup!$B$2:$F$1240,2)</f>
        <v>0</v>
      </c>
      <c r="E1310" s="271">
        <f>VLOOKUP(C1310,lookup!$B$2:$F$1240,5)</f>
        <v>0</v>
      </c>
    </row>
    <row r="1311" spans="1:5" x14ac:dyDescent="0.25">
      <c r="A1311" s="169">
        <v>543</v>
      </c>
      <c r="C1311" s="106" t="s">
        <v>1523</v>
      </c>
      <c r="D1311" s="269">
        <f>VLOOKUP(C1311,lookup!$B$2:$F$1240,2)</f>
        <v>0</v>
      </c>
      <c r="E1311" s="271">
        <f>VLOOKUP(C1311,lookup!$B$2:$F$1240,5)</f>
        <v>0</v>
      </c>
    </row>
    <row r="1312" spans="1:5" x14ac:dyDescent="0.25">
      <c r="A1312" s="169">
        <v>543</v>
      </c>
      <c r="C1312" s="106" t="s">
        <v>243</v>
      </c>
      <c r="D1312" s="269">
        <f>VLOOKUP(C1312,lookup!$B$2:$F$1240,2)</f>
        <v>0</v>
      </c>
      <c r="E1312" s="271">
        <f>VLOOKUP(C1312,lookup!$B$2:$F$1240,5)</f>
        <v>0</v>
      </c>
    </row>
    <row r="1313" spans="1:5" x14ac:dyDescent="0.25">
      <c r="A1313" s="169">
        <v>544</v>
      </c>
      <c r="B1313" s="172" t="s">
        <v>0</v>
      </c>
      <c r="D1313" s="269" t="e">
        <f>VLOOKUP(C1313,lookup!$B$2:$F$1240,2)</f>
        <v>#N/A</v>
      </c>
      <c r="E1313" s="271" t="e">
        <f>VLOOKUP(C1313,lookup!$B$2:$F$1240,5)</f>
        <v>#N/A</v>
      </c>
    </row>
    <row r="1314" spans="1:5" x14ac:dyDescent="0.25">
      <c r="A1314" s="169">
        <v>544</v>
      </c>
      <c r="C1314" s="106" t="s">
        <v>750</v>
      </c>
      <c r="D1314" s="269">
        <f>VLOOKUP(C1314,lookup!$B$2:$F$1240,2)</f>
        <v>0</v>
      </c>
      <c r="E1314" s="271">
        <f>VLOOKUP(C1314,lookup!$B$2:$F$1240,5)</f>
        <v>0</v>
      </c>
    </row>
    <row r="1315" spans="1:5" x14ac:dyDescent="0.25">
      <c r="A1315" s="169">
        <v>544</v>
      </c>
      <c r="C1315" s="106" t="s">
        <v>2424</v>
      </c>
      <c r="D1315" s="269" t="str">
        <f>VLOOKUP(C1315,lookup!$B$2:$F$1240,2)</f>
        <v>lin ft</v>
      </c>
      <c r="E1315" s="271">
        <f>VLOOKUP(C1315,lookup!$B$2:$F$1240,5)</f>
        <v>3.5</v>
      </c>
    </row>
    <row r="1316" spans="1:5" x14ac:dyDescent="0.25">
      <c r="A1316" s="169">
        <v>544</v>
      </c>
      <c r="C1316" s="106" t="s">
        <v>2425</v>
      </c>
      <c r="D1316" s="269" t="str">
        <f>VLOOKUP(C1316,lookup!$B$2:$F$1240,2)</f>
        <v>lin ft</v>
      </c>
      <c r="E1316" s="271">
        <f>VLOOKUP(C1316,lookup!$B$2:$F$1240,5)</f>
        <v>3.5</v>
      </c>
    </row>
    <row r="1317" spans="1:5" x14ac:dyDescent="0.25">
      <c r="A1317" s="169">
        <v>544</v>
      </c>
      <c r="C1317" s="106" t="s">
        <v>1389</v>
      </c>
      <c r="D1317" s="269" t="str">
        <f>VLOOKUP(C1317,lookup!$B$2:$F$1240,2)</f>
        <v>ac</v>
      </c>
      <c r="E1317" s="271">
        <f>VLOOKUP(C1317,lookup!$B$2:$F$1240,5)</f>
        <v>14</v>
      </c>
    </row>
    <row r="1318" spans="1:5" x14ac:dyDescent="0.25">
      <c r="A1318" s="169">
        <v>544</v>
      </c>
      <c r="C1318" s="106" t="s">
        <v>2159</v>
      </c>
      <c r="D1318" s="269" t="str">
        <f>VLOOKUP(C1318,lookup!$B$2:$F$1240,2)</f>
        <v>Cu. Yd.</v>
      </c>
      <c r="E1318" s="271">
        <f>VLOOKUP(C1318,lookup!$B$2:$F$1240,5)</f>
        <v>3</v>
      </c>
    </row>
    <row r="1319" spans="1:5" x14ac:dyDescent="0.25">
      <c r="A1319" s="169">
        <v>544</v>
      </c>
      <c r="C1319" s="106" t="s">
        <v>2158</v>
      </c>
      <c r="D1319" s="269" t="str">
        <f>VLOOKUP(C1319,lookup!$B$2:$F$1240,2)</f>
        <v>Cu. Yd.</v>
      </c>
      <c r="E1319" s="271">
        <f>VLOOKUP(C1319,lookup!$B$2:$F$1240,5)</f>
        <v>3</v>
      </c>
    </row>
    <row r="1320" spans="1:5" x14ac:dyDescent="0.25">
      <c r="A1320" s="169">
        <v>544</v>
      </c>
      <c r="C1320" s="106" t="s">
        <v>2310</v>
      </c>
      <c r="D1320" s="269">
        <f>VLOOKUP(C1320,lookup!$B$2:$F$1240,2)</f>
        <v>0</v>
      </c>
      <c r="E1320" s="271">
        <f>VLOOKUP(C1320,lookup!$B$2:$F$1240,5)</f>
        <v>0</v>
      </c>
    </row>
    <row r="1321" spans="1:5" x14ac:dyDescent="0.25">
      <c r="A1321" s="169">
        <v>544</v>
      </c>
      <c r="C1321" s="106" t="s">
        <v>2311</v>
      </c>
      <c r="D1321" s="269">
        <f>VLOOKUP(C1321,lookup!$B$2:$F$1240,2)</f>
        <v>0</v>
      </c>
      <c r="E1321" s="271">
        <f>VLOOKUP(C1321,lookup!$B$2:$F$1240,5)</f>
        <v>0</v>
      </c>
    </row>
    <row r="1322" spans="1:5" x14ac:dyDescent="0.25">
      <c r="A1322" s="169">
        <v>544</v>
      </c>
      <c r="C1322" s="106" t="s">
        <v>1376</v>
      </c>
      <c r="D1322" s="269" t="str">
        <f>VLOOKUP(C1322,lookup!$B$2:$F$1240,2)</f>
        <v>cu yd</v>
      </c>
      <c r="E1322" s="271">
        <f>VLOOKUP(C1322,lookup!$B$2:$F$1240,5)</f>
        <v>3.5</v>
      </c>
    </row>
    <row r="1323" spans="1:5" x14ac:dyDescent="0.25">
      <c r="A1323" s="169">
        <v>544</v>
      </c>
      <c r="C1323" s="106" t="s">
        <v>1110</v>
      </c>
      <c r="D1323" s="269" t="str">
        <f>VLOOKUP(C1323,lookup!$B$2:$F$1240,2)</f>
        <v>Cu Yd</v>
      </c>
      <c r="E1323" s="271">
        <f>VLOOKUP(C1323,lookup!$B$2:$F$1240,5)</f>
        <v>0</v>
      </c>
    </row>
    <row r="1324" spans="1:5" x14ac:dyDescent="0.25">
      <c r="A1324" s="169">
        <v>544</v>
      </c>
      <c r="C1324" s="106" t="s">
        <v>2313</v>
      </c>
      <c r="D1324" s="269" t="str">
        <f>VLOOKUP(C1324,lookup!$B$2:$F$1240,2)</f>
        <v>l.s.</v>
      </c>
      <c r="E1324" s="271">
        <f>VLOOKUP(C1324,lookup!$B$2:$F$1240,5)</f>
        <v>400</v>
      </c>
    </row>
    <row r="1325" spans="1:5" x14ac:dyDescent="0.25">
      <c r="A1325" s="169">
        <v>544</v>
      </c>
      <c r="C1325" s="106" t="s">
        <v>1034</v>
      </c>
      <c r="D1325" s="269" t="str">
        <f>VLOOKUP(C1325,lookup!$B$2:$F$1240,2)</f>
        <v>l.s.</v>
      </c>
      <c r="E1325" s="271">
        <f>VLOOKUP(C1325,lookup!$B$2:$F$1240,5)</f>
        <v>400</v>
      </c>
    </row>
    <row r="1326" spans="1:5" x14ac:dyDescent="0.25">
      <c r="A1326" s="169">
        <v>544</v>
      </c>
      <c r="C1326" s="106" t="s">
        <v>1034</v>
      </c>
      <c r="D1326" s="269" t="str">
        <f>VLOOKUP(C1326,lookup!$B$2:$F$1240,2)</f>
        <v>l.s.</v>
      </c>
      <c r="E1326" s="271">
        <f>VLOOKUP(C1326,lookup!$B$2:$F$1240,5)</f>
        <v>400</v>
      </c>
    </row>
    <row r="1327" spans="1:5" x14ac:dyDescent="0.25">
      <c r="A1327" s="169">
        <v>544</v>
      </c>
      <c r="C1327" s="106" t="s">
        <v>400</v>
      </c>
      <c r="D1327" s="269" t="str">
        <f>VLOOKUP(C1327,lookup!$B$2:$F$1240,2)</f>
        <v>each</v>
      </c>
      <c r="E1327" s="271">
        <f>VLOOKUP(C1327,lookup!$B$2:$F$1240,5)</f>
        <v>75</v>
      </c>
    </row>
    <row r="1328" spans="1:5" x14ac:dyDescent="0.25">
      <c r="A1328" s="169">
        <v>544</v>
      </c>
      <c r="C1328" s="106" t="s">
        <v>401</v>
      </c>
      <c r="D1328" s="269" t="str">
        <f>VLOOKUP(C1328,lookup!$B$2:$F$1240,2)</f>
        <v>each</v>
      </c>
      <c r="E1328" s="271">
        <f>VLOOKUP(C1328,lookup!$B$2:$F$1240,5)</f>
        <v>75</v>
      </c>
    </row>
    <row r="1329" spans="1:5" x14ac:dyDescent="0.25">
      <c r="A1329" s="169">
        <v>544</v>
      </c>
      <c r="C1329" s="106" t="s">
        <v>402</v>
      </c>
      <c r="D1329" s="269" t="str">
        <f>VLOOKUP(C1329,lookup!$B$2:$F$1240,2)</f>
        <v>each</v>
      </c>
      <c r="E1329" s="271">
        <f>VLOOKUP(C1329,lookup!$B$2:$F$1240,5)</f>
        <v>75</v>
      </c>
    </row>
    <row r="1330" spans="1:5" x14ac:dyDescent="0.25">
      <c r="A1330" s="169">
        <v>544</v>
      </c>
      <c r="C1330" s="106" t="s">
        <v>403</v>
      </c>
      <c r="D1330" s="269" t="str">
        <f>VLOOKUP(C1330,lookup!$B$2:$F$1240,2)</f>
        <v>each</v>
      </c>
      <c r="E1330" s="271">
        <f>VLOOKUP(C1330,lookup!$B$2:$F$1240,5)</f>
        <v>75</v>
      </c>
    </row>
    <row r="1331" spans="1:5" x14ac:dyDescent="0.25">
      <c r="A1331" s="169">
        <v>544</v>
      </c>
      <c r="C1331" s="106" t="s">
        <v>2556</v>
      </c>
      <c r="D1331" s="269">
        <f>VLOOKUP(C1331,lookup!$B$2:$F$1240,2)</f>
        <v>0</v>
      </c>
      <c r="E1331" s="271">
        <f>VLOOKUP(C1331,lookup!$B$2:$F$1240,5)</f>
        <v>0</v>
      </c>
    </row>
    <row r="1332" spans="1:5" x14ac:dyDescent="0.25">
      <c r="A1332" s="169">
        <v>544</v>
      </c>
      <c r="C1332" s="106" t="s">
        <v>2557</v>
      </c>
      <c r="D1332" s="269">
        <f>VLOOKUP(C1332,lookup!$B$2:$F$1240,2)</f>
        <v>0</v>
      </c>
      <c r="E1332" s="271">
        <f>VLOOKUP(C1332,lookup!$B$2:$F$1240,5)</f>
        <v>0</v>
      </c>
    </row>
    <row r="1333" spans="1:5" x14ac:dyDescent="0.25">
      <c r="A1333" s="169">
        <v>544</v>
      </c>
      <c r="C1333" s="106" t="s">
        <v>2154</v>
      </c>
      <c r="D1333" s="269" t="str">
        <f>VLOOKUP(C1333,lookup!$B$2:$F$1240,2)</f>
        <v>SY</v>
      </c>
      <c r="E1333" s="271">
        <f>VLOOKUP(C1333,lookup!$B$2:$F$1240,5)</f>
        <v>2.5</v>
      </c>
    </row>
    <row r="1334" spans="1:5" x14ac:dyDescent="0.25">
      <c r="A1334" s="169">
        <v>544</v>
      </c>
      <c r="C1334" s="106" t="s">
        <v>2155</v>
      </c>
      <c r="D1334" s="269" t="str">
        <f>VLOOKUP(C1334,lookup!$B$2:$F$1240,2)</f>
        <v>Sq Yd</v>
      </c>
      <c r="E1334" s="271">
        <f>VLOOKUP(C1334,lookup!$B$2:$F$1240,5)</f>
        <v>2.5</v>
      </c>
    </row>
    <row r="1335" spans="1:5" x14ac:dyDescent="0.25">
      <c r="A1335" s="169">
        <v>544</v>
      </c>
      <c r="C1335" s="106" t="s">
        <v>2156</v>
      </c>
      <c r="D1335" s="269" t="str">
        <f>VLOOKUP(C1335,lookup!$B$2:$F$1240,2)</f>
        <v>Sq Yd</v>
      </c>
      <c r="E1335" s="271">
        <f>VLOOKUP(C1335,lookup!$B$2:$F$1240,5)</f>
        <v>2.5</v>
      </c>
    </row>
    <row r="1336" spans="1:5" x14ac:dyDescent="0.25">
      <c r="A1336" s="169">
        <v>544</v>
      </c>
      <c r="C1336" s="106" t="s">
        <v>2157</v>
      </c>
      <c r="D1336" s="269" t="str">
        <f>VLOOKUP(C1336,lookup!$B$2:$F$1240,2)</f>
        <v>Sq Yd</v>
      </c>
      <c r="E1336" s="271">
        <f>VLOOKUP(C1336,lookup!$B$2:$F$1240,5)</f>
        <v>2.5</v>
      </c>
    </row>
    <row r="1337" spans="1:5" x14ac:dyDescent="0.25">
      <c r="A1337" s="169">
        <v>544</v>
      </c>
      <c r="C1337" s="106" t="s">
        <v>987</v>
      </c>
      <c r="D1337" s="269" t="str">
        <f>VLOOKUP(C1337,lookup!$B$2:$F$1240,2)</f>
        <v>Cu Yd</v>
      </c>
      <c r="E1337" s="271">
        <f>VLOOKUP(C1337,lookup!$B$2:$F$1240,5)</f>
        <v>40</v>
      </c>
    </row>
    <row r="1338" spans="1:5" x14ac:dyDescent="0.25">
      <c r="A1338" s="169">
        <v>544</v>
      </c>
      <c r="C1338" s="106" t="s">
        <v>988</v>
      </c>
      <c r="D1338" s="269" t="str">
        <f>VLOOKUP(C1338,lookup!$B$2:$F$1240,2)</f>
        <v>ton</v>
      </c>
      <c r="E1338" s="271">
        <f>VLOOKUP(C1338,lookup!$B$2:$F$1240,5)</f>
        <v>20</v>
      </c>
    </row>
    <row r="1339" spans="1:5" x14ac:dyDescent="0.25">
      <c r="A1339" s="169">
        <v>544</v>
      </c>
      <c r="C1339" s="106" t="s">
        <v>2797</v>
      </c>
      <c r="D1339" s="269" t="str">
        <f>VLOOKUP(C1339,lookup!$B$2:$F$1240,2)</f>
        <v>ton</v>
      </c>
      <c r="E1339" s="271">
        <f>VLOOKUP(C1339,lookup!$B$2:$F$1240,5)</f>
        <v>20</v>
      </c>
    </row>
    <row r="1340" spans="1:5" x14ac:dyDescent="0.25">
      <c r="A1340" s="169">
        <v>544</v>
      </c>
      <c r="C1340" s="106" t="s">
        <v>1996</v>
      </c>
      <c r="D1340" s="269" t="str">
        <f>VLOOKUP(C1340,lookup!$B$2:$F$1240,2)</f>
        <v>ton</v>
      </c>
      <c r="E1340" s="271">
        <f>VLOOKUP(C1340,lookup!$B$2:$F$1240,5)</f>
        <v>21.63</v>
      </c>
    </row>
    <row r="1341" spans="1:5" x14ac:dyDescent="0.25">
      <c r="A1341" s="169">
        <v>544</v>
      </c>
      <c r="C1341" s="106" t="s">
        <v>1997</v>
      </c>
      <c r="D1341" s="269" t="str">
        <f>VLOOKUP(C1341,lookup!$B$2:$F$1240,2)</f>
        <v>ton</v>
      </c>
      <c r="E1341" s="271">
        <f>VLOOKUP(C1341,lookup!$B$2:$F$1240,5)</f>
        <v>21.63</v>
      </c>
    </row>
    <row r="1342" spans="1:5" x14ac:dyDescent="0.25">
      <c r="A1342" s="169">
        <v>544</v>
      </c>
      <c r="C1342" s="106" t="s">
        <v>1998</v>
      </c>
      <c r="D1342" s="269" t="str">
        <f>VLOOKUP(C1342,lookup!$B$2:$F$1240,2)</f>
        <v>ton</v>
      </c>
      <c r="E1342" s="271">
        <f>VLOOKUP(C1342,lookup!$B$2:$F$1240,5)</f>
        <v>21.63</v>
      </c>
    </row>
    <row r="1343" spans="1:5" x14ac:dyDescent="0.25">
      <c r="A1343" s="169">
        <v>544</v>
      </c>
      <c r="C1343" s="106" t="s">
        <v>1999</v>
      </c>
      <c r="D1343" s="269" t="str">
        <f>VLOOKUP(C1343,lookup!$B$2:$F$1240,2)</f>
        <v>ton</v>
      </c>
      <c r="E1343" s="271">
        <f>VLOOKUP(C1343,lookup!$B$2:$F$1240,5)</f>
        <v>21.63</v>
      </c>
    </row>
    <row r="1344" spans="1:5" x14ac:dyDescent="0.25">
      <c r="A1344" s="169">
        <v>544</v>
      </c>
      <c r="C1344" s="106" t="s">
        <v>2786</v>
      </c>
      <c r="D1344" s="269" t="str">
        <f>VLOOKUP(C1344,lookup!$B$2:$F$1240,2)</f>
        <v>ton</v>
      </c>
      <c r="E1344" s="271">
        <f>VLOOKUP(C1344,lookup!$B$2:$F$1240,5)</f>
        <v>21.63</v>
      </c>
    </row>
    <row r="1345" spans="1:5" x14ac:dyDescent="0.25">
      <c r="A1345" s="169">
        <v>544</v>
      </c>
      <c r="C1345" s="106" t="s">
        <v>2784</v>
      </c>
      <c r="D1345" s="269" t="str">
        <f>VLOOKUP(C1345,lookup!$B$2:$F$1240,2)</f>
        <v>ton</v>
      </c>
      <c r="E1345" s="271">
        <f>VLOOKUP(C1345,lookup!$B$2:$F$1240,5)</f>
        <v>21.63</v>
      </c>
    </row>
    <row r="1346" spans="1:5" x14ac:dyDescent="0.25">
      <c r="A1346" s="169">
        <v>544</v>
      </c>
      <c r="C1346" s="106" t="s">
        <v>2712</v>
      </c>
      <c r="D1346" s="269" t="str">
        <f>VLOOKUP(C1346,lookup!$B$2:$F$1240,2)</f>
        <v>Cu Yd</v>
      </c>
      <c r="E1346" s="271">
        <f>VLOOKUP(C1346,lookup!$B$2:$F$1240,5)</f>
        <v>3.5</v>
      </c>
    </row>
    <row r="1347" spans="1:5" ht="22.8" x14ac:dyDescent="0.25">
      <c r="A1347" s="169">
        <v>544</v>
      </c>
      <c r="C1347" s="106" t="s">
        <v>906</v>
      </c>
      <c r="D1347" s="269">
        <f>VLOOKUP(C1347,lookup!$B$2:$F$1240,2)</f>
        <v>0</v>
      </c>
      <c r="E1347" s="271">
        <f>VLOOKUP(C1347,lookup!$B$2:$F$1240,5)</f>
        <v>0</v>
      </c>
    </row>
    <row r="1348" spans="1:5" ht="22.8" x14ac:dyDescent="0.25">
      <c r="A1348" s="169">
        <v>544</v>
      </c>
      <c r="C1348" s="106" t="s">
        <v>907</v>
      </c>
      <c r="D1348" s="269" t="str">
        <f>VLOOKUP(C1348,lookup!$B$2:$F$1240,2)</f>
        <v>sq ft</v>
      </c>
      <c r="E1348" s="271">
        <f>VLOOKUP(C1348,lookup!$B$2:$F$1240,5)</f>
        <v>0</v>
      </c>
    </row>
    <row r="1349" spans="1:5" ht="22.8" x14ac:dyDescent="0.25">
      <c r="A1349" s="169">
        <v>544</v>
      </c>
      <c r="C1349" s="106" t="s">
        <v>1781</v>
      </c>
      <c r="D1349" s="269">
        <f>VLOOKUP(C1349,lookup!$B$2:$F$1240,2)</f>
        <v>0</v>
      </c>
      <c r="E1349" s="271">
        <f>VLOOKUP(C1349,lookup!$B$2:$F$1240,5)</f>
        <v>0</v>
      </c>
    </row>
    <row r="1350" spans="1:5" ht="22.8" x14ac:dyDescent="0.25">
      <c r="A1350" s="169">
        <v>544</v>
      </c>
      <c r="C1350" s="106" t="s">
        <v>908</v>
      </c>
      <c r="D1350" s="269">
        <f>VLOOKUP(C1350,lookup!$B$2:$F$1240,2)</f>
        <v>0</v>
      </c>
      <c r="E1350" s="271">
        <f>VLOOKUP(C1350,lookup!$B$2:$F$1240,5)</f>
        <v>0</v>
      </c>
    </row>
    <row r="1351" spans="1:5" ht="22.8" x14ac:dyDescent="0.25">
      <c r="A1351" s="169">
        <v>544</v>
      </c>
      <c r="C1351" s="106" t="s">
        <v>909</v>
      </c>
      <c r="D1351" s="269">
        <f>VLOOKUP(C1351,lookup!$B$2:$F$1240,2)</f>
        <v>0</v>
      </c>
      <c r="E1351" s="271">
        <f>VLOOKUP(C1351,lookup!$B$2:$F$1240,5)</f>
        <v>0</v>
      </c>
    </row>
    <row r="1352" spans="1:5" ht="22.8" x14ac:dyDescent="0.25">
      <c r="A1352" s="169">
        <v>544</v>
      </c>
      <c r="C1352" s="106" t="s">
        <v>910</v>
      </c>
      <c r="D1352" s="269">
        <f>VLOOKUP(C1352,lookup!$B$2:$F$1240,2)</f>
        <v>0</v>
      </c>
      <c r="E1352" s="271">
        <f>VLOOKUP(C1352,lookup!$B$2:$F$1240,5)</f>
        <v>0</v>
      </c>
    </row>
    <row r="1353" spans="1:5" x14ac:dyDescent="0.25">
      <c r="A1353" s="169">
        <v>544</v>
      </c>
      <c r="C1353" s="106" t="s">
        <v>1523</v>
      </c>
      <c r="D1353" s="269">
        <f>VLOOKUP(C1353,lookup!$B$2:$F$1240,2)</f>
        <v>0</v>
      </c>
      <c r="E1353" s="271">
        <f>VLOOKUP(C1353,lookup!$B$2:$F$1240,5)</f>
        <v>0</v>
      </c>
    </row>
    <row r="1354" spans="1:5" x14ac:dyDescent="0.25">
      <c r="A1354" s="169">
        <v>544</v>
      </c>
      <c r="C1354" s="106" t="s">
        <v>243</v>
      </c>
      <c r="D1354" s="269">
        <f>VLOOKUP(C1354,lookup!$B$2:$F$1240,2)</f>
        <v>0</v>
      </c>
      <c r="E1354" s="271">
        <f>VLOOKUP(C1354,lookup!$B$2:$F$1240,5)</f>
        <v>0</v>
      </c>
    </row>
    <row r="1355" spans="1:5" x14ac:dyDescent="0.25">
      <c r="A1355" s="169">
        <v>544</v>
      </c>
      <c r="C1355" s="106" t="s">
        <v>1455</v>
      </c>
      <c r="D1355" s="269">
        <f>VLOOKUP(C1355,lookup!$B$2:$F$1240,2)</f>
        <v>0</v>
      </c>
      <c r="E1355" s="271">
        <f>VLOOKUP(C1355,lookup!$B$2:$F$1240,5)</f>
        <v>0</v>
      </c>
    </row>
    <row r="1356" spans="1:5" x14ac:dyDescent="0.25">
      <c r="A1356" s="169">
        <v>552</v>
      </c>
      <c r="B1356" s="172" t="s">
        <v>1271</v>
      </c>
      <c r="D1356" s="269"/>
      <c r="E1356" s="271"/>
    </row>
    <row r="1357" spans="1:5" x14ac:dyDescent="0.25">
      <c r="A1357" s="169">
        <v>552</v>
      </c>
      <c r="C1357" s="106" t="s">
        <v>1376</v>
      </c>
      <c r="D1357" s="269" t="str">
        <f>VLOOKUP(C1357,lookup!$B$2:$F$1240,2)</f>
        <v>cu yd</v>
      </c>
      <c r="E1357" s="271">
        <f>VLOOKUP(C1357,lookup!$B$2:$F$1240,5)</f>
        <v>3.5</v>
      </c>
    </row>
    <row r="1358" spans="1:5" x14ac:dyDescent="0.25">
      <c r="A1358" s="169">
        <v>552</v>
      </c>
      <c r="C1358" s="106" t="s">
        <v>1376</v>
      </c>
      <c r="D1358" s="269" t="str">
        <f>VLOOKUP(C1358,lookup!$B$2:$F$1240,2)</f>
        <v>cu yd</v>
      </c>
      <c r="E1358" s="271">
        <f>VLOOKUP(C1358,lookup!$B$2:$F$1240,5)</f>
        <v>3.5</v>
      </c>
    </row>
    <row r="1359" spans="1:5" x14ac:dyDescent="0.25">
      <c r="A1359" s="169">
        <v>552</v>
      </c>
      <c r="C1359" s="106" t="s">
        <v>1110</v>
      </c>
      <c r="D1359" s="269" t="str">
        <f>VLOOKUP(C1359,lookup!$B$2:$F$1240,2)</f>
        <v>Cu Yd</v>
      </c>
      <c r="E1359" s="271">
        <f>VLOOKUP(C1359,lookup!$B$2:$F$1240,5)</f>
        <v>0</v>
      </c>
    </row>
    <row r="1360" spans="1:5" x14ac:dyDescent="0.25">
      <c r="A1360" s="169">
        <v>552</v>
      </c>
      <c r="C1360" s="106" t="s">
        <v>1110</v>
      </c>
      <c r="D1360" s="269" t="str">
        <f>VLOOKUP(C1360,lookup!$B$2:$F$1240,2)</f>
        <v>Cu Yd</v>
      </c>
      <c r="E1360" s="271">
        <f>VLOOKUP(C1360,lookup!$B$2:$F$1240,5)</f>
        <v>0</v>
      </c>
    </row>
    <row r="1361" spans="1:5" x14ac:dyDescent="0.25">
      <c r="A1361" s="169">
        <v>552</v>
      </c>
      <c r="C1361" s="106" t="s">
        <v>2313</v>
      </c>
      <c r="D1361" s="269" t="str">
        <f>VLOOKUP(C1361,lookup!$B$2:$F$1240,2)</f>
        <v>l.s.</v>
      </c>
      <c r="E1361" s="271">
        <f>VLOOKUP(C1361,lookup!$B$2:$F$1240,5)</f>
        <v>400</v>
      </c>
    </row>
    <row r="1362" spans="1:5" x14ac:dyDescent="0.25">
      <c r="A1362" s="169">
        <v>552</v>
      </c>
      <c r="C1362" s="106" t="s">
        <v>2313</v>
      </c>
      <c r="D1362" s="269" t="str">
        <f>VLOOKUP(C1362,lookup!$B$2:$F$1240,2)</f>
        <v>l.s.</v>
      </c>
      <c r="E1362" s="271">
        <f>VLOOKUP(C1362,lookup!$B$2:$F$1240,5)</f>
        <v>400</v>
      </c>
    </row>
    <row r="1363" spans="1:5" x14ac:dyDescent="0.25">
      <c r="A1363" s="169">
        <v>552</v>
      </c>
      <c r="C1363" s="106" t="s">
        <v>1034</v>
      </c>
      <c r="D1363" s="269" t="str">
        <f>VLOOKUP(C1363,lookup!$B$2:$F$1240,2)</f>
        <v>l.s.</v>
      </c>
      <c r="E1363" s="271">
        <f>VLOOKUP(C1363,lookup!$B$2:$F$1240,5)</f>
        <v>400</v>
      </c>
    </row>
    <row r="1364" spans="1:5" x14ac:dyDescent="0.25">
      <c r="A1364" s="169">
        <v>552</v>
      </c>
      <c r="C1364" s="106" t="s">
        <v>1034</v>
      </c>
      <c r="D1364" s="269" t="str">
        <f>VLOOKUP(C1364,lookup!$B$2:$F$1240,2)</f>
        <v>l.s.</v>
      </c>
      <c r="E1364" s="271">
        <f>VLOOKUP(C1364,lookup!$B$2:$F$1240,5)</f>
        <v>400</v>
      </c>
    </row>
    <row r="1365" spans="1:5" x14ac:dyDescent="0.25">
      <c r="A1365" s="169">
        <v>552</v>
      </c>
      <c r="C1365" s="106" t="s">
        <v>1034</v>
      </c>
      <c r="D1365" s="269" t="str">
        <f>VLOOKUP(C1365,lookup!$B$2:$F$1240,2)</f>
        <v>l.s.</v>
      </c>
      <c r="E1365" s="271">
        <f>VLOOKUP(C1365,lookup!$B$2:$F$1240,5)</f>
        <v>400</v>
      </c>
    </row>
    <row r="1366" spans="1:5" x14ac:dyDescent="0.25">
      <c r="A1366" s="169">
        <v>552</v>
      </c>
      <c r="C1366" s="106" t="s">
        <v>1034</v>
      </c>
      <c r="D1366" s="269" t="str">
        <f>VLOOKUP(C1366,lookup!$B$2:$F$1240,2)</f>
        <v>l.s.</v>
      </c>
      <c r="E1366" s="271">
        <f>VLOOKUP(C1366,lookup!$B$2:$F$1240,5)</f>
        <v>400</v>
      </c>
    </row>
    <row r="1367" spans="1:5" x14ac:dyDescent="0.25">
      <c r="A1367" s="169">
        <v>552</v>
      </c>
      <c r="C1367" s="106" t="s">
        <v>987</v>
      </c>
      <c r="D1367" s="269" t="str">
        <f>VLOOKUP(C1367,lookup!$B$2:$F$1240,2)</f>
        <v>Cu Yd</v>
      </c>
      <c r="E1367" s="271">
        <f>VLOOKUP(C1367,lookup!$B$2:$F$1240,5)</f>
        <v>40</v>
      </c>
    </row>
    <row r="1368" spans="1:5" x14ac:dyDescent="0.25">
      <c r="A1368" s="169">
        <v>552</v>
      </c>
      <c r="C1368" s="106" t="s">
        <v>987</v>
      </c>
      <c r="D1368" s="269" t="str">
        <f>VLOOKUP(C1368,lookup!$B$2:$F$1240,2)</f>
        <v>Cu Yd</v>
      </c>
      <c r="E1368" s="271">
        <f>VLOOKUP(C1368,lookup!$B$2:$F$1240,5)</f>
        <v>40</v>
      </c>
    </row>
    <row r="1369" spans="1:5" x14ac:dyDescent="0.25">
      <c r="A1369" s="169">
        <v>552</v>
      </c>
      <c r="C1369" s="106" t="s">
        <v>988</v>
      </c>
      <c r="D1369" s="269" t="str">
        <f>VLOOKUP(C1369,lookup!$B$2:$F$1240,2)</f>
        <v>ton</v>
      </c>
      <c r="E1369" s="271">
        <f>VLOOKUP(C1369,lookup!$B$2:$F$1240,5)</f>
        <v>20</v>
      </c>
    </row>
    <row r="1370" spans="1:5" x14ac:dyDescent="0.25">
      <c r="A1370" s="169">
        <v>552</v>
      </c>
      <c r="C1370" s="106" t="s">
        <v>988</v>
      </c>
      <c r="D1370" s="269" t="str">
        <f>VLOOKUP(C1370,lookup!$B$2:$F$1240,2)</f>
        <v>ton</v>
      </c>
      <c r="E1370" s="271">
        <f>VLOOKUP(C1370,lookup!$B$2:$F$1240,5)</f>
        <v>20</v>
      </c>
    </row>
    <row r="1371" spans="1:5" x14ac:dyDescent="0.25">
      <c r="A1371" s="169">
        <v>552</v>
      </c>
      <c r="C1371" s="106" t="s">
        <v>2797</v>
      </c>
      <c r="D1371" s="269" t="str">
        <f>VLOOKUP(C1371,lookup!$B$2:$F$1240,2)</f>
        <v>ton</v>
      </c>
      <c r="E1371" s="271">
        <f>VLOOKUP(C1371,lookup!$B$2:$F$1240,5)</f>
        <v>20</v>
      </c>
    </row>
    <row r="1372" spans="1:5" x14ac:dyDescent="0.25">
      <c r="A1372" s="169">
        <v>552</v>
      </c>
      <c r="C1372" s="106" t="s">
        <v>2797</v>
      </c>
      <c r="D1372" s="269" t="str">
        <f>VLOOKUP(C1372,lookup!$B$2:$F$1240,2)</f>
        <v>ton</v>
      </c>
      <c r="E1372" s="271">
        <f>VLOOKUP(C1372,lookup!$B$2:$F$1240,5)</f>
        <v>20</v>
      </c>
    </row>
    <row r="1373" spans="1:5" x14ac:dyDescent="0.25">
      <c r="A1373" s="169">
        <v>552</v>
      </c>
      <c r="C1373" s="106" t="s">
        <v>2320</v>
      </c>
      <c r="D1373" s="269">
        <f>VLOOKUP(C1373,lookup!$B$2:$F$1240,2)</f>
        <v>0</v>
      </c>
      <c r="E1373" s="271">
        <f>VLOOKUP(C1373,lookup!$B$2:$F$1240,5)</f>
        <v>0</v>
      </c>
    </row>
    <row r="1374" spans="1:5" x14ac:dyDescent="0.25">
      <c r="A1374" s="169">
        <v>552</v>
      </c>
      <c r="C1374" s="106" t="s">
        <v>1246</v>
      </c>
      <c r="D1374" s="269">
        <f>VLOOKUP(C1374,lookup!$B$2:$F$1240,2)</f>
        <v>0</v>
      </c>
      <c r="E1374" s="271">
        <f>VLOOKUP(C1374,lookup!$B$2:$F$1240,5)</f>
        <v>0</v>
      </c>
    </row>
    <row r="1375" spans="1:5" x14ac:dyDescent="0.25">
      <c r="A1375" s="169">
        <v>552</v>
      </c>
      <c r="C1375" s="106" t="s">
        <v>2708</v>
      </c>
      <c r="D1375" s="269">
        <f>VLOOKUP(C1375,lookup!$B$2:$F$1240,2)</f>
        <v>0</v>
      </c>
      <c r="E1375" s="271">
        <f>VLOOKUP(C1375,lookup!$B$2:$F$1240,5)</f>
        <v>0</v>
      </c>
    </row>
    <row r="1376" spans="1:5" x14ac:dyDescent="0.25">
      <c r="A1376" s="169">
        <v>552</v>
      </c>
      <c r="C1376" s="106" t="s">
        <v>2709</v>
      </c>
      <c r="D1376" s="269">
        <f>VLOOKUP(C1376,lookup!$B$2:$F$1240,2)</f>
        <v>0</v>
      </c>
      <c r="E1376" s="271">
        <f>VLOOKUP(C1376,lookup!$B$2:$F$1240,5)</f>
        <v>0</v>
      </c>
    </row>
    <row r="1377" spans="1:5" x14ac:dyDescent="0.25">
      <c r="A1377" s="169">
        <v>552</v>
      </c>
      <c r="C1377" s="106" t="s">
        <v>1236</v>
      </c>
      <c r="D1377" s="269">
        <f>VLOOKUP(C1377,lookup!$B$2:$F$1240,2)</f>
        <v>0</v>
      </c>
      <c r="E1377" s="271">
        <f>VLOOKUP(C1377,lookup!$B$2:$F$1240,5)</f>
        <v>0</v>
      </c>
    </row>
    <row r="1378" spans="1:5" x14ac:dyDescent="0.25">
      <c r="A1378" s="169">
        <v>552</v>
      </c>
      <c r="C1378" s="106" t="s">
        <v>2319</v>
      </c>
      <c r="D1378" s="269">
        <f>VLOOKUP(C1378,lookup!$B$2:$F$1240,2)</f>
        <v>0</v>
      </c>
      <c r="E1378" s="271">
        <f>VLOOKUP(C1378,lookup!$B$2:$F$1240,5)</f>
        <v>0</v>
      </c>
    </row>
    <row r="1379" spans="1:5" x14ac:dyDescent="0.25">
      <c r="A1379" s="169">
        <v>552</v>
      </c>
      <c r="C1379" s="106" t="s">
        <v>1988</v>
      </c>
      <c r="D1379" s="269" t="str">
        <f>VLOOKUP(C1379,lookup!$B$2:$F$1240,2)</f>
        <v>lin ft</v>
      </c>
      <c r="E1379" s="271">
        <f>VLOOKUP(C1379,lookup!$B$2:$F$1240,5)</f>
        <v>20</v>
      </c>
    </row>
    <row r="1380" spans="1:5" x14ac:dyDescent="0.25">
      <c r="A1380" s="169">
        <v>552</v>
      </c>
      <c r="C1380" s="106" t="s">
        <v>1988</v>
      </c>
      <c r="D1380" s="269" t="str">
        <f>VLOOKUP(C1380,lookup!$B$2:$F$1240,2)</f>
        <v>lin ft</v>
      </c>
      <c r="E1380" s="271">
        <f>VLOOKUP(C1380,lookup!$B$2:$F$1240,5)</f>
        <v>20</v>
      </c>
    </row>
    <row r="1381" spans="1:5" x14ac:dyDescent="0.25">
      <c r="A1381" s="169">
        <v>552</v>
      </c>
      <c r="C1381" s="106" t="s">
        <v>1989</v>
      </c>
      <c r="D1381" s="269" t="str">
        <f>VLOOKUP(C1381,lookup!$B$2:$F$1240,2)</f>
        <v>lin ft</v>
      </c>
      <c r="E1381" s="271">
        <f>VLOOKUP(C1381,lookup!$B$2:$F$1240,5)</f>
        <v>20</v>
      </c>
    </row>
    <row r="1382" spans="1:5" x14ac:dyDescent="0.25">
      <c r="A1382" s="169">
        <v>552</v>
      </c>
      <c r="C1382" s="106" t="s">
        <v>1989</v>
      </c>
      <c r="D1382" s="269" t="str">
        <f>VLOOKUP(C1382,lookup!$B$2:$F$1240,2)</f>
        <v>lin ft</v>
      </c>
      <c r="E1382" s="271">
        <f>VLOOKUP(C1382,lookup!$B$2:$F$1240,5)</f>
        <v>20</v>
      </c>
    </row>
    <row r="1383" spans="1:5" x14ac:dyDescent="0.25">
      <c r="A1383" s="169">
        <v>552</v>
      </c>
      <c r="C1383" s="106" t="s">
        <v>2195</v>
      </c>
      <c r="D1383" s="269" t="str">
        <f>VLOOKUP(C1383,lookup!$B$2:$F$1240,2)</f>
        <v>lin ft</v>
      </c>
      <c r="E1383" s="271">
        <f>VLOOKUP(C1383,lookup!$B$2:$F$1240,5)</f>
        <v>20</v>
      </c>
    </row>
    <row r="1384" spans="1:5" x14ac:dyDescent="0.25">
      <c r="A1384" s="169">
        <v>552</v>
      </c>
      <c r="C1384" s="106" t="s">
        <v>2195</v>
      </c>
      <c r="D1384" s="269" t="str">
        <f>VLOOKUP(C1384,lookup!$B$2:$F$1240,2)</f>
        <v>lin ft</v>
      </c>
      <c r="E1384" s="271">
        <f>VLOOKUP(C1384,lookup!$B$2:$F$1240,5)</f>
        <v>20</v>
      </c>
    </row>
    <row r="1385" spans="1:5" x14ac:dyDescent="0.25">
      <c r="A1385" s="169">
        <v>552</v>
      </c>
      <c r="C1385" s="106" t="s">
        <v>2196</v>
      </c>
      <c r="D1385" s="269" t="str">
        <f>VLOOKUP(C1385,lookup!$B$2:$F$1240,2)</f>
        <v>lin ft</v>
      </c>
      <c r="E1385" s="271">
        <f>VLOOKUP(C1385,lookup!$B$2:$F$1240,5)</f>
        <v>20</v>
      </c>
    </row>
    <row r="1386" spans="1:5" x14ac:dyDescent="0.25">
      <c r="A1386" s="169">
        <v>552</v>
      </c>
      <c r="C1386" s="106" t="s">
        <v>2196</v>
      </c>
      <c r="D1386" s="269" t="str">
        <f>VLOOKUP(C1386,lookup!$B$2:$F$1240,2)</f>
        <v>lin ft</v>
      </c>
      <c r="E1386" s="271">
        <f>VLOOKUP(C1386,lookup!$B$2:$F$1240,5)</f>
        <v>20</v>
      </c>
    </row>
    <row r="1387" spans="1:5" x14ac:dyDescent="0.25">
      <c r="A1387" s="169">
        <v>552</v>
      </c>
      <c r="C1387" s="106" t="s">
        <v>2193</v>
      </c>
      <c r="D1387" s="269" t="str">
        <f>VLOOKUP(C1387,lookup!$B$2:$F$1240,2)</f>
        <v>lin ft</v>
      </c>
      <c r="E1387" s="271">
        <f>VLOOKUP(C1387,lookup!$B$2:$F$1240,5)</f>
        <v>20</v>
      </c>
    </row>
    <row r="1388" spans="1:5" x14ac:dyDescent="0.25">
      <c r="A1388" s="169">
        <v>552</v>
      </c>
      <c r="C1388" s="106" t="s">
        <v>2193</v>
      </c>
      <c r="D1388" s="269" t="str">
        <f>VLOOKUP(C1388,lookup!$B$2:$F$1240,2)</f>
        <v>lin ft</v>
      </c>
      <c r="E1388" s="271">
        <f>VLOOKUP(C1388,lookup!$B$2:$F$1240,5)</f>
        <v>20</v>
      </c>
    </row>
    <row r="1389" spans="1:5" x14ac:dyDescent="0.25">
      <c r="A1389" s="169">
        <v>552</v>
      </c>
      <c r="C1389" s="106" t="s">
        <v>2194</v>
      </c>
      <c r="D1389" s="269" t="str">
        <f>VLOOKUP(C1389,lookup!$B$2:$F$1240,2)</f>
        <v>lin ft</v>
      </c>
      <c r="E1389" s="271">
        <f>VLOOKUP(C1389,lookup!$B$2:$F$1240,5)</f>
        <v>20</v>
      </c>
    </row>
    <row r="1390" spans="1:5" x14ac:dyDescent="0.25">
      <c r="A1390" s="169">
        <v>552</v>
      </c>
      <c r="C1390" s="106" t="s">
        <v>2194</v>
      </c>
      <c r="D1390" s="269" t="str">
        <f>VLOOKUP(C1390,lookup!$B$2:$F$1240,2)</f>
        <v>lin ft</v>
      </c>
      <c r="E1390" s="271">
        <f>VLOOKUP(C1390,lookup!$B$2:$F$1240,5)</f>
        <v>20</v>
      </c>
    </row>
    <row r="1391" spans="1:5" x14ac:dyDescent="0.25">
      <c r="A1391" s="169">
        <v>552</v>
      </c>
      <c r="C1391" s="106" t="s">
        <v>600</v>
      </c>
      <c r="D1391" s="269" t="str">
        <f>VLOOKUP(C1391,lookup!$B$2:$F$1240,2)</f>
        <v>lin ft</v>
      </c>
      <c r="E1391" s="271">
        <f>VLOOKUP(C1391,lookup!$B$2:$F$1240,5)</f>
        <v>20</v>
      </c>
    </row>
    <row r="1392" spans="1:5" x14ac:dyDescent="0.25">
      <c r="A1392" s="169">
        <v>552</v>
      </c>
      <c r="C1392" s="106" t="s">
        <v>600</v>
      </c>
      <c r="D1392" s="269" t="str">
        <f>VLOOKUP(C1392,lookup!$B$2:$F$1240,2)</f>
        <v>lin ft</v>
      </c>
      <c r="E1392" s="271">
        <f>VLOOKUP(C1392,lookup!$B$2:$F$1240,5)</f>
        <v>20</v>
      </c>
    </row>
    <row r="1393" spans="1:5" x14ac:dyDescent="0.25">
      <c r="A1393" s="169">
        <v>552</v>
      </c>
      <c r="C1393" s="106" t="s">
        <v>1371</v>
      </c>
      <c r="D1393" s="269" t="str">
        <f>VLOOKUP(C1393,lookup!$B$2:$F$1240,2)</f>
        <v>lin ft</v>
      </c>
      <c r="E1393" s="271">
        <f>VLOOKUP(C1393,lookup!$B$2:$F$1240,5)</f>
        <v>20</v>
      </c>
    </row>
    <row r="1394" spans="1:5" x14ac:dyDescent="0.25">
      <c r="A1394" s="169">
        <v>552</v>
      </c>
      <c r="C1394" s="106" t="s">
        <v>1371</v>
      </c>
      <c r="D1394" s="269" t="str">
        <f>VLOOKUP(C1394,lookup!$B$2:$F$1240,2)</f>
        <v>lin ft</v>
      </c>
      <c r="E1394" s="271">
        <f>VLOOKUP(C1394,lookup!$B$2:$F$1240,5)</f>
        <v>20</v>
      </c>
    </row>
    <row r="1395" spans="1:5" x14ac:dyDescent="0.25">
      <c r="A1395" s="169">
        <v>552</v>
      </c>
      <c r="C1395" s="106" t="s">
        <v>1372</v>
      </c>
      <c r="D1395" s="269" t="str">
        <f>VLOOKUP(C1395,lookup!$B$2:$F$1240,2)</f>
        <v>lin ft</v>
      </c>
      <c r="E1395" s="271">
        <f>VLOOKUP(C1395,lookup!$B$2:$F$1240,5)</f>
        <v>20</v>
      </c>
    </row>
    <row r="1396" spans="1:5" x14ac:dyDescent="0.25">
      <c r="A1396" s="169">
        <v>552</v>
      </c>
      <c r="C1396" s="106" t="s">
        <v>1372</v>
      </c>
      <c r="D1396" s="269" t="str">
        <f>VLOOKUP(C1396,lookup!$B$2:$F$1240,2)</f>
        <v>lin ft</v>
      </c>
      <c r="E1396" s="271">
        <f>VLOOKUP(C1396,lookup!$B$2:$F$1240,5)</f>
        <v>20</v>
      </c>
    </row>
    <row r="1397" spans="1:5" ht="22.8" x14ac:dyDescent="0.25">
      <c r="A1397" s="169">
        <v>552</v>
      </c>
      <c r="C1397" s="106" t="s">
        <v>1187</v>
      </c>
      <c r="D1397" s="269" t="str">
        <f>VLOOKUP(C1397,lookup!$B$2:$F$1240,2)</f>
        <v>lin ft</v>
      </c>
      <c r="E1397" s="271">
        <f>VLOOKUP(C1397,lookup!$B$2:$F$1240,5)</f>
        <v>20</v>
      </c>
    </row>
    <row r="1398" spans="1:5" ht="22.8" x14ac:dyDescent="0.25">
      <c r="A1398" s="169">
        <v>552</v>
      </c>
      <c r="C1398" s="106" t="s">
        <v>1187</v>
      </c>
      <c r="D1398" s="269" t="str">
        <f>VLOOKUP(C1398,lookup!$B$2:$F$1240,2)</f>
        <v>lin ft</v>
      </c>
      <c r="E1398" s="271">
        <f>VLOOKUP(C1398,lookup!$B$2:$F$1240,5)</f>
        <v>20</v>
      </c>
    </row>
    <row r="1399" spans="1:5" ht="22.8" x14ac:dyDescent="0.25">
      <c r="A1399" s="169">
        <v>552</v>
      </c>
      <c r="C1399" s="106" t="s">
        <v>1228</v>
      </c>
      <c r="D1399" s="269" t="str">
        <f>VLOOKUP(C1399,lookup!$B$2:$F$1240,2)</f>
        <v>lin ft</v>
      </c>
      <c r="E1399" s="271">
        <f>VLOOKUP(C1399,lookup!$B$2:$F$1240,5)</f>
        <v>20</v>
      </c>
    </row>
    <row r="1400" spans="1:5" ht="22.8" x14ac:dyDescent="0.25">
      <c r="A1400" s="169">
        <v>552</v>
      </c>
      <c r="C1400" s="106" t="s">
        <v>1228</v>
      </c>
      <c r="D1400" s="269" t="str">
        <f>VLOOKUP(C1400,lookup!$B$2:$F$1240,2)</f>
        <v>lin ft</v>
      </c>
      <c r="E1400" s="271">
        <f>VLOOKUP(C1400,lookup!$B$2:$F$1240,5)</f>
        <v>20</v>
      </c>
    </row>
    <row r="1401" spans="1:5" ht="22.8" x14ac:dyDescent="0.25">
      <c r="A1401" s="169">
        <v>552</v>
      </c>
      <c r="C1401" s="106" t="s">
        <v>203</v>
      </c>
      <c r="D1401" s="269" t="str">
        <f>VLOOKUP(C1401,lookup!$B$2:$F$1240,2)</f>
        <v>lin ft</v>
      </c>
      <c r="E1401" s="271">
        <f>VLOOKUP(C1401,lookup!$B$2:$F$1240,5)</f>
        <v>20</v>
      </c>
    </row>
    <row r="1402" spans="1:5" ht="22.8" x14ac:dyDescent="0.25">
      <c r="A1402" s="169">
        <v>552</v>
      </c>
      <c r="C1402" s="106" t="s">
        <v>203</v>
      </c>
      <c r="D1402" s="269" t="str">
        <f>VLOOKUP(C1402,lookup!$B$2:$F$1240,2)</f>
        <v>lin ft</v>
      </c>
      <c r="E1402" s="271">
        <f>VLOOKUP(C1402,lookup!$B$2:$F$1240,5)</f>
        <v>20</v>
      </c>
    </row>
    <row r="1403" spans="1:5" ht="22.8" x14ac:dyDescent="0.25">
      <c r="A1403" s="169">
        <v>552</v>
      </c>
      <c r="C1403" s="106" t="s">
        <v>1229</v>
      </c>
      <c r="D1403" s="269" t="str">
        <f>VLOOKUP(C1403,lookup!$B$2:$F$1240,2)</f>
        <v>lin ft</v>
      </c>
      <c r="E1403" s="271">
        <f>VLOOKUP(C1403,lookup!$B$2:$F$1240,5)</f>
        <v>20</v>
      </c>
    </row>
    <row r="1404" spans="1:5" ht="22.8" x14ac:dyDescent="0.25">
      <c r="A1404" s="169">
        <v>552</v>
      </c>
      <c r="C1404" s="106" t="s">
        <v>1229</v>
      </c>
      <c r="D1404" s="269" t="str">
        <f>VLOOKUP(C1404,lookup!$B$2:$F$1240,2)</f>
        <v>lin ft</v>
      </c>
      <c r="E1404" s="271">
        <f>VLOOKUP(C1404,lookup!$B$2:$F$1240,5)</f>
        <v>20</v>
      </c>
    </row>
    <row r="1405" spans="1:5" ht="22.8" x14ac:dyDescent="0.25">
      <c r="A1405" s="169">
        <v>552</v>
      </c>
      <c r="C1405" s="106" t="s">
        <v>1188</v>
      </c>
      <c r="D1405" s="269" t="str">
        <f>VLOOKUP(C1405,lookup!$B$2:$F$1240,2)</f>
        <v>lin ft</v>
      </c>
      <c r="E1405" s="271">
        <f>VLOOKUP(C1405,lookup!$B$2:$F$1240,5)</f>
        <v>20</v>
      </c>
    </row>
    <row r="1406" spans="1:5" ht="22.8" x14ac:dyDescent="0.25">
      <c r="A1406" s="169">
        <v>552</v>
      </c>
      <c r="C1406" s="106" t="s">
        <v>1188</v>
      </c>
      <c r="D1406" s="269" t="str">
        <f>VLOOKUP(C1406,lookup!$B$2:$F$1240,2)</f>
        <v>lin ft</v>
      </c>
      <c r="E1406" s="271">
        <f>VLOOKUP(C1406,lookup!$B$2:$F$1240,5)</f>
        <v>20</v>
      </c>
    </row>
    <row r="1407" spans="1:5" ht="22.8" x14ac:dyDescent="0.25">
      <c r="A1407" s="169">
        <v>552</v>
      </c>
      <c r="C1407" s="106" t="s">
        <v>2363</v>
      </c>
      <c r="D1407" s="269" t="str">
        <f>VLOOKUP(C1407,lookup!$B$2:$F$1240,2)</f>
        <v>lin ft</v>
      </c>
      <c r="E1407" s="271">
        <f>VLOOKUP(C1407,lookup!$B$2:$F$1240,5)</f>
        <v>20</v>
      </c>
    </row>
    <row r="1408" spans="1:5" ht="22.8" x14ac:dyDescent="0.25">
      <c r="A1408" s="169">
        <v>552</v>
      </c>
      <c r="C1408" s="106" t="s">
        <v>2363</v>
      </c>
      <c r="D1408" s="269" t="str">
        <f>VLOOKUP(C1408,lookup!$B$2:$F$1240,2)</f>
        <v>lin ft</v>
      </c>
      <c r="E1408" s="271">
        <f>VLOOKUP(C1408,lookup!$B$2:$F$1240,5)</f>
        <v>20</v>
      </c>
    </row>
    <row r="1409" spans="1:5" ht="22.8" x14ac:dyDescent="0.25">
      <c r="A1409" s="169">
        <v>552</v>
      </c>
      <c r="C1409" s="106" t="s">
        <v>2364</v>
      </c>
      <c r="D1409" s="269" t="str">
        <f>VLOOKUP(C1409,lookup!$B$2:$F$1240,2)</f>
        <v>lin ft</v>
      </c>
      <c r="E1409" s="271">
        <f>VLOOKUP(C1409,lookup!$B$2:$F$1240,5)</f>
        <v>20</v>
      </c>
    </row>
    <row r="1410" spans="1:5" ht="22.8" x14ac:dyDescent="0.25">
      <c r="A1410" s="169">
        <v>552</v>
      </c>
      <c r="C1410" s="106" t="s">
        <v>2364</v>
      </c>
      <c r="D1410" s="269" t="str">
        <f>VLOOKUP(C1410,lookup!$B$2:$F$1240,2)</f>
        <v>lin ft</v>
      </c>
      <c r="E1410" s="271">
        <f>VLOOKUP(C1410,lookup!$B$2:$F$1240,5)</f>
        <v>20</v>
      </c>
    </row>
    <row r="1411" spans="1:5" ht="22.8" x14ac:dyDescent="0.25">
      <c r="A1411" s="169">
        <v>552</v>
      </c>
      <c r="C1411" s="106" t="s">
        <v>1374</v>
      </c>
      <c r="D1411" s="269" t="str">
        <f>VLOOKUP(C1411,lookup!$B$2:$F$1240,2)</f>
        <v>lin ft</v>
      </c>
      <c r="E1411" s="271">
        <f>VLOOKUP(C1411,lookup!$B$2:$F$1240,5)</f>
        <v>20</v>
      </c>
    </row>
    <row r="1412" spans="1:5" ht="22.8" x14ac:dyDescent="0.25">
      <c r="A1412" s="169">
        <v>552</v>
      </c>
      <c r="C1412" s="106" t="s">
        <v>1374</v>
      </c>
      <c r="D1412" s="269" t="str">
        <f>VLOOKUP(C1412,lookup!$B$2:$F$1240,2)</f>
        <v>lin ft</v>
      </c>
      <c r="E1412" s="271">
        <f>VLOOKUP(C1412,lookup!$B$2:$F$1240,5)</f>
        <v>20</v>
      </c>
    </row>
    <row r="1413" spans="1:5" ht="22.8" x14ac:dyDescent="0.25">
      <c r="A1413" s="169">
        <v>552</v>
      </c>
      <c r="C1413" s="106" t="s">
        <v>1375</v>
      </c>
      <c r="D1413" s="269" t="str">
        <f>VLOOKUP(C1413,lookup!$B$2:$F$1240,2)</f>
        <v>lin ft</v>
      </c>
      <c r="E1413" s="271">
        <f>VLOOKUP(C1413,lookup!$B$2:$F$1240,5)</f>
        <v>20</v>
      </c>
    </row>
    <row r="1414" spans="1:5" ht="22.8" x14ac:dyDescent="0.25">
      <c r="A1414" s="169">
        <v>552</v>
      </c>
      <c r="C1414" s="106" t="s">
        <v>1375</v>
      </c>
      <c r="D1414" s="269" t="str">
        <f>VLOOKUP(C1414,lookup!$B$2:$F$1240,2)</f>
        <v>lin ft</v>
      </c>
      <c r="E1414" s="271">
        <f>VLOOKUP(C1414,lookup!$B$2:$F$1240,5)</f>
        <v>20</v>
      </c>
    </row>
    <row r="1415" spans="1:5" ht="22.8" x14ac:dyDescent="0.25">
      <c r="A1415" s="169">
        <v>552</v>
      </c>
      <c r="C1415" s="106" t="s">
        <v>1184</v>
      </c>
      <c r="D1415" s="269" t="str">
        <f>VLOOKUP(C1415,lookup!$B$2:$F$1240,2)</f>
        <v>lin ft</v>
      </c>
      <c r="E1415" s="271">
        <f>VLOOKUP(C1415,lookup!$B$2:$F$1240,5)</f>
        <v>20</v>
      </c>
    </row>
    <row r="1416" spans="1:5" ht="22.8" x14ac:dyDescent="0.25">
      <c r="A1416" s="169">
        <v>552</v>
      </c>
      <c r="C1416" s="106" t="s">
        <v>1184</v>
      </c>
      <c r="D1416" s="269" t="str">
        <f>VLOOKUP(C1416,lookup!$B$2:$F$1240,2)</f>
        <v>lin ft</v>
      </c>
      <c r="E1416" s="271">
        <f>VLOOKUP(C1416,lookup!$B$2:$F$1240,5)</f>
        <v>20</v>
      </c>
    </row>
    <row r="1417" spans="1:5" ht="22.8" x14ac:dyDescent="0.25">
      <c r="A1417" s="169">
        <v>552</v>
      </c>
      <c r="C1417" s="106" t="s">
        <v>1225</v>
      </c>
      <c r="D1417" s="269" t="str">
        <f>VLOOKUP(C1417,lookup!$B$2:$F$1240,2)</f>
        <v>lin ft</v>
      </c>
      <c r="E1417" s="271">
        <f>VLOOKUP(C1417,lookup!$B$2:$F$1240,5)</f>
        <v>20</v>
      </c>
    </row>
    <row r="1418" spans="1:5" ht="22.8" x14ac:dyDescent="0.25">
      <c r="A1418" s="169">
        <v>552</v>
      </c>
      <c r="C1418" s="106" t="s">
        <v>1225</v>
      </c>
      <c r="D1418" s="269" t="str">
        <f>VLOOKUP(C1418,lookup!$B$2:$F$1240,2)</f>
        <v>lin ft</v>
      </c>
      <c r="E1418" s="271">
        <f>VLOOKUP(C1418,lookup!$B$2:$F$1240,5)</f>
        <v>20</v>
      </c>
    </row>
    <row r="1419" spans="1:5" ht="22.8" x14ac:dyDescent="0.25">
      <c r="A1419" s="169">
        <v>552</v>
      </c>
      <c r="C1419" s="106" t="s">
        <v>1185</v>
      </c>
      <c r="D1419" s="269" t="str">
        <f>VLOOKUP(C1419,lookup!$B$2:$F$1240,2)</f>
        <v>lin ft</v>
      </c>
      <c r="E1419" s="271">
        <f>VLOOKUP(C1419,lookup!$B$2:$F$1240,5)</f>
        <v>20</v>
      </c>
    </row>
    <row r="1420" spans="1:5" ht="22.8" x14ac:dyDescent="0.25">
      <c r="A1420" s="169">
        <v>552</v>
      </c>
      <c r="C1420" s="106" t="s">
        <v>1185</v>
      </c>
      <c r="D1420" s="269" t="str">
        <f>VLOOKUP(C1420,lookup!$B$2:$F$1240,2)</f>
        <v>lin ft</v>
      </c>
      <c r="E1420" s="271">
        <f>VLOOKUP(C1420,lookup!$B$2:$F$1240,5)</f>
        <v>20</v>
      </c>
    </row>
    <row r="1421" spans="1:5" ht="22.8" x14ac:dyDescent="0.25">
      <c r="A1421" s="169">
        <v>552</v>
      </c>
      <c r="C1421" s="106" t="s">
        <v>1226</v>
      </c>
      <c r="D1421" s="269" t="str">
        <f>VLOOKUP(C1421,lookup!$B$2:$F$1240,2)</f>
        <v>lin ft</v>
      </c>
      <c r="E1421" s="271">
        <f>VLOOKUP(C1421,lookup!$B$2:$F$1240,5)</f>
        <v>20</v>
      </c>
    </row>
    <row r="1422" spans="1:5" ht="22.8" x14ac:dyDescent="0.25">
      <c r="A1422" s="169">
        <v>552</v>
      </c>
      <c r="C1422" s="106" t="s">
        <v>1226</v>
      </c>
      <c r="D1422" s="269" t="str">
        <f>VLOOKUP(C1422,lookup!$B$2:$F$1240,2)</f>
        <v>lin ft</v>
      </c>
      <c r="E1422" s="271">
        <f>VLOOKUP(C1422,lookup!$B$2:$F$1240,5)</f>
        <v>20</v>
      </c>
    </row>
    <row r="1423" spans="1:5" ht="22.8" x14ac:dyDescent="0.25">
      <c r="A1423" s="169">
        <v>552</v>
      </c>
      <c r="C1423" s="106" t="s">
        <v>1186</v>
      </c>
      <c r="D1423" s="269" t="str">
        <f>VLOOKUP(C1423,lookup!$B$2:$F$1240,2)</f>
        <v>lin ft</v>
      </c>
      <c r="E1423" s="271">
        <f>VLOOKUP(C1423,lookup!$B$2:$F$1240,5)</f>
        <v>20</v>
      </c>
    </row>
    <row r="1424" spans="1:5" ht="22.8" x14ac:dyDescent="0.25">
      <c r="A1424" s="169">
        <v>552</v>
      </c>
      <c r="C1424" s="106" t="s">
        <v>1186</v>
      </c>
      <c r="D1424" s="269" t="str">
        <f>VLOOKUP(C1424,lookup!$B$2:$F$1240,2)</f>
        <v>lin ft</v>
      </c>
      <c r="E1424" s="271">
        <f>VLOOKUP(C1424,lookup!$B$2:$F$1240,5)</f>
        <v>20</v>
      </c>
    </row>
    <row r="1425" spans="1:5" ht="22.8" x14ac:dyDescent="0.25">
      <c r="A1425" s="169">
        <v>552</v>
      </c>
      <c r="C1425" s="106" t="s">
        <v>1227</v>
      </c>
      <c r="D1425" s="269" t="str">
        <f>VLOOKUP(C1425,lookup!$B$2:$F$1240,2)</f>
        <v>lin ft</v>
      </c>
      <c r="E1425" s="271">
        <f>VLOOKUP(C1425,lookup!$B$2:$F$1240,5)</f>
        <v>20</v>
      </c>
    </row>
    <row r="1426" spans="1:5" ht="22.8" x14ac:dyDescent="0.25">
      <c r="A1426" s="169">
        <v>552</v>
      </c>
      <c r="C1426" s="106" t="s">
        <v>1227</v>
      </c>
      <c r="D1426" s="269" t="str">
        <f>VLOOKUP(C1426,lookup!$B$2:$F$1240,2)</f>
        <v>lin ft</v>
      </c>
      <c r="E1426" s="271">
        <f>VLOOKUP(C1426,lookup!$B$2:$F$1240,5)</f>
        <v>20</v>
      </c>
    </row>
    <row r="1427" spans="1:5" ht="22.8" x14ac:dyDescent="0.25">
      <c r="A1427" s="169">
        <v>552</v>
      </c>
      <c r="C1427" s="106" t="s">
        <v>2655</v>
      </c>
      <c r="D1427" s="269" t="str">
        <f>VLOOKUP(C1427,lookup!$B$2:$F$1240,2)</f>
        <v>lin ft</v>
      </c>
      <c r="E1427" s="271">
        <f>VLOOKUP(C1427,lookup!$B$2:$F$1240,5)</f>
        <v>20</v>
      </c>
    </row>
    <row r="1428" spans="1:5" ht="22.8" x14ac:dyDescent="0.25">
      <c r="A1428" s="169">
        <v>552</v>
      </c>
      <c r="C1428" s="106" t="s">
        <v>2655</v>
      </c>
      <c r="D1428" s="269" t="str">
        <f>VLOOKUP(C1428,lookup!$B$2:$F$1240,2)</f>
        <v>lin ft</v>
      </c>
      <c r="E1428" s="271">
        <f>VLOOKUP(C1428,lookup!$B$2:$F$1240,5)</f>
        <v>20</v>
      </c>
    </row>
    <row r="1429" spans="1:5" ht="22.8" x14ac:dyDescent="0.25">
      <c r="A1429" s="169">
        <v>552</v>
      </c>
      <c r="C1429" s="106" t="s">
        <v>1309</v>
      </c>
      <c r="D1429" s="269" t="str">
        <f>VLOOKUP(C1429,lookup!$B$2:$F$1240,2)</f>
        <v>lin ft</v>
      </c>
      <c r="E1429" s="271">
        <f>VLOOKUP(C1429,lookup!$B$2:$F$1240,5)</f>
        <v>20</v>
      </c>
    </row>
    <row r="1430" spans="1:5" ht="22.8" x14ac:dyDescent="0.25">
      <c r="A1430" s="169">
        <v>552</v>
      </c>
      <c r="C1430" s="106" t="s">
        <v>1309</v>
      </c>
      <c r="D1430" s="269" t="str">
        <f>VLOOKUP(C1430,lookup!$B$2:$F$1240,2)</f>
        <v>lin ft</v>
      </c>
      <c r="E1430" s="271">
        <f>VLOOKUP(C1430,lookup!$B$2:$F$1240,5)</f>
        <v>20</v>
      </c>
    </row>
    <row r="1431" spans="1:5" ht="22.8" x14ac:dyDescent="0.25">
      <c r="A1431" s="169">
        <v>552</v>
      </c>
      <c r="C1431" s="106" t="s">
        <v>2656</v>
      </c>
      <c r="D1431" s="269" t="str">
        <f>VLOOKUP(C1431,lookup!$B$2:$F$1240,2)</f>
        <v>lin ft</v>
      </c>
      <c r="E1431" s="271">
        <f>VLOOKUP(C1431,lookup!$B$2:$F$1240,5)</f>
        <v>20</v>
      </c>
    </row>
    <row r="1432" spans="1:5" ht="22.8" x14ac:dyDescent="0.25">
      <c r="A1432" s="169">
        <v>552</v>
      </c>
      <c r="C1432" s="106" t="s">
        <v>2656</v>
      </c>
      <c r="D1432" s="269" t="str">
        <f>VLOOKUP(C1432,lookup!$B$2:$F$1240,2)</f>
        <v>lin ft</v>
      </c>
      <c r="E1432" s="271">
        <f>VLOOKUP(C1432,lookup!$B$2:$F$1240,5)</f>
        <v>20</v>
      </c>
    </row>
    <row r="1433" spans="1:5" ht="22.8" x14ac:dyDescent="0.25">
      <c r="A1433" s="169">
        <v>552</v>
      </c>
      <c r="C1433" s="106" t="s">
        <v>214</v>
      </c>
      <c r="D1433" s="269" t="str">
        <f>VLOOKUP(C1433,lookup!$B$2:$F$1240,2)</f>
        <v>lin ft</v>
      </c>
      <c r="E1433" s="271">
        <f>VLOOKUP(C1433,lookup!$B$2:$F$1240,5)</f>
        <v>20</v>
      </c>
    </row>
    <row r="1434" spans="1:5" ht="22.8" x14ac:dyDescent="0.25">
      <c r="A1434" s="169">
        <v>552</v>
      </c>
      <c r="C1434" s="106" t="s">
        <v>214</v>
      </c>
      <c r="D1434" s="269" t="str">
        <f>VLOOKUP(C1434,lookup!$B$2:$F$1240,2)</f>
        <v>lin ft</v>
      </c>
      <c r="E1434" s="271">
        <f>VLOOKUP(C1434,lookup!$B$2:$F$1240,5)</f>
        <v>20</v>
      </c>
    </row>
    <row r="1435" spans="1:5" ht="22.8" x14ac:dyDescent="0.25">
      <c r="A1435" s="169">
        <v>552</v>
      </c>
      <c r="C1435" s="106" t="s">
        <v>1481</v>
      </c>
      <c r="D1435" s="269" t="str">
        <f>VLOOKUP(C1435,lookup!$B$2:$F$1240,2)</f>
        <v>lin ft</v>
      </c>
      <c r="E1435" s="271">
        <f>VLOOKUP(C1435,lookup!$B$2:$F$1240,5)</f>
        <v>20</v>
      </c>
    </row>
    <row r="1436" spans="1:5" ht="22.8" x14ac:dyDescent="0.25">
      <c r="A1436" s="169">
        <v>552</v>
      </c>
      <c r="C1436" s="106" t="s">
        <v>1481</v>
      </c>
      <c r="D1436" s="269" t="str">
        <f>VLOOKUP(C1436,lookup!$B$2:$F$1240,2)</f>
        <v>lin ft</v>
      </c>
      <c r="E1436" s="271">
        <f>VLOOKUP(C1436,lookup!$B$2:$F$1240,5)</f>
        <v>20</v>
      </c>
    </row>
    <row r="1437" spans="1:5" ht="22.8" x14ac:dyDescent="0.25">
      <c r="A1437" s="169">
        <v>552</v>
      </c>
      <c r="C1437" s="106" t="s">
        <v>2168</v>
      </c>
      <c r="D1437" s="269" t="str">
        <f>VLOOKUP(C1437,lookup!$B$2:$F$1240,2)</f>
        <v>lin ft</v>
      </c>
      <c r="E1437" s="271">
        <f>VLOOKUP(C1437,lookup!$B$2:$F$1240,5)</f>
        <v>20</v>
      </c>
    </row>
    <row r="1438" spans="1:5" ht="22.8" x14ac:dyDescent="0.25">
      <c r="A1438" s="169">
        <v>552</v>
      </c>
      <c r="C1438" s="106" t="s">
        <v>2168</v>
      </c>
      <c r="D1438" s="269" t="str">
        <f>VLOOKUP(C1438,lookup!$B$2:$F$1240,2)</f>
        <v>lin ft</v>
      </c>
      <c r="E1438" s="271">
        <f>VLOOKUP(C1438,lookup!$B$2:$F$1240,5)</f>
        <v>20</v>
      </c>
    </row>
    <row r="1439" spans="1:5" ht="22.8" x14ac:dyDescent="0.25">
      <c r="A1439" s="169">
        <v>552</v>
      </c>
      <c r="C1439" s="106" t="s">
        <v>438</v>
      </c>
      <c r="D1439" s="269" t="str">
        <f>VLOOKUP(C1439,lookup!$B$2:$F$1240,2)</f>
        <v>lin ft</v>
      </c>
      <c r="E1439" s="271">
        <f>VLOOKUP(C1439,lookup!$B$2:$F$1240,5)</f>
        <v>20</v>
      </c>
    </row>
    <row r="1440" spans="1:5" ht="22.8" x14ac:dyDescent="0.25">
      <c r="A1440" s="169">
        <v>552</v>
      </c>
      <c r="C1440" s="106" t="s">
        <v>438</v>
      </c>
      <c r="D1440" s="269" t="str">
        <f>VLOOKUP(C1440,lookup!$B$2:$F$1240,2)</f>
        <v>lin ft</v>
      </c>
      <c r="E1440" s="271">
        <f>VLOOKUP(C1440,lookup!$B$2:$F$1240,5)</f>
        <v>20</v>
      </c>
    </row>
    <row r="1441" spans="1:5" ht="22.8" x14ac:dyDescent="0.25">
      <c r="A1441" s="169">
        <v>552</v>
      </c>
      <c r="C1441" s="106" t="s">
        <v>1981</v>
      </c>
      <c r="D1441" s="269" t="str">
        <f>VLOOKUP(C1441,lookup!$B$2:$F$1240,2)</f>
        <v>lin ft</v>
      </c>
      <c r="E1441" s="271">
        <f>VLOOKUP(C1441,lookup!$B$2:$F$1240,5)</f>
        <v>20</v>
      </c>
    </row>
    <row r="1442" spans="1:5" ht="22.8" x14ac:dyDescent="0.25">
      <c r="A1442" s="169">
        <v>552</v>
      </c>
      <c r="C1442" s="106" t="s">
        <v>1981</v>
      </c>
      <c r="D1442" s="269" t="str">
        <f>VLOOKUP(C1442,lookup!$B$2:$F$1240,2)</f>
        <v>lin ft</v>
      </c>
      <c r="E1442" s="271">
        <f>VLOOKUP(C1442,lookup!$B$2:$F$1240,5)</f>
        <v>20</v>
      </c>
    </row>
    <row r="1443" spans="1:5" ht="22.8" x14ac:dyDescent="0.25">
      <c r="A1443" s="169">
        <v>552</v>
      </c>
      <c r="C1443" s="106" t="s">
        <v>1397</v>
      </c>
      <c r="D1443" s="269" t="str">
        <f>VLOOKUP(C1443,lookup!$B$2:$F$1240,2)</f>
        <v>lin ft</v>
      </c>
      <c r="E1443" s="271">
        <f>VLOOKUP(C1443,lookup!$B$2:$F$1240,5)</f>
        <v>20</v>
      </c>
    </row>
    <row r="1444" spans="1:5" ht="22.8" x14ac:dyDescent="0.25">
      <c r="A1444" s="169">
        <v>552</v>
      </c>
      <c r="C1444" s="106" t="s">
        <v>1397</v>
      </c>
      <c r="D1444" s="269" t="str">
        <f>VLOOKUP(C1444,lookup!$B$2:$F$1240,2)</f>
        <v>lin ft</v>
      </c>
      <c r="E1444" s="271">
        <f>VLOOKUP(C1444,lookup!$B$2:$F$1240,5)</f>
        <v>20</v>
      </c>
    </row>
    <row r="1445" spans="1:5" ht="22.8" x14ac:dyDescent="0.25">
      <c r="A1445" s="169">
        <v>552</v>
      </c>
      <c r="C1445" s="106" t="s">
        <v>1982</v>
      </c>
      <c r="D1445" s="269" t="str">
        <f>VLOOKUP(C1445,lookup!$B$2:$F$1240,2)</f>
        <v>lin ft</v>
      </c>
      <c r="E1445" s="271">
        <f>VLOOKUP(C1445,lookup!$B$2:$F$1240,5)</f>
        <v>20</v>
      </c>
    </row>
    <row r="1446" spans="1:5" ht="22.8" x14ac:dyDescent="0.25">
      <c r="A1446" s="169">
        <v>552</v>
      </c>
      <c r="C1446" s="106" t="s">
        <v>1982</v>
      </c>
      <c r="D1446" s="269" t="str">
        <f>VLOOKUP(C1446,lookup!$B$2:$F$1240,2)</f>
        <v>lin ft</v>
      </c>
      <c r="E1446" s="271">
        <f>VLOOKUP(C1446,lookup!$B$2:$F$1240,5)</f>
        <v>20</v>
      </c>
    </row>
    <row r="1447" spans="1:5" x14ac:dyDescent="0.25">
      <c r="A1447" s="169">
        <v>552</v>
      </c>
      <c r="C1447" s="106" t="s">
        <v>3367</v>
      </c>
      <c r="D1447" s="269" t="str">
        <f>VLOOKUP(C1447,lookup!$B$2:$F$1240,2)</f>
        <v>ft</v>
      </c>
      <c r="E1447" s="271">
        <f>VLOOKUP(C1447,lookup!$B$2:$F$1240,5)</f>
        <v>2</v>
      </c>
    </row>
    <row r="1448" spans="1:5" x14ac:dyDescent="0.25">
      <c r="A1448" s="169">
        <v>552</v>
      </c>
      <c r="C1448" s="106" t="s">
        <v>3366</v>
      </c>
      <c r="D1448" s="269" t="str">
        <f>VLOOKUP(C1448,lookup!$B$2:$F$1240,2)</f>
        <v>ft</v>
      </c>
      <c r="E1448" s="271">
        <f>VLOOKUP(C1448,lookup!$B$2:$F$1240,5)</f>
        <v>2</v>
      </c>
    </row>
    <row r="1449" spans="1:5" ht="22.8" x14ac:dyDescent="0.25">
      <c r="A1449" s="169">
        <v>552</v>
      </c>
      <c r="C1449" s="106" t="s">
        <v>2522</v>
      </c>
      <c r="D1449" s="269">
        <f>VLOOKUP(C1449,lookup!$B$2:$F$1240,2)</f>
        <v>0</v>
      </c>
      <c r="E1449" s="271">
        <f>VLOOKUP(C1449,lookup!$B$2:$F$1240,5)</f>
        <v>0</v>
      </c>
    </row>
    <row r="1450" spans="1:5" x14ac:dyDescent="0.25">
      <c r="A1450" s="169">
        <v>552</v>
      </c>
      <c r="C1450" s="106" t="s">
        <v>1230</v>
      </c>
      <c r="D1450" s="269">
        <f>VLOOKUP(C1450,lookup!$B$2:$F$1240,2)</f>
        <v>0</v>
      </c>
      <c r="E1450" s="271">
        <f>VLOOKUP(C1450,lookup!$B$2:$F$1240,5)</f>
        <v>0</v>
      </c>
    </row>
    <row r="1451" spans="1:5" ht="22.8" x14ac:dyDescent="0.25">
      <c r="A1451" s="169">
        <v>552</v>
      </c>
      <c r="C1451" s="106" t="s">
        <v>2710</v>
      </c>
      <c r="D1451" s="269">
        <f>VLOOKUP(C1451,lookup!$B$2:$F$1240,2)</f>
        <v>0</v>
      </c>
      <c r="E1451" s="271">
        <f>VLOOKUP(C1451,lookup!$B$2:$F$1240,5)</f>
        <v>0</v>
      </c>
    </row>
    <row r="1452" spans="1:5" x14ac:dyDescent="0.25">
      <c r="A1452" s="169">
        <v>552</v>
      </c>
      <c r="C1452" s="106" t="s">
        <v>1231</v>
      </c>
      <c r="D1452" s="269">
        <f>VLOOKUP(C1452,lookup!$B$2:$F$1240,2)</f>
        <v>0</v>
      </c>
      <c r="E1452" s="271">
        <f>VLOOKUP(C1452,lookup!$B$2:$F$1240,5)</f>
        <v>0</v>
      </c>
    </row>
    <row r="1453" spans="1:5" x14ac:dyDescent="0.25">
      <c r="A1453" s="169">
        <v>552</v>
      </c>
      <c r="C1453" s="106" t="s">
        <v>1232</v>
      </c>
      <c r="D1453" s="269">
        <f>VLOOKUP(C1453,lookup!$B$2:$F$1240,2)</f>
        <v>0</v>
      </c>
      <c r="E1453" s="271">
        <f>VLOOKUP(C1453,lookup!$B$2:$F$1240,5)</f>
        <v>0</v>
      </c>
    </row>
    <row r="1454" spans="1:5" x14ac:dyDescent="0.25">
      <c r="A1454" s="169">
        <v>552</v>
      </c>
      <c r="C1454" s="106" t="s">
        <v>1232</v>
      </c>
      <c r="D1454" s="269">
        <f>VLOOKUP(C1454,lookup!$B$2:$F$1240,2)</f>
        <v>0</v>
      </c>
      <c r="E1454" s="271">
        <f>VLOOKUP(C1454,lookup!$B$2:$F$1240,5)</f>
        <v>0</v>
      </c>
    </row>
    <row r="1455" spans="1:5" ht="22.8" x14ac:dyDescent="0.25">
      <c r="A1455" s="169">
        <v>552</v>
      </c>
      <c r="C1455" s="106" t="s">
        <v>2543</v>
      </c>
      <c r="D1455" s="269">
        <f>VLOOKUP(C1455,lookup!$B$2:$F$1240,2)</f>
        <v>0</v>
      </c>
      <c r="E1455" s="271">
        <f>VLOOKUP(C1455,lookup!$B$2:$F$1240,5)</f>
        <v>0</v>
      </c>
    </row>
    <row r="1456" spans="1:5" x14ac:dyDescent="0.25">
      <c r="A1456" s="169">
        <v>552</v>
      </c>
      <c r="C1456" s="106" t="s">
        <v>1233</v>
      </c>
      <c r="D1456" s="269">
        <f>VLOOKUP(C1456,lookup!$B$2:$F$1240,2)</f>
        <v>0</v>
      </c>
      <c r="E1456" s="271">
        <f>VLOOKUP(C1456,lookup!$B$2:$F$1240,5)</f>
        <v>0</v>
      </c>
    </row>
    <row r="1457" spans="1:5" ht="22.8" x14ac:dyDescent="0.25">
      <c r="A1457" s="169">
        <v>552</v>
      </c>
      <c r="C1457" s="106" t="s">
        <v>2544</v>
      </c>
      <c r="D1457" s="269">
        <f>VLOOKUP(C1457,lookup!$B$2:$F$1240,2)</f>
        <v>0</v>
      </c>
      <c r="E1457" s="271">
        <f>VLOOKUP(C1457,lookup!$B$2:$F$1240,5)</f>
        <v>0</v>
      </c>
    </row>
    <row r="1458" spans="1:5" x14ac:dyDescent="0.25">
      <c r="A1458" s="169">
        <v>552</v>
      </c>
      <c r="C1458" s="106" t="s">
        <v>1234</v>
      </c>
      <c r="D1458" s="269">
        <f>VLOOKUP(C1458,lookup!$B$2:$F$1240,2)</f>
        <v>0</v>
      </c>
      <c r="E1458" s="271">
        <f>VLOOKUP(C1458,lookup!$B$2:$F$1240,5)</f>
        <v>0</v>
      </c>
    </row>
    <row r="1459" spans="1:5" ht="22.8" x14ac:dyDescent="0.25">
      <c r="A1459" s="169">
        <v>552</v>
      </c>
      <c r="C1459" s="106" t="s">
        <v>2318</v>
      </c>
      <c r="D1459" s="269">
        <f>VLOOKUP(C1459,lookup!$B$2:$F$1240,2)</f>
        <v>0</v>
      </c>
      <c r="E1459" s="271">
        <f>VLOOKUP(C1459,lookup!$B$2:$F$1240,5)</f>
        <v>0</v>
      </c>
    </row>
    <row r="1460" spans="1:5" x14ac:dyDescent="0.25">
      <c r="A1460" s="169">
        <v>552</v>
      </c>
      <c r="C1460" s="106" t="s">
        <v>1996</v>
      </c>
      <c r="D1460" s="269" t="str">
        <f>VLOOKUP(C1460,lookup!$B$2:$F$1240,2)</f>
        <v>ton</v>
      </c>
      <c r="E1460" s="271">
        <f>VLOOKUP(C1460,lookup!$B$2:$F$1240,5)</f>
        <v>21.63</v>
      </c>
    </row>
    <row r="1461" spans="1:5" x14ac:dyDescent="0.25">
      <c r="A1461" s="169">
        <v>552</v>
      </c>
      <c r="C1461" s="106" t="s">
        <v>1997</v>
      </c>
      <c r="D1461" s="269" t="str">
        <f>VLOOKUP(C1461,lookup!$B$2:$F$1240,2)</f>
        <v>ton</v>
      </c>
      <c r="E1461" s="271">
        <f>VLOOKUP(C1461,lookup!$B$2:$F$1240,5)</f>
        <v>21.63</v>
      </c>
    </row>
    <row r="1462" spans="1:5" x14ac:dyDescent="0.25">
      <c r="A1462" s="169">
        <v>552</v>
      </c>
      <c r="C1462" s="106" t="s">
        <v>1998</v>
      </c>
      <c r="D1462" s="269" t="str">
        <f>VLOOKUP(C1462,lookup!$B$2:$F$1240,2)</f>
        <v>ton</v>
      </c>
      <c r="E1462" s="271">
        <f>VLOOKUP(C1462,lookup!$B$2:$F$1240,5)</f>
        <v>21.63</v>
      </c>
    </row>
    <row r="1463" spans="1:5" x14ac:dyDescent="0.25">
      <c r="A1463" s="169">
        <v>552</v>
      </c>
      <c r="C1463" s="106" t="s">
        <v>1999</v>
      </c>
      <c r="D1463" s="269" t="str">
        <f>VLOOKUP(C1463,lookup!$B$2:$F$1240,2)</f>
        <v>ton</v>
      </c>
      <c r="E1463" s="271">
        <f>VLOOKUP(C1463,lookup!$B$2:$F$1240,5)</f>
        <v>21.63</v>
      </c>
    </row>
    <row r="1464" spans="1:5" x14ac:dyDescent="0.25">
      <c r="A1464" s="169">
        <v>552</v>
      </c>
      <c r="C1464" s="106" t="s">
        <v>2786</v>
      </c>
      <c r="D1464" s="269" t="str">
        <f>VLOOKUP(C1464,lookup!$B$2:$F$1240,2)</f>
        <v>ton</v>
      </c>
      <c r="E1464" s="271">
        <f>VLOOKUP(C1464,lookup!$B$2:$F$1240,5)</f>
        <v>21.63</v>
      </c>
    </row>
    <row r="1465" spans="1:5" x14ac:dyDescent="0.25">
      <c r="A1465" s="169">
        <v>552</v>
      </c>
      <c r="C1465" s="106" t="s">
        <v>2784</v>
      </c>
      <c r="D1465" s="269" t="str">
        <f>VLOOKUP(C1465,lookup!$B$2:$F$1240,2)</f>
        <v>ton</v>
      </c>
      <c r="E1465" s="271">
        <f>VLOOKUP(C1465,lookup!$B$2:$F$1240,5)</f>
        <v>21.63</v>
      </c>
    </row>
    <row r="1466" spans="1:5" x14ac:dyDescent="0.25">
      <c r="A1466" s="169">
        <v>552</v>
      </c>
      <c r="C1466" s="106" t="s">
        <v>699</v>
      </c>
      <c r="D1466" s="269" t="str">
        <f>VLOOKUP(C1466,lookup!$B$2:$F$1240,2)</f>
        <v>ea.</v>
      </c>
      <c r="E1466" s="271">
        <f>VLOOKUP(C1466,lookup!$B$2:$F$1240,5)</f>
        <v>30</v>
      </c>
    </row>
    <row r="1467" spans="1:5" x14ac:dyDescent="0.25">
      <c r="A1467" s="169">
        <v>552</v>
      </c>
      <c r="C1467" s="106" t="s">
        <v>700</v>
      </c>
      <c r="D1467" s="269" t="str">
        <f>VLOOKUP(C1467,lookup!$B$2:$F$1240,2)</f>
        <v>ea.</v>
      </c>
      <c r="E1467" s="271">
        <f>VLOOKUP(C1467,lookup!$B$2:$F$1240,5)</f>
        <v>32</v>
      </c>
    </row>
    <row r="1468" spans="1:5" x14ac:dyDescent="0.25">
      <c r="A1468" s="169">
        <v>552</v>
      </c>
      <c r="C1468" s="106" t="s">
        <v>701</v>
      </c>
      <c r="D1468" s="269" t="str">
        <f>VLOOKUP(C1468,lookup!$B$2:$F$1240,2)</f>
        <v>ea.</v>
      </c>
      <c r="E1468" s="271">
        <f>VLOOKUP(C1468,lookup!$B$2:$F$1240,5)</f>
        <v>46</v>
      </c>
    </row>
    <row r="1469" spans="1:5" x14ac:dyDescent="0.25">
      <c r="A1469" s="169">
        <v>552</v>
      </c>
      <c r="C1469" s="106" t="s">
        <v>702</v>
      </c>
      <c r="D1469" s="269" t="str">
        <f>VLOOKUP(C1469,lookup!$B$2:$F$1240,2)</f>
        <v>ea.</v>
      </c>
      <c r="E1469" s="271">
        <f>VLOOKUP(C1469,lookup!$B$2:$F$1240,5)</f>
        <v>21</v>
      </c>
    </row>
    <row r="1470" spans="1:5" x14ac:dyDescent="0.25">
      <c r="A1470" s="169">
        <v>552</v>
      </c>
      <c r="C1470" s="106" t="s">
        <v>703</v>
      </c>
      <c r="D1470" s="269" t="str">
        <f>VLOOKUP(C1470,lookup!$B$2:$F$1240,2)</f>
        <v>ea.</v>
      </c>
      <c r="E1470" s="271">
        <f>VLOOKUP(C1470,lookup!$B$2:$F$1240,5)</f>
        <v>23</v>
      </c>
    </row>
    <row r="1471" spans="1:5" x14ac:dyDescent="0.25">
      <c r="A1471" s="169">
        <v>552</v>
      </c>
      <c r="C1471" s="106" t="s">
        <v>704</v>
      </c>
      <c r="D1471" s="269" t="str">
        <f>VLOOKUP(C1471,lookup!$B$2:$F$1240,2)</f>
        <v>ea.</v>
      </c>
      <c r="E1471" s="271">
        <f>VLOOKUP(C1471,lookup!$B$2:$F$1240,5)</f>
        <v>26</v>
      </c>
    </row>
    <row r="1472" spans="1:5" x14ac:dyDescent="0.25">
      <c r="A1472" s="169">
        <v>552</v>
      </c>
      <c r="C1472" s="106" t="s">
        <v>2712</v>
      </c>
      <c r="D1472" s="269" t="str">
        <f>VLOOKUP(C1472,lookup!$B$2:$F$1240,2)</f>
        <v>Cu Yd</v>
      </c>
      <c r="E1472" s="271">
        <f>VLOOKUP(C1472,lookup!$B$2:$F$1240,5)</f>
        <v>3.5</v>
      </c>
    </row>
    <row r="1473" spans="1:5" ht="22.8" x14ac:dyDescent="0.25">
      <c r="A1473" s="169">
        <v>552</v>
      </c>
      <c r="C1473" s="106" t="s">
        <v>906</v>
      </c>
      <c r="D1473" s="269">
        <f>VLOOKUP(C1473,lookup!$B$2:$F$1240,2)</f>
        <v>0</v>
      </c>
      <c r="E1473" s="271">
        <f>VLOOKUP(C1473,lookup!$B$2:$F$1240,5)</f>
        <v>0</v>
      </c>
    </row>
    <row r="1474" spans="1:5" ht="22.8" x14ac:dyDescent="0.25">
      <c r="A1474" s="169">
        <v>552</v>
      </c>
      <c r="C1474" s="106" t="s">
        <v>907</v>
      </c>
      <c r="D1474" s="269" t="str">
        <f>VLOOKUP(C1474,lookup!$B$2:$F$1240,2)</f>
        <v>sq ft</v>
      </c>
      <c r="E1474" s="271">
        <f>VLOOKUP(C1474,lookup!$B$2:$F$1240,5)</f>
        <v>0</v>
      </c>
    </row>
    <row r="1475" spans="1:5" ht="22.8" x14ac:dyDescent="0.25">
      <c r="A1475" s="169">
        <v>552</v>
      </c>
      <c r="C1475" s="106" t="s">
        <v>1781</v>
      </c>
      <c r="D1475" s="269">
        <f>VLOOKUP(C1475,lookup!$B$2:$F$1240,2)</f>
        <v>0</v>
      </c>
      <c r="E1475" s="271">
        <f>VLOOKUP(C1475,lookup!$B$2:$F$1240,5)</f>
        <v>0</v>
      </c>
    </row>
    <row r="1476" spans="1:5" ht="22.8" x14ac:dyDescent="0.25">
      <c r="A1476" s="169">
        <v>552</v>
      </c>
      <c r="C1476" s="106" t="s">
        <v>908</v>
      </c>
      <c r="D1476" s="269">
        <f>VLOOKUP(C1476,lookup!$B$2:$F$1240,2)</f>
        <v>0</v>
      </c>
      <c r="E1476" s="271">
        <f>VLOOKUP(C1476,lookup!$B$2:$F$1240,5)</f>
        <v>0</v>
      </c>
    </row>
    <row r="1477" spans="1:5" ht="22.8" x14ac:dyDescent="0.25">
      <c r="A1477" s="169">
        <v>552</v>
      </c>
      <c r="C1477" s="106" t="s">
        <v>909</v>
      </c>
      <c r="D1477" s="269">
        <f>VLOOKUP(C1477,lookup!$B$2:$F$1240,2)</f>
        <v>0</v>
      </c>
      <c r="E1477" s="271">
        <f>VLOOKUP(C1477,lookup!$B$2:$F$1240,5)</f>
        <v>0</v>
      </c>
    </row>
    <row r="1478" spans="1:5" ht="22.8" x14ac:dyDescent="0.25">
      <c r="A1478" s="169">
        <v>552</v>
      </c>
      <c r="C1478" s="106" t="s">
        <v>910</v>
      </c>
      <c r="D1478" s="269">
        <f>VLOOKUP(C1478,lookup!$B$2:$F$1240,2)</f>
        <v>0</v>
      </c>
      <c r="E1478" s="271">
        <f>VLOOKUP(C1478,lookup!$B$2:$F$1240,5)</f>
        <v>0</v>
      </c>
    </row>
    <row r="1479" spans="1:5" x14ac:dyDescent="0.25">
      <c r="A1479" s="169">
        <v>552</v>
      </c>
      <c r="C1479" s="106" t="s">
        <v>1523</v>
      </c>
      <c r="D1479" s="269">
        <f>VLOOKUP(C1479,lookup!$B$2:$F$1240,2)</f>
        <v>0</v>
      </c>
      <c r="E1479" s="271">
        <f>VLOOKUP(C1479,lookup!$B$2:$F$1240,5)</f>
        <v>0</v>
      </c>
    </row>
    <row r="1480" spans="1:5" x14ac:dyDescent="0.25">
      <c r="A1480" s="169">
        <v>552</v>
      </c>
      <c r="C1480" s="106" t="s">
        <v>243</v>
      </c>
      <c r="D1480" s="269">
        <f>VLOOKUP(C1480,lookup!$B$2:$F$1240,2)</f>
        <v>0</v>
      </c>
      <c r="E1480" s="271">
        <f>VLOOKUP(C1480,lookup!$B$2:$F$1240,5)</f>
        <v>0</v>
      </c>
    </row>
    <row r="1481" spans="1:5" x14ac:dyDescent="0.25">
      <c r="A1481" s="169">
        <v>552</v>
      </c>
      <c r="C1481" s="113" t="s">
        <v>1660</v>
      </c>
      <c r="D1481" s="269">
        <f>VLOOKUP(C1481,lookup!$B$2:$F$1240,2)</f>
        <v>0</v>
      </c>
      <c r="E1481" s="271">
        <f>VLOOKUP(C1481,lookup!$B$2:$F$1240,5)</f>
        <v>0</v>
      </c>
    </row>
    <row r="1482" spans="1:5" x14ac:dyDescent="0.25">
      <c r="A1482" s="169">
        <v>552</v>
      </c>
      <c r="C1482" s="113" t="s">
        <v>1661</v>
      </c>
      <c r="D1482" s="269">
        <f>VLOOKUP(C1482,lookup!$B$2:$F$1240,2)</f>
        <v>0</v>
      </c>
      <c r="E1482" s="271">
        <f>VLOOKUP(C1482,lookup!$B$2:$F$1240,5)</f>
        <v>0</v>
      </c>
    </row>
    <row r="1483" spans="1:5" x14ac:dyDescent="0.25">
      <c r="A1483" s="169">
        <v>552</v>
      </c>
      <c r="C1483" s="113" t="s">
        <v>1662</v>
      </c>
      <c r="D1483" s="269">
        <f>VLOOKUP(C1483,lookup!$B$2:$F$1240,2)</f>
        <v>0</v>
      </c>
      <c r="E1483" s="271">
        <f>VLOOKUP(C1483,lookup!$B$2:$F$1240,5)</f>
        <v>0</v>
      </c>
    </row>
    <row r="1484" spans="1:5" x14ac:dyDescent="0.25">
      <c r="A1484" s="169">
        <v>552</v>
      </c>
      <c r="C1484" s="113" t="s">
        <v>191</v>
      </c>
      <c r="D1484" s="269">
        <f>VLOOKUP(C1484,lookup!$B$2:$F$1240,2)</f>
        <v>0</v>
      </c>
      <c r="E1484" s="271">
        <f>VLOOKUP(C1484,lookup!$B$2:$F$1240,5)</f>
        <v>0</v>
      </c>
    </row>
    <row r="1485" spans="1:5" x14ac:dyDescent="0.25">
      <c r="A1485" s="169">
        <v>552</v>
      </c>
      <c r="C1485" s="113" t="s">
        <v>192</v>
      </c>
      <c r="D1485" s="269">
        <f>VLOOKUP(C1485,lookup!$B$2:$F$1240,2)</f>
        <v>0</v>
      </c>
      <c r="E1485" s="271">
        <f>VLOOKUP(C1485,lookup!$B$2:$F$1240,5)</f>
        <v>0</v>
      </c>
    </row>
    <row r="1486" spans="1:5" x14ac:dyDescent="0.25">
      <c r="A1486" s="169">
        <v>552</v>
      </c>
      <c r="C1486" s="113" t="s">
        <v>2126</v>
      </c>
      <c r="D1486" s="269">
        <f>VLOOKUP(C1486,lookup!$B$2:$F$1240,2)</f>
        <v>0</v>
      </c>
      <c r="E1486" s="271">
        <f>VLOOKUP(C1486,lookup!$B$2:$F$1240,5)</f>
        <v>0</v>
      </c>
    </row>
    <row r="1487" spans="1:5" x14ac:dyDescent="0.25">
      <c r="A1487" s="169">
        <v>554</v>
      </c>
      <c r="B1487" s="171" t="s">
        <v>2334</v>
      </c>
      <c r="C1487" s="119"/>
      <c r="D1487" s="269" t="e">
        <f>VLOOKUP(C1487,lookup!$B$2:$F$1240,2)</f>
        <v>#N/A</v>
      </c>
      <c r="E1487" s="271" t="e">
        <f>VLOOKUP(C1487,lookup!$B$2:$F$1240,5)</f>
        <v>#N/A</v>
      </c>
    </row>
    <row r="1488" spans="1:5" x14ac:dyDescent="0.25">
      <c r="A1488" s="169">
        <v>554</v>
      </c>
      <c r="C1488" s="106" t="s">
        <v>2758</v>
      </c>
      <c r="D1488" s="269" t="str">
        <f>VLOOKUP(C1488,lookup!$B$2:$F$1240,2)</f>
        <v>each</v>
      </c>
      <c r="E1488" s="271">
        <f>VLOOKUP(C1488,lookup!$B$2:$F$1240,5)</f>
        <v>13000</v>
      </c>
    </row>
    <row r="1489" spans="1:6" x14ac:dyDescent="0.25">
      <c r="A1489" s="169">
        <v>554</v>
      </c>
      <c r="C1489" s="106" t="s">
        <v>2015</v>
      </c>
      <c r="D1489" s="269">
        <f>VLOOKUP(C1489,lookup!$B$2:$F$1240,2)</f>
        <v>0</v>
      </c>
      <c r="E1489" s="271">
        <f>VLOOKUP(C1489,lookup!$B$2:$F$1240,5)</f>
        <v>0</v>
      </c>
    </row>
    <row r="1490" spans="1:6" x14ac:dyDescent="0.25">
      <c r="A1490" s="169">
        <v>558</v>
      </c>
      <c r="B1490" s="172" t="s">
        <v>277</v>
      </c>
      <c r="D1490" s="269" t="e">
        <f>VLOOKUP(C1490,lookup!$B$2:$F$1240,2)</f>
        <v>#N/A</v>
      </c>
      <c r="E1490" s="271" t="e">
        <f>VLOOKUP(C1490,lookup!$B$2:$F$1240,5)</f>
        <v>#N/A</v>
      </c>
    </row>
    <row r="1491" spans="1:6" x14ac:dyDescent="0.25">
      <c r="A1491" s="169">
        <v>558</v>
      </c>
      <c r="C1491" s="106" t="s">
        <v>1469</v>
      </c>
      <c r="D1491" s="269">
        <f>VLOOKUP(C1491,lookup!$B$2:$F$1240,2)</f>
        <v>0</v>
      </c>
      <c r="E1491" s="271">
        <f>VLOOKUP(C1491,lookup!$B$2:$F$1240,5)</f>
        <v>0</v>
      </c>
    </row>
    <row r="1492" spans="1:6" x14ac:dyDescent="0.25">
      <c r="A1492" s="169">
        <v>560</v>
      </c>
      <c r="B1492" s="173" t="s">
        <v>2965</v>
      </c>
      <c r="D1492" s="269"/>
      <c r="E1492" s="271"/>
      <c r="F1492" t="s">
        <v>3113</v>
      </c>
    </row>
    <row r="1493" spans="1:6" x14ac:dyDescent="0.25">
      <c r="A1493" s="169">
        <v>560</v>
      </c>
      <c r="C1493" s="79" t="s">
        <v>3356</v>
      </c>
      <c r="D1493" s="269" t="str">
        <f>VLOOKUP(C1493,lookup!$B$2:$F$1240,2)</f>
        <v>ton</v>
      </c>
      <c r="E1493" s="271">
        <v>8</v>
      </c>
    </row>
    <row r="1494" spans="1:6" x14ac:dyDescent="0.25">
      <c r="A1494" s="169">
        <v>560</v>
      </c>
      <c r="C1494" s="79" t="s">
        <v>3358</v>
      </c>
      <c r="D1494" s="269" t="str">
        <f>VLOOKUP(C1494,lookup!$B$2:$F$1240,2)</f>
        <v>Cu Yd</v>
      </c>
      <c r="E1494" s="271">
        <v>10</v>
      </c>
    </row>
    <row r="1495" spans="1:6" x14ac:dyDescent="0.25">
      <c r="A1495" s="169">
        <v>560</v>
      </c>
      <c r="C1495" s="205" t="s">
        <v>3291</v>
      </c>
      <c r="D1495" s="269" t="str">
        <f>VLOOKUP(C1495,lookup!$B$2:$F$1240,2)</f>
        <v>ton</v>
      </c>
      <c r="E1495" s="271">
        <f>VLOOKUP(C1495,lookup!$B$2:$F$1240,5)</f>
        <v>20</v>
      </c>
    </row>
    <row r="1496" spans="1:6" x14ac:dyDescent="0.25">
      <c r="A1496" s="169">
        <v>560</v>
      </c>
      <c r="C1496" s="264" t="s">
        <v>3294</v>
      </c>
      <c r="D1496" s="269" t="str">
        <f>VLOOKUP(C1496,lookup!$B$2:$F$1240,2)</f>
        <v>SY</v>
      </c>
      <c r="E1496" s="271">
        <f>VLOOKUP(C1496,lookup!$B$2:$F$1240,5)</f>
        <v>2.5</v>
      </c>
    </row>
    <row r="1497" spans="1:6" x14ac:dyDescent="0.25">
      <c r="A1497" s="169">
        <v>560</v>
      </c>
      <c r="C1497" s="106" t="s">
        <v>2155</v>
      </c>
      <c r="D1497" s="269" t="str">
        <f>VLOOKUP(C1497,lookup!$B$2:$F$1240,2)</f>
        <v>Sq Yd</v>
      </c>
      <c r="E1497" s="271">
        <f>VLOOKUP(C1497,lookup!$B$2:$F$1240,5)</f>
        <v>2.5</v>
      </c>
    </row>
    <row r="1498" spans="1:6" x14ac:dyDescent="0.25">
      <c r="A1498" s="169">
        <v>560</v>
      </c>
      <c r="C1498" s="106" t="s">
        <v>3371</v>
      </c>
      <c r="D1498" s="269" t="str">
        <f>VLOOKUP(C1498,lookup!$B$2:$F$1240,2)</f>
        <v>each</v>
      </c>
      <c r="E1498" s="271">
        <f>VLOOKUP(C1498,lookup!$B$2:$F$1240,5)</f>
        <v>300</v>
      </c>
    </row>
    <row r="1499" spans="1:6" x14ac:dyDescent="0.25">
      <c r="A1499" s="169">
        <v>560</v>
      </c>
      <c r="C1499" s="113" t="s">
        <v>3290</v>
      </c>
      <c r="D1499" s="269" t="str">
        <f>VLOOKUP(C1499,lookup!$B$2:$F$1240,2)</f>
        <v>hr</v>
      </c>
      <c r="E1499" s="271">
        <f>VLOOKUP(C1499,lookup!$B$2:$F$1240,5)</f>
        <v>35</v>
      </c>
    </row>
    <row r="1500" spans="1:6" ht="26.4" x14ac:dyDescent="0.25">
      <c r="A1500" s="169">
        <v>560</v>
      </c>
      <c r="C1500" s="256" t="s">
        <v>3315</v>
      </c>
      <c r="D1500" s="269" t="str">
        <f>VLOOKUP(C1500,lookup!$B$2:$F$1240,2)</f>
        <v>hr</v>
      </c>
      <c r="E1500" s="271">
        <f>VLOOKUP(C1500,lookup!$B$2:$F$1240,5)</f>
        <v>100</v>
      </c>
    </row>
    <row r="1501" spans="1:6" ht="22.8" x14ac:dyDescent="0.25">
      <c r="A1501" s="169">
        <v>560</v>
      </c>
      <c r="C1501" s="106" t="s">
        <v>3309</v>
      </c>
      <c r="D1501" s="269" t="str">
        <f>VLOOKUP(C1501,lookup!$B$2:$F$1240,2)</f>
        <v>acre</v>
      </c>
      <c r="E1501" s="271">
        <f>VLOOKUP(C1501,lookup!$B$2:$F$1240,5)</f>
        <v>800</v>
      </c>
    </row>
    <row r="1502" spans="1:6" ht="22.8" x14ac:dyDescent="0.25">
      <c r="A1502" s="169">
        <v>560</v>
      </c>
      <c r="C1502" s="106" t="s">
        <v>3372</v>
      </c>
      <c r="D1502" s="269" t="str">
        <f>VLOOKUP(C1502,lookup!$B$2:$F$1240,2)</f>
        <v>acre</v>
      </c>
      <c r="E1502" s="271">
        <f>VLOOKUP(C1502,lookup!$B$2:$F$1240,5)</f>
        <v>800</v>
      </c>
    </row>
    <row r="1503" spans="1:6" x14ac:dyDescent="0.25">
      <c r="A1503" s="169">
        <v>560</v>
      </c>
      <c r="C1503" s="106" t="s">
        <v>3142</v>
      </c>
      <c r="D1503" s="269" t="str">
        <f>VLOOKUP(C1503,lookup!$B$2:$F$1240,2)</f>
        <v>hr</v>
      </c>
      <c r="E1503" s="271">
        <f>VLOOKUP(C1503,lookup!$B$2:$F$1240,5)</f>
        <v>20</v>
      </c>
    </row>
    <row r="1504" spans="1:6" ht="21" x14ac:dyDescent="0.25">
      <c r="A1504" s="169">
        <v>560</v>
      </c>
      <c r="C1504" s="258" t="s">
        <v>3242</v>
      </c>
      <c r="D1504" s="269" t="str">
        <f>VLOOKUP(C1504,lookup!$B$2:$F$1240,2)</f>
        <v>each</v>
      </c>
      <c r="E1504" s="271">
        <f>VLOOKUP(C1504,lookup!$B$2:$F$1240,5)</f>
        <v>227</v>
      </c>
    </row>
    <row r="1505" spans="1:6" ht="21" x14ac:dyDescent="0.25">
      <c r="A1505" s="169">
        <v>560</v>
      </c>
      <c r="C1505" s="258" t="s">
        <v>3245</v>
      </c>
      <c r="D1505" s="269" t="str">
        <f>VLOOKUP(C1505,lookup!$B$2:$F$1240,2)</f>
        <v>each</v>
      </c>
      <c r="E1505" s="271">
        <f>VLOOKUP(C1505,lookup!$B$2:$F$1240,5)</f>
        <v>420</v>
      </c>
    </row>
    <row r="1506" spans="1:6" ht="21" x14ac:dyDescent="0.25">
      <c r="A1506" s="169">
        <v>560</v>
      </c>
      <c r="C1506" s="258" t="s">
        <v>3251</v>
      </c>
      <c r="D1506" s="269" t="str">
        <f>VLOOKUP(C1506,lookup!$B$2:$F$1240,2)</f>
        <v>Ea.</v>
      </c>
      <c r="E1506" s="271">
        <f>VLOOKUP(C1506,lookup!$B$2:$F$1240,5)</f>
        <v>159</v>
      </c>
    </row>
    <row r="1507" spans="1:6" x14ac:dyDescent="0.25">
      <c r="A1507" s="169">
        <v>560</v>
      </c>
      <c r="C1507" s="106" t="s">
        <v>1466</v>
      </c>
      <c r="D1507" s="269" t="str">
        <f>VLOOKUP(C1507,lookup!$B$2:$F$1240,2)</f>
        <v>each</v>
      </c>
      <c r="E1507" s="271">
        <f>VLOOKUP(C1507,lookup!$B$2:$F$1240,5)</f>
        <v>250</v>
      </c>
    </row>
    <row r="1508" spans="1:6" x14ac:dyDescent="0.25">
      <c r="A1508" s="169">
        <v>560</v>
      </c>
      <c r="C1508" s="205" t="s">
        <v>2951</v>
      </c>
      <c r="D1508" s="269" t="str">
        <f>VLOOKUP(C1508,lookup!$B$2:$F$1240,2)</f>
        <v>Cu Yd</v>
      </c>
      <c r="E1508" s="271">
        <f>VLOOKUP(C1508,lookup!$B$2:$F$1240,5)</f>
        <v>30</v>
      </c>
    </row>
    <row r="1509" spans="1:6" x14ac:dyDescent="0.25">
      <c r="A1509" s="169">
        <v>560</v>
      </c>
      <c r="C1509" s="106" t="s">
        <v>1111</v>
      </c>
      <c r="D1509" s="269" t="str">
        <f>VLOOKUP(C1509,lookup!$B$2:$F$1240,2)</f>
        <v>cu yd</v>
      </c>
      <c r="E1509" s="271">
        <f>VLOOKUP(C1509,lookup!$B$2:$F$1240,5)</f>
        <v>200</v>
      </c>
    </row>
    <row r="1510" spans="1:6" x14ac:dyDescent="0.25">
      <c r="A1510" s="169">
        <v>561</v>
      </c>
      <c r="B1510" s="172" t="s">
        <v>2358</v>
      </c>
      <c r="D1510" s="269"/>
      <c r="E1510" s="271"/>
      <c r="F1510" t="s">
        <v>3113</v>
      </c>
    </row>
    <row r="1511" spans="1:6" ht="21" x14ac:dyDescent="0.25">
      <c r="A1511" s="169">
        <v>561</v>
      </c>
      <c r="C1511" s="184" t="s">
        <v>1750</v>
      </c>
      <c r="D1511" s="269" t="str">
        <f>VLOOKUP(C1511,lookup!$B$2:$F$1240,2)</f>
        <v>C.Y.</v>
      </c>
      <c r="E1511" s="271">
        <f>VLOOKUP(C1511,lookup!$B$2:$F$1240,5)</f>
        <v>35</v>
      </c>
    </row>
    <row r="1512" spans="1:6" x14ac:dyDescent="0.25">
      <c r="A1512" s="169">
        <v>561</v>
      </c>
      <c r="C1512" s="79" t="s">
        <v>737</v>
      </c>
      <c r="D1512" s="269" t="str">
        <f>VLOOKUP(C1512,lookup!$B$2:$F$1240,2)</f>
        <v>Cu Yd</v>
      </c>
      <c r="E1512" s="271">
        <f>VLOOKUP(C1512,lookup!$B$2:$F$1240,5)</f>
        <v>192</v>
      </c>
    </row>
    <row r="1513" spans="1:6" ht="22.8" x14ac:dyDescent="0.25">
      <c r="A1513" s="169">
        <v>561</v>
      </c>
      <c r="C1513" s="106" t="s">
        <v>1963</v>
      </c>
      <c r="D1513" s="269">
        <f>VLOOKUP(C1513,lookup!$B$2:$F$1240,2)</f>
        <v>0</v>
      </c>
      <c r="E1513" s="271">
        <f>VLOOKUP(C1513,lookup!$B$2:$F$1240,5)</f>
        <v>0</v>
      </c>
    </row>
    <row r="1514" spans="1:6" ht="22.8" x14ac:dyDescent="0.25">
      <c r="A1514" s="169">
        <v>561</v>
      </c>
      <c r="C1514" s="106" t="s">
        <v>1964</v>
      </c>
      <c r="D1514" s="269" t="str">
        <f>VLOOKUP(C1514,lookup!$B$2:$F$1240,2)</f>
        <v>cu yd</v>
      </c>
      <c r="E1514" s="271">
        <f>VLOOKUP(C1514,lookup!$B$2:$F$1240,5)</f>
        <v>200</v>
      </c>
    </row>
    <row r="1515" spans="1:6" ht="22.8" x14ac:dyDescent="0.25">
      <c r="A1515" s="169">
        <v>561</v>
      </c>
      <c r="C1515" s="106" t="s">
        <v>1965</v>
      </c>
      <c r="D1515" s="269" t="str">
        <f>VLOOKUP(C1515,lookup!$B$2:$F$1240,2)</f>
        <v>cu yd</v>
      </c>
      <c r="E1515" s="271">
        <f>VLOOKUP(C1515,lookup!$B$2:$F$1240,5)</f>
        <v>200</v>
      </c>
    </row>
    <row r="1516" spans="1:6" x14ac:dyDescent="0.25">
      <c r="A1516" s="169">
        <v>561</v>
      </c>
      <c r="C1516" s="205" t="s">
        <v>2951</v>
      </c>
      <c r="D1516" s="269" t="str">
        <f>VLOOKUP(C1516,lookup!$B$2:$F$1240,2)</f>
        <v>Cu Yd</v>
      </c>
      <c r="E1516" s="271">
        <f>VLOOKUP(C1516,lookup!$B$2:$F$1240,5)</f>
        <v>30</v>
      </c>
    </row>
    <row r="1517" spans="1:6" x14ac:dyDescent="0.25">
      <c r="A1517" s="169">
        <v>561</v>
      </c>
      <c r="C1517" s="106" t="s">
        <v>1376</v>
      </c>
      <c r="D1517" s="269" t="str">
        <f>VLOOKUP(C1517,lookup!$B$2:$F$1240,2)</f>
        <v>cu yd</v>
      </c>
      <c r="E1517" s="271">
        <f>VLOOKUP(C1517,lookup!$B$2:$F$1240,5)</f>
        <v>3.5</v>
      </c>
    </row>
    <row r="1518" spans="1:6" x14ac:dyDescent="0.25">
      <c r="A1518" s="169">
        <v>561</v>
      </c>
      <c r="C1518" s="106" t="s">
        <v>1110</v>
      </c>
      <c r="D1518" s="269" t="str">
        <f>VLOOKUP(C1518,lookup!$B$2:$F$1240,2)</f>
        <v>Cu Yd</v>
      </c>
      <c r="E1518" s="271">
        <f>VLOOKUP(C1518,lookup!$B$2:$F$1240,5)</f>
        <v>0</v>
      </c>
    </row>
    <row r="1519" spans="1:6" x14ac:dyDescent="0.25">
      <c r="A1519" s="169">
        <v>561</v>
      </c>
      <c r="C1519" s="184" t="s">
        <v>1757</v>
      </c>
      <c r="D1519" s="269" t="str">
        <f>VLOOKUP(C1519,lookup!$B$2:$F$1240,2)</f>
        <v>B.C.Y.</v>
      </c>
      <c r="E1519" s="271">
        <f>VLOOKUP(C1519,lookup!$B$2:$F$1240,5)</f>
        <v>3</v>
      </c>
    </row>
    <row r="1520" spans="1:6" x14ac:dyDescent="0.25">
      <c r="A1520" s="169">
        <v>561</v>
      </c>
      <c r="C1520" s="17" t="s">
        <v>728</v>
      </c>
      <c r="D1520" s="269" t="str">
        <f>VLOOKUP(C1520,lookup!$B$2:$F$1240,2)</f>
        <v>each</v>
      </c>
      <c r="E1520" s="271">
        <f>VLOOKUP(C1520,lookup!$B$2:$F$1240,5)</f>
        <v>60</v>
      </c>
    </row>
    <row r="1521" spans="1:5" x14ac:dyDescent="0.25">
      <c r="A1521" s="169">
        <v>561</v>
      </c>
      <c r="C1521" s="17" t="s">
        <v>729</v>
      </c>
      <c r="D1521" s="269" t="str">
        <f>VLOOKUP(C1521,lookup!$B$2:$F$1240,2)</f>
        <v>each</v>
      </c>
      <c r="E1521" s="271">
        <f>VLOOKUP(C1521,lookup!$B$2:$F$1240,5)</f>
        <v>80</v>
      </c>
    </row>
    <row r="1522" spans="1:5" x14ac:dyDescent="0.25">
      <c r="A1522" s="169">
        <v>561</v>
      </c>
      <c r="C1522" s="200" t="s">
        <v>3285</v>
      </c>
      <c r="D1522" s="269" t="str">
        <f>VLOOKUP(C1522,lookup!$B$2:$F$1240,2)</f>
        <v>each</v>
      </c>
      <c r="E1522" s="271">
        <f>VLOOKUP(C1522,lookup!$B$2:$F$1240,5)</f>
        <v>80</v>
      </c>
    </row>
    <row r="1523" spans="1:5" x14ac:dyDescent="0.25">
      <c r="A1523" s="169">
        <v>561</v>
      </c>
      <c r="C1523" s="200" t="s">
        <v>3362</v>
      </c>
      <c r="D1523" s="269" t="str">
        <f>VLOOKUP(C1523,lookup!$B$2:$F$1240,2)</f>
        <v>Cu Yd</v>
      </c>
      <c r="E1523" s="271">
        <f>VLOOKUP(C1523,lookup!$B$2:$F$1240,5)</f>
        <v>350</v>
      </c>
    </row>
    <row r="1524" spans="1:5" ht="22.8" x14ac:dyDescent="0.25">
      <c r="A1524" s="169">
        <v>561</v>
      </c>
      <c r="C1524" s="106" t="s">
        <v>3287</v>
      </c>
      <c r="D1524" s="269" t="str">
        <f>VLOOKUP(C1524,lookup!$B$2:$F$1240,2)</f>
        <v xml:space="preserve">CY </v>
      </c>
      <c r="E1524" s="271">
        <f>VLOOKUP(C1524,lookup!$B$2:$F$1240,5)</f>
        <v>400</v>
      </c>
    </row>
    <row r="1525" spans="1:5" x14ac:dyDescent="0.25">
      <c r="A1525" s="169">
        <v>561</v>
      </c>
      <c r="C1525" s="106" t="s">
        <v>3204</v>
      </c>
      <c r="D1525" s="269" t="str">
        <f>VLOOKUP(C1525,lookup!$B$2:$F$1240,2)</f>
        <v>CY</v>
      </c>
      <c r="E1525" s="271">
        <f>VLOOKUP(C1525,lookup!$B$2:$F$1240,5)</f>
        <v>200</v>
      </c>
    </row>
    <row r="1526" spans="1:5" ht="22.8" x14ac:dyDescent="0.25">
      <c r="A1526" s="169">
        <v>561</v>
      </c>
      <c r="C1526" s="113" t="s">
        <v>979</v>
      </c>
      <c r="D1526" s="269">
        <f>VLOOKUP(C1526,lookup!$B$2:$F$1240,2)</f>
        <v>0</v>
      </c>
      <c r="E1526" s="271">
        <f>VLOOKUP(C1526,lookup!$B$2:$F$1240,5)</f>
        <v>0</v>
      </c>
    </row>
    <row r="1527" spans="1:5" ht="21" x14ac:dyDescent="0.25">
      <c r="A1527" s="169">
        <v>561</v>
      </c>
      <c r="C1527" s="258" t="s">
        <v>3252</v>
      </c>
      <c r="D1527" s="269" t="str">
        <f>VLOOKUP(C1527,lookup!$B$2:$F$1240,2)</f>
        <v>Ea.</v>
      </c>
      <c r="E1527" s="271">
        <f>VLOOKUP(C1527,lookup!$B$2:$F$1240,5)</f>
        <v>65</v>
      </c>
    </row>
    <row r="1528" spans="1:5" ht="21" x14ac:dyDescent="0.25">
      <c r="A1528" s="169">
        <v>561</v>
      </c>
      <c r="C1528" s="258" t="s">
        <v>3242</v>
      </c>
      <c r="D1528" s="269" t="str">
        <f>VLOOKUP(C1528,lookup!$B$2:$F$1240,2)</f>
        <v>each</v>
      </c>
      <c r="E1528" s="271">
        <f>VLOOKUP(C1528,lookup!$B$2:$F$1240,5)</f>
        <v>227</v>
      </c>
    </row>
    <row r="1529" spans="1:5" ht="21" x14ac:dyDescent="0.25">
      <c r="A1529" s="169">
        <v>561</v>
      </c>
      <c r="C1529" s="258" t="s">
        <v>3245</v>
      </c>
      <c r="D1529" s="269" t="str">
        <f>VLOOKUP(C1529,lookup!$B$2:$F$1240,2)</f>
        <v>each</v>
      </c>
      <c r="E1529" s="271">
        <f>VLOOKUP(C1529,lookup!$B$2:$F$1240,5)</f>
        <v>420</v>
      </c>
    </row>
    <row r="1530" spans="1:5" ht="21" x14ac:dyDescent="0.25">
      <c r="A1530" s="169">
        <v>561</v>
      </c>
      <c r="C1530" s="258" t="s">
        <v>3251</v>
      </c>
      <c r="D1530" s="269" t="str">
        <f>VLOOKUP(C1530,lookup!$B$2:$F$1240,2)</f>
        <v>Ea.</v>
      </c>
      <c r="E1530" s="271">
        <f>VLOOKUP(C1530,lookup!$B$2:$F$1240,5)</f>
        <v>159</v>
      </c>
    </row>
    <row r="1531" spans="1:5" x14ac:dyDescent="0.25">
      <c r="A1531" s="169">
        <v>561</v>
      </c>
      <c r="C1531" s="79" t="s">
        <v>3356</v>
      </c>
      <c r="D1531" s="269" t="str">
        <f>VLOOKUP(C1531,lookup!$B$2:$F$1240,2)</f>
        <v>ton</v>
      </c>
      <c r="E1531" s="271">
        <f>VLOOKUP(C1531,lookup!$B$2:$F$1240,5)</f>
        <v>6.3</v>
      </c>
    </row>
    <row r="1532" spans="1:5" x14ac:dyDescent="0.25">
      <c r="A1532" s="169">
        <v>561</v>
      </c>
      <c r="C1532" s="79" t="s">
        <v>3357</v>
      </c>
      <c r="D1532" s="269" t="str">
        <f>VLOOKUP(C1532,lookup!$B$2:$F$1240,2)</f>
        <v>ton</v>
      </c>
      <c r="E1532" s="271">
        <f>VLOOKUP(C1532,lookup!$B$2:$F$1240,5)</f>
        <v>10.6</v>
      </c>
    </row>
    <row r="1533" spans="1:5" x14ac:dyDescent="0.25">
      <c r="A1533" s="169">
        <v>561</v>
      </c>
      <c r="C1533" s="79" t="s">
        <v>3358</v>
      </c>
      <c r="D1533" s="269" t="str">
        <f>VLOOKUP(C1533,lookup!$B$2:$F$1240,2)</f>
        <v>Cu Yd</v>
      </c>
      <c r="E1533" s="271">
        <f>VLOOKUP(C1533,lookup!$B$2:$F$1240,5)</f>
        <v>9.41</v>
      </c>
    </row>
    <row r="1534" spans="1:5" x14ac:dyDescent="0.25">
      <c r="A1534" s="169">
        <v>561</v>
      </c>
      <c r="C1534" s="79" t="s">
        <v>3359</v>
      </c>
      <c r="D1534" s="269" t="str">
        <f>VLOOKUP(C1534,lookup!$B$2:$F$1240,2)</f>
        <v>Cu Yd</v>
      </c>
      <c r="E1534" s="271">
        <f>VLOOKUP(C1534,lookup!$B$2:$F$1240,5)</f>
        <v>14.84</v>
      </c>
    </row>
    <row r="1535" spans="1:5" x14ac:dyDescent="0.25">
      <c r="A1535" s="169">
        <v>561</v>
      </c>
      <c r="C1535" s="205" t="s">
        <v>3291</v>
      </c>
      <c r="D1535" s="269" t="str">
        <f>VLOOKUP(C1535,lookup!$B$2:$F$1240,2)</f>
        <v>ton</v>
      </c>
      <c r="E1535" s="271">
        <f>VLOOKUP(C1535,lookup!$B$2:$F$1240,5)</f>
        <v>20</v>
      </c>
    </row>
    <row r="1536" spans="1:5" x14ac:dyDescent="0.25">
      <c r="A1536" s="169">
        <v>561</v>
      </c>
      <c r="C1536" s="264" t="s">
        <v>3294</v>
      </c>
      <c r="D1536" s="269" t="str">
        <f>VLOOKUP(C1536,lookup!$B$2:$F$1240,2)</f>
        <v>SY</v>
      </c>
      <c r="E1536" s="271">
        <f>VLOOKUP(C1536,lookup!$B$2:$F$1240,5)</f>
        <v>2.5</v>
      </c>
    </row>
    <row r="1537" spans="1:5" x14ac:dyDescent="0.25">
      <c r="A1537" s="169">
        <v>561</v>
      </c>
      <c r="C1537" s="106" t="s">
        <v>2155</v>
      </c>
      <c r="D1537" s="269" t="str">
        <f>VLOOKUP(C1537,lookup!$B$2:$F$1240,2)</f>
        <v>Sq Yd</v>
      </c>
      <c r="E1537" s="271">
        <f>VLOOKUP(C1537,lookup!$B$2:$F$1240,5)</f>
        <v>2.5</v>
      </c>
    </row>
    <row r="1538" spans="1:5" x14ac:dyDescent="0.25">
      <c r="A1538" s="169">
        <v>561</v>
      </c>
      <c r="C1538" s="157" t="s">
        <v>376</v>
      </c>
      <c r="D1538" s="269" t="str">
        <f>VLOOKUP(C1538,lookup!$B$2:$F$1240,2)</f>
        <v>Cu. Yd.</v>
      </c>
      <c r="E1538" s="271">
        <f>VLOOKUP(C1538,lookup!$B$2:$F$1240,5)</f>
        <v>3</v>
      </c>
    </row>
    <row r="1539" spans="1:5" x14ac:dyDescent="0.25">
      <c r="A1539" s="169">
        <v>561</v>
      </c>
      <c r="C1539" s="113" t="s">
        <v>3183</v>
      </c>
      <c r="D1539" s="269" t="str">
        <f>VLOOKUP(C1539,lookup!$B$2:$F$1240,2)</f>
        <v>hr</v>
      </c>
      <c r="E1539" s="271">
        <f>VLOOKUP(C1539,lookup!$B$2:$F$1240,5)</f>
        <v>120</v>
      </c>
    </row>
    <row r="1540" spans="1:5" x14ac:dyDescent="0.25">
      <c r="A1540" s="169">
        <v>561</v>
      </c>
      <c r="C1540" s="106" t="s">
        <v>3194</v>
      </c>
      <c r="D1540" s="269" t="str">
        <f>VLOOKUP(C1540,lookup!$B$2:$F$1240,2)</f>
        <v>hr</v>
      </c>
      <c r="E1540" s="271">
        <f>VLOOKUP(C1540,lookup!$B$2:$F$1240,5)</f>
        <v>100</v>
      </c>
    </row>
    <row r="1541" spans="1:5" x14ac:dyDescent="0.25">
      <c r="A1541" s="169">
        <v>561</v>
      </c>
      <c r="C1541" s="113" t="s">
        <v>3101</v>
      </c>
      <c r="D1541" s="269" t="str">
        <f>VLOOKUP(C1541,lookup!$B$2:$F$1240,2)</f>
        <v>hr</v>
      </c>
      <c r="E1541" s="271">
        <f>VLOOKUP(C1541,lookup!$B$2:$F$1240,5)</f>
        <v>20</v>
      </c>
    </row>
    <row r="1542" spans="1:5" x14ac:dyDescent="0.25">
      <c r="A1542" s="169">
        <v>561</v>
      </c>
      <c r="C1542" s="106" t="s">
        <v>2712</v>
      </c>
      <c r="D1542" s="269" t="str">
        <f>VLOOKUP(C1542,lookup!$B$2:$F$1240,2)</f>
        <v>Cu Yd</v>
      </c>
      <c r="E1542" s="271">
        <f>VLOOKUP(C1542,lookup!$B$2:$F$1240,5)</f>
        <v>3.5</v>
      </c>
    </row>
    <row r="1543" spans="1:5" ht="22.8" x14ac:dyDescent="0.25">
      <c r="A1543" s="169">
        <v>561</v>
      </c>
      <c r="C1543" s="106" t="s">
        <v>3309</v>
      </c>
      <c r="D1543" s="269" t="str">
        <f>VLOOKUP(C1543,lookup!$B$2:$F$1240,2)</f>
        <v>acre</v>
      </c>
      <c r="E1543" s="271">
        <f>VLOOKUP(C1543,lookup!$B$2:$F$1240,5)</f>
        <v>800</v>
      </c>
    </row>
    <row r="1544" spans="1:5" ht="22.8" x14ac:dyDescent="0.25">
      <c r="A1544" s="169">
        <v>561</v>
      </c>
      <c r="C1544" s="113" t="s">
        <v>3311</v>
      </c>
      <c r="D1544" s="269" t="str">
        <f>VLOOKUP(C1544,lookup!$B$2:$F$1240,2)</f>
        <v>hr</v>
      </c>
      <c r="E1544" s="271">
        <f>VLOOKUP(C1544,lookup!$B$2:$F$1240,5)</f>
        <v>35</v>
      </c>
    </row>
    <row r="1545" spans="1:5" x14ac:dyDescent="0.25">
      <c r="A1545" s="169">
        <v>561</v>
      </c>
      <c r="C1545" s="205" t="s">
        <v>2955</v>
      </c>
      <c r="D1545" s="269" t="str">
        <f>VLOOKUP(C1545,lookup!$B$2:$F$1240,2)</f>
        <v>sq ft</v>
      </c>
      <c r="E1545" s="271">
        <f>VLOOKUP(C1545,lookup!$B$2:$F$1240,5)</f>
        <v>0.79</v>
      </c>
    </row>
    <row r="1546" spans="1:5" x14ac:dyDescent="0.25">
      <c r="A1546" s="169">
        <v>562</v>
      </c>
      <c r="B1546" s="172" t="s">
        <v>265</v>
      </c>
      <c r="C1546" s="109"/>
      <c r="D1546" s="269"/>
      <c r="E1546" s="271"/>
    </row>
    <row r="1547" spans="1:5" x14ac:dyDescent="0.25">
      <c r="A1547" s="169">
        <v>562</v>
      </c>
      <c r="C1547" s="106" t="s">
        <v>2735</v>
      </c>
      <c r="D1547" s="269" t="str">
        <f>VLOOKUP(C1547,lookup!$B$2:$F$1240,2)</f>
        <v>Gal.</v>
      </c>
      <c r="E1547" s="271">
        <f>VLOOKUP(C1547,lookup!$B$2:$F$1240,5)</f>
        <v>38.5</v>
      </c>
    </row>
    <row r="1548" spans="1:5" x14ac:dyDescent="0.25">
      <c r="A1548" s="169">
        <v>562</v>
      </c>
      <c r="C1548" s="106" t="s">
        <v>2736</v>
      </c>
      <c r="D1548" s="269" t="str">
        <f>VLOOKUP(C1548,lookup!$B$2:$F$1240,2)</f>
        <v>Gal.</v>
      </c>
      <c r="E1548" s="271">
        <f>VLOOKUP(C1548,lookup!$B$2:$F$1240,5)</f>
        <v>38.5</v>
      </c>
    </row>
    <row r="1549" spans="1:5" ht="22.8" x14ac:dyDescent="0.25">
      <c r="A1549" s="169">
        <v>562</v>
      </c>
      <c r="C1549" s="106" t="s">
        <v>2216</v>
      </c>
      <c r="D1549" s="269">
        <f>VLOOKUP(C1549,lookup!$B$2:$F$1240,2)</f>
        <v>0</v>
      </c>
      <c r="E1549" s="271">
        <f>VLOOKUP(C1549,lookup!$B$2:$F$1240,5)</f>
        <v>0</v>
      </c>
    </row>
    <row r="1550" spans="1:5" x14ac:dyDescent="0.25">
      <c r="A1550" s="169">
        <v>562</v>
      </c>
      <c r="C1550" s="106" t="s">
        <v>199</v>
      </c>
      <c r="D1550" s="269" t="str">
        <f>VLOOKUP(C1550,lookup!$B$2:$F$1240,2)</f>
        <v>Ac.</v>
      </c>
      <c r="E1550" s="271">
        <f>VLOOKUP(C1550,lookup!$B$2:$F$1240,5)</f>
        <v>5</v>
      </c>
    </row>
    <row r="1551" spans="1:5" x14ac:dyDescent="0.25">
      <c r="A1551" s="169">
        <v>562</v>
      </c>
      <c r="C1551" s="106" t="s">
        <v>200</v>
      </c>
      <c r="D1551" s="269" t="str">
        <f>VLOOKUP(C1551,lookup!$B$2:$F$1240,2)</f>
        <v>each</v>
      </c>
      <c r="E1551" s="271">
        <f>VLOOKUP(C1551,lookup!$B$2:$F$1240,5)</f>
        <v>1.2</v>
      </c>
    </row>
    <row r="1552" spans="1:5" ht="34.200000000000003" x14ac:dyDescent="0.25">
      <c r="A1552" s="169">
        <v>562</v>
      </c>
      <c r="C1552" s="106" t="s">
        <v>201</v>
      </c>
      <c r="D1552" s="269" t="str">
        <f>VLOOKUP(C1552,lookup!$B$2:$F$1240,2)</f>
        <v>each</v>
      </c>
      <c r="E1552" s="271">
        <f>VLOOKUP(C1552,lookup!$B$2:$F$1240,5)</f>
        <v>3.75</v>
      </c>
    </row>
    <row r="1553" spans="1:5" ht="22.8" x14ac:dyDescent="0.25">
      <c r="A1553" s="169">
        <v>562</v>
      </c>
      <c r="C1553" s="106" t="s">
        <v>906</v>
      </c>
      <c r="D1553" s="269">
        <f>VLOOKUP(C1553,lookup!$B$2:$F$1240,2)</f>
        <v>0</v>
      </c>
      <c r="E1553" s="271">
        <f>VLOOKUP(C1553,lookup!$B$2:$F$1240,5)</f>
        <v>0</v>
      </c>
    </row>
    <row r="1554" spans="1:5" ht="22.8" x14ac:dyDescent="0.25">
      <c r="A1554" s="169">
        <v>562</v>
      </c>
      <c r="C1554" s="106" t="s">
        <v>907</v>
      </c>
      <c r="D1554" s="269" t="str">
        <f>VLOOKUP(C1554,lookup!$B$2:$F$1240,2)</f>
        <v>sq ft</v>
      </c>
      <c r="E1554" s="271">
        <f>VLOOKUP(C1554,lookup!$B$2:$F$1240,5)</f>
        <v>0</v>
      </c>
    </row>
    <row r="1555" spans="1:5" ht="22.8" x14ac:dyDescent="0.25">
      <c r="A1555" s="169">
        <v>562</v>
      </c>
      <c r="C1555" s="106" t="s">
        <v>1781</v>
      </c>
      <c r="D1555" s="269">
        <f>VLOOKUP(C1555,lookup!$B$2:$F$1240,2)</f>
        <v>0</v>
      </c>
      <c r="E1555" s="271">
        <f>VLOOKUP(C1555,lookup!$B$2:$F$1240,5)</f>
        <v>0</v>
      </c>
    </row>
    <row r="1556" spans="1:5" ht="22.8" x14ac:dyDescent="0.25">
      <c r="A1556" s="169">
        <v>562</v>
      </c>
      <c r="C1556" s="106" t="s">
        <v>908</v>
      </c>
      <c r="D1556" s="269">
        <f>VLOOKUP(C1556,lookup!$B$2:$F$1240,2)</f>
        <v>0</v>
      </c>
      <c r="E1556" s="271">
        <f>VLOOKUP(C1556,lookup!$B$2:$F$1240,5)</f>
        <v>0</v>
      </c>
    </row>
    <row r="1557" spans="1:5" ht="22.8" x14ac:dyDescent="0.25">
      <c r="A1557" s="169">
        <v>562</v>
      </c>
      <c r="C1557" s="106" t="s">
        <v>909</v>
      </c>
      <c r="D1557" s="269">
        <f>VLOOKUP(C1557,lookup!$B$2:$F$1240,2)</f>
        <v>0</v>
      </c>
      <c r="E1557" s="271">
        <f>VLOOKUP(C1557,lookup!$B$2:$F$1240,5)</f>
        <v>0</v>
      </c>
    </row>
    <row r="1558" spans="1:5" ht="22.8" x14ac:dyDescent="0.25">
      <c r="A1558" s="169">
        <v>562</v>
      </c>
      <c r="C1558" s="106" t="s">
        <v>910</v>
      </c>
      <c r="D1558" s="269">
        <f>VLOOKUP(C1558,lookup!$B$2:$F$1240,2)</f>
        <v>0</v>
      </c>
      <c r="E1558" s="271">
        <f>VLOOKUP(C1558,lookup!$B$2:$F$1240,5)</f>
        <v>0</v>
      </c>
    </row>
    <row r="1559" spans="1:5" x14ac:dyDescent="0.25">
      <c r="A1559" s="169">
        <v>562</v>
      </c>
      <c r="C1559" s="106" t="s">
        <v>1523</v>
      </c>
      <c r="D1559" s="269">
        <f>VLOOKUP(C1559,lookup!$B$2:$F$1240,2)</f>
        <v>0</v>
      </c>
      <c r="E1559" s="271">
        <f>VLOOKUP(C1559,lookup!$B$2:$F$1240,5)</f>
        <v>0</v>
      </c>
    </row>
    <row r="1560" spans="1:5" x14ac:dyDescent="0.25">
      <c r="A1560" s="169">
        <v>562</v>
      </c>
      <c r="C1560" s="106" t="s">
        <v>1302</v>
      </c>
      <c r="D1560" s="269" t="str">
        <f>VLOOKUP(C1560,lookup!$B$2:$F$1240,2)</f>
        <v>each</v>
      </c>
      <c r="E1560" s="271">
        <f>VLOOKUP(C1560,lookup!$B$2:$F$1240,5)</f>
        <v>2</v>
      </c>
    </row>
    <row r="1561" spans="1:5" ht="22.8" x14ac:dyDescent="0.25">
      <c r="A1561" s="169">
        <v>562</v>
      </c>
      <c r="C1561" s="106" t="s">
        <v>1303</v>
      </c>
      <c r="D1561" s="269" t="str">
        <f>VLOOKUP(C1561,lookup!$B$2:$F$1240,2)</f>
        <v>each</v>
      </c>
      <c r="E1561" s="271">
        <f>VLOOKUP(C1561,lookup!$B$2:$F$1240,5)</f>
        <v>2</v>
      </c>
    </row>
    <row r="1562" spans="1:5" ht="22.8" x14ac:dyDescent="0.25">
      <c r="A1562" s="169">
        <v>562</v>
      </c>
      <c r="C1562" s="106" t="s">
        <v>485</v>
      </c>
      <c r="D1562" s="269">
        <f>VLOOKUP(C1562,lookup!$B$2:$F$1240,2)</f>
        <v>0</v>
      </c>
      <c r="E1562" s="271">
        <f>VLOOKUP(C1562,lookup!$B$2:$F$1240,5)</f>
        <v>0</v>
      </c>
    </row>
    <row r="1563" spans="1:5" ht="22.8" x14ac:dyDescent="0.25">
      <c r="A1563" s="169">
        <v>562</v>
      </c>
      <c r="C1563" s="106" t="s">
        <v>486</v>
      </c>
      <c r="D1563" s="269">
        <f>VLOOKUP(C1563,lookup!$B$2:$F$1240,2)</f>
        <v>0</v>
      </c>
      <c r="E1563" s="271">
        <f>VLOOKUP(C1563,lookup!$B$2:$F$1240,5)</f>
        <v>0</v>
      </c>
    </row>
    <row r="1564" spans="1:5" ht="22.8" x14ac:dyDescent="0.25">
      <c r="A1564" s="169">
        <v>562</v>
      </c>
      <c r="C1564" s="106" t="s">
        <v>484</v>
      </c>
      <c r="D1564" s="269">
        <f>VLOOKUP(C1564,lookup!$B$2:$F$1240,2)</f>
        <v>0</v>
      </c>
      <c r="E1564" s="271">
        <f>VLOOKUP(C1564,lookup!$B$2:$F$1240,5)</f>
        <v>0</v>
      </c>
    </row>
    <row r="1565" spans="1:5" ht="22.8" x14ac:dyDescent="0.25">
      <c r="A1565" s="169">
        <v>562</v>
      </c>
      <c r="C1565" s="106" t="s">
        <v>173</v>
      </c>
      <c r="D1565" s="269" t="str">
        <f>VLOOKUP(C1565,lookup!$B$2:$F$1240,2)</f>
        <v>each</v>
      </c>
      <c r="E1565" s="271">
        <f>VLOOKUP(C1565,lookup!$B$2:$F$1240,5)</f>
        <v>0.83</v>
      </c>
    </row>
    <row r="1566" spans="1:5" x14ac:dyDescent="0.25">
      <c r="A1566" s="169">
        <v>566</v>
      </c>
      <c r="B1566" s="172" t="s">
        <v>266</v>
      </c>
      <c r="C1566" s="109"/>
      <c r="D1566" s="269" t="e">
        <f>VLOOKUP(C1566,lookup!$B$2:$F$1240,2)</f>
        <v>#N/A</v>
      </c>
      <c r="E1566" s="271" t="e">
        <f>VLOOKUP(C1566,lookup!$B$2:$F$1240,5)</f>
        <v>#N/A</v>
      </c>
    </row>
    <row r="1567" spans="1:5" x14ac:dyDescent="0.25">
      <c r="A1567" s="169">
        <v>566</v>
      </c>
      <c r="C1567" s="106" t="s">
        <v>1389</v>
      </c>
      <c r="D1567" s="269" t="str">
        <f>VLOOKUP(C1567,lookup!$B$2:$F$1240,2)</f>
        <v>ac</v>
      </c>
      <c r="E1567" s="271">
        <f>VLOOKUP(C1567,lookup!$B$2:$F$1240,5)</f>
        <v>14</v>
      </c>
    </row>
    <row r="1568" spans="1:5" x14ac:dyDescent="0.25">
      <c r="A1568" s="169">
        <v>566</v>
      </c>
      <c r="C1568" s="106" t="s">
        <v>2159</v>
      </c>
      <c r="D1568" s="269" t="str">
        <f>VLOOKUP(C1568,lookup!$B$2:$F$1240,2)</f>
        <v>Cu. Yd.</v>
      </c>
      <c r="E1568" s="271">
        <f>VLOOKUP(C1568,lookup!$B$2:$F$1240,5)</f>
        <v>3</v>
      </c>
    </row>
    <row r="1569" spans="1:6" x14ac:dyDescent="0.25">
      <c r="A1569" s="169">
        <v>566</v>
      </c>
      <c r="C1569" s="106" t="s">
        <v>2158</v>
      </c>
      <c r="D1569" s="269" t="str">
        <f>VLOOKUP(C1569,lookup!$B$2:$F$1240,2)</f>
        <v>Cu. Yd.</v>
      </c>
      <c r="E1569" s="271">
        <f>VLOOKUP(C1569,lookup!$B$2:$F$1240,5)</f>
        <v>3</v>
      </c>
    </row>
    <row r="1570" spans="1:6" x14ac:dyDescent="0.25">
      <c r="A1570" s="169">
        <v>566</v>
      </c>
      <c r="C1570" s="106" t="s">
        <v>1376</v>
      </c>
      <c r="D1570" s="269" t="str">
        <f>VLOOKUP(C1570,lookup!$B$2:$F$1240,2)</f>
        <v>cu yd</v>
      </c>
      <c r="E1570" s="271">
        <f>VLOOKUP(C1570,lookup!$B$2:$F$1240,5)</f>
        <v>3.5</v>
      </c>
    </row>
    <row r="1571" spans="1:6" x14ac:dyDescent="0.25">
      <c r="A1571" s="169">
        <v>566</v>
      </c>
      <c r="C1571" s="106" t="s">
        <v>1110</v>
      </c>
      <c r="D1571" s="269" t="str">
        <f>VLOOKUP(C1571,lookup!$B$2:$F$1240,2)</f>
        <v>Cu Yd</v>
      </c>
      <c r="E1571" s="271">
        <f>VLOOKUP(C1571,lookup!$B$2:$F$1240,5)</f>
        <v>0</v>
      </c>
    </row>
    <row r="1572" spans="1:6" x14ac:dyDescent="0.25">
      <c r="A1572" s="169">
        <v>566</v>
      </c>
      <c r="C1572" s="106" t="s">
        <v>2313</v>
      </c>
      <c r="D1572" s="269" t="str">
        <f>VLOOKUP(C1572,lookup!$B$2:$F$1240,2)</f>
        <v>l.s.</v>
      </c>
      <c r="E1572" s="271">
        <f>VLOOKUP(C1572,lookup!$B$2:$F$1240,5)</f>
        <v>400</v>
      </c>
    </row>
    <row r="1573" spans="1:6" x14ac:dyDescent="0.25">
      <c r="A1573" s="169">
        <v>566</v>
      </c>
      <c r="C1573" s="106" t="s">
        <v>1034</v>
      </c>
      <c r="D1573" s="269" t="str">
        <f>VLOOKUP(C1573,lookup!$B$2:$F$1240,2)</f>
        <v>l.s.</v>
      </c>
      <c r="E1573" s="271">
        <f>VLOOKUP(C1573,lookup!$B$2:$F$1240,5)</f>
        <v>400</v>
      </c>
    </row>
    <row r="1574" spans="1:6" x14ac:dyDescent="0.25">
      <c r="A1574" s="169">
        <v>566</v>
      </c>
      <c r="C1574" s="106" t="s">
        <v>2712</v>
      </c>
      <c r="D1574" s="269" t="str">
        <f>VLOOKUP(C1574,lookup!$B$2:$F$1240,2)</f>
        <v>Cu Yd</v>
      </c>
      <c r="E1574" s="271">
        <f>VLOOKUP(C1574,lookup!$B$2:$F$1240,5)</f>
        <v>3.5</v>
      </c>
    </row>
    <row r="1575" spans="1:6" ht="22.8" x14ac:dyDescent="0.25">
      <c r="A1575" s="169">
        <v>566</v>
      </c>
      <c r="C1575" s="106" t="s">
        <v>906</v>
      </c>
      <c r="D1575" s="269">
        <f>VLOOKUP(C1575,lookup!$B$2:$F$1240,2)</f>
        <v>0</v>
      </c>
      <c r="E1575" s="271">
        <f>VLOOKUP(C1575,lookup!$B$2:$F$1240,5)</f>
        <v>0</v>
      </c>
    </row>
    <row r="1576" spans="1:6" ht="22.8" x14ac:dyDescent="0.25">
      <c r="A1576" s="169">
        <v>566</v>
      </c>
      <c r="C1576" s="106" t="s">
        <v>907</v>
      </c>
      <c r="D1576" s="269" t="str">
        <f>VLOOKUP(C1576,lookup!$B$2:$F$1240,2)</f>
        <v>sq ft</v>
      </c>
      <c r="E1576" s="271">
        <f>VLOOKUP(C1576,lookup!$B$2:$F$1240,5)</f>
        <v>0</v>
      </c>
    </row>
    <row r="1577" spans="1:6" ht="22.8" x14ac:dyDescent="0.25">
      <c r="A1577" s="169">
        <v>566</v>
      </c>
      <c r="C1577" s="106" t="s">
        <v>1781</v>
      </c>
      <c r="D1577" s="269">
        <f>VLOOKUP(C1577,lookup!$B$2:$F$1240,2)</f>
        <v>0</v>
      </c>
      <c r="E1577" s="271">
        <f>VLOOKUP(C1577,lookup!$B$2:$F$1240,5)</f>
        <v>0</v>
      </c>
    </row>
    <row r="1578" spans="1:6" ht="22.8" x14ac:dyDescent="0.25">
      <c r="A1578" s="169">
        <v>566</v>
      </c>
      <c r="C1578" s="106" t="s">
        <v>908</v>
      </c>
      <c r="D1578" s="269">
        <f>VLOOKUP(C1578,lookup!$B$2:$F$1240,2)</f>
        <v>0</v>
      </c>
      <c r="E1578" s="271">
        <f>VLOOKUP(C1578,lookup!$B$2:$F$1240,5)</f>
        <v>0</v>
      </c>
    </row>
    <row r="1579" spans="1:6" ht="22.8" x14ac:dyDescent="0.25">
      <c r="A1579" s="169">
        <v>566</v>
      </c>
      <c r="C1579" s="106" t="s">
        <v>909</v>
      </c>
      <c r="D1579" s="269">
        <f>VLOOKUP(C1579,lookup!$B$2:$F$1240,2)</f>
        <v>0</v>
      </c>
      <c r="E1579" s="271">
        <f>VLOOKUP(C1579,lookup!$B$2:$F$1240,5)</f>
        <v>0</v>
      </c>
    </row>
    <row r="1580" spans="1:6" ht="22.8" x14ac:dyDescent="0.25">
      <c r="A1580" s="169">
        <v>566</v>
      </c>
      <c r="C1580" s="106" t="s">
        <v>910</v>
      </c>
      <c r="D1580" s="269">
        <f>VLOOKUP(C1580,lookup!$B$2:$F$1240,2)</f>
        <v>0</v>
      </c>
      <c r="E1580" s="271">
        <f>VLOOKUP(C1580,lookup!$B$2:$F$1240,5)</f>
        <v>0</v>
      </c>
    </row>
    <row r="1581" spans="1:6" x14ac:dyDescent="0.25">
      <c r="A1581" s="169">
        <v>566</v>
      </c>
      <c r="C1581" s="106" t="s">
        <v>1523</v>
      </c>
      <c r="D1581" s="269">
        <f>VLOOKUP(C1581,lookup!$B$2:$F$1240,2)</f>
        <v>0</v>
      </c>
      <c r="E1581" s="271">
        <f>VLOOKUP(C1581,lookup!$B$2:$F$1240,5)</f>
        <v>0</v>
      </c>
    </row>
    <row r="1582" spans="1:6" x14ac:dyDescent="0.25">
      <c r="A1582" s="169">
        <v>566</v>
      </c>
      <c r="C1582" s="106" t="s">
        <v>13</v>
      </c>
      <c r="D1582" s="269" t="str">
        <f>VLOOKUP(C1582,lookup!$B$2:$F$1240,2)</f>
        <v>lb</v>
      </c>
      <c r="E1582" s="271">
        <f>VLOOKUP(C1582,lookup!$B$2:$F$1240,5)</f>
        <v>0.03</v>
      </c>
    </row>
    <row r="1583" spans="1:6" x14ac:dyDescent="0.25">
      <c r="A1583" s="169">
        <v>568</v>
      </c>
      <c r="B1583" s="172" t="s">
        <v>3338</v>
      </c>
      <c r="D1583" s="269"/>
      <c r="E1583" s="271"/>
      <c r="F1583" t="s">
        <v>3113</v>
      </c>
    </row>
    <row r="1584" spans="1:6" ht="23.4" x14ac:dyDescent="0.25">
      <c r="A1584" s="169">
        <v>568</v>
      </c>
      <c r="C1584" s="125" t="s">
        <v>979</v>
      </c>
      <c r="D1584" s="269">
        <f>VLOOKUP(C1584,lookup!$B$2:$F$1240,2)</f>
        <v>0</v>
      </c>
      <c r="E1584" s="271">
        <f>VLOOKUP(C1584,lookup!$B$2:$F$1240,5)</f>
        <v>0</v>
      </c>
    </row>
    <row r="1585" spans="1:5" x14ac:dyDescent="0.25">
      <c r="A1585" s="169">
        <v>568</v>
      </c>
      <c r="C1585" s="125" t="s">
        <v>2832</v>
      </c>
      <c r="D1585" s="269">
        <f>VLOOKUP(C1585,lookup!$B$2:$F$1240,2)</f>
        <v>0</v>
      </c>
      <c r="E1585" s="271">
        <f>VLOOKUP(C1585,lookup!$B$2:$F$1240,5)</f>
        <v>0</v>
      </c>
    </row>
    <row r="1586" spans="1:5" x14ac:dyDescent="0.25">
      <c r="A1586" s="169">
        <v>568</v>
      </c>
      <c r="C1586" s="184" t="s">
        <v>1083</v>
      </c>
      <c r="D1586" s="269" t="str">
        <f>VLOOKUP(C1586,lookup!$B$2:$F$1240,2)</f>
        <v>each</v>
      </c>
      <c r="E1586" s="271">
        <f>VLOOKUP(C1586,lookup!$B$2:$F$1240,5)</f>
        <v>7.64</v>
      </c>
    </row>
    <row r="1587" spans="1:5" x14ac:dyDescent="0.25">
      <c r="A1587" s="169">
        <v>568</v>
      </c>
      <c r="C1587" s="184" t="s">
        <v>1082</v>
      </c>
      <c r="D1587" s="269" t="str">
        <f>VLOOKUP(C1587,lookup!$B$2:$F$1240,2)</f>
        <v>each</v>
      </c>
      <c r="E1587" s="271">
        <f>VLOOKUP(C1587,lookup!$B$2:$F$1240,5)</f>
        <v>2.63</v>
      </c>
    </row>
    <row r="1588" spans="1:5" x14ac:dyDescent="0.25">
      <c r="A1588" s="169">
        <v>568</v>
      </c>
      <c r="C1588" s="106" t="s">
        <v>3194</v>
      </c>
      <c r="D1588" s="269" t="str">
        <f>VLOOKUP(C1588,lookup!$B$2:$F$1240,2)</f>
        <v>hr</v>
      </c>
      <c r="E1588" s="271">
        <f>VLOOKUP(C1588,lookup!$B$2:$F$1240,5)</f>
        <v>100</v>
      </c>
    </row>
    <row r="1589" spans="1:5" x14ac:dyDescent="0.25">
      <c r="A1589" s="169">
        <v>568</v>
      </c>
      <c r="C1589" s="264" t="s">
        <v>3294</v>
      </c>
      <c r="D1589" s="269" t="str">
        <f>VLOOKUP(C1589,lookup!$B$2:$F$1240,2)</f>
        <v>SY</v>
      </c>
      <c r="E1589" s="271">
        <f>VLOOKUP(C1589,lookup!$B$2:$F$1240,5)</f>
        <v>2.5</v>
      </c>
    </row>
    <row r="1590" spans="1:5" x14ac:dyDescent="0.25">
      <c r="A1590" s="169">
        <v>568</v>
      </c>
      <c r="C1590" s="106" t="s">
        <v>2155</v>
      </c>
      <c r="D1590" s="269" t="str">
        <f>VLOOKUP(C1590,lookup!$B$2:$F$1240,2)</f>
        <v>Sq Yd</v>
      </c>
      <c r="E1590" s="271">
        <f>VLOOKUP(C1590,lookup!$B$2:$F$1240,5)</f>
        <v>2.5</v>
      </c>
    </row>
    <row r="1591" spans="1:5" x14ac:dyDescent="0.25">
      <c r="A1591" s="169">
        <v>568</v>
      </c>
      <c r="C1591" s="79" t="s">
        <v>3339</v>
      </c>
      <c r="D1591" s="269" t="str">
        <f>VLOOKUP(C1591,lookup!$B$2:$F$1240,2)</f>
        <v>Cu Yd</v>
      </c>
      <c r="E1591" s="271">
        <f>VLOOKUP(C1591,lookup!$B$2:$F$1240,5)</f>
        <v>25</v>
      </c>
    </row>
    <row r="1592" spans="1:5" x14ac:dyDescent="0.25">
      <c r="A1592" s="169">
        <v>568</v>
      </c>
      <c r="C1592" s="205" t="s">
        <v>3291</v>
      </c>
      <c r="D1592" s="269" t="str">
        <f>VLOOKUP(C1592,lookup!$B$2:$F$1240,2)</f>
        <v>ton</v>
      </c>
      <c r="E1592" s="271">
        <f>VLOOKUP(C1592,lookup!$B$2:$F$1240,5)</f>
        <v>20</v>
      </c>
    </row>
    <row r="1593" spans="1:5" x14ac:dyDescent="0.25">
      <c r="A1593" s="169">
        <v>568</v>
      </c>
      <c r="C1593" s="113" t="s">
        <v>3290</v>
      </c>
      <c r="D1593" s="269" t="str">
        <f>VLOOKUP(C1593,lookup!$B$2:$F$1240,2)</f>
        <v>hr</v>
      </c>
      <c r="E1593" s="271">
        <f>VLOOKUP(C1593,lookup!$B$2:$F$1240,5)</f>
        <v>35</v>
      </c>
    </row>
    <row r="1594" spans="1:5" ht="26.4" x14ac:dyDescent="0.25">
      <c r="A1594" s="169">
        <v>568</v>
      </c>
      <c r="C1594" s="256" t="s">
        <v>3315</v>
      </c>
      <c r="D1594" s="269" t="str">
        <f>VLOOKUP(C1594,lookup!$B$2:$F$1240,2)</f>
        <v>hr</v>
      </c>
      <c r="E1594" s="271">
        <f>VLOOKUP(C1594,lookup!$B$2:$F$1240,5)</f>
        <v>100</v>
      </c>
    </row>
    <row r="1595" spans="1:5" ht="22.8" x14ac:dyDescent="0.25">
      <c r="A1595" s="169">
        <v>568</v>
      </c>
      <c r="C1595" s="106" t="s">
        <v>3309</v>
      </c>
      <c r="D1595" s="269" t="str">
        <f>VLOOKUP(C1595,lookup!$B$2:$F$1240,2)</f>
        <v>acre</v>
      </c>
      <c r="E1595" s="271">
        <f>VLOOKUP(C1595,lookup!$B$2:$F$1240,5)</f>
        <v>800</v>
      </c>
    </row>
    <row r="1596" spans="1:5" ht="21" x14ac:dyDescent="0.25">
      <c r="A1596" s="169">
        <v>568</v>
      </c>
      <c r="C1596" s="258" t="s">
        <v>3242</v>
      </c>
      <c r="D1596" s="269" t="str">
        <f>VLOOKUP(C1596,lookup!$B$2:$F$1240,2)</f>
        <v>each</v>
      </c>
      <c r="E1596" s="271">
        <f>VLOOKUP(C1596,lookup!$B$2:$F$1240,5)</f>
        <v>227</v>
      </c>
    </row>
    <row r="1597" spans="1:5" ht="21" x14ac:dyDescent="0.25">
      <c r="A1597" s="169">
        <v>568</v>
      </c>
      <c r="C1597" s="258" t="s">
        <v>3251</v>
      </c>
      <c r="D1597" s="269" t="str">
        <f>VLOOKUP(C1597,lookup!$B$2:$F$1240,2)</f>
        <v>Ea.</v>
      </c>
      <c r="E1597" s="271">
        <f>VLOOKUP(C1597,lookup!$B$2:$F$1240,5)</f>
        <v>159</v>
      </c>
    </row>
    <row r="1598" spans="1:5" x14ac:dyDescent="0.25">
      <c r="A1598" s="169">
        <v>568</v>
      </c>
      <c r="C1598" s="106" t="s">
        <v>8</v>
      </c>
      <c r="D1598" s="269" t="str">
        <f>VLOOKUP(C1598,lookup!$B$2:$F$1240,2)</f>
        <v>Hr.</v>
      </c>
      <c r="E1598" s="271">
        <f>VLOOKUP(C1598,lookup!$B$2:$F$1240,5)</f>
        <v>81.068363600000012</v>
      </c>
    </row>
    <row r="1599" spans="1:5" x14ac:dyDescent="0.25">
      <c r="A1599" s="169">
        <v>568</v>
      </c>
      <c r="C1599" s="125" t="s">
        <v>3340</v>
      </c>
      <c r="D1599" s="269" t="str">
        <f>VLOOKUP(C1599,lookup!$B$2:$F$1240,2)</f>
        <v>Hr.</v>
      </c>
      <c r="E1599" s="271">
        <f>VLOOKUP(C1599,lookup!$B$2:$F$1240,5)</f>
        <v>40</v>
      </c>
    </row>
    <row r="1600" spans="1:5" x14ac:dyDescent="0.25">
      <c r="A1600" s="169">
        <v>568</v>
      </c>
      <c r="C1600" s="125" t="s">
        <v>3341</v>
      </c>
      <c r="D1600" s="269" t="str">
        <f>VLOOKUP(C1600,lookup!$B$2:$F$1240,2)</f>
        <v>Hr.</v>
      </c>
      <c r="E1600" s="271">
        <f>VLOOKUP(C1600,lookup!$B$2:$F$1240,5)</f>
        <v>30</v>
      </c>
    </row>
    <row r="1601" spans="1:6" x14ac:dyDescent="0.25">
      <c r="A1601" s="169">
        <v>568</v>
      </c>
      <c r="C1601" s="96" t="s">
        <v>3342</v>
      </c>
      <c r="D1601" s="269" t="str">
        <f>VLOOKUP(C1601,lookup!$B$2:$F$1240,2)</f>
        <v>Hr.</v>
      </c>
      <c r="E1601" s="271">
        <f>VLOOKUP(C1601,lookup!$B$2:$F$1240,5)</f>
        <v>81.068363600000012</v>
      </c>
    </row>
    <row r="1602" spans="1:6" x14ac:dyDescent="0.25">
      <c r="A1602" s="169">
        <v>568</v>
      </c>
      <c r="C1602" s="125" t="s">
        <v>3344</v>
      </c>
      <c r="D1602" s="269" t="str">
        <f>VLOOKUP(C1602,lookup!$B$2:$F$1240,2)</f>
        <v>lf</v>
      </c>
      <c r="E1602" s="271">
        <f>VLOOKUP(C1602,lookup!$B$2:$F$1240,5)</f>
        <v>1</v>
      </c>
    </row>
    <row r="1603" spans="1:6" x14ac:dyDescent="0.25">
      <c r="A1603" s="169">
        <v>568</v>
      </c>
      <c r="C1603" s="125" t="s">
        <v>3345</v>
      </c>
      <c r="D1603" s="269">
        <f>VLOOKUP(C1603,lookup!$B$2:$F$1240,2)</f>
        <v>0</v>
      </c>
      <c r="E1603" s="271">
        <f>VLOOKUP(C1603,lookup!$B$2:$F$1240,5)</f>
        <v>0</v>
      </c>
    </row>
    <row r="1604" spans="1:6" x14ac:dyDescent="0.25">
      <c r="A1604" s="169">
        <v>568</v>
      </c>
      <c r="C1604" s="125" t="s">
        <v>3346</v>
      </c>
      <c r="D1604" s="269" t="str">
        <f>VLOOKUP(C1604,lookup!$B$2:$F$1240,2)</f>
        <v>lf</v>
      </c>
      <c r="E1604" s="271">
        <f>VLOOKUP(C1604,lookup!$B$2:$F$1240,5)</f>
        <v>2</v>
      </c>
    </row>
    <row r="1605" spans="1:6" x14ac:dyDescent="0.25">
      <c r="A1605" s="169">
        <v>568</v>
      </c>
      <c r="C1605" s="125" t="s">
        <v>3347</v>
      </c>
      <c r="D1605" s="269" t="str">
        <f>VLOOKUP(C1605,lookup!$B$2:$F$1240,2)</f>
        <v>lf</v>
      </c>
      <c r="E1605" s="271">
        <f>VLOOKUP(C1605,lookup!$B$2:$F$1240,5)</f>
        <v>0.7</v>
      </c>
    </row>
    <row r="1606" spans="1:6" x14ac:dyDescent="0.25">
      <c r="A1606" s="169">
        <v>568</v>
      </c>
      <c r="C1606" s="125" t="s">
        <v>3348</v>
      </c>
      <c r="D1606" s="269" t="str">
        <f>VLOOKUP(C1606,lookup!$B$2:$F$1240,2)</f>
        <v>lf</v>
      </c>
      <c r="E1606" s="271">
        <f>VLOOKUP(C1606,lookup!$B$2:$F$1240,5)</f>
        <v>1.4</v>
      </c>
    </row>
    <row r="1607" spans="1:6" x14ac:dyDescent="0.25">
      <c r="A1607" s="169">
        <v>568</v>
      </c>
      <c r="C1607" s="125" t="s">
        <v>3349</v>
      </c>
      <c r="D1607" s="269" t="str">
        <f>VLOOKUP(C1607,lookup!$B$2:$F$1240,2)</f>
        <v>ea</v>
      </c>
      <c r="E1607" s="271">
        <f>VLOOKUP(C1607,lookup!$B$2:$F$1240,5)</f>
        <v>3.5</v>
      </c>
    </row>
    <row r="1608" spans="1:6" x14ac:dyDescent="0.25">
      <c r="A1608" s="169">
        <v>568</v>
      </c>
      <c r="C1608" s="106" t="s">
        <v>3350</v>
      </c>
      <c r="D1608" s="269" t="str">
        <f>VLOOKUP(C1608,lookup!$B$2:$F$1240,2)</f>
        <v>ea</v>
      </c>
      <c r="E1608" s="271">
        <f>VLOOKUP(C1608,lookup!$B$2:$F$1240,5)</f>
        <v>0.9</v>
      </c>
    </row>
    <row r="1609" spans="1:6" x14ac:dyDescent="0.25">
      <c r="A1609" s="169">
        <v>568</v>
      </c>
      <c r="C1609" s="106" t="s">
        <v>3351</v>
      </c>
      <c r="D1609" s="269" t="str">
        <f>VLOOKUP(C1609,lookup!$B$2:$F$1240,2)</f>
        <v>ea</v>
      </c>
      <c r="E1609" s="271">
        <f>VLOOKUP(C1609,lookup!$B$2:$F$1240,5)</f>
        <v>0.25</v>
      </c>
    </row>
    <row r="1610" spans="1:6" x14ac:dyDescent="0.25">
      <c r="A1610" s="169">
        <v>568</v>
      </c>
      <c r="C1610" s="106" t="s">
        <v>3352</v>
      </c>
      <c r="D1610" s="269" t="str">
        <f>VLOOKUP(C1610,lookup!$B$2:$F$1240,2)</f>
        <v>ea</v>
      </c>
      <c r="E1610" s="271">
        <f>VLOOKUP(C1610,lookup!$B$2:$F$1240,5)</f>
        <v>0.4</v>
      </c>
    </row>
    <row r="1611" spans="1:6" x14ac:dyDescent="0.25">
      <c r="A1611" s="169">
        <v>568</v>
      </c>
      <c r="C1611" s="106" t="s">
        <v>3353</v>
      </c>
      <c r="D1611" s="269" t="str">
        <f>VLOOKUP(C1611,lookup!$B$2:$F$1240,2)</f>
        <v>lb</v>
      </c>
      <c r="E1611" s="271">
        <f>VLOOKUP(C1611,lookup!$B$2:$F$1240,5)</f>
        <v>7</v>
      </c>
    </row>
    <row r="1612" spans="1:6" x14ac:dyDescent="0.25">
      <c r="A1612" s="169">
        <v>568</v>
      </c>
      <c r="C1612" s="106" t="s">
        <v>3354</v>
      </c>
      <c r="D1612" s="269" t="str">
        <f>VLOOKUP(C1612,lookup!$B$2:$F$1240,2)</f>
        <v>lb</v>
      </c>
      <c r="E1612" s="271">
        <f>VLOOKUP(C1612,lookup!$B$2:$F$1240,5)</f>
        <v>7.25</v>
      </c>
    </row>
    <row r="1613" spans="1:6" x14ac:dyDescent="0.25">
      <c r="A1613" s="169">
        <v>568</v>
      </c>
      <c r="C1613" s="106" t="s">
        <v>3355</v>
      </c>
      <c r="D1613" s="269" t="str">
        <f>VLOOKUP(C1613,lookup!$B$2:$F$1240,2)</f>
        <v>CY</v>
      </c>
      <c r="E1613" s="271">
        <f>VLOOKUP(C1613,lookup!$B$2:$F$1240,5)</f>
        <v>200</v>
      </c>
    </row>
    <row r="1614" spans="1:6" x14ac:dyDescent="0.25">
      <c r="A1614" s="169">
        <v>574</v>
      </c>
      <c r="B1614" s="172" t="s">
        <v>2040</v>
      </c>
      <c r="C1614" s="109"/>
      <c r="D1614" s="269"/>
      <c r="E1614" s="271"/>
      <c r="F1614" s="246" t="s">
        <v>3113</v>
      </c>
    </row>
    <row r="1615" spans="1:6" x14ac:dyDescent="0.25">
      <c r="A1615" s="169">
        <v>574</v>
      </c>
      <c r="C1615" s="96" t="s">
        <v>3314</v>
      </c>
      <c r="D1615" s="269" t="str">
        <f>VLOOKUP(C1615,lookup!$B$2:$F$1240,2)</f>
        <v>Cu Yd</v>
      </c>
      <c r="E1615" s="271">
        <f>VLOOKUP(C1615,lookup!$B$2:$F$1240,5)</f>
        <v>30</v>
      </c>
    </row>
    <row r="1616" spans="1:6" x14ac:dyDescent="0.25">
      <c r="A1616" s="169">
        <v>574</v>
      </c>
      <c r="C1616" s="106" t="s">
        <v>3332</v>
      </c>
      <c r="D1616" s="269" t="str">
        <f>VLOOKUP(C1616,lookup!$B$2:$F$1240,2)</f>
        <v>ft</v>
      </c>
      <c r="E1616" s="271">
        <f>VLOOKUP(C1616,lookup!$B$2:$F$1240,5)</f>
        <v>0.5</v>
      </c>
    </row>
    <row r="1617" spans="1:6" x14ac:dyDescent="0.25">
      <c r="A1617" s="169">
        <v>574</v>
      </c>
      <c r="C1617" s="106" t="s">
        <v>3333</v>
      </c>
      <c r="D1617" s="269" t="str">
        <f>VLOOKUP(C1617,lookup!$B$2:$F$1240,2)</f>
        <v>each</v>
      </c>
      <c r="E1617" s="271">
        <f>VLOOKUP(C1617,lookup!$B$2:$F$1240,5)</f>
        <v>200</v>
      </c>
    </row>
    <row r="1618" spans="1:6" x14ac:dyDescent="0.25">
      <c r="A1618" s="169">
        <v>574</v>
      </c>
      <c r="C1618" s="195" t="s">
        <v>3334</v>
      </c>
      <c r="D1618" s="269" t="str">
        <f>VLOOKUP(C1618,lookup!$B$2:$F$1240,2)</f>
        <v>sq yd</v>
      </c>
      <c r="E1618" s="271">
        <f>VLOOKUP(C1618,lookup!$B$2:$F$1240,5)</f>
        <v>4</v>
      </c>
    </row>
    <row r="1619" spans="1:6" x14ac:dyDescent="0.25">
      <c r="A1619" s="169">
        <v>574</v>
      </c>
      <c r="C1619" s="205" t="s">
        <v>2939</v>
      </c>
      <c r="D1619" s="269" t="str">
        <f>VLOOKUP(C1619,lookup!$B$2:$F$1240,2)</f>
        <v>ft</v>
      </c>
      <c r="E1619" s="271">
        <f>VLOOKUP(C1619,lookup!$B$2:$F$1240,5)</f>
        <v>2</v>
      </c>
    </row>
    <row r="1620" spans="1:6" x14ac:dyDescent="0.25">
      <c r="A1620" s="169">
        <v>574</v>
      </c>
      <c r="C1620" s="275" t="s">
        <v>3336</v>
      </c>
      <c r="D1620" s="269" t="str">
        <f>VLOOKUP(C1620,lookup!$B$2:$F$1240,2)</f>
        <v>hr</v>
      </c>
      <c r="E1620" s="271">
        <f>VLOOKUP(C1620,lookup!$B$2:$F$1240,5)</f>
        <v>80</v>
      </c>
    </row>
    <row r="1621" spans="1:6" ht="21" x14ac:dyDescent="0.25">
      <c r="A1621" s="169">
        <v>574</v>
      </c>
      <c r="C1621" s="258" t="s">
        <v>3242</v>
      </c>
      <c r="D1621" s="269" t="str">
        <f>VLOOKUP(C1621,lookup!$B$2:$F$1240,2)</f>
        <v>each</v>
      </c>
      <c r="E1621" s="271">
        <f>VLOOKUP(C1621,lookup!$B$2:$F$1240,5)</f>
        <v>227</v>
      </c>
    </row>
    <row r="1622" spans="1:6" ht="21" x14ac:dyDescent="0.25">
      <c r="A1622" s="169">
        <v>574</v>
      </c>
      <c r="C1622" s="258" t="s">
        <v>3251</v>
      </c>
      <c r="D1622" s="269" t="str">
        <f>VLOOKUP(C1622,lookup!$B$2:$F$1240,2)</f>
        <v>Ea.</v>
      </c>
      <c r="E1622" s="271">
        <f>VLOOKUP(C1622,lookup!$B$2:$F$1240,5)</f>
        <v>159</v>
      </c>
    </row>
    <row r="1623" spans="1:6" x14ac:dyDescent="0.25">
      <c r="A1623" s="169">
        <v>574</v>
      </c>
      <c r="C1623" s="106" t="s">
        <v>3147</v>
      </c>
      <c r="D1623" s="269" t="str">
        <f>VLOOKUP(C1623,lookup!$B$2:$F$1240,2)</f>
        <v>hr</v>
      </c>
      <c r="E1623" s="271">
        <f>VLOOKUP(C1623,lookup!$B$2:$F$1240,5)</f>
        <v>100</v>
      </c>
    </row>
    <row r="1624" spans="1:6" x14ac:dyDescent="0.25">
      <c r="A1624" s="169">
        <v>575</v>
      </c>
      <c r="B1624" s="173" t="s">
        <v>504</v>
      </c>
      <c r="C1624" s="116"/>
      <c r="D1624" s="269"/>
      <c r="E1624" s="271"/>
      <c r="F1624" s="246" t="s">
        <v>3113</v>
      </c>
    </row>
    <row r="1625" spans="1:6" x14ac:dyDescent="0.25">
      <c r="A1625" s="169">
        <v>575</v>
      </c>
      <c r="B1625" s="179"/>
      <c r="C1625" s="113" t="s">
        <v>3290</v>
      </c>
      <c r="D1625" s="269" t="str">
        <f>VLOOKUP(C1625,lookup!$B$2:$F$1240,2)</f>
        <v>hr</v>
      </c>
      <c r="E1625" s="271">
        <f>VLOOKUP(C1625,lookup!$B$2:$F$1240,5)</f>
        <v>35</v>
      </c>
    </row>
    <row r="1626" spans="1:6" ht="26.4" x14ac:dyDescent="0.25">
      <c r="A1626" s="169">
        <v>575</v>
      </c>
      <c r="B1626" s="179"/>
      <c r="C1626" s="256" t="s">
        <v>3315</v>
      </c>
      <c r="D1626" s="269" t="str">
        <f>VLOOKUP(C1626,lookup!$B$2:$F$1240,2)</f>
        <v>hr</v>
      </c>
      <c r="E1626" s="271">
        <f>VLOOKUP(C1626,lookup!$B$2:$F$1240,5)</f>
        <v>100</v>
      </c>
    </row>
    <row r="1627" spans="1:6" ht="22.8" x14ac:dyDescent="0.25">
      <c r="A1627" s="169">
        <v>575</v>
      </c>
      <c r="B1627" s="179"/>
      <c r="C1627" s="106" t="s">
        <v>3309</v>
      </c>
      <c r="D1627" s="269" t="str">
        <f>VLOOKUP(C1627,lookup!$B$2:$F$1240,2)</f>
        <v>acre</v>
      </c>
      <c r="E1627" s="271">
        <f>VLOOKUP(C1627,lookup!$B$2:$F$1240,5)</f>
        <v>800</v>
      </c>
    </row>
    <row r="1628" spans="1:6" ht="21" x14ac:dyDescent="0.25">
      <c r="A1628" s="169">
        <v>575</v>
      </c>
      <c r="B1628" s="179"/>
      <c r="C1628" s="258" t="s">
        <v>3242</v>
      </c>
      <c r="D1628" s="269" t="str">
        <f>VLOOKUP(C1628,lookup!$B$2:$F$1240,2)</f>
        <v>each</v>
      </c>
      <c r="E1628" s="271">
        <f>VLOOKUP(C1628,lookup!$B$2:$F$1240,5)</f>
        <v>227</v>
      </c>
    </row>
    <row r="1629" spans="1:6" ht="21" x14ac:dyDescent="0.25">
      <c r="A1629" s="169">
        <v>575</v>
      </c>
      <c r="B1629" s="179"/>
      <c r="C1629" s="258" t="s">
        <v>3245</v>
      </c>
      <c r="D1629" s="269" t="str">
        <f>VLOOKUP(C1629,lookup!$B$2:$F$1240,2)</f>
        <v>each</v>
      </c>
      <c r="E1629" s="271">
        <f>VLOOKUP(C1629,lookup!$B$2:$F$1240,5)</f>
        <v>420</v>
      </c>
    </row>
    <row r="1630" spans="1:6" ht="21" x14ac:dyDescent="0.25">
      <c r="A1630" s="169">
        <v>575</v>
      </c>
      <c r="B1630" s="179"/>
      <c r="C1630" s="258" t="s">
        <v>3251</v>
      </c>
      <c r="D1630" s="269" t="str">
        <f>VLOOKUP(C1630,lookup!$B$2:$F$1240,2)</f>
        <v>Ea.</v>
      </c>
      <c r="E1630" s="271">
        <f>VLOOKUP(C1630,lookup!$B$2:$F$1240,5)</f>
        <v>159</v>
      </c>
    </row>
    <row r="1631" spans="1:6" x14ac:dyDescent="0.25">
      <c r="A1631" s="169">
        <v>575</v>
      </c>
      <c r="B1631" s="179"/>
      <c r="C1631" s="258" t="s">
        <v>3250</v>
      </c>
      <c r="D1631" s="269" t="str">
        <f>VLOOKUP(C1631,lookup!$B$2:$F$1240,2)</f>
        <v>each</v>
      </c>
      <c r="E1631" s="271">
        <f>VLOOKUP(C1631,lookup!$B$2:$F$1240,5)</f>
        <v>420</v>
      </c>
    </row>
    <row r="1632" spans="1:6" ht="21" x14ac:dyDescent="0.25">
      <c r="A1632" s="169">
        <v>575</v>
      </c>
      <c r="B1632" s="179"/>
      <c r="C1632" s="258" t="s">
        <v>3252</v>
      </c>
      <c r="D1632" s="269" t="str">
        <f>VLOOKUP(C1632,lookup!$B$2:$F$1240,2)</f>
        <v>Ea.</v>
      </c>
      <c r="E1632" s="271">
        <f>VLOOKUP(C1632,lookup!$B$2:$F$1240,5)</f>
        <v>65</v>
      </c>
    </row>
    <row r="1633" spans="1:6" x14ac:dyDescent="0.25">
      <c r="A1633" s="169">
        <v>575</v>
      </c>
      <c r="B1633" s="179"/>
      <c r="C1633" s="79" t="s">
        <v>1124</v>
      </c>
      <c r="D1633" s="269" t="str">
        <f>VLOOKUP(C1633,lookup!$B$2:$F$1240,2)</f>
        <v>Sq Ft</v>
      </c>
      <c r="E1633" s="271">
        <f>VLOOKUP(C1633,lookup!$B$2:$F$1240,5)</f>
        <v>6</v>
      </c>
    </row>
    <row r="1634" spans="1:6" x14ac:dyDescent="0.25">
      <c r="A1634" s="169">
        <v>575</v>
      </c>
      <c r="B1634" s="179"/>
      <c r="C1634" s="205" t="s">
        <v>3291</v>
      </c>
      <c r="D1634" s="269" t="str">
        <f>VLOOKUP(C1634,lookup!$B$2:$F$1240,2)</f>
        <v>ton</v>
      </c>
      <c r="E1634" s="271">
        <f>VLOOKUP(C1634,lookup!$B$2:$F$1240,5)</f>
        <v>20</v>
      </c>
    </row>
    <row r="1635" spans="1:6" x14ac:dyDescent="0.25">
      <c r="A1635" s="169">
        <v>575</v>
      </c>
      <c r="B1635" s="179"/>
      <c r="C1635" s="264" t="s">
        <v>3294</v>
      </c>
      <c r="D1635" s="269" t="str">
        <f>VLOOKUP(C1635,lookup!$B$2:$F$1240,2)</f>
        <v>SY</v>
      </c>
      <c r="E1635" s="271">
        <f>VLOOKUP(C1635,lookup!$B$2:$F$1240,5)</f>
        <v>2.5</v>
      </c>
    </row>
    <row r="1636" spans="1:6" x14ac:dyDescent="0.25">
      <c r="A1636" s="169">
        <v>578</v>
      </c>
      <c r="B1636" s="172" t="s">
        <v>2041</v>
      </c>
      <c r="D1636" s="269"/>
      <c r="E1636" s="271"/>
      <c r="F1636" t="s">
        <v>3113</v>
      </c>
    </row>
    <row r="1637" spans="1:6" ht="22.8" x14ac:dyDescent="0.25">
      <c r="A1637" s="169">
        <v>578</v>
      </c>
      <c r="C1637" s="113" t="s">
        <v>979</v>
      </c>
      <c r="D1637" s="269">
        <f>VLOOKUP(C1637,lookup!$B$2:$F$1240,2)</f>
        <v>0</v>
      </c>
      <c r="E1637" s="271">
        <f>VLOOKUP(C1637,lookup!$B$2:$F$1240,5)</f>
        <v>0</v>
      </c>
    </row>
    <row r="1638" spans="1:6" x14ac:dyDescent="0.25">
      <c r="A1638" s="169">
        <v>578</v>
      </c>
      <c r="C1638" s="125" t="s">
        <v>2832</v>
      </c>
      <c r="D1638" s="269">
        <f>VLOOKUP(C1638,lookup!$B$2:$F$1240,2)</f>
        <v>0</v>
      </c>
      <c r="E1638" s="271">
        <f>VLOOKUP(C1638,lookup!$B$2:$F$1240,5)</f>
        <v>0</v>
      </c>
    </row>
    <row r="1639" spans="1:6" x14ac:dyDescent="0.25">
      <c r="A1639" s="169">
        <v>578</v>
      </c>
      <c r="C1639" s="79" t="s">
        <v>737</v>
      </c>
      <c r="D1639" s="269" t="str">
        <f>VLOOKUP(C1639,lookup!$B$2:$F$1240,2)</f>
        <v>Cu Yd</v>
      </c>
      <c r="E1639" s="271">
        <f>VLOOKUP(C1639,lookup!$B$2:$F$1240,5)</f>
        <v>192</v>
      </c>
    </row>
    <row r="1640" spans="1:6" x14ac:dyDescent="0.25">
      <c r="A1640" s="169">
        <v>578</v>
      </c>
      <c r="C1640" s="106" t="s">
        <v>3051</v>
      </c>
      <c r="D1640" s="269" t="str">
        <f>VLOOKUP(C1640,lookup!$B$2:$F$1240,2)</f>
        <v>cu yd</v>
      </c>
      <c r="E1640" s="271">
        <f>VLOOKUP(C1640,lookup!$B$2:$F$1240,5)</f>
        <v>3.5</v>
      </c>
    </row>
    <row r="1641" spans="1:6" x14ac:dyDescent="0.25">
      <c r="A1641" s="169">
        <v>578</v>
      </c>
      <c r="C1641" s="106" t="s">
        <v>3194</v>
      </c>
      <c r="D1641" s="269" t="str">
        <f>VLOOKUP(C1641,lookup!$B$2:$F$1240,2)</f>
        <v>hr</v>
      </c>
      <c r="E1641" s="271">
        <f>VLOOKUP(C1641,lookup!$B$2:$F$1240,5)</f>
        <v>100</v>
      </c>
    </row>
    <row r="1642" spans="1:6" x14ac:dyDescent="0.25">
      <c r="A1642" s="169">
        <v>578</v>
      </c>
      <c r="C1642" s="113" t="s">
        <v>3290</v>
      </c>
      <c r="D1642" s="269" t="str">
        <f>VLOOKUP(C1642,lookup!$B$2:$F$1240,2)</f>
        <v>hr</v>
      </c>
      <c r="E1642" s="271">
        <f>VLOOKUP(C1642,lookup!$B$2:$F$1240,5)</f>
        <v>35</v>
      </c>
    </row>
    <row r="1643" spans="1:6" x14ac:dyDescent="0.25">
      <c r="A1643" s="169">
        <v>578</v>
      </c>
      <c r="C1643" s="264" t="s">
        <v>3329</v>
      </c>
      <c r="D1643" s="269" t="str">
        <f>VLOOKUP(C1643,lookup!$B$2:$F$1240,2)</f>
        <v>ft</v>
      </c>
      <c r="E1643" s="271">
        <f>VLOOKUP(C1643,lookup!$B$2:$F$1240,5)</f>
        <v>2.5</v>
      </c>
    </row>
    <row r="1644" spans="1:6" x14ac:dyDescent="0.25">
      <c r="A1644" s="169">
        <v>578</v>
      </c>
      <c r="C1644" s="79" t="s">
        <v>1124</v>
      </c>
      <c r="D1644" s="269" t="str">
        <f>VLOOKUP(C1644,lookup!$B$2:$F$1240,2)</f>
        <v>Sq Ft</v>
      </c>
      <c r="E1644" s="271">
        <f>VLOOKUP(C1644,lookup!$B$2:$F$1240,5)</f>
        <v>6</v>
      </c>
    </row>
    <row r="1645" spans="1:6" x14ac:dyDescent="0.25">
      <c r="A1645" s="169">
        <v>578</v>
      </c>
      <c r="C1645" s="205" t="s">
        <v>3291</v>
      </c>
      <c r="D1645" s="269" t="str">
        <f>VLOOKUP(C1645,lookup!$B$2:$F$1240,2)</f>
        <v>ton</v>
      </c>
      <c r="E1645" s="271">
        <f>VLOOKUP(C1645,lookup!$B$2:$F$1240,5)</f>
        <v>20</v>
      </c>
    </row>
    <row r="1646" spans="1:6" x14ac:dyDescent="0.25">
      <c r="A1646" s="169">
        <v>578</v>
      </c>
      <c r="C1646" s="106" t="s">
        <v>2712</v>
      </c>
      <c r="D1646" s="269" t="str">
        <f>VLOOKUP(C1646,lookup!$B$2:$F$1240,2)</f>
        <v>Cu Yd</v>
      </c>
      <c r="E1646" s="271">
        <f>VLOOKUP(C1646,lookup!$B$2:$F$1240,5)</f>
        <v>3.5</v>
      </c>
    </row>
    <row r="1647" spans="1:6" x14ac:dyDescent="0.25">
      <c r="A1647" s="169">
        <v>578</v>
      </c>
      <c r="C1647" s="264" t="s">
        <v>3294</v>
      </c>
      <c r="D1647" s="269" t="str">
        <f>VLOOKUP(C1647,lookup!$B$2:$F$1240,2)</f>
        <v>SY</v>
      </c>
      <c r="E1647" s="271">
        <f>VLOOKUP(C1647,lookup!$B$2:$F$1240,5)</f>
        <v>2.5</v>
      </c>
    </row>
    <row r="1648" spans="1:6" ht="22.8" x14ac:dyDescent="0.25">
      <c r="A1648" s="169">
        <v>578</v>
      </c>
      <c r="C1648" s="106" t="s">
        <v>3309</v>
      </c>
      <c r="D1648" s="269" t="str">
        <f>VLOOKUP(C1648,lookup!$B$2:$F$1240,2)</f>
        <v>acre</v>
      </c>
      <c r="E1648" s="271">
        <f>VLOOKUP(C1648,lookup!$B$2:$F$1240,5)</f>
        <v>800</v>
      </c>
    </row>
    <row r="1649" spans="1:6" x14ac:dyDescent="0.25">
      <c r="A1649" s="169">
        <v>578</v>
      </c>
      <c r="C1649" s="106" t="s">
        <v>3310</v>
      </c>
      <c r="D1649" s="269" t="str">
        <f>VLOOKUP(C1649,lookup!$B$2:$F$1240,2)</f>
        <v>1000sq ft</v>
      </c>
      <c r="E1649" s="271">
        <f>VLOOKUP(C1649,lookup!$B$2:$F$1240,5)</f>
        <v>23</v>
      </c>
    </row>
    <row r="1650" spans="1:6" ht="21" x14ac:dyDescent="0.25">
      <c r="A1650" s="169">
        <v>578</v>
      </c>
      <c r="C1650" s="258" t="s">
        <v>3242</v>
      </c>
      <c r="D1650" s="269" t="str">
        <f>VLOOKUP(C1650,lookup!$B$2:$F$1240,2)</f>
        <v>each</v>
      </c>
      <c r="E1650" s="271">
        <f>VLOOKUP(C1650,lookup!$B$2:$F$1240,5)</f>
        <v>227</v>
      </c>
    </row>
    <row r="1651" spans="1:6" ht="21" x14ac:dyDescent="0.25">
      <c r="A1651" s="169">
        <v>578</v>
      </c>
      <c r="C1651" s="258" t="s">
        <v>3245</v>
      </c>
      <c r="D1651" s="269" t="str">
        <f>VLOOKUP(C1651,lookup!$B$2:$F$1240,2)</f>
        <v>each</v>
      </c>
      <c r="E1651" s="271">
        <f>VLOOKUP(C1651,lookup!$B$2:$F$1240,5)</f>
        <v>420</v>
      </c>
    </row>
    <row r="1652" spans="1:6" ht="21" x14ac:dyDescent="0.25">
      <c r="A1652" s="169">
        <v>578</v>
      </c>
      <c r="C1652" s="258" t="s">
        <v>3251</v>
      </c>
      <c r="D1652" s="269" t="str">
        <f>VLOOKUP(C1652,lookup!$B$2:$F$1240,2)</f>
        <v>Ea.</v>
      </c>
      <c r="E1652" s="271">
        <f>VLOOKUP(C1652,lookup!$B$2:$F$1240,5)</f>
        <v>159</v>
      </c>
    </row>
    <row r="1653" spans="1:6" x14ac:dyDescent="0.25">
      <c r="A1653" s="169">
        <v>578</v>
      </c>
      <c r="C1653" s="258" t="s">
        <v>3250</v>
      </c>
      <c r="D1653" s="269" t="str">
        <f>VLOOKUP(C1653,lookup!$B$2:$F$1240,2)</f>
        <v>each</v>
      </c>
      <c r="E1653" s="271">
        <f>VLOOKUP(C1653,lookup!$B$2:$F$1240,5)</f>
        <v>420</v>
      </c>
    </row>
    <row r="1654" spans="1:6" x14ac:dyDescent="0.25">
      <c r="A1654" s="169">
        <v>578</v>
      </c>
      <c r="C1654" s="258" t="s">
        <v>3249</v>
      </c>
      <c r="D1654" s="269" t="str">
        <f>VLOOKUP(C1654,lookup!$B$2:$F$1240,2)</f>
        <v>each</v>
      </c>
      <c r="E1654" s="271">
        <f>VLOOKUP(C1654,lookup!$B$2:$F$1240,5)</f>
        <v>350</v>
      </c>
    </row>
    <row r="1655" spans="1:6" ht="21" x14ac:dyDescent="0.25">
      <c r="A1655" s="169">
        <v>578</v>
      </c>
      <c r="C1655" s="258" t="s">
        <v>3252</v>
      </c>
      <c r="D1655" s="269" t="str">
        <f>VLOOKUP(C1655,lookup!$B$2:$F$1240,2)</f>
        <v>Ea.</v>
      </c>
      <c r="E1655" s="271">
        <f>VLOOKUP(C1655,lookup!$B$2:$F$1240,5)</f>
        <v>65</v>
      </c>
    </row>
    <row r="1656" spans="1:6" ht="22.8" x14ac:dyDescent="0.25">
      <c r="A1656" s="169">
        <v>578</v>
      </c>
      <c r="C1656" s="79" t="s">
        <v>733</v>
      </c>
      <c r="D1656" s="269" t="str">
        <f>VLOOKUP(C1656,lookup!$B$2:$F$1240,2)</f>
        <v>Ac.</v>
      </c>
      <c r="E1656" s="271">
        <f>VLOOKUP(C1656,lookup!$B$2:$F$1240,5)</f>
        <v>1475</v>
      </c>
    </row>
    <row r="1657" spans="1:6" x14ac:dyDescent="0.25">
      <c r="A1657" s="169">
        <v>578</v>
      </c>
      <c r="C1657" s="106" t="s">
        <v>1008</v>
      </c>
      <c r="D1657" s="269" t="str">
        <f>VLOOKUP(C1657,lookup!$B$2:$F$1240,2)</f>
        <v>sq yd</v>
      </c>
      <c r="E1657" s="271">
        <f>VLOOKUP(C1657,lookup!$B$2:$F$1240,5)</f>
        <v>2</v>
      </c>
    </row>
    <row r="1658" spans="1:6" x14ac:dyDescent="0.25">
      <c r="A1658" s="169">
        <v>578</v>
      </c>
      <c r="C1658" s="106" t="s">
        <v>3312</v>
      </c>
      <c r="D1658" s="269" t="str">
        <f>VLOOKUP(C1658,lookup!$B$2:$F$1240,2)</f>
        <v>hr</v>
      </c>
      <c r="E1658" s="271">
        <f>VLOOKUP(C1658,lookup!$B$2:$F$1240,5)</f>
        <v>120</v>
      </c>
    </row>
    <row r="1659" spans="1:6" x14ac:dyDescent="0.25">
      <c r="A1659" s="169">
        <v>580</v>
      </c>
      <c r="B1659" s="172" t="s">
        <v>2044</v>
      </c>
      <c r="C1659" s="109"/>
      <c r="D1659" s="269"/>
      <c r="E1659" s="271"/>
      <c r="F1659" t="s">
        <v>3113</v>
      </c>
    </row>
    <row r="1660" spans="1:6" x14ac:dyDescent="0.25">
      <c r="A1660" s="169">
        <v>580</v>
      </c>
      <c r="C1660" s="96" t="s">
        <v>2773</v>
      </c>
      <c r="D1660" s="269">
        <f>VLOOKUP(C1660,lookup!$B$2:$F$1240,2)</f>
        <v>0</v>
      </c>
      <c r="E1660" s="271">
        <f>VLOOKUP(C1660,lookup!$B$2:$F$1240,5)</f>
        <v>0</v>
      </c>
    </row>
    <row r="1661" spans="1:6" x14ac:dyDescent="0.25">
      <c r="A1661" s="169">
        <v>580</v>
      </c>
      <c r="C1661" s="125" t="s">
        <v>2774</v>
      </c>
      <c r="D1661" s="269" t="str">
        <f>VLOOKUP(C1661,lookup!$B$2:$F$1240,2)</f>
        <v>sq ft</v>
      </c>
      <c r="E1661" s="271">
        <f>VLOOKUP(C1661,lookup!$B$2:$F$1240,5)</f>
        <v>0</v>
      </c>
    </row>
    <row r="1662" spans="1:6" x14ac:dyDescent="0.25">
      <c r="A1662" s="169">
        <v>580</v>
      </c>
      <c r="C1662" s="125" t="s">
        <v>654</v>
      </c>
      <c r="D1662" s="269">
        <f>VLOOKUP(C1662,lookup!$B$2:$F$1240,2)</f>
        <v>0</v>
      </c>
      <c r="E1662" s="271">
        <f>VLOOKUP(C1662,lookup!$B$2:$F$1240,5)</f>
        <v>0</v>
      </c>
    </row>
    <row r="1663" spans="1:6" x14ac:dyDescent="0.25">
      <c r="A1663" s="169">
        <v>580</v>
      </c>
      <c r="C1663" s="96" t="s">
        <v>655</v>
      </c>
      <c r="D1663" s="269">
        <f>VLOOKUP(C1663,lookup!$B$2:$F$1240,2)</f>
        <v>0</v>
      </c>
      <c r="E1663" s="271">
        <f>VLOOKUP(C1663,lookup!$B$2:$F$1240,5)</f>
        <v>0</v>
      </c>
    </row>
    <row r="1664" spans="1:6" x14ac:dyDescent="0.25">
      <c r="A1664" s="169">
        <v>580</v>
      </c>
      <c r="C1664" s="125" t="s">
        <v>656</v>
      </c>
      <c r="D1664" s="269">
        <f>VLOOKUP(C1664,lookup!$B$2:$F$1240,2)</f>
        <v>0</v>
      </c>
      <c r="E1664" s="271">
        <f>VLOOKUP(C1664,lookup!$B$2:$F$1240,5)</f>
        <v>0</v>
      </c>
    </row>
    <row r="1665" spans="1:5" x14ac:dyDescent="0.25">
      <c r="A1665" s="169">
        <v>580</v>
      </c>
      <c r="C1665" s="125" t="s">
        <v>657</v>
      </c>
      <c r="D1665" s="269" t="str">
        <f>VLOOKUP(C1665,lookup!$B$2:$F$1240,2)</f>
        <v>each</v>
      </c>
      <c r="E1665" s="271">
        <f>VLOOKUP(C1665,lookup!$B$2:$F$1240,5)</f>
        <v>0</v>
      </c>
    </row>
    <row r="1666" spans="1:5" x14ac:dyDescent="0.25">
      <c r="A1666" s="169">
        <v>580</v>
      </c>
      <c r="C1666" s="125" t="s">
        <v>2787</v>
      </c>
      <c r="D1666" s="269" t="str">
        <f>VLOOKUP(C1666,lookup!$B$2:$F$1240,2)</f>
        <v>each</v>
      </c>
      <c r="E1666" s="271">
        <f>VLOOKUP(C1666,lookup!$B$2:$F$1240,5)</f>
        <v>0</v>
      </c>
    </row>
    <row r="1667" spans="1:5" x14ac:dyDescent="0.25">
      <c r="A1667" s="169">
        <v>580</v>
      </c>
      <c r="C1667" s="125" t="s">
        <v>1723</v>
      </c>
      <c r="D1667" s="269" t="str">
        <f>VLOOKUP(C1667,lookup!$B$2:$F$1240,2)</f>
        <v>each</v>
      </c>
      <c r="E1667" s="271">
        <f>VLOOKUP(C1667,lookup!$B$2:$F$1240,5)</f>
        <v>0</v>
      </c>
    </row>
    <row r="1668" spans="1:5" x14ac:dyDescent="0.25">
      <c r="A1668" s="169">
        <v>580</v>
      </c>
      <c r="C1668" s="125" t="s">
        <v>2832</v>
      </c>
      <c r="D1668" s="269">
        <f>VLOOKUP(C1668,lookup!$B$2:$F$1240,2)</f>
        <v>0</v>
      </c>
      <c r="E1668" s="271">
        <f>VLOOKUP(C1668,lookup!$B$2:$F$1240,5)</f>
        <v>0</v>
      </c>
    </row>
    <row r="1669" spans="1:5" x14ac:dyDescent="0.25">
      <c r="A1669" s="169">
        <v>580</v>
      </c>
      <c r="C1669" s="17" t="s">
        <v>728</v>
      </c>
      <c r="D1669" s="269" t="str">
        <f>VLOOKUP(C1669,lookup!$B$2:$F$1240,2)</f>
        <v>each</v>
      </c>
      <c r="E1669" s="271">
        <f>VLOOKUP(C1669,lookup!$B$2:$F$1240,5)</f>
        <v>60</v>
      </c>
    </row>
    <row r="1670" spans="1:5" x14ac:dyDescent="0.25">
      <c r="A1670" s="169">
        <v>580</v>
      </c>
      <c r="C1670" s="17" t="s">
        <v>729</v>
      </c>
      <c r="D1670" s="269" t="str">
        <f>VLOOKUP(C1670,lookup!$B$2:$F$1240,2)</f>
        <v>each</v>
      </c>
      <c r="E1670" s="271">
        <f>VLOOKUP(C1670,lookup!$B$2:$F$1240,5)</f>
        <v>80</v>
      </c>
    </row>
    <row r="1671" spans="1:5" x14ac:dyDescent="0.25">
      <c r="A1671" s="169">
        <v>580</v>
      </c>
      <c r="C1671" s="106" t="s">
        <v>1376</v>
      </c>
      <c r="D1671" s="269" t="str">
        <f>VLOOKUP(C1671,lookup!$B$2:$F$1240,2)</f>
        <v>cu yd</v>
      </c>
      <c r="E1671" s="271">
        <f>VLOOKUP(C1671,lookup!$B$2:$F$1240,5)</f>
        <v>3.5</v>
      </c>
    </row>
    <row r="1672" spans="1:5" x14ac:dyDescent="0.25">
      <c r="A1672" s="169">
        <v>580</v>
      </c>
      <c r="C1672" s="106" t="s">
        <v>1110</v>
      </c>
      <c r="D1672" s="269" t="str">
        <f>VLOOKUP(C1672,lookup!$B$2:$F$1240,2)</f>
        <v>Cu Yd</v>
      </c>
      <c r="E1672" s="271">
        <f>VLOOKUP(C1672,lookup!$B$2:$F$1240,5)</f>
        <v>0</v>
      </c>
    </row>
    <row r="1673" spans="1:5" x14ac:dyDescent="0.25">
      <c r="A1673" s="169">
        <v>580</v>
      </c>
      <c r="C1673" s="17" t="s">
        <v>953</v>
      </c>
      <c r="D1673" s="269" t="str">
        <f>VLOOKUP(C1673,lookup!$B$2:$F$1240,2)</f>
        <v>sq yd</v>
      </c>
      <c r="E1673" s="271">
        <f>VLOOKUP(C1673,lookup!$B$2:$F$1240,5)</f>
        <v>2</v>
      </c>
    </row>
    <row r="1674" spans="1:5" x14ac:dyDescent="0.25">
      <c r="A1674" s="169">
        <v>580</v>
      </c>
      <c r="C1674" s="17" t="s">
        <v>954</v>
      </c>
      <c r="D1674" s="269" t="str">
        <f>VLOOKUP(C1674,lookup!$B$2:$F$1240,2)</f>
        <v>sq yd</v>
      </c>
      <c r="E1674" s="271">
        <f>VLOOKUP(C1674,lookup!$B$2:$F$1240,5)</f>
        <v>2</v>
      </c>
    </row>
    <row r="1675" spans="1:5" ht="26.4" x14ac:dyDescent="0.25">
      <c r="A1675" s="169">
        <v>580</v>
      </c>
      <c r="C1675" s="17" t="s">
        <v>196</v>
      </c>
      <c r="D1675" s="269" t="str">
        <f>VLOOKUP(C1675,lookup!$B$2:$F$1240,2)</f>
        <v>sq yd</v>
      </c>
      <c r="E1675" s="271">
        <f>VLOOKUP(C1675,lookup!$B$2:$F$1240,5)</f>
        <v>2</v>
      </c>
    </row>
    <row r="1676" spans="1:5" ht="26.4" x14ac:dyDescent="0.25">
      <c r="A1676" s="169">
        <v>580</v>
      </c>
      <c r="C1676" s="17" t="s">
        <v>198</v>
      </c>
      <c r="D1676" s="269" t="str">
        <f>VLOOKUP(C1676,lookup!$B$2:$F$1240,2)</f>
        <v>sq yd</v>
      </c>
      <c r="E1676" s="271">
        <f>VLOOKUP(C1676,lookup!$B$2:$F$1240,5)</f>
        <v>2</v>
      </c>
    </row>
    <row r="1677" spans="1:5" ht="26.4" x14ac:dyDescent="0.25">
      <c r="A1677" s="169">
        <v>580</v>
      </c>
      <c r="C1677" s="17" t="s">
        <v>197</v>
      </c>
      <c r="D1677" s="269" t="str">
        <f>VLOOKUP(C1677,lookup!$B$2:$F$1240,2)</f>
        <v>sq yd</v>
      </c>
      <c r="E1677" s="271">
        <f>VLOOKUP(C1677,lookup!$B$2:$F$1240,5)</f>
        <v>2</v>
      </c>
    </row>
    <row r="1678" spans="1:5" x14ac:dyDescent="0.25">
      <c r="A1678" s="169">
        <v>580</v>
      </c>
      <c r="C1678" s="17" t="s">
        <v>955</v>
      </c>
      <c r="D1678" s="269" t="str">
        <f>VLOOKUP(C1678,lookup!$B$2:$F$1240,2)</f>
        <v>sq yd</v>
      </c>
      <c r="E1678" s="271">
        <f>VLOOKUP(C1678,lookup!$B$2:$F$1240,5)</f>
        <v>2</v>
      </c>
    </row>
    <row r="1679" spans="1:5" ht="26.4" x14ac:dyDescent="0.25">
      <c r="A1679" s="169">
        <v>580</v>
      </c>
      <c r="C1679" s="143" t="s">
        <v>951</v>
      </c>
      <c r="D1679" s="269" t="str">
        <f>VLOOKUP(C1679,lookup!$B$2:$F$1240,2)</f>
        <v>sq yd</v>
      </c>
      <c r="E1679" s="271">
        <f>VLOOKUP(C1679,lookup!$B$2:$F$1240,5)</f>
        <v>2</v>
      </c>
    </row>
    <row r="1680" spans="1:5" ht="26.4" x14ac:dyDescent="0.25">
      <c r="A1680" s="169">
        <v>580</v>
      </c>
      <c r="C1680" s="143" t="s">
        <v>952</v>
      </c>
      <c r="D1680" s="269" t="str">
        <f>VLOOKUP(C1680,lookup!$B$2:$F$1240,2)</f>
        <v>sq yd</v>
      </c>
      <c r="E1680" s="271">
        <f>VLOOKUP(C1680,lookup!$B$2:$F$1240,5)</f>
        <v>2</v>
      </c>
    </row>
    <row r="1681" spans="1:5" x14ac:dyDescent="0.25">
      <c r="A1681" s="169">
        <v>580</v>
      </c>
      <c r="C1681" s="157" t="s">
        <v>1006</v>
      </c>
      <c r="D1681" s="269" t="str">
        <f>VLOOKUP(C1681,lookup!$B$2:$F$1240,2)</f>
        <v>sq yd</v>
      </c>
      <c r="E1681" s="271">
        <f>VLOOKUP(C1681,lookup!$B$2:$F$1240,5)</f>
        <v>2</v>
      </c>
    </row>
    <row r="1682" spans="1:5" x14ac:dyDescent="0.25">
      <c r="A1682" s="169">
        <v>580</v>
      </c>
      <c r="C1682" s="106" t="s">
        <v>1008</v>
      </c>
      <c r="D1682" s="269" t="str">
        <f>VLOOKUP(C1682,lookup!$B$2:$F$1240,2)</f>
        <v>sq yd</v>
      </c>
      <c r="E1682" s="271">
        <f>VLOOKUP(C1682,lookup!$B$2:$F$1240,5)</f>
        <v>2</v>
      </c>
    </row>
    <row r="1683" spans="1:5" x14ac:dyDescent="0.25">
      <c r="A1683" s="169">
        <v>580</v>
      </c>
      <c r="C1683" s="184" t="s">
        <v>1757</v>
      </c>
      <c r="D1683" s="269" t="str">
        <f>VLOOKUP(C1683,lookup!$B$2:$F$1240,2)</f>
        <v>B.C.Y.</v>
      </c>
      <c r="E1683" s="271">
        <f>VLOOKUP(C1683,lookup!$B$2:$F$1240,5)</f>
        <v>3</v>
      </c>
    </row>
    <row r="1684" spans="1:5" x14ac:dyDescent="0.25">
      <c r="A1684" s="169">
        <v>580</v>
      </c>
      <c r="C1684" s="106" t="s">
        <v>3051</v>
      </c>
      <c r="D1684" s="269" t="str">
        <f>VLOOKUP(C1684,lookup!$B$2:$F$1240,2)</f>
        <v>cu yd</v>
      </c>
      <c r="E1684" s="271">
        <f>VLOOKUP(C1684,lookup!$B$2:$F$1240,5)</f>
        <v>3.5</v>
      </c>
    </row>
    <row r="1685" spans="1:5" x14ac:dyDescent="0.25">
      <c r="A1685" s="169">
        <v>580</v>
      </c>
      <c r="C1685" s="184" t="s">
        <v>1757</v>
      </c>
      <c r="D1685" s="269" t="str">
        <f>VLOOKUP(C1685,lookup!$B$2:$F$1240,2)</f>
        <v>B.C.Y.</v>
      </c>
      <c r="E1685" s="271">
        <f>VLOOKUP(C1685,lookup!$B$2:$F$1240,5)</f>
        <v>3</v>
      </c>
    </row>
    <row r="1686" spans="1:5" x14ac:dyDescent="0.25">
      <c r="A1686" s="169">
        <v>580</v>
      </c>
      <c r="C1686" s="106" t="s">
        <v>2751</v>
      </c>
      <c r="D1686" s="269">
        <f>VLOOKUP(C1686,lookup!$B$2:$F$1240,2)</f>
        <v>0</v>
      </c>
      <c r="E1686" s="271">
        <f>VLOOKUP(C1686,lookup!$B$2:$F$1240,5)</f>
        <v>0</v>
      </c>
    </row>
    <row r="1687" spans="1:5" x14ac:dyDescent="0.25">
      <c r="A1687" s="169">
        <v>580</v>
      </c>
      <c r="C1687" s="106" t="s">
        <v>2432</v>
      </c>
      <c r="D1687" s="269">
        <f>VLOOKUP(C1687,lookup!$B$2:$F$1240,2)</f>
        <v>0</v>
      </c>
      <c r="E1687" s="271">
        <f>VLOOKUP(C1687,lookup!$B$2:$F$1240,5)</f>
        <v>0</v>
      </c>
    </row>
    <row r="1688" spans="1:5" x14ac:dyDescent="0.25">
      <c r="A1688" s="169">
        <v>580</v>
      </c>
      <c r="C1688" s="106" t="s">
        <v>2557</v>
      </c>
      <c r="D1688" s="269">
        <f>VLOOKUP(C1688,lookup!$B$2:$F$1240,2)</f>
        <v>0</v>
      </c>
      <c r="E1688" s="271">
        <f>VLOOKUP(C1688,lookup!$B$2:$F$1240,5)</f>
        <v>0</v>
      </c>
    </row>
    <row r="1689" spans="1:5" x14ac:dyDescent="0.25">
      <c r="A1689" s="169">
        <v>580</v>
      </c>
      <c r="C1689" s="264" t="s">
        <v>3294</v>
      </c>
      <c r="D1689" s="269" t="str">
        <f>VLOOKUP(C1689,lookup!$B$2:$F$1240,2)</f>
        <v>SY</v>
      </c>
      <c r="E1689" s="271">
        <f>VLOOKUP(C1689,lookup!$B$2:$F$1240,5)</f>
        <v>2.5</v>
      </c>
    </row>
    <row r="1690" spans="1:5" x14ac:dyDescent="0.25">
      <c r="A1690" s="169">
        <v>580</v>
      </c>
      <c r="C1690" s="106" t="s">
        <v>2155</v>
      </c>
      <c r="D1690" s="269" t="str">
        <f>VLOOKUP(C1690,lookup!$B$2:$F$1240,2)</f>
        <v>Sq Yd</v>
      </c>
      <c r="E1690" s="271">
        <f>VLOOKUP(C1690,lookup!$B$2:$F$1240,5)</f>
        <v>2.5</v>
      </c>
    </row>
    <row r="1691" spans="1:5" ht="26.4" x14ac:dyDescent="0.25">
      <c r="A1691" s="169">
        <v>580</v>
      </c>
      <c r="C1691" s="256" t="s">
        <v>3299</v>
      </c>
      <c r="D1691" s="269" t="str">
        <f>VLOOKUP(C1691,lookup!$B$2:$F$1240,2)</f>
        <v>hr</v>
      </c>
      <c r="E1691" s="271">
        <f>VLOOKUP(C1691,lookup!$B$2:$F$1240,5)</f>
        <v>100</v>
      </c>
    </row>
    <row r="1692" spans="1:5" x14ac:dyDescent="0.25">
      <c r="A1692" s="169">
        <v>580</v>
      </c>
      <c r="C1692" s="79" t="s">
        <v>1124</v>
      </c>
      <c r="D1692" s="269" t="str">
        <f>VLOOKUP(C1692,lookup!$B$2:$F$1240,2)</f>
        <v>Sq Ft</v>
      </c>
      <c r="E1692" s="271">
        <f>VLOOKUP(C1692,lookup!$B$2:$F$1240,5)</f>
        <v>6</v>
      </c>
    </row>
    <row r="1693" spans="1:5" x14ac:dyDescent="0.25">
      <c r="A1693" s="169">
        <v>580</v>
      </c>
      <c r="C1693" s="205" t="s">
        <v>3291</v>
      </c>
      <c r="D1693" s="269" t="str">
        <f>VLOOKUP(C1693,lookup!$B$2:$F$1240,2)</f>
        <v>ton</v>
      </c>
      <c r="E1693" s="271">
        <f>VLOOKUP(C1693,lookup!$B$2:$F$1240,5)</f>
        <v>20</v>
      </c>
    </row>
    <row r="1694" spans="1:5" x14ac:dyDescent="0.25">
      <c r="A1694" s="169">
        <v>580</v>
      </c>
      <c r="C1694" s="205" t="s">
        <v>3298</v>
      </c>
      <c r="D1694" s="269" t="str">
        <f>VLOOKUP(C1694,lookup!$B$2:$F$1240,2)</f>
        <v>ton</v>
      </c>
      <c r="E1694" s="271">
        <f>VLOOKUP(C1694,lookup!$B$2:$F$1240,5)</f>
        <v>20</v>
      </c>
    </row>
    <row r="1695" spans="1:5" x14ac:dyDescent="0.25">
      <c r="A1695" s="169">
        <v>580</v>
      </c>
      <c r="C1695" s="106" t="s">
        <v>2756</v>
      </c>
      <c r="D1695" s="269" t="str">
        <f>VLOOKUP(C1695,lookup!$B$2:$F$1240,2)</f>
        <v>hr</v>
      </c>
      <c r="E1695" s="271">
        <f>VLOOKUP(C1695,lookup!$B$2:$F$1240,5)</f>
        <v>100</v>
      </c>
    </row>
    <row r="1696" spans="1:5" x14ac:dyDescent="0.25">
      <c r="A1696" s="169">
        <v>580</v>
      </c>
      <c r="C1696" s="106" t="s">
        <v>3302</v>
      </c>
      <c r="D1696" s="269" t="str">
        <f>VLOOKUP(C1696,lookup!$B$2:$F$1240,2)</f>
        <v>ton</v>
      </c>
      <c r="E1696" s="271">
        <f>VLOOKUP(C1696,lookup!$B$2:$F$1240,5)</f>
        <v>40</v>
      </c>
    </row>
    <row r="1697" spans="1:5" x14ac:dyDescent="0.25">
      <c r="A1697" s="169">
        <v>580</v>
      </c>
      <c r="C1697" s="263" t="s">
        <v>3307</v>
      </c>
      <c r="D1697" s="269" t="str">
        <f>VLOOKUP(C1697,lookup!$B$2:$F$1240,2)</f>
        <v>Cu Yd</v>
      </c>
      <c r="E1697" s="271">
        <f>VLOOKUP(C1697,lookup!$B$2:$F$1240,5)</f>
        <v>60</v>
      </c>
    </row>
    <row r="1698" spans="1:5" x14ac:dyDescent="0.25">
      <c r="A1698" s="169">
        <v>580</v>
      </c>
      <c r="C1698" s="106" t="s">
        <v>3147</v>
      </c>
      <c r="D1698" s="269" t="str">
        <f>VLOOKUP(C1698,lookup!$B$2:$F$1240,2)</f>
        <v>hr</v>
      </c>
      <c r="E1698" s="271">
        <f>VLOOKUP(C1698,lookup!$B$2:$F$1240,5)</f>
        <v>100</v>
      </c>
    </row>
    <row r="1699" spans="1:5" x14ac:dyDescent="0.25">
      <c r="A1699" s="169">
        <v>580</v>
      </c>
      <c r="C1699" s="106" t="s">
        <v>2712</v>
      </c>
      <c r="D1699" s="269" t="str">
        <f>VLOOKUP(C1699,lookup!$B$2:$F$1240,2)</f>
        <v>Cu Yd</v>
      </c>
      <c r="E1699" s="271">
        <f>VLOOKUP(C1699,lookup!$B$2:$F$1240,5)</f>
        <v>3.5</v>
      </c>
    </row>
    <row r="1700" spans="1:5" ht="22.8" x14ac:dyDescent="0.25">
      <c r="A1700" s="169">
        <v>580</v>
      </c>
      <c r="C1700" s="106" t="s">
        <v>3309</v>
      </c>
      <c r="D1700" s="269" t="str">
        <f>VLOOKUP(C1700,lookup!$B$2:$F$1240,2)</f>
        <v>acre</v>
      </c>
      <c r="E1700" s="271">
        <f>VLOOKUP(C1700,lookup!$B$2:$F$1240,5)</f>
        <v>800</v>
      </c>
    </row>
    <row r="1701" spans="1:5" x14ac:dyDescent="0.25">
      <c r="A1701" s="169">
        <v>580</v>
      </c>
      <c r="C1701" s="106" t="s">
        <v>3310</v>
      </c>
      <c r="D1701" s="269" t="str">
        <f>VLOOKUP(C1701,lookup!$B$2:$F$1240,2)</f>
        <v>1000sq ft</v>
      </c>
      <c r="E1701" s="271">
        <f>VLOOKUP(C1701,lookup!$B$2:$F$1240,5)</f>
        <v>23</v>
      </c>
    </row>
    <row r="1702" spans="1:5" x14ac:dyDescent="0.25">
      <c r="A1702" s="169">
        <v>580</v>
      </c>
      <c r="C1702" s="159" t="s">
        <v>1362</v>
      </c>
      <c r="D1702" s="269" t="str">
        <f>VLOOKUP(C1702,lookup!$B$2:$F$1240,2)</f>
        <v>day</v>
      </c>
      <c r="E1702" s="271">
        <f>VLOOKUP(C1702,lookup!$B$2:$F$1240,5)</f>
        <v>170.71</v>
      </c>
    </row>
    <row r="1703" spans="1:5" x14ac:dyDescent="0.25">
      <c r="A1703" s="169">
        <v>580</v>
      </c>
      <c r="C1703" s="106" t="s">
        <v>3312</v>
      </c>
      <c r="D1703" s="269" t="str">
        <f>VLOOKUP(C1703,lookup!$B$2:$F$1240,2)</f>
        <v>hr</v>
      </c>
      <c r="E1703" s="271">
        <f>VLOOKUP(C1703,lookup!$B$2:$F$1240,5)</f>
        <v>120</v>
      </c>
    </row>
    <row r="1704" spans="1:5" x14ac:dyDescent="0.25">
      <c r="A1704" s="169">
        <v>580</v>
      </c>
      <c r="C1704" s="106" t="s">
        <v>3313</v>
      </c>
      <c r="D1704" s="269" t="str">
        <f>VLOOKUP(C1704,lookup!$B$2:$F$1240,2)</f>
        <v>hr</v>
      </c>
      <c r="E1704" s="271">
        <f>VLOOKUP(C1704,lookup!$B$2:$F$1240,5)</f>
        <v>100</v>
      </c>
    </row>
    <row r="1705" spans="1:5" x14ac:dyDescent="0.25">
      <c r="A1705" s="169">
        <v>580</v>
      </c>
      <c r="C1705" s="79" t="s">
        <v>3322</v>
      </c>
      <c r="D1705" s="269" t="str">
        <f>VLOOKUP(C1705,lookup!$B$2:$F$1240,2)</f>
        <v>Cu Yd</v>
      </c>
      <c r="E1705" s="271">
        <f>VLOOKUP(C1705,lookup!$B$2:$F$1240,5)</f>
        <v>120</v>
      </c>
    </row>
    <row r="1706" spans="1:5" x14ac:dyDescent="0.25">
      <c r="A1706" s="169">
        <v>580</v>
      </c>
      <c r="C1706" s="113" t="s">
        <v>706</v>
      </c>
      <c r="D1706" s="269">
        <f>VLOOKUP(C1706,lookup!$B$2:$F$1240,2)</f>
        <v>0</v>
      </c>
      <c r="E1706" s="271">
        <f>VLOOKUP(C1706,lookup!$B$2:$F$1240,5)</f>
        <v>0</v>
      </c>
    </row>
    <row r="1707" spans="1:5" x14ac:dyDescent="0.25">
      <c r="A1707" s="169">
        <v>580</v>
      </c>
      <c r="C1707" s="205" t="s">
        <v>2955</v>
      </c>
      <c r="D1707" s="269" t="str">
        <f>VLOOKUP(C1707,lookup!$B$2:$F$1240,2)</f>
        <v>sq ft</v>
      </c>
      <c r="E1707" s="271">
        <f>VLOOKUP(C1707,lookup!$B$2:$F$1240,5)</f>
        <v>0.79</v>
      </c>
    </row>
    <row r="1708" spans="1:5" ht="21" x14ac:dyDescent="0.25">
      <c r="A1708" s="169">
        <v>580</v>
      </c>
      <c r="C1708" s="258" t="s">
        <v>3242</v>
      </c>
      <c r="D1708" s="269" t="str">
        <f>VLOOKUP(C1708,lookup!$B$2:$F$1240,2)</f>
        <v>each</v>
      </c>
      <c r="E1708" s="271">
        <f>VLOOKUP(C1708,lookup!$B$2:$F$1240,5)</f>
        <v>227</v>
      </c>
    </row>
    <row r="1709" spans="1:5" ht="21" x14ac:dyDescent="0.25">
      <c r="A1709" s="169">
        <v>580</v>
      </c>
      <c r="C1709" s="258" t="s">
        <v>3245</v>
      </c>
      <c r="D1709" s="269" t="str">
        <f>VLOOKUP(C1709,lookup!$B$2:$F$1240,2)</f>
        <v>each</v>
      </c>
      <c r="E1709" s="271">
        <f>VLOOKUP(C1709,lookup!$B$2:$F$1240,5)</f>
        <v>420</v>
      </c>
    </row>
    <row r="1710" spans="1:5" ht="21" x14ac:dyDescent="0.25">
      <c r="A1710" s="169">
        <v>580</v>
      </c>
      <c r="C1710" s="258" t="s">
        <v>3251</v>
      </c>
      <c r="D1710" s="269" t="str">
        <f>VLOOKUP(C1710,lookup!$B$2:$F$1240,2)</f>
        <v>Ea.</v>
      </c>
      <c r="E1710" s="271">
        <f>VLOOKUP(C1710,lookup!$B$2:$F$1240,5)</f>
        <v>159</v>
      </c>
    </row>
    <row r="1711" spans="1:5" x14ac:dyDescent="0.25">
      <c r="A1711" s="169">
        <v>580</v>
      </c>
      <c r="C1711" s="258" t="s">
        <v>3250</v>
      </c>
      <c r="D1711" s="269" t="str">
        <f>VLOOKUP(C1711,lookup!$B$2:$F$1240,2)</f>
        <v>each</v>
      </c>
      <c r="E1711" s="271">
        <f>VLOOKUP(C1711,lookup!$B$2:$F$1240,5)</f>
        <v>420</v>
      </c>
    </row>
    <row r="1712" spans="1:5" x14ac:dyDescent="0.25">
      <c r="A1712" s="169">
        <v>580</v>
      </c>
      <c r="C1712" s="258" t="s">
        <v>3249</v>
      </c>
      <c r="D1712" s="269" t="str">
        <f>VLOOKUP(C1712,lookup!$B$2:$F$1240,2)</f>
        <v>each</v>
      </c>
      <c r="E1712" s="271">
        <f>VLOOKUP(C1712,lookup!$B$2:$F$1240,5)</f>
        <v>350</v>
      </c>
    </row>
    <row r="1713" spans="1:5" ht="21" x14ac:dyDescent="0.25">
      <c r="A1713" s="169">
        <v>580</v>
      </c>
      <c r="C1713" s="258" t="s">
        <v>3252</v>
      </c>
      <c r="D1713" s="269" t="str">
        <f>VLOOKUP(C1713,lookup!$B$2:$F$1240,2)</f>
        <v>Ea.</v>
      </c>
      <c r="E1713" s="271">
        <f>VLOOKUP(C1713,lookup!$B$2:$F$1240,5)</f>
        <v>65</v>
      </c>
    </row>
    <row r="1714" spans="1:5" ht="22.8" x14ac:dyDescent="0.25">
      <c r="A1714" s="169">
        <v>580</v>
      </c>
      <c r="C1714" s="79" t="s">
        <v>733</v>
      </c>
      <c r="D1714" s="269" t="str">
        <f>VLOOKUP(C1714,lookup!$B$2:$F$1240,2)</f>
        <v>Ac.</v>
      </c>
      <c r="E1714" s="271">
        <f>VLOOKUP(C1714,lookup!$B$2:$F$1240,5)</f>
        <v>1475</v>
      </c>
    </row>
    <row r="1715" spans="1:5" x14ac:dyDescent="0.25">
      <c r="A1715" s="169">
        <v>580</v>
      </c>
      <c r="C1715" s="96" t="s">
        <v>3314</v>
      </c>
      <c r="D1715" s="269" t="str">
        <f>VLOOKUP(C1715,lookup!$B$2:$F$1240,2)</f>
        <v>Cu Yd</v>
      </c>
      <c r="E1715" s="271">
        <f>VLOOKUP(C1715,lookup!$B$2:$F$1240,5)</f>
        <v>30</v>
      </c>
    </row>
    <row r="1716" spans="1:5" x14ac:dyDescent="0.25">
      <c r="A1716" s="169">
        <v>580</v>
      </c>
      <c r="C1716" s="106" t="s">
        <v>1008</v>
      </c>
      <c r="D1716" s="269" t="str">
        <f>VLOOKUP(C1716,lookup!$B$2:$F$1240,2)</f>
        <v>sq yd</v>
      </c>
      <c r="E1716" s="271">
        <f>VLOOKUP(C1716,lookup!$B$2:$F$1240,5)</f>
        <v>2</v>
      </c>
    </row>
    <row r="1717" spans="1:5" x14ac:dyDescent="0.25">
      <c r="A1717" s="169">
        <v>580</v>
      </c>
      <c r="C1717" s="106" t="s">
        <v>2754</v>
      </c>
      <c r="D1717" s="269" t="str">
        <f>VLOOKUP(C1717,lookup!$B$2:$F$1240,2)</f>
        <v>Hr.</v>
      </c>
      <c r="E1717" s="271">
        <f>VLOOKUP(C1717,lookup!$B$2:$F$1240,5)</f>
        <v>81.068363600000012</v>
      </c>
    </row>
    <row r="1718" spans="1:5" x14ac:dyDescent="0.25">
      <c r="A1718" s="169">
        <v>580</v>
      </c>
      <c r="C1718" s="106" t="s">
        <v>3194</v>
      </c>
      <c r="D1718" s="269" t="str">
        <f>VLOOKUP(C1718,lookup!$B$2:$F$1240,2)</f>
        <v>hr</v>
      </c>
      <c r="E1718" s="271">
        <f>VLOOKUP(C1718,lookup!$B$2:$F$1240,5)</f>
        <v>100</v>
      </c>
    </row>
    <row r="1719" spans="1:5" x14ac:dyDescent="0.25">
      <c r="A1719" s="169">
        <v>582</v>
      </c>
      <c r="B1719" s="172" t="s">
        <v>2640</v>
      </c>
      <c r="D1719" s="269"/>
      <c r="E1719" s="271"/>
    </row>
    <row r="1720" spans="1:5" x14ac:dyDescent="0.25">
      <c r="A1720" s="169">
        <v>582</v>
      </c>
      <c r="C1720" s="106" t="s">
        <v>1376</v>
      </c>
      <c r="D1720" s="269" t="str">
        <f>VLOOKUP(C1720,lookup!$B$2:$F$1240,2)</f>
        <v>cu yd</v>
      </c>
      <c r="E1720" s="271">
        <f>VLOOKUP(C1720,lookup!$B$2:$F$1240,5)</f>
        <v>3.5</v>
      </c>
    </row>
    <row r="1721" spans="1:5" x14ac:dyDescent="0.25">
      <c r="A1721" s="169">
        <v>582</v>
      </c>
      <c r="C1721" s="106" t="s">
        <v>1110</v>
      </c>
      <c r="D1721" s="269" t="str">
        <f>VLOOKUP(C1721,lookup!$B$2:$F$1240,2)</f>
        <v>Cu Yd</v>
      </c>
      <c r="E1721" s="271">
        <f>VLOOKUP(C1721,lookup!$B$2:$F$1240,5)</f>
        <v>0</v>
      </c>
    </row>
    <row r="1722" spans="1:5" x14ac:dyDescent="0.25">
      <c r="A1722" s="169">
        <v>582</v>
      </c>
      <c r="C1722" s="106" t="s">
        <v>2313</v>
      </c>
      <c r="D1722" s="269" t="str">
        <f>VLOOKUP(C1722,lookup!$B$2:$F$1240,2)</f>
        <v>l.s.</v>
      </c>
      <c r="E1722" s="271">
        <f>VLOOKUP(C1722,lookup!$B$2:$F$1240,5)</f>
        <v>400</v>
      </c>
    </row>
    <row r="1723" spans="1:5" x14ac:dyDescent="0.25">
      <c r="A1723" s="169">
        <v>582</v>
      </c>
      <c r="C1723" s="106" t="s">
        <v>1034</v>
      </c>
      <c r="D1723" s="269" t="str">
        <f>VLOOKUP(C1723,lookup!$B$2:$F$1240,2)</f>
        <v>l.s.</v>
      </c>
      <c r="E1723" s="271">
        <f>VLOOKUP(C1723,lookup!$B$2:$F$1240,5)</f>
        <v>400</v>
      </c>
    </row>
    <row r="1724" spans="1:5" x14ac:dyDescent="0.25">
      <c r="A1724" s="169">
        <v>582</v>
      </c>
      <c r="C1724" s="106" t="s">
        <v>1034</v>
      </c>
      <c r="D1724" s="269" t="str">
        <f>VLOOKUP(C1724,lookup!$B$2:$F$1240,2)</f>
        <v>l.s.</v>
      </c>
      <c r="E1724" s="271">
        <f>VLOOKUP(C1724,lookup!$B$2:$F$1240,5)</f>
        <v>400</v>
      </c>
    </row>
    <row r="1725" spans="1:5" x14ac:dyDescent="0.25">
      <c r="A1725" s="169">
        <v>582</v>
      </c>
      <c r="C1725" s="106" t="s">
        <v>1996</v>
      </c>
      <c r="D1725" s="269" t="str">
        <f>VLOOKUP(C1725,lookup!$B$2:$F$1240,2)</f>
        <v>ton</v>
      </c>
      <c r="E1725" s="271">
        <f>VLOOKUP(C1725,lookup!$B$2:$F$1240,5)</f>
        <v>21.63</v>
      </c>
    </row>
    <row r="1726" spans="1:5" x14ac:dyDescent="0.25">
      <c r="A1726" s="169">
        <v>582</v>
      </c>
      <c r="C1726" s="106" t="s">
        <v>1997</v>
      </c>
      <c r="D1726" s="269" t="str">
        <f>VLOOKUP(C1726,lookup!$B$2:$F$1240,2)</f>
        <v>ton</v>
      </c>
      <c r="E1726" s="271">
        <f>VLOOKUP(C1726,lookup!$B$2:$F$1240,5)</f>
        <v>21.63</v>
      </c>
    </row>
    <row r="1727" spans="1:5" x14ac:dyDescent="0.25">
      <c r="A1727" s="169">
        <v>582</v>
      </c>
      <c r="C1727" s="106" t="s">
        <v>1998</v>
      </c>
      <c r="D1727" s="269" t="str">
        <f>VLOOKUP(C1727,lookup!$B$2:$F$1240,2)</f>
        <v>ton</v>
      </c>
      <c r="E1727" s="271">
        <f>VLOOKUP(C1727,lookup!$B$2:$F$1240,5)</f>
        <v>21.63</v>
      </c>
    </row>
    <row r="1728" spans="1:5" x14ac:dyDescent="0.25">
      <c r="A1728" s="169">
        <v>582</v>
      </c>
      <c r="C1728" s="106" t="s">
        <v>1999</v>
      </c>
      <c r="D1728" s="269" t="str">
        <f>VLOOKUP(C1728,lookup!$B$2:$F$1240,2)</f>
        <v>ton</v>
      </c>
      <c r="E1728" s="271">
        <f>VLOOKUP(C1728,lookup!$B$2:$F$1240,5)</f>
        <v>21.63</v>
      </c>
    </row>
    <row r="1729" spans="1:6" x14ac:dyDescent="0.25">
      <c r="A1729" s="169">
        <v>582</v>
      </c>
      <c r="C1729" s="106" t="s">
        <v>2786</v>
      </c>
      <c r="D1729" s="269" t="str">
        <f>VLOOKUP(C1729,lookup!$B$2:$F$1240,2)</f>
        <v>ton</v>
      </c>
      <c r="E1729" s="271">
        <f>VLOOKUP(C1729,lookup!$B$2:$F$1240,5)</f>
        <v>21.63</v>
      </c>
    </row>
    <row r="1730" spans="1:6" x14ac:dyDescent="0.25">
      <c r="A1730" s="169">
        <v>582</v>
      </c>
      <c r="C1730" s="106" t="s">
        <v>2784</v>
      </c>
      <c r="D1730" s="269" t="str">
        <f>VLOOKUP(C1730,lookup!$B$2:$F$1240,2)</f>
        <v>ton</v>
      </c>
      <c r="E1730" s="271">
        <f>VLOOKUP(C1730,lookup!$B$2:$F$1240,5)</f>
        <v>21.63</v>
      </c>
    </row>
    <row r="1731" spans="1:6" x14ac:dyDescent="0.25">
      <c r="A1731" s="169">
        <v>582</v>
      </c>
      <c r="C1731" s="106" t="s">
        <v>2712</v>
      </c>
      <c r="D1731" s="269" t="str">
        <f>VLOOKUP(C1731,lookup!$B$2:$F$1240,2)</f>
        <v>Cu Yd</v>
      </c>
      <c r="E1731" s="271">
        <f>VLOOKUP(C1731,lookup!$B$2:$F$1240,5)</f>
        <v>3.5</v>
      </c>
    </row>
    <row r="1732" spans="1:6" ht="22.8" x14ac:dyDescent="0.25">
      <c r="A1732" s="169">
        <v>582</v>
      </c>
      <c r="C1732" s="106" t="s">
        <v>906</v>
      </c>
      <c r="D1732" s="269">
        <f>VLOOKUP(C1732,lookup!$B$2:$F$1240,2)</f>
        <v>0</v>
      </c>
      <c r="E1732" s="271">
        <f>VLOOKUP(C1732,lookup!$B$2:$F$1240,5)</f>
        <v>0</v>
      </c>
    </row>
    <row r="1733" spans="1:6" ht="22.8" x14ac:dyDescent="0.25">
      <c r="A1733" s="169">
        <v>582</v>
      </c>
      <c r="C1733" s="106" t="s">
        <v>907</v>
      </c>
      <c r="D1733" s="269" t="str">
        <f>VLOOKUP(C1733,lookup!$B$2:$F$1240,2)</f>
        <v>sq ft</v>
      </c>
      <c r="E1733" s="271">
        <f>VLOOKUP(C1733,lookup!$B$2:$F$1240,5)</f>
        <v>0</v>
      </c>
    </row>
    <row r="1734" spans="1:6" ht="22.8" x14ac:dyDescent="0.25">
      <c r="A1734" s="169">
        <v>582</v>
      </c>
      <c r="C1734" s="106" t="s">
        <v>1781</v>
      </c>
      <c r="D1734" s="269">
        <f>VLOOKUP(C1734,lookup!$B$2:$F$1240,2)</f>
        <v>0</v>
      </c>
      <c r="E1734" s="271">
        <f>VLOOKUP(C1734,lookup!$B$2:$F$1240,5)</f>
        <v>0</v>
      </c>
    </row>
    <row r="1735" spans="1:6" ht="22.8" x14ac:dyDescent="0.25">
      <c r="A1735" s="169">
        <v>582</v>
      </c>
      <c r="C1735" s="106" t="s">
        <v>908</v>
      </c>
      <c r="D1735" s="269">
        <f>VLOOKUP(C1735,lookup!$B$2:$F$1240,2)</f>
        <v>0</v>
      </c>
      <c r="E1735" s="271">
        <f>VLOOKUP(C1735,lookup!$B$2:$F$1240,5)</f>
        <v>0</v>
      </c>
    </row>
    <row r="1736" spans="1:6" ht="22.8" x14ac:dyDescent="0.25">
      <c r="A1736" s="169">
        <v>582</v>
      </c>
      <c r="C1736" s="106" t="s">
        <v>909</v>
      </c>
      <c r="D1736" s="269">
        <f>VLOOKUP(C1736,lookup!$B$2:$F$1240,2)</f>
        <v>0</v>
      </c>
      <c r="E1736" s="271">
        <f>VLOOKUP(C1736,lookup!$B$2:$F$1240,5)</f>
        <v>0</v>
      </c>
    </row>
    <row r="1737" spans="1:6" ht="22.8" x14ac:dyDescent="0.25">
      <c r="A1737" s="169">
        <v>582</v>
      </c>
      <c r="C1737" s="106" t="s">
        <v>910</v>
      </c>
      <c r="D1737" s="269">
        <f>VLOOKUP(C1737,lookup!$B$2:$F$1240,2)</f>
        <v>0</v>
      </c>
      <c r="E1737" s="271">
        <f>VLOOKUP(C1737,lookup!$B$2:$F$1240,5)</f>
        <v>0</v>
      </c>
    </row>
    <row r="1738" spans="1:6" x14ac:dyDescent="0.25">
      <c r="A1738" s="169">
        <v>582</v>
      </c>
      <c r="C1738" s="106" t="s">
        <v>1523</v>
      </c>
      <c r="D1738" s="269">
        <f>VLOOKUP(C1738,lookup!$B$2:$F$1240,2)</f>
        <v>0</v>
      </c>
      <c r="E1738" s="271">
        <f>VLOOKUP(C1738,lookup!$B$2:$F$1240,5)</f>
        <v>0</v>
      </c>
    </row>
    <row r="1739" spans="1:6" x14ac:dyDescent="0.25">
      <c r="A1739" s="169">
        <v>582</v>
      </c>
      <c r="C1739" s="106" t="s">
        <v>13</v>
      </c>
      <c r="D1739" s="269" t="str">
        <f>VLOOKUP(C1739,lookup!$B$2:$F$1240,2)</f>
        <v>lb</v>
      </c>
      <c r="E1739" s="271">
        <f>VLOOKUP(C1739,lookup!$B$2:$F$1240,5)</f>
        <v>0.03</v>
      </c>
    </row>
    <row r="1740" spans="1:6" x14ac:dyDescent="0.25">
      <c r="A1740" s="169">
        <v>582</v>
      </c>
      <c r="C1740" s="106" t="s">
        <v>243</v>
      </c>
      <c r="D1740" s="269">
        <f>VLOOKUP(C1740,lookup!$B$2:$F$1240,2)</f>
        <v>0</v>
      </c>
      <c r="E1740" s="271">
        <f>VLOOKUP(C1740,lookup!$B$2:$F$1240,5)</f>
        <v>0</v>
      </c>
    </row>
    <row r="1741" spans="1:6" x14ac:dyDescent="0.25">
      <c r="A1741" s="169">
        <v>584</v>
      </c>
      <c r="B1741" s="174" t="s">
        <v>508</v>
      </c>
      <c r="C1741" s="113"/>
      <c r="D1741" s="269"/>
      <c r="E1741" s="271"/>
      <c r="F1741" s="246" t="s">
        <v>3058</v>
      </c>
    </row>
    <row r="1742" spans="1:6" x14ac:dyDescent="0.25">
      <c r="A1742" s="169">
        <v>584</v>
      </c>
      <c r="B1742" s="174"/>
      <c r="C1742" s="106" t="s">
        <v>2786</v>
      </c>
      <c r="D1742" s="269" t="str">
        <f>VLOOKUP(C1742,lookup!$B$2:$F$1240,2)</f>
        <v>ton</v>
      </c>
      <c r="E1742" s="271">
        <f>VLOOKUP(C1742,lookup!$B$2:$F$1240,5)</f>
        <v>21.63</v>
      </c>
    </row>
    <row r="1743" spans="1:6" x14ac:dyDescent="0.25">
      <c r="A1743" s="169">
        <v>584</v>
      </c>
      <c r="B1743" s="174"/>
      <c r="C1743" s="106" t="s">
        <v>3302</v>
      </c>
      <c r="D1743" s="269" t="str">
        <f>VLOOKUP(C1743,lookup!$B$2:$F$1240,2)</f>
        <v>ton</v>
      </c>
      <c r="E1743" s="271">
        <f>VLOOKUP(C1743,lookup!$B$2:$F$1240,5)</f>
        <v>40</v>
      </c>
    </row>
    <row r="1744" spans="1:6" x14ac:dyDescent="0.25">
      <c r="A1744" s="169">
        <v>584</v>
      </c>
      <c r="B1744" s="174"/>
      <c r="C1744" s="264" t="s">
        <v>3294</v>
      </c>
      <c r="D1744" s="269" t="str">
        <f>VLOOKUP(C1744,lookup!$B$2:$F$1240,2)</f>
        <v>SY</v>
      </c>
      <c r="E1744" s="271">
        <f>VLOOKUP(C1744,lookup!$B$2:$F$1240,5)</f>
        <v>2.5</v>
      </c>
    </row>
    <row r="1745" spans="1:6" ht="26.4" x14ac:dyDescent="0.25">
      <c r="A1745" s="169">
        <v>584</v>
      </c>
      <c r="B1745" s="174"/>
      <c r="C1745" s="256" t="s">
        <v>3299</v>
      </c>
      <c r="D1745" s="269" t="str">
        <f>VLOOKUP(C1745,lookup!$B$2:$F$1240,2)</f>
        <v>hr</v>
      </c>
      <c r="E1745" s="271">
        <f>VLOOKUP(C1745,lookup!$B$2:$F$1240,5)</f>
        <v>100</v>
      </c>
    </row>
    <row r="1746" spans="1:6" x14ac:dyDescent="0.25">
      <c r="A1746" s="169">
        <v>584</v>
      </c>
      <c r="B1746" s="174"/>
      <c r="C1746" s="106" t="s">
        <v>3053</v>
      </c>
      <c r="D1746" s="269">
        <f>VLOOKUP(C1746,lookup!$B$2:$F$1240,2)</f>
        <v>0</v>
      </c>
      <c r="E1746" s="271">
        <f>VLOOKUP(C1746,lookup!$B$2:$F$1240,5)</f>
        <v>0</v>
      </c>
    </row>
    <row r="1747" spans="1:6" ht="21" x14ac:dyDescent="0.25">
      <c r="A1747" s="169">
        <v>584</v>
      </c>
      <c r="B1747" s="174"/>
      <c r="C1747" s="258" t="s">
        <v>3245</v>
      </c>
      <c r="D1747" s="269" t="str">
        <f>VLOOKUP(C1747,lookup!$B$2:$F$1240,2)</f>
        <v>each</v>
      </c>
      <c r="E1747" s="271">
        <f>VLOOKUP(C1747,lookup!$B$2:$F$1240,5)</f>
        <v>420</v>
      </c>
    </row>
    <row r="1748" spans="1:6" x14ac:dyDescent="0.25">
      <c r="A1748" s="169">
        <v>584</v>
      </c>
      <c r="B1748" s="174"/>
      <c r="C1748" s="106" t="s">
        <v>3305</v>
      </c>
      <c r="D1748" s="269" t="str">
        <f>VLOOKUP(C1748,lookup!$B$2:$F$1240,2)</f>
        <v>Job</v>
      </c>
      <c r="E1748" s="271">
        <f>VLOOKUP(C1748,lookup!$B$2:$F$1240,5)</f>
        <v>1000</v>
      </c>
    </row>
    <row r="1749" spans="1:6" x14ac:dyDescent="0.25">
      <c r="A1749" s="169">
        <v>584</v>
      </c>
      <c r="B1749" s="174"/>
      <c r="C1749" s="106" t="s">
        <v>1996</v>
      </c>
      <c r="D1749" s="269" t="str">
        <f>VLOOKUP(C1749,lookup!$B$2:$F$1240,2)</f>
        <v>ton</v>
      </c>
      <c r="E1749" s="271">
        <f>VLOOKUP(C1749,lookup!$B$2:$F$1240,5)</f>
        <v>21.63</v>
      </c>
    </row>
    <row r="1750" spans="1:6" x14ac:dyDescent="0.25">
      <c r="A1750" s="169">
        <v>585</v>
      </c>
      <c r="B1750" s="174" t="s">
        <v>2046</v>
      </c>
      <c r="C1750" s="113"/>
      <c r="D1750" s="269"/>
      <c r="E1750" s="271"/>
      <c r="F1750" t="s">
        <v>3058</v>
      </c>
    </row>
    <row r="1751" spans="1:6" x14ac:dyDescent="0.25">
      <c r="A1751" s="169">
        <v>585</v>
      </c>
      <c r="C1751" s="106" t="s">
        <v>2855</v>
      </c>
      <c r="D1751" s="269" t="str">
        <f>VLOOKUP(C1751,lookup!$B$2:$F$1240,2)</f>
        <v>hr</v>
      </c>
      <c r="E1751" s="271">
        <f>VLOOKUP(C1751,lookup!$B$2:$F$1240,5)</f>
        <v>20</v>
      </c>
    </row>
    <row r="1752" spans="1:6" x14ac:dyDescent="0.25">
      <c r="A1752" s="169">
        <v>585</v>
      </c>
      <c r="C1752" s="100" t="s">
        <v>3139</v>
      </c>
      <c r="D1752" s="269" t="str">
        <f>VLOOKUP(C1752,lookup!$B$2:$F$1240,2)</f>
        <v>hr</v>
      </c>
      <c r="E1752" s="271">
        <f>VLOOKUP(C1752,lookup!$B$2:$F$1240,5)</f>
        <v>20</v>
      </c>
    </row>
    <row r="1753" spans="1:6" x14ac:dyDescent="0.25">
      <c r="A1753" s="169">
        <v>585</v>
      </c>
      <c r="C1753" s="106" t="s">
        <v>3262</v>
      </c>
      <c r="D1753" s="269" t="str">
        <f>VLOOKUP(C1753,lookup!$B$2:$F$1240,2)</f>
        <v>hr</v>
      </c>
      <c r="E1753" s="271">
        <f>VLOOKUP(C1753,lookup!$B$2:$F$1240,5)</f>
        <v>20</v>
      </c>
    </row>
    <row r="1754" spans="1:6" ht="22.8" x14ac:dyDescent="0.25">
      <c r="A1754" s="169">
        <v>585</v>
      </c>
      <c r="C1754" s="106" t="s">
        <v>3264</v>
      </c>
      <c r="D1754" s="269" t="str">
        <f>VLOOKUP(C1754,lookup!$B$2:$F$1240,2)</f>
        <v>hr</v>
      </c>
      <c r="E1754" s="271">
        <f>VLOOKUP(C1754,lookup!$B$2:$F$1240,5)</f>
        <v>20</v>
      </c>
    </row>
    <row r="1755" spans="1:6" x14ac:dyDescent="0.25">
      <c r="A1755" s="169">
        <v>585</v>
      </c>
      <c r="C1755" s="106" t="s">
        <v>531</v>
      </c>
      <c r="D1755" s="269" t="str">
        <f>VLOOKUP(C1755,lookup!$B$2:$F$1240,2)</f>
        <v>hr.</v>
      </c>
      <c r="E1755" s="271">
        <f>VLOOKUP(C1755,lookup!$B$2:$F$1240,5)</f>
        <v>15</v>
      </c>
    </row>
    <row r="1756" spans="1:6" x14ac:dyDescent="0.25">
      <c r="A1756" s="169">
        <v>585</v>
      </c>
      <c r="C1756" s="106" t="s">
        <v>1047</v>
      </c>
      <c r="D1756" s="269" t="str">
        <f>VLOOKUP(C1756,lookup!$B$2:$F$1240,2)</f>
        <v>hr</v>
      </c>
      <c r="E1756" s="271">
        <f>VLOOKUP(C1756,lookup!$B$2:$F$1240,5)</f>
        <v>20</v>
      </c>
    </row>
    <row r="1757" spans="1:6" x14ac:dyDescent="0.25">
      <c r="A1757" s="169">
        <v>587</v>
      </c>
      <c r="B1757" s="172" t="s">
        <v>2048</v>
      </c>
      <c r="D1757" s="269"/>
      <c r="E1757" s="271"/>
      <c r="F1757" t="s">
        <v>3058</v>
      </c>
    </row>
    <row r="1758" spans="1:6" x14ac:dyDescent="0.25">
      <c r="A1758" s="169">
        <v>587</v>
      </c>
      <c r="C1758" s="106" t="s">
        <v>1034</v>
      </c>
      <c r="D1758" s="269" t="str">
        <f>VLOOKUP(C1758,lookup!$B$2:$F$1240,2)</f>
        <v>l.s.</v>
      </c>
      <c r="E1758" s="271">
        <f>VLOOKUP(C1758,lookup!$B$2:$F$1240,5)</f>
        <v>400</v>
      </c>
    </row>
    <row r="1759" spans="1:6" x14ac:dyDescent="0.25">
      <c r="A1759" s="169">
        <v>587</v>
      </c>
      <c r="C1759" s="264" t="s">
        <v>3294</v>
      </c>
      <c r="D1759" s="269" t="str">
        <f>VLOOKUP(C1759,lookup!$B$2:$F$1240,2)</f>
        <v>SY</v>
      </c>
      <c r="E1759" s="271">
        <f>VLOOKUP(C1759,lookup!$B$2:$F$1240,5)</f>
        <v>2.5</v>
      </c>
    </row>
    <row r="1760" spans="1:6" x14ac:dyDescent="0.25">
      <c r="A1760" s="169">
        <v>587</v>
      </c>
      <c r="C1760" s="205" t="s">
        <v>3298</v>
      </c>
      <c r="D1760" s="269" t="str">
        <f>VLOOKUP(C1760,lookup!$B$2:$F$1240,2)</f>
        <v>ton</v>
      </c>
      <c r="E1760" s="271">
        <f>VLOOKUP(C1760,lookup!$B$2:$F$1240,5)</f>
        <v>20</v>
      </c>
    </row>
    <row r="1761" spans="1:6" x14ac:dyDescent="0.25">
      <c r="A1761" s="169">
        <v>587</v>
      </c>
      <c r="C1761" s="106" t="s">
        <v>3295</v>
      </c>
      <c r="D1761" s="269" t="str">
        <f>VLOOKUP(C1761,lookup!$B$2:$F$1240,2)</f>
        <v xml:space="preserve">CY </v>
      </c>
      <c r="E1761" s="271">
        <f>VLOOKUP(C1761,lookup!$B$2:$F$1240,5)</f>
        <v>40</v>
      </c>
    </row>
    <row r="1762" spans="1:6" ht="22.8" x14ac:dyDescent="0.25">
      <c r="A1762" s="169">
        <v>587</v>
      </c>
      <c r="C1762" s="79" t="s">
        <v>3292</v>
      </c>
      <c r="D1762" s="269" t="str">
        <f>VLOOKUP(C1762,lookup!$B$2:$F$1240,2)</f>
        <v>l.s.</v>
      </c>
      <c r="E1762" s="271">
        <f>VLOOKUP(C1762,lookup!$B$2:$F$1240,5)</f>
        <v>1000</v>
      </c>
    </row>
    <row r="1763" spans="1:6" ht="22.8" x14ac:dyDescent="0.25">
      <c r="A1763" s="169">
        <v>587</v>
      </c>
      <c r="C1763" s="79" t="s">
        <v>3296</v>
      </c>
      <c r="D1763" s="269" t="str">
        <f>VLOOKUP(C1763,lookup!$B$2:$F$1240,2)</f>
        <v>l.s.</v>
      </c>
      <c r="E1763" s="271">
        <f>VLOOKUP(C1763,lookup!$B$2:$F$1240,5)</f>
        <v>900</v>
      </c>
    </row>
    <row r="1764" spans="1:6" x14ac:dyDescent="0.25">
      <c r="A1764" s="169">
        <v>587</v>
      </c>
      <c r="C1764" s="106" t="s">
        <v>2786</v>
      </c>
      <c r="D1764" s="269" t="str">
        <f>VLOOKUP(C1764,lookup!$B$2:$F$1240,2)</f>
        <v>ton</v>
      </c>
      <c r="E1764" s="271">
        <f>VLOOKUP(C1764,lookup!$B$2:$F$1240,5)</f>
        <v>21.63</v>
      </c>
    </row>
    <row r="1765" spans="1:6" ht="21" x14ac:dyDescent="0.25">
      <c r="A1765" s="169">
        <v>587</v>
      </c>
      <c r="C1765" s="258" t="s">
        <v>3251</v>
      </c>
      <c r="D1765" s="269" t="str">
        <f>VLOOKUP(C1765,lookup!$B$2:$F$1240,2)</f>
        <v>Ea.</v>
      </c>
      <c r="E1765" s="271">
        <f>VLOOKUP(C1765,lookup!$B$2:$F$1240,5)</f>
        <v>159</v>
      </c>
    </row>
    <row r="1766" spans="1:6" ht="21" x14ac:dyDescent="0.25">
      <c r="A1766" s="169">
        <v>587</v>
      </c>
      <c r="C1766" s="258" t="s">
        <v>3245</v>
      </c>
      <c r="D1766" s="269" t="str">
        <f>VLOOKUP(C1766,lookup!$B$2:$F$1240,2)</f>
        <v>each</v>
      </c>
      <c r="E1766" s="271">
        <f>VLOOKUP(C1766,lookup!$B$2:$F$1240,5)</f>
        <v>420</v>
      </c>
    </row>
    <row r="1767" spans="1:6" ht="21" x14ac:dyDescent="0.25">
      <c r="A1767" s="169">
        <v>587</v>
      </c>
      <c r="C1767" s="258" t="s">
        <v>3242</v>
      </c>
      <c r="D1767" s="269" t="str">
        <f>VLOOKUP(C1767,lookup!$B$2:$F$1240,2)</f>
        <v>each</v>
      </c>
      <c r="E1767" s="271">
        <f>VLOOKUP(C1767,lookup!$B$2:$F$1240,5)</f>
        <v>227</v>
      </c>
    </row>
    <row r="1768" spans="1:6" ht="26.4" x14ac:dyDescent="0.25">
      <c r="A1768" s="169">
        <v>587</v>
      </c>
      <c r="C1768" s="256" t="s">
        <v>3299</v>
      </c>
      <c r="D1768" s="269" t="str">
        <f>VLOOKUP(C1768,lookup!$B$2:$F$1240,2)</f>
        <v>hr</v>
      </c>
      <c r="E1768" s="271">
        <f>VLOOKUP(C1768,lookup!$B$2:$F$1240,5)</f>
        <v>100</v>
      </c>
    </row>
    <row r="1769" spans="1:6" x14ac:dyDescent="0.25">
      <c r="A1769" s="169">
        <v>587</v>
      </c>
      <c r="C1769" s="106" t="s">
        <v>3053</v>
      </c>
      <c r="D1769" s="269">
        <f>VLOOKUP(C1769,lookup!$B$2:$F$1240,2)</f>
        <v>0</v>
      </c>
      <c r="E1769" s="271">
        <f>VLOOKUP(C1769,lookup!$B$2:$F$1240,5)</f>
        <v>0</v>
      </c>
    </row>
    <row r="1770" spans="1:6" x14ac:dyDescent="0.25">
      <c r="A1770" s="169">
        <v>590</v>
      </c>
      <c r="B1770" s="172" t="s">
        <v>2636</v>
      </c>
      <c r="D1770" s="269"/>
      <c r="E1770" s="271"/>
      <c r="F1770" t="s">
        <v>3058</v>
      </c>
    </row>
    <row r="1771" spans="1:6" x14ac:dyDescent="0.25">
      <c r="A1771" s="169">
        <v>590</v>
      </c>
      <c r="B1771" s="172"/>
      <c r="C1771" s="106" t="s">
        <v>3165</v>
      </c>
      <c r="D1771" s="269" t="str">
        <f>VLOOKUP(C1771,lookup!$B$2:$F$1240,2)</f>
        <v>ac</v>
      </c>
      <c r="E1771" s="271">
        <f>VLOOKUP(C1771,lookup!$B$2:$F$1240,5)</f>
        <v>3</v>
      </c>
    </row>
    <row r="1772" spans="1:6" x14ac:dyDescent="0.25">
      <c r="A1772" s="169">
        <v>590</v>
      </c>
      <c r="B1772" s="172"/>
      <c r="C1772" s="106" t="s">
        <v>3164</v>
      </c>
      <c r="D1772" s="269" t="str">
        <f>VLOOKUP(C1772,lookup!$B$2:$F$1240,2)</f>
        <v>hr</v>
      </c>
      <c r="E1772" s="271">
        <f>VLOOKUP(C1772,lookup!$B$2:$F$1240,5)</f>
        <v>15</v>
      </c>
    </row>
    <row r="1773" spans="1:6" x14ac:dyDescent="0.25">
      <c r="A1773" s="169">
        <v>590</v>
      </c>
      <c r="B1773" s="172"/>
      <c r="C1773" s="261" t="s">
        <v>3275</v>
      </c>
      <c r="D1773" s="269" t="str">
        <f>VLOOKUP(C1773,lookup!$B$2:$F$1240,2)</f>
        <v>each</v>
      </c>
      <c r="E1773" s="271">
        <f>VLOOKUP(C1773,lookup!$B$2:$F$1240,5)</f>
        <v>10</v>
      </c>
    </row>
    <row r="1774" spans="1:6" x14ac:dyDescent="0.25">
      <c r="A1774" s="169">
        <v>590</v>
      </c>
      <c r="B1774" s="172"/>
      <c r="C1774" s="250" t="s">
        <v>3268</v>
      </c>
      <c r="D1774" s="269" t="str">
        <f>VLOOKUP(C1774,lookup!$B$2:$F$1240,2)</f>
        <v>each</v>
      </c>
      <c r="E1774" s="271">
        <f>VLOOKUP(C1774,lookup!$B$2:$F$1240,5)</f>
        <v>26</v>
      </c>
    </row>
    <row r="1775" spans="1:6" x14ac:dyDescent="0.25">
      <c r="A1775" s="169">
        <v>590</v>
      </c>
      <c r="B1775" s="172"/>
      <c r="C1775" s="93" t="s">
        <v>3267</v>
      </c>
      <c r="D1775" s="269" t="str">
        <f>VLOOKUP(C1775,lookup!$B$2:$F$1240,2)</f>
        <v>each</v>
      </c>
      <c r="E1775" s="271">
        <f>VLOOKUP(C1775,lookup!$B$2:$F$1240,5)</f>
        <v>17</v>
      </c>
    </row>
    <row r="1776" spans="1:6" x14ac:dyDescent="0.25">
      <c r="A1776" s="169">
        <v>590</v>
      </c>
      <c r="B1776" s="172"/>
      <c r="C1776" s="261" t="s">
        <v>3266</v>
      </c>
      <c r="D1776" s="269" t="str">
        <f>VLOOKUP(C1776,lookup!$B$2:$F$1240,2)</f>
        <v>each</v>
      </c>
      <c r="E1776" s="271">
        <f>VLOOKUP(C1776,lookup!$B$2:$F$1240,5)</f>
        <v>10</v>
      </c>
    </row>
    <row r="1777" spans="1:5" x14ac:dyDescent="0.25">
      <c r="A1777" s="169">
        <v>590</v>
      </c>
      <c r="B1777" s="172"/>
      <c r="C1777" s="261" t="s">
        <v>3269</v>
      </c>
      <c r="D1777" s="269" t="str">
        <f>VLOOKUP(C1777,lookup!$B$2:$F$1240,2)</f>
        <v>each</v>
      </c>
      <c r="E1777" s="271">
        <f>VLOOKUP(C1777,lookup!$B$2:$F$1240,5)</f>
        <v>25</v>
      </c>
    </row>
    <row r="1778" spans="1:5" x14ac:dyDescent="0.25">
      <c r="A1778" s="169">
        <v>590</v>
      </c>
      <c r="C1778" s="93" t="s">
        <v>3271</v>
      </c>
      <c r="D1778" s="269" t="str">
        <f>VLOOKUP(C1778,lookup!$B$2:$F$1240,2)</f>
        <v>each</v>
      </c>
      <c r="E1778" s="271">
        <f>VLOOKUP(C1778,lookup!$B$2:$F$1240,5)</f>
        <v>24</v>
      </c>
    </row>
    <row r="1779" spans="1:5" ht="26.4" x14ac:dyDescent="0.25">
      <c r="A1779" s="169">
        <v>590</v>
      </c>
      <c r="C1779" s="261" t="s">
        <v>3272</v>
      </c>
      <c r="D1779" s="269" t="str">
        <f>VLOOKUP(C1779,lookup!$B$2:$F$1240,2)</f>
        <v>each</v>
      </c>
      <c r="E1779" s="271">
        <f>VLOOKUP(C1779,lookup!$B$2:$F$1240,5)</f>
        <v>27</v>
      </c>
    </row>
    <row r="1780" spans="1:5" ht="22.8" x14ac:dyDescent="0.25">
      <c r="A1780" s="169">
        <v>590</v>
      </c>
      <c r="C1780" s="106" t="s">
        <v>1787</v>
      </c>
      <c r="D1780" s="269" t="str">
        <f>VLOOKUP(C1780,lookup!$B$2:$F$1240,2)</f>
        <v>hr</v>
      </c>
      <c r="E1780" s="271">
        <f>VLOOKUP(C1780,lookup!$B$2:$F$1240,5)</f>
        <v>20</v>
      </c>
    </row>
    <row r="1781" spans="1:5" x14ac:dyDescent="0.25">
      <c r="A1781" s="169">
        <v>590</v>
      </c>
      <c r="C1781" s="106" t="s">
        <v>3262</v>
      </c>
      <c r="D1781" s="269" t="str">
        <f>VLOOKUP(C1781,lookup!$B$2:$F$1240,2)</f>
        <v>hr</v>
      </c>
      <c r="E1781" s="271">
        <f>VLOOKUP(C1781,lookup!$B$2:$F$1240,5)</f>
        <v>20</v>
      </c>
    </row>
    <row r="1782" spans="1:5" ht="22.8" x14ac:dyDescent="0.25">
      <c r="A1782" s="169">
        <v>590</v>
      </c>
      <c r="C1782" s="106" t="s">
        <v>3264</v>
      </c>
      <c r="D1782" s="269" t="str">
        <f>VLOOKUP(C1782,lookup!$B$2:$F$1240,2)</f>
        <v>hr</v>
      </c>
      <c r="E1782" s="271">
        <f>VLOOKUP(C1782,lookup!$B$2:$F$1240,5)</f>
        <v>20</v>
      </c>
    </row>
    <row r="1783" spans="1:5" x14ac:dyDescent="0.25">
      <c r="A1783" s="169">
        <v>590</v>
      </c>
      <c r="C1783" s="106" t="s">
        <v>3184</v>
      </c>
      <c r="D1783" s="269" t="str">
        <f>VLOOKUP(C1783,lookup!$B$2:$F$1240,2)</f>
        <v>each</v>
      </c>
      <c r="E1783" s="271">
        <f>VLOOKUP(C1783,lookup!$B$2:$F$1240,5)</f>
        <v>40</v>
      </c>
    </row>
    <row r="1784" spans="1:5" x14ac:dyDescent="0.25">
      <c r="A1784" s="169">
        <v>590</v>
      </c>
      <c r="C1784" s="106" t="s">
        <v>3283</v>
      </c>
      <c r="D1784" s="269" t="str">
        <f>VLOOKUP(C1784,lookup!$B$2:$F$1240,2)</f>
        <v>hr</v>
      </c>
      <c r="E1784" s="271">
        <f>VLOOKUP(C1784,lookup!$B$2:$F$1240,5)</f>
        <v>20</v>
      </c>
    </row>
    <row r="1785" spans="1:5" x14ac:dyDescent="0.25">
      <c r="A1785" s="169">
        <v>590</v>
      </c>
      <c r="C1785" s="106" t="s">
        <v>2855</v>
      </c>
      <c r="D1785" s="269" t="str">
        <f>VLOOKUP(C1785,lookup!$B$2:$F$1240,2)</f>
        <v>hr</v>
      </c>
      <c r="E1785" s="271">
        <f>VLOOKUP(C1785,lookup!$B$2:$F$1240,5)</f>
        <v>20</v>
      </c>
    </row>
    <row r="1786" spans="1:5" x14ac:dyDescent="0.25">
      <c r="A1786" s="169">
        <v>590</v>
      </c>
      <c r="C1786" s="100" t="s">
        <v>3139</v>
      </c>
      <c r="D1786" s="269" t="str">
        <f>VLOOKUP(C1786,lookup!$B$2:$F$1240,2)</f>
        <v>hr</v>
      </c>
      <c r="E1786" s="271">
        <f>VLOOKUP(C1786,lookup!$B$2:$F$1240,5)</f>
        <v>20</v>
      </c>
    </row>
    <row r="1787" spans="1:5" x14ac:dyDescent="0.25">
      <c r="A1787" s="169">
        <v>595</v>
      </c>
      <c r="B1787" s="172" t="s">
        <v>2643</v>
      </c>
      <c r="D1787" s="269"/>
      <c r="E1787" s="271"/>
    </row>
    <row r="1788" spans="1:5" x14ac:dyDescent="0.25">
      <c r="A1788" s="169">
        <v>595</v>
      </c>
      <c r="D1788" s="269" t="e">
        <f>VLOOKUP(C1788,lookup!$B$2:$F$1240,2)</f>
        <v>#N/A</v>
      </c>
      <c r="E1788" s="271" t="e">
        <f>VLOOKUP(C1788,lookup!$B$2:$F$1240,5)</f>
        <v>#N/A</v>
      </c>
    </row>
    <row r="1789" spans="1:5" x14ac:dyDescent="0.25">
      <c r="A1789" s="169">
        <v>595</v>
      </c>
      <c r="C1789" s="100"/>
      <c r="D1789" s="269" t="e">
        <f>VLOOKUP(C1789,lookup!$B$2:$F$1240,2)</f>
        <v>#N/A</v>
      </c>
      <c r="E1789" s="271" t="e">
        <f>VLOOKUP(C1789,lookup!$B$2:$F$1240,5)</f>
        <v>#N/A</v>
      </c>
    </row>
    <row r="1790" spans="1:5" x14ac:dyDescent="0.25">
      <c r="A1790" s="169">
        <v>595</v>
      </c>
      <c r="D1790" s="269" t="e">
        <f>VLOOKUP(C1790,lookup!$B$2:$F$1240,2)</f>
        <v>#N/A</v>
      </c>
      <c r="E1790" s="271" t="e">
        <f>VLOOKUP(C1790,lookup!$B$2:$F$1240,5)</f>
        <v>#N/A</v>
      </c>
    </row>
    <row r="1791" spans="1:5" x14ac:dyDescent="0.25">
      <c r="A1791" s="169">
        <v>595</v>
      </c>
      <c r="D1791" s="269" t="e">
        <f>VLOOKUP(C1791,lookup!$B$2:$F$1240,2)</f>
        <v>#N/A</v>
      </c>
      <c r="E1791" s="271" t="e">
        <f>VLOOKUP(C1791,lookup!$B$2:$F$1240,5)</f>
        <v>#N/A</v>
      </c>
    </row>
    <row r="1792" spans="1:5" ht="22.8" x14ac:dyDescent="0.25">
      <c r="A1792" s="169">
        <v>595</v>
      </c>
      <c r="C1792" s="106" t="s">
        <v>1787</v>
      </c>
      <c r="D1792" s="269" t="str">
        <f>VLOOKUP(C1792,lookup!$B$2:$F$1240,2)</f>
        <v>hr</v>
      </c>
      <c r="E1792" s="271">
        <f>VLOOKUP(C1792,lookup!$B$2:$F$1240,5)</f>
        <v>20</v>
      </c>
    </row>
    <row r="1793" spans="1:5" x14ac:dyDescent="0.25">
      <c r="A1793" s="169">
        <v>595</v>
      </c>
      <c r="C1793" s="106" t="s">
        <v>3262</v>
      </c>
      <c r="D1793" s="269" t="str">
        <f>VLOOKUP(C1793,lookup!$B$2:$F$1240,2)</f>
        <v>hr</v>
      </c>
      <c r="E1793" s="271">
        <f>VLOOKUP(C1793,lookup!$B$2:$F$1240,5)</f>
        <v>20</v>
      </c>
    </row>
    <row r="1794" spans="1:5" ht="22.8" x14ac:dyDescent="0.25">
      <c r="A1794" s="169">
        <v>595</v>
      </c>
      <c r="C1794" s="106" t="s">
        <v>3264</v>
      </c>
      <c r="D1794" s="269" t="str">
        <f>VLOOKUP(C1794,lookup!$B$2:$F$1240,2)</f>
        <v>hr</v>
      </c>
      <c r="E1794" s="271">
        <f>VLOOKUP(C1794,lookup!$B$2:$F$1240,5)</f>
        <v>20</v>
      </c>
    </row>
    <row r="1795" spans="1:5" x14ac:dyDescent="0.25">
      <c r="A1795" s="169">
        <v>595</v>
      </c>
      <c r="C1795" s="106" t="s">
        <v>3283</v>
      </c>
      <c r="D1795" s="269" t="str">
        <f>VLOOKUP(C1795,lookup!$B$2:$F$1240,2)</f>
        <v>hr</v>
      </c>
      <c r="E1795" s="271">
        <f>VLOOKUP(C1795,lookup!$B$2:$F$1240,5)</f>
        <v>20</v>
      </c>
    </row>
    <row r="1796" spans="1:5" x14ac:dyDescent="0.25">
      <c r="A1796" s="169">
        <v>595</v>
      </c>
      <c r="C1796" s="106" t="s">
        <v>2855</v>
      </c>
      <c r="D1796" s="269" t="str">
        <f>VLOOKUP(C1796,lookup!$B$2:$F$1240,2)</f>
        <v>hr</v>
      </c>
      <c r="E1796" s="271">
        <f>VLOOKUP(C1796,lookup!$B$2:$F$1240,5)</f>
        <v>20</v>
      </c>
    </row>
    <row r="1797" spans="1:5" x14ac:dyDescent="0.25">
      <c r="A1797" s="169">
        <v>595</v>
      </c>
      <c r="C1797" s="100" t="s">
        <v>3139</v>
      </c>
      <c r="D1797" s="269" t="str">
        <f>VLOOKUP(C1797,lookup!$B$2:$F$1240,2)</f>
        <v>hr</v>
      </c>
      <c r="E1797" s="271">
        <f>VLOOKUP(C1797,lookup!$B$2:$F$1240,5)</f>
        <v>20</v>
      </c>
    </row>
    <row r="1798" spans="1:5" x14ac:dyDescent="0.25">
      <c r="A1798" s="169">
        <v>595</v>
      </c>
      <c r="D1798" s="269" t="e">
        <f>VLOOKUP(C1798,lookup!$B$2:$F$1240,2)</f>
        <v>#N/A</v>
      </c>
      <c r="E1798" s="271" t="e">
        <f>VLOOKUP(C1798,lookup!$B$2:$F$1240,5)</f>
        <v>#N/A</v>
      </c>
    </row>
    <row r="1799" spans="1:5" x14ac:dyDescent="0.25">
      <c r="A1799" s="169">
        <v>595</v>
      </c>
      <c r="D1799" s="269" t="e">
        <f>VLOOKUP(C1799,lookup!$B$2:$F$1240,2)</f>
        <v>#N/A</v>
      </c>
      <c r="E1799" s="271" t="e">
        <f>VLOOKUP(C1799,lookup!$B$2:$F$1240,5)</f>
        <v>#N/A</v>
      </c>
    </row>
    <row r="1800" spans="1:5" x14ac:dyDescent="0.25">
      <c r="A1800" s="169">
        <v>600</v>
      </c>
      <c r="B1800" s="173" t="s">
        <v>2053</v>
      </c>
      <c r="D1800" s="269"/>
      <c r="E1800" s="271"/>
    </row>
    <row r="1801" spans="1:5" x14ac:dyDescent="0.25">
      <c r="A1801" s="169">
        <v>601</v>
      </c>
      <c r="B1801" s="172" t="s">
        <v>2062</v>
      </c>
      <c r="D1801" s="269"/>
      <c r="E1801" s="271"/>
    </row>
    <row r="1802" spans="1:5" ht="22.8" x14ac:dyDescent="0.25">
      <c r="A1802" s="169">
        <v>601</v>
      </c>
      <c r="C1802" s="106" t="s">
        <v>202</v>
      </c>
      <c r="D1802" s="269">
        <f>VLOOKUP(C1802,lookup!$B$2:$F$1240,2)</f>
        <v>0</v>
      </c>
      <c r="E1802" s="271">
        <f>VLOOKUP(C1802,lookup!$B$2:$F$1240,5)</f>
        <v>0</v>
      </c>
    </row>
    <row r="1803" spans="1:5" x14ac:dyDescent="0.25">
      <c r="A1803" s="169">
        <v>603</v>
      </c>
      <c r="B1803" s="172" t="s">
        <v>2615</v>
      </c>
      <c r="D1803" s="269"/>
      <c r="E1803" s="271"/>
    </row>
    <row r="1804" spans="1:5" ht="22.8" x14ac:dyDescent="0.25">
      <c r="A1804" s="169">
        <v>603</v>
      </c>
      <c r="C1804" s="106" t="s">
        <v>405</v>
      </c>
      <c r="D1804" s="269" t="str">
        <f>VLOOKUP(C1804,lookup!$B$2:$F$1240,2)</f>
        <v>L.F.</v>
      </c>
      <c r="E1804" s="271">
        <f>VLOOKUP(C1804,lookup!$B$2:$F$1240,5)</f>
        <v>2.75</v>
      </c>
    </row>
    <row r="1805" spans="1:5" ht="22.8" x14ac:dyDescent="0.25">
      <c r="A1805" s="169">
        <v>603</v>
      </c>
      <c r="C1805" s="106" t="s">
        <v>406</v>
      </c>
      <c r="D1805" s="269" t="str">
        <f>VLOOKUP(C1805,lookup!$B$2:$F$1240,2)</f>
        <v>L.F.</v>
      </c>
      <c r="E1805" s="271">
        <f>VLOOKUP(C1805,lookup!$B$2:$F$1240,5)</f>
        <v>2.75</v>
      </c>
    </row>
    <row r="1806" spans="1:5" ht="22.8" x14ac:dyDescent="0.25">
      <c r="A1806" s="169">
        <v>603</v>
      </c>
      <c r="C1806" s="106" t="s">
        <v>1521</v>
      </c>
      <c r="D1806" s="269" t="str">
        <f>VLOOKUP(C1806,lookup!$B$2:$F$1240,2)</f>
        <v>L.F.</v>
      </c>
      <c r="E1806" s="271">
        <f>VLOOKUP(C1806,lookup!$B$2:$F$1240,5)</f>
        <v>2.75</v>
      </c>
    </row>
    <row r="1807" spans="1:5" ht="22.8" x14ac:dyDescent="0.25">
      <c r="A1807" s="169">
        <v>603</v>
      </c>
      <c r="C1807" s="106" t="s">
        <v>408</v>
      </c>
      <c r="D1807" s="269" t="str">
        <f>VLOOKUP(C1807,lookup!$B$2:$F$1240,2)</f>
        <v>L.F.</v>
      </c>
      <c r="E1807" s="271">
        <f>VLOOKUP(C1807,lookup!$B$2:$F$1240,5)</f>
        <v>2.75</v>
      </c>
    </row>
    <row r="1808" spans="1:5" x14ac:dyDescent="0.25">
      <c r="A1808" s="169">
        <v>606</v>
      </c>
      <c r="B1808" s="172" t="s">
        <v>2050</v>
      </c>
      <c r="D1808" s="269" t="e">
        <f>VLOOKUP(C1808,lookup!$B$2:$F$1240,2)</f>
        <v>#N/A</v>
      </c>
      <c r="E1808" s="271" t="e">
        <f>VLOOKUP(C1808,lookup!$B$2:$F$1240,5)</f>
        <v>#N/A</v>
      </c>
    </row>
    <row r="1809" spans="1:5" x14ac:dyDescent="0.25">
      <c r="A1809" s="169">
        <v>606</v>
      </c>
      <c r="C1809" s="106" t="s">
        <v>2797</v>
      </c>
      <c r="D1809" s="269" t="str">
        <f>VLOOKUP(C1809,lookup!$B$2:$F$1240,2)</f>
        <v>ton</v>
      </c>
      <c r="E1809" s="271">
        <f>VLOOKUP(C1809,lookup!$B$2:$F$1240,5)</f>
        <v>20</v>
      </c>
    </row>
    <row r="1810" spans="1:5" x14ac:dyDescent="0.25">
      <c r="A1810" s="169">
        <v>606</v>
      </c>
      <c r="C1810" s="106" t="s">
        <v>1988</v>
      </c>
      <c r="D1810" s="269" t="str">
        <f>VLOOKUP(C1810,lookup!$B$2:$F$1240,2)</f>
        <v>lin ft</v>
      </c>
      <c r="E1810" s="271">
        <f>VLOOKUP(C1810,lookup!$B$2:$F$1240,5)</f>
        <v>20</v>
      </c>
    </row>
    <row r="1811" spans="1:5" x14ac:dyDescent="0.25">
      <c r="A1811" s="169">
        <v>606</v>
      </c>
      <c r="C1811" s="106" t="s">
        <v>1989</v>
      </c>
      <c r="D1811" s="269" t="str">
        <f>VLOOKUP(C1811,lookup!$B$2:$F$1240,2)</f>
        <v>lin ft</v>
      </c>
      <c r="E1811" s="271">
        <f>VLOOKUP(C1811,lookup!$B$2:$F$1240,5)</f>
        <v>20</v>
      </c>
    </row>
    <row r="1812" spans="1:5" x14ac:dyDescent="0.25">
      <c r="A1812" s="169">
        <v>606</v>
      </c>
      <c r="C1812" s="106" t="s">
        <v>1371</v>
      </c>
      <c r="D1812" s="269" t="str">
        <f>VLOOKUP(C1812,lookup!$B$2:$F$1240,2)</f>
        <v>lin ft</v>
      </c>
      <c r="E1812" s="271">
        <f>VLOOKUP(C1812,lookup!$B$2:$F$1240,5)</f>
        <v>20</v>
      </c>
    </row>
    <row r="1813" spans="1:5" x14ac:dyDescent="0.25">
      <c r="A1813" s="169">
        <v>606</v>
      </c>
      <c r="C1813" s="106" t="s">
        <v>1372</v>
      </c>
      <c r="D1813" s="269" t="str">
        <f>VLOOKUP(C1813,lookup!$B$2:$F$1240,2)</f>
        <v>lin ft</v>
      </c>
      <c r="E1813" s="271">
        <f>VLOOKUP(C1813,lookup!$B$2:$F$1240,5)</f>
        <v>20</v>
      </c>
    </row>
    <row r="1814" spans="1:5" ht="22.8" x14ac:dyDescent="0.25">
      <c r="A1814" s="169">
        <v>606</v>
      </c>
      <c r="C1814" s="106" t="s">
        <v>1187</v>
      </c>
      <c r="D1814" s="269" t="str">
        <f>VLOOKUP(C1814,lookup!$B$2:$F$1240,2)</f>
        <v>lin ft</v>
      </c>
      <c r="E1814" s="271">
        <f>VLOOKUP(C1814,lookup!$B$2:$F$1240,5)</f>
        <v>20</v>
      </c>
    </row>
    <row r="1815" spans="1:5" ht="22.8" x14ac:dyDescent="0.25">
      <c r="A1815" s="169">
        <v>606</v>
      </c>
      <c r="C1815" s="106" t="s">
        <v>1228</v>
      </c>
      <c r="D1815" s="269" t="str">
        <f>VLOOKUP(C1815,lookup!$B$2:$F$1240,2)</f>
        <v>lin ft</v>
      </c>
      <c r="E1815" s="271">
        <f>VLOOKUP(C1815,lookup!$B$2:$F$1240,5)</f>
        <v>20</v>
      </c>
    </row>
    <row r="1816" spans="1:5" ht="22.8" x14ac:dyDescent="0.25">
      <c r="A1816" s="169">
        <v>606</v>
      </c>
      <c r="C1816" s="106" t="s">
        <v>203</v>
      </c>
      <c r="D1816" s="269" t="str">
        <f>VLOOKUP(C1816,lookup!$B$2:$F$1240,2)</f>
        <v>lin ft</v>
      </c>
      <c r="E1816" s="271">
        <f>VLOOKUP(C1816,lookup!$B$2:$F$1240,5)</f>
        <v>20</v>
      </c>
    </row>
    <row r="1817" spans="1:5" ht="22.8" x14ac:dyDescent="0.25">
      <c r="A1817" s="169">
        <v>606</v>
      </c>
      <c r="C1817" s="106" t="s">
        <v>1229</v>
      </c>
      <c r="D1817" s="269" t="str">
        <f>VLOOKUP(C1817,lookup!$B$2:$F$1240,2)</f>
        <v>lin ft</v>
      </c>
      <c r="E1817" s="271">
        <f>VLOOKUP(C1817,lookup!$B$2:$F$1240,5)</f>
        <v>20</v>
      </c>
    </row>
    <row r="1818" spans="1:5" ht="22.8" x14ac:dyDescent="0.25">
      <c r="A1818" s="169">
        <v>606</v>
      </c>
      <c r="C1818" s="106" t="s">
        <v>1184</v>
      </c>
      <c r="D1818" s="269" t="str">
        <f>VLOOKUP(C1818,lookup!$B$2:$F$1240,2)</f>
        <v>lin ft</v>
      </c>
      <c r="E1818" s="271">
        <f>VLOOKUP(C1818,lookup!$B$2:$F$1240,5)</f>
        <v>20</v>
      </c>
    </row>
    <row r="1819" spans="1:5" ht="22.8" x14ac:dyDescent="0.25">
      <c r="A1819" s="169">
        <v>606</v>
      </c>
      <c r="C1819" s="106" t="s">
        <v>1225</v>
      </c>
      <c r="D1819" s="269" t="str">
        <f>VLOOKUP(C1819,lookup!$B$2:$F$1240,2)</f>
        <v>lin ft</v>
      </c>
      <c r="E1819" s="271">
        <f>VLOOKUP(C1819,lookup!$B$2:$F$1240,5)</f>
        <v>20</v>
      </c>
    </row>
    <row r="1820" spans="1:5" ht="22.8" x14ac:dyDescent="0.25">
      <c r="A1820" s="169">
        <v>606</v>
      </c>
      <c r="C1820" s="106" t="s">
        <v>1185</v>
      </c>
      <c r="D1820" s="269" t="str">
        <f>VLOOKUP(C1820,lookup!$B$2:$F$1240,2)</f>
        <v>lin ft</v>
      </c>
      <c r="E1820" s="271">
        <f>VLOOKUP(C1820,lookup!$B$2:$F$1240,5)</f>
        <v>20</v>
      </c>
    </row>
    <row r="1821" spans="1:5" ht="22.8" x14ac:dyDescent="0.25">
      <c r="A1821" s="169">
        <v>606</v>
      </c>
      <c r="C1821" s="106" t="s">
        <v>1226</v>
      </c>
      <c r="D1821" s="269" t="str">
        <f>VLOOKUP(C1821,lookup!$B$2:$F$1240,2)</f>
        <v>lin ft</v>
      </c>
      <c r="E1821" s="271">
        <f>VLOOKUP(C1821,lookup!$B$2:$F$1240,5)</f>
        <v>20</v>
      </c>
    </row>
    <row r="1822" spans="1:5" ht="22.8" x14ac:dyDescent="0.25">
      <c r="A1822" s="169">
        <v>606</v>
      </c>
      <c r="C1822" s="106" t="s">
        <v>1186</v>
      </c>
      <c r="D1822" s="269" t="str">
        <f>VLOOKUP(C1822,lookup!$B$2:$F$1240,2)</f>
        <v>lin ft</v>
      </c>
      <c r="E1822" s="271">
        <f>VLOOKUP(C1822,lookup!$B$2:$F$1240,5)</f>
        <v>20</v>
      </c>
    </row>
    <row r="1823" spans="1:5" ht="22.8" x14ac:dyDescent="0.25">
      <c r="A1823" s="169">
        <v>606</v>
      </c>
      <c r="C1823" s="106" t="s">
        <v>1227</v>
      </c>
      <c r="D1823" s="269" t="str">
        <f>VLOOKUP(C1823,lookup!$B$2:$F$1240,2)</f>
        <v>lin ft</v>
      </c>
      <c r="E1823" s="271">
        <f>VLOOKUP(C1823,lookup!$B$2:$F$1240,5)</f>
        <v>20</v>
      </c>
    </row>
    <row r="1824" spans="1:5" ht="22.8" x14ac:dyDescent="0.25">
      <c r="A1824" s="169">
        <v>606</v>
      </c>
      <c r="C1824" s="106" t="s">
        <v>2655</v>
      </c>
      <c r="D1824" s="269" t="str">
        <f>VLOOKUP(C1824,lookup!$B$2:$F$1240,2)</f>
        <v>lin ft</v>
      </c>
      <c r="E1824" s="271">
        <f>VLOOKUP(C1824,lookup!$B$2:$F$1240,5)</f>
        <v>20</v>
      </c>
    </row>
    <row r="1825" spans="1:5" ht="22.8" x14ac:dyDescent="0.25">
      <c r="A1825" s="169">
        <v>606</v>
      </c>
      <c r="C1825" s="106" t="s">
        <v>1309</v>
      </c>
      <c r="D1825" s="269" t="str">
        <f>VLOOKUP(C1825,lookup!$B$2:$F$1240,2)</f>
        <v>lin ft</v>
      </c>
      <c r="E1825" s="271">
        <f>VLOOKUP(C1825,lookup!$B$2:$F$1240,5)</f>
        <v>20</v>
      </c>
    </row>
    <row r="1826" spans="1:5" ht="22.8" x14ac:dyDescent="0.25">
      <c r="A1826" s="169">
        <v>606</v>
      </c>
      <c r="C1826" s="106" t="s">
        <v>2656</v>
      </c>
      <c r="D1826" s="269" t="str">
        <f>VLOOKUP(C1826,lookup!$B$2:$F$1240,2)</f>
        <v>lin ft</v>
      </c>
      <c r="E1826" s="271">
        <f>VLOOKUP(C1826,lookup!$B$2:$F$1240,5)</f>
        <v>20</v>
      </c>
    </row>
    <row r="1827" spans="1:5" ht="22.8" x14ac:dyDescent="0.25">
      <c r="A1827" s="169">
        <v>606</v>
      </c>
      <c r="C1827" s="106" t="s">
        <v>214</v>
      </c>
      <c r="D1827" s="269" t="str">
        <f>VLOOKUP(C1827,lookup!$B$2:$F$1240,2)</f>
        <v>lin ft</v>
      </c>
      <c r="E1827" s="271">
        <f>VLOOKUP(C1827,lookup!$B$2:$F$1240,5)</f>
        <v>20</v>
      </c>
    </row>
    <row r="1828" spans="1:5" ht="22.8" x14ac:dyDescent="0.25">
      <c r="A1828" s="169">
        <v>606</v>
      </c>
      <c r="C1828" s="106" t="s">
        <v>1481</v>
      </c>
      <c r="D1828" s="269" t="str">
        <f>VLOOKUP(C1828,lookup!$B$2:$F$1240,2)</f>
        <v>lin ft</v>
      </c>
      <c r="E1828" s="271">
        <f>VLOOKUP(C1828,lookup!$B$2:$F$1240,5)</f>
        <v>20</v>
      </c>
    </row>
    <row r="1829" spans="1:5" ht="22.8" x14ac:dyDescent="0.25">
      <c r="A1829" s="169">
        <v>606</v>
      </c>
      <c r="C1829" s="106" t="s">
        <v>2168</v>
      </c>
      <c r="D1829" s="269" t="str">
        <f>VLOOKUP(C1829,lookup!$B$2:$F$1240,2)</f>
        <v>lin ft</v>
      </c>
      <c r="E1829" s="271">
        <f>VLOOKUP(C1829,lookup!$B$2:$F$1240,5)</f>
        <v>20</v>
      </c>
    </row>
    <row r="1830" spans="1:5" ht="22.8" x14ac:dyDescent="0.25">
      <c r="A1830" s="169">
        <v>606</v>
      </c>
      <c r="C1830" s="106" t="s">
        <v>438</v>
      </c>
      <c r="D1830" s="269" t="str">
        <f>VLOOKUP(C1830,lookup!$B$2:$F$1240,2)</f>
        <v>lin ft</v>
      </c>
      <c r="E1830" s="271">
        <f>VLOOKUP(C1830,lookup!$B$2:$F$1240,5)</f>
        <v>20</v>
      </c>
    </row>
    <row r="1831" spans="1:5" ht="22.8" x14ac:dyDescent="0.25">
      <c r="A1831" s="169">
        <v>606</v>
      </c>
      <c r="C1831" s="106" t="s">
        <v>1981</v>
      </c>
      <c r="D1831" s="269" t="str">
        <f>VLOOKUP(C1831,lookup!$B$2:$F$1240,2)</f>
        <v>lin ft</v>
      </c>
      <c r="E1831" s="271">
        <f>VLOOKUP(C1831,lookup!$B$2:$F$1240,5)</f>
        <v>20</v>
      </c>
    </row>
    <row r="1832" spans="1:5" ht="22.8" x14ac:dyDescent="0.25">
      <c r="A1832" s="169">
        <v>606</v>
      </c>
      <c r="C1832" s="106" t="s">
        <v>1397</v>
      </c>
      <c r="D1832" s="269" t="str">
        <f>VLOOKUP(C1832,lookup!$B$2:$F$1240,2)</f>
        <v>lin ft</v>
      </c>
      <c r="E1832" s="271">
        <f>VLOOKUP(C1832,lookup!$B$2:$F$1240,5)</f>
        <v>20</v>
      </c>
    </row>
    <row r="1833" spans="1:5" ht="22.8" x14ac:dyDescent="0.25">
      <c r="A1833" s="169">
        <v>606</v>
      </c>
      <c r="C1833" s="106" t="s">
        <v>1982</v>
      </c>
      <c r="D1833" s="269" t="str">
        <f>VLOOKUP(C1833,lookup!$B$2:$F$1240,2)</f>
        <v>lin ft</v>
      </c>
      <c r="E1833" s="271">
        <f>VLOOKUP(C1833,lookup!$B$2:$F$1240,5)</f>
        <v>20</v>
      </c>
    </row>
    <row r="1834" spans="1:5" x14ac:dyDescent="0.25">
      <c r="A1834" s="169">
        <v>606</v>
      </c>
      <c r="C1834" s="106" t="s">
        <v>1341</v>
      </c>
      <c r="D1834" s="269" t="str">
        <f>VLOOKUP(C1834,lookup!$B$2:$F$1240,2)</f>
        <v>ft</v>
      </c>
      <c r="E1834" s="271">
        <f>VLOOKUP(C1834,lookup!$B$2:$F$1240,5)</f>
        <v>2</v>
      </c>
    </row>
    <row r="1835" spans="1:5" x14ac:dyDescent="0.25">
      <c r="A1835" s="169">
        <v>606</v>
      </c>
      <c r="C1835" s="106" t="s">
        <v>2540</v>
      </c>
      <c r="D1835" s="269" t="str">
        <f>VLOOKUP(C1835,lookup!$B$2:$F$1240,2)</f>
        <v>ft</v>
      </c>
      <c r="E1835" s="271">
        <f>VLOOKUP(C1835,lookup!$B$2:$F$1240,5)</f>
        <v>2</v>
      </c>
    </row>
    <row r="1836" spans="1:5" x14ac:dyDescent="0.25">
      <c r="A1836" s="169">
        <v>606</v>
      </c>
      <c r="C1836" s="106" t="s">
        <v>2541</v>
      </c>
      <c r="D1836" s="269" t="str">
        <f>VLOOKUP(C1836,lookup!$B$2:$F$1240,2)</f>
        <v>ft</v>
      </c>
      <c r="E1836" s="271">
        <f>VLOOKUP(C1836,lookup!$B$2:$F$1240,5)</f>
        <v>2</v>
      </c>
    </row>
    <row r="1837" spans="1:5" x14ac:dyDescent="0.25">
      <c r="A1837" s="169">
        <v>606</v>
      </c>
      <c r="C1837" s="106" t="s">
        <v>2542</v>
      </c>
      <c r="D1837" s="269" t="str">
        <f>VLOOKUP(C1837,lookup!$B$2:$F$1240,2)</f>
        <v>ft</v>
      </c>
      <c r="E1837" s="271">
        <f>VLOOKUP(C1837,lookup!$B$2:$F$1240,5)</f>
        <v>2</v>
      </c>
    </row>
    <row r="1838" spans="1:5" x14ac:dyDescent="0.25">
      <c r="A1838" s="169">
        <v>606</v>
      </c>
      <c r="C1838" s="106" t="s">
        <v>699</v>
      </c>
      <c r="D1838" s="269" t="str">
        <f>VLOOKUP(C1838,lookup!$B$2:$F$1240,2)</f>
        <v>ea.</v>
      </c>
      <c r="E1838" s="271">
        <f>VLOOKUP(C1838,lookup!$B$2:$F$1240,5)</f>
        <v>30</v>
      </c>
    </row>
    <row r="1839" spans="1:5" x14ac:dyDescent="0.25">
      <c r="A1839" s="169">
        <v>606</v>
      </c>
      <c r="C1839" s="106" t="s">
        <v>700</v>
      </c>
      <c r="D1839" s="269" t="str">
        <f>VLOOKUP(C1839,lookup!$B$2:$F$1240,2)</f>
        <v>ea.</v>
      </c>
      <c r="E1839" s="271">
        <f>VLOOKUP(C1839,lookup!$B$2:$F$1240,5)</f>
        <v>32</v>
      </c>
    </row>
    <row r="1840" spans="1:5" x14ac:dyDescent="0.25">
      <c r="A1840" s="169">
        <v>606</v>
      </c>
      <c r="C1840" s="106" t="s">
        <v>701</v>
      </c>
      <c r="D1840" s="269" t="str">
        <f>VLOOKUP(C1840,lookup!$B$2:$F$1240,2)</f>
        <v>ea.</v>
      </c>
      <c r="E1840" s="271">
        <f>VLOOKUP(C1840,lookup!$B$2:$F$1240,5)</f>
        <v>46</v>
      </c>
    </row>
    <row r="1841" spans="1:5" x14ac:dyDescent="0.25">
      <c r="A1841" s="169">
        <v>606</v>
      </c>
      <c r="C1841" s="106" t="s">
        <v>702</v>
      </c>
      <c r="D1841" s="269" t="str">
        <f>VLOOKUP(C1841,lookup!$B$2:$F$1240,2)</f>
        <v>ea.</v>
      </c>
      <c r="E1841" s="271">
        <f>VLOOKUP(C1841,lookup!$B$2:$F$1240,5)</f>
        <v>21</v>
      </c>
    </row>
    <row r="1842" spans="1:5" x14ac:dyDescent="0.25">
      <c r="A1842" s="169">
        <v>606</v>
      </c>
      <c r="C1842" s="106" t="s">
        <v>703</v>
      </c>
      <c r="D1842" s="269" t="str">
        <f>VLOOKUP(C1842,lookup!$B$2:$F$1240,2)</f>
        <v>ea.</v>
      </c>
      <c r="E1842" s="271">
        <f>VLOOKUP(C1842,lookup!$B$2:$F$1240,5)</f>
        <v>23</v>
      </c>
    </row>
    <row r="1843" spans="1:5" x14ac:dyDescent="0.25">
      <c r="A1843" s="169">
        <v>606</v>
      </c>
      <c r="C1843" s="106" t="s">
        <v>704</v>
      </c>
      <c r="D1843" s="269" t="str">
        <f>VLOOKUP(C1843,lookup!$B$2:$F$1240,2)</f>
        <v>ea.</v>
      </c>
      <c r="E1843" s="271">
        <f>VLOOKUP(C1843,lookup!$B$2:$F$1240,5)</f>
        <v>26</v>
      </c>
    </row>
    <row r="1844" spans="1:5" x14ac:dyDescent="0.25">
      <c r="A1844" s="169">
        <v>607</v>
      </c>
      <c r="B1844" s="173" t="s">
        <v>2051</v>
      </c>
      <c r="D1844" s="269" t="e">
        <f>VLOOKUP(C1844,lookup!$B$2:$F$1240,2)</f>
        <v>#N/A</v>
      </c>
      <c r="E1844" s="271" t="e">
        <f>VLOOKUP(C1844,lookup!$B$2:$F$1240,5)</f>
        <v>#N/A</v>
      </c>
    </row>
    <row r="1845" spans="1:5" x14ac:dyDescent="0.25">
      <c r="A1845" s="169">
        <v>608</v>
      </c>
      <c r="B1845" s="172" t="s">
        <v>2052</v>
      </c>
      <c r="D1845" s="269" t="e">
        <f>VLOOKUP(C1845,lookup!$B$2:$F$1240,2)</f>
        <v>#N/A</v>
      </c>
      <c r="E1845" s="271" t="e">
        <f>VLOOKUP(C1845,lookup!$B$2:$F$1240,5)</f>
        <v>#N/A</v>
      </c>
    </row>
    <row r="1846" spans="1:5" x14ac:dyDescent="0.25">
      <c r="A1846" s="169">
        <v>608</v>
      </c>
      <c r="C1846" s="106" t="s">
        <v>1376</v>
      </c>
      <c r="D1846" s="269" t="str">
        <f>VLOOKUP(C1846,lookup!$B$2:$F$1240,2)</f>
        <v>cu yd</v>
      </c>
      <c r="E1846" s="271">
        <f>VLOOKUP(C1846,lookup!$B$2:$F$1240,5)</f>
        <v>3.5</v>
      </c>
    </row>
    <row r="1847" spans="1:5" x14ac:dyDescent="0.25">
      <c r="A1847" s="169">
        <v>608</v>
      </c>
      <c r="C1847" s="106" t="s">
        <v>1110</v>
      </c>
      <c r="D1847" s="269" t="str">
        <f>VLOOKUP(C1847,lookup!$B$2:$F$1240,2)</f>
        <v>Cu Yd</v>
      </c>
      <c r="E1847" s="271">
        <f>VLOOKUP(C1847,lookup!$B$2:$F$1240,5)</f>
        <v>0</v>
      </c>
    </row>
    <row r="1848" spans="1:5" x14ac:dyDescent="0.25">
      <c r="A1848" s="169">
        <v>608</v>
      </c>
      <c r="C1848" s="106" t="s">
        <v>2313</v>
      </c>
      <c r="D1848" s="269" t="str">
        <f>VLOOKUP(C1848,lookup!$B$2:$F$1240,2)</f>
        <v>l.s.</v>
      </c>
      <c r="E1848" s="271">
        <f>VLOOKUP(C1848,lookup!$B$2:$F$1240,5)</f>
        <v>400</v>
      </c>
    </row>
    <row r="1849" spans="1:5" x14ac:dyDescent="0.25">
      <c r="A1849" s="169">
        <v>608</v>
      </c>
      <c r="C1849" s="106" t="s">
        <v>1034</v>
      </c>
      <c r="D1849" s="269" t="str">
        <f>VLOOKUP(C1849,lookup!$B$2:$F$1240,2)</f>
        <v>l.s.</v>
      </c>
      <c r="E1849" s="271">
        <f>VLOOKUP(C1849,lookup!$B$2:$F$1240,5)</f>
        <v>400</v>
      </c>
    </row>
    <row r="1850" spans="1:5" x14ac:dyDescent="0.25">
      <c r="A1850" s="169">
        <v>608</v>
      </c>
      <c r="C1850" s="106" t="s">
        <v>1034</v>
      </c>
      <c r="D1850" s="269" t="str">
        <f>VLOOKUP(C1850,lookup!$B$2:$F$1240,2)</f>
        <v>l.s.</v>
      </c>
      <c r="E1850" s="271">
        <f>VLOOKUP(C1850,lookup!$B$2:$F$1240,5)</f>
        <v>400</v>
      </c>
    </row>
    <row r="1851" spans="1:5" x14ac:dyDescent="0.25">
      <c r="A1851" s="169">
        <v>608</v>
      </c>
      <c r="C1851" s="106" t="s">
        <v>1996</v>
      </c>
      <c r="D1851" s="269" t="str">
        <f>VLOOKUP(C1851,lookup!$B$2:$F$1240,2)</f>
        <v>ton</v>
      </c>
      <c r="E1851" s="271">
        <f>VLOOKUP(C1851,lookup!$B$2:$F$1240,5)</f>
        <v>21.63</v>
      </c>
    </row>
    <row r="1852" spans="1:5" x14ac:dyDescent="0.25">
      <c r="A1852" s="169">
        <v>608</v>
      </c>
      <c r="C1852" s="106" t="s">
        <v>1999</v>
      </c>
      <c r="D1852" s="269" t="str">
        <f>VLOOKUP(C1852,lookup!$B$2:$F$1240,2)</f>
        <v>ton</v>
      </c>
      <c r="E1852" s="271">
        <f>VLOOKUP(C1852,lookup!$B$2:$F$1240,5)</f>
        <v>21.63</v>
      </c>
    </row>
    <row r="1853" spans="1:5" x14ac:dyDescent="0.25">
      <c r="A1853" s="169">
        <v>608</v>
      </c>
      <c r="C1853" s="106" t="s">
        <v>2786</v>
      </c>
      <c r="D1853" s="269" t="str">
        <f>VLOOKUP(C1853,lookup!$B$2:$F$1240,2)</f>
        <v>ton</v>
      </c>
      <c r="E1853" s="271">
        <f>VLOOKUP(C1853,lookup!$B$2:$F$1240,5)</f>
        <v>21.63</v>
      </c>
    </row>
    <row r="1854" spans="1:5" x14ac:dyDescent="0.25">
      <c r="A1854" s="169">
        <v>608</v>
      </c>
      <c r="C1854" s="106" t="s">
        <v>2784</v>
      </c>
      <c r="D1854" s="269" t="str">
        <f>VLOOKUP(C1854,lookup!$B$2:$F$1240,2)</f>
        <v>ton</v>
      </c>
      <c r="E1854" s="271">
        <f>VLOOKUP(C1854,lookup!$B$2:$F$1240,5)</f>
        <v>21.63</v>
      </c>
    </row>
    <row r="1855" spans="1:5" x14ac:dyDescent="0.25">
      <c r="A1855" s="169">
        <v>608</v>
      </c>
      <c r="C1855" s="106" t="s">
        <v>2433</v>
      </c>
      <c r="D1855" s="269" t="str">
        <f>VLOOKUP(C1855,lookup!$B$2:$F$1240,2)</f>
        <v>Cu Yd</v>
      </c>
      <c r="E1855" s="271">
        <f>VLOOKUP(C1855,lookup!$B$2:$F$1240,5)</f>
        <v>3.5</v>
      </c>
    </row>
    <row r="1856" spans="1:5" ht="22.8" x14ac:dyDescent="0.25">
      <c r="A1856" s="169">
        <v>608</v>
      </c>
      <c r="C1856" s="106" t="s">
        <v>1475</v>
      </c>
      <c r="D1856" s="269">
        <f>VLOOKUP(C1856,lookup!$B$2:$F$1240,2)</f>
        <v>0</v>
      </c>
      <c r="E1856" s="271">
        <f>VLOOKUP(C1856,lookup!$B$2:$F$1240,5)</f>
        <v>0</v>
      </c>
    </row>
    <row r="1857" spans="1:6" ht="22.8" x14ac:dyDescent="0.25">
      <c r="A1857" s="169">
        <v>608</v>
      </c>
      <c r="C1857" s="106" t="s">
        <v>907</v>
      </c>
      <c r="D1857" s="269" t="str">
        <f>VLOOKUP(C1857,lookup!$B$2:$F$1240,2)</f>
        <v>sq ft</v>
      </c>
      <c r="E1857" s="271">
        <f>VLOOKUP(C1857,lookup!$B$2:$F$1240,5)</f>
        <v>0</v>
      </c>
    </row>
    <row r="1858" spans="1:6" ht="22.8" x14ac:dyDescent="0.25">
      <c r="A1858" s="169">
        <v>608</v>
      </c>
      <c r="C1858" s="106" t="s">
        <v>908</v>
      </c>
      <c r="D1858" s="269">
        <f>VLOOKUP(C1858,lookup!$B$2:$F$1240,2)</f>
        <v>0</v>
      </c>
      <c r="E1858" s="271">
        <f>VLOOKUP(C1858,lookup!$B$2:$F$1240,5)</f>
        <v>0</v>
      </c>
    </row>
    <row r="1859" spans="1:6" ht="22.8" x14ac:dyDescent="0.25">
      <c r="A1859" s="169">
        <v>608</v>
      </c>
      <c r="C1859" s="106" t="s">
        <v>910</v>
      </c>
      <c r="D1859" s="269">
        <f>VLOOKUP(C1859,lookup!$B$2:$F$1240,2)</f>
        <v>0</v>
      </c>
      <c r="E1859" s="271">
        <f>VLOOKUP(C1859,lookup!$B$2:$F$1240,5)</f>
        <v>0</v>
      </c>
    </row>
    <row r="1860" spans="1:6" x14ac:dyDescent="0.25">
      <c r="A1860" s="169">
        <v>608</v>
      </c>
      <c r="C1860" s="106" t="s">
        <v>1523</v>
      </c>
      <c r="D1860" s="269">
        <f>VLOOKUP(C1860,lookup!$B$2:$F$1240,2)</f>
        <v>0</v>
      </c>
      <c r="E1860" s="271">
        <f>VLOOKUP(C1860,lookup!$B$2:$F$1240,5)</f>
        <v>0</v>
      </c>
    </row>
    <row r="1861" spans="1:6" x14ac:dyDescent="0.25">
      <c r="A1861" s="169">
        <v>608</v>
      </c>
      <c r="C1861" s="106" t="s">
        <v>243</v>
      </c>
      <c r="D1861" s="269">
        <f>VLOOKUP(C1861,lookup!$B$2:$F$1240,2)</f>
        <v>0</v>
      </c>
      <c r="E1861" s="271">
        <f>VLOOKUP(C1861,lookup!$B$2:$F$1240,5)</f>
        <v>0</v>
      </c>
    </row>
    <row r="1862" spans="1:6" x14ac:dyDescent="0.25">
      <c r="A1862" s="169">
        <v>612</v>
      </c>
      <c r="B1862" s="172" t="s">
        <v>2054</v>
      </c>
      <c r="D1862" s="269" t="e">
        <f>VLOOKUP(C1862,lookup!$B$2:$F$1240,2)</f>
        <v>#N/A</v>
      </c>
      <c r="E1862" s="271" t="e">
        <f>VLOOKUP(C1862,lookup!$B$2:$F$1240,5)</f>
        <v>#N/A</v>
      </c>
      <c r="F1862" t="s">
        <v>3113</v>
      </c>
    </row>
    <row r="1863" spans="1:6" x14ac:dyDescent="0.25">
      <c r="A1863" s="169">
        <v>612</v>
      </c>
      <c r="C1863" s="106" t="s">
        <v>199</v>
      </c>
      <c r="D1863" s="269" t="str">
        <f>VLOOKUP(C1863,lookup!$B$2:$F$1240,2)</f>
        <v>Ac.</v>
      </c>
      <c r="E1863" s="271">
        <f>VLOOKUP(C1863,lookup!$B$2:$F$1240,5)</f>
        <v>5</v>
      </c>
    </row>
    <row r="1864" spans="1:6" x14ac:dyDescent="0.25">
      <c r="A1864" s="169">
        <v>612</v>
      </c>
      <c r="C1864" s="106" t="s">
        <v>200</v>
      </c>
      <c r="D1864" s="269" t="str">
        <f>VLOOKUP(C1864,lookup!$B$2:$F$1240,2)</f>
        <v>each</v>
      </c>
      <c r="E1864" s="271">
        <f>VLOOKUP(C1864,lookup!$B$2:$F$1240,5)</f>
        <v>1.2</v>
      </c>
    </row>
    <row r="1865" spans="1:6" ht="22.8" x14ac:dyDescent="0.25">
      <c r="A1865" s="169">
        <v>612</v>
      </c>
      <c r="C1865" s="106" t="s">
        <v>3129</v>
      </c>
      <c r="D1865" s="269" t="str">
        <f>VLOOKUP(C1865,lookup!$B$2:$F$1240,2)</f>
        <v>each</v>
      </c>
      <c r="E1865" s="271">
        <f>VLOOKUP(C1865,lookup!$B$2:$F$1240,5)</f>
        <v>2.75</v>
      </c>
    </row>
    <row r="1866" spans="1:6" ht="34.200000000000003" x14ac:dyDescent="0.25">
      <c r="A1866" s="169">
        <v>612</v>
      </c>
      <c r="C1866" s="106" t="s">
        <v>201</v>
      </c>
      <c r="D1866" s="269" t="str">
        <f>VLOOKUP(C1866,lookup!$B$2:$F$1240,2)</f>
        <v>each</v>
      </c>
      <c r="E1866" s="271">
        <f>VLOOKUP(C1866,lookup!$B$2:$F$1240,5)</f>
        <v>3.75</v>
      </c>
    </row>
    <row r="1867" spans="1:6" x14ac:dyDescent="0.25">
      <c r="A1867" s="169">
        <v>612</v>
      </c>
      <c r="C1867" s="106" t="s">
        <v>3126</v>
      </c>
      <c r="D1867" s="269" t="str">
        <f>VLOOKUP(C1867,lookup!$B$2:$F$1240,2)</f>
        <v>acre</v>
      </c>
      <c r="E1867" s="271">
        <f>VLOOKUP(C1867,lookup!$B$2:$F$1240,5)</f>
        <v>140</v>
      </c>
    </row>
    <row r="1868" spans="1:6" ht="22.8" x14ac:dyDescent="0.25">
      <c r="A1868" s="169">
        <v>612</v>
      </c>
      <c r="C1868" s="106" t="s">
        <v>170</v>
      </c>
      <c r="D1868" s="269" t="str">
        <f>VLOOKUP(C1868,lookup!$B$2:$F$1240,2)</f>
        <v>each</v>
      </c>
      <c r="E1868" s="271">
        <f>VLOOKUP(C1868,lookup!$B$2:$F$1240,5)</f>
        <v>0.8</v>
      </c>
    </row>
    <row r="1869" spans="1:6" x14ac:dyDescent="0.25">
      <c r="A1869" s="169">
        <v>612</v>
      </c>
      <c r="C1869" s="106" t="s">
        <v>3128</v>
      </c>
      <c r="D1869" s="269" t="str">
        <f>VLOOKUP(C1869,lookup!$B$2:$F$1240,2)</f>
        <v>each</v>
      </c>
      <c r="E1869" s="271">
        <f>VLOOKUP(C1869,lookup!$B$2:$F$1240,5)</f>
        <v>1.2</v>
      </c>
    </row>
    <row r="1870" spans="1:6" x14ac:dyDescent="0.25">
      <c r="A1870" s="169">
        <v>612</v>
      </c>
      <c r="C1870" s="106" t="s">
        <v>3114</v>
      </c>
      <c r="D1870" s="269" t="str">
        <f>VLOOKUP(C1870,lookup!$B$2:$F$1240,2)</f>
        <v>ac</v>
      </c>
      <c r="E1870" s="271">
        <f>VLOOKUP(C1870,lookup!$B$2:$F$1240,5)</f>
        <v>0</v>
      </c>
    </row>
    <row r="1871" spans="1:6" x14ac:dyDescent="0.25">
      <c r="A1871" s="169">
        <v>612</v>
      </c>
      <c r="C1871" s="106" t="s">
        <v>3122</v>
      </c>
      <c r="D1871" s="269" t="str">
        <f>VLOOKUP(C1871,lookup!$B$2:$F$1240,2)</f>
        <v>each</v>
      </c>
      <c r="E1871" s="271">
        <f>VLOOKUP(C1871,lookup!$B$2:$F$1240,5)</f>
        <v>0.8</v>
      </c>
    </row>
    <row r="1872" spans="1:6" x14ac:dyDescent="0.25">
      <c r="A1872" s="169">
        <v>612</v>
      </c>
      <c r="C1872" s="106" t="s">
        <v>1355</v>
      </c>
      <c r="D1872" s="269">
        <f>VLOOKUP(C1872,lookup!$B$2:$F$1240,2)</f>
        <v>0</v>
      </c>
      <c r="E1872" s="271">
        <f>VLOOKUP(C1872,lookup!$B$2:$F$1240,5)</f>
        <v>0</v>
      </c>
    </row>
    <row r="1873" spans="1:5" x14ac:dyDescent="0.25">
      <c r="A1873" s="169">
        <v>612</v>
      </c>
      <c r="C1873" s="106" t="s">
        <v>1157</v>
      </c>
      <c r="D1873" s="269" t="str">
        <f>VLOOKUP(C1873,lookup!$B$2:$F$1240,2)</f>
        <v>Gal.</v>
      </c>
      <c r="E1873" s="271">
        <f>VLOOKUP(C1873,lookup!$B$2:$F$1240,5)</f>
        <v>38.5</v>
      </c>
    </row>
    <row r="1874" spans="1:5" x14ac:dyDescent="0.25">
      <c r="A1874" s="169">
        <v>612</v>
      </c>
      <c r="C1874" s="106" t="s">
        <v>3131</v>
      </c>
      <c r="D1874" s="269" t="str">
        <f>VLOOKUP(C1874,lookup!$B$2:$F$1240,2)</f>
        <v>each</v>
      </c>
      <c r="E1874" s="271">
        <f>VLOOKUP(C1874,lookup!$B$2:$F$1240,5)</f>
        <v>0.5</v>
      </c>
    </row>
    <row r="1875" spans="1:5" x14ac:dyDescent="0.25">
      <c r="A1875" s="169">
        <v>612</v>
      </c>
      <c r="C1875" s="106" t="s">
        <v>3115</v>
      </c>
      <c r="D1875" s="269" t="str">
        <f>VLOOKUP(C1875,lookup!$B$2:$F$1240,2)</f>
        <v>hr</v>
      </c>
      <c r="E1875" s="271">
        <f>VLOOKUP(C1875,lookup!$B$2:$F$1240,5)</f>
        <v>20</v>
      </c>
    </row>
    <row r="1876" spans="1:5" ht="22.8" x14ac:dyDescent="0.25">
      <c r="A1876" s="169">
        <v>612</v>
      </c>
      <c r="C1876" s="106" t="s">
        <v>3116</v>
      </c>
      <c r="D1876" s="269" t="str">
        <f>VLOOKUP(C1876,lookup!$B$2:$F$1240,2)</f>
        <v>ac</v>
      </c>
      <c r="E1876" s="271">
        <f>VLOOKUP(C1876,lookup!$B$2:$F$1240,5)</f>
        <v>116</v>
      </c>
    </row>
    <row r="1877" spans="1:5" x14ac:dyDescent="0.25">
      <c r="A1877" s="169">
        <v>612</v>
      </c>
      <c r="C1877" s="106" t="s">
        <v>3067</v>
      </c>
      <c r="D1877" s="269" t="str">
        <f>VLOOKUP(C1877,lookup!$B$2:$F$1240,2)</f>
        <v>each</v>
      </c>
      <c r="E1877" s="271">
        <f>VLOOKUP(C1877,lookup!$B$2:$F$1240,5)</f>
        <v>10</v>
      </c>
    </row>
    <row r="1878" spans="1:5" ht="22.8" x14ac:dyDescent="0.25">
      <c r="A1878" s="169">
        <v>612</v>
      </c>
      <c r="C1878" s="106" t="s">
        <v>3117</v>
      </c>
      <c r="D1878" s="269" t="str">
        <f>VLOOKUP(C1878,lookup!$B$2:$F$1240,2)</f>
        <v>each</v>
      </c>
      <c r="E1878" s="271">
        <f>VLOOKUP(C1878,lookup!$B$2:$F$1240,5)</f>
        <v>2</v>
      </c>
    </row>
    <row r="1879" spans="1:5" ht="22.8" x14ac:dyDescent="0.25">
      <c r="A1879" s="169">
        <v>612</v>
      </c>
      <c r="C1879" s="106" t="s">
        <v>3130</v>
      </c>
      <c r="D1879" s="269" t="str">
        <f>VLOOKUP(C1879,lookup!$B$2:$F$1240,2)</f>
        <v>each</v>
      </c>
      <c r="E1879" s="271">
        <f>VLOOKUP(C1879,lookup!$B$2:$F$1240,5)</f>
        <v>1</v>
      </c>
    </row>
    <row r="1880" spans="1:5" ht="22.8" x14ac:dyDescent="0.25">
      <c r="A1880" s="169">
        <v>612</v>
      </c>
      <c r="C1880" s="106" t="s">
        <v>3118</v>
      </c>
      <c r="D1880" s="269" t="str">
        <f>VLOOKUP(C1880,lookup!$B$2:$F$1240,2)</f>
        <v>each</v>
      </c>
      <c r="E1880" s="271">
        <f>VLOOKUP(C1880,lookup!$B$2:$F$1240,5)</f>
        <v>10</v>
      </c>
    </row>
    <row r="1881" spans="1:5" ht="22.8" x14ac:dyDescent="0.25">
      <c r="A1881" s="169">
        <v>612</v>
      </c>
      <c r="C1881" s="106" t="s">
        <v>3119</v>
      </c>
      <c r="D1881" s="269" t="str">
        <f>VLOOKUP(C1881,lookup!$B$2:$F$1240,2)</f>
        <v>each</v>
      </c>
      <c r="E1881" s="271">
        <f>VLOOKUP(C1881,lookup!$B$2:$F$1240,5)</f>
        <v>15</v>
      </c>
    </row>
    <row r="1882" spans="1:5" x14ac:dyDescent="0.25">
      <c r="A1882" s="169">
        <v>612</v>
      </c>
      <c r="C1882" s="106" t="s">
        <v>3120</v>
      </c>
      <c r="D1882" s="269" t="str">
        <f>VLOOKUP(C1882,lookup!$B$2:$F$1240,2)</f>
        <v>each</v>
      </c>
      <c r="E1882" s="271">
        <f>VLOOKUP(C1882,lookup!$B$2:$F$1240,5)</f>
        <v>0.5</v>
      </c>
    </row>
    <row r="1883" spans="1:5" x14ac:dyDescent="0.25">
      <c r="A1883" s="169">
        <v>612</v>
      </c>
      <c r="C1883" s="106" t="s">
        <v>3121</v>
      </c>
      <c r="D1883" s="269" t="str">
        <f>VLOOKUP(C1883,lookup!$B$2:$F$1240,2)</f>
        <v>each</v>
      </c>
      <c r="E1883" s="271">
        <f>VLOOKUP(C1883,lookup!$B$2:$F$1240,5)</f>
        <v>1.2</v>
      </c>
    </row>
    <row r="1884" spans="1:5" x14ac:dyDescent="0.25">
      <c r="A1884" s="169">
        <v>612</v>
      </c>
      <c r="C1884" s="106" t="s">
        <v>3123</v>
      </c>
      <c r="D1884" s="269" t="str">
        <f>VLOOKUP(C1884,lookup!$B$2:$F$1240,2)</f>
        <v>each</v>
      </c>
      <c r="E1884" s="271">
        <f>VLOOKUP(C1884,lookup!$B$2:$F$1240,5)</f>
        <v>1</v>
      </c>
    </row>
    <row r="1885" spans="1:5" x14ac:dyDescent="0.25">
      <c r="A1885" s="169">
        <v>612</v>
      </c>
      <c r="C1885" s="106" t="s">
        <v>3124</v>
      </c>
      <c r="D1885" s="269" t="str">
        <f>VLOOKUP(C1885,lookup!$B$2:$F$1240,2)</f>
        <v>lb</v>
      </c>
      <c r="E1885" s="271">
        <f>VLOOKUP(C1885,lookup!$B$2:$F$1240,5)</f>
        <v>9</v>
      </c>
    </row>
    <row r="1886" spans="1:5" x14ac:dyDescent="0.25">
      <c r="A1886" s="169">
        <v>612</v>
      </c>
      <c r="C1886" s="106" t="s">
        <v>3125</v>
      </c>
      <c r="D1886" s="269" t="str">
        <f>VLOOKUP(C1886,lookup!$B$2:$F$1240,2)</f>
        <v>lb</v>
      </c>
      <c r="E1886" s="271">
        <f>VLOOKUP(C1886,lookup!$B$2:$F$1240,5)</f>
        <v>65.45</v>
      </c>
    </row>
    <row r="1887" spans="1:5" x14ac:dyDescent="0.25">
      <c r="A1887" s="169">
        <v>612</v>
      </c>
      <c r="C1887" s="106" t="s">
        <v>3127</v>
      </c>
      <c r="D1887" s="269" t="str">
        <f>VLOOKUP(C1887,lookup!$B$2:$F$1240,2)</f>
        <v>sq ft</v>
      </c>
      <c r="E1887" s="271">
        <f>VLOOKUP(C1887,lookup!$B$2:$F$1240,5)</f>
        <v>6.5</v>
      </c>
    </row>
    <row r="1888" spans="1:5" x14ac:dyDescent="0.25">
      <c r="A1888" s="169">
        <v>612</v>
      </c>
      <c r="C1888" s="106" t="s">
        <v>3132</v>
      </c>
      <c r="D1888" s="269" t="str">
        <f>VLOOKUP(C1888,lookup!$B$2:$F$1240,2)</f>
        <v>each</v>
      </c>
      <c r="E1888" s="271">
        <f>VLOOKUP(C1888,lookup!$B$2:$F$1240,5)</f>
        <v>0.9</v>
      </c>
    </row>
    <row r="1889" spans="1:5" x14ac:dyDescent="0.25">
      <c r="A1889" s="169">
        <v>614</v>
      </c>
      <c r="B1889" s="172" t="s">
        <v>2072</v>
      </c>
      <c r="D1889" s="269" t="e">
        <f>VLOOKUP(C1889,lookup!$B$2:$F$1240,2)</f>
        <v>#N/A</v>
      </c>
      <c r="E1889" s="271" t="e">
        <f>VLOOKUP(C1889,lookup!$B$2:$F$1240,5)</f>
        <v>#N/A</v>
      </c>
    </row>
    <row r="1890" spans="1:5" ht="22.8" x14ac:dyDescent="0.25">
      <c r="A1890" s="169">
        <v>614</v>
      </c>
      <c r="C1890" s="106" t="s">
        <v>1399</v>
      </c>
      <c r="D1890" s="269" t="e">
        <f>VLOOKUP(C1890,lookup!$B$2:$F$1240,2)</f>
        <v>#N/A</v>
      </c>
      <c r="E1890" s="271" t="e">
        <f>VLOOKUP(C1890,lookup!$B$2:$F$1240,5)</f>
        <v>#N/A</v>
      </c>
    </row>
    <row r="1891" spans="1:5" x14ac:dyDescent="0.25">
      <c r="A1891" s="169">
        <v>614</v>
      </c>
      <c r="C1891" s="106" t="s">
        <v>1369</v>
      </c>
      <c r="D1891" s="269">
        <f>VLOOKUP(C1891,lookup!$B$2:$F$1240,2)</f>
        <v>0</v>
      </c>
      <c r="E1891" s="271">
        <f>VLOOKUP(C1891,lookup!$B$2:$F$1240,5)</f>
        <v>0</v>
      </c>
    </row>
    <row r="1892" spans="1:5" x14ac:dyDescent="0.25">
      <c r="A1892" s="169">
        <v>614</v>
      </c>
      <c r="C1892" s="106" t="s">
        <v>1370</v>
      </c>
      <c r="D1892" s="269">
        <f>VLOOKUP(C1892,lookup!$B$2:$F$1240,2)</f>
        <v>0</v>
      </c>
      <c r="E1892" s="271">
        <f>VLOOKUP(C1892,lookup!$B$2:$F$1240,5)</f>
        <v>0</v>
      </c>
    </row>
    <row r="1893" spans="1:5" x14ac:dyDescent="0.25">
      <c r="A1893" s="169">
        <v>614</v>
      </c>
      <c r="C1893" s="106" t="s">
        <v>2538</v>
      </c>
      <c r="D1893" s="269" t="str">
        <f>VLOOKUP(C1893,lookup!$B$2:$F$1240,2)</f>
        <v>lin ft</v>
      </c>
      <c r="E1893" s="271">
        <f>VLOOKUP(C1893,lookup!$B$2:$F$1240,5)</f>
        <v>5.05</v>
      </c>
    </row>
    <row r="1894" spans="1:5" x14ac:dyDescent="0.25">
      <c r="A1894" s="169">
        <v>614</v>
      </c>
      <c r="C1894" s="106" t="s">
        <v>2026</v>
      </c>
      <c r="D1894" s="269" t="str">
        <f>VLOOKUP(C1894,lookup!$B$2:$F$1240,2)</f>
        <v>lin ft</v>
      </c>
      <c r="E1894" s="271">
        <f>VLOOKUP(C1894,lookup!$B$2:$F$1240,5)</f>
        <v>5.05</v>
      </c>
    </row>
    <row r="1895" spans="1:5" x14ac:dyDescent="0.25">
      <c r="A1895" s="169">
        <v>614</v>
      </c>
      <c r="C1895" s="106" t="s">
        <v>479</v>
      </c>
      <c r="D1895" s="269" t="str">
        <f>VLOOKUP(C1895,lookup!$B$2:$F$1240,2)</f>
        <v>ft</v>
      </c>
      <c r="E1895" s="271">
        <f>VLOOKUP(C1895,lookup!$B$2:$F$1240,5)</f>
        <v>2.5</v>
      </c>
    </row>
    <row r="1896" spans="1:5" x14ac:dyDescent="0.25">
      <c r="A1896" s="169">
        <v>614</v>
      </c>
      <c r="C1896" s="106" t="s">
        <v>2539</v>
      </c>
      <c r="D1896" s="269" t="str">
        <f>VLOOKUP(C1896,lookup!$B$2:$F$1240,2)</f>
        <v>ft</v>
      </c>
      <c r="E1896" s="271">
        <f>VLOOKUP(C1896,lookup!$B$2:$F$1240,5)</f>
        <v>2</v>
      </c>
    </row>
    <row r="1897" spans="1:5" x14ac:dyDescent="0.25">
      <c r="A1897" s="169">
        <v>614</v>
      </c>
      <c r="C1897" s="106" t="s">
        <v>2704</v>
      </c>
      <c r="D1897" s="269">
        <f>VLOOKUP(C1897,lookup!$B$2:$F$1240,2)</f>
        <v>0</v>
      </c>
      <c r="E1897" s="271">
        <f>VLOOKUP(C1897,lookup!$B$2:$F$1240,5)</f>
        <v>0</v>
      </c>
    </row>
    <row r="1898" spans="1:5" x14ac:dyDescent="0.25">
      <c r="A1898" s="169">
        <v>614</v>
      </c>
      <c r="C1898" s="106" t="s">
        <v>2430</v>
      </c>
      <c r="D1898" s="269" t="str">
        <f>VLOOKUP(C1898,lookup!$B$2:$F$1240,2)</f>
        <v>each</v>
      </c>
      <c r="E1898" s="271">
        <f>VLOOKUP(C1898,lookup!$B$2:$F$1240,5)</f>
        <v>200</v>
      </c>
    </row>
    <row r="1899" spans="1:5" x14ac:dyDescent="0.25">
      <c r="A1899" s="169">
        <v>614</v>
      </c>
      <c r="C1899" s="106" t="s">
        <v>696</v>
      </c>
      <c r="D1899" s="269">
        <f>VLOOKUP(C1899,lookup!$B$2:$F$1240,2)</f>
        <v>0</v>
      </c>
      <c r="E1899" s="271">
        <f>VLOOKUP(C1899,lookup!$B$2:$F$1240,5)</f>
        <v>0</v>
      </c>
    </row>
    <row r="1900" spans="1:5" x14ac:dyDescent="0.25">
      <c r="A1900" s="169">
        <v>614</v>
      </c>
      <c r="C1900" s="106" t="s">
        <v>1377</v>
      </c>
      <c r="D1900" s="269">
        <f>VLOOKUP(C1900,lookup!$B$2:$F$1240,2)</f>
        <v>0</v>
      </c>
      <c r="E1900" s="271">
        <f>VLOOKUP(C1900,lookup!$B$2:$F$1240,5)</f>
        <v>0</v>
      </c>
    </row>
    <row r="1901" spans="1:5" x14ac:dyDescent="0.25">
      <c r="A1901" s="169">
        <v>614</v>
      </c>
      <c r="C1901" s="106" t="s">
        <v>1378</v>
      </c>
      <c r="D1901" s="269">
        <f>VLOOKUP(C1901,lookup!$B$2:$F$1240,2)</f>
        <v>0</v>
      </c>
      <c r="E1901" s="271">
        <f>VLOOKUP(C1901,lookup!$B$2:$F$1240,5)</f>
        <v>0</v>
      </c>
    </row>
    <row r="1902" spans="1:5" x14ac:dyDescent="0.25">
      <c r="A1902" s="169">
        <v>614</v>
      </c>
      <c r="C1902" s="106" t="s">
        <v>1379</v>
      </c>
      <c r="D1902" s="269">
        <f>VLOOKUP(C1902,lookup!$B$2:$F$1240,2)</f>
        <v>0</v>
      </c>
      <c r="E1902" s="271">
        <f>VLOOKUP(C1902,lookup!$B$2:$F$1240,5)</f>
        <v>0</v>
      </c>
    </row>
    <row r="1903" spans="1:5" x14ac:dyDescent="0.25">
      <c r="A1903" s="169">
        <v>614</v>
      </c>
      <c r="C1903" s="106" t="s">
        <v>671</v>
      </c>
      <c r="D1903" s="269">
        <f>VLOOKUP(C1903,lookup!$B$2:$F$1240,2)</f>
        <v>0</v>
      </c>
      <c r="E1903" s="271">
        <f>VLOOKUP(C1903,lookup!$B$2:$F$1240,5)</f>
        <v>0</v>
      </c>
    </row>
    <row r="1904" spans="1:5" x14ac:dyDescent="0.25">
      <c r="A1904" s="169">
        <v>614</v>
      </c>
      <c r="C1904" s="106" t="s">
        <v>672</v>
      </c>
      <c r="D1904" s="269">
        <f>VLOOKUP(C1904,lookup!$B$2:$F$1240,2)</f>
        <v>0</v>
      </c>
      <c r="E1904" s="271">
        <f>VLOOKUP(C1904,lookup!$B$2:$F$1240,5)</f>
        <v>0</v>
      </c>
    </row>
    <row r="1905" spans="1:5" x14ac:dyDescent="0.25">
      <c r="A1905" s="169">
        <v>620</v>
      </c>
      <c r="B1905" s="172" t="s">
        <v>2059</v>
      </c>
      <c r="D1905" s="269" t="e">
        <f>VLOOKUP(C1905,lookup!$B$2:$F$1240,2)</f>
        <v>#N/A</v>
      </c>
      <c r="E1905" s="271" t="e">
        <f>VLOOKUP(C1905,lookup!$B$2:$F$1240,5)</f>
        <v>#N/A</v>
      </c>
    </row>
    <row r="1906" spans="1:5" x14ac:dyDescent="0.25">
      <c r="A1906" s="169">
        <v>620</v>
      </c>
      <c r="C1906" s="106" t="s">
        <v>1376</v>
      </c>
      <c r="D1906" s="269" t="str">
        <f>VLOOKUP(C1906,lookup!$B$2:$F$1240,2)</f>
        <v>cu yd</v>
      </c>
      <c r="E1906" s="271">
        <f>VLOOKUP(C1906,lookup!$B$2:$F$1240,5)</f>
        <v>3.5</v>
      </c>
    </row>
    <row r="1907" spans="1:5" x14ac:dyDescent="0.25">
      <c r="A1907" s="169">
        <v>620</v>
      </c>
      <c r="C1907" s="106" t="s">
        <v>1110</v>
      </c>
      <c r="D1907" s="269" t="str">
        <f>VLOOKUP(C1907,lookup!$B$2:$F$1240,2)</f>
        <v>Cu Yd</v>
      </c>
      <c r="E1907" s="271">
        <f>VLOOKUP(C1907,lookup!$B$2:$F$1240,5)</f>
        <v>0</v>
      </c>
    </row>
    <row r="1908" spans="1:5" x14ac:dyDescent="0.25">
      <c r="A1908" s="169">
        <v>620</v>
      </c>
      <c r="C1908" s="106" t="s">
        <v>2313</v>
      </c>
      <c r="D1908" s="269" t="str">
        <f>VLOOKUP(C1908,lookup!$B$2:$F$1240,2)</f>
        <v>l.s.</v>
      </c>
      <c r="E1908" s="271">
        <f>VLOOKUP(C1908,lookup!$B$2:$F$1240,5)</f>
        <v>400</v>
      </c>
    </row>
    <row r="1909" spans="1:5" x14ac:dyDescent="0.25">
      <c r="A1909" s="169">
        <v>620</v>
      </c>
      <c r="C1909" s="106" t="s">
        <v>1034</v>
      </c>
      <c r="D1909" s="269" t="str">
        <f>VLOOKUP(C1909,lookup!$B$2:$F$1240,2)</f>
        <v>l.s.</v>
      </c>
      <c r="E1909" s="271">
        <f>VLOOKUP(C1909,lookup!$B$2:$F$1240,5)</f>
        <v>400</v>
      </c>
    </row>
    <row r="1910" spans="1:5" x14ac:dyDescent="0.25">
      <c r="A1910" s="169">
        <v>620</v>
      </c>
      <c r="C1910" s="106" t="s">
        <v>988</v>
      </c>
      <c r="D1910" s="269" t="str">
        <f>VLOOKUP(C1910,lookup!$B$2:$F$1240,2)</f>
        <v>ton</v>
      </c>
      <c r="E1910" s="271">
        <f>VLOOKUP(C1910,lookup!$B$2:$F$1240,5)</f>
        <v>20</v>
      </c>
    </row>
    <row r="1911" spans="1:5" x14ac:dyDescent="0.25">
      <c r="A1911" s="169">
        <v>620</v>
      </c>
      <c r="C1911" s="106" t="s">
        <v>2797</v>
      </c>
      <c r="D1911" s="269" t="str">
        <f>VLOOKUP(C1911,lookup!$B$2:$F$1240,2)</f>
        <v>ton</v>
      </c>
      <c r="E1911" s="271">
        <f>VLOOKUP(C1911,lookup!$B$2:$F$1240,5)</f>
        <v>20</v>
      </c>
    </row>
    <row r="1912" spans="1:5" x14ac:dyDescent="0.25">
      <c r="A1912" s="169">
        <v>620</v>
      </c>
      <c r="C1912" s="106" t="s">
        <v>3236</v>
      </c>
      <c r="D1912" s="269" t="str">
        <f>VLOOKUP(C1912,lookup!$B$2:$F$1240,2)</f>
        <v>lin ft</v>
      </c>
      <c r="E1912" s="271">
        <f>VLOOKUP(C1912,lookup!$B$2:$F$1240,5)</f>
        <v>2.11</v>
      </c>
    </row>
    <row r="1913" spans="1:5" x14ac:dyDescent="0.25">
      <c r="A1913" s="169">
        <v>620</v>
      </c>
      <c r="C1913" s="106" t="s">
        <v>3237</v>
      </c>
      <c r="D1913" s="269" t="str">
        <f>VLOOKUP(C1913,lookup!$B$2:$F$1240,2)</f>
        <v>lin ft</v>
      </c>
      <c r="E1913" s="271">
        <f>VLOOKUP(C1913,lookup!$B$2:$F$1240,5)</f>
        <v>3.5</v>
      </c>
    </row>
    <row r="1914" spans="1:5" ht="21" x14ac:dyDescent="0.25">
      <c r="A1914" s="169">
        <v>620</v>
      </c>
      <c r="C1914" s="258" t="s">
        <v>3242</v>
      </c>
      <c r="D1914" s="269" t="str">
        <f>VLOOKUP(C1914,lookup!$B$2:$F$1240,2)</f>
        <v>each</v>
      </c>
      <c r="E1914" s="271">
        <f>VLOOKUP(C1914,lookup!$B$2:$F$1240,5)</f>
        <v>227</v>
      </c>
    </row>
    <row r="1915" spans="1:5" ht="21" x14ac:dyDescent="0.25">
      <c r="A1915" s="169">
        <v>620</v>
      </c>
      <c r="C1915" s="258" t="s">
        <v>3245</v>
      </c>
      <c r="D1915" s="269" t="str">
        <f>VLOOKUP(C1915,lookup!$B$2:$F$1240,2)</f>
        <v>each</v>
      </c>
      <c r="E1915" s="271">
        <f>VLOOKUP(C1915,lookup!$B$2:$F$1240,5)</f>
        <v>420</v>
      </c>
    </row>
    <row r="1916" spans="1:5" x14ac:dyDescent="0.25">
      <c r="A1916" s="169">
        <v>620</v>
      </c>
      <c r="C1916" s="258" t="s">
        <v>3249</v>
      </c>
      <c r="D1916" s="269" t="str">
        <f>VLOOKUP(C1916,lookup!$B$2:$F$1240,2)</f>
        <v>each</v>
      </c>
      <c r="E1916" s="271">
        <f>VLOOKUP(C1916,lookup!$B$2:$F$1240,5)</f>
        <v>350</v>
      </c>
    </row>
    <row r="1917" spans="1:5" x14ac:dyDescent="0.25">
      <c r="A1917" s="169">
        <v>620</v>
      </c>
      <c r="C1917" s="258" t="s">
        <v>3250</v>
      </c>
      <c r="D1917" s="269" t="str">
        <f>VLOOKUP(C1917,lookup!$B$2:$F$1240,2)</f>
        <v>each</v>
      </c>
      <c r="E1917" s="271">
        <f>VLOOKUP(C1917,lookup!$B$2:$F$1240,5)</f>
        <v>420</v>
      </c>
    </row>
    <row r="1918" spans="1:5" ht="21" x14ac:dyDescent="0.25">
      <c r="A1918" s="169">
        <v>620</v>
      </c>
      <c r="C1918" s="258" t="s">
        <v>3251</v>
      </c>
      <c r="D1918" s="269" t="str">
        <f>VLOOKUP(C1918,lookup!$B$2:$F$1240,2)</f>
        <v>Ea.</v>
      </c>
      <c r="E1918" s="271">
        <f>VLOOKUP(C1918,lookup!$B$2:$F$1240,5)</f>
        <v>159</v>
      </c>
    </row>
    <row r="1919" spans="1:5" ht="21" x14ac:dyDescent="0.25">
      <c r="A1919" s="169">
        <v>620</v>
      </c>
      <c r="C1919" s="258" t="s">
        <v>3252</v>
      </c>
      <c r="D1919" s="269" t="str">
        <f>VLOOKUP(C1919,lookup!$B$2:$F$1240,2)</f>
        <v>Ea.</v>
      </c>
      <c r="E1919" s="271">
        <f>VLOOKUP(C1919,lookup!$B$2:$F$1240,5)</f>
        <v>65</v>
      </c>
    </row>
    <row r="1920" spans="1:5" x14ac:dyDescent="0.25">
      <c r="A1920" s="169">
        <v>620</v>
      </c>
      <c r="C1920" s="79" t="s">
        <v>3246</v>
      </c>
      <c r="D1920" s="269" t="str">
        <f>VLOOKUP(C1920,lookup!$B$2:$F$1240,2)</f>
        <v>Ac.</v>
      </c>
      <c r="E1920" s="271">
        <f>VLOOKUP(C1920,lookup!$B$2:$F$1240,5)</f>
        <v>1475</v>
      </c>
    </row>
    <row r="1921" spans="1:5" x14ac:dyDescent="0.25">
      <c r="A1921" s="169">
        <v>620</v>
      </c>
      <c r="C1921" s="106" t="s">
        <v>3239</v>
      </c>
      <c r="D1921" s="269" t="str">
        <f>VLOOKUP(C1921,lookup!$B$2:$F$1240,2)</f>
        <v>lin ft</v>
      </c>
      <c r="E1921" s="271">
        <f>VLOOKUP(C1921,lookup!$B$2:$F$1240,5)</f>
        <v>5.05</v>
      </c>
    </row>
    <row r="1922" spans="1:5" x14ac:dyDescent="0.25">
      <c r="A1922" s="169">
        <v>620</v>
      </c>
      <c r="C1922" s="106" t="s">
        <v>1988</v>
      </c>
      <c r="D1922" s="269" t="str">
        <f>VLOOKUP(C1922,lookup!$B$2:$F$1240,2)</f>
        <v>lin ft</v>
      </c>
      <c r="E1922" s="271">
        <f>VLOOKUP(C1922,lookup!$B$2:$F$1240,5)</f>
        <v>20</v>
      </c>
    </row>
    <row r="1923" spans="1:5" x14ac:dyDescent="0.25">
      <c r="A1923" s="169">
        <v>620</v>
      </c>
      <c r="C1923" s="106" t="s">
        <v>1989</v>
      </c>
      <c r="D1923" s="269" t="str">
        <f>VLOOKUP(C1923,lookup!$B$2:$F$1240,2)</f>
        <v>lin ft</v>
      </c>
      <c r="E1923" s="271">
        <f>VLOOKUP(C1923,lookup!$B$2:$F$1240,5)</f>
        <v>20</v>
      </c>
    </row>
    <row r="1924" spans="1:5" x14ac:dyDescent="0.25">
      <c r="A1924" s="169">
        <v>620</v>
      </c>
      <c r="C1924" s="106" t="s">
        <v>2195</v>
      </c>
      <c r="D1924" s="269" t="str">
        <f>VLOOKUP(C1924,lookup!$B$2:$F$1240,2)</f>
        <v>lin ft</v>
      </c>
      <c r="E1924" s="271">
        <f>VLOOKUP(C1924,lookup!$B$2:$F$1240,5)</f>
        <v>20</v>
      </c>
    </row>
    <row r="1925" spans="1:5" x14ac:dyDescent="0.25">
      <c r="A1925" s="169">
        <v>620</v>
      </c>
      <c r="C1925" s="106" t="s">
        <v>2196</v>
      </c>
      <c r="D1925" s="269" t="str">
        <f>VLOOKUP(C1925,lookup!$B$2:$F$1240,2)</f>
        <v>lin ft</v>
      </c>
      <c r="E1925" s="271">
        <f>VLOOKUP(C1925,lookup!$B$2:$F$1240,5)</f>
        <v>20</v>
      </c>
    </row>
    <row r="1926" spans="1:5" x14ac:dyDescent="0.25">
      <c r="A1926" s="169">
        <v>620</v>
      </c>
      <c r="C1926" s="106" t="s">
        <v>2193</v>
      </c>
      <c r="D1926" s="269" t="str">
        <f>VLOOKUP(C1926,lookup!$B$2:$F$1240,2)</f>
        <v>lin ft</v>
      </c>
      <c r="E1926" s="271">
        <f>VLOOKUP(C1926,lookup!$B$2:$F$1240,5)</f>
        <v>20</v>
      </c>
    </row>
    <row r="1927" spans="1:5" x14ac:dyDescent="0.25">
      <c r="A1927" s="169">
        <v>620</v>
      </c>
      <c r="C1927" s="106" t="s">
        <v>1371</v>
      </c>
      <c r="D1927" s="269" t="str">
        <f>VLOOKUP(C1927,lookup!$B$2:$F$1240,2)</f>
        <v>lin ft</v>
      </c>
      <c r="E1927" s="271">
        <f>VLOOKUP(C1927,lookup!$B$2:$F$1240,5)</f>
        <v>20</v>
      </c>
    </row>
    <row r="1928" spans="1:5" x14ac:dyDescent="0.25">
      <c r="A1928" s="169">
        <v>620</v>
      </c>
      <c r="C1928" s="106" t="s">
        <v>1372</v>
      </c>
      <c r="D1928" s="269" t="str">
        <f>VLOOKUP(C1928,lookup!$B$2:$F$1240,2)</f>
        <v>lin ft</v>
      </c>
      <c r="E1928" s="271">
        <f>VLOOKUP(C1928,lookup!$B$2:$F$1240,5)</f>
        <v>20</v>
      </c>
    </row>
    <row r="1929" spans="1:5" ht="22.8" x14ac:dyDescent="0.25">
      <c r="A1929" s="169">
        <v>620</v>
      </c>
      <c r="C1929" s="106" t="s">
        <v>1187</v>
      </c>
      <c r="D1929" s="269" t="str">
        <f>VLOOKUP(C1929,lookup!$B$2:$F$1240,2)</f>
        <v>lin ft</v>
      </c>
      <c r="E1929" s="271">
        <f>VLOOKUP(C1929,lookup!$B$2:$F$1240,5)</f>
        <v>20</v>
      </c>
    </row>
    <row r="1930" spans="1:5" ht="22.8" x14ac:dyDescent="0.25">
      <c r="A1930" s="169">
        <v>620</v>
      </c>
      <c r="C1930" s="106" t="s">
        <v>1228</v>
      </c>
      <c r="D1930" s="269" t="str">
        <f>VLOOKUP(C1930,lookup!$B$2:$F$1240,2)</f>
        <v>lin ft</v>
      </c>
      <c r="E1930" s="271">
        <f>VLOOKUP(C1930,lookup!$B$2:$F$1240,5)</f>
        <v>20</v>
      </c>
    </row>
    <row r="1931" spans="1:5" ht="22.8" x14ac:dyDescent="0.25">
      <c r="A1931" s="169">
        <v>620</v>
      </c>
      <c r="C1931" s="106" t="s">
        <v>203</v>
      </c>
      <c r="D1931" s="269" t="str">
        <f>VLOOKUP(C1931,lookup!$B$2:$F$1240,2)</f>
        <v>lin ft</v>
      </c>
      <c r="E1931" s="271">
        <f>VLOOKUP(C1931,lookup!$B$2:$F$1240,5)</f>
        <v>20</v>
      </c>
    </row>
    <row r="1932" spans="1:5" ht="22.8" x14ac:dyDescent="0.25">
      <c r="A1932" s="169">
        <v>620</v>
      </c>
      <c r="C1932" s="106" t="s">
        <v>1229</v>
      </c>
      <c r="D1932" s="269" t="str">
        <f>VLOOKUP(C1932,lookup!$B$2:$F$1240,2)</f>
        <v>lin ft</v>
      </c>
      <c r="E1932" s="271">
        <f>VLOOKUP(C1932,lookup!$B$2:$F$1240,5)</f>
        <v>20</v>
      </c>
    </row>
    <row r="1933" spans="1:5" ht="22.8" x14ac:dyDescent="0.25">
      <c r="A1933" s="169">
        <v>620</v>
      </c>
      <c r="C1933" s="106" t="s">
        <v>1188</v>
      </c>
      <c r="D1933" s="269" t="str">
        <f>VLOOKUP(C1933,lookup!$B$2:$F$1240,2)</f>
        <v>lin ft</v>
      </c>
      <c r="E1933" s="271">
        <f>VLOOKUP(C1933,lookup!$B$2:$F$1240,5)</f>
        <v>20</v>
      </c>
    </row>
    <row r="1934" spans="1:5" ht="22.8" x14ac:dyDescent="0.25">
      <c r="A1934" s="169">
        <v>620</v>
      </c>
      <c r="C1934" s="106" t="s">
        <v>2363</v>
      </c>
      <c r="D1934" s="269" t="str">
        <f>VLOOKUP(C1934,lookup!$B$2:$F$1240,2)</f>
        <v>lin ft</v>
      </c>
      <c r="E1934" s="271">
        <f>VLOOKUP(C1934,lookup!$B$2:$F$1240,5)</f>
        <v>20</v>
      </c>
    </row>
    <row r="1935" spans="1:5" ht="22.8" x14ac:dyDescent="0.25">
      <c r="A1935" s="169">
        <v>620</v>
      </c>
      <c r="C1935" s="106" t="s">
        <v>2364</v>
      </c>
      <c r="D1935" s="269" t="str">
        <f>VLOOKUP(C1935,lookup!$B$2:$F$1240,2)</f>
        <v>lin ft</v>
      </c>
      <c r="E1935" s="271">
        <f>VLOOKUP(C1935,lookup!$B$2:$F$1240,5)</f>
        <v>20</v>
      </c>
    </row>
    <row r="1936" spans="1:5" ht="22.8" x14ac:dyDescent="0.25">
      <c r="A1936" s="169">
        <v>620</v>
      </c>
      <c r="C1936" s="106" t="s">
        <v>1374</v>
      </c>
      <c r="D1936" s="269" t="str">
        <f>VLOOKUP(C1936,lookup!$B$2:$F$1240,2)</f>
        <v>lin ft</v>
      </c>
      <c r="E1936" s="271">
        <f>VLOOKUP(C1936,lookup!$B$2:$F$1240,5)</f>
        <v>20</v>
      </c>
    </row>
    <row r="1937" spans="1:5" ht="22.8" x14ac:dyDescent="0.25">
      <c r="A1937" s="169">
        <v>620</v>
      </c>
      <c r="C1937" s="106" t="s">
        <v>1375</v>
      </c>
      <c r="D1937" s="269" t="str">
        <f>VLOOKUP(C1937,lookup!$B$2:$F$1240,2)</f>
        <v>lin ft</v>
      </c>
      <c r="E1937" s="271">
        <f>VLOOKUP(C1937,lookup!$B$2:$F$1240,5)</f>
        <v>20</v>
      </c>
    </row>
    <row r="1938" spans="1:5" ht="22.8" x14ac:dyDescent="0.25">
      <c r="A1938" s="169">
        <v>620</v>
      </c>
      <c r="C1938" s="106" t="s">
        <v>1184</v>
      </c>
      <c r="D1938" s="269" t="str">
        <f>VLOOKUP(C1938,lookup!$B$2:$F$1240,2)</f>
        <v>lin ft</v>
      </c>
      <c r="E1938" s="271">
        <f>VLOOKUP(C1938,lookup!$B$2:$F$1240,5)</f>
        <v>20</v>
      </c>
    </row>
    <row r="1939" spans="1:5" ht="22.8" x14ac:dyDescent="0.25">
      <c r="A1939" s="169">
        <v>620</v>
      </c>
      <c r="C1939" s="106" t="s">
        <v>1225</v>
      </c>
      <c r="D1939" s="269" t="str">
        <f>VLOOKUP(C1939,lookup!$B$2:$F$1240,2)</f>
        <v>lin ft</v>
      </c>
      <c r="E1939" s="271">
        <f>VLOOKUP(C1939,lookup!$B$2:$F$1240,5)</f>
        <v>20</v>
      </c>
    </row>
    <row r="1940" spans="1:5" ht="22.8" x14ac:dyDescent="0.25">
      <c r="A1940" s="169">
        <v>620</v>
      </c>
      <c r="C1940" s="106" t="s">
        <v>1185</v>
      </c>
      <c r="D1940" s="269" t="str">
        <f>VLOOKUP(C1940,lookup!$B$2:$F$1240,2)</f>
        <v>lin ft</v>
      </c>
      <c r="E1940" s="271">
        <f>VLOOKUP(C1940,lookup!$B$2:$F$1240,5)</f>
        <v>20</v>
      </c>
    </row>
    <row r="1941" spans="1:5" ht="22.8" x14ac:dyDescent="0.25">
      <c r="A1941" s="169">
        <v>620</v>
      </c>
      <c r="C1941" s="106" t="s">
        <v>1226</v>
      </c>
      <c r="D1941" s="269" t="str">
        <f>VLOOKUP(C1941,lookup!$B$2:$F$1240,2)</f>
        <v>lin ft</v>
      </c>
      <c r="E1941" s="271">
        <f>VLOOKUP(C1941,lookup!$B$2:$F$1240,5)</f>
        <v>20</v>
      </c>
    </row>
    <row r="1942" spans="1:5" ht="22.8" x14ac:dyDescent="0.25">
      <c r="A1942" s="169">
        <v>620</v>
      </c>
      <c r="C1942" s="106" t="s">
        <v>1186</v>
      </c>
      <c r="D1942" s="269" t="str">
        <f>VLOOKUP(C1942,lookup!$B$2:$F$1240,2)</f>
        <v>lin ft</v>
      </c>
      <c r="E1942" s="271">
        <f>VLOOKUP(C1942,lookup!$B$2:$F$1240,5)</f>
        <v>20</v>
      </c>
    </row>
    <row r="1943" spans="1:5" ht="22.8" x14ac:dyDescent="0.25">
      <c r="A1943" s="169">
        <v>620</v>
      </c>
      <c r="C1943" s="106" t="s">
        <v>1227</v>
      </c>
      <c r="D1943" s="269" t="str">
        <f>VLOOKUP(C1943,lookup!$B$2:$F$1240,2)</f>
        <v>lin ft</v>
      </c>
      <c r="E1943" s="271">
        <f>VLOOKUP(C1943,lookup!$B$2:$F$1240,5)</f>
        <v>20</v>
      </c>
    </row>
    <row r="1944" spans="1:5" ht="22.8" x14ac:dyDescent="0.25">
      <c r="A1944" s="169">
        <v>620</v>
      </c>
      <c r="C1944" s="106" t="s">
        <v>2655</v>
      </c>
      <c r="D1944" s="269" t="str">
        <f>VLOOKUP(C1944,lookup!$B$2:$F$1240,2)</f>
        <v>lin ft</v>
      </c>
      <c r="E1944" s="271">
        <f>VLOOKUP(C1944,lookup!$B$2:$F$1240,5)</f>
        <v>20</v>
      </c>
    </row>
    <row r="1945" spans="1:5" ht="22.8" x14ac:dyDescent="0.25">
      <c r="A1945" s="169">
        <v>620</v>
      </c>
      <c r="C1945" s="106" t="s">
        <v>1309</v>
      </c>
      <c r="D1945" s="269" t="str">
        <f>VLOOKUP(C1945,lookup!$B$2:$F$1240,2)</f>
        <v>lin ft</v>
      </c>
      <c r="E1945" s="271">
        <f>VLOOKUP(C1945,lookup!$B$2:$F$1240,5)</f>
        <v>20</v>
      </c>
    </row>
    <row r="1946" spans="1:5" ht="22.8" x14ac:dyDescent="0.25">
      <c r="A1946" s="169">
        <v>620</v>
      </c>
      <c r="C1946" s="106" t="s">
        <v>2656</v>
      </c>
      <c r="D1946" s="269" t="str">
        <f>VLOOKUP(C1946,lookup!$B$2:$F$1240,2)</f>
        <v>lin ft</v>
      </c>
      <c r="E1946" s="271">
        <f>VLOOKUP(C1946,lookup!$B$2:$F$1240,5)</f>
        <v>20</v>
      </c>
    </row>
    <row r="1947" spans="1:5" ht="22.8" x14ac:dyDescent="0.25">
      <c r="A1947" s="169">
        <v>620</v>
      </c>
      <c r="C1947" s="106" t="s">
        <v>214</v>
      </c>
      <c r="D1947" s="269" t="str">
        <f>VLOOKUP(C1947,lookup!$B$2:$F$1240,2)</f>
        <v>lin ft</v>
      </c>
      <c r="E1947" s="271">
        <f>VLOOKUP(C1947,lookup!$B$2:$F$1240,5)</f>
        <v>20</v>
      </c>
    </row>
    <row r="1948" spans="1:5" ht="22.8" x14ac:dyDescent="0.25">
      <c r="A1948" s="169">
        <v>620</v>
      </c>
      <c r="C1948" s="106" t="s">
        <v>1481</v>
      </c>
      <c r="D1948" s="269" t="str">
        <f>VLOOKUP(C1948,lookup!$B$2:$F$1240,2)</f>
        <v>lin ft</v>
      </c>
      <c r="E1948" s="271">
        <f>VLOOKUP(C1948,lookup!$B$2:$F$1240,5)</f>
        <v>20</v>
      </c>
    </row>
    <row r="1949" spans="1:5" ht="22.8" x14ac:dyDescent="0.25">
      <c r="A1949" s="169">
        <v>620</v>
      </c>
      <c r="C1949" s="106" t="s">
        <v>2168</v>
      </c>
      <c r="D1949" s="269" t="str">
        <f>VLOOKUP(C1949,lookup!$B$2:$F$1240,2)</f>
        <v>lin ft</v>
      </c>
      <c r="E1949" s="271">
        <f>VLOOKUP(C1949,lookup!$B$2:$F$1240,5)</f>
        <v>20</v>
      </c>
    </row>
    <row r="1950" spans="1:5" ht="22.8" x14ac:dyDescent="0.25">
      <c r="A1950" s="169">
        <v>620</v>
      </c>
      <c r="C1950" s="106" t="s">
        <v>438</v>
      </c>
      <c r="D1950" s="269" t="str">
        <f>VLOOKUP(C1950,lookup!$B$2:$F$1240,2)</f>
        <v>lin ft</v>
      </c>
      <c r="E1950" s="271">
        <f>VLOOKUP(C1950,lookup!$B$2:$F$1240,5)</f>
        <v>20</v>
      </c>
    </row>
    <row r="1951" spans="1:5" ht="22.8" x14ac:dyDescent="0.25">
      <c r="A1951" s="169">
        <v>620</v>
      </c>
      <c r="C1951" s="106" t="s">
        <v>1981</v>
      </c>
      <c r="D1951" s="269" t="str">
        <f>VLOOKUP(C1951,lookup!$B$2:$F$1240,2)</f>
        <v>lin ft</v>
      </c>
      <c r="E1951" s="271">
        <f>VLOOKUP(C1951,lookup!$B$2:$F$1240,5)</f>
        <v>20</v>
      </c>
    </row>
    <row r="1952" spans="1:5" ht="22.8" x14ac:dyDescent="0.25">
      <c r="A1952" s="169">
        <v>620</v>
      </c>
      <c r="C1952" s="106" t="s">
        <v>1397</v>
      </c>
      <c r="D1952" s="269" t="str">
        <f>VLOOKUP(C1952,lookup!$B$2:$F$1240,2)</f>
        <v>lin ft</v>
      </c>
      <c r="E1952" s="271">
        <f>VLOOKUP(C1952,lookup!$B$2:$F$1240,5)</f>
        <v>20</v>
      </c>
    </row>
    <row r="1953" spans="1:5" ht="22.8" x14ac:dyDescent="0.25">
      <c r="A1953" s="169">
        <v>620</v>
      </c>
      <c r="C1953" s="106" t="s">
        <v>1982</v>
      </c>
      <c r="D1953" s="269" t="str">
        <f>VLOOKUP(C1953,lookup!$B$2:$F$1240,2)</f>
        <v>lin ft</v>
      </c>
      <c r="E1953" s="271">
        <f>VLOOKUP(C1953,lookup!$B$2:$F$1240,5)</f>
        <v>20</v>
      </c>
    </row>
    <row r="1954" spans="1:5" x14ac:dyDescent="0.25">
      <c r="A1954" s="169">
        <v>620</v>
      </c>
      <c r="C1954" s="106" t="s">
        <v>1341</v>
      </c>
      <c r="D1954" s="269" t="str">
        <f>VLOOKUP(C1954,lookup!$B$2:$F$1240,2)</f>
        <v>ft</v>
      </c>
      <c r="E1954" s="271">
        <f>VLOOKUP(C1954,lookup!$B$2:$F$1240,5)</f>
        <v>2</v>
      </c>
    </row>
    <row r="1955" spans="1:5" x14ac:dyDescent="0.25">
      <c r="A1955" s="169">
        <v>620</v>
      </c>
      <c r="C1955" s="106" t="s">
        <v>2540</v>
      </c>
      <c r="D1955" s="269" t="str">
        <f>VLOOKUP(C1955,lookup!$B$2:$F$1240,2)</f>
        <v>ft</v>
      </c>
      <c r="E1955" s="271">
        <f>VLOOKUP(C1955,lookup!$B$2:$F$1240,5)</f>
        <v>2</v>
      </c>
    </row>
    <row r="1956" spans="1:5" x14ac:dyDescent="0.25">
      <c r="A1956" s="169">
        <v>620</v>
      </c>
      <c r="C1956" s="106" t="s">
        <v>2541</v>
      </c>
      <c r="D1956" s="269" t="str">
        <f>VLOOKUP(C1956,lookup!$B$2:$F$1240,2)</f>
        <v>ft</v>
      </c>
      <c r="E1956" s="271">
        <f>VLOOKUP(C1956,lookup!$B$2:$F$1240,5)</f>
        <v>2</v>
      </c>
    </row>
    <row r="1957" spans="1:5" x14ac:dyDescent="0.25">
      <c r="A1957" s="169">
        <v>620</v>
      </c>
      <c r="C1957" s="106" t="s">
        <v>2542</v>
      </c>
      <c r="D1957" s="269" t="str">
        <f>VLOOKUP(C1957,lookup!$B$2:$F$1240,2)</f>
        <v>ft</v>
      </c>
      <c r="E1957" s="271">
        <f>VLOOKUP(C1957,lookup!$B$2:$F$1240,5)</f>
        <v>2</v>
      </c>
    </row>
    <row r="1958" spans="1:5" x14ac:dyDescent="0.25">
      <c r="A1958" s="169">
        <v>620</v>
      </c>
      <c r="C1958" s="106" t="s">
        <v>1996</v>
      </c>
      <c r="D1958" s="269" t="str">
        <f>VLOOKUP(C1958,lookup!$B$2:$F$1240,2)</f>
        <v>ton</v>
      </c>
      <c r="E1958" s="271">
        <f>VLOOKUP(C1958,lookup!$B$2:$F$1240,5)</f>
        <v>21.63</v>
      </c>
    </row>
    <row r="1959" spans="1:5" x14ac:dyDescent="0.25">
      <c r="A1959" s="169">
        <v>620</v>
      </c>
      <c r="C1959" s="106" t="s">
        <v>1997</v>
      </c>
      <c r="D1959" s="269" t="str">
        <f>VLOOKUP(C1959,lookup!$B$2:$F$1240,2)</f>
        <v>ton</v>
      </c>
      <c r="E1959" s="271">
        <f>VLOOKUP(C1959,lookup!$B$2:$F$1240,5)</f>
        <v>21.63</v>
      </c>
    </row>
    <row r="1960" spans="1:5" x14ac:dyDescent="0.25">
      <c r="A1960" s="169">
        <v>620</v>
      </c>
      <c r="C1960" s="106" t="s">
        <v>1998</v>
      </c>
      <c r="D1960" s="269" t="str">
        <f>VLOOKUP(C1960,lookup!$B$2:$F$1240,2)</f>
        <v>ton</v>
      </c>
      <c r="E1960" s="271">
        <f>VLOOKUP(C1960,lookup!$B$2:$F$1240,5)</f>
        <v>21.63</v>
      </c>
    </row>
    <row r="1961" spans="1:5" x14ac:dyDescent="0.25">
      <c r="A1961" s="169">
        <v>620</v>
      </c>
      <c r="C1961" s="106" t="s">
        <v>3241</v>
      </c>
      <c r="D1961" s="269" t="str">
        <f>VLOOKUP(C1961,lookup!$B$2:$F$1240,2)</f>
        <v>ton</v>
      </c>
      <c r="E1961" s="271">
        <f>VLOOKUP(C1961,lookup!$B$2:$F$1240,5)</f>
        <v>21.63</v>
      </c>
    </row>
    <row r="1962" spans="1:5" x14ac:dyDescent="0.25">
      <c r="A1962" s="169">
        <v>620</v>
      </c>
      <c r="C1962" s="106" t="s">
        <v>2786</v>
      </c>
      <c r="D1962" s="269" t="str">
        <f>VLOOKUP(C1962,lookup!$B$2:$F$1240,2)</f>
        <v>ton</v>
      </c>
      <c r="E1962" s="271">
        <f>VLOOKUP(C1962,lookup!$B$2:$F$1240,5)</f>
        <v>21.63</v>
      </c>
    </row>
    <row r="1963" spans="1:5" x14ac:dyDescent="0.25">
      <c r="A1963" s="169">
        <v>620</v>
      </c>
      <c r="C1963" s="106" t="s">
        <v>2784</v>
      </c>
      <c r="D1963" s="269" t="str">
        <f>VLOOKUP(C1963,lookup!$B$2:$F$1240,2)</f>
        <v>ton</v>
      </c>
      <c r="E1963" s="271">
        <f>VLOOKUP(C1963,lookup!$B$2:$F$1240,5)</f>
        <v>21.63</v>
      </c>
    </row>
    <row r="1964" spans="1:5" x14ac:dyDescent="0.25">
      <c r="A1964" s="169">
        <v>620</v>
      </c>
      <c r="C1964" s="106" t="s">
        <v>699</v>
      </c>
      <c r="D1964" s="269" t="str">
        <f>VLOOKUP(C1964,lookup!$B$2:$F$1240,2)</f>
        <v>ea.</v>
      </c>
      <c r="E1964" s="271">
        <f>VLOOKUP(C1964,lookup!$B$2:$F$1240,5)</f>
        <v>30</v>
      </c>
    </row>
    <row r="1965" spans="1:5" x14ac:dyDescent="0.25">
      <c r="A1965" s="169">
        <v>620</v>
      </c>
      <c r="C1965" s="106" t="s">
        <v>700</v>
      </c>
      <c r="D1965" s="269" t="str">
        <f>VLOOKUP(C1965,lookup!$B$2:$F$1240,2)</f>
        <v>ea.</v>
      </c>
      <c r="E1965" s="271">
        <f>VLOOKUP(C1965,lookup!$B$2:$F$1240,5)</f>
        <v>32</v>
      </c>
    </row>
    <row r="1966" spans="1:5" x14ac:dyDescent="0.25">
      <c r="A1966" s="169">
        <v>620</v>
      </c>
      <c r="C1966" s="106" t="s">
        <v>701</v>
      </c>
      <c r="D1966" s="269" t="str">
        <f>VLOOKUP(C1966,lookup!$B$2:$F$1240,2)</f>
        <v>ea.</v>
      </c>
      <c r="E1966" s="271">
        <f>VLOOKUP(C1966,lookup!$B$2:$F$1240,5)</f>
        <v>46</v>
      </c>
    </row>
    <row r="1967" spans="1:5" x14ac:dyDescent="0.25">
      <c r="A1967" s="169">
        <v>620</v>
      </c>
      <c r="C1967" s="106" t="s">
        <v>702</v>
      </c>
      <c r="D1967" s="269" t="str">
        <f>VLOOKUP(C1967,lookup!$B$2:$F$1240,2)</f>
        <v>ea.</v>
      </c>
      <c r="E1967" s="271">
        <f>VLOOKUP(C1967,lookup!$B$2:$F$1240,5)</f>
        <v>21</v>
      </c>
    </row>
    <row r="1968" spans="1:5" x14ac:dyDescent="0.25">
      <c r="A1968" s="169">
        <v>620</v>
      </c>
      <c r="C1968" s="106" t="s">
        <v>703</v>
      </c>
      <c r="D1968" s="269" t="str">
        <f>VLOOKUP(C1968,lookup!$B$2:$F$1240,2)</f>
        <v>ea.</v>
      </c>
      <c r="E1968" s="271">
        <f>VLOOKUP(C1968,lookup!$B$2:$F$1240,5)</f>
        <v>23</v>
      </c>
    </row>
    <row r="1969" spans="1:6" x14ac:dyDescent="0.25">
      <c r="A1969" s="169">
        <v>620</v>
      </c>
      <c r="C1969" s="106" t="s">
        <v>704</v>
      </c>
      <c r="D1969" s="269" t="str">
        <f>VLOOKUP(C1969,lookup!$B$2:$F$1240,2)</f>
        <v>ea.</v>
      </c>
      <c r="E1969" s="271">
        <f>VLOOKUP(C1969,lookup!$B$2:$F$1240,5)</f>
        <v>26</v>
      </c>
    </row>
    <row r="1970" spans="1:6" x14ac:dyDescent="0.25">
      <c r="A1970" s="169">
        <v>620</v>
      </c>
      <c r="C1970" s="106" t="s">
        <v>2433</v>
      </c>
      <c r="D1970" s="269" t="str">
        <f>VLOOKUP(C1970,lookup!$B$2:$F$1240,2)</f>
        <v>Cu Yd</v>
      </c>
      <c r="E1970" s="271">
        <f>VLOOKUP(C1970,lookup!$B$2:$F$1240,5)</f>
        <v>3.5</v>
      </c>
    </row>
    <row r="1971" spans="1:6" ht="22.8" x14ac:dyDescent="0.25">
      <c r="A1971" s="169">
        <v>620</v>
      </c>
      <c r="C1971" s="106" t="s">
        <v>906</v>
      </c>
      <c r="D1971" s="269">
        <f>VLOOKUP(C1971,lookup!$B$2:$F$1240,2)</f>
        <v>0</v>
      </c>
      <c r="E1971" s="271">
        <f>VLOOKUP(C1971,lookup!$B$2:$F$1240,5)</f>
        <v>0</v>
      </c>
    </row>
    <row r="1972" spans="1:6" ht="22.8" x14ac:dyDescent="0.25">
      <c r="A1972" s="169">
        <v>620</v>
      </c>
      <c r="C1972" s="106" t="s">
        <v>907</v>
      </c>
      <c r="D1972" s="269" t="str">
        <f>VLOOKUP(C1972,lookup!$B$2:$F$1240,2)</f>
        <v>sq ft</v>
      </c>
      <c r="E1972" s="271">
        <f>VLOOKUP(C1972,lookup!$B$2:$F$1240,5)</f>
        <v>0</v>
      </c>
    </row>
    <row r="1973" spans="1:6" ht="22.8" x14ac:dyDescent="0.25">
      <c r="A1973" s="169">
        <v>620</v>
      </c>
      <c r="C1973" s="106" t="s">
        <v>1781</v>
      </c>
      <c r="D1973" s="269">
        <f>VLOOKUP(C1973,lookup!$B$2:$F$1240,2)</f>
        <v>0</v>
      </c>
      <c r="E1973" s="271">
        <f>VLOOKUP(C1973,lookup!$B$2:$F$1240,5)</f>
        <v>0</v>
      </c>
    </row>
    <row r="1974" spans="1:6" ht="22.8" x14ac:dyDescent="0.25">
      <c r="A1974" s="169">
        <v>620</v>
      </c>
      <c r="C1974" s="106" t="s">
        <v>908</v>
      </c>
      <c r="D1974" s="269">
        <f>VLOOKUP(C1974,lookup!$B$2:$F$1240,2)</f>
        <v>0</v>
      </c>
      <c r="E1974" s="271">
        <f>VLOOKUP(C1974,lookup!$B$2:$F$1240,5)</f>
        <v>0</v>
      </c>
    </row>
    <row r="1975" spans="1:6" ht="22.8" x14ac:dyDescent="0.25">
      <c r="A1975" s="169">
        <v>620</v>
      </c>
      <c r="C1975" s="106" t="s">
        <v>909</v>
      </c>
      <c r="D1975" s="269">
        <f>VLOOKUP(C1975,lookup!$B$2:$F$1240,2)</f>
        <v>0</v>
      </c>
      <c r="E1975" s="271">
        <f>VLOOKUP(C1975,lookup!$B$2:$F$1240,5)</f>
        <v>0</v>
      </c>
    </row>
    <row r="1976" spans="1:6" ht="22.8" x14ac:dyDescent="0.25">
      <c r="A1976" s="169">
        <v>620</v>
      </c>
      <c r="C1976" s="106" t="s">
        <v>910</v>
      </c>
      <c r="D1976" s="269">
        <f>VLOOKUP(C1976,lookup!$B$2:$F$1240,2)</f>
        <v>0</v>
      </c>
      <c r="E1976" s="271">
        <f>VLOOKUP(C1976,lookup!$B$2:$F$1240,5)</f>
        <v>0</v>
      </c>
    </row>
    <row r="1977" spans="1:6" x14ac:dyDescent="0.25">
      <c r="A1977" s="169">
        <v>620</v>
      </c>
      <c r="C1977" s="106" t="s">
        <v>1523</v>
      </c>
      <c r="D1977" s="269">
        <f>VLOOKUP(C1977,lookup!$B$2:$F$1240,2)</f>
        <v>0</v>
      </c>
      <c r="E1977" s="271">
        <f>VLOOKUP(C1977,lookup!$B$2:$F$1240,5)</f>
        <v>0</v>
      </c>
    </row>
    <row r="1978" spans="1:6" x14ac:dyDescent="0.25">
      <c r="A1978" s="169">
        <v>620</v>
      </c>
      <c r="C1978" s="106" t="s">
        <v>165</v>
      </c>
      <c r="D1978" s="269">
        <f>VLOOKUP(C1978,lookup!$B$2:$F$1240,2)</f>
        <v>0</v>
      </c>
      <c r="E1978" s="271">
        <f>VLOOKUP(C1978,lookup!$B$2:$F$1240,5)</f>
        <v>0</v>
      </c>
    </row>
    <row r="1979" spans="1:6" x14ac:dyDescent="0.25">
      <c r="A1979" s="169">
        <v>633</v>
      </c>
      <c r="B1979" s="172" t="s">
        <v>2067</v>
      </c>
      <c r="D1979" s="269" t="e">
        <f>VLOOKUP(C1979,lookup!$B$2:$F$1240,2)</f>
        <v>#N/A</v>
      </c>
      <c r="E1979" s="271" t="e">
        <f>VLOOKUP(C1979,lookup!$B$2:$F$1240,5)</f>
        <v>#N/A</v>
      </c>
      <c r="F1979" s="246" t="s">
        <v>3113</v>
      </c>
    </row>
    <row r="1980" spans="1:6" x14ac:dyDescent="0.25">
      <c r="A1980" s="169">
        <v>633</v>
      </c>
      <c r="B1980" s="172"/>
      <c r="C1980" s="106" t="s">
        <v>3184</v>
      </c>
      <c r="D1980" s="269" t="str">
        <f>VLOOKUP(C1980,lookup!$B$2:$F$1240,2)</f>
        <v>each</v>
      </c>
      <c r="E1980" s="271">
        <f>VLOOKUP(C1980,lookup!$B$2:$F$1240,5)</f>
        <v>40</v>
      </c>
    </row>
    <row r="1981" spans="1:6" x14ac:dyDescent="0.25">
      <c r="A1981" s="169">
        <v>633</v>
      </c>
      <c r="B1981" s="172"/>
      <c r="C1981" s="106" t="s">
        <v>1373</v>
      </c>
      <c r="D1981" s="269" t="str">
        <f>VLOOKUP(C1981,lookup!$B$2:$F$1240,2)</f>
        <v>hr</v>
      </c>
      <c r="E1981" s="271">
        <f>VLOOKUP(C1981,lookup!$B$2:$F$1240,5)</f>
        <v>15</v>
      </c>
    </row>
    <row r="1982" spans="1:6" x14ac:dyDescent="0.25">
      <c r="A1982" s="169">
        <v>633</v>
      </c>
      <c r="B1982" s="172"/>
      <c r="C1982" s="106" t="s">
        <v>3185</v>
      </c>
      <c r="D1982" s="269">
        <f>VLOOKUP(C1982,lookup!$B$2:$F$1240,2)</f>
        <v>0</v>
      </c>
      <c r="E1982" s="271">
        <f>VLOOKUP(C1982,lookup!$B$2:$F$1240,5)</f>
        <v>0</v>
      </c>
    </row>
    <row r="1983" spans="1:6" x14ac:dyDescent="0.25">
      <c r="A1983" s="169">
        <v>633</v>
      </c>
      <c r="B1983" s="172"/>
      <c r="C1983" s="106" t="s">
        <v>3186</v>
      </c>
      <c r="D1983" s="269" t="str">
        <f>VLOOKUP(C1983,lookup!$B$2:$F$1240,2)</f>
        <v>hr</v>
      </c>
      <c r="E1983" s="271">
        <f>VLOOKUP(C1983,lookup!$B$2:$F$1240,5)</f>
        <v>191</v>
      </c>
    </row>
    <row r="1984" spans="1:6" ht="22.8" x14ac:dyDescent="0.25">
      <c r="A1984" s="169">
        <v>633</v>
      </c>
      <c r="B1984" s="172"/>
      <c r="C1984" s="106" t="s">
        <v>3187</v>
      </c>
      <c r="D1984" s="269" t="str">
        <f>VLOOKUP(C1984,lookup!$B$2:$F$1240,2)</f>
        <v>Ea.</v>
      </c>
      <c r="E1984" s="271">
        <f>VLOOKUP(C1984,lookup!$B$2:$F$1240,5)</f>
        <v>162</v>
      </c>
    </row>
    <row r="1985" spans="1:6" x14ac:dyDescent="0.25">
      <c r="A1985" s="169">
        <v>634</v>
      </c>
      <c r="B1985" s="172" t="s">
        <v>3188</v>
      </c>
      <c r="D1985" s="269" t="e">
        <f>VLOOKUP(C1985,lookup!$B$2:$F$1240,2)</f>
        <v>#N/A</v>
      </c>
      <c r="E1985" s="271" t="e">
        <f>VLOOKUP(C1985,lookup!$B$2:$F$1240,5)</f>
        <v>#N/A</v>
      </c>
      <c r="F1985" s="246" t="s">
        <v>3113</v>
      </c>
    </row>
    <row r="1986" spans="1:6" x14ac:dyDescent="0.25">
      <c r="A1986" s="169">
        <v>634</v>
      </c>
      <c r="B1986" s="172"/>
      <c r="C1986" s="106" t="s">
        <v>3189</v>
      </c>
      <c r="D1986" s="269" t="str">
        <f>VLOOKUP(C1986,lookup!$B$2:$F$1240,2)</f>
        <v>each</v>
      </c>
      <c r="E1986" s="271">
        <f>VLOOKUP(C1986,lookup!$B$2:$F$1240,5)</f>
        <v>1125</v>
      </c>
    </row>
    <row r="1987" spans="1:6" x14ac:dyDescent="0.25">
      <c r="A1987" s="169">
        <v>634</v>
      </c>
      <c r="B1987" s="172"/>
      <c r="C1987" s="106" t="s">
        <v>3190</v>
      </c>
      <c r="D1987" s="269" t="str">
        <f>VLOOKUP(C1987,lookup!$B$2:$F$1240,2)</f>
        <v>each</v>
      </c>
      <c r="E1987" s="271">
        <f>VLOOKUP(C1987,lookup!$B$2:$F$1240,5)</f>
        <v>2500</v>
      </c>
    </row>
    <row r="1988" spans="1:6" x14ac:dyDescent="0.25">
      <c r="A1988" s="169">
        <v>634</v>
      </c>
      <c r="B1988" s="172"/>
      <c r="C1988" s="106" t="s">
        <v>3191</v>
      </c>
      <c r="D1988" s="269" t="str">
        <f>VLOOKUP(C1988,lookup!$B$2:$F$1240,2)</f>
        <v>each</v>
      </c>
      <c r="E1988" s="271">
        <f>VLOOKUP(C1988,lookup!$B$2:$F$1240,5)</f>
        <v>800</v>
      </c>
    </row>
    <row r="1989" spans="1:6" x14ac:dyDescent="0.25">
      <c r="A1989" s="169">
        <v>634</v>
      </c>
      <c r="B1989" s="172"/>
      <c r="C1989" s="106" t="s">
        <v>3199</v>
      </c>
      <c r="D1989" s="269" t="str">
        <f>VLOOKUP(C1989,lookup!$B$2:$F$1240,2)</f>
        <v>lin ft</v>
      </c>
      <c r="E1989" s="271">
        <f>VLOOKUP(C1989,lookup!$B$2:$F$1240,5)</f>
        <v>3.75</v>
      </c>
    </row>
    <row r="1990" spans="1:6" x14ac:dyDescent="0.25">
      <c r="A1990" s="169">
        <v>634</v>
      </c>
      <c r="B1990" s="172"/>
      <c r="C1990" s="106" t="s">
        <v>3200</v>
      </c>
      <c r="D1990" s="269" t="str">
        <f>VLOOKUP(C1990,lookup!$B$2:$F$1240,2)</f>
        <v>lin ft</v>
      </c>
      <c r="E1990" s="271">
        <f>VLOOKUP(C1990,lookup!$B$2:$F$1240,5)</f>
        <v>6</v>
      </c>
    </row>
    <row r="1991" spans="1:6" x14ac:dyDescent="0.25">
      <c r="A1991" s="169">
        <v>634</v>
      </c>
      <c r="B1991" s="172"/>
      <c r="C1991" s="106" t="s">
        <v>3202</v>
      </c>
      <c r="D1991" s="269" t="str">
        <f>VLOOKUP(C1991,lookup!$B$2:$F$1240,2)</f>
        <v>each</v>
      </c>
      <c r="E1991" s="271">
        <f>VLOOKUP(C1991,lookup!$B$2:$F$1240,5)</f>
        <v>15500</v>
      </c>
    </row>
    <row r="1992" spans="1:6" ht="22.8" x14ac:dyDescent="0.25">
      <c r="A1992" s="169">
        <v>634</v>
      </c>
      <c r="B1992" s="172"/>
      <c r="C1992" s="106" t="s">
        <v>3203</v>
      </c>
      <c r="D1992" s="269" t="str">
        <f>VLOOKUP(C1992,lookup!$B$2:$F$1240,2)</f>
        <v>each</v>
      </c>
      <c r="E1992" s="271">
        <f>VLOOKUP(C1992,lookup!$B$2:$F$1240,5)</f>
        <v>2000</v>
      </c>
    </row>
    <row r="1993" spans="1:6" x14ac:dyDescent="0.25">
      <c r="A1993" s="169">
        <v>634</v>
      </c>
      <c r="B1993" s="172"/>
      <c r="C1993" s="106" t="s">
        <v>3147</v>
      </c>
      <c r="D1993" s="269" t="str">
        <f>VLOOKUP(C1993,lookup!$B$2:$F$1240,2)</f>
        <v>hr</v>
      </c>
      <c r="E1993" s="271">
        <f>VLOOKUP(C1993,lookup!$B$2:$F$1240,5)</f>
        <v>100</v>
      </c>
    </row>
    <row r="1994" spans="1:6" x14ac:dyDescent="0.25">
      <c r="A1994" s="169">
        <v>634</v>
      </c>
      <c r="B1994" s="172"/>
      <c r="C1994" s="106" t="s">
        <v>3192</v>
      </c>
      <c r="D1994" s="269" t="str">
        <f>VLOOKUP(C1994,lookup!$B$2:$F$1240,2)</f>
        <v>l.s.</v>
      </c>
      <c r="E1994" s="271">
        <f>VLOOKUP(C1994,lookup!$B$2:$F$1240,5)</f>
        <v>400</v>
      </c>
    </row>
    <row r="1995" spans="1:6" x14ac:dyDescent="0.25">
      <c r="A1995" s="169">
        <v>634</v>
      </c>
      <c r="B1995" s="172"/>
      <c r="C1995" s="106" t="s">
        <v>3194</v>
      </c>
      <c r="D1995" s="269" t="str">
        <f>VLOOKUP(C1995,lookup!$B$2:$F$1240,2)</f>
        <v>hr</v>
      </c>
      <c r="E1995" s="271">
        <f>VLOOKUP(C1995,lookup!$B$2:$F$1240,5)</f>
        <v>100</v>
      </c>
    </row>
    <row r="1996" spans="1:6" x14ac:dyDescent="0.25">
      <c r="A1996" s="169">
        <v>634</v>
      </c>
      <c r="B1996" s="172"/>
      <c r="C1996" s="166" t="s">
        <v>517</v>
      </c>
      <c r="D1996" s="269" t="str">
        <f>VLOOKUP(C1996,lookup!$B$2:$F$1240,2)</f>
        <v>sq ft</v>
      </c>
      <c r="E1996" s="271">
        <f>VLOOKUP(C1996,lookup!$B$2:$F$1240,5)</f>
        <v>6.5</v>
      </c>
    </row>
    <row r="1997" spans="1:6" x14ac:dyDescent="0.25">
      <c r="A1997" s="169">
        <v>634</v>
      </c>
      <c r="B1997" s="172"/>
      <c r="C1997" s="166" t="s">
        <v>519</v>
      </c>
      <c r="D1997" s="269" t="str">
        <f>VLOOKUP(C1997,lookup!$B$2:$F$1240,2)</f>
        <v>sq ft</v>
      </c>
      <c r="E1997" s="271">
        <f>VLOOKUP(C1997,lookup!$B$2:$F$1240,5)</f>
        <v>6.5</v>
      </c>
    </row>
    <row r="1998" spans="1:6" x14ac:dyDescent="0.25">
      <c r="A1998" s="169">
        <v>634</v>
      </c>
      <c r="B1998" s="172"/>
      <c r="C1998" s="106" t="s">
        <v>3201</v>
      </c>
      <c r="D1998" s="269" t="str">
        <f>VLOOKUP(C1998,lookup!$B$2:$F$1240,2)</f>
        <v>lin ft</v>
      </c>
      <c r="E1998" s="271">
        <f>VLOOKUP(C1998,lookup!$B$2:$F$1240,5)</f>
        <v>4.3499999999999996</v>
      </c>
    </row>
    <row r="1999" spans="1:6" x14ac:dyDescent="0.25">
      <c r="A1999" s="169">
        <v>634</v>
      </c>
      <c r="B1999" s="172"/>
      <c r="C1999" s="106" t="s">
        <v>3195</v>
      </c>
      <c r="D1999" s="269" t="str">
        <f>VLOOKUP(C1999,lookup!$B$2:$F$1240,2)</f>
        <v>each</v>
      </c>
      <c r="E1999" s="271">
        <f>VLOOKUP(C1999,lookup!$B$2:$F$1240,5)</f>
        <v>13000</v>
      </c>
    </row>
    <row r="2000" spans="1:6" x14ac:dyDescent="0.25">
      <c r="A2000" s="169">
        <v>634</v>
      </c>
      <c r="B2000" s="172"/>
      <c r="C2000" s="106" t="s">
        <v>3196</v>
      </c>
      <c r="D2000" s="269" t="str">
        <f>VLOOKUP(C2000,lookup!$B$2:$F$1240,2)</f>
        <v>lin ft</v>
      </c>
      <c r="E2000" s="271">
        <f>VLOOKUP(C2000,lookup!$B$2:$F$1240,5)</f>
        <v>40</v>
      </c>
    </row>
    <row r="2001" spans="1:5" x14ac:dyDescent="0.25">
      <c r="A2001" s="169">
        <v>634</v>
      </c>
      <c r="B2001" s="172"/>
      <c r="C2001" s="106" t="s">
        <v>3197</v>
      </c>
      <c r="D2001" s="269" t="str">
        <f>VLOOKUP(C2001,lookup!$B$2:$F$1240,2)</f>
        <v>each</v>
      </c>
      <c r="E2001" s="271">
        <f>VLOOKUP(C2001,lookup!$B$2:$F$1240,5)</f>
        <v>18000</v>
      </c>
    </row>
    <row r="2002" spans="1:5" x14ac:dyDescent="0.25">
      <c r="A2002" s="169">
        <v>634</v>
      </c>
      <c r="B2002" s="172"/>
      <c r="C2002" s="106" t="s">
        <v>3198</v>
      </c>
      <c r="D2002" s="269" t="str">
        <f>VLOOKUP(C2002,lookup!$B$2:$F$1240,2)</f>
        <v>each</v>
      </c>
      <c r="E2002" s="271">
        <f>VLOOKUP(C2002,lookup!$B$2:$F$1240,5)</f>
        <v>28600</v>
      </c>
    </row>
    <row r="2003" spans="1:5" x14ac:dyDescent="0.25">
      <c r="A2003" s="169">
        <v>634</v>
      </c>
      <c r="B2003" s="172"/>
      <c r="C2003" s="106" t="s">
        <v>3204</v>
      </c>
      <c r="D2003" s="269" t="str">
        <f>VLOOKUP(C2003,lookup!$B$2:$F$1240,2)</f>
        <v>CY</v>
      </c>
      <c r="E2003" s="271">
        <f>VLOOKUP(C2003,lookup!$B$2:$F$1240,5)</f>
        <v>200</v>
      </c>
    </row>
    <row r="2004" spans="1:5" x14ac:dyDescent="0.25">
      <c r="A2004" s="169">
        <v>634</v>
      </c>
      <c r="B2004" s="172"/>
      <c r="C2004" s="106" t="s">
        <v>3205</v>
      </c>
      <c r="D2004" s="269" t="str">
        <f>VLOOKUP(C2004,lookup!$B$2:$F$1240,2)</f>
        <v>Cu Yd</v>
      </c>
      <c r="E2004" s="271">
        <f>VLOOKUP(C2004,lookup!$B$2:$F$1240,5)</f>
        <v>30</v>
      </c>
    </row>
    <row r="2005" spans="1:5" x14ac:dyDescent="0.25">
      <c r="A2005" s="169">
        <v>634</v>
      </c>
      <c r="B2005" s="172"/>
      <c r="C2005" s="106" t="s">
        <v>3206</v>
      </c>
      <c r="D2005" s="269" t="str">
        <f>VLOOKUP(C2005,lookup!$B$2:$F$1240,2)</f>
        <v>ls</v>
      </c>
      <c r="E2005" s="271">
        <f>VLOOKUP(C2005,lookup!$B$2:$F$1240,5)</f>
        <v>4000</v>
      </c>
    </row>
    <row r="2006" spans="1:5" x14ac:dyDescent="0.25">
      <c r="A2006" s="169">
        <v>634</v>
      </c>
      <c r="B2006" s="172"/>
      <c r="C2006" s="106" t="s">
        <v>3208</v>
      </c>
      <c r="D2006" s="269" t="str">
        <f>VLOOKUP(C2006,lookup!$B$2:$F$1240,2)</f>
        <v>Ac.</v>
      </c>
      <c r="E2006" s="271">
        <f>VLOOKUP(C2006,lookup!$B$2:$F$1240,5)</f>
        <v>1475</v>
      </c>
    </row>
    <row r="2007" spans="1:5" ht="22.8" x14ac:dyDescent="0.25">
      <c r="A2007" s="169">
        <v>634</v>
      </c>
      <c r="B2007" s="172"/>
      <c r="C2007" s="106" t="s">
        <v>3209</v>
      </c>
      <c r="D2007" s="269" t="str">
        <f>VLOOKUP(C2007,lookup!$B$2:$F$1240,2)</f>
        <v>cy</v>
      </c>
      <c r="E2007" s="271">
        <f>VLOOKUP(C2007,lookup!$B$2:$F$1240,5)</f>
        <v>300</v>
      </c>
    </row>
    <row r="2008" spans="1:5" x14ac:dyDescent="0.25">
      <c r="A2008" s="169">
        <v>634</v>
      </c>
      <c r="B2008" s="172"/>
      <c r="C2008" s="106" t="s">
        <v>3210</v>
      </c>
      <c r="D2008" s="269" t="str">
        <f>VLOOKUP(C2008,lookup!$B$2:$F$1240,2)</f>
        <v>lin ft</v>
      </c>
      <c r="E2008" s="271">
        <f>VLOOKUP(C2008,lookup!$B$2:$F$1240,5)</f>
        <v>4.5</v>
      </c>
    </row>
    <row r="2009" spans="1:5" x14ac:dyDescent="0.25">
      <c r="A2009" s="169">
        <v>634</v>
      </c>
      <c r="B2009" s="172"/>
      <c r="C2009" s="106" t="s">
        <v>3211</v>
      </c>
      <c r="D2009" s="269" t="str">
        <f>VLOOKUP(C2009,lookup!$B$2:$F$1240,2)</f>
        <v>each</v>
      </c>
      <c r="E2009" s="271">
        <f>VLOOKUP(C2009,lookup!$B$2:$F$1240,5)</f>
        <v>2300</v>
      </c>
    </row>
    <row r="2010" spans="1:5" x14ac:dyDescent="0.25">
      <c r="A2010" s="169">
        <v>634</v>
      </c>
      <c r="B2010" s="172"/>
      <c r="C2010" s="106" t="s">
        <v>3212</v>
      </c>
      <c r="D2010" s="269" t="str">
        <f>VLOOKUP(C2010,lookup!$B$2:$F$1240,2)</f>
        <v>lin ft</v>
      </c>
      <c r="E2010" s="271">
        <f>VLOOKUP(C2010,lookup!$B$2:$F$1240,5)</f>
        <v>2.5</v>
      </c>
    </row>
    <row r="2011" spans="1:5" x14ac:dyDescent="0.25">
      <c r="A2011" s="169">
        <v>634</v>
      </c>
      <c r="B2011" s="172"/>
      <c r="C2011" s="106" t="s">
        <v>3213</v>
      </c>
      <c r="D2011" s="269" t="str">
        <f>VLOOKUP(C2011,lookup!$B$2:$F$1240,2)</f>
        <v>each</v>
      </c>
      <c r="E2011" s="271">
        <f>VLOOKUP(C2011,lookup!$B$2:$F$1240,5)</f>
        <v>300</v>
      </c>
    </row>
    <row r="2012" spans="1:5" x14ac:dyDescent="0.25">
      <c r="A2012" s="169">
        <v>634</v>
      </c>
      <c r="B2012" s="172"/>
      <c r="C2012" s="106" t="s">
        <v>3214</v>
      </c>
      <c r="D2012" s="269" t="str">
        <f>VLOOKUP(C2012,lookup!$B$2:$F$1240,2)</f>
        <v>lin ft</v>
      </c>
      <c r="E2012" s="271">
        <f>VLOOKUP(C2012,lookup!$B$2:$F$1240,5)</f>
        <v>10</v>
      </c>
    </row>
    <row r="2013" spans="1:5" x14ac:dyDescent="0.25">
      <c r="A2013" s="169">
        <v>634</v>
      </c>
      <c r="B2013" s="172"/>
      <c r="C2013" s="106" t="s">
        <v>3215</v>
      </c>
      <c r="D2013" s="269" t="str">
        <f>VLOOKUP(C2013,lookup!$B$2:$F$1240,2)</f>
        <v>lin ft</v>
      </c>
      <c r="E2013" s="271">
        <f>VLOOKUP(C2013,lookup!$B$2:$F$1240,5)</f>
        <v>8.5</v>
      </c>
    </row>
    <row r="2014" spans="1:5" x14ac:dyDescent="0.25">
      <c r="A2014" s="169">
        <v>634</v>
      </c>
      <c r="B2014" s="172"/>
      <c r="C2014" s="106" t="s">
        <v>3216</v>
      </c>
      <c r="D2014" s="269">
        <f>VLOOKUP(C2014,lookup!$B$2:$F$1240,2)</f>
        <v>0</v>
      </c>
      <c r="E2014" s="271">
        <f>VLOOKUP(C2014,lookup!$B$2:$F$1240,5)</f>
        <v>0</v>
      </c>
    </row>
    <row r="2015" spans="1:5" x14ac:dyDescent="0.25">
      <c r="A2015" s="169">
        <v>634</v>
      </c>
      <c r="B2015" s="172"/>
      <c r="C2015" s="106" t="s">
        <v>3150</v>
      </c>
      <c r="D2015" s="269" t="str">
        <f>VLOOKUP(C2015,lookup!$B$2:$F$1240,2)</f>
        <v>each</v>
      </c>
      <c r="E2015" s="271">
        <f>VLOOKUP(C2015,lookup!$B$2:$F$1240,5)</f>
        <v>2000</v>
      </c>
    </row>
    <row r="2016" spans="1:5" ht="22.8" x14ac:dyDescent="0.25">
      <c r="A2016" s="169">
        <v>634</v>
      </c>
      <c r="B2016" s="172"/>
      <c r="C2016" s="106" t="s">
        <v>3219</v>
      </c>
      <c r="D2016" s="269" t="str">
        <f>VLOOKUP(C2016,lookup!$B$2:$F$1240,2)</f>
        <v>each</v>
      </c>
      <c r="E2016" s="271">
        <f>VLOOKUP(C2016,lookup!$B$2:$F$1240,5)</f>
        <v>500</v>
      </c>
    </row>
    <row r="2017" spans="1:6" x14ac:dyDescent="0.25">
      <c r="A2017" s="169">
        <v>634</v>
      </c>
      <c r="B2017" s="172"/>
      <c r="C2017" s="106" t="s">
        <v>3217</v>
      </c>
      <c r="D2017" s="269" t="str">
        <f>VLOOKUP(C2017,lookup!$B$2:$F$1240,2)</f>
        <v>each</v>
      </c>
      <c r="E2017" s="271">
        <f>VLOOKUP(C2017,lookup!$B$2:$F$1240,5)</f>
        <v>500</v>
      </c>
    </row>
    <row r="2018" spans="1:6" x14ac:dyDescent="0.25">
      <c r="A2018" s="169">
        <v>634</v>
      </c>
      <c r="B2018" s="172"/>
      <c r="C2018" s="106" t="s">
        <v>3218</v>
      </c>
      <c r="D2018" s="269" t="str">
        <f>VLOOKUP(C2018,lookup!$B$2:$F$1240,2)</f>
        <v>hr</v>
      </c>
      <c r="E2018" s="271">
        <f>VLOOKUP(C2018,lookup!$B$2:$F$1240,5)</f>
        <v>80</v>
      </c>
    </row>
    <row r="2019" spans="1:6" x14ac:dyDescent="0.25">
      <c r="A2019" s="169">
        <v>635</v>
      </c>
      <c r="B2019" s="173" t="s">
        <v>3177</v>
      </c>
      <c r="C2019" s="109"/>
      <c r="D2019" s="269" t="e">
        <f>VLOOKUP(C2019,lookup!$B$2:$F$1240,2)</f>
        <v>#N/A</v>
      </c>
      <c r="E2019" s="271" t="e">
        <f>VLOOKUP(C2019,lookup!$B$2:$F$1240,5)</f>
        <v>#N/A</v>
      </c>
      <c r="F2019" s="246" t="s">
        <v>3113</v>
      </c>
    </row>
    <row r="2020" spans="1:6" x14ac:dyDescent="0.25">
      <c r="A2020" s="169">
        <v>635</v>
      </c>
      <c r="B2020" s="179"/>
      <c r="C2020" s="106" t="s">
        <v>2950</v>
      </c>
      <c r="D2020" s="269" t="str">
        <f>VLOOKUP(C2020,lookup!$B$2:$F$1240,2)</f>
        <v>Cu Yd</v>
      </c>
      <c r="E2020" s="271">
        <f>VLOOKUP(C2020,lookup!$B$2:$F$1240,5)</f>
        <v>3.5</v>
      </c>
      <c r="F2020" s="246"/>
    </row>
    <row r="2021" spans="1:6" x14ac:dyDescent="0.25">
      <c r="A2021" s="169">
        <v>635</v>
      </c>
      <c r="B2021" s="179"/>
      <c r="C2021" s="106" t="s">
        <v>3179</v>
      </c>
      <c r="D2021" s="269">
        <f>VLOOKUP(C2021,lookup!$B$2:$F$1240,2)</f>
        <v>0</v>
      </c>
      <c r="E2021" s="271">
        <f>VLOOKUP(C2021,lookup!$B$2:$F$1240,5)</f>
        <v>0</v>
      </c>
      <c r="F2021" s="246"/>
    </row>
    <row r="2022" spans="1:6" x14ac:dyDescent="0.25">
      <c r="A2022" s="169">
        <v>635</v>
      </c>
      <c r="B2022" s="179"/>
      <c r="C2022" s="106" t="s">
        <v>3180</v>
      </c>
      <c r="D2022" s="269" t="str">
        <f>VLOOKUP(C2022,lookup!$B$2:$F$1240,2)</f>
        <v xml:space="preserve">CY </v>
      </c>
      <c r="E2022" s="271">
        <f>VLOOKUP(C2022,lookup!$B$2:$F$1240,5)</f>
        <v>200</v>
      </c>
      <c r="F2022" s="246"/>
    </row>
    <row r="2023" spans="1:6" x14ac:dyDescent="0.25">
      <c r="A2023" s="169">
        <v>635</v>
      </c>
      <c r="B2023" s="179"/>
      <c r="C2023" s="106" t="s">
        <v>3181</v>
      </c>
      <c r="D2023" s="269" t="str">
        <f>VLOOKUP(C2023,lookup!$B$2:$F$1240,2)</f>
        <v>Gal.</v>
      </c>
      <c r="E2023" s="271">
        <f>VLOOKUP(C2023,lookup!$B$2:$F$1240,5)</f>
        <v>21.279720000000001</v>
      </c>
      <c r="F2023" s="246"/>
    </row>
    <row r="2024" spans="1:6" x14ac:dyDescent="0.25">
      <c r="A2024" s="169">
        <v>635</v>
      </c>
      <c r="B2024" s="179"/>
      <c r="C2024" s="106" t="s">
        <v>3182</v>
      </c>
      <c r="D2024" s="269" t="str">
        <f>VLOOKUP(C2024,lookup!$B$2:$F$1240,2)</f>
        <v>C.Y.</v>
      </c>
      <c r="E2024" s="271">
        <f>VLOOKUP(C2024,lookup!$B$2:$F$1240,5)</f>
        <v>43.757092120000003</v>
      </c>
      <c r="F2024" s="246"/>
    </row>
    <row r="2025" spans="1:6" x14ac:dyDescent="0.25">
      <c r="A2025" s="169">
        <v>635</v>
      </c>
      <c r="B2025" s="179"/>
      <c r="C2025" s="106" t="s">
        <v>1179</v>
      </c>
      <c r="D2025" s="269">
        <f>VLOOKUP(C2025,lookup!$B$2:$F$1240,2)</f>
        <v>0</v>
      </c>
      <c r="E2025" s="271">
        <f>VLOOKUP(C2025,lookup!$B$2:$F$1240,5)</f>
        <v>0</v>
      </c>
      <c r="F2025" s="246"/>
    </row>
    <row r="2026" spans="1:6" x14ac:dyDescent="0.25">
      <c r="A2026" s="169">
        <v>635</v>
      </c>
      <c r="B2026" s="179"/>
      <c r="C2026" s="106" t="s">
        <v>3147</v>
      </c>
      <c r="D2026" s="269" t="str">
        <f>VLOOKUP(C2026,lookup!$B$2:$F$1240,2)</f>
        <v>hr</v>
      </c>
      <c r="E2026" s="271">
        <f>VLOOKUP(C2026,lookup!$B$2:$F$1240,5)</f>
        <v>100</v>
      </c>
      <c r="F2026" s="246"/>
    </row>
    <row r="2027" spans="1:6" x14ac:dyDescent="0.25">
      <c r="A2027" s="169">
        <v>635</v>
      </c>
      <c r="C2027" s="113" t="s">
        <v>3183</v>
      </c>
      <c r="D2027" s="269" t="str">
        <f>VLOOKUP(C2027,lookup!$B$2:$F$1240,2)</f>
        <v>hr</v>
      </c>
      <c r="E2027" s="271">
        <f>VLOOKUP(C2027,lookup!$B$2:$F$1240,5)</f>
        <v>120</v>
      </c>
    </row>
    <row r="2028" spans="1:6" x14ac:dyDescent="0.25">
      <c r="A2028" s="169">
        <v>635</v>
      </c>
      <c r="C2028" s="113" t="s">
        <v>424</v>
      </c>
      <c r="D2028" s="269" t="str">
        <f>VLOOKUP(C2028,lookup!$B$2:$F$1240,2)</f>
        <v>sq ft</v>
      </c>
      <c r="E2028" s="271">
        <f>VLOOKUP(C2028,lookup!$B$2:$F$1240,5)</f>
        <v>6.5</v>
      </c>
    </row>
    <row r="2029" spans="1:6" ht="22.8" x14ac:dyDescent="0.25">
      <c r="A2029" s="169">
        <v>635</v>
      </c>
      <c r="C2029" s="106" t="s">
        <v>907</v>
      </c>
      <c r="D2029" s="269" t="str">
        <f>VLOOKUP(C2029,lookup!$B$2:$F$1240,2)</f>
        <v>sq ft</v>
      </c>
      <c r="E2029" s="271">
        <f>VLOOKUP(C2029,lookup!$B$2:$F$1240,5)</f>
        <v>0</v>
      </c>
    </row>
    <row r="2030" spans="1:6" x14ac:dyDescent="0.25">
      <c r="A2030" s="169">
        <v>638</v>
      </c>
      <c r="B2030" s="174" t="s">
        <v>3041</v>
      </c>
      <c r="C2030" s="189"/>
      <c r="D2030" s="269" t="e">
        <f>VLOOKUP(C2030,lookup!$B$2:$F$1240,2)</f>
        <v>#N/A</v>
      </c>
      <c r="E2030" s="271" t="e">
        <f>VLOOKUP(C2030,lookup!$B$2:$F$1240,5)</f>
        <v>#N/A</v>
      </c>
      <c r="F2030" s="194" t="s">
        <v>3058</v>
      </c>
    </row>
    <row r="2031" spans="1:6" x14ac:dyDescent="0.25">
      <c r="A2031" s="169">
        <v>638</v>
      </c>
      <c r="B2031" s="174"/>
      <c r="C2031" s="106" t="s">
        <v>3051</v>
      </c>
      <c r="D2031" s="269" t="str">
        <f>VLOOKUP(C2031,lookup!$B$2:$F$1240,2)</f>
        <v>cu yd</v>
      </c>
      <c r="E2031" s="271">
        <f>VLOOKUP(C2031,lookup!$B$2:$F$1240,5)</f>
        <v>3.5</v>
      </c>
      <c r="F2031" s="118"/>
    </row>
    <row r="2032" spans="1:6" x14ac:dyDescent="0.25">
      <c r="A2032" s="169">
        <v>638</v>
      </c>
      <c r="B2032" s="174"/>
      <c r="C2032" s="106" t="s">
        <v>3051</v>
      </c>
      <c r="D2032" s="269" t="str">
        <f>VLOOKUP(C2032,lookup!$B$2:$F$1240,2)</f>
        <v>cu yd</v>
      </c>
      <c r="E2032" s="271">
        <f>VLOOKUP(C2032,lookup!$B$2:$F$1240,5)</f>
        <v>3.5</v>
      </c>
    </row>
    <row r="2033" spans="1:6" x14ac:dyDescent="0.25">
      <c r="A2033" s="169">
        <v>638</v>
      </c>
      <c r="C2033" s="106" t="s">
        <v>1376</v>
      </c>
      <c r="D2033" s="269" t="str">
        <f>VLOOKUP(C2033,lookup!$B$2:$F$1240,2)</f>
        <v>cu yd</v>
      </c>
      <c r="E2033" s="271">
        <f>VLOOKUP(C2033,lookup!$B$2:$F$1240,5)</f>
        <v>3.5</v>
      </c>
    </row>
    <row r="2034" spans="1:6" x14ac:dyDescent="0.25">
      <c r="A2034" s="169">
        <v>638</v>
      </c>
      <c r="C2034" s="106" t="s">
        <v>1110</v>
      </c>
      <c r="D2034" s="269" t="str">
        <f>VLOOKUP(C2034,lookup!$B$2:$F$1240,2)</f>
        <v>Cu Yd</v>
      </c>
      <c r="E2034" s="271">
        <f>VLOOKUP(C2034,lookup!$B$2:$F$1240,5)</f>
        <v>0</v>
      </c>
    </row>
    <row r="2035" spans="1:6" x14ac:dyDescent="0.25">
      <c r="A2035" s="169">
        <v>638</v>
      </c>
      <c r="C2035" s="106" t="s">
        <v>1034</v>
      </c>
      <c r="D2035" s="269" t="str">
        <f>VLOOKUP(C2035,lookup!$B$2:$F$1240,2)</f>
        <v>l.s.</v>
      </c>
      <c r="E2035" s="271">
        <f>VLOOKUP(C2035,lookup!$B$2:$F$1240,5)</f>
        <v>400</v>
      </c>
    </row>
    <row r="2036" spans="1:6" x14ac:dyDescent="0.25">
      <c r="A2036" s="169">
        <v>638</v>
      </c>
      <c r="B2036" s="174"/>
      <c r="C2036" s="106" t="s">
        <v>3055</v>
      </c>
      <c r="D2036" s="269" t="str">
        <f>VLOOKUP(C2036,lookup!$B$2:$F$1240,2)</f>
        <v>hr</v>
      </c>
      <c r="E2036" s="271">
        <f>VLOOKUP(C2036,lookup!$B$2:$F$1240,5)</f>
        <v>100</v>
      </c>
      <c r="F2036" s="118"/>
    </row>
    <row r="2037" spans="1:6" x14ac:dyDescent="0.25">
      <c r="A2037" s="169">
        <v>638</v>
      </c>
      <c r="B2037" s="174"/>
      <c r="C2037" s="106" t="s">
        <v>3055</v>
      </c>
      <c r="D2037" s="269" t="str">
        <f>VLOOKUP(C2037,lookup!$B$2:$F$1240,2)</f>
        <v>hr</v>
      </c>
      <c r="E2037" s="271">
        <f>VLOOKUP(C2037,lookup!$B$2:$F$1240,5)</f>
        <v>100</v>
      </c>
    </row>
    <row r="2038" spans="1:6" x14ac:dyDescent="0.25">
      <c r="A2038" s="169">
        <v>638</v>
      </c>
      <c r="B2038" s="174"/>
      <c r="C2038" s="106" t="s">
        <v>1047</v>
      </c>
      <c r="D2038" s="269" t="str">
        <f>VLOOKUP(C2038,lookup!$B$2:$F$1240,2)</f>
        <v>hr</v>
      </c>
      <c r="E2038" s="271">
        <f>VLOOKUP(C2038,lookup!$B$2:$F$1240,5)</f>
        <v>20</v>
      </c>
      <c r="F2038" s="118"/>
    </row>
    <row r="2039" spans="1:6" x14ac:dyDescent="0.25">
      <c r="A2039" s="169">
        <v>638</v>
      </c>
      <c r="B2039" s="174"/>
      <c r="C2039" s="106" t="s">
        <v>1047</v>
      </c>
      <c r="D2039" s="269" t="str">
        <f>VLOOKUP(C2039,lookup!$B$2:$F$1240,2)</f>
        <v>hr</v>
      </c>
      <c r="E2039" s="271">
        <f>VLOOKUP(C2039,lookup!$B$2:$F$1240,5)</f>
        <v>20</v>
      </c>
    </row>
    <row r="2040" spans="1:6" x14ac:dyDescent="0.25">
      <c r="A2040" s="169">
        <v>638</v>
      </c>
      <c r="B2040" s="174"/>
      <c r="C2040" s="106" t="s">
        <v>424</v>
      </c>
      <c r="D2040" s="269" t="str">
        <f>VLOOKUP(C2040,lookup!$B$2:$F$1240,2)</f>
        <v>sq ft</v>
      </c>
      <c r="E2040" s="271">
        <f>VLOOKUP(C2040,lookup!$B$2:$F$1240,5)</f>
        <v>6.5</v>
      </c>
      <c r="F2040" s="118"/>
    </row>
    <row r="2041" spans="1:6" x14ac:dyDescent="0.25">
      <c r="A2041" s="169">
        <v>638</v>
      </c>
      <c r="B2041" s="174"/>
      <c r="C2041" s="106" t="s">
        <v>424</v>
      </c>
      <c r="D2041" s="269" t="str">
        <f>VLOOKUP(C2041,lookup!$B$2:$F$1240,2)</f>
        <v>sq ft</v>
      </c>
      <c r="E2041" s="271">
        <f>VLOOKUP(C2041,lookup!$B$2:$F$1240,5)</f>
        <v>6.5</v>
      </c>
    </row>
    <row r="2042" spans="1:6" x14ac:dyDescent="0.25">
      <c r="A2042" s="169">
        <v>638</v>
      </c>
      <c r="B2042" s="174"/>
      <c r="C2042" s="106" t="s">
        <v>3057</v>
      </c>
      <c r="D2042" s="269" t="str">
        <f>VLOOKUP(C2042,lookup!$B$2:$F$1240,2)</f>
        <v>each</v>
      </c>
      <c r="E2042" s="271">
        <f>VLOOKUP(C2042,lookup!$B$2:$F$1240,5)</f>
        <v>500</v>
      </c>
      <c r="F2042" s="118"/>
    </row>
    <row r="2043" spans="1:6" x14ac:dyDescent="0.25">
      <c r="A2043" s="169">
        <v>638</v>
      </c>
      <c r="B2043" s="174"/>
      <c r="C2043" s="106" t="s">
        <v>3057</v>
      </c>
      <c r="D2043" s="269" t="str">
        <f>VLOOKUP(C2043,lookup!$B$2:$F$1240,2)</f>
        <v>each</v>
      </c>
      <c r="E2043" s="271">
        <f>VLOOKUP(C2043,lookup!$B$2:$F$1240,5)</f>
        <v>500</v>
      </c>
    </row>
    <row r="2044" spans="1:6" x14ac:dyDescent="0.25">
      <c r="A2044" s="169">
        <v>638</v>
      </c>
      <c r="B2044" s="174"/>
      <c r="C2044" s="106" t="s">
        <v>3050</v>
      </c>
      <c r="D2044" s="269" t="str">
        <f>VLOOKUP(C2044,lookup!$B$2:$F$1240,2)</f>
        <v>each</v>
      </c>
      <c r="E2044" s="271">
        <f>VLOOKUP(C2044,lookup!$B$2:$F$1240,5)</f>
        <v>200</v>
      </c>
      <c r="F2044" s="118"/>
    </row>
    <row r="2045" spans="1:6" x14ac:dyDescent="0.25">
      <c r="A2045" s="169">
        <v>638</v>
      </c>
      <c r="B2045" s="174"/>
      <c r="C2045" s="106" t="s">
        <v>3050</v>
      </c>
      <c r="D2045" s="269" t="str">
        <f>VLOOKUP(C2045,lookup!$B$2:$F$1240,2)</f>
        <v>each</v>
      </c>
      <c r="E2045" s="271">
        <f>VLOOKUP(C2045,lookup!$B$2:$F$1240,5)</f>
        <v>200</v>
      </c>
    </row>
    <row r="2046" spans="1:6" x14ac:dyDescent="0.25">
      <c r="A2046" s="169">
        <v>638</v>
      </c>
      <c r="B2046" s="174"/>
      <c r="C2046" s="106" t="s">
        <v>3056</v>
      </c>
      <c r="D2046" s="269" t="str">
        <f>VLOOKUP(C2046,lookup!$B$2:$F$1240,2)</f>
        <v>each</v>
      </c>
      <c r="E2046" s="271">
        <f>VLOOKUP(C2046,lookup!$B$2:$F$1240,5)</f>
        <v>400</v>
      </c>
      <c r="F2046" s="118"/>
    </row>
    <row r="2047" spans="1:6" x14ac:dyDescent="0.25">
      <c r="A2047" s="169">
        <v>638</v>
      </c>
      <c r="B2047" s="174"/>
      <c r="C2047" s="106" t="s">
        <v>3056</v>
      </c>
      <c r="D2047" s="269" t="str">
        <f>VLOOKUP(C2047,lookup!$B$2:$F$1240,2)</f>
        <v>each</v>
      </c>
      <c r="E2047" s="271">
        <f>VLOOKUP(C2047,lookup!$B$2:$F$1240,5)</f>
        <v>400</v>
      </c>
    </row>
    <row r="2048" spans="1:6" x14ac:dyDescent="0.25">
      <c r="A2048" s="169">
        <v>638</v>
      </c>
      <c r="C2048" s="106" t="s">
        <v>2433</v>
      </c>
      <c r="D2048" s="269" t="str">
        <f>VLOOKUP(C2048,lookup!$B$2:$F$1240,2)</f>
        <v>Cu Yd</v>
      </c>
      <c r="E2048" s="271">
        <f>VLOOKUP(C2048,lookup!$B$2:$F$1240,5)</f>
        <v>3.5</v>
      </c>
    </row>
    <row r="2049" spans="1:6" x14ac:dyDescent="0.25">
      <c r="A2049" s="169">
        <v>638</v>
      </c>
      <c r="B2049" s="174"/>
      <c r="C2049" s="106" t="s">
        <v>3053</v>
      </c>
      <c r="D2049" s="269">
        <f>VLOOKUP(C2049,lookup!$B$2:$F$1240,2)</f>
        <v>0</v>
      </c>
      <c r="E2049" s="271">
        <f>VLOOKUP(C2049,lookup!$B$2:$F$1240,5)</f>
        <v>0</v>
      </c>
      <c r="F2049" s="118"/>
    </row>
    <row r="2050" spans="1:6" ht="22.8" x14ac:dyDescent="0.25">
      <c r="A2050" s="169">
        <v>638</v>
      </c>
      <c r="C2050" s="106" t="s">
        <v>906</v>
      </c>
      <c r="D2050" s="269">
        <f>VLOOKUP(C2050,lookup!$B$2:$F$1240,2)</f>
        <v>0</v>
      </c>
      <c r="E2050" s="271">
        <f>VLOOKUP(C2050,lookup!$B$2:$F$1240,5)</f>
        <v>0</v>
      </c>
    </row>
    <row r="2051" spans="1:6" ht="22.8" x14ac:dyDescent="0.25">
      <c r="A2051" s="169">
        <v>638</v>
      </c>
      <c r="C2051" s="106" t="s">
        <v>907</v>
      </c>
      <c r="D2051" s="269" t="str">
        <f>VLOOKUP(C2051,lookup!$B$2:$F$1240,2)</f>
        <v>sq ft</v>
      </c>
      <c r="E2051" s="271">
        <f>VLOOKUP(C2051,lookup!$B$2:$F$1240,5)</f>
        <v>0</v>
      </c>
    </row>
    <row r="2052" spans="1:6" ht="22.8" x14ac:dyDescent="0.25">
      <c r="A2052" s="169">
        <v>638</v>
      </c>
      <c r="C2052" s="106" t="s">
        <v>1781</v>
      </c>
      <c r="D2052" s="269">
        <f>VLOOKUP(C2052,lookup!$B$2:$F$1240,2)</f>
        <v>0</v>
      </c>
      <c r="E2052" s="271">
        <f>VLOOKUP(C2052,lookup!$B$2:$F$1240,5)</f>
        <v>0</v>
      </c>
    </row>
    <row r="2053" spans="1:6" ht="22.8" x14ac:dyDescent="0.25">
      <c r="A2053" s="169">
        <v>638</v>
      </c>
      <c r="C2053" s="106" t="s">
        <v>908</v>
      </c>
      <c r="D2053" s="269">
        <f>VLOOKUP(C2053,lookup!$B$2:$F$1240,2)</f>
        <v>0</v>
      </c>
      <c r="E2053" s="271">
        <f>VLOOKUP(C2053,lookup!$B$2:$F$1240,5)</f>
        <v>0</v>
      </c>
    </row>
    <row r="2054" spans="1:6" ht="22.8" x14ac:dyDescent="0.25">
      <c r="A2054" s="169">
        <v>638</v>
      </c>
      <c r="C2054" s="106" t="s">
        <v>909</v>
      </c>
      <c r="D2054" s="269">
        <f>VLOOKUP(C2054,lookup!$B$2:$F$1240,2)</f>
        <v>0</v>
      </c>
      <c r="E2054" s="271">
        <f>VLOOKUP(C2054,lookup!$B$2:$F$1240,5)</f>
        <v>0</v>
      </c>
    </row>
    <row r="2055" spans="1:6" ht="22.8" x14ac:dyDescent="0.25">
      <c r="A2055" s="169">
        <v>638</v>
      </c>
      <c r="C2055" s="106" t="s">
        <v>910</v>
      </c>
      <c r="D2055" s="269">
        <f>VLOOKUP(C2055,lookup!$B$2:$F$1240,2)</f>
        <v>0</v>
      </c>
      <c r="E2055" s="271">
        <f>VLOOKUP(C2055,lookup!$B$2:$F$1240,5)</f>
        <v>0</v>
      </c>
    </row>
    <row r="2056" spans="1:6" x14ac:dyDescent="0.25">
      <c r="A2056" s="169">
        <v>638</v>
      </c>
      <c r="C2056" s="106" t="s">
        <v>1523</v>
      </c>
      <c r="D2056" s="269">
        <f>VLOOKUP(C2056,lookup!$B$2:$F$1240,2)</f>
        <v>0</v>
      </c>
      <c r="E2056" s="271">
        <f>VLOOKUP(C2056,lookup!$B$2:$F$1240,5)</f>
        <v>0</v>
      </c>
    </row>
    <row r="2057" spans="1:6" x14ac:dyDescent="0.25">
      <c r="A2057" s="169">
        <v>642</v>
      </c>
      <c r="B2057" s="172" t="s">
        <v>2071</v>
      </c>
      <c r="D2057" s="269" t="e">
        <f>VLOOKUP(C2057,lookup!$B$2:$F$1240,2)</f>
        <v>#N/A</v>
      </c>
      <c r="E2057" s="271" t="e">
        <f>VLOOKUP(C2057,lookup!$B$2:$F$1240,5)</f>
        <v>#N/A</v>
      </c>
    </row>
    <row r="2058" spans="1:6" x14ac:dyDescent="0.25">
      <c r="A2058" s="169">
        <v>642</v>
      </c>
      <c r="C2058" s="106" t="s">
        <v>248</v>
      </c>
      <c r="D2058" s="269">
        <f>VLOOKUP(C2058,lookup!$B$2:$F$1240,2)</f>
        <v>0</v>
      </c>
      <c r="E2058" s="271">
        <f>VLOOKUP(C2058,lookup!$B$2:$F$1240,5)</f>
        <v>0</v>
      </c>
    </row>
    <row r="2059" spans="1:6" x14ac:dyDescent="0.25">
      <c r="A2059" s="169">
        <v>642</v>
      </c>
      <c r="C2059" s="106" t="s">
        <v>249</v>
      </c>
      <c r="D2059" s="269">
        <f>VLOOKUP(C2059,lookup!$B$2:$F$1240,2)</f>
        <v>0</v>
      </c>
      <c r="E2059" s="271">
        <f>VLOOKUP(C2059,lookup!$B$2:$F$1240,5)</f>
        <v>0</v>
      </c>
    </row>
    <row r="2060" spans="1:6" x14ac:dyDescent="0.25">
      <c r="A2060" s="169">
        <v>642</v>
      </c>
      <c r="C2060" s="106" t="s">
        <v>2719</v>
      </c>
      <c r="D2060" s="269">
        <f>VLOOKUP(C2060,lookup!$B$2:$F$1240,2)</f>
        <v>0</v>
      </c>
      <c r="E2060" s="271">
        <f>VLOOKUP(C2060,lookup!$B$2:$F$1240,5)</f>
        <v>0</v>
      </c>
    </row>
    <row r="2061" spans="1:6" x14ac:dyDescent="0.25">
      <c r="A2061" s="169">
        <v>642</v>
      </c>
      <c r="C2061" s="106" t="s">
        <v>218</v>
      </c>
      <c r="D2061" s="269">
        <f>VLOOKUP(C2061,lookup!$B$2:$F$1240,2)</f>
        <v>0</v>
      </c>
      <c r="E2061" s="271">
        <f>VLOOKUP(C2061,lookup!$B$2:$F$1240,5)</f>
        <v>0</v>
      </c>
    </row>
    <row r="2062" spans="1:6" x14ac:dyDescent="0.25">
      <c r="A2062" s="169">
        <v>642</v>
      </c>
      <c r="C2062" s="106" t="s">
        <v>227</v>
      </c>
      <c r="D2062" s="269">
        <f>VLOOKUP(C2062,lookup!$B$2:$F$1240,2)</f>
        <v>0</v>
      </c>
      <c r="E2062" s="271">
        <f>VLOOKUP(C2062,lookup!$B$2:$F$1240,5)</f>
        <v>0</v>
      </c>
    </row>
    <row r="2063" spans="1:6" x14ac:dyDescent="0.25">
      <c r="A2063" s="169">
        <v>642</v>
      </c>
      <c r="C2063" s="106" t="s">
        <v>226</v>
      </c>
      <c r="D2063" s="269">
        <f>VLOOKUP(C2063,lookup!$B$2:$F$1240,2)</f>
        <v>0</v>
      </c>
      <c r="E2063" s="271">
        <f>VLOOKUP(C2063,lookup!$B$2:$F$1240,5)</f>
        <v>0</v>
      </c>
    </row>
    <row r="2064" spans="1:6" x14ac:dyDescent="0.25">
      <c r="A2064" s="169">
        <v>642</v>
      </c>
      <c r="C2064" s="106" t="s">
        <v>2718</v>
      </c>
      <c r="D2064" s="269">
        <f>VLOOKUP(C2064,lookup!$B$2:$F$1240,2)</f>
        <v>0</v>
      </c>
      <c r="E2064" s="271">
        <f>VLOOKUP(C2064,lookup!$B$2:$F$1240,5)</f>
        <v>0</v>
      </c>
    </row>
    <row r="2065" spans="1:6" x14ac:dyDescent="0.25">
      <c r="A2065" s="169">
        <v>642</v>
      </c>
      <c r="C2065" s="106" t="s">
        <v>1386</v>
      </c>
      <c r="D2065" s="269">
        <f>VLOOKUP(C2065,lookup!$B$2:$F$1240,2)</f>
        <v>0</v>
      </c>
      <c r="E2065" s="271">
        <f>VLOOKUP(C2065,lookup!$B$2:$F$1240,5)</f>
        <v>0</v>
      </c>
    </row>
    <row r="2066" spans="1:6" x14ac:dyDescent="0.25">
      <c r="A2066" s="169">
        <v>642</v>
      </c>
      <c r="C2066" s="106" t="s">
        <v>250</v>
      </c>
      <c r="D2066" s="269">
        <f>VLOOKUP(C2066,lookup!$B$2:$F$1240,2)</f>
        <v>0</v>
      </c>
      <c r="E2066" s="271">
        <f>VLOOKUP(C2066,lookup!$B$2:$F$1240,5)</f>
        <v>0</v>
      </c>
    </row>
    <row r="2067" spans="1:6" x14ac:dyDescent="0.25">
      <c r="A2067" s="169">
        <v>642</v>
      </c>
      <c r="C2067" s="106" t="s">
        <v>560</v>
      </c>
      <c r="D2067" s="269" t="str">
        <f>VLOOKUP(C2067,lookup!$B$2:$F$1240,2)</f>
        <v>Hr.</v>
      </c>
      <c r="E2067" s="271">
        <f>VLOOKUP(C2067,lookup!$B$2:$F$1240,5)</f>
        <v>81.068363600000012</v>
      </c>
    </row>
    <row r="2068" spans="1:6" x14ac:dyDescent="0.25">
      <c r="A2068" s="169">
        <v>642</v>
      </c>
      <c r="C2068" s="106" t="s">
        <v>2689</v>
      </c>
      <c r="D2068" s="269" t="str">
        <f>VLOOKUP(C2068,lookup!$B$2:$F$1240,2)</f>
        <v>Hr.</v>
      </c>
      <c r="E2068" s="271">
        <f>VLOOKUP(C2068,lookup!$B$2:$F$1240,5)</f>
        <v>81.068363600000012</v>
      </c>
    </row>
    <row r="2069" spans="1:6" x14ac:dyDescent="0.25">
      <c r="A2069" s="169">
        <v>642</v>
      </c>
      <c r="C2069" s="106" t="s">
        <v>2720</v>
      </c>
      <c r="D2069" s="269" t="str">
        <f>VLOOKUP(C2069,lookup!$B$2:$F$1240,2)</f>
        <v>Hr.</v>
      </c>
      <c r="E2069" s="271">
        <f>VLOOKUP(C2069,lookup!$B$2:$F$1240,5)</f>
        <v>81.068363600000012</v>
      </c>
    </row>
    <row r="2070" spans="1:6" x14ac:dyDescent="0.25">
      <c r="A2070" s="169">
        <v>642</v>
      </c>
      <c r="C2070" s="106" t="s">
        <v>2690</v>
      </c>
      <c r="D2070" s="269" t="str">
        <f>VLOOKUP(C2070,lookup!$B$2:$F$1240,2)</f>
        <v>Hr.</v>
      </c>
      <c r="E2070" s="271">
        <f>VLOOKUP(C2070,lookup!$B$2:$F$1240,5)</f>
        <v>81.068363600000012</v>
      </c>
    </row>
    <row r="2071" spans="1:6" x14ac:dyDescent="0.25">
      <c r="A2071" s="169">
        <v>642</v>
      </c>
      <c r="C2071" s="106" t="s">
        <v>1180</v>
      </c>
      <c r="D2071" s="269" t="str">
        <f>VLOOKUP(C2071,lookup!$B$2:$F$1240,2)</f>
        <v>Hr.</v>
      </c>
      <c r="E2071" s="271">
        <f>VLOOKUP(C2071,lookup!$B$2:$F$1240,5)</f>
        <v>81.068363600000012</v>
      </c>
    </row>
    <row r="2072" spans="1:6" x14ac:dyDescent="0.25">
      <c r="A2072" s="169">
        <v>643</v>
      </c>
      <c r="B2072" s="172" t="s">
        <v>273</v>
      </c>
      <c r="D2072" s="269" t="e">
        <f>VLOOKUP(C2072,lookup!$B$2:$F$1240,2)</f>
        <v>#N/A</v>
      </c>
      <c r="E2072" s="271" t="e">
        <f>VLOOKUP(C2072,lookup!$B$2:$F$1240,5)</f>
        <v>#N/A</v>
      </c>
      <c r="F2072" s="194" t="s">
        <v>3058</v>
      </c>
    </row>
    <row r="2073" spans="1:6" ht="22.8" x14ac:dyDescent="0.25">
      <c r="A2073" s="169">
        <v>643</v>
      </c>
      <c r="C2073" s="106" t="s">
        <v>3062</v>
      </c>
      <c r="D2073" s="269" t="str">
        <f>VLOOKUP(C2073,lookup!$B$2:$F$1240,2)</f>
        <v>ac</v>
      </c>
      <c r="E2073" s="271">
        <f>VLOOKUP(C2073,lookup!$B$2:$F$1240,5)</f>
        <v>14</v>
      </c>
    </row>
    <row r="2074" spans="1:6" x14ac:dyDescent="0.25">
      <c r="A2074" s="169">
        <v>643</v>
      </c>
      <c r="C2074" s="106" t="s">
        <v>3060</v>
      </c>
      <c r="D2074" s="269" t="str">
        <f>VLOOKUP(C2074,lookup!$B$2:$F$1240,2)</f>
        <v>sq ft</v>
      </c>
      <c r="E2074" s="271">
        <f>VLOOKUP(C2074,lookup!$B$2:$F$1240,5)</f>
        <v>5.5</v>
      </c>
    </row>
    <row r="2075" spans="1:6" x14ac:dyDescent="0.25">
      <c r="A2075" s="169">
        <v>643</v>
      </c>
      <c r="C2075" s="106" t="s">
        <v>3098</v>
      </c>
      <c r="D2075" s="269" t="str">
        <f>VLOOKUP(C2075,lookup!$B$2:$F$1240,2)</f>
        <v>ac</v>
      </c>
      <c r="E2075" s="271">
        <f>VLOOKUP(C2075,lookup!$B$2:$F$1240,5)</f>
        <v>17</v>
      </c>
    </row>
    <row r="2076" spans="1:6" ht="22.8" x14ac:dyDescent="0.25">
      <c r="A2076" s="169">
        <v>643</v>
      </c>
      <c r="C2076" s="106" t="s">
        <v>3078</v>
      </c>
      <c r="D2076" s="269" t="str">
        <f>VLOOKUP(C2076,lookup!$B$2:$F$1240,2)</f>
        <v>each</v>
      </c>
      <c r="E2076" s="271">
        <f>VLOOKUP(C2076,lookup!$B$2:$F$1240,5)</f>
        <v>44.8</v>
      </c>
    </row>
    <row r="2077" spans="1:6" x14ac:dyDescent="0.25">
      <c r="A2077" s="169">
        <v>643</v>
      </c>
      <c r="C2077" s="106" t="s">
        <v>2309</v>
      </c>
      <c r="D2077" s="269">
        <f>VLOOKUP(C2077,lookup!$B$2:$F$1240,2)</f>
        <v>0</v>
      </c>
      <c r="E2077" s="271">
        <f>VLOOKUP(C2077,lookup!$B$2:$F$1240,5)</f>
        <v>0</v>
      </c>
    </row>
    <row r="2078" spans="1:6" x14ac:dyDescent="0.25">
      <c r="A2078" s="169">
        <v>643</v>
      </c>
      <c r="C2078" s="106" t="s">
        <v>3065</v>
      </c>
      <c r="D2078" s="269" t="str">
        <f>VLOOKUP(C2078,lookup!$B$2:$F$1240,2)</f>
        <v>gal</v>
      </c>
      <c r="E2078" s="271">
        <f>VLOOKUP(C2078,lookup!$B$2:$F$1240,5)</f>
        <v>45</v>
      </c>
    </row>
    <row r="2079" spans="1:6" ht="22.8" x14ac:dyDescent="0.25">
      <c r="A2079" s="169">
        <v>643</v>
      </c>
      <c r="C2079" s="106" t="s">
        <v>3064</v>
      </c>
      <c r="D2079" s="269" t="str">
        <f>VLOOKUP(C2079,lookup!$B$2:$F$1240,2)</f>
        <v>ac</v>
      </c>
      <c r="E2079" s="271">
        <f>VLOOKUP(C2079,lookup!$B$2:$F$1240,5)</f>
        <v>21.4</v>
      </c>
    </row>
    <row r="2080" spans="1:6" x14ac:dyDescent="0.25">
      <c r="A2080" s="169">
        <v>643</v>
      </c>
      <c r="C2080" s="106" t="s">
        <v>3066</v>
      </c>
      <c r="D2080" s="269" t="str">
        <f>VLOOKUP(C2080,lookup!$B$2:$F$1240,2)</f>
        <v>ac</v>
      </c>
      <c r="E2080" s="271">
        <f>VLOOKUP(C2080,lookup!$B$2:$F$1240,5)</f>
        <v>21.4</v>
      </c>
    </row>
    <row r="2081" spans="1:5" x14ac:dyDescent="0.25">
      <c r="A2081" s="169">
        <v>643</v>
      </c>
      <c r="C2081" s="106" t="s">
        <v>3077</v>
      </c>
      <c r="D2081" s="269" t="str">
        <f>VLOOKUP(C2081,lookup!$B$2:$F$1240,2)</f>
        <v>each</v>
      </c>
      <c r="E2081" s="271">
        <f>VLOOKUP(C2081,lookup!$B$2:$F$1240,5)</f>
        <v>10</v>
      </c>
    </row>
    <row r="2082" spans="1:5" x14ac:dyDescent="0.25">
      <c r="A2082" s="169">
        <v>643</v>
      </c>
      <c r="C2082" s="106" t="s">
        <v>722</v>
      </c>
      <c r="D2082" s="269" t="str">
        <f>VLOOKUP(C2082,lookup!$B$2:$F$1240,2)</f>
        <v>Ac.</v>
      </c>
      <c r="E2082" s="271">
        <f>VLOOKUP(C2082,lookup!$B$2:$F$1240,5)</f>
        <v>1475</v>
      </c>
    </row>
    <row r="2083" spans="1:5" ht="22.8" x14ac:dyDescent="0.25">
      <c r="A2083" s="169">
        <v>643</v>
      </c>
      <c r="C2083" s="106" t="s">
        <v>3061</v>
      </c>
      <c r="D2083" s="269" t="str">
        <f>VLOOKUP(C2083,lookup!$B$2:$F$1240,2)</f>
        <v>ac</v>
      </c>
      <c r="E2083" s="271">
        <f>VLOOKUP(C2083,lookup!$B$2:$F$1240,5)</f>
        <v>12.53</v>
      </c>
    </row>
    <row r="2084" spans="1:5" x14ac:dyDescent="0.25">
      <c r="A2084" s="169">
        <v>643</v>
      </c>
      <c r="C2084" s="106" t="s">
        <v>3075</v>
      </c>
      <c r="D2084" s="269" t="str">
        <f>VLOOKUP(C2084,lookup!$B$2:$F$1240,2)</f>
        <v>ac</v>
      </c>
      <c r="E2084" s="271">
        <f>VLOOKUP(C2084,lookup!$B$2:$F$1240,5)</f>
        <v>15</v>
      </c>
    </row>
    <row r="2085" spans="1:5" ht="22.8" x14ac:dyDescent="0.25">
      <c r="A2085" s="169">
        <v>643</v>
      </c>
      <c r="C2085" s="106" t="s">
        <v>3099</v>
      </c>
      <c r="D2085" s="269" t="str">
        <f>VLOOKUP(C2085,lookup!$B$2:$F$1240,2)</f>
        <v>ac</v>
      </c>
      <c r="E2085" s="271">
        <f>VLOOKUP(C2085,lookup!$B$2:$F$1240,5)</f>
        <v>45</v>
      </c>
    </row>
    <row r="2086" spans="1:5" x14ac:dyDescent="0.25">
      <c r="A2086" s="169">
        <v>643</v>
      </c>
      <c r="C2086" s="106" t="s">
        <v>1506</v>
      </c>
      <c r="D2086" s="269" t="str">
        <f>VLOOKUP(C2086,lookup!$B$2:$F$1240,2)</f>
        <v>lb</v>
      </c>
      <c r="E2086" s="271">
        <f>VLOOKUP(C2086,lookup!$B$2:$F$1240,5)</f>
        <v>13</v>
      </c>
    </row>
    <row r="2087" spans="1:5" x14ac:dyDescent="0.25">
      <c r="A2087" s="169">
        <v>643</v>
      </c>
      <c r="C2087" s="106" t="s">
        <v>1012</v>
      </c>
      <c r="D2087" s="269" t="str">
        <f>VLOOKUP(C2087,lookup!$B$2:$F$1240,2)</f>
        <v>lb</v>
      </c>
      <c r="E2087" s="271">
        <f>VLOOKUP(C2087,lookup!$B$2:$F$1240,5)</f>
        <v>12</v>
      </c>
    </row>
    <row r="2088" spans="1:5" x14ac:dyDescent="0.25">
      <c r="A2088" s="169">
        <v>643</v>
      </c>
      <c r="C2088" s="106" t="s">
        <v>3074</v>
      </c>
      <c r="D2088" s="269" t="str">
        <f>VLOOKUP(C2088,lookup!$B$2:$F$1240,2)</f>
        <v>lb</v>
      </c>
      <c r="E2088" s="271">
        <f>VLOOKUP(C2088,lookup!$B$2:$F$1240,5)</f>
        <v>9</v>
      </c>
    </row>
    <row r="2089" spans="1:5" x14ac:dyDescent="0.25">
      <c r="A2089" s="169">
        <v>643</v>
      </c>
      <c r="C2089" s="106" t="s">
        <v>1507</v>
      </c>
      <c r="D2089" s="269" t="str">
        <f>VLOOKUP(C2089,lookup!$B$2:$F$1240,2)</f>
        <v>lb</v>
      </c>
      <c r="E2089" s="271">
        <f>VLOOKUP(C2089,lookup!$B$2:$F$1240,5)</f>
        <v>19</v>
      </c>
    </row>
    <row r="2090" spans="1:5" x14ac:dyDescent="0.25">
      <c r="A2090" s="169">
        <v>643</v>
      </c>
      <c r="C2090" s="106" t="s">
        <v>1505</v>
      </c>
      <c r="D2090" s="269" t="str">
        <f>VLOOKUP(C2090,lookup!$B$2:$F$1240,2)</f>
        <v>lb.</v>
      </c>
      <c r="E2090" s="271">
        <f>VLOOKUP(C2090,lookup!$B$2:$F$1240,5)</f>
        <v>9</v>
      </c>
    </row>
    <row r="2091" spans="1:5" x14ac:dyDescent="0.25">
      <c r="A2091" s="169">
        <v>643</v>
      </c>
      <c r="C2091" s="106" t="s">
        <v>3073</v>
      </c>
      <c r="D2091" s="269" t="str">
        <f>VLOOKUP(C2091,lookup!$B$2:$F$1240,2)</f>
        <v>lb</v>
      </c>
      <c r="E2091" s="271">
        <f>VLOOKUP(C2091,lookup!$B$2:$F$1240,5)</f>
        <v>150</v>
      </c>
    </row>
    <row r="2092" spans="1:5" x14ac:dyDescent="0.25">
      <c r="A2092" s="169">
        <v>643</v>
      </c>
      <c r="C2092" s="106" t="s">
        <v>1646</v>
      </c>
      <c r="D2092" s="269" t="str">
        <f>VLOOKUP(C2092,lookup!$B$2:$F$1240,2)</f>
        <v>ac</v>
      </c>
      <c r="E2092" s="271">
        <f>VLOOKUP(C2092,lookup!$B$2:$F$1240,5)</f>
        <v>34</v>
      </c>
    </row>
    <row r="2093" spans="1:5" x14ac:dyDescent="0.25">
      <c r="A2093" s="169">
        <v>643</v>
      </c>
      <c r="C2093" s="106" t="s">
        <v>3068</v>
      </c>
      <c r="D2093" s="269" t="str">
        <f>VLOOKUP(C2093,lookup!$B$2:$F$1240,2)</f>
        <v>each</v>
      </c>
      <c r="E2093" s="271">
        <f>VLOOKUP(C2093,lookup!$B$2:$F$1240,5)</f>
        <v>1</v>
      </c>
    </row>
    <row r="2094" spans="1:5" x14ac:dyDescent="0.25">
      <c r="A2094" s="169">
        <v>643</v>
      </c>
      <c r="C2094" s="106" t="s">
        <v>3063</v>
      </c>
      <c r="D2094" s="269" t="str">
        <f>VLOOKUP(C2094,lookup!$B$2:$F$1240,2)</f>
        <v>hr</v>
      </c>
      <c r="E2094" s="271">
        <f>VLOOKUP(C2094,lookup!$B$2:$F$1240,5)</f>
        <v>35</v>
      </c>
    </row>
    <row r="2095" spans="1:5" ht="22.8" x14ac:dyDescent="0.25">
      <c r="A2095" s="169">
        <v>643</v>
      </c>
      <c r="C2095" s="106" t="s">
        <v>3076</v>
      </c>
      <c r="D2095" s="269" t="str">
        <f>VLOOKUP(C2095,lookup!$B$2:$F$1240,2)</f>
        <v>each</v>
      </c>
      <c r="E2095" s="271">
        <f>VLOOKUP(C2095,lookup!$B$2:$F$1240,5)</f>
        <v>2</v>
      </c>
    </row>
    <row r="2096" spans="1:5" x14ac:dyDescent="0.25">
      <c r="A2096" s="169">
        <v>643</v>
      </c>
      <c r="C2096" s="106" t="s">
        <v>3070</v>
      </c>
      <c r="D2096" s="269" t="str">
        <f>VLOOKUP(C2096,lookup!$B$2:$F$1240,2)</f>
        <v>each</v>
      </c>
      <c r="E2096" s="271">
        <f>VLOOKUP(C2096,lookup!$B$2:$F$1240,5)</f>
        <v>1</v>
      </c>
    </row>
    <row r="2097" spans="1:5" x14ac:dyDescent="0.25">
      <c r="A2097" s="169">
        <v>643</v>
      </c>
      <c r="C2097" s="106" t="s">
        <v>3069</v>
      </c>
      <c r="D2097" s="269" t="str">
        <f>VLOOKUP(C2097,lookup!$B$2:$F$1240,2)</f>
        <v>each</v>
      </c>
      <c r="E2097" s="271">
        <f>VLOOKUP(C2097,lookup!$B$2:$F$1240,5)</f>
        <v>1</v>
      </c>
    </row>
    <row r="2098" spans="1:5" x14ac:dyDescent="0.25">
      <c r="A2098" s="169">
        <v>643</v>
      </c>
      <c r="C2098" s="106" t="s">
        <v>3067</v>
      </c>
      <c r="D2098" s="269" t="str">
        <f>VLOOKUP(C2098,lookup!$B$2:$F$1240,2)</f>
        <v>each</v>
      </c>
      <c r="E2098" s="271">
        <f>VLOOKUP(C2098,lookup!$B$2:$F$1240,5)</f>
        <v>10</v>
      </c>
    </row>
    <row r="2099" spans="1:5" x14ac:dyDescent="0.25">
      <c r="A2099" s="169">
        <v>643</v>
      </c>
      <c r="C2099" s="106" t="s">
        <v>3071</v>
      </c>
      <c r="D2099" s="269" t="str">
        <f>VLOOKUP(C2099,lookup!$B$2:$F$1240,2)</f>
        <v>each</v>
      </c>
      <c r="E2099" s="271">
        <f>VLOOKUP(C2099,lookup!$B$2:$F$1240,5)</f>
        <v>1.2</v>
      </c>
    </row>
    <row r="2100" spans="1:5" x14ac:dyDescent="0.25">
      <c r="A2100" s="169">
        <v>643</v>
      </c>
      <c r="C2100" s="106" t="s">
        <v>3072</v>
      </c>
      <c r="D2100" s="269" t="str">
        <f>VLOOKUP(C2100,lookup!$B$2:$F$1240,2)</f>
        <v>each</v>
      </c>
      <c r="E2100" s="271">
        <f>VLOOKUP(C2100,lookup!$B$2:$F$1240,5)</f>
        <v>1.2</v>
      </c>
    </row>
    <row r="2101" spans="1:5" x14ac:dyDescent="0.25">
      <c r="A2101" s="169">
        <v>644</v>
      </c>
      <c r="B2101" s="172" t="s">
        <v>2081</v>
      </c>
      <c r="D2101" s="269" t="e">
        <f>VLOOKUP(C2101,lookup!$B$2:$F$1240,2)</f>
        <v>#N/A</v>
      </c>
      <c r="E2101" s="271" t="e">
        <f>VLOOKUP(C2101,lookup!$B$2:$F$1240,5)</f>
        <v>#N/A</v>
      </c>
    </row>
    <row r="2102" spans="1:5" x14ac:dyDescent="0.25">
      <c r="A2102" s="169">
        <v>644</v>
      </c>
      <c r="C2102" s="106" t="s">
        <v>279</v>
      </c>
      <c r="D2102" s="269">
        <f>VLOOKUP(C2102,lookup!$B$2:$F$1240,2)</f>
        <v>0</v>
      </c>
      <c r="E2102" s="271">
        <f>VLOOKUP(C2102,lookup!$B$2:$F$1240,5)</f>
        <v>0</v>
      </c>
    </row>
    <row r="2103" spans="1:5" x14ac:dyDescent="0.25">
      <c r="A2103" s="169">
        <v>644</v>
      </c>
      <c r="C2103" s="106" t="s">
        <v>2428</v>
      </c>
      <c r="D2103" s="269" t="str">
        <f>VLOOKUP(C2103,lookup!$B$2:$F$1240,2)</f>
        <v>Pkg.</v>
      </c>
      <c r="E2103" s="271">
        <f>VLOOKUP(C2103,lookup!$B$2:$F$1240,5)</f>
        <v>4.5</v>
      </c>
    </row>
    <row r="2104" spans="1:5" x14ac:dyDescent="0.25">
      <c r="A2104" s="169">
        <v>644</v>
      </c>
      <c r="C2104" s="106" t="s">
        <v>1376</v>
      </c>
      <c r="D2104" s="269" t="str">
        <f>VLOOKUP(C2104,lookup!$B$2:$F$1240,2)</f>
        <v>cu yd</v>
      </c>
      <c r="E2104" s="271">
        <f>VLOOKUP(C2104,lookup!$B$2:$F$1240,5)</f>
        <v>3.5</v>
      </c>
    </row>
    <row r="2105" spans="1:5" x14ac:dyDescent="0.25">
      <c r="A2105" s="169">
        <v>644</v>
      </c>
      <c r="C2105" s="106" t="s">
        <v>1110</v>
      </c>
      <c r="D2105" s="269" t="str">
        <f>VLOOKUP(C2105,lookup!$B$2:$F$1240,2)</f>
        <v>Cu Yd</v>
      </c>
      <c r="E2105" s="271">
        <f>VLOOKUP(C2105,lookup!$B$2:$F$1240,5)</f>
        <v>0</v>
      </c>
    </row>
    <row r="2106" spans="1:5" ht="22.8" x14ac:dyDescent="0.25">
      <c r="A2106" s="169">
        <v>644</v>
      </c>
      <c r="C2106" s="130" t="s">
        <v>1801</v>
      </c>
      <c r="D2106" s="269">
        <f>VLOOKUP(C2106,lookup!$B$2:$F$1240,2)</f>
        <v>0</v>
      </c>
      <c r="E2106" s="271">
        <f>VLOOKUP(C2106,lookup!$B$2:$F$1240,5)</f>
        <v>0</v>
      </c>
    </row>
    <row r="2107" spans="1:5" ht="22.8" x14ac:dyDescent="0.25">
      <c r="A2107" s="169">
        <v>644</v>
      </c>
      <c r="C2107" s="130" t="s">
        <v>769</v>
      </c>
      <c r="D2107" s="269">
        <f>VLOOKUP(C2107,lookup!$B$2:$F$1240,2)</f>
        <v>0</v>
      </c>
      <c r="E2107" s="271">
        <f>VLOOKUP(C2107,lookup!$B$2:$F$1240,5)</f>
        <v>0</v>
      </c>
    </row>
    <row r="2108" spans="1:5" ht="22.8" x14ac:dyDescent="0.25">
      <c r="A2108" s="169">
        <v>644</v>
      </c>
      <c r="C2108" s="130" t="s">
        <v>770</v>
      </c>
      <c r="D2108" s="269">
        <f>VLOOKUP(C2108,lookup!$B$2:$F$1240,2)</f>
        <v>0</v>
      </c>
      <c r="E2108" s="271">
        <f>VLOOKUP(C2108,lookup!$B$2:$F$1240,5)</f>
        <v>0</v>
      </c>
    </row>
    <row r="2109" spans="1:5" ht="34.200000000000003" x14ac:dyDescent="0.25">
      <c r="A2109" s="169">
        <v>644</v>
      </c>
      <c r="C2109" s="130" t="s">
        <v>397</v>
      </c>
      <c r="D2109" s="269">
        <f>VLOOKUP(C2109,lookup!$B$2:$F$1240,2)</f>
        <v>0</v>
      </c>
      <c r="E2109" s="271">
        <f>VLOOKUP(C2109,lookup!$B$2:$F$1240,5)</f>
        <v>0</v>
      </c>
    </row>
    <row r="2110" spans="1:5" ht="34.200000000000003" x14ac:dyDescent="0.25">
      <c r="A2110" s="169">
        <v>644</v>
      </c>
      <c r="C2110" s="130" t="s">
        <v>398</v>
      </c>
      <c r="D2110" s="269">
        <f>VLOOKUP(C2110,lookup!$B$2:$F$1240,2)</f>
        <v>0</v>
      </c>
      <c r="E2110" s="271">
        <f>VLOOKUP(C2110,lookup!$B$2:$F$1240,5)</f>
        <v>0</v>
      </c>
    </row>
    <row r="2111" spans="1:5" x14ac:dyDescent="0.25">
      <c r="A2111" s="169">
        <v>644</v>
      </c>
      <c r="C2111" s="106" t="s">
        <v>1034</v>
      </c>
      <c r="D2111" s="269" t="str">
        <f>VLOOKUP(C2111,lookup!$B$2:$F$1240,2)</f>
        <v>l.s.</v>
      </c>
      <c r="E2111" s="271">
        <f>VLOOKUP(C2111,lookup!$B$2:$F$1240,5)</f>
        <v>400</v>
      </c>
    </row>
    <row r="2112" spans="1:5" x14ac:dyDescent="0.25">
      <c r="A2112" s="169">
        <v>644</v>
      </c>
      <c r="C2112" s="106" t="s">
        <v>2184</v>
      </c>
      <c r="D2112" s="269" t="str">
        <f>VLOOKUP(C2112,lookup!$B$2:$F$1240,2)</f>
        <v>each</v>
      </c>
      <c r="E2112" s="271">
        <f>VLOOKUP(C2112,lookup!$B$2:$F$1240,5)</f>
        <v>42</v>
      </c>
    </row>
    <row r="2113" spans="1:5" x14ac:dyDescent="0.25">
      <c r="A2113" s="169">
        <v>644</v>
      </c>
      <c r="C2113" s="106" t="s">
        <v>2712</v>
      </c>
      <c r="D2113" s="269" t="str">
        <f>VLOOKUP(C2113,lookup!$B$2:$F$1240,2)</f>
        <v>Cu Yd</v>
      </c>
      <c r="E2113" s="271">
        <f>VLOOKUP(C2113,lookup!$B$2:$F$1240,5)</f>
        <v>3.5</v>
      </c>
    </row>
    <row r="2114" spans="1:5" ht="22.8" x14ac:dyDescent="0.25">
      <c r="A2114" s="169">
        <v>644</v>
      </c>
      <c r="C2114" s="106" t="s">
        <v>906</v>
      </c>
      <c r="D2114" s="269">
        <f>VLOOKUP(C2114,lookup!$B$2:$F$1240,2)</f>
        <v>0</v>
      </c>
      <c r="E2114" s="271">
        <f>VLOOKUP(C2114,lookup!$B$2:$F$1240,5)</f>
        <v>0</v>
      </c>
    </row>
    <row r="2115" spans="1:5" ht="22.8" x14ac:dyDescent="0.25">
      <c r="A2115" s="169">
        <v>644</v>
      </c>
      <c r="C2115" s="106" t="s">
        <v>907</v>
      </c>
      <c r="D2115" s="269" t="str">
        <f>VLOOKUP(C2115,lookup!$B$2:$F$1240,2)</f>
        <v>sq ft</v>
      </c>
      <c r="E2115" s="271">
        <f>VLOOKUP(C2115,lookup!$B$2:$F$1240,5)</f>
        <v>0</v>
      </c>
    </row>
    <row r="2116" spans="1:5" ht="22.8" x14ac:dyDescent="0.25">
      <c r="A2116" s="169">
        <v>644</v>
      </c>
      <c r="C2116" s="106" t="s">
        <v>908</v>
      </c>
      <c r="D2116" s="269">
        <f>VLOOKUP(C2116,lookup!$B$2:$F$1240,2)</f>
        <v>0</v>
      </c>
      <c r="E2116" s="271">
        <f>VLOOKUP(C2116,lookup!$B$2:$F$1240,5)</f>
        <v>0</v>
      </c>
    </row>
    <row r="2117" spans="1:5" ht="22.8" x14ac:dyDescent="0.25">
      <c r="A2117" s="169">
        <v>644</v>
      </c>
      <c r="C2117" s="106" t="s">
        <v>909</v>
      </c>
      <c r="D2117" s="269">
        <f>VLOOKUP(C2117,lookup!$B$2:$F$1240,2)</f>
        <v>0</v>
      </c>
      <c r="E2117" s="271">
        <f>VLOOKUP(C2117,lookup!$B$2:$F$1240,5)</f>
        <v>0</v>
      </c>
    </row>
    <row r="2118" spans="1:5" ht="22.8" x14ac:dyDescent="0.25">
      <c r="A2118" s="169">
        <v>644</v>
      </c>
      <c r="C2118" s="106" t="s">
        <v>910</v>
      </c>
      <c r="D2118" s="269">
        <f>VLOOKUP(C2118,lookup!$B$2:$F$1240,2)</f>
        <v>0</v>
      </c>
      <c r="E2118" s="271">
        <f>VLOOKUP(C2118,lookup!$B$2:$F$1240,5)</f>
        <v>0</v>
      </c>
    </row>
    <row r="2119" spans="1:5" ht="22.8" x14ac:dyDescent="0.25">
      <c r="A2119" s="169">
        <v>644</v>
      </c>
      <c r="C2119" s="106" t="s">
        <v>2386</v>
      </c>
      <c r="D2119" s="269">
        <f>VLOOKUP(C2119,lookup!$B$2:$F$1240,2)</f>
        <v>0</v>
      </c>
      <c r="E2119" s="271">
        <f>VLOOKUP(C2119,lookup!$B$2:$F$1240,5)</f>
        <v>0</v>
      </c>
    </row>
    <row r="2120" spans="1:5" x14ac:dyDescent="0.25">
      <c r="A2120" s="169">
        <v>644</v>
      </c>
      <c r="C2120" s="129" t="s">
        <v>2387</v>
      </c>
      <c r="D2120" s="269">
        <f>VLOOKUP(C2120,lookup!$B$2:$F$1240,2)</f>
        <v>0</v>
      </c>
      <c r="E2120" s="271">
        <f>VLOOKUP(C2120,lookup!$B$2:$F$1240,5)</f>
        <v>0</v>
      </c>
    </row>
    <row r="2121" spans="1:5" ht="23.4" x14ac:dyDescent="0.25">
      <c r="A2121" s="169">
        <v>644</v>
      </c>
      <c r="C2121" s="108" t="s">
        <v>2388</v>
      </c>
      <c r="D2121" s="269">
        <f>VLOOKUP(C2121,lookup!$B$2:$F$1240,2)</f>
        <v>0</v>
      </c>
      <c r="E2121" s="271">
        <f>VLOOKUP(C2121,lookup!$B$2:$F$1240,5)</f>
        <v>0</v>
      </c>
    </row>
    <row r="2122" spans="1:5" ht="23.4" x14ac:dyDescent="0.25">
      <c r="A2122" s="169">
        <v>644</v>
      </c>
      <c r="C2122" s="108" t="s">
        <v>2389</v>
      </c>
      <c r="D2122" s="269">
        <f>VLOOKUP(C2122,lookup!$B$2:$F$1240,2)</f>
        <v>0</v>
      </c>
      <c r="E2122" s="271">
        <f>VLOOKUP(C2122,lookup!$B$2:$F$1240,5)</f>
        <v>0</v>
      </c>
    </row>
    <row r="2123" spans="1:5" ht="23.4" x14ac:dyDescent="0.25">
      <c r="A2123" s="169">
        <v>644</v>
      </c>
      <c r="C2123" s="108" t="s">
        <v>2390</v>
      </c>
      <c r="D2123" s="269">
        <f>VLOOKUP(C2123,lookup!$B$2:$F$1240,2)</f>
        <v>0</v>
      </c>
      <c r="E2123" s="271">
        <f>VLOOKUP(C2123,lookup!$B$2:$F$1240,5)</f>
        <v>0</v>
      </c>
    </row>
    <row r="2124" spans="1:5" ht="23.4" x14ac:dyDescent="0.25">
      <c r="A2124" s="169">
        <v>644</v>
      </c>
      <c r="C2124" s="108" t="s">
        <v>2391</v>
      </c>
      <c r="D2124" s="269">
        <f>VLOOKUP(C2124,lookup!$B$2:$F$1240,2)</f>
        <v>0</v>
      </c>
      <c r="E2124" s="271">
        <f>VLOOKUP(C2124,lookup!$B$2:$F$1240,5)</f>
        <v>0</v>
      </c>
    </row>
    <row r="2125" spans="1:5" ht="23.4" x14ac:dyDescent="0.25">
      <c r="A2125" s="169">
        <v>644</v>
      </c>
      <c r="C2125" s="108" t="s">
        <v>2392</v>
      </c>
      <c r="D2125" s="269">
        <f>VLOOKUP(C2125,lookup!$B$2:$F$1240,2)</f>
        <v>0</v>
      </c>
      <c r="E2125" s="271">
        <f>VLOOKUP(C2125,lookup!$B$2:$F$1240,5)</f>
        <v>0</v>
      </c>
    </row>
    <row r="2126" spans="1:5" ht="23.4" x14ac:dyDescent="0.25">
      <c r="A2126" s="169">
        <v>644</v>
      </c>
      <c r="C2126" s="108" t="s">
        <v>2826</v>
      </c>
      <c r="D2126" s="269">
        <f>VLOOKUP(C2126,lookup!$B$2:$F$1240,2)</f>
        <v>0</v>
      </c>
      <c r="E2126" s="271">
        <f>VLOOKUP(C2126,lookup!$B$2:$F$1240,5)</f>
        <v>0</v>
      </c>
    </row>
    <row r="2127" spans="1:5" ht="23.4" x14ac:dyDescent="0.25">
      <c r="A2127" s="169">
        <v>644</v>
      </c>
      <c r="C2127" s="108" t="s">
        <v>692</v>
      </c>
      <c r="D2127" s="269">
        <f>VLOOKUP(C2127,lookup!$B$2:$F$1240,2)</f>
        <v>0</v>
      </c>
      <c r="E2127" s="271">
        <f>VLOOKUP(C2127,lookup!$B$2:$F$1240,5)</f>
        <v>0</v>
      </c>
    </row>
    <row r="2128" spans="1:5" x14ac:dyDescent="0.25">
      <c r="A2128" s="169">
        <v>644</v>
      </c>
      <c r="C2128" s="100" t="s">
        <v>693</v>
      </c>
      <c r="D2128" s="269">
        <f>VLOOKUP(C2128,lookup!$B$2:$F$1240,2)</f>
        <v>0</v>
      </c>
      <c r="E2128" s="271">
        <f>VLOOKUP(C2128,lookup!$B$2:$F$1240,5)</f>
        <v>0</v>
      </c>
    </row>
    <row r="2129" spans="1:5" x14ac:dyDescent="0.25">
      <c r="A2129" s="169">
        <v>644</v>
      </c>
      <c r="C2129" s="129" t="s">
        <v>661</v>
      </c>
      <c r="D2129" s="269">
        <f>VLOOKUP(C2129,lookup!$B$2:$F$1240,2)</f>
        <v>0</v>
      </c>
      <c r="E2129" s="271">
        <f>VLOOKUP(C2129,lookup!$B$2:$F$1240,5)</f>
        <v>0</v>
      </c>
    </row>
    <row r="2130" spans="1:5" x14ac:dyDescent="0.25">
      <c r="A2130" s="169">
        <v>644</v>
      </c>
      <c r="C2130" s="129" t="s">
        <v>658</v>
      </c>
      <c r="D2130" s="269">
        <f>VLOOKUP(C2130,lookup!$B$2:$F$1240,2)</f>
        <v>0</v>
      </c>
      <c r="E2130" s="271">
        <f>VLOOKUP(C2130,lookup!$B$2:$F$1240,5)</f>
        <v>0</v>
      </c>
    </row>
    <row r="2131" spans="1:5" x14ac:dyDescent="0.25">
      <c r="A2131" s="169">
        <v>644</v>
      </c>
      <c r="C2131" s="129" t="s">
        <v>653</v>
      </c>
      <c r="D2131" s="269">
        <f>VLOOKUP(C2131,lookup!$B$2:$F$1240,2)</f>
        <v>0</v>
      </c>
      <c r="E2131" s="271">
        <f>VLOOKUP(C2131,lookup!$B$2:$F$1240,5)</f>
        <v>0</v>
      </c>
    </row>
    <row r="2132" spans="1:5" x14ac:dyDescent="0.25">
      <c r="A2132" s="169">
        <v>644</v>
      </c>
      <c r="C2132" s="129" t="s">
        <v>1593</v>
      </c>
      <c r="D2132" s="269">
        <f>VLOOKUP(C2132,lookup!$B$2:$F$1240,2)</f>
        <v>0</v>
      </c>
      <c r="E2132" s="271">
        <f>VLOOKUP(C2132,lookup!$B$2:$F$1240,5)</f>
        <v>0</v>
      </c>
    </row>
    <row r="2133" spans="1:5" x14ac:dyDescent="0.25">
      <c r="A2133" s="169">
        <v>644</v>
      </c>
      <c r="C2133" s="129" t="s">
        <v>1594</v>
      </c>
      <c r="D2133" s="269">
        <f>VLOOKUP(C2133,lookup!$B$2:$F$1240,2)</f>
        <v>0</v>
      </c>
      <c r="E2133" s="271">
        <f>VLOOKUP(C2133,lookup!$B$2:$F$1240,5)</f>
        <v>0</v>
      </c>
    </row>
    <row r="2134" spans="1:5" x14ac:dyDescent="0.25">
      <c r="A2134" s="169">
        <v>644</v>
      </c>
      <c r="C2134" s="129" t="s">
        <v>1595</v>
      </c>
      <c r="D2134" s="269">
        <f>VLOOKUP(C2134,lookup!$B$2:$F$1240,2)</f>
        <v>0</v>
      </c>
      <c r="E2134" s="271">
        <f>VLOOKUP(C2134,lookup!$B$2:$F$1240,5)</f>
        <v>0</v>
      </c>
    </row>
    <row r="2135" spans="1:5" x14ac:dyDescent="0.25">
      <c r="A2135" s="169">
        <v>644</v>
      </c>
      <c r="C2135" s="129" t="s">
        <v>1596</v>
      </c>
      <c r="D2135" s="269">
        <f>VLOOKUP(C2135,lookup!$B$2:$F$1240,2)</f>
        <v>0</v>
      </c>
      <c r="E2135" s="271">
        <f>VLOOKUP(C2135,lookup!$B$2:$F$1240,5)</f>
        <v>0</v>
      </c>
    </row>
    <row r="2136" spans="1:5" x14ac:dyDescent="0.25">
      <c r="A2136" s="169">
        <v>644</v>
      </c>
      <c r="C2136" s="129" t="s">
        <v>180</v>
      </c>
      <c r="D2136" s="269">
        <f>VLOOKUP(C2136,lookup!$B$2:$F$1240,2)</f>
        <v>0</v>
      </c>
      <c r="E2136" s="271">
        <f>VLOOKUP(C2136,lookup!$B$2:$F$1240,5)</f>
        <v>0</v>
      </c>
    </row>
    <row r="2137" spans="1:5" x14ac:dyDescent="0.25">
      <c r="A2137" s="169">
        <v>644</v>
      </c>
      <c r="C2137" s="129" t="s">
        <v>238</v>
      </c>
      <c r="D2137" s="269">
        <f>VLOOKUP(C2137,lookup!$B$2:$F$1240,2)</f>
        <v>0</v>
      </c>
      <c r="E2137" s="271">
        <f>VLOOKUP(C2137,lookup!$B$2:$F$1240,5)</f>
        <v>0</v>
      </c>
    </row>
    <row r="2138" spans="1:5" x14ac:dyDescent="0.25">
      <c r="A2138" s="169">
        <v>644</v>
      </c>
      <c r="C2138" s="129" t="s">
        <v>239</v>
      </c>
      <c r="D2138" s="269">
        <f>VLOOKUP(C2138,lookup!$B$2:$F$1240,2)</f>
        <v>0</v>
      </c>
      <c r="E2138" s="271">
        <f>VLOOKUP(C2138,lookup!$B$2:$F$1240,5)</f>
        <v>0</v>
      </c>
    </row>
    <row r="2139" spans="1:5" x14ac:dyDescent="0.25">
      <c r="A2139" s="169">
        <v>644</v>
      </c>
      <c r="C2139" s="129" t="s">
        <v>240</v>
      </c>
      <c r="D2139" s="269">
        <f>VLOOKUP(C2139,lookup!$B$2:$F$1240,2)</f>
        <v>0</v>
      </c>
      <c r="E2139" s="271">
        <f>VLOOKUP(C2139,lookup!$B$2:$F$1240,5)</f>
        <v>0</v>
      </c>
    </row>
    <row r="2140" spans="1:5" x14ac:dyDescent="0.25">
      <c r="A2140" s="169">
        <v>644</v>
      </c>
      <c r="C2140" s="106" t="s">
        <v>1731</v>
      </c>
      <c r="D2140" s="269">
        <f>VLOOKUP(C2140,lookup!$B$2:$F$1240,2)</f>
        <v>0</v>
      </c>
      <c r="E2140" s="271">
        <f>VLOOKUP(C2140,lookup!$B$2:$F$1240,5)</f>
        <v>0</v>
      </c>
    </row>
    <row r="2141" spans="1:5" ht="22.8" x14ac:dyDescent="0.25">
      <c r="A2141" s="169">
        <v>644</v>
      </c>
      <c r="C2141" s="106" t="s">
        <v>1405</v>
      </c>
      <c r="D2141" s="269" t="str">
        <f>VLOOKUP(C2141,lookup!$B$2:$F$1240,2)</f>
        <v>EACH</v>
      </c>
      <c r="E2141" s="271">
        <f>VLOOKUP(C2141,lookup!$B$2:$F$1240,5)</f>
        <v>65</v>
      </c>
    </row>
    <row r="2142" spans="1:5" x14ac:dyDescent="0.25">
      <c r="A2142" s="169">
        <v>644</v>
      </c>
      <c r="C2142" s="106" t="s">
        <v>1660</v>
      </c>
      <c r="D2142" s="269">
        <f>VLOOKUP(C2142,lookup!$B$2:$F$1240,2)</f>
        <v>0</v>
      </c>
      <c r="E2142" s="271">
        <f>VLOOKUP(C2142,lookup!$B$2:$F$1240,5)</f>
        <v>0</v>
      </c>
    </row>
    <row r="2143" spans="1:5" x14ac:dyDescent="0.25">
      <c r="A2143" s="169">
        <v>644</v>
      </c>
      <c r="C2143" s="106" t="s">
        <v>1661</v>
      </c>
      <c r="D2143" s="269">
        <f>VLOOKUP(C2143,lookup!$B$2:$F$1240,2)</f>
        <v>0</v>
      </c>
      <c r="E2143" s="271">
        <f>VLOOKUP(C2143,lookup!$B$2:$F$1240,5)</f>
        <v>0</v>
      </c>
    </row>
    <row r="2144" spans="1:5" x14ac:dyDescent="0.25">
      <c r="A2144" s="169">
        <v>644</v>
      </c>
      <c r="C2144" s="106" t="s">
        <v>1662</v>
      </c>
      <c r="D2144" s="269">
        <f>VLOOKUP(C2144,lookup!$B$2:$F$1240,2)</f>
        <v>0</v>
      </c>
      <c r="E2144" s="271">
        <f>VLOOKUP(C2144,lookup!$B$2:$F$1240,5)</f>
        <v>0</v>
      </c>
    </row>
    <row r="2145" spans="1:5" x14ac:dyDescent="0.25">
      <c r="A2145" s="169">
        <v>644</v>
      </c>
      <c r="C2145" s="106" t="s">
        <v>191</v>
      </c>
      <c r="D2145" s="269">
        <f>VLOOKUP(C2145,lookup!$B$2:$F$1240,2)</f>
        <v>0</v>
      </c>
      <c r="E2145" s="271">
        <f>VLOOKUP(C2145,lookup!$B$2:$F$1240,5)</f>
        <v>0</v>
      </c>
    </row>
    <row r="2146" spans="1:5" x14ac:dyDescent="0.25">
      <c r="A2146" s="169">
        <v>644</v>
      </c>
      <c r="C2146" s="106" t="s">
        <v>192</v>
      </c>
      <c r="D2146" s="269">
        <f>VLOOKUP(C2146,lookup!$B$2:$F$1240,2)</f>
        <v>0</v>
      </c>
      <c r="E2146" s="271">
        <f>VLOOKUP(C2146,lookup!$B$2:$F$1240,5)</f>
        <v>0</v>
      </c>
    </row>
    <row r="2147" spans="1:5" x14ac:dyDescent="0.25">
      <c r="A2147" s="169">
        <v>644</v>
      </c>
      <c r="C2147" s="106" t="s">
        <v>2126</v>
      </c>
      <c r="D2147" s="269">
        <f>VLOOKUP(C2147,lookup!$B$2:$F$1240,2)</f>
        <v>0</v>
      </c>
      <c r="E2147" s="271">
        <f>VLOOKUP(C2147,lookup!$B$2:$F$1240,5)</f>
        <v>0</v>
      </c>
    </row>
    <row r="2148" spans="1:5" x14ac:dyDescent="0.25">
      <c r="A2148" s="169">
        <v>644</v>
      </c>
      <c r="C2148" s="106" t="s">
        <v>2370</v>
      </c>
      <c r="D2148" s="269" t="str">
        <f>VLOOKUP(C2148,lookup!$B$2:$F$1240,2)</f>
        <v>Hr.</v>
      </c>
      <c r="E2148" s="271">
        <f>VLOOKUP(C2148,lookup!$B$2:$F$1240,5)</f>
        <v>81.068363600000012</v>
      </c>
    </row>
    <row r="2149" spans="1:5" x14ac:dyDescent="0.25">
      <c r="A2149" s="169">
        <v>645</v>
      </c>
      <c r="B2149" s="172" t="s">
        <v>2060</v>
      </c>
      <c r="D2149" s="269" t="e">
        <f>VLOOKUP(C2149,lookup!$B$2:$F$1240,2)</f>
        <v>#N/A</v>
      </c>
      <c r="E2149" s="271" t="e">
        <f>VLOOKUP(C2149,lookup!$B$2:$F$1240,5)</f>
        <v>#N/A</v>
      </c>
    </row>
    <row r="2150" spans="1:5" ht="23.4" x14ac:dyDescent="0.25">
      <c r="A2150" s="169">
        <v>645</v>
      </c>
      <c r="C2150" s="128" t="s">
        <v>624</v>
      </c>
      <c r="D2150" s="269">
        <f>VLOOKUP(C2150,lookup!$B$2:$F$1240,2)</f>
        <v>0</v>
      </c>
      <c r="E2150" s="271">
        <f>VLOOKUP(C2150,lookup!$B$2:$F$1240,5)</f>
        <v>0</v>
      </c>
    </row>
    <row r="2151" spans="1:5" x14ac:dyDescent="0.25">
      <c r="A2151" s="169">
        <v>645</v>
      </c>
      <c r="C2151" s="106" t="s">
        <v>283</v>
      </c>
      <c r="D2151" s="269">
        <f>VLOOKUP(C2151,lookup!$B$2:$F$1240,2)</f>
        <v>0</v>
      </c>
      <c r="E2151" s="271">
        <f>VLOOKUP(C2151,lookup!$B$2:$F$1240,5)</f>
        <v>0</v>
      </c>
    </row>
    <row r="2152" spans="1:5" ht="23.4" x14ac:dyDescent="0.25">
      <c r="A2152" s="169">
        <v>645</v>
      </c>
      <c r="C2152" s="126" t="s">
        <v>2123</v>
      </c>
      <c r="D2152" s="269" t="str">
        <f>VLOOKUP(C2152,lookup!$B$2:$F$1240,2)</f>
        <v>B.C.Y.</v>
      </c>
      <c r="E2152" s="271">
        <f>VLOOKUP(C2152,lookup!$B$2:$F$1240,5)</f>
        <v>3</v>
      </c>
    </row>
    <row r="2153" spans="1:5" ht="23.4" x14ac:dyDescent="0.25">
      <c r="A2153" s="169">
        <v>645</v>
      </c>
      <c r="C2153" s="127" t="s">
        <v>2691</v>
      </c>
      <c r="D2153" s="269" t="str">
        <f>VLOOKUP(C2153,lookup!$B$2:$F$1240,2)</f>
        <v>B.C.Y.</v>
      </c>
      <c r="E2153" s="271">
        <f>VLOOKUP(C2153,lookup!$B$2:$F$1240,5)</f>
        <v>3</v>
      </c>
    </row>
    <row r="2154" spans="1:5" ht="23.4" x14ac:dyDescent="0.25">
      <c r="A2154" s="169">
        <v>645</v>
      </c>
      <c r="C2154" s="126" t="s">
        <v>2122</v>
      </c>
      <c r="D2154" s="269" t="str">
        <f>VLOOKUP(C2154,lookup!$B$2:$F$1240,2)</f>
        <v>B.C.Y.</v>
      </c>
      <c r="E2154" s="271">
        <f>VLOOKUP(C2154,lookup!$B$2:$F$1240,5)</f>
        <v>3</v>
      </c>
    </row>
    <row r="2155" spans="1:5" ht="23.4" x14ac:dyDescent="0.25">
      <c r="A2155" s="169">
        <v>645</v>
      </c>
      <c r="C2155" s="127" t="s">
        <v>2687</v>
      </c>
      <c r="D2155" s="269" t="str">
        <f>VLOOKUP(C2155,lookup!$B$2:$F$1240,2)</f>
        <v>B.C.Y.</v>
      </c>
      <c r="E2155" s="271">
        <f>VLOOKUP(C2155,lookup!$B$2:$F$1240,5)</f>
        <v>3</v>
      </c>
    </row>
    <row r="2156" spans="1:5" ht="23.4" x14ac:dyDescent="0.25">
      <c r="A2156" s="169">
        <v>645</v>
      </c>
      <c r="C2156" s="126" t="s">
        <v>2688</v>
      </c>
      <c r="D2156" s="269" t="str">
        <f>VLOOKUP(C2156,lookup!$B$2:$F$1240,2)</f>
        <v>B.C.Y.</v>
      </c>
      <c r="E2156" s="271">
        <f>VLOOKUP(C2156,lookup!$B$2:$F$1240,5)</f>
        <v>3</v>
      </c>
    </row>
    <row r="2157" spans="1:5" ht="23.4" x14ac:dyDescent="0.25">
      <c r="A2157" s="169">
        <v>645</v>
      </c>
      <c r="C2157" s="126" t="s">
        <v>2686</v>
      </c>
      <c r="D2157" s="269" t="str">
        <f>VLOOKUP(C2157,lookup!$B$2:$F$1240,2)</f>
        <v>B.C.Y.</v>
      </c>
      <c r="E2157" s="271">
        <f>VLOOKUP(C2157,lookup!$B$2:$F$1240,5)</f>
        <v>3</v>
      </c>
    </row>
    <row r="2158" spans="1:5" ht="23.4" x14ac:dyDescent="0.25">
      <c r="A2158" s="169">
        <v>645</v>
      </c>
      <c r="C2158" s="126" t="s">
        <v>2680</v>
      </c>
      <c r="D2158" s="269" t="str">
        <f>VLOOKUP(C2158,lookup!$B$2:$F$1240,2)</f>
        <v>B.C.Y.</v>
      </c>
      <c r="E2158" s="271">
        <f>VLOOKUP(C2158,lookup!$B$2:$F$1240,5)</f>
        <v>3</v>
      </c>
    </row>
    <row r="2159" spans="1:5" ht="23.4" x14ac:dyDescent="0.25">
      <c r="A2159" s="169">
        <v>645</v>
      </c>
      <c r="C2159" s="126" t="s">
        <v>2121</v>
      </c>
      <c r="D2159" s="269" t="str">
        <f>VLOOKUP(C2159,lookup!$B$2:$F$1240,2)</f>
        <v>B.C.Y.</v>
      </c>
      <c r="E2159" s="271">
        <f>VLOOKUP(C2159,lookup!$B$2:$F$1240,5)</f>
        <v>3</v>
      </c>
    </row>
    <row r="2160" spans="1:5" ht="23.4" x14ac:dyDescent="0.25">
      <c r="A2160" s="169">
        <v>645</v>
      </c>
      <c r="C2160" s="126" t="s">
        <v>1698</v>
      </c>
      <c r="D2160" s="269" t="str">
        <f>VLOOKUP(C2160,lookup!$B$2:$F$1240,2)</f>
        <v>B.C.Y.</v>
      </c>
      <c r="E2160" s="271">
        <f>VLOOKUP(C2160,lookup!$B$2:$F$1240,5)</f>
        <v>3</v>
      </c>
    </row>
    <row r="2161" spans="1:5" x14ac:dyDescent="0.25">
      <c r="A2161" s="169">
        <v>645</v>
      </c>
      <c r="C2161" s="106" t="s">
        <v>1177</v>
      </c>
      <c r="D2161" s="269" t="str">
        <f>VLOOKUP(C2161,lookup!$B$2:$F$1240,2)</f>
        <v>Sq Yd</v>
      </c>
      <c r="E2161" s="271">
        <f>VLOOKUP(C2161,lookup!$B$2:$F$1240,5)</f>
        <v>1.52</v>
      </c>
    </row>
    <row r="2162" spans="1:5" x14ac:dyDescent="0.25">
      <c r="A2162" s="169">
        <v>645</v>
      </c>
      <c r="C2162" s="108" t="s">
        <v>1042</v>
      </c>
      <c r="D2162" s="269" t="str">
        <f>VLOOKUP(C2162,lookup!$B$2:$F$1240,2)</f>
        <v>Ea.</v>
      </c>
      <c r="E2162" s="271">
        <f>VLOOKUP(C2162,lookup!$B$2:$F$1240,5)</f>
        <v>65</v>
      </c>
    </row>
    <row r="2163" spans="1:5" x14ac:dyDescent="0.25">
      <c r="A2163" s="169">
        <v>645</v>
      </c>
      <c r="C2163" s="108" t="s">
        <v>1039</v>
      </c>
      <c r="D2163" s="269" t="str">
        <f>VLOOKUP(C2163,lookup!$B$2:$F$1240,2)</f>
        <v>Ea.</v>
      </c>
      <c r="E2163" s="271">
        <f>VLOOKUP(C2163,lookup!$B$2:$F$1240,5)</f>
        <v>65</v>
      </c>
    </row>
    <row r="2164" spans="1:5" ht="23.4" x14ac:dyDescent="0.25">
      <c r="A2164" s="169">
        <v>645</v>
      </c>
      <c r="C2164" s="108" t="s">
        <v>1040</v>
      </c>
      <c r="D2164" s="269" t="str">
        <f>VLOOKUP(C2164,lookup!$B$2:$F$1240,2)</f>
        <v>Ea.</v>
      </c>
      <c r="E2164" s="271">
        <f>VLOOKUP(C2164,lookup!$B$2:$F$1240,5)</f>
        <v>65</v>
      </c>
    </row>
    <row r="2165" spans="1:5" x14ac:dyDescent="0.25">
      <c r="A2165" s="169">
        <v>645</v>
      </c>
      <c r="C2165" s="108" t="s">
        <v>1041</v>
      </c>
      <c r="D2165" s="269" t="str">
        <f>VLOOKUP(C2165,lookup!$B$2:$F$1240,2)</f>
        <v>Ea.</v>
      </c>
      <c r="E2165" s="271">
        <f>VLOOKUP(C2165,lookup!$B$2:$F$1240,5)</f>
        <v>65</v>
      </c>
    </row>
    <row r="2166" spans="1:5" ht="23.4" x14ac:dyDescent="0.25">
      <c r="A2166" s="169">
        <v>645</v>
      </c>
      <c r="C2166" s="128" t="s">
        <v>580</v>
      </c>
      <c r="D2166" s="269" t="str">
        <f>VLOOKUP(C2166,lookup!$B$2:$F$1240,2)</f>
        <v>ac</v>
      </c>
      <c r="E2166" s="271">
        <f>VLOOKUP(C2166,lookup!$B$2:$F$1240,5)</f>
        <v>116</v>
      </c>
    </row>
    <row r="2167" spans="1:5" x14ac:dyDescent="0.25">
      <c r="A2167" s="169">
        <v>645</v>
      </c>
      <c r="C2167" s="96" t="s">
        <v>2713</v>
      </c>
      <c r="D2167" s="269" t="str">
        <f>VLOOKUP(C2167,lookup!$B$2:$F$1240,2)</f>
        <v>ac</v>
      </c>
      <c r="E2167" s="271">
        <f>VLOOKUP(C2167,lookup!$B$2:$F$1240,5)</f>
        <v>34</v>
      </c>
    </row>
    <row r="2168" spans="1:5" x14ac:dyDescent="0.25">
      <c r="A2168" s="169">
        <v>645</v>
      </c>
      <c r="C2168" s="108" t="s">
        <v>1043</v>
      </c>
      <c r="D2168" s="269">
        <f>VLOOKUP(C2168,lookup!$B$2:$F$1240,2)</f>
        <v>0</v>
      </c>
      <c r="E2168" s="271">
        <f>VLOOKUP(C2168,lookup!$B$2:$F$1240,5)</f>
        <v>0</v>
      </c>
    </row>
    <row r="2169" spans="1:5" ht="23.4" x14ac:dyDescent="0.25">
      <c r="A2169" s="169">
        <v>645</v>
      </c>
      <c r="C2169" s="108" t="s">
        <v>1044</v>
      </c>
      <c r="D2169" s="269">
        <f>VLOOKUP(C2169,lookup!$B$2:$F$1240,2)</f>
        <v>0</v>
      </c>
      <c r="E2169" s="271">
        <f>VLOOKUP(C2169,lookup!$B$2:$F$1240,5)</f>
        <v>0</v>
      </c>
    </row>
    <row r="2170" spans="1:5" ht="23.4" x14ac:dyDescent="0.25">
      <c r="A2170" s="169">
        <v>645</v>
      </c>
      <c r="C2170" s="108" t="s">
        <v>1045</v>
      </c>
      <c r="D2170" s="269">
        <f>VLOOKUP(C2170,lookup!$B$2:$F$1240,2)</f>
        <v>0</v>
      </c>
      <c r="E2170" s="271">
        <f>VLOOKUP(C2170,lookup!$B$2:$F$1240,5)</f>
        <v>0</v>
      </c>
    </row>
    <row r="2171" spans="1:5" x14ac:dyDescent="0.25">
      <c r="A2171" s="169">
        <v>645</v>
      </c>
      <c r="C2171" s="108" t="s">
        <v>578</v>
      </c>
      <c r="D2171" s="269">
        <f>VLOOKUP(C2171,lookup!$B$2:$F$1240,2)</f>
        <v>0</v>
      </c>
      <c r="E2171" s="271">
        <f>VLOOKUP(C2171,lookup!$B$2:$F$1240,5)</f>
        <v>0</v>
      </c>
    </row>
    <row r="2172" spans="1:5" x14ac:dyDescent="0.25">
      <c r="A2172" s="169">
        <v>645</v>
      </c>
      <c r="C2172" s="108" t="s">
        <v>576</v>
      </c>
      <c r="D2172" s="269">
        <f>VLOOKUP(C2172,lookup!$B$2:$F$1240,2)</f>
        <v>0</v>
      </c>
      <c r="E2172" s="271">
        <f>VLOOKUP(C2172,lookup!$B$2:$F$1240,5)</f>
        <v>0</v>
      </c>
    </row>
    <row r="2173" spans="1:5" x14ac:dyDescent="0.25">
      <c r="A2173" s="169">
        <v>645</v>
      </c>
      <c r="C2173" s="108" t="s">
        <v>577</v>
      </c>
      <c r="D2173" s="269">
        <f>VLOOKUP(C2173,lookup!$B$2:$F$1240,2)</f>
        <v>0</v>
      </c>
      <c r="E2173" s="271">
        <f>VLOOKUP(C2173,lookup!$B$2:$F$1240,5)</f>
        <v>0</v>
      </c>
    </row>
    <row r="2174" spans="1:5" x14ac:dyDescent="0.25">
      <c r="A2174" s="169">
        <v>645</v>
      </c>
      <c r="C2174" s="108" t="s">
        <v>579</v>
      </c>
      <c r="D2174" s="269">
        <f>VLOOKUP(C2174,lookup!$B$2:$F$1240,2)</f>
        <v>0</v>
      </c>
      <c r="E2174" s="271">
        <f>VLOOKUP(C2174,lookup!$B$2:$F$1240,5)</f>
        <v>0</v>
      </c>
    </row>
    <row r="2175" spans="1:5" x14ac:dyDescent="0.25">
      <c r="A2175" s="169">
        <v>645</v>
      </c>
      <c r="C2175" s="108" t="s">
        <v>1046</v>
      </c>
      <c r="D2175" s="269">
        <f>VLOOKUP(C2175,lookup!$B$2:$F$1240,2)</f>
        <v>0</v>
      </c>
      <c r="E2175" s="271">
        <f>VLOOKUP(C2175,lookup!$B$2:$F$1240,5)</f>
        <v>0</v>
      </c>
    </row>
    <row r="2176" spans="1:5" x14ac:dyDescent="0.25">
      <c r="A2176" s="169">
        <v>645</v>
      </c>
      <c r="C2176" s="106" t="s">
        <v>2789</v>
      </c>
      <c r="D2176" s="269">
        <f>VLOOKUP(C2176,lookup!$B$2:$F$1240,2)</f>
        <v>0</v>
      </c>
      <c r="E2176" s="271">
        <f>VLOOKUP(C2176,lookup!$B$2:$F$1240,5)</f>
        <v>0</v>
      </c>
    </row>
    <row r="2177" spans="1:5" x14ac:dyDescent="0.25">
      <c r="A2177" s="169">
        <v>645</v>
      </c>
      <c r="C2177" s="108" t="s">
        <v>1393</v>
      </c>
      <c r="D2177" s="269">
        <f>VLOOKUP(C2177,lookup!$B$2:$F$1240,2)</f>
        <v>0</v>
      </c>
      <c r="E2177" s="271">
        <f>VLOOKUP(C2177,lookup!$B$2:$F$1240,5)</f>
        <v>0</v>
      </c>
    </row>
    <row r="2178" spans="1:5" x14ac:dyDescent="0.25">
      <c r="A2178" s="169">
        <v>645</v>
      </c>
      <c r="C2178" s="106" t="s">
        <v>1302</v>
      </c>
      <c r="D2178" s="269" t="str">
        <f>VLOOKUP(C2178,lookup!$B$2:$F$1240,2)</f>
        <v>each</v>
      </c>
      <c r="E2178" s="271">
        <f>VLOOKUP(C2178,lookup!$B$2:$F$1240,5)</f>
        <v>2</v>
      </c>
    </row>
    <row r="2179" spans="1:5" ht="22.8" x14ac:dyDescent="0.25">
      <c r="A2179" s="169">
        <v>645</v>
      </c>
      <c r="C2179" s="106" t="s">
        <v>1303</v>
      </c>
      <c r="D2179" s="269" t="str">
        <f>VLOOKUP(C2179,lookup!$B$2:$F$1240,2)</f>
        <v>each</v>
      </c>
      <c r="E2179" s="271">
        <f>VLOOKUP(C2179,lookup!$B$2:$F$1240,5)</f>
        <v>2</v>
      </c>
    </row>
    <row r="2180" spans="1:5" x14ac:dyDescent="0.25">
      <c r="A2180" s="169">
        <v>645</v>
      </c>
      <c r="C2180" s="108" t="s">
        <v>1392</v>
      </c>
      <c r="D2180" s="269">
        <f>VLOOKUP(C2180,lookup!$B$2:$F$1240,2)</f>
        <v>0</v>
      </c>
      <c r="E2180" s="271">
        <f>VLOOKUP(C2180,lookup!$B$2:$F$1240,5)</f>
        <v>0</v>
      </c>
    </row>
    <row r="2181" spans="1:5" ht="23.4" x14ac:dyDescent="0.25">
      <c r="A2181" s="169">
        <v>645</v>
      </c>
      <c r="C2181" s="108" t="s">
        <v>1396</v>
      </c>
      <c r="D2181" s="269">
        <f>VLOOKUP(C2181,lookup!$B$2:$F$1240,2)</f>
        <v>0</v>
      </c>
      <c r="E2181" s="271">
        <f>VLOOKUP(C2181,lookup!$B$2:$F$1240,5)</f>
        <v>0</v>
      </c>
    </row>
    <row r="2182" spans="1:5" ht="23.4" x14ac:dyDescent="0.25">
      <c r="A2182" s="169">
        <v>645</v>
      </c>
      <c r="C2182" s="108" t="s">
        <v>1395</v>
      </c>
      <c r="D2182" s="269">
        <f>VLOOKUP(C2182,lookup!$B$2:$F$1240,2)</f>
        <v>0</v>
      </c>
      <c r="E2182" s="271">
        <f>VLOOKUP(C2182,lookup!$B$2:$F$1240,5)</f>
        <v>0</v>
      </c>
    </row>
    <row r="2183" spans="1:5" ht="23.4" x14ac:dyDescent="0.25">
      <c r="A2183" s="169">
        <v>645</v>
      </c>
      <c r="C2183" s="108" t="s">
        <v>1394</v>
      </c>
      <c r="D2183" s="269">
        <f>VLOOKUP(C2183,lookup!$B$2:$F$1240,2)</f>
        <v>0</v>
      </c>
      <c r="E2183" s="271">
        <f>VLOOKUP(C2183,lookup!$B$2:$F$1240,5)</f>
        <v>0</v>
      </c>
    </row>
    <row r="2184" spans="1:5" ht="23.4" x14ac:dyDescent="0.25">
      <c r="A2184" s="169">
        <v>645</v>
      </c>
      <c r="C2184" s="108" t="s">
        <v>1038</v>
      </c>
      <c r="D2184" s="269">
        <f>VLOOKUP(C2184,lookup!$B$2:$F$1240,2)</f>
        <v>0</v>
      </c>
      <c r="E2184" s="271">
        <f>VLOOKUP(C2184,lookup!$B$2:$F$1240,5)</f>
        <v>0</v>
      </c>
    </row>
    <row r="2185" spans="1:5" ht="22.8" x14ac:dyDescent="0.25">
      <c r="A2185" s="169">
        <v>645</v>
      </c>
      <c r="C2185" s="106" t="s">
        <v>170</v>
      </c>
      <c r="D2185" s="269" t="str">
        <f>VLOOKUP(C2185,lookup!$B$2:$F$1240,2)</f>
        <v>each</v>
      </c>
      <c r="E2185" s="271">
        <f>VLOOKUP(C2185,lookup!$B$2:$F$1240,5)</f>
        <v>0.8</v>
      </c>
    </row>
    <row r="2186" spans="1:5" x14ac:dyDescent="0.25">
      <c r="A2186" s="169">
        <v>645</v>
      </c>
      <c r="C2186" s="106" t="s">
        <v>171</v>
      </c>
      <c r="D2186" s="269">
        <f>VLOOKUP(C2186,lookup!$B$2:$F$1240,2)</f>
        <v>0</v>
      </c>
      <c r="E2186" s="271">
        <f>VLOOKUP(C2186,lookup!$B$2:$F$1240,5)</f>
        <v>0</v>
      </c>
    </row>
    <row r="2187" spans="1:5" ht="23.4" x14ac:dyDescent="0.25">
      <c r="A2187" s="169">
        <v>645</v>
      </c>
      <c r="C2187" s="128" t="s">
        <v>1708</v>
      </c>
      <c r="D2187" s="269">
        <f>VLOOKUP(C2187,lookup!$B$2:$F$1240,2)</f>
        <v>0</v>
      </c>
      <c r="E2187" s="271">
        <f>VLOOKUP(C2187,lookup!$B$2:$F$1240,5)</f>
        <v>0</v>
      </c>
    </row>
    <row r="2188" spans="1:5" x14ac:dyDescent="0.25">
      <c r="A2188" s="169">
        <v>646</v>
      </c>
      <c r="B2188" s="172" t="s">
        <v>1</v>
      </c>
      <c r="D2188" s="269" t="e">
        <f>VLOOKUP(C2188,lookup!$B$2:$F$1240,2)</f>
        <v>#N/A</v>
      </c>
      <c r="E2188" s="271" t="e">
        <f>VLOOKUP(C2188,lookup!$B$2:$F$1240,5)</f>
        <v>#N/A</v>
      </c>
    </row>
    <row r="2189" spans="1:5" x14ac:dyDescent="0.25">
      <c r="A2189" s="169">
        <v>646</v>
      </c>
      <c r="C2189" s="106" t="s">
        <v>2537</v>
      </c>
      <c r="D2189" s="269" t="str">
        <f>VLOOKUP(C2189,lookup!$B$2:$F$1240,2)</f>
        <v>sq ft</v>
      </c>
      <c r="E2189" s="271">
        <f>VLOOKUP(C2189,lookup!$B$2:$F$1240,5)</f>
        <v>5.5</v>
      </c>
    </row>
    <row r="2190" spans="1:5" x14ac:dyDescent="0.25">
      <c r="A2190" s="169">
        <v>646</v>
      </c>
      <c r="C2190" s="106" t="s">
        <v>2428</v>
      </c>
      <c r="D2190" s="269" t="str">
        <f>VLOOKUP(C2190,lookup!$B$2:$F$1240,2)</f>
        <v>Pkg.</v>
      </c>
      <c r="E2190" s="271">
        <f>VLOOKUP(C2190,lookup!$B$2:$F$1240,5)</f>
        <v>4.5</v>
      </c>
    </row>
    <row r="2191" spans="1:5" x14ac:dyDescent="0.25">
      <c r="A2191" s="169">
        <v>646</v>
      </c>
      <c r="C2191" s="106" t="s">
        <v>1376</v>
      </c>
      <c r="D2191" s="269" t="str">
        <f>VLOOKUP(C2191,lookup!$B$2:$F$1240,2)</f>
        <v>cu yd</v>
      </c>
      <c r="E2191" s="271">
        <f>VLOOKUP(C2191,lookup!$B$2:$F$1240,5)</f>
        <v>3.5</v>
      </c>
    </row>
    <row r="2192" spans="1:5" x14ac:dyDescent="0.25">
      <c r="A2192" s="169">
        <v>646</v>
      </c>
      <c r="C2192" s="106" t="s">
        <v>1110</v>
      </c>
      <c r="D2192" s="269" t="str">
        <f>VLOOKUP(C2192,lookup!$B$2:$F$1240,2)</f>
        <v>Cu Yd</v>
      </c>
      <c r="E2192" s="271">
        <f>VLOOKUP(C2192,lookup!$B$2:$F$1240,5)</f>
        <v>0</v>
      </c>
    </row>
    <row r="2193" spans="1:5" x14ac:dyDescent="0.25">
      <c r="A2193" s="169">
        <v>646</v>
      </c>
      <c r="C2193" s="106" t="s">
        <v>2536</v>
      </c>
      <c r="D2193" s="269" t="str">
        <f>VLOOKUP(C2193,lookup!$B$2:$F$1240,2)</f>
        <v>Cu. Yd.</v>
      </c>
      <c r="E2193" s="271">
        <f>VLOOKUP(C2193,lookup!$B$2:$F$1240,5)</f>
        <v>5.2043193999999993</v>
      </c>
    </row>
    <row r="2194" spans="1:5" ht="22.8" x14ac:dyDescent="0.25">
      <c r="A2194" s="169">
        <v>646</v>
      </c>
      <c r="C2194" s="106" t="s">
        <v>906</v>
      </c>
      <c r="D2194" s="269">
        <f>VLOOKUP(C2194,lookup!$B$2:$F$1240,2)</f>
        <v>0</v>
      </c>
      <c r="E2194" s="271">
        <f>VLOOKUP(C2194,lookup!$B$2:$F$1240,5)</f>
        <v>0</v>
      </c>
    </row>
    <row r="2195" spans="1:5" ht="22.8" x14ac:dyDescent="0.25">
      <c r="A2195" s="169">
        <v>646</v>
      </c>
      <c r="C2195" s="106" t="s">
        <v>909</v>
      </c>
      <c r="D2195" s="269">
        <f>VLOOKUP(C2195,lookup!$B$2:$F$1240,2)</f>
        <v>0</v>
      </c>
      <c r="E2195" s="271">
        <f>VLOOKUP(C2195,lookup!$B$2:$F$1240,5)</f>
        <v>0</v>
      </c>
    </row>
    <row r="2196" spans="1:5" x14ac:dyDescent="0.25">
      <c r="A2196" s="169">
        <v>646</v>
      </c>
      <c r="C2196" s="106" t="s">
        <v>1523</v>
      </c>
      <c r="D2196" s="269">
        <f>VLOOKUP(C2196,lookup!$B$2:$F$1240,2)</f>
        <v>0</v>
      </c>
      <c r="E2196" s="271">
        <f>VLOOKUP(C2196,lookup!$B$2:$F$1240,5)</f>
        <v>0</v>
      </c>
    </row>
    <row r="2197" spans="1:5" x14ac:dyDescent="0.25">
      <c r="A2197" s="169">
        <v>646</v>
      </c>
      <c r="C2197" s="106" t="s">
        <v>1658</v>
      </c>
      <c r="D2197" s="269">
        <f>VLOOKUP(C2197,lookup!$B$2:$F$1240,2)</f>
        <v>0</v>
      </c>
      <c r="E2197" s="271">
        <f>VLOOKUP(C2197,lookup!$B$2:$F$1240,5)</f>
        <v>0</v>
      </c>
    </row>
    <row r="2198" spans="1:5" x14ac:dyDescent="0.25">
      <c r="A2198" s="169">
        <v>647</v>
      </c>
      <c r="B2198" s="171" t="s">
        <v>2336</v>
      </c>
      <c r="C2198" s="119"/>
      <c r="D2198" s="269" t="e">
        <f>VLOOKUP(C2198,lookup!$B$2:$F$1240,2)</f>
        <v>#N/A</v>
      </c>
      <c r="E2198" s="271" t="e">
        <f>VLOOKUP(C2198,lookup!$B$2:$F$1240,5)</f>
        <v>#N/A</v>
      </c>
    </row>
    <row r="2199" spans="1:5" x14ac:dyDescent="0.25">
      <c r="A2199" s="169">
        <v>647</v>
      </c>
      <c r="C2199" s="106" t="s">
        <v>2833</v>
      </c>
      <c r="D2199" s="269" t="str">
        <f>VLOOKUP(C2199,lookup!$B$2:$F$1240,2)</f>
        <v>hr</v>
      </c>
      <c r="E2199" s="271">
        <f>VLOOKUP(C2199,lookup!$B$2:$F$1240,5)</f>
        <v>191</v>
      </c>
    </row>
    <row r="2200" spans="1:5" x14ac:dyDescent="0.25">
      <c r="A2200" s="169">
        <v>647</v>
      </c>
      <c r="C2200" s="106" t="s">
        <v>282</v>
      </c>
      <c r="D2200" s="269" t="str">
        <f>VLOOKUP(C2200,lookup!$B$2:$F$1240,2)</f>
        <v>hr</v>
      </c>
      <c r="E2200" s="271">
        <f>VLOOKUP(C2200,lookup!$B$2:$F$1240,5)</f>
        <v>66.400000000000006</v>
      </c>
    </row>
    <row r="2201" spans="1:5" x14ac:dyDescent="0.25">
      <c r="A2201" s="169">
        <v>647</v>
      </c>
      <c r="C2201" s="106" t="s">
        <v>2309</v>
      </c>
      <c r="D2201" s="269">
        <f>VLOOKUP(C2201,lookup!$B$2:$F$1240,2)</f>
        <v>0</v>
      </c>
      <c r="E2201" s="271">
        <f>VLOOKUP(C2201,lookup!$B$2:$F$1240,5)</f>
        <v>0</v>
      </c>
    </row>
    <row r="2202" spans="1:5" x14ac:dyDescent="0.25">
      <c r="A2202" s="169">
        <v>647</v>
      </c>
      <c r="C2202" s="106" t="s">
        <v>2218</v>
      </c>
      <c r="D2202" s="269">
        <f>VLOOKUP(C2202,lookup!$B$2:$F$1240,2)</f>
        <v>0</v>
      </c>
      <c r="E2202" s="271">
        <f>VLOOKUP(C2202,lookup!$B$2:$F$1240,5)</f>
        <v>0</v>
      </c>
    </row>
    <row r="2203" spans="1:5" x14ac:dyDescent="0.25">
      <c r="A2203" s="169">
        <v>647</v>
      </c>
      <c r="C2203" s="106" t="s">
        <v>2741</v>
      </c>
      <c r="D2203" s="269" t="str">
        <f>VLOOKUP(C2203,lookup!$B$2:$F$1240,2)</f>
        <v>each</v>
      </c>
      <c r="E2203" s="271">
        <f>VLOOKUP(C2203,lookup!$B$2:$F$1240,5)</f>
        <v>60</v>
      </c>
    </row>
    <row r="2204" spans="1:5" x14ac:dyDescent="0.25">
      <c r="A2204" s="169">
        <v>647</v>
      </c>
      <c r="C2204" s="106" t="s">
        <v>1301</v>
      </c>
      <c r="D2204" s="269">
        <f>VLOOKUP(C2204,lookup!$B$2:$F$1240,2)</f>
        <v>0</v>
      </c>
      <c r="E2204" s="271">
        <f>VLOOKUP(C2204,lookup!$B$2:$F$1240,5)</f>
        <v>0</v>
      </c>
    </row>
    <row r="2205" spans="1:5" x14ac:dyDescent="0.25">
      <c r="A2205" s="169">
        <v>647</v>
      </c>
      <c r="C2205" s="106" t="s">
        <v>2371</v>
      </c>
      <c r="D2205" s="269" t="str">
        <f>VLOOKUP(C2205,lookup!$B$2:$F$1240,2)</f>
        <v>Hr.</v>
      </c>
      <c r="E2205" s="271">
        <f>VLOOKUP(C2205,lookup!$B$2:$F$1240,5)</f>
        <v>81.068363600000012</v>
      </c>
    </row>
    <row r="2206" spans="1:5" x14ac:dyDescent="0.25">
      <c r="A2206" s="169">
        <v>650</v>
      </c>
      <c r="B2206" s="172" t="s">
        <v>1269</v>
      </c>
      <c r="D2206" s="269" t="e">
        <f>VLOOKUP(C2206,lookup!$B$2:$F$1240,2)</f>
        <v>#N/A</v>
      </c>
      <c r="E2206" s="271" t="e">
        <f>VLOOKUP(C2206,lookup!$B$2:$F$1240,5)</f>
        <v>#N/A</v>
      </c>
    </row>
    <row r="2207" spans="1:5" x14ac:dyDescent="0.25">
      <c r="A2207" s="169">
        <v>650</v>
      </c>
      <c r="C2207" s="106" t="s">
        <v>989</v>
      </c>
      <c r="D2207" s="269" t="str">
        <f>VLOOKUP(C2207,lookup!$B$2:$F$1240,2)</f>
        <v>CY</v>
      </c>
      <c r="E2207" s="271">
        <f>VLOOKUP(C2207,lookup!$B$2:$F$1240,5)</f>
        <v>19</v>
      </c>
    </row>
    <row r="2208" spans="1:5" x14ac:dyDescent="0.25">
      <c r="A2208" s="169">
        <v>650</v>
      </c>
      <c r="C2208" s="106" t="s">
        <v>2173</v>
      </c>
      <c r="D2208" s="269" t="str">
        <f>VLOOKUP(C2208,lookup!$B$2:$F$1240,2)</f>
        <v>CuYd</v>
      </c>
      <c r="E2208" s="271">
        <f>VLOOKUP(C2208,lookup!$B$2:$F$1240,5)</f>
        <v>12.71</v>
      </c>
    </row>
    <row r="2209" spans="1:5" x14ac:dyDescent="0.25">
      <c r="A2209" s="169">
        <v>650</v>
      </c>
      <c r="C2209" s="106" t="s">
        <v>990</v>
      </c>
      <c r="D2209" s="269" t="str">
        <f>VLOOKUP(C2209,lookup!$B$2:$F$1240,2)</f>
        <v>CuYd</v>
      </c>
      <c r="E2209" s="271">
        <f>VLOOKUP(C2209,lookup!$B$2:$F$1240,5)</f>
        <v>12.71</v>
      </c>
    </row>
    <row r="2210" spans="1:5" x14ac:dyDescent="0.25">
      <c r="A2210" s="169">
        <v>650</v>
      </c>
      <c r="C2210" s="106" t="s">
        <v>1624</v>
      </c>
      <c r="D2210" s="269">
        <f>VLOOKUP(C2210,lookup!$B$2:$F$1240,2)</f>
        <v>0</v>
      </c>
      <c r="E2210" s="271">
        <f>VLOOKUP(C2210,lookup!$B$2:$F$1240,5)</f>
        <v>0</v>
      </c>
    </row>
    <row r="2211" spans="1:5" ht="34.200000000000003" x14ac:dyDescent="0.25">
      <c r="A2211" s="169">
        <v>650</v>
      </c>
      <c r="C2211" s="106" t="s">
        <v>1647</v>
      </c>
      <c r="D2211" s="269" t="str">
        <f>VLOOKUP(C2211,lookup!$B$2:$F$1240,2)</f>
        <v>each</v>
      </c>
      <c r="E2211" s="271">
        <f>VLOOKUP(C2211,lookup!$B$2:$F$1240,5)</f>
        <v>3.75</v>
      </c>
    </row>
    <row r="2212" spans="1:5" x14ac:dyDescent="0.25">
      <c r="A2212" s="169">
        <v>650</v>
      </c>
      <c r="C2212" s="106" t="s">
        <v>1623</v>
      </c>
      <c r="D2212" s="269" t="str">
        <f>VLOOKUP(C2212,lookup!$B$2:$F$1240,2)</f>
        <v>each</v>
      </c>
      <c r="E2212" s="271">
        <f>VLOOKUP(C2212,lookup!$B$2:$F$1240,5)</f>
        <v>5.44</v>
      </c>
    </row>
    <row r="2213" spans="1:5" x14ac:dyDescent="0.25">
      <c r="A2213" s="169">
        <v>650</v>
      </c>
      <c r="C2213" s="106" t="s">
        <v>2531</v>
      </c>
      <c r="D2213" s="269">
        <f>VLOOKUP(C2213,lookup!$B$2:$F$1240,2)</f>
        <v>0</v>
      </c>
      <c r="E2213" s="271">
        <f>VLOOKUP(C2213,lookup!$B$2:$F$1240,5)</f>
        <v>0</v>
      </c>
    </row>
    <row r="2214" spans="1:5" ht="22.8" x14ac:dyDescent="0.25">
      <c r="A2214" s="169">
        <v>650</v>
      </c>
      <c r="C2214" s="106" t="s">
        <v>2532</v>
      </c>
      <c r="D2214" s="269">
        <f>VLOOKUP(C2214,lookup!$B$2:$F$1240,2)</f>
        <v>0</v>
      </c>
      <c r="E2214" s="271">
        <f>VLOOKUP(C2214,lookup!$B$2:$F$1240,5)</f>
        <v>0</v>
      </c>
    </row>
    <row r="2215" spans="1:5" x14ac:dyDescent="0.25">
      <c r="A2215" s="169">
        <v>655</v>
      </c>
      <c r="B2215" s="173" t="s">
        <v>2351</v>
      </c>
      <c r="C2215" s="109"/>
      <c r="D2215" s="269" t="e">
        <f>VLOOKUP(C2215,lookup!$B$2:$F$1240,2)</f>
        <v>#N/A</v>
      </c>
      <c r="E2215" s="271" t="e">
        <f>VLOOKUP(C2215,lookup!$B$2:$F$1240,5)</f>
        <v>#N/A</v>
      </c>
    </row>
    <row r="2216" spans="1:5" ht="22.8" x14ac:dyDescent="0.25">
      <c r="A2216" s="169">
        <v>655</v>
      </c>
      <c r="C2216" s="106" t="s">
        <v>1176</v>
      </c>
      <c r="D2216" s="269">
        <f>VLOOKUP(C2216,lookup!$B$2:$F$1240,2)</f>
        <v>0</v>
      </c>
      <c r="E2216" s="271">
        <f>VLOOKUP(C2216,lookup!$B$2:$F$1240,5)</f>
        <v>0</v>
      </c>
    </row>
    <row r="2217" spans="1:5" x14ac:dyDescent="0.25">
      <c r="A2217" s="169">
        <v>655</v>
      </c>
      <c r="C2217" s="106" t="s">
        <v>905</v>
      </c>
      <c r="D2217" s="269">
        <f>VLOOKUP(C2217,lookup!$B$2:$F$1240,2)</f>
        <v>0</v>
      </c>
      <c r="E2217" s="271">
        <f>VLOOKUP(C2217,lookup!$B$2:$F$1240,5)</f>
        <v>0</v>
      </c>
    </row>
    <row r="2218" spans="1:5" x14ac:dyDescent="0.25">
      <c r="A2218" s="169">
        <v>655</v>
      </c>
      <c r="C2218" s="106" t="s">
        <v>2713</v>
      </c>
      <c r="D2218" s="269" t="str">
        <f>VLOOKUP(C2218,lookup!$B$2:$F$1240,2)</f>
        <v>ac</v>
      </c>
      <c r="E2218" s="271">
        <f>VLOOKUP(C2218,lookup!$B$2:$F$1240,5)</f>
        <v>34</v>
      </c>
    </row>
    <row r="2219" spans="1:5" x14ac:dyDescent="0.25">
      <c r="A2219" s="169">
        <v>655</v>
      </c>
      <c r="C2219" s="106" t="s">
        <v>1523</v>
      </c>
      <c r="D2219" s="269">
        <f>VLOOKUP(C2219,lookup!$B$2:$F$1240,2)</f>
        <v>0</v>
      </c>
      <c r="E2219" s="271">
        <f>VLOOKUP(C2219,lookup!$B$2:$F$1240,5)</f>
        <v>0</v>
      </c>
    </row>
    <row r="2220" spans="1:5" x14ac:dyDescent="0.25">
      <c r="A2220" s="169">
        <v>656</v>
      </c>
      <c r="B2220" s="171" t="s">
        <v>1243</v>
      </c>
      <c r="C2220" s="119"/>
      <c r="D2220" s="269" t="e">
        <f>VLOOKUP(C2220,lookup!$B$2:$F$1240,2)</f>
        <v>#N/A</v>
      </c>
      <c r="E2220" s="271" t="e">
        <f>VLOOKUP(C2220,lookup!$B$2:$F$1240,5)</f>
        <v>#N/A</v>
      </c>
    </row>
    <row r="2221" spans="1:5" x14ac:dyDescent="0.25">
      <c r="A2221" s="169">
        <v>656</v>
      </c>
      <c r="C2221" s="106" t="s">
        <v>279</v>
      </c>
      <c r="D2221" s="269">
        <f>VLOOKUP(C2221,lookup!$B$2:$F$1240,2)</f>
        <v>0</v>
      </c>
      <c r="E2221" s="271">
        <f>VLOOKUP(C2221,lookup!$B$2:$F$1240,5)</f>
        <v>0</v>
      </c>
    </row>
    <row r="2222" spans="1:5" x14ac:dyDescent="0.25">
      <c r="A2222" s="169">
        <v>656</v>
      </c>
      <c r="C2222" s="106" t="s">
        <v>2127</v>
      </c>
      <c r="D2222" s="269" t="str">
        <f>VLOOKUP(C2222,lookup!$B$2:$F$1240,2)</f>
        <v>Pkg.</v>
      </c>
      <c r="E2222" s="271">
        <f>VLOOKUP(C2222,lookup!$B$2:$F$1240,5)</f>
        <v>4.5</v>
      </c>
    </row>
    <row r="2223" spans="1:5" x14ac:dyDescent="0.25">
      <c r="A2223" s="169">
        <v>656</v>
      </c>
      <c r="C2223" s="106" t="s">
        <v>1659</v>
      </c>
      <c r="D2223" s="269">
        <f>VLOOKUP(C2223,lookup!$B$2:$F$1240,2)</f>
        <v>0</v>
      </c>
      <c r="E2223" s="271">
        <f>VLOOKUP(C2223,lookup!$B$2:$F$1240,5)</f>
        <v>0</v>
      </c>
    </row>
    <row r="2224" spans="1:5" x14ac:dyDescent="0.25">
      <c r="A2224" s="169">
        <v>656</v>
      </c>
      <c r="C2224" s="106" t="s">
        <v>1034</v>
      </c>
      <c r="D2224" s="269" t="str">
        <f>VLOOKUP(C2224,lookup!$B$2:$F$1240,2)</f>
        <v>l.s.</v>
      </c>
      <c r="E2224" s="271">
        <f>VLOOKUP(C2224,lookup!$B$2:$F$1240,5)</f>
        <v>400</v>
      </c>
    </row>
    <row r="2225" spans="1:5" x14ac:dyDescent="0.25">
      <c r="A2225" s="169">
        <v>656</v>
      </c>
      <c r="C2225" s="106" t="s">
        <v>1523</v>
      </c>
      <c r="D2225" s="269">
        <f>VLOOKUP(C2225,lookup!$B$2:$F$1240,2)</f>
        <v>0</v>
      </c>
      <c r="E2225" s="271">
        <f>VLOOKUP(C2225,lookup!$B$2:$F$1240,5)</f>
        <v>0</v>
      </c>
    </row>
    <row r="2226" spans="1:5" x14ac:dyDescent="0.25">
      <c r="A2226" s="169">
        <v>656</v>
      </c>
      <c r="C2226" s="106" t="s">
        <v>1658</v>
      </c>
      <c r="D2226" s="269">
        <f>VLOOKUP(C2226,lookup!$B$2:$F$1240,2)</f>
        <v>0</v>
      </c>
      <c r="E2226" s="271">
        <f>VLOOKUP(C2226,lookup!$B$2:$F$1240,5)</f>
        <v>0</v>
      </c>
    </row>
    <row r="2227" spans="1:5" x14ac:dyDescent="0.25">
      <c r="A2227" s="169">
        <v>656</v>
      </c>
      <c r="C2227" s="106" t="s">
        <v>2128</v>
      </c>
      <c r="D2227" s="269" t="str">
        <f>VLOOKUP(C2227,lookup!$B$2:$F$1240,2)</f>
        <v>hr</v>
      </c>
      <c r="E2227" s="271">
        <f>VLOOKUP(C2227,lookup!$B$2:$F$1240,5)</f>
        <v>35</v>
      </c>
    </row>
    <row r="2228" spans="1:5" x14ac:dyDescent="0.25">
      <c r="A2228" s="169">
        <v>656</v>
      </c>
      <c r="C2228" s="113" t="s">
        <v>1660</v>
      </c>
      <c r="D2228" s="269">
        <f>VLOOKUP(C2228,lookup!$B$2:$F$1240,2)</f>
        <v>0</v>
      </c>
      <c r="E2228" s="271">
        <f>VLOOKUP(C2228,lookup!$B$2:$F$1240,5)</f>
        <v>0</v>
      </c>
    </row>
    <row r="2229" spans="1:5" x14ac:dyDescent="0.25">
      <c r="A2229" s="169">
        <v>656</v>
      </c>
      <c r="C2229" s="113" t="s">
        <v>1661</v>
      </c>
      <c r="D2229" s="269">
        <f>VLOOKUP(C2229,lookup!$B$2:$F$1240,2)</f>
        <v>0</v>
      </c>
      <c r="E2229" s="271">
        <f>VLOOKUP(C2229,lookup!$B$2:$F$1240,5)</f>
        <v>0</v>
      </c>
    </row>
    <row r="2230" spans="1:5" x14ac:dyDescent="0.25">
      <c r="A2230" s="169">
        <v>656</v>
      </c>
      <c r="C2230" s="113" t="s">
        <v>1662</v>
      </c>
      <c r="D2230" s="269">
        <f>VLOOKUP(C2230,lookup!$B$2:$F$1240,2)</f>
        <v>0</v>
      </c>
      <c r="E2230" s="271">
        <f>VLOOKUP(C2230,lookup!$B$2:$F$1240,5)</f>
        <v>0</v>
      </c>
    </row>
    <row r="2231" spans="1:5" x14ac:dyDescent="0.25">
      <c r="A2231" s="169">
        <v>656</v>
      </c>
      <c r="C2231" s="113" t="s">
        <v>191</v>
      </c>
      <c r="D2231" s="269">
        <f>VLOOKUP(C2231,lookup!$B$2:$F$1240,2)</f>
        <v>0</v>
      </c>
      <c r="E2231" s="271">
        <f>VLOOKUP(C2231,lookup!$B$2:$F$1240,5)</f>
        <v>0</v>
      </c>
    </row>
    <row r="2232" spans="1:5" x14ac:dyDescent="0.25">
      <c r="A2232" s="169">
        <v>656</v>
      </c>
      <c r="C2232" s="113" t="s">
        <v>192</v>
      </c>
      <c r="D2232" s="269">
        <f>VLOOKUP(C2232,lookup!$B$2:$F$1240,2)</f>
        <v>0</v>
      </c>
      <c r="E2232" s="271">
        <f>VLOOKUP(C2232,lookup!$B$2:$F$1240,5)</f>
        <v>0</v>
      </c>
    </row>
    <row r="2233" spans="1:5" x14ac:dyDescent="0.25">
      <c r="A2233" s="169">
        <v>656</v>
      </c>
      <c r="C2233" s="113" t="s">
        <v>2126</v>
      </c>
      <c r="D2233" s="269">
        <f>VLOOKUP(C2233,lookup!$B$2:$F$1240,2)</f>
        <v>0</v>
      </c>
      <c r="E2233" s="271">
        <f>VLOOKUP(C2233,lookup!$B$2:$F$1240,5)</f>
        <v>0</v>
      </c>
    </row>
    <row r="2234" spans="1:5" x14ac:dyDescent="0.25">
      <c r="A2234" s="169">
        <v>657</v>
      </c>
      <c r="B2234" s="172" t="s">
        <v>2079</v>
      </c>
      <c r="D2234" s="269" t="e">
        <f>VLOOKUP(C2234,lookup!$B$2:$F$1240,2)</f>
        <v>#N/A</v>
      </c>
      <c r="E2234" s="271" t="e">
        <f>VLOOKUP(C2234,lookup!$B$2:$F$1240,5)</f>
        <v>#N/A</v>
      </c>
    </row>
    <row r="2235" spans="1:5" x14ac:dyDescent="0.25">
      <c r="A2235" s="169">
        <v>657</v>
      </c>
      <c r="C2235" s="106" t="s">
        <v>2428</v>
      </c>
      <c r="D2235" s="269" t="str">
        <f>VLOOKUP(C2235,lookup!$B$2:$F$1240,2)</f>
        <v>Pkg.</v>
      </c>
      <c r="E2235" s="271">
        <f>VLOOKUP(C2235,lookup!$B$2:$F$1240,5)</f>
        <v>4.5</v>
      </c>
    </row>
    <row r="2236" spans="1:5" x14ac:dyDescent="0.25">
      <c r="A2236" s="169">
        <v>657</v>
      </c>
      <c r="C2236" s="106" t="s">
        <v>1376</v>
      </c>
      <c r="D2236" s="269" t="str">
        <f>VLOOKUP(C2236,lookup!$B$2:$F$1240,2)</f>
        <v>cu yd</v>
      </c>
      <c r="E2236" s="271">
        <f>VLOOKUP(C2236,lookup!$B$2:$F$1240,5)</f>
        <v>3.5</v>
      </c>
    </row>
    <row r="2237" spans="1:5" x14ac:dyDescent="0.25">
      <c r="A2237" s="169">
        <v>657</v>
      </c>
      <c r="C2237" s="106" t="s">
        <v>1110</v>
      </c>
      <c r="D2237" s="269" t="str">
        <f>VLOOKUP(C2237,lookup!$B$2:$F$1240,2)</f>
        <v>Cu Yd</v>
      </c>
      <c r="E2237" s="271">
        <f>VLOOKUP(C2237,lookup!$B$2:$F$1240,5)</f>
        <v>0</v>
      </c>
    </row>
    <row r="2238" spans="1:5" x14ac:dyDescent="0.25">
      <c r="A2238" s="169">
        <v>657</v>
      </c>
      <c r="C2238" s="106" t="s">
        <v>1034</v>
      </c>
      <c r="D2238" s="269" t="str">
        <f>VLOOKUP(C2238,lookup!$B$2:$F$1240,2)</f>
        <v>l.s.</v>
      </c>
      <c r="E2238" s="271">
        <f>VLOOKUP(C2238,lookup!$B$2:$F$1240,5)</f>
        <v>400</v>
      </c>
    </row>
    <row r="2239" spans="1:5" x14ac:dyDescent="0.25">
      <c r="A2239" s="169">
        <v>657</v>
      </c>
      <c r="C2239" s="106" t="s">
        <v>2712</v>
      </c>
      <c r="D2239" s="269" t="str">
        <f>VLOOKUP(C2239,lookup!$B$2:$F$1240,2)</f>
        <v>Cu Yd</v>
      </c>
      <c r="E2239" s="271">
        <f>VLOOKUP(C2239,lookup!$B$2:$F$1240,5)</f>
        <v>3.5</v>
      </c>
    </row>
    <row r="2240" spans="1:5" ht="22.8" x14ac:dyDescent="0.25">
      <c r="A2240" s="169">
        <v>657</v>
      </c>
      <c r="C2240" s="106" t="s">
        <v>906</v>
      </c>
      <c r="D2240" s="269">
        <f>VLOOKUP(C2240,lookup!$B$2:$F$1240,2)</f>
        <v>0</v>
      </c>
      <c r="E2240" s="271">
        <f>VLOOKUP(C2240,lookup!$B$2:$F$1240,5)</f>
        <v>0</v>
      </c>
    </row>
    <row r="2241" spans="1:5" ht="22.8" x14ac:dyDescent="0.25">
      <c r="A2241" s="169">
        <v>657</v>
      </c>
      <c r="C2241" s="106" t="s">
        <v>907</v>
      </c>
      <c r="D2241" s="269" t="str">
        <f>VLOOKUP(C2241,lookup!$B$2:$F$1240,2)</f>
        <v>sq ft</v>
      </c>
      <c r="E2241" s="271">
        <f>VLOOKUP(C2241,lookup!$B$2:$F$1240,5)</f>
        <v>0</v>
      </c>
    </row>
    <row r="2242" spans="1:5" ht="22.8" x14ac:dyDescent="0.25">
      <c r="A2242" s="169">
        <v>657</v>
      </c>
      <c r="C2242" s="106" t="s">
        <v>1781</v>
      </c>
      <c r="D2242" s="269">
        <f>VLOOKUP(C2242,lookup!$B$2:$F$1240,2)</f>
        <v>0</v>
      </c>
      <c r="E2242" s="271">
        <f>VLOOKUP(C2242,lookup!$B$2:$F$1240,5)</f>
        <v>0</v>
      </c>
    </row>
    <row r="2243" spans="1:5" ht="22.8" x14ac:dyDescent="0.25">
      <c r="A2243" s="169">
        <v>657</v>
      </c>
      <c r="C2243" s="106" t="s">
        <v>908</v>
      </c>
      <c r="D2243" s="269">
        <f>VLOOKUP(C2243,lookup!$B$2:$F$1240,2)</f>
        <v>0</v>
      </c>
      <c r="E2243" s="271">
        <f>VLOOKUP(C2243,lookup!$B$2:$F$1240,5)</f>
        <v>0</v>
      </c>
    </row>
    <row r="2244" spans="1:5" ht="22.8" x14ac:dyDescent="0.25">
      <c r="A2244" s="169">
        <v>657</v>
      </c>
      <c r="C2244" s="106" t="s">
        <v>909</v>
      </c>
      <c r="D2244" s="269">
        <f>VLOOKUP(C2244,lookup!$B$2:$F$1240,2)</f>
        <v>0</v>
      </c>
      <c r="E2244" s="271">
        <f>VLOOKUP(C2244,lookup!$B$2:$F$1240,5)</f>
        <v>0</v>
      </c>
    </row>
    <row r="2245" spans="1:5" ht="22.8" x14ac:dyDescent="0.25">
      <c r="A2245" s="169">
        <v>657</v>
      </c>
      <c r="C2245" s="106" t="s">
        <v>910</v>
      </c>
      <c r="D2245" s="269">
        <f>VLOOKUP(C2245,lookup!$B$2:$F$1240,2)</f>
        <v>0</v>
      </c>
      <c r="E2245" s="271">
        <f>VLOOKUP(C2245,lookup!$B$2:$F$1240,5)</f>
        <v>0</v>
      </c>
    </row>
    <row r="2246" spans="1:5" x14ac:dyDescent="0.25">
      <c r="A2246" s="169">
        <v>657</v>
      </c>
      <c r="C2246" s="106" t="s">
        <v>1523</v>
      </c>
      <c r="D2246" s="269">
        <f>VLOOKUP(C2246,lookup!$B$2:$F$1240,2)</f>
        <v>0</v>
      </c>
      <c r="E2246" s="271">
        <f>VLOOKUP(C2246,lookup!$B$2:$F$1240,5)</f>
        <v>0</v>
      </c>
    </row>
    <row r="2247" spans="1:5" x14ac:dyDescent="0.25">
      <c r="A2247" s="169">
        <v>657</v>
      </c>
      <c r="C2247" s="106" t="s">
        <v>1731</v>
      </c>
      <c r="D2247" s="269">
        <f>VLOOKUP(C2247,lookup!$B$2:$F$1240,2)</f>
        <v>0</v>
      </c>
      <c r="E2247" s="271">
        <f>VLOOKUP(C2247,lookup!$B$2:$F$1240,5)</f>
        <v>0</v>
      </c>
    </row>
    <row r="2248" spans="1:5" x14ac:dyDescent="0.25">
      <c r="A2248" s="169">
        <v>657</v>
      </c>
      <c r="C2248" s="106" t="s">
        <v>1660</v>
      </c>
      <c r="D2248" s="269">
        <f>VLOOKUP(C2248,lookup!$B$2:$F$1240,2)</f>
        <v>0</v>
      </c>
      <c r="E2248" s="271">
        <f>VLOOKUP(C2248,lookup!$B$2:$F$1240,5)</f>
        <v>0</v>
      </c>
    </row>
    <row r="2249" spans="1:5" x14ac:dyDescent="0.25">
      <c r="A2249" s="169">
        <v>657</v>
      </c>
      <c r="C2249" s="106" t="s">
        <v>1661</v>
      </c>
      <c r="D2249" s="269">
        <f>VLOOKUP(C2249,lookup!$B$2:$F$1240,2)</f>
        <v>0</v>
      </c>
      <c r="E2249" s="271">
        <f>VLOOKUP(C2249,lookup!$B$2:$F$1240,5)</f>
        <v>0</v>
      </c>
    </row>
    <row r="2250" spans="1:5" x14ac:dyDescent="0.25">
      <c r="A2250" s="169">
        <v>657</v>
      </c>
      <c r="C2250" s="106" t="s">
        <v>1662</v>
      </c>
      <c r="D2250" s="269">
        <f>VLOOKUP(C2250,lookup!$B$2:$F$1240,2)</f>
        <v>0</v>
      </c>
      <c r="E2250" s="271">
        <f>VLOOKUP(C2250,lookup!$B$2:$F$1240,5)</f>
        <v>0</v>
      </c>
    </row>
    <row r="2251" spans="1:5" x14ac:dyDescent="0.25">
      <c r="A2251" s="169">
        <v>657</v>
      </c>
      <c r="C2251" s="106" t="s">
        <v>191</v>
      </c>
      <c r="D2251" s="269">
        <f>VLOOKUP(C2251,lookup!$B$2:$F$1240,2)</f>
        <v>0</v>
      </c>
      <c r="E2251" s="271">
        <f>VLOOKUP(C2251,lookup!$B$2:$F$1240,5)</f>
        <v>0</v>
      </c>
    </row>
    <row r="2252" spans="1:5" x14ac:dyDescent="0.25">
      <c r="A2252" s="169">
        <v>657</v>
      </c>
      <c r="C2252" s="106" t="s">
        <v>192</v>
      </c>
      <c r="D2252" s="269">
        <f>VLOOKUP(C2252,lookup!$B$2:$F$1240,2)</f>
        <v>0</v>
      </c>
      <c r="E2252" s="271">
        <f>VLOOKUP(C2252,lookup!$B$2:$F$1240,5)</f>
        <v>0</v>
      </c>
    </row>
    <row r="2253" spans="1:5" x14ac:dyDescent="0.25">
      <c r="A2253" s="169">
        <v>657</v>
      </c>
      <c r="C2253" s="106" t="s">
        <v>2126</v>
      </c>
      <c r="D2253" s="269">
        <f>VLOOKUP(C2253,lookup!$B$2:$F$1240,2)</f>
        <v>0</v>
      </c>
      <c r="E2253" s="271">
        <f>VLOOKUP(C2253,lookup!$B$2:$F$1240,5)</f>
        <v>0</v>
      </c>
    </row>
    <row r="2254" spans="1:5" x14ac:dyDescent="0.25">
      <c r="A2254" s="169">
        <v>657</v>
      </c>
      <c r="C2254" s="106" t="s">
        <v>2370</v>
      </c>
      <c r="D2254" s="269" t="str">
        <f>VLOOKUP(C2254,lookup!$B$2:$F$1240,2)</f>
        <v>Hr.</v>
      </c>
      <c r="E2254" s="271">
        <f>VLOOKUP(C2254,lookup!$B$2:$F$1240,5)</f>
        <v>81.068363600000012</v>
      </c>
    </row>
    <row r="2255" spans="1:5" x14ac:dyDescent="0.25">
      <c r="A2255" s="169">
        <v>658</v>
      </c>
      <c r="B2255" s="172" t="s">
        <v>2075</v>
      </c>
      <c r="D2255" s="269" t="e">
        <f>VLOOKUP(C2255,lookup!$B$2:$F$1240,2)</f>
        <v>#N/A</v>
      </c>
      <c r="E2255" s="271" t="e">
        <f>VLOOKUP(C2255,lookup!$B$2:$F$1240,5)</f>
        <v>#N/A</v>
      </c>
    </row>
    <row r="2256" spans="1:5" x14ac:dyDescent="0.25">
      <c r="A2256" s="169">
        <v>658</v>
      </c>
      <c r="C2256" s="106" t="s">
        <v>279</v>
      </c>
      <c r="D2256" s="269">
        <f>VLOOKUP(C2256,lookup!$B$2:$F$1240,2)</f>
        <v>0</v>
      </c>
      <c r="E2256" s="271">
        <f>VLOOKUP(C2256,lookup!$B$2:$F$1240,5)</f>
        <v>0</v>
      </c>
    </row>
    <row r="2257" spans="1:5" x14ac:dyDescent="0.25">
      <c r="A2257" s="169">
        <v>658</v>
      </c>
      <c r="C2257" s="106" t="s">
        <v>2428</v>
      </c>
      <c r="D2257" s="269" t="str">
        <f>VLOOKUP(C2257,lookup!$B$2:$F$1240,2)</f>
        <v>Pkg.</v>
      </c>
      <c r="E2257" s="271">
        <f>VLOOKUP(C2257,lookup!$B$2:$F$1240,5)</f>
        <v>4.5</v>
      </c>
    </row>
    <row r="2258" spans="1:5" x14ac:dyDescent="0.25">
      <c r="A2258" s="169">
        <v>658</v>
      </c>
      <c r="C2258" s="106" t="s">
        <v>1376</v>
      </c>
      <c r="D2258" s="269" t="str">
        <f>VLOOKUP(C2258,lookup!$B$2:$F$1240,2)</f>
        <v>cu yd</v>
      </c>
      <c r="E2258" s="271">
        <f>VLOOKUP(C2258,lookup!$B$2:$F$1240,5)</f>
        <v>3.5</v>
      </c>
    </row>
    <row r="2259" spans="1:5" x14ac:dyDescent="0.25">
      <c r="A2259" s="169">
        <v>658</v>
      </c>
      <c r="C2259" s="106" t="s">
        <v>1110</v>
      </c>
      <c r="D2259" s="269" t="str">
        <f>VLOOKUP(C2259,lookup!$B$2:$F$1240,2)</f>
        <v>Cu Yd</v>
      </c>
      <c r="E2259" s="271">
        <f>VLOOKUP(C2259,lookup!$B$2:$F$1240,5)</f>
        <v>0</v>
      </c>
    </row>
    <row r="2260" spans="1:5" x14ac:dyDescent="0.25">
      <c r="A2260" s="169">
        <v>658</v>
      </c>
      <c r="C2260" s="106" t="s">
        <v>1034</v>
      </c>
      <c r="D2260" s="269" t="str">
        <f>VLOOKUP(C2260,lookup!$B$2:$F$1240,2)</f>
        <v>l.s.</v>
      </c>
      <c r="E2260" s="271">
        <f>VLOOKUP(C2260,lookup!$B$2:$F$1240,5)</f>
        <v>400</v>
      </c>
    </row>
    <row r="2261" spans="1:5" x14ac:dyDescent="0.25">
      <c r="A2261" s="169">
        <v>658</v>
      </c>
      <c r="C2261" s="106" t="s">
        <v>2712</v>
      </c>
      <c r="D2261" s="269" t="str">
        <f>VLOOKUP(C2261,lookup!$B$2:$F$1240,2)</f>
        <v>Cu Yd</v>
      </c>
      <c r="E2261" s="271">
        <f>VLOOKUP(C2261,lookup!$B$2:$F$1240,5)</f>
        <v>3.5</v>
      </c>
    </row>
    <row r="2262" spans="1:5" ht="22.8" x14ac:dyDescent="0.25">
      <c r="A2262" s="169">
        <v>658</v>
      </c>
      <c r="C2262" s="106" t="s">
        <v>906</v>
      </c>
      <c r="D2262" s="269">
        <f>VLOOKUP(C2262,lookup!$B$2:$F$1240,2)</f>
        <v>0</v>
      </c>
      <c r="E2262" s="271">
        <f>VLOOKUP(C2262,lookup!$B$2:$F$1240,5)</f>
        <v>0</v>
      </c>
    </row>
    <row r="2263" spans="1:5" ht="22.8" x14ac:dyDescent="0.25">
      <c r="A2263" s="169">
        <v>658</v>
      </c>
      <c r="C2263" s="106" t="s">
        <v>907</v>
      </c>
      <c r="D2263" s="269" t="str">
        <f>VLOOKUP(C2263,lookup!$B$2:$F$1240,2)</f>
        <v>sq ft</v>
      </c>
      <c r="E2263" s="271">
        <f>VLOOKUP(C2263,lookup!$B$2:$F$1240,5)</f>
        <v>0</v>
      </c>
    </row>
    <row r="2264" spans="1:5" ht="22.8" x14ac:dyDescent="0.25">
      <c r="A2264" s="169">
        <v>658</v>
      </c>
      <c r="C2264" s="106" t="s">
        <v>1781</v>
      </c>
      <c r="D2264" s="269">
        <f>VLOOKUP(C2264,lookup!$B$2:$F$1240,2)</f>
        <v>0</v>
      </c>
      <c r="E2264" s="271">
        <f>VLOOKUP(C2264,lookup!$B$2:$F$1240,5)</f>
        <v>0</v>
      </c>
    </row>
    <row r="2265" spans="1:5" ht="22.8" x14ac:dyDescent="0.25">
      <c r="A2265" s="169">
        <v>658</v>
      </c>
      <c r="C2265" s="106" t="s">
        <v>908</v>
      </c>
      <c r="D2265" s="269">
        <f>VLOOKUP(C2265,lookup!$B$2:$F$1240,2)</f>
        <v>0</v>
      </c>
      <c r="E2265" s="271">
        <f>VLOOKUP(C2265,lookup!$B$2:$F$1240,5)</f>
        <v>0</v>
      </c>
    </row>
    <row r="2266" spans="1:5" ht="22.8" x14ac:dyDescent="0.25">
      <c r="A2266" s="169">
        <v>658</v>
      </c>
      <c r="C2266" s="106" t="s">
        <v>909</v>
      </c>
      <c r="D2266" s="269">
        <f>VLOOKUP(C2266,lookup!$B$2:$F$1240,2)</f>
        <v>0</v>
      </c>
      <c r="E2266" s="271">
        <f>VLOOKUP(C2266,lookup!$B$2:$F$1240,5)</f>
        <v>0</v>
      </c>
    </row>
    <row r="2267" spans="1:5" ht="22.8" x14ac:dyDescent="0.25">
      <c r="A2267" s="169">
        <v>658</v>
      </c>
      <c r="C2267" s="106" t="s">
        <v>910</v>
      </c>
      <c r="D2267" s="269">
        <f>VLOOKUP(C2267,lookup!$B$2:$F$1240,2)</f>
        <v>0</v>
      </c>
      <c r="E2267" s="271">
        <f>VLOOKUP(C2267,lookup!$B$2:$F$1240,5)</f>
        <v>0</v>
      </c>
    </row>
    <row r="2268" spans="1:5" x14ac:dyDescent="0.25">
      <c r="A2268" s="169">
        <v>658</v>
      </c>
      <c r="C2268" s="106" t="s">
        <v>1523</v>
      </c>
      <c r="D2268" s="269">
        <f>VLOOKUP(C2268,lookup!$B$2:$F$1240,2)</f>
        <v>0</v>
      </c>
      <c r="E2268" s="271">
        <f>VLOOKUP(C2268,lookup!$B$2:$F$1240,5)</f>
        <v>0</v>
      </c>
    </row>
    <row r="2269" spans="1:5" x14ac:dyDescent="0.25">
      <c r="A2269" s="169">
        <v>658</v>
      </c>
      <c r="C2269" s="106" t="s">
        <v>2128</v>
      </c>
      <c r="D2269" s="269" t="str">
        <f>VLOOKUP(C2269,lookup!$B$2:$F$1240,2)</f>
        <v>hr</v>
      </c>
      <c r="E2269" s="271">
        <f>VLOOKUP(C2269,lookup!$B$2:$F$1240,5)</f>
        <v>35</v>
      </c>
    </row>
    <row r="2270" spans="1:5" x14ac:dyDescent="0.25">
      <c r="A2270" s="169">
        <v>658</v>
      </c>
      <c r="C2270" s="106" t="s">
        <v>1660</v>
      </c>
      <c r="D2270" s="269">
        <f>VLOOKUP(C2270,lookup!$B$2:$F$1240,2)</f>
        <v>0</v>
      </c>
      <c r="E2270" s="271">
        <f>VLOOKUP(C2270,lookup!$B$2:$F$1240,5)</f>
        <v>0</v>
      </c>
    </row>
    <row r="2271" spans="1:5" x14ac:dyDescent="0.25">
      <c r="A2271" s="169">
        <v>658</v>
      </c>
      <c r="C2271" s="106" t="s">
        <v>1661</v>
      </c>
      <c r="D2271" s="269">
        <f>VLOOKUP(C2271,lookup!$B$2:$F$1240,2)</f>
        <v>0</v>
      </c>
      <c r="E2271" s="271">
        <f>VLOOKUP(C2271,lookup!$B$2:$F$1240,5)</f>
        <v>0</v>
      </c>
    </row>
    <row r="2272" spans="1:5" x14ac:dyDescent="0.25">
      <c r="A2272" s="169">
        <v>658</v>
      </c>
      <c r="C2272" s="106" t="s">
        <v>1662</v>
      </c>
      <c r="D2272" s="269">
        <f>VLOOKUP(C2272,lookup!$B$2:$F$1240,2)</f>
        <v>0</v>
      </c>
      <c r="E2272" s="271">
        <f>VLOOKUP(C2272,lookup!$B$2:$F$1240,5)</f>
        <v>0</v>
      </c>
    </row>
    <row r="2273" spans="1:5" x14ac:dyDescent="0.25">
      <c r="A2273" s="169">
        <v>658</v>
      </c>
      <c r="C2273" s="106" t="s">
        <v>191</v>
      </c>
      <c r="D2273" s="269">
        <f>VLOOKUP(C2273,lookup!$B$2:$F$1240,2)</f>
        <v>0</v>
      </c>
      <c r="E2273" s="271">
        <f>VLOOKUP(C2273,lookup!$B$2:$F$1240,5)</f>
        <v>0</v>
      </c>
    </row>
    <row r="2274" spans="1:5" x14ac:dyDescent="0.25">
      <c r="A2274" s="169">
        <v>658</v>
      </c>
      <c r="C2274" s="106" t="s">
        <v>192</v>
      </c>
      <c r="D2274" s="269">
        <f>VLOOKUP(C2274,lookup!$B$2:$F$1240,2)</f>
        <v>0</v>
      </c>
      <c r="E2274" s="271">
        <f>VLOOKUP(C2274,lookup!$B$2:$F$1240,5)</f>
        <v>0</v>
      </c>
    </row>
    <row r="2275" spans="1:5" x14ac:dyDescent="0.25">
      <c r="A2275" s="169">
        <v>658</v>
      </c>
      <c r="C2275" s="106" t="s">
        <v>2126</v>
      </c>
      <c r="D2275" s="269">
        <f>VLOOKUP(C2275,lookup!$B$2:$F$1240,2)</f>
        <v>0</v>
      </c>
      <c r="E2275" s="271">
        <f>VLOOKUP(C2275,lookup!$B$2:$F$1240,5)</f>
        <v>0</v>
      </c>
    </row>
    <row r="2276" spans="1:5" x14ac:dyDescent="0.25">
      <c r="A2276" s="169">
        <v>659</v>
      </c>
      <c r="B2276" s="172" t="s">
        <v>2077</v>
      </c>
      <c r="D2276" s="269" t="e">
        <f>VLOOKUP(C2276,lookup!$B$2:$F$1240,2)</f>
        <v>#N/A</v>
      </c>
      <c r="E2276" s="271" t="e">
        <f>VLOOKUP(C2276,lookup!$B$2:$F$1240,5)</f>
        <v>#N/A</v>
      </c>
    </row>
    <row r="2277" spans="1:5" x14ac:dyDescent="0.25">
      <c r="A2277" s="169">
        <v>659</v>
      </c>
      <c r="C2277" s="106" t="s">
        <v>2428</v>
      </c>
      <c r="D2277" s="269" t="str">
        <f>VLOOKUP(C2277,lookup!$B$2:$F$1240,2)</f>
        <v>Pkg.</v>
      </c>
      <c r="E2277" s="271">
        <f>VLOOKUP(C2277,lookup!$B$2:$F$1240,5)</f>
        <v>4.5</v>
      </c>
    </row>
    <row r="2278" spans="1:5" x14ac:dyDescent="0.25">
      <c r="A2278" s="169">
        <v>659</v>
      </c>
      <c r="C2278" s="106" t="s">
        <v>1376</v>
      </c>
      <c r="D2278" s="269" t="str">
        <f>VLOOKUP(C2278,lookup!$B$2:$F$1240,2)</f>
        <v>cu yd</v>
      </c>
      <c r="E2278" s="271">
        <f>VLOOKUP(C2278,lookup!$B$2:$F$1240,5)</f>
        <v>3.5</v>
      </c>
    </row>
    <row r="2279" spans="1:5" x14ac:dyDescent="0.25">
      <c r="A2279" s="169">
        <v>659</v>
      </c>
      <c r="C2279" s="106" t="s">
        <v>1110</v>
      </c>
      <c r="D2279" s="269" t="str">
        <f>VLOOKUP(C2279,lookup!$B$2:$F$1240,2)</f>
        <v>Cu Yd</v>
      </c>
      <c r="E2279" s="271">
        <f>VLOOKUP(C2279,lookup!$B$2:$F$1240,5)</f>
        <v>0</v>
      </c>
    </row>
    <row r="2280" spans="1:5" x14ac:dyDescent="0.25">
      <c r="A2280" s="169">
        <v>659</v>
      </c>
      <c r="C2280" s="106" t="s">
        <v>1034</v>
      </c>
      <c r="D2280" s="269" t="str">
        <f>VLOOKUP(C2280,lookup!$B$2:$F$1240,2)</f>
        <v>l.s.</v>
      </c>
      <c r="E2280" s="271">
        <f>VLOOKUP(C2280,lookup!$B$2:$F$1240,5)</f>
        <v>400</v>
      </c>
    </row>
    <row r="2281" spans="1:5" x14ac:dyDescent="0.25">
      <c r="A2281" s="169">
        <v>659</v>
      </c>
      <c r="C2281" s="106" t="s">
        <v>2712</v>
      </c>
      <c r="D2281" s="269" t="str">
        <f>VLOOKUP(C2281,lookup!$B$2:$F$1240,2)</f>
        <v>Cu Yd</v>
      </c>
      <c r="E2281" s="271">
        <f>VLOOKUP(C2281,lookup!$B$2:$F$1240,5)</f>
        <v>3.5</v>
      </c>
    </row>
    <row r="2282" spans="1:5" ht="22.8" x14ac:dyDescent="0.25">
      <c r="A2282" s="169">
        <v>659</v>
      </c>
      <c r="C2282" s="106" t="s">
        <v>906</v>
      </c>
      <c r="D2282" s="269">
        <f>VLOOKUP(C2282,lookup!$B$2:$F$1240,2)</f>
        <v>0</v>
      </c>
      <c r="E2282" s="271">
        <f>VLOOKUP(C2282,lookup!$B$2:$F$1240,5)</f>
        <v>0</v>
      </c>
    </row>
    <row r="2283" spans="1:5" ht="22.8" x14ac:dyDescent="0.25">
      <c r="A2283" s="169">
        <v>659</v>
      </c>
      <c r="C2283" s="106" t="s">
        <v>907</v>
      </c>
      <c r="D2283" s="269" t="str">
        <f>VLOOKUP(C2283,lookup!$B$2:$F$1240,2)</f>
        <v>sq ft</v>
      </c>
      <c r="E2283" s="271">
        <f>VLOOKUP(C2283,lookup!$B$2:$F$1240,5)</f>
        <v>0</v>
      </c>
    </row>
    <row r="2284" spans="1:5" ht="22.8" x14ac:dyDescent="0.25">
      <c r="A2284" s="169">
        <v>659</v>
      </c>
      <c r="C2284" s="106" t="s">
        <v>1781</v>
      </c>
      <c r="D2284" s="269">
        <f>VLOOKUP(C2284,lookup!$B$2:$F$1240,2)</f>
        <v>0</v>
      </c>
      <c r="E2284" s="271">
        <f>VLOOKUP(C2284,lookup!$B$2:$F$1240,5)</f>
        <v>0</v>
      </c>
    </row>
    <row r="2285" spans="1:5" ht="22.8" x14ac:dyDescent="0.25">
      <c r="A2285" s="169">
        <v>659</v>
      </c>
      <c r="C2285" s="106" t="s">
        <v>908</v>
      </c>
      <c r="D2285" s="269">
        <f>VLOOKUP(C2285,lookup!$B$2:$F$1240,2)</f>
        <v>0</v>
      </c>
      <c r="E2285" s="271">
        <f>VLOOKUP(C2285,lookup!$B$2:$F$1240,5)</f>
        <v>0</v>
      </c>
    </row>
    <row r="2286" spans="1:5" ht="22.8" x14ac:dyDescent="0.25">
      <c r="A2286" s="169">
        <v>659</v>
      </c>
      <c r="C2286" s="106" t="s">
        <v>909</v>
      </c>
      <c r="D2286" s="269">
        <f>VLOOKUP(C2286,lookup!$B$2:$F$1240,2)</f>
        <v>0</v>
      </c>
      <c r="E2286" s="271">
        <f>VLOOKUP(C2286,lookup!$B$2:$F$1240,5)</f>
        <v>0</v>
      </c>
    </row>
    <row r="2287" spans="1:5" ht="22.8" x14ac:dyDescent="0.25">
      <c r="A2287" s="169">
        <v>659</v>
      </c>
      <c r="C2287" s="106" t="s">
        <v>910</v>
      </c>
      <c r="D2287" s="269">
        <f>VLOOKUP(C2287,lookup!$B$2:$F$1240,2)</f>
        <v>0</v>
      </c>
      <c r="E2287" s="271">
        <f>VLOOKUP(C2287,lookup!$B$2:$F$1240,5)</f>
        <v>0</v>
      </c>
    </row>
    <row r="2288" spans="1:5" x14ac:dyDescent="0.25">
      <c r="A2288" s="169">
        <v>659</v>
      </c>
      <c r="C2288" s="106" t="s">
        <v>1523</v>
      </c>
      <c r="D2288" s="269">
        <f>VLOOKUP(C2288,lookup!$B$2:$F$1240,2)</f>
        <v>0</v>
      </c>
      <c r="E2288" s="271">
        <f>VLOOKUP(C2288,lookup!$B$2:$F$1240,5)</f>
        <v>0</v>
      </c>
    </row>
    <row r="2289" spans="1:6" x14ac:dyDescent="0.25">
      <c r="A2289" s="169">
        <v>659</v>
      </c>
      <c r="C2289" s="106" t="s">
        <v>1731</v>
      </c>
      <c r="D2289" s="269">
        <f>VLOOKUP(C2289,lookup!$B$2:$F$1240,2)</f>
        <v>0</v>
      </c>
      <c r="E2289" s="271">
        <f>VLOOKUP(C2289,lookup!$B$2:$F$1240,5)</f>
        <v>0</v>
      </c>
    </row>
    <row r="2290" spans="1:6" x14ac:dyDescent="0.25">
      <c r="A2290" s="169">
        <v>659</v>
      </c>
      <c r="C2290" s="106" t="s">
        <v>1660</v>
      </c>
      <c r="D2290" s="269">
        <f>VLOOKUP(C2290,lookup!$B$2:$F$1240,2)</f>
        <v>0</v>
      </c>
      <c r="E2290" s="271">
        <f>VLOOKUP(C2290,lookup!$B$2:$F$1240,5)</f>
        <v>0</v>
      </c>
    </row>
    <row r="2291" spans="1:6" x14ac:dyDescent="0.25">
      <c r="A2291" s="169">
        <v>659</v>
      </c>
      <c r="C2291" s="106" t="s">
        <v>1661</v>
      </c>
      <c r="D2291" s="269">
        <f>VLOOKUP(C2291,lookup!$B$2:$F$1240,2)</f>
        <v>0</v>
      </c>
      <c r="E2291" s="271">
        <f>VLOOKUP(C2291,lookup!$B$2:$F$1240,5)</f>
        <v>0</v>
      </c>
    </row>
    <row r="2292" spans="1:6" x14ac:dyDescent="0.25">
      <c r="A2292" s="169">
        <v>659</v>
      </c>
      <c r="C2292" s="106" t="s">
        <v>1662</v>
      </c>
      <c r="D2292" s="269">
        <f>VLOOKUP(C2292,lookup!$B$2:$F$1240,2)</f>
        <v>0</v>
      </c>
      <c r="E2292" s="271">
        <f>VLOOKUP(C2292,lookup!$B$2:$F$1240,5)</f>
        <v>0</v>
      </c>
    </row>
    <row r="2293" spans="1:6" x14ac:dyDescent="0.25">
      <c r="A2293" s="169">
        <v>659</v>
      </c>
      <c r="C2293" s="106" t="s">
        <v>191</v>
      </c>
      <c r="D2293" s="269">
        <f>VLOOKUP(C2293,lookup!$B$2:$F$1240,2)</f>
        <v>0</v>
      </c>
      <c r="E2293" s="271">
        <f>VLOOKUP(C2293,lookup!$B$2:$F$1240,5)</f>
        <v>0</v>
      </c>
    </row>
    <row r="2294" spans="1:6" x14ac:dyDescent="0.25">
      <c r="A2294" s="169">
        <v>659</v>
      </c>
      <c r="C2294" s="106" t="s">
        <v>192</v>
      </c>
      <c r="D2294" s="269">
        <f>VLOOKUP(C2294,lookup!$B$2:$F$1240,2)</f>
        <v>0</v>
      </c>
      <c r="E2294" s="271">
        <f>VLOOKUP(C2294,lookup!$B$2:$F$1240,5)</f>
        <v>0</v>
      </c>
    </row>
    <row r="2295" spans="1:6" x14ac:dyDescent="0.25">
      <c r="A2295" s="169">
        <v>659</v>
      </c>
      <c r="C2295" s="106" t="s">
        <v>2126</v>
      </c>
      <c r="D2295" s="269">
        <f>VLOOKUP(C2295,lookup!$B$2:$F$1240,2)</f>
        <v>0</v>
      </c>
      <c r="E2295" s="271">
        <f>VLOOKUP(C2295,lookup!$B$2:$F$1240,5)</f>
        <v>0</v>
      </c>
    </row>
    <row r="2296" spans="1:6" x14ac:dyDescent="0.25">
      <c r="A2296" s="169">
        <v>659</v>
      </c>
      <c r="C2296" s="106" t="s">
        <v>2370</v>
      </c>
      <c r="D2296" s="269" t="str">
        <f>VLOOKUP(C2296,lookup!$B$2:$F$1240,2)</f>
        <v>Hr.</v>
      </c>
      <c r="E2296" s="271">
        <f>VLOOKUP(C2296,lookup!$B$2:$F$1240,5)</f>
        <v>81.068363600000012</v>
      </c>
    </row>
    <row r="2297" spans="1:6" x14ac:dyDescent="0.25">
      <c r="A2297" s="169">
        <v>660</v>
      </c>
      <c r="B2297" s="172" t="s">
        <v>2056</v>
      </c>
      <c r="D2297" s="269" t="e">
        <f>VLOOKUP(C2297,lookup!$B$2:$F$1240,2)</f>
        <v>#N/A</v>
      </c>
      <c r="E2297" s="271" t="e">
        <f>VLOOKUP(C2297,lookup!$B$2:$F$1240,5)</f>
        <v>#N/A</v>
      </c>
    </row>
    <row r="2298" spans="1:6" ht="22.8" x14ac:dyDescent="0.25">
      <c r="A2298" s="169">
        <v>660</v>
      </c>
      <c r="C2298" s="106" t="s">
        <v>485</v>
      </c>
      <c r="D2298" s="269">
        <f>VLOOKUP(C2298,lookup!$B$2:$F$1240,2)</f>
        <v>0</v>
      </c>
      <c r="E2298" s="271">
        <f>VLOOKUP(C2298,lookup!$B$2:$F$1240,5)</f>
        <v>0</v>
      </c>
    </row>
    <row r="2299" spans="1:6" ht="22.8" x14ac:dyDescent="0.25">
      <c r="A2299" s="169">
        <v>660</v>
      </c>
      <c r="C2299" s="106" t="s">
        <v>486</v>
      </c>
      <c r="D2299" s="269">
        <f>VLOOKUP(C2299,lookup!$B$2:$F$1240,2)</f>
        <v>0</v>
      </c>
      <c r="E2299" s="271">
        <f>VLOOKUP(C2299,lookup!$B$2:$F$1240,5)</f>
        <v>0</v>
      </c>
    </row>
    <row r="2300" spans="1:6" ht="22.8" x14ac:dyDescent="0.25">
      <c r="A2300" s="169">
        <v>660</v>
      </c>
      <c r="C2300" s="106" t="s">
        <v>484</v>
      </c>
      <c r="D2300" s="269">
        <f>VLOOKUP(C2300,lookup!$B$2:$F$1240,2)</f>
        <v>0</v>
      </c>
      <c r="E2300" s="271">
        <f>VLOOKUP(C2300,lookup!$B$2:$F$1240,5)</f>
        <v>0</v>
      </c>
    </row>
    <row r="2301" spans="1:6" x14ac:dyDescent="0.25">
      <c r="A2301" s="169">
        <v>666</v>
      </c>
      <c r="B2301" s="173" t="s">
        <v>2352</v>
      </c>
      <c r="D2301" s="269"/>
      <c r="E2301" s="271"/>
      <c r="F2301" t="s">
        <v>3113</v>
      </c>
    </row>
    <row r="2302" spans="1:6" x14ac:dyDescent="0.25">
      <c r="A2302" s="169">
        <v>666</v>
      </c>
      <c r="C2302" s="184" t="s">
        <v>530</v>
      </c>
      <c r="D2302" s="269" t="str">
        <f>VLOOKUP(C2302,lookup!$B$2:$F$1240,2)</f>
        <v>each</v>
      </c>
      <c r="E2302" s="271">
        <f>VLOOKUP(C2302,lookup!$B$2:$F$1240,5)</f>
        <v>7.5</v>
      </c>
    </row>
    <row r="2303" spans="1:6" x14ac:dyDescent="0.25">
      <c r="A2303" s="169">
        <v>666</v>
      </c>
      <c r="C2303" s="106" t="s">
        <v>3328</v>
      </c>
      <c r="D2303" s="269" t="str">
        <f>VLOOKUP(C2303,lookup!$B$2:$F$1240,2)</f>
        <v>each</v>
      </c>
      <c r="E2303" s="271">
        <f>VLOOKUP(C2303,lookup!$B$2:$F$1240,5)</f>
        <v>2</v>
      </c>
    </row>
    <row r="2304" spans="1:6" x14ac:dyDescent="0.25">
      <c r="A2304" s="169">
        <v>666</v>
      </c>
      <c r="C2304" s="258" t="s">
        <v>3320</v>
      </c>
      <c r="D2304" s="269" t="str">
        <f>VLOOKUP(C2304,lookup!$B$2:$F$1240,2)</f>
        <v>hr</v>
      </c>
      <c r="E2304" s="271">
        <f>VLOOKUP(C2304,lookup!$B$2:$F$1240,5)</f>
        <v>66.400000000000006</v>
      </c>
    </row>
    <row r="2305" spans="1:6" x14ac:dyDescent="0.25">
      <c r="A2305" s="169">
        <v>666</v>
      </c>
      <c r="C2305" s="100" t="s">
        <v>3139</v>
      </c>
      <c r="D2305" s="269" t="str">
        <f>VLOOKUP(C2305,lookup!$B$2:$F$1240,2)</f>
        <v>hr</v>
      </c>
      <c r="E2305" s="271">
        <f>VLOOKUP(C2305,lookup!$B$2:$F$1240,5)</f>
        <v>20</v>
      </c>
    </row>
    <row r="2306" spans="1:6" x14ac:dyDescent="0.25">
      <c r="A2306" s="169">
        <v>666</v>
      </c>
      <c r="C2306" s="106" t="s">
        <v>3142</v>
      </c>
      <c r="D2306" s="269" t="str">
        <f>VLOOKUP(C2306,lookup!$B$2:$F$1240,2)</f>
        <v>hr</v>
      </c>
      <c r="E2306" s="271">
        <f>VLOOKUP(C2306,lookup!$B$2:$F$1240,5)</f>
        <v>20</v>
      </c>
    </row>
    <row r="2307" spans="1:6" x14ac:dyDescent="0.25">
      <c r="A2307" s="169">
        <v>798</v>
      </c>
      <c r="B2307" s="174" t="s">
        <v>3020</v>
      </c>
      <c r="C2307" s="186"/>
      <c r="D2307" s="248"/>
      <c r="F2307" s="118" t="s">
        <v>3113</v>
      </c>
    </row>
    <row r="2308" spans="1:6" x14ac:dyDescent="0.25">
      <c r="A2308" s="169">
        <v>798</v>
      </c>
      <c r="C2308" s="113" t="s">
        <v>3290</v>
      </c>
      <c r="D2308" s="269" t="str">
        <f>VLOOKUP(C2308,lookup!$B$2:$F$1240,2)</f>
        <v>hr</v>
      </c>
      <c r="E2308" s="271">
        <f>VLOOKUP(C2308,lookup!$B$2:$F$1240,5)</f>
        <v>35</v>
      </c>
      <c r="F2308" s="194"/>
    </row>
    <row r="2309" spans="1:6" ht="26.4" x14ac:dyDescent="0.25">
      <c r="A2309" s="169">
        <v>798</v>
      </c>
      <c r="C2309" s="256" t="s">
        <v>3315</v>
      </c>
      <c r="D2309" s="269" t="str">
        <f>VLOOKUP(C2309,lookup!$B$2:$F$1240,2)</f>
        <v>hr</v>
      </c>
      <c r="E2309" s="271">
        <f>VLOOKUP(C2309,lookup!$B$2:$F$1240,5)</f>
        <v>100</v>
      </c>
    </row>
    <row r="2310" spans="1:6" x14ac:dyDescent="0.25">
      <c r="A2310" s="169">
        <v>798</v>
      </c>
      <c r="B2310" s="179"/>
      <c r="C2310" s="106" t="s">
        <v>3316</v>
      </c>
      <c r="D2310" s="269" t="str">
        <f>VLOOKUP(C2310,lookup!$B$2:$F$1240,2)</f>
        <v>each</v>
      </c>
      <c r="E2310" s="271">
        <f>VLOOKUP(C2310,lookup!$B$2:$F$1240,5)</f>
        <v>5125</v>
      </c>
    </row>
    <row r="2311" spans="1:6" x14ac:dyDescent="0.25">
      <c r="A2311" s="169">
        <v>798</v>
      </c>
      <c r="C2311" s="106" t="s">
        <v>3317</v>
      </c>
      <c r="D2311" s="269" t="str">
        <f>VLOOKUP(C2311,lookup!$B$2:$F$1240,2)</f>
        <v>each</v>
      </c>
      <c r="E2311" s="271">
        <f>VLOOKUP(C2311,lookup!$B$2:$F$1240,5)</f>
        <v>839</v>
      </c>
    </row>
    <row r="2312" spans="1:6" x14ac:dyDescent="0.25">
      <c r="A2312" s="169">
        <v>798</v>
      </c>
      <c r="C2312" s="106" t="s">
        <v>3318</v>
      </c>
      <c r="D2312" s="269" t="str">
        <f>VLOOKUP(C2312,lookup!$B$2:$F$1240,2)</f>
        <v>lin. Ft.</v>
      </c>
      <c r="E2312" s="271">
        <f>VLOOKUP(C2312,lookup!$B$2:$F$1240,5)</f>
        <v>34.28</v>
      </c>
    </row>
    <row r="2313" spans="1:6" x14ac:dyDescent="0.25">
      <c r="A2313" s="169">
        <v>798</v>
      </c>
      <c r="C2313" s="106" t="s">
        <v>1047</v>
      </c>
      <c r="D2313" s="269" t="str">
        <f>VLOOKUP(C2313,lookup!$B$2:$F$1240,2)</f>
        <v>hr</v>
      </c>
      <c r="E2313" s="271">
        <f>VLOOKUP(C2313,lookup!$B$2:$F$1240,5)</f>
        <v>20</v>
      </c>
    </row>
    <row r="2314" spans="1:6" x14ac:dyDescent="0.25">
      <c r="A2314" s="169" t="s">
        <v>1146</v>
      </c>
      <c r="B2314" s="172" t="s">
        <v>766</v>
      </c>
      <c r="D2314" s="269"/>
      <c r="E2314" s="271"/>
    </row>
    <row r="2315" spans="1:6" ht="22.8" x14ac:dyDescent="0.25">
      <c r="A2315" s="169" t="s">
        <v>1146</v>
      </c>
      <c r="C2315" s="106" t="s">
        <v>2551</v>
      </c>
      <c r="D2315" s="269">
        <f>VLOOKUP(C2315,lookup!$B$2:$F$1240,2)</f>
        <v>0</v>
      </c>
      <c r="E2315" s="271">
        <f>VLOOKUP(C2315,lookup!$B$2:$F$1240,5)</f>
        <v>0</v>
      </c>
    </row>
    <row r="2316" spans="1:6" ht="22.8" x14ac:dyDescent="0.25">
      <c r="A2316" s="169" t="s">
        <v>1146</v>
      </c>
      <c r="C2316" s="106" t="s">
        <v>2552</v>
      </c>
      <c r="D2316" s="269">
        <f>VLOOKUP(C2316,lookup!$B$2:$F$1240,2)</f>
        <v>0</v>
      </c>
      <c r="E2316" s="271">
        <f>VLOOKUP(C2316,lookup!$B$2:$F$1240,5)</f>
        <v>0</v>
      </c>
    </row>
    <row r="2317" spans="1:6" x14ac:dyDescent="0.25">
      <c r="A2317" s="169" t="s">
        <v>1146</v>
      </c>
      <c r="C2317" s="106" t="s">
        <v>1341</v>
      </c>
      <c r="D2317" s="269" t="str">
        <f>VLOOKUP(C2317,lookup!$B$2:$F$1240,2)</f>
        <v>ft</v>
      </c>
      <c r="E2317" s="271">
        <f>VLOOKUP(C2317,lookup!$B$2:$F$1240,5)</f>
        <v>2</v>
      </c>
    </row>
    <row r="2318" spans="1:6" x14ac:dyDescent="0.25">
      <c r="A2318" s="169" t="s">
        <v>1146</v>
      </c>
      <c r="C2318" s="106" t="s">
        <v>2540</v>
      </c>
      <c r="D2318" s="269" t="str">
        <f>VLOOKUP(C2318,lookup!$B$2:$F$1240,2)</f>
        <v>ft</v>
      </c>
      <c r="E2318" s="271">
        <f>VLOOKUP(C2318,lookup!$B$2:$F$1240,5)</f>
        <v>2</v>
      </c>
    </row>
    <row r="2319" spans="1:6" x14ac:dyDescent="0.25">
      <c r="A2319" s="169" t="s">
        <v>1146</v>
      </c>
      <c r="C2319" s="106" t="s">
        <v>2541</v>
      </c>
      <c r="D2319" s="269" t="str">
        <f>VLOOKUP(C2319,lookup!$B$2:$F$1240,2)</f>
        <v>ft</v>
      </c>
      <c r="E2319" s="271">
        <f>VLOOKUP(C2319,lookup!$B$2:$F$1240,5)</f>
        <v>2</v>
      </c>
    </row>
    <row r="2320" spans="1:6" x14ac:dyDescent="0.25">
      <c r="A2320" s="169" t="s">
        <v>1146</v>
      </c>
      <c r="C2320" s="106" t="s">
        <v>2542</v>
      </c>
      <c r="D2320" s="269" t="str">
        <f>VLOOKUP(C2320,lookup!$B$2:$F$1240,2)</f>
        <v>ft</v>
      </c>
      <c r="E2320" s="271">
        <f>VLOOKUP(C2320,lookup!$B$2:$F$1240,5)</f>
        <v>2</v>
      </c>
    </row>
    <row r="2321" spans="1:5" x14ac:dyDescent="0.25">
      <c r="A2321" s="169" t="s">
        <v>1147</v>
      </c>
      <c r="B2321" s="172" t="s">
        <v>767</v>
      </c>
      <c r="D2321" s="269"/>
      <c r="E2321" s="271"/>
    </row>
    <row r="2322" spans="1:5" x14ac:dyDescent="0.25">
      <c r="A2322" s="169" t="s">
        <v>1147</v>
      </c>
      <c r="C2322" s="106" t="s">
        <v>1369</v>
      </c>
      <c r="D2322" s="269">
        <f>VLOOKUP(C2322,lookup!$B$2:$F$1240,2)</f>
        <v>0</v>
      </c>
      <c r="E2322" s="271">
        <f>VLOOKUP(C2322,lookup!$B$2:$F$1240,5)</f>
        <v>0</v>
      </c>
    </row>
    <row r="2323" spans="1:5" x14ac:dyDescent="0.25">
      <c r="A2323" s="169" t="s">
        <v>1147</v>
      </c>
      <c r="C2323" s="106" t="s">
        <v>1370</v>
      </c>
      <c r="D2323" s="269">
        <f>VLOOKUP(C2323,lookup!$B$2:$F$1240,2)</f>
        <v>0</v>
      </c>
      <c r="E2323" s="271">
        <f>VLOOKUP(C2323,lookup!$B$2:$F$1240,5)</f>
        <v>0</v>
      </c>
    </row>
    <row r="2324" spans="1:5" x14ac:dyDescent="0.25">
      <c r="A2324" s="169" t="s">
        <v>1147</v>
      </c>
      <c r="C2324" s="106" t="s">
        <v>1341</v>
      </c>
      <c r="D2324" s="269" t="str">
        <f>VLOOKUP(C2324,lookup!$B$2:$F$1240,2)</f>
        <v>ft</v>
      </c>
      <c r="E2324" s="271">
        <f>VLOOKUP(C2324,lookup!$B$2:$F$1240,5)</f>
        <v>2</v>
      </c>
    </row>
    <row r="2325" spans="1:5" x14ac:dyDescent="0.25">
      <c r="A2325" s="169" t="s">
        <v>1147</v>
      </c>
      <c r="C2325" s="106" t="s">
        <v>2540</v>
      </c>
      <c r="D2325" s="269" t="str">
        <f>VLOOKUP(C2325,lookup!$B$2:$F$1240,2)</f>
        <v>ft</v>
      </c>
      <c r="E2325" s="271">
        <f>VLOOKUP(C2325,lookup!$B$2:$F$1240,5)</f>
        <v>2</v>
      </c>
    </row>
    <row r="2326" spans="1:5" x14ac:dyDescent="0.25">
      <c r="A2326" s="169" t="s">
        <v>1147</v>
      </c>
      <c r="C2326" s="106" t="s">
        <v>2541</v>
      </c>
      <c r="D2326" s="269" t="str">
        <f>VLOOKUP(C2326,lookup!$B$2:$F$1240,2)</f>
        <v>ft</v>
      </c>
      <c r="E2326" s="271">
        <f>VLOOKUP(C2326,lookup!$B$2:$F$1240,5)</f>
        <v>2</v>
      </c>
    </row>
    <row r="2327" spans="1:5" x14ac:dyDescent="0.25">
      <c r="A2327" s="169" t="s">
        <v>1147</v>
      </c>
      <c r="C2327" s="106" t="s">
        <v>2542</v>
      </c>
      <c r="D2327" s="269" t="str">
        <f>VLOOKUP(C2327,lookup!$B$2:$F$1240,2)</f>
        <v>ft</v>
      </c>
      <c r="E2327" s="271">
        <f>VLOOKUP(C2327,lookup!$B$2:$F$1240,5)</f>
        <v>2</v>
      </c>
    </row>
    <row r="2328" spans="1:5" x14ac:dyDescent="0.25">
      <c r="A2328" s="169" t="s">
        <v>2515</v>
      </c>
      <c r="B2328" s="276" t="s">
        <v>258</v>
      </c>
      <c r="D2328" s="269"/>
      <c r="E2328" s="271"/>
    </row>
    <row r="2329" spans="1:5" ht="22.8" x14ac:dyDescent="0.25">
      <c r="A2329" s="169" t="s">
        <v>2515</v>
      </c>
      <c r="C2329" s="106" t="s">
        <v>2522</v>
      </c>
      <c r="D2329" s="269">
        <f>VLOOKUP(C2329,lookup!$B$2:$F$1240,2)</f>
        <v>0</v>
      </c>
      <c r="E2329" s="271">
        <f>VLOOKUP(C2329,lookup!$B$2:$F$1240,5)</f>
        <v>0</v>
      </c>
    </row>
    <row r="2330" spans="1:5" ht="22.8" x14ac:dyDescent="0.25">
      <c r="A2330" s="169" t="s">
        <v>2515</v>
      </c>
      <c r="C2330" s="106" t="s">
        <v>2543</v>
      </c>
      <c r="D2330" s="269">
        <f>VLOOKUP(C2330,lookup!$B$2:$F$1240,2)</f>
        <v>0</v>
      </c>
      <c r="E2330" s="271">
        <f>VLOOKUP(C2330,lookup!$B$2:$F$1240,5)</f>
        <v>0</v>
      </c>
    </row>
    <row r="2331" spans="1:5" ht="22.8" x14ac:dyDescent="0.25">
      <c r="A2331" s="169" t="s">
        <v>2515</v>
      </c>
      <c r="C2331" s="106" t="s">
        <v>2544</v>
      </c>
      <c r="D2331" s="269">
        <f>VLOOKUP(C2331,lookup!$B$2:$F$1240,2)</f>
        <v>0</v>
      </c>
      <c r="E2331" s="271">
        <f>VLOOKUP(C2331,lookup!$B$2:$F$1240,5)</f>
        <v>0</v>
      </c>
    </row>
    <row r="2332" spans="1:5" x14ac:dyDescent="0.25">
      <c r="A2332" s="169" t="s">
        <v>2514</v>
      </c>
      <c r="B2332" s="172" t="s">
        <v>2649</v>
      </c>
      <c r="D2332" s="269" t="e">
        <f>VLOOKUP(C2332,lookup!$B$2:$F$1240,2)</f>
        <v>#N/A</v>
      </c>
      <c r="E2332" s="271" t="e">
        <f>VLOOKUP(C2332,lookup!$B$2:$F$1240,5)</f>
        <v>#N/A</v>
      </c>
    </row>
    <row r="2333" spans="1:5" x14ac:dyDescent="0.25">
      <c r="A2333" s="169" t="s">
        <v>2514</v>
      </c>
      <c r="B2333" s="172" t="s">
        <v>259</v>
      </c>
      <c r="D2333" s="269"/>
      <c r="E2333" s="271"/>
    </row>
    <row r="2334" spans="1:5" ht="22.8" x14ac:dyDescent="0.25">
      <c r="A2334" s="169" t="s">
        <v>2514</v>
      </c>
      <c r="C2334" s="106" t="s">
        <v>2710</v>
      </c>
      <c r="D2334" s="269">
        <f>VLOOKUP(C2334,lookup!$B$2:$F$1240,2)</f>
        <v>0</v>
      </c>
      <c r="E2334" s="271">
        <f>VLOOKUP(C2334,lookup!$B$2:$F$1240,5)</f>
        <v>0</v>
      </c>
    </row>
    <row r="2335" spans="1:5" ht="22.8" x14ac:dyDescent="0.25">
      <c r="A2335" s="169" t="s">
        <v>2514</v>
      </c>
      <c r="C2335" s="106" t="s">
        <v>2318</v>
      </c>
      <c r="D2335" s="269">
        <f>VLOOKUP(C2335,lookup!$B$2:$F$1240,2)</f>
        <v>0</v>
      </c>
      <c r="E2335" s="271">
        <f>VLOOKUP(C2335,lookup!$B$2:$F$1240,5)</f>
        <v>0</v>
      </c>
    </row>
    <row r="2336" spans="1:5" x14ac:dyDescent="0.25">
      <c r="A2336" s="169" t="s">
        <v>2500</v>
      </c>
      <c r="B2336" s="171" t="s">
        <v>2330</v>
      </c>
      <c r="C2336" s="119"/>
      <c r="D2336" s="269"/>
      <c r="E2336" s="271"/>
    </row>
    <row r="2337" spans="2:5" x14ac:dyDescent="0.25">
      <c r="C2337" s="106" t="s">
        <v>3105</v>
      </c>
      <c r="D2337" s="269" t="str">
        <f>VLOOKUP(C2337,lookup!$B$2:$F$1240,2)</f>
        <v>ac</v>
      </c>
      <c r="E2337" s="271">
        <f>VLOOKUP(C2337,lookup!$B$2:$F$1240,5)</f>
        <v>110</v>
      </c>
    </row>
    <row r="2338" spans="2:5" x14ac:dyDescent="0.25">
      <c r="B2338" s="174"/>
      <c r="C2338" s="263" t="s">
        <v>3307</v>
      </c>
      <c r="D2338" s="269" t="str">
        <f>VLOOKUP(C2338,lookup!$B$2:$F$1240,2)</f>
        <v>Cu Yd</v>
      </c>
      <c r="E2338" s="271">
        <f>VLOOKUP(C2338,lookup!$B$2:$F$1240,5)</f>
        <v>60</v>
      </c>
    </row>
    <row r="2339" spans="2:5" x14ac:dyDescent="0.25">
      <c r="B2339" s="172"/>
      <c r="C2339" s="166" t="s">
        <v>518</v>
      </c>
      <c r="D2339" s="269" t="str">
        <f>VLOOKUP(C2339,lookup!$B$2:$F$1240,2)</f>
        <v>sq ft</v>
      </c>
      <c r="E2339" s="271">
        <f>VLOOKUP(C2339,lookup!$B$2:$F$1240,5)</f>
        <v>6.5</v>
      </c>
    </row>
    <row r="2340" spans="2:5" x14ac:dyDescent="0.25">
      <c r="C2340" s="106" t="s">
        <v>573</v>
      </c>
      <c r="D2340" s="269">
        <f>VLOOKUP(C2340,lookup!$B$2:$F$1240,2)</f>
        <v>0</v>
      </c>
      <c r="E2340" s="271">
        <f>VLOOKUP(C2340,lookup!$B$2:$F$1240,5)</f>
        <v>0</v>
      </c>
    </row>
    <row r="2341" spans="2:5" x14ac:dyDescent="0.25">
      <c r="C2341" s="109"/>
      <c r="D2341" s="269"/>
      <c r="E2341" s="271"/>
    </row>
    <row r="2342" spans="2:5" x14ac:dyDescent="0.25">
      <c r="D2342" s="269"/>
      <c r="E2342" s="271"/>
    </row>
    <row r="2343" spans="2:5" x14ac:dyDescent="0.25">
      <c r="D2343" s="269"/>
      <c r="E2343" s="271"/>
    </row>
    <row r="2344" spans="2:5" x14ac:dyDescent="0.25">
      <c r="D2344" s="269"/>
      <c r="E2344" s="271"/>
    </row>
    <row r="2345" spans="2:5" x14ac:dyDescent="0.25">
      <c r="D2345" s="269"/>
      <c r="E2345" s="271"/>
    </row>
    <row r="2346" spans="2:5" x14ac:dyDescent="0.25">
      <c r="C2346" s="113"/>
      <c r="D2346" s="269"/>
      <c r="E2346" s="271"/>
    </row>
    <row r="2347" spans="2:5" x14ac:dyDescent="0.25">
      <c r="D2347" s="270"/>
      <c r="E2347" s="270"/>
    </row>
    <row r="2348" spans="2:5" x14ac:dyDescent="0.25">
      <c r="D2348" s="270" t="s">
        <v>544</v>
      </c>
      <c r="E2348" s="270" t="s">
        <v>544</v>
      </c>
    </row>
    <row r="2349" spans="2:5" x14ac:dyDescent="0.25">
      <c r="D2349" s="270" t="s">
        <v>544</v>
      </c>
      <c r="E2349" s="270" t="s">
        <v>544</v>
      </c>
    </row>
    <row r="2350" spans="2:5" x14ac:dyDescent="0.25">
      <c r="D2350" s="270" t="s">
        <v>544</v>
      </c>
      <c r="E2350" s="270" t="s">
        <v>544</v>
      </c>
    </row>
    <row r="2351" spans="2:5" x14ac:dyDescent="0.25">
      <c r="D2351" s="270" t="s">
        <v>544</v>
      </c>
      <c r="E2351" s="270" t="s">
        <v>544</v>
      </c>
    </row>
    <row r="2352" spans="2:5" x14ac:dyDescent="0.25">
      <c r="D2352" s="270" t="s">
        <v>544</v>
      </c>
      <c r="E2352" s="270" t="s">
        <v>544</v>
      </c>
    </row>
    <row r="2353" spans="3:5" x14ac:dyDescent="0.25">
      <c r="D2353" s="270"/>
      <c r="E2353" s="270"/>
    </row>
    <row r="2354" spans="3:5" x14ac:dyDescent="0.25">
      <c r="D2354" s="270"/>
      <c r="E2354" s="270"/>
    </row>
    <row r="2355" spans="3:5" x14ac:dyDescent="0.25">
      <c r="D2355" s="270" t="s">
        <v>544</v>
      </c>
      <c r="E2355" s="270" t="s">
        <v>544</v>
      </c>
    </row>
    <row r="2356" spans="3:5" x14ac:dyDescent="0.25">
      <c r="D2356" s="270" t="s">
        <v>544</v>
      </c>
      <c r="E2356" s="270" t="s">
        <v>544</v>
      </c>
    </row>
    <row r="2357" spans="3:5" x14ac:dyDescent="0.25">
      <c r="D2357" s="270" t="s">
        <v>544</v>
      </c>
      <c r="E2357" s="270" t="s">
        <v>544</v>
      </c>
    </row>
    <row r="2358" spans="3:5" x14ac:dyDescent="0.25">
      <c r="D2358" s="270" t="s">
        <v>544</v>
      </c>
      <c r="E2358" s="270" t="s">
        <v>544</v>
      </c>
    </row>
    <row r="2359" spans="3:5" x14ac:dyDescent="0.25">
      <c r="D2359" s="270" t="s">
        <v>544</v>
      </c>
      <c r="E2359" s="270" t="s">
        <v>544</v>
      </c>
    </row>
    <row r="2360" spans="3:5" x14ac:dyDescent="0.25">
      <c r="D2360" s="270" t="s">
        <v>544</v>
      </c>
      <c r="E2360" s="270" t="s">
        <v>544</v>
      </c>
    </row>
    <row r="2361" spans="3:5" x14ac:dyDescent="0.25">
      <c r="D2361" s="270" t="s">
        <v>544</v>
      </c>
      <c r="E2361" s="270" t="s">
        <v>544</v>
      </c>
    </row>
    <row r="2362" spans="3:5" x14ac:dyDescent="0.25">
      <c r="D2362" s="270"/>
      <c r="E2362" s="270"/>
    </row>
    <row r="2363" spans="3:5" x14ac:dyDescent="0.25">
      <c r="C2363" s="25"/>
      <c r="D2363" s="270"/>
      <c r="E2363" s="270"/>
    </row>
    <row r="2364" spans="3:5" x14ac:dyDescent="0.25">
      <c r="C2364" s="25"/>
      <c r="D2364" s="270"/>
      <c r="E2364" s="270"/>
    </row>
    <row r="2365" spans="3:5" x14ac:dyDescent="0.25">
      <c r="D2365" s="270" t="s">
        <v>544</v>
      </c>
      <c r="E2365" s="270" t="s">
        <v>544</v>
      </c>
    </row>
    <row r="2366" spans="3:5" x14ac:dyDescent="0.25">
      <c r="D2366" s="270" t="s">
        <v>544</v>
      </c>
      <c r="E2366" s="270" t="s">
        <v>544</v>
      </c>
    </row>
    <row r="2367" spans="3:5" x14ac:dyDescent="0.25">
      <c r="D2367" s="270" t="s">
        <v>544</v>
      </c>
      <c r="E2367" s="270" t="s">
        <v>544</v>
      </c>
    </row>
    <row r="2368" spans="3:5" x14ac:dyDescent="0.25">
      <c r="D2368" s="270" t="s">
        <v>544</v>
      </c>
      <c r="E2368" s="270" t="s">
        <v>544</v>
      </c>
    </row>
    <row r="2369" spans="3:5" x14ac:dyDescent="0.25">
      <c r="D2369" s="270" t="s">
        <v>544</v>
      </c>
      <c r="E2369" s="270" t="s">
        <v>544</v>
      </c>
    </row>
    <row r="2370" spans="3:5" x14ac:dyDescent="0.25">
      <c r="D2370" s="270" t="s">
        <v>544</v>
      </c>
      <c r="E2370" s="270" t="s">
        <v>544</v>
      </c>
    </row>
    <row r="2371" spans="3:5" x14ac:dyDescent="0.25">
      <c r="D2371" s="270" t="s">
        <v>544</v>
      </c>
      <c r="E2371" s="270" t="s">
        <v>544</v>
      </c>
    </row>
    <row r="2372" spans="3:5" x14ac:dyDescent="0.25">
      <c r="D2372" s="270" t="s">
        <v>544</v>
      </c>
      <c r="E2372" s="270" t="s">
        <v>544</v>
      </c>
    </row>
    <row r="2373" spans="3:5" x14ac:dyDescent="0.25">
      <c r="D2373" s="270" t="s">
        <v>544</v>
      </c>
      <c r="E2373" s="270" t="s">
        <v>544</v>
      </c>
    </row>
    <row r="2374" spans="3:5" x14ac:dyDescent="0.25">
      <c r="D2374" s="270" t="s">
        <v>544</v>
      </c>
      <c r="E2374" s="270" t="s">
        <v>544</v>
      </c>
    </row>
    <row r="2375" spans="3:5" x14ac:dyDescent="0.25">
      <c r="D2375" s="270" t="s">
        <v>544</v>
      </c>
      <c r="E2375" s="270" t="s">
        <v>544</v>
      </c>
    </row>
    <row r="2376" spans="3:5" x14ac:dyDescent="0.25">
      <c r="D2376" s="270"/>
      <c r="E2376" s="270"/>
    </row>
    <row r="2377" spans="3:5" x14ac:dyDescent="0.25">
      <c r="C2377" s="109"/>
      <c r="D2377" s="270"/>
      <c r="E2377" s="270"/>
    </row>
    <row r="2378" spans="3:5" x14ac:dyDescent="0.25">
      <c r="D2378" s="270" t="s">
        <v>544</v>
      </c>
      <c r="E2378" s="270" t="s">
        <v>544</v>
      </c>
    </row>
    <row r="2379" spans="3:5" x14ac:dyDescent="0.25">
      <c r="D2379" s="270" t="s">
        <v>544</v>
      </c>
      <c r="E2379" s="270" t="s">
        <v>544</v>
      </c>
    </row>
    <row r="2380" spans="3:5" x14ac:dyDescent="0.25">
      <c r="D2380" s="270" t="s">
        <v>544</v>
      </c>
      <c r="E2380" s="270" t="s">
        <v>544</v>
      </c>
    </row>
    <row r="2381" spans="3:5" x14ac:dyDescent="0.25">
      <c r="D2381" s="270" t="s">
        <v>544</v>
      </c>
      <c r="E2381" s="270" t="s">
        <v>544</v>
      </c>
    </row>
    <row r="2382" spans="3:5" x14ac:dyDescent="0.25">
      <c r="D2382" s="270" t="s">
        <v>544</v>
      </c>
      <c r="E2382" s="270" t="s">
        <v>544</v>
      </c>
    </row>
    <row r="2383" spans="3:5" x14ac:dyDescent="0.25">
      <c r="C2383" s="109"/>
      <c r="D2383" s="270"/>
      <c r="E2383" s="270"/>
    </row>
    <row r="2384" spans="3:5" x14ac:dyDescent="0.25">
      <c r="D2384" s="270" t="s">
        <v>544</v>
      </c>
      <c r="E2384" s="270" t="s">
        <v>544</v>
      </c>
    </row>
    <row r="2385" spans="3:5" x14ac:dyDescent="0.25">
      <c r="D2385" s="270"/>
      <c r="E2385" s="270"/>
    </row>
    <row r="2386" spans="3:5" x14ac:dyDescent="0.25">
      <c r="D2386" s="270" t="s">
        <v>544</v>
      </c>
      <c r="E2386" s="270" t="s">
        <v>544</v>
      </c>
    </row>
    <row r="2387" spans="3:5" x14ac:dyDescent="0.25">
      <c r="D2387" s="270" t="s">
        <v>544</v>
      </c>
      <c r="E2387" s="270" t="s">
        <v>544</v>
      </c>
    </row>
    <row r="2388" spans="3:5" x14ac:dyDescent="0.25">
      <c r="D2388" s="270" t="s">
        <v>544</v>
      </c>
      <c r="E2388" s="270" t="s">
        <v>544</v>
      </c>
    </row>
    <row r="2389" spans="3:5" x14ac:dyDescent="0.25">
      <c r="D2389" s="270" t="s">
        <v>544</v>
      </c>
      <c r="E2389" s="270" t="s">
        <v>544</v>
      </c>
    </row>
    <row r="2390" spans="3:5" x14ac:dyDescent="0.25">
      <c r="D2390" s="270" t="s">
        <v>544</v>
      </c>
      <c r="E2390" s="270" t="s">
        <v>544</v>
      </c>
    </row>
    <row r="2391" spans="3:5" x14ac:dyDescent="0.25">
      <c r="D2391" s="270" t="s">
        <v>544</v>
      </c>
      <c r="E2391" s="270" t="s">
        <v>544</v>
      </c>
    </row>
    <row r="2392" spans="3:5" x14ac:dyDescent="0.25">
      <c r="D2392" s="270" t="s">
        <v>544</v>
      </c>
      <c r="E2392" s="270" t="s">
        <v>544</v>
      </c>
    </row>
    <row r="2393" spans="3:5" x14ac:dyDescent="0.25">
      <c r="D2393" s="270" t="s">
        <v>544</v>
      </c>
      <c r="E2393" s="270" t="s">
        <v>544</v>
      </c>
    </row>
    <row r="2394" spans="3:5" x14ac:dyDescent="0.25">
      <c r="D2394" s="270" t="s">
        <v>544</v>
      </c>
      <c r="E2394" s="270" t="s">
        <v>544</v>
      </c>
    </row>
    <row r="2395" spans="3:5" x14ac:dyDescent="0.25">
      <c r="D2395" s="270"/>
      <c r="E2395" s="270"/>
    </row>
    <row r="2396" spans="3:5" x14ac:dyDescent="0.25">
      <c r="D2396" s="270"/>
      <c r="E2396" s="270"/>
    </row>
    <row r="2397" spans="3:5" x14ac:dyDescent="0.25">
      <c r="D2397" s="270" t="s">
        <v>544</v>
      </c>
      <c r="E2397" s="270" t="s">
        <v>544</v>
      </c>
    </row>
    <row r="2398" spans="3:5" x14ac:dyDescent="0.25">
      <c r="D2398" s="270" t="s">
        <v>544</v>
      </c>
      <c r="E2398" s="270" t="s">
        <v>544</v>
      </c>
    </row>
    <row r="2399" spans="3:5" x14ac:dyDescent="0.25">
      <c r="C2399" s="108"/>
      <c r="D2399" s="131"/>
    </row>
    <row r="2400" spans="3:5" x14ac:dyDescent="0.25">
      <c r="C2400" s="113"/>
      <c r="D2400" s="270"/>
      <c r="E2400" s="270"/>
    </row>
    <row r="2401" spans="3:5" x14ac:dyDescent="0.25">
      <c r="C2401" s="113"/>
      <c r="D2401" s="270"/>
      <c r="E2401" s="270"/>
    </row>
    <row r="2402" spans="3:5" x14ac:dyDescent="0.25">
      <c r="C2402" s="113"/>
      <c r="D2402" s="270"/>
      <c r="E2402" s="270"/>
    </row>
    <row r="2403" spans="3:5" x14ac:dyDescent="0.25">
      <c r="C2403" s="113"/>
      <c r="D2403" s="270"/>
      <c r="E2403" s="270"/>
    </row>
    <row r="2404" spans="3:5" x14ac:dyDescent="0.25">
      <c r="D2404" s="270" t="s">
        <v>544</v>
      </c>
      <c r="E2404" s="270" t="s">
        <v>544</v>
      </c>
    </row>
    <row r="2405" spans="3:5" x14ac:dyDescent="0.25">
      <c r="C2405" s="109"/>
      <c r="D2405" s="270" t="s">
        <v>544</v>
      </c>
      <c r="E2405" s="270" t="s">
        <v>544</v>
      </c>
    </row>
    <row r="2406" spans="3:5" x14ac:dyDescent="0.25">
      <c r="D2406" s="270"/>
      <c r="E2406" s="270"/>
    </row>
    <row r="2407" spans="3:5" x14ac:dyDescent="0.25">
      <c r="D2407" s="270" t="s">
        <v>544</v>
      </c>
      <c r="E2407" s="270" t="s">
        <v>544</v>
      </c>
    </row>
    <row r="2408" spans="3:5" x14ac:dyDescent="0.25">
      <c r="D2408" s="270" t="s">
        <v>544</v>
      </c>
      <c r="E2408" s="270" t="s">
        <v>544</v>
      </c>
    </row>
    <row r="2409" spans="3:5" x14ac:dyDescent="0.25">
      <c r="D2409" s="270" t="s">
        <v>544</v>
      </c>
      <c r="E2409" s="270" t="s">
        <v>544</v>
      </c>
    </row>
    <row r="2410" spans="3:5" x14ac:dyDescent="0.25">
      <c r="D2410" s="270" t="s">
        <v>544</v>
      </c>
      <c r="E2410" s="270" t="s">
        <v>544</v>
      </c>
    </row>
    <row r="2411" spans="3:5" x14ac:dyDescent="0.25">
      <c r="D2411" s="270" t="s">
        <v>544</v>
      </c>
      <c r="E2411" s="270" t="s">
        <v>544</v>
      </c>
    </row>
    <row r="2412" spans="3:5" x14ac:dyDescent="0.25">
      <c r="D2412" s="270" t="s">
        <v>544</v>
      </c>
      <c r="E2412" s="270" t="s">
        <v>544</v>
      </c>
    </row>
    <row r="2413" spans="3:5" x14ac:dyDescent="0.25">
      <c r="D2413" s="270" t="s">
        <v>544</v>
      </c>
      <c r="E2413" s="270" t="s">
        <v>544</v>
      </c>
    </row>
    <row r="2414" spans="3:5" x14ac:dyDescent="0.25">
      <c r="D2414" s="270" t="s">
        <v>544</v>
      </c>
      <c r="E2414" s="270" t="s">
        <v>544</v>
      </c>
    </row>
    <row r="2415" spans="3:5" x14ac:dyDescent="0.25">
      <c r="D2415" s="270" t="s">
        <v>544</v>
      </c>
      <c r="E2415" s="270" t="s">
        <v>544</v>
      </c>
    </row>
    <row r="2416" spans="3:5" x14ac:dyDescent="0.25">
      <c r="D2416" s="270" t="s">
        <v>544</v>
      </c>
      <c r="E2416" s="270" t="s">
        <v>544</v>
      </c>
    </row>
  </sheetData>
  <sortState ref="A2:F2450">
    <sortCondition ref="A2:A2450"/>
    <sortCondition ref="B2:B2450"/>
  </sortState>
  <phoneticPr fontId="6"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5"/>
  <sheetViews>
    <sheetView workbookViewId="0">
      <selection activeCell="C17" sqref="C17"/>
    </sheetView>
  </sheetViews>
  <sheetFormatPr defaultRowHeight="13.2" x14ac:dyDescent="0.25"/>
  <cols>
    <col min="1" max="1" width="61.109375" customWidth="1"/>
    <col min="2" max="2" width="11.5546875" customWidth="1"/>
    <col min="3" max="3" width="13.44140625" customWidth="1"/>
  </cols>
  <sheetData>
    <row r="1" spans="1:3" ht="15.6" x14ac:dyDescent="0.3">
      <c r="A1" s="69" t="s">
        <v>570</v>
      </c>
    </row>
    <row r="2" spans="1:3" x14ac:dyDescent="0.25">
      <c r="A2" s="48" t="s">
        <v>2251</v>
      </c>
      <c r="B2" s="48"/>
      <c r="C2" s="48"/>
    </row>
    <row r="3" spans="1:3" x14ac:dyDescent="0.25">
      <c r="A3" s="26" t="s">
        <v>1996</v>
      </c>
      <c r="B3" s="31" t="s">
        <v>1711</v>
      </c>
      <c r="C3" s="30">
        <v>75</v>
      </c>
    </row>
    <row r="4" spans="1:3" x14ac:dyDescent="0.25">
      <c r="A4" s="26" t="s">
        <v>1997</v>
      </c>
      <c r="B4" s="31" t="s">
        <v>1711</v>
      </c>
      <c r="C4" s="30">
        <v>75</v>
      </c>
    </row>
    <row r="5" spans="1:3" x14ac:dyDescent="0.25">
      <c r="A5" s="26" t="s">
        <v>1998</v>
      </c>
      <c r="B5" s="31" t="s">
        <v>1711</v>
      </c>
      <c r="C5" s="30">
        <v>75</v>
      </c>
    </row>
    <row r="6" spans="1:3" x14ac:dyDescent="0.25">
      <c r="A6" s="26" t="s">
        <v>1999</v>
      </c>
      <c r="B6" s="31" t="s">
        <v>1711</v>
      </c>
      <c r="C6" s="30">
        <v>45</v>
      </c>
    </row>
    <row r="7" spans="1:3" x14ac:dyDescent="0.25">
      <c r="A7" s="26" t="s">
        <v>2786</v>
      </c>
      <c r="B7" s="31" t="s">
        <v>1711</v>
      </c>
      <c r="C7" s="30">
        <v>60</v>
      </c>
    </row>
    <row r="8" spans="1:3" x14ac:dyDescent="0.25">
      <c r="A8" s="26" t="s">
        <v>2784</v>
      </c>
      <c r="B8" s="31" t="s">
        <v>1711</v>
      </c>
      <c r="C8" s="30">
        <v>64</v>
      </c>
    </row>
    <row r="9" spans="1:3" x14ac:dyDescent="0.25">
      <c r="A9" s="29" t="s">
        <v>251</v>
      </c>
      <c r="B9" s="34" t="s">
        <v>2734</v>
      </c>
      <c r="C9" s="30">
        <v>1400</v>
      </c>
    </row>
    <row r="10" spans="1:3" x14ac:dyDescent="0.25">
      <c r="A10" s="29" t="s">
        <v>253</v>
      </c>
      <c r="B10" s="34" t="s">
        <v>2734</v>
      </c>
      <c r="C10" s="30">
        <v>2000</v>
      </c>
    </row>
    <row r="11" spans="1:3" x14ac:dyDescent="0.25">
      <c r="A11" s="29" t="s">
        <v>254</v>
      </c>
      <c r="B11" s="34" t="s">
        <v>2734</v>
      </c>
      <c r="C11" s="30">
        <v>2150</v>
      </c>
    </row>
    <row r="12" spans="1:3" x14ac:dyDescent="0.25">
      <c r="A12" s="29" t="s">
        <v>255</v>
      </c>
      <c r="B12" s="34" t="s">
        <v>2734</v>
      </c>
      <c r="C12" s="30">
        <v>2400</v>
      </c>
    </row>
    <row r="13" spans="1:3" x14ac:dyDescent="0.25">
      <c r="A13" s="29" t="s">
        <v>256</v>
      </c>
      <c r="B13" s="34" t="s">
        <v>2734</v>
      </c>
      <c r="C13" s="30">
        <v>2500</v>
      </c>
    </row>
    <row r="14" spans="1:3" x14ac:dyDescent="0.25">
      <c r="A14" s="29" t="s">
        <v>233</v>
      </c>
      <c r="B14" s="34" t="s">
        <v>2734</v>
      </c>
      <c r="C14" s="30">
        <v>2800</v>
      </c>
    </row>
    <row r="15" spans="1:3" x14ac:dyDescent="0.25">
      <c r="A15" s="26" t="s">
        <v>2861</v>
      </c>
      <c r="B15" s="31" t="s">
        <v>1732</v>
      </c>
      <c r="C15" s="30">
        <v>9000</v>
      </c>
    </row>
    <row r="16" spans="1:3" x14ac:dyDescent="0.25">
      <c r="A16" s="27" t="s">
        <v>2862</v>
      </c>
      <c r="B16" s="31" t="s">
        <v>1732</v>
      </c>
      <c r="C16" s="30">
        <v>14000</v>
      </c>
    </row>
    <row r="17" spans="1:3" x14ac:dyDescent="0.25">
      <c r="A17" s="27" t="s">
        <v>1306</v>
      </c>
      <c r="B17" s="31" t="s">
        <v>1732</v>
      </c>
      <c r="C17" s="30">
        <v>24000</v>
      </c>
    </row>
    <row r="18" spans="1:3" x14ac:dyDescent="0.25">
      <c r="A18" s="26" t="s">
        <v>1710</v>
      </c>
      <c r="B18" s="31" t="s">
        <v>1711</v>
      </c>
      <c r="C18" s="30">
        <v>200</v>
      </c>
    </row>
    <row r="19" spans="1:3" x14ac:dyDescent="0.25">
      <c r="A19" s="26" t="s">
        <v>1712</v>
      </c>
      <c r="B19" s="31" t="s">
        <v>1711</v>
      </c>
      <c r="C19" s="30">
        <v>300</v>
      </c>
    </row>
    <row r="20" spans="1:3" x14ac:dyDescent="0.25">
      <c r="A20" s="27" t="s">
        <v>1713</v>
      </c>
      <c r="B20" s="31" t="s">
        <v>1711</v>
      </c>
      <c r="C20" s="30">
        <v>350</v>
      </c>
    </row>
    <row r="21" spans="1:3" ht="24" x14ac:dyDescent="0.25">
      <c r="A21" s="26" t="s">
        <v>979</v>
      </c>
      <c r="B21" s="34" t="s">
        <v>1711</v>
      </c>
      <c r="C21" s="30">
        <v>21</v>
      </c>
    </row>
    <row r="22" spans="1:3" x14ac:dyDescent="0.25">
      <c r="A22" s="26" t="s">
        <v>981</v>
      </c>
      <c r="B22" s="34" t="s">
        <v>2734</v>
      </c>
      <c r="C22" s="30">
        <v>250</v>
      </c>
    </row>
    <row r="23" spans="1:3" x14ac:dyDescent="0.25">
      <c r="A23" s="27" t="s">
        <v>982</v>
      </c>
      <c r="B23" s="31" t="s">
        <v>1714</v>
      </c>
      <c r="C23" s="30">
        <v>3</v>
      </c>
    </row>
    <row r="24" spans="1:3" ht="24" x14ac:dyDescent="0.25">
      <c r="A24" s="26" t="s">
        <v>2572</v>
      </c>
      <c r="B24" s="31" t="s">
        <v>1714</v>
      </c>
      <c r="C24" s="30">
        <v>3.2</v>
      </c>
    </row>
    <row r="25" spans="1:3" ht="24" x14ac:dyDescent="0.25">
      <c r="A25" s="26" t="s">
        <v>1176</v>
      </c>
      <c r="B25" s="31" t="s">
        <v>1037</v>
      </c>
      <c r="C25" s="30">
        <v>450</v>
      </c>
    </row>
    <row r="26" spans="1:3" ht="24" x14ac:dyDescent="0.25">
      <c r="A26" s="35" t="s">
        <v>2651</v>
      </c>
      <c r="B26" s="36" t="s">
        <v>399</v>
      </c>
      <c r="C26" s="38">
        <v>3.35</v>
      </c>
    </row>
    <row r="27" spans="1:3" ht="24" x14ac:dyDescent="0.25">
      <c r="A27" s="35" t="s">
        <v>2201</v>
      </c>
      <c r="B27" s="36" t="s">
        <v>399</v>
      </c>
      <c r="C27" s="38">
        <v>4.6399999999999997</v>
      </c>
    </row>
    <row r="28" spans="1:3" ht="24" x14ac:dyDescent="0.25">
      <c r="A28" s="35" t="s">
        <v>2650</v>
      </c>
      <c r="B28" s="36" t="s">
        <v>399</v>
      </c>
      <c r="C28" s="38">
        <v>3.15</v>
      </c>
    </row>
    <row r="29" spans="1:3" ht="24" x14ac:dyDescent="0.25">
      <c r="A29" s="35" t="s">
        <v>2200</v>
      </c>
      <c r="B29" s="36" t="s">
        <v>399</v>
      </c>
      <c r="C29" s="38">
        <v>4.2</v>
      </c>
    </row>
    <row r="30" spans="1:3" ht="24" x14ac:dyDescent="0.25">
      <c r="A30" s="35" t="s">
        <v>1635</v>
      </c>
      <c r="B30" s="36" t="s">
        <v>1802</v>
      </c>
      <c r="C30" s="37">
        <v>8.35</v>
      </c>
    </row>
    <row r="31" spans="1:3" ht="24" x14ac:dyDescent="0.25">
      <c r="A31" s="35" t="s">
        <v>1633</v>
      </c>
      <c r="B31" s="36" t="s">
        <v>1802</v>
      </c>
      <c r="C31" s="38">
        <v>4.32</v>
      </c>
    </row>
    <row r="32" spans="1:3" ht="24" x14ac:dyDescent="0.25">
      <c r="A32" s="35" t="s">
        <v>1634</v>
      </c>
      <c r="B32" s="36" t="s">
        <v>1802</v>
      </c>
      <c r="C32" s="38">
        <v>6.3</v>
      </c>
    </row>
    <row r="33" spans="1:3" ht="24" x14ac:dyDescent="0.25">
      <c r="A33" s="35" t="s">
        <v>1628</v>
      </c>
      <c r="B33" s="36" t="s">
        <v>1802</v>
      </c>
      <c r="C33" s="38">
        <v>3.78</v>
      </c>
    </row>
    <row r="34" spans="1:3" ht="24" x14ac:dyDescent="0.25">
      <c r="A34" s="35" t="s">
        <v>1632</v>
      </c>
      <c r="B34" s="36" t="s">
        <v>1802</v>
      </c>
      <c r="C34" s="38">
        <v>15.25</v>
      </c>
    </row>
    <row r="35" spans="1:3" ht="24" x14ac:dyDescent="0.25">
      <c r="A35" s="35" t="s">
        <v>1630</v>
      </c>
      <c r="B35" s="36" t="s">
        <v>1802</v>
      </c>
      <c r="C35" s="37">
        <v>5.55</v>
      </c>
    </row>
    <row r="36" spans="1:3" ht="24" x14ac:dyDescent="0.25">
      <c r="A36" s="35" t="s">
        <v>1631</v>
      </c>
      <c r="B36" s="36" t="s">
        <v>1802</v>
      </c>
      <c r="C36" s="37">
        <v>7.95</v>
      </c>
    </row>
    <row r="37" spans="1:3" ht="24" x14ac:dyDescent="0.25">
      <c r="A37" s="35" t="s">
        <v>1642</v>
      </c>
      <c r="B37" s="36" t="s">
        <v>1802</v>
      </c>
      <c r="C37" s="37">
        <v>1.1100000000000001</v>
      </c>
    </row>
    <row r="38" spans="1:3" ht="24" x14ac:dyDescent="0.25">
      <c r="A38" s="35" t="s">
        <v>1629</v>
      </c>
      <c r="B38" s="36" t="s">
        <v>1802</v>
      </c>
      <c r="C38" s="38">
        <v>6.75</v>
      </c>
    </row>
    <row r="39" spans="1:3" x14ac:dyDescent="0.25">
      <c r="A39" s="26" t="s">
        <v>2798</v>
      </c>
      <c r="B39" s="31" t="s">
        <v>1715</v>
      </c>
      <c r="C39" s="30">
        <v>1400</v>
      </c>
    </row>
    <row r="40" spans="1:3" x14ac:dyDescent="0.25">
      <c r="A40" s="26" t="s">
        <v>2799</v>
      </c>
      <c r="B40" s="31" t="s">
        <v>1715</v>
      </c>
      <c r="C40" s="30">
        <v>1400</v>
      </c>
    </row>
    <row r="41" spans="1:3" x14ac:dyDescent="0.25">
      <c r="A41" s="26" t="s">
        <v>2177</v>
      </c>
      <c r="B41" s="31" t="s">
        <v>1715</v>
      </c>
      <c r="C41" s="30">
        <v>1600</v>
      </c>
    </row>
    <row r="42" spans="1:3" x14ac:dyDescent="0.25">
      <c r="A42" s="26" t="s">
        <v>2178</v>
      </c>
      <c r="B42" s="31" t="s">
        <v>1715</v>
      </c>
      <c r="C42" s="30">
        <v>3200</v>
      </c>
    </row>
    <row r="43" spans="1:3" x14ac:dyDescent="0.25">
      <c r="A43" s="26" t="s">
        <v>2179</v>
      </c>
      <c r="B43" s="31" t="s">
        <v>1715</v>
      </c>
      <c r="C43" s="30">
        <v>3000</v>
      </c>
    </row>
    <row r="44" spans="1:3" x14ac:dyDescent="0.25">
      <c r="A44" s="26" t="s">
        <v>2180</v>
      </c>
      <c r="B44" s="31" t="s">
        <v>1715</v>
      </c>
      <c r="C44" s="30">
        <v>1300</v>
      </c>
    </row>
    <row r="45" spans="1:3" x14ac:dyDescent="0.25">
      <c r="A45" s="26" t="s">
        <v>2181</v>
      </c>
      <c r="B45" s="31" t="s">
        <v>1715</v>
      </c>
      <c r="C45" s="30">
        <v>4600</v>
      </c>
    </row>
    <row r="46" spans="1:3" x14ac:dyDescent="0.25">
      <c r="A46" s="26" t="s">
        <v>2704</v>
      </c>
      <c r="B46" s="31" t="s">
        <v>252</v>
      </c>
      <c r="C46" s="30">
        <v>1500</v>
      </c>
    </row>
    <row r="47" spans="1:3" x14ac:dyDescent="0.25">
      <c r="A47" s="26" t="s">
        <v>1694</v>
      </c>
      <c r="B47" s="30" t="s">
        <v>1388</v>
      </c>
      <c r="C47" s="32">
        <v>1.6</v>
      </c>
    </row>
    <row r="48" spans="1:3" x14ac:dyDescent="0.25">
      <c r="A48" s="26" t="s">
        <v>1695</v>
      </c>
      <c r="B48" s="30" t="s">
        <v>1732</v>
      </c>
      <c r="C48" s="32">
        <v>225</v>
      </c>
    </row>
    <row r="49" spans="1:3" x14ac:dyDescent="0.25">
      <c r="A49" s="26" t="s">
        <v>2578</v>
      </c>
      <c r="B49" s="34" t="s">
        <v>2790</v>
      </c>
      <c r="C49" s="30">
        <v>4000</v>
      </c>
    </row>
    <row r="50" spans="1:3" x14ac:dyDescent="0.25">
      <c r="A50" s="26" t="s">
        <v>1105</v>
      </c>
      <c r="B50" s="34" t="s">
        <v>2790</v>
      </c>
      <c r="C50" s="30">
        <v>5000</v>
      </c>
    </row>
    <row r="51" spans="1:3" x14ac:dyDescent="0.25">
      <c r="A51" s="26" t="s">
        <v>694</v>
      </c>
      <c r="B51" s="34" t="s">
        <v>2790</v>
      </c>
      <c r="C51" s="30">
        <v>6000</v>
      </c>
    </row>
    <row r="52" spans="1:3" ht="24" x14ac:dyDescent="0.25">
      <c r="A52" s="26" t="s">
        <v>1716</v>
      </c>
      <c r="B52" s="31" t="s">
        <v>1711</v>
      </c>
      <c r="C52" s="30">
        <v>170</v>
      </c>
    </row>
    <row r="53" spans="1:3" x14ac:dyDescent="0.25">
      <c r="A53" s="27" t="s">
        <v>1717</v>
      </c>
      <c r="B53" s="31" t="s">
        <v>1711</v>
      </c>
      <c r="C53" s="30">
        <v>250</v>
      </c>
    </row>
    <row r="54" spans="1:3" x14ac:dyDescent="0.25">
      <c r="A54" s="27" t="s">
        <v>2204</v>
      </c>
      <c r="B54" s="31" t="s">
        <v>1711</v>
      </c>
      <c r="C54" s="30">
        <v>350</v>
      </c>
    </row>
    <row r="55" spans="1:3" x14ac:dyDescent="0.25">
      <c r="A55" s="27" t="s">
        <v>2205</v>
      </c>
      <c r="B55" s="31" t="s">
        <v>1711</v>
      </c>
      <c r="C55" s="30">
        <v>400</v>
      </c>
    </row>
  </sheetData>
  <phoneticPr fontId="6"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53"/>
  <sheetViews>
    <sheetView workbookViewId="0">
      <selection activeCell="A1458" sqref="A1458"/>
    </sheetView>
  </sheetViews>
  <sheetFormatPr defaultRowHeight="13.2" x14ac:dyDescent="0.25"/>
  <cols>
    <col min="1" max="1" width="55.44140625" style="52" customWidth="1"/>
    <col min="2" max="2" width="15.44140625" style="58" customWidth="1"/>
    <col min="3" max="3" width="13.33203125" style="58" customWidth="1"/>
    <col min="4" max="4" width="13.44140625" style="58" customWidth="1"/>
    <col min="5" max="5" width="18.109375" style="82" customWidth="1"/>
    <col min="7" max="7" width="13.44140625" customWidth="1"/>
    <col min="8" max="8" width="15.109375" customWidth="1"/>
  </cols>
  <sheetData>
    <row r="1" spans="1:4" x14ac:dyDescent="0.25">
      <c r="B1" s="567" t="s">
        <v>2145</v>
      </c>
      <c r="C1" s="567"/>
      <c r="D1" s="83"/>
    </row>
    <row r="2" spans="1:4" x14ac:dyDescent="0.25">
      <c r="A2" s="88" t="s">
        <v>2142</v>
      </c>
      <c r="B2" s="83" t="s">
        <v>605</v>
      </c>
      <c r="C2" s="84" t="s">
        <v>1380</v>
      </c>
      <c r="D2" s="83"/>
    </row>
    <row r="3" spans="1:4" x14ac:dyDescent="0.25">
      <c r="A3" s="87" t="s">
        <v>2143</v>
      </c>
      <c r="B3" s="83" t="s">
        <v>1715</v>
      </c>
      <c r="C3" s="84" t="s">
        <v>2834</v>
      </c>
      <c r="D3" s="83"/>
    </row>
    <row r="4" spans="1:4" x14ac:dyDescent="0.25">
      <c r="A4" s="87"/>
      <c r="B4" s="83" t="s">
        <v>174</v>
      </c>
      <c r="C4" s="84" t="s">
        <v>566</v>
      </c>
      <c r="D4" s="83"/>
    </row>
    <row r="5" spans="1:4" x14ac:dyDescent="0.25">
      <c r="A5" s="87" t="s">
        <v>2144</v>
      </c>
      <c r="B5" s="83" t="s">
        <v>1732</v>
      </c>
      <c r="C5" s="84" t="s">
        <v>2734</v>
      </c>
      <c r="D5" s="83"/>
    </row>
    <row r="6" spans="1:4" x14ac:dyDescent="0.25">
      <c r="A6" s="87"/>
      <c r="B6" s="85" t="s">
        <v>1388</v>
      </c>
      <c r="C6" s="84" t="s">
        <v>567</v>
      </c>
      <c r="D6" s="83"/>
    </row>
    <row r="7" spans="1:4" x14ac:dyDescent="0.25">
      <c r="B7" s="83" t="s">
        <v>2206</v>
      </c>
      <c r="C7" s="84" t="s">
        <v>2839</v>
      </c>
      <c r="D7" s="83"/>
    </row>
    <row r="8" spans="1:4" x14ac:dyDescent="0.25">
      <c r="B8" s="83" t="s">
        <v>1036</v>
      </c>
      <c r="C8" s="84" t="s">
        <v>1304</v>
      </c>
      <c r="D8" s="83"/>
    </row>
    <row r="9" spans="1:4" x14ac:dyDescent="0.25">
      <c r="A9" s="89" t="s">
        <v>2146</v>
      </c>
      <c r="B9" s="83" t="s">
        <v>745</v>
      </c>
      <c r="C9" s="84" t="s">
        <v>2366</v>
      </c>
      <c r="D9" s="83"/>
    </row>
    <row r="10" spans="1:4" x14ac:dyDescent="0.25">
      <c r="A10" s="89" t="s">
        <v>2858</v>
      </c>
      <c r="B10" s="83" t="s">
        <v>603</v>
      </c>
      <c r="C10" s="84" t="s">
        <v>175</v>
      </c>
      <c r="D10" s="83"/>
    </row>
    <row r="11" spans="1:4" x14ac:dyDescent="0.25">
      <c r="A11" s="89" t="s">
        <v>2147</v>
      </c>
      <c r="B11" s="83" t="s">
        <v>2108</v>
      </c>
      <c r="C11" s="84" t="s">
        <v>1305</v>
      </c>
      <c r="D11" s="83"/>
    </row>
    <row r="12" spans="1:4" x14ac:dyDescent="0.25">
      <c r="B12" s="83" t="s">
        <v>604</v>
      </c>
      <c r="C12" s="86" t="s">
        <v>1516</v>
      </c>
      <c r="D12" s="83"/>
    </row>
    <row r="13" spans="1:4" x14ac:dyDescent="0.25">
      <c r="B13" s="83" t="s">
        <v>1802</v>
      </c>
      <c r="C13" s="84" t="s">
        <v>176</v>
      </c>
      <c r="D13" s="83"/>
    </row>
    <row r="14" spans="1:4" x14ac:dyDescent="0.25">
      <c r="B14" s="85" t="s">
        <v>478</v>
      </c>
      <c r="C14" s="84" t="s">
        <v>478</v>
      </c>
      <c r="D14" s="83"/>
    </row>
    <row r="15" spans="1:4" x14ac:dyDescent="0.25">
      <c r="B15" s="83" t="s">
        <v>1643</v>
      </c>
      <c r="C15" s="84" t="s">
        <v>1644</v>
      </c>
      <c r="D15" s="83"/>
    </row>
    <row r="16" spans="1:4" x14ac:dyDescent="0.25">
      <c r="B16" s="83" t="s">
        <v>1175</v>
      </c>
      <c r="C16" s="84" t="s">
        <v>1175</v>
      </c>
      <c r="D16" s="83"/>
    </row>
    <row r="17" spans="1:4" x14ac:dyDescent="0.25">
      <c r="B17" s="83" t="s">
        <v>399</v>
      </c>
      <c r="C17" s="84" t="s">
        <v>568</v>
      </c>
      <c r="D17" s="83"/>
    </row>
    <row r="18" spans="1:4" x14ac:dyDescent="0.25">
      <c r="B18" s="65"/>
      <c r="C18" s="90"/>
      <c r="D18" s="56"/>
    </row>
    <row r="19" spans="1:4" ht="24" x14ac:dyDescent="0.25">
      <c r="A19" s="65" t="s">
        <v>563</v>
      </c>
      <c r="B19" s="66" t="s">
        <v>2372</v>
      </c>
      <c r="C19" s="67" t="s">
        <v>2856</v>
      </c>
      <c r="D19" s="67" t="s">
        <v>2857</v>
      </c>
    </row>
    <row r="20" spans="1:4" x14ac:dyDescent="0.25">
      <c r="A20" s="65" t="s">
        <v>2148</v>
      </c>
      <c r="B20" s="66"/>
      <c r="C20" s="67"/>
      <c r="D20" s="67"/>
    </row>
    <row r="21" spans="1:4" x14ac:dyDescent="0.25">
      <c r="A21" s="65" t="s">
        <v>616</v>
      </c>
      <c r="B21" s="66"/>
      <c r="C21" s="67"/>
      <c r="D21" s="67"/>
    </row>
    <row r="22" spans="1:4" x14ac:dyDescent="0.25">
      <c r="A22" s="51" t="s">
        <v>1991</v>
      </c>
      <c r="B22" s="56" t="s">
        <v>2834</v>
      </c>
      <c r="C22" s="57">
        <v>6.15</v>
      </c>
      <c r="D22" s="57"/>
    </row>
    <row r="23" spans="1:4" x14ac:dyDescent="0.25">
      <c r="A23" s="51" t="s">
        <v>1990</v>
      </c>
      <c r="B23" s="56" t="s">
        <v>2834</v>
      </c>
      <c r="C23" s="57">
        <v>8</v>
      </c>
      <c r="D23" s="57"/>
    </row>
    <row r="24" spans="1:4" x14ac:dyDescent="0.25">
      <c r="A24" s="51" t="s">
        <v>619</v>
      </c>
      <c r="B24" s="56" t="s">
        <v>2834</v>
      </c>
      <c r="C24" s="57">
        <v>12.5</v>
      </c>
      <c r="D24" s="57"/>
    </row>
    <row r="25" spans="1:4" x14ac:dyDescent="0.25">
      <c r="A25" s="51" t="s">
        <v>1691</v>
      </c>
      <c r="B25" s="56" t="s">
        <v>2834</v>
      </c>
      <c r="C25" s="57">
        <v>11</v>
      </c>
      <c r="D25" s="57"/>
    </row>
    <row r="26" spans="1:4" x14ac:dyDescent="0.25">
      <c r="A26" s="51" t="s">
        <v>620</v>
      </c>
      <c r="B26" s="56" t="s">
        <v>2834</v>
      </c>
      <c r="C26" s="57">
        <v>15</v>
      </c>
      <c r="D26" s="57"/>
    </row>
    <row r="27" spans="1:4" x14ac:dyDescent="0.25">
      <c r="A27" s="51" t="s">
        <v>648</v>
      </c>
      <c r="B27" s="56" t="s">
        <v>2839</v>
      </c>
      <c r="C27" s="57">
        <v>27</v>
      </c>
      <c r="D27" s="57"/>
    </row>
    <row r="28" spans="1:4" x14ac:dyDescent="0.25">
      <c r="A28" s="51" t="s">
        <v>639</v>
      </c>
      <c r="B28" s="56" t="s">
        <v>2834</v>
      </c>
      <c r="C28" s="57">
        <v>14</v>
      </c>
      <c r="D28" s="57"/>
    </row>
    <row r="29" spans="1:4" x14ac:dyDescent="0.25">
      <c r="A29" s="51" t="s">
        <v>640</v>
      </c>
      <c r="B29" s="56" t="s">
        <v>2834</v>
      </c>
      <c r="C29" s="57">
        <v>13</v>
      </c>
      <c r="D29" s="57"/>
    </row>
    <row r="30" spans="1:4" x14ac:dyDescent="0.25">
      <c r="A30" s="51" t="s">
        <v>646</v>
      </c>
      <c r="B30" s="56" t="s">
        <v>2834</v>
      </c>
      <c r="C30" s="57">
        <v>7</v>
      </c>
      <c r="D30" s="57"/>
    </row>
    <row r="31" spans="1:4" x14ac:dyDescent="0.25">
      <c r="A31" s="51" t="s">
        <v>645</v>
      </c>
      <c r="B31" s="56" t="s">
        <v>2834</v>
      </c>
      <c r="C31" s="57">
        <v>7.45</v>
      </c>
      <c r="D31" s="57"/>
    </row>
    <row r="32" spans="1:4" x14ac:dyDescent="0.25">
      <c r="A32" s="51" t="s">
        <v>642</v>
      </c>
      <c r="B32" s="56" t="s">
        <v>2834</v>
      </c>
      <c r="C32" s="57">
        <v>4</v>
      </c>
      <c r="D32" s="57"/>
    </row>
    <row r="33" spans="1:4" x14ac:dyDescent="0.25">
      <c r="A33" s="51" t="s">
        <v>643</v>
      </c>
      <c r="B33" s="56" t="s">
        <v>2834</v>
      </c>
      <c r="C33" s="57">
        <v>9.5</v>
      </c>
      <c r="D33" s="57"/>
    </row>
    <row r="34" spans="1:4" x14ac:dyDescent="0.25">
      <c r="A34" s="51" t="s">
        <v>644</v>
      </c>
      <c r="B34" s="56" t="s">
        <v>2834</v>
      </c>
      <c r="C34" s="57">
        <v>5</v>
      </c>
      <c r="D34" s="57"/>
    </row>
    <row r="35" spans="1:4" x14ac:dyDescent="0.25">
      <c r="A35" s="51" t="s">
        <v>647</v>
      </c>
      <c r="B35" s="56" t="s">
        <v>2839</v>
      </c>
      <c r="C35" s="57" t="s">
        <v>1134</v>
      </c>
      <c r="D35" s="57"/>
    </row>
    <row r="36" spans="1:4" x14ac:dyDescent="0.25">
      <c r="A36" s="51" t="s">
        <v>2197</v>
      </c>
      <c r="B36" s="56" t="s">
        <v>605</v>
      </c>
      <c r="C36" s="57">
        <v>12.2</v>
      </c>
      <c r="D36" s="57"/>
    </row>
    <row r="37" spans="1:4" x14ac:dyDescent="0.25">
      <c r="A37" s="51" t="s">
        <v>2198</v>
      </c>
      <c r="B37" s="56" t="s">
        <v>605</v>
      </c>
      <c r="C37" s="57">
        <v>9.4499999999999993</v>
      </c>
      <c r="D37" s="57"/>
    </row>
    <row r="38" spans="1:4" x14ac:dyDescent="0.25">
      <c r="A38" s="51" t="s">
        <v>2218</v>
      </c>
      <c r="B38" s="56" t="s">
        <v>2834</v>
      </c>
      <c r="C38" s="57">
        <v>16.5</v>
      </c>
      <c r="D38" s="57"/>
    </row>
    <row r="39" spans="1:4" x14ac:dyDescent="0.25">
      <c r="A39" s="51" t="s">
        <v>641</v>
      </c>
      <c r="B39" s="56" t="s">
        <v>2834</v>
      </c>
      <c r="C39" s="57">
        <v>4.25</v>
      </c>
      <c r="D39" s="57"/>
    </row>
    <row r="40" spans="1:4" x14ac:dyDescent="0.25">
      <c r="A40" s="51" t="s">
        <v>2728</v>
      </c>
      <c r="B40" s="56" t="s">
        <v>2834</v>
      </c>
      <c r="C40" s="57">
        <v>12.6</v>
      </c>
      <c r="D40" s="57"/>
    </row>
    <row r="41" spans="1:4" x14ac:dyDescent="0.25">
      <c r="A41" s="51" t="s">
        <v>2738</v>
      </c>
      <c r="B41" s="56" t="s">
        <v>2834</v>
      </c>
      <c r="C41" s="57">
        <v>21</v>
      </c>
      <c r="D41" s="57"/>
    </row>
    <row r="42" spans="1:4" x14ac:dyDescent="0.25">
      <c r="A42" s="51" t="s">
        <v>638</v>
      </c>
      <c r="B42" s="56" t="s">
        <v>2834</v>
      </c>
      <c r="C42" s="57">
        <v>20</v>
      </c>
      <c r="D42" s="57"/>
    </row>
    <row r="43" spans="1:4" x14ac:dyDescent="0.25">
      <c r="A43" s="51" t="s">
        <v>618</v>
      </c>
      <c r="B43" s="56" t="s">
        <v>2834</v>
      </c>
      <c r="C43" s="57">
        <v>25</v>
      </c>
      <c r="D43" s="57"/>
    </row>
    <row r="44" spans="1:4" x14ac:dyDescent="0.25">
      <c r="A44" s="51" t="s">
        <v>617</v>
      </c>
      <c r="B44" s="56" t="s">
        <v>2834</v>
      </c>
      <c r="C44" s="57">
        <v>17</v>
      </c>
      <c r="D44" s="57"/>
    </row>
    <row r="45" spans="1:4" x14ac:dyDescent="0.25">
      <c r="A45" s="51" t="s">
        <v>623</v>
      </c>
      <c r="B45" s="56" t="s">
        <v>2834</v>
      </c>
      <c r="C45" s="57">
        <v>6</v>
      </c>
      <c r="D45" s="57"/>
    </row>
    <row r="46" spans="1:4" x14ac:dyDescent="0.25">
      <c r="A46" s="51" t="s">
        <v>622</v>
      </c>
      <c r="B46" s="56" t="s">
        <v>2834</v>
      </c>
      <c r="C46" s="57">
        <v>8</v>
      </c>
      <c r="D46" s="57"/>
    </row>
    <row r="47" spans="1:4" x14ac:dyDescent="0.25">
      <c r="A47" s="51" t="s">
        <v>621</v>
      </c>
      <c r="B47" s="56" t="s">
        <v>2834</v>
      </c>
      <c r="C47" s="57">
        <v>15</v>
      </c>
      <c r="D47" s="57"/>
    </row>
    <row r="48" spans="1:4" x14ac:dyDescent="0.25">
      <c r="A48" s="51"/>
      <c r="B48" s="56"/>
      <c r="C48" s="57"/>
      <c r="D48" s="57"/>
    </row>
    <row r="49" spans="1:4" x14ac:dyDescent="0.25">
      <c r="A49" s="51"/>
      <c r="B49" s="56"/>
      <c r="C49" s="57"/>
      <c r="D49" s="57"/>
    </row>
    <row r="50" spans="1:4" x14ac:dyDescent="0.25">
      <c r="A50" s="68" t="s">
        <v>177</v>
      </c>
      <c r="C50" s="57"/>
      <c r="D50" s="57"/>
    </row>
    <row r="51" spans="1:4" x14ac:dyDescent="0.25">
      <c r="A51" s="52" t="s">
        <v>2098</v>
      </c>
      <c r="B51" s="58" t="s">
        <v>2834</v>
      </c>
      <c r="C51" s="57">
        <v>470</v>
      </c>
      <c r="D51" s="57"/>
    </row>
    <row r="52" spans="1:4" x14ac:dyDescent="0.25">
      <c r="A52" s="52" t="s">
        <v>2099</v>
      </c>
      <c r="B52" s="58" t="s">
        <v>2834</v>
      </c>
      <c r="C52" s="57">
        <v>545</v>
      </c>
      <c r="D52" s="57"/>
    </row>
    <row r="53" spans="1:4" x14ac:dyDescent="0.25">
      <c r="A53" s="51" t="s">
        <v>2125</v>
      </c>
      <c r="B53" s="56" t="s">
        <v>1715</v>
      </c>
      <c r="C53" s="57" t="s">
        <v>1961</v>
      </c>
      <c r="D53" s="57"/>
    </row>
    <row r="54" spans="1:4" x14ac:dyDescent="0.25">
      <c r="A54" s="51" t="s">
        <v>2308</v>
      </c>
      <c r="B54" s="56" t="s">
        <v>1715</v>
      </c>
      <c r="C54" s="57">
        <v>17</v>
      </c>
      <c r="D54" s="57"/>
    </row>
    <row r="55" spans="1:4" x14ac:dyDescent="0.25">
      <c r="A55" s="51" t="s">
        <v>2309</v>
      </c>
      <c r="B55" s="56" t="s">
        <v>1715</v>
      </c>
      <c r="C55" s="57">
        <v>12</v>
      </c>
      <c r="D55" s="57"/>
    </row>
    <row r="56" spans="1:4" x14ac:dyDescent="0.25">
      <c r="A56" s="51" t="s">
        <v>2312</v>
      </c>
      <c r="B56" s="57" t="s">
        <v>1715</v>
      </c>
      <c r="C56" s="61">
        <v>0.4</v>
      </c>
      <c r="D56" s="57"/>
    </row>
    <row r="57" spans="1:4" x14ac:dyDescent="0.25">
      <c r="A57" s="51" t="s">
        <v>2735</v>
      </c>
      <c r="B57" s="56" t="s">
        <v>1715</v>
      </c>
      <c r="C57" s="57">
        <v>50</v>
      </c>
      <c r="D57" s="57"/>
    </row>
    <row r="58" spans="1:4" x14ac:dyDescent="0.25">
      <c r="A58" s="51" t="s">
        <v>2736</v>
      </c>
      <c r="B58" s="56" t="s">
        <v>1715</v>
      </c>
      <c r="C58" s="57">
        <v>35</v>
      </c>
      <c r="D58" s="57"/>
    </row>
    <row r="59" spans="1:4" x14ac:dyDescent="0.25">
      <c r="A59" s="52" t="s">
        <v>2097</v>
      </c>
      <c r="B59" s="58" t="s">
        <v>1802</v>
      </c>
      <c r="C59" s="57">
        <v>0.47</v>
      </c>
      <c r="D59" s="57"/>
    </row>
    <row r="60" spans="1:4" x14ac:dyDescent="0.25">
      <c r="A60" s="51" t="s">
        <v>2210</v>
      </c>
      <c r="B60" s="58" t="s">
        <v>1715</v>
      </c>
      <c r="C60" s="57">
        <v>5</v>
      </c>
      <c r="D60" s="57"/>
    </row>
    <row r="61" spans="1:4" x14ac:dyDescent="0.25">
      <c r="A61" s="54" t="s">
        <v>2792</v>
      </c>
      <c r="B61" s="57" t="s">
        <v>1715</v>
      </c>
      <c r="C61" s="57">
        <v>35</v>
      </c>
      <c r="D61" s="57"/>
    </row>
    <row r="62" spans="1:4" x14ac:dyDescent="0.25">
      <c r="A62" s="51" t="s">
        <v>2211</v>
      </c>
      <c r="B62" s="58" t="s">
        <v>1715</v>
      </c>
      <c r="C62" s="57">
        <v>15</v>
      </c>
      <c r="D62" s="57"/>
    </row>
    <row r="63" spans="1:4" x14ac:dyDescent="0.25">
      <c r="A63" s="51" t="s">
        <v>2212</v>
      </c>
      <c r="B63" s="58" t="s">
        <v>1715</v>
      </c>
      <c r="C63" s="57">
        <v>15</v>
      </c>
      <c r="D63" s="57"/>
    </row>
    <row r="64" spans="1:4" x14ac:dyDescent="0.25">
      <c r="A64" s="53" t="s">
        <v>2794</v>
      </c>
      <c r="B64" s="57" t="s">
        <v>2734</v>
      </c>
      <c r="C64" s="61">
        <v>25</v>
      </c>
      <c r="D64" s="57"/>
    </row>
    <row r="65" spans="1:4" ht="22.8" x14ac:dyDescent="0.25">
      <c r="A65" s="54" t="s">
        <v>2795</v>
      </c>
      <c r="B65" s="56" t="s">
        <v>1715</v>
      </c>
      <c r="C65" s="57">
        <v>25</v>
      </c>
      <c r="D65" s="57"/>
    </row>
    <row r="66" spans="1:4" ht="22.8" x14ac:dyDescent="0.25">
      <c r="A66" s="51" t="s">
        <v>2795</v>
      </c>
      <c r="B66" s="56" t="s">
        <v>1715</v>
      </c>
      <c r="C66" s="57">
        <v>25</v>
      </c>
      <c r="D66" s="57"/>
    </row>
    <row r="67" spans="1:4" x14ac:dyDescent="0.25">
      <c r="A67" s="51" t="s">
        <v>2213</v>
      </c>
      <c r="B67" s="56" t="s">
        <v>1715</v>
      </c>
      <c r="C67" s="57" t="s">
        <v>1962</v>
      </c>
      <c r="D67" s="57"/>
    </row>
    <row r="68" spans="1:4" x14ac:dyDescent="0.25">
      <c r="A68" s="52" t="s">
        <v>2215</v>
      </c>
      <c r="B68" s="57" t="s">
        <v>2734</v>
      </c>
      <c r="C68" s="57">
        <v>35</v>
      </c>
      <c r="D68" s="57"/>
    </row>
    <row r="69" spans="1:4" x14ac:dyDescent="0.25">
      <c r="A69" s="51" t="s">
        <v>2216</v>
      </c>
      <c r="B69" s="56" t="s">
        <v>1715</v>
      </c>
      <c r="C69" s="57">
        <v>45</v>
      </c>
      <c r="D69" s="57"/>
    </row>
    <row r="70" spans="1:4" x14ac:dyDescent="0.25">
      <c r="A70" s="51" t="s">
        <v>2217</v>
      </c>
      <c r="B70" s="56" t="s">
        <v>1715</v>
      </c>
      <c r="C70" s="57">
        <v>100</v>
      </c>
      <c r="D70" s="57"/>
    </row>
    <row r="71" spans="1:4" x14ac:dyDescent="0.25">
      <c r="A71" s="51" t="s">
        <v>2218</v>
      </c>
      <c r="B71" s="56" t="s">
        <v>1715</v>
      </c>
      <c r="C71" s="57">
        <v>16.5</v>
      </c>
      <c r="D71" s="57"/>
    </row>
    <row r="72" spans="1:4" x14ac:dyDescent="0.25">
      <c r="A72" s="51" t="s">
        <v>2219</v>
      </c>
      <c r="B72" s="56" t="s">
        <v>2734</v>
      </c>
      <c r="C72" s="57">
        <v>60</v>
      </c>
      <c r="D72" s="57"/>
    </row>
    <row r="73" spans="1:4" x14ac:dyDescent="0.25">
      <c r="A73" s="51" t="s">
        <v>2711</v>
      </c>
      <c r="B73" s="57" t="s">
        <v>1715</v>
      </c>
      <c r="C73" s="57">
        <v>9</v>
      </c>
      <c r="D73" s="57"/>
    </row>
    <row r="74" spans="1:4" x14ac:dyDescent="0.25">
      <c r="A74" s="51" t="s">
        <v>1693</v>
      </c>
      <c r="B74" s="57" t="s">
        <v>1715</v>
      </c>
      <c r="C74" s="61">
        <v>0.3</v>
      </c>
      <c r="D74" s="57"/>
    </row>
    <row r="75" spans="1:4" x14ac:dyDescent="0.25">
      <c r="A75" s="51" t="s">
        <v>1696</v>
      </c>
      <c r="B75" s="56" t="s">
        <v>1715</v>
      </c>
      <c r="C75" s="57">
        <v>18</v>
      </c>
      <c r="D75" s="57"/>
    </row>
    <row r="76" spans="1:4" x14ac:dyDescent="0.25">
      <c r="A76" s="51" t="s">
        <v>2713</v>
      </c>
      <c r="B76" s="56" t="s">
        <v>1715</v>
      </c>
      <c r="C76" s="57">
        <v>100</v>
      </c>
      <c r="D76" s="57"/>
    </row>
    <row r="77" spans="1:4" x14ac:dyDescent="0.25">
      <c r="A77" s="52" t="s">
        <v>916</v>
      </c>
      <c r="B77" s="58" t="s">
        <v>1802</v>
      </c>
      <c r="C77" s="57">
        <v>0.44</v>
      </c>
      <c r="D77" s="57"/>
    </row>
    <row r="78" spans="1:4" x14ac:dyDescent="0.25">
      <c r="A78" s="52" t="s">
        <v>1408</v>
      </c>
      <c r="B78" s="58" t="s">
        <v>2834</v>
      </c>
      <c r="C78" s="57">
        <v>15</v>
      </c>
      <c r="D78" s="57"/>
    </row>
    <row r="79" spans="1:4" x14ac:dyDescent="0.25">
      <c r="A79" s="51" t="s">
        <v>1526</v>
      </c>
      <c r="B79" s="57" t="s">
        <v>2734</v>
      </c>
      <c r="C79" s="61">
        <v>10</v>
      </c>
      <c r="D79" s="57"/>
    </row>
    <row r="80" spans="1:4" x14ac:dyDescent="0.25">
      <c r="A80" s="51" t="s">
        <v>1136</v>
      </c>
      <c r="B80" s="57" t="s">
        <v>2734</v>
      </c>
      <c r="C80" s="57">
        <v>7</v>
      </c>
      <c r="D80" s="57"/>
    </row>
    <row r="81" spans="1:4" x14ac:dyDescent="0.25">
      <c r="A81" s="51" t="s">
        <v>244</v>
      </c>
      <c r="B81" s="56" t="s">
        <v>1715</v>
      </c>
      <c r="C81" s="57">
        <v>73.33</v>
      </c>
      <c r="D81" s="57"/>
    </row>
    <row r="82" spans="1:4" x14ac:dyDescent="0.25">
      <c r="A82" s="54" t="s">
        <v>2793</v>
      </c>
      <c r="B82" s="57" t="s">
        <v>1715</v>
      </c>
      <c r="C82" s="57">
        <v>4.75</v>
      </c>
      <c r="D82" s="57"/>
    </row>
    <row r="83" spans="1:4" x14ac:dyDescent="0.25">
      <c r="A83" s="51" t="s">
        <v>247</v>
      </c>
      <c r="B83" s="56" t="s">
        <v>1715</v>
      </c>
      <c r="C83" s="57">
        <v>16</v>
      </c>
      <c r="D83" s="57"/>
    </row>
    <row r="84" spans="1:4" x14ac:dyDescent="0.25">
      <c r="A84" s="51" t="s">
        <v>551</v>
      </c>
      <c r="B84" s="56" t="s">
        <v>1715</v>
      </c>
      <c r="C84" s="57">
        <v>10</v>
      </c>
      <c r="D84" s="57"/>
    </row>
    <row r="85" spans="1:4" x14ac:dyDescent="0.25">
      <c r="A85" s="51" t="s">
        <v>1301</v>
      </c>
      <c r="B85" s="56" t="s">
        <v>1715</v>
      </c>
      <c r="C85" s="57">
        <v>232.5</v>
      </c>
      <c r="D85" s="57"/>
    </row>
    <row r="86" spans="1:4" x14ac:dyDescent="0.25">
      <c r="A86" s="51" t="s">
        <v>573</v>
      </c>
      <c r="B86" s="56" t="s">
        <v>1037</v>
      </c>
      <c r="C86" s="57">
        <v>0.03</v>
      </c>
      <c r="D86" s="57"/>
    </row>
    <row r="87" spans="1:4" x14ac:dyDescent="0.25">
      <c r="A87" s="51" t="s">
        <v>574</v>
      </c>
      <c r="B87" s="56" t="s">
        <v>1715</v>
      </c>
      <c r="C87" s="57">
        <v>138</v>
      </c>
      <c r="D87" s="57"/>
    </row>
    <row r="88" spans="1:4" x14ac:dyDescent="0.25">
      <c r="A88" s="51" t="s">
        <v>575</v>
      </c>
      <c r="B88" s="56" t="s">
        <v>1715</v>
      </c>
      <c r="C88" s="57">
        <v>108</v>
      </c>
      <c r="D88" s="57"/>
    </row>
    <row r="89" spans="1:4" x14ac:dyDescent="0.25">
      <c r="A89" s="51" t="s">
        <v>9</v>
      </c>
      <c r="B89" s="56" t="s">
        <v>1715</v>
      </c>
      <c r="C89" s="57">
        <v>18</v>
      </c>
      <c r="D89" s="57"/>
    </row>
    <row r="90" spans="1:4" x14ac:dyDescent="0.25">
      <c r="A90" s="51" t="s">
        <v>1302</v>
      </c>
      <c r="B90" s="56" t="s">
        <v>2734</v>
      </c>
      <c r="C90" s="57">
        <v>0.19</v>
      </c>
      <c r="D90" s="57"/>
    </row>
    <row r="91" spans="1:4" x14ac:dyDescent="0.25">
      <c r="A91" s="51" t="s">
        <v>1303</v>
      </c>
      <c r="B91" s="56" t="s">
        <v>2734</v>
      </c>
      <c r="C91" s="57">
        <v>0.17</v>
      </c>
      <c r="D91" s="57"/>
    </row>
    <row r="92" spans="1:4" x14ac:dyDescent="0.25">
      <c r="A92" s="51"/>
      <c r="B92" s="56"/>
      <c r="C92" s="57"/>
      <c r="D92" s="57"/>
    </row>
    <row r="93" spans="1:4" x14ac:dyDescent="0.25">
      <c r="A93" s="51"/>
      <c r="B93" s="56"/>
      <c r="C93" s="57"/>
      <c r="D93" s="57"/>
    </row>
    <row r="94" spans="1:4" x14ac:dyDescent="0.25">
      <c r="A94" s="65" t="s">
        <v>1702</v>
      </c>
      <c r="C94" s="57"/>
      <c r="D94" s="57"/>
    </row>
    <row r="95" spans="1:4" x14ac:dyDescent="0.25">
      <c r="A95" s="96" t="s">
        <v>279</v>
      </c>
      <c r="B95" s="31" t="s">
        <v>1715</v>
      </c>
      <c r="C95" s="30">
        <v>250</v>
      </c>
      <c r="D95" s="57"/>
    </row>
    <row r="96" spans="1:4" x14ac:dyDescent="0.25">
      <c r="A96" s="51" t="s">
        <v>282</v>
      </c>
      <c r="B96" s="56" t="s">
        <v>1715</v>
      </c>
      <c r="C96" s="57">
        <v>35</v>
      </c>
      <c r="D96" s="57"/>
    </row>
    <row r="97" spans="1:4" x14ac:dyDescent="0.25">
      <c r="A97" s="52" t="s">
        <v>2662</v>
      </c>
      <c r="B97" s="58" t="s">
        <v>478</v>
      </c>
      <c r="C97" s="57">
        <v>20</v>
      </c>
      <c r="D97" s="57"/>
    </row>
    <row r="98" spans="1:4" x14ac:dyDescent="0.25">
      <c r="A98" s="52" t="s">
        <v>2663</v>
      </c>
      <c r="B98" s="59" t="s">
        <v>745</v>
      </c>
      <c r="C98" s="62">
        <v>0.38</v>
      </c>
      <c r="D98" s="57"/>
    </row>
    <row r="99" spans="1:4" x14ac:dyDescent="0.25">
      <c r="A99" s="51" t="s">
        <v>2314</v>
      </c>
      <c r="B99" s="58" t="s">
        <v>745</v>
      </c>
      <c r="C99" s="57">
        <v>0.28000000000000003</v>
      </c>
      <c r="D99" s="57"/>
    </row>
    <row r="100" spans="1:4" x14ac:dyDescent="0.25">
      <c r="A100" s="51" t="s">
        <v>2315</v>
      </c>
      <c r="B100" s="58" t="s">
        <v>745</v>
      </c>
      <c r="C100" s="57">
        <v>0.2</v>
      </c>
      <c r="D100" s="57"/>
    </row>
    <row r="102" spans="1:4" x14ac:dyDescent="0.25">
      <c r="A102" s="51" t="s">
        <v>1177</v>
      </c>
      <c r="B102" s="56" t="s">
        <v>1715</v>
      </c>
      <c r="C102" s="57">
        <v>90</v>
      </c>
      <c r="D102" s="57"/>
    </row>
    <row r="103" spans="1:4" x14ac:dyDescent="0.25">
      <c r="A103" s="51" t="s">
        <v>2652</v>
      </c>
      <c r="B103" s="56" t="s">
        <v>2734</v>
      </c>
      <c r="C103" s="57">
        <v>1</v>
      </c>
      <c r="D103" s="57"/>
    </row>
    <row r="104" spans="1:4" ht="22.8" x14ac:dyDescent="0.25">
      <c r="A104" s="51" t="s">
        <v>1178</v>
      </c>
      <c r="B104" s="56" t="s">
        <v>1715</v>
      </c>
      <c r="C104" s="57">
        <v>100</v>
      </c>
      <c r="D104" s="57"/>
    </row>
    <row r="105" spans="1:4" ht="22.8" x14ac:dyDescent="0.25">
      <c r="A105" s="51" t="s">
        <v>2726</v>
      </c>
      <c r="B105" s="57" t="s">
        <v>1715</v>
      </c>
      <c r="C105" s="57">
        <v>90</v>
      </c>
      <c r="D105" s="57"/>
    </row>
    <row r="106" spans="1:4" ht="22.8" x14ac:dyDescent="0.25">
      <c r="A106" s="51" t="s">
        <v>2727</v>
      </c>
      <c r="B106" s="56" t="s">
        <v>1715</v>
      </c>
      <c r="C106" s="57">
        <v>150</v>
      </c>
      <c r="D106" s="57"/>
    </row>
    <row r="107" spans="1:4" ht="22.8" x14ac:dyDescent="0.25">
      <c r="A107" s="51" t="s">
        <v>2732</v>
      </c>
      <c r="B107" s="56" t="s">
        <v>1715</v>
      </c>
      <c r="C107" s="57">
        <v>320</v>
      </c>
      <c r="D107" s="57"/>
    </row>
    <row r="108" spans="1:4" ht="22.8" x14ac:dyDescent="0.25">
      <c r="A108" s="51" t="s">
        <v>405</v>
      </c>
      <c r="B108" s="56" t="s">
        <v>1715</v>
      </c>
      <c r="C108" s="57">
        <v>90</v>
      </c>
      <c r="D108" s="57"/>
    </row>
    <row r="109" spans="1:4" ht="22.8" x14ac:dyDescent="0.25">
      <c r="A109" s="51" t="s">
        <v>406</v>
      </c>
      <c r="B109" s="56" t="s">
        <v>1715</v>
      </c>
      <c r="C109" s="57">
        <v>230</v>
      </c>
      <c r="D109" s="57"/>
    </row>
    <row r="110" spans="1:4" ht="22.8" x14ac:dyDescent="0.25">
      <c r="A110" s="51" t="s">
        <v>407</v>
      </c>
      <c r="B110" s="56" t="s">
        <v>1715</v>
      </c>
      <c r="C110" s="57">
        <v>150</v>
      </c>
      <c r="D110" s="57"/>
    </row>
    <row r="111" spans="1:4" ht="22.8" x14ac:dyDescent="0.25">
      <c r="A111" s="51" t="s">
        <v>408</v>
      </c>
      <c r="B111" s="56" t="s">
        <v>1715</v>
      </c>
      <c r="C111" s="57">
        <v>318</v>
      </c>
      <c r="D111" s="57"/>
    </row>
    <row r="112" spans="1:4" ht="22.8" x14ac:dyDescent="0.25">
      <c r="A112" s="52" t="s">
        <v>2209</v>
      </c>
      <c r="B112" s="57" t="s">
        <v>1715</v>
      </c>
      <c r="C112" s="61">
        <v>133</v>
      </c>
      <c r="D112" s="57"/>
    </row>
    <row r="113" spans="1:4" x14ac:dyDescent="0.25">
      <c r="A113" s="51" t="s">
        <v>2214</v>
      </c>
      <c r="B113" s="57" t="s">
        <v>478</v>
      </c>
      <c r="C113" s="61">
        <v>22</v>
      </c>
      <c r="D113" s="57"/>
    </row>
    <row r="114" spans="1:4" x14ac:dyDescent="0.25">
      <c r="A114" s="52" t="s">
        <v>2669</v>
      </c>
      <c r="C114" s="57"/>
      <c r="D114" s="57"/>
    </row>
    <row r="115" spans="1:4" x14ac:dyDescent="0.25">
      <c r="A115" s="52" t="s">
        <v>1020</v>
      </c>
      <c r="B115" s="58" t="s">
        <v>1802</v>
      </c>
      <c r="C115" s="57">
        <v>5.55</v>
      </c>
      <c r="D115" s="57"/>
    </row>
    <row r="116" spans="1:4" x14ac:dyDescent="0.25">
      <c r="A116" s="52" t="s">
        <v>1029</v>
      </c>
      <c r="B116" s="58" t="s">
        <v>2108</v>
      </c>
      <c r="C116" s="57">
        <v>390</v>
      </c>
      <c r="D116" s="57"/>
    </row>
    <row r="117" spans="1:4" x14ac:dyDescent="0.25">
      <c r="A117" s="52" t="s">
        <v>1024</v>
      </c>
      <c r="B117" s="58" t="s">
        <v>1802</v>
      </c>
      <c r="C117" s="57">
        <v>1.32</v>
      </c>
      <c r="D117" s="57"/>
    </row>
    <row r="118" spans="1:4" x14ac:dyDescent="0.25">
      <c r="A118" s="52" t="s">
        <v>1025</v>
      </c>
      <c r="B118" s="58" t="s">
        <v>2108</v>
      </c>
      <c r="C118" s="57">
        <v>70.5</v>
      </c>
      <c r="D118" s="57"/>
    </row>
    <row r="119" spans="1:4" x14ac:dyDescent="0.25">
      <c r="A119" s="52" t="s">
        <v>1023</v>
      </c>
      <c r="B119" s="58" t="s">
        <v>2108</v>
      </c>
      <c r="C119" s="57">
        <v>73.5</v>
      </c>
      <c r="D119" s="57"/>
    </row>
    <row r="120" spans="1:4" x14ac:dyDescent="0.25">
      <c r="A120" s="52" t="s">
        <v>1026</v>
      </c>
      <c r="B120" s="58" t="s">
        <v>1802</v>
      </c>
      <c r="C120" s="57">
        <v>1.05</v>
      </c>
      <c r="D120" s="57"/>
    </row>
    <row r="121" spans="1:4" x14ac:dyDescent="0.25">
      <c r="A121" s="52" t="s">
        <v>1022</v>
      </c>
      <c r="B121" s="58" t="s">
        <v>2108</v>
      </c>
      <c r="C121" s="57">
        <v>41</v>
      </c>
      <c r="D121" s="57"/>
    </row>
    <row r="122" spans="1:4" x14ac:dyDescent="0.25">
      <c r="A122" s="52" t="s">
        <v>1021</v>
      </c>
      <c r="B122" s="58" t="s">
        <v>2108</v>
      </c>
      <c r="C122" s="57">
        <v>44</v>
      </c>
      <c r="D122" s="57"/>
    </row>
    <row r="123" spans="1:4" x14ac:dyDescent="0.25">
      <c r="A123" s="52" t="s">
        <v>1027</v>
      </c>
      <c r="B123" s="58" t="s">
        <v>1802</v>
      </c>
      <c r="C123" s="57">
        <v>3.42</v>
      </c>
      <c r="D123" s="57"/>
    </row>
    <row r="124" spans="1:4" x14ac:dyDescent="0.25">
      <c r="A124" s="52" t="s">
        <v>1028</v>
      </c>
      <c r="B124" s="58" t="s">
        <v>2108</v>
      </c>
      <c r="C124" s="57">
        <v>305</v>
      </c>
      <c r="D124" s="57"/>
    </row>
    <row r="125" spans="1:4" ht="22.8" x14ac:dyDescent="0.25">
      <c r="A125" s="51" t="s">
        <v>2220</v>
      </c>
      <c r="B125" s="57" t="s">
        <v>1715</v>
      </c>
      <c r="C125" s="57">
        <v>200</v>
      </c>
      <c r="D125" s="57"/>
    </row>
    <row r="126" spans="1:4" x14ac:dyDescent="0.25">
      <c r="A126" s="51" t="s">
        <v>2221</v>
      </c>
      <c r="B126" s="56" t="s">
        <v>1715</v>
      </c>
      <c r="C126" s="57">
        <v>300</v>
      </c>
      <c r="D126" s="57"/>
    </row>
    <row r="127" spans="1:4" x14ac:dyDescent="0.25">
      <c r="A127" s="51" t="s">
        <v>2741</v>
      </c>
      <c r="B127" s="56" t="s">
        <v>1715</v>
      </c>
      <c r="C127" s="57">
        <v>300</v>
      </c>
      <c r="D127" s="57"/>
    </row>
    <row r="128" spans="1:4" x14ac:dyDescent="0.25">
      <c r="A128" s="51" t="s">
        <v>2184</v>
      </c>
      <c r="B128" s="56" t="s">
        <v>2734</v>
      </c>
      <c r="C128" s="57">
        <v>42</v>
      </c>
      <c r="D128" s="57"/>
    </row>
    <row r="129" spans="1:4" x14ac:dyDescent="0.25">
      <c r="A129" s="51" t="s">
        <v>199</v>
      </c>
      <c r="B129" s="56" t="s">
        <v>2734</v>
      </c>
      <c r="C129" s="57">
        <v>0.9</v>
      </c>
      <c r="D129" s="57"/>
    </row>
    <row r="130" spans="1:4" x14ac:dyDescent="0.25">
      <c r="A130" s="51" t="s">
        <v>200</v>
      </c>
      <c r="B130" s="56" t="s">
        <v>174</v>
      </c>
      <c r="C130" s="63">
        <v>12.71</v>
      </c>
      <c r="D130" s="57"/>
    </row>
    <row r="131" spans="1:4" ht="22.8" x14ac:dyDescent="0.25">
      <c r="A131" s="51" t="s">
        <v>201</v>
      </c>
      <c r="B131" s="56" t="s">
        <v>2734</v>
      </c>
      <c r="C131" s="57">
        <v>2.8</v>
      </c>
      <c r="D131" s="57"/>
    </row>
    <row r="132" spans="1:4" x14ac:dyDescent="0.25">
      <c r="A132" s="52" t="s">
        <v>1417</v>
      </c>
      <c r="B132" s="58" t="s">
        <v>2734</v>
      </c>
      <c r="C132" s="57">
        <v>0.55000000000000004</v>
      </c>
      <c r="D132" s="57"/>
    </row>
    <row r="133" spans="1:4" x14ac:dyDescent="0.25">
      <c r="A133" s="52" t="s">
        <v>1420</v>
      </c>
      <c r="B133" s="58" t="s">
        <v>2734</v>
      </c>
      <c r="C133" s="57">
        <v>0.55000000000000004</v>
      </c>
      <c r="D133" s="57"/>
    </row>
    <row r="134" spans="1:4" x14ac:dyDescent="0.25">
      <c r="A134" s="52" t="s">
        <v>1194</v>
      </c>
      <c r="B134" s="58" t="s">
        <v>2734</v>
      </c>
      <c r="C134" s="57">
        <v>0.55000000000000004</v>
      </c>
      <c r="D134" s="57"/>
    </row>
    <row r="135" spans="1:4" x14ac:dyDescent="0.25">
      <c r="A135" s="52" t="s">
        <v>1504</v>
      </c>
      <c r="B135" s="58" t="s">
        <v>2734</v>
      </c>
      <c r="C135" s="57">
        <v>0.55000000000000004</v>
      </c>
      <c r="D135" s="57"/>
    </row>
    <row r="136" spans="1:4" x14ac:dyDescent="0.25">
      <c r="A136" s="52" t="s">
        <v>2222</v>
      </c>
      <c r="B136" s="58" t="s">
        <v>2734</v>
      </c>
      <c r="C136" s="57">
        <v>0.55000000000000004</v>
      </c>
      <c r="D136" s="57"/>
    </row>
    <row r="137" spans="1:4" x14ac:dyDescent="0.25">
      <c r="A137" s="52" t="s">
        <v>1195</v>
      </c>
      <c r="B137" s="58" t="s">
        <v>2734</v>
      </c>
      <c r="C137" s="57">
        <v>0.55000000000000004</v>
      </c>
      <c r="D137" s="57"/>
    </row>
    <row r="138" spans="1:4" x14ac:dyDescent="0.25">
      <c r="A138" s="52" t="s">
        <v>1419</v>
      </c>
      <c r="B138" s="58" t="s">
        <v>2734</v>
      </c>
      <c r="C138" s="57">
        <v>6.75</v>
      </c>
      <c r="D138" s="57"/>
    </row>
    <row r="139" spans="1:4" x14ac:dyDescent="0.25">
      <c r="A139" s="52" t="s">
        <v>2223</v>
      </c>
      <c r="B139" s="58" t="s">
        <v>2734</v>
      </c>
      <c r="C139" s="57">
        <v>0.45</v>
      </c>
      <c r="D139" s="57"/>
    </row>
    <row r="140" spans="1:4" x14ac:dyDescent="0.25">
      <c r="A140" s="52" t="s">
        <v>1101</v>
      </c>
      <c r="B140" s="58" t="s">
        <v>2734</v>
      </c>
      <c r="C140" s="57">
        <v>0.55000000000000004</v>
      </c>
      <c r="D140" s="57"/>
    </row>
    <row r="141" spans="1:4" x14ac:dyDescent="0.25">
      <c r="A141" s="52" t="s">
        <v>1418</v>
      </c>
      <c r="B141" s="58" t="s">
        <v>2734</v>
      </c>
      <c r="C141" s="57">
        <v>0.55000000000000004</v>
      </c>
      <c r="D141" s="57"/>
    </row>
    <row r="142" spans="1:4" x14ac:dyDescent="0.25">
      <c r="A142" s="52" t="s">
        <v>1503</v>
      </c>
      <c r="B142" s="58" t="s">
        <v>2734</v>
      </c>
      <c r="C142" s="57">
        <v>0.55000000000000004</v>
      </c>
      <c r="D142" s="57"/>
    </row>
    <row r="143" spans="1:4" x14ac:dyDescent="0.25">
      <c r="A143" s="52" t="s">
        <v>1196</v>
      </c>
      <c r="B143" s="58" t="s">
        <v>2734</v>
      </c>
      <c r="C143" s="57">
        <v>5.5</v>
      </c>
      <c r="D143" s="57"/>
    </row>
    <row r="144" spans="1:4" x14ac:dyDescent="0.25">
      <c r="A144" s="52" t="s">
        <v>2369</v>
      </c>
      <c r="B144" s="58" t="s">
        <v>2734</v>
      </c>
      <c r="C144" s="57">
        <v>0.55000000000000004</v>
      </c>
      <c r="D144" s="57"/>
    </row>
    <row r="145" spans="1:4" x14ac:dyDescent="0.25">
      <c r="A145" s="52" t="s">
        <v>1421</v>
      </c>
      <c r="B145" s="58" t="s">
        <v>2734</v>
      </c>
      <c r="C145" s="57">
        <v>0.45</v>
      </c>
      <c r="D145" s="57"/>
    </row>
    <row r="146" spans="1:4" x14ac:dyDescent="0.25">
      <c r="A146" s="52" t="s">
        <v>181</v>
      </c>
      <c r="B146" s="58" t="s">
        <v>2734</v>
      </c>
      <c r="C146" s="57">
        <v>0.55000000000000004</v>
      </c>
      <c r="D146" s="57"/>
    </row>
    <row r="147" spans="1:4" x14ac:dyDescent="0.25">
      <c r="A147" s="52" t="s">
        <v>1416</v>
      </c>
      <c r="B147" s="58" t="s">
        <v>2734</v>
      </c>
      <c r="C147" s="57">
        <v>0.55000000000000004</v>
      </c>
      <c r="D147" s="57"/>
    </row>
    <row r="148" spans="1:4" x14ac:dyDescent="0.25">
      <c r="A148" s="54" t="s">
        <v>1979</v>
      </c>
      <c r="B148" s="56" t="s">
        <v>2734</v>
      </c>
      <c r="C148" s="57">
        <v>6</v>
      </c>
      <c r="D148" s="57"/>
    </row>
    <row r="149" spans="1:4" ht="22.8" x14ac:dyDescent="0.25">
      <c r="A149" s="54" t="s">
        <v>1701</v>
      </c>
      <c r="B149" s="56" t="s">
        <v>2734</v>
      </c>
      <c r="C149" s="57">
        <v>0.55000000000000004</v>
      </c>
      <c r="D149" s="57"/>
    </row>
    <row r="150" spans="1:4" x14ac:dyDescent="0.25">
      <c r="A150" s="51" t="s">
        <v>1692</v>
      </c>
      <c r="B150" s="58" t="s">
        <v>552</v>
      </c>
      <c r="C150" s="57">
        <v>150</v>
      </c>
      <c r="D150" s="57"/>
    </row>
    <row r="151" spans="1:4" x14ac:dyDescent="0.25">
      <c r="A151" s="52" t="s">
        <v>1517</v>
      </c>
      <c r="B151" s="58" t="s">
        <v>604</v>
      </c>
      <c r="C151" s="57">
        <v>3.5</v>
      </c>
      <c r="D151" s="57"/>
    </row>
    <row r="152" spans="1:4" x14ac:dyDescent="0.25">
      <c r="A152" s="52" t="s">
        <v>1510</v>
      </c>
      <c r="B152" s="56" t="s">
        <v>745</v>
      </c>
      <c r="C152" s="57">
        <v>3.89</v>
      </c>
      <c r="D152" s="57"/>
    </row>
    <row r="153" spans="1:4" x14ac:dyDescent="0.25">
      <c r="A153" s="52" t="s">
        <v>2207</v>
      </c>
      <c r="B153" s="56"/>
      <c r="C153" s="57"/>
      <c r="D153" s="57"/>
    </row>
    <row r="154" spans="1:4" x14ac:dyDescent="0.25">
      <c r="A154" s="52" t="s">
        <v>1790</v>
      </c>
      <c r="B154" s="58" t="s">
        <v>745</v>
      </c>
      <c r="C154" s="57">
        <v>2.2999999999999998</v>
      </c>
      <c r="D154" s="57"/>
    </row>
    <row r="155" spans="1:4" x14ac:dyDescent="0.25">
      <c r="A155" s="52" t="s">
        <v>2239</v>
      </c>
      <c r="B155" s="58" t="s">
        <v>745</v>
      </c>
      <c r="C155" s="57">
        <v>4.5</v>
      </c>
      <c r="D155" s="57"/>
    </row>
    <row r="156" spans="1:4" x14ac:dyDescent="0.25">
      <c r="A156" s="52" t="s">
        <v>1509</v>
      </c>
      <c r="B156" s="56" t="s">
        <v>745</v>
      </c>
      <c r="C156" s="57">
        <v>4.95</v>
      </c>
      <c r="D156" s="57"/>
    </row>
    <row r="157" spans="1:4" x14ac:dyDescent="0.25">
      <c r="A157" s="52" t="s">
        <v>1515</v>
      </c>
      <c r="B157" s="58" t="s">
        <v>745</v>
      </c>
      <c r="C157" s="57">
        <v>2.2000000000000002</v>
      </c>
      <c r="D157" s="57"/>
    </row>
    <row r="158" spans="1:4" x14ac:dyDescent="0.25">
      <c r="A158" s="52" t="s">
        <v>2208</v>
      </c>
      <c r="C158" s="57"/>
      <c r="D158" s="57"/>
    </row>
    <row r="159" spans="1:4" x14ac:dyDescent="0.25">
      <c r="A159" s="52" t="s">
        <v>1513</v>
      </c>
      <c r="B159" s="58" t="s">
        <v>745</v>
      </c>
      <c r="C159" s="57">
        <v>1.1000000000000001</v>
      </c>
      <c r="D159" s="57"/>
    </row>
    <row r="160" spans="1:4" x14ac:dyDescent="0.25">
      <c r="A160" s="52" t="s">
        <v>1514</v>
      </c>
      <c r="B160" s="58" t="s">
        <v>745</v>
      </c>
      <c r="C160" s="57">
        <v>2.98</v>
      </c>
      <c r="D160" s="57"/>
    </row>
    <row r="161" spans="1:4" x14ac:dyDescent="0.25">
      <c r="A161" s="52" t="s">
        <v>1512</v>
      </c>
      <c r="B161" s="58" t="s">
        <v>745</v>
      </c>
      <c r="C161" s="57">
        <v>0.7</v>
      </c>
      <c r="D161" s="57"/>
    </row>
    <row r="162" spans="1:4" x14ac:dyDescent="0.25">
      <c r="A162" s="52" t="s">
        <v>1511</v>
      </c>
      <c r="B162" s="56" t="s">
        <v>745</v>
      </c>
      <c r="C162" s="57">
        <v>2.02</v>
      </c>
      <c r="D162" s="57"/>
    </row>
    <row r="163" spans="1:4" x14ac:dyDescent="0.25">
      <c r="A163" s="52" t="s">
        <v>1618</v>
      </c>
      <c r="B163" s="56" t="s">
        <v>745</v>
      </c>
      <c r="C163" s="57">
        <v>2.35</v>
      </c>
      <c r="D163" s="57"/>
    </row>
    <row r="164" spans="1:4" x14ac:dyDescent="0.25">
      <c r="A164" s="52" t="s">
        <v>1619</v>
      </c>
      <c r="B164" s="56" t="s">
        <v>745</v>
      </c>
      <c r="C164" s="60">
        <v>2.25</v>
      </c>
      <c r="D164" s="57"/>
    </row>
    <row r="165" spans="1:4" x14ac:dyDescent="0.25">
      <c r="A165" s="52" t="s">
        <v>1645</v>
      </c>
      <c r="B165" s="56" t="s">
        <v>2199</v>
      </c>
      <c r="C165" s="57">
        <v>50</v>
      </c>
      <c r="D165" s="57"/>
    </row>
    <row r="166" spans="1:4" x14ac:dyDescent="0.25">
      <c r="A166" s="52" t="s">
        <v>1613</v>
      </c>
      <c r="B166" s="56" t="s">
        <v>745</v>
      </c>
      <c r="C166" s="57">
        <v>1.45</v>
      </c>
      <c r="D166" s="57"/>
    </row>
    <row r="167" spans="1:4" x14ac:dyDescent="0.25">
      <c r="A167" s="52" t="s">
        <v>2679</v>
      </c>
      <c r="B167" s="56" t="s">
        <v>745</v>
      </c>
      <c r="C167" s="57">
        <v>1.65</v>
      </c>
      <c r="D167" s="57"/>
    </row>
    <row r="168" spans="1:4" x14ac:dyDescent="0.25">
      <c r="A168" s="52" t="s">
        <v>1308</v>
      </c>
      <c r="B168" s="56" t="s">
        <v>745</v>
      </c>
      <c r="C168" s="57">
        <v>2</v>
      </c>
      <c r="D168" s="57"/>
    </row>
    <row r="169" spans="1:4" x14ac:dyDescent="0.25">
      <c r="A169" s="52" t="s">
        <v>974</v>
      </c>
      <c r="B169" s="56" t="s">
        <v>745</v>
      </c>
      <c r="C169" s="57">
        <v>2.12</v>
      </c>
      <c r="D169" s="57"/>
    </row>
    <row r="170" spans="1:4" x14ac:dyDescent="0.25">
      <c r="A170" s="52" t="s">
        <v>976</v>
      </c>
      <c r="B170" s="56" t="s">
        <v>745</v>
      </c>
      <c r="C170" s="57"/>
      <c r="D170" s="57"/>
    </row>
    <row r="171" spans="1:4" x14ac:dyDescent="0.25">
      <c r="A171" s="52" t="s">
        <v>975</v>
      </c>
      <c r="B171" s="56" t="s">
        <v>745</v>
      </c>
      <c r="C171" s="57">
        <v>3</v>
      </c>
      <c r="D171" s="57"/>
    </row>
    <row r="172" spans="1:4" x14ac:dyDescent="0.25">
      <c r="A172" s="52" t="s">
        <v>977</v>
      </c>
      <c r="B172" s="56" t="s">
        <v>745</v>
      </c>
      <c r="C172" s="57">
        <v>2.1</v>
      </c>
      <c r="D172" s="57"/>
    </row>
    <row r="173" spans="1:4" x14ac:dyDescent="0.25">
      <c r="A173" s="52" t="s">
        <v>1611</v>
      </c>
      <c r="B173" s="56" t="s">
        <v>745</v>
      </c>
      <c r="C173" s="57">
        <v>2.2599999999999998</v>
      </c>
      <c r="D173" s="57"/>
    </row>
    <row r="174" spans="1:4" x14ac:dyDescent="0.25">
      <c r="A174" s="52" t="s">
        <v>1612</v>
      </c>
      <c r="B174" s="56" t="s">
        <v>745</v>
      </c>
      <c r="C174" s="57">
        <v>1.1000000000000001</v>
      </c>
      <c r="D174" s="57"/>
    </row>
    <row r="175" spans="1:4" x14ac:dyDescent="0.25">
      <c r="A175" s="52" t="s">
        <v>2367</v>
      </c>
      <c r="B175" s="58" t="s">
        <v>745</v>
      </c>
      <c r="C175" s="57">
        <v>175</v>
      </c>
      <c r="D175" s="57"/>
    </row>
    <row r="176" spans="1:4" x14ac:dyDescent="0.25">
      <c r="A176" s="54" t="s">
        <v>12</v>
      </c>
      <c r="B176" s="56" t="s">
        <v>745</v>
      </c>
      <c r="C176" s="57">
        <v>175</v>
      </c>
      <c r="D176" s="57"/>
    </row>
    <row r="177" spans="1:4" x14ac:dyDescent="0.25">
      <c r="A177" s="54" t="s">
        <v>12</v>
      </c>
      <c r="B177" s="56" t="s">
        <v>745</v>
      </c>
      <c r="C177" s="57">
        <v>175</v>
      </c>
      <c r="D177" s="57"/>
    </row>
    <row r="178" spans="1:4" x14ac:dyDescent="0.25">
      <c r="A178" s="52" t="s">
        <v>1381</v>
      </c>
      <c r="B178" s="58" t="s">
        <v>745</v>
      </c>
      <c r="C178" s="57">
        <v>7.5</v>
      </c>
      <c r="D178" s="57"/>
    </row>
    <row r="179" spans="1:4" x14ac:dyDescent="0.25">
      <c r="A179" s="52" t="s">
        <v>659</v>
      </c>
      <c r="B179" s="58" t="s">
        <v>745</v>
      </c>
      <c r="C179" s="57">
        <v>0.7</v>
      </c>
      <c r="D179" s="57"/>
    </row>
    <row r="180" spans="1:4" x14ac:dyDescent="0.25">
      <c r="A180" s="52" t="s">
        <v>1462</v>
      </c>
      <c r="B180" s="58" t="s">
        <v>745</v>
      </c>
      <c r="C180" s="57">
        <v>0.55000000000000004</v>
      </c>
      <c r="D180" s="57"/>
    </row>
    <row r="181" spans="1:4" x14ac:dyDescent="0.25">
      <c r="A181" s="52" t="s">
        <v>1108</v>
      </c>
      <c r="B181" s="58" t="s">
        <v>745</v>
      </c>
      <c r="C181" s="57">
        <v>1.3</v>
      </c>
      <c r="D181" s="57"/>
    </row>
    <row r="182" spans="1:4" x14ac:dyDescent="0.25">
      <c r="A182" s="52" t="s">
        <v>553</v>
      </c>
      <c r="B182" s="58" t="s">
        <v>745</v>
      </c>
      <c r="C182" s="57">
        <v>1.5</v>
      </c>
      <c r="D182" s="57"/>
    </row>
    <row r="183" spans="1:4" x14ac:dyDescent="0.25">
      <c r="A183" s="52" t="s">
        <v>1107</v>
      </c>
      <c r="B183" s="58" t="s">
        <v>745</v>
      </c>
      <c r="C183" s="57">
        <v>0.9</v>
      </c>
      <c r="D183" s="57"/>
    </row>
    <row r="184" spans="1:4" x14ac:dyDescent="0.25">
      <c r="A184" s="52" t="s">
        <v>1109</v>
      </c>
      <c r="B184" s="58" t="s">
        <v>745</v>
      </c>
      <c r="C184" s="57">
        <v>2.5</v>
      </c>
      <c r="D184" s="57"/>
    </row>
    <row r="185" spans="1:4" x14ac:dyDescent="0.25">
      <c r="A185" s="52" t="s">
        <v>1459</v>
      </c>
      <c r="B185" s="58" t="s">
        <v>745</v>
      </c>
      <c r="C185" s="57">
        <v>1.2</v>
      </c>
      <c r="D185" s="57"/>
    </row>
    <row r="186" spans="1:4" x14ac:dyDescent="0.25">
      <c r="A186" s="52" t="s">
        <v>1461</v>
      </c>
      <c r="B186" s="58" t="s">
        <v>745</v>
      </c>
      <c r="C186" s="57">
        <v>1.1000000000000001</v>
      </c>
      <c r="D186" s="57"/>
    </row>
    <row r="187" spans="1:4" x14ac:dyDescent="0.25">
      <c r="A187" s="52" t="s">
        <v>1460</v>
      </c>
      <c r="B187" s="58" t="s">
        <v>745</v>
      </c>
      <c r="C187" s="57">
        <v>0.84</v>
      </c>
      <c r="D187" s="57"/>
    </row>
    <row r="188" spans="1:4" x14ac:dyDescent="0.25">
      <c r="A188" s="52" t="s">
        <v>1463</v>
      </c>
      <c r="B188" s="58" t="s">
        <v>745</v>
      </c>
      <c r="C188" s="57">
        <v>1.2</v>
      </c>
      <c r="D188" s="57"/>
    </row>
    <row r="189" spans="1:4" ht="22.8" x14ac:dyDescent="0.25">
      <c r="A189" s="52" t="s">
        <v>697</v>
      </c>
      <c r="B189" s="58" t="s">
        <v>745</v>
      </c>
      <c r="C189" s="57">
        <v>1.05</v>
      </c>
      <c r="D189" s="57"/>
    </row>
    <row r="190" spans="1:4" x14ac:dyDescent="0.25">
      <c r="A190" s="52" t="s">
        <v>1519</v>
      </c>
      <c r="B190" s="58" t="s">
        <v>745</v>
      </c>
      <c r="C190" s="57">
        <v>1.78</v>
      </c>
      <c r="D190" s="57"/>
    </row>
    <row r="191" spans="1:4" x14ac:dyDescent="0.25">
      <c r="A191" s="52" t="s">
        <v>1518</v>
      </c>
      <c r="B191" s="58" t="s">
        <v>745</v>
      </c>
      <c r="C191" s="57">
        <v>2.5</v>
      </c>
      <c r="D191" s="57"/>
    </row>
    <row r="192" spans="1:4" x14ac:dyDescent="0.25">
      <c r="A192" s="52" t="s">
        <v>698</v>
      </c>
      <c r="B192" s="58" t="s">
        <v>745</v>
      </c>
      <c r="C192" s="57">
        <v>1.1499999999999999</v>
      </c>
      <c r="D192" s="57"/>
    </row>
    <row r="193" spans="1:4" x14ac:dyDescent="0.25">
      <c r="A193" s="52" t="s">
        <v>1520</v>
      </c>
      <c r="B193" s="58" t="s">
        <v>745</v>
      </c>
      <c r="C193" s="57">
        <v>1.25</v>
      </c>
      <c r="D193" s="57"/>
    </row>
    <row r="194" spans="1:4" x14ac:dyDescent="0.25">
      <c r="A194" s="52" t="s">
        <v>1464</v>
      </c>
      <c r="B194" s="58" t="s">
        <v>745</v>
      </c>
      <c r="C194" s="57">
        <v>0.45</v>
      </c>
      <c r="D194" s="57"/>
    </row>
    <row r="195" spans="1:4" x14ac:dyDescent="0.25">
      <c r="A195" s="52" t="s">
        <v>2671</v>
      </c>
      <c r="B195" s="56" t="s">
        <v>745</v>
      </c>
      <c r="C195" s="57">
        <v>3.89</v>
      </c>
      <c r="D195" s="57"/>
    </row>
    <row r="196" spans="1:4" x14ac:dyDescent="0.25">
      <c r="A196" s="52" t="s">
        <v>2677</v>
      </c>
      <c r="B196" s="56" t="s">
        <v>745</v>
      </c>
      <c r="C196" s="57">
        <v>1.4</v>
      </c>
      <c r="D196" s="57"/>
    </row>
    <row r="197" spans="1:4" x14ac:dyDescent="0.25">
      <c r="A197" s="52" t="s">
        <v>2673</v>
      </c>
      <c r="B197" s="56" t="s">
        <v>745</v>
      </c>
      <c r="C197" s="57">
        <v>2.2999999999999998</v>
      </c>
      <c r="D197" s="57"/>
    </row>
    <row r="198" spans="1:4" x14ac:dyDescent="0.25">
      <c r="A198" s="52" t="s">
        <v>2675</v>
      </c>
      <c r="B198" s="56" t="s">
        <v>745</v>
      </c>
      <c r="C198" s="57">
        <v>3.6</v>
      </c>
      <c r="D198" s="57"/>
    </row>
    <row r="199" spans="1:4" x14ac:dyDescent="0.25">
      <c r="A199" s="52" t="s">
        <v>2678</v>
      </c>
      <c r="B199" s="56" t="s">
        <v>745</v>
      </c>
      <c r="C199" s="57">
        <v>0.32</v>
      </c>
      <c r="D199" s="57"/>
    </row>
    <row r="200" spans="1:4" x14ac:dyDescent="0.25">
      <c r="A200" s="52" t="s">
        <v>2672</v>
      </c>
      <c r="B200" s="56" t="s">
        <v>745</v>
      </c>
      <c r="C200" s="57">
        <v>2.7</v>
      </c>
      <c r="D200" s="57"/>
    </row>
    <row r="201" spans="1:4" x14ac:dyDescent="0.25">
      <c r="A201" s="52" t="s">
        <v>2676</v>
      </c>
      <c r="B201" s="56" t="s">
        <v>745</v>
      </c>
      <c r="C201" s="57">
        <v>1.05</v>
      </c>
      <c r="D201" s="57"/>
    </row>
    <row r="202" spans="1:4" x14ac:dyDescent="0.25">
      <c r="A202" s="52" t="s">
        <v>2674</v>
      </c>
      <c r="B202" s="56" t="s">
        <v>745</v>
      </c>
      <c r="C202" s="57">
        <v>3.75</v>
      </c>
      <c r="D202" s="57"/>
    </row>
    <row r="203" spans="1:4" x14ac:dyDescent="0.25">
      <c r="A203" s="51" t="s">
        <v>905</v>
      </c>
      <c r="B203" s="56" t="s">
        <v>1715</v>
      </c>
      <c r="C203" s="57">
        <v>125</v>
      </c>
      <c r="D203" s="57"/>
    </row>
    <row r="204" spans="1:4" x14ac:dyDescent="0.25">
      <c r="A204" s="52" t="s">
        <v>2234</v>
      </c>
      <c r="B204" s="58" t="s">
        <v>745</v>
      </c>
      <c r="C204" s="57">
        <v>0.15</v>
      </c>
      <c r="D204" s="57"/>
    </row>
    <row r="205" spans="1:4" x14ac:dyDescent="0.25">
      <c r="A205" s="52" t="s">
        <v>2235</v>
      </c>
      <c r="B205" s="58" t="s">
        <v>745</v>
      </c>
      <c r="C205" s="57">
        <v>2.08</v>
      </c>
      <c r="D205" s="57"/>
    </row>
    <row r="206" spans="1:4" x14ac:dyDescent="0.25">
      <c r="A206" s="52" t="s">
        <v>660</v>
      </c>
      <c r="B206" s="58" t="s">
        <v>745</v>
      </c>
      <c r="C206" s="57">
        <v>0.6</v>
      </c>
      <c r="D206" s="57"/>
    </row>
    <row r="207" spans="1:4" ht="22.8" x14ac:dyDescent="0.25">
      <c r="A207" s="54" t="s">
        <v>1700</v>
      </c>
      <c r="B207" s="56" t="s">
        <v>745</v>
      </c>
      <c r="C207" s="57">
        <v>188</v>
      </c>
      <c r="D207" s="57"/>
    </row>
    <row r="208" spans="1:4" x14ac:dyDescent="0.25">
      <c r="A208" s="52" t="s">
        <v>2233</v>
      </c>
      <c r="B208" s="58" t="s">
        <v>745</v>
      </c>
      <c r="C208" s="57">
        <v>0.36</v>
      </c>
      <c r="D208" s="57"/>
    </row>
    <row r="209" spans="1:4" x14ac:dyDescent="0.25">
      <c r="A209" s="52" t="s">
        <v>1106</v>
      </c>
      <c r="B209" s="58" t="s">
        <v>745</v>
      </c>
      <c r="C209" s="57">
        <v>1.4</v>
      </c>
      <c r="D209" s="57"/>
    </row>
    <row r="210" spans="1:4" x14ac:dyDescent="0.25">
      <c r="A210" s="52" t="s">
        <v>1621</v>
      </c>
      <c r="B210" s="58" t="s">
        <v>745</v>
      </c>
      <c r="C210" s="57">
        <v>0.38</v>
      </c>
      <c r="D210" s="57"/>
    </row>
    <row r="211" spans="1:4" x14ac:dyDescent="0.25">
      <c r="A211" s="52" t="s">
        <v>1620</v>
      </c>
      <c r="B211" s="58" t="s">
        <v>2834</v>
      </c>
      <c r="C211" s="57">
        <v>50</v>
      </c>
      <c r="D211" s="57"/>
    </row>
    <row r="212" spans="1:4" x14ac:dyDescent="0.25">
      <c r="A212" s="52" t="s">
        <v>1620</v>
      </c>
      <c r="B212" s="58" t="s">
        <v>745</v>
      </c>
      <c r="C212" s="57">
        <v>0.38</v>
      </c>
      <c r="D212" s="57"/>
    </row>
    <row r="213" spans="1:4" x14ac:dyDescent="0.25">
      <c r="A213" s="52" t="s">
        <v>1615</v>
      </c>
      <c r="B213" s="56" t="s">
        <v>745</v>
      </c>
      <c r="C213" s="57">
        <v>14</v>
      </c>
      <c r="D213" s="57"/>
    </row>
    <row r="214" spans="1:4" x14ac:dyDescent="0.25">
      <c r="A214" s="52" t="s">
        <v>1616</v>
      </c>
      <c r="B214" s="56" t="s">
        <v>745</v>
      </c>
      <c r="C214" s="57">
        <v>20</v>
      </c>
      <c r="D214" s="57"/>
    </row>
    <row r="215" spans="1:4" x14ac:dyDescent="0.25">
      <c r="A215" s="52" t="s">
        <v>2240</v>
      </c>
      <c r="B215" s="56" t="s">
        <v>745</v>
      </c>
      <c r="C215" s="57">
        <v>16</v>
      </c>
      <c r="D215" s="57"/>
    </row>
    <row r="216" spans="1:4" ht="45.6" x14ac:dyDescent="0.25">
      <c r="A216" s="52" t="s">
        <v>589</v>
      </c>
      <c r="C216" s="57"/>
      <c r="D216" s="57"/>
    </row>
    <row r="217" spans="1:4" x14ac:dyDescent="0.25">
      <c r="A217" s="52" t="s">
        <v>1614</v>
      </c>
      <c r="B217" s="56" t="s">
        <v>745</v>
      </c>
      <c r="C217" s="57">
        <v>4.95</v>
      </c>
      <c r="D217" s="57"/>
    </row>
    <row r="218" spans="1:4" x14ac:dyDescent="0.25">
      <c r="A218" s="52" t="s">
        <v>1617</v>
      </c>
      <c r="B218" s="58" t="s">
        <v>745</v>
      </c>
      <c r="C218" s="57"/>
      <c r="D218" s="57"/>
    </row>
    <row r="219" spans="1:4" ht="22.8" x14ac:dyDescent="0.25">
      <c r="A219" s="54" t="s">
        <v>1699</v>
      </c>
      <c r="B219" s="56" t="s">
        <v>745</v>
      </c>
      <c r="C219" s="57">
        <v>197</v>
      </c>
      <c r="D219" s="57"/>
    </row>
    <row r="220" spans="1:4" x14ac:dyDescent="0.25">
      <c r="A220" s="52" t="s">
        <v>2365</v>
      </c>
      <c r="B220" s="58" t="s">
        <v>745</v>
      </c>
      <c r="C220" s="57">
        <v>197</v>
      </c>
      <c r="D220" s="57"/>
    </row>
    <row r="221" spans="1:4" x14ac:dyDescent="0.25">
      <c r="A221" s="52" t="s">
        <v>2368</v>
      </c>
      <c r="B221" s="58" t="s">
        <v>745</v>
      </c>
      <c r="C221" s="57">
        <v>188</v>
      </c>
      <c r="D221" s="57"/>
    </row>
    <row r="222" spans="1:4" x14ac:dyDescent="0.25">
      <c r="A222" s="52" t="s">
        <v>2237</v>
      </c>
      <c r="B222" s="58" t="s">
        <v>745</v>
      </c>
      <c r="C222" s="57">
        <v>0.19</v>
      </c>
      <c r="D222" s="57"/>
    </row>
    <row r="223" spans="1:4" x14ac:dyDescent="0.25">
      <c r="A223" s="52" t="s">
        <v>1382</v>
      </c>
      <c r="B223" s="58" t="s">
        <v>745</v>
      </c>
      <c r="C223" s="57">
        <v>18.5</v>
      </c>
      <c r="D223" s="57"/>
    </row>
    <row r="224" spans="1:4" x14ac:dyDescent="0.25">
      <c r="A224" s="52" t="s">
        <v>2124</v>
      </c>
      <c r="B224" s="58" t="s">
        <v>745</v>
      </c>
      <c r="C224" s="57">
        <v>30</v>
      </c>
      <c r="D224" s="57"/>
    </row>
    <row r="233" spans="1:4" ht="22.8" x14ac:dyDescent="0.25">
      <c r="A233" s="52" t="s">
        <v>1647</v>
      </c>
      <c r="B233" s="56" t="s">
        <v>2734</v>
      </c>
      <c r="C233" s="57">
        <v>2.84</v>
      </c>
      <c r="D233" s="57"/>
    </row>
    <row r="234" spans="1:4" x14ac:dyDescent="0.25">
      <c r="A234" s="51" t="s">
        <v>1956</v>
      </c>
      <c r="B234" s="56" t="s">
        <v>2734</v>
      </c>
      <c r="C234" s="57">
        <v>0.67</v>
      </c>
      <c r="D234" s="57"/>
    </row>
    <row r="235" spans="1:4" x14ac:dyDescent="0.25">
      <c r="A235" s="52" t="s">
        <v>310</v>
      </c>
      <c r="B235" s="58" t="s">
        <v>2734</v>
      </c>
      <c r="C235" s="57">
        <v>0.75</v>
      </c>
      <c r="D235" s="57"/>
    </row>
    <row r="236" spans="1:4" x14ac:dyDescent="0.25">
      <c r="A236" s="52" t="s">
        <v>311</v>
      </c>
      <c r="B236" s="58" t="s">
        <v>2734</v>
      </c>
      <c r="C236" s="57"/>
      <c r="D236" s="57"/>
    </row>
    <row r="237" spans="1:4" x14ac:dyDescent="0.25">
      <c r="A237" s="51" t="s">
        <v>2037</v>
      </c>
      <c r="B237" s="56" t="s">
        <v>2734</v>
      </c>
      <c r="C237" s="57">
        <v>0.7</v>
      </c>
      <c r="D237" s="57"/>
    </row>
    <row r="238" spans="1:4" x14ac:dyDescent="0.25">
      <c r="A238" s="51" t="s">
        <v>1957</v>
      </c>
      <c r="B238" s="56" t="s">
        <v>2734</v>
      </c>
      <c r="C238" s="57">
        <v>0.23</v>
      </c>
      <c r="D238" s="57"/>
    </row>
    <row r="239" spans="1:4" x14ac:dyDescent="0.25">
      <c r="A239" s="51" t="s">
        <v>2464</v>
      </c>
      <c r="B239" s="56" t="s">
        <v>2734</v>
      </c>
      <c r="C239" s="57">
        <v>1</v>
      </c>
      <c r="D239" s="57"/>
    </row>
    <row r="240" spans="1:4" x14ac:dyDescent="0.25">
      <c r="A240" s="52" t="s">
        <v>291</v>
      </c>
      <c r="B240" s="58" t="s">
        <v>2734</v>
      </c>
      <c r="C240" s="57"/>
      <c r="D240" s="57"/>
    </row>
    <row r="241" spans="1:4" x14ac:dyDescent="0.25">
      <c r="A241" s="51" t="s">
        <v>2580</v>
      </c>
      <c r="B241" s="56" t="s">
        <v>2734</v>
      </c>
      <c r="C241" s="57">
        <v>0.42</v>
      </c>
      <c r="D241" s="57"/>
    </row>
    <row r="242" spans="1:4" x14ac:dyDescent="0.25">
      <c r="A242" s="51" t="s">
        <v>1949</v>
      </c>
      <c r="B242" s="56" t="s">
        <v>2734</v>
      </c>
      <c r="C242" s="57">
        <v>0.83</v>
      </c>
      <c r="D242" s="57"/>
    </row>
    <row r="243" spans="1:4" x14ac:dyDescent="0.25">
      <c r="A243" s="51" t="s">
        <v>2038</v>
      </c>
      <c r="B243" s="56" t="s">
        <v>2734</v>
      </c>
      <c r="C243" s="57">
        <v>0.7</v>
      </c>
      <c r="D243" s="57"/>
    </row>
    <row r="244" spans="1:4" x14ac:dyDescent="0.25">
      <c r="A244" s="51" t="s">
        <v>2039</v>
      </c>
      <c r="B244" s="56" t="s">
        <v>2734</v>
      </c>
      <c r="C244" s="57">
        <v>1</v>
      </c>
      <c r="D244" s="57"/>
    </row>
    <row r="245" spans="1:4" x14ac:dyDescent="0.25">
      <c r="A245" s="51" t="s">
        <v>297</v>
      </c>
      <c r="B245" s="56" t="s">
        <v>2734</v>
      </c>
      <c r="C245" s="57">
        <v>0.45</v>
      </c>
      <c r="D245" s="57"/>
    </row>
    <row r="246" spans="1:4" x14ac:dyDescent="0.25">
      <c r="A246" s="51" t="s">
        <v>302</v>
      </c>
      <c r="B246" s="56" t="s">
        <v>2734</v>
      </c>
      <c r="C246" s="57">
        <v>0.48</v>
      </c>
      <c r="D246" s="57"/>
    </row>
    <row r="247" spans="1:4" x14ac:dyDescent="0.25">
      <c r="A247" s="52" t="s">
        <v>1952</v>
      </c>
      <c r="B247" s="58" t="s">
        <v>2734</v>
      </c>
      <c r="C247" s="57">
        <v>0.7</v>
      </c>
      <c r="D247" s="57"/>
    </row>
    <row r="248" spans="1:4" x14ac:dyDescent="0.25">
      <c r="A248" s="52" t="s">
        <v>314</v>
      </c>
      <c r="B248" s="58" t="s">
        <v>2734</v>
      </c>
      <c r="C248" s="57">
        <v>1.2</v>
      </c>
      <c r="D248" s="57"/>
    </row>
    <row r="249" spans="1:4" x14ac:dyDescent="0.25">
      <c r="A249" s="51" t="s">
        <v>294</v>
      </c>
      <c r="B249" s="56" t="s">
        <v>2734</v>
      </c>
      <c r="C249" s="57">
        <v>0.7</v>
      </c>
      <c r="D249" s="57"/>
    </row>
    <row r="250" spans="1:4" x14ac:dyDescent="0.25">
      <c r="A250" s="51" t="s">
        <v>295</v>
      </c>
      <c r="B250" s="56" t="s">
        <v>2734</v>
      </c>
      <c r="C250" s="57">
        <v>0.7</v>
      </c>
      <c r="D250" s="57"/>
    </row>
    <row r="251" spans="1:4" x14ac:dyDescent="0.25">
      <c r="A251" s="51" t="s">
        <v>326</v>
      </c>
      <c r="B251" s="56" t="s">
        <v>2734</v>
      </c>
      <c r="C251" s="57">
        <v>0.36</v>
      </c>
      <c r="D251" s="57"/>
    </row>
    <row r="252" spans="1:4" x14ac:dyDescent="0.25">
      <c r="A252" s="51" t="s">
        <v>2441</v>
      </c>
      <c r="B252" s="56" t="s">
        <v>2734</v>
      </c>
      <c r="C252" s="57">
        <v>0.7</v>
      </c>
      <c r="D252" s="57"/>
    </row>
    <row r="253" spans="1:4" x14ac:dyDescent="0.25">
      <c r="A253" s="51" t="s">
        <v>2442</v>
      </c>
      <c r="B253" s="56" t="s">
        <v>2734</v>
      </c>
      <c r="C253" s="57">
        <v>0.7</v>
      </c>
      <c r="D253" s="57"/>
    </row>
    <row r="254" spans="1:4" x14ac:dyDescent="0.25">
      <c r="A254" s="51" t="s">
        <v>2443</v>
      </c>
      <c r="B254" s="56" t="s">
        <v>2734</v>
      </c>
      <c r="C254" s="57">
        <v>0.91</v>
      </c>
      <c r="D254" s="57"/>
    </row>
    <row r="255" spans="1:4" x14ac:dyDescent="0.25">
      <c r="A255" s="51" t="s">
        <v>2444</v>
      </c>
      <c r="B255" s="56" t="s">
        <v>2734</v>
      </c>
      <c r="C255" s="57">
        <v>1.1000000000000001</v>
      </c>
      <c r="D255" s="57"/>
    </row>
    <row r="256" spans="1:4" x14ac:dyDescent="0.25">
      <c r="A256" s="52" t="s">
        <v>315</v>
      </c>
      <c r="B256" s="58" t="s">
        <v>2734</v>
      </c>
      <c r="C256" s="57">
        <v>0.16</v>
      </c>
      <c r="D256" s="57"/>
    </row>
    <row r="257" spans="1:4" x14ac:dyDescent="0.25">
      <c r="A257" s="52" t="s">
        <v>316</v>
      </c>
      <c r="B257" s="58" t="s">
        <v>2734</v>
      </c>
      <c r="C257" s="57">
        <v>1.46</v>
      </c>
      <c r="D257" s="57"/>
    </row>
    <row r="258" spans="1:4" x14ac:dyDescent="0.25">
      <c r="A258" s="51" t="s">
        <v>2445</v>
      </c>
      <c r="B258" s="56" t="s">
        <v>2734</v>
      </c>
      <c r="C258" s="57">
        <v>0.75</v>
      </c>
      <c r="D258" s="57"/>
    </row>
    <row r="259" spans="1:4" x14ac:dyDescent="0.25">
      <c r="A259" s="51" t="s">
        <v>2446</v>
      </c>
      <c r="B259" s="56" t="s">
        <v>2734</v>
      </c>
      <c r="C259" s="57">
        <v>0.7</v>
      </c>
      <c r="D259" s="57"/>
    </row>
    <row r="260" spans="1:4" x14ac:dyDescent="0.25">
      <c r="A260" s="52" t="s">
        <v>292</v>
      </c>
      <c r="B260" s="58" t="s">
        <v>2734</v>
      </c>
      <c r="C260" s="57">
        <v>0.68</v>
      </c>
      <c r="D260" s="57"/>
    </row>
    <row r="261" spans="1:4" x14ac:dyDescent="0.25">
      <c r="A261" s="52" t="s">
        <v>288</v>
      </c>
      <c r="B261" s="58" t="s">
        <v>2734</v>
      </c>
      <c r="C261" s="57">
        <v>0.13</v>
      </c>
      <c r="D261" s="57"/>
    </row>
    <row r="262" spans="1:4" x14ac:dyDescent="0.25">
      <c r="A262" s="51" t="s">
        <v>2447</v>
      </c>
      <c r="B262" s="56" t="s">
        <v>2734</v>
      </c>
      <c r="C262" s="57">
        <v>0.7</v>
      </c>
      <c r="D262" s="57"/>
    </row>
    <row r="263" spans="1:4" x14ac:dyDescent="0.25">
      <c r="A263" s="51" t="s">
        <v>2581</v>
      </c>
      <c r="B263" s="56" t="s">
        <v>2734</v>
      </c>
      <c r="C263" s="57">
        <v>1</v>
      </c>
      <c r="D263" s="57"/>
    </row>
    <row r="264" spans="1:4" x14ac:dyDescent="0.25">
      <c r="A264" s="51" t="s">
        <v>2582</v>
      </c>
      <c r="B264" s="56" t="s">
        <v>2734</v>
      </c>
      <c r="C264" s="57">
        <v>1.3</v>
      </c>
      <c r="D264" s="57"/>
    </row>
    <row r="265" spans="1:4" x14ac:dyDescent="0.25">
      <c r="A265" s="51" t="s">
        <v>1960</v>
      </c>
      <c r="B265" s="56" t="s">
        <v>2734</v>
      </c>
      <c r="C265" s="57">
        <v>1</v>
      </c>
      <c r="D265" s="57"/>
    </row>
    <row r="266" spans="1:4" x14ac:dyDescent="0.25">
      <c r="A266" s="51" t="s">
        <v>2583</v>
      </c>
      <c r="B266" s="56" t="s">
        <v>2734</v>
      </c>
      <c r="C266" s="57">
        <v>1.1000000000000001</v>
      </c>
      <c r="D266" s="57"/>
    </row>
    <row r="267" spans="1:4" x14ac:dyDescent="0.25">
      <c r="A267" s="51" t="s">
        <v>2448</v>
      </c>
      <c r="B267" s="56" t="s">
        <v>2734</v>
      </c>
      <c r="C267" s="57">
        <v>1.2</v>
      </c>
      <c r="D267" s="57"/>
    </row>
    <row r="268" spans="1:4" x14ac:dyDescent="0.25">
      <c r="A268" s="52" t="s">
        <v>317</v>
      </c>
      <c r="B268" s="58" t="s">
        <v>2734</v>
      </c>
      <c r="C268" s="57">
        <v>2.2000000000000002</v>
      </c>
      <c r="D268" s="57"/>
    </row>
    <row r="269" spans="1:4" x14ac:dyDescent="0.25">
      <c r="A269" s="52" t="s">
        <v>293</v>
      </c>
      <c r="B269" s="58" t="s">
        <v>2734</v>
      </c>
      <c r="C269" s="57">
        <v>0.2</v>
      </c>
      <c r="D269" s="57"/>
    </row>
    <row r="270" spans="1:4" x14ac:dyDescent="0.25">
      <c r="A270" s="51" t="s">
        <v>2584</v>
      </c>
      <c r="B270" s="56" t="s">
        <v>2734</v>
      </c>
      <c r="C270" s="57">
        <v>0.42</v>
      </c>
      <c r="D270" s="57"/>
    </row>
    <row r="271" spans="1:4" x14ac:dyDescent="0.25">
      <c r="A271" s="51" t="s">
        <v>2585</v>
      </c>
      <c r="B271" s="56" t="s">
        <v>2734</v>
      </c>
      <c r="C271" s="57">
        <v>0.83</v>
      </c>
      <c r="D271" s="57"/>
    </row>
    <row r="272" spans="1:4" x14ac:dyDescent="0.25">
      <c r="A272" s="51" t="s">
        <v>2586</v>
      </c>
      <c r="B272" s="56" t="s">
        <v>2734</v>
      </c>
      <c r="C272" s="57">
        <v>1.1000000000000001</v>
      </c>
      <c r="D272" s="57"/>
    </row>
    <row r="273" spans="1:4" x14ac:dyDescent="0.25">
      <c r="A273" s="51" t="s">
        <v>1937</v>
      </c>
      <c r="B273" s="56" t="s">
        <v>2734</v>
      </c>
      <c r="C273" s="57">
        <v>1</v>
      </c>
      <c r="D273" s="57"/>
    </row>
    <row r="274" spans="1:4" x14ac:dyDescent="0.25">
      <c r="A274" s="51" t="s">
        <v>1938</v>
      </c>
      <c r="B274" s="56" t="s">
        <v>2734</v>
      </c>
      <c r="C274" s="57">
        <v>1</v>
      </c>
      <c r="D274" s="57"/>
    </row>
    <row r="275" spans="1:4" x14ac:dyDescent="0.25">
      <c r="A275" s="51" t="s">
        <v>1939</v>
      </c>
      <c r="B275" s="56" t="s">
        <v>2734</v>
      </c>
      <c r="C275" s="57">
        <v>1</v>
      </c>
      <c r="D275" s="57"/>
    </row>
    <row r="276" spans="1:4" x14ac:dyDescent="0.25">
      <c r="A276" s="51" t="s">
        <v>2449</v>
      </c>
      <c r="B276" s="56" t="s">
        <v>2734</v>
      </c>
      <c r="C276" s="57">
        <v>1.36</v>
      </c>
      <c r="D276" s="57"/>
    </row>
    <row r="277" spans="1:4" x14ac:dyDescent="0.25">
      <c r="A277" s="52" t="s">
        <v>318</v>
      </c>
      <c r="B277" s="58" t="s">
        <v>2734</v>
      </c>
      <c r="C277" s="57">
        <v>0.68</v>
      </c>
      <c r="D277" s="57"/>
    </row>
    <row r="278" spans="1:4" x14ac:dyDescent="0.25">
      <c r="A278" s="51" t="s">
        <v>1940</v>
      </c>
      <c r="B278" s="56" t="s">
        <v>2734</v>
      </c>
      <c r="C278" s="57">
        <v>0.42</v>
      </c>
      <c r="D278" s="57"/>
    </row>
    <row r="279" spans="1:4" ht="22.8" x14ac:dyDescent="0.25">
      <c r="A279" s="52" t="s">
        <v>1953</v>
      </c>
      <c r="B279" s="58" t="s">
        <v>2734</v>
      </c>
      <c r="C279" s="57">
        <v>0.23</v>
      </c>
      <c r="D279" s="57"/>
    </row>
    <row r="280" spans="1:4" x14ac:dyDescent="0.25">
      <c r="A280" s="51" t="s">
        <v>2450</v>
      </c>
      <c r="B280" s="56" t="s">
        <v>2734</v>
      </c>
      <c r="C280" s="57">
        <v>1.36</v>
      </c>
      <c r="D280" s="57"/>
    </row>
    <row r="281" spans="1:4" x14ac:dyDescent="0.25">
      <c r="A281" s="52" t="s">
        <v>319</v>
      </c>
      <c r="B281" s="58" t="s">
        <v>2734</v>
      </c>
      <c r="C281" s="57">
        <v>2</v>
      </c>
      <c r="D281" s="57"/>
    </row>
    <row r="282" spans="1:4" x14ac:dyDescent="0.25">
      <c r="A282" s="51" t="s">
        <v>458</v>
      </c>
      <c r="B282" s="56" t="s">
        <v>2734</v>
      </c>
      <c r="C282" s="57">
        <v>0.78</v>
      </c>
      <c r="D282" s="57"/>
    </row>
    <row r="283" spans="1:4" x14ac:dyDescent="0.25">
      <c r="A283" s="52" t="s">
        <v>320</v>
      </c>
      <c r="B283" s="58" t="s">
        <v>2734</v>
      </c>
      <c r="C283" s="57">
        <v>0.16</v>
      </c>
      <c r="D283" s="57"/>
    </row>
    <row r="284" spans="1:4" x14ac:dyDescent="0.25">
      <c r="A284" s="51" t="s">
        <v>1958</v>
      </c>
      <c r="B284" s="56" t="s">
        <v>2734</v>
      </c>
      <c r="C284" s="57">
        <v>0.7</v>
      </c>
      <c r="D284" s="57"/>
    </row>
    <row r="285" spans="1:4" x14ac:dyDescent="0.25">
      <c r="A285" s="51" t="s">
        <v>1941</v>
      </c>
      <c r="B285" s="56" t="s">
        <v>2734</v>
      </c>
      <c r="C285" s="57">
        <v>0.66</v>
      </c>
      <c r="D285" s="57"/>
    </row>
    <row r="286" spans="1:4" x14ac:dyDescent="0.25">
      <c r="A286" s="52" t="s">
        <v>1959</v>
      </c>
      <c r="B286" s="58" t="s">
        <v>2734</v>
      </c>
      <c r="C286" s="57">
        <v>2</v>
      </c>
      <c r="D286" s="57"/>
    </row>
    <row r="287" spans="1:4" x14ac:dyDescent="0.25">
      <c r="A287" s="51" t="s">
        <v>1942</v>
      </c>
      <c r="B287" s="56" t="s">
        <v>2734</v>
      </c>
      <c r="C287" s="57">
        <v>1.1000000000000001</v>
      </c>
      <c r="D287" s="57"/>
    </row>
    <row r="288" spans="1:4" x14ac:dyDescent="0.25">
      <c r="A288" s="51" t="s">
        <v>1943</v>
      </c>
      <c r="B288" s="56" t="s">
        <v>2734</v>
      </c>
      <c r="C288" s="57">
        <v>0.75</v>
      </c>
      <c r="D288" s="57"/>
    </row>
    <row r="289" spans="1:4" x14ac:dyDescent="0.25">
      <c r="A289" s="51" t="s">
        <v>1944</v>
      </c>
      <c r="B289" s="56" t="s">
        <v>2734</v>
      </c>
      <c r="C289" s="57">
        <v>0.83</v>
      </c>
      <c r="D289" s="57"/>
    </row>
    <row r="290" spans="1:4" x14ac:dyDescent="0.25">
      <c r="A290" s="51" t="s">
        <v>1945</v>
      </c>
      <c r="B290" s="56" t="s">
        <v>2734</v>
      </c>
      <c r="C290" s="57">
        <v>0.94</v>
      </c>
      <c r="D290" s="57"/>
    </row>
    <row r="291" spans="1:4" x14ac:dyDescent="0.25">
      <c r="A291" s="52" t="s">
        <v>290</v>
      </c>
      <c r="B291" s="58" t="s">
        <v>2734</v>
      </c>
      <c r="C291" s="57">
        <v>0.2</v>
      </c>
      <c r="D291" s="57"/>
    </row>
    <row r="292" spans="1:4" x14ac:dyDescent="0.25">
      <c r="A292" s="51" t="s">
        <v>1946</v>
      </c>
      <c r="B292" s="56" t="s">
        <v>2734</v>
      </c>
      <c r="C292" s="57">
        <v>0.56000000000000005</v>
      </c>
      <c r="D292" s="57"/>
    </row>
    <row r="293" spans="1:4" x14ac:dyDescent="0.25">
      <c r="A293" s="51" t="s">
        <v>1950</v>
      </c>
      <c r="B293" s="56" t="s">
        <v>2734</v>
      </c>
      <c r="C293" s="57">
        <v>0.83</v>
      </c>
      <c r="D293" s="57"/>
    </row>
    <row r="294" spans="1:4" x14ac:dyDescent="0.25">
      <c r="A294" s="51" t="s">
        <v>1947</v>
      </c>
      <c r="B294" s="56" t="s">
        <v>2734</v>
      </c>
      <c r="C294" s="57">
        <v>0.42</v>
      </c>
      <c r="D294" s="57"/>
    </row>
    <row r="295" spans="1:4" x14ac:dyDescent="0.25">
      <c r="A295" s="52" t="s">
        <v>309</v>
      </c>
      <c r="B295" s="58" t="s">
        <v>2734</v>
      </c>
      <c r="C295" s="57">
        <v>0.2</v>
      </c>
      <c r="D295" s="57"/>
    </row>
    <row r="296" spans="1:4" x14ac:dyDescent="0.25">
      <c r="A296" s="51" t="s">
        <v>1948</v>
      </c>
      <c r="B296" s="56" t="s">
        <v>2734</v>
      </c>
      <c r="C296" s="57">
        <v>0.42</v>
      </c>
      <c r="D296" s="57"/>
    </row>
    <row r="297" spans="1:4" x14ac:dyDescent="0.25">
      <c r="A297" s="51" t="s">
        <v>1951</v>
      </c>
      <c r="B297" s="56" t="s">
        <v>2734</v>
      </c>
      <c r="C297" s="57">
        <v>0.83</v>
      </c>
      <c r="D297" s="57"/>
    </row>
    <row r="298" spans="1:4" x14ac:dyDescent="0.25">
      <c r="A298" s="52" t="s">
        <v>1954</v>
      </c>
      <c r="B298" s="58" t="s">
        <v>2734</v>
      </c>
      <c r="C298" s="57">
        <v>10</v>
      </c>
      <c r="D298" s="57"/>
    </row>
    <row r="299" spans="1:4" x14ac:dyDescent="0.25">
      <c r="A299" s="52" t="s">
        <v>1955</v>
      </c>
      <c r="C299" s="57"/>
      <c r="D299" s="57"/>
    </row>
    <row r="300" spans="1:4" x14ac:dyDescent="0.25">
      <c r="A300" s="52" t="s">
        <v>662</v>
      </c>
      <c r="B300" s="58" t="s">
        <v>2734</v>
      </c>
      <c r="C300" s="57">
        <v>1.25</v>
      </c>
      <c r="D300" s="57"/>
    </row>
    <row r="301" spans="1:4" x14ac:dyDescent="0.25">
      <c r="A301" s="52" t="s">
        <v>430</v>
      </c>
      <c r="C301" s="57"/>
      <c r="D301" s="57"/>
    </row>
    <row r="302" spans="1:4" x14ac:dyDescent="0.25">
      <c r="A302" s="52" t="s">
        <v>431</v>
      </c>
      <c r="C302" s="57"/>
      <c r="D302" s="57"/>
    </row>
    <row r="303" spans="1:4" x14ac:dyDescent="0.25">
      <c r="A303" s="52" t="s">
        <v>432</v>
      </c>
      <c r="C303" s="57"/>
      <c r="D303" s="57"/>
    </row>
    <row r="304" spans="1:4" x14ac:dyDescent="0.25">
      <c r="A304" s="52" t="s">
        <v>433</v>
      </c>
      <c r="C304" s="57"/>
      <c r="D304" s="57"/>
    </row>
    <row r="305" spans="1:4" x14ac:dyDescent="0.25">
      <c r="A305" s="52" t="s">
        <v>434</v>
      </c>
      <c r="C305" s="57"/>
      <c r="D305" s="57"/>
    </row>
    <row r="306" spans="1:4" x14ac:dyDescent="0.25">
      <c r="A306" s="52" t="s">
        <v>435</v>
      </c>
      <c r="C306" s="57"/>
      <c r="D306" s="57"/>
    </row>
    <row r="307" spans="1:4" x14ac:dyDescent="0.25">
      <c r="A307" s="52" t="s">
        <v>436</v>
      </c>
      <c r="B307" s="58" t="s">
        <v>2030</v>
      </c>
      <c r="C307" s="57">
        <v>68</v>
      </c>
      <c r="D307" s="57"/>
    </row>
    <row r="308" spans="1:4" x14ac:dyDescent="0.25">
      <c r="A308" s="52" t="s">
        <v>2715</v>
      </c>
      <c r="B308" s="58" t="s">
        <v>1715</v>
      </c>
      <c r="C308" s="57">
        <v>210</v>
      </c>
      <c r="D308" s="57"/>
    </row>
    <row r="309" spans="1:4" x14ac:dyDescent="0.25">
      <c r="A309" s="51" t="s">
        <v>179</v>
      </c>
      <c r="B309" s="56" t="s">
        <v>1715</v>
      </c>
      <c r="C309" s="57">
        <v>320</v>
      </c>
      <c r="D309" s="57"/>
    </row>
    <row r="310" spans="1:4" x14ac:dyDescent="0.25">
      <c r="A310" s="51" t="s">
        <v>571</v>
      </c>
      <c r="B310" s="56" t="s">
        <v>734</v>
      </c>
      <c r="C310" s="57">
        <v>470</v>
      </c>
      <c r="D310" s="57"/>
    </row>
    <row r="311" spans="1:4" x14ac:dyDescent="0.25">
      <c r="A311" s="51" t="s">
        <v>572</v>
      </c>
      <c r="B311" s="56" t="s">
        <v>1715</v>
      </c>
      <c r="C311" s="57">
        <v>400</v>
      </c>
      <c r="D311" s="57"/>
    </row>
    <row r="312" spans="1:4" ht="22.8" x14ac:dyDescent="0.25">
      <c r="A312" s="55" t="s">
        <v>1708</v>
      </c>
      <c r="B312" s="64" t="s">
        <v>1715</v>
      </c>
      <c r="C312" s="61">
        <v>600</v>
      </c>
      <c r="D312" s="57"/>
    </row>
    <row r="313" spans="1:4" x14ac:dyDescent="0.25">
      <c r="A313" s="52" t="s">
        <v>2416</v>
      </c>
      <c r="B313" s="58" t="s">
        <v>2109</v>
      </c>
      <c r="C313" s="57">
        <v>1.75</v>
      </c>
      <c r="D313" s="57"/>
    </row>
    <row r="314" spans="1:4" x14ac:dyDescent="0.25">
      <c r="A314" s="51" t="s">
        <v>2370</v>
      </c>
      <c r="B314" s="56" t="s">
        <v>1715</v>
      </c>
      <c r="C314" s="57">
        <v>400</v>
      </c>
      <c r="D314" s="57"/>
    </row>
    <row r="315" spans="1:4" x14ac:dyDescent="0.25">
      <c r="A315" s="51"/>
      <c r="B315" s="56"/>
      <c r="C315" s="57"/>
      <c r="D315" s="57"/>
    </row>
    <row r="316" spans="1:4" x14ac:dyDescent="0.25">
      <c r="A316" s="51"/>
      <c r="B316" s="56"/>
      <c r="C316" s="57"/>
      <c r="D316" s="57"/>
    </row>
    <row r="317" spans="1:4" x14ac:dyDescent="0.25">
      <c r="A317" s="65" t="s">
        <v>2859</v>
      </c>
      <c r="B317" s="56"/>
      <c r="C317" s="57"/>
      <c r="D317" s="57"/>
    </row>
    <row r="318" spans="1:4" x14ac:dyDescent="0.25">
      <c r="A318" s="52" t="s">
        <v>2721</v>
      </c>
      <c r="B318" s="58" t="s">
        <v>2834</v>
      </c>
      <c r="C318" s="57">
        <v>3225</v>
      </c>
      <c r="D318" s="57"/>
    </row>
    <row r="319" spans="1:4" x14ac:dyDescent="0.25">
      <c r="A319" s="52" t="s">
        <v>2722</v>
      </c>
      <c r="B319" s="58" t="s">
        <v>2834</v>
      </c>
      <c r="C319" s="57">
        <v>4600</v>
      </c>
      <c r="D319" s="57"/>
    </row>
    <row r="320" spans="1:4" x14ac:dyDescent="0.25">
      <c r="A320" s="52" t="s">
        <v>220</v>
      </c>
      <c r="B320" s="58" t="s">
        <v>2834</v>
      </c>
      <c r="C320" s="57">
        <v>10800</v>
      </c>
      <c r="D320" s="57"/>
    </row>
    <row r="321" spans="1:4" x14ac:dyDescent="0.25">
      <c r="A321" s="52" t="s">
        <v>2723</v>
      </c>
      <c r="B321" s="58" t="s">
        <v>2834</v>
      </c>
      <c r="C321" s="57">
        <v>1475</v>
      </c>
      <c r="D321" s="57"/>
    </row>
    <row r="322" spans="1:4" x14ac:dyDescent="0.25">
      <c r="A322" s="52" t="s">
        <v>564</v>
      </c>
      <c r="B322" s="58" t="s">
        <v>2834</v>
      </c>
      <c r="C322" s="57">
        <v>2950</v>
      </c>
      <c r="D322" s="57"/>
    </row>
    <row r="323" spans="1:4" x14ac:dyDescent="0.25">
      <c r="A323" s="52" t="s">
        <v>2724</v>
      </c>
      <c r="B323" s="58" t="s">
        <v>2834</v>
      </c>
      <c r="C323" s="57">
        <v>5850</v>
      </c>
      <c r="D323" s="57"/>
    </row>
    <row r="324" spans="1:4" x14ac:dyDescent="0.25">
      <c r="A324" s="52" t="s">
        <v>2725</v>
      </c>
      <c r="B324" s="58" t="s">
        <v>2734</v>
      </c>
      <c r="C324" s="57">
        <v>25</v>
      </c>
      <c r="D324" s="57"/>
    </row>
    <row r="325" spans="1:4" x14ac:dyDescent="0.25">
      <c r="A325" s="52" t="s">
        <v>1094</v>
      </c>
      <c r="B325" s="58" t="s">
        <v>2734</v>
      </c>
      <c r="C325" s="57">
        <v>31</v>
      </c>
      <c r="D325" s="57"/>
    </row>
    <row r="326" spans="1:4" x14ac:dyDescent="0.25">
      <c r="A326" s="52" t="s">
        <v>1095</v>
      </c>
      <c r="B326" s="58" t="s">
        <v>2734</v>
      </c>
      <c r="C326" s="57">
        <v>35.5</v>
      </c>
      <c r="D326" s="57"/>
    </row>
    <row r="327" spans="1:4" x14ac:dyDescent="0.25">
      <c r="A327" s="52" t="s">
        <v>1096</v>
      </c>
      <c r="B327" s="58" t="s">
        <v>2734</v>
      </c>
      <c r="C327" s="57">
        <v>41.5</v>
      </c>
      <c r="D327" s="57"/>
    </row>
    <row r="328" spans="1:4" x14ac:dyDescent="0.25">
      <c r="A328" s="52" t="s">
        <v>1097</v>
      </c>
      <c r="B328" s="58" t="s">
        <v>2734</v>
      </c>
      <c r="C328" s="57">
        <v>50</v>
      </c>
      <c r="D328" s="57"/>
    </row>
    <row r="329" spans="1:4" x14ac:dyDescent="0.25">
      <c r="A329" s="52" t="s">
        <v>1098</v>
      </c>
      <c r="B329" s="58" t="s">
        <v>2734</v>
      </c>
      <c r="C329" s="57">
        <v>61.5</v>
      </c>
      <c r="D329" s="57"/>
    </row>
    <row r="330" spans="1:4" x14ac:dyDescent="0.25">
      <c r="A330" s="52" t="s">
        <v>207</v>
      </c>
      <c r="B330" s="58" t="s">
        <v>2734</v>
      </c>
      <c r="C330" s="57">
        <v>3.72</v>
      </c>
      <c r="D330" s="57"/>
    </row>
    <row r="331" spans="1:4" x14ac:dyDescent="0.25">
      <c r="A331" s="52" t="s">
        <v>206</v>
      </c>
      <c r="B331" s="58" t="s">
        <v>2734</v>
      </c>
      <c r="C331" s="57">
        <v>5.6</v>
      </c>
      <c r="D331" s="57"/>
    </row>
    <row r="332" spans="1:4" x14ac:dyDescent="0.25">
      <c r="A332" s="52" t="s">
        <v>1099</v>
      </c>
      <c r="B332" s="58" t="s">
        <v>2734</v>
      </c>
      <c r="C332" s="57">
        <v>3.72</v>
      </c>
      <c r="D332" s="57"/>
    </row>
    <row r="333" spans="1:4" x14ac:dyDescent="0.25">
      <c r="A333" s="52" t="s">
        <v>1100</v>
      </c>
      <c r="B333" s="58" t="s">
        <v>2734</v>
      </c>
      <c r="C333" s="57">
        <v>4.96</v>
      </c>
      <c r="D333" s="57"/>
    </row>
    <row r="334" spans="1:4" x14ac:dyDescent="0.25">
      <c r="A334" s="52" t="s">
        <v>219</v>
      </c>
      <c r="B334" s="58" t="s">
        <v>2734</v>
      </c>
      <c r="C334" s="57">
        <v>7.45</v>
      </c>
      <c r="D334" s="57"/>
    </row>
    <row r="335" spans="1:4" x14ac:dyDescent="0.25">
      <c r="A335" s="52" t="s">
        <v>221</v>
      </c>
      <c r="B335" s="58" t="s">
        <v>2834</v>
      </c>
      <c r="C335" s="57">
        <v>1400</v>
      </c>
      <c r="D335" s="57"/>
    </row>
    <row r="336" spans="1:4" x14ac:dyDescent="0.25">
      <c r="A336" s="52" t="s">
        <v>222</v>
      </c>
      <c r="B336" s="58" t="s">
        <v>2834</v>
      </c>
      <c r="C336" s="57">
        <v>2775</v>
      </c>
      <c r="D336" s="57"/>
    </row>
    <row r="337" spans="1:5" x14ac:dyDescent="0.25">
      <c r="A337" s="52" t="s">
        <v>1978</v>
      </c>
      <c r="B337" s="58" t="s">
        <v>2834</v>
      </c>
      <c r="C337" s="57">
        <v>40</v>
      </c>
      <c r="D337" s="57"/>
    </row>
    <row r="338" spans="1:5" x14ac:dyDescent="0.25">
      <c r="A338" s="52" t="s">
        <v>223</v>
      </c>
      <c r="B338" s="58" t="s">
        <v>2834</v>
      </c>
      <c r="C338" s="57">
        <v>176</v>
      </c>
      <c r="D338" s="57"/>
    </row>
    <row r="339" spans="1:5" x14ac:dyDescent="0.25">
      <c r="A339" s="52" t="s">
        <v>588</v>
      </c>
      <c r="B339" s="58" t="s">
        <v>2834</v>
      </c>
      <c r="C339" s="57">
        <v>220</v>
      </c>
      <c r="D339" s="57"/>
    </row>
    <row r="340" spans="1:5" x14ac:dyDescent="0.25">
      <c r="A340" s="52" t="s">
        <v>1294</v>
      </c>
      <c r="B340" s="58" t="s">
        <v>2834</v>
      </c>
      <c r="C340" s="57">
        <v>275</v>
      </c>
      <c r="D340" s="57"/>
    </row>
    <row r="341" spans="1:5" x14ac:dyDescent="0.25">
      <c r="A341" s="52" t="s">
        <v>1295</v>
      </c>
      <c r="B341" s="58" t="s">
        <v>2834</v>
      </c>
      <c r="C341" s="57">
        <v>880</v>
      </c>
      <c r="D341" s="57"/>
    </row>
    <row r="342" spans="1:5" x14ac:dyDescent="0.25">
      <c r="A342" s="52" t="s">
        <v>565</v>
      </c>
      <c r="B342" s="58" t="s">
        <v>2834</v>
      </c>
      <c r="C342" s="57">
        <v>1175</v>
      </c>
      <c r="D342" s="57"/>
    </row>
    <row r="343" spans="1:5" x14ac:dyDescent="0.25">
      <c r="A343" s="52" t="s">
        <v>224</v>
      </c>
      <c r="B343" s="58" t="s">
        <v>2834</v>
      </c>
      <c r="C343" s="57">
        <v>335</v>
      </c>
      <c r="D343" s="57"/>
    </row>
    <row r="344" spans="1:5" x14ac:dyDescent="0.25">
      <c r="A344" s="52" t="s">
        <v>587</v>
      </c>
      <c r="B344" s="58" t="s">
        <v>2834</v>
      </c>
      <c r="C344" s="57">
        <v>445</v>
      </c>
      <c r="D344" s="57"/>
    </row>
    <row r="345" spans="1:5" x14ac:dyDescent="0.25">
      <c r="A345" s="52" t="s">
        <v>1296</v>
      </c>
      <c r="B345" s="58" t="s">
        <v>2834</v>
      </c>
      <c r="C345" s="57">
        <v>670</v>
      </c>
      <c r="D345" s="57"/>
    </row>
    <row r="346" spans="1:5" ht="22.8" x14ac:dyDescent="0.25">
      <c r="A346" s="52" t="s">
        <v>590</v>
      </c>
      <c r="B346" s="58" t="s">
        <v>174</v>
      </c>
      <c r="C346" s="57">
        <v>4.6500000000000004</v>
      </c>
      <c r="D346" s="57"/>
    </row>
    <row r="347" spans="1:5" x14ac:dyDescent="0.25">
      <c r="A347" s="52" t="s">
        <v>1297</v>
      </c>
      <c r="B347" s="58" t="s">
        <v>2734</v>
      </c>
      <c r="C347" s="57">
        <v>180</v>
      </c>
      <c r="D347" s="57"/>
    </row>
    <row r="348" spans="1:5" x14ac:dyDescent="0.25">
      <c r="A348" s="52" t="s">
        <v>1298</v>
      </c>
      <c r="B348" s="58" t="s">
        <v>2734</v>
      </c>
      <c r="C348" s="57">
        <v>269</v>
      </c>
      <c r="D348" s="57"/>
      <c r="E348" s="93"/>
    </row>
    <row r="349" spans="1:5" x14ac:dyDescent="0.25">
      <c r="A349" s="82" t="s">
        <v>1299</v>
      </c>
      <c r="B349" s="58" t="s">
        <v>2734</v>
      </c>
      <c r="C349" s="57">
        <v>320</v>
      </c>
      <c r="D349" s="57"/>
    </row>
    <row r="350" spans="1:5" x14ac:dyDescent="0.25">
      <c r="A350" s="82" t="s">
        <v>1300</v>
      </c>
      <c r="B350" s="58" t="s">
        <v>2734</v>
      </c>
      <c r="C350" s="57">
        <v>405</v>
      </c>
      <c r="D350" s="57"/>
    </row>
    <row r="351" spans="1:5" ht="22.8" x14ac:dyDescent="0.25">
      <c r="A351" s="52" t="s">
        <v>1173</v>
      </c>
      <c r="B351" s="58" t="s">
        <v>2834</v>
      </c>
      <c r="C351" s="57">
        <v>2525</v>
      </c>
      <c r="D351" s="57"/>
    </row>
    <row r="352" spans="1:5" ht="22.8" x14ac:dyDescent="0.25">
      <c r="A352" s="52" t="s">
        <v>591</v>
      </c>
      <c r="B352" s="58" t="s">
        <v>2834</v>
      </c>
      <c r="C352" s="57">
        <v>3175</v>
      </c>
      <c r="D352" s="57"/>
    </row>
    <row r="353" spans="1:4" x14ac:dyDescent="0.25">
      <c r="A353" s="51" t="s">
        <v>2317</v>
      </c>
      <c r="B353" s="56" t="s">
        <v>1715</v>
      </c>
      <c r="C353" s="57">
        <v>120</v>
      </c>
      <c r="D353" s="57"/>
    </row>
    <row r="354" spans="1:4" ht="22.8" x14ac:dyDescent="0.25">
      <c r="A354" s="51" t="s">
        <v>1415</v>
      </c>
      <c r="B354" s="56" t="s">
        <v>1715</v>
      </c>
      <c r="C354" s="57">
        <v>250</v>
      </c>
      <c r="D354" s="57"/>
    </row>
    <row r="355" spans="1:4" ht="22.8" x14ac:dyDescent="0.25">
      <c r="A355" s="51" t="s">
        <v>225</v>
      </c>
      <c r="B355" s="56" t="s">
        <v>1715</v>
      </c>
      <c r="C355" s="57">
        <v>100</v>
      </c>
      <c r="D355" s="57"/>
    </row>
    <row r="356" spans="1:4" x14ac:dyDescent="0.25">
      <c r="A356" s="51"/>
      <c r="B356" s="56"/>
      <c r="C356" s="57"/>
      <c r="D356" s="57"/>
    </row>
    <row r="358" spans="1:4" ht="34.200000000000003" x14ac:dyDescent="0.25">
      <c r="A358" s="52" t="s">
        <v>602</v>
      </c>
    </row>
    <row r="359" spans="1:4" x14ac:dyDescent="0.25">
      <c r="A359" s="26" t="s">
        <v>1302</v>
      </c>
      <c r="B359" s="31" t="s">
        <v>1037</v>
      </c>
      <c r="C359" s="30">
        <v>0.19</v>
      </c>
      <c r="D359" s="30"/>
    </row>
    <row r="360" spans="1:4" x14ac:dyDescent="0.25">
      <c r="A360" s="28" t="s">
        <v>2531</v>
      </c>
      <c r="B360" s="34" t="s">
        <v>2734</v>
      </c>
      <c r="C360" s="30"/>
      <c r="D360" s="30"/>
    </row>
    <row r="361" spans="1:4" x14ac:dyDescent="0.25">
      <c r="A361" s="26" t="s">
        <v>573</v>
      </c>
      <c r="B361" s="31" t="s">
        <v>1037</v>
      </c>
      <c r="C361" s="30">
        <v>0.03</v>
      </c>
      <c r="D361" s="30"/>
    </row>
    <row r="362" spans="1:4" x14ac:dyDescent="0.25">
      <c r="A362" s="26" t="s">
        <v>574</v>
      </c>
      <c r="B362" s="31" t="s">
        <v>1715</v>
      </c>
      <c r="C362" s="30">
        <v>90</v>
      </c>
      <c r="D362" s="30"/>
    </row>
    <row r="363" spans="1:4" x14ac:dyDescent="0.25">
      <c r="A363" s="28" t="s">
        <v>2096</v>
      </c>
      <c r="B363" s="34" t="s">
        <v>2265</v>
      </c>
      <c r="C363" s="30">
        <v>1.1399999999999999</v>
      </c>
      <c r="D363" s="30"/>
    </row>
    <row r="364" spans="1:4" x14ac:dyDescent="0.25">
      <c r="A364" s="26" t="s">
        <v>936</v>
      </c>
      <c r="B364" s="31" t="s">
        <v>2834</v>
      </c>
      <c r="C364" s="30">
        <v>6.15</v>
      </c>
      <c r="D364" s="30"/>
    </row>
    <row r="365" spans="1:4" x14ac:dyDescent="0.25">
      <c r="A365" s="26" t="s">
        <v>937</v>
      </c>
      <c r="B365" s="31" t="s">
        <v>2834</v>
      </c>
      <c r="C365" s="30">
        <v>8</v>
      </c>
      <c r="D365" s="30"/>
    </row>
    <row r="366" spans="1:4" x14ac:dyDescent="0.25">
      <c r="A366" s="28" t="s">
        <v>1296</v>
      </c>
      <c r="B366" s="34" t="s">
        <v>2834</v>
      </c>
      <c r="C366" s="30">
        <v>670</v>
      </c>
      <c r="D366" s="30"/>
    </row>
    <row r="367" spans="1:4" x14ac:dyDescent="0.25">
      <c r="A367" s="28" t="s">
        <v>224</v>
      </c>
      <c r="B367" s="34" t="s">
        <v>2834</v>
      </c>
      <c r="C367" s="30">
        <v>335</v>
      </c>
      <c r="D367" s="30"/>
    </row>
    <row r="368" spans="1:4" x14ac:dyDescent="0.25">
      <c r="A368" s="28" t="s">
        <v>587</v>
      </c>
      <c r="B368" s="34" t="s">
        <v>2834</v>
      </c>
      <c r="C368" s="30">
        <v>445</v>
      </c>
      <c r="D368" s="30"/>
    </row>
    <row r="369" spans="1:4" x14ac:dyDescent="0.25">
      <c r="A369" s="26" t="s">
        <v>281</v>
      </c>
      <c r="B369" s="31" t="s">
        <v>1715</v>
      </c>
      <c r="C369" s="30">
        <v>35</v>
      </c>
      <c r="D369" s="30"/>
    </row>
    <row r="370" spans="1:4" x14ac:dyDescent="0.25">
      <c r="A370" s="28" t="s">
        <v>2725</v>
      </c>
      <c r="B370" s="34" t="s">
        <v>252</v>
      </c>
      <c r="C370" s="30">
        <v>25</v>
      </c>
      <c r="D370" s="30"/>
    </row>
    <row r="371" spans="1:4" x14ac:dyDescent="0.25">
      <c r="A371" s="28" t="s">
        <v>1094</v>
      </c>
      <c r="B371" s="34" t="s">
        <v>252</v>
      </c>
      <c r="C371" s="30">
        <v>31</v>
      </c>
      <c r="D371" s="30"/>
    </row>
    <row r="372" spans="1:4" x14ac:dyDescent="0.25">
      <c r="A372" s="28" t="s">
        <v>1095</v>
      </c>
      <c r="B372" s="34" t="s">
        <v>252</v>
      </c>
      <c r="C372" s="30">
        <v>35.5</v>
      </c>
      <c r="D372" s="30"/>
    </row>
    <row r="373" spans="1:4" x14ac:dyDescent="0.25">
      <c r="A373" s="28" t="s">
        <v>1096</v>
      </c>
      <c r="B373" s="34" t="s">
        <v>252</v>
      </c>
      <c r="C373" s="30">
        <v>41.5</v>
      </c>
      <c r="D373" s="30"/>
    </row>
    <row r="374" spans="1:4" x14ac:dyDescent="0.25">
      <c r="A374" s="28" t="s">
        <v>1097</v>
      </c>
      <c r="B374" s="34" t="s">
        <v>252</v>
      </c>
      <c r="C374" s="30">
        <v>50</v>
      </c>
      <c r="D374" s="30"/>
    </row>
    <row r="375" spans="1:4" x14ac:dyDescent="0.25">
      <c r="A375" s="28" t="s">
        <v>1098</v>
      </c>
      <c r="B375" s="34" t="s">
        <v>252</v>
      </c>
      <c r="C375" s="30">
        <v>61.5</v>
      </c>
      <c r="D375" s="30"/>
    </row>
    <row r="376" spans="1:4" x14ac:dyDescent="0.25">
      <c r="A376" s="26" t="s">
        <v>619</v>
      </c>
      <c r="B376" s="31" t="s">
        <v>2834</v>
      </c>
      <c r="C376" s="30">
        <v>12.5</v>
      </c>
      <c r="D376" s="30"/>
    </row>
    <row r="377" spans="1:4" x14ac:dyDescent="0.25">
      <c r="A377" s="28" t="s">
        <v>964</v>
      </c>
      <c r="B377" s="34" t="s">
        <v>2834</v>
      </c>
      <c r="C377" s="30">
        <v>4600</v>
      </c>
      <c r="D377" s="30"/>
    </row>
    <row r="378" spans="1:4" x14ac:dyDescent="0.25">
      <c r="A378" s="28" t="s">
        <v>220</v>
      </c>
      <c r="B378" s="34" t="s">
        <v>2834</v>
      </c>
      <c r="C378" s="30">
        <v>10800</v>
      </c>
      <c r="D378" s="30"/>
    </row>
    <row r="379" spans="1:4" x14ac:dyDescent="0.25">
      <c r="A379" s="28" t="s">
        <v>2721</v>
      </c>
      <c r="B379" s="34" t="s">
        <v>2834</v>
      </c>
      <c r="C379" s="30">
        <v>3225</v>
      </c>
      <c r="D379" s="30"/>
    </row>
    <row r="380" spans="1:4" x14ac:dyDescent="0.25">
      <c r="A380" s="26" t="s">
        <v>2308</v>
      </c>
      <c r="B380" s="31" t="s">
        <v>1715</v>
      </c>
      <c r="C380" s="30">
        <v>15</v>
      </c>
      <c r="D380" s="30"/>
    </row>
    <row r="381" spans="1:4" x14ac:dyDescent="0.25">
      <c r="A381" s="26" t="s">
        <v>938</v>
      </c>
      <c r="B381" s="31" t="s">
        <v>2834</v>
      </c>
      <c r="C381" s="30">
        <v>11</v>
      </c>
      <c r="D381" s="30"/>
    </row>
    <row r="382" spans="1:4" x14ac:dyDescent="0.25">
      <c r="A382" s="26" t="s">
        <v>2309</v>
      </c>
      <c r="B382" s="31" t="s">
        <v>1715</v>
      </c>
      <c r="C382" s="30">
        <v>12</v>
      </c>
      <c r="D382" s="30"/>
    </row>
    <row r="383" spans="1:4" x14ac:dyDescent="0.25">
      <c r="A383" s="26" t="s">
        <v>620</v>
      </c>
      <c r="B383" s="31" t="s">
        <v>2834</v>
      </c>
      <c r="C383" s="30">
        <v>15</v>
      </c>
      <c r="D383" s="30"/>
    </row>
    <row r="384" spans="1:4" x14ac:dyDescent="0.25">
      <c r="A384" s="26" t="s">
        <v>648</v>
      </c>
      <c r="B384" s="31" t="s">
        <v>2839</v>
      </c>
      <c r="C384" s="30">
        <v>25</v>
      </c>
      <c r="D384" s="30"/>
    </row>
    <row r="385" spans="1:4" x14ac:dyDescent="0.25">
      <c r="A385" s="26" t="s">
        <v>639</v>
      </c>
      <c r="B385" s="31" t="s">
        <v>2834</v>
      </c>
      <c r="C385" s="30">
        <v>12.4</v>
      </c>
      <c r="D385" s="30"/>
    </row>
    <row r="386" spans="1:4" x14ac:dyDescent="0.25">
      <c r="A386" s="26" t="s">
        <v>640</v>
      </c>
      <c r="B386" s="31" t="s">
        <v>2834</v>
      </c>
      <c r="C386" s="30">
        <v>12</v>
      </c>
      <c r="D386" s="30"/>
    </row>
    <row r="387" spans="1:4" x14ac:dyDescent="0.25">
      <c r="A387" s="29" t="s">
        <v>2312</v>
      </c>
      <c r="B387" s="30" t="s">
        <v>1715</v>
      </c>
      <c r="C387" s="70">
        <v>0.4</v>
      </c>
      <c r="D387" s="70"/>
    </row>
    <row r="388" spans="1:4" x14ac:dyDescent="0.25">
      <c r="A388" s="26" t="s">
        <v>933</v>
      </c>
      <c r="B388" s="30" t="s">
        <v>2734</v>
      </c>
      <c r="C388" s="32">
        <v>1</v>
      </c>
      <c r="D388" s="32"/>
    </row>
    <row r="389" spans="1:4" x14ac:dyDescent="0.25">
      <c r="A389" s="26" t="s">
        <v>646</v>
      </c>
      <c r="B389" s="31" t="s">
        <v>2834</v>
      </c>
      <c r="C389" s="30">
        <v>7</v>
      </c>
      <c r="D389" s="30"/>
    </row>
    <row r="390" spans="1:4" x14ac:dyDescent="0.25">
      <c r="A390" s="26" t="s">
        <v>645</v>
      </c>
      <c r="B390" s="31" t="s">
        <v>2834</v>
      </c>
      <c r="C390" s="30">
        <v>7.45</v>
      </c>
      <c r="D390" s="30"/>
    </row>
    <row r="391" spans="1:4" x14ac:dyDescent="0.25">
      <c r="A391" s="26" t="s">
        <v>642</v>
      </c>
      <c r="B391" s="31" t="s">
        <v>2834</v>
      </c>
      <c r="C391" s="30">
        <v>4</v>
      </c>
      <c r="D391" s="30"/>
    </row>
    <row r="392" spans="1:4" x14ac:dyDescent="0.25">
      <c r="A392" s="26" t="s">
        <v>643</v>
      </c>
      <c r="B392" s="31" t="s">
        <v>2834</v>
      </c>
      <c r="C392" s="30">
        <v>9.5</v>
      </c>
      <c r="D392" s="30"/>
    </row>
    <row r="393" spans="1:4" x14ac:dyDescent="0.25">
      <c r="A393" s="26" t="s">
        <v>644</v>
      </c>
      <c r="B393" s="31" t="s">
        <v>2834</v>
      </c>
      <c r="C393" s="30">
        <v>4.5</v>
      </c>
      <c r="D393" s="30"/>
    </row>
    <row r="394" spans="1:4" x14ac:dyDescent="0.25">
      <c r="A394" s="26" t="s">
        <v>2317</v>
      </c>
      <c r="B394" s="31" t="s">
        <v>1715</v>
      </c>
      <c r="C394" s="30">
        <v>120</v>
      </c>
      <c r="D394" s="30"/>
    </row>
    <row r="395" spans="1:4" x14ac:dyDescent="0.25">
      <c r="A395" s="26" t="s">
        <v>1415</v>
      </c>
      <c r="B395" s="31" t="s">
        <v>1715</v>
      </c>
      <c r="C395" s="30">
        <v>250</v>
      </c>
      <c r="D395" s="30"/>
    </row>
    <row r="396" spans="1:4" x14ac:dyDescent="0.25">
      <c r="A396" s="26" t="s">
        <v>225</v>
      </c>
      <c r="B396" s="31" t="s">
        <v>1715</v>
      </c>
      <c r="C396" s="30">
        <v>100</v>
      </c>
      <c r="D396" s="30"/>
    </row>
    <row r="397" spans="1:4" ht="15" customHeight="1" x14ac:dyDescent="0.25">
      <c r="A397" s="28" t="s">
        <v>2724</v>
      </c>
      <c r="B397" s="34" t="s">
        <v>2834</v>
      </c>
      <c r="C397" s="30">
        <v>5850</v>
      </c>
      <c r="D397" s="30"/>
    </row>
    <row r="398" spans="1:4" x14ac:dyDescent="0.25">
      <c r="A398" s="28" t="s">
        <v>2723</v>
      </c>
      <c r="B398" s="34" t="s">
        <v>2834</v>
      </c>
      <c r="C398" s="30">
        <v>1475</v>
      </c>
      <c r="D398" s="30"/>
    </row>
    <row r="399" spans="1:4" x14ac:dyDescent="0.25">
      <c r="A399" s="28" t="s">
        <v>564</v>
      </c>
      <c r="B399" s="34" t="s">
        <v>2834</v>
      </c>
      <c r="C399" s="30">
        <v>2950</v>
      </c>
      <c r="D399" s="30"/>
    </row>
    <row r="400" spans="1:4" x14ac:dyDescent="0.25">
      <c r="A400" s="26" t="s">
        <v>2733</v>
      </c>
      <c r="B400" s="31" t="s">
        <v>1037</v>
      </c>
      <c r="C400" s="30">
        <v>1.6</v>
      </c>
      <c r="D400" s="30"/>
    </row>
    <row r="401" spans="1:4" x14ac:dyDescent="0.25">
      <c r="A401" s="26" t="s">
        <v>2735</v>
      </c>
      <c r="B401" s="31" t="s">
        <v>1715</v>
      </c>
      <c r="C401" s="30">
        <v>50</v>
      </c>
      <c r="D401" s="30"/>
    </row>
    <row r="402" spans="1:4" x14ac:dyDescent="0.25">
      <c r="A402" s="26" t="s">
        <v>2736</v>
      </c>
      <c r="B402" s="31" t="s">
        <v>1715</v>
      </c>
      <c r="C402" s="30">
        <v>35</v>
      </c>
      <c r="D402" s="30"/>
    </row>
    <row r="403" spans="1:4" x14ac:dyDescent="0.25">
      <c r="A403" s="26" t="s">
        <v>409</v>
      </c>
      <c r="B403" s="31" t="s">
        <v>1715</v>
      </c>
      <c r="C403" s="30">
        <v>30</v>
      </c>
      <c r="D403" s="30"/>
    </row>
    <row r="404" spans="1:4" x14ac:dyDescent="0.25">
      <c r="A404" s="26" t="s">
        <v>2210</v>
      </c>
      <c r="B404" s="34" t="s">
        <v>1715</v>
      </c>
      <c r="C404" s="30">
        <v>5</v>
      </c>
      <c r="D404" s="30"/>
    </row>
    <row r="405" spans="1:4" x14ac:dyDescent="0.25">
      <c r="A405" s="26" t="s">
        <v>2210</v>
      </c>
      <c r="B405" s="34" t="s">
        <v>1715</v>
      </c>
      <c r="C405" s="30">
        <v>5</v>
      </c>
      <c r="D405" s="30"/>
    </row>
    <row r="406" spans="1:4" x14ac:dyDescent="0.25">
      <c r="A406" s="27" t="s">
        <v>2792</v>
      </c>
      <c r="B406" s="30" t="s">
        <v>1715</v>
      </c>
      <c r="C406" s="32">
        <v>35</v>
      </c>
      <c r="D406" s="32"/>
    </row>
    <row r="407" spans="1:4" x14ac:dyDescent="0.25">
      <c r="A407" s="27" t="s">
        <v>2792</v>
      </c>
      <c r="B407" s="30" t="s">
        <v>1715</v>
      </c>
      <c r="C407" s="32">
        <v>35</v>
      </c>
      <c r="D407" s="32"/>
    </row>
    <row r="408" spans="1:4" x14ac:dyDescent="0.25">
      <c r="A408" s="26" t="s">
        <v>2211</v>
      </c>
      <c r="B408" s="34" t="s">
        <v>1715</v>
      </c>
      <c r="C408" s="30">
        <v>15</v>
      </c>
      <c r="D408" s="30"/>
    </row>
    <row r="409" spans="1:4" x14ac:dyDescent="0.25">
      <c r="A409" s="26" t="s">
        <v>2211</v>
      </c>
      <c r="B409" s="34" t="s">
        <v>1715</v>
      </c>
      <c r="C409" s="30">
        <v>15</v>
      </c>
      <c r="D409" s="30"/>
    </row>
    <row r="410" spans="1:4" x14ac:dyDescent="0.25">
      <c r="A410" s="26" t="s">
        <v>2212</v>
      </c>
      <c r="B410" s="34" t="s">
        <v>1715</v>
      </c>
      <c r="C410" s="30">
        <v>15</v>
      </c>
      <c r="D410" s="30"/>
    </row>
    <row r="411" spans="1:4" x14ac:dyDescent="0.25">
      <c r="A411" s="26" t="s">
        <v>2212</v>
      </c>
      <c r="B411" s="34" t="s">
        <v>1715</v>
      </c>
      <c r="C411" s="30">
        <v>15</v>
      </c>
      <c r="D411" s="30"/>
    </row>
    <row r="412" spans="1:4" x14ac:dyDescent="0.25">
      <c r="A412" s="72" t="s">
        <v>2794</v>
      </c>
      <c r="B412" s="30" t="s">
        <v>2791</v>
      </c>
      <c r="C412" s="70">
        <v>25</v>
      </c>
      <c r="D412" s="70"/>
    </row>
    <row r="413" spans="1:4" x14ac:dyDescent="0.25">
      <c r="A413" s="72" t="s">
        <v>2794</v>
      </c>
      <c r="B413" s="30" t="s">
        <v>2791</v>
      </c>
      <c r="C413" s="70">
        <v>25</v>
      </c>
      <c r="D413" s="70"/>
    </row>
    <row r="414" spans="1:4" ht="24" x14ac:dyDescent="0.25">
      <c r="A414" s="27" t="s">
        <v>2795</v>
      </c>
      <c r="B414" s="31" t="s">
        <v>1715</v>
      </c>
      <c r="C414" s="30">
        <v>25</v>
      </c>
      <c r="D414" s="30"/>
    </row>
    <row r="415" spans="1:4" ht="24" x14ac:dyDescent="0.25">
      <c r="A415" s="26" t="s">
        <v>2795</v>
      </c>
      <c r="B415" s="31" t="s">
        <v>1715</v>
      </c>
      <c r="C415" s="30">
        <v>25</v>
      </c>
      <c r="D415" s="30"/>
    </row>
    <row r="416" spans="1:4" ht="24" x14ac:dyDescent="0.25">
      <c r="A416" s="27" t="s">
        <v>2795</v>
      </c>
      <c r="B416" s="31" t="s">
        <v>1715</v>
      </c>
      <c r="C416" s="30">
        <v>25</v>
      </c>
      <c r="D416" s="30"/>
    </row>
    <row r="417" spans="1:4" ht="24" x14ac:dyDescent="0.25">
      <c r="A417" s="26" t="s">
        <v>2795</v>
      </c>
      <c r="B417" s="31" t="s">
        <v>1715</v>
      </c>
      <c r="C417" s="30">
        <v>25</v>
      </c>
      <c r="D417" s="30"/>
    </row>
    <row r="418" spans="1:4" x14ac:dyDescent="0.25">
      <c r="A418" s="26" t="s">
        <v>2213</v>
      </c>
      <c r="B418" s="31" t="s">
        <v>1715</v>
      </c>
      <c r="C418" s="30">
        <v>5</v>
      </c>
      <c r="D418" s="30"/>
    </row>
    <row r="419" spans="1:4" x14ac:dyDescent="0.25">
      <c r="A419" s="26" t="s">
        <v>2213</v>
      </c>
      <c r="B419" s="31" t="s">
        <v>1715</v>
      </c>
      <c r="C419" s="30">
        <v>5</v>
      </c>
      <c r="D419" s="30"/>
    </row>
    <row r="420" spans="1:4" x14ac:dyDescent="0.25">
      <c r="A420" s="26" t="s">
        <v>647</v>
      </c>
      <c r="B420" s="31" t="s">
        <v>2839</v>
      </c>
      <c r="C420" s="30" t="s">
        <v>939</v>
      </c>
      <c r="D420" s="30"/>
    </row>
    <row r="421" spans="1:4" x14ac:dyDescent="0.25">
      <c r="A421" s="26" t="s">
        <v>940</v>
      </c>
      <c r="B421" s="31" t="s">
        <v>941</v>
      </c>
      <c r="C421" s="30">
        <v>12.2</v>
      </c>
      <c r="D421" s="30"/>
    </row>
    <row r="422" spans="1:4" x14ac:dyDescent="0.25">
      <c r="A422" s="26" t="s">
        <v>942</v>
      </c>
      <c r="B422" s="31" t="s">
        <v>941</v>
      </c>
      <c r="C422" s="30">
        <v>9.4499999999999993</v>
      </c>
      <c r="D422" s="30"/>
    </row>
    <row r="423" spans="1:4" x14ac:dyDescent="0.25">
      <c r="A423" s="73" t="s">
        <v>2215</v>
      </c>
      <c r="B423" s="30" t="s">
        <v>2734</v>
      </c>
      <c r="C423" s="32">
        <v>35</v>
      </c>
      <c r="D423" s="32"/>
    </row>
    <row r="424" spans="1:4" x14ac:dyDescent="0.25">
      <c r="A424" s="26" t="s">
        <v>2216</v>
      </c>
      <c r="B424" s="31" t="s">
        <v>1715</v>
      </c>
      <c r="C424" s="30">
        <v>45</v>
      </c>
      <c r="D424" s="30"/>
    </row>
    <row r="425" spans="1:4" x14ac:dyDescent="0.25">
      <c r="A425" s="26" t="s">
        <v>2217</v>
      </c>
      <c r="B425" s="31" t="s">
        <v>1715</v>
      </c>
      <c r="C425" s="30">
        <v>100</v>
      </c>
      <c r="D425" s="30"/>
    </row>
    <row r="426" spans="1:4" x14ac:dyDescent="0.25">
      <c r="A426" s="26" t="s">
        <v>2218</v>
      </c>
      <c r="B426" s="31" t="s">
        <v>2834</v>
      </c>
      <c r="C426" s="30">
        <v>12</v>
      </c>
      <c r="D426" s="30"/>
    </row>
    <row r="427" spans="1:4" x14ac:dyDescent="0.25">
      <c r="A427" s="26" t="s">
        <v>2218</v>
      </c>
      <c r="B427" s="31" t="s">
        <v>1715</v>
      </c>
      <c r="C427" s="30">
        <v>16.5</v>
      </c>
      <c r="D427" s="30"/>
    </row>
    <row r="428" spans="1:4" x14ac:dyDescent="0.25">
      <c r="A428" s="26" t="s">
        <v>2219</v>
      </c>
      <c r="B428" s="31" t="s">
        <v>1037</v>
      </c>
      <c r="C428" s="30">
        <v>60</v>
      </c>
      <c r="D428" s="30"/>
    </row>
    <row r="429" spans="1:4" x14ac:dyDescent="0.25">
      <c r="A429" s="26" t="s">
        <v>2711</v>
      </c>
      <c r="B429" s="30" t="s">
        <v>1715</v>
      </c>
      <c r="C429" s="32">
        <v>7</v>
      </c>
      <c r="D429" s="32"/>
    </row>
    <row r="430" spans="1:4" x14ac:dyDescent="0.25">
      <c r="A430" s="26" t="s">
        <v>641</v>
      </c>
      <c r="B430" s="31" t="s">
        <v>2834</v>
      </c>
      <c r="C430" s="30">
        <v>4.25</v>
      </c>
      <c r="D430" s="30"/>
    </row>
    <row r="431" spans="1:4" x14ac:dyDescent="0.25">
      <c r="A431" s="26" t="s">
        <v>962</v>
      </c>
      <c r="B431" s="31" t="s">
        <v>2834</v>
      </c>
      <c r="C431" s="30">
        <v>12.6</v>
      </c>
      <c r="D431" s="30"/>
    </row>
    <row r="432" spans="1:4" x14ac:dyDescent="0.25">
      <c r="A432" s="26" t="s">
        <v>963</v>
      </c>
      <c r="B432" s="31" t="s">
        <v>2834</v>
      </c>
      <c r="C432" s="30">
        <v>13</v>
      </c>
      <c r="D432" s="30"/>
    </row>
    <row r="433" spans="1:4" x14ac:dyDescent="0.25">
      <c r="A433" s="26" t="s">
        <v>638</v>
      </c>
      <c r="B433" s="31" t="s">
        <v>2834</v>
      </c>
      <c r="C433" s="30">
        <v>15</v>
      </c>
      <c r="D433" s="30"/>
    </row>
    <row r="434" spans="1:4" x14ac:dyDescent="0.25">
      <c r="A434" s="28" t="s">
        <v>2095</v>
      </c>
      <c r="B434" s="34" t="s">
        <v>2265</v>
      </c>
      <c r="C434" s="30">
        <v>0.95</v>
      </c>
      <c r="D434" s="30"/>
    </row>
    <row r="435" spans="1:4" x14ac:dyDescent="0.25">
      <c r="A435" s="26" t="s">
        <v>618</v>
      </c>
      <c r="B435" s="31" t="s">
        <v>2834</v>
      </c>
      <c r="C435" s="30">
        <v>15</v>
      </c>
      <c r="D435" s="30"/>
    </row>
    <row r="436" spans="1:4" x14ac:dyDescent="0.25">
      <c r="A436" s="26" t="s">
        <v>617</v>
      </c>
      <c r="B436" s="31" t="s">
        <v>2834</v>
      </c>
      <c r="C436" s="30">
        <v>17</v>
      </c>
      <c r="D436" s="30"/>
    </row>
    <row r="437" spans="1:4" x14ac:dyDescent="0.25">
      <c r="A437" s="28" t="s">
        <v>1648</v>
      </c>
      <c r="B437" s="34"/>
      <c r="C437" s="30"/>
      <c r="D437" s="30"/>
    </row>
    <row r="438" spans="1:4" x14ac:dyDescent="0.25">
      <c r="A438" s="28" t="s">
        <v>1649</v>
      </c>
      <c r="B438" s="34"/>
      <c r="C438" s="30"/>
      <c r="D438" s="30"/>
    </row>
    <row r="439" spans="1:4" x14ac:dyDescent="0.25">
      <c r="A439" s="28" t="s">
        <v>1299</v>
      </c>
      <c r="B439" s="34" t="s">
        <v>2734</v>
      </c>
      <c r="C439" s="30">
        <v>320</v>
      </c>
      <c r="D439" s="30"/>
    </row>
    <row r="440" spans="1:4" x14ac:dyDescent="0.25">
      <c r="A440" s="28" t="s">
        <v>1300</v>
      </c>
      <c r="B440" s="34" t="s">
        <v>2734</v>
      </c>
      <c r="C440" s="30">
        <v>405</v>
      </c>
      <c r="D440" s="30"/>
    </row>
    <row r="441" spans="1:4" x14ac:dyDescent="0.25">
      <c r="A441" s="28" t="s">
        <v>1298</v>
      </c>
      <c r="B441" s="34" t="s">
        <v>2734</v>
      </c>
      <c r="C441" s="30">
        <v>269</v>
      </c>
      <c r="D441" s="30"/>
    </row>
    <row r="442" spans="1:4" x14ac:dyDescent="0.25">
      <c r="A442" s="28" t="s">
        <v>1297</v>
      </c>
      <c r="B442" s="34" t="s">
        <v>2734</v>
      </c>
      <c r="C442" s="30">
        <v>180</v>
      </c>
      <c r="D442" s="30"/>
    </row>
    <row r="443" spans="1:4" x14ac:dyDescent="0.25">
      <c r="A443" s="26" t="s">
        <v>1696</v>
      </c>
      <c r="B443" s="31" t="s">
        <v>1715</v>
      </c>
      <c r="C443" s="30">
        <v>33.5</v>
      </c>
      <c r="D443" s="30"/>
    </row>
    <row r="444" spans="1:4" x14ac:dyDescent="0.25">
      <c r="A444" s="26" t="s">
        <v>623</v>
      </c>
      <c r="B444" s="31" t="s">
        <v>2834</v>
      </c>
      <c r="C444" s="30">
        <v>6</v>
      </c>
      <c r="D444" s="30"/>
    </row>
    <row r="445" spans="1:4" x14ac:dyDescent="0.25">
      <c r="A445" s="26" t="s">
        <v>2713</v>
      </c>
      <c r="B445" s="31" t="s">
        <v>1715</v>
      </c>
      <c r="C445" s="30">
        <v>100</v>
      </c>
      <c r="D445" s="30"/>
    </row>
    <row r="446" spans="1:4" x14ac:dyDescent="0.25">
      <c r="A446" s="28" t="s">
        <v>1409</v>
      </c>
      <c r="B446" s="34" t="s">
        <v>2834</v>
      </c>
      <c r="C446" s="30">
        <v>40</v>
      </c>
      <c r="D446" s="30"/>
    </row>
    <row r="447" spans="1:4" ht="24" x14ac:dyDescent="0.25">
      <c r="A447" s="28" t="s">
        <v>1413</v>
      </c>
      <c r="B447" s="34"/>
      <c r="C447" s="30"/>
      <c r="D447" s="30"/>
    </row>
    <row r="448" spans="1:4" ht="24" x14ac:dyDescent="0.25">
      <c r="A448" s="28" t="s">
        <v>1412</v>
      </c>
      <c r="B448" s="34"/>
      <c r="C448" s="30"/>
      <c r="D448" s="30"/>
    </row>
    <row r="449" spans="1:4" ht="24" x14ac:dyDescent="0.25">
      <c r="A449" s="28" t="s">
        <v>1411</v>
      </c>
      <c r="B449" s="34"/>
      <c r="C449" s="30"/>
      <c r="D449" s="30"/>
    </row>
    <row r="450" spans="1:4" x14ac:dyDescent="0.25">
      <c r="A450" s="28" t="s">
        <v>1408</v>
      </c>
      <c r="B450" s="34" t="s">
        <v>2834</v>
      </c>
      <c r="C450" s="30">
        <v>35</v>
      </c>
      <c r="D450" s="30"/>
    </row>
    <row r="451" spans="1:4" x14ac:dyDescent="0.25">
      <c r="A451" s="26" t="s">
        <v>621</v>
      </c>
      <c r="B451" s="31" t="s">
        <v>2834</v>
      </c>
      <c r="C451" s="30">
        <v>15</v>
      </c>
      <c r="D451" s="30"/>
    </row>
    <row r="452" spans="1:4" x14ac:dyDescent="0.25">
      <c r="A452" s="26" t="s">
        <v>247</v>
      </c>
      <c r="B452" s="31" t="s">
        <v>1715</v>
      </c>
      <c r="C452" s="30">
        <v>20</v>
      </c>
      <c r="D452" s="30"/>
    </row>
    <row r="453" spans="1:4" x14ac:dyDescent="0.25">
      <c r="A453" s="26" t="s">
        <v>247</v>
      </c>
      <c r="B453" s="31" t="s">
        <v>1715</v>
      </c>
      <c r="C453" s="30">
        <v>20</v>
      </c>
      <c r="D453" s="30"/>
    </row>
    <row r="454" spans="1:4" ht="24" x14ac:dyDescent="0.25">
      <c r="A454" s="26" t="s">
        <v>967</v>
      </c>
      <c r="B454" s="31" t="s">
        <v>968</v>
      </c>
      <c r="C454" s="30">
        <v>1.36</v>
      </c>
      <c r="D454" s="30"/>
    </row>
    <row r="455" spans="1:4" ht="24" x14ac:dyDescent="0.25">
      <c r="A455" s="26" t="s">
        <v>969</v>
      </c>
      <c r="B455" s="31" t="s">
        <v>968</v>
      </c>
      <c r="C455" s="30">
        <v>2</v>
      </c>
      <c r="D455" s="30"/>
    </row>
    <row r="456" spans="1:4" ht="24" x14ac:dyDescent="0.25">
      <c r="A456" s="26" t="s">
        <v>1993</v>
      </c>
      <c r="B456" s="31" t="s">
        <v>968</v>
      </c>
      <c r="C456" s="30">
        <v>0.88</v>
      </c>
      <c r="D456" s="30"/>
    </row>
    <row r="457" spans="1:4" x14ac:dyDescent="0.25">
      <c r="A457" s="26" t="s">
        <v>551</v>
      </c>
      <c r="B457" s="31" t="s">
        <v>1715</v>
      </c>
      <c r="C457" s="30">
        <v>26</v>
      </c>
      <c r="D457" s="30"/>
    </row>
    <row r="458" spans="1:4" x14ac:dyDescent="0.25">
      <c r="A458" s="26" t="s">
        <v>1171</v>
      </c>
      <c r="B458" s="31" t="s">
        <v>734</v>
      </c>
      <c r="C458" s="30"/>
      <c r="D458" s="30"/>
    </row>
    <row r="459" spans="1:4" x14ac:dyDescent="0.25">
      <c r="A459" s="26" t="s">
        <v>1301</v>
      </c>
      <c r="B459" s="31" t="s">
        <v>1715</v>
      </c>
      <c r="C459" s="30">
        <v>232.5</v>
      </c>
      <c r="D459" s="30"/>
    </row>
    <row r="460" spans="1:4" x14ac:dyDescent="0.25">
      <c r="A460" s="26" t="s">
        <v>1303</v>
      </c>
      <c r="B460" s="31" t="s">
        <v>1037</v>
      </c>
      <c r="C460" s="30">
        <v>0.17</v>
      </c>
      <c r="D460" s="30"/>
    </row>
    <row r="461" spans="1:4" x14ac:dyDescent="0.25">
      <c r="A461" s="26" t="s">
        <v>1426</v>
      </c>
      <c r="B461" s="31" t="s">
        <v>1427</v>
      </c>
      <c r="C461" s="30">
        <v>1</v>
      </c>
      <c r="D461" s="30"/>
    </row>
    <row r="462" spans="1:4" x14ac:dyDescent="0.25">
      <c r="A462" s="26" t="s">
        <v>1428</v>
      </c>
      <c r="B462" s="31" t="s">
        <v>1427</v>
      </c>
      <c r="C462" s="30">
        <v>1.25</v>
      </c>
      <c r="D462" s="30"/>
    </row>
    <row r="463" spans="1:4" x14ac:dyDescent="0.25">
      <c r="A463" s="26" t="s">
        <v>1429</v>
      </c>
      <c r="B463" s="31" t="s">
        <v>1427</v>
      </c>
      <c r="C463" s="30">
        <v>0.85</v>
      </c>
      <c r="D463" s="30"/>
    </row>
    <row r="464" spans="1:4" x14ac:dyDescent="0.25">
      <c r="A464" s="28" t="s">
        <v>591</v>
      </c>
      <c r="B464" s="49" t="s">
        <v>2834</v>
      </c>
      <c r="C464" s="50">
        <v>3175</v>
      </c>
      <c r="D464" s="50"/>
    </row>
    <row r="465" spans="1:4" x14ac:dyDescent="0.25">
      <c r="A465" s="28" t="s">
        <v>1173</v>
      </c>
      <c r="B465" s="49" t="s">
        <v>2834</v>
      </c>
      <c r="C465" s="50">
        <v>2525</v>
      </c>
      <c r="D465" s="50"/>
    </row>
    <row r="466" spans="1:4" x14ac:dyDescent="0.25">
      <c r="A466" s="28" t="s">
        <v>219</v>
      </c>
      <c r="B466" s="34" t="s">
        <v>2734</v>
      </c>
      <c r="C466" s="30">
        <v>7.45</v>
      </c>
      <c r="D466" s="30"/>
    </row>
    <row r="467" spans="1:4" x14ac:dyDescent="0.25">
      <c r="A467" s="28" t="s">
        <v>1099</v>
      </c>
      <c r="B467" s="34" t="s">
        <v>2734</v>
      </c>
      <c r="C467" s="30">
        <v>3.72</v>
      </c>
      <c r="D467" s="30"/>
    </row>
    <row r="468" spans="1:4" x14ac:dyDescent="0.25">
      <c r="A468" s="28" t="s">
        <v>1100</v>
      </c>
      <c r="B468" s="34" t="s">
        <v>2734</v>
      </c>
      <c r="C468" s="30">
        <v>4.96</v>
      </c>
      <c r="D468" s="30"/>
    </row>
    <row r="469" spans="1:4" x14ac:dyDescent="0.25">
      <c r="A469" s="28" t="s">
        <v>206</v>
      </c>
      <c r="B469" s="34" t="s">
        <v>2734</v>
      </c>
      <c r="C469" s="30">
        <v>5.6</v>
      </c>
      <c r="D469" s="30"/>
    </row>
    <row r="470" spans="1:4" x14ac:dyDescent="0.25">
      <c r="A470" s="28" t="s">
        <v>207</v>
      </c>
      <c r="B470" s="34" t="s">
        <v>2734</v>
      </c>
      <c r="C470" s="30">
        <v>3.72</v>
      </c>
      <c r="D470" s="30"/>
    </row>
    <row r="471" spans="1:4" x14ac:dyDescent="0.25">
      <c r="A471" s="26" t="s">
        <v>575</v>
      </c>
      <c r="B471" s="31" t="s">
        <v>1715</v>
      </c>
      <c r="C471" s="30">
        <v>63</v>
      </c>
      <c r="D471" s="30"/>
    </row>
    <row r="472" spans="1:4" x14ac:dyDescent="0.25">
      <c r="A472" s="26" t="s">
        <v>9</v>
      </c>
      <c r="B472" s="31" t="s">
        <v>1715</v>
      </c>
      <c r="C472" s="30">
        <v>24</v>
      </c>
      <c r="D472" s="30"/>
    </row>
    <row r="473" spans="1:4" x14ac:dyDescent="0.25">
      <c r="A473" s="28" t="s">
        <v>2531</v>
      </c>
      <c r="B473" s="34" t="s">
        <v>2734</v>
      </c>
      <c r="C473" s="30"/>
      <c r="D473" s="30"/>
    </row>
    <row r="474" spans="1:4" x14ac:dyDescent="0.25">
      <c r="A474" s="28" t="s">
        <v>2532</v>
      </c>
      <c r="B474" s="34" t="s">
        <v>2734</v>
      </c>
      <c r="C474" s="30"/>
      <c r="D474" s="30"/>
    </row>
    <row r="475" spans="1:4" x14ac:dyDescent="0.25">
      <c r="A475" s="26" t="s">
        <v>1302</v>
      </c>
      <c r="B475" s="31" t="s">
        <v>1037</v>
      </c>
      <c r="C475" s="30">
        <v>0.19</v>
      </c>
      <c r="D475" s="30"/>
    </row>
    <row r="476" spans="1:4" x14ac:dyDescent="0.25">
      <c r="A476" s="26" t="s">
        <v>1303</v>
      </c>
      <c r="B476" s="31" t="s">
        <v>1037</v>
      </c>
      <c r="C476" s="30">
        <v>0.17</v>
      </c>
      <c r="D476" s="30"/>
    </row>
    <row r="477" spans="1:4" x14ac:dyDescent="0.25">
      <c r="A477" s="11" t="s">
        <v>2455</v>
      </c>
      <c r="B477" s="34"/>
      <c r="C477" s="30"/>
      <c r="D477" s="30"/>
    </row>
    <row r="478" spans="1:4" x14ac:dyDescent="0.25">
      <c r="A478" s="29" t="s">
        <v>1693</v>
      </c>
      <c r="B478" s="30" t="s">
        <v>1715</v>
      </c>
      <c r="C478" s="70">
        <v>0.3</v>
      </c>
      <c r="D478" s="70"/>
    </row>
    <row r="479" spans="1:4" x14ac:dyDescent="0.25">
      <c r="A479" s="26" t="s">
        <v>2375</v>
      </c>
      <c r="B479" s="31" t="s">
        <v>1715</v>
      </c>
      <c r="C479" s="30">
        <v>7</v>
      </c>
      <c r="D479" s="30"/>
    </row>
    <row r="480" spans="1:4" x14ac:dyDescent="0.25">
      <c r="A480" s="26" t="s">
        <v>2841</v>
      </c>
      <c r="B480" s="31" t="s">
        <v>1715</v>
      </c>
      <c r="C480" s="30">
        <v>10</v>
      </c>
      <c r="D480" s="30"/>
    </row>
    <row r="481" spans="1:5" x14ac:dyDescent="0.25">
      <c r="A481" s="26" t="s">
        <v>283</v>
      </c>
      <c r="B481" s="31" t="s">
        <v>1715</v>
      </c>
      <c r="C481" s="30">
        <v>10</v>
      </c>
      <c r="D481" s="30"/>
    </row>
    <row r="482" spans="1:5" x14ac:dyDescent="0.25">
      <c r="A482"/>
      <c r="B482"/>
      <c r="C482"/>
      <c r="D482"/>
    </row>
    <row r="483" spans="1:5" x14ac:dyDescent="0.25">
      <c r="A483" s="18" t="s">
        <v>563</v>
      </c>
      <c r="B483" s="18" t="s">
        <v>2372</v>
      </c>
      <c r="C483" s="18" t="s">
        <v>2373</v>
      </c>
      <c r="D483" s="18"/>
      <c r="E483" s="94" t="s">
        <v>1769</v>
      </c>
    </row>
    <row r="484" spans="1:5" x14ac:dyDescent="0.25">
      <c r="A484" s="28" t="s">
        <v>2098</v>
      </c>
      <c r="B484" s="34" t="s">
        <v>2376</v>
      </c>
      <c r="C484" s="30">
        <v>470</v>
      </c>
      <c r="D484" s="30"/>
      <c r="E484" s="95"/>
    </row>
    <row r="485" spans="1:5" x14ac:dyDescent="0.25">
      <c r="A485" s="28" t="s">
        <v>2099</v>
      </c>
      <c r="B485" s="34" t="s">
        <v>2376</v>
      </c>
      <c r="C485" s="30">
        <v>545</v>
      </c>
      <c r="D485" s="30"/>
      <c r="E485" s="95"/>
    </row>
    <row r="486" spans="1:5" x14ac:dyDescent="0.25">
      <c r="A486" s="28" t="s">
        <v>1933</v>
      </c>
      <c r="B486" s="34" t="s">
        <v>2377</v>
      </c>
      <c r="C486" s="30">
        <v>16.600000000000001</v>
      </c>
      <c r="D486" s="30"/>
      <c r="E486" s="95"/>
    </row>
    <row r="487" spans="1:5" x14ac:dyDescent="0.25">
      <c r="A487" s="28" t="s">
        <v>1933</v>
      </c>
      <c r="B487" s="34" t="s">
        <v>1711</v>
      </c>
      <c r="C487" s="30">
        <v>35</v>
      </c>
      <c r="D487" s="30"/>
      <c r="E487" s="95"/>
    </row>
    <row r="488" spans="1:5" x14ac:dyDescent="0.25">
      <c r="A488" s="28" t="s">
        <v>1587</v>
      </c>
      <c r="B488" s="34" t="s">
        <v>2377</v>
      </c>
      <c r="C488" s="30">
        <v>20.5</v>
      </c>
      <c r="D488" s="30"/>
      <c r="E488" s="95"/>
    </row>
    <row r="489" spans="1:5" x14ac:dyDescent="0.25">
      <c r="A489" s="35" t="s">
        <v>1932</v>
      </c>
      <c r="B489" s="36" t="s">
        <v>1711</v>
      </c>
      <c r="C489" s="37">
        <v>33.5</v>
      </c>
      <c r="D489" s="37"/>
      <c r="E489" s="95"/>
    </row>
    <row r="490" spans="1:5" x14ac:dyDescent="0.25">
      <c r="A490" s="35" t="s">
        <v>1931</v>
      </c>
      <c r="B490" s="36" t="s">
        <v>1711</v>
      </c>
      <c r="C490" s="37">
        <v>33</v>
      </c>
      <c r="D490" s="37"/>
      <c r="E490" s="95"/>
    </row>
    <row r="491" spans="1:5" x14ac:dyDescent="0.25">
      <c r="A491" s="35" t="s">
        <v>2703</v>
      </c>
      <c r="B491" s="36" t="s">
        <v>2377</v>
      </c>
      <c r="C491" s="37">
        <v>12.75</v>
      </c>
      <c r="D491" s="37"/>
      <c r="E491" s="95"/>
    </row>
    <row r="492" spans="1:5" x14ac:dyDescent="0.25">
      <c r="A492" s="26" t="s">
        <v>727</v>
      </c>
      <c r="B492" s="31" t="s">
        <v>478</v>
      </c>
      <c r="C492" s="30"/>
      <c r="D492" s="30"/>
      <c r="E492" s="95"/>
    </row>
    <row r="493" spans="1:5" x14ac:dyDescent="0.25">
      <c r="A493" s="26" t="s">
        <v>728</v>
      </c>
      <c r="B493" s="31" t="s">
        <v>2734</v>
      </c>
      <c r="C493" s="30">
        <v>60</v>
      </c>
      <c r="D493" s="30"/>
      <c r="E493" s="95"/>
    </row>
    <row r="494" spans="1:5" x14ac:dyDescent="0.25">
      <c r="A494" s="26" t="s">
        <v>729</v>
      </c>
      <c r="B494" s="31" t="s">
        <v>2734</v>
      </c>
      <c r="C494" s="30">
        <v>80</v>
      </c>
      <c r="D494" s="30"/>
      <c r="E494" s="95"/>
    </row>
    <row r="495" spans="1:5" x14ac:dyDescent="0.25">
      <c r="A495" s="28" t="s">
        <v>2702</v>
      </c>
      <c r="B495" s="34" t="s">
        <v>2241</v>
      </c>
      <c r="C495" s="30">
        <v>9.5500000000000007</v>
      </c>
      <c r="D495" s="30"/>
      <c r="E495" s="95"/>
    </row>
    <row r="496" spans="1:5" ht="24" x14ac:dyDescent="0.25">
      <c r="A496" s="35" t="s">
        <v>459</v>
      </c>
      <c r="B496" s="36" t="s">
        <v>1128</v>
      </c>
      <c r="C496" s="37">
        <v>4.45</v>
      </c>
      <c r="D496" s="37"/>
      <c r="E496" s="95"/>
    </row>
    <row r="497" spans="1:5" ht="24" x14ac:dyDescent="0.25">
      <c r="A497" s="35" t="s">
        <v>893</v>
      </c>
      <c r="B497" s="36" t="s">
        <v>2202</v>
      </c>
      <c r="C497" s="38">
        <v>4.07</v>
      </c>
      <c r="D497" s="38"/>
      <c r="E497" s="95"/>
    </row>
    <row r="498" spans="1:5" ht="24" x14ac:dyDescent="0.25">
      <c r="A498" s="35" t="s">
        <v>894</v>
      </c>
      <c r="B498" s="36" t="s">
        <v>1128</v>
      </c>
      <c r="C498" s="37">
        <v>6.85</v>
      </c>
      <c r="D498" s="37"/>
      <c r="E498" s="95"/>
    </row>
    <row r="499" spans="1:5" ht="24" x14ac:dyDescent="0.25">
      <c r="A499" s="35" t="s">
        <v>460</v>
      </c>
      <c r="B499" s="36" t="s">
        <v>1128</v>
      </c>
      <c r="C499" s="37">
        <v>5.05</v>
      </c>
      <c r="D499" s="37"/>
      <c r="E499" s="95"/>
    </row>
    <row r="500" spans="1:5" ht="24" x14ac:dyDescent="0.25">
      <c r="A500" s="39" t="s">
        <v>461</v>
      </c>
      <c r="B500" s="40" t="s">
        <v>1128</v>
      </c>
      <c r="C500" s="41">
        <v>4.16</v>
      </c>
      <c r="D500" s="41"/>
      <c r="E500" s="95"/>
    </row>
    <row r="501" spans="1:5" x14ac:dyDescent="0.25">
      <c r="A501" s="35" t="s">
        <v>462</v>
      </c>
      <c r="B501" s="36" t="s">
        <v>2202</v>
      </c>
      <c r="C501" s="37">
        <v>3.69</v>
      </c>
      <c r="D501" s="37"/>
      <c r="E501" s="95"/>
    </row>
    <row r="502" spans="1:5" ht="24" x14ac:dyDescent="0.25">
      <c r="A502" s="35" t="s">
        <v>463</v>
      </c>
      <c r="B502" s="36" t="s">
        <v>1128</v>
      </c>
      <c r="C502" s="38">
        <v>7.15</v>
      </c>
      <c r="D502" s="38"/>
      <c r="E502" s="95"/>
    </row>
    <row r="503" spans="1:5" ht="24" x14ac:dyDescent="0.25">
      <c r="A503" s="35" t="s">
        <v>464</v>
      </c>
      <c r="B503" s="36" t="s">
        <v>1128</v>
      </c>
      <c r="C503" s="38">
        <v>5.35</v>
      </c>
      <c r="D503" s="38"/>
      <c r="E503" s="95"/>
    </row>
    <row r="504" spans="1:5" ht="24" x14ac:dyDescent="0.25">
      <c r="A504" s="35" t="s">
        <v>465</v>
      </c>
      <c r="B504" s="36" t="s">
        <v>1128</v>
      </c>
      <c r="C504" s="38">
        <v>4.75</v>
      </c>
      <c r="D504" s="38"/>
      <c r="E504" s="95"/>
    </row>
    <row r="505" spans="1:5" ht="24" x14ac:dyDescent="0.25">
      <c r="A505" s="35" t="s">
        <v>467</v>
      </c>
      <c r="B505" s="36" t="s">
        <v>1128</v>
      </c>
      <c r="C505" s="38">
        <v>8.3000000000000007</v>
      </c>
      <c r="D505" s="38"/>
      <c r="E505" s="95"/>
    </row>
    <row r="506" spans="1:5" ht="24" x14ac:dyDescent="0.25">
      <c r="A506" s="35" t="s">
        <v>468</v>
      </c>
      <c r="B506" s="36" t="s">
        <v>1128</v>
      </c>
      <c r="C506" s="38">
        <v>6.45</v>
      </c>
      <c r="D506" s="38"/>
      <c r="E506" s="95"/>
    </row>
    <row r="507" spans="1:5" ht="24" x14ac:dyDescent="0.25">
      <c r="A507" s="35" t="s">
        <v>469</v>
      </c>
      <c r="B507" s="36" t="s">
        <v>1128</v>
      </c>
      <c r="C507" s="38">
        <v>5.75</v>
      </c>
      <c r="D507" s="38"/>
      <c r="E507" s="95"/>
    </row>
    <row r="508" spans="1:5" ht="24" x14ac:dyDescent="0.25">
      <c r="A508" s="35" t="s">
        <v>470</v>
      </c>
      <c r="B508" s="36" t="s">
        <v>1128</v>
      </c>
      <c r="C508" s="37">
        <v>5.4</v>
      </c>
      <c r="D508" s="37"/>
      <c r="E508" s="95"/>
    </row>
    <row r="509" spans="1:5" ht="24" x14ac:dyDescent="0.25">
      <c r="A509" s="35" t="s">
        <v>471</v>
      </c>
      <c r="B509" s="36" t="s">
        <v>1128</v>
      </c>
      <c r="C509" s="37">
        <v>3.73</v>
      </c>
      <c r="D509" s="37"/>
      <c r="E509" s="95"/>
    </row>
    <row r="510" spans="1:5" ht="24" x14ac:dyDescent="0.25">
      <c r="A510" s="35" t="s">
        <v>472</v>
      </c>
      <c r="B510" s="36" t="s">
        <v>2202</v>
      </c>
      <c r="C510" s="38">
        <v>2.41</v>
      </c>
      <c r="D510" s="38"/>
      <c r="E510" s="95"/>
    </row>
    <row r="511" spans="1:5" ht="24" x14ac:dyDescent="0.25">
      <c r="A511" s="35" t="s">
        <v>473</v>
      </c>
      <c r="B511" s="36" t="s">
        <v>1128</v>
      </c>
      <c r="C511" s="37">
        <v>3.93</v>
      </c>
      <c r="D511" s="37"/>
      <c r="E511" s="95"/>
    </row>
    <row r="512" spans="1:5" ht="24" x14ac:dyDescent="0.25">
      <c r="A512" s="35" t="s">
        <v>474</v>
      </c>
      <c r="B512" s="36" t="s">
        <v>1128</v>
      </c>
      <c r="C512" s="38">
        <v>3.47</v>
      </c>
      <c r="D512" s="38"/>
      <c r="E512" s="95"/>
    </row>
    <row r="513" spans="1:5" ht="24" x14ac:dyDescent="0.25">
      <c r="A513" s="35" t="s">
        <v>2899</v>
      </c>
      <c r="B513" s="36" t="s">
        <v>1128</v>
      </c>
      <c r="C513" s="37">
        <v>3.23</v>
      </c>
      <c r="D513" s="37"/>
      <c r="E513" s="95"/>
    </row>
    <row r="514" spans="1:5" ht="24" x14ac:dyDescent="0.25">
      <c r="A514" s="35" t="s">
        <v>943</v>
      </c>
      <c r="B514" s="36" t="s">
        <v>1128</v>
      </c>
      <c r="C514" s="37">
        <v>3.49</v>
      </c>
      <c r="D514" s="37"/>
      <c r="E514" s="95"/>
    </row>
    <row r="515" spans="1:5" ht="24" x14ac:dyDescent="0.25">
      <c r="A515" s="35" t="s">
        <v>944</v>
      </c>
      <c r="B515" s="36" t="s">
        <v>1128</v>
      </c>
      <c r="C515" s="37">
        <v>2.63</v>
      </c>
      <c r="D515" s="37"/>
      <c r="E515" s="95"/>
    </row>
    <row r="516" spans="1:5" ht="24" x14ac:dyDescent="0.25">
      <c r="A516" s="35" t="s">
        <v>945</v>
      </c>
      <c r="B516" s="36" t="s">
        <v>1128</v>
      </c>
      <c r="C516" s="38">
        <v>2.2999999999999998</v>
      </c>
      <c r="D516" s="38"/>
      <c r="E516" s="95"/>
    </row>
    <row r="517" spans="1:5" ht="24" x14ac:dyDescent="0.25">
      <c r="A517" s="35" t="s">
        <v>946</v>
      </c>
      <c r="B517" s="36" t="s">
        <v>1128</v>
      </c>
      <c r="C517" s="38">
        <v>2.14</v>
      </c>
      <c r="D517" s="38"/>
      <c r="E517" s="95"/>
    </row>
    <row r="518" spans="1:5" ht="36" x14ac:dyDescent="0.25">
      <c r="A518" s="35" t="s">
        <v>947</v>
      </c>
      <c r="B518" s="36"/>
      <c r="C518" s="37">
        <v>0</v>
      </c>
      <c r="D518" s="37"/>
      <c r="E518" s="95"/>
    </row>
    <row r="519" spans="1:5" ht="36" x14ac:dyDescent="0.25">
      <c r="A519" s="35" t="s">
        <v>948</v>
      </c>
      <c r="B519" s="36" t="s">
        <v>1128</v>
      </c>
      <c r="C519" s="37">
        <v>4.7</v>
      </c>
      <c r="D519" s="37"/>
      <c r="E519" s="95"/>
    </row>
    <row r="520" spans="1:5" ht="36" x14ac:dyDescent="0.25">
      <c r="A520" s="35" t="s">
        <v>949</v>
      </c>
      <c r="B520" s="36" t="s">
        <v>1128</v>
      </c>
      <c r="C520" s="38">
        <v>3.63</v>
      </c>
      <c r="D520" s="38"/>
      <c r="E520" s="95"/>
    </row>
    <row r="521" spans="1:5" ht="24" x14ac:dyDescent="0.25">
      <c r="A521" s="35" t="s">
        <v>466</v>
      </c>
      <c r="B521" s="36" t="s">
        <v>1128</v>
      </c>
      <c r="C521" s="38">
        <v>4.49</v>
      </c>
      <c r="D521" s="38"/>
      <c r="E521" s="95"/>
    </row>
    <row r="522" spans="1:5" x14ac:dyDescent="0.25">
      <c r="A522" s="26" t="s">
        <v>1033</v>
      </c>
      <c r="B522" s="31" t="s">
        <v>1714</v>
      </c>
      <c r="C522" s="30">
        <v>1.5</v>
      </c>
      <c r="D522" s="30"/>
      <c r="E522" s="95"/>
    </row>
    <row r="523" spans="1:5" x14ac:dyDescent="0.25">
      <c r="A523" s="28" t="s">
        <v>1033</v>
      </c>
      <c r="B523" s="34" t="s">
        <v>2241</v>
      </c>
      <c r="C523" s="30">
        <v>7.85</v>
      </c>
      <c r="D523" s="30"/>
      <c r="E523" s="95"/>
    </row>
    <row r="524" spans="1:5" x14ac:dyDescent="0.25">
      <c r="A524" s="28" t="s">
        <v>921</v>
      </c>
      <c r="B524" s="34" t="s">
        <v>2377</v>
      </c>
      <c r="C524" s="30">
        <v>37</v>
      </c>
      <c r="D524" s="30"/>
      <c r="E524" s="95"/>
    </row>
    <row r="525" spans="1:5" x14ac:dyDescent="0.25">
      <c r="A525" s="26" t="s">
        <v>922</v>
      </c>
      <c r="B525" s="31" t="s">
        <v>2241</v>
      </c>
      <c r="C525" s="30">
        <v>1.08</v>
      </c>
      <c r="D525" s="30"/>
      <c r="E525" s="95"/>
    </row>
    <row r="526" spans="1:5" x14ac:dyDescent="0.25">
      <c r="A526" s="28" t="s">
        <v>923</v>
      </c>
      <c r="B526" s="34" t="s">
        <v>2377</v>
      </c>
      <c r="C526" s="30">
        <v>395</v>
      </c>
      <c r="D526" s="30"/>
      <c r="E526" s="95"/>
    </row>
    <row r="527" spans="1:5" x14ac:dyDescent="0.25">
      <c r="A527" s="26" t="s">
        <v>924</v>
      </c>
      <c r="B527" s="31" t="s">
        <v>2377</v>
      </c>
      <c r="C527" s="30">
        <v>505</v>
      </c>
      <c r="D527" s="30"/>
      <c r="E527" s="95"/>
    </row>
    <row r="528" spans="1:5" x14ac:dyDescent="0.25">
      <c r="A528" s="28" t="s">
        <v>925</v>
      </c>
      <c r="B528" s="34" t="s">
        <v>1589</v>
      </c>
      <c r="C528" s="30">
        <v>9.0500000000000007</v>
      </c>
      <c r="D528" s="30"/>
      <c r="E528" s="95"/>
    </row>
    <row r="529" spans="1:5" x14ac:dyDescent="0.25">
      <c r="A529" s="35" t="s">
        <v>926</v>
      </c>
      <c r="B529" s="36" t="s">
        <v>2840</v>
      </c>
      <c r="C529" s="37">
        <v>12.1</v>
      </c>
      <c r="D529" s="37"/>
      <c r="E529" s="95"/>
    </row>
    <row r="530" spans="1:5" x14ac:dyDescent="0.25">
      <c r="A530" s="35" t="s">
        <v>1442</v>
      </c>
      <c r="B530" s="36" t="s">
        <v>2840</v>
      </c>
      <c r="C530" s="37">
        <v>24</v>
      </c>
      <c r="D530" s="37"/>
      <c r="E530" s="95"/>
    </row>
    <row r="531" spans="1:5" x14ac:dyDescent="0.25">
      <c r="A531" s="35" t="s">
        <v>1443</v>
      </c>
      <c r="B531" s="36" t="s">
        <v>1627</v>
      </c>
      <c r="C531" s="37">
        <v>4.26</v>
      </c>
      <c r="D531" s="37"/>
      <c r="E531" s="95"/>
    </row>
    <row r="532" spans="1:5" x14ac:dyDescent="0.25">
      <c r="A532" s="35" t="s">
        <v>1444</v>
      </c>
      <c r="B532" s="36" t="s">
        <v>2840</v>
      </c>
      <c r="C532" s="37">
        <v>6.6</v>
      </c>
      <c r="D532" s="37"/>
      <c r="E532" s="95"/>
    </row>
    <row r="533" spans="1:5" x14ac:dyDescent="0.25">
      <c r="A533" s="28" t="s">
        <v>927</v>
      </c>
      <c r="B533" s="34" t="s">
        <v>2377</v>
      </c>
      <c r="C533" s="30">
        <v>38</v>
      </c>
      <c r="D533" s="30"/>
      <c r="E533" s="95"/>
    </row>
    <row r="534" spans="1:5" x14ac:dyDescent="0.25">
      <c r="A534" s="26" t="s">
        <v>2186</v>
      </c>
      <c r="B534" s="31" t="s">
        <v>2734</v>
      </c>
      <c r="C534" s="30">
        <v>0.45</v>
      </c>
      <c r="D534" s="30"/>
      <c r="E534" s="95"/>
    </row>
    <row r="535" spans="1:5" x14ac:dyDescent="0.25">
      <c r="A535" s="26" t="s">
        <v>2850</v>
      </c>
      <c r="B535" s="31" t="s">
        <v>2734</v>
      </c>
      <c r="C535" s="30">
        <v>0.42</v>
      </c>
      <c r="D535" s="30"/>
      <c r="E535" s="95"/>
    </row>
    <row r="536" spans="1:5" x14ac:dyDescent="0.25">
      <c r="A536" s="26" t="s">
        <v>2851</v>
      </c>
      <c r="B536" s="31" t="s">
        <v>2734</v>
      </c>
      <c r="C536" s="30">
        <v>0.42</v>
      </c>
      <c r="D536" s="30"/>
      <c r="E536" s="95"/>
    </row>
    <row r="537" spans="1:5" x14ac:dyDescent="0.25">
      <c r="A537" s="26" t="s">
        <v>2853</v>
      </c>
      <c r="B537" s="31" t="s">
        <v>2734</v>
      </c>
      <c r="C537" s="30">
        <v>0.42</v>
      </c>
      <c r="D537" s="30"/>
      <c r="E537" s="95"/>
    </row>
    <row r="538" spans="1:5" x14ac:dyDescent="0.25">
      <c r="A538" s="26" t="s">
        <v>2185</v>
      </c>
      <c r="B538" s="31" t="s">
        <v>2734</v>
      </c>
      <c r="C538" s="30">
        <v>0.66</v>
      </c>
      <c r="D538" s="30"/>
      <c r="E538" s="95"/>
    </row>
    <row r="539" spans="1:5" x14ac:dyDescent="0.25">
      <c r="A539" s="26" t="s">
        <v>1985</v>
      </c>
      <c r="B539" s="31" t="s">
        <v>2734</v>
      </c>
      <c r="C539" s="30">
        <v>0.56000000000000005</v>
      </c>
      <c r="D539" s="30"/>
      <c r="E539" s="95"/>
    </row>
    <row r="540" spans="1:5" x14ac:dyDescent="0.25">
      <c r="A540" s="26" t="s">
        <v>1367</v>
      </c>
      <c r="B540" s="31" t="s">
        <v>2734</v>
      </c>
      <c r="C540" s="30">
        <v>0.42</v>
      </c>
      <c r="D540" s="30"/>
      <c r="E540" s="95"/>
    </row>
    <row r="541" spans="1:5" x14ac:dyDescent="0.25">
      <c r="A541" s="26" t="s">
        <v>2852</v>
      </c>
      <c r="B541" s="31" t="s">
        <v>2734</v>
      </c>
      <c r="C541" s="30">
        <v>0.42</v>
      </c>
      <c r="D541" s="30"/>
      <c r="E541" s="95"/>
    </row>
    <row r="542" spans="1:5" x14ac:dyDescent="0.25">
      <c r="A542" s="26" t="s">
        <v>2188</v>
      </c>
      <c r="B542" s="31" t="s">
        <v>2734</v>
      </c>
      <c r="C542" s="30">
        <v>0.48</v>
      </c>
      <c r="D542" s="30"/>
      <c r="E542" s="95"/>
    </row>
    <row r="543" spans="1:5" x14ac:dyDescent="0.25">
      <c r="A543" s="26" t="s">
        <v>2187</v>
      </c>
      <c r="B543" s="31" t="s">
        <v>2734</v>
      </c>
      <c r="C543" s="30">
        <v>0.83</v>
      </c>
      <c r="D543" s="30"/>
      <c r="E543" s="95"/>
    </row>
    <row r="544" spans="1:5" x14ac:dyDescent="0.25">
      <c r="A544" s="26" t="s">
        <v>2189</v>
      </c>
      <c r="B544" s="31" t="s">
        <v>2734</v>
      </c>
      <c r="C544" s="30">
        <v>0.83</v>
      </c>
      <c r="D544" s="30"/>
      <c r="E544" s="95"/>
    </row>
    <row r="545" spans="1:5" x14ac:dyDescent="0.25">
      <c r="A545" s="26" t="s">
        <v>2029</v>
      </c>
      <c r="B545" s="31" t="s">
        <v>2734</v>
      </c>
      <c r="C545" s="30">
        <v>0.83</v>
      </c>
      <c r="D545" s="30"/>
      <c r="E545" s="95"/>
    </row>
    <row r="546" spans="1:5" x14ac:dyDescent="0.25">
      <c r="A546" s="26" t="s">
        <v>2434</v>
      </c>
      <c r="B546" s="31" t="s">
        <v>2734</v>
      </c>
      <c r="C546" s="30">
        <v>0.94</v>
      </c>
      <c r="D546" s="30"/>
      <c r="E546" s="95"/>
    </row>
    <row r="547" spans="1:5" x14ac:dyDescent="0.25">
      <c r="A547" s="26" t="s">
        <v>2028</v>
      </c>
      <c r="B547" s="31" t="s">
        <v>2734</v>
      </c>
      <c r="C547" s="30">
        <v>0.83</v>
      </c>
      <c r="D547" s="30"/>
      <c r="E547" s="95"/>
    </row>
    <row r="548" spans="1:5" x14ac:dyDescent="0.25">
      <c r="A548" s="26" t="s">
        <v>2190</v>
      </c>
      <c r="B548" s="31" t="s">
        <v>2734</v>
      </c>
      <c r="C548" s="30">
        <v>0.83</v>
      </c>
      <c r="D548" s="30"/>
      <c r="E548" s="95"/>
    </row>
    <row r="549" spans="1:5" ht="24" x14ac:dyDescent="0.25">
      <c r="A549" s="35" t="s">
        <v>1015</v>
      </c>
      <c r="B549" s="36" t="s">
        <v>2202</v>
      </c>
      <c r="C549" s="37">
        <v>26</v>
      </c>
      <c r="D549" s="37"/>
      <c r="E549" s="95"/>
    </row>
    <row r="550" spans="1:5" ht="24" x14ac:dyDescent="0.25">
      <c r="A550" s="35" t="s">
        <v>1482</v>
      </c>
      <c r="B550" s="36" t="s">
        <v>2202</v>
      </c>
      <c r="C550" s="37">
        <v>32</v>
      </c>
      <c r="D550" s="37"/>
      <c r="E550" s="95"/>
    </row>
    <row r="551" spans="1:5" ht="24" x14ac:dyDescent="0.25">
      <c r="A551" s="35" t="s">
        <v>1483</v>
      </c>
      <c r="B551" s="36" t="s">
        <v>2202</v>
      </c>
      <c r="C551" s="37">
        <v>45.5</v>
      </c>
      <c r="D551" s="37"/>
      <c r="E551" s="95"/>
    </row>
    <row r="552" spans="1:5" ht="24" x14ac:dyDescent="0.25">
      <c r="A552" s="35" t="s">
        <v>1484</v>
      </c>
      <c r="B552" s="36" t="s">
        <v>2202</v>
      </c>
      <c r="C552" s="37">
        <v>67</v>
      </c>
      <c r="D552" s="37"/>
      <c r="E552" s="95"/>
    </row>
    <row r="553" spans="1:5" ht="24" x14ac:dyDescent="0.25">
      <c r="A553" s="35" t="s">
        <v>1485</v>
      </c>
      <c r="B553" s="36" t="s">
        <v>2202</v>
      </c>
      <c r="C553" s="38">
        <v>91.5</v>
      </c>
      <c r="D553" s="38"/>
      <c r="E553" s="95"/>
    </row>
    <row r="554" spans="1:5" ht="24" x14ac:dyDescent="0.25">
      <c r="A554" s="35" t="s">
        <v>2579</v>
      </c>
      <c r="B554" s="36" t="s">
        <v>2202</v>
      </c>
      <c r="C554" s="37">
        <v>108</v>
      </c>
      <c r="D554" s="37"/>
      <c r="E554" s="95"/>
    </row>
    <row r="555" spans="1:5" ht="24" x14ac:dyDescent="0.25">
      <c r="A555" s="35" t="s">
        <v>1799</v>
      </c>
      <c r="B555" s="36" t="s">
        <v>2202</v>
      </c>
      <c r="C555" s="38">
        <v>107</v>
      </c>
      <c r="D555" s="38"/>
      <c r="E555" s="95"/>
    </row>
    <row r="556" spans="1:5" ht="24" x14ac:dyDescent="0.25">
      <c r="A556" s="35" t="s">
        <v>2525</v>
      </c>
      <c r="B556" s="36" t="s">
        <v>2202</v>
      </c>
      <c r="C556" s="37">
        <v>20.5</v>
      </c>
      <c r="D556" s="37"/>
      <c r="E556" s="95"/>
    </row>
    <row r="557" spans="1:5" ht="24" x14ac:dyDescent="0.25">
      <c r="A557" s="35" t="s">
        <v>2529</v>
      </c>
      <c r="B557" s="36" t="s">
        <v>2202</v>
      </c>
      <c r="C557" s="37">
        <v>25</v>
      </c>
      <c r="D557" s="37"/>
      <c r="E557" s="95"/>
    </row>
    <row r="558" spans="1:5" ht="24" x14ac:dyDescent="0.25">
      <c r="A558" s="35" t="s">
        <v>1200</v>
      </c>
      <c r="B558" s="36" t="s">
        <v>2202</v>
      </c>
      <c r="C558" s="38">
        <v>147</v>
      </c>
      <c r="D558" s="38"/>
      <c r="E558" s="95"/>
    </row>
    <row r="559" spans="1:5" ht="24" x14ac:dyDescent="0.25">
      <c r="A559" s="35" t="s">
        <v>457</v>
      </c>
      <c r="B559" s="36" t="s">
        <v>2202</v>
      </c>
      <c r="C559" s="37">
        <v>73</v>
      </c>
      <c r="D559" s="37"/>
      <c r="E559" s="95"/>
    </row>
    <row r="560" spans="1:5" ht="24" x14ac:dyDescent="0.25">
      <c r="A560" s="35" t="s">
        <v>2385</v>
      </c>
      <c r="B560" s="36" t="s">
        <v>2202</v>
      </c>
      <c r="C560" s="38">
        <v>93.5</v>
      </c>
      <c r="D560" s="38"/>
      <c r="E560" s="95"/>
    </row>
    <row r="561" spans="1:5" ht="24" x14ac:dyDescent="0.25">
      <c r="A561" s="35" t="s">
        <v>455</v>
      </c>
      <c r="B561" s="36" t="s">
        <v>2202</v>
      </c>
      <c r="C561" s="37">
        <v>36.5</v>
      </c>
      <c r="D561" s="37"/>
      <c r="E561" s="95"/>
    </row>
    <row r="562" spans="1:5" ht="24" x14ac:dyDescent="0.25">
      <c r="A562" s="35" t="s">
        <v>456</v>
      </c>
      <c r="B562" s="36" t="s">
        <v>2202</v>
      </c>
      <c r="C562" s="37">
        <v>54</v>
      </c>
      <c r="D562" s="37"/>
      <c r="E562" s="95"/>
    </row>
    <row r="563" spans="1:5" ht="24" x14ac:dyDescent="0.25">
      <c r="A563" s="35" t="s">
        <v>453</v>
      </c>
      <c r="B563" s="36" t="s">
        <v>2202</v>
      </c>
      <c r="C563" s="37">
        <v>16.649999999999999</v>
      </c>
      <c r="D563" s="37"/>
      <c r="E563" s="95"/>
    </row>
    <row r="564" spans="1:5" ht="24" x14ac:dyDescent="0.25">
      <c r="A564" s="35" t="s">
        <v>1013</v>
      </c>
      <c r="B564" s="36" t="s">
        <v>2202</v>
      </c>
      <c r="C564" s="38">
        <v>20</v>
      </c>
      <c r="D564" s="38"/>
      <c r="E564" s="95"/>
    </row>
    <row r="565" spans="1:5" ht="24" x14ac:dyDescent="0.25">
      <c r="A565" s="35" t="s">
        <v>1014</v>
      </c>
      <c r="B565" s="36" t="s">
        <v>2202</v>
      </c>
      <c r="C565" s="38">
        <v>20.5</v>
      </c>
      <c r="D565" s="38"/>
      <c r="E565" s="95"/>
    </row>
    <row r="566" spans="1:5" ht="24" x14ac:dyDescent="0.25">
      <c r="A566" s="35" t="s">
        <v>454</v>
      </c>
      <c r="B566" s="36" t="s">
        <v>2202</v>
      </c>
      <c r="C566" s="38">
        <v>27.5</v>
      </c>
      <c r="D566" s="38"/>
      <c r="E566" s="95"/>
    </row>
    <row r="567" spans="1:5" ht="24" x14ac:dyDescent="0.25">
      <c r="A567" s="35" t="s">
        <v>1625</v>
      </c>
      <c r="B567" s="36" t="s">
        <v>2265</v>
      </c>
      <c r="C567" s="38">
        <v>230</v>
      </c>
      <c r="D567" s="38"/>
      <c r="E567" s="95"/>
    </row>
    <row r="568" spans="1:5" ht="24" x14ac:dyDescent="0.25">
      <c r="A568" s="35" t="s">
        <v>1626</v>
      </c>
      <c r="B568" s="36" t="s">
        <v>2265</v>
      </c>
      <c r="C568" s="37">
        <v>540</v>
      </c>
      <c r="D568" s="37"/>
      <c r="E568" s="95"/>
    </row>
    <row r="569" spans="1:5" x14ac:dyDescent="0.25">
      <c r="A569" s="27" t="s">
        <v>545</v>
      </c>
      <c r="B569" s="30" t="s">
        <v>2734</v>
      </c>
      <c r="C569" s="32">
        <v>148</v>
      </c>
      <c r="D569" s="32"/>
      <c r="E569" s="95"/>
    </row>
    <row r="570" spans="1:5" x14ac:dyDescent="0.25">
      <c r="A570" s="27" t="s">
        <v>546</v>
      </c>
      <c r="B570" s="31" t="s">
        <v>1388</v>
      </c>
      <c r="C570" s="30">
        <v>80</v>
      </c>
      <c r="D570" s="30"/>
      <c r="E570" s="95"/>
    </row>
    <row r="571" spans="1:5" x14ac:dyDescent="0.25">
      <c r="A571" s="35" t="s">
        <v>1201</v>
      </c>
      <c r="B571" s="36" t="s">
        <v>2265</v>
      </c>
      <c r="C571" s="38">
        <v>186</v>
      </c>
      <c r="D571" s="38"/>
      <c r="E571" s="95"/>
    </row>
    <row r="572" spans="1:5" x14ac:dyDescent="0.25">
      <c r="A572" s="35" t="s">
        <v>1202</v>
      </c>
      <c r="B572" s="36" t="s">
        <v>2265</v>
      </c>
      <c r="C572" s="38">
        <v>157</v>
      </c>
      <c r="D572" s="38"/>
      <c r="E572" s="95"/>
    </row>
    <row r="573" spans="1:5" x14ac:dyDescent="0.25">
      <c r="A573" s="35" t="s">
        <v>1203</v>
      </c>
      <c r="B573" s="36" t="s">
        <v>2265</v>
      </c>
      <c r="C573" s="37">
        <v>185</v>
      </c>
      <c r="D573" s="37"/>
      <c r="E573" s="95"/>
    </row>
    <row r="574" spans="1:5" x14ac:dyDescent="0.25">
      <c r="A574" s="35" t="s">
        <v>1204</v>
      </c>
      <c r="B574" s="36" t="s">
        <v>2265</v>
      </c>
      <c r="C574" s="38">
        <v>284</v>
      </c>
      <c r="D574" s="38"/>
      <c r="E574" s="95"/>
    </row>
    <row r="575" spans="1:5" x14ac:dyDescent="0.25">
      <c r="A575" s="35" t="s">
        <v>1205</v>
      </c>
      <c r="B575" s="36" t="s">
        <v>2265</v>
      </c>
      <c r="C575" s="37">
        <v>425</v>
      </c>
      <c r="D575" s="37"/>
      <c r="E575" s="95"/>
    </row>
    <row r="576" spans="1:5" x14ac:dyDescent="0.25">
      <c r="A576" s="35" t="s">
        <v>1206</v>
      </c>
      <c r="B576" s="36" t="s">
        <v>2265</v>
      </c>
      <c r="C576" s="38">
        <v>555</v>
      </c>
      <c r="D576" s="38"/>
      <c r="E576" s="95"/>
    </row>
    <row r="577" spans="1:5" x14ac:dyDescent="0.25">
      <c r="A577" s="35" t="s">
        <v>2570</v>
      </c>
      <c r="B577" s="36" t="s">
        <v>2265</v>
      </c>
      <c r="C577" s="37">
        <v>1125</v>
      </c>
      <c r="D577" s="37"/>
      <c r="E577" s="95"/>
    </row>
    <row r="578" spans="1:5" x14ac:dyDescent="0.25">
      <c r="A578" s="35" t="s">
        <v>2571</v>
      </c>
      <c r="B578" s="36" t="s">
        <v>2265</v>
      </c>
      <c r="C578" s="38">
        <v>1775</v>
      </c>
      <c r="D578" s="38"/>
      <c r="E578" s="95"/>
    </row>
    <row r="579" spans="1:5" x14ac:dyDescent="0.25">
      <c r="A579" s="26" t="s">
        <v>953</v>
      </c>
      <c r="B579" s="31" t="s">
        <v>1934</v>
      </c>
      <c r="C579" s="30">
        <v>39</v>
      </c>
      <c r="D579" s="30"/>
      <c r="E579" s="95"/>
    </row>
    <row r="580" spans="1:5" x14ac:dyDescent="0.25">
      <c r="A580" s="26" t="s">
        <v>954</v>
      </c>
      <c r="B580" s="31" t="s">
        <v>2734</v>
      </c>
      <c r="C580" s="30">
        <v>0.1</v>
      </c>
      <c r="D580" s="30"/>
      <c r="E580" s="95"/>
    </row>
    <row r="581" spans="1:5" x14ac:dyDescent="0.25">
      <c r="A581" s="26" t="s">
        <v>196</v>
      </c>
      <c r="B581" s="31" t="s">
        <v>195</v>
      </c>
      <c r="C581" s="30">
        <v>0.05</v>
      </c>
      <c r="D581" s="30"/>
      <c r="E581" s="95"/>
    </row>
    <row r="582" spans="1:5" ht="24" x14ac:dyDescent="0.25">
      <c r="A582" s="26" t="s">
        <v>198</v>
      </c>
      <c r="B582" s="31" t="s">
        <v>195</v>
      </c>
      <c r="C582" s="30">
        <v>0.13</v>
      </c>
      <c r="D582" s="30"/>
      <c r="E582" s="95"/>
    </row>
    <row r="583" spans="1:5" x14ac:dyDescent="0.25">
      <c r="A583" s="26" t="s">
        <v>197</v>
      </c>
      <c r="B583" s="31" t="s">
        <v>195</v>
      </c>
      <c r="C583" s="30">
        <v>0.04</v>
      </c>
      <c r="D583" s="30"/>
      <c r="E583" s="95"/>
    </row>
    <row r="584" spans="1:5" x14ac:dyDescent="0.25">
      <c r="A584" s="26" t="s">
        <v>955</v>
      </c>
      <c r="B584" s="31" t="s">
        <v>2734</v>
      </c>
      <c r="C584" s="30">
        <v>0.15</v>
      </c>
      <c r="D584" s="30"/>
      <c r="E584" s="95"/>
    </row>
    <row r="585" spans="1:5" x14ac:dyDescent="0.25">
      <c r="A585" s="28" t="s">
        <v>951</v>
      </c>
      <c r="B585" s="34" t="s">
        <v>2734</v>
      </c>
      <c r="C585" s="30">
        <v>54</v>
      </c>
      <c r="D585" s="30"/>
      <c r="E585" s="95"/>
    </row>
    <row r="586" spans="1:5" x14ac:dyDescent="0.25">
      <c r="A586" s="28" t="s">
        <v>956</v>
      </c>
      <c r="B586" s="34" t="s">
        <v>2734</v>
      </c>
      <c r="C586" s="30">
        <v>49</v>
      </c>
      <c r="D586" s="30"/>
      <c r="E586" s="95"/>
    </row>
    <row r="587" spans="1:5" x14ac:dyDescent="0.25">
      <c r="A587" s="28" t="s">
        <v>952</v>
      </c>
      <c r="B587" s="34" t="s">
        <v>2734</v>
      </c>
      <c r="C587" s="30">
        <v>13</v>
      </c>
      <c r="D587" s="30"/>
      <c r="E587" s="95"/>
    </row>
    <row r="588" spans="1:5" x14ac:dyDescent="0.25">
      <c r="A588" s="11" t="s">
        <v>1006</v>
      </c>
      <c r="B588" s="34" t="s">
        <v>1007</v>
      </c>
      <c r="C588" s="30"/>
      <c r="D588" s="30"/>
      <c r="E588" s="95"/>
    </row>
    <row r="589" spans="1:5" x14ac:dyDescent="0.25">
      <c r="A589" s="11" t="s">
        <v>1008</v>
      </c>
      <c r="B589" s="34"/>
      <c r="C589" s="30"/>
      <c r="D589" s="30"/>
      <c r="E589" s="95"/>
    </row>
    <row r="590" spans="1:5" x14ac:dyDescent="0.25">
      <c r="A590" s="26" t="s">
        <v>928</v>
      </c>
      <c r="B590" s="31" t="s">
        <v>2016</v>
      </c>
      <c r="C590" s="30">
        <v>0.05</v>
      </c>
      <c r="D590" s="30"/>
      <c r="E590" s="95"/>
    </row>
    <row r="591" spans="1:5" x14ac:dyDescent="0.25">
      <c r="A591" s="26" t="s">
        <v>2282</v>
      </c>
      <c r="B591" s="31" t="s">
        <v>2734</v>
      </c>
      <c r="C591" s="30">
        <v>0.8</v>
      </c>
      <c r="D591" s="30"/>
      <c r="E591" s="95"/>
    </row>
    <row r="592" spans="1:5" x14ac:dyDescent="0.25">
      <c r="A592" s="26" t="s">
        <v>1906</v>
      </c>
      <c r="B592" s="31" t="s">
        <v>2734</v>
      </c>
      <c r="C592" s="30">
        <v>0.6</v>
      </c>
      <c r="D592" s="30"/>
      <c r="E592" s="95"/>
    </row>
    <row r="593" spans="1:5" x14ac:dyDescent="0.25">
      <c r="A593" s="26" t="s">
        <v>929</v>
      </c>
      <c r="B593" s="30" t="s">
        <v>2016</v>
      </c>
      <c r="C593" s="32">
        <v>0.02</v>
      </c>
      <c r="D593" s="32"/>
      <c r="E593" s="95"/>
    </row>
    <row r="594" spans="1:5" x14ac:dyDescent="0.25">
      <c r="A594" s="26" t="s">
        <v>930</v>
      </c>
      <c r="B594" s="31" t="s">
        <v>2202</v>
      </c>
      <c r="C594" s="30">
        <v>6.75</v>
      </c>
      <c r="D594" s="30"/>
      <c r="E594" s="95"/>
    </row>
    <row r="595" spans="1:5" x14ac:dyDescent="0.25">
      <c r="A595" s="26" t="s">
        <v>931</v>
      </c>
      <c r="B595" s="30" t="s">
        <v>2734</v>
      </c>
      <c r="C595" s="32">
        <v>0.15</v>
      </c>
      <c r="D595" s="32"/>
      <c r="E595" s="95"/>
    </row>
    <row r="596" spans="1:5" x14ac:dyDescent="0.25">
      <c r="A596" s="26" t="s">
        <v>2297</v>
      </c>
      <c r="B596" s="31" t="s">
        <v>2265</v>
      </c>
      <c r="C596" s="30">
        <v>14.5</v>
      </c>
      <c r="D596" s="30"/>
      <c r="E596" s="95"/>
    </row>
    <row r="597" spans="1:5" x14ac:dyDescent="0.25">
      <c r="A597" s="26" t="s">
        <v>959</v>
      </c>
      <c r="B597" s="30" t="s">
        <v>2734</v>
      </c>
      <c r="C597" s="32">
        <v>350</v>
      </c>
      <c r="D597" s="32"/>
      <c r="E597" s="95"/>
    </row>
    <row r="598" spans="1:5" x14ac:dyDescent="0.25">
      <c r="A598" s="26" t="s">
        <v>960</v>
      </c>
      <c r="B598" s="30" t="s">
        <v>2734</v>
      </c>
      <c r="C598" s="32">
        <v>450</v>
      </c>
      <c r="D598" s="32"/>
      <c r="E598" s="95"/>
    </row>
    <row r="599" spans="1:5" x14ac:dyDescent="0.25">
      <c r="A599" s="26" t="s">
        <v>961</v>
      </c>
      <c r="B599" s="30" t="s">
        <v>2734</v>
      </c>
      <c r="C599" s="32">
        <v>850</v>
      </c>
      <c r="D599" s="32"/>
      <c r="E599" s="95"/>
    </row>
    <row r="600" spans="1:5" x14ac:dyDescent="0.25">
      <c r="A600" s="26" t="s">
        <v>957</v>
      </c>
      <c r="B600" s="30" t="s">
        <v>2734</v>
      </c>
      <c r="C600" s="32">
        <v>145</v>
      </c>
      <c r="D600" s="32"/>
      <c r="E600" s="95"/>
    </row>
    <row r="601" spans="1:5" x14ac:dyDescent="0.25">
      <c r="A601" s="26" t="s">
        <v>958</v>
      </c>
      <c r="B601" s="30" t="s">
        <v>2734</v>
      </c>
      <c r="C601" s="32">
        <v>235</v>
      </c>
      <c r="D601" s="32"/>
      <c r="E601" s="95"/>
    </row>
    <row r="602" spans="1:5" x14ac:dyDescent="0.25">
      <c r="A602" s="26" t="s">
        <v>1893</v>
      </c>
      <c r="B602" s="30" t="s">
        <v>2734</v>
      </c>
      <c r="C602" s="32">
        <v>100</v>
      </c>
      <c r="D602" s="32"/>
      <c r="E602" s="95"/>
    </row>
    <row r="603" spans="1:5" x14ac:dyDescent="0.25">
      <c r="A603" s="26" t="s">
        <v>1894</v>
      </c>
      <c r="B603" s="30" t="s">
        <v>2734</v>
      </c>
      <c r="C603" s="32">
        <v>150</v>
      </c>
      <c r="D603" s="32"/>
      <c r="E603" s="95"/>
    </row>
    <row r="604" spans="1:5" x14ac:dyDescent="0.25">
      <c r="A604" s="26" t="s">
        <v>2288</v>
      </c>
      <c r="B604" s="30" t="s">
        <v>2734</v>
      </c>
      <c r="C604" s="32">
        <v>175</v>
      </c>
      <c r="D604" s="32"/>
      <c r="E604" s="95"/>
    </row>
    <row r="605" spans="1:5" x14ac:dyDescent="0.25">
      <c r="A605" s="28" t="s">
        <v>1897</v>
      </c>
      <c r="B605" s="34" t="s">
        <v>2734</v>
      </c>
      <c r="C605" s="30">
        <v>88</v>
      </c>
      <c r="D605" s="30"/>
      <c r="E605" s="95"/>
    </row>
    <row r="606" spans="1:5" x14ac:dyDescent="0.25">
      <c r="A606" s="28" t="s">
        <v>1898</v>
      </c>
      <c r="B606" s="34" t="s">
        <v>2734</v>
      </c>
      <c r="C606" s="30">
        <v>92</v>
      </c>
      <c r="D606" s="30"/>
      <c r="E606" s="95"/>
    </row>
    <row r="607" spans="1:5" x14ac:dyDescent="0.25">
      <c r="A607" s="28" t="s">
        <v>1899</v>
      </c>
      <c r="B607" s="34" t="s">
        <v>2734</v>
      </c>
      <c r="C607" s="30">
        <v>135</v>
      </c>
      <c r="D607" s="30"/>
      <c r="E607" s="95"/>
    </row>
    <row r="608" spans="1:5" x14ac:dyDescent="0.25">
      <c r="A608" s="28" t="s">
        <v>1900</v>
      </c>
      <c r="B608" s="34" t="s">
        <v>2734</v>
      </c>
      <c r="C608" s="30">
        <v>146</v>
      </c>
      <c r="D608" s="30"/>
      <c r="E608" s="95"/>
    </row>
    <row r="609" spans="1:5" x14ac:dyDescent="0.25">
      <c r="A609" s="28" t="s">
        <v>1901</v>
      </c>
      <c r="B609" s="34" t="s">
        <v>2734</v>
      </c>
      <c r="C609" s="30">
        <v>162</v>
      </c>
      <c r="D609" s="30"/>
      <c r="E609" s="95"/>
    </row>
    <row r="610" spans="1:5" x14ac:dyDescent="0.25">
      <c r="A610" s="28" t="s">
        <v>1902</v>
      </c>
      <c r="B610" s="34" t="s">
        <v>2734</v>
      </c>
      <c r="C610" s="30">
        <v>82</v>
      </c>
      <c r="D610" s="30"/>
      <c r="E610" s="95"/>
    </row>
    <row r="611" spans="1:5" x14ac:dyDescent="0.25">
      <c r="A611" s="28" t="s">
        <v>1903</v>
      </c>
      <c r="B611" s="34" t="s">
        <v>2734</v>
      </c>
      <c r="C611" s="30">
        <v>95</v>
      </c>
      <c r="D611" s="30"/>
      <c r="E611" s="95"/>
    </row>
    <row r="612" spans="1:5" x14ac:dyDescent="0.25">
      <c r="A612" s="28" t="s">
        <v>1904</v>
      </c>
      <c r="B612" s="34" t="s">
        <v>2734</v>
      </c>
      <c r="C612" s="30">
        <v>105</v>
      </c>
      <c r="D612" s="30"/>
      <c r="E612" s="95"/>
    </row>
    <row r="613" spans="1:5" x14ac:dyDescent="0.25">
      <c r="A613" s="28" t="s">
        <v>1896</v>
      </c>
      <c r="B613" s="34" t="s">
        <v>2734</v>
      </c>
      <c r="C613" s="30">
        <v>72</v>
      </c>
      <c r="D613" s="30"/>
      <c r="E613" s="95"/>
    </row>
    <row r="614" spans="1:5" x14ac:dyDescent="0.25">
      <c r="A614" s="26" t="s">
        <v>2293</v>
      </c>
      <c r="B614" s="31" t="s">
        <v>2265</v>
      </c>
      <c r="C614" s="30">
        <v>11.55</v>
      </c>
      <c r="D614" s="30"/>
      <c r="E614" s="95"/>
    </row>
    <row r="615" spans="1:5" x14ac:dyDescent="0.25">
      <c r="A615" s="26" t="s">
        <v>932</v>
      </c>
      <c r="B615" s="30" t="s">
        <v>2734</v>
      </c>
      <c r="C615" s="32">
        <v>4.4999999999999998E-2</v>
      </c>
      <c r="D615" s="32"/>
      <c r="E615" s="95"/>
    </row>
    <row r="616" spans="1:5" x14ac:dyDescent="0.25">
      <c r="A616" s="26" t="s">
        <v>1905</v>
      </c>
      <c r="B616" s="31" t="s">
        <v>2734</v>
      </c>
      <c r="C616" s="30">
        <v>5</v>
      </c>
      <c r="D616" s="30"/>
      <c r="E616" s="95"/>
    </row>
    <row r="617" spans="1:5" x14ac:dyDescent="0.25">
      <c r="A617" s="26" t="s">
        <v>2286</v>
      </c>
      <c r="B617" s="31" t="s">
        <v>2734</v>
      </c>
      <c r="C617" s="30">
        <v>7</v>
      </c>
      <c r="D617" s="30"/>
      <c r="E617" s="95"/>
    </row>
    <row r="618" spans="1:5" x14ac:dyDescent="0.25">
      <c r="A618" s="26" t="s">
        <v>2295</v>
      </c>
      <c r="B618" s="31" t="s">
        <v>2265</v>
      </c>
      <c r="C618" s="30">
        <v>3</v>
      </c>
      <c r="D618" s="30"/>
      <c r="E618" s="95"/>
    </row>
    <row r="619" spans="1:5" x14ac:dyDescent="0.25">
      <c r="A619" s="26" t="s">
        <v>1895</v>
      </c>
      <c r="B619" s="31" t="s">
        <v>2016</v>
      </c>
      <c r="C619" s="71">
        <v>1.4999999999999999E-2</v>
      </c>
      <c r="D619" s="71"/>
      <c r="E619" s="95"/>
    </row>
    <row r="620" spans="1:5" x14ac:dyDescent="0.25">
      <c r="A620" s="26" t="s">
        <v>2296</v>
      </c>
      <c r="B620" s="31" t="s">
        <v>2265</v>
      </c>
      <c r="C620" s="30">
        <v>10</v>
      </c>
      <c r="D620" s="30"/>
      <c r="E620" s="95"/>
    </row>
    <row r="621" spans="1:5" x14ac:dyDescent="0.25">
      <c r="A621" s="26" t="s">
        <v>2287</v>
      </c>
      <c r="B621" s="30" t="s">
        <v>2577</v>
      </c>
      <c r="C621" s="32">
        <v>1.2</v>
      </c>
      <c r="D621" s="32"/>
      <c r="E621" s="95"/>
    </row>
    <row r="622" spans="1:5" x14ac:dyDescent="0.25">
      <c r="A622" s="26" t="s">
        <v>934</v>
      </c>
      <c r="B622" s="31" t="s">
        <v>2734</v>
      </c>
      <c r="C622" s="30">
        <v>2</v>
      </c>
      <c r="D622" s="30"/>
      <c r="E622" s="95"/>
    </row>
    <row r="623" spans="1:5" x14ac:dyDescent="0.25">
      <c r="A623" s="26" t="s">
        <v>2292</v>
      </c>
      <c r="B623" s="31" t="s">
        <v>2016</v>
      </c>
      <c r="C623" s="30">
        <v>0.65</v>
      </c>
      <c r="D623" s="30"/>
      <c r="E623" s="95"/>
    </row>
    <row r="624" spans="1:5" x14ac:dyDescent="0.25">
      <c r="A624" s="26" t="s">
        <v>2289</v>
      </c>
      <c r="B624" s="31" t="s">
        <v>2016</v>
      </c>
      <c r="C624" s="30">
        <v>0.05</v>
      </c>
      <c r="D624" s="30"/>
      <c r="E624" s="95"/>
    </row>
    <row r="625" spans="1:5" x14ac:dyDescent="0.25">
      <c r="A625" s="26" t="s">
        <v>2291</v>
      </c>
      <c r="B625" s="31" t="s">
        <v>2265</v>
      </c>
      <c r="C625" s="30">
        <v>35</v>
      </c>
      <c r="D625" s="30"/>
      <c r="E625" s="95"/>
    </row>
    <row r="626" spans="1:5" x14ac:dyDescent="0.25">
      <c r="A626" s="26" t="s">
        <v>2290</v>
      </c>
      <c r="B626" s="31" t="s">
        <v>2265</v>
      </c>
      <c r="C626" s="30">
        <v>2.5</v>
      </c>
      <c r="D626" s="30"/>
      <c r="E626" s="95"/>
    </row>
    <row r="627" spans="1:5" x14ac:dyDescent="0.25">
      <c r="A627" s="26" t="s">
        <v>2294</v>
      </c>
      <c r="B627" s="31" t="s">
        <v>2265</v>
      </c>
      <c r="C627" s="30">
        <v>1.5</v>
      </c>
      <c r="D627" s="30"/>
      <c r="E627" s="95"/>
    </row>
    <row r="628" spans="1:5" x14ac:dyDescent="0.25">
      <c r="A628" s="26" t="s">
        <v>935</v>
      </c>
      <c r="B628" s="31" t="s">
        <v>2016</v>
      </c>
      <c r="C628" s="30">
        <v>0.5</v>
      </c>
      <c r="D628" s="30"/>
      <c r="E628" s="95"/>
    </row>
    <row r="629" spans="1:5" x14ac:dyDescent="0.25">
      <c r="A629" s="26" t="s">
        <v>2283</v>
      </c>
      <c r="B629" s="30" t="s">
        <v>2734</v>
      </c>
      <c r="C629" s="32">
        <v>1.25</v>
      </c>
      <c r="D629" s="32"/>
      <c r="E629" s="95"/>
    </row>
    <row r="630" spans="1:5" x14ac:dyDescent="0.25">
      <c r="A630" s="26" t="s">
        <v>2284</v>
      </c>
      <c r="B630" s="31" t="s">
        <v>2734</v>
      </c>
      <c r="C630" s="30">
        <v>9</v>
      </c>
      <c r="D630" s="30"/>
      <c r="E630" s="95"/>
    </row>
    <row r="631" spans="1:5" x14ac:dyDescent="0.25">
      <c r="A631" s="26" t="s">
        <v>2285</v>
      </c>
      <c r="B631" s="31" t="s">
        <v>2265</v>
      </c>
      <c r="C631" s="30">
        <v>2.59</v>
      </c>
      <c r="D631" s="30"/>
      <c r="E631" s="95"/>
    </row>
    <row r="632" spans="1:5" x14ac:dyDescent="0.25">
      <c r="A632" s="35" t="s">
        <v>1170</v>
      </c>
      <c r="B632" s="36" t="s">
        <v>1627</v>
      </c>
      <c r="C632" s="37">
        <v>0.47</v>
      </c>
      <c r="D632" s="37"/>
      <c r="E632" s="95"/>
    </row>
    <row r="633" spans="1:5" x14ac:dyDescent="0.25">
      <c r="A633" s="28" t="s">
        <v>2866</v>
      </c>
      <c r="B633" s="34" t="s">
        <v>478</v>
      </c>
      <c r="C633" s="30">
        <v>366</v>
      </c>
      <c r="D633" s="30"/>
      <c r="E633" s="95"/>
    </row>
    <row r="634" spans="1:5" x14ac:dyDescent="0.25">
      <c r="A634" s="28" t="s">
        <v>2863</v>
      </c>
      <c r="B634" s="34" t="s">
        <v>478</v>
      </c>
      <c r="C634" s="30">
        <v>521</v>
      </c>
      <c r="D634" s="30"/>
      <c r="E634" s="95"/>
    </row>
    <row r="635" spans="1:5" x14ac:dyDescent="0.25">
      <c r="A635" s="28" t="s">
        <v>2868</v>
      </c>
      <c r="B635" s="34" t="s">
        <v>478</v>
      </c>
      <c r="C635" s="30">
        <v>337</v>
      </c>
      <c r="D635" s="30"/>
      <c r="E635" s="95"/>
    </row>
    <row r="636" spans="1:5" x14ac:dyDescent="0.25">
      <c r="A636" s="28" t="s">
        <v>2662</v>
      </c>
      <c r="B636" s="34" t="s">
        <v>478</v>
      </c>
      <c r="C636" s="30">
        <v>22</v>
      </c>
      <c r="D636" s="30"/>
      <c r="E636" s="95"/>
    </row>
    <row r="637" spans="1:5" x14ac:dyDescent="0.25">
      <c r="A637" s="28" t="s">
        <v>2663</v>
      </c>
      <c r="B637" s="36" t="s">
        <v>2577</v>
      </c>
      <c r="C637" s="38">
        <v>0.38</v>
      </c>
      <c r="D637" s="38"/>
      <c r="E637" s="95"/>
    </row>
    <row r="638" spans="1:5" x14ac:dyDescent="0.25">
      <c r="A638" s="28" t="s">
        <v>2864</v>
      </c>
      <c r="B638" s="34" t="s">
        <v>478</v>
      </c>
      <c r="C638" s="30">
        <v>232</v>
      </c>
      <c r="D638" s="30"/>
      <c r="E638" s="95"/>
    </row>
    <row r="639" spans="1:5" x14ac:dyDescent="0.25">
      <c r="A639" s="29" t="s">
        <v>2314</v>
      </c>
      <c r="B639" s="34" t="s">
        <v>2577</v>
      </c>
      <c r="C639" s="30">
        <v>0.28000000000000003</v>
      </c>
      <c r="D639" s="30"/>
      <c r="E639" s="95"/>
    </row>
    <row r="640" spans="1:5" x14ac:dyDescent="0.25">
      <c r="A640" s="29" t="s">
        <v>2315</v>
      </c>
      <c r="B640" s="34" t="s">
        <v>2577</v>
      </c>
      <c r="C640" s="30">
        <v>0.2</v>
      </c>
      <c r="D640" s="30"/>
      <c r="E640" s="95"/>
    </row>
    <row r="641" spans="1:5" x14ac:dyDescent="0.25">
      <c r="A641" s="28" t="s">
        <v>2869</v>
      </c>
      <c r="B641" s="34" t="s">
        <v>478</v>
      </c>
      <c r="C641" s="30">
        <v>273</v>
      </c>
      <c r="D641" s="30"/>
      <c r="E641" s="95"/>
    </row>
    <row r="642" spans="1:5" x14ac:dyDescent="0.25">
      <c r="A642" s="28" t="s">
        <v>2870</v>
      </c>
      <c r="B642" s="34" t="s">
        <v>478</v>
      </c>
      <c r="C642" s="30">
        <v>266</v>
      </c>
      <c r="D642" s="30"/>
      <c r="E642" s="95"/>
    </row>
    <row r="643" spans="1:5" x14ac:dyDescent="0.25">
      <c r="A643" s="28" t="s">
        <v>2867</v>
      </c>
      <c r="B643" s="34" t="s">
        <v>478</v>
      </c>
      <c r="C643" s="30">
        <v>324</v>
      </c>
      <c r="D643" s="30"/>
      <c r="E643" s="95"/>
    </row>
    <row r="644" spans="1:5" x14ac:dyDescent="0.25">
      <c r="A644" s="28" t="s">
        <v>2865</v>
      </c>
      <c r="B644" s="34" t="s">
        <v>478</v>
      </c>
      <c r="C644" s="30">
        <v>362</v>
      </c>
      <c r="D644" s="30"/>
      <c r="E644" s="95"/>
    </row>
    <row r="645" spans="1:5" x14ac:dyDescent="0.25">
      <c r="A645" s="28" t="s">
        <v>636</v>
      </c>
      <c r="B645" s="34"/>
      <c r="C645" s="30"/>
      <c r="D645" s="30"/>
      <c r="E645" s="95"/>
    </row>
    <row r="646" spans="1:5" x14ac:dyDescent="0.25">
      <c r="A646" s="28" t="s">
        <v>2751</v>
      </c>
      <c r="B646" s="34"/>
      <c r="C646" s="30"/>
      <c r="D646" s="30"/>
      <c r="E646" s="95"/>
    </row>
    <row r="647" spans="1:5" x14ac:dyDescent="0.25">
      <c r="A647" s="28" t="s">
        <v>218</v>
      </c>
      <c r="B647" s="34"/>
      <c r="C647" s="30"/>
      <c r="D647" s="30"/>
      <c r="E647" s="95"/>
    </row>
    <row r="648" spans="1:5" x14ac:dyDescent="0.25">
      <c r="A648" s="26" t="s">
        <v>2316</v>
      </c>
      <c r="B648" s="31" t="s">
        <v>1037</v>
      </c>
      <c r="C648" s="30">
        <v>0.4</v>
      </c>
      <c r="D648" s="30"/>
      <c r="E648" s="95"/>
    </row>
    <row r="649" spans="1:5" x14ac:dyDescent="0.25">
      <c r="A649" s="28" t="s">
        <v>763</v>
      </c>
      <c r="B649" s="34" t="s">
        <v>2265</v>
      </c>
      <c r="C649" s="30">
        <v>260</v>
      </c>
      <c r="D649" s="30"/>
      <c r="E649" s="95"/>
    </row>
    <row r="650" spans="1:5" x14ac:dyDescent="0.25">
      <c r="A650" s="28" t="s">
        <v>764</v>
      </c>
      <c r="B650" s="34" t="s">
        <v>2265</v>
      </c>
      <c r="C650" s="30">
        <v>320</v>
      </c>
      <c r="D650" s="30"/>
      <c r="E650" s="95"/>
    </row>
    <row r="651" spans="1:5" x14ac:dyDescent="0.25">
      <c r="A651" s="26" t="s">
        <v>986</v>
      </c>
      <c r="B651" s="30" t="s">
        <v>1387</v>
      </c>
      <c r="C651" s="32">
        <v>2.5</v>
      </c>
      <c r="D651" s="32"/>
      <c r="E651" s="95"/>
    </row>
    <row r="652" spans="1:5" x14ac:dyDescent="0.25">
      <c r="A652" s="26" t="s">
        <v>1177</v>
      </c>
      <c r="B652" s="31" t="s">
        <v>1715</v>
      </c>
      <c r="C652" s="30">
        <v>90</v>
      </c>
      <c r="D652" s="30"/>
      <c r="E652" s="95"/>
    </row>
    <row r="653" spans="1:5" x14ac:dyDescent="0.25">
      <c r="A653" s="26" t="s">
        <v>2652</v>
      </c>
      <c r="B653" s="31" t="s">
        <v>2734</v>
      </c>
      <c r="C653" s="30">
        <v>1</v>
      </c>
      <c r="D653" s="30"/>
      <c r="E653" s="95"/>
    </row>
    <row r="654" spans="1:5" x14ac:dyDescent="0.25">
      <c r="A654" s="26" t="s">
        <v>2435</v>
      </c>
      <c r="B654" s="31" t="s">
        <v>2734</v>
      </c>
      <c r="C654" s="30">
        <v>1</v>
      </c>
      <c r="D654" s="30"/>
      <c r="E654" s="95"/>
    </row>
    <row r="655" spans="1:5" x14ac:dyDescent="0.25">
      <c r="A655" s="26" t="s">
        <v>2113</v>
      </c>
      <c r="B655" s="31" t="s">
        <v>2734</v>
      </c>
      <c r="C655" s="30">
        <v>1</v>
      </c>
      <c r="D655" s="30"/>
      <c r="E655" s="95"/>
    </row>
    <row r="656" spans="1:5" x14ac:dyDescent="0.25">
      <c r="A656" s="26" t="s">
        <v>2114</v>
      </c>
      <c r="B656" s="31" t="s">
        <v>2734</v>
      </c>
      <c r="C656" s="30">
        <v>1.3</v>
      </c>
      <c r="D656" s="30"/>
      <c r="E656" s="95"/>
    </row>
    <row r="657" spans="1:5" x14ac:dyDescent="0.25">
      <c r="A657" s="26" t="s">
        <v>2115</v>
      </c>
      <c r="B657" s="31" t="s">
        <v>2734</v>
      </c>
      <c r="C657" s="30">
        <v>1</v>
      </c>
      <c r="D657" s="30"/>
      <c r="E657" s="95"/>
    </row>
    <row r="658" spans="1:5" x14ac:dyDescent="0.25">
      <c r="A658" s="26" t="s">
        <v>601</v>
      </c>
      <c r="B658" s="31" t="s">
        <v>2734</v>
      </c>
      <c r="C658" s="30">
        <v>1.1000000000000001</v>
      </c>
      <c r="D658" s="30"/>
      <c r="E658" s="95"/>
    </row>
    <row r="659" spans="1:5" x14ac:dyDescent="0.25">
      <c r="A659" s="26" t="s">
        <v>2117</v>
      </c>
      <c r="B659" s="31" t="s">
        <v>2734</v>
      </c>
      <c r="C659" s="30">
        <v>1</v>
      </c>
      <c r="D659" s="30"/>
      <c r="E659" s="95"/>
    </row>
    <row r="660" spans="1:5" x14ac:dyDescent="0.25">
      <c r="A660" s="26" t="s">
        <v>2118</v>
      </c>
      <c r="B660" s="31" t="s">
        <v>2734</v>
      </c>
      <c r="C660" s="30">
        <v>1</v>
      </c>
      <c r="D660" s="30"/>
      <c r="E660" s="95"/>
    </row>
    <row r="661" spans="1:5" x14ac:dyDescent="0.25">
      <c r="A661" s="26" t="s">
        <v>2119</v>
      </c>
      <c r="B661" s="31" t="s">
        <v>2734</v>
      </c>
      <c r="C661" s="30">
        <v>1</v>
      </c>
      <c r="D661" s="30"/>
      <c r="E661" s="95"/>
    </row>
    <row r="662" spans="1:5" x14ac:dyDescent="0.25">
      <c r="A662" s="26" t="s">
        <v>2116</v>
      </c>
      <c r="B662" s="31" t="s">
        <v>2734</v>
      </c>
      <c r="C662" s="30">
        <v>1.1000000000000001</v>
      </c>
      <c r="D662" s="30"/>
      <c r="E662" s="95"/>
    </row>
    <row r="663" spans="1:5" x14ac:dyDescent="0.25">
      <c r="A663" s="26" t="s">
        <v>2191</v>
      </c>
      <c r="B663" s="31" t="s">
        <v>2734</v>
      </c>
      <c r="C663" s="30">
        <v>1.1000000000000001</v>
      </c>
      <c r="D663" s="30"/>
      <c r="E663" s="95"/>
    </row>
    <row r="664" spans="1:5" x14ac:dyDescent="0.25">
      <c r="A664" s="26" t="s">
        <v>2192</v>
      </c>
      <c r="B664" s="31" t="s">
        <v>2734</v>
      </c>
      <c r="C664" s="30">
        <v>0.75</v>
      </c>
      <c r="D664" s="30"/>
      <c r="E664" s="95"/>
    </row>
    <row r="665" spans="1:5" x14ac:dyDescent="0.25">
      <c r="A665" s="26" t="s">
        <v>412</v>
      </c>
      <c r="B665" s="31" t="s">
        <v>2241</v>
      </c>
      <c r="C665" s="30">
        <v>46.78</v>
      </c>
      <c r="D665" s="30"/>
      <c r="E665" s="95"/>
    </row>
    <row r="666" spans="1:5" x14ac:dyDescent="0.25">
      <c r="A666" s="26" t="s">
        <v>411</v>
      </c>
      <c r="B666" s="31" t="s">
        <v>2241</v>
      </c>
      <c r="C666" s="30">
        <v>29.8</v>
      </c>
      <c r="D666" s="30"/>
      <c r="E666" s="95"/>
    </row>
    <row r="667" spans="1:5" x14ac:dyDescent="0.25">
      <c r="A667" s="26" t="s">
        <v>2706</v>
      </c>
      <c r="B667" s="31" t="s">
        <v>2241</v>
      </c>
      <c r="C667" s="30">
        <v>251.6</v>
      </c>
      <c r="D667" s="30"/>
      <c r="E667" s="95"/>
    </row>
    <row r="668" spans="1:5" x14ac:dyDescent="0.25">
      <c r="A668" s="26" t="s">
        <v>2871</v>
      </c>
      <c r="B668" s="31" t="s">
        <v>1926</v>
      </c>
      <c r="C668" s="30">
        <v>24.06</v>
      </c>
      <c r="D668" s="30"/>
      <c r="E668" s="95"/>
    </row>
    <row r="669" spans="1:5" x14ac:dyDescent="0.25">
      <c r="A669" s="26" t="s">
        <v>1922</v>
      </c>
      <c r="B669" s="31" t="s">
        <v>2241</v>
      </c>
      <c r="C669" s="30">
        <v>92.8</v>
      </c>
      <c r="D669" s="30"/>
      <c r="E669" s="95"/>
    </row>
    <row r="670" spans="1:5" x14ac:dyDescent="0.25">
      <c r="A670" s="26" t="s">
        <v>2707</v>
      </c>
      <c r="B670" s="31" t="s">
        <v>2241</v>
      </c>
      <c r="C670" s="30">
        <v>120.4</v>
      </c>
      <c r="D670" s="30"/>
      <c r="E670" s="95"/>
    </row>
    <row r="671" spans="1:5" x14ac:dyDescent="0.25">
      <c r="A671" s="26" t="s">
        <v>1923</v>
      </c>
      <c r="B671" s="31" t="s">
        <v>1927</v>
      </c>
      <c r="C671" s="30">
        <v>220.33</v>
      </c>
      <c r="D671" s="30"/>
      <c r="E671" s="95"/>
    </row>
    <row r="672" spans="1:5" x14ac:dyDescent="0.25">
      <c r="A672" s="26" t="s">
        <v>1925</v>
      </c>
      <c r="B672" s="31" t="s">
        <v>2241</v>
      </c>
      <c r="C672" s="30">
        <v>104.94</v>
      </c>
      <c r="D672" s="30"/>
      <c r="E672" s="95"/>
    </row>
    <row r="673" spans="1:5" x14ac:dyDescent="0.25">
      <c r="A673" s="26" t="s">
        <v>1924</v>
      </c>
      <c r="B673" s="31" t="s">
        <v>2241</v>
      </c>
      <c r="C673" s="30">
        <v>63.6</v>
      </c>
      <c r="D673" s="30"/>
      <c r="E673" s="95"/>
    </row>
    <row r="674" spans="1:5" x14ac:dyDescent="0.25">
      <c r="A674" s="28" t="s">
        <v>2097</v>
      </c>
      <c r="B674" s="34" t="s">
        <v>1802</v>
      </c>
      <c r="C674" s="30">
        <v>0.47</v>
      </c>
      <c r="D674" s="30"/>
      <c r="E674" s="95"/>
    </row>
    <row r="675" spans="1:5" ht="24" x14ac:dyDescent="0.25">
      <c r="A675" s="73" t="s">
        <v>2209</v>
      </c>
      <c r="B675" s="30" t="s">
        <v>1715</v>
      </c>
      <c r="C675" s="70">
        <v>133</v>
      </c>
      <c r="D675" s="70"/>
      <c r="E675" s="95"/>
    </row>
    <row r="676" spans="1:5" x14ac:dyDescent="0.25">
      <c r="A676" s="29" t="s">
        <v>2214</v>
      </c>
      <c r="B676" s="30" t="s">
        <v>478</v>
      </c>
      <c r="C676" s="70">
        <v>21.5</v>
      </c>
      <c r="D676" s="70"/>
      <c r="E676" s="95"/>
    </row>
    <row r="677" spans="1:5" x14ac:dyDescent="0.25">
      <c r="A677" s="28" t="s">
        <v>2669</v>
      </c>
      <c r="B677" s="34"/>
      <c r="C677" s="30"/>
      <c r="D677" s="30"/>
      <c r="E677" s="95"/>
    </row>
    <row r="678" spans="1:5" x14ac:dyDescent="0.25">
      <c r="A678" s="26" t="s">
        <v>2182</v>
      </c>
      <c r="B678" s="31" t="s">
        <v>1388</v>
      </c>
      <c r="C678" s="30">
        <v>50</v>
      </c>
      <c r="D678" s="30"/>
      <c r="E678" s="95"/>
    </row>
    <row r="679" spans="1:5" x14ac:dyDescent="0.25">
      <c r="A679" s="28" t="s">
        <v>1929</v>
      </c>
      <c r="B679" s="34" t="s">
        <v>1711</v>
      </c>
      <c r="C679" s="30">
        <v>22.25</v>
      </c>
      <c r="D679" s="30"/>
      <c r="E679" s="95"/>
    </row>
    <row r="680" spans="1:5" x14ac:dyDescent="0.25">
      <c r="A680" s="28" t="s">
        <v>1930</v>
      </c>
      <c r="B680" s="34" t="s">
        <v>1711</v>
      </c>
      <c r="C680" s="30">
        <v>19</v>
      </c>
      <c r="D680" s="30"/>
      <c r="E680" s="95"/>
    </row>
    <row r="681" spans="1:5" x14ac:dyDescent="0.25">
      <c r="A681" s="28" t="s">
        <v>1020</v>
      </c>
      <c r="B681" s="34" t="s">
        <v>1802</v>
      </c>
      <c r="C681" s="30">
        <v>5.55</v>
      </c>
      <c r="D681" s="30"/>
      <c r="E681" s="95"/>
    </row>
    <row r="682" spans="1:5" x14ac:dyDescent="0.25">
      <c r="A682" s="28" t="s">
        <v>1029</v>
      </c>
      <c r="B682" s="34" t="s">
        <v>2108</v>
      </c>
      <c r="C682" s="30">
        <v>390</v>
      </c>
      <c r="D682" s="30"/>
      <c r="E682" s="95"/>
    </row>
    <row r="683" spans="1:5" x14ac:dyDescent="0.25">
      <c r="A683" s="26" t="s">
        <v>950</v>
      </c>
      <c r="B683" s="31" t="s">
        <v>1715</v>
      </c>
      <c r="C683" s="30"/>
      <c r="D683" s="30"/>
      <c r="E683" s="95"/>
    </row>
    <row r="684" spans="1:5" x14ac:dyDescent="0.25">
      <c r="A684" s="28" t="s">
        <v>1024</v>
      </c>
      <c r="B684" s="34" t="s">
        <v>1802</v>
      </c>
      <c r="C684" s="30">
        <v>1.32</v>
      </c>
      <c r="D684" s="30"/>
      <c r="E684" s="95"/>
    </row>
    <row r="685" spans="1:5" x14ac:dyDescent="0.25">
      <c r="A685" s="28" t="s">
        <v>1025</v>
      </c>
      <c r="B685" s="34" t="s">
        <v>2108</v>
      </c>
      <c r="C685" s="30">
        <v>70.5</v>
      </c>
      <c r="D685" s="30"/>
      <c r="E685" s="95"/>
    </row>
    <row r="686" spans="1:5" x14ac:dyDescent="0.25">
      <c r="A686" s="28" t="s">
        <v>1023</v>
      </c>
      <c r="B686" s="34" t="s">
        <v>2108</v>
      </c>
      <c r="C686" s="30">
        <v>73.5</v>
      </c>
      <c r="D686" s="30"/>
      <c r="E686" s="95"/>
    </row>
    <row r="687" spans="1:5" x14ac:dyDescent="0.25">
      <c r="A687" s="28" t="s">
        <v>1026</v>
      </c>
      <c r="B687" s="34" t="s">
        <v>1802</v>
      </c>
      <c r="C687" s="30">
        <v>1.05</v>
      </c>
      <c r="D687" s="30"/>
      <c r="E687" s="95"/>
    </row>
    <row r="688" spans="1:5" x14ac:dyDescent="0.25">
      <c r="A688" s="28" t="s">
        <v>1022</v>
      </c>
      <c r="B688" s="34" t="s">
        <v>2108</v>
      </c>
      <c r="C688" s="30">
        <v>41</v>
      </c>
      <c r="D688" s="30"/>
      <c r="E688" s="95"/>
    </row>
    <row r="689" spans="1:5" x14ac:dyDescent="0.25">
      <c r="A689" s="28" t="s">
        <v>1021</v>
      </c>
      <c r="B689" s="34" t="s">
        <v>2108</v>
      </c>
      <c r="C689" s="30">
        <v>44</v>
      </c>
      <c r="D689" s="30"/>
      <c r="E689" s="95"/>
    </row>
    <row r="690" spans="1:5" x14ac:dyDescent="0.25">
      <c r="A690" s="28" t="s">
        <v>1027</v>
      </c>
      <c r="B690" s="34" t="s">
        <v>1802</v>
      </c>
      <c r="C690" s="30">
        <v>3.42</v>
      </c>
      <c r="D690" s="30"/>
      <c r="E690" s="95"/>
    </row>
    <row r="691" spans="1:5" x14ac:dyDescent="0.25">
      <c r="A691" s="28" t="s">
        <v>1028</v>
      </c>
      <c r="B691" s="34" t="s">
        <v>2108</v>
      </c>
      <c r="C691" s="30">
        <v>305</v>
      </c>
      <c r="D691" s="30"/>
      <c r="E691" s="95"/>
    </row>
    <row r="692" spans="1:5" x14ac:dyDescent="0.25">
      <c r="A692" s="26" t="s">
        <v>2184</v>
      </c>
      <c r="B692" s="31" t="s">
        <v>1037</v>
      </c>
      <c r="C692" s="30">
        <v>42</v>
      </c>
      <c r="D692" s="30"/>
      <c r="E692" s="95"/>
    </row>
    <row r="693" spans="1:5" ht="24" x14ac:dyDescent="0.25">
      <c r="A693" s="35" t="s">
        <v>193</v>
      </c>
      <c r="B693" s="36" t="s">
        <v>399</v>
      </c>
      <c r="C693" s="38">
        <v>1.98</v>
      </c>
      <c r="D693" s="38"/>
      <c r="E693" s="95"/>
    </row>
    <row r="694" spans="1:5" x14ac:dyDescent="0.25">
      <c r="A694" s="35" t="s">
        <v>194</v>
      </c>
      <c r="B694" s="36" t="s">
        <v>399</v>
      </c>
      <c r="C694" s="37">
        <v>0.62</v>
      </c>
      <c r="D694" s="37"/>
      <c r="E694" s="95"/>
    </row>
    <row r="695" spans="1:5" x14ac:dyDescent="0.25">
      <c r="A695" s="35" t="s">
        <v>1425</v>
      </c>
      <c r="B695" s="36" t="s">
        <v>399</v>
      </c>
      <c r="C695" s="37">
        <v>0.97</v>
      </c>
      <c r="D695" s="37"/>
      <c r="E695" s="95"/>
    </row>
    <row r="696" spans="1:5" x14ac:dyDescent="0.25">
      <c r="A696" s="35" t="s">
        <v>1030</v>
      </c>
      <c r="B696" s="36" t="s">
        <v>399</v>
      </c>
      <c r="C696" s="38">
        <v>1.28</v>
      </c>
      <c r="D696" s="38"/>
      <c r="E696" s="95"/>
    </row>
    <row r="697" spans="1:5" x14ac:dyDescent="0.25">
      <c r="A697" s="35" t="s">
        <v>1032</v>
      </c>
      <c r="B697" s="36" t="s">
        <v>399</v>
      </c>
      <c r="C697" s="37">
        <v>0.38</v>
      </c>
      <c r="D697" s="37"/>
      <c r="E697" s="95"/>
    </row>
    <row r="698" spans="1:5" x14ac:dyDescent="0.25">
      <c r="A698" s="35" t="s">
        <v>1031</v>
      </c>
      <c r="B698" s="36" t="s">
        <v>399</v>
      </c>
      <c r="C698" s="37">
        <v>0.31</v>
      </c>
      <c r="D698" s="37"/>
      <c r="E698" s="95"/>
    </row>
    <row r="699" spans="1:5" x14ac:dyDescent="0.25">
      <c r="A699" s="26" t="s">
        <v>199</v>
      </c>
      <c r="B699" s="31" t="s">
        <v>1037</v>
      </c>
      <c r="C699" s="30">
        <v>0.9</v>
      </c>
      <c r="D699" s="30"/>
      <c r="E699" s="95"/>
    </row>
    <row r="700" spans="1:5" x14ac:dyDescent="0.25">
      <c r="A700" s="26" t="s">
        <v>200</v>
      </c>
      <c r="B700" s="31" t="s">
        <v>1711</v>
      </c>
      <c r="C700" s="75">
        <v>12.71</v>
      </c>
      <c r="D700" s="75"/>
      <c r="E700" s="95"/>
    </row>
    <row r="701" spans="1:5" ht="24" x14ac:dyDescent="0.25">
      <c r="A701" s="26" t="s">
        <v>201</v>
      </c>
      <c r="B701" s="31" t="s">
        <v>1037</v>
      </c>
      <c r="C701" s="30">
        <v>2.8</v>
      </c>
      <c r="D701" s="30"/>
      <c r="E701" s="95"/>
    </row>
    <row r="702" spans="1:5" ht="24" x14ac:dyDescent="0.25">
      <c r="A702" s="26" t="s">
        <v>1980</v>
      </c>
      <c r="B702" s="31" t="s">
        <v>2573</v>
      </c>
      <c r="C702" s="30">
        <v>8.98</v>
      </c>
      <c r="D702" s="30"/>
      <c r="E702" s="95"/>
    </row>
    <row r="703" spans="1:5" ht="24" x14ac:dyDescent="0.25">
      <c r="A703" s="26" t="s">
        <v>2025</v>
      </c>
      <c r="B703" s="31" t="s">
        <v>2573</v>
      </c>
      <c r="C703" s="30">
        <v>10</v>
      </c>
      <c r="D703" s="30"/>
      <c r="E703" s="95"/>
    </row>
    <row r="704" spans="1:5" ht="24" x14ac:dyDescent="0.25">
      <c r="A704" s="26" t="s">
        <v>606</v>
      </c>
      <c r="B704" s="31" t="s">
        <v>2573</v>
      </c>
      <c r="C704" s="30">
        <v>3.3</v>
      </c>
      <c r="D704" s="30"/>
      <c r="E704" s="95"/>
    </row>
    <row r="705" spans="1:5" ht="24" x14ac:dyDescent="0.25">
      <c r="A705" s="26" t="s">
        <v>607</v>
      </c>
      <c r="B705" s="31" t="s">
        <v>2573</v>
      </c>
      <c r="C705" s="30">
        <v>4.43</v>
      </c>
      <c r="D705" s="30"/>
      <c r="E705" s="95"/>
    </row>
    <row r="706" spans="1:5" ht="24" x14ac:dyDescent="0.25">
      <c r="A706" s="26" t="s">
        <v>1992</v>
      </c>
      <c r="B706" s="31" t="s">
        <v>2573</v>
      </c>
      <c r="C706" s="30">
        <v>6.17</v>
      </c>
      <c r="D706" s="30"/>
      <c r="E706" s="95"/>
    </row>
    <row r="707" spans="1:5" x14ac:dyDescent="0.25">
      <c r="A707" s="26" t="s">
        <v>2538</v>
      </c>
      <c r="B707" s="34" t="s">
        <v>2202</v>
      </c>
      <c r="C707" s="30">
        <v>2</v>
      </c>
      <c r="D707" s="30"/>
      <c r="E707" s="95"/>
    </row>
    <row r="708" spans="1:5" x14ac:dyDescent="0.25">
      <c r="A708" s="26" t="s">
        <v>2027</v>
      </c>
      <c r="B708" s="34" t="s">
        <v>2202</v>
      </c>
      <c r="C708" s="30">
        <v>1.44</v>
      </c>
      <c r="D708" s="30"/>
      <c r="E708" s="95"/>
    </row>
    <row r="709" spans="1:5" x14ac:dyDescent="0.25">
      <c r="A709" s="26" t="s">
        <v>2026</v>
      </c>
      <c r="B709" s="34" t="s">
        <v>2202</v>
      </c>
      <c r="C709" s="30">
        <v>1.35</v>
      </c>
      <c r="D709" s="30"/>
      <c r="E709" s="95"/>
    </row>
    <row r="710" spans="1:5" x14ac:dyDescent="0.25">
      <c r="A710" s="26" t="s">
        <v>2539</v>
      </c>
      <c r="B710" s="34" t="s">
        <v>2202</v>
      </c>
      <c r="C710" s="30">
        <v>2.84</v>
      </c>
      <c r="D710" s="30"/>
      <c r="E710" s="95"/>
    </row>
    <row r="711" spans="1:5" x14ac:dyDescent="0.25">
      <c r="A711" s="28" t="s">
        <v>760</v>
      </c>
      <c r="B711" s="34" t="s">
        <v>2265</v>
      </c>
      <c r="C711" s="30">
        <v>258</v>
      </c>
      <c r="D711" s="30"/>
      <c r="E711" s="95"/>
    </row>
    <row r="712" spans="1:5" x14ac:dyDescent="0.25">
      <c r="A712" s="28" t="s">
        <v>762</v>
      </c>
      <c r="B712" s="34" t="s">
        <v>2265</v>
      </c>
      <c r="C712" s="30">
        <v>470</v>
      </c>
      <c r="D712" s="30"/>
      <c r="E712" s="95"/>
    </row>
    <row r="713" spans="1:5" x14ac:dyDescent="0.25">
      <c r="A713" s="28" t="s">
        <v>761</v>
      </c>
      <c r="B713" s="34" t="s">
        <v>2265</v>
      </c>
      <c r="C713" s="30">
        <v>420</v>
      </c>
      <c r="D713" s="30"/>
      <c r="E713" s="95"/>
    </row>
    <row r="714" spans="1:5" x14ac:dyDescent="0.25">
      <c r="A714" s="28" t="s">
        <v>1653</v>
      </c>
      <c r="B714" s="34" t="s">
        <v>2265</v>
      </c>
      <c r="C714" s="30">
        <v>540</v>
      </c>
      <c r="D714" s="30"/>
      <c r="E714" s="95"/>
    </row>
    <row r="715" spans="1:5" x14ac:dyDescent="0.25">
      <c r="A715" s="28" t="s">
        <v>1652</v>
      </c>
      <c r="B715" s="34" t="s">
        <v>2265</v>
      </c>
      <c r="C715" s="30">
        <v>238</v>
      </c>
      <c r="D715" s="30"/>
      <c r="E715" s="95"/>
    </row>
    <row r="716" spans="1:5" x14ac:dyDescent="0.25">
      <c r="A716" s="28" t="s">
        <v>1417</v>
      </c>
      <c r="B716" s="34" t="s">
        <v>2734</v>
      </c>
      <c r="C716" s="30">
        <v>0.55000000000000004</v>
      </c>
      <c r="D716" s="30"/>
      <c r="E716" s="95"/>
    </row>
    <row r="717" spans="1:5" x14ac:dyDescent="0.25">
      <c r="A717" s="28" t="s">
        <v>1420</v>
      </c>
      <c r="B717" s="34" t="s">
        <v>2734</v>
      </c>
      <c r="C717" s="30">
        <v>0.55000000000000004</v>
      </c>
      <c r="D717" s="30"/>
      <c r="E717" s="95"/>
    </row>
    <row r="718" spans="1:5" x14ac:dyDescent="0.25">
      <c r="A718" s="28" t="s">
        <v>1194</v>
      </c>
      <c r="B718" s="34" t="s">
        <v>2734</v>
      </c>
      <c r="C718" s="30">
        <v>0.55000000000000004</v>
      </c>
      <c r="D718" s="30"/>
      <c r="E718" s="95"/>
    </row>
    <row r="719" spans="1:5" x14ac:dyDescent="0.25">
      <c r="A719" s="28" t="s">
        <v>1504</v>
      </c>
      <c r="B719" s="34" t="s">
        <v>2734</v>
      </c>
      <c r="C719" s="30">
        <v>0.55000000000000004</v>
      </c>
      <c r="D719" s="30"/>
      <c r="E719" s="95"/>
    </row>
    <row r="720" spans="1:5" x14ac:dyDescent="0.25">
      <c r="A720" s="28" t="s">
        <v>2222</v>
      </c>
      <c r="B720" s="34" t="s">
        <v>2734</v>
      </c>
      <c r="C720" s="30">
        <v>0.55000000000000004</v>
      </c>
      <c r="D720" s="30"/>
      <c r="E720" s="95"/>
    </row>
    <row r="721" spans="1:5" x14ac:dyDescent="0.25">
      <c r="A721" s="28" t="s">
        <v>1195</v>
      </c>
      <c r="B721" s="34" t="s">
        <v>2734</v>
      </c>
      <c r="C721" s="30">
        <v>0.55000000000000004</v>
      </c>
      <c r="D721" s="30"/>
      <c r="E721" s="95"/>
    </row>
    <row r="722" spans="1:5" x14ac:dyDescent="0.25">
      <c r="A722" s="28" t="s">
        <v>1419</v>
      </c>
      <c r="B722" s="74" t="s">
        <v>2734</v>
      </c>
      <c r="C722" s="30">
        <v>6.75</v>
      </c>
      <c r="D722" s="30"/>
      <c r="E722" s="95"/>
    </row>
    <row r="723" spans="1:5" x14ac:dyDescent="0.25">
      <c r="A723" s="28" t="s">
        <v>2223</v>
      </c>
      <c r="B723" s="74" t="s">
        <v>2734</v>
      </c>
      <c r="C723" s="30">
        <v>0.45</v>
      </c>
      <c r="D723" s="30"/>
      <c r="E723" s="95"/>
    </row>
    <row r="724" spans="1:5" x14ac:dyDescent="0.25">
      <c r="A724" s="28" t="s">
        <v>1101</v>
      </c>
      <c r="B724" s="74" t="s">
        <v>2734</v>
      </c>
      <c r="C724" s="30">
        <v>0.55000000000000004</v>
      </c>
      <c r="D724" s="30"/>
      <c r="E724" s="95"/>
    </row>
    <row r="725" spans="1:5" x14ac:dyDescent="0.25">
      <c r="A725" s="28" t="s">
        <v>1418</v>
      </c>
      <c r="B725" s="34" t="s">
        <v>2734</v>
      </c>
      <c r="C725" s="30">
        <v>0.55000000000000004</v>
      </c>
      <c r="D725" s="30"/>
      <c r="E725" s="95"/>
    </row>
    <row r="726" spans="1:5" x14ac:dyDescent="0.25">
      <c r="A726" s="28" t="s">
        <v>1503</v>
      </c>
      <c r="B726" s="34" t="s">
        <v>2734</v>
      </c>
      <c r="C726" s="30">
        <v>0.55000000000000004</v>
      </c>
      <c r="D726" s="30"/>
      <c r="E726" s="95"/>
    </row>
    <row r="727" spans="1:5" x14ac:dyDescent="0.25">
      <c r="A727" s="28" t="s">
        <v>1196</v>
      </c>
      <c r="B727" s="34" t="s">
        <v>2734</v>
      </c>
      <c r="C727" s="30">
        <v>5.5</v>
      </c>
      <c r="D727" s="30"/>
      <c r="E727" s="95"/>
    </row>
    <row r="728" spans="1:5" x14ac:dyDescent="0.25">
      <c r="A728" s="28" t="s">
        <v>2369</v>
      </c>
      <c r="B728" s="34" t="s">
        <v>2734</v>
      </c>
      <c r="C728" s="30">
        <v>0.55000000000000004</v>
      </c>
      <c r="D728" s="30"/>
      <c r="E728" s="95"/>
    </row>
    <row r="729" spans="1:5" x14ac:dyDescent="0.25">
      <c r="A729" s="28" t="s">
        <v>1421</v>
      </c>
      <c r="B729" s="34" t="s">
        <v>2734</v>
      </c>
      <c r="C729" s="30">
        <v>0.45</v>
      </c>
      <c r="D729" s="30"/>
      <c r="E729" s="95"/>
    </row>
    <row r="730" spans="1:5" x14ac:dyDescent="0.25">
      <c r="A730" s="28" t="s">
        <v>181</v>
      </c>
      <c r="B730" s="34" t="s">
        <v>2734</v>
      </c>
      <c r="C730" s="30">
        <v>0.55000000000000004</v>
      </c>
      <c r="D730" s="30"/>
      <c r="E730" s="95"/>
    </row>
    <row r="731" spans="1:5" x14ac:dyDescent="0.25">
      <c r="A731" s="28" t="s">
        <v>1416</v>
      </c>
      <c r="B731" s="34" t="s">
        <v>2734</v>
      </c>
      <c r="C731" s="30">
        <v>0.55000000000000004</v>
      </c>
      <c r="D731" s="30"/>
      <c r="E731" s="95"/>
    </row>
    <row r="732" spans="1:5" x14ac:dyDescent="0.25">
      <c r="A732" s="27" t="s">
        <v>1979</v>
      </c>
      <c r="B732" s="33" t="s">
        <v>2734</v>
      </c>
      <c r="C732" s="32">
        <v>6</v>
      </c>
      <c r="D732" s="32"/>
      <c r="E732" s="95"/>
    </row>
    <row r="733" spans="1:5" x14ac:dyDescent="0.25">
      <c r="A733" s="27" t="s">
        <v>1701</v>
      </c>
      <c r="B733" s="33" t="s">
        <v>2734</v>
      </c>
      <c r="C733" s="32">
        <v>0.55000000000000004</v>
      </c>
      <c r="D733" s="32"/>
      <c r="E733" s="95"/>
    </row>
    <row r="734" spans="1:5" x14ac:dyDescent="0.25">
      <c r="A734" s="28" t="s">
        <v>2783</v>
      </c>
      <c r="B734" s="34" t="s">
        <v>2265</v>
      </c>
      <c r="C734" s="37">
        <v>840</v>
      </c>
      <c r="D734" s="37"/>
      <c r="E734" s="95"/>
    </row>
    <row r="735" spans="1:5" x14ac:dyDescent="0.25">
      <c r="A735" s="28" t="s">
        <v>2782</v>
      </c>
      <c r="B735" s="34" t="s">
        <v>2265</v>
      </c>
      <c r="C735" s="30">
        <v>640</v>
      </c>
      <c r="D735" s="30"/>
      <c r="E735" s="95"/>
    </row>
    <row r="736" spans="1:5" x14ac:dyDescent="0.25">
      <c r="A736" s="28" t="s">
        <v>2170</v>
      </c>
      <c r="B736" s="34" t="s">
        <v>2265</v>
      </c>
      <c r="C736" s="38">
        <v>2150</v>
      </c>
      <c r="D736" s="38"/>
      <c r="E736" s="95"/>
    </row>
    <row r="737" spans="1:5" x14ac:dyDescent="0.25">
      <c r="A737" s="28" t="s">
        <v>2174</v>
      </c>
      <c r="B737" s="34" t="s">
        <v>2265</v>
      </c>
      <c r="C737" s="30">
        <v>2550</v>
      </c>
      <c r="D737" s="30"/>
      <c r="E737" s="95"/>
    </row>
    <row r="738" spans="1:5" x14ac:dyDescent="0.25">
      <c r="A738" s="28" t="s">
        <v>1654</v>
      </c>
      <c r="B738" s="34" t="s">
        <v>2265</v>
      </c>
      <c r="C738" s="30">
        <v>2925</v>
      </c>
      <c r="D738" s="30"/>
      <c r="E738" s="95"/>
    </row>
    <row r="739" spans="1:5" x14ac:dyDescent="0.25">
      <c r="A739" s="28" t="s">
        <v>2169</v>
      </c>
      <c r="B739" s="34" t="s">
        <v>2265</v>
      </c>
      <c r="C739" s="30">
        <v>765</v>
      </c>
      <c r="D739" s="30"/>
      <c r="E739" s="95"/>
    </row>
    <row r="740" spans="1:5" ht="24" x14ac:dyDescent="0.25">
      <c r="A740" s="28" t="s">
        <v>2780</v>
      </c>
      <c r="B740" s="34" t="s">
        <v>2265</v>
      </c>
      <c r="C740" s="30">
        <v>3500</v>
      </c>
      <c r="D740" s="30"/>
      <c r="E740" s="95"/>
    </row>
    <row r="741" spans="1:5" ht="24" x14ac:dyDescent="0.25">
      <c r="A741" s="28" t="s">
        <v>2781</v>
      </c>
      <c r="B741" s="34" t="s">
        <v>2265</v>
      </c>
      <c r="C741" s="30">
        <v>6425</v>
      </c>
      <c r="D741" s="30"/>
      <c r="E741" s="95"/>
    </row>
    <row r="742" spans="1:5" x14ac:dyDescent="0.25">
      <c r="A742" s="28" t="s">
        <v>2244</v>
      </c>
      <c r="B742" s="34" t="s">
        <v>2377</v>
      </c>
      <c r="C742" s="30">
        <v>30.5</v>
      </c>
      <c r="D742" s="30"/>
      <c r="E742" s="95"/>
    </row>
    <row r="743" spans="1:5" x14ac:dyDescent="0.25">
      <c r="A743" s="28" t="s">
        <v>2245</v>
      </c>
      <c r="B743" s="34" t="s">
        <v>2377</v>
      </c>
      <c r="C743" s="30">
        <v>36</v>
      </c>
      <c r="D743" s="30"/>
      <c r="E743" s="95"/>
    </row>
    <row r="744" spans="1:5" x14ac:dyDescent="0.25">
      <c r="A744" s="28" t="s">
        <v>2243</v>
      </c>
      <c r="B744" s="34" t="s">
        <v>2377</v>
      </c>
      <c r="C744" s="30">
        <v>22</v>
      </c>
      <c r="D744" s="30"/>
      <c r="E744" s="95"/>
    </row>
    <row r="745" spans="1:5" x14ac:dyDescent="0.25">
      <c r="A745" s="28" t="s">
        <v>2248</v>
      </c>
      <c r="B745" s="34" t="s">
        <v>1802</v>
      </c>
      <c r="C745" s="30">
        <v>50.5</v>
      </c>
      <c r="D745" s="30"/>
      <c r="E745" s="95"/>
    </row>
    <row r="746" spans="1:5" x14ac:dyDescent="0.25">
      <c r="A746" s="28" t="s">
        <v>2249</v>
      </c>
      <c r="B746" s="34" t="s">
        <v>1802</v>
      </c>
      <c r="C746" s="30">
        <v>69.5</v>
      </c>
      <c r="D746" s="30"/>
      <c r="E746" s="95"/>
    </row>
    <row r="747" spans="1:5" x14ac:dyDescent="0.25">
      <c r="A747" s="28" t="s">
        <v>2250</v>
      </c>
      <c r="B747" s="34" t="s">
        <v>1802</v>
      </c>
      <c r="C747" s="30">
        <v>118</v>
      </c>
      <c r="D747" s="30"/>
      <c r="E747" s="95"/>
    </row>
    <row r="748" spans="1:5" x14ac:dyDescent="0.25">
      <c r="A748" s="28" t="s">
        <v>2246</v>
      </c>
      <c r="B748" s="34" t="s">
        <v>1802</v>
      </c>
      <c r="C748" s="30">
        <v>34.5</v>
      </c>
      <c r="D748" s="30"/>
      <c r="E748" s="95"/>
    </row>
    <row r="749" spans="1:5" x14ac:dyDescent="0.25">
      <c r="A749" s="28" t="s">
        <v>2247</v>
      </c>
      <c r="B749" s="34" t="s">
        <v>1802</v>
      </c>
      <c r="C749" s="30">
        <v>48</v>
      </c>
      <c r="D749" s="30"/>
      <c r="E749" s="95"/>
    </row>
    <row r="750" spans="1:5" ht="24" x14ac:dyDescent="0.25">
      <c r="A750" s="35" t="s">
        <v>1657</v>
      </c>
      <c r="B750" s="36" t="s">
        <v>1802</v>
      </c>
      <c r="C750" s="38">
        <v>77</v>
      </c>
      <c r="D750" s="38"/>
      <c r="E750" s="95"/>
    </row>
    <row r="751" spans="1:5" x14ac:dyDescent="0.25">
      <c r="A751" s="35" t="s">
        <v>1656</v>
      </c>
      <c r="B751" s="36" t="s">
        <v>1181</v>
      </c>
      <c r="C751" s="37">
        <v>49.5</v>
      </c>
      <c r="D751" s="37"/>
      <c r="E751" s="95"/>
    </row>
    <row r="752" spans="1:5" ht="24" x14ac:dyDescent="0.25">
      <c r="A752" s="26" t="s">
        <v>2242</v>
      </c>
      <c r="B752" s="31" t="s">
        <v>1802</v>
      </c>
      <c r="C752" s="30">
        <v>79.5</v>
      </c>
      <c r="D752" s="30"/>
      <c r="E752" s="95"/>
    </row>
    <row r="753" spans="1:5" ht="24" x14ac:dyDescent="0.25">
      <c r="A753" s="26" t="s">
        <v>2705</v>
      </c>
      <c r="B753" s="31" t="s">
        <v>252</v>
      </c>
      <c r="C753" s="30">
        <v>2170</v>
      </c>
      <c r="D753" s="30"/>
      <c r="E753" s="95"/>
    </row>
    <row r="754" spans="1:5" ht="24" x14ac:dyDescent="0.25">
      <c r="A754" s="26" t="s">
        <v>2426</v>
      </c>
      <c r="B754" s="31" t="s">
        <v>252</v>
      </c>
      <c r="C754" s="30">
        <v>2220</v>
      </c>
      <c r="D754" s="30"/>
      <c r="E754" s="95"/>
    </row>
    <row r="755" spans="1:5" ht="24" x14ac:dyDescent="0.25">
      <c r="A755" s="26" t="s">
        <v>2427</v>
      </c>
      <c r="B755" s="31" t="s">
        <v>252</v>
      </c>
      <c r="C755" s="30">
        <v>2350</v>
      </c>
      <c r="D755" s="30"/>
      <c r="E755" s="95"/>
    </row>
    <row r="756" spans="1:5" ht="24" x14ac:dyDescent="0.25">
      <c r="A756" s="26" t="s">
        <v>1314</v>
      </c>
      <c r="B756" s="31" t="s">
        <v>252</v>
      </c>
      <c r="C756" s="30">
        <v>2440</v>
      </c>
      <c r="D756" s="30"/>
      <c r="E756" s="95"/>
    </row>
    <row r="757" spans="1:5" ht="24" x14ac:dyDescent="0.25">
      <c r="A757" s="26" t="s">
        <v>236</v>
      </c>
      <c r="B757" s="31" t="s">
        <v>252</v>
      </c>
      <c r="C757" s="30">
        <v>2710</v>
      </c>
      <c r="D757" s="30"/>
      <c r="E757" s="95"/>
    </row>
    <row r="758" spans="1:5" ht="24" x14ac:dyDescent="0.25">
      <c r="A758" s="26" t="s">
        <v>237</v>
      </c>
      <c r="B758" s="31" t="s">
        <v>252</v>
      </c>
      <c r="C758" s="30">
        <v>2610</v>
      </c>
      <c r="D758" s="30"/>
      <c r="E758" s="95"/>
    </row>
    <row r="759" spans="1:5" ht="24" x14ac:dyDescent="0.25">
      <c r="A759" s="26" t="s">
        <v>1423</v>
      </c>
      <c r="B759" s="31" t="s">
        <v>252</v>
      </c>
      <c r="C759" s="30">
        <v>2740</v>
      </c>
      <c r="D759" s="30"/>
      <c r="E759" s="95"/>
    </row>
    <row r="760" spans="1:5" ht="24" x14ac:dyDescent="0.25">
      <c r="A760" s="26" t="s">
        <v>1424</v>
      </c>
      <c r="B760" s="31" t="s">
        <v>252</v>
      </c>
      <c r="C760" s="30">
        <v>2870</v>
      </c>
      <c r="D760" s="30"/>
      <c r="E760" s="95"/>
    </row>
    <row r="761" spans="1:5" ht="24" x14ac:dyDescent="0.25">
      <c r="A761" s="26" t="s">
        <v>669</v>
      </c>
      <c r="B761" s="31" t="s">
        <v>252</v>
      </c>
      <c r="C761" s="30">
        <v>2180</v>
      </c>
      <c r="D761" s="30"/>
      <c r="E761" s="95"/>
    </row>
    <row r="762" spans="1:5" ht="24" x14ac:dyDescent="0.25">
      <c r="A762" s="26" t="s">
        <v>670</v>
      </c>
      <c r="B762" s="31" t="s">
        <v>252</v>
      </c>
      <c r="C762" s="30">
        <v>2220</v>
      </c>
      <c r="D762" s="30"/>
      <c r="E762" s="95"/>
    </row>
    <row r="763" spans="1:5" ht="24" x14ac:dyDescent="0.25">
      <c r="A763" s="26" t="s">
        <v>771</v>
      </c>
      <c r="B763" s="31" t="s">
        <v>252</v>
      </c>
      <c r="C763" s="30">
        <v>2320</v>
      </c>
      <c r="D763" s="30"/>
      <c r="E763" s="95"/>
    </row>
    <row r="764" spans="1:5" ht="24" x14ac:dyDescent="0.25">
      <c r="A764" s="26" t="s">
        <v>1821</v>
      </c>
      <c r="B764" s="31" t="s">
        <v>252</v>
      </c>
      <c r="C764" s="30">
        <v>2370</v>
      </c>
      <c r="D764" s="30"/>
      <c r="E764" s="95"/>
    </row>
    <row r="765" spans="1:5" ht="24" x14ac:dyDescent="0.25">
      <c r="A765" s="26" t="s">
        <v>2</v>
      </c>
      <c r="B765" s="31" t="s">
        <v>252</v>
      </c>
      <c r="C765" s="30">
        <v>2420</v>
      </c>
      <c r="D765" s="30"/>
      <c r="E765" s="95"/>
    </row>
    <row r="766" spans="1:5" ht="24" x14ac:dyDescent="0.25">
      <c r="A766" s="26" t="s">
        <v>2894</v>
      </c>
      <c r="B766" s="31" t="s">
        <v>252</v>
      </c>
      <c r="C766" s="30">
        <v>2420</v>
      </c>
      <c r="D766" s="30"/>
      <c r="E766" s="95"/>
    </row>
    <row r="767" spans="1:5" ht="24" x14ac:dyDescent="0.25">
      <c r="A767" s="26" t="s">
        <v>1994</v>
      </c>
      <c r="B767" s="31" t="s">
        <v>252</v>
      </c>
      <c r="C767" s="30">
        <v>5098</v>
      </c>
      <c r="D767" s="30"/>
      <c r="E767" s="95"/>
    </row>
    <row r="768" spans="1:5" ht="24" x14ac:dyDescent="0.25">
      <c r="A768" s="26" t="s">
        <v>1995</v>
      </c>
      <c r="B768" s="31" t="s">
        <v>252</v>
      </c>
      <c r="C768" s="30">
        <v>5456</v>
      </c>
      <c r="D768" s="30"/>
      <c r="E768" s="95"/>
    </row>
    <row r="769" spans="1:5" x14ac:dyDescent="0.25">
      <c r="A769" s="28" t="s">
        <v>1123</v>
      </c>
      <c r="B769" s="34"/>
      <c r="C769" s="30"/>
      <c r="D769" s="30"/>
      <c r="E769" s="95"/>
    </row>
    <row r="770" spans="1:5" x14ac:dyDescent="0.25">
      <c r="A770" s="28" t="s">
        <v>1122</v>
      </c>
      <c r="B770" s="34"/>
      <c r="C770" s="30"/>
      <c r="D770" s="30"/>
      <c r="E770" s="95"/>
    </row>
    <row r="771" spans="1:5" x14ac:dyDescent="0.25">
      <c r="A771" s="26" t="s">
        <v>699</v>
      </c>
      <c r="B771" s="31" t="s">
        <v>252</v>
      </c>
      <c r="C771" s="30">
        <v>30</v>
      </c>
      <c r="D771" s="30"/>
      <c r="E771" s="95"/>
    </row>
    <row r="772" spans="1:5" x14ac:dyDescent="0.25">
      <c r="A772" s="26" t="s">
        <v>700</v>
      </c>
      <c r="B772" s="31" t="s">
        <v>252</v>
      </c>
      <c r="C772" s="30">
        <v>32</v>
      </c>
      <c r="D772" s="30"/>
      <c r="E772" s="95"/>
    </row>
    <row r="773" spans="1:5" x14ac:dyDescent="0.25">
      <c r="A773" s="26" t="s">
        <v>701</v>
      </c>
      <c r="B773" s="31" t="s">
        <v>252</v>
      </c>
      <c r="C773" s="30">
        <v>46</v>
      </c>
      <c r="D773" s="30"/>
      <c r="E773" s="95"/>
    </row>
    <row r="774" spans="1:5" x14ac:dyDescent="0.25">
      <c r="A774" s="26" t="s">
        <v>702</v>
      </c>
      <c r="B774" s="31" t="s">
        <v>252</v>
      </c>
      <c r="C774" s="30">
        <v>21</v>
      </c>
      <c r="D774" s="30"/>
      <c r="E774" s="95"/>
    </row>
    <row r="775" spans="1:5" x14ac:dyDescent="0.25">
      <c r="A775" s="26" t="s">
        <v>703</v>
      </c>
      <c r="B775" s="31" t="s">
        <v>252</v>
      </c>
      <c r="C775" s="30">
        <v>23</v>
      </c>
      <c r="D775" s="30"/>
      <c r="E775" s="95"/>
    </row>
    <row r="776" spans="1:5" x14ac:dyDescent="0.25">
      <c r="A776" s="26" t="s">
        <v>704</v>
      </c>
      <c r="B776" s="31" t="s">
        <v>252</v>
      </c>
      <c r="C776" s="30">
        <v>26</v>
      </c>
      <c r="D776" s="30"/>
      <c r="E776" s="95"/>
    </row>
    <row r="777" spans="1:5" x14ac:dyDescent="0.25">
      <c r="A777" s="26" t="s">
        <v>705</v>
      </c>
      <c r="B777" s="31" t="s">
        <v>2573</v>
      </c>
      <c r="C777" s="30">
        <v>11</v>
      </c>
      <c r="D777" s="30"/>
      <c r="E777" s="95"/>
    </row>
    <row r="778" spans="1:5" ht="24" x14ac:dyDescent="0.25">
      <c r="A778" s="35" t="s">
        <v>2300</v>
      </c>
      <c r="B778" s="36" t="s">
        <v>2301</v>
      </c>
      <c r="C778" s="37">
        <v>2.52</v>
      </c>
      <c r="D778" s="37"/>
      <c r="E778" s="95"/>
    </row>
    <row r="779" spans="1:5" ht="24" x14ac:dyDescent="0.25">
      <c r="A779" s="35" t="s">
        <v>2302</v>
      </c>
      <c r="B779" s="36" t="s">
        <v>2301</v>
      </c>
      <c r="C779" s="37">
        <v>2.71</v>
      </c>
      <c r="D779" s="37"/>
      <c r="E779" s="95"/>
    </row>
    <row r="780" spans="1:5" ht="24" x14ac:dyDescent="0.25">
      <c r="A780" s="35" t="s">
        <v>2303</v>
      </c>
      <c r="B780" s="36" t="s">
        <v>2301</v>
      </c>
      <c r="C780" s="38">
        <v>2.92</v>
      </c>
      <c r="D780" s="38"/>
      <c r="E780" s="95"/>
    </row>
    <row r="781" spans="1:5" x14ac:dyDescent="0.25">
      <c r="A781" s="26" t="s">
        <v>2576</v>
      </c>
      <c r="B781" s="31" t="s">
        <v>1714</v>
      </c>
      <c r="C781" s="30" t="s">
        <v>980</v>
      </c>
      <c r="D781" s="30"/>
      <c r="E781" s="95"/>
    </row>
    <row r="782" spans="1:5" x14ac:dyDescent="0.25">
      <c r="A782" s="26" t="s">
        <v>581</v>
      </c>
      <c r="B782" s="31" t="s">
        <v>1714</v>
      </c>
      <c r="C782" s="30">
        <v>10</v>
      </c>
      <c r="D782" s="30"/>
      <c r="E782" s="95"/>
    </row>
    <row r="783" spans="1:5" x14ac:dyDescent="0.25">
      <c r="A783" s="26" t="s">
        <v>582</v>
      </c>
      <c r="B783" s="31" t="s">
        <v>1714</v>
      </c>
      <c r="C783" s="30" t="s">
        <v>980</v>
      </c>
      <c r="D783" s="30"/>
      <c r="E783" s="95"/>
    </row>
    <row r="784" spans="1:5" x14ac:dyDescent="0.25">
      <c r="A784" s="26" t="s">
        <v>583</v>
      </c>
      <c r="B784" s="31" t="s">
        <v>584</v>
      </c>
      <c r="C784" s="30">
        <v>10</v>
      </c>
      <c r="D784" s="30"/>
      <c r="E784" s="95"/>
    </row>
    <row r="785" spans="1:5" x14ac:dyDescent="0.25">
      <c r="A785" s="26" t="s">
        <v>1445</v>
      </c>
      <c r="B785" s="31" t="s">
        <v>726</v>
      </c>
      <c r="C785" s="30"/>
      <c r="D785" s="30"/>
      <c r="E785" s="95"/>
    </row>
    <row r="786" spans="1:5" x14ac:dyDescent="0.25">
      <c r="A786" s="26" t="s">
        <v>1446</v>
      </c>
      <c r="B786" s="31" t="s">
        <v>726</v>
      </c>
      <c r="C786" s="30"/>
      <c r="D786" s="30"/>
      <c r="E786" s="95"/>
    </row>
    <row r="787" spans="1:5" x14ac:dyDescent="0.25">
      <c r="A787" s="28" t="s">
        <v>585</v>
      </c>
      <c r="B787" s="34" t="s">
        <v>1036</v>
      </c>
      <c r="C787" s="30">
        <v>5</v>
      </c>
      <c r="D787" s="30"/>
      <c r="E787" s="95"/>
    </row>
    <row r="788" spans="1:5" x14ac:dyDescent="0.25">
      <c r="A788" s="28" t="s">
        <v>1431</v>
      </c>
      <c r="B788" s="34" t="s">
        <v>2377</v>
      </c>
      <c r="C788" s="30">
        <v>20.5</v>
      </c>
      <c r="D788" s="30"/>
      <c r="E788" s="95"/>
    </row>
    <row r="789" spans="1:5" x14ac:dyDescent="0.25">
      <c r="A789" s="35" t="s">
        <v>1432</v>
      </c>
      <c r="B789" s="36" t="s">
        <v>2377</v>
      </c>
      <c r="C789" s="37">
        <v>12.75</v>
      </c>
      <c r="D789" s="37"/>
      <c r="E789" s="95"/>
    </row>
    <row r="790" spans="1:5" ht="24" x14ac:dyDescent="0.25">
      <c r="A790" s="35" t="s">
        <v>1433</v>
      </c>
      <c r="B790" s="36" t="s">
        <v>2840</v>
      </c>
      <c r="C790" s="38">
        <v>25</v>
      </c>
      <c r="D790" s="38"/>
      <c r="E790" s="95"/>
    </row>
    <row r="791" spans="1:5" x14ac:dyDescent="0.25">
      <c r="A791" s="28" t="s">
        <v>1434</v>
      </c>
      <c r="B791" s="30" t="s">
        <v>1711</v>
      </c>
      <c r="C791" s="32"/>
      <c r="D791" s="32"/>
      <c r="E791" s="95"/>
    </row>
    <row r="792" spans="1:5" ht="24" x14ac:dyDescent="0.25">
      <c r="A792" s="35" t="s">
        <v>1435</v>
      </c>
      <c r="B792" s="36" t="s">
        <v>2840</v>
      </c>
      <c r="C792" s="37">
        <v>34.5</v>
      </c>
      <c r="D792" s="37"/>
      <c r="E792" s="95"/>
    </row>
    <row r="793" spans="1:5" ht="24" x14ac:dyDescent="0.25">
      <c r="A793" s="35" t="s">
        <v>1436</v>
      </c>
      <c r="B793" s="36" t="s">
        <v>2840</v>
      </c>
      <c r="C793" s="37">
        <v>35</v>
      </c>
      <c r="D793" s="37"/>
      <c r="E793" s="95"/>
    </row>
    <row r="794" spans="1:5" ht="24" x14ac:dyDescent="0.25">
      <c r="A794" s="35" t="s">
        <v>1437</v>
      </c>
      <c r="B794" s="36" t="s">
        <v>2840</v>
      </c>
      <c r="C794" s="37">
        <v>35</v>
      </c>
      <c r="D794" s="37"/>
      <c r="E794" s="95"/>
    </row>
    <row r="795" spans="1:5" ht="24" x14ac:dyDescent="0.25">
      <c r="A795" s="35" t="s">
        <v>1438</v>
      </c>
      <c r="B795" s="36" t="s">
        <v>2840</v>
      </c>
      <c r="C795" s="38">
        <v>34</v>
      </c>
      <c r="D795" s="38"/>
      <c r="E795" s="95"/>
    </row>
    <row r="796" spans="1:5" ht="24" x14ac:dyDescent="0.25">
      <c r="A796" s="35" t="s">
        <v>1439</v>
      </c>
      <c r="B796" s="36" t="s">
        <v>2840</v>
      </c>
      <c r="C796" s="38">
        <v>9.75</v>
      </c>
      <c r="D796" s="38"/>
      <c r="E796" s="95"/>
    </row>
    <row r="797" spans="1:5" x14ac:dyDescent="0.25">
      <c r="A797" s="35" t="s">
        <v>1928</v>
      </c>
      <c r="B797" s="36" t="s">
        <v>1711</v>
      </c>
      <c r="C797" s="38">
        <v>10</v>
      </c>
      <c r="D797" s="38"/>
      <c r="E797" s="95"/>
    </row>
    <row r="798" spans="1:5" x14ac:dyDescent="0.25">
      <c r="A798" s="35" t="s">
        <v>1588</v>
      </c>
      <c r="B798" s="36" t="s">
        <v>2377</v>
      </c>
      <c r="C798" s="38">
        <v>27.5</v>
      </c>
      <c r="D798" s="38"/>
      <c r="E798" s="95"/>
    </row>
    <row r="799" spans="1:5" x14ac:dyDescent="0.25">
      <c r="A799" s="28" t="s">
        <v>965</v>
      </c>
      <c r="B799" s="34" t="s">
        <v>1802</v>
      </c>
      <c r="C799" s="30">
        <v>0.44</v>
      </c>
      <c r="D799" s="30"/>
      <c r="E799" s="95"/>
    </row>
    <row r="800" spans="1:5" x14ac:dyDescent="0.25">
      <c r="A800" s="28" t="s">
        <v>965</v>
      </c>
      <c r="B800" s="34" t="s">
        <v>1802</v>
      </c>
      <c r="C800" s="30">
        <v>0.44</v>
      </c>
      <c r="D800" s="30"/>
      <c r="E800" s="95"/>
    </row>
    <row r="801" spans="1:5" x14ac:dyDescent="0.25">
      <c r="A801" s="28" t="s">
        <v>1517</v>
      </c>
      <c r="B801" s="34" t="s">
        <v>1516</v>
      </c>
      <c r="C801" s="30">
        <v>3.5</v>
      </c>
      <c r="D801" s="30"/>
      <c r="E801" s="95"/>
    </row>
    <row r="802" spans="1:5" x14ac:dyDescent="0.25">
      <c r="A802" s="28" t="s">
        <v>1762</v>
      </c>
      <c r="B802" s="34"/>
      <c r="C802" s="30"/>
      <c r="D802" s="30"/>
      <c r="E802" s="95"/>
    </row>
    <row r="803" spans="1:5" x14ac:dyDescent="0.25">
      <c r="A803" s="28" t="s">
        <v>1510</v>
      </c>
      <c r="B803" s="31" t="s">
        <v>2577</v>
      </c>
      <c r="C803" s="30">
        <v>2.5</v>
      </c>
      <c r="D803" s="30"/>
      <c r="E803" s="95"/>
    </row>
    <row r="804" spans="1:5" x14ac:dyDescent="0.25">
      <c r="A804" s="28" t="s">
        <v>1166</v>
      </c>
      <c r="B804" s="34" t="s">
        <v>2577</v>
      </c>
      <c r="C804" s="30">
        <v>1.1000000000000001</v>
      </c>
      <c r="D804" s="30"/>
      <c r="E804" s="95"/>
    </row>
    <row r="805" spans="1:5" x14ac:dyDescent="0.25">
      <c r="A805" s="28" t="s">
        <v>1764</v>
      </c>
      <c r="B805" s="34"/>
      <c r="C805" s="30"/>
      <c r="D805" s="30"/>
      <c r="E805" s="95"/>
    </row>
    <row r="806" spans="1:5" x14ac:dyDescent="0.25">
      <c r="A806" s="28" t="s">
        <v>708</v>
      </c>
      <c r="B806" s="31" t="s">
        <v>2577</v>
      </c>
      <c r="C806" s="30"/>
      <c r="D806" s="30"/>
      <c r="E806" s="95"/>
    </row>
    <row r="807" spans="1:5" x14ac:dyDescent="0.25">
      <c r="A807" s="28" t="s">
        <v>712</v>
      </c>
      <c r="B807" s="34" t="s">
        <v>2577</v>
      </c>
      <c r="C807" s="30">
        <v>0.55000000000000004</v>
      </c>
      <c r="D807" s="30"/>
      <c r="E807" s="95">
        <v>0.64</v>
      </c>
    </row>
    <row r="808" spans="1:5" x14ac:dyDescent="0.25">
      <c r="A808" s="28" t="s">
        <v>1774</v>
      </c>
      <c r="B808" s="34"/>
      <c r="C808" s="30"/>
      <c r="D808" s="30"/>
      <c r="E808" s="95"/>
    </row>
    <row r="809" spans="1:5" x14ac:dyDescent="0.25">
      <c r="A809" s="28" t="s">
        <v>709</v>
      </c>
      <c r="B809" s="31" t="s">
        <v>2577</v>
      </c>
      <c r="C809" s="30"/>
      <c r="D809" s="30"/>
      <c r="E809" s="95"/>
    </row>
    <row r="810" spans="1:5" x14ac:dyDescent="0.25">
      <c r="A810" s="28" t="s">
        <v>1506</v>
      </c>
      <c r="B810" s="31" t="s">
        <v>2577</v>
      </c>
      <c r="C810" s="30">
        <v>14</v>
      </c>
      <c r="D810" s="30"/>
      <c r="E810" s="95"/>
    </row>
    <row r="811" spans="1:5" x14ac:dyDescent="0.25">
      <c r="A811" s="28" t="s">
        <v>1790</v>
      </c>
      <c r="B811" s="34" t="s">
        <v>2577</v>
      </c>
      <c r="C811" s="30">
        <v>2.2999999999999998</v>
      </c>
      <c r="D811" s="30"/>
      <c r="E811" s="95"/>
    </row>
    <row r="812" spans="1:5" x14ac:dyDescent="0.25">
      <c r="A812" s="28" t="s">
        <v>2239</v>
      </c>
      <c r="B812" s="34" t="s">
        <v>2577</v>
      </c>
      <c r="C812" s="30">
        <v>4.5</v>
      </c>
      <c r="D812" s="30"/>
      <c r="E812" s="95"/>
    </row>
    <row r="813" spans="1:5" x14ac:dyDescent="0.25">
      <c r="A813" s="28" t="s">
        <v>1012</v>
      </c>
      <c r="B813" s="34"/>
      <c r="C813" s="30"/>
      <c r="D813" s="30"/>
      <c r="E813" s="95"/>
    </row>
    <row r="814" spans="1:5" x14ac:dyDescent="0.25">
      <c r="A814" s="28" t="s">
        <v>2238</v>
      </c>
      <c r="B814" s="34"/>
      <c r="C814" s="30"/>
      <c r="D814" s="30"/>
      <c r="E814" s="95"/>
    </row>
    <row r="815" spans="1:5" x14ac:dyDescent="0.25">
      <c r="A815" s="28" t="s">
        <v>1509</v>
      </c>
      <c r="B815" s="31" t="s">
        <v>2577</v>
      </c>
      <c r="C815" s="30">
        <v>4.95</v>
      </c>
      <c r="D815" s="30"/>
      <c r="E815" s="95"/>
    </row>
    <row r="816" spans="1:5" x14ac:dyDescent="0.25">
      <c r="A816" s="28" t="s">
        <v>1515</v>
      </c>
      <c r="B816" s="34" t="s">
        <v>2577</v>
      </c>
      <c r="C816" s="30">
        <v>2.2000000000000002</v>
      </c>
      <c r="D816" s="30"/>
      <c r="E816" s="95"/>
    </row>
    <row r="817" spans="1:5" x14ac:dyDescent="0.25">
      <c r="A817" s="28" t="s">
        <v>1618</v>
      </c>
      <c r="B817" s="34"/>
      <c r="C817" s="30"/>
      <c r="D817" s="30"/>
      <c r="E817" s="95"/>
    </row>
    <row r="818" spans="1:5" x14ac:dyDescent="0.25">
      <c r="A818" s="28" t="s">
        <v>1619</v>
      </c>
      <c r="B818" s="36"/>
      <c r="C818" s="37"/>
      <c r="D818" s="37"/>
      <c r="E818" s="95"/>
    </row>
    <row r="819" spans="1:5" x14ac:dyDescent="0.25">
      <c r="A819" s="28" t="s">
        <v>1770</v>
      </c>
      <c r="B819" s="36"/>
      <c r="C819" s="37"/>
      <c r="D819" s="37"/>
      <c r="E819" s="95"/>
    </row>
    <row r="820" spans="1:5" x14ac:dyDescent="0.25">
      <c r="A820" s="28" t="s">
        <v>1765</v>
      </c>
      <c r="B820" s="34"/>
      <c r="C820" s="30"/>
      <c r="D820" s="30"/>
      <c r="E820" s="95"/>
    </row>
    <row r="821" spans="1:5" x14ac:dyDescent="0.25">
      <c r="A821" s="28" t="s">
        <v>710</v>
      </c>
      <c r="B821" s="34"/>
      <c r="C821" s="30"/>
      <c r="D821" s="30"/>
      <c r="E821" s="95"/>
    </row>
    <row r="822" spans="1:5" x14ac:dyDescent="0.25">
      <c r="A822" s="28" t="s">
        <v>1791</v>
      </c>
      <c r="B822" s="34" t="s">
        <v>2577</v>
      </c>
      <c r="C822" s="30">
        <v>14</v>
      </c>
      <c r="D822" s="30"/>
      <c r="E822" s="95"/>
    </row>
    <row r="823" spans="1:5" x14ac:dyDescent="0.25">
      <c r="A823" s="29" t="s">
        <v>716</v>
      </c>
      <c r="B823" s="34"/>
      <c r="C823" s="30"/>
      <c r="D823" s="30"/>
      <c r="E823" s="95"/>
    </row>
    <row r="824" spans="1:5" x14ac:dyDescent="0.25">
      <c r="A824" s="28" t="s">
        <v>2367</v>
      </c>
      <c r="B824" s="34" t="s">
        <v>2366</v>
      </c>
      <c r="C824" s="30">
        <v>175</v>
      </c>
      <c r="D824" s="30"/>
      <c r="E824" s="95"/>
    </row>
    <row r="825" spans="1:5" x14ac:dyDescent="0.25">
      <c r="A825" s="27" t="s">
        <v>12</v>
      </c>
      <c r="B825" s="33" t="s">
        <v>2577</v>
      </c>
      <c r="C825" s="32">
        <v>175</v>
      </c>
      <c r="D825" s="32"/>
      <c r="E825" s="95"/>
    </row>
    <row r="826" spans="1:5" x14ac:dyDescent="0.25">
      <c r="A826" s="28" t="s">
        <v>1381</v>
      </c>
      <c r="B826" s="34" t="s">
        <v>2577</v>
      </c>
      <c r="C826" s="30">
        <v>7.5</v>
      </c>
      <c r="D826" s="30"/>
      <c r="E826" s="95"/>
    </row>
    <row r="827" spans="1:5" x14ac:dyDescent="0.25">
      <c r="A827" s="28" t="s">
        <v>1771</v>
      </c>
      <c r="B827" s="34"/>
      <c r="C827" s="30"/>
      <c r="D827" s="30"/>
      <c r="E827" s="95"/>
    </row>
    <row r="828" spans="1:5" x14ac:dyDescent="0.25">
      <c r="A828" s="28" t="s">
        <v>711</v>
      </c>
      <c r="B828" s="34"/>
      <c r="C828" s="30"/>
      <c r="D828" s="30"/>
      <c r="E828" s="95"/>
    </row>
    <row r="829" spans="1:5" x14ac:dyDescent="0.25">
      <c r="A829" s="26" t="s">
        <v>1164</v>
      </c>
      <c r="B829" s="33"/>
      <c r="C829" s="32"/>
      <c r="D829" s="32"/>
      <c r="E829" s="95"/>
    </row>
    <row r="830" spans="1:5" x14ac:dyDescent="0.25">
      <c r="A830" s="28" t="s">
        <v>1772</v>
      </c>
      <c r="B830" s="34" t="s">
        <v>2577</v>
      </c>
      <c r="C830" s="30">
        <v>1.4</v>
      </c>
      <c r="D830" s="30"/>
      <c r="E830" s="95"/>
    </row>
    <row r="831" spans="1:5" x14ac:dyDescent="0.25">
      <c r="A831" s="16" t="s">
        <v>598</v>
      </c>
      <c r="B831"/>
      <c r="C831"/>
      <c r="D831"/>
      <c r="E831" s="95"/>
    </row>
    <row r="832" spans="1:5" x14ac:dyDescent="0.25">
      <c r="A832" s="28" t="s">
        <v>659</v>
      </c>
      <c r="B832" s="34" t="s">
        <v>2577</v>
      </c>
      <c r="C832" s="30">
        <v>0.7</v>
      </c>
      <c r="D832" s="30"/>
      <c r="E832" s="95"/>
    </row>
    <row r="833" spans="1:5" x14ac:dyDescent="0.25">
      <c r="A833" s="28" t="s">
        <v>1463</v>
      </c>
      <c r="B833" s="34" t="s">
        <v>2577</v>
      </c>
      <c r="C833" s="30">
        <v>1.2</v>
      </c>
      <c r="D833" s="30"/>
      <c r="E833" s="95"/>
    </row>
    <row r="834" spans="1:5" ht="24" x14ac:dyDescent="0.25">
      <c r="A834" s="28" t="s">
        <v>697</v>
      </c>
      <c r="B834" s="34" t="s">
        <v>2577</v>
      </c>
      <c r="C834" s="30">
        <v>1.05</v>
      </c>
      <c r="D834" s="30"/>
      <c r="E834" s="95"/>
    </row>
    <row r="835" spans="1:5" ht="24" x14ac:dyDescent="0.25">
      <c r="A835" s="28" t="s">
        <v>697</v>
      </c>
      <c r="B835" s="34" t="s">
        <v>2577</v>
      </c>
      <c r="C835" s="30">
        <v>1.05</v>
      </c>
      <c r="D835" s="30"/>
      <c r="E835" s="95"/>
    </row>
    <row r="836" spans="1:5" x14ac:dyDescent="0.25">
      <c r="A836" s="28" t="s">
        <v>1519</v>
      </c>
      <c r="B836" s="34" t="s">
        <v>2577</v>
      </c>
      <c r="C836" s="30">
        <v>1.78</v>
      </c>
      <c r="D836" s="30"/>
      <c r="E836" s="95"/>
    </row>
    <row r="837" spans="1:5" x14ac:dyDescent="0.25">
      <c r="A837" s="28" t="s">
        <v>1519</v>
      </c>
      <c r="B837" s="34" t="s">
        <v>2577</v>
      </c>
      <c r="C837" s="30">
        <v>1.78</v>
      </c>
      <c r="D837" s="30"/>
      <c r="E837" s="95"/>
    </row>
    <row r="838" spans="1:5" x14ac:dyDescent="0.25">
      <c r="A838" s="28" t="s">
        <v>1518</v>
      </c>
      <c r="B838" s="34" t="s">
        <v>2577</v>
      </c>
      <c r="C838" s="30">
        <v>2.5</v>
      </c>
      <c r="D838" s="30"/>
      <c r="E838" s="95"/>
    </row>
    <row r="839" spans="1:5" x14ac:dyDescent="0.25">
      <c r="A839" s="28" t="s">
        <v>1518</v>
      </c>
      <c r="B839" s="34" t="s">
        <v>2577</v>
      </c>
      <c r="C839" s="30">
        <v>2.5</v>
      </c>
      <c r="D839" s="30"/>
      <c r="E839" s="95"/>
    </row>
    <row r="840" spans="1:5" x14ac:dyDescent="0.25">
      <c r="A840" s="28" t="s">
        <v>698</v>
      </c>
      <c r="B840" s="34" t="s">
        <v>2577</v>
      </c>
      <c r="C840" s="30">
        <v>1.1499999999999999</v>
      </c>
      <c r="D840" s="30"/>
      <c r="E840" s="95"/>
    </row>
    <row r="841" spans="1:5" x14ac:dyDescent="0.25">
      <c r="A841" s="28" t="s">
        <v>698</v>
      </c>
      <c r="B841" s="34" t="s">
        <v>2577</v>
      </c>
      <c r="C841" s="30">
        <v>1.1499999999999999</v>
      </c>
      <c r="D841" s="30"/>
      <c r="E841" s="95"/>
    </row>
    <row r="842" spans="1:5" x14ac:dyDescent="0.25">
      <c r="A842" s="28" t="s">
        <v>1520</v>
      </c>
      <c r="B842" s="34" t="s">
        <v>2577</v>
      </c>
      <c r="C842" s="30">
        <v>1.25</v>
      </c>
      <c r="D842" s="30"/>
      <c r="E842" s="95"/>
    </row>
    <row r="843" spans="1:5" x14ac:dyDescent="0.25">
      <c r="A843" s="28" t="s">
        <v>1520</v>
      </c>
      <c r="B843" s="34" t="s">
        <v>2577</v>
      </c>
      <c r="C843" s="30">
        <v>1.25</v>
      </c>
      <c r="D843" s="30"/>
      <c r="E843" s="95"/>
    </row>
    <row r="844" spans="1:5" x14ac:dyDescent="0.25">
      <c r="A844" s="28" t="s">
        <v>1464</v>
      </c>
      <c r="B844" s="34" t="s">
        <v>2577</v>
      </c>
      <c r="C844" s="30">
        <v>0.45</v>
      </c>
      <c r="D844" s="30"/>
      <c r="E844" s="95"/>
    </row>
    <row r="845" spans="1:5" x14ac:dyDescent="0.25">
      <c r="A845" s="28" t="s">
        <v>1464</v>
      </c>
      <c r="B845" s="34" t="s">
        <v>2577</v>
      </c>
      <c r="C845" s="30">
        <v>0.45</v>
      </c>
      <c r="D845" s="30"/>
      <c r="E845" s="95"/>
    </row>
    <row r="846" spans="1:5" x14ac:dyDescent="0.25">
      <c r="A846" s="28" t="s">
        <v>1508</v>
      </c>
      <c r="B846" s="31" t="s">
        <v>2577</v>
      </c>
      <c r="C846" s="30">
        <v>20</v>
      </c>
      <c r="D846" s="30"/>
      <c r="E846" s="95"/>
    </row>
    <row r="847" spans="1:5" x14ac:dyDescent="0.25">
      <c r="A847" s="28" t="s">
        <v>595</v>
      </c>
      <c r="B847" s="36"/>
      <c r="C847" s="37"/>
      <c r="D847" s="37"/>
      <c r="E847" s="95"/>
    </row>
    <row r="848" spans="1:5" x14ac:dyDescent="0.25">
      <c r="A848" s="28" t="s">
        <v>1766</v>
      </c>
      <c r="B848" s="34"/>
      <c r="C848" s="30"/>
      <c r="D848" s="30"/>
      <c r="E848" s="95"/>
    </row>
    <row r="849" spans="1:5" x14ac:dyDescent="0.25">
      <c r="A849" s="28" t="s">
        <v>1167</v>
      </c>
      <c r="B849" s="34" t="s">
        <v>2577</v>
      </c>
      <c r="C849" s="30">
        <v>2.98</v>
      </c>
      <c r="D849" s="30"/>
      <c r="E849" s="95"/>
    </row>
    <row r="850" spans="1:5" x14ac:dyDescent="0.25">
      <c r="A850" s="28" t="s">
        <v>1167</v>
      </c>
      <c r="B850" s="34"/>
      <c r="C850" s="30"/>
      <c r="D850" s="30"/>
      <c r="E850" s="95"/>
    </row>
    <row r="851" spans="1:5" x14ac:dyDescent="0.25">
      <c r="A851" s="11" t="s">
        <v>1010</v>
      </c>
      <c r="B851" s="34"/>
      <c r="C851" s="30"/>
      <c r="D851" s="30"/>
      <c r="E851" s="95"/>
    </row>
    <row r="852" spans="1:5" x14ac:dyDescent="0.25">
      <c r="A852" s="11" t="s">
        <v>1011</v>
      </c>
      <c r="B852" s="34"/>
      <c r="C852" s="30"/>
      <c r="D852" s="30"/>
      <c r="E852" s="95"/>
    </row>
    <row r="853" spans="1:5" x14ac:dyDescent="0.25">
      <c r="A853" s="28" t="s">
        <v>1507</v>
      </c>
      <c r="B853" s="31" t="s">
        <v>2577</v>
      </c>
      <c r="C853" s="30">
        <v>16</v>
      </c>
      <c r="D853" s="30"/>
      <c r="E853" s="95"/>
    </row>
    <row r="854" spans="1:5" x14ac:dyDescent="0.25">
      <c r="A854" s="28" t="s">
        <v>1169</v>
      </c>
      <c r="B854" s="34" t="s">
        <v>2577</v>
      </c>
      <c r="C854" s="30">
        <v>0.7</v>
      </c>
      <c r="D854" s="30"/>
      <c r="E854" s="95"/>
    </row>
    <row r="855" spans="1:5" x14ac:dyDescent="0.25">
      <c r="A855" s="28" t="s">
        <v>720</v>
      </c>
      <c r="B855" s="34"/>
      <c r="C855" s="30"/>
      <c r="D855" s="30"/>
      <c r="E855" s="95"/>
    </row>
    <row r="856" spans="1:5" x14ac:dyDescent="0.25">
      <c r="A856" s="28" t="s">
        <v>1761</v>
      </c>
      <c r="B856" s="34"/>
      <c r="C856" s="30"/>
      <c r="D856" s="30"/>
      <c r="E856" s="95"/>
    </row>
    <row r="857" spans="1:5" x14ac:dyDescent="0.25">
      <c r="A857" s="26" t="s">
        <v>905</v>
      </c>
      <c r="B857" s="31" t="s">
        <v>1715</v>
      </c>
      <c r="C857" s="30">
        <v>125</v>
      </c>
      <c r="D857" s="30"/>
      <c r="E857" s="95"/>
    </row>
    <row r="858" spans="1:5" x14ac:dyDescent="0.25">
      <c r="A858" s="26" t="s">
        <v>905</v>
      </c>
      <c r="B858" s="31" t="s">
        <v>1715</v>
      </c>
      <c r="C858" s="30">
        <v>125</v>
      </c>
      <c r="D858" s="30"/>
      <c r="E858" s="95"/>
    </row>
    <row r="859" spans="1:5" x14ac:dyDescent="0.25">
      <c r="A859" s="28" t="s">
        <v>1778</v>
      </c>
      <c r="B859" s="34"/>
      <c r="C859" s="30"/>
      <c r="D859" s="30"/>
      <c r="E859" s="95"/>
    </row>
    <row r="860" spans="1:5" x14ac:dyDescent="0.25">
      <c r="A860" s="28" t="s">
        <v>2234</v>
      </c>
      <c r="B860" s="34"/>
      <c r="C860" s="30"/>
      <c r="D860" s="30"/>
      <c r="E860" s="95"/>
    </row>
    <row r="861" spans="1:5" x14ac:dyDescent="0.25">
      <c r="A861" s="28" t="s">
        <v>1773</v>
      </c>
      <c r="B861" s="34"/>
      <c r="C861" s="30"/>
      <c r="D861" s="30"/>
      <c r="E861" s="95"/>
    </row>
    <row r="862" spans="1:5" x14ac:dyDescent="0.25">
      <c r="A862" s="28" t="s">
        <v>2141</v>
      </c>
      <c r="B862" s="34" t="s">
        <v>2577</v>
      </c>
      <c r="C862" s="30">
        <v>1.5</v>
      </c>
      <c r="D862" s="30"/>
      <c r="E862" s="95"/>
    </row>
    <row r="863" spans="1:5" x14ac:dyDescent="0.25">
      <c r="A863" s="28" t="s">
        <v>2141</v>
      </c>
      <c r="B863" s="34"/>
      <c r="C863" s="30"/>
      <c r="D863" s="30"/>
      <c r="E863" s="95"/>
    </row>
    <row r="864" spans="1:5" x14ac:dyDescent="0.25">
      <c r="A864" s="28" t="s">
        <v>2235</v>
      </c>
      <c r="B864" s="34" t="s">
        <v>2577</v>
      </c>
      <c r="C864" s="30">
        <v>0.9</v>
      </c>
      <c r="D864" s="30"/>
      <c r="E864" s="95">
        <v>2.1</v>
      </c>
    </row>
    <row r="865" spans="1:5" x14ac:dyDescent="0.25">
      <c r="A865" s="28" t="s">
        <v>1776</v>
      </c>
      <c r="B865" s="34"/>
      <c r="C865" s="30"/>
      <c r="D865" s="30"/>
      <c r="E865" s="95"/>
    </row>
    <row r="866" spans="1:5" x14ac:dyDescent="0.25">
      <c r="A866" s="28" t="s">
        <v>660</v>
      </c>
      <c r="B866" s="34" t="s">
        <v>2577</v>
      </c>
      <c r="C866" s="30">
        <v>0.6</v>
      </c>
      <c r="D866" s="30"/>
      <c r="E866" s="95"/>
    </row>
    <row r="867" spans="1:5" x14ac:dyDescent="0.25">
      <c r="A867" s="28" t="s">
        <v>717</v>
      </c>
      <c r="B867" s="31" t="s">
        <v>2577</v>
      </c>
      <c r="C867" s="30">
        <v>1.24</v>
      </c>
      <c r="D867" s="30"/>
      <c r="E867" s="95"/>
    </row>
    <row r="868" spans="1:5" x14ac:dyDescent="0.25">
      <c r="A868" s="28" t="s">
        <v>1767</v>
      </c>
      <c r="B868" s="34"/>
      <c r="C868" s="30"/>
      <c r="D868" s="30"/>
      <c r="E868" s="95"/>
    </row>
    <row r="869" spans="1:5" x14ac:dyDescent="0.25">
      <c r="A869" s="28" t="s">
        <v>592</v>
      </c>
      <c r="B869" s="34" t="s">
        <v>2577</v>
      </c>
      <c r="C869" s="30">
        <v>2.5</v>
      </c>
      <c r="D869" s="30"/>
      <c r="E869" s="95"/>
    </row>
    <row r="870" spans="1:5" ht="24" x14ac:dyDescent="0.25">
      <c r="A870" s="27" t="s">
        <v>1700</v>
      </c>
      <c r="B870" s="33" t="s">
        <v>2577</v>
      </c>
      <c r="C870" s="32">
        <v>188</v>
      </c>
      <c r="D870" s="32"/>
      <c r="E870" s="95"/>
    </row>
    <row r="871" spans="1:5" ht="24" x14ac:dyDescent="0.25">
      <c r="A871" s="27" t="s">
        <v>1700</v>
      </c>
      <c r="B871" s="33" t="s">
        <v>2577</v>
      </c>
      <c r="C871" s="32">
        <v>188</v>
      </c>
      <c r="D871" s="32"/>
      <c r="E871" s="95"/>
    </row>
    <row r="872" spans="1:5" x14ac:dyDescent="0.25">
      <c r="A872" s="28" t="s">
        <v>597</v>
      </c>
      <c r="B872" s="34" t="s">
        <v>2577</v>
      </c>
      <c r="C872" s="30">
        <v>1.2</v>
      </c>
      <c r="D872" s="30"/>
      <c r="E872" s="95">
        <v>2.1</v>
      </c>
    </row>
    <row r="873" spans="1:5" x14ac:dyDescent="0.25">
      <c r="A873" s="28" t="s">
        <v>1163</v>
      </c>
      <c r="B873" s="34" t="s">
        <v>2577</v>
      </c>
      <c r="C873" s="30">
        <v>0.37</v>
      </c>
      <c r="D873" s="30"/>
      <c r="E873" s="95"/>
    </row>
    <row r="874" spans="1:5" x14ac:dyDescent="0.25">
      <c r="A874" s="28" t="s">
        <v>1763</v>
      </c>
      <c r="B874" s="34"/>
      <c r="C874" s="30"/>
      <c r="D874" s="30"/>
      <c r="E874" s="95"/>
    </row>
    <row r="875" spans="1:5" x14ac:dyDescent="0.25">
      <c r="A875" s="28" t="s">
        <v>2236</v>
      </c>
      <c r="B875" s="34"/>
      <c r="C875" s="30"/>
      <c r="D875" s="30"/>
      <c r="E875" s="95"/>
    </row>
    <row r="876" spans="1:5" x14ac:dyDescent="0.25">
      <c r="A876" s="28" t="s">
        <v>718</v>
      </c>
      <c r="B876" s="34"/>
      <c r="C876" s="30"/>
      <c r="D876" s="30"/>
      <c r="E876" s="95"/>
    </row>
    <row r="877" spans="1:5" x14ac:dyDescent="0.25">
      <c r="A877" s="28" t="s">
        <v>1505</v>
      </c>
      <c r="B877" s="31" t="s">
        <v>2577</v>
      </c>
      <c r="C877" s="30">
        <v>4.95</v>
      </c>
      <c r="D877" s="30"/>
      <c r="E877" s="95"/>
    </row>
    <row r="878" spans="1:5" x14ac:dyDescent="0.25">
      <c r="A878" s="28" t="s">
        <v>593</v>
      </c>
      <c r="B878" s="34" t="s">
        <v>2577</v>
      </c>
      <c r="C878" s="30">
        <v>1.1000000000000001</v>
      </c>
      <c r="D878" s="30"/>
      <c r="E878" s="95"/>
    </row>
    <row r="879" spans="1:5" x14ac:dyDescent="0.25">
      <c r="A879" s="11" t="s">
        <v>594</v>
      </c>
      <c r="B879"/>
      <c r="C879"/>
      <c r="D879"/>
      <c r="E879" s="95"/>
    </row>
    <row r="880" spans="1:5" x14ac:dyDescent="0.25">
      <c r="A880" s="28" t="s">
        <v>596</v>
      </c>
      <c r="B880" s="34" t="s">
        <v>2577</v>
      </c>
      <c r="C880" s="30">
        <v>0.84</v>
      </c>
      <c r="D880" s="30"/>
      <c r="E880" s="95">
        <v>1.1000000000000001</v>
      </c>
    </row>
    <row r="881" spans="1:5" x14ac:dyDescent="0.25">
      <c r="A881" s="28" t="s">
        <v>1777</v>
      </c>
      <c r="B881" s="34"/>
      <c r="C881" s="30"/>
      <c r="D881" s="30"/>
      <c r="E881" s="95"/>
    </row>
    <row r="882" spans="1:5" x14ac:dyDescent="0.25">
      <c r="A882" s="28" t="s">
        <v>1775</v>
      </c>
      <c r="B882" s="34"/>
      <c r="C882" s="30"/>
      <c r="D882" s="30"/>
      <c r="E882" s="95"/>
    </row>
    <row r="883" spans="1:5" x14ac:dyDescent="0.25">
      <c r="A883" s="28" t="s">
        <v>1106</v>
      </c>
      <c r="B883" s="34" t="s">
        <v>2577</v>
      </c>
      <c r="C883" s="30">
        <v>1.4</v>
      </c>
      <c r="D883" s="30"/>
      <c r="E883" s="95"/>
    </row>
    <row r="884" spans="1:5" x14ac:dyDescent="0.25">
      <c r="A884" s="28" t="s">
        <v>2034</v>
      </c>
      <c r="B884" s="34"/>
      <c r="C884" s="30"/>
      <c r="D884" s="30"/>
      <c r="E884" s="95"/>
    </row>
    <row r="885" spans="1:5" x14ac:dyDescent="0.25">
      <c r="A885" s="28" t="s">
        <v>1621</v>
      </c>
      <c r="B885" s="34"/>
      <c r="C885" s="30"/>
      <c r="D885" s="30"/>
      <c r="E885" s="95"/>
    </row>
    <row r="886" spans="1:5" x14ac:dyDescent="0.25">
      <c r="A886" s="28" t="s">
        <v>1620</v>
      </c>
      <c r="B886" s="34" t="s">
        <v>2834</v>
      </c>
      <c r="C886" s="30">
        <v>50</v>
      </c>
      <c r="D886" s="30"/>
      <c r="E886" s="95"/>
    </row>
    <row r="887" spans="1:5" ht="24" x14ac:dyDescent="0.25">
      <c r="A887" s="27" t="s">
        <v>1699</v>
      </c>
      <c r="B887" s="33" t="s">
        <v>2577</v>
      </c>
      <c r="C887" s="32">
        <v>197</v>
      </c>
      <c r="D887" s="32"/>
      <c r="E887" s="95"/>
    </row>
    <row r="888" spans="1:5" ht="24" x14ac:dyDescent="0.25">
      <c r="A888" s="27" t="s">
        <v>1699</v>
      </c>
      <c r="B888" s="33" t="s">
        <v>2577</v>
      </c>
      <c r="C888" s="32">
        <v>197</v>
      </c>
      <c r="D888" s="32"/>
      <c r="E888" s="95"/>
    </row>
    <row r="889" spans="1:5" x14ac:dyDescent="0.25">
      <c r="A889" s="28" t="s">
        <v>2365</v>
      </c>
      <c r="B889" s="34" t="s">
        <v>2366</v>
      </c>
      <c r="C889" s="30">
        <v>197</v>
      </c>
      <c r="D889" s="30"/>
      <c r="E889" s="95"/>
    </row>
    <row r="890" spans="1:5" x14ac:dyDescent="0.25">
      <c r="A890" s="28" t="s">
        <v>2368</v>
      </c>
      <c r="B890" s="34" t="s">
        <v>2366</v>
      </c>
      <c r="C890" s="30">
        <v>188</v>
      </c>
      <c r="D890" s="30"/>
      <c r="E890" s="95"/>
    </row>
    <row r="891" spans="1:5" x14ac:dyDescent="0.25">
      <c r="A891" s="28" t="s">
        <v>2237</v>
      </c>
      <c r="B891" s="34"/>
      <c r="C891" s="30"/>
      <c r="D891" s="30"/>
      <c r="E891" s="95"/>
    </row>
    <row r="892" spans="1:5" x14ac:dyDescent="0.25">
      <c r="A892" s="28" t="s">
        <v>721</v>
      </c>
      <c r="B892" s="34"/>
      <c r="C892" s="30"/>
      <c r="D892" s="30"/>
      <c r="E892" s="95"/>
    </row>
    <row r="893" spans="1:5" x14ac:dyDescent="0.25">
      <c r="A893" s="28" t="s">
        <v>719</v>
      </c>
      <c r="B893" s="34"/>
      <c r="C893" s="30"/>
      <c r="D893" s="30"/>
      <c r="E893" s="95"/>
    </row>
    <row r="894" spans="1:5" x14ac:dyDescent="0.25">
      <c r="A894" s="28" t="s">
        <v>1382</v>
      </c>
      <c r="B894" s="34" t="s">
        <v>2577</v>
      </c>
      <c r="C894" s="30">
        <v>18.5</v>
      </c>
      <c r="D894" s="30"/>
      <c r="E894" s="95"/>
    </row>
    <row r="895" spans="1:5" x14ac:dyDescent="0.25">
      <c r="A895" s="28" t="s">
        <v>1383</v>
      </c>
      <c r="B895" s="34" t="s">
        <v>2577</v>
      </c>
      <c r="C895" s="30">
        <v>30</v>
      </c>
      <c r="D895" s="30"/>
      <c r="E895" s="95"/>
    </row>
    <row r="896" spans="1:5" x14ac:dyDescent="0.25">
      <c r="A896" s="28" t="s">
        <v>1161</v>
      </c>
      <c r="B896" s="34"/>
      <c r="C896" s="30"/>
      <c r="D896" s="30"/>
      <c r="E896" s="95"/>
    </row>
    <row r="897" spans="1:5" x14ac:dyDescent="0.25">
      <c r="A897" s="28" t="s">
        <v>1160</v>
      </c>
      <c r="B897" s="34"/>
      <c r="C897" s="30"/>
      <c r="D897" s="30"/>
      <c r="E897" s="95"/>
    </row>
    <row r="898" spans="1:5" x14ac:dyDescent="0.25">
      <c r="A898" s="28" t="s">
        <v>713</v>
      </c>
      <c r="B898" s="34" t="s">
        <v>2577</v>
      </c>
      <c r="C898" s="30">
        <v>1.3</v>
      </c>
      <c r="D898" s="30"/>
      <c r="E898" s="95"/>
    </row>
    <row r="899" spans="1:5" x14ac:dyDescent="0.25">
      <c r="A899" s="26" t="s">
        <v>2713</v>
      </c>
      <c r="B899" s="31" t="s">
        <v>1715</v>
      </c>
      <c r="C899" s="30">
        <v>100</v>
      </c>
      <c r="D899" s="30"/>
      <c r="E899" s="95"/>
    </row>
    <row r="900" spans="1:5" x14ac:dyDescent="0.25">
      <c r="A900" s="28" t="s">
        <v>1440</v>
      </c>
      <c r="B900" s="34" t="s">
        <v>2376</v>
      </c>
      <c r="C900" s="30">
        <v>470</v>
      </c>
      <c r="D900" s="30"/>
      <c r="E900" s="95"/>
    </row>
    <row r="901" spans="1:5" x14ac:dyDescent="0.25">
      <c r="A901" s="28" t="s">
        <v>1441</v>
      </c>
      <c r="B901" s="34" t="s">
        <v>2376</v>
      </c>
      <c r="C901" s="30">
        <v>545</v>
      </c>
      <c r="D901" s="30"/>
      <c r="E901" s="95"/>
    </row>
    <row r="902" spans="1:5" ht="24" x14ac:dyDescent="0.25">
      <c r="A902" s="26" t="s">
        <v>906</v>
      </c>
      <c r="B902" s="31" t="s">
        <v>1715</v>
      </c>
      <c r="C902" s="30">
        <v>230</v>
      </c>
      <c r="D902" s="30"/>
      <c r="E902" s="95"/>
    </row>
    <row r="903" spans="1:5" ht="24" x14ac:dyDescent="0.25">
      <c r="A903" s="26" t="s">
        <v>907</v>
      </c>
      <c r="B903" s="31" t="s">
        <v>1715</v>
      </c>
      <c r="C903" s="30">
        <v>544</v>
      </c>
      <c r="D903" s="30"/>
      <c r="E903" s="95"/>
    </row>
    <row r="904" spans="1:5" ht="24" x14ac:dyDescent="0.25">
      <c r="A904" s="26" t="s">
        <v>909</v>
      </c>
      <c r="B904" s="31" t="s">
        <v>1715</v>
      </c>
      <c r="C904" s="30">
        <v>415</v>
      </c>
      <c r="D904" s="30"/>
      <c r="E904" s="95"/>
    </row>
    <row r="905" spans="1:5" ht="24" x14ac:dyDescent="0.25">
      <c r="A905" s="26" t="s">
        <v>910</v>
      </c>
      <c r="B905" s="31" t="s">
        <v>1715</v>
      </c>
      <c r="C905" s="30">
        <v>1480</v>
      </c>
      <c r="D905" s="30"/>
      <c r="E905" s="95"/>
    </row>
    <row r="906" spans="1:5" x14ac:dyDescent="0.25">
      <c r="A906" s="28" t="s">
        <v>765</v>
      </c>
      <c r="B906" s="34" t="s">
        <v>2265</v>
      </c>
      <c r="C906" s="30">
        <v>805</v>
      </c>
      <c r="D906" s="30"/>
      <c r="E906" s="95"/>
    </row>
    <row r="907" spans="1:5" x14ac:dyDescent="0.25">
      <c r="A907" s="28" t="s">
        <v>765</v>
      </c>
      <c r="B907" s="34" t="s">
        <v>2265</v>
      </c>
      <c r="C907" s="30">
        <v>805</v>
      </c>
      <c r="D907" s="30"/>
      <c r="E907" s="95"/>
    </row>
    <row r="908" spans="1:5" x14ac:dyDescent="0.25">
      <c r="A908" s="28" t="s">
        <v>1599</v>
      </c>
      <c r="B908" s="34" t="s">
        <v>2265</v>
      </c>
      <c r="C908" s="30">
        <v>19100</v>
      </c>
      <c r="D908" s="30"/>
      <c r="E908" s="95"/>
    </row>
    <row r="909" spans="1:5" x14ac:dyDescent="0.25">
      <c r="A909" s="28" t="s">
        <v>1599</v>
      </c>
      <c r="B909" s="34" t="s">
        <v>2265</v>
      </c>
      <c r="C909" s="30">
        <v>19100</v>
      </c>
      <c r="D909" s="30"/>
      <c r="E909" s="95"/>
    </row>
    <row r="910" spans="1:5" x14ac:dyDescent="0.25">
      <c r="A910" s="28" t="s">
        <v>1597</v>
      </c>
      <c r="B910" s="34" t="s">
        <v>2265</v>
      </c>
      <c r="C910" s="30">
        <v>1525</v>
      </c>
      <c r="D910" s="30"/>
      <c r="E910" s="95"/>
    </row>
    <row r="911" spans="1:5" x14ac:dyDescent="0.25">
      <c r="A911" s="28" t="s">
        <v>1597</v>
      </c>
      <c r="B911" s="34" t="s">
        <v>2265</v>
      </c>
      <c r="C911" s="30">
        <v>1525</v>
      </c>
      <c r="D911" s="30"/>
      <c r="E911" s="95"/>
    </row>
    <row r="912" spans="1:5" x14ac:dyDescent="0.25">
      <c r="A912" s="28" t="s">
        <v>1600</v>
      </c>
      <c r="B912" s="34" t="s">
        <v>2265</v>
      </c>
      <c r="C912" s="30">
        <v>39400</v>
      </c>
      <c r="D912" s="30"/>
      <c r="E912" s="95"/>
    </row>
    <row r="913" spans="1:5" x14ac:dyDescent="0.25">
      <c r="A913" s="28" t="s">
        <v>1600</v>
      </c>
      <c r="B913" s="34" t="s">
        <v>2265</v>
      </c>
      <c r="C913" s="30">
        <v>39400</v>
      </c>
      <c r="D913" s="30"/>
      <c r="E913" s="95"/>
    </row>
    <row r="914" spans="1:5" x14ac:dyDescent="0.25">
      <c r="A914" s="28" t="s">
        <v>1598</v>
      </c>
      <c r="B914" s="34" t="s">
        <v>2265</v>
      </c>
      <c r="C914" s="30">
        <v>7100</v>
      </c>
      <c r="D914" s="30"/>
      <c r="E914" s="95"/>
    </row>
    <row r="915" spans="1:5" x14ac:dyDescent="0.25">
      <c r="A915" s="28" t="s">
        <v>1598</v>
      </c>
      <c r="B915" s="34" t="s">
        <v>2265</v>
      </c>
      <c r="C915" s="30">
        <v>7100</v>
      </c>
      <c r="D915" s="30"/>
      <c r="E915" s="95"/>
    </row>
    <row r="916" spans="1:5" x14ac:dyDescent="0.25">
      <c r="A916" s="26" t="s">
        <v>707</v>
      </c>
      <c r="B916" s="31" t="s">
        <v>2573</v>
      </c>
      <c r="C916" s="30">
        <v>6</v>
      </c>
      <c r="D916" s="30"/>
      <c r="E916" s="95"/>
    </row>
    <row r="917" spans="1:5" x14ac:dyDescent="0.25">
      <c r="A917" s="28" t="s">
        <v>2258</v>
      </c>
      <c r="B917" s="34" t="s">
        <v>2202</v>
      </c>
      <c r="C917" s="30">
        <v>1.05</v>
      </c>
      <c r="D917" s="30"/>
      <c r="E917" s="95"/>
    </row>
    <row r="918" spans="1:5" x14ac:dyDescent="0.25">
      <c r="A918" s="28" t="s">
        <v>2258</v>
      </c>
      <c r="B918" s="34" t="s">
        <v>2202</v>
      </c>
      <c r="C918" s="30">
        <v>1.05</v>
      </c>
      <c r="D918" s="30"/>
      <c r="E918" s="95"/>
    </row>
    <row r="919" spans="1:5" x14ac:dyDescent="0.25">
      <c r="A919" s="28" t="s">
        <v>2257</v>
      </c>
      <c r="B919" s="34" t="s">
        <v>2202</v>
      </c>
      <c r="C919" s="30">
        <v>0.77</v>
      </c>
      <c r="D919" s="30"/>
      <c r="E919" s="95"/>
    </row>
    <row r="920" spans="1:5" x14ac:dyDescent="0.25">
      <c r="A920" s="28" t="s">
        <v>2257</v>
      </c>
      <c r="B920" s="34" t="s">
        <v>2202</v>
      </c>
      <c r="C920" s="30">
        <v>0.77</v>
      </c>
      <c r="D920" s="30"/>
      <c r="E920" s="95"/>
    </row>
    <row r="921" spans="1:5" x14ac:dyDescent="0.25">
      <c r="A921" s="28" t="s">
        <v>1409</v>
      </c>
      <c r="B921" s="34" t="s">
        <v>2834</v>
      </c>
      <c r="C921" s="30">
        <v>40</v>
      </c>
      <c r="D921" s="30"/>
      <c r="E921" s="95"/>
    </row>
    <row r="922" spans="1:5" ht="24" x14ac:dyDescent="0.25">
      <c r="A922" s="28" t="s">
        <v>1413</v>
      </c>
      <c r="B922" s="34"/>
      <c r="C922" s="30"/>
      <c r="D922" s="30"/>
      <c r="E922" s="95"/>
    </row>
    <row r="923" spans="1:5" ht="24" x14ac:dyDescent="0.25">
      <c r="A923" s="28" t="s">
        <v>1412</v>
      </c>
      <c r="B923" s="34"/>
      <c r="C923" s="30"/>
      <c r="D923" s="30"/>
      <c r="E923" s="95"/>
    </row>
    <row r="924" spans="1:5" ht="24" x14ac:dyDescent="0.25">
      <c r="A924" s="28" t="s">
        <v>1411</v>
      </c>
      <c r="B924" s="34"/>
      <c r="C924" s="30"/>
      <c r="D924" s="30"/>
      <c r="E924" s="95"/>
    </row>
    <row r="925" spans="1:5" x14ac:dyDescent="0.25">
      <c r="A925" s="28" t="s">
        <v>1408</v>
      </c>
      <c r="B925" s="34" t="s">
        <v>2834</v>
      </c>
      <c r="C925" s="30">
        <v>35</v>
      </c>
      <c r="D925" s="30"/>
      <c r="E925" s="95"/>
    </row>
    <row r="926" spans="1:5" ht="24" x14ac:dyDescent="0.25">
      <c r="A926" s="35" t="s">
        <v>1199</v>
      </c>
      <c r="B926" s="36" t="s">
        <v>1224</v>
      </c>
      <c r="C926" s="37">
        <v>69</v>
      </c>
      <c r="D926" s="37"/>
      <c r="E926" s="95"/>
    </row>
    <row r="927" spans="1:5" ht="24" x14ac:dyDescent="0.25">
      <c r="A927" s="35" t="s">
        <v>2167</v>
      </c>
      <c r="B927" s="36" t="s">
        <v>1224</v>
      </c>
      <c r="C927" s="37">
        <v>54.5</v>
      </c>
      <c r="D927" s="37"/>
      <c r="E927" s="95"/>
    </row>
    <row r="928" spans="1:5" ht="24" x14ac:dyDescent="0.25">
      <c r="A928" s="35" t="s">
        <v>1198</v>
      </c>
      <c r="B928" s="36" t="s">
        <v>1224</v>
      </c>
      <c r="C928" s="38">
        <v>59</v>
      </c>
      <c r="D928" s="38"/>
      <c r="E928" s="95"/>
    </row>
    <row r="929" spans="1:5" ht="24" x14ac:dyDescent="0.25">
      <c r="A929" s="39" t="s">
        <v>2166</v>
      </c>
      <c r="B929" s="40" t="s">
        <v>1224</v>
      </c>
      <c r="C929" s="42">
        <v>47</v>
      </c>
      <c r="D929" s="42"/>
      <c r="E929" s="95"/>
    </row>
    <row r="930" spans="1:5" ht="24" x14ac:dyDescent="0.25">
      <c r="A930" s="35" t="s">
        <v>488</v>
      </c>
      <c r="B930" s="36" t="s">
        <v>1224</v>
      </c>
      <c r="C930" s="37">
        <v>78</v>
      </c>
      <c r="D930" s="37"/>
      <c r="E930" s="95"/>
    </row>
    <row r="931" spans="1:5" ht="24" x14ac:dyDescent="0.25">
      <c r="A931" s="35" t="s">
        <v>1197</v>
      </c>
      <c r="B931" s="36" t="s">
        <v>1224</v>
      </c>
      <c r="C931" s="38">
        <v>65</v>
      </c>
      <c r="D931" s="38"/>
      <c r="E931" s="95"/>
    </row>
    <row r="932" spans="1:5" ht="24" x14ac:dyDescent="0.25">
      <c r="A932" s="35" t="s">
        <v>489</v>
      </c>
      <c r="B932" s="36" t="s">
        <v>1224</v>
      </c>
      <c r="C932" s="37">
        <v>66.5</v>
      </c>
      <c r="D932" s="37"/>
      <c r="E932" s="95"/>
    </row>
    <row r="933" spans="1:5" x14ac:dyDescent="0.25">
      <c r="A933" s="28" t="s">
        <v>2100</v>
      </c>
      <c r="B933" s="34" t="s">
        <v>2108</v>
      </c>
      <c r="C933" s="30">
        <v>430</v>
      </c>
      <c r="D933" s="30"/>
      <c r="E933" s="95"/>
    </row>
    <row r="934" spans="1:5" x14ac:dyDescent="0.25">
      <c r="A934" s="28" t="s">
        <v>2101</v>
      </c>
      <c r="B934" s="34" t="s">
        <v>2108</v>
      </c>
      <c r="C934" s="30">
        <v>380</v>
      </c>
      <c r="D934" s="30"/>
      <c r="E934" s="95"/>
    </row>
    <row r="935" spans="1:5" x14ac:dyDescent="0.25">
      <c r="A935" s="28" t="s">
        <v>2102</v>
      </c>
      <c r="B935" s="34" t="s">
        <v>2108</v>
      </c>
      <c r="C935" s="30">
        <v>765</v>
      </c>
      <c r="D935" s="30"/>
      <c r="E935" s="95"/>
    </row>
    <row r="936" spans="1:5" x14ac:dyDescent="0.25">
      <c r="A936" s="28" t="s">
        <v>2103</v>
      </c>
      <c r="B936" s="34" t="s">
        <v>2108</v>
      </c>
      <c r="C936" s="30">
        <v>645</v>
      </c>
      <c r="D936" s="30"/>
      <c r="E936" s="2"/>
    </row>
    <row r="937" spans="1:5" x14ac:dyDescent="0.25">
      <c r="A937" s="29" t="s">
        <v>1526</v>
      </c>
      <c r="B937" s="30" t="s">
        <v>2734</v>
      </c>
      <c r="C937" s="70">
        <v>12</v>
      </c>
      <c r="D937" s="70"/>
      <c r="E937" s="95"/>
    </row>
    <row r="938" spans="1:5" ht="24" x14ac:dyDescent="0.25">
      <c r="A938" s="26" t="s">
        <v>452</v>
      </c>
      <c r="B938" s="31" t="s">
        <v>1715</v>
      </c>
      <c r="C938" s="30">
        <v>5</v>
      </c>
      <c r="D938" s="30"/>
      <c r="E938" s="95"/>
    </row>
    <row r="939" spans="1:5" ht="24" x14ac:dyDescent="0.25">
      <c r="A939" s="26" t="s">
        <v>452</v>
      </c>
      <c r="B939" s="31" t="s">
        <v>1715</v>
      </c>
      <c r="C939" s="30">
        <v>5</v>
      </c>
      <c r="D939" s="30"/>
      <c r="E939" s="95"/>
    </row>
    <row r="940" spans="1:5" ht="24" x14ac:dyDescent="0.25">
      <c r="A940" s="26" t="s">
        <v>1135</v>
      </c>
      <c r="B940" s="31" t="s">
        <v>1715</v>
      </c>
      <c r="C940" s="30">
        <v>5.2</v>
      </c>
      <c r="D940" s="30"/>
      <c r="E940" s="95"/>
    </row>
    <row r="941" spans="1:5" ht="24" x14ac:dyDescent="0.25">
      <c r="A941" s="26" t="s">
        <v>1135</v>
      </c>
      <c r="B941" s="31" t="s">
        <v>1715</v>
      </c>
      <c r="C941" s="30">
        <v>5.2</v>
      </c>
      <c r="D941" s="30"/>
      <c r="E941" s="95"/>
    </row>
    <row r="942" spans="1:5" x14ac:dyDescent="0.25">
      <c r="A942" s="26" t="s">
        <v>1136</v>
      </c>
      <c r="B942" s="30" t="s">
        <v>2734</v>
      </c>
      <c r="C942" s="32">
        <v>7</v>
      </c>
      <c r="D942" s="32"/>
      <c r="E942" s="95"/>
    </row>
    <row r="943" spans="1:5" x14ac:dyDescent="0.25">
      <c r="A943" s="26" t="s">
        <v>1136</v>
      </c>
      <c r="B943" s="30" t="s">
        <v>2734</v>
      </c>
      <c r="C943" s="32">
        <v>7</v>
      </c>
      <c r="D943" s="32"/>
      <c r="E943" s="95"/>
    </row>
    <row r="944" spans="1:5" ht="24" x14ac:dyDescent="0.25">
      <c r="A944" s="26" t="s">
        <v>1137</v>
      </c>
      <c r="B944" s="31" t="s">
        <v>1715</v>
      </c>
      <c r="C944" s="30">
        <v>4</v>
      </c>
      <c r="D944" s="30"/>
      <c r="E944" s="95"/>
    </row>
    <row r="945" spans="1:5" ht="24" x14ac:dyDescent="0.25">
      <c r="A945" s="26" t="s">
        <v>1137</v>
      </c>
      <c r="B945" s="31" t="s">
        <v>1715</v>
      </c>
      <c r="C945" s="30">
        <v>4</v>
      </c>
      <c r="D945" s="30"/>
      <c r="E945" s="95"/>
    </row>
    <row r="946" spans="1:5" ht="24" x14ac:dyDescent="0.25">
      <c r="A946" s="26" t="s">
        <v>242</v>
      </c>
      <c r="B946" s="31" t="s">
        <v>1715</v>
      </c>
      <c r="C946" s="30">
        <v>4</v>
      </c>
      <c r="D946" s="30"/>
      <c r="E946" s="95"/>
    </row>
    <row r="947" spans="1:5" ht="24" x14ac:dyDescent="0.25">
      <c r="A947" s="26" t="s">
        <v>242</v>
      </c>
      <c r="B947" s="31" t="s">
        <v>1715</v>
      </c>
      <c r="C947" s="30">
        <v>4</v>
      </c>
      <c r="D947" s="30"/>
      <c r="E947" s="95"/>
    </row>
    <row r="948" spans="1:5" x14ac:dyDescent="0.25">
      <c r="A948" s="35" t="s">
        <v>2267</v>
      </c>
      <c r="B948" s="36" t="s">
        <v>2265</v>
      </c>
      <c r="C948" s="38">
        <v>65</v>
      </c>
      <c r="D948" s="38"/>
      <c r="E948" s="95"/>
    </row>
    <row r="949" spans="1:5" x14ac:dyDescent="0.25">
      <c r="A949" s="35" t="s">
        <v>2268</v>
      </c>
      <c r="B949" s="36" t="s">
        <v>2265</v>
      </c>
      <c r="C949" s="37">
        <v>120</v>
      </c>
      <c r="D949" s="37"/>
      <c r="E949" s="95"/>
    </row>
    <row r="950" spans="1:5" x14ac:dyDescent="0.25">
      <c r="A950" s="35" t="s">
        <v>1129</v>
      </c>
      <c r="B950" s="36" t="s">
        <v>2265</v>
      </c>
      <c r="C950" s="37">
        <v>10</v>
      </c>
      <c r="D950" s="37"/>
      <c r="E950" s="95"/>
    </row>
    <row r="951" spans="1:5" x14ac:dyDescent="0.25">
      <c r="A951" s="39" t="s">
        <v>1130</v>
      </c>
      <c r="B951" s="40" t="s">
        <v>2265</v>
      </c>
      <c r="C951" s="42">
        <v>550</v>
      </c>
      <c r="D951" s="42"/>
      <c r="E951" s="95"/>
    </row>
    <row r="952" spans="1:5" x14ac:dyDescent="0.25">
      <c r="A952" s="35" t="s">
        <v>1131</v>
      </c>
      <c r="B952" s="36" t="s">
        <v>2265</v>
      </c>
      <c r="C952" s="37">
        <v>250</v>
      </c>
      <c r="D952" s="37"/>
      <c r="E952" s="95"/>
    </row>
    <row r="953" spans="1:5" x14ac:dyDescent="0.25">
      <c r="A953" s="35" t="s">
        <v>1132</v>
      </c>
      <c r="B953" s="36" t="s">
        <v>2265</v>
      </c>
      <c r="C953" s="37">
        <v>135</v>
      </c>
      <c r="D953" s="37"/>
      <c r="E953" s="95"/>
    </row>
    <row r="954" spans="1:5" x14ac:dyDescent="0.25">
      <c r="A954" s="39" t="s">
        <v>1133</v>
      </c>
      <c r="B954" s="40" t="s">
        <v>2265</v>
      </c>
      <c r="C954" s="41">
        <v>75</v>
      </c>
      <c r="D954" s="41"/>
      <c r="E954" s="95"/>
    </row>
    <row r="955" spans="1:5" x14ac:dyDescent="0.25">
      <c r="A955" s="35" t="s">
        <v>914</v>
      </c>
      <c r="B955" s="36" t="s">
        <v>2265</v>
      </c>
      <c r="C955" s="38">
        <v>60</v>
      </c>
      <c r="D955" s="38"/>
      <c r="E955" s="95"/>
    </row>
    <row r="956" spans="1:5" x14ac:dyDescent="0.25">
      <c r="A956" s="35" t="s">
        <v>2785</v>
      </c>
      <c r="B956" s="36" t="s">
        <v>2265</v>
      </c>
      <c r="C956" s="37">
        <v>48</v>
      </c>
      <c r="D956" s="37"/>
      <c r="E956" s="95"/>
    </row>
    <row r="957" spans="1:5" x14ac:dyDescent="0.25">
      <c r="A957" s="26" t="s">
        <v>244</v>
      </c>
      <c r="B957" s="31" t="s">
        <v>1715</v>
      </c>
      <c r="C957" s="30">
        <v>73.33</v>
      </c>
      <c r="D957" s="30"/>
      <c r="E957" s="95"/>
    </row>
    <row r="958" spans="1:5" x14ac:dyDescent="0.25">
      <c r="A958" s="27" t="s">
        <v>2793</v>
      </c>
      <c r="B958" s="30" t="s">
        <v>1715</v>
      </c>
      <c r="C958" s="32">
        <v>4.75</v>
      </c>
      <c r="D958" s="32"/>
      <c r="E958" s="95"/>
    </row>
    <row r="959" spans="1:5" x14ac:dyDescent="0.25">
      <c r="A959" s="26" t="s">
        <v>586</v>
      </c>
      <c r="B959" s="31" t="s">
        <v>1037</v>
      </c>
      <c r="C959" s="30">
        <v>500</v>
      </c>
      <c r="D959" s="30"/>
      <c r="E959" s="95"/>
    </row>
    <row r="960" spans="1:5" x14ac:dyDescent="0.25">
      <c r="A960" s="28" t="s">
        <v>1117</v>
      </c>
      <c r="B960" s="34"/>
      <c r="C960" s="30"/>
      <c r="D960" s="30"/>
      <c r="E960" s="95"/>
    </row>
    <row r="961" spans="1:5" x14ac:dyDescent="0.25">
      <c r="A961" s="28" t="s">
        <v>1118</v>
      </c>
      <c r="B961" s="34"/>
      <c r="C961" s="30"/>
      <c r="D961" s="30"/>
      <c r="E961" s="95"/>
    </row>
    <row r="962" spans="1:5" x14ac:dyDescent="0.25">
      <c r="A962" s="35" t="s">
        <v>599</v>
      </c>
      <c r="B962" s="36" t="s">
        <v>399</v>
      </c>
      <c r="C962" s="37">
        <v>2.59</v>
      </c>
      <c r="D962" s="37"/>
      <c r="E962" s="95"/>
    </row>
    <row r="963" spans="1:5" x14ac:dyDescent="0.25">
      <c r="A963" s="35" t="s">
        <v>2775</v>
      </c>
      <c r="B963" s="36" t="s">
        <v>399</v>
      </c>
      <c r="C963" s="37">
        <v>2.4300000000000002</v>
      </c>
      <c r="D963" s="37"/>
      <c r="E963" s="95"/>
    </row>
    <row r="964" spans="1:5" x14ac:dyDescent="0.25">
      <c r="A964" s="35" t="s">
        <v>2263</v>
      </c>
      <c r="B964" s="36" t="s">
        <v>399</v>
      </c>
      <c r="C964" s="37">
        <v>2.1800000000000002</v>
      </c>
      <c r="D964" s="37"/>
      <c r="E964" s="95"/>
    </row>
    <row r="965" spans="1:5" x14ac:dyDescent="0.25">
      <c r="A965" s="28" t="s">
        <v>1655</v>
      </c>
      <c r="B965" s="34" t="s">
        <v>1627</v>
      </c>
      <c r="C965" s="30">
        <v>2.21</v>
      </c>
      <c r="D965" s="30"/>
      <c r="E965" s="95"/>
    </row>
    <row r="966" spans="1:5" x14ac:dyDescent="0.25">
      <c r="A966" s="28" t="s">
        <v>1655</v>
      </c>
      <c r="B966" s="34" t="s">
        <v>1627</v>
      </c>
      <c r="C966" s="30">
        <v>2.21</v>
      </c>
      <c r="D966" s="30"/>
      <c r="E966" s="95"/>
    </row>
    <row r="967" spans="1:5" x14ac:dyDescent="0.25">
      <c r="A967" s="28" t="s">
        <v>1119</v>
      </c>
      <c r="B967" s="34"/>
      <c r="C967" s="30"/>
      <c r="D967" s="30"/>
      <c r="E967" s="95"/>
    </row>
    <row r="968" spans="1:5" x14ac:dyDescent="0.25">
      <c r="A968" s="26" t="s">
        <v>246</v>
      </c>
      <c r="B968" s="31" t="s">
        <v>1715</v>
      </c>
      <c r="C968" s="30">
        <v>5</v>
      </c>
      <c r="D968" s="30"/>
      <c r="E968" s="95"/>
    </row>
    <row r="969" spans="1:5" x14ac:dyDescent="0.25">
      <c r="A969" s="28" t="s">
        <v>2252</v>
      </c>
      <c r="B969" s="34" t="s">
        <v>2253</v>
      </c>
      <c r="C969" s="30">
        <v>1.26</v>
      </c>
      <c r="D969" s="30"/>
      <c r="E969" s="95"/>
    </row>
    <row r="970" spans="1:5" x14ac:dyDescent="0.25">
      <c r="A970" s="28" t="s">
        <v>2254</v>
      </c>
      <c r="B970" s="34" t="s">
        <v>2253</v>
      </c>
      <c r="C970" s="30">
        <v>1.1000000000000001</v>
      </c>
      <c r="D970" s="30"/>
      <c r="E970" s="95"/>
    </row>
    <row r="971" spans="1:5" x14ac:dyDescent="0.25">
      <c r="A971" s="28" t="s">
        <v>2255</v>
      </c>
      <c r="B971" s="34" t="s">
        <v>2253</v>
      </c>
      <c r="C971" s="30">
        <v>1.84</v>
      </c>
      <c r="D971" s="30"/>
      <c r="E971" s="95"/>
    </row>
    <row r="972" spans="1:5" x14ac:dyDescent="0.25">
      <c r="A972" s="28" t="s">
        <v>2256</v>
      </c>
      <c r="B972" s="34" t="s">
        <v>2253</v>
      </c>
      <c r="C972" s="30">
        <v>0.49</v>
      </c>
      <c r="D972" s="30"/>
      <c r="E972" s="95"/>
    </row>
    <row r="973" spans="1:5" x14ac:dyDescent="0.25">
      <c r="A973" s="26" t="s">
        <v>1218</v>
      </c>
      <c r="B973" s="31" t="s">
        <v>2172</v>
      </c>
      <c r="C973" s="30">
        <v>4.5</v>
      </c>
      <c r="D973" s="30"/>
      <c r="E973" s="95"/>
    </row>
    <row r="974" spans="1:5" ht="24" x14ac:dyDescent="0.25">
      <c r="A974" s="26" t="s">
        <v>967</v>
      </c>
      <c r="B974" s="31" t="s">
        <v>968</v>
      </c>
      <c r="C974" s="30">
        <v>1.36</v>
      </c>
      <c r="D974" s="30"/>
      <c r="E974" s="95"/>
    </row>
    <row r="975" spans="1:5" ht="24" x14ac:dyDescent="0.25">
      <c r="A975" s="26" t="s">
        <v>969</v>
      </c>
      <c r="B975" s="31" t="s">
        <v>968</v>
      </c>
      <c r="C975" s="30">
        <v>2</v>
      </c>
      <c r="D975" s="30"/>
      <c r="E975" s="95"/>
    </row>
    <row r="976" spans="1:5" ht="24" x14ac:dyDescent="0.25">
      <c r="A976" s="26" t="s">
        <v>1993</v>
      </c>
      <c r="B976" s="31" t="s">
        <v>968</v>
      </c>
      <c r="C976" s="30">
        <v>0.88</v>
      </c>
      <c r="D976" s="30"/>
      <c r="E976" s="95"/>
    </row>
    <row r="977" spans="1:5" x14ac:dyDescent="0.25">
      <c r="A977" s="26" t="s">
        <v>551</v>
      </c>
      <c r="B977" s="31" t="s">
        <v>1715</v>
      </c>
      <c r="C977" s="30">
        <v>26</v>
      </c>
      <c r="D977" s="30"/>
      <c r="E977" s="95"/>
    </row>
    <row r="978" spans="1:5" x14ac:dyDescent="0.25">
      <c r="A978" s="26" t="s">
        <v>1301</v>
      </c>
      <c r="B978" s="31" t="s">
        <v>1715</v>
      </c>
      <c r="C978" s="30">
        <v>232.5</v>
      </c>
      <c r="D978" s="30"/>
      <c r="E978" s="95"/>
    </row>
    <row r="979" spans="1:5" x14ac:dyDescent="0.25">
      <c r="A979" s="35" t="s">
        <v>1935</v>
      </c>
      <c r="B979" s="36" t="s">
        <v>2840</v>
      </c>
      <c r="C979" s="38">
        <v>18.5</v>
      </c>
      <c r="D979" s="38"/>
      <c r="E979" s="95"/>
    </row>
    <row r="980" spans="1:5" x14ac:dyDescent="0.25">
      <c r="A980" s="35" t="s">
        <v>1936</v>
      </c>
      <c r="B980" s="36" t="s">
        <v>2840</v>
      </c>
      <c r="C980" s="38">
        <v>11.5</v>
      </c>
      <c r="D980" s="38"/>
      <c r="E980" s="95"/>
    </row>
    <row r="981" spans="1:5" ht="24" x14ac:dyDescent="0.25">
      <c r="A981" s="35" t="s">
        <v>1707</v>
      </c>
      <c r="B981" s="36" t="s">
        <v>2840</v>
      </c>
      <c r="C981" s="38">
        <v>28.5</v>
      </c>
      <c r="D981" s="38"/>
      <c r="E981" s="95"/>
    </row>
    <row r="982" spans="1:5" x14ac:dyDescent="0.25">
      <c r="A982" s="26" t="s">
        <v>695</v>
      </c>
      <c r="B982" s="33" t="s">
        <v>2791</v>
      </c>
      <c r="C982" s="32">
        <v>65</v>
      </c>
      <c r="D982" s="32"/>
      <c r="E982" s="95"/>
    </row>
    <row r="983" spans="1:5" ht="24" x14ac:dyDescent="0.25">
      <c r="A983" s="28" t="s">
        <v>1647</v>
      </c>
      <c r="B983" s="31" t="s">
        <v>1037</v>
      </c>
      <c r="C983" s="30">
        <v>2.84</v>
      </c>
      <c r="D983" s="30"/>
      <c r="E983" s="95"/>
    </row>
    <row r="984" spans="1:5" x14ac:dyDescent="0.25">
      <c r="A984" s="26" t="s">
        <v>1426</v>
      </c>
      <c r="B984" s="31" t="s">
        <v>1427</v>
      </c>
      <c r="C984" s="30">
        <v>1</v>
      </c>
      <c r="D984" s="30"/>
      <c r="E984" s="95"/>
    </row>
    <row r="985" spans="1:5" x14ac:dyDescent="0.25">
      <c r="A985" s="26" t="s">
        <v>1428</v>
      </c>
      <c r="B985" s="31" t="s">
        <v>1427</v>
      </c>
      <c r="C985" s="30">
        <v>1.25</v>
      </c>
      <c r="D985" s="30"/>
      <c r="E985" s="95"/>
    </row>
    <row r="986" spans="1:5" x14ac:dyDescent="0.25">
      <c r="A986" s="26" t="s">
        <v>1429</v>
      </c>
      <c r="B986" s="31" t="s">
        <v>1427</v>
      </c>
      <c r="C986" s="30">
        <v>0.85</v>
      </c>
      <c r="D986" s="30"/>
      <c r="E986" s="95"/>
    </row>
    <row r="987" spans="1:5" x14ac:dyDescent="0.25">
      <c r="A987" s="26" t="s">
        <v>2036</v>
      </c>
      <c r="B987" s="31" t="s">
        <v>2734</v>
      </c>
      <c r="C987" s="30" t="e">
        <v>#DIV/0!</v>
      </c>
      <c r="D987" s="30"/>
      <c r="E987" s="95"/>
    </row>
    <row r="988" spans="1:5" x14ac:dyDescent="0.25">
      <c r="A988" s="28" t="s">
        <v>310</v>
      </c>
      <c r="B988" s="34" t="s">
        <v>2734</v>
      </c>
      <c r="C988" s="30"/>
      <c r="D988" s="30"/>
      <c r="E988" s="95"/>
    </row>
    <row r="989" spans="1:5" x14ac:dyDescent="0.25">
      <c r="A989" s="28" t="s">
        <v>311</v>
      </c>
      <c r="B989" s="34" t="s">
        <v>2734</v>
      </c>
      <c r="C989" s="30"/>
      <c r="D989" s="30"/>
      <c r="E989" s="95"/>
    </row>
    <row r="990" spans="1:5" x14ac:dyDescent="0.25">
      <c r="A990" s="26" t="s">
        <v>2037</v>
      </c>
      <c r="B990" s="31" t="s">
        <v>2734</v>
      </c>
      <c r="C990" s="30">
        <v>0.7</v>
      </c>
      <c r="D990" s="30"/>
      <c r="E990" s="95"/>
    </row>
    <row r="991" spans="1:5" x14ac:dyDescent="0.25">
      <c r="A991" s="28" t="s">
        <v>312</v>
      </c>
      <c r="B991" s="34" t="s">
        <v>2734</v>
      </c>
      <c r="C991" s="30"/>
      <c r="D991" s="30"/>
      <c r="E991" s="95"/>
    </row>
    <row r="992" spans="1:5" x14ac:dyDescent="0.25">
      <c r="A992" s="26" t="s">
        <v>324</v>
      </c>
      <c r="B992" s="31" t="s">
        <v>2734</v>
      </c>
      <c r="C992" s="30">
        <v>0.67</v>
      </c>
      <c r="D992" s="30"/>
      <c r="E992" s="95"/>
    </row>
    <row r="993" spans="1:5" x14ac:dyDescent="0.25">
      <c r="A993" s="28" t="s">
        <v>291</v>
      </c>
      <c r="B993" s="34" t="s">
        <v>2734</v>
      </c>
      <c r="C993" s="30"/>
      <c r="D993" s="30"/>
      <c r="E993" s="95"/>
    </row>
    <row r="994" spans="1:5" x14ac:dyDescent="0.25">
      <c r="A994" s="26" t="s">
        <v>322</v>
      </c>
      <c r="B994" s="31" t="s">
        <v>2734</v>
      </c>
      <c r="C994" s="30">
        <v>0.42</v>
      </c>
      <c r="D994" s="30"/>
      <c r="E994" s="95"/>
    </row>
    <row r="995" spans="1:5" x14ac:dyDescent="0.25">
      <c r="A995" s="26" t="s">
        <v>303</v>
      </c>
      <c r="B995" s="31" t="s">
        <v>2734</v>
      </c>
      <c r="C995" s="30">
        <v>0.83</v>
      </c>
      <c r="D995" s="30"/>
      <c r="E995" s="95"/>
    </row>
    <row r="996" spans="1:5" x14ac:dyDescent="0.25">
      <c r="A996" s="26" t="s">
        <v>2038</v>
      </c>
      <c r="B996" s="31" t="s">
        <v>2734</v>
      </c>
      <c r="C996" s="30">
        <v>0.7</v>
      </c>
      <c r="D996" s="30"/>
      <c r="E996" s="95"/>
    </row>
    <row r="997" spans="1:5" x14ac:dyDescent="0.25">
      <c r="A997" s="26" t="s">
        <v>2039</v>
      </c>
      <c r="B997" s="31" t="s">
        <v>2734</v>
      </c>
      <c r="C997" s="30">
        <v>1</v>
      </c>
      <c r="D997" s="30"/>
      <c r="E997" s="95"/>
    </row>
    <row r="998" spans="1:5" x14ac:dyDescent="0.25">
      <c r="A998" s="26" t="s">
        <v>325</v>
      </c>
      <c r="B998" s="31" t="s">
        <v>1037</v>
      </c>
      <c r="C998" s="30">
        <v>0.23</v>
      </c>
      <c r="D998" s="30"/>
      <c r="E998" s="95"/>
    </row>
    <row r="999" spans="1:5" x14ac:dyDescent="0.25">
      <c r="A999" s="26" t="s">
        <v>297</v>
      </c>
      <c r="B999" s="31" t="s">
        <v>2734</v>
      </c>
      <c r="C999" s="30">
        <v>0.45</v>
      </c>
      <c r="D999" s="30"/>
      <c r="E999" s="95"/>
    </row>
    <row r="1000" spans="1:5" x14ac:dyDescent="0.25">
      <c r="A1000" s="26" t="s">
        <v>302</v>
      </c>
      <c r="B1000" s="31" t="s">
        <v>2734</v>
      </c>
      <c r="C1000" s="30">
        <v>0.48</v>
      </c>
      <c r="D1000" s="30"/>
      <c r="E1000" s="95"/>
    </row>
    <row r="1001" spans="1:5" x14ac:dyDescent="0.25">
      <c r="A1001" s="28" t="s">
        <v>313</v>
      </c>
      <c r="B1001" s="34" t="s">
        <v>2734</v>
      </c>
      <c r="C1001" s="30"/>
      <c r="D1001" s="30"/>
      <c r="E1001" s="95"/>
    </row>
    <row r="1002" spans="1:5" x14ac:dyDescent="0.25">
      <c r="A1002" s="28" t="s">
        <v>314</v>
      </c>
      <c r="B1002" s="34" t="s">
        <v>2734</v>
      </c>
      <c r="C1002" s="30"/>
      <c r="D1002" s="30"/>
      <c r="E1002" s="95"/>
    </row>
    <row r="1003" spans="1:5" x14ac:dyDescent="0.25">
      <c r="A1003" s="26" t="s">
        <v>294</v>
      </c>
      <c r="B1003" s="31" t="s">
        <v>2734</v>
      </c>
      <c r="C1003" s="30">
        <v>0.7</v>
      </c>
      <c r="D1003" s="30"/>
      <c r="E1003" s="95"/>
    </row>
    <row r="1004" spans="1:5" x14ac:dyDescent="0.25">
      <c r="A1004" s="26" t="s">
        <v>294</v>
      </c>
      <c r="B1004" s="34" t="s">
        <v>2734</v>
      </c>
      <c r="C1004"/>
      <c r="D1004"/>
      <c r="E1004" s="95"/>
    </row>
    <row r="1005" spans="1:5" x14ac:dyDescent="0.25">
      <c r="A1005" s="26" t="s">
        <v>295</v>
      </c>
      <c r="B1005" s="31" t="s">
        <v>2734</v>
      </c>
      <c r="C1005" s="30">
        <v>0.7</v>
      </c>
      <c r="D1005" s="30"/>
      <c r="E1005" s="95"/>
    </row>
    <row r="1006" spans="1:5" x14ac:dyDescent="0.25">
      <c r="A1006" s="26" t="s">
        <v>295</v>
      </c>
      <c r="B1006" s="34" t="s">
        <v>2734</v>
      </c>
      <c r="C1006"/>
      <c r="D1006"/>
      <c r="E1006" s="95"/>
    </row>
    <row r="1007" spans="1:5" x14ac:dyDescent="0.25">
      <c r="A1007" s="26" t="s">
        <v>326</v>
      </c>
      <c r="B1007" s="34" t="s">
        <v>2734</v>
      </c>
      <c r="C1007" s="30">
        <v>0.36</v>
      </c>
      <c r="D1007" s="30"/>
      <c r="E1007" s="95"/>
    </row>
    <row r="1008" spans="1:5" x14ac:dyDescent="0.25">
      <c r="A1008" s="26" t="s">
        <v>2441</v>
      </c>
      <c r="B1008" s="31" t="s">
        <v>2734</v>
      </c>
      <c r="C1008" s="30">
        <v>0.7</v>
      </c>
      <c r="D1008" s="30"/>
      <c r="E1008" s="95"/>
    </row>
    <row r="1009" spans="1:5" x14ac:dyDescent="0.25">
      <c r="A1009" s="26" t="s">
        <v>2442</v>
      </c>
      <c r="B1009" s="31" t="s">
        <v>2734</v>
      </c>
      <c r="C1009" s="30">
        <v>0.7</v>
      </c>
      <c r="D1009" s="30"/>
      <c r="E1009" s="95"/>
    </row>
    <row r="1010" spans="1:5" x14ac:dyDescent="0.25">
      <c r="A1010" s="26" t="s">
        <v>2443</v>
      </c>
      <c r="B1010" s="31" t="s">
        <v>2734</v>
      </c>
      <c r="C1010" s="30">
        <v>0.91</v>
      </c>
      <c r="D1010" s="30"/>
      <c r="E1010" s="95"/>
    </row>
    <row r="1011" spans="1:5" x14ac:dyDescent="0.25">
      <c r="A1011" s="26" t="s">
        <v>2444</v>
      </c>
      <c r="B1011" s="31" t="s">
        <v>2734</v>
      </c>
      <c r="C1011" s="30">
        <v>1.1000000000000001</v>
      </c>
      <c r="D1011" s="30"/>
      <c r="E1011" s="95"/>
    </row>
    <row r="1012" spans="1:5" x14ac:dyDescent="0.25">
      <c r="A1012" s="28" t="s">
        <v>315</v>
      </c>
      <c r="B1012" s="34" t="s">
        <v>2734</v>
      </c>
      <c r="C1012" s="30"/>
      <c r="D1012" s="30"/>
      <c r="E1012" s="95"/>
    </row>
    <row r="1013" spans="1:5" x14ac:dyDescent="0.25">
      <c r="A1013" s="28" t="s">
        <v>316</v>
      </c>
      <c r="B1013" s="34" t="s">
        <v>2734</v>
      </c>
      <c r="C1013" s="30"/>
      <c r="D1013" s="30"/>
      <c r="E1013" s="95"/>
    </row>
    <row r="1014" spans="1:5" x14ac:dyDescent="0.25">
      <c r="A1014" s="26" t="s">
        <v>2445</v>
      </c>
      <c r="B1014" s="31" t="s">
        <v>2734</v>
      </c>
      <c r="C1014" s="30">
        <v>0.75</v>
      </c>
      <c r="D1014" s="30"/>
      <c r="E1014" s="95"/>
    </row>
    <row r="1015" spans="1:5" x14ac:dyDescent="0.25">
      <c r="A1015" s="26" t="s">
        <v>2446</v>
      </c>
      <c r="B1015" s="31" t="s">
        <v>2734</v>
      </c>
      <c r="C1015" s="30">
        <v>0.7</v>
      </c>
      <c r="D1015" s="30"/>
      <c r="E1015" s="95"/>
    </row>
    <row r="1016" spans="1:5" x14ac:dyDescent="0.25">
      <c r="A1016" s="28" t="s">
        <v>292</v>
      </c>
      <c r="B1016" s="34" t="s">
        <v>2734</v>
      </c>
      <c r="C1016" s="30"/>
      <c r="D1016" s="30"/>
      <c r="E1016" s="95"/>
    </row>
    <row r="1017" spans="1:5" x14ac:dyDescent="0.25">
      <c r="A1017" s="28" t="s">
        <v>288</v>
      </c>
      <c r="B1017" s="34" t="s">
        <v>2734</v>
      </c>
      <c r="C1017" s="30"/>
      <c r="D1017" s="30"/>
      <c r="E1017" s="95"/>
    </row>
    <row r="1018" spans="1:5" x14ac:dyDescent="0.25">
      <c r="A1018" s="26" t="s">
        <v>2447</v>
      </c>
      <c r="B1018" s="31" t="s">
        <v>2734</v>
      </c>
      <c r="C1018" s="30">
        <v>0.7</v>
      </c>
      <c r="D1018" s="30"/>
      <c r="E1018" s="95"/>
    </row>
    <row r="1019" spans="1:5" x14ac:dyDescent="0.25">
      <c r="A1019" s="26" t="s">
        <v>2448</v>
      </c>
      <c r="B1019" s="31" t="s">
        <v>2734</v>
      </c>
      <c r="C1019" s="30">
        <v>1.2</v>
      </c>
      <c r="D1019" s="30"/>
      <c r="E1019" s="95"/>
    </row>
    <row r="1020" spans="1:5" x14ac:dyDescent="0.25">
      <c r="A1020" s="28" t="s">
        <v>317</v>
      </c>
      <c r="B1020" s="34" t="s">
        <v>2734</v>
      </c>
      <c r="C1020" s="30"/>
      <c r="D1020" s="30"/>
      <c r="E1020" s="95"/>
    </row>
    <row r="1021" spans="1:5" x14ac:dyDescent="0.25">
      <c r="A1021" s="28" t="s">
        <v>293</v>
      </c>
      <c r="B1021" s="34" t="s">
        <v>2734</v>
      </c>
      <c r="C1021" s="30"/>
      <c r="D1021" s="30"/>
      <c r="E1021" s="95"/>
    </row>
    <row r="1022" spans="1:5" x14ac:dyDescent="0.25">
      <c r="A1022" s="26" t="s">
        <v>308</v>
      </c>
      <c r="B1022" s="31" t="s">
        <v>2734</v>
      </c>
      <c r="C1022" s="30">
        <v>0.42</v>
      </c>
      <c r="D1022" s="30"/>
      <c r="E1022" s="95"/>
    </row>
    <row r="1023" spans="1:5" x14ac:dyDescent="0.25">
      <c r="A1023" s="26" t="s">
        <v>304</v>
      </c>
      <c r="B1023" s="31" t="s">
        <v>2734</v>
      </c>
      <c r="C1023" s="30">
        <v>0.83</v>
      </c>
      <c r="D1023" s="30"/>
      <c r="E1023" s="95"/>
    </row>
    <row r="1024" spans="1:5" ht="24" x14ac:dyDescent="0.25">
      <c r="A1024" s="28" t="s">
        <v>323</v>
      </c>
      <c r="B1024" s="34" t="s">
        <v>2734</v>
      </c>
      <c r="C1024" s="30">
        <v>0.4</v>
      </c>
      <c r="D1024" s="30"/>
      <c r="E1024" s="95"/>
    </row>
    <row r="1025" spans="1:5" x14ac:dyDescent="0.25">
      <c r="A1025" s="26" t="s">
        <v>2449</v>
      </c>
      <c r="B1025" s="31" t="s">
        <v>2734</v>
      </c>
      <c r="C1025" s="30">
        <v>1.36</v>
      </c>
      <c r="D1025" s="30"/>
      <c r="E1025" s="95"/>
    </row>
    <row r="1026" spans="1:5" x14ac:dyDescent="0.25">
      <c r="A1026" s="28" t="s">
        <v>318</v>
      </c>
      <c r="B1026" s="34" t="s">
        <v>2734</v>
      </c>
      <c r="C1026" s="30"/>
      <c r="D1026" s="30"/>
      <c r="E1026" s="95"/>
    </row>
    <row r="1027" spans="1:5" x14ac:dyDescent="0.25">
      <c r="A1027" s="28" t="s">
        <v>289</v>
      </c>
      <c r="B1027" s="34" t="s">
        <v>2734</v>
      </c>
      <c r="C1027" s="30"/>
      <c r="D1027" s="30"/>
      <c r="E1027" s="95"/>
    </row>
    <row r="1028" spans="1:5" x14ac:dyDescent="0.25">
      <c r="A1028" s="11" t="s">
        <v>298</v>
      </c>
      <c r="B1028" s="31" t="s">
        <v>2734</v>
      </c>
      <c r="C1028" s="30">
        <v>0.42</v>
      </c>
      <c r="D1028" s="30"/>
      <c r="E1028" s="95"/>
    </row>
    <row r="1029" spans="1:5" x14ac:dyDescent="0.25">
      <c r="A1029" s="26" t="s">
        <v>2450</v>
      </c>
      <c r="B1029" s="31" t="s">
        <v>2734</v>
      </c>
      <c r="C1029" s="30">
        <v>1.36</v>
      </c>
      <c r="D1029" s="30"/>
      <c r="E1029" s="95"/>
    </row>
    <row r="1030" spans="1:5" x14ac:dyDescent="0.25">
      <c r="A1030" s="28" t="s">
        <v>319</v>
      </c>
      <c r="B1030" s="34" t="s">
        <v>2734</v>
      </c>
      <c r="C1030" s="30"/>
      <c r="D1030" s="30"/>
      <c r="E1030" s="95"/>
    </row>
    <row r="1031" spans="1:5" x14ac:dyDescent="0.25">
      <c r="A1031" s="26" t="s">
        <v>296</v>
      </c>
      <c r="B1031" s="31" t="s">
        <v>2734</v>
      </c>
      <c r="C1031" s="30">
        <v>0.78</v>
      </c>
      <c r="D1031" s="30"/>
      <c r="E1031" s="95"/>
    </row>
    <row r="1032" spans="1:5" x14ac:dyDescent="0.25">
      <c r="A1032" s="26" t="s">
        <v>296</v>
      </c>
      <c r="B1032" s="34" t="s">
        <v>2734</v>
      </c>
      <c r="C1032"/>
      <c r="D1032"/>
      <c r="E1032" s="95"/>
    </row>
    <row r="1033" spans="1:5" x14ac:dyDescent="0.25">
      <c r="A1033" s="11" t="s">
        <v>2035</v>
      </c>
      <c r="B1033" s="31"/>
      <c r="C1033" s="30"/>
      <c r="D1033" s="30"/>
      <c r="E1033" s="95"/>
    </row>
    <row r="1034" spans="1:5" x14ac:dyDescent="0.25">
      <c r="A1034" s="11" t="s">
        <v>320</v>
      </c>
      <c r="B1034" s="34" t="s">
        <v>2734</v>
      </c>
      <c r="C1034"/>
      <c r="D1034"/>
      <c r="E1034" s="95"/>
    </row>
    <row r="1035" spans="1:5" x14ac:dyDescent="0.25">
      <c r="A1035" s="26" t="s">
        <v>328</v>
      </c>
      <c r="B1035" s="31" t="s">
        <v>2734</v>
      </c>
      <c r="C1035" s="30">
        <v>0.66</v>
      </c>
      <c r="D1035" s="30"/>
      <c r="E1035" s="95"/>
    </row>
    <row r="1036" spans="1:5" x14ac:dyDescent="0.25">
      <c r="A1036" s="73" t="s">
        <v>327</v>
      </c>
      <c r="B1036" s="34" t="s">
        <v>1037</v>
      </c>
      <c r="C1036" s="30">
        <v>2</v>
      </c>
      <c r="D1036" s="30"/>
      <c r="E1036" s="95"/>
    </row>
    <row r="1037" spans="1:5" x14ac:dyDescent="0.25">
      <c r="A1037" s="26" t="s">
        <v>305</v>
      </c>
      <c r="B1037" s="31" t="s">
        <v>2734</v>
      </c>
      <c r="C1037" s="30">
        <v>0.83</v>
      </c>
      <c r="D1037" s="30"/>
      <c r="E1037" s="95"/>
    </row>
    <row r="1038" spans="1:5" x14ac:dyDescent="0.25">
      <c r="A1038" s="26" t="s">
        <v>306</v>
      </c>
      <c r="B1038" s="31" t="s">
        <v>2734</v>
      </c>
      <c r="C1038" s="30">
        <v>0.94</v>
      </c>
      <c r="D1038" s="30"/>
      <c r="E1038" s="95"/>
    </row>
    <row r="1039" spans="1:5" x14ac:dyDescent="0.25">
      <c r="A1039" s="28" t="s">
        <v>290</v>
      </c>
      <c r="B1039" s="34" t="s">
        <v>2734</v>
      </c>
      <c r="C1039" s="30"/>
      <c r="D1039" s="30"/>
      <c r="E1039" s="95"/>
    </row>
    <row r="1040" spans="1:5" x14ac:dyDescent="0.25">
      <c r="A1040" s="26" t="s">
        <v>299</v>
      </c>
      <c r="B1040" s="31" t="s">
        <v>2734</v>
      </c>
      <c r="C1040" s="30">
        <v>0.56000000000000005</v>
      </c>
      <c r="D1040" s="30"/>
      <c r="E1040" s="95">
        <v>0.83</v>
      </c>
    </row>
    <row r="1041" spans="1:5" x14ac:dyDescent="0.25">
      <c r="A1041" s="26" t="s">
        <v>300</v>
      </c>
      <c r="B1041" s="31" t="s">
        <v>2734</v>
      </c>
      <c r="C1041" s="30">
        <v>0.42</v>
      </c>
      <c r="D1041" s="30"/>
      <c r="E1041" s="95"/>
    </row>
    <row r="1042" spans="1:5" x14ac:dyDescent="0.25">
      <c r="A1042" s="28" t="s">
        <v>309</v>
      </c>
      <c r="B1042" s="34" t="s">
        <v>2734</v>
      </c>
      <c r="C1042" s="30"/>
      <c r="D1042" s="30"/>
      <c r="E1042" s="95"/>
    </row>
    <row r="1043" spans="1:5" x14ac:dyDescent="0.25">
      <c r="A1043" s="26" t="s">
        <v>301</v>
      </c>
      <c r="B1043" s="31" t="s">
        <v>2734</v>
      </c>
      <c r="C1043" s="30">
        <v>0.42</v>
      </c>
      <c r="D1043" s="30"/>
      <c r="E1043" s="95"/>
    </row>
    <row r="1044" spans="1:5" x14ac:dyDescent="0.25">
      <c r="A1044" s="26" t="s">
        <v>307</v>
      </c>
      <c r="B1044" s="31" t="s">
        <v>2734</v>
      </c>
      <c r="C1044" s="30">
        <v>0.83</v>
      </c>
      <c r="D1044" s="30"/>
      <c r="E1044" s="95"/>
    </row>
    <row r="1045" spans="1:5" x14ac:dyDescent="0.25">
      <c r="A1045" s="28" t="s">
        <v>321</v>
      </c>
      <c r="B1045" s="34" t="s">
        <v>2734</v>
      </c>
      <c r="C1045" s="30"/>
      <c r="D1045" s="30"/>
      <c r="E1045" s="95"/>
    </row>
    <row r="1046" spans="1:5" x14ac:dyDescent="0.25">
      <c r="A1046" s="26" t="s">
        <v>696</v>
      </c>
      <c r="B1046" s="31" t="s">
        <v>252</v>
      </c>
      <c r="C1046" s="30">
        <v>492</v>
      </c>
      <c r="D1046" s="30"/>
      <c r="E1046" s="95"/>
    </row>
    <row r="1047" spans="1:5" x14ac:dyDescent="0.25">
      <c r="A1047" s="26" t="s">
        <v>696</v>
      </c>
      <c r="B1047" s="31" t="s">
        <v>252</v>
      </c>
      <c r="C1047" s="30">
        <v>492</v>
      </c>
      <c r="D1047" s="30"/>
      <c r="E1047" s="95"/>
    </row>
    <row r="1048" spans="1:5" x14ac:dyDescent="0.25">
      <c r="A1048" s="26" t="s">
        <v>1377</v>
      </c>
      <c r="B1048" s="31" t="s">
        <v>252</v>
      </c>
      <c r="C1048" s="30">
        <v>360</v>
      </c>
      <c r="D1048" s="30"/>
      <c r="E1048" s="95"/>
    </row>
    <row r="1049" spans="1:5" x14ac:dyDescent="0.25">
      <c r="A1049" s="26" t="s">
        <v>1377</v>
      </c>
      <c r="B1049" s="31" t="s">
        <v>252</v>
      </c>
      <c r="C1049" s="30">
        <v>360</v>
      </c>
      <c r="D1049" s="30"/>
      <c r="E1049" s="95"/>
    </row>
    <row r="1050" spans="1:5" x14ac:dyDescent="0.25">
      <c r="A1050" s="26" t="s">
        <v>1378</v>
      </c>
      <c r="B1050" s="31" t="s">
        <v>252</v>
      </c>
      <c r="C1050" s="30">
        <v>685</v>
      </c>
      <c r="D1050" s="30"/>
      <c r="E1050" s="95"/>
    </row>
    <row r="1051" spans="1:5" x14ac:dyDescent="0.25">
      <c r="A1051" s="26" t="s">
        <v>1378</v>
      </c>
      <c r="B1051" s="31" t="s">
        <v>252</v>
      </c>
      <c r="C1051" s="30">
        <v>685</v>
      </c>
      <c r="D1051" s="30"/>
      <c r="E1051" s="95"/>
    </row>
    <row r="1052" spans="1:5" x14ac:dyDescent="0.25">
      <c r="A1052" s="26" t="s">
        <v>1379</v>
      </c>
      <c r="B1052" s="31" t="s">
        <v>252</v>
      </c>
      <c r="C1052" s="30">
        <v>350</v>
      </c>
      <c r="D1052" s="30"/>
      <c r="E1052" s="95"/>
    </row>
    <row r="1053" spans="1:5" x14ac:dyDescent="0.25">
      <c r="A1053" s="26" t="s">
        <v>1379</v>
      </c>
      <c r="B1053" s="31" t="s">
        <v>252</v>
      </c>
      <c r="C1053" s="30">
        <v>350</v>
      </c>
      <c r="D1053" s="30"/>
      <c r="E1053" s="95"/>
    </row>
    <row r="1054" spans="1:5" x14ac:dyDescent="0.25">
      <c r="A1054" s="26" t="s">
        <v>671</v>
      </c>
      <c r="B1054" s="31" t="s">
        <v>252</v>
      </c>
      <c r="C1054" s="30">
        <v>390</v>
      </c>
      <c r="D1054" s="30"/>
      <c r="E1054" s="95"/>
    </row>
    <row r="1055" spans="1:5" x14ac:dyDescent="0.25">
      <c r="A1055" s="26" t="s">
        <v>671</v>
      </c>
      <c r="B1055" s="31" t="s">
        <v>252</v>
      </c>
      <c r="C1055" s="30">
        <v>390</v>
      </c>
      <c r="D1055" s="30"/>
      <c r="E1055" s="95"/>
    </row>
    <row r="1056" spans="1:5" x14ac:dyDescent="0.25">
      <c r="A1056" s="26" t="s">
        <v>672</v>
      </c>
      <c r="B1056" s="31" t="s">
        <v>252</v>
      </c>
      <c r="C1056" s="30">
        <v>460</v>
      </c>
      <c r="D1056" s="30"/>
      <c r="E1056" s="95"/>
    </row>
    <row r="1057" spans="1:5" x14ac:dyDescent="0.25">
      <c r="A1057" s="26" t="s">
        <v>672</v>
      </c>
      <c r="B1057" s="31" t="s">
        <v>252</v>
      </c>
      <c r="C1057" s="30">
        <v>460</v>
      </c>
      <c r="D1057" s="30"/>
      <c r="E1057" s="95"/>
    </row>
    <row r="1058" spans="1:5" x14ac:dyDescent="0.25">
      <c r="A1058" s="28" t="s">
        <v>430</v>
      </c>
      <c r="B1058" s="34"/>
      <c r="C1058" s="30"/>
      <c r="D1058" s="30"/>
      <c r="E1058" s="95"/>
    </row>
    <row r="1059" spans="1:5" x14ac:dyDescent="0.25">
      <c r="A1059" s="28" t="s">
        <v>430</v>
      </c>
      <c r="B1059" s="34"/>
      <c r="C1059" s="30"/>
      <c r="D1059" s="30"/>
      <c r="E1059" s="95"/>
    </row>
    <row r="1060" spans="1:5" x14ac:dyDescent="0.25">
      <c r="A1060" s="28" t="s">
        <v>431</v>
      </c>
      <c r="B1060" s="34"/>
      <c r="C1060" s="30"/>
      <c r="D1060" s="30"/>
      <c r="E1060" s="95"/>
    </row>
    <row r="1061" spans="1:5" x14ac:dyDescent="0.25">
      <c r="A1061" s="28" t="s">
        <v>431</v>
      </c>
      <c r="B1061" s="34"/>
      <c r="C1061" s="30"/>
      <c r="D1061" s="30"/>
      <c r="E1061" s="95"/>
    </row>
    <row r="1062" spans="1:5" x14ac:dyDescent="0.25">
      <c r="A1062" s="28" t="s">
        <v>432</v>
      </c>
      <c r="B1062" s="34"/>
      <c r="C1062" s="30"/>
      <c r="D1062" s="30"/>
      <c r="E1062" s="95"/>
    </row>
    <row r="1063" spans="1:5" x14ac:dyDescent="0.25">
      <c r="A1063" s="28" t="s">
        <v>432</v>
      </c>
      <c r="B1063" s="34"/>
      <c r="C1063" s="30"/>
      <c r="D1063" s="30"/>
      <c r="E1063" s="95"/>
    </row>
    <row r="1064" spans="1:5" x14ac:dyDescent="0.25">
      <c r="A1064" s="28" t="s">
        <v>433</v>
      </c>
      <c r="B1064" s="34"/>
      <c r="C1064" s="30"/>
      <c r="D1064" s="30"/>
      <c r="E1064" s="95"/>
    </row>
    <row r="1065" spans="1:5" x14ac:dyDescent="0.25">
      <c r="A1065" s="28" t="s">
        <v>433</v>
      </c>
      <c r="B1065" s="34"/>
      <c r="C1065" s="30"/>
      <c r="D1065" s="30"/>
      <c r="E1065" s="95"/>
    </row>
    <row r="1066" spans="1:5" x14ac:dyDescent="0.25">
      <c r="A1066" s="28" t="s">
        <v>1430</v>
      </c>
      <c r="B1066" s="34"/>
      <c r="C1066" s="30"/>
      <c r="D1066" s="30"/>
      <c r="E1066" s="95"/>
    </row>
    <row r="1067" spans="1:5" x14ac:dyDescent="0.25">
      <c r="A1067" s="28" t="s">
        <v>1430</v>
      </c>
      <c r="B1067" s="34"/>
      <c r="C1067" s="30"/>
      <c r="D1067" s="30"/>
      <c r="E1067" s="95"/>
    </row>
    <row r="1068" spans="1:5" x14ac:dyDescent="0.25">
      <c r="A1068" s="28" t="s">
        <v>434</v>
      </c>
      <c r="B1068" s="34"/>
      <c r="C1068" s="30"/>
      <c r="D1068" s="30"/>
      <c r="E1068" s="95"/>
    </row>
    <row r="1069" spans="1:5" x14ac:dyDescent="0.25">
      <c r="A1069" s="28" t="s">
        <v>434</v>
      </c>
      <c r="B1069" s="34"/>
      <c r="C1069" s="30"/>
      <c r="D1069" s="30"/>
      <c r="E1069" s="95"/>
    </row>
    <row r="1070" spans="1:5" x14ac:dyDescent="0.25">
      <c r="A1070" s="28" t="s">
        <v>435</v>
      </c>
      <c r="B1070" s="34"/>
      <c r="C1070" s="30"/>
      <c r="D1070" s="30"/>
      <c r="E1070" s="95"/>
    </row>
    <row r="1071" spans="1:5" x14ac:dyDescent="0.25">
      <c r="A1071" s="28" t="s">
        <v>435</v>
      </c>
      <c r="B1071" s="34"/>
      <c r="C1071" s="30"/>
      <c r="D1071" s="30"/>
      <c r="E1071" s="95"/>
    </row>
    <row r="1072" spans="1:5" x14ac:dyDescent="0.25">
      <c r="A1072" s="28" t="s">
        <v>436</v>
      </c>
      <c r="B1072" s="34"/>
      <c r="C1072" s="30"/>
      <c r="D1072" s="30"/>
      <c r="E1072" s="95"/>
    </row>
    <row r="1073" spans="1:5" x14ac:dyDescent="0.25">
      <c r="A1073" s="28" t="s">
        <v>436</v>
      </c>
      <c r="B1073" s="34"/>
      <c r="C1073" s="30"/>
      <c r="D1073" s="30"/>
      <c r="E1073" s="95"/>
    </row>
    <row r="1074" spans="1:5" x14ac:dyDescent="0.25">
      <c r="A1074" s="28" t="s">
        <v>2715</v>
      </c>
      <c r="B1074" s="34"/>
      <c r="C1074" s="30"/>
      <c r="D1074" s="30"/>
      <c r="E1074" s="95"/>
    </row>
    <row r="1075" spans="1:5" x14ac:dyDescent="0.25">
      <c r="A1075" s="28" t="s">
        <v>2715</v>
      </c>
      <c r="B1075" s="34"/>
      <c r="C1075" s="30"/>
      <c r="D1075" s="30"/>
      <c r="E1075" s="95"/>
    </row>
    <row r="1076" spans="1:5" x14ac:dyDescent="0.25">
      <c r="A1076" s="26" t="s">
        <v>172</v>
      </c>
      <c r="B1076" s="31" t="s">
        <v>1715</v>
      </c>
      <c r="C1076" s="30">
        <v>36</v>
      </c>
      <c r="D1076" s="30"/>
      <c r="E1076" s="95"/>
    </row>
    <row r="1077" spans="1:5" x14ac:dyDescent="0.25">
      <c r="A1077" s="26" t="s">
        <v>172</v>
      </c>
      <c r="B1077" s="31" t="s">
        <v>1715</v>
      </c>
      <c r="C1077" s="30">
        <v>36</v>
      </c>
      <c r="D1077" s="30"/>
      <c r="E1077" s="95"/>
    </row>
    <row r="1078" spans="1:5" x14ac:dyDescent="0.25">
      <c r="A1078" s="26" t="s">
        <v>1368</v>
      </c>
      <c r="B1078" s="31" t="s">
        <v>1715</v>
      </c>
      <c r="C1078" s="30">
        <v>57</v>
      </c>
      <c r="D1078" s="30"/>
      <c r="E1078" s="95"/>
    </row>
    <row r="1079" spans="1:5" x14ac:dyDescent="0.25">
      <c r="A1079" s="26" t="s">
        <v>1368</v>
      </c>
      <c r="B1079" s="31" t="s">
        <v>1715</v>
      </c>
      <c r="C1079" s="30">
        <v>57</v>
      </c>
      <c r="D1079" s="30"/>
      <c r="E1079" s="95"/>
    </row>
    <row r="1080" spans="1:5" x14ac:dyDescent="0.25">
      <c r="A1080" s="26" t="s">
        <v>179</v>
      </c>
      <c r="B1080" s="31" t="s">
        <v>1715</v>
      </c>
      <c r="C1080" s="30">
        <v>320</v>
      </c>
      <c r="D1080" s="30"/>
      <c r="E1080" s="95"/>
    </row>
    <row r="1081" spans="1:5" x14ac:dyDescent="0.25">
      <c r="A1081" s="26" t="s">
        <v>179</v>
      </c>
      <c r="B1081" s="31" t="s">
        <v>1715</v>
      </c>
      <c r="C1081" s="30">
        <v>320</v>
      </c>
      <c r="D1081" s="30"/>
      <c r="E1081" s="95"/>
    </row>
    <row r="1082" spans="1:5" x14ac:dyDescent="0.25">
      <c r="A1082" s="26" t="s">
        <v>571</v>
      </c>
      <c r="B1082" s="31" t="s">
        <v>1037</v>
      </c>
      <c r="C1082" s="30">
        <v>470</v>
      </c>
      <c r="D1082" s="30"/>
      <c r="E1082" s="95"/>
    </row>
    <row r="1083" spans="1:5" x14ac:dyDescent="0.25">
      <c r="A1083" s="26" t="s">
        <v>571</v>
      </c>
      <c r="B1083" s="31" t="s">
        <v>1037</v>
      </c>
      <c r="C1083" s="30">
        <v>470</v>
      </c>
      <c r="D1083" s="30"/>
      <c r="E1083" s="95"/>
    </row>
    <row r="1084" spans="1:5" x14ac:dyDescent="0.25">
      <c r="A1084" s="26" t="s">
        <v>572</v>
      </c>
      <c r="B1084" s="31" t="s">
        <v>1715</v>
      </c>
      <c r="C1084" s="30">
        <v>400</v>
      </c>
      <c r="D1084" s="30"/>
      <c r="E1084" s="95"/>
    </row>
    <row r="1085" spans="1:5" x14ac:dyDescent="0.25">
      <c r="A1085" s="26" t="s">
        <v>572</v>
      </c>
      <c r="B1085" s="31" t="s">
        <v>1715</v>
      </c>
      <c r="C1085" s="30">
        <v>400</v>
      </c>
      <c r="D1085" s="30"/>
      <c r="E1085" s="95"/>
    </row>
    <row r="1086" spans="1:5" x14ac:dyDescent="0.25">
      <c r="A1086" s="26" t="s">
        <v>573</v>
      </c>
      <c r="B1086" s="31" t="s">
        <v>1037</v>
      </c>
      <c r="C1086" s="30">
        <v>0.03</v>
      </c>
      <c r="D1086" s="30"/>
      <c r="E1086" s="95"/>
    </row>
    <row r="1087" spans="1:5" x14ac:dyDescent="0.25">
      <c r="A1087" s="35" t="s">
        <v>2304</v>
      </c>
      <c r="B1087" s="36" t="s">
        <v>399</v>
      </c>
      <c r="C1087" s="37">
        <v>0.64</v>
      </c>
      <c r="D1087" s="37"/>
      <c r="E1087" s="95"/>
    </row>
    <row r="1088" spans="1:5" x14ac:dyDescent="0.25">
      <c r="A1088" s="35" t="s">
        <v>2305</v>
      </c>
      <c r="B1088" s="36" t="s">
        <v>399</v>
      </c>
      <c r="C1088" s="38">
        <v>0.96</v>
      </c>
      <c r="D1088" s="38"/>
      <c r="E1088" s="95"/>
    </row>
    <row r="1089" spans="1:5" x14ac:dyDescent="0.25">
      <c r="A1089" s="39" t="s">
        <v>2306</v>
      </c>
      <c r="B1089" s="40" t="s">
        <v>399</v>
      </c>
      <c r="C1089" s="42">
        <v>1.07</v>
      </c>
      <c r="D1089" s="42"/>
      <c r="E1089" s="95"/>
    </row>
    <row r="1090" spans="1:5" ht="24" x14ac:dyDescent="0.25">
      <c r="A1090" s="43" t="s">
        <v>1708</v>
      </c>
      <c r="B1090" s="44" t="s">
        <v>1715</v>
      </c>
      <c r="C1090" s="45">
        <v>600</v>
      </c>
      <c r="D1090" s="45"/>
      <c r="E1090" s="95"/>
    </row>
    <row r="1091" spans="1:5" x14ac:dyDescent="0.25">
      <c r="A1091" s="26" t="s">
        <v>673</v>
      </c>
      <c r="B1091" s="31" t="s">
        <v>252</v>
      </c>
      <c r="C1091" s="30">
        <v>824</v>
      </c>
      <c r="D1091" s="30"/>
      <c r="E1091" s="95"/>
    </row>
    <row r="1092" spans="1:5" x14ac:dyDescent="0.25">
      <c r="A1092" s="26" t="s">
        <v>1724</v>
      </c>
      <c r="B1092" s="31" t="s">
        <v>252</v>
      </c>
      <c r="C1092" s="30">
        <v>943</v>
      </c>
      <c r="D1092" s="30"/>
      <c r="E1092" s="95"/>
    </row>
    <row r="1093" spans="1:5" x14ac:dyDescent="0.25">
      <c r="A1093" s="26" t="s">
        <v>1725</v>
      </c>
      <c r="B1093" s="31" t="s">
        <v>252</v>
      </c>
      <c r="C1093" s="30">
        <v>1076</v>
      </c>
      <c r="D1093" s="30"/>
      <c r="E1093" s="95"/>
    </row>
    <row r="1094" spans="1:5" x14ac:dyDescent="0.25">
      <c r="A1094" s="26" t="s">
        <v>1726</v>
      </c>
      <c r="B1094" s="31" t="s">
        <v>252</v>
      </c>
      <c r="C1094" s="30">
        <v>1639</v>
      </c>
      <c r="D1094" s="30"/>
      <c r="E1094" s="95"/>
    </row>
    <row r="1095" spans="1:5" x14ac:dyDescent="0.25">
      <c r="A1095" s="26" t="s">
        <v>3</v>
      </c>
      <c r="B1095" s="31" t="s">
        <v>252</v>
      </c>
      <c r="C1095" s="30">
        <v>629</v>
      </c>
      <c r="D1095" s="30"/>
      <c r="E1095" s="95"/>
    </row>
    <row r="1096" spans="1:5" x14ac:dyDescent="0.25">
      <c r="A1096" s="26" t="s">
        <v>4</v>
      </c>
      <c r="B1096" s="31" t="s">
        <v>252</v>
      </c>
      <c r="C1096" s="30">
        <v>734</v>
      </c>
      <c r="D1096" s="30"/>
      <c r="E1096" s="95"/>
    </row>
    <row r="1097" spans="1:5" x14ac:dyDescent="0.25">
      <c r="A1097" s="35" t="s">
        <v>1222</v>
      </c>
      <c r="B1097" s="36" t="s">
        <v>2202</v>
      </c>
      <c r="C1097" s="37">
        <v>3.97</v>
      </c>
      <c r="D1097" s="37"/>
      <c r="E1097" s="95"/>
    </row>
    <row r="1098" spans="1:5" x14ac:dyDescent="0.25">
      <c r="A1098" s="35" t="s">
        <v>1223</v>
      </c>
      <c r="B1098" s="36" t="s">
        <v>2202</v>
      </c>
      <c r="C1098" s="37">
        <v>4.88</v>
      </c>
      <c r="D1098" s="37"/>
      <c r="E1098" s="95"/>
    </row>
    <row r="1099" spans="1:5" x14ac:dyDescent="0.25">
      <c r="A1099" s="28" t="s">
        <v>966</v>
      </c>
      <c r="B1099" s="34" t="s">
        <v>2265</v>
      </c>
      <c r="C1099" s="30"/>
      <c r="D1099" s="30"/>
      <c r="E1099" s="95"/>
    </row>
    <row r="1100" spans="1:5" x14ac:dyDescent="0.25">
      <c r="A1100" s="28" t="s">
        <v>966</v>
      </c>
      <c r="B1100" s="34" t="s">
        <v>2265</v>
      </c>
      <c r="C1100" s="30"/>
      <c r="D1100" s="30"/>
      <c r="E1100" s="95"/>
    </row>
    <row r="1101" spans="1:5" x14ac:dyDescent="0.25">
      <c r="A1101" s="26" t="s">
        <v>574</v>
      </c>
      <c r="B1101" s="31" t="s">
        <v>1715</v>
      </c>
      <c r="C1101" s="30">
        <v>90</v>
      </c>
      <c r="D1101" s="30"/>
      <c r="E1101" s="95"/>
    </row>
    <row r="1102" spans="1:5" x14ac:dyDescent="0.25">
      <c r="A1102" s="26" t="s">
        <v>575</v>
      </c>
      <c r="B1102" s="31" t="s">
        <v>1715</v>
      </c>
      <c r="C1102" s="30">
        <v>63</v>
      </c>
      <c r="D1102" s="30"/>
      <c r="E1102" s="95"/>
    </row>
    <row r="1103" spans="1:5" x14ac:dyDescent="0.25">
      <c r="A1103" s="35" t="s">
        <v>10</v>
      </c>
      <c r="B1103" s="36" t="s">
        <v>204</v>
      </c>
      <c r="C1103" s="38">
        <v>54.5</v>
      </c>
      <c r="D1103" s="38"/>
      <c r="E1103" s="95"/>
    </row>
    <row r="1104" spans="1:5" x14ac:dyDescent="0.25">
      <c r="A1104" s="35" t="s">
        <v>11</v>
      </c>
      <c r="B1104" s="36" t="s">
        <v>204</v>
      </c>
      <c r="C1104" s="37">
        <v>64</v>
      </c>
      <c r="D1104" s="37"/>
      <c r="E1104" s="95"/>
    </row>
    <row r="1105" spans="1:5" x14ac:dyDescent="0.25">
      <c r="A1105" s="26" t="s">
        <v>2370</v>
      </c>
      <c r="B1105" s="31" t="s">
        <v>1715</v>
      </c>
      <c r="C1105" s="30">
        <v>400</v>
      </c>
      <c r="D1105" s="30"/>
      <c r="E1105" s="95"/>
    </row>
    <row r="1106" spans="1:5" x14ac:dyDescent="0.25">
      <c r="A1106" s="26" t="s">
        <v>2370</v>
      </c>
      <c r="B1106" s="31" t="s">
        <v>1715</v>
      </c>
      <c r="C1106" s="30">
        <v>400</v>
      </c>
      <c r="D1106" s="30"/>
      <c r="E1106" s="95"/>
    </row>
    <row r="1107" spans="1:5" x14ac:dyDescent="0.25">
      <c r="A1107" s="28" t="s">
        <v>2754</v>
      </c>
      <c r="B1107" s="34"/>
      <c r="C1107" s="30"/>
      <c r="D1107" s="30"/>
      <c r="E1107" s="95"/>
    </row>
    <row r="1108" spans="1:5" x14ac:dyDescent="0.25">
      <c r="A1108" s="28" t="s">
        <v>2754</v>
      </c>
      <c r="B1108" s="34"/>
      <c r="C1108" s="30"/>
      <c r="D1108" s="30"/>
      <c r="E1108" s="95"/>
    </row>
    <row r="1109" spans="1:5" x14ac:dyDescent="0.25">
      <c r="A1109" s="28" t="s">
        <v>1590</v>
      </c>
      <c r="B1109" s="34" t="s">
        <v>2840</v>
      </c>
      <c r="C1109" s="30">
        <v>4.95</v>
      </c>
      <c r="D1109" s="30"/>
      <c r="E1109" s="95"/>
    </row>
    <row r="1110" spans="1:5" x14ac:dyDescent="0.25">
      <c r="A1110" s="28" t="s">
        <v>1590</v>
      </c>
      <c r="B1110" s="34" t="s">
        <v>2840</v>
      </c>
      <c r="C1110" s="30">
        <v>4.95</v>
      </c>
      <c r="D1110" s="30"/>
      <c r="E1110" s="95"/>
    </row>
    <row r="1114" spans="1:5" ht="24" x14ac:dyDescent="0.25">
      <c r="A1114" s="65" t="s">
        <v>563</v>
      </c>
      <c r="B1114" s="66" t="s">
        <v>2372</v>
      </c>
      <c r="C1114" s="67" t="s">
        <v>2856</v>
      </c>
      <c r="D1114" s="67" t="s">
        <v>2857</v>
      </c>
    </row>
    <row r="1115" spans="1:5" x14ac:dyDescent="0.25">
      <c r="A1115" s="91" t="s">
        <v>2149</v>
      </c>
      <c r="B1115" s="66"/>
      <c r="C1115"/>
      <c r="D1115"/>
    </row>
    <row r="1116" spans="1:5" x14ac:dyDescent="0.25">
      <c r="A1116" s="92" t="s">
        <v>2150</v>
      </c>
      <c r="B1116"/>
      <c r="C1116"/>
      <c r="D1116"/>
    </row>
    <row r="1117" spans="1:5" x14ac:dyDescent="0.25">
      <c r="A1117" s="39" t="s">
        <v>2778</v>
      </c>
      <c r="B1117" s="40" t="s">
        <v>241</v>
      </c>
      <c r="C1117" s="42">
        <v>173.2</v>
      </c>
      <c r="D1117" s="42"/>
    </row>
    <row r="1118" spans="1:5" x14ac:dyDescent="0.25">
      <c r="A1118" s="35" t="s">
        <v>2779</v>
      </c>
      <c r="B1118" s="36" t="s">
        <v>241</v>
      </c>
      <c r="C1118" s="37">
        <v>215.8</v>
      </c>
      <c r="D1118" s="37"/>
    </row>
    <row r="1119" spans="1:5" x14ac:dyDescent="0.25">
      <c r="A1119" s="35" t="s">
        <v>2527</v>
      </c>
      <c r="B1119" s="36" t="s">
        <v>241</v>
      </c>
      <c r="C1119" s="38">
        <v>377.8</v>
      </c>
      <c r="D1119" s="38"/>
    </row>
    <row r="1120" spans="1:5" x14ac:dyDescent="0.25">
      <c r="A1120" s="35" t="s">
        <v>2526</v>
      </c>
      <c r="B1120" s="36" t="s">
        <v>241</v>
      </c>
      <c r="C1120" s="37">
        <v>256.39999999999998</v>
      </c>
      <c r="D1120" s="37"/>
    </row>
    <row r="1121" spans="1:4" x14ac:dyDescent="0.25">
      <c r="A1121" s="35" t="s">
        <v>991</v>
      </c>
      <c r="B1121" s="36" t="s">
        <v>241</v>
      </c>
      <c r="C1121" s="37">
        <v>165</v>
      </c>
      <c r="D1121" s="37"/>
    </row>
    <row r="1122" spans="1:4" x14ac:dyDescent="0.25">
      <c r="A1122" s="35" t="s">
        <v>1210</v>
      </c>
      <c r="B1122" s="36" t="s">
        <v>241</v>
      </c>
      <c r="C1122" s="37">
        <v>61.4</v>
      </c>
      <c r="D1122" s="37"/>
    </row>
    <row r="1123" spans="1:4" x14ac:dyDescent="0.25">
      <c r="A1123" s="35" t="s">
        <v>1209</v>
      </c>
      <c r="B1123" s="36" t="s">
        <v>241</v>
      </c>
      <c r="C1123" s="37">
        <v>43.4</v>
      </c>
      <c r="D1123" s="37"/>
    </row>
    <row r="1124" spans="1:4" x14ac:dyDescent="0.25">
      <c r="A1124" s="35" t="s">
        <v>1207</v>
      </c>
      <c r="B1124" s="36" t="s">
        <v>241</v>
      </c>
      <c r="C1124" s="37">
        <v>33.799999999999997</v>
      </c>
      <c r="D1124" s="37"/>
    </row>
    <row r="1125" spans="1:4" x14ac:dyDescent="0.25">
      <c r="A1125" s="35" t="s">
        <v>1211</v>
      </c>
      <c r="B1125" s="36" t="s">
        <v>241</v>
      </c>
      <c r="C1125" s="37">
        <v>68.2</v>
      </c>
      <c r="D1125" s="37"/>
    </row>
    <row r="1126" spans="1:4" x14ac:dyDescent="0.25">
      <c r="A1126" s="35" t="s">
        <v>1208</v>
      </c>
      <c r="B1126" s="36" t="s">
        <v>241</v>
      </c>
      <c r="C1126" s="37">
        <v>41</v>
      </c>
      <c r="D1126" s="37"/>
    </row>
    <row r="1127" spans="1:4" x14ac:dyDescent="0.25">
      <c r="A1127" s="35" t="s">
        <v>992</v>
      </c>
      <c r="B1127" s="36" t="s">
        <v>241</v>
      </c>
      <c r="C1127" s="37">
        <v>29</v>
      </c>
      <c r="D1127" s="37"/>
    </row>
    <row r="1128" spans="1:4" x14ac:dyDescent="0.25">
      <c r="A1128" s="35" t="s">
        <v>2110</v>
      </c>
      <c r="B1128" s="36" t="s">
        <v>241</v>
      </c>
      <c r="C1128" s="37">
        <v>557.79999999999995</v>
      </c>
      <c r="D1128" s="37"/>
    </row>
    <row r="1129" spans="1:4" x14ac:dyDescent="0.25">
      <c r="A1129" s="35" t="s">
        <v>972</v>
      </c>
      <c r="B1129" s="36" t="s">
        <v>241</v>
      </c>
      <c r="C1129" s="41">
        <v>332.4</v>
      </c>
      <c r="D1129" s="41"/>
    </row>
    <row r="1130" spans="1:4" x14ac:dyDescent="0.25">
      <c r="A1130" s="35" t="s">
        <v>2111</v>
      </c>
      <c r="B1130" s="36" t="s">
        <v>241</v>
      </c>
      <c r="C1130" s="37">
        <v>720.4</v>
      </c>
      <c r="D1130" s="37"/>
    </row>
    <row r="1131" spans="1:4" x14ac:dyDescent="0.25">
      <c r="A1131" s="35" t="s">
        <v>2776</v>
      </c>
      <c r="B1131" s="36" t="s">
        <v>241</v>
      </c>
      <c r="C1131" s="37">
        <v>909.8</v>
      </c>
      <c r="D1131" s="37"/>
    </row>
    <row r="1132" spans="1:4" x14ac:dyDescent="0.25">
      <c r="A1132" s="35" t="s">
        <v>2777</v>
      </c>
      <c r="B1132" s="36" t="s">
        <v>241</v>
      </c>
      <c r="C1132" s="38">
        <v>1215</v>
      </c>
      <c r="D1132" s="38"/>
    </row>
    <row r="1133" spans="1:4" x14ac:dyDescent="0.25">
      <c r="A1133" s="35" t="s">
        <v>1983</v>
      </c>
      <c r="B1133" s="36" t="s">
        <v>241</v>
      </c>
      <c r="C1133" s="37">
        <v>474</v>
      </c>
      <c r="D1133" s="37"/>
    </row>
    <row r="1134" spans="1:4" x14ac:dyDescent="0.25">
      <c r="A1134" s="35" t="s">
        <v>973</v>
      </c>
      <c r="B1134" s="36" t="s">
        <v>241</v>
      </c>
      <c r="C1134" s="38">
        <v>432.4</v>
      </c>
      <c r="D1134" s="38"/>
    </row>
    <row r="1135" spans="1:4" x14ac:dyDescent="0.25">
      <c r="A1135" s="35" t="s">
        <v>1640</v>
      </c>
      <c r="B1135" s="36" t="s">
        <v>241</v>
      </c>
      <c r="C1135" s="38">
        <v>211.2</v>
      </c>
      <c r="D1135" s="38"/>
    </row>
    <row r="1136" spans="1:4" x14ac:dyDescent="0.25">
      <c r="A1136" s="35" t="s">
        <v>1636</v>
      </c>
      <c r="B1136" s="36" t="s">
        <v>241</v>
      </c>
      <c r="C1136" s="38">
        <v>453.8</v>
      </c>
      <c r="D1136" s="38"/>
    </row>
    <row r="1137" spans="1:4" x14ac:dyDescent="0.25">
      <c r="A1137" s="35" t="s">
        <v>1637</v>
      </c>
      <c r="B1137" s="36" t="s">
        <v>241</v>
      </c>
      <c r="C1137" s="37">
        <v>572</v>
      </c>
      <c r="D1137" s="37"/>
    </row>
    <row r="1138" spans="1:4" x14ac:dyDescent="0.25">
      <c r="A1138" s="35" t="s">
        <v>1638</v>
      </c>
      <c r="B1138" s="36" t="s">
        <v>241</v>
      </c>
      <c r="C1138" s="37">
        <v>919.6</v>
      </c>
      <c r="D1138" s="37"/>
    </row>
    <row r="1139" spans="1:4" x14ac:dyDescent="0.25">
      <c r="A1139" s="35" t="s">
        <v>1639</v>
      </c>
      <c r="B1139" s="36" t="s">
        <v>241</v>
      </c>
      <c r="C1139" s="38">
        <v>1195</v>
      </c>
      <c r="D1139" s="38"/>
    </row>
    <row r="1140" spans="1:4" x14ac:dyDescent="0.25">
      <c r="A1140" s="35" t="s">
        <v>2528</v>
      </c>
      <c r="B1140" s="36" t="s">
        <v>241</v>
      </c>
      <c r="C1140" s="38">
        <v>314.8</v>
      </c>
      <c r="D1140" s="38"/>
    </row>
    <row r="1141" spans="1:4" x14ac:dyDescent="0.25">
      <c r="A1141" s="35" t="s">
        <v>1213</v>
      </c>
      <c r="B1141" s="36" t="s">
        <v>241</v>
      </c>
      <c r="C1141" s="37">
        <v>368.8</v>
      </c>
      <c r="D1141" s="37"/>
    </row>
    <row r="1142" spans="1:4" x14ac:dyDescent="0.25">
      <c r="A1142" s="35" t="s">
        <v>1214</v>
      </c>
      <c r="B1142" s="36" t="s">
        <v>241</v>
      </c>
      <c r="C1142" s="37">
        <v>551.79999999999995</v>
      </c>
      <c r="D1142" s="37"/>
    </row>
    <row r="1143" spans="1:4" x14ac:dyDescent="0.25">
      <c r="A1143" s="35" t="s">
        <v>1212</v>
      </c>
      <c r="B1143" s="36" t="s">
        <v>241</v>
      </c>
      <c r="C1143" s="37">
        <v>312.60000000000002</v>
      </c>
      <c r="D1143" s="37"/>
    </row>
    <row r="1144" spans="1:4" x14ac:dyDescent="0.25">
      <c r="A1144" s="35" t="s">
        <v>1215</v>
      </c>
      <c r="B1144" s="36" t="s">
        <v>241</v>
      </c>
      <c r="C1144" s="37">
        <v>788</v>
      </c>
      <c r="D1144" s="37"/>
    </row>
    <row r="1145" spans="1:4" x14ac:dyDescent="0.25">
      <c r="A1145" s="35" t="s">
        <v>1968</v>
      </c>
      <c r="B1145" s="36" t="s">
        <v>241</v>
      </c>
      <c r="C1145" s="37">
        <v>816.2</v>
      </c>
      <c r="D1145" s="37"/>
    </row>
    <row r="1146" spans="1:4" x14ac:dyDescent="0.25">
      <c r="A1146" s="35" t="s">
        <v>1969</v>
      </c>
      <c r="B1146" s="36" t="s">
        <v>241</v>
      </c>
      <c r="C1146" s="37">
        <v>1460</v>
      </c>
      <c r="D1146" s="37"/>
    </row>
    <row r="1147" spans="1:4" x14ac:dyDescent="0.25">
      <c r="A1147" s="35" t="s">
        <v>2269</v>
      </c>
      <c r="B1147" s="36" t="s">
        <v>241</v>
      </c>
      <c r="C1147" s="37">
        <v>462</v>
      </c>
      <c r="D1147" s="37"/>
    </row>
    <row r="1148" spans="1:4" x14ac:dyDescent="0.25">
      <c r="A1148" s="35" t="s">
        <v>1641</v>
      </c>
      <c r="B1148" s="36" t="s">
        <v>241</v>
      </c>
      <c r="C1148" s="38">
        <v>299.2</v>
      </c>
      <c r="D1148" s="38"/>
    </row>
    <row r="1149" spans="1:4" x14ac:dyDescent="0.25">
      <c r="A1149" s="35" t="s">
        <v>2270</v>
      </c>
      <c r="B1149" s="36" t="s">
        <v>241</v>
      </c>
      <c r="C1149" s="37">
        <v>1078</v>
      </c>
      <c r="D1149" s="37"/>
    </row>
    <row r="1150" spans="1:4" x14ac:dyDescent="0.25">
      <c r="A1150" s="35" t="s">
        <v>1216</v>
      </c>
      <c r="B1150" s="36" t="s">
        <v>241</v>
      </c>
      <c r="C1150" s="37">
        <v>153.4</v>
      </c>
      <c r="D1150" s="37"/>
    </row>
    <row r="1151" spans="1:4" x14ac:dyDescent="0.25">
      <c r="A1151" s="35" t="s">
        <v>1217</v>
      </c>
      <c r="B1151" s="36" t="s">
        <v>241</v>
      </c>
      <c r="C1151" s="37">
        <v>197.8</v>
      </c>
      <c r="D1151" s="37"/>
    </row>
    <row r="1152" spans="1:4" x14ac:dyDescent="0.25">
      <c r="A1152" s="82"/>
      <c r="B1152"/>
      <c r="C1152"/>
      <c r="D1152"/>
    </row>
    <row r="1153" spans="1:4" x14ac:dyDescent="0.25">
      <c r="A1153" s="82"/>
      <c r="B1153"/>
      <c r="C1153"/>
      <c r="D1153"/>
    </row>
    <row r="1154" spans="1:4" x14ac:dyDescent="0.25">
      <c r="A1154" s="92" t="s">
        <v>2151</v>
      </c>
      <c r="B1154"/>
      <c r="C1154"/>
      <c r="D1154"/>
    </row>
    <row r="1155" spans="1:4" x14ac:dyDescent="0.25">
      <c r="A1155" s="28" t="s">
        <v>222</v>
      </c>
      <c r="B1155" s="34" t="s">
        <v>2834</v>
      </c>
      <c r="C1155" s="30">
        <v>2775</v>
      </c>
      <c r="D1155" s="30"/>
    </row>
    <row r="1156" spans="1:4" x14ac:dyDescent="0.25">
      <c r="A1156" s="28" t="s">
        <v>221</v>
      </c>
      <c r="B1156" s="34" t="s">
        <v>2834</v>
      </c>
      <c r="C1156" s="30">
        <v>1400</v>
      </c>
      <c r="D1156" s="30"/>
    </row>
    <row r="1157" spans="1:4" x14ac:dyDescent="0.25">
      <c r="A1157" s="28" t="s">
        <v>1294</v>
      </c>
      <c r="B1157" s="34" t="s">
        <v>2834</v>
      </c>
      <c r="C1157" s="30">
        <v>275</v>
      </c>
      <c r="D1157" s="30"/>
    </row>
    <row r="1158" spans="1:4" x14ac:dyDescent="0.25">
      <c r="A1158" s="28" t="s">
        <v>223</v>
      </c>
      <c r="B1158" s="34" t="s">
        <v>2834</v>
      </c>
      <c r="C1158" s="30">
        <v>176</v>
      </c>
      <c r="D1158" s="30"/>
    </row>
    <row r="1159" spans="1:4" x14ac:dyDescent="0.25">
      <c r="A1159" s="28" t="s">
        <v>588</v>
      </c>
      <c r="B1159" s="34" t="s">
        <v>2834</v>
      </c>
      <c r="C1159" s="30">
        <v>220</v>
      </c>
      <c r="D1159" s="30"/>
    </row>
    <row r="1160" spans="1:4" x14ac:dyDescent="0.25">
      <c r="A1160" s="28" t="s">
        <v>1295</v>
      </c>
      <c r="B1160" s="34" t="s">
        <v>2834</v>
      </c>
      <c r="C1160" s="30">
        <v>880</v>
      </c>
      <c r="D1160" s="30"/>
    </row>
    <row r="1161" spans="1:4" x14ac:dyDescent="0.25">
      <c r="A1161" s="28" t="s">
        <v>565</v>
      </c>
      <c r="B1161" s="34" t="s">
        <v>2834</v>
      </c>
      <c r="C1161" s="30">
        <v>1175</v>
      </c>
      <c r="D1161" s="30"/>
    </row>
    <row r="1162" spans="1:4" ht="24" x14ac:dyDescent="0.25">
      <c r="A1162" s="28" t="s">
        <v>590</v>
      </c>
      <c r="B1162" s="49" t="s">
        <v>1711</v>
      </c>
      <c r="C1162" s="50">
        <v>4.6500000000000004</v>
      </c>
      <c r="D1162" s="50"/>
    </row>
    <row r="1163" spans="1:4" ht="24" x14ac:dyDescent="0.25">
      <c r="A1163" s="28" t="s">
        <v>2153</v>
      </c>
      <c r="B1163" s="34" t="s">
        <v>241</v>
      </c>
      <c r="C1163" s="30">
        <v>650</v>
      </c>
      <c r="D1163"/>
    </row>
    <row r="1164" spans="1:4" ht="24" x14ac:dyDescent="0.25">
      <c r="A1164" s="28" t="s">
        <v>1089</v>
      </c>
      <c r="B1164" s="34" t="s">
        <v>241</v>
      </c>
      <c r="C1164" s="30">
        <v>655</v>
      </c>
      <c r="D1164"/>
    </row>
    <row r="1165" spans="1:4" ht="24" x14ac:dyDescent="0.25">
      <c r="A1165" s="28" t="s">
        <v>1090</v>
      </c>
      <c r="B1165" s="34" t="s">
        <v>241</v>
      </c>
      <c r="C1165" s="30">
        <v>680</v>
      </c>
      <c r="D1165"/>
    </row>
    <row r="1166" spans="1:4" ht="24" x14ac:dyDescent="0.25">
      <c r="A1166" s="28" t="s">
        <v>1091</v>
      </c>
      <c r="B1166" s="34" t="s">
        <v>241</v>
      </c>
      <c r="C1166" s="30">
        <v>855</v>
      </c>
      <c r="D1166"/>
    </row>
    <row r="1167" spans="1:4" ht="24" x14ac:dyDescent="0.25">
      <c r="A1167" s="28" t="s">
        <v>1092</v>
      </c>
      <c r="B1167" s="34" t="s">
        <v>241</v>
      </c>
      <c r="C1167" s="30">
        <v>162</v>
      </c>
      <c r="D1167"/>
    </row>
    <row r="1168" spans="1:4" ht="24" x14ac:dyDescent="0.25">
      <c r="A1168" s="28" t="s">
        <v>1093</v>
      </c>
      <c r="B1168" s="34" t="s">
        <v>241</v>
      </c>
      <c r="C1168" s="30">
        <v>170</v>
      </c>
      <c r="D1168"/>
    </row>
    <row r="1169" spans="1:4" x14ac:dyDescent="0.25">
      <c r="A1169" s="35" t="s">
        <v>1390</v>
      </c>
      <c r="B1169" s="36" t="s">
        <v>2840</v>
      </c>
      <c r="C1169" s="37">
        <v>11</v>
      </c>
      <c r="D1169"/>
    </row>
    <row r="1170" spans="1:4" x14ac:dyDescent="0.25">
      <c r="A1170" s="35" t="s">
        <v>1391</v>
      </c>
      <c r="B1170" s="36" t="s">
        <v>2840</v>
      </c>
      <c r="C1170" s="37">
        <v>7.3</v>
      </c>
      <c r="D1170"/>
    </row>
    <row r="1171" spans="1:4" x14ac:dyDescent="0.25">
      <c r="A1171" s="82"/>
      <c r="B1171"/>
      <c r="C1171"/>
      <c r="D1171"/>
    </row>
    <row r="1172" spans="1:4" x14ac:dyDescent="0.25">
      <c r="A1172" s="92" t="s">
        <v>2152</v>
      </c>
      <c r="B1172"/>
      <c r="C1172"/>
      <c r="D1172"/>
    </row>
    <row r="1173" spans="1:4" x14ac:dyDescent="0.25">
      <c r="A1173" s="28" t="s">
        <v>1973</v>
      </c>
      <c r="B1173" s="34" t="s">
        <v>1711</v>
      </c>
      <c r="C1173" s="30">
        <v>25</v>
      </c>
      <c r="D1173" s="30"/>
    </row>
    <row r="1174" spans="1:4" x14ac:dyDescent="0.25">
      <c r="A1174" s="28" t="s">
        <v>1974</v>
      </c>
      <c r="B1174" s="34" t="s">
        <v>1711</v>
      </c>
      <c r="C1174" s="30">
        <v>35</v>
      </c>
      <c r="D1174" s="42"/>
    </row>
    <row r="1175" spans="1:4" ht="24" x14ac:dyDescent="0.25">
      <c r="A1175" s="28" t="s">
        <v>490</v>
      </c>
      <c r="B1175" s="34" t="s">
        <v>1711</v>
      </c>
      <c r="C1175" s="30">
        <v>10.050000000000001</v>
      </c>
      <c r="D1175" s="41"/>
    </row>
    <row r="1176" spans="1:4" x14ac:dyDescent="0.25">
      <c r="A1176" s="28" t="s">
        <v>2407</v>
      </c>
      <c r="B1176" s="34" t="s">
        <v>1711</v>
      </c>
      <c r="C1176" s="30">
        <v>14.15</v>
      </c>
      <c r="D1176" s="37"/>
    </row>
    <row r="1177" spans="1:4" x14ac:dyDescent="0.25">
      <c r="A1177" s="28" t="s">
        <v>2693</v>
      </c>
      <c r="B1177" s="34" t="s">
        <v>1181</v>
      </c>
      <c r="C1177" s="30">
        <v>3.07</v>
      </c>
      <c r="D1177" s="30"/>
    </row>
    <row r="1178" spans="1:4" x14ac:dyDescent="0.25">
      <c r="A1178" s="39" t="s">
        <v>2692</v>
      </c>
      <c r="B1178" s="40" t="s">
        <v>1181</v>
      </c>
      <c r="C1178" s="42">
        <v>1.53</v>
      </c>
      <c r="D1178" s="30"/>
    </row>
    <row r="1179" spans="1:4" x14ac:dyDescent="0.25">
      <c r="A1179" s="35" t="s">
        <v>2849</v>
      </c>
      <c r="B1179" s="36" t="s">
        <v>1181</v>
      </c>
      <c r="C1179" s="41">
        <v>3.99</v>
      </c>
      <c r="D1179" s="30"/>
    </row>
    <row r="1180" spans="1:4" x14ac:dyDescent="0.25">
      <c r="A1180" s="35" t="s">
        <v>2848</v>
      </c>
      <c r="B1180" s="36" t="s">
        <v>1181</v>
      </c>
      <c r="C1180" s="37">
        <v>1.99</v>
      </c>
      <c r="D1180" s="30"/>
    </row>
    <row r="1181" spans="1:4" x14ac:dyDescent="0.25">
      <c r="A1181" s="28" t="s">
        <v>1193</v>
      </c>
      <c r="B1181" s="34" t="s">
        <v>1192</v>
      </c>
      <c r="C1181" s="30">
        <v>30</v>
      </c>
      <c r="D1181" s="38"/>
    </row>
    <row r="1182" spans="1:4" x14ac:dyDescent="0.25">
      <c r="A1182" s="28" t="s">
        <v>1191</v>
      </c>
      <c r="B1182" s="34" t="s">
        <v>1192</v>
      </c>
      <c r="C1182" s="30">
        <v>23.5</v>
      </c>
      <c r="D1182" s="37"/>
    </row>
    <row r="1183" spans="1:4" x14ac:dyDescent="0.25">
      <c r="A1183" s="28" t="s">
        <v>2378</v>
      </c>
      <c r="B1183" s="34" t="s">
        <v>2379</v>
      </c>
      <c r="C1183" s="30">
        <v>16.149999999999999</v>
      </c>
      <c r="D1183" s="38"/>
    </row>
    <row r="1184" spans="1:4" x14ac:dyDescent="0.25">
      <c r="A1184" s="28" t="s">
        <v>2380</v>
      </c>
      <c r="B1184" s="34" t="s">
        <v>2840</v>
      </c>
      <c r="C1184" s="30">
        <v>1.33</v>
      </c>
      <c r="D1184" s="37"/>
    </row>
    <row r="1185" spans="1:4" x14ac:dyDescent="0.25">
      <c r="A1185" s="35" t="s">
        <v>2809</v>
      </c>
      <c r="B1185" s="36" t="s">
        <v>1181</v>
      </c>
      <c r="C1185" s="38">
        <v>2.93</v>
      </c>
      <c r="D1185" s="37"/>
    </row>
    <row r="1186" spans="1:4" x14ac:dyDescent="0.25">
      <c r="A1186" s="35" t="s">
        <v>2808</v>
      </c>
      <c r="B1186" s="36" t="s">
        <v>1181</v>
      </c>
      <c r="C1186" s="37">
        <v>0.98</v>
      </c>
      <c r="D1186" s="38"/>
    </row>
    <row r="1187" spans="1:4" x14ac:dyDescent="0.25">
      <c r="A1187" s="35" t="s">
        <v>1689</v>
      </c>
      <c r="B1187" s="36" t="s">
        <v>1181</v>
      </c>
      <c r="C1187" s="38">
        <v>2.41</v>
      </c>
      <c r="D1187" s="37"/>
    </row>
    <row r="1188" spans="1:4" x14ac:dyDescent="0.25">
      <c r="A1188" s="35" t="s">
        <v>1688</v>
      </c>
      <c r="B1188" s="36" t="s">
        <v>1181</v>
      </c>
      <c r="C1188" s="37">
        <v>0.82</v>
      </c>
      <c r="D1188" s="38"/>
    </row>
    <row r="1189" spans="1:4" x14ac:dyDescent="0.25">
      <c r="A1189" s="35" t="s">
        <v>1690</v>
      </c>
      <c r="B1189" s="36" t="s">
        <v>1181</v>
      </c>
      <c r="C1189" s="37">
        <v>0.71</v>
      </c>
      <c r="D1189" s="37"/>
    </row>
    <row r="1190" spans="1:4" x14ac:dyDescent="0.25">
      <c r="A1190" s="35" t="s">
        <v>2807</v>
      </c>
      <c r="B1190" s="36" t="s">
        <v>1181</v>
      </c>
      <c r="C1190" s="38">
        <v>3.2</v>
      </c>
      <c r="D1190" s="37"/>
    </row>
    <row r="1191" spans="1:4" x14ac:dyDescent="0.25">
      <c r="A1191" s="35" t="s">
        <v>1650</v>
      </c>
      <c r="B1191" s="36" t="s">
        <v>1181</v>
      </c>
      <c r="C1191" s="37">
        <v>1.1000000000000001</v>
      </c>
      <c r="D1191" s="37"/>
    </row>
    <row r="1192" spans="1:4" x14ac:dyDescent="0.25">
      <c r="A1192" s="35" t="s">
        <v>2803</v>
      </c>
      <c r="B1192" s="36" t="s">
        <v>1181</v>
      </c>
      <c r="C1192" s="38">
        <v>2.61</v>
      </c>
      <c r="D1192" s="37"/>
    </row>
    <row r="1193" spans="1:4" x14ac:dyDescent="0.25">
      <c r="A1193" s="35" t="s">
        <v>2802</v>
      </c>
      <c r="B1193" s="36" t="s">
        <v>1181</v>
      </c>
      <c r="C1193" s="37">
        <v>0.89</v>
      </c>
      <c r="D1193" s="38"/>
    </row>
    <row r="1194" spans="1:4" x14ac:dyDescent="0.25">
      <c r="A1194" s="35" t="s">
        <v>2805</v>
      </c>
      <c r="B1194" s="36" t="s">
        <v>1181</v>
      </c>
      <c r="C1194" s="37">
        <v>2.17</v>
      </c>
      <c r="D1194" s="38"/>
    </row>
    <row r="1195" spans="1:4" x14ac:dyDescent="0.25">
      <c r="A1195" s="35" t="s">
        <v>2804</v>
      </c>
      <c r="B1195" s="36" t="s">
        <v>1181</v>
      </c>
      <c r="C1195" s="37">
        <v>0.73</v>
      </c>
      <c r="D1195" s="30"/>
    </row>
    <row r="1196" spans="1:4" x14ac:dyDescent="0.25">
      <c r="A1196" s="35" t="s">
        <v>2806</v>
      </c>
      <c r="B1196" s="36" t="s">
        <v>1181</v>
      </c>
      <c r="C1196" s="37">
        <v>0.6</v>
      </c>
      <c r="D1196" s="37"/>
    </row>
    <row r="1197" spans="1:4" x14ac:dyDescent="0.25">
      <c r="A1197" s="35" t="s">
        <v>2801</v>
      </c>
      <c r="B1197" s="36" t="s">
        <v>1181</v>
      </c>
      <c r="C1197" s="38">
        <v>2.82</v>
      </c>
      <c r="D1197" s="41"/>
    </row>
    <row r="1198" spans="1:4" x14ac:dyDescent="0.25">
      <c r="A1198" s="35" t="s">
        <v>2796</v>
      </c>
      <c r="B1198" s="36" t="s">
        <v>1181</v>
      </c>
      <c r="C1198" s="38">
        <v>0.96</v>
      </c>
      <c r="D1198" s="38"/>
    </row>
    <row r="1199" spans="1:4" x14ac:dyDescent="0.25">
      <c r="A1199" s="28" t="s">
        <v>915</v>
      </c>
      <c r="B1199" s="34" t="s">
        <v>1181</v>
      </c>
      <c r="C1199" s="30">
        <v>0.84</v>
      </c>
      <c r="D1199" s="37"/>
    </row>
    <row r="1200" spans="1:4" x14ac:dyDescent="0.25">
      <c r="A1200" s="35" t="s">
        <v>2896</v>
      </c>
      <c r="B1200" s="36" t="s">
        <v>1181</v>
      </c>
      <c r="C1200" s="37">
        <v>2.33</v>
      </c>
      <c r="D1200" s="38"/>
    </row>
    <row r="1201" spans="1:4" x14ac:dyDescent="0.25">
      <c r="A1201" s="39" t="s">
        <v>2895</v>
      </c>
      <c r="B1201" s="40" t="s">
        <v>1181</v>
      </c>
      <c r="C1201" s="41">
        <v>0.8</v>
      </c>
      <c r="D1201" s="38"/>
    </row>
    <row r="1202" spans="1:4" x14ac:dyDescent="0.25">
      <c r="A1202" s="35" t="s">
        <v>2898</v>
      </c>
      <c r="B1202" s="36" t="s">
        <v>1181</v>
      </c>
      <c r="C1202" s="38">
        <v>1.99</v>
      </c>
      <c r="D1202" s="30"/>
    </row>
    <row r="1203" spans="1:4" x14ac:dyDescent="0.25">
      <c r="A1203" s="35" t="s">
        <v>2897</v>
      </c>
      <c r="B1203" s="36" t="s">
        <v>1181</v>
      </c>
      <c r="C1203" s="37">
        <v>0.63</v>
      </c>
      <c r="D1203"/>
    </row>
    <row r="1204" spans="1:4" x14ac:dyDescent="0.25">
      <c r="A1204" s="35" t="s">
        <v>2800</v>
      </c>
      <c r="B1204" s="36" t="s">
        <v>1181</v>
      </c>
      <c r="C1204" s="38">
        <v>0.6</v>
      </c>
      <c r="D1204"/>
    </row>
    <row r="1205" spans="1:4" x14ac:dyDescent="0.25">
      <c r="A1205" s="35" t="s">
        <v>482</v>
      </c>
      <c r="B1205" s="36" t="s">
        <v>1181</v>
      </c>
      <c r="C1205" s="38">
        <v>2.52</v>
      </c>
      <c r="D1205"/>
    </row>
    <row r="1206" spans="1:4" x14ac:dyDescent="0.25">
      <c r="A1206" s="35" t="s">
        <v>1651</v>
      </c>
      <c r="B1206" s="34" t="s">
        <v>1181</v>
      </c>
      <c r="C1206" s="30">
        <v>0.84</v>
      </c>
      <c r="D1206"/>
    </row>
    <row r="1207" spans="1:4" x14ac:dyDescent="0.25">
      <c r="A1207" s="28" t="s">
        <v>2668</v>
      </c>
      <c r="B1207" s="34"/>
      <c r="C1207" s="30"/>
      <c r="D1207" s="30"/>
    </row>
    <row r="1208" spans="1:4" x14ac:dyDescent="0.25">
      <c r="A1208" s="28" t="s">
        <v>2381</v>
      </c>
      <c r="B1208" s="34" t="s">
        <v>2379</v>
      </c>
      <c r="C1208" s="30">
        <v>2.81</v>
      </c>
      <c r="D1208" s="30"/>
    </row>
    <row r="1209" spans="1:4" x14ac:dyDescent="0.25">
      <c r="A1209" s="28" t="s">
        <v>2382</v>
      </c>
      <c r="B1209" s="34" t="s">
        <v>2379</v>
      </c>
      <c r="C1209" s="30">
        <v>3.02</v>
      </c>
      <c r="D1209" s="30"/>
    </row>
    <row r="1210" spans="1:4" x14ac:dyDescent="0.25">
      <c r="A1210" s="35" t="s">
        <v>611</v>
      </c>
      <c r="B1210" s="36" t="s">
        <v>1183</v>
      </c>
      <c r="C1210" s="38">
        <v>1.8</v>
      </c>
      <c r="D1210" s="38"/>
    </row>
    <row r="1211" spans="1:4" x14ac:dyDescent="0.25">
      <c r="A1211" s="35" t="s">
        <v>610</v>
      </c>
      <c r="B1211" s="36" t="s">
        <v>1183</v>
      </c>
      <c r="C1211" s="37">
        <v>0.97</v>
      </c>
      <c r="D1211" s="37"/>
    </row>
    <row r="1212" spans="1:4" x14ac:dyDescent="0.25">
      <c r="A1212" s="35" t="s">
        <v>612</v>
      </c>
      <c r="B1212" s="36" t="s">
        <v>1183</v>
      </c>
      <c r="C1212" s="37">
        <v>1.67</v>
      </c>
      <c r="D1212" s="37"/>
    </row>
    <row r="1213" spans="1:4" x14ac:dyDescent="0.25">
      <c r="A1213" s="28" t="s">
        <v>2105</v>
      </c>
      <c r="B1213" s="34" t="s">
        <v>1183</v>
      </c>
      <c r="C1213" s="30">
        <v>1.1200000000000001</v>
      </c>
      <c r="D1213" s="30"/>
    </row>
    <row r="1214" spans="1:4" x14ac:dyDescent="0.25">
      <c r="A1214" s="28" t="s">
        <v>2106</v>
      </c>
      <c r="B1214" s="34" t="s">
        <v>1182</v>
      </c>
      <c r="C1214" s="30">
        <v>97.5</v>
      </c>
      <c r="D1214" s="30"/>
    </row>
    <row r="1215" spans="1:4" x14ac:dyDescent="0.25">
      <c r="A1215" s="28" t="s">
        <v>2107</v>
      </c>
      <c r="B1215" s="34" t="s">
        <v>1182</v>
      </c>
      <c r="C1215" s="30">
        <v>88</v>
      </c>
      <c r="D1215" s="30"/>
    </row>
    <row r="1216" spans="1:4" x14ac:dyDescent="0.25">
      <c r="A1216" s="35" t="s">
        <v>2264</v>
      </c>
      <c r="B1216" s="36" t="s">
        <v>2265</v>
      </c>
      <c r="C1216" s="37">
        <v>13</v>
      </c>
      <c r="D1216" s="37"/>
    </row>
    <row r="1217" spans="1:4" x14ac:dyDescent="0.25">
      <c r="A1217" s="35" t="s">
        <v>2266</v>
      </c>
      <c r="B1217" s="36" t="s">
        <v>2265</v>
      </c>
      <c r="C1217" s="38">
        <v>20</v>
      </c>
      <c r="D1217" s="38"/>
    </row>
    <row r="1218" spans="1:4" x14ac:dyDescent="0.25">
      <c r="A1218" s="28" t="s">
        <v>2261</v>
      </c>
      <c r="B1218" s="34" t="s">
        <v>2202</v>
      </c>
      <c r="C1218" s="30">
        <v>45</v>
      </c>
    </row>
    <row r="1219" spans="1:4" x14ac:dyDescent="0.25">
      <c r="A1219" s="28" t="s">
        <v>2262</v>
      </c>
      <c r="B1219" s="34" t="s">
        <v>2202</v>
      </c>
      <c r="C1219" s="30">
        <v>56.5</v>
      </c>
    </row>
    <row r="1220" spans="1:4" ht="24" x14ac:dyDescent="0.25">
      <c r="A1220" s="39" t="s">
        <v>615</v>
      </c>
      <c r="B1220" s="40" t="s">
        <v>614</v>
      </c>
      <c r="C1220" s="42">
        <v>14.55</v>
      </c>
    </row>
    <row r="1221" spans="1:4" x14ac:dyDescent="0.25">
      <c r="A1221" s="35" t="s">
        <v>613</v>
      </c>
      <c r="B1221" s="36" t="s">
        <v>614</v>
      </c>
      <c r="C1221" s="38">
        <v>11.8</v>
      </c>
    </row>
    <row r="1222" spans="1:4" ht="36" x14ac:dyDescent="0.25">
      <c r="A1222" s="35" t="s">
        <v>2104</v>
      </c>
      <c r="B1222" s="36" t="s">
        <v>614</v>
      </c>
      <c r="C1222" s="30">
        <v>12</v>
      </c>
      <c r="D1222" s="30"/>
    </row>
    <row r="1223" spans="1:4" ht="36" x14ac:dyDescent="0.25">
      <c r="A1223" s="35" t="s">
        <v>2394</v>
      </c>
      <c r="B1223" s="36" t="s">
        <v>614</v>
      </c>
      <c r="C1223" s="37">
        <v>10.8</v>
      </c>
      <c r="D1223" s="37"/>
    </row>
    <row r="1224" spans="1:4" ht="36" x14ac:dyDescent="0.25">
      <c r="A1224" s="35" t="s">
        <v>429</v>
      </c>
      <c r="B1224" s="36" t="s">
        <v>614</v>
      </c>
      <c r="C1224" s="30">
        <v>9.75</v>
      </c>
      <c r="D1224" s="30"/>
    </row>
    <row r="1225" spans="1:4" ht="36" x14ac:dyDescent="0.25">
      <c r="A1225" s="35" t="s">
        <v>2112</v>
      </c>
      <c r="B1225" s="36" t="s">
        <v>614</v>
      </c>
      <c r="C1225" s="30">
        <v>14.5</v>
      </c>
      <c r="D1225" s="30"/>
    </row>
    <row r="1226" spans="1:4" ht="36" x14ac:dyDescent="0.25">
      <c r="A1226" s="35" t="s">
        <v>208</v>
      </c>
      <c r="B1226" s="36" t="s">
        <v>614</v>
      </c>
      <c r="C1226" s="30">
        <v>10.050000000000001</v>
      </c>
      <c r="D1226" s="30"/>
    </row>
    <row r="1227" spans="1:4" ht="36" x14ac:dyDescent="0.25">
      <c r="A1227" s="35" t="s">
        <v>205</v>
      </c>
      <c r="B1227" s="36" t="s">
        <v>614</v>
      </c>
      <c r="C1227" s="30">
        <v>16.05</v>
      </c>
      <c r="D1227" s="30"/>
    </row>
    <row r="1228" spans="1:4" ht="36" x14ac:dyDescent="0.25">
      <c r="A1228" s="35" t="s">
        <v>2393</v>
      </c>
      <c r="B1228" s="36" t="s">
        <v>614</v>
      </c>
      <c r="C1228" s="38">
        <v>12.8</v>
      </c>
      <c r="D1228" s="38"/>
    </row>
    <row r="1229" spans="1:4" ht="36" x14ac:dyDescent="0.25">
      <c r="A1229" s="35" t="s">
        <v>217</v>
      </c>
      <c r="B1229" s="36" t="s">
        <v>614</v>
      </c>
      <c r="C1229" s="37">
        <v>20.5</v>
      </c>
      <c r="D1229" s="37"/>
    </row>
    <row r="1230" spans="1:4" ht="36" x14ac:dyDescent="0.25">
      <c r="A1230" s="35" t="s">
        <v>2395</v>
      </c>
      <c r="B1230" s="36" t="s">
        <v>614</v>
      </c>
      <c r="C1230" s="37">
        <v>8.85</v>
      </c>
      <c r="D1230" s="37"/>
    </row>
    <row r="1231" spans="1:4" ht="36" x14ac:dyDescent="0.25">
      <c r="A1231" s="35" t="s">
        <v>2010</v>
      </c>
      <c r="B1231" s="36" t="s">
        <v>614</v>
      </c>
      <c r="C1231" s="37">
        <v>14.3</v>
      </c>
      <c r="D1231" s="37"/>
    </row>
    <row r="1232" spans="1:4" ht="36" x14ac:dyDescent="0.25">
      <c r="A1232" s="35" t="s">
        <v>428</v>
      </c>
      <c r="B1232" s="36" t="s">
        <v>614</v>
      </c>
      <c r="C1232" s="30">
        <v>11.5</v>
      </c>
      <c r="D1232" s="30"/>
    </row>
    <row r="1233" spans="1:4" ht="36" x14ac:dyDescent="0.25">
      <c r="A1233" s="35" t="s">
        <v>1703</v>
      </c>
      <c r="B1233" s="36" t="s">
        <v>614</v>
      </c>
      <c r="C1233" s="30">
        <v>8.0500000000000007</v>
      </c>
      <c r="D1233" s="30"/>
    </row>
    <row r="1234" spans="1:4" ht="36" x14ac:dyDescent="0.25">
      <c r="A1234" s="35" t="s">
        <v>2396</v>
      </c>
      <c r="B1234" s="36" t="s">
        <v>614</v>
      </c>
      <c r="C1234" s="30">
        <v>12.85</v>
      </c>
      <c r="D1234" s="30"/>
    </row>
    <row r="1235" spans="1:4" ht="24" x14ac:dyDescent="0.25">
      <c r="A1235" s="35" t="s">
        <v>2843</v>
      </c>
      <c r="B1235" s="36" t="s">
        <v>614</v>
      </c>
      <c r="C1235" s="38">
        <v>3.83</v>
      </c>
      <c r="D1235" s="38"/>
    </row>
    <row r="1236" spans="1:4" ht="24" x14ac:dyDescent="0.25">
      <c r="A1236" s="35" t="s">
        <v>2844</v>
      </c>
      <c r="B1236" s="36" t="s">
        <v>614</v>
      </c>
      <c r="C1236" s="38">
        <v>2.89</v>
      </c>
      <c r="D1236" s="38"/>
    </row>
    <row r="1237" spans="1:4" ht="24" x14ac:dyDescent="0.25">
      <c r="A1237" s="35" t="s">
        <v>2033</v>
      </c>
      <c r="B1237" s="36" t="s">
        <v>614</v>
      </c>
      <c r="C1237" s="38">
        <v>6.45</v>
      </c>
      <c r="D1237" s="38"/>
    </row>
    <row r="1238" spans="1:4" ht="24" x14ac:dyDescent="0.25">
      <c r="A1238" s="35" t="s">
        <v>152</v>
      </c>
      <c r="B1238" s="36" t="s">
        <v>614</v>
      </c>
      <c r="C1238" s="38">
        <v>8.4499999999999993</v>
      </c>
      <c r="D1238" s="38"/>
    </row>
    <row r="1239" spans="1:4" ht="24" x14ac:dyDescent="0.25">
      <c r="A1239" s="35" t="s">
        <v>149</v>
      </c>
      <c r="B1239" s="36" t="s">
        <v>614</v>
      </c>
      <c r="C1239" s="38">
        <v>5.15</v>
      </c>
      <c r="D1239" s="38"/>
    </row>
    <row r="1240" spans="1:4" ht="24" x14ac:dyDescent="0.25">
      <c r="A1240" s="35" t="s">
        <v>151</v>
      </c>
      <c r="B1240" s="36" t="s">
        <v>614</v>
      </c>
      <c r="C1240" s="38">
        <v>4.29</v>
      </c>
      <c r="D1240" s="38"/>
    </row>
    <row r="1241" spans="1:4" ht="24" x14ac:dyDescent="0.25">
      <c r="A1241" s="35" t="s">
        <v>150</v>
      </c>
      <c r="B1241" s="36" t="s">
        <v>614</v>
      </c>
      <c r="C1241" s="38">
        <v>4.96</v>
      </c>
      <c r="D1241" s="38"/>
    </row>
    <row r="1242" spans="1:4" ht="24" x14ac:dyDescent="0.25">
      <c r="A1242" s="35" t="s">
        <v>154</v>
      </c>
      <c r="B1242" s="36" t="s">
        <v>614</v>
      </c>
      <c r="C1242" s="38">
        <v>3.44</v>
      </c>
      <c r="D1242" s="38"/>
    </row>
    <row r="1243" spans="1:4" ht="24" x14ac:dyDescent="0.25">
      <c r="A1243" s="35" t="s">
        <v>2032</v>
      </c>
      <c r="B1243" s="36" t="s">
        <v>614</v>
      </c>
      <c r="C1243" s="38">
        <v>4.58</v>
      </c>
      <c r="D1243" s="38"/>
    </row>
    <row r="1244" spans="1:4" ht="24" x14ac:dyDescent="0.25">
      <c r="A1244" s="35" t="s">
        <v>2031</v>
      </c>
      <c r="B1244" s="36" t="s">
        <v>614</v>
      </c>
      <c r="C1244" s="38">
        <v>2.6</v>
      </c>
      <c r="D1244" s="38"/>
    </row>
    <row r="1245" spans="1:4" ht="24" x14ac:dyDescent="0.25">
      <c r="A1245" s="35" t="s">
        <v>153</v>
      </c>
      <c r="B1245" s="36" t="s">
        <v>614</v>
      </c>
      <c r="C1245" s="38">
        <v>5.7</v>
      </c>
      <c r="D1245" s="38"/>
    </row>
    <row r="1246" spans="1:4" ht="24" x14ac:dyDescent="0.25">
      <c r="A1246" s="35" t="s">
        <v>148</v>
      </c>
      <c r="B1246" s="36" t="s">
        <v>614</v>
      </c>
      <c r="C1246" s="38">
        <v>5.15</v>
      </c>
      <c r="D1246" s="38"/>
    </row>
    <row r="1247" spans="1:4" ht="24" x14ac:dyDescent="0.25">
      <c r="A1247" s="35" t="s">
        <v>147</v>
      </c>
      <c r="B1247" s="36" t="s">
        <v>614</v>
      </c>
      <c r="C1247" s="38">
        <v>6.6</v>
      </c>
      <c r="D1247" s="38"/>
    </row>
    <row r="1248" spans="1:4" ht="24" x14ac:dyDescent="0.25">
      <c r="A1248" s="35" t="s">
        <v>1219</v>
      </c>
      <c r="B1248" s="36" t="s">
        <v>614</v>
      </c>
      <c r="C1248" s="37">
        <v>2.2999999999999998</v>
      </c>
      <c r="D1248" s="37"/>
    </row>
    <row r="1249" spans="1:4" ht="24" x14ac:dyDescent="0.25">
      <c r="A1249" s="35" t="s">
        <v>649</v>
      </c>
      <c r="B1249" s="36" t="s">
        <v>614</v>
      </c>
      <c r="C1249" s="37">
        <v>4.71</v>
      </c>
      <c r="D1249" s="37"/>
    </row>
    <row r="1250" spans="1:4" ht="24" x14ac:dyDescent="0.25">
      <c r="A1250" s="35" t="s">
        <v>1220</v>
      </c>
      <c r="B1250" s="36" t="s">
        <v>614</v>
      </c>
      <c r="C1250" s="38">
        <v>1.95</v>
      </c>
      <c r="D1250" s="38"/>
    </row>
    <row r="1251" spans="1:4" ht="24" x14ac:dyDescent="0.25">
      <c r="A1251" s="35" t="s">
        <v>1221</v>
      </c>
      <c r="B1251" s="36" t="s">
        <v>614</v>
      </c>
      <c r="C1251" s="37">
        <v>1.7</v>
      </c>
      <c r="D1251" s="37"/>
    </row>
    <row r="1252" spans="1:4" ht="24" x14ac:dyDescent="0.25">
      <c r="A1252" s="35" t="s">
        <v>651</v>
      </c>
      <c r="B1252" s="36" t="s">
        <v>614</v>
      </c>
      <c r="C1252" s="37">
        <v>3.58</v>
      </c>
      <c r="D1252" s="37"/>
    </row>
    <row r="1253" spans="1:4" x14ac:dyDescent="0.25">
      <c r="A1253" s="35" t="s">
        <v>1788</v>
      </c>
      <c r="B1253" s="36" t="s">
        <v>614</v>
      </c>
      <c r="C1253" s="37">
        <v>6.15</v>
      </c>
      <c r="D1253" s="37"/>
    </row>
    <row r="1254" spans="1:4" x14ac:dyDescent="0.25">
      <c r="A1254" s="35" t="s">
        <v>652</v>
      </c>
      <c r="B1254" s="36" t="s">
        <v>614</v>
      </c>
      <c r="C1254" s="37">
        <v>8.5</v>
      </c>
      <c r="D1254" s="37"/>
    </row>
    <row r="1255" spans="1:4" x14ac:dyDescent="0.25">
      <c r="A1255" s="35" t="s">
        <v>1789</v>
      </c>
      <c r="B1255" s="36" t="s">
        <v>614</v>
      </c>
      <c r="C1255" s="37">
        <v>6.15</v>
      </c>
      <c r="D1255" s="37"/>
    </row>
    <row r="1256" spans="1:4" x14ac:dyDescent="0.25">
      <c r="A1256" s="35" t="s">
        <v>2397</v>
      </c>
      <c r="B1256" s="36" t="s">
        <v>614</v>
      </c>
      <c r="C1256" s="37">
        <v>5.3</v>
      </c>
      <c r="D1256" s="37"/>
    </row>
    <row r="1257" spans="1:4" x14ac:dyDescent="0.25">
      <c r="A1257" s="35" t="s">
        <v>650</v>
      </c>
      <c r="B1257" s="36" t="s">
        <v>2836</v>
      </c>
      <c r="C1257" s="46">
        <v>15</v>
      </c>
      <c r="D1257" s="46"/>
    </row>
    <row r="1258" spans="1:4" ht="24" x14ac:dyDescent="0.25">
      <c r="A1258" s="35" t="s">
        <v>2398</v>
      </c>
      <c r="B1258" s="36" t="s">
        <v>614</v>
      </c>
      <c r="C1258" s="37">
        <v>1.65</v>
      </c>
      <c r="D1258" s="37"/>
    </row>
    <row r="1259" spans="1:4" ht="24" x14ac:dyDescent="0.25">
      <c r="A1259" s="35" t="s">
        <v>2399</v>
      </c>
      <c r="B1259" s="36" t="s">
        <v>614</v>
      </c>
      <c r="C1259" s="30">
        <v>1.57</v>
      </c>
      <c r="D1259" s="30"/>
    </row>
    <row r="1260" spans="1:4" ht="24" x14ac:dyDescent="0.25">
      <c r="A1260" s="35" t="s">
        <v>2400</v>
      </c>
      <c r="B1260" s="36" t="s">
        <v>614</v>
      </c>
      <c r="C1260" s="30">
        <v>1.39</v>
      </c>
      <c r="D1260" s="30"/>
    </row>
    <row r="1261" spans="1:4" ht="24" x14ac:dyDescent="0.25">
      <c r="A1261" s="28" t="s">
        <v>2175</v>
      </c>
      <c r="B1261" s="36" t="s">
        <v>614</v>
      </c>
      <c r="C1261" s="30">
        <v>1.32</v>
      </c>
      <c r="D1261" s="30"/>
    </row>
    <row r="1262" spans="1:4" ht="24" x14ac:dyDescent="0.25">
      <c r="A1262" s="28" t="s">
        <v>2176</v>
      </c>
      <c r="B1262" s="36" t="s">
        <v>614</v>
      </c>
      <c r="C1262" s="30">
        <v>1.1499999999999999</v>
      </c>
      <c r="D1262" s="30"/>
    </row>
    <row r="1263" spans="1:4" ht="24" x14ac:dyDescent="0.25">
      <c r="A1263" s="28" t="s">
        <v>2401</v>
      </c>
      <c r="B1263" s="36" t="s">
        <v>614</v>
      </c>
      <c r="C1263" s="30">
        <v>2.21</v>
      </c>
      <c r="D1263" s="30"/>
    </row>
    <row r="1264" spans="1:4" x14ac:dyDescent="0.25">
      <c r="A1264" s="35" t="s">
        <v>1454</v>
      </c>
      <c r="B1264" s="36" t="s">
        <v>614</v>
      </c>
      <c r="C1264" s="38">
        <v>6.35</v>
      </c>
      <c r="D1264" s="38"/>
    </row>
    <row r="1265" spans="1:4" x14ac:dyDescent="0.25">
      <c r="A1265" s="35" t="s">
        <v>1453</v>
      </c>
      <c r="B1265" s="36" t="s">
        <v>614</v>
      </c>
      <c r="C1265" s="38">
        <v>4.01</v>
      </c>
      <c r="D1265" s="38"/>
    </row>
    <row r="1266" spans="1:4" x14ac:dyDescent="0.25">
      <c r="A1266" s="35" t="s">
        <v>1452</v>
      </c>
      <c r="B1266" s="36" t="s">
        <v>614</v>
      </c>
      <c r="C1266" s="38">
        <v>3.49</v>
      </c>
      <c r="D1266" s="38"/>
    </row>
    <row r="1267" spans="1:4" x14ac:dyDescent="0.25">
      <c r="A1267" s="35" t="s">
        <v>2560</v>
      </c>
      <c r="B1267" s="36" t="s">
        <v>614</v>
      </c>
      <c r="C1267" s="38">
        <v>10.85</v>
      </c>
      <c r="D1267" s="38"/>
    </row>
    <row r="1268" spans="1:4" x14ac:dyDescent="0.25">
      <c r="A1268" s="35" t="s">
        <v>2559</v>
      </c>
      <c r="B1268" s="36" t="s">
        <v>614</v>
      </c>
      <c r="C1268" s="38">
        <v>9.0500000000000007</v>
      </c>
      <c r="D1268" s="38"/>
    </row>
    <row r="1269" spans="1:4" x14ac:dyDescent="0.25">
      <c r="A1269" s="35" t="s">
        <v>2558</v>
      </c>
      <c r="B1269" s="36" t="s">
        <v>614</v>
      </c>
      <c r="C1269" s="38">
        <v>7.75</v>
      </c>
      <c r="D1269" s="38"/>
    </row>
    <row r="1270" spans="1:4" x14ac:dyDescent="0.25">
      <c r="A1270" s="35" t="s">
        <v>1451</v>
      </c>
      <c r="B1270" s="36" t="s">
        <v>614</v>
      </c>
      <c r="C1270" s="38">
        <v>2.82</v>
      </c>
      <c r="D1270" s="38"/>
    </row>
    <row r="1271" spans="1:4" x14ac:dyDescent="0.25">
      <c r="A1271" s="35" t="s">
        <v>1450</v>
      </c>
      <c r="B1271" s="36" t="s">
        <v>614</v>
      </c>
      <c r="C1271" s="38">
        <v>1.78</v>
      </c>
      <c r="D1271" s="38"/>
    </row>
    <row r="1272" spans="1:4" x14ac:dyDescent="0.25">
      <c r="A1272" s="35" t="s">
        <v>1449</v>
      </c>
      <c r="B1272" s="36" t="s">
        <v>614</v>
      </c>
      <c r="C1272" s="38">
        <v>1.54</v>
      </c>
      <c r="D1272" s="38"/>
    </row>
    <row r="1273" spans="1:4" x14ac:dyDescent="0.25">
      <c r="A1273" s="35" t="s">
        <v>2566</v>
      </c>
      <c r="B1273" s="36" t="s">
        <v>614</v>
      </c>
      <c r="C1273" s="37">
        <v>4.91</v>
      </c>
      <c r="D1273" s="37"/>
    </row>
    <row r="1274" spans="1:4" x14ac:dyDescent="0.25">
      <c r="A1274" s="35" t="s">
        <v>2565</v>
      </c>
      <c r="B1274" s="36" t="s">
        <v>614</v>
      </c>
      <c r="C1274" s="37">
        <v>3.09</v>
      </c>
      <c r="D1274" s="37"/>
    </row>
    <row r="1275" spans="1:4" x14ac:dyDescent="0.25">
      <c r="A1275" s="35" t="s">
        <v>2564</v>
      </c>
      <c r="B1275" s="36" t="s">
        <v>614</v>
      </c>
      <c r="C1275" s="38">
        <v>2.68</v>
      </c>
      <c r="D1275" s="38"/>
    </row>
    <row r="1276" spans="1:4" x14ac:dyDescent="0.25">
      <c r="A1276" s="35" t="s">
        <v>2569</v>
      </c>
      <c r="B1276" s="40" t="s">
        <v>614</v>
      </c>
      <c r="C1276" s="41">
        <v>9.4</v>
      </c>
      <c r="D1276" s="41"/>
    </row>
    <row r="1277" spans="1:4" x14ac:dyDescent="0.25">
      <c r="A1277" s="35" t="s">
        <v>2568</v>
      </c>
      <c r="B1277" s="36" t="s">
        <v>614</v>
      </c>
      <c r="C1277" s="37">
        <v>5.9</v>
      </c>
      <c r="D1277" s="37"/>
    </row>
    <row r="1278" spans="1:4" x14ac:dyDescent="0.25">
      <c r="A1278" s="35" t="s">
        <v>2567</v>
      </c>
      <c r="B1278" s="36" t="s">
        <v>614</v>
      </c>
      <c r="C1278" s="37">
        <v>5.15</v>
      </c>
      <c r="D1278" s="37"/>
    </row>
    <row r="1279" spans="1:4" x14ac:dyDescent="0.25">
      <c r="A1279" s="35" t="s">
        <v>2563</v>
      </c>
      <c r="B1279" s="36" t="s">
        <v>614</v>
      </c>
      <c r="C1279" s="37">
        <v>2.0699999999999998</v>
      </c>
      <c r="D1279" s="37"/>
    </row>
    <row r="1280" spans="1:4" x14ac:dyDescent="0.25">
      <c r="A1280" s="35" t="s">
        <v>2562</v>
      </c>
      <c r="B1280" s="36" t="s">
        <v>614</v>
      </c>
      <c r="C1280" s="30">
        <v>1.29</v>
      </c>
      <c r="D1280" s="30"/>
    </row>
    <row r="1281" spans="1:4" x14ac:dyDescent="0.25">
      <c r="A1281" s="35" t="s">
        <v>2561</v>
      </c>
      <c r="B1281" s="36" t="s">
        <v>614</v>
      </c>
      <c r="C1281" s="30">
        <v>1.1399999999999999</v>
      </c>
      <c r="D1281" s="30"/>
    </row>
    <row r="1282" spans="1:4" x14ac:dyDescent="0.25">
      <c r="A1282" s="35" t="s">
        <v>998</v>
      </c>
      <c r="B1282" s="36" t="s">
        <v>614</v>
      </c>
      <c r="C1282" s="37">
        <v>3.8</v>
      </c>
      <c r="D1282" s="37"/>
    </row>
    <row r="1283" spans="1:4" x14ac:dyDescent="0.25">
      <c r="A1283" s="35" t="s">
        <v>997</v>
      </c>
      <c r="B1283" s="36" t="s">
        <v>614</v>
      </c>
      <c r="C1283" s="37">
        <v>2.37</v>
      </c>
      <c r="D1283" s="37"/>
    </row>
    <row r="1284" spans="1:4" x14ac:dyDescent="0.25">
      <c r="A1284" s="35" t="s">
        <v>996</v>
      </c>
      <c r="B1284" s="36" t="s">
        <v>614</v>
      </c>
      <c r="C1284" s="38">
        <v>2.06</v>
      </c>
      <c r="D1284" s="38"/>
    </row>
    <row r="1285" spans="1:4" x14ac:dyDescent="0.25">
      <c r="A1285" s="35" t="s">
        <v>235</v>
      </c>
      <c r="B1285" s="40" t="s">
        <v>614</v>
      </c>
      <c r="C1285" s="41">
        <v>7.6</v>
      </c>
      <c r="D1285" s="41"/>
    </row>
    <row r="1286" spans="1:4" x14ac:dyDescent="0.25">
      <c r="A1286" s="35" t="s">
        <v>1000</v>
      </c>
      <c r="B1286" s="36" t="s">
        <v>614</v>
      </c>
      <c r="C1286" s="37">
        <v>4.63</v>
      </c>
      <c r="D1286" s="37"/>
    </row>
    <row r="1287" spans="1:4" x14ac:dyDescent="0.25">
      <c r="A1287" s="35" t="s">
        <v>999</v>
      </c>
      <c r="B1287" s="36" t="s">
        <v>614</v>
      </c>
      <c r="C1287" s="37">
        <v>4.04</v>
      </c>
      <c r="D1287" s="37"/>
    </row>
    <row r="1288" spans="1:4" x14ac:dyDescent="0.25">
      <c r="A1288" s="35" t="s">
        <v>995</v>
      </c>
      <c r="B1288" s="36" t="s">
        <v>614</v>
      </c>
      <c r="C1288" s="37">
        <v>1.85</v>
      </c>
      <c r="D1288" s="37"/>
    </row>
    <row r="1289" spans="1:4" x14ac:dyDescent="0.25">
      <c r="A1289" s="35" t="s">
        <v>994</v>
      </c>
      <c r="B1289" s="36" t="s">
        <v>614</v>
      </c>
      <c r="C1289" s="30">
        <v>1.1499999999999999</v>
      </c>
      <c r="D1289" s="30"/>
    </row>
    <row r="1290" spans="1:4" x14ac:dyDescent="0.25">
      <c r="A1290" s="35" t="s">
        <v>993</v>
      </c>
      <c r="B1290" s="36" t="s">
        <v>614</v>
      </c>
      <c r="C1290" s="30">
        <v>1</v>
      </c>
      <c r="D1290" s="30"/>
    </row>
    <row r="1291" spans="1:4" x14ac:dyDescent="0.25">
      <c r="A1291" s="35" t="s">
        <v>186</v>
      </c>
      <c r="B1291" s="36" t="s">
        <v>614</v>
      </c>
      <c r="C1291" s="37">
        <v>7.45</v>
      </c>
      <c r="D1291" s="37"/>
    </row>
    <row r="1292" spans="1:4" x14ac:dyDescent="0.25">
      <c r="A1292" s="35" t="s">
        <v>184</v>
      </c>
      <c r="B1292" s="36" t="s">
        <v>614</v>
      </c>
      <c r="C1292" s="37">
        <v>4.05</v>
      </c>
      <c r="D1292" s="37"/>
    </row>
    <row r="1293" spans="1:4" x14ac:dyDescent="0.25">
      <c r="A1293" s="35" t="s">
        <v>1448</v>
      </c>
      <c r="B1293" s="36" t="s">
        <v>614</v>
      </c>
      <c r="C1293" s="30">
        <v>14.35</v>
      </c>
      <c r="D1293" s="30"/>
    </row>
    <row r="1294" spans="1:4" x14ac:dyDescent="0.25">
      <c r="A1294" s="35" t="s">
        <v>187</v>
      </c>
      <c r="B1294" s="36" t="s">
        <v>614</v>
      </c>
      <c r="C1294" s="30">
        <v>7.75</v>
      </c>
      <c r="D1294" s="30"/>
    </row>
    <row r="1295" spans="1:4" x14ac:dyDescent="0.25">
      <c r="A1295" s="35" t="s">
        <v>427</v>
      </c>
      <c r="B1295" s="36" t="s">
        <v>614</v>
      </c>
      <c r="C1295" s="38">
        <v>3.73</v>
      </c>
      <c r="D1295" s="38"/>
    </row>
    <row r="1296" spans="1:4" x14ac:dyDescent="0.25">
      <c r="A1296" s="35" t="s">
        <v>426</v>
      </c>
      <c r="B1296" s="36" t="s">
        <v>614</v>
      </c>
      <c r="C1296" s="38">
        <v>2.33</v>
      </c>
      <c r="D1296" s="38"/>
    </row>
    <row r="1297" spans="1:4" x14ac:dyDescent="0.25">
      <c r="A1297" s="35" t="s">
        <v>425</v>
      </c>
      <c r="B1297" s="36" t="s">
        <v>614</v>
      </c>
      <c r="C1297" s="37">
        <v>2.02</v>
      </c>
      <c r="D1297" s="37"/>
    </row>
    <row r="1298" spans="1:4" x14ac:dyDescent="0.25">
      <c r="A1298" s="35" t="s">
        <v>185</v>
      </c>
      <c r="B1298" s="36" t="s">
        <v>614</v>
      </c>
      <c r="C1298" s="38">
        <v>4.6500000000000004</v>
      </c>
      <c r="D1298" s="38"/>
    </row>
    <row r="1299" spans="1:4" x14ac:dyDescent="0.25">
      <c r="A1299" s="35" t="s">
        <v>1447</v>
      </c>
      <c r="B1299" s="36" t="s">
        <v>614</v>
      </c>
      <c r="C1299" s="30">
        <v>9.3000000000000007</v>
      </c>
      <c r="D1299" s="30"/>
    </row>
    <row r="1301" spans="1:4" x14ac:dyDescent="0.25">
      <c r="A1301" s="68" t="s">
        <v>1016</v>
      </c>
      <c r="B1301" s="56"/>
      <c r="C1301" s="57"/>
      <c r="D1301" s="57"/>
    </row>
    <row r="1302" spans="1:4" ht="22.8" x14ac:dyDescent="0.25">
      <c r="A1302" s="51" t="s">
        <v>1987</v>
      </c>
      <c r="B1302" s="56" t="s">
        <v>1036</v>
      </c>
      <c r="C1302" s="57">
        <v>6.75</v>
      </c>
      <c r="D1302" s="57"/>
    </row>
    <row r="1303" spans="1:4" x14ac:dyDescent="0.25">
      <c r="A1303" s="51" t="s">
        <v>1018</v>
      </c>
      <c r="B1303" s="56" t="s">
        <v>603</v>
      </c>
      <c r="C1303" s="57">
        <v>39.5</v>
      </c>
      <c r="D1303" s="57"/>
    </row>
    <row r="1304" spans="1:4" x14ac:dyDescent="0.25">
      <c r="A1304" s="51" t="s">
        <v>1019</v>
      </c>
      <c r="B1304" s="56" t="s">
        <v>603</v>
      </c>
      <c r="C1304" s="57">
        <v>29.5</v>
      </c>
      <c r="D1304" s="57"/>
    </row>
    <row r="1305" spans="1:4" x14ac:dyDescent="0.25">
      <c r="A1305" s="51" t="s">
        <v>1017</v>
      </c>
      <c r="B1305" s="56" t="s">
        <v>603</v>
      </c>
      <c r="C1305" s="57">
        <v>39.5</v>
      </c>
      <c r="D1305" s="57"/>
    </row>
    <row r="1306" spans="1:4" x14ac:dyDescent="0.25">
      <c r="A1306" s="51" t="s">
        <v>1718</v>
      </c>
      <c r="B1306" s="56" t="s">
        <v>603</v>
      </c>
      <c r="C1306" s="57">
        <v>72.78</v>
      </c>
      <c r="D1306" s="57"/>
    </row>
    <row r="1307" spans="1:4" x14ac:dyDescent="0.25">
      <c r="A1307" s="51" t="s">
        <v>1719</v>
      </c>
      <c r="B1307" s="56" t="s">
        <v>2734</v>
      </c>
      <c r="C1307" s="57">
        <v>4.9800000000000004</v>
      </c>
      <c r="D1307" s="57"/>
    </row>
    <row r="1308" spans="1:4" x14ac:dyDescent="0.25">
      <c r="A1308" s="51" t="s">
        <v>1720</v>
      </c>
      <c r="B1308" s="56" t="s">
        <v>2734</v>
      </c>
      <c r="C1308" s="57">
        <v>6.3</v>
      </c>
      <c r="D1308" s="57"/>
    </row>
    <row r="1309" spans="1:4" x14ac:dyDescent="0.25">
      <c r="A1309" s="52" t="s">
        <v>2770</v>
      </c>
      <c r="B1309" s="58" t="s">
        <v>2734</v>
      </c>
      <c r="C1309" s="57">
        <v>150</v>
      </c>
      <c r="D1309" s="57"/>
    </row>
    <row r="1310" spans="1:4" x14ac:dyDescent="0.25">
      <c r="A1310" s="52" t="s">
        <v>2771</v>
      </c>
      <c r="B1310" s="58" t="s">
        <v>2734</v>
      </c>
      <c r="C1310" s="57">
        <v>200</v>
      </c>
      <c r="D1310" s="57"/>
    </row>
    <row r="1311" spans="1:4" x14ac:dyDescent="0.25">
      <c r="A1311" s="52" t="s">
        <v>549</v>
      </c>
      <c r="B1311" s="58" t="s">
        <v>2734</v>
      </c>
      <c r="C1311" s="57">
        <v>150</v>
      </c>
      <c r="D1311" s="57"/>
    </row>
    <row r="1312" spans="1:4" x14ac:dyDescent="0.25">
      <c r="A1312" s="53" t="s">
        <v>550</v>
      </c>
      <c r="B1312" s="58" t="s">
        <v>2734</v>
      </c>
      <c r="C1312" s="57">
        <v>200</v>
      </c>
      <c r="D1312" s="57"/>
    </row>
    <row r="1313" spans="1:4" x14ac:dyDescent="0.25">
      <c r="A1313" s="51" t="s">
        <v>984</v>
      </c>
      <c r="B1313" s="57" t="s">
        <v>2734</v>
      </c>
      <c r="C1313" s="57">
        <v>250</v>
      </c>
      <c r="D1313" s="57"/>
    </row>
    <row r="1314" spans="1:4" x14ac:dyDescent="0.25">
      <c r="A1314" s="54" t="s">
        <v>547</v>
      </c>
      <c r="B1314" s="56" t="s">
        <v>2734</v>
      </c>
      <c r="C1314" s="57">
        <v>60</v>
      </c>
      <c r="D1314" s="57"/>
    </row>
    <row r="1315" spans="1:4" x14ac:dyDescent="0.25">
      <c r="A1315" s="53" t="s">
        <v>1035</v>
      </c>
      <c r="B1315" s="58" t="s">
        <v>1036</v>
      </c>
      <c r="C1315" s="57">
        <v>2.25</v>
      </c>
      <c r="D1315" s="57"/>
    </row>
    <row r="1316" spans="1:4" x14ac:dyDescent="0.25">
      <c r="A1316" s="51" t="s">
        <v>985</v>
      </c>
      <c r="B1316" s="56" t="s">
        <v>2734</v>
      </c>
      <c r="C1316" s="57">
        <v>75</v>
      </c>
      <c r="D1316" s="57"/>
    </row>
    <row r="1317" spans="1:4" x14ac:dyDescent="0.25">
      <c r="A1317" s="54" t="s">
        <v>548</v>
      </c>
      <c r="B1317" s="57" t="s">
        <v>1388</v>
      </c>
      <c r="C1317" s="57">
        <v>0.8</v>
      </c>
      <c r="D1317" s="57"/>
    </row>
    <row r="1318" spans="1:4" x14ac:dyDescent="0.25">
      <c r="A1318" s="51" t="s">
        <v>401</v>
      </c>
      <c r="B1318" s="56" t="s">
        <v>1388</v>
      </c>
      <c r="C1318" s="57">
        <v>1.07</v>
      </c>
      <c r="D1318" s="57"/>
    </row>
    <row r="1319" spans="1:4" x14ac:dyDescent="0.25">
      <c r="A1319" s="51" t="s">
        <v>402</v>
      </c>
      <c r="B1319" s="56" t="s">
        <v>1388</v>
      </c>
      <c r="C1319" s="57">
        <v>1.04</v>
      </c>
      <c r="D1319" s="57"/>
    </row>
    <row r="1320" spans="1:4" x14ac:dyDescent="0.25">
      <c r="A1320" s="51" t="s">
        <v>403</v>
      </c>
      <c r="B1320" s="56" t="s">
        <v>1388</v>
      </c>
      <c r="C1320" s="57">
        <v>1.55</v>
      </c>
      <c r="D1320" s="57"/>
    </row>
    <row r="1322" spans="1:4" x14ac:dyDescent="0.25">
      <c r="A1322" s="68" t="s">
        <v>178</v>
      </c>
    </row>
    <row r="1324" spans="1:4" x14ac:dyDescent="0.25">
      <c r="A1324" s="51" t="s">
        <v>696</v>
      </c>
      <c r="B1324" s="56" t="s">
        <v>2734</v>
      </c>
      <c r="C1324" s="57">
        <v>360</v>
      </c>
    </row>
    <row r="1325" spans="1:4" x14ac:dyDescent="0.25">
      <c r="A1325" s="51" t="s">
        <v>1377</v>
      </c>
      <c r="B1325" s="56" t="s">
        <v>2734</v>
      </c>
      <c r="C1325" s="57">
        <v>492</v>
      </c>
    </row>
    <row r="1326" spans="1:4" x14ac:dyDescent="0.25">
      <c r="A1326" s="51" t="s">
        <v>1378</v>
      </c>
      <c r="B1326" s="56" t="s">
        <v>2734</v>
      </c>
      <c r="C1326" s="57">
        <v>685</v>
      </c>
    </row>
    <row r="1327" spans="1:4" x14ac:dyDescent="0.25">
      <c r="A1327" s="51" t="s">
        <v>1379</v>
      </c>
      <c r="B1327" s="56" t="s">
        <v>2734</v>
      </c>
      <c r="C1327" s="57">
        <v>350</v>
      </c>
    </row>
    <row r="1328" spans="1:4" x14ac:dyDescent="0.25">
      <c r="A1328" s="51" t="s">
        <v>671</v>
      </c>
      <c r="B1328" s="56" t="s">
        <v>2734</v>
      </c>
      <c r="C1328" s="57">
        <v>390</v>
      </c>
    </row>
    <row r="1329" spans="1:3" x14ac:dyDescent="0.25">
      <c r="A1329" s="51" t="s">
        <v>672</v>
      </c>
      <c r="B1329" s="56" t="s">
        <v>2734</v>
      </c>
      <c r="C1329" s="57">
        <v>460</v>
      </c>
    </row>
    <row r="1331" spans="1:3" x14ac:dyDescent="0.25">
      <c r="A1331" s="26" t="s">
        <v>1977</v>
      </c>
      <c r="B1331" s="31" t="s">
        <v>1181</v>
      </c>
      <c r="C1331" s="30">
        <v>1.59</v>
      </c>
    </row>
    <row r="1332" spans="1:3" x14ac:dyDescent="0.25">
      <c r="A1332" s="26" t="s">
        <v>2018</v>
      </c>
      <c r="B1332" s="31" t="s">
        <v>1181</v>
      </c>
      <c r="C1332" s="30">
        <v>27.5</v>
      </c>
    </row>
    <row r="1333" spans="1:3" x14ac:dyDescent="0.25">
      <c r="A1333" s="35" t="s">
        <v>2020</v>
      </c>
      <c r="B1333" s="31" t="s">
        <v>399</v>
      </c>
      <c r="C1333" s="30">
        <v>0.98</v>
      </c>
    </row>
    <row r="1334" spans="1:3" x14ac:dyDescent="0.25">
      <c r="A1334" s="26" t="s">
        <v>2019</v>
      </c>
      <c r="B1334" s="31" t="s">
        <v>399</v>
      </c>
      <c r="C1334" s="30">
        <v>0.39</v>
      </c>
    </row>
    <row r="1335" spans="1:3" x14ac:dyDescent="0.25">
      <c r="A1335" s="35" t="s">
        <v>2021</v>
      </c>
      <c r="B1335" s="31" t="s">
        <v>399</v>
      </c>
      <c r="C1335" s="30">
        <v>0.51</v>
      </c>
    </row>
    <row r="1336" spans="1:3" x14ac:dyDescent="0.25">
      <c r="A1336" s="35" t="s">
        <v>2022</v>
      </c>
      <c r="B1336" s="31" t="s">
        <v>399</v>
      </c>
      <c r="C1336" s="30">
        <v>0.74</v>
      </c>
    </row>
    <row r="1337" spans="1:3" x14ac:dyDescent="0.25">
      <c r="A1337" s="28" t="s">
        <v>1190</v>
      </c>
      <c r="B1337" s="34" t="s">
        <v>1802</v>
      </c>
      <c r="C1337" s="30">
        <v>1.52</v>
      </c>
    </row>
    <row r="1338" spans="1:3" x14ac:dyDescent="0.25">
      <c r="A1338" s="28" t="s">
        <v>1189</v>
      </c>
      <c r="B1338" s="34" t="s">
        <v>1802</v>
      </c>
      <c r="C1338" s="30">
        <v>1.2</v>
      </c>
    </row>
    <row r="1339" spans="1:3" x14ac:dyDescent="0.25">
      <c r="A1339" s="35" t="s">
        <v>1592</v>
      </c>
      <c r="B1339" s="36" t="s">
        <v>1802</v>
      </c>
      <c r="C1339" s="37">
        <v>1.29</v>
      </c>
    </row>
    <row r="1340" spans="1:3" x14ac:dyDescent="0.25">
      <c r="A1340" s="35" t="s">
        <v>1591</v>
      </c>
      <c r="B1340" s="36" t="s">
        <v>1802</v>
      </c>
      <c r="C1340" s="38">
        <v>1.0900000000000001</v>
      </c>
    </row>
    <row r="1341" spans="1:3" x14ac:dyDescent="0.25">
      <c r="A1341" s="35" t="s">
        <v>2409</v>
      </c>
      <c r="B1341" s="36" t="s">
        <v>1802</v>
      </c>
      <c r="C1341" s="37">
        <v>0.56999999999999995</v>
      </c>
    </row>
    <row r="1342" spans="1:3" x14ac:dyDescent="0.25">
      <c r="A1342" s="35" t="s">
        <v>2408</v>
      </c>
      <c r="B1342" s="36" t="s">
        <v>1802</v>
      </c>
      <c r="C1342" s="38">
        <v>2.84</v>
      </c>
    </row>
    <row r="1343" spans="1:3" x14ac:dyDescent="0.25">
      <c r="A1343" s="28" t="s">
        <v>2415</v>
      </c>
      <c r="B1343" s="34" t="s">
        <v>1802</v>
      </c>
      <c r="C1343" s="30">
        <v>0.63</v>
      </c>
    </row>
    <row r="1344" spans="1:3" x14ac:dyDescent="0.25">
      <c r="A1344" s="28" t="s">
        <v>2740</v>
      </c>
      <c r="B1344" s="34" t="s">
        <v>1802</v>
      </c>
      <c r="C1344" s="30">
        <v>3.14</v>
      </c>
    </row>
    <row r="1345" spans="1:4" x14ac:dyDescent="0.25">
      <c r="A1345" s="35" t="s">
        <v>2845</v>
      </c>
      <c r="B1345" s="36" t="s">
        <v>2379</v>
      </c>
      <c r="C1345" s="37">
        <v>3.7</v>
      </c>
    </row>
    <row r="1346" spans="1:4" x14ac:dyDescent="0.25">
      <c r="A1346" s="35" t="s">
        <v>2846</v>
      </c>
      <c r="B1346" s="36" t="s">
        <v>2379</v>
      </c>
      <c r="C1346" s="37">
        <v>5.95</v>
      </c>
    </row>
    <row r="1347" spans="1:4" ht="24" x14ac:dyDescent="0.25">
      <c r="A1347" s="35" t="s">
        <v>440</v>
      </c>
      <c r="B1347" s="36" t="s">
        <v>1181</v>
      </c>
      <c r="C1347" s="37">
        <v>4.0999999999999996</v>
      </c>
      <c r="D1347" s="37"/>
    </row>
    <row r="1348" spans="1:4" ht="24" x14ac:dyDescent="0.25">
      <c r="A1348" s="35" t="s">
        <v>751</v>
      </c>
      <c r="B1348" s="36" t="s">
        <v>1181</v>
      </c>
      <c r="C1348" s="37">
        <v>3.44</v>
      </c>
      <c r="D1348" s="37"/>
    </row>
    <row r="1349" spans="1:4" ht="24" x14ac:dyDescent="0.25">
      <c r="A1349" s="35" t="s">
        <v>758</v>
      </c>
      <c r="B1349" s="36" t="s">
        <v>1181</v>
      </c>
      <c r="C1349" s="37">
        <v>2.99</v>
      </c>
      <c r="D1349" s="37"/>
    </row>
    <row r="1350" spans="1:4" ht="24" x14ac:dyDescent="0.25">
      <c r="A1350" s="35" t="s">
        <v>2413</v>
      </c>
      <c r="B1350" s="36" t="s">
        <v>1181</v>
      </c>
      <c r="C1350" s="37">
        <v>14.85</v>
      </c>
      <c r="D1350" s="37"/>
    </row>
    <row r="1351" spans="1:4" ht="24" x14ac:dyDescent="0.25">
      <c r="A1351" s="35" t="s">
        <v>2017</v>
      </c>
      <c r="B1351" s="36" t="s">
        <v>1181</v>
      </c>
      <c r="C1351" s="37">
        <v>4.78</v>
      </c>
      <c r="D1351" s="37"/>
    </row>
    <row r="1352" spans="1:4" ht="24" x14ac:dyDescent="0.25">
      <c r="A1352" s="35" t="s">
        <v>1975</v>
      </c>
      <c r="B1352" s="36" t="s">
        <v>1181</v>
      </c>
      <c r="C1352" s="37">
        <v>22</v>
      </c>
      <c r="D1352" s="37"/>
    </row>
    <row r="1353" spans="1:4" ht="24" x14ac:dyDescent="0.25">
      <c r="A1353" s="35" t="s">
        <v>2410</v>
      </c>
      <c r="B1353" s="36" t="s">
        <v>1181</v>
      </c>
      <c r="C1353" s="37">
        <v>5.05</v>
      </c>
      <c r="D1353" s="37"/>
    </row>
    <row r="1354" spans="1:4" ht="24" x14ac:dyDescent="0.25">
      <c r="A1354" s="35" t="s">
        <v>2411</v>
      </c>
      <c r="B1354" s="36" t="s">
        <v>1181</v>
      </c>
      <c r="C1354" s="37">
        <v>6.9</v>
      </c>
      <c r="D1354" s="37"/>
    </row>
    <row r="1355" spans="1:4" ht="24" x14ac:dyDescent="0.25">
      <c r="A1355" s="35" t="s">
        <v>2412</v>
      </c>
      <c r="B1355" s="36" t="s">
        <v>1181</v>
      </c>
      <c r="C1355" s="37">
        <v>11</v>
      </c>
      <c r="D1355" s="37"/>
    </row>
    <row r="1356" spans="1:4" ht="24" x14ac:dyDescent="0.25">
      <c r="A1356" s="35" t="s">
        <v>2001</v>
      </c>
      <c r="B1356" s="36" t="s">
        <v>1181</v>
      </c>
      <c r="C1356" s="37">
        <v>5.35</v>
      </c>
      <c r="D1356" s="37"/>
    </row>
    <row r="1357" spans="1:4" ht="24" x14ac:dyDescent="0.25">
      <c r="A1357" s="35" t="s">
        <v>2000</v>
      </c>
      <c r="B1357" s="36" t="s">
        <v>1181</v>
      </c>
      <c r="C1357" s="37">
        <v>4.3499999999999996</v>
      </c>
      <c r="D1357" s="37"/>
    </row>
    <row r="1358" spans="1:4" ht="24" x14ac:dyDescent="0.25">
      <c r="A1358" s="35" t="s">
        <v>609</v>
      </c>
      <c r="B1358" s="36" t="s">
        <v>1181</v>
      </c>
      <c r="C1358" s="37">
        <v>3.56</v>
      </c>
      <c r="D1358" s="37"/>
    </row>
    <row r="1359" spans="1:4" ht="24" x14ac:dyDescent="0.25">
      <c r="A1359" s="35" t="s">
        <v>2002</v>
      </c>
      <c r="B1359" s="36" t="s">
        <v>1181</v>
      </c>
      <c r="C1359" s="37">
        <v>6.95</v>
      </c>
      <c r="D1359" s="37"/>
    </row>
    <row r="1360" spans="1:4" ht="24" x14ac:dyDescent="0.25">
      <c r="A1360" s="35" t="s">
        <v>2003</v>
      </c>
      <c r="B1360" s="36" t="s">
        <v>1181</v>
      </c>
      <c r="C1360" s="37">
        <v>8.6999999999999993</v>
      </c>
      <c r="D1360" s="37"/>
    </row>
    <row r="1361" spans="1:4" ht="24" x14ac:dyDescent="0.25">
      <c r="A1361" s="35" t="s">
        <v>2004</v>
      </c>
      <c r="B1361" s="36" t="s">
        <v>1181</v>
      </c>
      <c r="C1361" s="37">
        <v>9.9499999999999993</v>
      </c>
      <c r="D1361" s="37"/>
    </row>
    <row r="1362" spans="1:4" x14ac:dyDescent="0.25">
      <c r="A1362" s="26" t="s">
        <v>1976</v>
      </c>
      <c r="B1362" s="31" t="s">
        <v>2206</v>
      </c>
      <c r="C1362" s="30">
        <v>68</v>
      </c>
      <c r="D1362" s="30"/>
    </row>
    <row r="1363" spans="1:4" x14ac:dyDescent="0.25">
      <c r="A1363" s="28" t="s">
        <v>2260</v>
      </c>
      <c r="B1363" s="34" t="s">
        <v>2202</v>
      </c>
      <c r="C1363" s="30">
        <v>2.75</v>
      </c>
      <c r="D1363" s="30"/>
    </row>
    <row r="1364" spans="1:4" x14ac:dyDescent="0.25">
      <c r="A1364" s="28" t="s">
        <v>1042</v>
      </c>
      <c r="B1364" s="34" t="s">
        <v>2734</v>
      </c>
      <c r="C1364" s="30">
        <v>207</v>
      </c>
      <c r="D1364" s="30"/>
    </row>
    <row r="1365" spans="1:4" x14ac:dyDescent="0.25">
      <c r="A1365" s="28" t="s">
        <v>1039</v>
      </c>
      <c r="B1365" s="34" t="s">
        <v>2734</v>
      </c>
      <c r="C1365" s="30">
        <v>305</v>
      </c>
      <c r="D1365" s="30"/>
    </row>
    <row r="1366" spans="1:4" x14ac:dyDescent="0.25">
      <c r="A1366" s="28" t="s">
        <v>1040</v>
      </c>
      <c r="B1366" s="34" t="s">
        <v>2734</v>
      </c>
      <c r="C1366" s="30">
        <v>52.5</v>
      </c>
      <c r="D1366" s="30"/>
    </row>
    <row r="1367" spans="1:4" x14ac:dyDescent="0.25">
      <c r="A1367" s="28" t="s">
        <v>1041</v>
      </c>
      <c r="B1367" s="34" t="s">
        <v>2734</v>
      </c>
      <c r="C1367" s="30">
        <v>129</v>
      </c>
      <c r="D1367" s="30"/>
    </row>
    <row r="1368" spans="1:4" x14ac:dyDescent="0.25">
      <c r="A1368" s="26" t="s">
        <v>1369</v>
      </c>
      <c r="B1368" s="31" t="s">
        <v>2202</v>
      </c>
      <c r="C1368" s="30">
        <v>6.75</v>
      </c>
      <c r="D1368" s="30"/>
    </row>
    <row r="1369" spans="1:4" x14ac:dyDescent="0.25">
      <c r="A1369" s="26" t="s">
        <v>1370</v>
      </c>
      <c r="B1369" s="31" t="s">
        <v>2202</v>
      </c>
      <c r="C1369" s="30">
        <v>4.8499999999999996</v>
      </c>
      <c r="D1369" s="30"/>
    </row>
    <row r="1370" spans="1:4" x14ac:dyDescent="0.25">
      <c r="A1370" s="28" t="s">
        <v>2259</v>
      </c>
      <c r="B1370" s="34" t="s">
        <v>2377</v>
      </c>
      <c r="C1370" s="30">
        <v>435</v>
      </c>
      <c r="D1370" s="30"/>
    </row>
    <row r="1371" spans="1:4" ht="24" x14ac:dyDescent="0.25">
      <c r="A1371" s="35" t="s">
        <v>2701</v>
      </c>
      <c r="B1371" s="36" t="s">
        <v>2840</v>
      </c>
      <c r="C1371" s="37">
        <v>77</v>
      </c>
      <c r="D1371" s="37"/>
    </row>
    <row r="1372" spans="1:4" x14ac:dyDescent="0.25">
      <c r="A1372" s="28" t="s">
        <v>2097</v>
      </c>
      <c r="B1372" s="34" t="s">
        <v>1802</v>
      </c>
      <c r="C1372" s="30">
        <v>0.47</v>
      </c>
      <c r="D1372" s="30"/>
    </row>
    <row r="1373" spans="1:4" x14ac:dyDescent="0.25">
      <c r="A1373" s="35" t="s">
        <v>1970</v>
      </c>
      <c r="B1373" s="36" t="s">
        <v>1711</v>
      </c>
      <c r="C1373" s="37">
        <v>12.1</v>
      </c>
      <c r="D1373" s="37"/>
    </row>
    <row r="1374" spans="1:4" x14ac:dyDescent="0.25">
      <c r="A1374" s="35" t="s">
        <v>1971</v>
      </c>
      <c r="B1374" s="36" t="s">
        <v>1711</v>
      </c>
      <c r="C1374" s="37">
        <v>29</v>
      </c>
      <c r="D1374" s="37"/>
    </row>
    <row r="1375" spans="1:4" x14ac:dyDescent="0.25">
      <c r="A1375" s="35" t="s">
        <v>1972</v>
      </c>
      <c r="B1375" s="36" t="s">
        <v>1711</v>
      </c>
      <c r="C1375" s="37">
        <v>29</v>
      </c>
      <c r="D1375" s="37"/>
    </row>
    <row r="1376" spans="1:4" x14ac:dyDescent="0.25">
      <c r="A1376" s="26" t="s">
        <v>244</v>
      </c>
      <c r="B1376" s="31" t="s">
        <v>1715</v>
      </c>
      <c r="C1376" s="30">
        <v>73.33</v>
      </c>
      <c r="D1376" s="30"/>
    </row>
    <row r="1377" spans="1:4" x14ac:dyDescent="0.25">
      <c r="A1377" s="27" t="s">
        <v>2793</v>
      </c>
      <c r="B1377" s="30" t="s">
        <v>1715</v>
      </c>
      <c r="C1377" s="32">
        <v>4.75</v>
      </c>
      <c r="D1377" s="32"/>
    </row>
    <row r="1378" spans="1:4" x14ac:dyDescent="0.25">
      <c r="A1378" s="26" t="s">
        <v>622</v>
      </c>
      <c r="B1378" s="31" t="s">
        <v>2834</v>
      </c>
      <c r="C1378" s="30">
        <v>8</v>
      </c>
      <c r="D1378" s="30"/>
    </row>
    <row r="1379" spans="1:4" x14ac:dyDescent="0.25">
      <c r="A1379" s="28" t="s">
        <v>1501</v>
      </c>
      <c r="B1379" s="34" t="s">
        <v>2840</v>
      </c>
      <c r="C1379" s="30">
        <v>1.73</v>
      </c>
      <c r="D1379" s="30"/>
    </row>
    <row r="1380" spans="1:4" x14ac:dyDescent="0.25">
      <c r="A1380" s="28" t="s">
        <v>1502</v>
      </c>
      <c r="B1380" s="34" t="s">
        <v>2840</v>
      </c>
      <c r="C1380" s="30">
        <v>0.95</v>
      </c>
      <c r="D1380" s="30"/>
    </row>
    <row r="1381" spans="1:4" x14ac:dyDescent="0.25">
      <c r="A1381" s="28" t="s">
        <v>1500</v>
      </c>
      <c r="B1381" s="34" t="s">
        <v>2840</v>
      </c>
      <c r="C1381" s="30">
        <v>1.99</v>
      </c>
      <c r="D1381" s="30"/>
    </row>
    <row r="1382" spans="1:4" x14ac:dyDescent="0.25">
      <c r="A1382" s="28" t="s">
        <v>1499</v>
      </c>
      <c r="B1382" s="34" t="s">
        <v>2840</v>
      </c>
      <c r="C1382" s="30">
        <v>0.99</v>
      </c>
      <c r="D1382" s="30"/>
    </row>
    <row r="1383" spans="1:4" x14ac:dyDescent="0.25">
      <c r="A1383" s="26" t="s">
        <v>2359</v>
      </c>
      <c r="B1383" s="34" t="s">
        <v>2840</v>
      </c>
      <c r="C1383" s="30">
        <v>1.69</v>
      </c>
      <c r="D1383" s="30"/>
    </row>
    <row r="1384" spans="1:4" x14ac:dyDescent="0.25">
      <c r="A1384" s="26" t="s">
        <v>1340</v>
      </c>
      <c r="B1384" s="34" t="s">
        <v>2840</v>
      </c>
      <c r="C1384" s="30">
        <v>0.87</v>
      </c>
      <c r="D1384" s="30"/>
    </row>
    <row r="1385" spans="1:4" x14ac:dyDescent="0.25">
      <c r="A1385" s="28" t="s">
        <v>1102</v>
      </c>
      <c r="B1385" s="34" t="s">
        <v>2772</v>
      </c>
      <c r="C1385" s="30">
        <v>1.39</v>
      </c>
      <c r="D1385" s="30"/>
    </row>
    <row r="1386" spans="1:4" x14ac:dyDescent="0.25">
      <c r="A1386" s="28" t="s">
        <v>1104</v>
      </c>
      <c r="B1386" s="34" t="s">
        <v>2772</v>
      </c>
      <c r="C1386" s="30">
        <v>1.1499999999999999</v>
      </c>
      <c r="D1386" s="30"/>
    </row>
    <row r="1387" spans="1:4" x14ac:dyDescent="0.25">
      <c r="A1387" s="28" t="s">
        <v>1498</v>
      </c>
      <c r="B1387" s="34" t="s">
        <v>2772</v>
      </c>
      <c r="C1387" s="30">
        <v>1.1299999999999999</v>
      </c>
      <c r="D1387" s="30"/>
    </row>
    <row r="1388" spans="1:4" x14ac:dyDescent="0.25">
      <c r="A1388" s="28" t="s">
        <v>1174</v>
      </c>
      <c r="B1388" s="34" t="s">
        <v>2772</v>
      </c>
      <c r="C1388" s="30">
        <v>0.69</v>
      </c>
      <c r="D1388" s="30"/>
    </row>
    <row r="1389" spans="1:4" x14ac:dyDescent="0.25">
      <c r="A1389" s="28" t="s">
        <v>1103</v>
      </c>
      <c r="B1389" s="34" t="s">
        <v>2772</v>
      </c>
      <c r="C1389" s="30">
        <v>0.63</v>
      </c>
      <c r="D1389" s="30"/>
    </row>
    <row r="1390" spans="1:4" x14ac:dyDescent="0.25">
      <c r="A1390" s="28" t="s">
        <v>1497</v>
      </c>
      <c r="B1390" s="34" t="s">
        <v>2772</v>
      </c>
      <c r="C1390" s="30">
        <v>0.57999999999999996</v>
      </c>
      <c r="D1390" s="30"/>
    </row>
    <row r="1391" spans="1:4" ht="24" x14ac:dyDescent="0.25">
      <c r="A1391" s="26" t="s">
        <v>2360</v>
      </c>
      <c r="B1391" s="34" t="s">
        <v>2840</v>
      </c>
      <c r="C1391" s="30">
        <v>1.84</v>
      </c>
      <c r="D1391" s="30"/>
    </row>
    <row r="1392" spans="1:4" ht="24" x14ac:dyDescent="0.25">
      <c r="A1392" s="26" t="s">
        <v>2361</v>
      </c>
      <c r="B1392" s="34" t="s">
        <v>2840</v>
      </c>
      <c r="C1392" s="30">
        <v>3.07</v>
      </c>
      <c r="D1392" s="30"/>
    </row>
    <row r="1393" spans="1:4" ht="24" x14ac:dyDescent="0.25">
      <c r="A1393" s="26" t="s">
        <v>2362</v>
      </c>
      <c r="B1393" s="34" t="s">
        <v>2840</v>
      </c>
      <c r="C1393" s="30">
        <v>7.1</v>
      </c>
      <c r="D1393" s="30"/>
    </row>
    <row r="1394" spans="1:4" ht="24" x14ac:dyDescent="0.25">
      <c r="A1394" s="28" t="s">
        <v>1602</v>
      </c>
      <c r="B1394" s="36" t="s">
        <v>2202</v>
      </c>
      <c r="C1394" s="30">
        <v>0.47</v>
      </c>
      <c r="D1394" s="30"/>
    </row>
    <row r="1395" spans="1:4" ht="24" x14ac:dyDescent="0.25">
      <c r="A1395" s="28" t="s">
        <v>1603</v>
      </c>
      <c r="B1395" s="36" t="s">
        <v>2202</v>
      </c>
      <c r="C1395" s="30">
        <v>0.7</v>
      </c>
      <c r="D1395" s="30"/>
    </row>
    <row r="1396" spans="1:4" ht="24" x14ac:dyDescent="0.25">
      <c r="A1396" s="28" t="s">
        <v>1001</v>
      </c>
      <c r="B1396" s="36" t="s">
        <v>2202</v>
      </c>
      <c r="C1396" s="30">
        <v>0.93</v>
      </c>
      <c r="D1396" s="30"/>
    </row>
    <row r="1397" spans="1:4" ht="24" x14ac:dyDescent="0.25">
      <c r="A1397" s="28" t="s">
        <v>1002</v>
      </c>
      <c r="B1397" s="36" t="s">
        <v>2202</v>
      </c>
      <c r="C1397" s="30">
        <v>0.69</v>
      </c>
      <c r="D1397" s="30"/>
    </row>
    <row r="1398" spans="1:4" ht="24" x14ac:dyDescent="0.25">
      <c r="A1398" s="28" t="s">
        <v>1003</v>
      </c>
      <c r="B1398" s="36" t="s">
        <v>2202</v>
      </c>
      <c r="C1398" s="30">
        <v>0.91</v>
      </c>
      <c r="D1398" s="30"/>
    </row>
    <row r="1399" spans="1:4" ht="24" x14ac:dyDescent="0.25">
      <c r="A1399" s="28" t="s">
        <v>2714</v>
      </c>
      <c r="B1399" s="36" t="s">
        <v>2202</v>
      </c>
      <c r="C1399" s="30">
        <v>1.37</v>
      </c>
      <c r="D1399" s="30"/>
    </row>
    <row r="1400" spans="1:4" ht="24" x14ac:dyDescent="0.25">
      <c r="A1400" s="28" t="s">
        <v>2516</v>
      </c>
      <c r="B1400" s="36" t="s">
        <v>2202</v>
      </c>
      <c r="C1400" s="30">
        <v>2.06</v>
      </c>
      <c r="D1400" s="30"/>
    </row>
    <row r="1401" spans="1:4" ht="24" x14ac:dyDescent="0.25">
      <c r="A1401" s="28" t="s">
        <v>2517</v>
      </c>
      <c r="B1401" s="36" t="s">
        <v>2202</v>
      </c>
      <c r="C1401" s="30">
        <v>0.93</v>
      </c>
      <c r="D1401" s="30"/>
    </row>
    <row r="1402" spans="1:4" ht="24" x14ac:dyDescent="0.25">
      <c r="A1402" s="28" t="s">
        <v>2518</v>
      </c>
      <c r="B1402" s="36" t="s">
        <v>2202</v>
      </c>
      <c r="C1402" s="30">
        <v>1.39</v>
      </c>
      <c r="D1402" s="30"/>
    </row>
    <row r="1403" spans="1:4" ht="24" x14ac:dyDescent="0.25">
      <c r="A1403" s="28" t="s">
        <v>2519</v>
      </c>
      <c r="B1403" s="36" t="s">
        <v>2202</v>
      </c>
      <c r="C1403" s="30">
        <v>1.85</v>
      </c>
      <c r="D1403" s="30"/>
    </row>
    <row r="1404" spans="1:4" ht="24" x14ac:dyDescent="0.25">
      <c r="A1404" s="28" t="s">
        <v>2731</v>
      </c>
      <c r="B1404" s="36" t="s">
        <v>2202</v>
      </c>
      <c r="C1404" s="30">
        <v>2.74</v>
      </c>
      <c r="D1404" s="30"/>
    </row>
    <row r="1405" spans="1:4" ht="24" x14ac:dyDescent="0.25">
      <c r="A1405" s="35" t="s">
        <v>2681</v>
      </c>
      <c r="B1405" s="36" t="s">
        <v>2202</v>
      </c>
      <c r="C1405" s="37">
        <v>0.56999999999999995</v>
      </c>
      <c r="D1405" s="37"/>
    </row>
    <row r="1406" spans="1:4" ht="24" x14ac:dyDescent="0.25">
      <c r="A1406" s="35" t="s">
        <v>2682</v>
      </c>
      <c r="B1406" s="36" t="s">
        <v>2202</v>
      </c>
      <c r="C1406" s="38">
        <v>0.6</v>
      </c>
      <c r="D1406" s="38"/>
    </row>
    <row r="1407" spans="1:4" ht="24" x14ac:dyDescent="0.25">
      <c r="A1407" s="35" t="s">
        <v>2683</v>
      </c>
      <c r="B1407" s="36" t="s">
        <v>2202</v>
      </c>
      <c r="C1407" s="38">
        <v>0.65</v>
      </c>
      <c r="D1407" s="38"/>
    </row>
    <row r="1408" spans="1:4" ht="24" x14ac:dyDescent="0.25">
      <c r="A1408" s="35" t="s">
        <v>2684</v>
      </c>
      <c r="B1408" s="36" t="s">
        <v>2202</v>
      </c>
      <c r="C1408" s="37">
        <v>0.69</v>
      </c>
      <c r="D1408" s="37"/>
    </row>
    <row r="1409" spans="1:4" ht="24" x14ac:dyDescent="0.25">
      <c r="A1409" s="35" t="s">
        <v>2685</v>
      </c>
      <c r="B1409" s="36" t="s">
        <v>2202</v>
      </c>
      <c r="C1409" s="37">
        <v>0.75</v>
      </c>
      <c r="D1409" s="37"/>
    </row>
    <row r="1410" spans="1:4" ht="24" x14ac:dyDescent="0.25">
      <c r="A1410" s="35" t="s">
        <v>450</v>
      </c>
      <c r="B1410" s="36" t="s">
        <v>2202</v>
      </c>
      <c r="C1410" s="37">
        <v>0.82</v>
      </c>
      <c r="D1410" s="37"/>
    </row>
    <row r="1411" spans="1:4" ht="24" x14ac:dyDescent="0.25">
      <c r="A1411" s="35" t="s">
        <v>451</v>
      </c>
      <c r="B1411" s="36" t="s">
        <v>2202</v>
      </c>
      <c r="C1411" s="37">
        <v>1.01</v>
      </c>
      <c r="D1411" s="37"/>
    </row>
    <row r="1412" spans="1:4" ht="24" x14ac:dyDescent="0.25">
      <c r="A1412" s="35" t="s">
        <v>1139</v>
      </c>
      <c r="B1412" s="36" t="s">
        <v>2202</v>
      </c>
      <c r="C1412" s="37">
        <v>0.95</v>
      </c>
      <c r="D1412" s="37"/>
    </row>
    <row r="1413" spans="1:4" ht="24" x14ac:dyDescent="0.25">
      <c r="A1413" s="35" t="s">
        <v>1140</v>
      </c>
      <c r="B1413" s="36" t="s">
        <v>2202</v>
      </c>
      <c r="C1413" s="30">
        <v>1.1299999999999999</v>
      </c>
      <c r="D1413" s="30"/>
    </row>
    <row r="1414" spans="1:4" ht="24" x14ac:dyDescent="0.25">
      <c r="A1414" s="35" t="s">
        <v>1141</v>
      </c>
      <c r="B1414" s="36" t="s">
        <v>2202</v>
      </c>
      <c r="C1414" s="30">
        <v>1.29</v>
      </c>
      <c r="D1414" s="30"/>
    </row>
    <row r="1415" spans="1:4" ht="24" x14ac:dyDescent="0.25">
      <c r="A1415" s="35" t="s">
        <v>1142</v>
      </c>
      <c r="B1415" s="36" t="s">
        <v>2202</v>
      </c>
      <c r="C1415" s="30">
        <v>1.51</v>
      </c>
      <c r="D1415" s="30"/>
    </row>
    <row r="1416" spans="1:4" ht="24" x14ac:dyDescent="0.25">
      <c r="A1416" s="35" t="s">
        <v>2229</v>
      </c>
      <c r="B1416" s="36" t="s">
        <v>2202</v>
      </c>
      <c r="C1416" s="30">
        <v>0.65</v>
      </c>
      <c r="D1416" s="30"/>
    </row>
    <row r="1417" spans="1:4" ht="24" x14ac:dyDescent="0.25">
      <c r="A1417" s="35" t="s">
        <v>2230</v>
      </c>
      <c r="B1417" s="36" t="s">
        <v>2202</v>
      </c>
      <c r="C1417" s="30">
        <v>0.73</v>
      </c>
      <c r="D1417" s="30"/>
    </row>
    <row r="1418" spans="1:4" ht="24" x14ac:dyDescent="0.25">
      <c r="A1418" s="35" t="s">
        <v>2231</v>
      </c>
      <c r="B1418" s="36" t="s">
        <v>2202</v>
      </c>
      <c r="C1418" s="30">
        <v>0.79</v>
      </c>
      <c r="D1418" s="30"/>
    </row>
    <row r="1419" spans="1:4" ht="24" x14ac:dyDescent="0.25">
      <c r="A1419" s="35" t="s">
        <v>2232</v>
      </c>
      <c r="B1419" s="36" t="s">
        <v>2202</v>
      </c>
      <c r="C1419" s="30">
        <v>0.87</v>
      </c>
      <c r="D1419" s="30"/>
    </row>
    <row r="1420" spans="1:4" ht="24" x14ac:dyDescent="0.25">
      <c r="A1420" s="35" t="s">
        <v>1005</v>
      </c>
      <c r="B1420" s="36" t="s">
        <v>2202</v>
      </c>
      <c r="C1420" s="30">
        <v>0.76</v>
      </c>
      <c r="D1420" s="30"/>
    </row>
    <row r="1421" spans="1:4" ht="24" x14ac:dyDescent="0.25">
      <c r="A1421" s="35" t="s">
        <v>1607</v>
      </c>
      <c r="B1421" s="36" t="s">
        <v>2202</v>
      </c>
      <c r="C1421" s="30">
        <v>0.84</v>
      </c>
      <c r="D1421" s="30"/>
    </row>
    <row r="1422" spans="1:4" ht="24" x14ac:dyDescent="0.25">
      <c r="A1422" s="35" t="s">
        <v>1608</v>
      </c>
      <c r="B1422" s="36" t="s">
        <v>2202</v>
      </c>
      <c r="C1422" s="30">
        <v>0.91</v>
      </c>
      <c r="D1422" s="30"/>
    </row>
    <row r="1423" spans="1:4" ht="24" x14ac:dyDescent="0.25">
      <c r="A1423" s="35" t="s">
        <v>1606</v>
      </c>
      <c r="B1423" s="36" t="s">
        <v>2202</v>
      </c>
      <c r="C1423" s="30">
        <v>0.53</v>
      </c>
      <c r="D1423" s="30"/>
    </row>
    <row r="1424" spans="1:4" ht="24" x14ac:dyDescent="0.25">
      <c r="A1424" s="35" t="s">
        <v>2729</v>
      </c>
      <c r="B1424" s="36" t="s">
        <v>2202</v>
      </c>
      <c r="C1424" s="30">
        <v>63</v>
      </c>
      <c r="D1424" s="30"/>
    </row>
    <row r="1425" spans="1:4" ht="24" x14ac:dyDescent="0.25">
      <c r="A1425" s="35" t="s">
        <v>2520</v>
      </c>
      <c r="B1425" s="36" t="s">
        <v>2202</v>
      </c>
      <c r="C1425" s="30">
        <v>0.7</v>
      </c>
      <c r="D1425" s="30"/>
    </row>
    <row r="1426" spans="1:4" ht="24" x14ac:dyDescent="0.25">
      <c r="A1426" s="35" t="s">
        <v>1609</v>
      </c>
      <c r="B1426" s="36" t="s">
        <v>2202</v>
      </c>
      <c r="C1426" s="30">
        <v>0.84</v>
      </c>
      <c r="D1426" s="30"/>
    </row>
    <row r="1427" spans="1:4" ht="24" x14ac:dyDescent="0.25">
      <c r="A1427" s="35" t="s">
        <v>2739</v>
      </c>
      <c r="B1427" s="36" t="s">
        <v>2202</v>
      </c>
      <c r="C1427" s="30">
        <v>0.97</v>
      </c>
      <c r="D1427" s="30"/>
    </row>
    <row r="1428" spans="1:4" ht="24" x14ac:dyDescent="0.25">
      <c r="A1428" s="35" t="s">
        <v>2730</v>
      </c>
      <c r="B1428" s="36" t="s">
        <v>2202</v>
      </c>
      <c r="C1428" s="30">
        <v>0.65</v>
      </c>
      <c r="D1428" s="30"/>
    </row>
    <row r="1429" spans="1:4" ht="24" x14ac:dyDescent="0.25">
      <c r="A1429" s="35" t="s">
        <v>2224</v>
      </c>
      <c r="B1429" s="36" t="s">
        <v>2202</v>
      </c>
      <c r="C1429" s="30">
        <v>0.63</v>
      </c>
      <c r="D1429" s="30"/>
    </row>
    <row r="1430" spans="1:4" ht="24" x14ac:dyDescent="0.25">
      <c r="A1430" s="35" t="s">
        <v>2225</v>
      </c>
      <c r="B1430" s="36" t="s">
        <v>2202</v>
      </c>
      <c r="C1430" s="30">
        <v>0.67</v>
      </c>
      <c r="D1430" s="30"/>
    </row>
    <row r="1431" spans="1:4" ht="24" x14ac:dyDescent="0.25">
      <c r="A1431" s="35" t="s">
        <v>2226</v>
      </c>
      <c r="B1431" s="36" t="s">
        <v>2202</v>
      </c>
      <c r="C1431" s="30">
        <v>0.7</v>
      </c>
      <c r="D1431" s="30"/>
    </row>
    <row r="1432" spans="1:4" ht="24" x14ac:dyDescent="0.25">
      <c r="A1432" s="35" t="s">
        <v>2227</v>
      </c>
      <c r="B1432" s="36" t="s">
        <v>2202</v>
      </c>
      <c r="C1432" s="30">
        <v>0.79</v>
      </c>
      <c r="D1432" s="30"/>
    </row>
    <row r="1433" spans="1:4" ht="24" x14ac:dyDescent="0.25">
      <c r="A1433" s="35" t="s">
        <v>2228</v>
      </c>
      <c r="B1433" s="36" t="s">
        <v>2202</v>
      </c>
      <c r="C1433" s="30">
        <v>0.97</v>
      </c>
      <c r="D1433" s="30"/>
    </row>
    <row r="1434" spans="1:4" x14ac:dyDescent="0.25">
      <c r="A1434" s="26" t="s">
        <v>971</v>
      </c>
      <c r="B1434" s="31" t="s">
        <v>2202</v>
      </c>
      <c r="C1434" s="30">
        <v>2.14</v>
      </c>
      <c r="D1434" s="30"/>
    </row>
    <row r="1435" spans="1:4" x14ac:dyDescent="0.25">
      <c r="A1435" s="35" t="s">
        <v>2847</v>
      </c>
      <c r="B1435" s="36" t="s">
        <v>399</v>
      </c>
      <c r="C1435" s="38">
        <v>0.71</v>
      </c>
      <c r="D1435" s="38"/>
    </row>
    <row r="1436" spans="1:4" x14ac:dyDescent="0.25">
      <c r="A1436" s="26" t="s">
        <v>229</v>
      </c>
      <c r="B1436" s="31" t="s">
        <v>1183</v>
      </c>
      <c r="C1436" s="30">
        <v>4</v>
      </c>
      <c r="D1436" s="30"/>
    </row>
    <row r="1437" spans="1:4" ht="24" x14ac:dyDescent="0.25">
      <c r="A1437" s="26" t="s">
        <v>1458</v>
      </c>
      <c r="B1437" s="31" t="s">
        <v>1181</v>
      </c>
      <c r="C1437" s="30">
        <v>38.5</v>
      </c>
      <c r="D1437" s="30"/>
    </row>
    <row r="1438" spans="1:4" ht="24" x14ac:dyDescent="0.25">
      <c r="A1438" s="26" t="s">
        <v>1457</v>
      </c>
      <c r="B1438" s="31" t="s">
        <v>1181</v>
      </c>
      <c r="C1438" s="30">
        <v>30.5</v>
      </c>
      <c r="D1438" s="30"/>
    </row>
    <row r="1439" spans="1:4" x14ac:dyDescent="0.25">
      <c r="A1439" s="26" t="s">
        <v>228</v>
      </c>
      <c r="B1439" s="31" t="s">
        <v>1181</v>
      </c>
      <c r="C1439" s="30">
        <v>13.2</v>
      </c>
      <c r="D1439" s="30"/>
    </row>
    <row r="1440" spans="1:4" ht="22.8" x14ac:dyDescent="0.25">
      <c r="A1440" s="51" t="s">
        <v>906</v>
      </c>
      <c r="B1440" s="56" t="s">
        <v>1715</v>
      </c>
      <c r="C1440" s="57">
        <v>230</v>
      </c>
      <c r="D1440" s="57"/>
    </row>
    <row r="1441" spans="1:9" ht="22.8" x14ac:dyDescent="0.25">
      <c r="A1441" s="51" t="s">
        <v>907</v>
      </c>
      <c r="B1441" s="56" t="s">
        <v>1715</v>
      </c>
      <c r="C1441" s="57">
        <v>544</v>
      </c>
      <c r="D1441" s="57"/>
    </row>
    <row r="1442" spans="1:9" ht="22.8" x14ac:dyDescent="0.25">
      <c r="A1442" s="51" t="s">
        <v>909</v>
      </c>
      <c r="B1442" s="56" t="s">
        <v>1715</v>
      </c>
      <c r="C1442" s="57">
        <v>415</v>
      </c>
      <c r="D1442" s="57"/>
    </row>
    <row r="1443" spans="1:9" ht="22.8" x14ac:dyDescent="0.25">
      <c r="A1443" s="51" t="s">
        <v>910</v>
      </c>
      <c r="B1443" s="56" t="s">
        <v>1715</v>
      </c>
      <c r="C1443" s="57">
        <v>1480</v>
      </c>
      <c r="D1443" s="57"/>
    </row>
    <row r="1444" spans="1:9" x14ac:dyDescent="0.25">
      <c r="A1444" s="52" t="s">
        <v>2100</v>
      </c>
      <c r="B1444" s="58" t="s">
        <v>2108</v>
      </c>
      <c r="C1444" s="57">
        <v>430</v>
      </c>
      <c r="D1444" s="57"/>
    </row>
    <row r="1445" spans="1:9" x14ac:dyDescent="0.25">
      <c r="A1445" s="52" t="s">
        <v>2101</v>
      </c>
      <c r="B1445" s="58" t="s">
        <v>2108</v>
      </c>
      <c r="C1445" s="57">
        <v>380</v>
      </c>
      <c r="D1445" s="57"/>
    </row>
    <row r="1446" spans="1:9" x14ac:dyDescent="0.25">
      <c r="A1446" s="52" t="s">
        <v>2102</v>
      </c>
      <c r="B1446" s="58" t="s">
        <v>2108</v>
      </c>
      <c r="C1446" s="57">
        <v>765</v>
      </c>
      <c r="D1446" s="57"/>
    </row>
    <row r="1447" spans="1:9" x14ac:dyDescent="0.25">
      <c r="A1447" s="52" t="s">
        <v>2103</v>
      </c>
      <c r="B1447" s="58" t="s">
        <v>2108</v>
      </c>
      <c r="C1447" s="57">
        <v>645</v>
      </c>
      <c r="D1447" s="57"/>
    </row>
    <row r="1448" spans="1:9" ht="22.8" x14ac:dyDescent="0.25">
      <c r="A1448" s="55" t="s">
        <v>624</v>
      </c>
      <c r="B1448" s="64" t="s">
        <v>1715</v>
      </c>
      <c r="C1448" s="61">
        <v>320</v>
      </c>
      <c r="D1448" s="57"/>
    </row>
    <row r="1449" spans="1:9" ht="22.8" x14ac:dyDescent="0.25">
      <c r="A1449" s="52" t="s">
        <v>2095</v>
      </c>
      <c r="B1449" s="58" t="s">
        <v>2734</v>
      </c>
      <c r="C1449" s="57">
        <v>0.95</v>
      </c>
      <c r="D1449" s="57"/>
    </row>
    <row r="1450" spans="1:9" x14ac:dyDescent="0.25">
      <c r="A1450" s="52" t="s">
        <v>2096</v>
      </c>
      <c r="B1450" s="58" t="s">
        <v>2734</v>
      </c>
      <c r="C1450" s="57">
        <v>1.1399999999999999</v>
      </c>
      <c r="D1450" s="57"/>
    </row>
    <row r="1451" spans="1:9" x14ac:dyDescent="0.25">
      <c r="A1451" s="51" t="s">
        <v>2842</v>
      </c>
      <c r="B1451" s="57" t="s">
        <v>1715</v>
      </c>
      <c r="C1451" s="57">
        <v>30</v>
      </c>
      <c r="D1451" s="57"/>
    </row>
    <row r="1452" spans="1:9" x14ac:dyDescent="0.25">
      <c r="A1452" s="51" t="s">
        <v>404</v>
      </c>
      <c r="B1452" s="56" t="s">
        <v>1715</v>
      </c>
      <c r="C1452" s="57">
        <v>178</v>
      </c>
      <c r="D1452" s="57"/>
    </row>
    <row r="1453" spans="1:9" x14ac:dyDescent="0.25">
      <c r="A1453" s="106" t="s">
        <v>2324</v>
      </c>
      <c r="B1453" s="112"/>
      <c r="C1453" s="111"/>
      <c r="D1453" s="47"/>
      <c r="E1453" s="47"/>
      <c r="F1453" s="47"/>
      <c r="G1453" s="47"/>
      <c r="H1453" s="47"/>
      <c r="I1453" s="47"/>
    </row>
  </sheetData>
  <mergeCells count="1">
    <mergeCell ref="B1:C1"/>
  </mergeCells>
  <phoneticPr fontId="6" type="noConversion"/>
  <printOptions gridLines="1"/>
  <pageMargins left="0.5" right="0.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97"/>
  <sheetViews>
    <sheetView workbookViewId="0">
      <selection activeCell="F63" sqref="F63"/>
    </sheetView>
  </sheetViews>
  <sheetFormatPr defaultRowHeight="13.2" x14ac:dyDescent="0.25"/>
  <cols>
    <col min="1" max="1" width="4.5546875" style="217" customWidth="1"/>
    <col min="2" max="2" width="10.44140625" style="78" customWidth="1"/>
    <col min="3" max="3" width="6.6640625" style="237" customWidth="1"/>
    <col min="4" max="4" width="14.44140625" style="230" customWidth="1"/>
    <col min="5" max="5" width="45.109375" style="81" customWidth="1"/>
    <col min="6" max="6" width="9.109375" style="182"/>
    <col min="7" max="7" width="9.109375" style="163"/>
  </cols>
  <sheetData>
    <row r="1" spans="1:9" ht="43.5" customHeight="1" x14ac:dyDescent="0.25">
      <c r="A1" s="224" t="s">
        <v>1323</v>
      </c>
      <c r="B1" s="76" t="s">
        <v>2487</v>
      </c>
      <c r="C1" s="236" t="s">
        <v>2086</v>
      </c>
      <c r="D1" s="227"/>
      <c r="E1" s="77" t="s">
        <v>2489</v>
      </c>
      <c r="F1" s="99" t="s">
        <v>182</v>
      </c>
      <c r="G1" s="99" t="s">
        <v>183</v>
      </c>
    </row>
    <row r="2" spans="1:9" ht="26.4" x14ac:dyDescent="0.25">
      <c r="B2" s="218">
        <v>560</v>
      </c>
      <c r="C2" s="212" t="s">
        <v>500</v>
      </c>
      <c r="D2" s="228"/>
      <c r="E2" s="133" t="s">
        <v>2490</v>
      </c>
    </row>
    <row r="3" spans="1:9" x14ac:dyDescent="0.25">
      <c r="A3" s="169"/>
      <c r="B3" s="172"/>
      <c r="D3" s="226" t="s">
        <v>329</v>
      </c>
      <c r="E3" s="120"/>
      <c r="F3" s="118"/>
      <c r="G3" s="183"/>
      <c r="H3" s="111"/>
      <c r="I3" s="111"/>
    </row>
    <row r="4" spans="1:9" x14ac:dyDescent="0.25">
      <c r="A4" s="169"/>
      <c r="B4" s="172"/>
      <c r="C4" s="238"/>
      <c r="D4" s="229"/>
      <c r="E4" s="17" t="s">
        <v>1179</v>
      </c>
      <c r="F4" s="118" t="e">
        <f>VLOOKUP(E4,lookup!$B$2:$F$1686,3,FALSE)</f>
        <v>#N/A</v>
      </c>
      <c r="G4" s="118" t="e">
        <f>VLOOKUP(E4,lookup!$B$2:$F$1686,6,FALSE)</f>
        <v>#N/A</v>
      </c>
      <c r="H4" s="111"/>
      <c r="I4" s="111"/>
    </row>
    <row r="5" spans="1:9" x14ac:dyDescent="0.25">
      <c r="A5" s="169"/>
      <c r="B5" s="172"/>
      <c r="C5" s="129"/>
      <c r="D5" s="216"/>
      <c r="E5" s="106" t="s">
        <v>476</v>
      </c>
      <c r="F5" s="118" t="e">
        <f>VLOOKUP(E5,lookup!$B$2:$F$1686,3,FALSE)</f>
        <v>#N/A</v>
      </c>
      <c r="G5" s="118" t="e">
        <f>VLOOKUP(E5,lookup!$B$2:$F$1686,6,FALSE)</f>
        <v>#N/A</v>
      </c>
      <c r="H5" s="111"/>
      <c r="I5" s="111"/>
    </row>
    <row r="6" spans="1:9" x14ac:dyDescent="0.25">
      <c r="A6" s="225"/>
      <c r="B6" s="172"/>
      <c r="C6" s="129"/>
      <c r="D6" s="216"/>
      <c r="E6" s="106" t="s">
        <v>477</v>
      </c>
      <c r="F6" s="118">
        <f>VLOOKUP(E6,lookup!$B$2:$F$1686,3,FALSE)</f>
        <v>20</v>
      </c>
      <c r="G6" s="118" t="e">
        <f>VLOOKUP(E6,lookup!$B$2:$F$1686,6,FALSE)</f>
        <v>#REF!</v>
      </c>
      <c r="H6" s="111"/>
      <c r="I6" s="111"/>
    </row>
    <row r="7" spans="1:9" x14ac:dyDescent="0.25">
      <c r="A7" s="169"/>
      <c r="B7" s="172"/>
      <c r="C7" s="129"/>
      <c r="D7" s="216"/>
      <c r="E7" s="106" t="s">
        <v>437</v>
      </c>
      <c r="F7" s="118">
        <f>VLOOKUP(E7,lookup!$B$2:$F$1686,3,FALSE)</f>
        <v>0</v>
      </c>
      <c r="G7" s="118" t="e">
        <f>VLOOKUP(E7,lookup!$B$2:$F$1686,6,FALSE)</f>
        <v>#REF!</v>
      </c>
      <c r="H7" s="111"/>
      <c r="I7" s="111"/>
    </row>
    <row r="8" spans="1:9" x14ac:dyDescent="0.25">
      <c r="A8" s="169"/>
      <c r="B8" s="172"/>
      <c r="C8" s="129"/>
      <c r="D8" s="216"/>
      <c r="E8" s="106" t="s">
        <v>1465</v>
      </c>
      <c r="F8" s="118">
        <f>VLOOKUP(E8,lookup!$B$2:$F$1686,3,FALSE)</f>
        <v>0</v>
      </c>
      <c r="G8" s="118" t="e">
        <f>VLOOKUP(E8,lookup!$B$2:$F$1686,6,FALSE)</f>
        <v>#REF!</v>
      </c>
      <c r="H8" s="111"/>
      <c r="I8" s="111"/>
    </row>
    <row r="9" spans="1:9" x14ac:dyDescent="0.25">
      <c r="A9" s="169"/>
      <c r="B9" s="172"/>
      <c r="C9" s="129"/>
      <c r="D9" s="216"/>
      <c r="E9" s="106" t="s">
        <v>1466</v>
      </c>
      <c r="F9" s="118">
        <f>VLOOKUP(E9,lookup!$B$2:$F$1686,3,FALSE)</f>
        <v>250</v>
      </c>
      <c r="G9" s="118" t="e">
        <f>VLOOKUP(E9,lookup!$B$2:$F$1686,6,FALSE)</f>
        <v>#REF!</v>
      </c>
      <c r="H9" s="111"/>
      <c r="I9" s="111"/>
    </row>
    <row r="10" spans="1:9" x14ac:dyDescent="0.25">
      <c r="A10" s="169"/>
      <c r="B10" s="172"/>
      <c r="C10" s="129"/>
      <c r="D10" s="216"/>
      <c r="E10" s="106" t="s">
        <v>330</v>
      </c>
      <c r="F10" s="118">
        <f>VLOOKUP(E10,lookup!$B$2:$F$1686,3,FALSE)</f>
        <v>0</v>
      </c>
      <c r="G10" s="118" t="e">
        <f>VLOOKUP(E10,lookup!$B$2:$F$1686,6,FALSE)</f>
        <v>#REF!</v>
      </c>
      <c r="H10" s="111"/>
      <c r="I10" s="111"/>
    </row>
    <row r="11" spans="1:9" x14ac:dyDescent="0.25">
      <c r="A11" s="169"/>
      <c r="B11" s="172"/>
      <c r="C11" s="129"/>
      <c r="D11" s="216"/>
      <c r="E11" s="106" t="s">
        <v>1376</v>
      </c>
      <c r="F11" s="118" t="e">
        <f>VLOOKUP(E11,lookup!$B$2:$F$1686,3,FALSE)</f>
        <v>#N/A</v>
      </c>
      <c r="G11" s="118" t="e">
        <f>VLOOKUP(E11,lookup!$B$2:$F$1686,6,FALSE)</f>
        <v>#N/A</v>
      </c>
      <c r="H11" s="111"/>
      <c r="I11" s="111"/>
    </row>
    <row r="12" spans="1:9" x14ac:dyDescent="0.25">
      <c r="A12" s="169"/>
      <c r="B12" s="172"/>
      <c r="C12" s="129"/>
      <c r="D12" s="216"/>
      <c r="E12" s="106" t="s">
        <v>1110</v>
      </c>
      <c r="F12" s="118">
        <f>VLOOKUP(E12,lookup!$B$2:$F$1686,3,FALSE)</f>
        <v>0</v>
      </c>
      <c r="G12" s="118" t="e">
        <f>VLOOKUP(E12,lookup!$B$2:$F$1686,6,FALSE)</f>
        <v>#REF!</v>
      </c>
      <c r="H12" s="111"/>
      <c r="I12" s="111"/>
    </row>
    <row r="13" spans="1:9" x14ac:dyDescent="0.25">
      <c r="A13" s="169"/>
      <c r="B13" s="172"/>
      <c r="D13" s="226" t="s">
        <v>2299</v>
      </c>
      <c r="E13" s="120"/>
      <c r="F13" s="118" t="e">
        <f>VLOOKUP(E13,lookup!$B$2:$F$1686,3,FALSE)</f>
        <v>#N/A</v>
      </c>
      <c r="G13" s="118" t="e">
        <f>VLOOKUP(E13,lookup!$B$2:$F$1686,6,FALSE)</f>
        <v>#N/A</v>
      </c>
      <c r="H13" s="111"/>
      <c r="I13" s="111"/>
    </row>
    <row r="14" spans="1:9" x14ac:dyDescent="0.25">
      <c r="A14" s="169"/>
      <c r="B14" s="172"/>
      <c r="E14" s="106" t="s">
        <v>232</v>
      </c>
      <c r="F14" s="118">
        <f>VLOOKUP(E14,lookup!$B$2:$F$1686,3,FALSE)</f>
        <v>191</v>
      </c>
      <c r="G14" s="118" t="e">
        <f>VLOOKUP(E14,lookup!$B$2:$F$1686,6,FALSE)</f>
        <v>#REF!</v>
      </c>
      <c r="H14" s="111"/>
      <c r="I14" s="111"/>
    </row>
    <row r="15" spans="1:9" x14ac:dyDescent="0.25">
      <c r="A15" s="169"/>
      <c r="B15" s="172"/>
      <c r="E15" s="106" t="s">
        <v>1034</v>
      </c>
      <c r="F15" s="118" t="e">
        <f>VLOOKUP(E15,lookup!$B$2:$F$1686,3,FALSE)</f>
        <v>#N/A</v>
      </c>
      <c r="G15" s="118" t="e">
        <f>VLOOKUP(E15,lookup!$B$2:$F$1686,6,FALSE)</f>
        <v>#N/A</v>
      </c>
      <c r="H15" s="111"/>
      <c r="I15" s="111"/>
    </row>
    <row r="16" spans="1:9" x14ac:dyDescent="0.25">
      <c r="A16" s="169"/>
      <c r="B16" s="172"/>
      <c r="E16" s="106" t="s">
        <v>1610</v>
      </c>
      <c r="F16" s="118">
        <f>VLOOKUP(E16,lookup!$B$2:$F$1686,3,FALSE)</f>
        <v>0</v>
      </c>
      <c r="G16" s="118" t="e">
        <f>VLOOKUP(E16,lookup!$B$2:$F$1686,6,FALSE)</f>
        <v>#REF!</v>
      </c>
      <c r="H16" s="111"/>
      <c r="I16" s="111"/>
    </row>
    <row r="17" spans="1:9" x14ac:dyDescent="0.25">
      <c r="A17" s="169"/>
      <c r="B17" s="172"/>
      <c r="E17" s="106" t="s">
        <v>2712</v>
      </c>
      <c r="F17" s="118">
        <f>VLOOKUP(E17,lookup!$B$2:$F$1686,3,FALSE)</f>
        <v>3.5</v>
      </c>
      <c r="G17" s="118" t="e">
        <f>VLOOKUP(E17,lookup!$B$2:$F$1686,6,FALSE)</f>
        <v>#REF!</v>
      </c>
      <c r="H17" s="111"/>
      <c r="I17" s="111"/>
    </row>
    <row r="18" spans="1:9" x14ac:dyDescent="0.25">
      <c r="A18" s="169"/>
      <c r="B18" s="172"/>
      <c r="E18" s="106" t="s">
        <v>723</v>
      </c>
      <c r="F18" s="118">
        <f>VLOOKUP(E18,lookup!$B$2:$F$1686,3,FALSE)</f>
        <v>0</v>
      </c>
      <c r="G18" s="118" t="e">
        <f>VLOOKUP(E18,lookup!$B$2:$F$1686,6,FALSE)</f>
        <v>#REF!</v>
      </c>
      <c r="H18" s="111"/>
      <c r="I18" s="111"/>
    </row>
    <row r="19" spans="1:9" x14ac:dyDescent="0.25">
      <c r="A19" s="169"/>
      <c r="B19" s="172"/>
      <c r="D19" s="226" t="s">
        <v>722</v>
      </c>
      <c r="E19" s="120"/>
      <c r="F19" s="118" t="e">
        <f>VLOOKUP(E19,lookup!$B$2:$F$1686,3,FALSE)</f>
        <v>#N/A</v>
      </c>
      <c r="G19" s="118" t="e">
        <f>VLOOKUP(E19,lookup!$B$2:$F$1686,6,FALSE)</f>
        <v>#N/A</v>
      </c>
      <c r="H19" s="111"/>
      <c r="I19" s="111"/>
    </row>
    <row r="20" spans="1:9" ht="21" x14ac:dyDescent="0.25">
      <c r="A20" s="169"/>
      <c r="B20" s="172"/>
      <c r="E20" s="184" t="s">
        <v>517</v>
      </c>
      <c r="F20" s="118" t="e">
        <f>VLOOKUP(E20,lookup!$B$2:$F$1686,3,FALSE)</f>
        <v>#N/A</v>
      </c>
      <c r="G20" s="118" t="e">
        <f>VLOOKUP(E20,lookup!$B$2:$F$1686,6,FALSE)</f>
        <v>#N/A</v>
      </c>
      <c r="H20" s="111"/>
      <c r="I20" s="111"/>
    </row>
    <row r="21" spans="1:9" ht="21" x14ac:dyDescent="0.25">
      <c r="A21" s="169"/>
      <c r="B21" s="172"/>
      <c r="E21" s="184" t="s">
        <v>518</v>
      </c>
      <c r="F21" s="118" t="e">
        <f>VLOOKUP(E21,lookup!$B$2:$F$1686,3,FALSE)</f>
        <v>#N/A</v>
      </c>
      <c r="G21" s="118" t="e">
        <f>VLOOKUP(E21,lookup!$B$2:$F$1686,6,FALSE)</f>
        <v>#N/A</v>
      </c>
      <c r="H21" s="111"/>
      <c r="I21" s="111"/>
    </row>
    <row r="22" spans="1:9" ht="21" x14ac:dyDescent="0.25">
      <c r="A22" s="169"/>
      <c r="B22" s="172"/>
      <c r="E22" s="184" t="s">
        <v>519</v>
      </c>
      <c r="F22" s="118" t="e">
        <f>VLOOKUP(E22,lookup!$B$2:$F$1686,3,FALSE)</f>
        <v>#N/A</v>
      </c>
      <c r="G22" s="118" t="e">
        <f>VLOOKUP(E22,lookup!$B$2:$F$1686,6,FALSE)</f>
        <v>#N/A</v>
      </c>
      <c r="H22" s="111"/>
      <c r="I22" s="111"/>
    </row>
    <row r="23" spans="1:9" x14ac:dyDescent="0.25">
      <c r="A23" s="169"/>
      <c r="B23" s="172"/>
      <c r="D23" s="226" t="s">
        <v>724</v>
      </c>
      <c r="E23" s="120"/>
      <c r="F23" s="118" t="e">
        <f>VLOOKUP(E23,lookup!$B$2:$F$1686,3,FALSE)</f>
        <v>#N/A</v>
      </c>
      <c r="G23" s="118" t="e">
        <f>VLOOKUP(E23,lookup!$B$2:$F$1686,6,FALSE)</f>
        <v>#N/A</v>
      </c>
      <c r="H23" s="111"/>
      <c r="I23" s="111"/>
    </row>
    <row r="24" spans="1:9" x14ac:dyDescent="0.25">
      <c r="A24" s="169"/>
      <c r="B24" s="172"/>
      <c r="E24" s="106" t="s">
        <v>725</v>
      </c>
      <c r="F24" s="118" t="e">
        <f>VLOOKUP(E24,lookup!$B$2:$F$1686,3,FALSE)</f>
        <v>#N/A</v>
      </c>
      <c r="G24" s="118" t="e">
        <f>VLOOKUP(E24,lookup!$B$2:$F$1686,6,FALSE)</f>
        <v>#N/A</v>
      </c>
      <c r="H24" s="111"/>
      <c r="I24" s="111"/>
    </row>
    <row r="25" spans="1:9" x14ac:dyDescent="0.25">
      <c r="B25" s="219"/>
      <c r="C25" s="213"/>
      <c r="D25" s="231"/>
      <c r="E25" s="133"/>
    </row>
    <row r="26" spans="1:9" ht="39.6" x14ac:dyDescent="0.25">
      <c r="A26" s="220" t="s">
        <v>1324</v>
      </c>
      <c r="B26" s="221">
        <v>309</v>
      </c>
      <c r="C26" s="214" t="s">
        <v>501</v>
      </c>
      <c r="D26" s="232"/>
      <c r="E26" s="135" t="s">
        <v>502</v>
      </c>
    </row>
    <row r="27" spans="1:9" x14ac:dyDescent="0.25">
      <c r="B27" s="222"/>
      <c r="D27" s="226" t="s">
        <v>329</v>
      </c>
    </row>
    <row r="28" spans="1:9" x14ac:dyDescent="0.25">
      <c r="B28" s="222"/>
      <c r="C28" s="215"/>
      <c r="D28" s="233"/>
      <c r="E28" s="106" t="s">
        <v>1376</v>
      </c>
      <c r="F28" s="118" t="e">
        <f>VLOOKUP(E28,#REF!,2,FALSE)</f>
        <v>#REF!</v>
      </c>
      <c r="G28" s="183" t="e">
        <f>VLOOKUP(E28,#REF!,5,FALSE)</f>
        <v>#REF!</v>
      </c>
    </row>
    <row r="29" spans="1:9" x14ac:dyDescent="0.25">
      <c r="B29" s="222"/>
      <c r="C29" s="215"/>
      <c r="D29" s="233"/>
      <c r="E29" s="106" t="s">
        <v>1110</v>
      </c>
      <c r="F29" s="118" t="e">
        <f>VLOOKUP(E29,#REF!,2,FALSE)</f>
        <v>#REF!</v>
      </c>
      <c r="G29" s="183" t="e">
        <f>VLOOKUP(E29,#REF!,5,FALSE)</f>
        <v>#REF!</v>
      </c>
    </row>
    <row r="30" spans="1:9" x14ac:dyDescent="0.25">
      <c r="B30" s="222"/>
      <c r="C30" s="215"/>
      <c r="D30" s="233"/>
      <c r="E30" s="106" t="s">
        <v>987</v>
      </c>
      <c r="F30" s="118" t="e">
        <f>VLOOKUP(E30,#REF!,2,FALSE)</f>
        <v>#REF!</v>
      </c>
      <c r="G30" s="183" t="e">
        <f>VLOOKUP(E30,#REF!,5,FALSE)</f>
        <v>#REF!</v>
      </c>
    </row>
    <row r="31" spans="1:9" x14ac:dyDescent="0.25">
      <c r="B31" s="222"/>
      <c r="C31" s="215"/>
      <c r="D31" s="233"/>
      <c r="E31" s="106" t="s">
        <v>988</v>
      </c>
      <c r="F31" s="118" t="e">
        <f>VLOOKUP(E31,#REF!,2,FALSE)</f>
        <v>#REF!</v>
      </c>
      <c r="G31" s="183" t="e">
        <f>VLOOKUP(E31,#REF!,5,FALSE)</f>
        <v>#REF!</v>
      </c>
    </row>
    <row r="32" spans="1:9" x14ac:dyDescent="0.25">
      <c r="B32" s="222"/>
      <c r="C32" s="215"/>
      <c r="D32" s="233"/>
      <c r="E32" s="106" t="s">
        <v>2797</v>
      </c>
      <c r="F32" s="118" t="e">
        <f>VLOOKUP(E32,#REF!,2,FALSE)</f>
        <v>#REF!</v>
      </c>
      <c r="G32" s="183" t="e">
        <f>VLOOKUP(E32,#REF!,5,FALSE)</f>
        <v>#REF!</v>
      </c>
    </row>
    <row r="33" spans="2:7" x14ac:dyDescent="0.25">
      <c r="B33" s="222"/>
      <c r="C33" s="215"/>
      <c r="D33" s="233"/>
      <c r="E33" s="113" t="s">
        <v>1152</v>
      </c>
      <c r="F33" s="118" t="e">
        <f>VLOOKUP(E33,#REF!,2,FALSE)</f>
        <v>#REF!</v>
      </c>
      <c r="G33" s="183" t="e">
        <f>VLOOKUP(E33,#REF!,5,FALSE)</f>
        <v>#REF!</v>
      </c>
    </row>
    <row r="34" spans="2:7" x14ac:dyDescent="0.25">
      <c r="B34" s="222"/>
      <c r="C34" s="215"/>
      <c r="D34" s="233"/>
      <c r="E34" s="113" t="s">
        <v>1153</v>
      </c>
      <c r="F34" s="118" t="e">
        <f>VLOOKUP(E34,#REF!,2,FALSE)</f>
        <v>#REF!</v>
      </c>
      <c r="G34" s="183" t="e">
        <f>VLOOKUP(E34,#REF!,5,FALSE)</f>
        <v>#REF!</v>
      </c>
    </row>
    <row r="35" spans="2:7" x14ac:dyDescent="0.25">
      <c r="B35" s="222"/>
      <c r="C35" s="215"/>
      <c r="D35" s="233"/>
      <c r="E35" s="113" t="s">
        <v>1783</v>
      </c>
      <c r="F35" s="118" t="e">
        <f>VLOOKUP(E35,#REF!,2,FALSE)</f>
        <v>#REF!</v>
      </c>
      <c r="G35" s="183" t="e">
        <f>VLOOKUP(E35,#REF!,5,FALSE)</f>
        <v>#REF!</v>
      </c>
    </row>
    <row r="36" spans="2:7" x14ac:dyDescent="0.25">
      <c r="B36" s="222"/>
      <c r="C36" s="215"/>
      <c r="D36" s="233"/>
      <c r="E36" s="113" t="s">
        <v>1784</v>
      </c>
      <c r="F36" s="118" t="e">
        <f>VLOOKUP(E36,#REF!,2,FALSE)</f>
        <v>#REF!</v>
      </c>
      <c r="G36" s="183" t="e">
        <f>VLOOKUP(E36,#REF!,5,FALSE)</f>
        <v>#REF!</v>
      </c>
    </row>
    <row r="37" spans="2:7" x14ac:dyDescent="0.25">
      <c r="B37" s="222"/>
      <c r="C37" s="215"/>
      <c r="D37" s="233"/>
      <c r="E37" s="113" t="s">
        <v>1785</v>
      </c>
      <c r="F37" s="118" t="e">
        <f>VLOOKUP(E37,#REF!,2,FALSE)</f>
        <v>#REF!</v>
      </c>
      <c r="G37" s="183" t="e">
        <f>VLOOKUP(E37,#REF!,5,FALSE)</f>
        <v>#REF!</v>
      </c>
    </row>
    <row r="38" spans="2:7" x14ac:dyDescent="0.25">
      <c r="B38" s="222"/>
      <c r="C38" s="215"/>
      <c r="D38" s="233"/>
      <c r="E38" s="113" t="s">
        <v>1786</v>
      </c>
      <c r="F38" s="118" t="e">
        <f>VLOOKUP(E38,#REF!,2,FALSE)</f>
        <v>#REF!</v>
      </c>
      <c r="G38" s="183" t="e">
        <f>VLOOKUP(E38,#REF!,5,FALSE)</f>
        <v>#REF!</v>
      </c>
    </row>
    <row r="39" spans="2:7" x14ac:dyDescent="0.25">
      <c r="B39" s="222"/>
      <c r="C39" s="215"/>
      <c r="D39" s="233"/>
      <c r="E39" s="103" t="s">
        <v>1928</v>
      </c>
      <c r="F39" s="118" t="e">
        <f>VLOOKUP(E39,#REF!,2,FALSE)</f>
        <v>#REF!</v>
      </c>
      <c r="G39" s="183" t="e">
        <f>VLOOKUP(E39,#REF!,5,FALSE)</f>
        <v>#REF!</v>
      </c>
    </row>
    <row r="40" spans="2:7" x14ac:dyDescent="0.25">
      <c r="B40" s="222"/>
      <c r="C40" s="215"/>
      <c r="D40" s="233"/>
      <c r="E40" s="96" t="s">
        <v>728</v>
      </c>
      <c r="F40" s="118" t="e">
        <f>VLOOKUP(E40,#REF!,2,FALSE)</f>
        <v>#REF!</v>
      </c>
      <c r="G40" s="183" t="e">
        <f>VLOOKUP(E40,#REF!,5,FALSE)</f>
        <v>#REF!</v>
      </c>
    </row>
    <row r="41" spans="2:7" x14ac:dyDescent="0.25">
      <c r="B41" s="222"/>
      <c r="C41" s="215"/>
      <c r="D41" s="233"/>
      <c r="E41" s="96" t="s">
        <v>729</v>
      </c>
      <c r="F41" s="118" t="e">
        <f>VLOOKUP(E41,#REF!,2,FALSE)</f>
        <v>#REF!</v>
      </c>
      <c r="G41" s="183" t="e">
        <f>VLOOKUP(E41,#REF!,5,FALSE)</f>
        <v>#REF!</v>
      </c>
    </row>
    <row r="42" spans="2:7" ht="22.8" x14ac:dyDescent="0.25">
      <c r="B42" s="222"/>
      <c r="C42" s="215"/>
      <c r="D42" s="233"/>
      <c r="E42" s="114" t="s">
        <v>2861</v>
      </c>
      <c r="F42" s="118" t="e">
        <f>VLOOKUP(E42,#REF!,2,FALSE)</f>
        <v>#REF!</v>
      </c>
      <c r="G42" s="183" t="e">
        <f>VLOOKUP(E42,#REF!,5,FALSE)</f>
        <v>#REF!</v>
      </c>
    </row>
    <row r="43" spans="2:7" ht="22.8" x14ac:dyDescent="0.25">
      <c r="B43" s="222"/>
      <c r="C43" s="215"/>
      <c r="D43" s="233"/>
      <c r="E43" s="115" t="s">
        <v>2862</v>
      </c>
      <c r="F43" s="118" t="e">
        <f>VLOOKUP(E43,#REF!,2,FALSE)</f>
        <v>#REF!</v>
      </c>
      <c r="G43" s="183" t="e">
        <f>VLOOKUP(E43,#REF!,5,FALSE)</f>
        <v>#REF!</v>
      </c>
    </row>
    <row r="44" spans="2:7" ht="22.8" x14ac:dyDescent="0.25">
      <c r="B44" s="222"/>
      <c r="C44" s="215"/>
      <c r="D44" s="233"/>
      <c r="E44" s="115" t="s">
        <v>1306</v>
      </c>
      <c r="F44" s="118" t="e">
        <f>VLOOKUP(E44,#REF!,2,FALSE)</f>
        <v>#REF!</v>
      </c>
      <c r="G44" s="183" t="e">
        <f>VLOOKUP(E44,#REF!,5,FALSE)</f>
        <v>#REF!</v>
      </c>
    </row>
    <row r="45" spans="2:7" x14ac:dyDescent="0.25">
      <c r="B45" s="222"/>
      <c r="C45" s="215"/>
      <c r="D45" s="233"/>
      <c r="E45" s="114" t="s">
        <v>1033</v>
      </c>
      <c r="F45" s="118" t="e">
        <f>VLOOKUP(E45,#REF!,2,FALSE)</f>
        <v>#REF!</v>
      </c>
      <c r="G45" s="183" t="e">
        <f>VLOOKUP(E45,#REF!,5,FALSE)</f>
        <v>#REF!</v>
      </c>
    </row>
    <row r="46" spans="2:7" x14ac:dyDescent="0.25">
      <c r="B46" s="222"/>
      <c r="C46" s="215"/>
      <c r="D46" s="233"/>
      <c r="E46" s="114" t="s">
        <v>2574</v>
      </c>
      <c r="F46" s="118" t="e">
        <f>VLOOKUP(E46,#REF!,2,FALSE)</f>
        <v>#REF!</v>
      </c>
      <c r="G46" s="183" t="e">
        <f>VLOOKUP(E46,#REF!,5,FALSE)</f>
        <v>#REF!</v>
      </c>
    </row>
    <row r="47" spans="2:7" x14ac:dyDescent="0.25">
      <c r="B47" s="222"/>
      <c r="C47" s="215"/>
      <c r="D47" s="233"/>
      <c r="E47" s="115" t="s">
        <v>2575</v>
      </c>
      <c r="F47" s="118" t="e">
        <f>VLOOKUP(E47,#REF!,2,FALSE)</f>
        <v>#REF!</v>
      </c>
      <c r="G47" s="183" t="e">
        <f>VLOOKUP(E47,#REF!,5,FALSE)</f>
        <v>#REF!</v>
      </c>
    </row>
    <row r="48" spans="2:7" ht="22.8" x14ac:dyDescent="0.25">
      <c r="B48" s="222"/>
      <c r="C48" s="215"/>
      <c r="D48" s="233"/>
      <c r="E48" s="113" t="s">
        <v>668</v>
      </c>
      <c r="F48" s="118" t="e">
        <f>VLOOKUP(E48,#REF!,2,FALSE)</f>
        <v>#REF!</v>
      </c>
      <c r="G48" s="183" t="e">
        <f>VLOOKUP(E48,#REF!,5,FALSE)</f>
        <v>#REF!</v>
      </c>
    </row>
    <row r="49" spans="2:7" ht="22.8" x14ac:dyDescent="0.25">
      <c r="B49" s="222"/>
      <c r="C49" s="215"/>
      <c r="D49" s="233"/>
      <c r="E49" s="113" t="s">
        <v>1468</v>
      </c>
      <c r="F49" s="118" t="e">
        <f>VLOOKUP(E49,#REF!,2,FALSE)</f>
        <v>#REF!</v>
      </c>
      <c r="G49" s="183" t="e">
        <f>VLOOKUP(E49,#REF!,5,FALSE)</f>
        <v>#REF!</v>
      </c>
    </row>
    <row r="50" spans="2:7" ht="22.8" x14ac:dyDescent="0.25">
      <c r="B50" s="222"/>
      <c r="C50" s="215"/>
      <c r="D50" s="233"/>
      <c r="E50" s="114" t="s">
        <v>1710</v>
      </c>
      <c r="F50" s="118" t="e">
        <f>VLOOKUP(E50,#REF!,2,FALSE)</f>
        <v>#REF!</v>
      </c>
      <c r="G50" s="183" t="e">
        <f>VLOOKUP(E50,#REF!,5,FALSE)</f>
        <v>#REF!</v>
      </c>
    </row>
    <row r="51" spans="2:7" ht="22.8" x14ac:dyDescent="0.25">
      <c r="B51" s="222"/>
      <c r="C51" s="215"/>
      <c r="D51" s="233"/>
      <c r="E51" s="114" t="s">
        <v>1712</v>
      </c>
      <c r="F51" s="118" t="e">
        <f>VLOOKUP(E51,#REF!,2,FALSE)</f>
        <v>#REF!</v>
      </c>
      <c r="G51" s="183" t="e">
        <f>VLOOKUP(E51,#REF!,5,FALSE)</f>
        <v>#REF!</v>
      </c>
    </row>
    <row r="52" spans="2:7" ht="22.8" x14ac:dyDescent="0.25">
      <c r="B52" s="222"/>
      <c r="C52" s="215"/>
      <c r="D52" s="233"/>
      <c r="E52" s="115" t="s">
        <v>1713</v>
      </c>
      <c r="F52" s="118" t="e">
        <f>VLOOKUP(E52,#REF!,2,FALSE)</f>
        <v>#REF!</v>
      </c>
      <c r="G52" s="183" t="e">
        <f>VLOOKUP(E52,#REF!,5,FALSE)</f>
        <v>#REF!</v>
      </c>
    </row>
    <row r="53" spans="2:7" ht="22.8" x14ac:dyDescent="0.25">
      <c r="B53" s="222"/>
      <c r="C53" s="215"/>
      <c r="D53" s="233"/>
      <c r="E53" s="113" t="s">
        <v>982</v>
      </c>
      <c r="F53" s="118" t="e">
        <f>VLOOKUP(E53,#REF!,2,FALSE)</f>
        <v>#REF!</v>
      </c>
      <c r="G53" s="183" t="e">
        <f>VLOOKUP(E53,#REF!,5,FALSE)</f>
        <v>#REF!</v>
      </c>
    </row>
    <row r="54" spans="2:7" ht="22.8" x14ac:dyDescent="0.25">
      <c r="B54" s="222"/>
      <c r="C54" s="215"/>
      <c r="D54" s="233"/>
      <c r="E54" s="113" t="s">
        <v>981</v>
      </c>
      <c r="F54" s="118" t="e">
        <f>VLOOKUP(E54,#REF!,2,FALSE)</f>
        <v>#REF!</v>
      </c>
      <c r="G54" s="183" t="e">
        <f>VLOOKUP(E54,#REF!,5,FALSE)</f>
        <v>#REF!</v>
      </c>
    </row>
    <row r="55" spans="2:7" x14ac:dyDescent="0.25">
      <c r="B55" s="222"/>
      <c r="C55" s="215"/>
      <c r="D55" s="233"/>
      <c r="E55" s="106" t="s">
        <v>1469</v>
      </c>
      <c r="F55" s="118" t="e">
        <f>VLOOKUP(E55,#REF!,2,FALSE)</f>
        <v>#REF!</v>
      </c>
      <c r="G55" s="183" t="e">
        <f>VLOOKUP(E55,#REF!,5,FALSE)</f>
        <v>#REF!</v>
      </c>
    </row>
    <row r="56" spans="2:7" x14ac:dyDescent="0.25">
      <c r="B56" s="222"/>
      <c r="C56" s="215"/>
      <c r="D56" s="233"/>
      <c r="E56" s="113" t="s">
        <v>1455</v>
      </c>
      <c r="F56" s="118" t="e">
        <f>VLOOKUP(E56,#REF!,2,FALSE)</f>
        <v>#REF!</v>
      </c>
      <c r="G56" s="183" t="e">
        <f>VLOOKUP(E56,#REF!,5,FALSE)</f>
        <v>#REF!</v>
      </c>
    </row>
    <row r="57" spans="2:7" x14ac:dyDescent="0.25">
      <c r="B57" s="222"/>
      <c r="C57" s="215"/>
      <c r="D57" s="233"/>
      <c r="E57" s="106" t="s">
        <v>895</v>
      </c>
      <c r="F57" s="118" t="e">
        <f>VLOOKUP(E57,#REF!,2,FALSE)</f>
        <v>#REF!</v>
      </c>
      <c r="G57" s="183" t="e">
        <f>VLOOKUP(E57,#REF!,5,FALSE)</f>
        <v>#REF!</v>
      </c>
    </row>
    <row r="58" spans="2:7" x14ac:dyDescent="0.25">
      <c r="B58" s="222"/>
      <c r="C58" s="215"/>
      <c r="D58" s="233"/>
      <c r="E58" s="106" t="s">
        <v>896</v>
      </c>
      <c r="F58" s="118" t="e">
        <f>VLOOKUP(E58,#REF!,2,FALSE)</f>
        <v>#REF!</v>
      </c>
      <c r="G58" s="183" t="e">
        <f>VLOOKUP(E58,#REF!,5,FALSE)</f>
        <v>#REF!</v>
      </c>
    </row>
    <row r="59" spans="2:7" x14ac:dyDescent="0.25">
      <c r="B59" s="222"/>
      <c r="C59" s="215"/>
      <c r="D59" s="233"/>
      <c r="E59" s="106" t="s">
        <v>897</v>
      </c>
      <c r="F59" s="118" t="e">
        <f>VLOOKUP(E59,#REF!,2,FALSE)</f>
        <v>#REF!</v>
      </c>
      <c r="G59" s="183" t="e">
        <f>VLOOKUP(E59,#REF!,5,FALSE)</f>
        <v>#REF!</v>
      </c>
    </row>
    <row r="60" spans="2:7" x14ac:dyDescent="0.25">
      <c r="B60" s="222"/>
      <c r="C60" s="215"/>
      <c r="D60" s="233"/>
      <c r="E60" s="106" t="s">
        <v>330</v>
      </c>
      <c r="F60" s="118" t="e">
        <f>VLOOKUP(E60,#REF!,2,FALSE)</f>
        <v>#REF!</v>
      </c>
      <c r="G60" s="183" t="e">
        <f>VLOOKUP(E60,#REF!,5,FALSE)</f>
        <v>#REF!</v>
      </c>
    </row>
    <row r="61" spans="2:7" x14ac:dyDescent="0.25">
      <c r="B61" s="222"/>
      <c r="C61" s="172" t="s">
        <v>2299</v>
      </c>
      <c r="D61" s="226"/>
    </row>
    <row r="62" spans="2:7" x14ac:dyDescent="0.25">
      <c r="B62" s="222"/>
      <c r="C62" s="215"/>
      <c r="D62" s="233"/>
      <c r="E62" s="106" t="s">
        <v>1034</v>
      </c>
      <c r="F62" s="118" t="e">
        <f>VLOOKUP(E62,#REF!,2,FALSE)</f>
        <v>#REF!</v>
      </c>
      <c r="G62" s="183" t="e">
        <f>VLOOKUP(E62,#REF!,5,FALSE)</f>
        <v>#REF!</v>
      </c>
    </row>
    <row r="63" spans="2:7" x14ac:dyDescent="0.25">
      <c r="B63" s="222"/>
      <c r="C63" s="215"/>
      <c r="D63" s="233"/>
      <c r="E63" s="106" t="s">
        <v>2712</v>
      </c>
      <c r="F63" s="118" t="e">
        <f>VLOOKUP(E63,#REF!,2,FALSE)</f>
        <v>#REF!</v>
      </c>
      <c r="G63" s="183" t="e">
        <f>VLOOKUP(E63,#REF!,5,FALSE)</f>
        <v>#REF!</v>
      </c>
    </row>
    <row r="64" spans="2:7" x14ac:dyDescent="0.25">
      <c r="B64" s="222"/>
      <c r="C64" s="215"/>
      <c r="D64" s="233"/>
      <c r="E64" s="106" t="s">
        <v>2746</v>
      </c>
      <c r="F64" s="118" t="e">
        <f>VLOOKUP(E64,#REF!,2,FALSE)</f>
        <v>#REF!</v>
      </c>
      <c r="G64" s="183" t="e">
        <f>VLOOKUP(E64,#REF!,5,FALSE)</f>
        <v>#REF!</v>
      </c>
    </row>
    <row r="65" spans="1:7" ht="22.8" x14ac:dyDescent="0.25">
      <c r="B65" s="222"/>
      <c r="C65" s="215"/>
      <c r="D65" s="233"/>
      <c r="E65" s="106" t="s">
        <v>2747</v>
      </c>
      <c r="F65" s="118" t="e">
        <f>VLOOKUP(E65,#REF!,2,FALSE)</f>
        <v>#REF!</v>
      </c>
      <c r="G65" s="183" t="e">
        <f>VLOOKUP(E65,#REF!,5,FALSE)</f>
        <v>#REF!</v>
      </c>
    </row>
    <row r="66" spans="1:7" x14ac:dyDescent="0.25">
      <c r="B66" s="222"/>
      <c r="C66" s="215"/>
      <c r="D66" s="233"/>
      <c r="E66" s="106" t="s">
        <v>1151</v>
      </c>
      <c r="F66" s="118" t="e">
        <f>VLOOKUP(E66,#REF!,2,FALSE)</f>
        <v>#REF!</v>
      </c>
      <c r="G66" s="183" t="e">
        <f>VLOOKUP(E66,#REF!,5,FALSE)</f>
        <v>#REF!</v>
      </c>
    </row>
    <row r="67" spans="1:7" x14ac:dyDescent="0.25">
      <c r="B67" s="222"/>
      <c r="C67" s="215"/>
      <c r="D67" s="233"/>
      <c r="E67" s="106" t="s">
        <v>723</v>
      </c>
      <c r="F67" s="118" t="e">
        <f>VLOOKUP(E67,#REF!,2,FALSE)</f>
        <v>#REF!</v>
      </c>
      <c r="G67" s="183" t="e">
        <f>VLOOKUP(E67,#REF!,5,FALSE)</f>
        <v>#REF!</v>
      </c>
    </row>
    <row r="68" spans="1:7" x14ac:dyDescent="0.25">
      <c r="B68" s="222"/>
      <c r="C68" s="172" t="s">
        <v>722</v>
      </c>
      <c r="D68" s="226"/>
    </row>
    <row r="69" spans="1:7" ht="21" x14ac:dyDescent="0.25">
      <c r="B69" s="222"/>
      <c r="C69" s="215"/>
      <c r="D69" s="233"/>
      <c r="E69" s="184" t="s">
        <v>517</v>
      </c>
      <c r="F69" s="118" t="str">
        <f>VLOOKUP(E69,'RSMeans 2009'!$B$3:$E$210,3,FALSE)</f>
        <v>Ea.</v>
      </c>
      <c r="G69" s="183">
        <f>VLOOKUP(E69,'RSMeans 2009'!$B$3:$E$210,4,FALSE)</f>
        <v>134.5053332</v>
      </c>
    </row>
    <row r="70" spans="1:7" ht="21" x14ac:dyDescent="0.25">
      <c r="B70" s="222"/>
      <c r="C70" s="215"/>
      <c r="D70" s="233"/>
      <c r="E70" s="184" t="s">
        <v>518</v>
      </c>
      <c r="F70" s="118" t="str">
        <f>VLOOKUP(E70,'RSMeans 2009'!$B$3:$E$210,3,FALSE)</f>
        <v>Ea.</v>
      </c>
      <c r="G70" s="183">
        <f>VLOOKUP(E70,'RSMeans 2009'!$B$3:$E$210,4,FALSE)</f>
        <v>53.886975799999988</v>
      </c>
    </row>
    <row r="71" spans="1:7" ht="21" x14ac:dyDescent="0.25">
      <c r="B71" s="222"/>
      <c r="C71" s="215"/>
      <c r="D71" s="233"/>
      <c r="E71" s="184" t="s">
        <v>519</v>
      </c>
      <c r="F71" s="118" t="str">
        <f>VLOOKUP(E71,'RSMeans 2009'!$B$3:$E$210,3,FALSE)</f>
        <v>Ea.</v>
      </c>
      <c r="G71" s="183">
        <f>VLOOKUP(E71,'RSMeans 2009'!$B$3:$E$210,4,FALSE)</f>
        <v>196.20132139999998</v>
      </c>
    </row>
    <row r="72" spans="1:7" x14ac:dyDescent="0.25">
      <c r="B72" s="222"/>
      <c r="C72" s="172" t="s">
        <v>724</v>
      </c>
      <c r="D72" s="226"/>
    </row>
    <row r="73" spans="1:7" x14ac:dyDescent="0.25">
      <c r="B73" s="222"/>
      <c r="C73" s="215"/>
      <c r="D73" s="233"/>
      <c r="E73" s="106" t="s">
        <v>725</v>
      </c>
      <c r="F73" s="118" t="e">
        <f>VLOOKUP(E73,#REF!,2,FALSE)</f>
        <v>#REF!</v>
      </c>
      <c r="G73" s="183" t="e">
        <f>VLOOKUP(E73,#REF!,5,FALSE)</f>
        <v>#REF!</v>
      </c>
    </row>
    <row r="74" spans="1:7" x14ac:dyDescent="0.25">
      <c r="B74" s="222"/>
      <c r="C74" s="215"/>
      <c r="D74" s="233"/>
      <c r="E74" s="135"/>
    </row>
    <row r="75" spans="1:7" ht="15" x14ac:dyDescent="0.25">
      <c r="A75" s="223" t="s">
        <v>1324</v>
      </c>
      <c r="B75" s="221">
        <v>366</v>
      </c>
      <c r="C75" s="214" t="s">
        <v>503</v>
      </c>
      <c r="D75" s="232"/>
      <c r="E75" s="135" t="s">
        <v>2492</v>
      </c>
    </row>
    <row r="76" spans="1:7" x14ac:dyDescent="0.25">
      <c r="B76" s="222"/>
      <c r="C76" s="172" t="s">
        <v>329</v>
      </c>
      <c r="D76" s="226"/>
      <c r="E76" s="135"/>
    </row>
    <row r="77" spans="1:7" x14ac:dyDescent="0.25">
      <c r="B77" s="222"/>
      <c r="C77" s="238"/>
      <c r="D77" s="229"/>
      <c r="E77" s="135"/>
    </row>
    <row r="78" spans="1:7" x14ac:dyDescent="0.25">
      <c r="B78" s="222"/>
      <c r="C78" s="129"/>
      <c r="D78" s="216"/>
      <c r="E78" s="135"/>
    </row>
    <row r="79" spans="1:7" x14ac:dyDescent="0.25">
      <c r="B79" s="222"/>
      <c r="C79" s="129"/>
      <c r="D79" s="216"/>
      <c r="E79" s="135"/>
    </row>
    <row r="80" spans="1:7" x14ac:dyDescent="0.25">
      <c r="B80" s="222"/>
      <c r="C80" s="129"/>
      <c r="D80" s="216"/>
      <c r="E80" s="135"/>
    </row>
    <row r="81" spans="2:5" x14ac:dyDescent="0.25">
      <c r="B81" s="222"/>
      <c r="C81" s="129"/>
      <c r="D81" s="216"/>
      <c r="E81" s="135"/>
    </row>
    <row r="82" spans="2:5" x14ac:dyDescent="0.25">
      <c r="B82" s="222"/>
      <c r="C82" s="129"/>
      <c r="D82" s="216"/>
      <c r="E82" s="135"/>
    </row>
    <row r="83" spans="2:5" x14ac:dyDescent="0.25">
      <c r="B83" s="222"/>
      <c r="C83" s="129"/>
      <c r="D83" s="216"/>
      <c r="E83" s="135"/>
    </row>
    <row r="84" spans="2:5" x14ac:dyDescent="0.25">
      <c r="B84" s="222"/>
      <c r="C84" s="129"/>
      <c r="D84" s="216"/>
      <c r="E84" s="135"/>
    </row>
    <row r="85" spans="2:5" x14ac:dyDescent="0.25">
      <c r="B85" s="222"/>
      <c r="C85" s="129"/>
      <c r="D85" s="216"/>
      <c r="E85" s="135"/>
    </row>
    <row r="86" spans="2:5" x14ac:dyDescent="0.25">
      <c r="B86" s="222"/>
      <c r="C86" s="172" t="s">
        <v>2299</v>
      </c>
      <c r="D86" s="226"/>
      <c r="E86" s="135"/>
    </row>
    <row r="87" spans="2:5" x14ac:dyDescent="0.25">
      <c r="B87" s="222"/>
      <c r="E87" s="135"/>
    </row>
    <row r="88" spans="2:5" x14ac:dyDescent="0.25">
      <c r="B88" s="222"/>
      <c r="E88" s="135"/>
    </row>
    <row r="89" spans="2:5" x14ac:dyDescent="0.25">
      <c r="B89" s="222"/>
      <c r="E89" s="135"/>
    </row>
    <row r="90" spans="2:5" x14ac:dyDescent="0.25">
      <c r="B90" s="222"/>
      <c r="E90" s="135"/>
    </row>
    <row r="91" spans="2:5" x14ac:dyDescent="0.25">
      <c r="B91" s="222"/>
      <c r="E91" s="135"/>
    </row>
    <row r="92" spans="2:5" x14ac:dyDescent="0.25">
      <c r="B92" s="222"/>
      <c r="C92" s="172" t="s">
        <v>722</v>
      </c>
      <c r="D92" s="226"/>
      <c r="E92" s="135"/>
    </row>
    <row r="93" spans="2:5" x14ac:dyDescent="0.25">
      <c r="B93" s="222"/>
      <c r="E93" s="135"/>
    </row>
    <row r="94" spans="2:5" x14ac:dyDescent="0.25">
      <c r="B94" s="222"/>
      <c r="E94" s="135"/>
    </row>
    <row r="95" spans="2:5" x14ac:dyDescent="0.25">
      <c r="B95" s="222"/>
      <c r="E95" s="135"/>
    </row>
    <row r="96" spans="2:5" x14ac:dyDescent="0.25">
      <c r="B96" s="222"/>
      <c r="C96" s="172" t="s">
        <v>724</v>
      </c>
      <c r="D96" s="226"/>
      <c r="E96" s="135"/>
    </row>
    <row r="97" spans="1:5" x14ac:dyDescent="0.25">
      <c r="B97" s="222"/>
      <c r="E97" s="135"/>
    </row>
    <row r="98" spans="1:5" ht="26.4" x14ac:dyDescent="0.25">
      <c r="A98" s="223" t="s">
        <v>1324</v>
      </c>
      <c r="B98" s="221">
        <v>397</v>
      </c>
      <c r="C98" s="214" t="s">
        <v>506</v>
      </c>
      <c r="D98" s="232"/>
      <c r="E98" s="135" t="s">
        <v>2493</v>
      </c>
    </row>
    <row r="99" spans="1:5" x14ac:dyDescent="0.25">
      <c r="B99" s="222"/>
      <c r="C99" s="172" t="s">
        <v>329</v>
      </c>
      <c r="D99" s="226"/>
      <c r="E99" s="135"/>
    </row>
    <row r="100" spans="1:5" x14ac:dyDescent="0.25">
      <c r="B100" s="222"/>
      <c r="E100" s="106" t="s">
        <v>2316</v>
      </c>
    </row>
    <row r="101" spans="1:5" x14ac:dyDescent="0.25">
      <c r="B101" s="222"/>
      <c r="E101" s="106" t="s">
        <v>1158</v>
      </c>
    </row>
    <row r="102" spans="1:5" x14ac:dyDescent="0.25">
      <c r="B102" s="222"/>
      <c r="E102" s="106" t="s">
        <v>978</v>
      </c>
    </row>
    <row r="103" spans="1:5" ht="22.8" x14ac:dyDescent="0.25">
      <c r="B103" s="222"/>
      <c r="E103" s="106" t="s">
        <v>2745</v>
      </c>
    </row>
    <row r="104" spans="1:5" x14ac:dyDescent="0.25">
      <c r="B104" s="222"/>
      <c r="C104" s="172" t="s">
        <v>2299</v>
      </c>
      <c r="D104" s="226"/>
      <c r="E104" s="135"/>
    </row>
    <row r="105" spans="1:5" x14ac:dyDescent="0.25">
      <c r="B105" s="222"/>
      <c r="E105" s="106" t="s">
        <v>1523</v>
      </c>
    </row>
    <row r="106" spans="1:5" x14ac:dyDescent="0.25">
      <c r="B106" s="222"/>
      <c r="E106" s="106" t="s">
        <v>1034</v>
      </c>
    </row>
    <row r="107" spans="1:5" x14ac:dyDescent="0.25">
      <c r="B107" s="222"/>
      <c r="E107" s="113" t="s">
        <v>2424</v>
      </c>
    </row>
    <row r="108" spans="1:5" x14ac:dyDescent="0.25">
      <c r="B108" s="222"/>
      <c r="E108" s="113" t="s">
        <v>2425</v>
      </c>
    </row>
    <row r="109" spans="1:5" x14ac:dyDescent="0.25">
      <c r="B109" s="222"/>
      <c r="E109" s="106" t="s">
        <v>1389</v>
      </c>
    </row>
    <row r="110" spans="1:5" x14ac:dyDescent="0.25">
      <c r="B110" s="222"/>
      <c r="C110" s="172" t="s">
        <v>722</v>
      </c>
      <c r="D110" s="226"/>
      <c r="E110" s="135"/>
    </row>
    <row r="111" spans="1:5" ht="21" x14ac:dyDescent="0.25">
      <c r="B111" s="222"/>
      <c r="E111" s="184" t="s">
        <v>517</v>
      </c>
    </row>
    <row r="112" spans="1:5" ht="21" x14ac:dyDescent="0.25">
      <c r="B112" s="222"/>
      <c r="E112" s="184" t="s">
        <v>518</v>
      </c>
    </row>
    <row r="113" spans="1:5" ht="21" x14ac:dyDescent="0.25">
      <c r="B113" s="222"/>
      <c r="E113" s="184" t="s">
        <v>519</v>
      </c>
    </row>
    <row r="114" spans="1:5" x14ac:dyDescent="0.25">
      <c r="B114" s="222"/>
      <c r="C114" s="172" t="s">
        <v>724</v>
      </c>
      <c r="D114" s="226"/>
      <c r="E114" s="135"/>
    </row>
    <row r="115" spans="1:5" x14ac:dyDescent="0.25">
      <c r="B115" s="222"/>
      <c r="E115" s="106" t="s">
        <v>1159</v>
      </c>
    </row>
    <row r="116" spans="1:5" x14ac:dyDescent="0.25">
      <c r="B116" s="222"/>
      <c r="C116" s="239"/>
      <c r="D116" s="234"/>
      <c r="E116" s="135"/>
    </row>
    <row r="117" spans="1:5" ht="26.4" x14ac:dyDescent="0.25">
      <c r="A117" s="223" t="s">
        <v>1324</v>
      </c>
      <c r="B117" s="221">
        <v>584</v>
      </c>
      <c r="C117" s="214" t="s">
        <v>508</v>
      </c>
      <c r="D117" s="232"/>
      <c r="E117" s="135" t="s">
        <v>2494</v>
      </c>
    </row>
    <row r="118" spans="1:5" x14ac:dyDescent="0.25">
      <c r="B118" s="222"/>
      <c r="C118" s="172" t="s">
        <v>329</v>
      </c>
      <c r="D118" s="226"/>
      <c r="E118" s="135"/>
    </row>
    <row r="119" spans="1:5" x14ac:dyDescent="0.25">
      <c r="B119" s="222"/>
      <c r="C119" s="172"/>
      <c r="D119" s="226"/>
      <c r="E119" s="135"/>
    </row>
    <row r="120" spans="1:5" x14ac:dyDescent="0.25">
      <c r="B120" s="222"/>
      <c r="C120" s="172" t="s">
        <v>2299</v>
      </c>
      <c r="D120" s="226"/>
      <c r="E120" s="135"/>
    </row>
    <row r="121" spans="1:5" x14ac:dyDescent="0.25">
      <c r="B121" s="222"/>
      <c r="C121" s="172"/>
      <c r="D121" s="226"/>
      <c r="E121" s="135"/>
    </row>
    <row r="122" spans="1:5" x14ac:dyDescent="0.25">
      <c r="B122" s="222"/>
      <c r="C122" s="172" t="s">
        <v>722</v>
      </c>
      <c r="D122" s="226"/>
      <c r="E122" s="135"/>
    </row>
    <row r="123" spans="1:5" x14ac:dyDescent="0.25">
      <c r="B123" s="222"/>
      <c r="C123" s="172"/>
      <c r="D123" s="226"/>
      <c r="E123" s="135"/>
    </row>
    <row r="124" spans="1:5" x14ac:dyDescent="0.25">
      <c r="B124" s="222"/>
      <c r="C124" s="172" t="s">
        <v>724</v>
      </c>
      <c r="D124" s="226"/>
      <c r="E124" s="135"/>
    </row>
    <row r="125" spans="1:5" x14ac:dyDescent="0.25">
      <c r="B125" s="222"/>
      <c r="C125" s="215"/>
      <c r="D125" s="233"/>
      <c r="E125" s="135"/>
    </row>
    <row r="126" spans="1:5" ht="26.4" x14ac:dyDescent="0.25">
      <c r="B126" s="221">
        <v>326</v>
      </c>
      <c r="C126" s="214" t="s">
        <v>509</v>
      </c>
      <c r="D126" s="232"/>
      <c r="E126" s="135" t="s">
        <v>2495</v>
      </c>
    </row>
    <row r="127" spans="1:5" x14ac:dyDescent="0.25">
      <c r="B127" s="222"/>
      <c r="C127" s="172" t="s">
        <v>329</v>
      </c>
      <c r="D127" s="226"/>
      <c r="E127" s="135"/>
    </row>
    <row r="128" spans="1:5" ht="22.8" x14ac:dyDescent="0.25">
      <c r="B128" s="222"/>
      <c r="E128" s="106" t="s">
        <v>2745</v>
      </c>
    </row>
    <row r="129" spans="1:5" x14ac:dyDescent="0.25">
      <c r="B129" s="222"/>
      <c r="C129" s="172" t="s">
        <v>2299</v>
      </c>
      <c r="D129" s="226"/>
      <c r="E129" s="135"/>
    </row>
    <row r="130" spans="1:5" x14ac:dyDescent="0.25">
      <c r="B130" s="222"/>
      <c r="C130" s="129"/>
      <c r="D130" s="216"/>
      <c r="E130" s="106" t="s">
        <v>2425</v>
      </c>
    </row>
    <row r="131" spans="1:5" x14ac:dyDescent="0.25">
      <c r="B131" s="222"/>
      <c r="C131" s="129"/>
      <c r="D131" s="216"/>
      <c r="E131" s="106" t="s">
        <v>2424</v>
      </c>
    </row>
    <row r="132" spans="1:5" x14ac:dyDescent="0.25">
      <c r="B132" s="222"/>
      <c r="C132" s="129"/>
      <c r="D132" s="216"/>
      <c r="E132" s="106" t="s">
        <v>2311</v>
      </c>
    </row>
    <row r="133" spans="1:5" x14ac:dyDescent="0.25">
      <c r="B133" s="222"/>
      <c r="C133" s="129"/>
      <c r="D133" s="216"/>
      <c r="E133" s="106" t="s">
        <v>2310</v>
      </c>
    </row>
    <row r="134" spans="1:5" x14ac:dyDescent="0.25">
      <c r="B134" s="222"/>
      <c r="C134" s="172" t="s">
        <v>722</v>
      </c>
      <c r="D134" s="226"/>
      <c r="E134" s="135"/>
    </row>
    <row r="135" spans="1:5" ht="21" x14ac:dyDescent="0.25">
      <c r="B135" s="222"/>
      <c r="C135" s="129"/>
      <c r="D135" s="216"/>
      <c r="E135" s="184" t="s">
        <v>517</v>
      </c>
    </row>
    <row r="136" spans="1:5" ht="21" x14ac:dyDescent="0.25">
      <c r="B136" s="222"/>
      <c r="C136" s="129"/>
      <c r="D136" s="216"/>
      <c r="E136" s="184" t="s">
        <v>518</v>
      </c>
    </row>
    <row r="137" spans="1:5" ht="21" x14ac:dyDescent="0.25">
      <c r="B137" s="222"/>
      <c r="C137" s="129"/>
      <c r="D137" s="216"/>
      <c r="E137" s="184" t="s">
        <v>519</v>
      </c>
    </row>
    <row r="138" spans="1:5" x14ac:dyDescent="0.25">
      <c r="B138" s="222"/>
      <c r="C138" s="172" t="s">
        <v>724</v>
      </c>
      <c r="D138" s="226"/>
      <c r="E138" s="135"/>
    </row>
    <row r="139" spans="1:5" x14ac:dyDescent="0.25">
      <c r="B139" s="222"/>
      <c r="C139" s="215"/>
      <c r="D139" s="233"/>
      <c r="E139" s="106" t="s">
        <v>1159</v>
      </c>
    </row>
    <row r="140" spans="1:5" x14ac:dyDescent="0.25">
      <c r="B140" s="222"/>
      <c r="C140" s="215"/>
      <c r="D140" s="233"/>
      <c r="E140" s="135"/>
    </row>
    <row r="141" spans="1:5" ht="52.8" x14ac:dyDescent="0.25">
      <c r="A141" s="223" t="s">
        <v>1324</v>
      </c>
      <c r="B141" s="221">
        <v>360</v>
      </c>
      <c r="C141" s="214" t="s">
        <v>510</v>
      </c>
      <c r="D141" s="232"/>
      <c r="E141" s="135" t="s">
        <v>1237</v>
      </c>
    </row>
    <row r="142" spans="1:5" x14ac:dyDescent="0.25">
      <c r="B142" s="222"/>
      <c r="C142" s="172" t="s">
        <v>329</v>
      </c>
      <c r="D142" s="226"/>
      <c r="E142" s="135"/>
    </row>
    <row r="143" spans="1:5" x14ac:dyDescent="0.25">
      <c r="B143" s="222"/>
      <c r="E143" s="106" t="s">
        <v>1376</v>
      </c>
    </row>
    <row r="144" spans="1:5" x14ac:dyDescent="0.25">
      <c r="B144" s="222"/>
      <c r="E144" s="106" t="s">
        <v>1110</v>
      </c>
    </row>
    <row r="145" spans="2:5" ht="22.8" x14ac:dyDescent="0.25">
      <c r="B145" s="222"/>
      <c r="E145" s="106" t="s">
        <v>2745</v>
      </c>
    </row>
    <row r="146" spans="2:5" x14ac:dyDescent="0.25">
      <c r="B146" s="222"/>
      <c r="C146" s="172" t="s">
        <v>2299</v>
      </c>
      <c r="D146" s="226"/>
      <c r="E146" s="135"/>
    </row>
    <row r="147" spans="2:5" x14ac:dyDescent="0.25">
      <c r="B147" s="222"/>
      <c r="E147" s="106" t="s">
        <v>1034</v>
      </c>
    </row>
    <row r="148" spans="2:5" x14ac:dyDescent="0.25">
      <c r="B148" s="222"/>
      <c r="E148" s="106" t="s">
        <v>2425</v>
      </c>
    </row>
    <row r="149" spans="2:5" x14ac:dyDescent="0.25">
      <c r="B149" s="222"/>
      <c r="E149" s="106" t="s">
        <v>2424</v>
      </c>
    </row>
    <row r="150" spans="2:5" x14ac:dyDescent="0.25">
      <c r="B150" s="222"/>
      <c r="E150" s="106" t="s">
        <v>2311</v>
      </c>
    </row>
    <row r="151" spans="2:5" x14ac:dyDescent="0.25">
      <c r="B151" s="222"/>
      <c r="E151" s="106" t="s">
        <v>2310</v>
      </c>
    </row>
    <row r="152" spans="2:5" x14ac:dyDescent="0.25">
      <c r="B152" s="222"/>
      <c r="E152" s="106" t="s">
        <v>2712</v>
      </c>
    </row>
    <row r="153" spans="2:5" x14ac:dyDescent="0.25">
      <c r="B153" s="222"/>
      <c r="E153" s="106" t="s">
        <v>14</v>
      </c>
    </row>
    <row r="154" spans="2:5" x14ac:dyDescent="0.25">
      <c r="B154" s="222"/>
      <c r="C154" s="172" t="s">
        <v>722</v>
      </c>
      <c r="D154" s="226"/>
      <c r="E154" s="135"/>
    </row>
    <row r="155" spans="2:5" ht="21" x14ac:dyDescent="0.25">
      <c r="B155" s="222"/>
      <c r="C155" s="129"/>
      <c r="D155" s="216"/>
      <c r="E155" s="184" t="s">
        <v>517</v>
      </c>
    </row>
    <row r="156" spans="2:5" ht="21" x14ac:dyDescent="0.25">
      <c r="B156" s="222"/>
      <c r="C156" s="129"/>
      <c r="D156" s="216"/>
      <c r="E156" s="184" t="s">
        <v>518</v>
      </c>
    </row>
    <row r="157" spans="2:5" ht="21" x14ac:dyDescent="0.25">
      <c r="B157" s="222"/>
      <c r="C157" s="129"/>
      <c r="D157" s="216"/>
      <c r="E157" s="184" t="s">
        <v>519</v>
      </c>
    </row>
    <row r="158" spans="2:5" x14ac:dyDescent="0.25">
      <c r="B158" s="222"/>
      <c r="C158" s="172" t="s">
        <v>724</v>
      </c>
      <c r="D158" s="226"/>
      <c r="E158" s="135"/>
    </row>
    <row r="159" spans="2:5" x14ac:dyDescent="0.25">
      <c r="B159" s="222"/>
      <c r="C159" s="215"/>
      <c r="D159" s="233"/>
      <c r="E159" s="106" t="s">
        <v>1159</v>
      </c>
    </row>
    <row r="160" spans="2:5" x14ac:dyDescent="0.25">
      <c r="B160" s="222"/>
      <c r="C160" s="215"/>
      <c r="D160" s="233"/>
      <c r="E160" s="135"/>
    </row>
    <row r="161" spans="1:5" ht="39.6" x14ac:dyDescent="0.25">
      <c r="A161" s="223" t="s">
        <v>1324</v>
      </c>
      <c r="B161" s="221">
        <v>317</v>
      </c>
      <c r="C161" s="214" t="s">
        <v>1238</v>
      </c>
      <c r="D161" s="232"/>
      <c r="E161" s="135" t="s">
        <v>1239</v>
      </c>
    </row>
    <row r="162" spans="1:5" x14ac:dyDescent="0.25">
      <c r="B162" s="221"/>
      <c r="C162" s="172" t="s">
        <v>329</v>
      </c>
      <c r="D162" s="226"/>
      <c r="E162" s="135"/>
    </row>
    <row r="163" spans="1:5" ht="22.8" x14ac:dyDescent="0.25">
      <c r="B163" s="221"/>
      <c r="E163" s="106" t="s">
        <v>1481</v>
      </c>
    </row>
    <row r="164" spans="1:5" ht="22.8" x14ac:dyDescent="0.25">
      <c r="B164" s="221"/>
      <c r="E164" s="106" t="s">
        <v>438</v>
      </c>
    </row>
    <row r="165" spans="1:5" ht="22.8" x14ac:dyDescent="0.25">
      <c r="B165" s="221"/>
      <c r="E165" s="106" t="s">
        <v>1397</v>
      </c>
    </row>
    <row r="166" spans="1:5" ht="34.200000000000003" x14ac:dyDescent="0.25">
      <c r="B166" s="221"/>
      <c r="E166" s="106" t="s">
        <v>2655</v>
      </c>
    </row>
    <row r="167" spans="1:5" ht="34.200000000000003" x14ac:dyDescent="0.25">
      <c r="B167" s="221"/>
      <c r="E167" s="106" t="s">
        <v>2656</v>
      </c>
    </row>
    <row r="168" spans="1:5" ht="22.8" x14ac:dyDescent="0.25">
      <c r="B168" s="221"/>
      <c r="E168" s="113" t="s">
        <v>979</v>
      </c>
    </row>
    <row r="169" spans="1:5" x14ac:dyDescent="0.25">
      <c r="B169" s="221"/>
      <c r="E169" s="106" t="s">
        <v>1376</v>
      </c>
    </row>
    <row r="170" spans="1:5" x14ac:dyDescent="0.25">
      <c r="B170" s="221"/>
      <c r="E170" s="106" t="s">
        <v>1110</v>
      </c>
    </row>
    <row r="171" spans="1:5" x14ac:dyDescent="0.25">
      <c r="B171" s="221"/>
      <c r="E171" s="106" t="s">
        <v>987</v>
      </c>
    </row>
    <row r="172" spans="1:5" x14ac:dyDescent="0.25">
      <c r="B172" s="221"/>
      <c r="E172" s="106" t="s">
        <v>988</v>
      </c>
    </row>
    <row r="173" spans="1:5" x14ac:dyDescent="0.25">
      <c r="B173" s="221"/>
      <c r="E173" s="106" t="s">
        <v>1455</v>
      </c>
    </row>
    <row r="174" spans="1:5" ht="22.8" x14ac:dyDescent="0.25">
      <c r="B174" s="221"/>
      <c r="E174" s="106" t="s">
        <v>2745</v>
      </c>
    </row>
    <row r="175" spans="1:5" x14ac:dyDescent="0.25">
      <c r="B175" s="221"/>
      <c r="C175" s="172" t="s">
        <v>2299</v>
      </c>
      <c r="D175" s="226"/>
      <c r="E175" s="135"/>
    </row>
    <row r="176" spans="1:5" x14ac:dyDescent="0.25">
      <c r="B176" s="221"/>
      <c r="E176" s="106" t="s">
        <v>1034</v>
      </c>
    </row>
    <row r="177" spans="2:5" x14ac:dyDescent="0.25">
      <c r="B177" s="221"/>
      <c r="E177" s="106" t="s">
        <v>2712</v>
      </c>
    </row>
    <row r="178" spans="2:5" x14ac:dyDescent="0.25">
      <c r="B178" s="221"/>
      <c r="C178" s="172" t="s">
        <v>722</v>
      </c>
      <c r="D178" s="226"/>
      <c r="E178" s="135"/>
    </row>
    <row r="179" spans="2:5" ht="21" x14ac:dyDescent="0.25">
      <c r="B179" s="221"/>
      <c r="C179" s="129"/>
      <c r="D179" s="216"/>
      <c r="E179" s="184" t="s">
        <v>517</v>
      </c>
    </row>
    <row r="180" spans="2:5" ht="21" x14ac:dyDescent="0.25">
      <c r="B180" s="221"/>
      <c r="C180" s="129"/>
      <c r="D180" s="216"/>
      <c r="E180" s="184" t="s">
        <v>518</v>
      </c>
    </row>
    <row r="181" spans="2:5" ht="21" x14ac:dyDescent="0.25">
      <c r="B181" s="221"/>
      <c r="C181" s="129"/>
      <c r="D181" s="216"/>
      <c r="E181" s="184" t="s">
        <v>519</v>
      </c>
    </row>
    <row r="182" spans="2:5" x14ac:dyDescent="0.25">
      <c r="B182" s="221"/>
      <c r="C182" s="172" t="s">
        <v>724</v>
      </c>
      <c r="D182" s="226"/>
      <c r="E182" s="106"/>
    </row>
    <row r="183" spans="2:5" x14ac:dyDescent="0.25">
      <c r="B183" s="221"/>
      <c r="E183" s="106" t="s">
        <v>1159</v>
      </c>
    </row>
    <row r="184" spans="2:5" x14ac:dyDescent="0.25">
      <c r="B184" s="221"/>
      <c r="C184" s="214"/>
      <c r="D184" s="232"/>
      <c r="E184" s="135"/>
    </row>
    <row r="185" spans="2:5" ht="26.4" x14ac:dyDescent="0.25">
      <c r="B185" s="221">
        <v>656</v>
      </c>
      <c r="C185" s="214" t="s">
        <v>1243</v>
      </c>
      <c r="D185" s="232"/>
      <c r="E185" s="135" t="s">
        <v>2497</v>
      </c>
    </row>
    <row r="186" spans="2:5" x14ac:dyDescent="0.25">
      <c r="B186" s="221"/>
      <c r="C186" s="172" t="s">
        <v>329</v>
      </c>
      <c r="D186" s="226"/>
      <c r="E186" s="135"/>
    </row>
    <row r="187" spans="2:5" x14ac:dyDescent="0.25">
      <c r="B187" s="221"/>
      <c r="E187" s="113" t="s">
        <v>1660</v>
      </c>
    </row>
    <row r="188" spans="2:5" x14ac:dyDescent="0.25">
      <c r="B188" s="221"/>
      <c r="E188" s="113" t="s">
        <v>1661</v>
      </c>
    </row>
    <row r="189" spans="2:5" x14ac:dyDescent="0.25">
      <c r="B189" s="221"/>
      <c r="E189" s="113" t="s">
        <v>1662</v>
      </c>
    </row>
    <row r="190" spans="2:5" x14ac:dyDescent="0.25">
      <c r="B190" s="221"/>
      <c r="E190" s="113" t="s">
        <v>191</v>
      </c>
    </row>
    <row r="191" spans="2:5" x14ac:dyDescent="0.25">
      <c r="B191" s="221"/>
      <c r="E191" s="113" t="s">
        <v>192</v>
      </c>
    </row>
    <row r="192" spans="2:5" x14ac:dyDescent="0.25">
      <c r="B192" s="221"/>
      <c r="E192" s="113" t="s">
        <v>2126</v>
      </c>
    </row>
    <row r="193" spans="2:5" x14ac:dyDescent="0.25">
      <c r="B193" s="221"/>
      <c r="E193" s="106" t="s">
        <v>2127</v>
      </c>
    </row>
    <row r="194" spans="2:5" x14ac:dyDescent="0.25">
      <c r="B194" s="221"/>
      <c r="E194" s="106" t="s">
        <v>2128</v>
      </c>
    </row>
    <row r="195" spans="2:5" x14ac:dyDescent="0.25">
      <c r="B195" s="221"/>
      <c r="E195" s="106" t="s">
        <v>279</v>
      </c>
    </row>
    <row r="196" spans="2:5" x14ac:dyDescent="0.25">
      <c r="B196" s="221"/>
      <c r="C196" s="172" t="s">
        <v>2299</v>
      </c>
      <c r="D196" s="226"/>
      <c r="E196" s="135"/>
    </row>
    <row r="197" spans="2:5" x14ac:dyDescent="0.25">
      <c r="B197" s="221"/>
      <c r="E197" s="106" t="s">
        <v>1034</v>
      </c>
    </row>
    <row r="198" spans="2:5" x14ac:dyDescent="0.25">
      <c r="B198" s="221"/>
      <c r="E198" s="106" t="s">
        <v>1659</v>
      </c>
    </row>
    <row r="199" spans="2:5" x14ac:dyDescent="0.25">
      <c r="B199" s="221"/>
      <c r="E199" s="106" t="s">
        <v>1523</v>
      </c>
    </row>
    <row r="200" spans="2:5" x14ac:dyDescent="0.25">
      <c r="B200" s="221"/>
      <c r="E200" s="106" t="s">
        <v>1658</v>
      </c>
    </row>
    <row r="201" spans="2:5" x14ac:dyDescent="0.25">
      <c r="B201" s="221"/>
      <c r="C201" s="172" t="s">
        <v>722</v>
      </c>
      <c r="D201" s="226"/>
      <c r="E201" s="135"/>
    </row>
    <row r="202" spans="2:5" x14ac:dyDescent="0.25">
      <c r="B202" s="221"/>
      <c r="C202" s="129"/>
      <c r="D202" s="216"/>
      <c r="E202" s="135"/>
    </row>
    <row r="203" spans="2:5" x14ac:dyDescent="0.25">
      <c r="B203" s="221"/>
      <c r="C203" s="172" t="s">
        <v>724</v>
      </c>
      <c r="D203" s="226"/>
      <c r="E203" s="135"/>
    </row>
    <row r="204" spans="2:5" x14ac:dyDescent="0.25">
      <c r="B204" s="221"/>
      <c r="C204" s="129"/>
      <c r="D204" s="216"/>
      <c r="E204" s="135"/>
    </row>
    <row r="205" spans="2:5" ht="26.4" x14ac:dyDescent="0.25">
      <c r="B205" s="221">
        <v>356</v>
      </c>
      <c r="C205" s="214" t="s">
        <v>2332</v>
      </c>
      <c r="D205" s="232"/>
      <c r="E205" s="135" t="s">
        <v>2503</v>
      </c>
    </row>
    <row r="206" spans="2:5" x14ac:dyDescent="0.25">
      <c r="B206" s="221"/>
      <c r="C206" s="214"/>
      <c r="D206" s="232"/>
      <c r="E206" s="106"/>
    </row>
    <row r="207" spans="2:5" x14ac:dyDescent="0.25">
      <c r="B207" s="221"/>
      <c r="C207" s="214"/>
      <c r="D207" s="232"/>
      <c r="E207" s="106" t="s">
        <v>1376</v>
      </c>
    </row>
    <row r="208" spans="2:5" x14ac:dyDescent="0.25">
      <c r="B208" s="221"/>
      <c r="C208" s="214"/>
      <c r="D208" s="232"/>
      <c r="E208" s="106" t="s">
        <v>1110</v>
      </c>
    </row>
    <row r="209" spans="2:5" x14ac:dyDescent="0.25">
      <c r="B209" s="221"/>
      <c r="C209" s="214"/>
      <c r="D209" s="232"/>
      <c r="E209" s="106" t="s">
        <v>1034</v>
      </c>
    </row>
    <row r="210" spans="2:5" x14ac:dyDescent="0.25">
      <c r="B210" s="221"/>
      <c r="C210" s="214"/>
      <c r="D210" s="232"/>
      <c r="E210" s="106" t="s">
        <v>2313</v>
      </c>
    </row>
    <row r="211" spans="2:5" x14ac:dyDescent="0.25">
      <c r="B211" s="221"/>
      <c r="C211" s="214"/>
      <c r="D211" s="232"/>
      <c r="E211" s="106" t="s">
        <v>1999</v>
      </c>
    </row>
    <row r="212" spans="2:5" x14ac:dyDescent="0.25">
      <c r="B212" s="221"/>
      <c r="C212" s="214"/>
      <c r="D212" s="232"/>
      <c r="E212" s="106" t="s">
        <v>2786</v>
      </c>
    </row>
    <row r="213" spans="2:5" x14ac:dyDescent="0.25">
      <c r="B213" s="221"/>
      <c r="C213" s="214"/>
      <c r="D213" s="232"/>
      <c r="E213" s="106" t="s">
        <v>2784</v>
      </c>
    </row>
    <row r="214" spans="2:5" x14ac:dyDescent="0.25">
      <c r="B214" s="221"/>
      <c r="C214" s="214"/>
      <c r="D214" s="232"/>
      <c r="E214" s="106" t="s">
        <v>1996</v>
      </c>
    </row>
    <row r="215" spans="2:5" x14ac:dyDescent="0.25">
      <c r="B215" s="221"/>
      <c r="C215" s="214"/>
      <c r="D215" s="232"/>
      <c r="E215" s="106" t="s">
        <v>1997</v>
      </c>
    </row>
    <row r="216" spans="2:5" x14ac:dyDescent="0.25">
      <c r="B216" s="221"/>
      <c r="C216" s="214"/>
      <c r="D216" s="232"/>
      <c r="E216" s="106" t="s">
        <v>1998</v>
      </c>
    </row>
    <row r="217" spans="2:5" x14ac:dyDescent="0.25">
      <c r="B217" s="221"/>
      <c r="C217" s="214"/>
      <c r="D217" s="232"/>
      <c r="E217" s="106" t="s">
        <v>1523</v>
      </c>
    </row>
    <row r="218" spans="2:5" ht="22.8" x14ac:dyDescent="0.25">
      <c r="B218" s="221"/>
      <c r="C218" s="214"/>
      <c r="D218" s="232"/>
      <c r="E218" s="106" t="s">
        <v>2745</v>
      </c>
    </row>
    <row r="219" spans="2:5" x14ac:dyDescent="0.25">
      <c r="B219" s="221"/>
      <c r="C219" s="214"/>
      <c r="D219" s="232"/>
      <c r="E219" s="106" t="s">
        <v>243</v>
      </c>
    </row>
    <row r="220" spans="2:5" x14ac:dyDescent="0.25">
      <c r="B220" s="221"/>
      <c r="C220" s="214"/>
      <c r="D220" s="232"/>
      <c r="E220" s="106" t="s">
        <v>2712</v>
      </c>
    </row>
    <row r="221" spans="2:5" x14ac:dyDescent="0.25">
      <c r="B221" s="221"/>
      <c r="C221" s="214"/>
      <c r="D221" s="232"/>
      <c r="E221" s="135"/>
    </row>
    <row r="222" spans="2:5" ht="26.4" x14ac:dyDescent="0.25">
      <c r="B222" s="221">
        <v>362</v>
      </c>
      <c r="C222" s="214" t="s">
        <v>2333</v>
      </c>
      <c r="D222" s="232"/>
      <c r="E222" s="135" t="s">
        <v>2504</v>
      </c>
    </row>
    <row r="223" spans="2:5" x14ac:dyDescent="0.25">
      <c r="B223" s="221"/>
      <c r="C223" s="214"/>
      <c r="D223" s="232"/>
      <c r="E223" s="135"/>
    </row>
    <row r="224" spans="2:5" x14ac:dyDescent="0.25">
      <c r="B224" s="221"/>
      <c r="C224" s="214"/>
      <c r="D224" s="232"/>
      <c r="E224" s="106" t="s">
        <v>2011</v>
      </c>
    </row>
    <row r="225" spans="2:7" x14ac:dyDescent="0.25">
      <c r="B225" s="221"/>
      <c r="C225" s="214"/>
      <c r="D225" s="232"/>
      <c r="E225" s="106" t="s">
        <v>2012</v>
      </c>
    </row>
    <row r="226" spans="2:7" x14ac:dyDescent="0.25">
      <c r="B226" s="221"/>
      <c r="C226" s="214"/>
      <c r="D226" s="232"/>
      <c r="E226" s="106" t="s">
        <v>2013</v>
      </c>
    </row>
    <row r="227" spans="2:7" x14ac:dyDescent="0.25">
      <c r="B227" s="221"/>
      <c r="C227" s="214"/>
      <c r="D227" s="232"/>
      <c r="E227" s="106" t="s">
        <v>2014</v>
      </c>
    </row>
    <row r="228" spans="2:7" ht="22.8" x14ac:dyDescent="0.25">
      <c r="B228" s="221"/>
      <c r="C228" s="214"/>
      <c r="D228" s="232"/>
      <c r="E228" s="113" t="s">
        <v>1481</v>
      </c>
    </row>
    <row r="229" spans="2:7" ht="22.8" x14ac:dyDescent="0.25">
      <c r="B229" s="221"/>
      <c r="C229" s="214"/>
      <c r="D229" s="232"/>
      <c r="E229" s="106" t="s">
        <v>2745</v>
      </c>
    </row>
    <row r="230" spans="2:7" x14ac:dyDescent="0.25">
      <c r="B230" s="221"/>
      <c r="C230" s="214"/>
      <c r="D230" s="232"/>
      <c r="E230" s="106" t="s">
        <v>1523</v>
      </c>
    </row>
    <row r="231" spans="2:7" x14ac:dyDescent="0.25">
      <c r="B231" s="221"/>
      <c r="C231" s="214"/>
      <c r="D231" s="232"/>
      <c r="E231" s="106" t="s">
        <v>13</v>
      </c>
    </row>
    <row r="232" spans="2:7" x14ac:dyDescent="0.25">
      <c r="B232" s="221"/>
      <c r="C232" s="214"/>
      <c r="D232" s="232"/>
      <c r="E232" s="106" t="s">
        <v>2712</v>
      </c>
    </row>
    <row r="233" spans="2:7" x14ac:dyDescent="0.25">
      <c r="B233" s="221"/>
      <c r="C233" s="214"/>
      <c r="D233" s="232"/>
      <c r="E233" s="135"/>
    </row>
    <row r="234" spans="2:7" ht="26.4" x14ac:dyDescent="0.25">
      <c r="B234" s="221">
        <v>554</v>
      </c>
      <c r="C234" s="214" t="s">
        <v>2334</v>
      </c>
      <c r="D234" s="232"/>
      <c r="E234" s="135" t="s">
        <v>2505</v>
      </c>
    </row>
    <row r="235" spans="2:7" x14ac:dyDescent="0.25">
      <c r="B235" s="221"/>
      <c r="C235" s="214" t="s">
        <v>2094</v>
      </c>
      <c r="D235" s="232"/>
      <c r="E235" s="135"/>
    </row>
    <row r="236" spans="2:7" x14ac:dyDescent="0.25">
      <c r="B236" s="221"/>
      <c r="C236" s="214"/>
      <c r="D236" s="232"/>
      <c r="E236" s="106" t="s">
        <v>2015</v>
      </c>
      <c r="F236" s="118" t="e">
        <f>VLOOKUP(E236,#REF!,2,FALSE)</f>
        <v>#REF!</v>
      </c>
      <c r="G236" s="183" t="e">
        <f>VLOOKUP(E236,#REF!,5,FALSE)</f>
        <v>#REF!</v>
      </c>
    </row>
    <row r="237" spans="2:7" x14ac:dyDescent="0.25">
      <c r="B237" s="221"/>
      <c r="C237" s="172" t="s">
        <v>2299</v>
      </c>
      <c r="D237" s="226"/>
      <c r="E237" s="106"/>
    </row>
    <row r="238" spans="2:7" x14ac:dyDescent="0.25">
      <c r="B238" s="221"/>
      <c r="C238" s="214"/>
      <c r="D238" s="232"/>
      <c r="E238" s="135"/>
    </row>
    <row r="239" spans="2:7" x14ac:dyDescent="0.25">
      <c r="B239" s="221"/>
      <c r="C239" s="172" t="s">
        <v>722</v>
      </c>
      <c r="D239" s="226"/>
      <c r="E239" s="135"/>
    </row>
    <row r="240" spans="2:7" ht="21" x14ac:dyDescent="0.25">
      <c r="B240" s="221"/>
      <c r="C240" s="129"/>
      <c r="D240" s="216"/>
      <c r="E240" s="184" t="s">
        <v>517</v>
      </c>
      <c r="F240" s="118" t="str">
        <f>VLOOKUP(E240,'RSMeans 2009'!$B$3:$E$210,3,FALSE)</f>
        <v>Ea.</v>
      </c>
      <c r="G240" s="183">
        <f>VLOOKUP(E240,'RSMeans 2009'!$B$3:$E$210,4,FALSE)</f>
        <v>134.5053332</v>
      </c>
    </row>
    <row r="241" spans="2:7" ht="21" x14ac:dyDescent="0.25">
      <c r="B241" s="221"/>
      <c r="C241" s="129"/>
      <c r="D241" s="216"/>
      <c r="E241" s="184" t="s">
        <v>518</v>
      </c>
      <c r="F241" s="118" t="str">
        <f>VLOOKUP(E241,'RSMeans 2009'!$B$3:$E$210,3,FALSE)</f>
        <v>Ea.</v>
      </c>
      <c r="G241" s="183">
        <f>VLOOKUP(E241,'RSMeans 2009'!$B$3:$E$210,4,FALSE)</f>
        <v>53.886975799999988</v>
      </c>
    </row>
    <row r="242" spans="2:7" ht="21" x14ac:dyDescent="0.25">
      <c r="B242" s="221"/>
      <c r="C242" s="129"/>
      <c r="D242" s="216"/>
      <c r="E242" s="184" t="s">
        <v>519</v>
      </c>
      <c r="F242" s="118" t="str">
        <f>VLOOKUP(E242,'RSMeans 2009'!$B$3:$E$210,3,FALSE)</f>
        <v>Ea.</v>
      </c>
      <c r="G242" s="183">
        <f>VLOOKUP(E242,'RSMeans 2009'!$B$3:$E$210,4,FALSE)</f>
        <v>196.20132139999998</v>
      </c>
    </row>
    <row r="243" spans="2:7" x14ac:dyDescent="0.25">
      <c r="B243" s="221"/>
      <c r="C243" s="172" t="s">
        <v>724</v>
      </c>
      <c r="D243" s="226"/>
      <c r="E243" s="106"/>
    </row>
    <row r="244" spans="2:7" x14ac:dyDescent="0.25">
      <c r="B244" s="221"/>
      <c r="E244" s="106" t="s">
        <v>1159</v>
      </c>
      <c r="F244" s="118" t="e">
        <f>VLOOKUP(E244,#REF!,2,FALSE)</f>
        <v>#REF!</v>
      </c>
      <c r="G244" s="183" t="e">
        <f>VLOOKUP(E244,#REF!,5,FALSE)</f>
        <v>#REF!</v>
      </c>
    </row>
    <row r="245" spans="2:7" x14ac:dyDescent="0.25">
      <c r="B245" s="221"/>
      <c r="C245" s="214"/>
      <c r="D245" s="232"/>
      <c r="E245" s="106" t="s">
        <v>1325</v>
      </c>
      <c r="F245" s="118" t="e">
        <f>VLOOKUP(E245,#REF!,2,FALSE)</f>
        <v>#REF!</v>
      </c>
      <c r="G245" s="183" t="e">
        <f>VLOOKUP(E245,#REF!,5,FALSE)</f>
        <v>#REF!</v>
      </c>
    </row>
    <row r="246" spans="2:7" x14ac:dyDescent="0.25">
      <c r="B246" s="221"/>
      <c r="C246" s="214"/>
      <c r="D246" s="232"/>
      <c r="E246" s="135"/>
    </row>
    <row r="247" spans="2:7" ht="39.6" x14ac:dyDescent="0.25">
      <c r="B247" s="221">
        <v>432</v>
      </c>
      <c r="C247" s="214" t="s">
        <v>2335</v>
      </c>
      <c r="D247" s="232"/>
      <c r="E247" s="135" t="s">
        <v>2506</v>
      </c>
    </row>
    <row r="248" spans="2:7" x14ac:dyDescent="0.25">
      <c r="B248" s="221"/>
      <c r="C248" s="214"/>
      <c r="D248" s="232"/>
      <c r="E248" s="135"/>
    </row>
    <row r="249" spans="2:7" x14ac:dyDescent="0.25">
      <c r="B249" s="221"/>
      <c r="C249" s="214"/>
      <c r="D249" s="232"/>
      <c r="E249" s="106" t="s">
        <v>2542</v>
      </c>
    </row>
    <row r="250" spans="2:7" x14ac:dyDescent="0.25">
      <c r="B250" s="221"/>
      <c r="C250" s="214"/>
      <c r="D250" s="232"/>
      <c r="E250" s="106" t="s">
        <v>1341</v>
      </c>
    </row>
    <row r="251" spans="2:7" x14ac:dyDescent="0.25">
      <c r="B251" s="221"/>
      <c r="C251" s="214"/>
      <c r="D251" s="232"/>
      <c r="E251" s="106" t="s">
        <v>750</v>
      </c>
    </row>
    <row r="252" spans="2:7" x14ac:dyDescent="0.25">
      <c r="B252" s="221"/>
      <c r="C252" s="214"/>
      <c r="D252" s="232"/>
      <c r="E252" s="106" t="s">
        <v>1376</v>
      </c>
    </row>
    <row r="253" spans="2:7" x14ac:dyDescent="0.25">
      <c r="B253" s="221"/>
      <c r="C253" s="214"/>
      <c r="D253" s="232"/>
      <c r="E253" s="106" t="s">
        <v>1110</v>
      </c>
    </row>
    <row r="254" spans="2:7" x14ac:dyDescent="0.25">
      <c r="B254" s="221"/>
      <c r="C254" s="214"/>
      <c r="D254" s="232"/>
      <c r="E254" s="106" t="s">
        <v>2313</v>
      </c>
    </row>
    <row r="255" spans="2:7" x14ac:dyDescent="0.25">
      <c r="B255" s="221"/>
      <c r="C255" s="214"/>
      <c r="D255" s="232"/>
      <c r="E255" s="106" t="s">
        <v>1034</v>
      </c>
    </row>
    <row r="256" spans="2:7" x14ac:dyDescent="0.25">
      <c r="B256" s="221"/>
      <c r="C256" s="214"/>
      <c r="D256" s="232"/>
      <c r="E256" s="106" t="s">
        <v>988</v>
      </c>
    </row>
    <row r="257" spans="2:5" x14ac:dyDescent="0.25">
      <c r="B257" s="221"/>
      <c r="C257" s="214"/>
      <c r="D257" s="232"/>
      <c r="E257" s="106" t="s">
        <v>1523</v>
      </c>
    </row>
    <row r="258" spans="2:5" x14ac:dyDescent="0.25">
      <c r="B258" s="221"/>
      <c r="C258" s="214"/>
      <c r="D258" s="232"/>
      <c r="E258" s="106" t="s">
        <v>2712</v>
      </c>
    </row>
    <row r="259" spans="2:5" ht="22.8" x14ac:dyDescent="0.25">
      <c r="B259" s="221"/>
      <c r="C259" s="214"/>
      <c r="D259" s="232"/>
      <c r="E259" s="106" t="s">
        <v>983</v>
      </c>
    </row>
    <row r="260" spans="2:5" ht="22.8" x14ac:dyDescent="0.25">
      <c r="B260" s="221"/>
      <c r="C260" s="214"/>
      <c r="D260" s="232"/>
      <c r="E260" s="106" t="s">
        <v>2414</v>
      </c>
    </row>
    <row r="261" spans="2:5" ht="22.8" x14ac:dyDescent="0.25">
      <c r="B261" s="221"/>
      <c r="C261" s="214"/>
      <c r="D261" s="232"/>
      <c r="E261" s="106" t="s">
        <v>1709</v>
      </c>
    </row>
    <row r="262" spans="2:5" ht="22.8" x14ac:dyDescent="0.25">
      <c r="B262" s="221"/>
      <c r="C262" s="214"/>
      <c r="D262" s="232"/>
      <c r="E262" s="106" t="s">
        <v>2745</v>
      </c>
    </row>
    <row r="263" spans="2:5" x14ac:dyDescent="0.25">
      <c r="B263" s="221"/>
      <c r="C263" s="214"/>
      <c r="D263" s="232"/>
      <c r="E263" s="135"/>
    </row>
    <row r="264" spans="2:5" ht="26.4" x14ac:dyDescent="0.25">
      <c r="B264" s="221">
        <v>396</v>
      </c>
      <c r="C264" s="214" t="s">
        <v>2344</v>
      </c>
      <c r="D264" s="232"/>
      <c r="E264" s="135" t="s">
        <v>2345</v>
      </c>
    </row>
    <row r="265" spans="2:5" x14ac:dyDescent="0.25">
      <c r="B265" s="221"/>
      <c r="C265" s="214" t="s">
        <v>329</v>
      </c>
      <c r="D265" s="232"/>
      <c r="E265" s="135"/>
    </row>
    <row r="266" spans="2:5" x14ac:dyDescent="0.25">
      <c r="B266" s="221"/>
      <c r="C266" s="214"/>
      <c r="D266" s="232"/>
      <c r="E266" s="135" t="s">
        <v>1326</v>
      </c>
    </row>
    <row r="267" spans="2:5" x14ac:dyDescent="0.25">
      <c r="B267" s="221"/>
      <c r="C267" s="214"/>
      <c r="D267" s="232"/>
      <c r="E267" s="135" t="s">
        <v>1327</v>
      </c>
    </row>
    <row r="268" spans="2:5" x14ac:dyDescent="0.25">
      <c r="B268" s="221"/>
      <c r="C268" s="214"/>
      <c r="D268" s="232"/>
      <c r="E268" s="135" t="s">
        <v>1328</v>
      </c>
    </row>
    <row r="269" spans="2:5" x14ac:dyDescent="0.25">
      <c r="B269" s="221"/>
      <c r="C269" s="214"/>
      <c r="D269" s="232"/>
      <c r="E269" s="135" t="s">
        <v>1329</v>
      </c>
    </row>
    <row r="270" spans="2:5" x14ac:dyDescent="0.25">
      <c r="B270" s="221"/>
      <c r="C270" s="172" t="s">
        <v>2299</v>
      </c>
      <c r="D270" s="226"/>
      <c r="E270" s="135"/>
    </row>
    <row r="271" spans="2:5" x14ac:dyDescent="0.25">
      <c r="B271" s="221"/>
      <c r="C271" s="172"/>
      <c r="D271" s="226"/>
      <c r="E271" s="135" t="s">
        <v>1331</v>
      </c>
    </row>
    <row r="272" spans="2:5" x14ac:dyDescent="0.25">
      <c r="B272" s="221"/>
      <c r="C272" s="172"/>
      <c r="D272" s="226"/>
      <c r="E272" s="135" t="s">
        <v>1332</v>
      </c>
    </row>
    <row r="273" spans="2:7" x14ac:dyDescent="0.25">
      <c r="B273" s="221"/>
      <c r="C273" s="172"/>
      <c r="D273" s="226"/>
      <c r="E273" s="135" t="s">
        <v>1333</v>
      </c>
    </row>
    <row r="274" spans="2:7" x14ac:dyDescent="0.25">
      <c r="B274" s="221"/>
      <c r="C274" s="172"/>
      <c r="D274" s="226"/>
      <c r="E274" s="135" t="s">
        <v>1334</v>
      </c>
    </row>
    <row r="275" spans="2:7" x14ac:dyDescent="0.25">
      <c r="B275" s="221"/>
      <c r="C275" s="214"/>
      <c r="D275" s="232"/>
      <c r="E275" s="135" t="s">
        <v>1330</v>
      </c>
    </row>
    <row r="276" spans="2:7" x14ac:dyDescent="0.25">
      <c r="B276" s="221"/>
      <c r="E276" s="135" t="s">
        <v>1335</v>
      </c>
    </row>
    <row r="277" spans="2:7" x14ac:dyDescent="0.25">
      <c r="B277" s="221"/>
      <c r="C277" s="172" t="s">
        <v>722</v>
      </c>
      <c r="D277" s="226"/>
      <c r="E277" s="135"/>
    </row>
    <row r="278" spans="2:7" ht="21" x14ac:dyDescent="0.25">
      <c r="B278" s="221"/>
      <c r="C278" s="129"/>
      <c r="D278" s="216"/>
      <c r="E278" s="184" t="s">
        <v>517</v>
      </c>
      <c r="F278" s="118" t="str">
        <f>VLOOKUP(E278,'RSMeans 2009'!$B$3:$E$210,3,FALSE)</f>
        <v>Ea.</v>
      </c>
      <c r="G278" s="183">
        <f>VLOOKUP(E278,'RSMeans 2009'!$B$3:$E$210,4,FALSE)</f>
        <v>134.5053332</v>
      </c>
    </row>
    <row r="279" spans="2:7" ht="21" x14ac:dyDescent="0.25">
      <c r="B279" s="221"/>
      <c r="C279" s="129"/>
      <c r="D279" s="216"/>
      <c r="E279" s="184" t="s">
        <v>518</v>
      </c>
      <c r="F279" s="118" t="str">
        <f>VLOOKUP(E279,'RSMeans 2009'!$B$3:$E$210,3,FALSE)</f>
        <v>Ea.</v>
      </c>
      <c r="G279" s="183">
        <f>VLOOKUP(E279,'RSMeans 2009'!$B$3:$E$210,4,FALSE)</f>
        <v>53.886975799999988</v>
      </c>
    </row>
    <row r="280" spans="2:7" ht="21" x14ac:dyDescent="0.25">
      <c r="B280" s="221"/>
      <c r="C280" s="129"/>
      <c r="D280" s="216"/>
      <c r="E280" s="184" t="s">
        <v>519</v>
      </c>
      <c r="F280" s="118" t="str">
        <f>VLOOKUP(E280,'RSMeans 2009'!$B$3:$E$210,3,FALSE)</f>
        <v>Ea.</v>
      </c>
      <c r="G280" s="183">
        <f>VLOOKUP(E280,'RSMeans 2009'!$B$3:$E$210,4,FALSE)</f>
        <v>196.20132139999998</v>
      </c>
    </row>
    <row r="281" spans="2:7" x14ac:dyDescent="0.25">
      <c r="B281" s="221"/>
      <c r="C281" s="172" t="s">
        <v>724</v>
      </c>
      <c r="D281" s="226"/>
      <c r="E281" s="106"/>
    </row>
    <row r="282" spans="2:7" x14ac:dyDescent="0.25">
      <c r="B282" s="221"/>
      <c r="E282" s="106" t="s">
        <v>1159</v>
      </c>
      <c r="F282" s="118" t="e">
        <f>VLOOKUP(E282,#REF!,2,FALSE)</f>
        <v>#REF!</v>
      </c>
      <c r="G282" s="183" t="e">
        <f>VLOOKUP(E282,#REF!,5,FALSE)</f>
        <v>#REF!</v>
      </c>
    </row>
    <row r="283" spans="2:7" x14ac:dyDescent="0.25">
      <c r="B283" s="221"/>
      <c r="C283" s="214"/>
      <c r="D283" s="232"/>
      <c r="E283" s="135"/>
    </row>
    <row r="284" spans="2:7" ht="26.4" x14ac:dyDescent="0.25">
      <c r="B284" s="221">
        <v>398</v>
      </c>
      <c r="C284" s="214" t="s">
        <v>2348</v>
      </c>
      <c r="D284" s="232"/>
      <c r="E284" s="135" t="s">
        <v>2511</v>
      </c>
    </row>
    <row r="285" spans="2:7" x14ac:dyDescent="0.25">
      <c r="B285" s="221"/>
      <c r="C285" s="214"/>
      <c r="D285" s="232"/>
      <c r="E285" s="135"/>
    </row>
    <row r="286" spans="2:7" x14ac:dyDescent="0.25">
      <c r="B286" s="221"/>
      <c r="C286" s="214"/>
      <c r="D286" s="232"/>
      <c r="E286" s="106" t="s">
        <v>188</v>
      </c>
    </row>
    <row r="287" spans="2:7" x14ac:dyDescent="0.25">
      <c r="B287" s="221"/>
      <c r="C287" s="214"/>
      <c r="D287" s="232"/>
      <c r="E287" s="106" t="s">
        <v>410</v>
      </c>
    </row>
    <row r="288" spans="2:7" x14ac:dyDescent="0.25">
      <c r="B288" s="221"/>
      <c r="C288" s="214"/>
      <c r="D288" s="232"/>
      <c r="E288" s="106" t="s">
        <v>15</v>
      </c>
    </row>
    <row r="289" spans="2:5" x14ac:dyDescent="0.25">
      <c r="B289" s="221"/>
      <c r="C289" s="214"/>
      <c r="D289" s="232"/>
      <c r="E289" s="106" t="s">
        <v>16</v>
      </c>
    </row>
    <row r="290" spans="2:5" x14ac:dyDescent="0.25">
      <c r="B290" s="221"/>
      <c r="C290" s="214"/>
      <c r="D290" s="232"/>
      <c r="E290" s="106" t="s">
        <v>413</v>
      </c>
    </row>
    <row r="291" spans="2:5" x14ac:dyDescent="0.25">
      <c r="B291" s="221"/>
      <c r="C291" s="214"/>
      <c r="D291" s="232"/>
      <c r="E291" s="135"/>
    </row>
    <row r="292" spans="2:5" ht="26.4" x14ac:dyDescent="0.25">
      <c r="B292" s="221">
        <v>410</v>
      </c>
      <c r="C292" s="214" t="s">
        <v>2354</v>
      </c>
      <c r="D292" s="232"/>
      <c r="E292" s="135" t="s">
        <v>2355</v>
      </c>
    </row>
    <row r="293" spans="2:5" x14ac:dyDescent="0.25">
      <c r="B293" s="221"/>
      <c r="C293" s="214" t="s">
        <v>2094</v>
      </c>
      <c r="D293" s="232"/>
      <c r="E293" s="135"/>
    </row>
    <row r="294" spans="2:5" x14ac:dyDescent="0.25">
      <c r="B294" s="221"/>
      <c r="C294" s="214"/>
      <c r="D294" s="232"/>
      <c r="E294" s="106" t="s">
        <v>1371</v>
      </c>
    </row>
    <row r="295" spans="2:5" x14ac:dyDescent="0.25">
      <c r="B295" s="221"/>
      <c r="C295" s="214"/>
      <c r="D295" s="232"/>
      <c r="E295" s="106" t="s">
        <v>1372</v>
      </c>
    </row>
    <row r="296" spans="2:5" x14ac:dyDescent="0.25">
      <c r="B296" s="221"/>
      <c r="C296" s="214"/>
      <c r="D296" s="232"/>
      <c r="E296" s="106" t="s">
        <v>1988</v>
      </c>
    </row>
    <row r="297" spans="2:5" x14ac:dyDescent="0.25">
      <c r="B297" s="221"/>
      <c r="C297" s="214"/>
      <c r="D297" s="232"/>
      <c r="E297" s="106" t="s">
        <v>1989</v>
      </c>
    </row>
    <row r="298" spans="2:5" x14ac:dyDescent="0.25">
      <c r="B298" s="221"/>
      <c r="C298" s="214"/>
      <c r="D298" s="232"/>
      <c r="E298" s="106" t="s">
        <v>2195</v>
      </c>
    </row>
    <row r="299" spans="2:5" x14ac:dyDescent="0.25">
      <c r="B299" s="221"/>
      <c r="C299" s="214"/>
      <c r="D299" s="232"/>
      <c r="E299" s="106" t="s">
        <v>2196</v>
      </c>
    </row>
    <row r="300" spans="2:5" x14ac:dyDescent="0.25">
      <c r="B300" s="221"/>
      <c r="C300" s="214"/>
      <c r="D300" s="232"/>
      <c r="E300" s="106" t="s">
        <v>2193</v>
      </c>
    </row>
    <row r="301" spans="2:5" x14ac:dyDescent="0.25">
      <c r="B301" s="221"/>
      <c r="C301" s="214"/>
      <c r="D301" s="232"/>
      <c r="E301" s="106" t="s">
        <v>2194</v>
      </c>
    </row>
    <row r="302" spans="2:5" x14ac:dyDescent="0.25">
      <c r="B302" s="221"/>
      <c r="C302" s="214"/>
      <c r="D302" s="232"/>
      <c r="E302" s="106" t="s">
        <v>600</v>
      </c>
    </row>
    <row r="303" spans="2:5" ht="22.8" x14ac:dyDescent="0.25">
      <c r="B303" s="221"/>
      <c r="C303" s="214"/>
      <c r="D303" s="232"/>
      <c r="E303" s="106" t="s">
        <v>1184</v>
      </c>
    </row>
    <row r="304" spans="2:5" ht="22.8" x14ac:dyDescent="0.25">
      <c r="B304" s="221"/>
      <c r="C304" s="214"/>
      <c r="D304" s="232"/>
      <c r="E304" s="106" t="s">
        <v>1185</v>
      </c>
    </row>
    <row r="305" spans="2:5" ht="22.8" x14ac:dyDescent="0.25">
      <c r="B305" s="221"/>
      <c r="C305" s="214"/>
      <c r="D305" s="232"/>
      <c r="E305" s="106" t="s">
        <v>1186</v>
      </c>
    </row>
    <row r="306" spans="2:5" ht="22.8" x14ac:dyDescent="0.25">
      <c r="B306" s="221"/>
      <c r="C306" s="214"/>
      <c r="D306" s="232"/>
      <c r="E306" s="106" t="s">
        <v>1187</v>
      </c>
    </row>
    <row r="307" spans="2:5" ht="22.8" x14ac:dyDescent="0.25">
      <c r="B307" s="221"/>
      <c r="C307" s="214"/>
      <c r="D307" s="232"/>
      <c r="E307" s="106" t="s">
        <v>203</v>
      </c>
    </row>
    <row r="308" spans="2:5" ht="22.8" x14ac:dyDescent="0.25">
      <c r="B308" s="221"/>
      <c r="C308" s="214"/>
      <c r="D308" s="232"/>
      <c r="E308" s="106" t="s">
        <v>1188</v>
      </c>
    </row>
    <row r="309" spans="2:5" ht="22.8" x14ac:dyDescent="0.25">
      <c r="B309" s="221"/>
      <c r="C309" s="214"/>
      <c r="D309" s="232"/>
      <c r="E309" s="106" t="s">
        <v>2363</v>
      </c>
    </row>
    <row r="310" spans="2:5" ht="22.8" x14ac:dyDescent="0.25">
      <c r="B310" s="221"/>
      <c r="C310" s="214"/>
      <c r="D310" s="232"/>
      <c r="E310" s="106" t="s">
        <v>2364</v>
      </c>
    </row>
    <row r="311" spans="2:5" ht="22.8" x14ac:dyDescent="0.25">
      <c r="B311" s="221"/>
      <c r="C311" s="214"/>
      <c r="D311" s="232"/>
      <c r="E311" s="106" t="s">
        <v>1374</v>
      </c>
    </row>
    <row r="312" spans="2:5" ht="22.8" x14ac:dyDescent="0.25">
      <c r="B312" s="221"/>
      <c r="C312" s="214"/>
      <c r="D312" s="232"/>
      <c r="E312" s="106" t="s">
        <v>1375</v>
      </c>
    </row>
    <row r="313" spans="2:5" x14ac:dyDescent="0.25">
      <c r="B313" s="221"/>
      <c r="C313" s="214"/>
      <c r="D313" s="232"/>
      <c r="E313" s="106" t="s">
        <v>2540</v>
      </c>
    </row>
    <row r="314" spans="2:5" x14ac:dyDescent="0.25">
      <c r="B314" s="221"/>
      <c r="C314" s="214"/>
      <c r="D314" s="232"/>
      <c r="E314" s="106" t="s">
        <v>2541</v>
      </c>
    </row>
    <row r="315" spans="2:5" x14ac:dyDescent="0.25">
      <c r="B315" s="221"/>
      <c r="C315" s="214"/>
      <c r="D315" s="232"/>
      <c r="E315" s="106" t="s">
        <v>2542</v>
      </c>
    </row>
    <row r="316" spans="2:5" x14ac:dyDescent="0.25">
      <c r="B316" s="221"/>
      <c r="C316" s="214"/>
      <c r="D316" s="232"/>
      <c r="E316" s="106" t="s">
        <v>1341</v>
      </c>
    </row>
    <row r="317" spans="2:5" x14ac:dyDescent="0.25">
      <c r="B317" s="221"/>
      <c r="C317" s="214"/>
      <c r="D317" s="232"/>
      <c r="E317" s="106" t="s">
        <v>1604</v>
      </c>
    </row>
    <row r="318" spans="2:5" x14ac:dyDescent="0.25">
      <c r="B318" s="221"/>
      <c r="C318" s="214"/>
      <c r="D318" s="232"/>
      <c r="E318" s="106" t="s">
        <v>1605</v>
      </c>
    </row>
    <row r="319" spans="2:5" x14ac:dyDescent="0.25">
      <c r="B319" s="221"/>
      <c r="C319" s="214"/>
      <c r="D319" s="232"/>
      <c r="E319" s="106" t="s">
        <v>1004</v>
      </c>
    </row>
    <row r="320" spans="2:5" x14ac:dyDescent="0.25">
      <c r="B320" s="221"/>
      <c r="C320" s="214"/>
      <c r="D320" s="232"/>
      <c r="E320" s="106" t="s">
        <v>1622</v>
      </c>
    </row>
    <row r="321" spans="2:5" x14ac:dyDescent="0.25">
      <c r="B321" s="221"/>
      <c r="C321" s="214"/>
      <c r="D321" s="232"/>
      <c r="E321" s="106" t="s">
        <v>231</v>
      </c>
    </row>
    <row r="322" spans="2:5" ht="22.8" x14ac:dyDescent="0.25">
      <c r="B322" s="221"/>
      <c r="C322" s="214"/>
      <c r="D322" s="232"/>
      <c r="E322" s="106" t="s">
        <v>2761</v>
      </c>
    </row>
    <row r="323" spans="2:5" ht="22.8" x14ac:dyDescent="0.25">
      <c r="B323" s="221"/>
      <c r="C323" s="214"/>
      <c r="D323" s="232"/>
      <c r="E323" s="106" t="s">
        <v>2762</v>
      </c>
    </row>
    <row r="324" spans="2:5" ht="22.8" x14ac:dyDescent="0.25">
      <c r="B324" s="221"/>
      <c r="C324" s="214"/>
      <c r="D324" s="232"/>
      <c r="E324" s="106" t="s">
        <v>2763</v>
      </c>
    </row>
    <row r="325" spans="2:5" ht="22.8" x14ac:dyDescent="0.25">
      <c r="B325" s="221"/>
      <c r="C325" s="214"/>
      <c r="D325" s="232"/>
      <c r="E325" s="106" t="s">
        <v>2764</v>
      </c>
    </row>
    <row r="326" spans="2:5" ht="22.8" x14ac:dyDescent="0.25">
      <c r="B326" s="221"/>
      <c r="C326" s="214"/>
      <c r="D326" s="232"/>
      <c r="E326" s="106" t="s">
        <v>2765</v>
      </c>
    </row>
    <row r="327" spans="2:5" ht="22.8" x14ac:dyDescent="0.25">
      <c r="B327" s="221"/>
      <c r="C327" s="214"/>
      <c r="D327" s="232"/>
      <c r="E327" s="106" t="s">
        <v>2766</v>
      </c>
    </row>
    <row r="328" spans="2:5" ht="22.8" x14ac:dyDescent="0.25">
      <c r="B328" s="221"/>
      <c r="C328" s="214"/>
      <c r="D328" s="232"/>
      <c r="E328" s="106" t="s">
        <v>2767</v>
      </c>
    </row>
    <row r="329" spans="2:5" ht="22.8" x14ac:dyDescent="0.25">
      <c r="B329" s="221"/>
      <c r="C329" s="214"/>
      <c r="D329" s="232"/>
      <c r="E329" s="106" t="s">
        <v>2768</v>
      </c>
    </row>
    <row r="330" spans="2:5" ht="22.8" x14ac:dyDescent="0.25">
      <c r="B330" s="221"/>
      <c r="C330" s="214"/>
      <c r="D330" s="232"/>
      <c r="E330" s="106" t="s">
        <v>2769</v>
      </c>
    </row>
    <row r="331" spans="2:5" ht="22.8" x14ac:dyDescent="0.25">
      <c r="B331" s="221"/>
      <c r="C331" s="214"/>
      <c r="D331" s="232"/>
      <c r="E331" s="106" t="s">
        <v>2120</v>
      </c>
    </row>
    <row r="332" spans="2:5" ht="22.8" x14ac:dyDescent="0.25">
      <c r="B332" s="221"/>
      <c r="C332" s="214"/>
      <c r="D332" s="232"/>
      <c r="E332" s="106" t="s">
        <v>2694</v>
      </c>
    </row>
    <row r="333" spans="2:5" ht="22.8" x14ac:dyDescent="0.25">
      <c r="B333" s="221"/>
      <c r="C333" s="214"/>
      <c r="D333" s="232"/>
      <c r="E333" s="106" t="s">
        <v>2695</v>
      </c>
    </row>
    <row r="334" spans="2:5" x14ac:dyDescent="0.25">
      <c r="B334" s="221"/>
      <c r="C334" s="214"/>
      <c r="D334" s="232"/>
      <c r="E334" s="106" t="s">
        <v>702</v>
      </c>
    </row>
    <row r="335" spans="2:5" x14ac:dyDescent="0.25">
      <c r="B335" s="221"/>
      <c r="C335" s="214"/>
      <c r="D335" s="232"/>
      <c r="E335" s="106" t="s">
        <v>703</v>
      </c>
    </row>
    <row r="336" spans="2:5" x14ac:dyDescent="0.25">
      <c r="B336" s="221"/>
      <c r="C336" s="214"/>
      <c r="D336" s="232"/>
      <c r="E336" s="106" t="s">
        <v>704</v>
      </c>
    </row>
    <row r="337" spans="2:5" x14ac:dyDescent="0.25">
      <c r="B337" s="221"/>
      <c r="C337" s="214"/>
      <c r="D337" s="232"/>
      <c r="E337" s="106" t="s">
        <v>699</v>
      </c>
    </row>
    <row r="338" spans="2:5" x14ac:dyDescent="0.25">
      <c r="B338" s="221"/>
      <c r="C338" s="214"/>
      <c r="D338" s="232"/>
      <c r="E338" s="106" t="s">
        <v>700</v>
      </c>
    </row>
    <row r="339" spans="2:5" x14ac:dyDescent="0.25">
      <c r="B339" s="221"/>
      <c r="C339" s="214"/>
      <c r="D339" s="232"/>
      <c r="E339" s="106" t="s">
        <v>701</v>
      </c>
    </row>
    <row r="340" spans="2:5" x14ac:dyDescent="0.25">
      <c r="B340" s="221"/>
      <c r="C340" s="214"/>
      <c r="D340" s="232"/>
      <c r="E340" s="106" t="s">
        <v>1376</v>
      </c>
    </row>
    <row r="341" spans="2:5" x14ac:dyDescent="0.25">
      <c r="B341" s="221"/>
      <c r="C341" s="214"/>
      <c r="D341" s="232"/>
      <c r="E341" s="106" t="s">
        <v>1110</v>
      </c>
    </row>
    <row r="342" spans="2:5" x14ac:dyDescent="0.25">
      <c r="B342" s="221"/>
      <c r="C342" s="214"/>
      <c r="D342" s="232"/>
      <c r="E342" s="106" t="s">
        <v>1034</v>
      </c>
    </row>
    <row r="343" spans="2:5" x14ac:dyDescent="0.25">
      <c r="B343" s="221"/>
      <c r="C343" s="214"/>
      <c r="D343" s="232"/>
      <c r="E343" s="106" t="s">
        <v>2313</v>
      </c>
    </row>
    <row r="344" spans="2:5" x14ac:dyDescent="0.25">
      <c r="B344" s="221"/>
      <c r="C344" s="214"/>
      <c r="D344" s="232"/>
      <c r="E344" s="106" t="s">
        <v>1034</v>
      </c>
    </row>
    <row r="345" spans="2:5" x14ac:dyDescent="0.25">
      <c r="B345" s="221"/>
      <c r="C345" s="214"/>
      <c r="D345" s="232"/>
      <c r="E345" s="106" t="s">
        <v>988</v>
      </c>
    </row>
    <row r="346" spans="2:5" x14ac:dyDescent="0.25">
      <c r="B346" s="221"/>
      <c r="C346" s="214"/>
      <c r="D346" s="232"/>
      <c r="E346" s="106" t="s">
        <v>2797</v>
      </c>
    </row>
    <row r="347" spans="2:5" x14ac:dyDescent="0.25">
      <c r="B347" s="221"/>
      <c r="C347" s="214"/>
      <c r="D347" s="232"/>
      <c r="E347" s="106" t="s">
        <v>1999</v>
      </c>
    </row>
    <row r="348" spans="2:5" x14ac:dyDescent="0.25">
      <c r="B348" s="221"/>
      <c r="C348" s="214"/>
      <c r="D348" s="232"/>
      <c r="E348" s="106" t="s">
        <v>2786</v>
      </c>
    </row>
    <row r="349" spans="2:5" x14ac:dyDescent="0.25">
      <c r="B349" s="221"/>
      <c r="C349" s="214"/>
      <c r="D349" s="232"/>
      <c r="E349" s="106" t="s">
        <v>2784</v>
      </c>
    </row>
    <row r="350" spans="2:5" x14ac:dyDescent="0.25">
      <c r="B350" s="221"/>
      <c r="C350" s="214"/>
      <c r="D350" s="232"/>
      <c r="E350" s="106" t="s">
        <v>1996</v>
      </c>
    </row>
    <row r="351" spans="2:5" x14ac:dyDescent="0.25">
      <c r="B351" s="221"/>
      <c r="C351" s="214"/>
      <c r="D351" s="232"/>
      <c r="E351" s="106" t="s">
        <v>1997</v>
      </c>
    </row>
    <row r="352" spans="2:5" x14ac:dyDescent="0.25">
      <c r="B352" s="221"/>
      <c r="C352" s="214"/>
      <c r="D352" s="232"/>
      <c r="E352" s="106" t="s">
        <v>1998</v>
      </c>
    </row>
    <row r="353" spans="2:5" ht="22.8" x14ac:dyDescent="0.25">
      <c r="B353" s="221"/>
      <c r="C353" s="214"/>
      <c r="D353" s="232"/>
      <c r="E353" s="106" t="s">
        <v>909</v>
      </c>
    </row>
    <row r="354" spans="2:5" ht="22.8" x14ac:dyDescent="0.25">
      <c r="B354" s="221"/>
      <c r="C354" s="214"/>
      <c r="D354" s="232"/>
      <c r="E354" s="106" t="s">
        <v>906</v>
      </c>
    </row>
    <row r="355" spans="2:5" ht="22.8" x14ac:dyDescent="0.25">
      <c r="B355" s="221"/>
      <c r="C355" s="214"/>
      <c r="D355" s="232"/>
      <c r="E355" s="106" t="s">
        <v>907</v>
      </c>
    </row>
    <row r="356" spans="2:5" ht="22.8" x14ac:dyDescent="0.25">
      <c r="B356" s="221"/>
      <c r="C356" s="214"/>
      <c r="D356" s="232"/>
      <c r="E356" s="106" t="s">
        <v>1781</v>
      </c>
    </row>
    <row r="357" spans="2:5" ht="22.8" x14ac:dyDescent="0.25">
      <c r="B357" s="221"/>
      <c r="C357" s="214"/>
      <c r="D357" s="232"/>
      <c r="E357" s="106" t="s">
        <v>908</v>
      </c>
    </row>
    <row r="358" spans="2:5" ht="22.8" x14ac:dyDescent="0.25">
      <c r="B358" s="221"/>
      <c r="C358" s="214"/>
      <c r="D358" s="232"/>
      <c r="E358" s="106" t="s">
        <v>910</v>
      </c>
    </row>
    <row r="359" spans="2:5" x14ac:dyDescent="0.25">
      <c r="B359" s="221"/>
      <c r="C359" s="214"/>
      <c r="D359" s="232"/>
      <c r="E359" s="106" t="s">
        <v>13</v>
      </c>
    </row>
    <row r="360" spans="2:5" x14ac:dyDescent="0.25">
      <c r="B360" s="221"/>
      <c r="C360" s="214"/>
      <c r="D360" s="232"/>
      <c r="E360" s="106" t="s">
        <v>2835</v>
      </c>
    </row>
    <row r="361" spans="2:5" x14ac:dyDescent="0.25">
      <c r="B361" s="221"/>
      <c r="C361" s="214"/>
      <c r="D361" s="232"/>
      <c r="E361" s="106" t="s">
        <v>2696</v>
      </c>
    </row>
    <row r="362" spans="2:5" x14ac:dyDescent="0.25">
      <c r="B362" s="221"/>
      <c r="C362" s="214"/>
      <c r="D362" s="232"/>
      <c r="E362" s="106" t="s">
        <v>2697</v>
      </c>
    </row>
    <row r="363" spans="2:5" x14ac:dyDescent="0.25">
      <c r="B363" s="221"/>
      <c r="C363" s="214"/>
      <c r="D363" s="232"/>
      <c r="E363" s="106" t="s">
        <v>1455</v>
      </c>
    </row>
    <row r="364" spans="2:5" x14ac:dyDescent="0.25">
      <c r="B364" s="221"/>
      <c r="C364" s="214"/>
      <c r="D364" s="232"/>
      <c r="E364" s="113" t="s">
        <v>706</v>
      </c>
    </row>
    <row r="365" spans="2:5" x14ac:dyDescent="0.25">
      <c r="B365" s="221"/>
      <c r="C365" s="214"/>
      <c r="D365" s="232"/>
      <c r="E365" s="113" t="s">
        <v>2183</v>
      </c>
    </row>
    <row r="366" spans="2:5" x14ac:dyDescent="0.25">
      <c r="B366" s="221"/>
      <c r="C366" s="214"/>
      <c r="D366" s="232"/>
      <c r="E366" s="135"/>
    </row>
    <row r="367" spans="2:5" x14ac:dyDescent="0.25">
      <c r="B367" s="221"/>
      <c r="C367" s="172" t="s">
        <v>2299</v>
      </c>
      <c r="D367" s="226"/>
      <c r="E367" s="106"/>
    </row>
    <row r="368" spans="2:5" x14ac:dyDescent="0.25">
      <c r="B368" s="221"/>
      <c r="C368" s="214"/>
      <c r="D368" s="232"/>
      <c r="E368" s="106" t="s">
        <v>1523</v>
      </c>
    </row>
    <row r="369" spans="2:7" x14ac:dyDescent="0.25">
      <c r="B369" s="221"/>
      <c r="C369" s="214"/>
      <c r="D369" s="232"/>
      <c r="E369" s="106" t="s">
        <v>2712</v>
      </c>
    </row>
    <row r="370" spans="2:7" x14ac:dyDescent="0.25">
      <c r="B370" s="221"/>
      <c r="C370" s="214"/>
      <c r="D370" s="232"/>
      <c r="E370" s="106"/>
    </row>
    <row r="371" spans="2:7" x14ac:dyDescent="0.25">
      <c r="B371" s="221"/>
      <c r="C371" s="172" t="s">
        <v>722</v>
      </c>
      <c r="D371" s="226"/>
      <c r="E371" s="135"/>
    </row>
    <row r="372" spans="2:7" ht="21" x14ac:dyDescent="0.25">
      <c r="B372" s="221"/>
      <c r="C372" s="129"/>
      <c r="D372" s="216"/>
      <c r="E372" s="184" t="s">
        <v>517</v>
      </c>
      <c r="F372" s="118" t="str">
        <f>VLOOKUP(E372,'RSMeans 2009'!$B$3:$E$210,3,FALSE)</f>
        <v>Ea.</v>
      </c>
      <c r="G372" s="183">
        <f>VLOOKUP(E372,'RSMeans 2009'!$B$3:$E$210,4,FALSE)</f>
        <v>134.5053332</v>
      </c>
    </row>
    <row r="373" spans="2:7" ht="21" x14ac:dyDescent="0.25">
      <c r="B373" s="221"/>
      <c r="C373" s="129"/>
      <c r="D373" s="216"/>
      <c r="E373" s="184" t="s">
        <v>518</v>
      </c>
      <c r="F373" s="118" t="str">
        <f>VLOOKUP(E373,'RSMeans 2009'!$B$3:$E$210,3,FALSE)</f>
        <v>Ea.</v>
      </c>
      <c r="G373" s="183">
        <f>VLOOKUP(E373,'RSMeans 2009'!$B$3:$E$210,4,FALSE)</f>
        <v>53.886975799999988</v>
      </c>
    </row>
    <row r="374" spans="2:7" ht="21" x14ac:dyDescent="0.25">
      <c r="B374" s="221"/>
      <c r="C374" s="129"/>
      <c r="D374" s="216"/>
      <c r="E374" s="184" t="s">
        <v>519</v>
      </c>
      <c r="F374" s="118" t="str">
        <f>VLOOKUP(E374,'RSMeans 2009'!$B$3:$E$210,3,FALSE)</f>
        <v>Ea.</v>
      </c>
      <c r="G374" s="183">
        <f>VLOOKUP(E374,'RSMeans 2009'!$B$3:$E$210,4,FALSE)</f>
        <v>196.20132139999998</v>
      </c>
    </row>
    <row r="375" spans="2:7" x14ac:dyDescent="0.25">
      <c r="B375" s="221"/>
      <c r="C375" s="172" t="s">
        <v>724</v>
      </c>
      <c r="D375" s="226"/>
      <c r="E375" s="106"/>
    </row>
    <row r="376" spans="2:7" x14ac:dyDescent="0.25">
      <c r="B376" s="221"/>
      <c r="E376" s="106" t="s">
        <v>1159</v>
      </c>
      <c r="F376" s="118" t="e">
        <f>VLOOKUP(E376,#REF!,2,FALSE)</f>
        <v>#REF!</v>
      </c>
      <c r="G376" s="183" t="e">
        <f>VLOOKUP(E376,#REF!,5,FALSE)</f>
        <v>#REF!</v>
      </c>
    </row>
    <row r="377" spans="2:7" x14ac:dyDescent="0.25">
      <c r="B377" s="221"/>
      <c r="C377" s="214"/>
      <c r="D377" s="232"/>
      <c r="E377" s="135"/>
    </row>
    <row r="378" spans="2:7" ht="39.6" x14ac:dyDescent="0.25">
      <c r="B378" s="221">
        <v>412</v>
      </c>
      <c r="C378" s="214" t="s">
        <v>2356</v>
      </c>
      <c r="D378" s="232"/>
      <c r="E378" s="135" t="s">
        <v>2357</v>
      </c>
    </row>
    <row r="379" spans="2:7" x14ac:dyDescent="0.25">
      <c r="B379" s="221"/>
      <c r="C379" s="214" t="s">
        <v>2094</v>
      </c>
      <c r="D379" s="232"/>
      <c r="E379" s="135"/>
    </row>
    <row r="380" spans="2:7" x14ac:dyDescent="0.25">
      <c r="B380" s="221"/>
      <c r="C380" s="214"/>
      <c r="D380" s="232"/>
      <c r="E380" s="106" t="s">
        <v>1376</v>
      </c>
    </row>
    <row r="381" spans="2:7" x14ac:dyDescent="0.25">
      <c r="B381" s="221"/>
      <c r="C381" s="214"/>
      <c r="D381" s="232"/>
      <c r="E381" s="106" t="s">
        <v>1110</v>
      </c>
    </row>
    <row r="382" spans="2:7" ht="22.8" x14ac:dyDescent="0.25">
      <c r="B382" s="221"/>
      <c r="C382" s="214"/>
      <c r="D382" s="232"/>
      <c r="E382" s="106" t="s">
        <v>909</v>
      </c>
    </row>
    <row r="383" spans="2:7" ht="22.8" x14ac:dyDescent="0.25">
      <c r="B383" s="221"/>
      <c r="C383" s="214"/>
      <c r="D383" s="232"/>
      <c r="E383" s="106" t="s">
        <v>906</v>
      </c>
    </row>
    <row r="384" spans="2:7" ht="22.8" x14ac:dyDescent="0.25">
      <c r="B384" s="221"/>
      <c r="C384" s="214"/>
      <c r="D384" s="232"/>
      <c r="E384" s="106" t="s">
        <v>907</v>
      </c>
    </row>
    <row r="385" spans="2:5" ht="22.8" x14ac:dyDescent="0.25">
      <c r="B385" s="221"/>
      <c r="C385" s="214"/>
      <c r="D385" s="232"/>
      <c r="E385" s="106" t="s">
        <v>1781</v>
      </c>
    </row>
    <row r="386" spans="2:5" ht="22.8" x14ac:dyDescent="0.25">
      <c r="B386" s="221"/>
      <c r="C386" s="214"/>
      <c r="D386" s="232"/>
      <c r="E386" s="106" t="s">
        <v>908</v>
      </c>
    </row>
    <row r="387" spans="2:5" ht="22.8" x14ac:dyDescent="0.25">
      <c r="B387" s="221"/>
      <c r="C387" s="214"/>
      <c r="D387" s="232"/>
      <c r="E387" s="106" t="s">
        <v>910</v>
      </c>
    </row>
    <row r="388" spans="2:5" x14ac:dyDescent="0.25">
      <c r="B388" s="221"/>
      <c r="C388" s="214"/>
      <c r="D388" s="232"/>
      <c r="E388" s="106" t="s">
        <v>1523</v>
      </c>
    </row>
    <row r="389" spans="2:5" x14ac:dyDescent="0.25">
      <c r="B389" s="221"/>
      <c r="C389" s="214"/>
      <c r="D389" s="232"/>
      <c r="E389" s="106" t="s">
        <v>13</v>
      </c>
    </row>
    <row r="390" spans="2:5" x14ac:dyDescent="0.25">
      <c r="B390" s="221"/>
      <c r="C390" s="214"/>
      <c r="D390" s="232"/>
      <c r="E390" s="106" t="s">
        <v>1999</v>
      </c>
    </row>
    <row r="391" spans="2:5" x14ac:dyDescent="0.25">
      <c r="B391" s="221"/>
      <c r="C391" s="214"/>
      <c r="D391" s="232"/>
      <c r="E391" s="106" t="s">
        <v>2786</v>
      </c>
    </row>
    <row r="392" spans="2:5" x14ac:dyDescent="0.25">
      <c r="B392" s="221"/>
      <c r="C392" s="214"/>
      <c r="D392" s="232"/>
      <c r="E392" s="106" t="s">
        <v>2784</v>
      </c>
    </row>
    <row r="393" spans="2:5" ht="22.8" x14ac:dyDescent="0.25">
      <c r="B393" s="221"/>
      <c r="C393" s="214"/>
      <c r="D393" s="232"/>
      <c r="E393" s="106" t="s">
        <v>1481</v>
      </c>
    </row>
    <row r="394" spans="2:5" ht="22.8" x14ac:dyDescent="0.25">
      <c r="B394" s="221"/>
      <c r="C394" s="214"/>
      <c r="D394" s="232"/>
      <c r="E394" s="106" t="s">
        <v>438</v>
      </c>
    </row>
    <row r="395" spans="2:5" ht="22.8" x14ac:dyDescent="0.25">
      <c r="B395" s="221"/>
      <c r="C395" s="214"/>
      <c r="D395" s="232"/>
      <c r="E395" s="106" t="s">
        <v>1397</v>
      </c>
    </row>
    <row r="396" spans="2:5" ht="34.200000000000003" x14ac:dyDescent="0.25">
      <c r="B396" s="221"/>
      <c r="C396" s="214"/>
      <c r="D396" s="232"/>
      <c r="E396" s="106" t="s">
        <v>2655</v>
      </c>
    </row>
    <row r="397" spans="2:5" ht="34.200000000000003" x14ac:dyDescent="0.25">
      <c r="B397" s="221"/>
      <c r="C397" s="214"/>
      <c r="D397" s="232"/>
      <c r="E397" s="106" t="s">
        <v>2656</v>
      </c>
    </row>
    <row r="398" spans="2:5" ht="22.8" x14ac:dyDescent="0.25">
      <c r="B398" s="221"/>
      <c r="C398" s="214"/>
      <c r="D398" s="232"/>
      <c r="E398" s="106" t="s">
        <v>2168</v>
      </c>
    </row>
    <row r="399" spans="2:5" ht="22.8" x14ac:dyDescent="0.25">
      <c r="B399" s="221"/>
      <c r="C399" s="214"/>
      <c r="D399" s="232"/>
      <c r="E399" s="106" t="s">
        <v>1981</v>
      </c>
    </row>
    <row r="400" spans="2:5" ht="22.8" x14ac:dyDescent="0.25">
      <c r="B400" s="221"/>
      <c r="C400" s="214"/>
      <c r="D400" s="232"/>
      <c r="E400" s="106" t="s">
        <v>1982</v>
      </c>
    </row>
    <row r="401" spans="2:7" ht="34.200000000000003" x14ac:dyDescent="0.25">
      <c r="B401" s="221"/>
      <c r="C401" s="214"/>
      <c r="D401" s="232"/>
      <c r="E401" s="106" t="s">
        <v>1309</v>
      </c>
    </row>
    <row r="402" spans="2:7" ht="34.200000000000003" x14ac:dyDescent="0.25">
      <c r="B402" s="221"/>
      <c r="C402" s="214"/>
      <c r="D402" s="232"/>
      <c r="E402" s="106" t="s">
        <v>214</v>
      </c>
    </row>
    <row r="403" spans="2:7" x14ac:dyDescent="0.25">
      <c r="B403" s="221"/>
      <c r="C403" s="214"/>
      <c r="D403" s="232"/>
      <c r="E403" s="106"/>
    </row>
    <row r="404" spans="2:7" x14ac:dyDescent="0.25">
      <c r="B404" s="221"/>
      <c r="C404" s="172" t="s">
        <v>2299</v>
      </c>
      <c r="D404" s="226"/>
      <c r="E404" s="106"/>
    </row>
    <row r="405" spans="2:7" x14ac:dyDescent="0.25">
      <c r="B405" s="221"/>
      <c r="C405" s="214"/>
      <c r="D405" s="232"/>
      <c r="E405" s="106" t="s">
        <v>1034</v>
      </c>
    </row>
    <row r="406" spans="2:7" x14ac:dyDescent="0.25">
      <c r="B406" s="221"/>
      <c r="C406" s="214"/>
      <c r="D406" s="232"/>
      <c r="E406" s="106" t="s">
        <v>2699</v>
      </c>
    </row>
    <row r="407" spans="2:7" x14ac:dyDescent="0.25">
      <c r="B407" s="221"/>
      <c r="C407" s="214"/>
      <c r="D407" s="232"/>
      <c r="E407" s="106" t="s">
        <v>243</v>
      </c>
    </row>
    <row r="408" spans="2:7" x14ac:dyDescent="0.25">
      <c r="B408" s="221"/>
      <c r="C408" s="214"/>
      <c r="D408" s="232"/>
      <c r="E408" s="106" t="s">
        <v>2712</v>
      </c>
    </row>
    <row r="409" spans="2:7" x14ac:dyDescent="0.25">
      <c r="B409" s="221"/>
      <c r="C409" s="172" t="s">
        <v>722</v>
      </c>
      <c r="D409" s="226"/>
      <c r="E409" s="135"/>
    </row>
    <row r="410" spans="2:7" ht="21" x14ac:dyDescent="0.25">
      <c r="B410" s="221"/>
      <c r="C410" s="129"/>
      <c r="D410" s="216"/>
      <c r="E410" s="184" t="s">
        <v>517</v>
      </c>
      <c r="F410" s="118" t="str">
        <f>VLOOKUP(E410,'RSMeans 2009'!$B$3:$E$210,3,FALSE)</f>
        <v>Ea.</v>
      </c>
      <c r="G410" s="183">
        <f>VLOOKUP(E410,'RSMeans 2009'!$B$3:$E$210,4,FALSE)</f>
        <v>134.5053332</v>
      </c>
    </row>
    <row r="411" spans="2:7" ht="21" x14ac:dyDescent="0.25">
      <c r="B411" s="221"/>
      <c r="C411" s="129"/>
      <c r="D411" s="216"/>
      <c r="E411" s="184" t="s">
        <v>518</v>
      </c>
      <c r="F411" s="118" t="str">
        <f>VLOOKUP(E411,'RSMeans 2009'!$B$3:$E$210,3,FALSE)</f>
        <v>Ea.</v>
      </c>
      <c r="G411" s="183">
        <f>VLOOKUP(E411,'RSMeans 2009'!$B$3:$E$210,4,FALSE)</f>
        <v>53.886975799999988</v>
      </c>
    </row>
    <row r="412" spans="2:7" ht="21" x14ac:dyDescent="0.25">
      <c r="B412" s="221"/>
      <c r="C412" s="129"/>
      <c r="D412" s="216"/>
      <c r="E412" s="184" t="s">
        <v>519</v>
      </c>
      <c r="F412" s="118" t="str">
        <f>VLOOKUP(E412,'RSMeans 2009'!$B$3:$E$210,3,FALSE)</f>
        <v>Ea.</v>
      </c>
      <c r="G412" s="183">
        <f>VLOOKUP(E412,'RSMeans 2009'!$B$3:$E$210,4,FALSE)</f>
        <v>196.20132139999998</v>
      </c>
    </row>
    <row r="413" spans="2:7" x14ac:dyDescent="0.25">
      <c r="B413" s="221"/>
      <c r="C413" s="172" t="s">
        <v>724</v>
      </c>
      <c r="D413" s="226"/>
      <c r="E413" s="106"/>
    </row>
    <row r="414" spans="2:7" x14ac:dyDescent="0.25">
      <c r="B414" s="221"/>
      <c r="E414" s="106" t="s">
        <v>1159</v>
      </c>
      <c r="F414" s="118" t="e">
        <f>VLOOKUP(E414,#REF!,2,FALSE)</f>
        <v>#REF!</v>
      </c>
      <c r="G414" s="183" t="e">
        <f>VLOOKUP(E414,#REF!,5,FALSE)</f>
        <v>#REF!</v>
      </c>
    </row>
    <row r="415" spans="2:7" x14ac:dyDescent="0.25">
      <c r="B415" s="221"/>
      <c r="C415" s="214"/>
      <c r="D415" s="232"/>
      <c r="E415" s="135"/>
    </row>
    <row r="416" spans="2:7" ht="52.8" x14ac:dyDescent="0.25">
      <c r="B416" s="221">
        <v>561</v>
      </c>
      <c r="C416" s="214" t="s">
        <v>2358</v>
      </c>
      <c r="D416" s="232"/>
      <c r="E416" s="135" t="s">
        <v>2612</v>
      </c>
    </row>
    <row r="417" spans="2:5" x14ac:dyDescent="0.25">
      <c r="B417" s="221"/>
      <c r="C417" s="214" t="s">
        <v>2094</v>
      </c>
      <c r="D417" s="232"/>
      <c r="E417" s="135"/>
    </row>
    <row r="418" spans="2:5" ht="22.8" x14ac:dyDescent="0.25">
      <c r="B418" s="221"/>
      <c r="C418" s="214"/>
      <c r="D418" s="232"/>
      <c r="E418" s="113" t="s">
        <v>979</v>
      </c>
    </row>
    <row r="419" spans="2:5" x14ac:dyDescent="0.25">
      <c r="B419" s="221"/>
      <c r="C419" s="214"/>
      <c r="D419" s="232"/>
      <c r="E419" s="106" t="s">
        <v>1376</v>
      </c>
    </row>
    <row r="420" spans="2:5" x14ac:dyDescent="0.25">
      <c r="B420" s="221"/>
      <c r="C420" s="214"/>
      <c r="D420" s="232"/>
      <c r="E420" s="106" t="s">
        <v>1110</v>
      </c>
    </row>
    <row r="421" spans="2:5" x14ac:dyDescent="0.25">
      <c r="B421" s="221"/>
      <c r="C421" s="214"/>
      <c r="D421" s="232"/>
      <c r="E421" s="106" t="s">
        <v>987</v>
      </c>
    </row>
    <row r="422" spans="2:5" x14ac:dyDescent="0.25">
      <c r="B422" s="221"/>
      <c r="C422" s="214"/>
      <c r="D422" s="232"/>
      <c r="E422" s="106" t="s">
        <v>988</v>
      </c>
    </row>
    <row r="423" spans="2:5" x14ac:dyDescent="0.25">
      <c r="B423" s="221"/>
      <c r="C423" s="214"/>
      <c r="D423" s="232"/>
      <c r="E423" s="106" t="s">
        <v>2797</v>
      </c>
    </row>
    <row r="424" spans="2:5" ht="22.8" x14ac:dyDescent="0.25">
      <c r="B424" s="221"/>
      <c r="C424" s="214"/>
      <c r="D424" s="232"/>
      <c r="E424" s="106" t="s">
        <v>909</v>
      </c>
    </row>
    <row r="425" spans="2:5" ht="22.8" x14ac:dyDescent="0.25">
      <c r="B425" s="221"/>
      <c r="C425" s="214"/>
      <c r="D425" s="232"/>
      <c r="E425" s="106" t="s">
        <v>906</v>
      </c>
    </row>
    <row r="426" spans="2:5" ht="22.8" x14ac:dyDescent="0.25">
      <c r="B426" s="221"/>
      <c r="C426" s="214"/>
      <c r="D426" s="232"/>
      <c r="E426" s="106" t="s">
        <v>907</v>
      </c>
    </row>
    <row r="427" spans="2:5" ht="22.8" x14ac:dyDescent="0.25">
      <c r="B427" s="221"/>
      <c r="C427" s="214"/>
      <c r="D427" s="232"/>
      <c r="E427" s="106" t="s">
        <v>1781</v>
      </c>
    </row>
    <row r="428" spans="2:5" ht="22.8" x14ac:dyDescent="0.25">
      <c r="B428" s="221"/>
      <c r="C428" s="214"/>
      <c r="D428" s="232"/>
      <c r="E428" s="106" t="s">
        <v>908</v>
      </c>
    </row>
    <row r="429" spans="2:5" ht="22.8" x14ac:dyDescent="0.25">
      <c r="B429" s="221"/>
      <c r="C429" s="214"/>
      <c r="D429" s="232"/>
      <c r="E429" s="106" t="s">
        <v>910</v>
      </c>
    </row>
    <row r="430" spans="2:5" x14ac:dyDescent="0.25">
      <c r="B430" s="221"/>
      <c r="C430" s="214"/>
      <c r="D430" s="232"/>
      <c r="E430" s="106" t="s">
        <v>13</v>
      </c>
    </row>
    <row r="431" spans="2:5" ht="22.8" x14ac:dyDescent="0.25">
      <c r="B431" s="221"/>
      <c r="C431" s="214"/>
      <c r="D431" s="232"/>
      <c r="E431" s="106" t="s">
        <v>1963</v>
      </c>
    </row>
    <row r="432" spans="2:5" x14ac:dyDescent="0.25">
      <c r="B432" s="221"/>
      <c r="C432" s="214"/>
      <c r="D432" s="232"/>
      <c r="E432" s="106" t="s">
        <v>1111</v>
      </c>
    </row>
    <row r="433" spans="2:7" ht="22.8" x14ac:dyDescent="0.25">
      <c r="B433" s="221"/>
      <c r="C433" s="214"/>
      <c r="D433" s="232"/>
      <c r="E433" s="106" t="s">
        <v>1964</v>
      </c>
    </row>
    <row r="434" spans="2:7" ht="22.8" x14ac:dyDescent="0.25">
      <c r="B434" s="221"/>
      <c r="C434" s="214"/>
      <c r="D434" s="232"/>
      <c r="E434" s="106" t="s">
        <v>1965</v>
      </c>
    </row>
    <row r="435" spans="2:7" x14ac:dyDescent="0.25">
      <c r="B435" s="221"/>
      <c r="C435" s="214"/>
      <c r="D435" s="232"/>
      <c r="E435" s="106" t="s">
        <v>2697</v>
      </c>
    </row>
    <row r="436" spans="2:7" x14ac:dyDescent="0.25">
      <c r="B436" s="221"/>
      <c r="C436" s="214"/>
      <c r="D436" s="232"/>
      <c r="E436" s="106" t="s">
        <v>2654</v>
      </c>
    </row>
    <row r="437" spans="2:7" x14ac:dyDescent="0.25">
      <c r="B437" s="221"/>
      <c r="C437" s="214"/>
      <c r="D437" s="232"/>
      <c r="E437" s="106" t="s">
        <v>401</v>
      </c>
    </row>
    <row r="438" spans="2:7" x14ac:dyDescent="0.25">
      <c r="B438" s="221"/>
      <c r="C438" s="214"/>
      <c r="D438" s="232"/>
      <c r="E438" s="106" t="s">
        <v>1984</v>
      </c>
    </row>
    <row r="439" spans="2:7" x14ac:dyDescent="0.25">
      <c r="B439" s="221"/>
      <c r="C439" s="214"/>
      <c r="D439" s="232"/>
      <c r="E439" s="106" t="s">
        <v>403</v>
      </c>
    </row>
    <row r="440" spans="2:7" x14ac:dyDescent="0.25">
      <c r="B440" s="221"/>
      <c r="C440" s="172" t="s">
        <v>2299</v>
      </c>
      <c r="D440" s="226"/>
      <c r="E440" s="106"/>
    </row>
    <row r="441" spans="2:7" x14ac:dyDescent="0.25">
      <c r="B441" s="221"/>
      <c r="C441" s="214"/>
      <c r="D441" s="232"/>
      <c r="E441" s="106" t="s">
        <v>1034</v>
      </c>
    </row>
    <row r="442" spans="2:7" x14ac:dyDescent="0.25">
      <c r="B442" s="221"/>
      <c r="C442" s="214"/>
      <c r="D442" s="232"/>
      <c r="E442" s="106" t="s">
        <v>2313</v>
      </c>
    </row>
    <row r="443" spans="2:7" x14ac:dyDescent="0.25">
      <c r="B443" s="221"/>
      <c r="C443" s="214"/>
      <c r="D443" s="232"/>
      <c r="E443" s="106" t="s">
        <v>1523</v>
      </c>
    </row>
    <row r="444" spans="2:7" x14ac:dyDescent="0.25">
      <c r="B444" s="221"/>
      <c r="C444" s="214"/>
      <c r="D444" s="232"/>
      <c r="E444" s="106" t="s">
        <v>2712</v>
      </c>
    </row>
    <row r="445" spans="2:7" x14ac:dyDescent="0.25">
      <c r="B445" s="221"/>
      <c r="C445" s="172" t="s">
        <v>722</v>
      </c>
      <c r="D445" s="226"/>
      <c r="E445" s="135"/>
    </row>
    <row r="446" spans="2:7" ht="21" x14ac:dyDescent="0.25">
      <c r="B446" s="221"/>
      <c r="C446" s="129"/>
      <c r="D446" s="216"/>
      <c r="E446" s="184" t="s">
        <v>517</v>
      </c>
      <c r="F446" s="118" t="str">
        <f>VLOOKUP(E446,'RSMeans 2009'!$B$3:$E$210,3,FALSE)</f>
        <v>Ea.</v>
      </c>
      <c r="G446" s="183">
        <f>VLOOKUP(E446,'RSMeans 2009'!$B$3:$E$210,4,FALSE)</f>
        <v>134.5053332</v>
      </c>
    </row>
    <row r="447" spans="2:7" ht="21" x14ac:dyDescent="0.25">
      <c r="B447" s="221"/>
      <c r="C447" s="129"/>
      <c r="D447" s="216"/>
      <c r="E447" s="184" t="s">
        <v>518</v>
      </c>
      <c r="F447" s="118" t="str">
        <f>VLOOKUP(E447,'RSMeans 2009'!$B$3:$E$210,3,FALSE)</f>
        <v>Ea.</v>
      </c>
      <c r="G447" s="183">
        <f>VLOOKUP(E447,'RSMeans 2009'!$B$3:$E$210,4,FALSE)</f>
        <v>53.886975799999988</v>
      </c>
    </row>
    <row r="448" spans="2:7" ht="21" x14ac:dyDescent="0.25">
      <c r="B448" s="221"/>
      <c r="C448" s="129"/>
      <c r="D448" s="216"/>
      <c r="E448" s="184" t="s">
        <v>519</v>
      </c>
      <c r="F448" s="118" t="str">
        <f>VLOOKUP(E448,'RSMeans 2009'!$B$3:$E$210,3,FALSE)</f>
        <v>Ea.</v>
      </c>
      <c r="G448" s="183">
        <f>VLOOKUP(E448,'RSMeans 2009'!$B$3:$E$210,4,FALSE)</f>
        <v>196.20132139999998</v>
      </c>
    </row>
    <row r="449" spans="2:7" x14ac:dyDescent="0.25">
      <c r="B449" s="221"/>
      <c r="C449" s="172" t="s">
        <v>724</v>
      </c>
      <c r="D449" s="226"/>
      <c r="E449" s="106"/>
    </row>
    <row r="450" spans="2:7" x14ac:dyDescent="0.25">
      <c r="B450" s="221"/>
      <c r="E450" s="106" t="s">
        <v>1159</v>
      </c>
      <c r="F450" s="118" t="e">
        <f>VLOOKUP(E450,#REF!,2,FALSE)</f>
        <v>#REF!</v>
      </c>
      <c r="G450" s="183" t="e">
        <f>VLOOKUP(E450,#REF!,5,FALSE)</f>
        <v>#REF!</v>
      </c>
    </row>
    <row r="451" spans="2:7" x14ac:dyDescent="0.25">
      <c r="B451" s="221"/>
      <c r="C451" s="214"/>
      <c r="D451" s="232"/>
      <c r="E451" s="135"/>
    </row>
    <row r="452" spans="2:7" ht="26.4" x14ac:dyDescent="0.25">
      <c r="B452" s="221">
        <v>552</v>
      </c>
      <c r="C452" s="214" t="s">
        <v>2617</v>
      </c>
      <c r="D452" s="232"/>
      <c r="E452" s="135" t="s">
        <v>1143</v>
      </c>
    </row>
    <row r="453" spans="2:7" x14ac:dyDescent="0.25">
      <c r="B453" s="221"/>
      <c r="C453" s="214" t="s">
        <v>2094</v>
      </c>
      <c r="D453" s="232"/>
      <c r="E453" s="135"/>
    </row>
    <row r="454" spans="2:7" x14ac:dyDescent="0.25">
      <c r="B454" s="221"/>
      <c r="C454" s="214"/>
      <c r="D454" s="232"/>
      <c r="E454" s="106" t="s">
        <v>1376</v>
      </c>
    </row>
    <row r="455" spans="2:7" x14ac:dyDescent="0.25">
      <c r="B455" s="221"/>
      <c r="C455" s="214"/>
      <c r="D455" s="232"/>
      <c r="E455" s="106" t="s">
        <v>1110</v>
      </c>
    </row>
    <row r="456" spans="2:7" x14ac:dyDescent="0.25">
      <c r="B456" s="221"/>
      <c r="C456" s="214"/>
      <c r="D456" s="232"/>
      <c r="E456" s="106" t="s">
        <v>2313</v>
      </c>
    </row>
    <row r="457" spans="2:7" x14ac:dyDescent="0.25">
      <c r="B457" s="221"/>
      <c r="C457" s="214"/>
      <c r="D457" s="232"/>
      <c r="E457" s="106" t="s">
        <v>987</v>
      </c>
    </row>
    <row r="458" spans="2:7" x14ac:dyDescent="0.25">
      <c r="B458" s="221"/>
      <c r="C458" s="214"/>
      <c r="D458" s="232"/>
      <c r="E458" s="106" t="s">
        <v>988</v>
      </c>
    </row>
    <row r="459" spans="2:7" x14ac:dyDescent="0.25">
      <c r="B459" s="221"/>
      <c r="C459" s="214"/>
      <c r="D459" s="232"/>
      <c r="E459" s="106" t="s">
        <v>2797</v>
      </c>
    </row>
    <row r="460" spans="2:7" x14ac:dyDescent="0.25">
      <c r="B460" s="221"/>
      <c r="C460" s="214"/>
      <c r="D460" s="232"/>
      <c r="E460" s="106" t="s">
        <v>2320</v>
      </c>
    </row>
    <row r="461" spans="2:7" x14ac:dyDescent="0.25">
      <c r="B461" s="221"/>
      <c r="C461" s="214"/>
      <c r="D461" s="232"/>
      <c r="E461" s="106" t="s">
        <v>1246</v>
      </c>
    </row>
    <row r="462" spans="2:7" x14ac:dyDescent="0.25">
      <c r="B462" s="221"/>
      <c r="C462" s="214"/>
      <c r="D462" s="232"/>
      <c r="E462" s="106" t="s">
        <v>2708</v>
      </c>
    </row>
    <row r="463" spans="2:7" x14ac:dyDescent="0.25">
      <c r="B463" s="221"/>
      <c r="C463" s="214"/>
      <c r="D463" s="232"/>
      <c r="E463" s="106" t="s">
        <v>2709</v>
      </c>
    </row>
    <row r="464" spans="2:7" x14ac:dyDescent="0.25">
      <c r="B464" s="221"/>
      <c r="C464" s="214"/>
      <c r="D464" s="232"/>
      <c r="E464" s="106" t="s">
        <v>1236</v>
      </c>
    </row>
    <row r="465" spans="2:5" x14ac:dyDescent="0.25">
      <c r="B465" s="221"/>
      <c r="C465" s="214"/>
      <c r="D465" s="232"/>
      <c r="E465" s="106" t="s">
        <v>2319</v>
      </c>
    </row>
    <row r="466" spans="2:5" x14ac:dyDescent="0.25">
      <c r="B466" s="221"/>
      <c r="C466" s="214"/>
      <c r="D466" s="232"/>
      <c r="E466" s="106" t="s">
        <v>1988</v>
      </c>
    </row>
    <row r="467" spans="2:5" x14ac:dyDescent="0.25">
      <c r="B467" s="221"/>
      <c r="C467" s="214"/>
      <c r="D467" s="232"/>
      <c r="E467" s="106" t="s">
        <v>1989</v>
      </c>
    </row>
    <row r="468" spans="2:5" x14ac:dyDescent="0.25">
      <c r="B468" s="221"/>
      <c r="C468" s="214"/>
      <c r="D468" s="232"/>
      <c r="E468" s="106" t="s">
        <v>2195</v>
      </c>
    </row>
    <row r="469" spans="2:5" x14ac:dyDescent="0.25">
      <c r="B469" s="221"/>
      <c r="C469" s="214"/>
      <c r="D469" s="232"/>
      <c r="E469" s="106" t="s">
        <v>2196</v>
      </c>
    </row>
    <row r="470" spans="2:5" x14ac:dyDescent="0.25">
      <c r="B470" s="221"/>
      <c r="C470" s="214"/>
      <c r="D470" s="232"/>
      <c r="E470" s="106" t="s">
        <v>2193</v>
      </c>
    </row>
    <row r="471" spans="2:5" x14ac:dyDescent="0.25">
      <c r="B471" s="221"/>
      <c r="C471" s="214"/>
      <c r="D471" s="232"/>
      <c r="E471" s="106" t="s">
        <v>2194</v>
      </c>
    </row>
    <row r="472" spans="2:5" x14ac:dyDescent="0.25">
      <c r="B472" s="221"/>
      <c r="C472" s="214"/>
      <c r="D472" s="232"/>
      <c r="E472" s="106" t="s">
        <v>600</v>
      </c>
    </row>
    <row r="473" spans="2:5" x14ac:dyDescent="0.25">
      <c r="B473" s="221"/>
      <c r="C473" s="214"/>
      <c r="D473" s="232"/>
      <c r="E473" s="106" t="s">
        <v>1371</v>
      </c>
    </row>
    <row r="474" spans="2:5" x14ac:dyDescent="0.25">
      <c r="B474" s="221"/>
      <c r="C474" s="214"/>
      <c r="D474" s="232"/>
      <c r="E474" s="106" t="s">
        <v>1372</v>
      </c>
    </row>
    <row r="475" spans="2:5" ht="22.8" x14ac:dyDescent="0.25">
      <c r="B475" s="221"/>
      <c r="C475" s="214"/>
      <c r="D475" s="232"/>
      <c r="E475" s="106" t="s">
        <v>1187</v>
      </c>
    </row>
    <row r="476" spans="2:5" ht="22.8" x14ac:dyDescent="0.25">
      <c r="B476" s="221"/>
      <c r="C476" s="214"/>
      <c r="D476" s="232"/>
      <c r="E476" s="106" t="s">
        <v>1229</v>
      </c>
    </row>
    <row r="477" spans="2:5" ht="22.8" x14ac:dyDescent="0.25">
      <c r="B477" s="221"/>
      <c r="C477" s="214"/>
      <c r="D477" s="232"/>
      <c r="E477" s="106" t="s">
        <v>1188</v>
      </c>
    </row>
    <row r="478" spans="2:5" ht="22.8" x14ac:dyDescent="0.25">
      <c r="B478" s="221"/>
      <c r="C478" s="214"/>
      <c r="D478" s="232"/>
      <c r="E478" s="106" t="s">
        <v>2363</v>
      </c>
    </row>
    <row r="479" spans="2:5" ht="22.8" x14ac:dyDescent="0.25">
      <c r="B479" s="221"/>
      <c r="C479" s="214"/>
      <c r="D479" s="232"/>
      <c r="E479" s="106" t="s">
        <v>2364</v>
      </c>
    </row>
    <row r="480" spans="2:5" ht="22.8" x14ac:dyDescent="0.25">
      <c r="B480" s="221"/>
      <c r="C480" s="214"/>
      <c r="D480" s="232"/>
      <c r="E480" s="106" t="s">
        <v>1374</v>
      </c>
    </row>
    <row r="481" spans="2:5" ht="22.8" x14ac:dyDescent="0.25">
      <c r="B481" s="221"/>
      <c r="C481" s="214"/>
      <c r="D481" s="232"/>
      <c r="E481" s="106" t="s">
        <v>1375</v>
      </c>
    </row>
    <row r="482" spans="2:5" ht="22.8" x14ac:dyDescent="0.25">
      <c r="B482" s="221"/>
      <c r="C482" s="214"/>
      <c r="D482" s="232"/>
      <c r="E482" s="106" t="s">
        <v>1225</v>
      </c>
    </row>
    <row r="483" spans="2:5" ht="22.8" x14ac:dyDescent="0.25">
      <c r="B483" s="221"/>
      <c r="C483" s="214"/>
      <c r="D483" s="232"/>
      <c r="E483" s="106" t="s">
        <v>1185</v>
      </c>
    </row>
    <row r="484" spans="2:5" ht="22.8" x14ac:dyDescent="0.25">
      <c r="B484" s="221"/>
      <c r="C484" s="214"/>
      <c r="D484" s="232"/>
      <c r="E484" s="106" t="s">
        <v>1227</v>
      </c>
    </row>
    <row r="485" spans="2:5" ht="34.200000000000003" x14ac:dyDescent="0.25">
      <c r="B485" s="221"/>
      <c r="C485" s="214"/>
      <c r="D485" s="232"/>
      <c r="E485" s="106" t="s">
        <v>2655</v>
      </c>
    </row>
    <row r="486" spans="2:5" ht="34.200000000000003" x14ac:dyDescent="0.25">
      <c r="B486" s="221"/>
      <c r="C486" s="214"/>
      <c r="D486" s="232"/>
      <c r="E486" s="106" t="s">
        <v>214</v>
      </c>
    </row>
    <row r="487" spans="2:5" ht="22.8" x14ac:dyDescent="0.25">
      <c r="B487" s="221"/>
      <c r="C487" s="214"/>
      <c r="D487" s="232"/>
      <c r="E487" s="106" t="s">
        <v>1481</v>
      </c>
    </row>
    <row r="488" spans="2:5" ht="22.8" x14ac:dyDescent="0.25">
      <c r="B488" s="221"/>
      <c r="C488" s="214"/>
      <c r="D488" s="232"/>
      <c r="E488" s="106" t="s">
        <v>1981</v>
      </c>
    </row>
    <row r="489" spans="2:5" ht="22.8" x14ac:dyDescent="0.25">
      <c r="B489" s="221"/>
      <c r="C489" s="214"/>
      <c r="D489" s="232"/>
      <c r="E489" s="106" t="s">
        <v>1397</v>
      </c>
    </row>
    <row r="490" spans="2:5" x14ac:dyDescent="0.25">
      <c r="B490" s="221"/>
      <c r="C490" s="214"/>
      <c r="D490" s="232"/>
      <c r="E490" s="106" t="s">
        <v>1341</v>
      </c>
    </row>
    <row r="491" spans="2:5" x14ac:dyDescent="0.25">
      <c r="B491" s="221"/>
      <c r="C491" s="214"/>
      <c r="D491" s="232"/>
      <c r="E491" s="106" t="s">
        <v>2540</v>
      </c>
    </row>
    <row r="492" spans="2:5" x14ac:dyDescent="0.25">
      <c r="B492" s="221"/>
      <c r="C492" s="214"/>
      <c r="D492" s="232"/>
      <c r="E492" s="106" t="s">
        <v>2541</v>
      </c>
    </row>
    <row r="493" spans="2:5" x14ac:dyDescent="0.25">
      <c r="B493" s="221"/>
      <c r="C493" s="214"/>
      <c r="D493" s="232"/>
      <c r="E493" s="106" t="s">
        <v>2542</v>
      </c>
    </row>
    <row r="494" spans="2:5" x14ac:dyDescent="0.25">
      <c r="B494" s="221"/>
      <c r="C494" s="214"/>
      <c r="D494" s="232"/>
      <c r="E494" s="106" t="s">
        <v>1604</v>
      </c>
    </row>
    <row r="495" spans="2:5" x14ac:dyDescent="0.25">
      <c r="B495" s="221"/>
      <c r="C495" s="214"/>
      <c r="D495" s="232"/>
      <c r="E495" s="106" t="s">
        <v>1605</v>
      </c>
    </row>
    <row r="496" spans="2:5" x14ac:dyDescent="0.25">
      <c r="B496" s="221"/>
      <c r="C496" s="214"/>
      <c r="D496" s="232"/>
      <c r="E496" s="106" t="s">
        <v>1004</v>
      </c>
    </row>
    <row r="497" spans="2:5" x14ac:dyDescent="0.25">
      <c r="B497" s="221"/>
      <c r="C497" s="214"/>
      <c r="D497" s="232"/>
      <c r="E497" s="106" t="s">
        <v>1622</v>
      </c>
    </row>
    <row r="498" spans="2:5" x14ac:dyDescent="0.25">
      <c r="B498" s="221"/>
      <c r="C498" s="214"/>
      <c r="D498" s="232"/>
      <c r="E498" s="106" t="s">
        <v>231</v>
      </c>
    </row>
    <row r="499" spans="2:5" x14ac:dyDescent="0.25">
      <c r="B499" s="221"/>
      <c r="C499" s="214"/>
      <c r="D499" s="232"/>
      <c r="E499" s="106" t="s">
        <v>1231</v>
      </c>
    </row>
    <row r="500" spans="2:5" x14ac:dyDescent="0.25">
      <c r="B500" s="221"/>
      <c r="C500" s="214"/>
      <c r="D500" s="232"/>
      <c r="E500" s="106" t="s">
        <v>1232</v>
      </c>
    </row>
    <row r="501" spans="2:5" x14ac:dyDescent="0.25">
      <c r="B501" s="221"/>
      <c r="C501" s="214"/>
      <c r="D501" s="232"/>
      <c r="E501" s="106" t="s">
        <v>1233</v>
      </c>
    </row>
    <row r="502" spans="2:5" x14ac:dyDescent="0.25">
      <c r="B502" s="221"/>
      <c r="C502" s="214"/>
      <c r="D502" s="232"/>
      <c r="E502" s="106" t="s">
        <v>1234</v>
      </c>
    </row>
    <row r="503" spans="2:5" ht="22.8" x14ac:dyDescent="0.25">
      <c r="B503" s="221"/>
      <c r="C503" s="214"/>
      <c r="D503" s="232"/>
      <c r="E503" s="106" t="s">
        <v>2318</v>
      </c>
    </row>
    <row r="504" spans="2:5" ht="22.8" x14ac:dyDescent="0.25">
      <c r="B504" s="221"/>
      <c r="C504" s="214"/>
      <c r="D504" s="232"/>
      <c r="E504" s="106" t="s">
        <v>2761</v>
      </c>
    </row>
    <row r="505" spans="2:5" ht="22.8" x14ac:dyDescent="0.25">
      <c r="B505" s="221"/>
      <c r="C505" s="214"/>
      <c r="D505" s="232"/>
      <c r="E505" s="106" t="s">
        <v>2762</v>
      </c>
    </row>
    <row r="506" spans="2:5" ht="22.8" x14ac:dyDescent="0.25">
      <c r="B506" s="221"/>
      <c r="C506" s="214"/>
      <c r="D506" s="232"/>
      <c r="E506" s="106" t="s">
        <v>2763</v>
      </c>
    </row>
    <row r="507" spans="2:5" ht="22.8" x14ac:dyDescent="0.25">
      <c r="B507" s="221"/>
      <c r="C507" s="214"/>
      <c r="D507" s="232"/>
      <c r="E507" s="106" t="s">
        <v>2764</v>
      </c>
    </row>
    <row r="508" spans="2:5" ht="22.8" x14ac:dyDescent="0.25">
      <c r="E508" s="106" t="s">
        <v>2765</v>
      </c>
    </row>
    <row r="509" spans="2:5" ht="22.8" x14ac:dyDescent="0.25">
      <c r="E509" s="106" t="s">
        <v>2766</v>
      </c>
    </row>
    <row r="510" spans="2:5" ht="22.8" x14ac:dyDescent="0.25">
      <c r="E510" s="106" t="s">
        <v>2767</v>
      </c>
    </row>
    <row r="511" spans="2:5" ht="22.8" x14ac:dyDescent="0.25">
      <c r="E511" s="106" t="s">
        <v>2768</v>
      </c>
    </row>
    <row r="512" spans="2:5" ht="22.8" x14ac:dyDescent="0.25">
      <c r="E512" s="106" t="s">
        <v>2769</v>
      </c>
    </row>
    <row r="513" spans="5:5" ht="22.8" x14ac:dyDescent="0.25">
      <c r="E513" s="106" t="s">
        <v>2120</v>
      </c>
    </row>
    <row r="514" spans="5:5" ht="22.8" x14ac:dyDescent="0.25">
      <c r="E514" s="106" t="s">
        <v>2694</v>
      </c>
    </row>
    <row r="515" spans="5:5" ht="22.8" x14ac:dyDescent="0.25">
      <c r="E515" s="106" t="s">
        <v>2695</v>
      </c>
    </row>
    <row r="516" spans="5:5" x14ac:dyDescent="0.25">
      <c r="E516" s="106" t="s">
        <v>1996</v>
      </c>
    </row>
    <row r="517" spans="5:5" x14ac:dyDescent="0.25">
      <c r="E517" s="106" t="s">
        <v>1997</v>
      </c>
    </row>
    <row r="518" spans="5:5" x14ac:dyDescent="0.25">
      <c r="E518" s="106" t="s">
        <v>1998</v>
      </c>
    </row>
    <row r="519" spans="5:5" x14ac:dyDescent="0.25">
      <c r="E519" s="106" t="s">
        <v>1999</v>
      </c>
    </row>
    <row r="520" spans="5:5" x14ac:dyDescent="0.25">
      <c r="E520" s="106" t="s">
        <v>2786</v>
      </c>
    </row>
    <row r="521" spans="5:5" x14ac:dyDescent="0.25">
      <c r="E521" s="106" t="s">
        <v>2784</v>
      </c>
    </row>
    <row r="522" spans="5:5" x14ac:dyDescent="0.25">
      <c r="E522" s="106" t="s">
        <v>699</v>
      </c>
    </row>
    <row r="523" spans="5:5" x14ac:dyDescent="0.25">
      <c r="E523" s="106" t="s">
        <v>700</v>
      </c>
    </row>
    <row r="524" spans="5:5" x14ac:dyDescent="0.25">
      <c r="E524" s="106" t="s">
        <v>701</v>
      </c>
    </row>
    <row r="525" spans="5:5" x14ac:dyDescent="0.25">
      <c r="E525" s="106" t="s">
        <v>702</v>
      </c>
    </row>
    <row r="526" spans="5:5" x14ac:dyDescent="0.25">
      <c r="E526" s="106" t="s">
        <v>703</v>
      </c>
    </row>
    <row r="527" spans="5:5" x14ac:dyDescent="0.25">
      <c r="E527" s="106" t="s">
        <v>704</v>
      </c>
    </row>
    <row r="528" spans="5:5" x14ac:dyDescent="0.25">
      <c r="E528" s="106" t="s">
        <v>2712</v>
      </c>
    </row>
    <row r="529" spans="2:7" ht="22.8" x14ac:dyDescent="0.25">
      <c r="E529" s="106" t="s">
        <v>906</v>
      </c>
    </row>
    <row r="530" spans="2:7" ht="22.8" x14ac:dyDescent="0.25">
      <c r="E530" s="106" t="s">
        <v>907</v>
      </c>
    </row>
    <row r="531" spans="2:7" ht="22.8" x14ac:dyDescent="0.25">
      <c r="E531" s="106" t="s">
        <v>1781</v>
      </c>
    </row>
    <row r="532" spans="2:7" ht="22.8" x14ac:dyDescent="0.25">
      <c r="E532" s="106" t="s">
        <v>908</v>
      </c>
    </row>
    <row r="533" spans="2:7" ht="22.8" x14ac:dyDescent="0.25">
      <c r="E533" s="106" t="s">
        <v>909</v>
      </c>
    </row>
    <row r="534" spans="2:7" ht="22.8" x14ac:dyDescent="0.25">
      <c r="E534" s="106" t="s">
        <v>910</v>
      </c>
    </row>
    <row r="535" spans="2:7" x14ac:dyDescent="0.25">
      <c r="C535" s="172" t="s">
        <v>2299</v>
      </c>
      <c r="D535" s="226"/>
    </row>
    <row r="536" spans="2:7" x14ac:dyDescent="0.25">
      <c r="B536" s="221"/>
      <c r="C536" s="214"/>
      <c r="D536" s="232"/>
      <c r="E536" s="106" t="s">
        <v>1034</v>
      </c>
    </row>
    <row r="537" spans="2:7" x14ac:dyDescent="0.25">
      <c r="B537" s="221"/>
      <c r="C537" s="214"/>
      <c r="D537" s="232"/>
      <c r="E537" s="106" t="s">
        <v>2313</v>
      </c>
    </row>
    <row r="538" spans="2:7" x14ac:dyDescent="0.25">
      <c r="B538" s="221"/>
      <c r="C538" s="214"/>
      <c r="D538" s="232"/>
      <c r="E538" s="106" t="s">
        <v>1034</v>
      </c>
    </row>
    <row r="539" spans="2:7" x14ac:dyDescent="0.25">
      <c r="B539" s="221"/>
      <c r="C539" s="214"/>
      <c r="D539" s="232"/>
      <c r="E539" s="106" t="s">
        <v>1523</v>
      </c>
    </row>
    <row r="540" spans="2:7" x14ac:dyDescent="0.25">
      <c r="B540" s="221"/>
      <c r="C540" s="214"/>
      <c r="D540" s="232"/>
      <c r="E540" s="106" t="s">
        <v>243</v>
      </c>
    </row>
    <row r="541" spans="2:7" x14ac:dyDescent="0.25">
      <c r="B541" s="221"/>
      <c r="C541" s="214"/>
      <c r="D541" s="232"/>
      <c r="E541" s="106" t="s">
        <v>2712</v>
      </c>
    </row>
    <row r="542" spans="2:7" x14ac:dyDescent="0.25">
      <c r="C542" s="172" t="s">
        <v>722</v>
      </c>
      <c r="D542" s="226"/>
      <c r="E542" s="135"/>
    </row>
    <row r="543" spans="2:7" ht="21" x14ac:dyDescent="0.25">
      <c r="C543" s="129"/>
      <c r="D543" s="216"/>
      <c r="E543" s="184" t="s">
        <v>517</v>
      </c>
      <c r="F543" s="118" t="str">
        <f>VLOOKUP(E543,'RSMeans 2009'!$B$3:$E$210,3,FALSE)</f>
        <v>Ea.</v>
      </c>
      <c r="G543" s="183">
        <f>VLOOKUP(E543,'RSMeans 2009'!$B$3:$E$210,4,FALSE)</f>
        <v>134.5053332</v>
      </c>
    </row>
    <row r="544" spans="2:7" ht="21" x14ac:dyDescent="0.25">
      <c r="C544" s="129"/>
      <c r="D544" s="216"/>
      <c r="E544" s="184" t="s">
        <v>518</v>
      </c>
      <c r="F544" s="118" t="str">
        <f>VLOOKUP(E544,'RSMeans 2009'!$B$3:$E$210,3,FALSE)</f>
        <v>Ea.</v>
      </c>
      <c r="G544" s="183">
        <f>VLOOKUP(E544,'RSMeans 2009'!$B$3:$E$210,4,FALSE)</f>
        <v>53.886975799999988</v>
      </c>
    </row>
    <row r="545" spans="2:7" ht="21" x14ac:dyDescent="0.25">
      <c r="C545" s="129"/>
      <c r="D545" s="216"/>
      <c r="E545" s="184" t="s">
        <v>519</v>
      </c>
      <c r="F545" s="118" t="str">
        <f>VLOOKUP(E545,'RSMeans 2009'!$B$3:$E$210,3,FALSE)</f>
        <v>Ea.</v>
      </c>
      <c r="G545" s="183">
        <f>VLOOKUP(E545,'RSMeans 2009'!$B$3:$E$210,4,FALSE)</f>
        <v>196.20132139999998</v>
      </c>
    </row>
    <row r="546" spans="2:7" x14ac:dyDescent="0.25">
      <c r="C546" s="172" t="s">
        <v>724</v>
      </c>
      <c r="D546" s="226"/>
      <c r="E546" s="106"/>
    </row>
    <row r="547" spans="2:7" x14ac:dyDescent="0.25">
      <c r="E547" s="106" t="s">
        <v>1159</v>
      </c>
      <c r="F547" s="118" t="e">
        <f>VLOOKUP(E547,#REF!,2,FALSE)</f>
        <v>#REF!</v>
      </c>
      <c r="G547" s="183" t="e">
        <f>VLOOKUP(E547,#REF!,5,FALSE)</f>
        <v>#REF!</v>
      </c>
    </row>
    <row r="549" spans="2:7" ht="26.4" x14ac:dyDescent="0.25">
      <c r="B549" s="221">
        <v>436</v>
      </c>
      <c r="C549" s="214" t="s">
        <v>2618</v>
      </c>
      <c r="D549" s="232"/>
      <c r="E549" s="135" t="s">
        <v>1144</v>
      </c>
    </row>
    <row r="551" spans="2:7" ht="39.6" x14ac:dyDescent="0.25">
      <c r="B551" s="221">
        <v>441</v>
      </c>
      <c r="C551" s="214" t="s">
        <v>2619</v>
      </c>
      <c r="D551" s="232"/>
      <c r="E551" s="135" t="s">
        <v>2620</v>
      </c>
    </row>
    <row r="552" spans="2:7" ht="52.8" x14ac:dyDescent="0.25">
      <c r="B552" s="221">
        <v>442</v>
      </c>
      <c r="C552" s="214" t="s">
        <v>2621</v>
      </c>
      <c r="D552" s="232"/>
      <c r="E552" s="135" t="s">
        <v>2622</v>
      </c>
    </row>
    <row r="553" spans="2:7" ht="66" x14ac:dyDescent="0.25">
      <c r="B553" s="221">
        <v>443</v>
      </c>
      <c r="C553" s="214" t="s">
        <v>2623</v>
      </c>
      <c r="D553" s="232"/>
      <c r="E553" s="136" t="s">
        <v>1145</v>
      </c>
    </row>
    <row r="554" spans="2:7" ht="26.4" x14ac:dyDescent="0.25">
      <c r="B554" s="221" t="s">
        <v>1146</v>
      </c>
      <c r="C554" s="214" t="s">
        <v>2624</v>
      </c>
      <c r="D554" s="232"/>
      <c r="E554" s="135" t="s">
        <v>2625</v>
      </c>
    </row>
    <row r="555" spans="2:7" ht="26.4" x14ac:dyDescent="0.25">
      <c r="B555" s="221" t="s">
        <v>1147</v>
      </c>
      <c r="C555" s="214" t="s">
        <v>2626</v>
      </c>
      <c r="D555" s="232"/>
      <c r="E555" s="135" t="s">
        <v>2625</v>
      </c>
    </row>
    <row r="557" spans="2:7" ht="39.6" x14ac:dyDescent="0.25">
      <c r="B557" s="221">
        <v>449</v>
      </c>
      <c r="C557" s="214" t="s">
        <v>2627</v>
      </c>
      <c r="D557" s="232"/>
      <c r="E557" s="135" t="s">
        <v>2628</v>
      </c>
    </row>
    <row r="558" spans="2:7" x14ac:dyDescent="0.25">
      <c r="C558" s="240" t="s">
        <v>724</v>
      </c>
      <c r="D558" s="235"/>
    </row>
    <row r="559" spans="2:7" x14ac:dyDescent="0.25">
      <c r="E559" s="106" t="s">
        <v>2758</v>
      </c>
    </row>
    <row r="560" spans="2:7" ht="22.8" x14ac:dyDescent="0.25">
      <c r="E560" s="106" t="s">
        <v>1787</v>
      </c>
    </row>
    <row r="561" spans="2:5" x14ac:dyDescent="0.25">
      <c r="E561" s="106" t="s">
        <v>1325</v>
      </c>
    </row>
    <row r="563" spans="2:5" ht="39.6" x14ac:dyDescent="0.25">
      <c r="B563" s="221">
        <v>543</v>
      </c>
      <c r="C563" s="214" t="s">
        <v>768</v>
      </c>
      <c r="D563" s="232"/>
      <c r="E563" s="135" t="s">
        <v>1148</v>
      </c>
    </row>
    <row r="564" spans="2:5" x14ac:dyDescent="0.25">
      <c r="B564" s="221"/>
      <c r="C564" s="214" t="s">
        <v>2094</v>
      </c>
      <c r="D564" s="232"/>
      <c r="E564" s="135"/>
    </row>
    <row r="565" spans="2:5" x14ac:dyDescent="0.25">
      <c r="B565" s="221"/>
      <c r="C565" s="214"/>
      <c r="D565" s="232"/>
      <c r="E565" s="106" t="s">
        <v>750</v>
      </c>
    </row>
    <row r="566" spans="2:5" x14ac:dyDescent="0.25">
      <c r="B566" s="221"/>
      <c r="C566" s="214"/>
      <c r="D566" s="232"/>
      <c r="E566" s="106" t="s">
        <v>1376</v>
      </c>
    </row>
    <row r="567" spans="2:5" x14ac:dyDescent="0.25">
      <c r="B567" s="221"/>
      <c r="C567" s="214"/>
      <c r="D567" s="232"/>
      <c r="E567" s="106" t="s">
        <v>1110</v>
      </c>
    </row>
    <row r="568" spans="2:5" x14ac:dyDescent="0.25">
      <c r="B568" s="221"/>
      <c r="C568" s="214"/>
      <c r="D568" s="232"/>
      <c r="E568" s="106" t="s">
        <v>2556</v>
      </c>
    </row>
    <row r="569" spans="2:5" x14ac:dyDescent="0.25">
      <c r="B569" s="221"/>
      <c r="C569" s="214"/>
      <c r="D569" s="232"/>
      <c r="E569" s="106" t="s">
        <v>2557</v>
      </c>
    </row>
    <row r="570" spans="2:5" x14ac:dyDescent="0.25">
      <c r="B570" s="221"/>
      <c r="C570" s="214"/>
      <c r="D570" s="232"/>
      <c r="E570" s="106" t="s">
        <v>2154</v>
      </c>
    </row>
    <row r="571" spans="2:5" x14ac:dyDescent="0.25">
      <c r="B571" s="221"/>
      <c r="C571" s="214"/>
      <c r="D571" s="232"/>
      <c r="E571" s="106" t="s">
        <v>2155</v>
      </c>
    </row>
    <row r="572" spans="2:5" ht="22.8" x14ac:dyDescent="0.25">
      <c r="B572" s="221"/>
      <c r="C572" s="214"/>
      <c r="D572" s="232"/>
      <c r="E572" s="106" t="s">
        <v>2156</v>
      </c>
    </row>
    <row r="573" spans="2:5" x14ac:dyDescent="0.25">
      <c r="B573" s="221"/>
      <c r="C573" s="214"/>
      <c r="D573" s="232"/>
      <c r="E573" s="106" t="s">
        <v>2157</v>
      </c>
    </row>
    <row r="574" spans="2:5" x14ac:dyDescent="0.25">
      <c r="B574" s="221"/>
      <c r="C574" s="214"/>
      <c r="D574" s="232"/>
      <c r="E574" s="106" t="s">
        <v>987</v>
      </c>
    </row>
    <row r="575" spans="2:5" x14ac:dyDescent="0.25">
      <c r="B575" s="221"/>
      <c r="C575" s="214"/>
      <c r="D575" s="232"/>
      <c r="E575" s="106" t="s">
        <v>988</v>
      </c>
    </row>
    <row r="576" spans="2:5" x14ac:dyDescent="0.25">
      <c r="B576" s="221"/>
      <c r="C576" s="214"/>
      <c r="D576" s="232"/>
      <c r="E576" s="106" t="s">
        <v>2797</v>
      </c>
    </row>
    <row r="577" spans="2:5" x14ac:dyDescent="0.25">
      <c r="B577" s="221"/>
      <c r="C577" s="214"/>
      <c r="D577" s="232"/>
      <c r="E577" s="106" t="s">
        <v>1999</v>
      </c>
    </row>
    <row r="578" spans="2:5" x14ac:dyDescent="0.25">
      <c r="B578" s="221"/>
      <c r="C578" s="214"/>
      <c r="D578" s="232"/>
      <c r="E578" s="106" t="s">
        <v>2786</v>
      </c>
    </row>
    <row r="579" spans="2:5" x14ac:dyDescent="0.25">
      <c r="B579" s="221"/>
      <c r="C579" s="214"/>
      <c r="D579" s="232"/>
      <c r="E579" s="106" t="s">
        <v>2784</v>
      </c>
    </row>
    <row r="580" spans="2:5" x14ac:dyDescent="0.25">
      <c r="B580" s="221"/>
      <c r="C580" s="214"/>
      <c r="D580" s="232"/>
      <c r="E580" s="106" t="s">
        <v>1996</v>
      </c>
    </row>
    <row r="581" spans="2:5" x14ac:dyDescent="0.25">
      <c r="B581" s="221"/>
      <c r="C581" s="214"/>
      <c r="D581" s="232"/>
      <c r="E581" s="106" t="s">
        <v>1997</v>
      </c>
    </row>
    <row r="582" spans="2:5" x14ac:dyDescent="0.25">
      <c r="B582" s="221"/>
      <c r="C582" s="214"/>
      <c r="D582" s="232"/>
      <c r="E582" s="106" t="s">
        <v>1998</v>
      </c>
    </row>
    <row r="583" spans="2:5" ht="22.8" x14ac:dyDescent="0.25">
      <c r="B583" s="221"/>
      <c r="C583" s="214"/>
      <c r="D583" s="232"/>
      <c r="E583" s="106" t="s">
        <v>909</v>
      </c>
    </row>
    <row r="584" spans="2:5" ht="22.8" x14ac:dyDescent="0.25">
      <c r="B584" s="221"/>
      <c r="C584" s="214"/>
      <c r="D584" s="232"/>
      <c r="E584" s="106" t="s">
        <v>906</v>
      </c>
    </row>
    <row r="585" spans="2:5" ht="22.8" x14ac:dyDescent="0.25">
      <c r="B585" s="221"/>
      <c r="C585" s="214"/>
      <c r="D585" s="232"/>
      <c r="E585" s="106" t="s">
        <v>907</v>
      </c>
    </row>
    <row r="586" spans="2:5" ht="22.8" x14ac:dyDescent="0.25">
      <c r="B586" s="221"/>
      <c r="C586" s="214"/>
      <c r="D586" s="232"/>
      <c r="E586" s="106" t="s">
        <v>1781</v>
      </c>
    </row>
    <row r="587" spans="2:5" ht="22.8" x14ac:dyDescent="0.25">
      <c r="B587" s="221"/>
      <c r="C587" s="214"/>
      <c r="D587" s="232"/>
      <c r="E587" s="106" t="s">
        <v>908</v>
      </c>
    </row>
    <row r="588" spans="2:5" ht="22.8" x14ac:dyDescent="0.25">
      <c r="B588" s="221"/>
      <c r="C588" s="214"/>
      <c r="D588" s="232"/>
      <c r="E588" s="106" t="s">
        <v>910</v>
      </c>
    </row>
    <row r="589" spans="2:5" x14ac:dyDescent="0.25">
      <c r="B589" s="221"/>
      <c r="C589" s="214"/>
      <c r="D589" s="232"/>
      <c r="E589" s="106" t="s">
        <v>400</v>
      </c>
    </row>
    <row r="590" spans="2:5" x14ac:dyDescent="0.25">
      <c r="B590" s="221"/>
      <c r="C590" s="214"/>
      <c r="D590" s="232"/>
      <c r="E590" s="106" t="s">
        <v>401</v>
      </c>
    </row>
    <row r="591" spans="2:5" x14ac:dyDescent="0.25">
      <c r="B591" s="221"/>
      <c r="C591" s="214"/>
      <c r="D591" s="232"/>
      <c r="E591" s="106" t="s">
        <v>402</v>
      </c>
    </row>
    <row r="592" spans="2:5" x14ac:dyDescent="0.25">
      <c r="B592" s="221"/>
      <c r="C592" s="214"/>
      <c r="D592" s="232"/>
      <c r="E592" s="106" t="s">
        <v>403</v>
      </c>
    </row>
    <row r="593" spans="2:7" x14ac:dyDescent="0.25">
      <c r="B593" s="221"/>
      <c r="C593" s="172" t="s">
        <v>2299</v>
      </c>
      <c r="D593" s="226"/>
      <c r="E593" s="135"/>
    </row>
    <row r="594" spans="2:7" x14ac:dyDescent="0.25">
      <c r="B594" s="221"/>
      <c r="C594" s="214"/>
      <c r="D594" s="232"/>
      <c r="E594" s="106" t="s">
        <v>2425</v>
      </c>
    </row>
    <row r="595" spans="2:7" x14ac:dyDescent="0.25">
      <c r="B595" s="221"/>
      <c r="C595" s="214"/>
      <c r="D595" s="232"/>
      <c r="E595" s="106" t="s">
        <v>2424</v>
      </c>
    </row>
    <row r="596" spans="2:7" x14ac:dyDescent="0.25">
      <c r="B596" s="221"/>
      <c r="C596" s="214"/>
      <c r="D596" s="232"/>
      <c r="E596" s="106" t="s">
        <v>2158</v>
      </c>
    </row>
    <row r="597" spans="2:7" x14ac:dyDescent="0.25">
      <c r="B597" s="221"/>
      <c r="C597" s="214"/>
      <c r="D597" s="232"/>
      <c r="E597" s="106" t="s">
        <v>1389</v>
      </c>
    </row>
    <row r="598" spans="2:7" x14ac:dyDescent="0.25">
      <c r="B598" s="221"/>
      <c r="C598" s="214"/>
      <c r="D598" s="232"/>
      <c r="E598" s="106" t="s">
        <v>2159</v>
      </c>
    </row>
    <row r="599" spans="2:7" x14ac:dyDescent="0.25">
      <c r="B599" s="221"/>
      <c r="C599" s="214"/>
      <c r="D599" s="232"/>
      <c r="E599" s="106" t="s">
        <v>2311</v>
      </c>
    </row>
    <row r="600" spans="2:7" x14ac:dyDescent="0.25">
      <c r="B600" s="221"/>
      <c r="C600" s="214"/>
      <c r="D600" s="232"/>
      <c r="E600" s="106" t="s">
        <v>2310</v>
      </c>
    </row>
    <row r="601" spans="2:7" x14ac:dyDescent="0.25">
      <c r="B601" s="221"/>
      <c r="C601" s="214"/>
      <c r="D601" s="232"/>
      <c r="E601" s="106" t="s">
        <v>2313</v>
      </c>
    </row>
    <row r="602" spans="2:7" x14ac:dyDescent="0.25">
      <c r="B602" s="221"/>
      <c r="C602" s="214"/>
      <c r="D602" s="232"/>
      <c r="E602" s="106" t="s">
        <v>1034</v>
      </c>
    </row>
    <row r="603" spans="2:7" x14ac:dyDescent="0.25">
      <c r="B603" s="221"/>
      <c r="C603" s="214"/>
      <c r="D603" s="232"/>
      <c r="E603" s="106" t="s">
        <v>1523</v>
      </c>
    </row>
    <row r="604" spans="2:7" x14ac:dyDescent="0.25">
      <c r="B604" s="221"/>
      <c r="C604" s="214"/>
      <c r="D604" s="232"/>
      <c r="E604" s="106" t="s">
        <v>243</v>
      </c>
    </row>
    <row r="605" spans="2:7" x14ac:dyDescent="0.25">
      <c r="B605" s="221"/>
      <c r="C605" s="214"/>
      <c r="D605" s="232"/>
      <c r="E605" s="106" t="s">
        <v>2712</v>
      </c>
    </row>
    <row r="606" spans="2:7" x14ac:dyDescent="0.25">
      <c r="B606" s="221"/>
      <c r="C606" s="172" t="s">
        <v>722</v>
      </c>
      <c r="D606" s="226"/>
      <c r="E606" s="135"/>
    </row>
    <row r="607" spans="2:7" ht="21" x14ac:dyDescent="0.25">
      <c r="B607" s="221"/>
      <c r="C607" s="129"/>
      <c r="D607" s="216"/>
      <c r="E607" s="184" t="s">
        <v>517</v>
      </c>
      <c r="F607" s="118" t="str">
        <f>VLOOKUP(E607,'RSMeans 2009'!$B$3:$E$210,3,FALSE)</f>
        <v>Ea.</v>
      </c>
      <c r="G607" s="183">
        <f>VLOOKUP(E607,'RSMeans 2009'!$B$3:$E$210,4,FALSE)</f>
        <v>134.5053332</v>
      </c>
    </row>
    <row r="608" spans="2:7" ht="21" x14ac:dyDescent="0.25">
      <c r="B608" s="221"/>
      <c r="C608" s="129"/>
      <c r="D608" s="216"/>
      <c r="E608" s="184" t="s">
        <v>518</v>
      </c>
      <c r="F608" s="118" t="str">
        <f>VLOOKUP(E608,'RSMeans 2009'!$B$3:$E$210,3,FALSE)</f>
        <v>Ea.</v>
      </c>
      <c r="G608" s="183">
        <f>VLOOKUP(E608,'RSMeans 2009'!$B$3:$E$210,4,FALSE)</f>
        <v>53.886975799999988</v>
      </c>
    </row>
    <row r="609" spans="2:7" ht="21" x14ac:dyDescent="0.25">
      <c r="B609" s="221"/>
      <c r="C609" s="129"/>
      <c r="D609" s="216"/>
      <c r="E609" s="184" t="s">
        <v>519</v>
      </c>
      <c r="F609" s="118" t="str">
        <f>VLOOKUP(E609,'RSMeans 2009'!$B$3:$E$210,3,FALSE)</f>
        <v>Ea.</v>
      </c>
      <c r="G609" s="183">
        <f>VLOOKUP(E609,'RSMeans 2009'!$B$3:$E$210,4,FALSE)</f>
        <v>196.20132139999998</v>
      </c>
    </row>
    <row r="610" spans="2:7" x14ac:dyDescent="0.25">
      <c r="B610" s="221"/>
      <c r="C610" s="172" t="s">
        <v>724</v>
      </c>
      <c r="D610" s="226"/>
      <c r="E610" s="106"/>
    </row>
    <row r="611" spans="2:7" x14ac:dyDescent="0.25">
      <c r="B611" s="221"/>
      <c r="E611" s="106" t="s">
        <v>1159</v>
      </c>
      <c r="F611" s="118" t="e">
        <f>VLOOKUP(E611,#REF!,2,FALSE)</f>
        <v>#REF!</v>
      </c>
      <c r="G611" s="183" t="e">
        <f>VLOOKUP(E611,#REF!,5,FALSE)</f>
        <v>#REF!</v>
      </c>
    </row>
    <row r="612" spans="2:7" x14ac:dyDescent="0.25">
      <c r="B612" s="221">
        <v>466</v>
      </c>
      <c r="C612" s="214" t="s">
        <v>2629</v>
      </c>
      <c r="D612" s="232"/>
      <c r="E612" s="135" t="s">
        <v>211</v>
      </c>
    </row>
    <row r="613" spans="2:7" x14ac:dyDescent="0.25">
      <c r="B613" s="221"/>
      <c r="C613" s="214" t="s">
        <v>2094</v>
      </c>
      <c r="D613" s="232"/>
      <c r="E613" s="135"/>
    </row>
    <row r="614" spans="2:7" ht="22.8" x14ac:dyDescent="0.25">
      <c r="B614" s="221"/>
      <c r="C614" s="214"/>
      <c r="D614" s="232"/>
      <c r="E614" s="106" t="s">
        <v>908</v>
      </c>
    </row>
    <row r="615" spans="2:7" ht="22.8" x14ac:dyDescent="0.25">
      <c r="B615" s="221"/>
      <c r="C615" s="214"/>
      <c r="D615" s="232"/>
      <c r="E615" s="106" t="s">
        <v>1475</v>
      </c>
    </row>
    <row r="616" spans="2:7" ht="22.8" x14ac:dyDescent="0.25">
      <c r="B616" s="221"/>
      <c r="C616" s="214"/>
      <c r="D616" s="232"/>
      <c r="E616" s="106" t="s">
        <v>907</v>
      </c>
    </row>
    <row r="617" spans="2:7" x14ac:dyDescent="0.25">
      <c r="B617" s="221"/>
      <c r="C617" s="172" t="s">
        <v>2299</v>
      </c>
      <c r="D617" s="226"/>
      <c r="E617" s="135"/>
    </row>
    <row r="618" spans="2:7" x14ac:dyDescent="0.25">
      <c r="B618" s="221"/>
      <c r="C618" s="214"/>
      <c r="D618" s="232"/>
      <c r="E618" s="106" t="s">
        <v>2158</v>
      </c>
    </row>
    <row r="619" spans="2:7" x14ac:dyDescent="0.25">
      <c r="B619" s="221"/>
      <c r="C619" s="214"/>
      <c r="D619" s="232"/>
      <c r="E619" s="106" t="s">
        <v>1389</v>
      </c>
    </row>
    <row r="620" spans="2:7" x14ac:dyDescent="0.25">
      <c r="B620" s="221"/>
      <c r="C620" s="214"/>
      <c r="D620" s="232"/>
      <c r="E620" s="106" t="s">
        <v>2159</v>
      </c>
    </row>
    <row r="621" spans="2:7" x14ac:dyDescent="0.25">
      <c r="B621" s="221"/>
      <c r="C621" s="214"/>
      <c r="D621" s="232"/>
      <c r="E621" s="106" t="s">
        <v>1523</v>
      </c>
    </row>
    <row r="622" spans="2:7" x14ac:dyDescent="0.25">
      <c r="B622" s="221"/>
      <c r="C622" s="214"/>
      <c r="D622" s="232"/>
      <c r="E622" s="106" t="s">
        <v>243</v>
      </c>
    </row>
    <row r="623" spans="2:7" x14ac:dyDescent="0.25">
      <c r="B623" s="221"/>
      <c r="C623" s="214"/>
      <c r="D623" s="232"/>
      <c r="E623" s="106" t="s">
        <v>2712</v>
      </c>
    </row>
    <row r="624" spans="2:7" x14ac:dyDescent="0.25">
      <c r="B624" s="221"/>
      <c r="C624" s="172" t="s">
        <v>722</v>
      </c>
      <c r="D624" s="226"/>
      <c r="E624" s="135"/>
    </row>
    <row r="625" spans="2:7" ht="21" x14ac:dyDescent="0.25">
      <c r="B625" s="221"/>
      <c r="C625" s="129"/>
      <c r="D625" s="216"/>
      <c r="E625" s="184" t="s">
        <v>517</v>
      </c>
      <c r="F625" s="118" t="str">
        <f>VLOOKUP(E625,'RSMeans 2009'!$B$3:$E$210,3,FALSE)</f>
        <v>Ea.</v>
      </c>
      <c r="G625" s="183">
        <f>VLOOKUP(E625,'RSMeans 2009'!$B$3:$E$210,4,FALSE)</f>
        <v>134.5053332</v>
      </c>
    </row>
    <row r="626" spans="2:7" ht="21" x14ac:dyDescent="0.25">
      <c r="B626" s="221"/>
      <c r="C626" s="129"/>
      <c r="D626" s="216"/>
      <c r="E626" s="184" t="s">
        <v>518</v>
      </c>
      <c r="F626" s="118" t="str">
        <f>VLOOKUP(E626,'RSMeans 2009'!$B$3:$E$210,3,FALSE)</f>
        <v>Ea.</v>
      </c>
      <c r="G626" s="183">
        <f>VLOOKUP(E626,'RSMeans 2009'!$B$3:$E$210,4,FALSE)</f>
        <v>53.886975799999988</v>
      </c>
    </row>
    <row r="627" spans="2:7" ht="21" x14ac:dyDescent="0.25">
      <c r="B627" s="221"/>
      <c r="C627" s="129"/>
      <c r="D627" s="216"/>
      <c r="E627" s="184" t="s">
        <v>519</v>
      </c>
      <c r="F627" s="118" t="str">
        <f>VLOOKUP(E627,'RSMeans 2009'!$B$3:$E$210,3,FALSE)</f>
        <v>Ea.</v>
      </c>
      <c r="G627" s="183">
        <f>VLOOKUP(E627,'RSMeans 2009'!$B$3:$E$210,4,FALSE)</f>
        <v>196.20132139999998</v>
      </c>
    </row>
    <row r="628" spans="2:7" x14ac:dyDescent="0.25">
      <c r="B628" s="221"/>
      <c r="C628" s="172" t="s">
        <v>724</v>
      </c>
      <c r="D628" s="226"/>
      <c r="E628" s="106"/>
    </row>
    <row r="629" spans="2:7" x14ac:dyDescent="0.25">
      <c r="B629" s="221"/>
      <c r="E629" s="106" t="s">
        <v>1159</v>
      </c>
      <c r="F629" s="118" t="e">
        <f>VLOOKUP(E629,#REF!,2,FALSE)</f>
        <v>#REF!</v>
      </c>
      <c r="G629" s="183" t="e">
        <f>VLOOKUP(E629,#REF!,5,FALSE)</f>
        <v>#REF!</v>
      </c>
    </row>
    <row r="630" spans="2:7" x14ac:dyDescent="0.25">
      <c r="B630" s="221"/>
      <c r="C630" s="214"/>
      <c r="D630" s="232"/>
      <c r="E630" s="135"/>
    </row>
    <row r="631" spans="2:7" ht="39.6" x14ac:dyDescent="0.25">
      <c r="B631" s="221">
        <v>468</v>
      </c>
      <c r="C631" s="214" t="s">
        <v>2630</v>
      </c>
      <c r="D631" s="232"/>
      <c r="E631" s="135" t="s">
        <v>234</v>
      </c>
    </row>
    <row r="632" spans="2:7" x14ac:dyDescent="0.25">
      <c r="B632" s="221"/>
      <c r="C632" s="214" t="s">
        <v>329</v>
      </c>
      <c r="D632" s="232"/>
      <c r="E632" s="135"/>
    </row>
    <row r="633" spans="2:7" x14ac:dyDescent="0.25">
      <c r="B633" s="221"/>
      <c r="C633" s="214"/>
      <c r="D633" s="232"/>
      <c r="E633" s="106" t="s">
        <v>1376</v>
      </c>
    </row>
    <row r="634" spans="2:7" x14ac:dyDescent="0.25">
      <c r="B634" s="221"/>
      <c r="C634" s="214"/>
      <c r="D634" s="232"/>
      <c r="E634" s="106" t="s">
        <v>1110</v>
      </c>
    </row>
    <row r="635" spans="2:7" ht="22.8" x14ac:dyDescent="0.25">
      <c r="B635" s="221"/>
      <c r="C635" s="214"/>
      <c r="D635" s="232"/>
      <c r="E635" s="106" t="s">
        <v>909</v>
      </c>
    </row>
    <row r="636" spans="2:7" ht="22.8" x14ac:dyDescent="0.25">
      <c r="B636" s="221"/>
      <c r="C636" s="214"/>
      <c r="D636" s="232"/>
      <c r="E636" s="106" t="s">
        <v>906</v>
      </c>
    </row>
    <row r="637" spans="2:7" ht="22.8" x14ac:dyDescent="0.25">
      <c r="B637" s="221"/>
      <c r="C637" s="214"/>
      <c r="D637" s="232"/>
      <c r="E637" s="106" t="s">
        <v>907</v>
      </c>
    </row>
    <row r="638" spans="2:7" ht="22.8" x14ac:dyDescent="0.25">
      <c r="B638" s="221"/>
      <c r="C638" s="214"/>
      <c r="D638" s="232"/>
      <c r="E638" s="106" t="s">
        <v>1781</v>
      </c>
    </row>
    <row r="639" spans="2:7" ht="22.8" x14ac:dyDescent="0.25">
      <c r="B639" s="221"/>
      <c r="C639" s="214"/>
      <c r="D639" s="232"/>
      <c r="E639" s="106" t="s">
        <v>908</v>
      </c>
    </row>
    <row r="640" spans="2:7" ht="22.8" x14ac:dyDescent="0.25">
      <c r="B640" s="221"/>
      <c r="C640" s="214"/>
      <c r="D640" s="232"/>
      <c r="E640" s="106" t="s">
        <v>910</v>
      </c>
    </row>
    <row r="641" spans="2:5" x14ac:dyDescent="0.25">
      <c r="B641" s="221"/>
      <c r="C641" s="214"/>
      <c r="D641" s="232"/>
      <c r="E641" s="106" t="s">
        <v>13</v>
      </c>
    </row>
    <row r="642" spans="2:5" x14ac:dyDescent="0.25">
      <c r="B642" s="221"/>
      <c r="C642" s="214"/>
      <c r="D642" s="232"/>
      <c r="E642" s="106" t="s">
        <v>1999</v>
      </c>
    </row>
    <row r="643" spans="2:5" x14ac:dyDescent="0.25">
      <c r="B643" s="221"/>
      <c r="C643" s="214"/>
      <c r="D643" s="232"/>
      <c r="E643" s="106" t="s">
        <v>2786</v>
      </c>
    </row>
    <row r="644" spans="2:5" x14ac:dyDescent="0.25">
      <c r="B644" s="221"/>
      <c r="C644" s="214"/>
      <c r="D644" s="232"/>
      <c r="E644" s="106" t="s">
        <v>2784</v>
      </c>
    </row>
    <row r="645" spans="2:5" ht="22.8" x14ac:dyDescent="0.25">
      <c r="B645" s="221"/>
      <c r="C645" s="214"/>
      <c r="D645" s="232"/>
      <c r="E645" s="106" t="s">
        <v>1481</v>
      </c>
    </row>
    <row r="646" spans="2:5" ht="22.8" x14ac:dyDescent="0.25">
      <c r="B646" s="221"/>
      <c r="C646" s="214"/>
      <c r="D646" s="232"/>
      <c r="E646" s="106" t="s">
        <v>438</v>
      </c>
    </row>
    <row r="647" spans="2:5" ht="22.8" x14ac:dyDescent="0.25">
      <c r="B647" s="221"/>
      <c r="C647" s="214"/>
      <c r="D647" s="232"/>
      <c r="E647" s="106" t="s">
        <v>1397</v>
      </c>
    </row>
    <row r="648" spans="2:5" ht="34.200000000000003" x14ac:dyDescent="0.25">
      <c r="B648" s="221"/>
      <c r="C648" s="214"/>
      <c r="D648" s="232"/>
      <c r="E648" s="106" t="s">
        <v>2655</v>
      </c>
    </row>
    <row r="649" spans="2:5" ht="34.200000000000003" x14ac:dyDescent="0.25">
      <c r="B649" s="221"/>
      <c r="C649" s="214"/>
      <c r="D649" s="232"/>
      <c r="E649" s="106" t="s">
        <v>2656</v>
      </c>
    </row>
    <row r="650" spans="2:5" x14ac:dyDescent="0.25">
      <c r="B650" s="221"/>
      <c r="C650" s="172" t="s">
        <v>2299</v>
      </c>
      <c r="D650" s="226"/>
      <c r="E650" s="135"/>
    </row>
    <row r="651" spans="2:5" x14ac:dyDescent="0.25">
      <c r="B651" s="221"/>
      <c r="C651" s="214"/>
      <c r="D651" s="232"/>
      <c r="E651" s="106" t="s">
        <v>2158</v>
      </c>
    </row>
    <row r="652" spans="2:5" x14ac:dyDescent="0.25">
      <c r="B652" s="221"/>
      <c r="C652" s="214"/>
      <c r="D652" s="232"/>
      <c r="E652" s="106" t="s">
        <v>1034</v>
      </c>
    </row>
    <row r="653" spans="2:5" x14ac:dyDescent="0.25">
      <c r="B653" s="221"/>
      <c r="C653" s="214"/>
      <c r="D653" s="232"/>
      <c r="E653" s="106" t="s">
        <v>2699</v>
      </c>
    </row>
    <row r="654" spans="2:5" x14ac:dyDescent="0.25">
      <c r="B654" s="221"/>
      <c r="C654" s="214"/>
      <c r="D654" s="232"/>
      <c r="E654" s="106" t="s">
        <v>1523</v>
      </c>
    </row>
    <row r="655" spans="2:5" x14ac:dyDescent="0.25">
      <c r="B655" s="221"/>
      <c r="C655" s="214"/>
      <c r="D655" s="232"/>
      <c r="E655" s="106" t="s">
        <v>243</v>
      </c>
    </row>
    <row r="656" spans="2:5" x14ac:dyDescent="0.25">
      <c r="B656" s="221"/>
      <c r="C656" s="214"/>
      <c r="D656" s="232"/>
      <c r="E656" s="106" t="s">
        <v>2712</v>
      </c>
    </row>
    <row r="657" spans="2:7" x14ac:dyDescent="0.25">
      <c r="B657" s="221"/>
      <c r="C657" s="172" t="s">
        <v>722</v>
      </c>
      <c r="D657" s="226"/>
      <c r="E657" s="135"/>
    </row>
    <row r="658" spans="2:7" ht="21" x14ac:dyDescent="0.25">
      <c r="B658" s="221"/>
      <c r="C658" s="129"/>
      <c r="D658" s="216"/>
      <c r="E658" s="184" t="s">
        <v>517</v>
      </c>
      <c r="F658" s="118" t="str">
        <f>VLOOKUP(E658,'RSMeans 2009'!$B$3:$E$210,3,FALSE)</f>
        <v>Ea.</v>
      </c>
      <c r="G658" s="183">
        <f>VLOOKUP(E658,'RSMeans 2009'!$B$3:$E$210,4,FALSE)</f>
        <v>134.5053332</v>
      </c>
    </row>
    <row r="659" spans="2:7" ht="21" x14ac:dyDescent="0.25">
      <c r="B659" s="221"/>
      <c r="C659" s="129"/>
      <c r="D659" s="216"/>
      <c r="E659" s="184" t="s">
        <v>518</v>
      </c>
      <c r="F659" s="118" t="str">
        <f>VLOOKUP(E659,'RSMeans 2009'!$B$3:$E$210,3,FALSE)</f>
        <v>Ea.</v>
      </c>
      <c r="G659" s="183">
        <f>VLOOKUP(E659,'RSMeans 2009'!$B$3:$E$210,4,FALSE)</f>
        <v>53.886975799999988</v>
      </c>
    </row>
    <row r="660" spans="2:7" ht="21" x14ac:dyDescent="0.25">
      <c r="B660" s="221"/>
      <c r="C660" s="129"/>
      <c r="D660" s="216"/>
      <c r="E660" s="184" t="s">
        <v>519</v>
      </c>
      <c r="F660" s="118" t="str">
        <f>VLOOKUP(E660,'RSMeans 2009'!$B$3:$E$210,3,FALSE)</f>
        <v>Ea.</v>
      </c>
      <c r="G660" s="183">
        <f>VLOOKUP(E660,'RSMeans 2009'!$B$3:$E$210,4,FALSE)</f>
        <v>196.20132139999998</v>
      </c>
    </row>
    <row r="661" spans="2:7" x14ac:dyDescent="0.25">
      <c r="B661" s="221"/>
      <c r="C661" s="172" t="s">
        <v>724</v>
      </c>
      <c r="D661" s="226"/>
      <c r="E661" s="106"/>
    </row>
    <row r="662" spans="2:7" x14ac:dyDescent="0.25">
      <c r="B662" s="221"/>
      <c r="E662" s="106" t="s">
        <v>1159</v>
      </c>
      <c r="F662" s="118" t="e">
        <f>VLOOKUP(E662,#REF!,2,FALSE)</f>
        <v>#REF!</v>
      </c>
      <c r="G662" s="183" t="e">
        <f>VLOOKUP(E662,#REF!,5,FALSE)</f>
        <v>#REF!</v>
      </c>
    </row>
    <row r="663" spans="2:7" x14ac:dyDescent="0.25">
      <c r="B663" s="221"/>
      <c r="C663" s="214"/>
      <c r="D663" s="232"/>
      <c r="E663" s="135"/>
    </row>
    <row r="664" spans="2:7" ht="26.4" x14ac:dyDescent="0.25">
      <c r="B664" s="221">
        <v>634</v>
      </c>
      <c r="C664" s="214" t="s">
        <v>2631</v>
      </c>
      <c r="D664" s="232"/>
      <c r="E664" s="135" t="s">
        <v>2632</v>
      </c>
    </row>
    <row r="665" spans="2:7" x14ac:dyDescent="0.25">
      <c r="B665" s="221"/>
      <c r="C665" s="214" t="s">
        <v>329</v>
      </c>
      <c r="D665" s="232"/>
      <c r="E665" s="135"/>
    </row>
    <row r="666" spans="2:7" ht="22.8" x14ac:dyDescent="0.25">
      <c r="B666" s="221"/>
      <c r="C666" s="214"/>
      <c r="D666" s="232"/>
      <c r="E666" s="106" t="s">
        <v>1184</v>
      </c>
    </row>
    <row r="667" spans="2:7" ht="22.8" x14ac:dyDescent="0.25">
      <c r="B667" s="221"/>
      <c r="C667" s="214"/>
      <c r="D667" s="232"/>
      <c r="E667" s="106" t="s">
        <v>1185</v>
      </c>
    </row>
    <row r="668" spans="2:7" ht="22.8" x14ac:dyDescent="0.25">
      <c r="B668" s="221"/>
      <c r="C668" s="214"/>
      <c r="D668" s="232"/>
      <c r="E668" s="106" t="s">
        <v>1186</v>
      </c>
    </row>
    <row r="669" spans="2:7" ht="22.8" x14ac:dyDescent="0.25">
      <c r="B669" s="221"/>
      <c r="C669" s="214"/>
      <c r="D669" s="232"/>
      <c r="E669" s="106" t="s">
        <v>1187</v>
      </c>
    </row>
    <row r="670" spans="2:7" ht="22.8" x14ac:dyDescent="0.25">
      <c r="B670" s="221"/>
      <c r="C670" s="214"/>
      <c r="D670" s="232"/>
      <c r="E670" s="106" t="s">
        <v>203</v>
      </c>
    </row>
    <row r="671" spans="2:7" ht="22.8" x14ac:dyDescent="0.25">
      <c r="B671" s="221"/>
      <c r="C671" s="214"/>
      <c r="D671" s="232"/>
      <c r="E671" s="106" t="s">
        <v>1188</v>
      </c>
    </row>
    <row r="672" spans="2:7" ht="22.8" x14ac:dyDescent="0.25">
      <c r="B672" s="221"/>
      <c r="C672" s="214"/>
      <c r="D672" s="232"/>
      <c r="E672" s="106" t="s">
        <v>2363</v>
      </c>
    </row>
    <row r="673" spans="2:5" ht="22.8" x14ac:dyDescent="0.25">
      <c r="B673" s="221"/>
      <c r="C673" s="214"/>
      <c r="D673" s="232"/>
      <c r="E673" s="106" t="s">
        <v>2364</v>
      </c>
    </row>
    <row r="674" spans="2:5" ht="22.8" x14ac:dyDescent="0.25">
      <c r="B674" s="221"/>
      <c r="C674" s="214"/>
      <c r="D674" s="232"/>
      <c r="E674" s="106" t="s">
        <v>1374</v>
      </c>
    </row>
    <row r="675" spans="2:5" ht="22.8" x14ac:dyDescent="0.25">
      <c r="B675" s="221"/>
      <c r="C675" s="214"/>
      <c r="D675" s="232"/>
      <c r="E675" s="106" t="s">
        <v>1375</v>
      </c>
    </row>
    <row r="676" spans="2:5" x14ac:dyDescent="0.25">
      <c r="B676" s="221"/>
      <c r="C676" s="214"/>
      <c r="D676" s="232"/>
      <c r="E676" s="106" t="s">
        <v>1376</v>
      </c>
    </row>
    <row r="677" spans="2:5" x14ac:dyDescent="0.25">
      <c r="B677" s="221"/>
      <c r="C677" s="214"/>
      <c r="D677" s="232"/>
      <c r="E677" s="106" t="s">
        <v>1110</v>
      </c>
    </row>
    <row r="678" spans="2:5" x14ac:dyDescent="0.25">
      <c r="B678" s="221"/>
      <c r="C678" s="214"/>
      <c r="D678" s="232"/>
      <c r="E678" s="106" t="s">
        <v>988</v>
      </c>
    </row>
    <row r="679" spans="2:5" x14ac:dyDescent="0.25">
      <c r="B679" s="221"/>
      <c r="C679" s="214"/>
      <c r="D679" s="232"/>
      <c r="E679" s="106" t="s">
        <v>2797</v>
      </c>
    </row>
    <row r="680" spans="2:5" ht="22.8" x14ac:dyDescent="0.25">
      <c r="B680" s="221"/>
      <c r="C680" s="214"/>
      <c r="D680" s="232"/>
      <c r="E680" s="106" t="s">
        <v>909</v>
      </c>
    </row>
    <row r="681" spans="2:5" ht="22.8" x14ac:dyDescent="0.25">
      <c r="B681" s="221"/>
      <c r="C681" s="214"/>
      <c r="D681" s="232"/>
      <c r="E681" s="106" t="s">
        <v>906</v>
      </c>
    </row>
    <row r="682" spans="2:5" ht="22.8" x14ac:dyDescent="0.25">
      <c r="B682" s="221"/>
      <c r="C682" s="214"/>
      <c r="D682" s="232"/>
      <c r="E682" s="106" t="s">
        <v>907</v>
      </c>
    </row>
    <row r="683" spans="2:5" ht="22.8" x14ac:dyDescent="0.25">
      <c r="B683" s="221"/>
      <c r="C683" s="214"/>
      <c r="D683" s="232"/>
      <c r="E683" s="106" t="s">
        <v>1781</v>
      </c>
    </row>
    <row r="684" spans="2:5" ht="22.8" x14ac:dyDescent="0.25">
      <c r="B684" s="221"/>
      <c r="C684" s="214"/>
      <c r="D684" s="232"/>
      <c r="E684" s="106" t="s">
        <v>908</v>
      </c>
    </row>
    <row r="685" spans="2:5" ht="22.8" x14ac:dyDescent="0.25">
      <c r="B685" s="221"/>
      <c r="C685" s="214"/>
      <c r="D685" s="232"/>
      <c r="E685" s="106" t="s">
        <v>910</v>
      </c>
    </row>
    <row r="686" spans="2:5" x14ac:dyDescent="0.25">
      <c r="B686" s="221"/>
      <c r="C686" s="172" t="s">
        <v>2299</v>
      </c>
      <c r="D686" s="226"/>
      <c r="E686" s="135"/>
    </row>
    <row r="687" spans="2:5" x14ac:dyDescent="0.25">
      <c r="B687" s="221"/>
      <c r="C687" s="214"/>
      <c r="D687" s="232"/>
      <c r="E687" s="106" t="s">
        <v>2313</v>
      </c>
    </row>
    <row r="688" spans="2:5" x14ac:dyDescent="0.25">
      <c r="B688" s="221"/>
      <c r="C688" s="214"/>
      <c r="D688" s="232"/>
      <c r="E688" s="106" t="s">
        <v>2158</v>
      </c>
    </row>
    <row r="689" spans="2:7" x14ac:dyDescent="0.25">
      <c r="B689" s="221"/>
      <c r="C689" s="214"/>
      <c r="D689" s="232"/>
      <c r="E689" s="106" t="s">
        <v>1034</v>
      </c>
    </row>
    <row r="690" spans="2:7" x14ac:dyDescent="0.25">
      <c r="B690" s="221"/>
      <c r="C690" s="214"/>
      <c r="D690" s="232"/>
      <c r="E690" s="106" t="s">
        <v>1523</v>
      </c>
    </row>
    <row r="691" spans="2:7" x14ac:dyDescent="0.25">
      <c r="B691" s="221"/>
      <c r="C691" s="214"/>
      <c r="D691" s="232"/>
      <c r="E691" s="106" t="s">
        <v>243</v>
      </c>
    </row>
    <row r="692" spans="2:7" x14ac:dyDescent="0.25">
      <c r="B692" s="221"/>
      <c r="C692" s="214"/>
      <c r="D692" s="232"/>
      <c r="E692" s="106" t="s">
        <v>2712</v>
      </c>
    </row>
    <row r="693" spans="2:7" x14ac:dyDescent="0.25">
      <c r="B693" s="221"/>
      <c r="C693" s="172" t="s">
        <v>722</v>
      </c>
      <c r="D693" s="226"/>
      <c r="E693" s="135"/>
    </row>
    <row r="694" spans="2:7" ht="21" x14ac:dyDescent="0.25">
      <c r="B694" s="221"/>
      <c r="C694" s="129"/>
      <c r="D694" s="216"/>
      <c r="E694" s="184" t="s">
        <v>517</v>
      </c>
      <c r="F694" s="118" t="str">
        <f>VLOOKUP(E694,'RSMeans 2009'!$B$3:$E$210,3,FALSE)</f>
        <v>Ea.</v>
      </c>
      <c r="G694" s="183">
        <f>VLOOKUP(E694,'RSMeans 2009'!$B$3:$E$210,4,FALSE)</f>
        <v>134.5053332</v>
      </c>
    </row>
    <row r="695" spans="2:7" ht="21" x14ac:dyDescent="0.25">
      <c r="B695" s="221"/>
      <c r="C695" s="129"/>
      <c r="D695" s="216"/>
      <c r="E695" s="184" t="s">
        <v>518</v>
      </c>
      <c r="F695" s="118" t="str">
        <f>VLOOKUP(E695,'RSMeans 2009'!$B$3:$E$210,3,FALSE)</f>
        <v>Ea.</v>
      </c>
      <c r="G695" s="183">
        <f>VLOOKUP(E695,'RSMeans 2009'!$B$3:$E$210,4,FALSE)</f>
        <v>53.886975799999988</v>
      </c>
    </row>
    <row r="696" spans="2:7" ht="21" x14ac:dyDescent="0.25">
      <c r="B696" s="221"/>
      <c r="C696" s="129"/>
      <c r="D696" s="216"/>
      <c r="E696" s="184" t="s">
        <v>519</v>
      </c>
      <c r="F696" s="118" t="str">
        <f>VLOOKUP(E696,'RSMeans 2009'!$B$3:$E$210,3,FALSE)</f>
        <v>Ea.</v>
      </c>
      <c r="G696" s="183">
        <f>VLOOKUP(E696,'RSMeans 2009'!$B$3:$E$210,4,FALSE)</f>
        <v>196.20132139999998</v>
      </c>
    </row>
    <row r="697" spans="2:7" x14ac:dyDescent="0.25">
      <c r="B697" s="221"/>
      <c r="C697" s="172" t="s">
        <v>724</v>
      </c>
      <c r="D697" s="226"/>
      <c r="E697" s="106"/>
    </row>
    <row r="698" spans="2:7" x14ac:dyDescent="0.25">
      <c r="B698" s="221"/>
      <c r="E698" s="106" t="s">
        <v>1159</v>
      </c>
      <c r="F698" s="118" t="e">
        <f>VLOOKUP(E698,#REF!,2,FALSE)</f>
        <v>#REF!</v>
      </c>
      <c r="G698" s="183" t="e">
        <f>VLOOKUP(E698,#REF!,5,FALSE)</f>
        <v>#REF!</v>
      </c>
    </row>
    <row r="700" spans="2:7" ht="39.6" x14ac:dyDescent="0.25">
      <c r="B700" s="221">
        <v>457</v>
      </c>
      <c r="C700" s="214" t="s">
        <v>2633</v>
      </c>
      <c r="D700" s="232"/>
      <c r="E700" s="135" t="s">
        <v>2634</v>
      </c>
    </row>
    <row r="701" spans="2:7" x14ac:dyDescent="0.25">
      <c r="B701" s="221"/>
      <c r="C701" s="214" t="s">
        <v>329</v>
      </c>
      <c r="D701" s="232"/>
      <c r="E701" s="135"/>
    </row>
    <row r="702" spans="2:7" x14ac:dyDescent="0.25">
      <c r="B702" s="221"/>
      <c r="C702" s="214"/>
      <c r="D702" s="232"/>
      <c r="E702" s="79" t="s">
        <v>736</v>
      </c>
    </row>
    <row r="703" spans="2:7" x14ac:dyDescent="0.25">
      <c r="B703" s="221"/>
      <c r="C703" s="214"/>
      <c r="D703" s="232"/>
      <c r="E703" s="79" t="s">
        <v>737</v>
      </c>
    </row>
    <row r="704" spans="2:7" x14ac:dyDescent="0.25">
      <c r="B704" s="221"/>
      <c r="C704" s="214"/>
      <c r="D704" s="232"/>
      <c r="E704" s="79" t="s">
        <v>738</v>
      </c>
    </row>
    <row r="705" spans="2:5" x14ac:dyDescent="0.25">
      <c r="B705" s="221"/>
      <c r="C705" s="214"/>
      <c r="D705" s="232"/>
      <c r="E705" s="79" t="s">
        <v>1179</v>
      </c>
    </row>
    <row r="706" spans="2:5" x14ac:dyDescent="0.25">
      <c r="B706" s="221"/>
      <c r="C706" s="214"/>
      <c r="D706" s="232"/>
      <c r="E706" s="79" t="s">
        <v>754</v>
      </c>
    </row>
    <row r="707" spans="2:5" x14ac:dyDescent="0.25">
      <c r="B707" s="221"/>
      <c r="C707" s="214"/>
      <c r="D707" s="232"/>
      <c r="E707" s="79" t="s">
        <v>755</v>
      </c>
    </row>
    <row r="708" spans="2:5" x14ac:dyDescent="0.25">
      <c r="B708" s="221"/>
      <c r="C708" s="214"/>
      <c r="D708" s="232"/>
      <c r="E708" s="79" t="s">
        <v>1124</v>
      </c>
    </row>
    <row r="709" spans="2:5" x14ac:dyDescent="0.25">
      <c r="B709" s="221"/>
      <c r="C709" s="214"/>
      <c r="D709" s="232"/>
      <c r="E709" s="79" t="s">
        <v>756</v>
      </c>
    </row>
    <row r="710" spans="2:5" x14ac:dyDescent="0.25">
      <c r="B710" s="221"/>
      <c r="C710" s="214"/>
      <c r="D710" s="232"/>
      <c r="E710" s="79" t="s">
        <v>757</v>
      </c>
    </row>
    <row r="711" spans="2:5" x14ac:dyDescent="0.25">
      <c r="B711" s="221"/>
      <c r="C711" s="214"/>
      <c r="D711" s="232"/>
      <c r="E711" s="79" t="s">
        <v>742</v>
      </c>
    </row>
    <row r="712" spans="2:5" x14ac:dyDescent="0.25">
      <c r="B712" s="221"/>
      <c r="C712" s="214"/>
      <c r="D712" s="232"/>
      <c r="E712" s="79" t="s">
        <v>747</v>
      </c>
    </row>
    <row r="713" spans="2:5" x14ac:dyDescent="0.25">
      <c r="B713" s="221"/>
      <c r="C713" s="214"/>
      <c r="D713" s="232"/>
      <c r="E713" s="79" t="s">
        <v>748</v>
      </c>
    </row>
    <row r="714" spans="2:5" x14ac:dyDescent="0.25">
      <c r="B714" s="221"/>
      <c r="C714" s="214"/>
      <c r="D714" s="232"/>
      <c r="E714" s="79" t="s">
        <v>749</v>
      </c>
    </row>
    <row r="715" spans="2:5" x14ac:dyDescent="0.25">
      <c r="B715" s="221"/>
      <c r="C715" s="214"/>
      <c r="D715" s="232"/>
      <c r="E715" s="79" t="s">
        <v>744</v>
      </c>
    </row>
    <row r="716" spans="2:5" x14ac:dyDescent="0.25">
      <c r="B716" s="221"/>
      <c r="C716" s="214"/>
      <c r="D716" s="232"/>
      <c r="E716" s="79" t="s">
        <v>746</v>
      </c>
    </row>
    <row r="717" spans="2:5" x14ac:dyDescent="0.25">
      <c r="B717" s="221"/>
      <c r="C717" s="214"/>
      <c r="D717" s="232"/>
      <c r="E717" s="79" t="s">
        <v>439</v>
      </c>
    </row>
    <row r="718" spans="2:5" x14ac:dyDescent="0.25">
      <c r="B718" s="221"/>
      <c r="C718" s="214"/>
      <c r="D718" s="232"/>
      <c r="E718" s="79" t="s">
        <v>2005</v>
      </c>
    </row>
    <row r="719" spans="2:5" x14ac:dyDescent="0.25">
      <c r="B719" s="221"/>
      <c r="C719" s="214"/>
      <c r="D719" s="232"/>
      <c r="E719" s="79" t="s">
        <v>1385</v>
      </c>
    </row>
    <row r="720" spans="2:5" x14ac:dyDescent="0.25">
      <c r="B720" s="221"/>
      <c r="C720" s="172" t="s">
        <v>2299</v>
      </c>
      <c r="D720" s="226"/>
      <c r="E720" s="135"/>
    </row>
    <row r="721" spans="2:7" ht="22.8" x14ac:dyDescent="0.25">
      <c r="B721" s="221"/>
      <c r="C721" s="214"/>
      <c r="D721" s="232"/>
      <c r="E721" s="79" t="s">
        <v>752</v>
      </c>
    </row>
    <row r="722" spans="2:7" x14ac:dyDescent="0.25">
      <c r="B722" s="221"/>
      <c r="C722" s="214"/>
      <c r="D722" s="232"/>
      <c r="E722" s="79" t="s">
        <v>753</v>
      </c>
    </row>
    <row r="723" spans="2:7" x14ac:dyDescent="0.25">
      <c r="B723" s="221"/>
      <c r="C723" s="214"/>
      <c r="D723" s="232"/>
      <c r="E723" s="79" t="s">
        <v>741</v>
      </c>
    </row>
    <row r="724" spans="2:7" x14ac:dyDescent="0.25">
      <c r="B724" s="221"/>
      <c r="C724" s="214"/>
      <c r="D724" s="232"/>
      <c r="E724" s="79" t="s">
        <v>2788</v>
      </c>
    </row>
    <row r="725" spans="2:7" x14ac:dyDescent="0.25">
      <c r="B725" s="221"/>
      <c r="C725" s="214"/>
      <c r="D725" s="232"/>
      <c r="E725" s="79" t="s">
        <v>2406</v>
      </c>
    </row>
    <row r="726" spans="2:7" x14ac:dyDescent="0.25">
      <c r="C726" s="172" t="s">
        <v>722</v>
      </c>
      <c r="D726" s="226"/>
      <c r="E726" s="135"/>
    </row>
    <row r="727" spans="2:7" ht="21" x14ac:dyDescent="0.25">
      <c r="C727" s="129"/>
      <c r="D727" s="216"/>
      <c r="E727" s="184" t="s">
        <v>517</v>
      </c>
      <c r="F727" s="118" t="str">
        <f>VLOOKUP(E727,'RSMeans 2009'!$B$3:$E$210,3,FALSE)</f>
        <v>Ea.</v>
      </c>
      <c r="G727" s="183">
        <f>VLOOKUP(E727,'RSMeans 2009'!$B$3:$E$210,4,FALSE)</f>
        <v>134.5053332</v>
      </c>
    </row>
    <row r="728" spans="2:7" ht="21" x14ac:dyDescent="0.25">
      <c r="C728" s="129"/>
      <c r="D728" s="216"/>
      <c r="E728" s="184" t="s">
        <v>518</v>
      </c>
      <c r="F728" s="118" t="str">
        <f>VLOOKUP(E728,'RSMeans 2009'!$B$3:$E$210,3,FALSE)</f>
        <v>Ea.</v>
      </c>
      <c r="G728" s="183">
        <f>VLOOKUP(E728,'RSMeans 2009'!$B$3:$E$210,4,FALSE)</f>
        <v>53.886975799999988</v>
      </c>
    </row>
    <row r="729" spans="2:7" ht="21" x14ac:dyDescent="0.25">
      <c r="C729" s="129"/>
      <c r="D729" s="216"/>
      <c r="E729" s="184" t="s">
        <v>519</v>
      </c>
      <c r="F729" s="118" t="str">
        <f>VLOOKUP(E729,'RSMeans 2009'!$B$3:$E$210,3,FALSE)</f>
        <v>Ea.</v>
      </c>
      <c r="G729" s="183">
        <f>VLOOKUP(E729,'RSMeans 2009'!$B$3:$E$210,4,FALSE)</f>
        <v>196.20132139999998</v>
      </c>
    </row>
    <row r="730" spans="2:7" x14ac:dyDescent="0.25">
      <c r="C730" s="172" t="s">
        <v>724</v>
      </c>
      <c r="D730" s="226"/>
      <c r="E730" s="106"/>
    </row>
    <row r="731" spans="2:7" x14ac:dyDescent="0.25">
      <c r="E731" s="106" t="s">
        <v>1159</v>
      </c>
      <c r="F731" s="118" t="e">
        <f>VLOOKUP(E731,#REF!,2,FALSE)</f>
        <v>#REF!</v>
      </c>
      <c r="G731" s="183" t="e">
        <f>VLOOKUP(E731,#REF!,5,FALSE)</f>
        <v>#REF!</v>
      </c>
    </row>
    <row r="732" spans="2:7" ht="39.6" x14ac:dyDescent="0.25">
      <c r="B732" s="221">
        <v>500</v>
      </c>
      <c r="C732" s="214" t="s">
        <v>2638</v>
      </c>
      <c r="D732" s="232"/>
      <c r="E732" s="135" t="s">
        <v>2639</v>
      </c>
    </row>
    <row r="733" spans="2:7" x14ac:dyDescent="0.25">
      <c r="B733" s="221"/>
      <c r="C733" s="214" t="s">
        <v>329</v>
      </c>
      <c r="D733" s="232"/>
      <c r="E733" s="135"/>
    </row>
    <row r="734" spans="2:7" ht="22.8" x14ac:dyDescent="0.25">
      <c r="B734" s="221"/>
      <c r="C734" s="214"/>
      <c r="D734" s="232"/>
      <c r="E734" s="106" t="s">
        <v>909</v>
      </c>
    </row>
    <row r="735" spans="2:7" ht="22.8" x14ac:dyDescent="0.25">
      <c r="B735" s="221"/>
      <c r="C735" s="214"/>
      <c r="D735" s="232"/>
      <c r="E735" s="106" t="s">
        <v>906</v>
      </c>
    </row>
    <row r="736" spans="2:7" ht="22.8" x14ac:dyDescent="0.25">
      <c r="B736" s="221"/>
      <c r="C736" s="214"/>
      <c r="D736" s="232"/>
      <c r="E736" s="106" t="s">
        <v>907</v>
      </c>
    </row>
    <row r="737" spans="2:7" ht="22.8" x14ac:dyDescent="0.25">
      <c r="B737" s="221"/>
      <c r="C737" s="214"/>
      <c r="D737" s="232"/>
      <c r="E737" s="106" t="s">
        <v>1781</v>
      </c>
    </row>
    <row r="738" spans="2:7" ht="22.8" x14ac:dyDescent="0.25">
      <c r="B738" s="221"/>
      <c r="C738" s="214"/>
      <c r="D738" s="232"/>
      <c r="E738" s="106" t="s">
        <v>908</v>
      </c>
    </row>
    <row r="739" spans="2:7" ht="23.25" customHeight="1" x14ac:dyDescent="0.25">
      <c r="B739" s="221"/>
      <c r="C739" s="214"/>
      <c r="D739" s="232"/>
      <c r="E739" s="106" t="s">
        <v>910</v>
      </c>
    </row>
    <row r="740" spans="2:7" x14ac:dyDescent="0.25">
      <c r="B740" s="221"/>
      <c r="C740" s="172" t="s">
        <v>2299</v>
      </c>
      <c r="D740" s="226"/>
      <c r="E740" s="135"/>
    </row>
    <row r="741" spans="2:7" x14ac:dyDescent="0.25">
      <c r="B741" s="221"/>
      <c r="C741" s="214"/>
      <c r="D741" s="232"/>
      <c r="E741" s="106" t="s">
        <v>2425</v>
      </c>
    </row>
    <row r="742" spans="2:7" x14ac:dyDescent="0.25">
      <c r="B742" s="221"/>
      <c r="C742" s="214"/>
      <c r="D742" s="232"/>
      <c r="E742" s="106" t="s">
        <v>2424</v>
      </c>
    </row>
    <row r="743" spans="2:7" x14ac:dyDescent="0.25">
      <c r="B743" s="221"/>
      <c r="C743" s="214"/>
      <c r="D743" s="232"/>
      <c r="E743" s="106" t="s">
        <v>2158</v>
      </c>
    </row>
    <row r="744" spans="2:7" x14ac:dyDescent="0.25">
      <c r="B744" s="221"/>
      <c r="C744" s="214"/>
      <c r="D744" s="232"/>
      <c r="E744" s="106" t="s">
        <v>1389</v>
      </c>
    </row>
    <row r="745" spans="2:7" x14ac:dyDescent="0.25">
      <c r="B745" s="221"/>
      <c r="C745" s="214"/>
      <c r="D745" s="232"/>
      <c r="E745" s="106" t="s">
        <v>2159</v>
      </c>
    </row>
    <row r="746" spans="2:7" x14ac:dyDescent="0.25">
      <c r="B746" s="221"/>
      <c r="C746" s="214"/>
      <c r="D746" s="232"/>
      <c r="E746" s="106" t="s">
        <v>2311</v>
      </c>
    </row>
    <row r="747" spans="2:7" x14ac:dyDescent="0.25">
      <c r="B747" s="221"/>
      <c r="C747" s="214"/>
      <c r="D747" s="232"/>
      <c r="E747" s="106" t="s">
        <v>2310</v>
      </c>
    </row>
    <row r="748" spans="2:7" x14ac:dyDescent="0.25">
      <c r="B748" s="221"/>
      <c r="C748" s="214"/>
      <c r="D748" s="232"/>
      <c r="E748" s="106" t="s">
        <v>663</v>
      </c>
    </row>
    <row r="749" spans="2:7" x14ac:dyDescent="0.25">
      <c r="B749" s="221"/>
      <c r="C749" s="214"/>
      <c r="D749" s="232"/>
      <c r="E749" s="106" t="s">
        <v>2712</v>
      </c>
    </row>
    <row r="750" spans="2:7" x14ac:dyDescent="0.25">
      <c r="C750" s="172" t="s">
        <v>722</v>
      </c>
      <c r="D750" s="226"/>
      <c r="E750" s="135"/>
    </row>
    <row r="751" spans="2:7" ht="21" x14ac:dyDescent="0.25">
      <c r="C751" s="129"/>
      <c r="D751" s="216"/>
      <c r="E751" s="184" t="s">
        <v>517</v>
      </c>
      <c r="F751" s="118" t="str">
        <f>VLOOKUP(E751,'RSMeans 2009'!$B$3:$E$210,3,FALSE)</f>
        <v>Ea.</v>
      </c>
      <c r="G751" s="183">
        <f>VLOOKUP(E751,'RSMeans 2009'!$B$3:$E$210,4,FALSE)</f>
        <v>134.5053332</v>
      </c>
    </row>
    <row r="752" spans="2:7" ht="21" x14ac:dyDescent="0.25">
      <c r="C752" s="129"/>
      <c r="D752" s="216"/>
      <c r="E752" s="184" t="s">
        <v>518</v>
      </c>
      <c r="F752" s="118" t="str">
        <f>VLOOKUP(E752,'RSMeans 2009'!$B$3:$E$210,3,FALSE)</f>
        <v>Ea.</v>
      </c>
      <c r="G752" s="183">
        <f>VLOOKUP(E752,'RSMeans 2009'!$B$3:$E$210,4,FALSE)</f>
        <v>53.886975799999988</v>
      </c>
    </row>
    <row r="753" spans="2:7" ht="21" x14ac:dyDescent="0.25">
      <c r="C753" s="129"/>
      <c r="D753" s="216"/>
      <c r="E753" s="184" t="s">
        <v>519</v>
      </c>
      <c r="F753" s="118" t="str">
        <f>VLOOKUP(E753,'RSMeans 2009'!$B$3:$E$210,3,FALSE)</f>
        <v>Ea.</v>
      </c>
      <c r="G753" s="183">
        <f>VLOOKUP(E753,'RSMeans 2009'!$B$3:$E$210,4,FALSE)</f>
        <v>196.20132139999998</v>
      </c>
    </row>
    <row r="754" spans="2:7" x14ac:dyDescent="0.25">
      <c r="C754" s="172" t="s">
        <v>724</v>
      </c>
      <c r="D754" s="226"/>
      <c r="E754" s="106"/>
    </row>
    <row r="755" spans="2:7" x14ac:dyDescent="0.25">
      <c r="E755" s="106" t="s">
        <v>1159</v>
      </c>
      <c r="F755" s="118" t="e">
        <f>VLOOKUP(E755,#REF!,2,FALSE)</f>
        <v>#REF!</v>
      </c>
      <c r="G755" s="183" t="e">
        <f>VLOOKUP(E755,#REF!,5,FALSE)</f>
        <v>#REF!</v>
      </c>
    </row>
    <row r="756" spans="2:7" x14ac:dyDescent="0.25">
      <c r="E756" s="106"/>
      <c r="F756" s="118"/>
      <c r="G756" s="183"/>
    </row>
    <row r="757" spans="2:7" ht="26.4" x14ac:dyDescent="0.25">
      <c r="B757" s="221">
        <v>582</v>
      </c>
      <c r="C757" s="214" t="s">
        <v>2640</v>
      </c>
      <c r="D757" s="232"/>
      <c r="E757" s="135" t="s">
        <v>2641</v>
      </c>
    </row>
    <row r="758" spans="2:7" x14ac:dyDescent="0.25">
      <c r="B758" s="221"/>
      <c r="C758" s="214" t="s">
        <v>329</v>
      </c>
      <c r="D758" s="232"/>
      <c r="E758" s="135"/>
    </row>
    <row r="759" spans="2:7" x14ac:dyDescent="0.25">
      <c r="B759" s="221"/>
      <c r="C759" s="214"/>
      <c r="D759" s="232"/>
      <c r="E759" s="106" t="s">
        <v>1376</v>
      </c>
    </row>
    <row r="760" spans="2:7" x14ac:dyDescent="0.25">
      <c r="B760" s="221"/>
      <c r="C760" s="214"/>
      <c r="D760" s="232"/>
      <c r="E760" s="106" t="s">
        <v>1110</v>
      </c>
    </row>
    <row r="761" spans="2:7" x14ac:dyDescent="0.25">
      <c r="B761" s="221"/>
      <c r="C761" s="214"/>
      <c r="D761" s="232"/>
      <c r="E761" s="106" t="s">
        <v>1999</v>
      </c>
    </row>
    <row r="762" spans="2:7" x14ac:dyDescent="0.25">
      <c r="B762" s="221"/>
      <c r="C762" s="214"/>
      <c r="D762" s="232"/>
      <c r="E762" s="106" t="s">
        <v>2786</v>
      </c>
    </row>
    <row r="763" spans="2:7" x14ac:dyDescent="0.25">
      <c r="B763" s="221"/>
      <c r="C763" s="214"/>
      <c r="D763" s="232"/>
      <c r="E763" s="106" t="s">
        <v>2784</v>
      </c>
    </row>
    <row r="764" spans="2:7" x14ac:dyDescent="0.25">
      <c r="B764" s="221"/>
      <c r="C764" s="214"/>
      <c r="D764" s="232"/>
      <c r="E764" s="106" t="s">
        <v>1996</v>
      </c>
    </row>
    <row r="765" spans="2:7" x14ac:dyDescent="0.25">
      <c r="B765" s="221"/>
      <c r="C765" s="214"/>
      <c r="D765" s="232"/>
      <c r="E765" s="106" t="s">
        <v>1997</v>
      </c>
    </row>
    <row r="766" spans="2:7" x14ac:dyDescent="0.25">
      <c r="B766" s="221"/>
      <c r="C766" s="214"/>
      <c r="D766" s="232"/>
      <c r="E766" s="106" t="s">
        <v>1998</v>
      </c>
    </row>
    <row r="767" spans="2:7" ht="22.8" x14ac:dyDescent="0.25">
      <c r="B767" s="221"/>
      <c r="C767" s="214"/>
      <c r="D767" s="232"/>
      <c r="E767" s="106" t="s">
        <v>909</v>
      </c>
    </row>
    <row r="768" spans="2:7" ht="22.8" x14ac:dyDescent="0.25">
      <c r="B768" s="221"/>
      <c r="C768" s="214"/>
      <c r="D768" s="232"/>
      <c r="E768" s="106" t="s">
        <v>906</v>
      </c>
    </row>
    <row r="769" spans="2:7" ht="22.8" x14ac:dyDescent="0.25">
      <c r="B769" s="221"/>
      <c r="C769" s="214"/>
      <c r="D769" s="232"/>
      <c r="E769" s="106" t="s">
        <v>907</v>
      </c>
    </row>
    <row r="770" spans="2:7" ht="22.8" x14ac:dyDescent="0.25">
      <c r="B770" s="221"/>
      <c r="C770" s="214"/>
      <c r="D770" s="232"/>
      <c r="E770" s="106" t="s">
        <v>1781</v>
      </c>
    </row>
    <row r="771" spans="2:7" ht="22.8" x14ac:dyDescent="0.25">
      <c r="B771" s="221"/>
      <c r="C771" s="214"/>
      <c r="D771" s="232"/>
      <c r="E771" s="106" t="s">
        <v>908</v>
      </c>
    </row>
    <row r="772" spans="2:7" ht="22.8" x14ac:dyDescent="0.25">
      <c r="B772" s="221"/>
      <c r="C772" s="214"/>
      <c r="D772" s="232"/>
      <c r="E772" s="106" t="s">
        <v>910</v>
      </c>
    </row>
    <row r="773" spans="2:7" x14ac:dyDescent="0.25">
      <c r="B773" s="221"/>
      <c r="C773" s="214"/>
      <c r="D773" s="232"/>
      <c r="E773" s="106" t="s">
        <v>13</v>
      </c>
    </row>
    <row r="774" spans="2:7" x14ac:dyDescent="0.25">
      <c r="B774" s="221"/>
      <c r="C774" s="172" t="s">
        <v>2299</v>
      </c>
      <c r="D774" s="226"/>
    </row>
    <row r="775" spans="2:7" x14ac:dyDescent="0.25">
      <c r="B775" s="221"/>
      <c r="C775" s="214"/>
      <c r="D775" s="232"/>
      <c r="E775" s="106" t="s">
        <v>2313</v>
      </c>
    </row>
    <row r="776" spans="2:7" x14ac:dyDescent="0.25">
      <c r="B776" s="221"/>
      <c r="C776" s="214"/>
      <c r="D776" s="232"/>
      <c r="E776" s="106" t="s">
        <v>1034</v>
      </c>
    </row>
    <row r="777" spans="2:7" x14ac:dyDescent="0.25">
      <c r="B777" s="221"/>
      <c r="C777" s="214"/>
      <c r="D777" s="232"/>
      <c r="E777" s="106" t="s">
        <v>1523</v>
      </c>
    </row>
    <row r="778" spans="2:7" x14ac:dyDescent="0.25">
      <c r="B778" s="221"/>
      <c r="C778" s="214"/>
      <c r="D778" s="232"/>
      <c r="E778" s="106" t="s">
        <v>243</v>
      </c>
    </row>
    <row r="779" spans="2:7" x14ac:dyDescent="0.25">
      <c r="B779" s="221"/>
      <c r="E779" s="106" t="s">
        <v>2712</v>
      </c>
    </row>
    <row r="780" spans="2:7" x14ac:dyDescent="0.25">
      <c r="B780" s="221"/>
      <c r="C780" s="172" t="s">
        <v>722</v>
      </c>
      <c r="D780" s="226"/>
      <c r="E780" s="135"/>
    </row>
    <row r="781" spans="2:7" ht="21" x14ac:dyDescent="0.25">
      <c r="B781" s="221"/>
      <c r="C781" s="129"/>
      <c r="D781" s="216"/>
      <c r="E781" s="184" t="s">
        <v>517</v>
      </c>
      <c r="F781" s="118" t="str">
        <f>VLOOKUP(E781,'RSMeans 2009'!$B$3:$E$210,3,FALSE)</f>
        <v>Ea.</v>
      </c>
      <c r="G781" s="183">
        <f>VLOOKUP(E781,'RSMeans 2009'!$B$3:$E$210,4,FALSE)</f>
        <v>134.5053332</v>
      </c>
    </row>
    <row r="782" spans="2:7" ht="21" x14ac:dyDescent="0.25">
      <c r="B782" s="221"/>
      <c r="C782" s="129"/>
      <c r="D782" s="216"/>
      <c r="E782" s="184" t="s">
        <v>518</v>
      </c>
      <c r="F782" s="118" t="str">
        <f>VLOOKUP(E782,'RSMeans 2009'!$B$3:$E$210,3,FALSE)</f>
        <v>Ea.</v>
      </c>
      <c r="G782" s="183">
        <f>VLOOKUP(E782,'RSMeans 2009'!$B$3:$E$210,4,FALSE)</f>
        <v>53.886975799999988</v>
      </c>
    </row>
    <row r="783" spans="2:7" ht="21" x14ac:dyDescent="0.25">
      <c r="B783" s="221"/>
      <c r="C783" s="129"/>
      <c r="D783" s="216"/>
      <c r="E783" s="184" t="s">
        <v>519</v>
      </c>
      <c r="F783" s="118" t="str">
        <f>VLOOKUP(E783,'RSMeans 2009'!$B$3:$E$210,3,FALSE)</f>
        <v>Ea.</v>
      </c>
      <c r="G783" s="183">
        <f>VLOOKUP(E783,'RSMeans 2009'!$B$3:$E$210,4,FALSE)</f>
        <v>196.20132139999998</v>
      </c>
    </row>
    <row r="784" spans="2:7" x14ac:dyDescent="0.25">
      <c r="B784" s="221"/>
      <c r="C784" s="172" t="s">
        <v>724</v>
      </c>
      <c r="D784" s="226"/>
      <c r="E784" s="106"/>
    </row>
    <row r="785" spans="2:7" x14ac:dyDescent="0.25">
      <c r="B785" s="221"/>
      <c r="E785" s="106" t="s">
        <v>1159</v>
      </c>
      <c r="F785" s="118" t="e">
        <f>VLOOKUP(E785,#REF!,2,FALSE)</f>
        <v>#REF!</v>
      </c>
      <c r="G785" s="183" t="e">
        <f>VLOOKUP(E785,#REF!,5,FALSE)</f>
        <v>#REF!</v>
      </c>
    </row>
    <row r="786" spans="2:7" x14ac:dyDescent="0.25">
      <c r="B786" s="221"/>
      <c r="C786" s="214"/>
      <c r="D786" s="232"/>
      <c r="E786" s="135"/>
    </row>
    <row r="787" spans="2:7" ht="26.4" x14ac:dyDescent="0.25">
      <c r="B787" s="221" t="s">
        <v>2513</v>
      </c>
      <c r="C787" s="214" t="s">
        <v>2645</v>
      </c>
      <c r="D787" s="232"/>
      <c r="E787" s="135" t="s">
        <v>2646</v>
      </c>
    </row>
    <row r="788" spans="2:7" x14ac:dyDescent="0.25">
      <c r="B788" s="221"/>
      <c r="C788" s="214" t="s">
        <v>329</v>
      </c>
      <c r="D788" s="232"/>
      <c r="E788" s="135"/>
    </row>
    <row r="789" spans="2:7" x14ac:dyDescent="0.25">
      <c r="B789" s="221"/>
      <c r="C789" s="214"/>
      <c r="D789" s="232"/>
      <c r="E789" s="106" t="s">
        <v>1467</v>
      </c>
    </row>
    <row r="790" spans="2:7" x14ac:dyDescent="0.25">
      <c r="B790" s="221"/>
      <c r="C790" s="214"/>
      <c r="D790" s="232"/>
      <c r="E790" s="106" t="s">
        <v>2540</v>
      </c>
    </row>
    <row r="791" spans="2:7" x14ac:dyDescent="0.25">
      <c r="B791" s="221"/>
      <c r="C791" s="214"/>
      <c r="D791" s="232"/>
      <c r="E791" s="106" t="s">
        <v>2541</v>
      </c>
    </row>
    <row r="792" spans="2:7" x14ac:dyDescent="0.25">
      <c r="B792" s="221"/>
      <c r="C792" s="214"/>
      <c r="D792" s="232"/>
      <c r="E792" s="106" t="s">
        <v>2542</v>
      </c>
    </row>
    <row r="793" spans="2:7" x14ac:dyDescent="0.25">
      <c r="B793" s="221"/>
      <c r="C793" s="214"/>
      <c r="D793" s="232"/>
      <c r="E793" s="106" t="s">
        <v>2538</v>
      </c>
    </row>
    <row r="794" spans="2:7" x14ac:dyDescent="0.25">
      <c r="B794" s="221"/>
      <c r="C794" s="214"/>
      <c r="D794" s="232"/>
      <c r="E794" s="106" t="s">
        <v>2026</v>
      </c>
    </row>
    <row r="795" spans="2:7" x14ac:dyDescent="0.25">
      <c r="B795" s="221"/>
      <c r="C795" s="214"/>
      <c r="D795" s="232"/>
      <c r="E795" s="106" t="s">
        <v>479</v>
      </c>
    </row>
    <row r="796" spans="2:7" x14ac:dyDescent="0.25">
      <c r="B796" s="221"/>
      <c r="C796" s="214"/>
      <c r="D796" s="232"/>
      <c r="E796" s="106" t="s">
        <v>2539</v>
      </c>
    </row>
    <row r="797" spans="2:7" x14ac:dyDescent="0.25">
      <c r="B797" s="221"/>
      <c r="C797" s="172" t="s">
        <v>2299</v>
      </c>
      <c r="D797" s="226"/>
    </row>
    <row r="798" spans="2:7" x14ac:dyDescent="0.25">
      <c r="B798" s="221"/>
      <c r="C798" s="214"/>
      <c r="D798" s="232"/>
      <c r="E798" s="106" t="s">
        <v>1369</v>
      </c>
    </row>
    <row r="799" spans="2:7" x14ac:dyDescent="0.25">
      <c r="B799" s="221"/>
      <c r="C799" s="214"/>
      <c r="D799" s="232"/>
      <c r="E799" s="106" t="s">
        <v>1370</v>
      </c>
    </row>
    <row r="800" spans="2:7" x14ac:dyDescent="0.25">
      <c r="B800" s="221"/>
      <c r="C800" s="214"/>
      <c r="D800" s="232"/>
      <c r="E800" s="106" t="s">
        <v>1336</v>
      </c>
    </row>
    <row r="801" spans="2:7" x14ac:dyDescent="0.25">
      <c r="B801" s="221"/>
      <c r="C801" s="214"/>
      <c r="D801" s="232"/>
      <c r="E801" s="106" t="s">
        <v>1523</v>
      </c>
    </row>
    <row r="802" spans="2:7" x14ac:dyDescent="0.25">
      <c r="B802" s="221"/>
      <c r="C802" s="214"/>
      <c r="D802" s="232"/>
      <c r="E802" s="106" t="s">
        <v>243</v>
      </c>
    </row>
    <row r="803" spans="2:7" x14ac:dyDescent="0.25">
      <c r="B803" s="221"/>
      <c r="C803" s="214"/>
      <c r="D803" s="232"/>
      <c r="E803" s="106" t="s">
        <v>2712</v>
      </c>
    </row>
    <row r="804" spans="2:7" x14ac:dyDescent="0.25">
      <c r="B804" s="221"/>
      <c r="C804" s="172" t="s">
        <v>722</v>
      </c>
      <c r="D804" s="226"/>
      <c r="E804" s="135"/>
    </row>
    <row r="805" spans="2:7" ht="21" x14ac:dyDescent="0.25">
      <c r="B805" s="221"/>
      <c r="C805" s="129"/>
      <c r="D805" s="216"/>
      <c r="E805" s="184" t="s">
        <v>517</v>
      </c>
      <c r="F805" s="118" t="str">
        <f>VLOOKUP(E805,'RSMeans 2009'!$B$3:$E$210,3,FALSE)</f>
        <v>Ea.</v>
      </c>
      <c r="G805" s="183">
        <f>VLOOKUP(E805,'RSMeans 2009'!$B$3:$E$210,4,FALSE)</f>
        <v>134.5053332</v>
      </c>
    </row>
    <row r="806" spans="2:7" ht="21" x14ac:dyDescent="0.25">
      <c r="B806" s="221"/>
      <c r="C806" s="129"/>
      <c r="D806" s="216"/>
      <c r="E806" s="184" t="s">
        <v>518</v>
      </c>
      <c r="F806" s="118" t="str">
        <f>VLOOKUP(E806,'RSMeans 2009'!$B$3:$E$210,3,FALSE)</f>
        <v>Ea.</v>
      </c>
      <c r="G806" s="183">
        <f>VLOOKUP(E806,'RSMeans 2009'!$B$3:$E$210,4,FALSE)</f>
        <v>53.886975799999988</v>
      </c>
    </row>
    <row r="807" spans="2:7" ht="21" x14ac:dyDescent="0.25">
      <c r="B807" s="221"/>
      <c r="C807" s="129"/>
      <c r="D807" s="216"/>
      <c r="E807" s="184" t="s">
        <v>519</v>
      </c>
      <c r="F807" s="118" t="str">
        <f>VLOOKUP(E807,'RSMeans 2009'!$B$3:$E$210,3,FALSE)</f>
        <v>Ea.</v>
      </c>
      <c r="G807" s="183">
        <f>VLOOKUP(E807,'RSMeans 2009'!$B$3:$E$210,4,FALSE)</f>
        <v>196.20132139999998</v>
      </c>
    </row>
    <row r="808" spans="2:7" x14ac:dyDescent="0.25">
      <c r="B808" s="221"/>
      <c r="C808" s="172" t="s">
        <v>724</v>
      </c>
      <c r="D808" s="226"/>
      <c r="E808" s="106"/>
    </row>
    <row r="809" spans="2:7" x14ac:dyDescent="0.25">
      <c r="B809" s="221"/>
      <c r="E809" s="106" t="s">
        <v>1159</v>
      </c>
      <c r="F809" s="118" t="e">
        <f>VLOOKUP(E809,#REF!,2,FALSE)</f>
        <v>#REF!</v>
      </c>
      <c r="G809" s="183" t="e">
        <f>VLOOKUP(E809,#REF!,5,FALSE)</f>
        <v>#REF!</v>
      </c>
    </row>
    <row r="810" spans="2:7" x14ac:dyDescent="0.25">
      <c r="B810" s="221"/>
      <c r="C810" s="214"/>
      <c r="D810" s="232"/>
      <c r="E810" s="135"/>
    </row>
    <row r="811" spans="2:7" ht="26.4" x14ac:dyDescent="0.25">
      <c r="B811" s="221">
        <v>378</v>
      </c>
      <c r="C811" s="214" t="s">
        <v>2647</v>
      </c>
      <c r="D811" s="232"/>
      <c r="E811" s="135" t="s">
        <v>2648</v>
      </c>
    </row>
    <row r="812" spans="2:7" ht="26.4" x14ac:dyDescent="0.25">
      <c r="B812" s="221" t="s">
        <v>2514</v>
      </c>
      <c r="C812" s="214" t="s">
        <v>2649</v>
      </c>
      <c r="D812" s="232"/>
      <c r="E812" s="135" t="s">
        <v>257</v>
      </c>
    </row>
    <row r="813" spans="2:7" ht="39.6" x14ac:dyDescent="0.25">
      <c r="B813" s="221" t="s">
        <v>2515</v>
      </c>
      <c r="C813" s="214" t="s">
        <v>258</v>
      </c>
      <c r="D813" s="232"/>
      <c r="E813" s="135" t="s">
        <v>491</v>
      </c>
    </row>
    <row r="814" spans="2:7" ht="26.4" x14ac:dyDescent="0.25">
      <c r="B814" s="221" t="s">
        <v>492</v>
      </c>
      <c r="C814" s="214" t="s">
        <v>259</v>
      </c>
      <c r="D814" s="232"/>
      <c r="E814" s="135" t="s">
        <v>493</v>
      </c>
    </row>
    <row r="815" spans="2:7" ht="26.4" x14ac:dyDescent="0.25">
      <c r="B815" s="221">
        <v>533</v>
      </c>
      <c r="C815" s="214" t="s">
        <v>264</v>
      </c>
      <c r="D815" s="232"/>
      <c r="E815" s="135" t="s">
        <v>494</v>
      </c>
    </row>
    <row r="816" spans="2:7" ht="52.8" x14ac:dyDescent="0.25">
      <c r="B816" s="221">
        <v>562</v>
      </c>
      <c r="C816" s="214" t="s">
        <v>265</v>
      </c>
      <c r="D816" s="232"/>
      <c r="E816" s="135" t="s">
        <v>495</v>
      </c>
    </row>
    <row r="817" spans="2:5" x14ac:dyDescent="0.25">
      <c r="B817" s="221"/>
      <c r="C817" s="214" t="s">
        <v>329</v>
      </c>
      <c r="D817" s="232"/>
      <c r="E817" s="135"/>
    </row>
    <row r="818" spans="2:5" ht="22.8" x14ac:dyDescent="0.25">
      <c r="B818" s="221"/>
      <c r="C818" s="214"/>
      <c r="D818" s="232"/>
      <c r="E818" s="106" t="s">
        <v>173</v>
      </c>
    </row>
    <row r="819" spans="2:5" x14ac:dyDescent="0.25">
      <c r="B819" s="221"/>
      <c r="C819" s="214"/>
      <c r="D819" s="232"/>
      <c r="E819" s="106" t="s">
        <v>1302</v>
      </c>
    </row>
    <row r="820" spans="2:5" ht="22.8" x14ac:dyDescent="0.25">
      <c r="B820" s="221"/>
      <c r="C820" s="214"/>
      <c r="D820" s="232"/>
      <c r="E820" s="106" t="s">
        <v>1303</v>
      </c>
    </row>
    <row r="821" spans="2:5" ht="22.8" x14ac:dyDescent="0.25">
      <c r="B821" s="221"/>
      <c r="C821" s="214"/>
      <c r="D821" s="232"/>
      <c r="E821" s="106" t="s">
        <v>2216</v>
      </c>
    </row>
    <row r="822" spans="2:5" x14ac:dyDescent="0.25">
      <c r="B822" s="221"/>
      <c r="C822" s="214"/>
      <c r="D822" s="232"/>
      <c r="E822" s="106" t="s">
        <v>199</v>
      </c>
    </row>
    <row r="823" spans="2:5" x14ac:dyDescent="0.25">
      <c r="B823" s="221"/>
      <c r="C823" s="214"/>
      <c r="D823" s="232"/>
      <c r="E823" s="106" t="s">
        <v>200</v>
      </c>
    </row>
    <row r="824" spans="2:5" ht="34.200000000000003" x14ac:dyDescent="0.25">
      <c r="B824" s="221"/>
      <c r="C824" s="214"/>
      <c r="D824" s="232"/>
      <c r="E824" s="106" t="s">
        <v>201</v>
      </c>
    </row>
    <row r="825" spans="2:5" ht="22.8" x14ac:dyDescent="0.25">
      <c r="B825" s="221"/>
      <c r="C825" s="214"/>
      <c r="D825" s="232"/>
      <c r="E825" s="106" t="s">
        <v>909</v>
      </c>
    </row>
    <row r="826" spans="2:5" ht="22.8" x14ac:dyDescent="0.25">
      <c r="B826" s="221"/>
      <c r="C826" s="214"/>
      <c r="D826" s="232"/>
      <c r="E826" s="106" t="s">
        <v>906</v>
      </c>
    </row>
    <row r="827" spans="2:5" ht="22.8" x14ac:dyDescent="0.25">
      <c r="B827" s="221"/>
      <c r="C827" s="214"/>
      <c r="D827" s="232"/>
      <c r="E827" s="106" t="s">
        <v>907</v>
      </c>
    </row>
    <row r="828" spans="2:5" ht="22.8" x14ac:dyDescent="0.25">
      <c r="B828" s="221"/>
      <c r="C828" s="214"/>
      <c r="D828" s="232"/>
      <c r="E828" s="106" t="s">
        <v>1781</v>
      </c>
    </row>
    <row r="829" spans="2:5" ht="22.8" x14ac:dyDescent="0.25">
      <c r="B829" s="221"/>
      <c r="C829" s="214"/>
      <c r="D829" s="232"/>
      <c r="E829" s="106" t="s">
        <v>908</v>
      </c>
    </row>
    <row r="830" spans="2:5" ht="22.8" x14ac:dyDescent="0.25">
      <c r="B830" s="221"/>
      <c r="C830" s="214"/>
      <c r="D830" s="232"/>
      <c r="E830" s="106" t="s">
        <v>910</v>
      </c>
    </row>
    <row r="831" spans="2:5" x14ac:dyDescent="0.25">
      <c r="B831" s="221"/>
      <c r="C831" s="172" t="s">
        <v>2299</v>
      </c>
      <c r="D831" s="226"/>
      <c r="E831" s="135"/>
    </row>
    <row r="832" spans="2:5" x14ac:dyDescent="0.25">
      <c r="B832" s="221"/>
      <c r="C832" s="214"/>
      <c r="D832" s="232"/>
      <c r="E832" s="106" t="s">
        <v>2736</v>
      </c>
    </row>
    <row r="833" spans="2:7" x14ac:dyDescent="0.25">
      <c r="B833" s="221"/>
      <c r="C833" s="214"/>
      <c r="D833" s="232"/>
      <c r="E833" s="106" t="s">
        <v>2735</v>
      </c>
    </row>
    <row r="834" spans="2:7" x14ac:dyDescent="0.25">
      <c r="B834" s="221"/>
      <c r="C834" s="214"/>
      <c r="D834" s="232"/>
      <c r="E834" s="106" t="s">
        <v>1523</v>
      </c>
    </row>
    <row r="835" spans="2:7" ht="22.8" x14ac:dyDescent="0.25">
      <c r="B835" s="221"/>
      <c r="C835" s="214"/>
      <c r="D835" s="232"/>
      <c r="E835" s="106" t="s">
        <v>484</v>
      </c>
    </row>
    <row r="836" spans="2:7" ht="22.8" x14ac:dyDescent="0.25">
      <c r="B836" s="221"/>
      <c r="C836" s="214"/>
      <c r="D836" s="232"/>
      <c r="E836" s="106" t="s">
        <v>485</v>
      </c>
    </row>
    <row r="837" spans="2:7" ht="22.8" x14ac:dyDescent="0.25">
      <c r="B837" s="221"/>
      <c r="C837" s="214"/>
      <c r="D837" s="232"/>
      <c r="E837" s="106" t="s">
        <v>486</v>
      </c>
    </row>
    <row r="838" spans="2:7" x14ac:dyDescent="0.25">
      <c r="B838" s="221"/>
      <c r="C838" s="172" t="s">
        <v>722</v>
      </c>
      <c r="D838" s="226"/>
      <c r="E838" s="135"/>
    </row>
    <row r="839" spans="2:7" ht="21" x14ac:dyDescent="0.25">
      <c r="B839" s="221"/>
      <c r="C839" s="129"/>
      <c r="D839" s="216"/>
      <c r="E839" s="184" t="s">
        <v>517</v>
      </c>
      <c r="F839" s="118" t="str">
        <f>VLOOKUP(E839,'RSMeans 2009'!$B$3:$E$210,3,FALSE)</f>
        <v>Ea.</v>
      </c>
      <c r="G839" s="183">
        <f>VLOOKUP(E839,'RSMeans 2009'!$B$3:$E$210,4,FALSE)</f>
        <v>134.5053332</v>
      </c>
    </row>
    <row r="840" spans="2:7" ht="21" x14ac:dyDescent="0.25">
      <c r="B840" s="221"/>
      <c r="C840" s="129"/>
      <c r="D840" s="216"/>
      <c r="E840" s="184" t="s">
        <v>518</v>
      </c>
      <c r="F840" s="118" t="str">
        <f>VLOOKUP(E840,'RSMeans 2009'!$B$3:$E$210,3,FALSE)</f>
        <v>Ea.</v>
      </c>
      <c r="G840" s="183">
        <f>VLOOKUP(E840,'RSMeans 2009'!$B$3:$E$210,4,FALSE)</f>
        <v>53.886975799999988</v>
      </c>
    </row>
    <row r="841" spans="2:7" ht="21" x14ac:dyDescent="0.25">
      <c r="B841" s="221"/>
      <c r="C841" s="129"/>
      <c r="D841" s="216"/>
      <c r="E841" s="184" t="s">
        <v>519</v>
      </c>
      <c r="F841" s="118" t="str">
        <f>VLOOKUP(E841,'RSMeans 2009'!$B$3:$E$210,3,FALSE)</f>
        <v>Ea.</v>
      </c>
      <c r="G841" s="183">
        <f>VLOOKUP(E841,'RSMeans 2009'!$B$3:$E$210,4,FALSE)</f>
        <v>196.20132139999998</v>
      </c>
    </row>
    <row r="842" spans="2:7" x14ac:dyDescent="0.25">
      <c r="B842" s="221"/>
      <c r="C842" s="172" t="s">
        <v>724</v>
      </c>
      <c r="D842" s="226"/>
      <c r="E842" s="106"/>
    </row>
    <row r="843" spans="2:7" x14ac:dyDescent="0.25">
      <c r="B843" s="221"/>
      <c r="E843" s="106" t="s">
        <v>1159</v>
      </c>
      <c r="F843" s="118" t="e">
        <f>VLOOKUP(E843,#REF!,2,FALSE)</f>
        <v>#REF!</v>
      </c>
      <c r="G843" s="183" t="e">
        <f>VLOOKUP(E843,#REF!,5,FALSE)</f>
        <v>#REF!</v>
      </c>
    </row>
    <row r="844" spans="2:7" x14ac:dyDescent="0.25">
      <c r="B844" s="221"/>
      <c r="C844" s="214"/>
      <c r="D844" s="232"/>
      <c r="E844" s="135"/>
    </row>
    <row r="845" spans="2:7" ht="26.4" x14ac:dyDescent="0.25">
      <c r="B845" s="221">
        <v>566</v>
      </c>
      <c r="C845" s="214" t="s">
        <v>266</v>
      </c>
      <c r="D845" s="232"/>
      <c r="E845" s="135" t="s">
        <v>496</v>
      </c>
    </row>
    <row r="846" spans="2:7" x14ac:dyDescent="0.25">
      <c r="B846" s="221"/>
      <c r="C846" s="214" t="s">
        <v>329</v>
      </c>
      <c r="D846" s="232"/>
      <c r="E846" s="135"/>
    </row>
    <row r="847" spans="2:7" x14ac:dyDescent="0.25">
      <c r="B847" s="221"/>
      <c r="C847" s="214"/>
      <c r="D847" s="232"/>
      <c r="E847" s="106" t="s">
        <v>1376</v>
      </c>
    </row>
    <row r="848" spans="2:7" x14ac:dyDescent="0.25">
      <c r="B848" s="221"/>
      <c r="C848" s="214"/>
      <c r="D848" s="232"/>
      <c r="E848" s="106" t="s">
        <v>1110</v>
      </c>
    </row>
    <row r="849" spans="2:5" ht="22.8" x14ac:dyDescent="0.25">
      <c r="B849" s="221"/>
      <c r="C849" s="214"/>
      <c r="D849" s="232"/>
      <c r="E849" s="106" t="s">
        <v>909</v>
      </c>
    </row>
    <row r="850" spans="2:5" ht="22.8" x14ac:dyDescent="0.25">
      <c r="B850" s="221"/>
      <c r="C850" s="214"/>
      <c r="D850" s="232"/>
      <c r="E850" s="106" t="s">
        <v>906</v>
      </c>
    </row>
    <row r="851" spans="2:5" ht="22.8" x14ac:dyDescent="0.25">
      <c r="B851" s="221"/>
      <c r="C851" s="214"/>
      <c r="D851" s="232"/>
      <c r="E851" s="106" t="s">
        <v>907</v>
      </c>
    </row>
    <row r="852" spans="2:5" ht="22.8" x14ac:dyDescent="0.25">
      <c r="B852" s="221"/>
      <c r="C852" s="214"/>
      <c r="D852" s="232"/>
      <c r="E852" s="106" t="s">
        <v>1781</v>
      </c>
    </row>
    <row r="853" spans="2:5" ht="22.8" x14ac:dyDescent="0.25">
      <c r="B853" s="221"/>
      <c r="C853" s="214"/>
      <c r="D853" s="232"/>
      <c r="E853" s="106" t="s">
        <v>908</v>
      </c>
    </row>
    <row r="854" spans="2:5" ht="22.8" x14ac:dyDescent="0.25">
      <c r="B854" s="221"/>
      <c r="C854" s="214"/>
      <c r="D854" s="232"/>
      <c r="E854" s="106" t="s">
        <v>910</v>
      </c>
    </row>
    <row r="855" spans="2:5" x14ac:dyDescent="0.25">
      <c r="B855" s="221"/>
      <c r="C855" s="214"/>
      <c r="D855" s="232"/>
      <c r="E855" s="106" t="s">
        <v>13</v>
      </c>
    </row>
    <row r="856" spans="2:5" x14ac:dyDescent="0.25">
      <c r="B856" s="221"/>
      <c r="C856" s="172" t="s">
        <v>2299</v>
      </c>
      <c r="D856" s="226"/>
      <c r="E856" s="135"/>
    </row>
    <row r="857" spans="2:5" x14ac:dyDescent="0.25">
      <c r="B857" s="221"/>
      <c r="C857" s="214"/>
      <c r="D857" s="232"/>
      <c r="E857" s="106" t="s">
        <v>2313</v>
      </c>
    </row>
    <row r="858" spans="2:5" x14ac:dyDescent="0.25">
      <c r="B858" s="221"/>
      <c r="C858" s="214"/>
      <c r="D858" s="232"/>
      <c r="E858" s="106" t="s">
        <v>1034</v>
      </c>
    </row>
    <row r="859" spans="2:5" x14ac:dyDescent="0.25">
      <c r="B859" s="221"/>
      <c r="C859" s="214"/>
      <c r="D859" s="232"/>
      <c r="E859" s="106" t="s">
        <v>1523</v>
      </c>
    </row>
    <row r="860" spans="2:5" x14ac:dyDescent="0.25">
      <c r="B860" s="221"/>
      <c r="C860" s="214"/>
      <c r="D860" s="232"/>
      <c r="E860" s="106" t="s">
        <v>2712</v>
      </c>
    </row>
    <row r="861" spans="2:5" x14ac:dyDescent="0.25">
      <c r="B861" s="221"/>
      <c r="C861" s="214"/>
      <c r="D861" s="232"/>
      <c r="E861" s="106" t="s">
        <v>2158</v>
      </c>
    </row>
    <row r="862" spans="2:5" x14ac:dyDescent="0.25">
      <c r="B862" s="221"/>
      <c r="C862" s="214"/>
      <c r="D862" s="232"/>
      <c r="E862" s="106" t="s">
        <v>1389</v>
      </c>
    </row>
    <row r="863" spans="2:5" x14ac:dyDescent="0.25">
      <c r="B863" s="221"/>
      <c r="C863" s="214"/>
      <c r="D863" s="232"/>
      <c r="E863" s="106" t="s">
        <v>2159</v>
      </c>
    </row>
    <row r="864" spans="2:5" x14ac:dyDescent="0.25">
      <c r="B864" s="221"/>
      <c r="C864" s="172" t="s">
        <v>722</v>
      </c>
      <c r="D864" s="226"/>
      <c r="E864" s="135"/>
    </row>
    <row r="865" spans="2:7" ht="21" x14ac:dyDescent="0.25">
      <c r="B865" s="221"/>
      <c r="C865" s="129"/>
      <c r="D865" s="216"/>
      <c r="E865" s="184" t="s">
        <v>517</v>
      </c>
      <c r="F865" s="118" t="str">
        <f>VLOOKUP(E865,'RSMeans 2009'!$B$3:$E$210,3,FALSE)</f>
        <v>Ea.</v>
      </c>
      <c r="G865" s="183">
        <f>VLOOKUP(E865,'RSMeans 2009'!$B$3:$E$210,4,FALSE)</f>
        <v>134.5053332</v>
      </c>
    </row>
    <row r="866" spans="2:7" ht="21" x14ac:dyDescent="0.25">
      <c r="C866" s="129"/>
      <c r="D866" s="216"/>
      <c r="E866" s="184" t="s">
        <v>518</v>
      </c>
      <c r="F866" s="118" t="str">
        <f>VLOOKUP(E866,'RSMeans 2009'!$B$3:$E$210,3,FALSE)</f>
        <v>Ea.</v>
      </c>
      <c r="G866" s="183">
        <f>VLOOKUP(E866,'RSMeans 2009'!$B$3:$E$210,4,FALSE)</f>
        <v>53.886975799999988</v>
      </c>
    </row>
    <row r="867" spans="2:7" ht="21" x14ac:dyDescent="0.25">
      <c r="C867" s="129"/>
      <c r="D867" s="216"/>
      <c r="E867" s="184" t="s">
        <v>519</v>
      </c>
      <c r="F867" s="118" t="str">
        <f>VLOOKUP(E867,'RSMeans 2009'!$B$3:$E$210,3,FALSE)</f>
        <v>Ea.</v>
      </c>
      <c r="G867" s="183">
        <f>VLOOKUP(E867,'RSMeans 2009'!$B$3:$E$210,4,FALSE)</f>
        <v>196.20132139999998</v>
      </c>
    </row>
    <row r="868" spans="2:7" x14ac:dyDescent="0.25">
      <c r="C868" s="172" t="s">
        <v>724</v>
      </c>
      <c r="D868" s="226"/>
      <c r="E868" s="106"/>
    </row>
    <row r="869" spans="2:7" x14ac:dyDescent="0.25">
      <c r="E869" s="106" t="s">
        <v>1159</v>
      </c>
      <c r="F869" s="118" t="e">
        <f>VLOOKUP(E869,#REF!,2,FALSE)</f>
        <v>#REF!</v>
      </c>
      <c r="G869" s="183" t="e">
        <f>VLOOKUP(E869,#REF!,5,FALSE)</f>
        <v>#REF!</v>
      </c>
    </row>
    <row r="871" spans="2:7" ht="39.6" x14ac:dyDescent="0.25">
      <c r="B871" s="221">
        <v>568</v>
      </c>
      <c r="C871" s="214" t="s">
        <v>267</v>
      </c>
      <c r="D871" s="232"/>
      <c r="E871" s="135" t="s">
        <v>497</v>
      </c>
    </row>
    <row r="872" spans="2:7" x14ac:dyDescent="0.25">
      <c r="B872" s="221"/>
      <c r="C872" s="214" t="s">
        <v>329</v>
      </c>
      <c r="D872" s="232"/>
      <c r="E872" s="135"/>
    </row>
    <row r="873" spans="2:7" x14ac:dyDescent="0.25">
      <c r="B873" s="221"/>
      <c r="C873" s="214"/>
      <c r="D873" s="232"/>
      <c r="E873" s="106" t="s">
        <v>1371</v>
      </c>
    </row>
    <row r="874" spans="2:7" x14ac:dyDescent="0.25">
      <c r="B874" s="221"/>
      <c r="C874" s="214"/>
      <c r="D874" s="232"/>
      <c r="E874" s="106" t="s">
        <v>1372</v>
      </c>
    </row>
    <row r="875" spans="2:7" x14ac:dyDescent="0.25">
      <c r="B875" s="221"/>
      <c r="C875" s="214"/>
      <c r="D875" s="232"/>
      <c r="E875" s="106" t="s">
        <v>1988</v>
      </c>
    </row>
    <row r="876" spans="2:7" x14ac:dyDescent="0.25">
      <c r="B876" s="221"/>
      <c r="C876" s="214"/>
      <c r="D876" s="232"/>
      <c r="E876" s="106" t="s">
        <v>1989</v>
      </c>
    </row>
    <row r="877" spans="2:7" x14ac:dyDescent="0.25">
      <c r="B877" s="221"/>
      <c r="C877" s="214"/>
      <c r="D877" s="232"/>
      <c r="E877" s="106" t="s">
        <v>2195</v>
      </c>
    </row>
    <row r="878" spans="2:7" x14ac:dyDescent="0.25">
      <c r="B878" s="221"/>
      <c r="C878" s="214"/>
      <c r="D878" s="232"/>
      <c r="E878" s="106" t="s">
        <v>2196</v>
      </c>
    </row>
    <row r="879" spans="2:7" x14ac:dyDescent="0.25">
      <c r="B879" s="221"/>
      <c r="C879" s="214"/>
      <c r="D879" s="232"/>
      <c r="E879" s="106" t="s">
        <v>2193</v>
      </c>
    </row>
    <row r="880" spans="2:7" x14ac:dyDescent="0.25">
      <c r="B880" s="221"/>
      <c r="C880" s="214"/>
      <c r="D880" s="232"/>
      <c r="E880" s="106" t="s">
        <v>2194</v>
      </c>
    </row>
    <row r="881" spans="2:5" x14ac:dyDescent="0.25">
      <c r="B881" s="221"/>
      <c r="C881" s="214"/>
      <c r="D881" s="232"/>
      <c r="E881" s="106" t="s">
        <v>600</v>
      </c>
    </row>
    <row r="882" spans="2:5" ht="22.8" x14ac:dyDescent="0.25">
      <c r="B882" s="221"/>
      <c r="C882" s="214"/>
      <c r="D882" s="232"/>
      <c r="E882" s="106" t="s">
        <v>1184</v>
      </c>
    </row>
    <row r="883" spans="2:5" ht="22.8" x14ac:dyDescent="0.25">
      <c r="B883" s="221"/>
      <c r="C883" s="214"/>
      <c r="D883" s="232"/>
      <c r="E883" s="106" t="s">
        <v>1185</v>
      </c>
    </row>
    <row r="884" spans="2:5" ht="22.8" x14ac:dyDescent="0.25">
      <c r="B884" s="221"/>
      <c r="C884" s="214"/>
      <c r="D884" s="232"/>
      <c r="E884" s="106" t="s">
        <v>1186</v>
      </c>
    </row>
    <row r="885" spans="2:5" ht="22.8" x14ac:dyDescent="0.25">
      <c r="B885" s="221"/>
      <c r="C885" s="214"/>
      <c r="D885" s="232"/>
      <c r="E885" s="106" t="s">
        <v>1187</v>
      </c>
    </row>
    <row r="886" spans="2:5" ht="22.8" x14ac:dyDescent="0.25">
      <c r="B886" s="221"/>
      <c r="C886" s="214"/>
      <c r="D886" s="232"/>
      <c r="E886" s="106" t="s">
        <v>203</v>
      </c>
    </row>
    <row r="887" spans="2:5" ht="22.8" x14ac:dyDescent="0.25">
      <c r="B887" s="221"/>
      <c r="C887" s="214"/>
      <c r="D887" s="232"/>
      <c r="E887" s="106" t="s">
        <v>1188</v>
      </c>
    </row>
    <row r="888" spans="2:5" ht="22.8" x14ac:dyDescent="0.25">
      <c r="B888" s="221"/>
      <c r="C888" s="214"/>
      <c r="D888" s="232"/>
      <c r="E888" s="106" t="s">
        <v>2363</v>
      </c>
    </row>
    <row r="889" spans="2:5" ht="22.8" x14ac:dyDescent="0.25">
      <c r="B889" s="221"/>
      <c r="C889" s="214"/>
      <c r="D889" s="232"/>
      <c r="E889" s="106" t="s">
        <v>2364</v>
      </c>
    </row>
    <row r="890" spans="2:5" ht="22.8" x14ac:dyDescent="0.25">
      <c r="B890" s="221"/>
      <c r="C890" s="214"/>
      <c r="D890" s="232"/>
      <c r="E890" s="106" t="s">
        <v>1374</v>
      </c>
    </row>
    <row r="891" spans="2:5" ht="22.8" x14ac:dyDescent="0.25">
      <c r="B891" s="221"/>
      <c r="C891" s="214"/>
      <c r="D891" s="232"/>
      <c r="E891" s="106" t="s">
        <v>1375</v>
      </c>
    </row>
    <row r="892" spans="2:5" x14ac:dyDescent="0.25">
      <c r="B892" s="221"/>
      <c r="C892" s="214"/>
      <c r="D892" s="232"/>
      <c r="E892" s="106" t="s">
        <v>2540</v>
      </c>
    </row>
    <row r="893" spans="2:5" x14ac:dyDescent="0.25">
      <c r="B893" s="221"/>
      <c r="C893" s="214"/>
      <c r="D893" s="232"/>
      <c r="E893" s="106" t="s">
        <v>2541</v>
      </c>
    </row>
    <row r="894" spans="2:5" x14ac:dyDescent="0.25">
      <c r="B894" s="221"/>
      <c r="C894" s="214"/>
      <c r="D894" s="232"/>
      <c r="E894" s="106" t="s">
        <v>2542</v>
      </c>
    </row>
    <row r="895" spans="2:5" x14ac:dyDescent="0.25">
      <c r="B895" s="221"/>
      <c r="C895" s="214"/>
      <c r="D895" s="232"/>
      <c r="E895" s="106" t="s">
        <v>1341</v>
      </c>
    </row>
    <row r="896" spans="2:5" x14ac:dyDescent="0.25">
      <c r="B896" s="221"/>
      <c r="C896" s="214"/>
      <c r="D896" s="232"/>
      <c r="E896" s="106" t="s">
        <v>1604</v>
      </c>
    </row>
    <row r="897" spans="2:5" x14ac:dyDescent="0.25">
      <c r="B897" s="221"/>
      <c r="C897" s="214"/>
      <c r="D897" s="232"/>
      <c r="E897" s="106" t="s">
        <v>1605</v>
      </c>
    </row>
    <row r="898" spans="2:5" x14ac:dyDescent="0.25">
      <c r="B898" s="221"/>
      <c r="C898" s="214"/>
      <c r="D898" s="232"/>
      <c r="E898" s="106" t="s">
        <v>1004</v>
      </c>
    </row>
    <row r="899" spans="2:5" x14ac:dyDescent="0.25">
      <c r="B899" s="221"/>
      <c r="C899" s="214"/>
      <c r="D899" s="232"/>
      <c r="E899" s="106" t="s">
        <v>1622</v>
      </c>
    </row>
    <row r="900" spans="2:5" x14ac:dyDescent="0.25">
      <c r="B900" s="221"/>
      <c r="C900" s="214"/>
      <c r="D900" s="232"/>
      <c r="E900" s="106" t="s">
        <v>231</v>
      </c>
    </row>
    <row r="901" spans="2:5" x14ac:dyDescent="0.25">
      <c r="B901" s="221"/>
      <c r="C901" s="214"/>
      <c r="D901" s="232"/>
      <c r="E901" s="106" t="s">
        <v>750</v>
      </c>
    </row>
    <row r="902" spans="2:5" x14ac:dyDescent="0.25">
      <c r="B902" s="221"/>
      <c r="C902" s="214"/>
      <c r="D902" s="232"/>
      <c r="E902" s="106" t="s">
        <v>1376</v>
      </c>
    </row>
    <row r="903" spans="2:5" x14ac:dyDescent="0.25">
      <c r="B903" s="221"/>
      <c r="C903" s="214"/>
      <c r="D903" s="232"/>
      <c r="E903" s="106" t="s">
        <v>1110</v>
      </c>
    </row>
    <row r="904" spans="2:5" x14ac:dyDescent="0.25">
      <c r="B904" s="221"/>
      <c r="C904" s="214"/>
      <c r="D904" s="232"/>
      <c r="E904" s="125" t="s">
        <v>2832</v>
      </c>
    </row>
    <row r="905" spans="2:5" ht="23.4" x14ac:dyDescent="0.25">
      <c r="B905" s="221"/>
      <c r="C905" s="214"/>
      <c r="D905" s="232"/>
      <c r="E905" s="125" t="s">
        <v>979</v>
      </c>
    </row>
    <row r="906" spans="2:5" x14ac:dyDescent="0.25">
      <c r="B906" s="221"/>
      <c r="C906" s="214"/>
      <c r="D906" s="232"/>
      <c r="E906" s="106" t="s">
        <v>987</v>
      </c>
    </row>
    <row r="907" spans="2:5" x14ac:dyDescent="0.25">
      <c r="B907" s="221"/>
      <c r="C907" s="214"/>
      <c r="D907" s="232"/>
      <c r="E907" s="106" t="s">
        <v>988</v>
      </c>
    </row>
    <row r="908" spans="2:5" x14ac:dyDescent="0.25">
      <c r="B908" s="221"/>
      <c r="C908" s="214"/>
      <c r="D908" s="232"/>
      <c r="E908" s="106" t="s">
        <v>2797</v>
      </c>
    </row>
    <row r="909" spans="2:5" ht="22.8" x14ac:dyDescent="0.25">
      <c r="B909" s="221"/>
      <c r="C909" s="214"/>
      <c r="D909" s="232"/>
      <c r="E909" s="106" t="s">
        <v>909</v>
      </c>
    </row>
    <row r="910" spans="2:5" ht="22.8" x14ac:dyDescent="0.25">
      <c r="B910" s="221"/>
      <c r="C910" s="214"/>
      <c r="D910" s="232"/>
      <c r="E910" s="106" t="s">
        <v>906</v>
      </c>
    </row>
    <row r="911" spans="2:5" ht="22.8" x14ac:dyDescent="0.25">
      <c r="B911" s="221"/>
      <c r="C911" s="214"/>
      <c r="D911" s="232"/>
      <c r="E911" s="106" t="s">
        <v>907</v>
      </c>
    </row>
    <row r="912" spans="2:5" ht="22.8" x14ac:dyDescent="0.25">
      <c r="B912" s="221"/>
      <c r="C912" s="214"/>
      <c r="D912" s="232"/>
      <c r="E912" s="106" t="s">
        <v>1781</v>
      </c>
    </row>
    <row r="913" spans="2:7" ht="22.8" x14ac:dyDescent="0.25">
      <c r="B913" s="221"/>
      <c r="C913" s="214"/>
      <c r="D913" s="232"/>
      <c r="E913" s="106" t="s">
        <v>908</v>
      </c>
    </row>
    <row r="914" spans="2:7" ht="22.8" x14ac:dyDescent="0.25">
      <c r="B914" s="221"/>
      <c r="C914" s="214"/>
      <c r="D914" s="232"/>
      <c r="E914" s="106" t="s">
        <v>910</v>
      </c>
    </row>
    <row r="915" spans="2:7" x14ac:dyDescent="0.25">
      <c r="B915" s="221"/>
      <c r="C915" s="214"/>
      <c r="D915" s="232"/>
      <c r="E915" s="106" t="s">
        <v>13</v>
      </c>
    </row>
    <row r="916" spans="2:7" x14ac:dyDescent="0.25">
      <c r="B916" s="221"/>
      <c r="C916" s="172" t="s">
        <v>2299</v>
      </c>
      <c r="D916" s="226"/>
      <c r="E916" s="135"/>
    </row>
    <row r="917" spans="2:7" x14ac:dyDescent="0.25">
      <c r="B917" s="221"/>
      <c r="C917" s="214"/>
      <c r="D917" s="232"/>
      <c r="E917" s="106" t="s">
        <v>2313</v>
      </c>
    </row>
    <row r="918" spans="2:7" x14ac:dyDescent="0.25">
      <c r="B918" s="221"/>
      <c r="C918" s="214"/>
      <c r="D918" s="232"/>
      <c r="E918" s="106" t="s">
        <v>1034</v>
      </c>
    </row>
    <row r="919" spans="2:7" x14ac:dyDescent="0.25">
      <c r="B919" s="221"/>
      <c r="C919" s="214"/>
      <c r="D919" s="232"/>
      <c r="E919" s="106" t="s">
        <v>1523</v>
      </c>
    </row>
    <row r="920" spans="2:7" x14ac:dyDescent="0.25">
      <c r="B920" s="221"/>
      <c r="C920" s="214"/>
      <c r="D920" s="232"/>
      <c r="E920" s="106" t="s">
        <v>2712</v>
      </c>
    </row>
    <row r="921" spans="2:7" x14ac:dyDescent="0.25">
      <c r="B921" s="221"/>
      <c r="C921" s="214"/>
      <c r="D921" s="232"/>
      <c r="E921" s="106" t="s">
        <v>1455</v>
      </c>
    </row>
    <row r="922" spans="2:7" x14ac:dyDescent="0.25">
      <c r="B922" s="221"/>
      <c r="C922" s="172" t="s">
        <v>722</v>
      </c>
      <c r="D922" s="226"/>
      <c r="E922" s="135"/>
    </row>
    <row r="923" spans="2:7" ht="21" x14ac:dyDescent="0.25">
      <c r="B923" s="221"/>
      <c r="C923" s="129"/>
      <c r="D923" s="216"/>
      <c r="E923" s="184" t="s">
        <v>517</v>
      </c>
      <c r="F923" s="118" t="str">
        <f>VLOOKUP(E923,'RSMeans 2009'!$B$3:$E$210,3,FALSE)</f>
        <v>Ea.</v>
      </c>
      <c r="G923" s="183">
        <f>VLOOKUP(E923,'RSMeans 2009'!$B$3:$E$210,4,FALSE)</f>
        <v>134.5053332</v>
      </c>
    </row>
    <row r="924" spans="2:7" ht="21" x14ac:dyDescent="0.25">
      <c r="B924" s="221"/>
      <c r="C924" s="129"/>
      <c r="D924" s="216"/>
      <c r="E924" s="184" t="s">
        <v>518</v>
      </c>
      <c r="F924" s="118" t="str">
        <f>VLOOKUP(E924,'RSMeans 2009'!$B$3:$E$210,3,FALSE)</f>
        <v>Ea.</v>
      </c>
      <c r="G924" s="183">
        <f>VLOOKUP(E924,'RSMeans 2009'!$B$3:$E$210,4,FALSE)</f>
        <v>53.886975799999988</v>
      </c>
    </row>
    <row r="925" spans="2:7" ht="21" x14ac:dyDescent="0.25">
      <c r="B925" s="221"/>
      <c r="C925" s="129"/>
      <c r="D925" s="216"/>
      <c r="E925" s="184" t="s">
        <v>519</v>
      </c>
      <c r="F925" s="118" t="str">
        <f>VLOOKUP(E925,'RSMeans 2009'!$B$3:$E$210,3,FALSE)</f>
        <v>Ea.</v>
      </c>
      <c r="G925" s="183">
        <f>VLOOKUP(E925,'RSMeans 2009'!$B$3:$E$210,4,FALSE)</f>
        <v>196.20132139999998</v>
      </c>
    </row>
    <row r="926" spans="2:7" x14ac:dyDescent="0.25">
      <c r="B926" s="221"/>
      <c r="C926" s="172" t="s">
        <v>724</v>
      </c>
      <c r="D926" s="226"/>
      <c r="E926" s="106"/>
    </row>
    <row r="927" spans="2:7" x14ac:dyDescent="0.25">
      <c r="B927" s="221"/>
      <c r="E927" s="106" t="s">
        <v>1159</v>
      </c>
      <c r="F927" s="118" t="e">
        <f>VLOOKUP(E927,#REF!,2,FALSE)</f>
        <v>#REF!</v>
      </c>
      <c r="G927" s="183" t="e">
        <f>VLOOKUP(E927,#REF!,5,FALSE)</f>
        <v>#REF!</v>
      </c>
    </row>
    <row r="928" spans="2:7" x14ac:dyDescent="0.25">
      <c r="B928" s="221"/>
      <c r="C928" s="214"/>
      <c r="D928" s="232"/>
      <c r="E928" s="135"/>
    </row>
    <row r="929" spans="2:7" ht="26.4" x14ac:dyDescent="0.25">
      <c r="B929" s="221">
        <v>558</v>
      </c>
      <c r="C929" s="214" t="s">
        <v>277</v>
      </c>
      <c r="D929" s="232"/>
      <c r="E929" s="135" t="s">
        <v>278</v>
      </c>
    </row>
    <row r="930" spans="2:7" x14ac:dyDescent="0.25">
      <c r="B930" s="221"/>
      <c r="C930" s="214" t="s">
        <v>329</v>
      </c>
      <c r="D930" s="232"/>
      <c r="E930" s="135"/>
    </row>
    <row r="931" spans="2:7" x14ac:dyDescent="0.25">
      <c r="B931" s="221"/>
      <c r="C931" s="214"/>
      <c r="D931" s="232"/>
      <c r="E931" s="106" t="s">
        <v>1469</v>
      </c>
    </row>
    <row r="932" spans="2:7" x14ac:dyDescent="0.25">
      <c r="B932" s="221"/>
      <c r="C932" s="172" t="s">
        <v>2299</v>
      </c>
      <c r="D932" s="226"/>
      <c r="E932" s="135"/>
    </row>
    <row r="933" spans="2:7" x14ac:dyDescent="0.25">
      <c r="B933" s="221"/>
      <c r="C933" s="214"/>
      <c r="D933" s="232"/>
      <c r="E933" s="106" t="s">
        <v>1337</v>
      </c>
    </row>
    <row r="934" spans="2:7" x14ac:dyDescent="0.25">
      <c r="B934" s="221"/>
      <c r="C934" s="172" t="s">
        <v>722</v>
      </c>
      <c r="D934" s="226"/>
      <c r="E934" s="135"/>
    </row>
    <row r="935" spans="2:7" ht="21" x14ac:dyDescent="0.25">
      <c r="B935" s="221"/>
      <c r="C935" s="129"/>
      <c r="D935" s="216"/>
      <c r="E935" s="184" t="s">
        <v>517</v>
      </c>
      <c r="F935" s="118" t="str">
        <f>VLOOKUP(E935,'RSMeans 2009'!$B$3:$E$210,3,FALSE)</f>
        <v>Ea.</v>
      </c>
      <c r="G935" s="183">
        <f>VLOOKUP(E935,'RSMeans 2009'!$B$3:$E$210,4,FALSE)</f>
        <v>134.5053332</v>
      </c>
    </row>
    <row r="936" spans="2:7" ht="21" x14ac:dyDescent="0.25">
      <c r="B936" s="221"/>
      <c r="C936" s="129"/>
      <c r="D936" s="216"/>
      <c r="E936" s="184" t="s">
        <v>518</v>
      </c>
      <c r="F936" s="118" t="str">
        <f>VLOOKUP(E936,'RSMeans 2009'!$B$3:$E$210,3,FALSE)</f>
        <v>Ea.</v>
      </c>
      <c r="G936" s="183">
        <f>VLOOKUP(E936,'RSMeans 2009'!$B$3:$E$210,4,FALSE)</f>
        <v>53.886975799999988</v>
      </c>
    </row>
    <row r="937" spans="2:7" ht="21" x14ac:dyDescent="0.25">
      <c r="B937" s="221"/>
      <c r="C937" s="129"/>
      <c r="D937" s="216"/>
      <c r="E937" s="184" t="s">
        <v>519</v>
      </c>
      <c r="F937" s="118" t="str">
        <f>VLOOKUP(E937,'RSMeans 2009'!$B$3:$E$210,3,FALSE)</f>
        <v>Ea.</v>
      </c>
      <c r="G937" s="183">
        <f>VLOOKUP(E937,'RSMeans 2009'!$B$3:$E$210,4,FALSE)</f>
        <v>196.20132139999998</v>
      </c>
    </row>
    <row r="938" spans="2:7" x14ac:dyDescent="0.25">
      <c r="B938" s="221"/>
      <c r="C938" s="172" t="s">
        <v>724</v>
      </c>
      <c r="D938" s="226"/>
      <c r="E938" s="106"/>
    </row>
    <row r="939" spans="2:7" x14ac:dyDescent="0.25">
      <c r="B939" s="221"/>
      <c r="E939" s="106" t="s">
        <v>1159</v>
      </c>
      <c r="F939" s="118" t="e">
        <f>VLOOKUP(E939,#REF!,2,FALSE)</f>
        <v>#REF!</v>
      </c>
      <c r="G939" s="183" t="e">
        <f>VLOOKUP(E939,#REF!,5,FALSE)</f>
        <v>#REF!</v>
      </c>
    </row>
    <row r="940" spans="2:7" x14ac:dyDescent="0.25">
      <c r="B940" s="221"/>
      <c r="C940" s="214"/>
      <c r="D940" s="232"/>
      <c r="E940" s="135"/>
    </row>
    <row r="941" spans="2:7" ht="26.4" x14ac:dyDescent="0.25">
      <c r="B941" s="221">
        <v>350</v>
      </c>
      <c r="C941" s="214" t="s">
        <v>674</v>
      </c>
      <c r="D941" s="232"/>
      <c r="E941" s="135" t="s">
        <v>675</v>
      </c>
    </row>
    <row r="942" spans="2:7" x14ac:dyDescent="0.25">
      <c r="B942" s="221"/>
      <c r="C942" s="214" t="s">
        <v>329</v>
      </c>
      <c r="D942" s="232"/>
      <c r="E942" s="135"/>
    </row>
    <row r="943" spans="2:7" x14ac:dyDescent="0.25">
      <c r="B943" s="221"/>
      <c r="C943" s="214"/>
      <c r="D943" s="232"/>
      <c r="E943" s="106" t="s">
        <v>1236</v>
      </c>
    </row>
    <row r="944" spans="2:7" x14ac:dyDescent="0.25">
      <c r="B944" s="221"/>
      <c r="C944" s="214"/>
      <c r="D944" s="232"/>
      <c r="E944" s="106" t="s">
        <v>2319</v>
      </c>
    </row>
    <row r="945" spans="2:5" x14ac:dyDescent="0.25">
      <c r="B945" s="221"/>
      <c r="C945" s="214"/>
      <c r="D945" s="232"/>
      <c r="E945" s="106" t="s">
        <v>2320</v>
      </c>
    </row>
    <row r="946" spans="2:5" x14ac:dyDescent="0.25">
      <c r="B946" s="221"/>
      <c r="C946" s="214"/>
      <c r="D946" s="232"/>
      <c r="E946" s="106" t="s">
        <v>1246</v>
      </c>
    </row>
    <row r="947" spans="2:5" x14ac:dyDescent="0.25">
      <c r="B947" s="221"/>
      <c r="C947" s="214"/>
      <c r="D947" s="232"/>
      <c r="E947" s="106" t="s">
        <v>2708</v>
      </c>
    </row>
    <row r="948" spans="2:5" x14ac:dyDescent="0.25">
      <c r="B948" s="221"/>
      <c r="C948" s="214"/>
      <c r="D948" s="232"/>
      <c r="E948" s="106" t="s">
        <v>2709</v>
      </c>
    </row>
    <row r="949" spans="2:5" x14ac:dyDescent="0.25">
      <c r="B949" s="221"/>
      <c r="C949" s="214"/>
      <c r="D949" s="232"/>
      <c r="E949" s="106" t="s">
        <v>1371</v>
      </c>
    </row>
    <row r="950" spans="2:5" x14ac:dyDescent="0.25">
      <c r="B950" s="221"/>
      <c r="C950" s="214"/>
      <c r="D950" s="232"/>
      <c r="E950" s="106" t="s">
        <v>1372</v>
      </c>
    </row>
    <row r="951" spans="2:5" x14ac:dyDescent="0.25">
      <c r="B951" s="221"/>
      <c r="C951" s="214"/>
      <c r="D951" s="232"/>
      <c r="E951" s="106" t="s">
        <v>1988</v>
      </c>
    </row>
    <row r="952" spans="2:5" x14ac:dyDescent="0.25">
      <c r="B952" s="221"/>
      <c r="C952" s="214"/>
      <c r="D952" s="232"/>
      <c r="E952" s="106" t="s">
        <v>1989</v>
      </c>
    </row>
    <row r="953" spans="2:5" x14ac:dyDescent="0.25">
      <c r="B953" s="221"/>
      <c r="C953" s="214"/>
      <c r="D953" s="232"/>
      <c r="E953" s="106" t="s">
        <v>2195</v>
      </c>
    </row>
    <row r="954" spans="2:5" x14ac:dyDescent="0.25">
      <c r="B954" s="221"/>
      <c r="C954" s="214"/>
      <c r="D954" s="232"/>
      <c r="E954" s="106" t="s">
        <v>2196</v>
      </c>
    </row>
    <row r="955" spans="2:5" x14ac:dyDescent="0.25">
      <c r="B955" s="221"/>
      <c r="C955" s="214"/>
      <c r="D955" s="232"/>
      <c r="E955" s="106" t="s">
        <v>2193</v>
      </c>
    </row>
    <row r="956" spans="2:5" x14ac:dyDescent="0.25">
      <c r="B956" s="221"/>
      <c r="C956" s="214"/>
      <c r="D956" s="232"/>
      <c r="E956" s="106" t="s">
        <v>2194</v>
      </c>
    </row>
    <row r="957" spans="2:5" x14ac:dyDescent="0.25">
      <c r="B957" s="221"/>
      <c r="C957" s="214"/>
      <c r="D957" s="232"/>
      <c r="E957" s="106" t="s">
        <v>600</v>
      </c>
    </row>
    <row r="958" spans="2:5" ht="22.8" x14ac:dyDescent="0.25">
      <c r="B958" s="221"/>
      <c r="C958" s="214"/>
      <c r="D958" s="232"/>
      <c r="E958" s="106" t="s">
        <v>1481</v>
      </c>
    </row>
    <row r="959" spans="2:5" ht="22.8" x14ac:dyDescent="0.25">
      <c r="B959" s="221"/>
      <c r="C959" s="214"/>
      <c r="D959" s="232"/>
      <c r="E959" s="106" t="s">
        <v>438</v>
      </c>
    </row>
    <row r="960" spans="2:5" ht="22.8" x14ac:dyDescent="0.25">
      <c r="B960" s="221"/>
      <c r="C960" s="214"/>
      <c r="D960" s="232"/>
      <c r="E960" s="106" t="s">
        <v>1397</v>
      </c>
    </row>
    <row r="961" spans="2:5" ht="34.200000000000003" x14ac:dyDescent="0.25">
      <c r="B961" s="221"/>
      <c r="C961" s="214"/>
      <c r="D961" s="232"/>
      <c r="E961" s="106" t="s">
        <v>2655</v>
      </c>
    </row>
    <row r="962" spans="2:5" ht="34.200000000000003" x14ac:dyDescent="0.25">
      <c r="B962" s="221"/>
      <c r="C962" s="214"/>
      <c r="D962" s="232"/>
      <c r="E962" s="106" t="s">
        <v>2656</v>
      </c>
    </row>
    <row r="963" spans="2:5" ht="22.8" x14ac:dyDescent="0.25">
      <c r="B963" s="221"/>
      <c r="C963" s="214"/>
      <c r="D963" s="232"/>
      <c r="E963" s="106" t="s">
        <v>2168</v>
      </c>
    </row>
    <row r="964" spans="2:5" ht="22.8" x14ac:dyDescent="0.25">
      <c r="B964" s="221"/>
      <c r="C964" s="214"/>
      <c r="D964" s="232"/>
      <c r="E964" s="106" t="s">
        <v>1981</v>
      </c>
    </row>
    <row r="965" spans="2:5" ht="22.8" x14ac:dyDescent="0.25">
      <c r="B965" s="221"/>
      <c r="C965" s="214"/>
      <c r="D965" s="232"/>
      <c r="E965" s="106" t="s">
        <v>1982</v>
      </c>
    </row>
    <row r="966" spans="2:5" ht="34.200000000000003" x14ac:dyDescent="0.25">
      <c r="B966" s="221"/>
      <c r="C966" s="214"/>
      <c r="D966" s="232"/>
      <c r="E966" s="106" t="s">
        <v>1309</v>
      </c>
    </row>
    <row r="967" spans="2:5" ht="34.200000000000003" x14ac:dyDescent="0.25">
      <c r="B967" s="221"/>
      <c r="C967" s="214"/>
      <c r="D967" s="232"/>
      <c r="E967" s="106" t="s">
        <v>214</v>
      </c>
    </row>
    <row r="968" spans="2:5" ht="22.8" x14ac:dyDescent="0.25">
      <c r="B968" s="221"/>
      <c r="C968" s="214"/>
      <c r="D968" s="232"/>
      <c r="E968" s="106" t="s">
        <v>1184</v>
      </c>
    </row>
    <row r="969" spans="2:5" ht="22.8" x14ac:dyDescent="0.25">
      <c r="B969" s="221"/>
      <c r="C969" s="214"/>
      <c r="D969" s="232"/>
      <c r="E969" s="106" t="s">
        <v>1185</v>
      </c>
    </row>
    <row r="970" spans="2:5" ht="22.8" x14ac:dyDescent="0.25">
      <c r="B970" s="221"/>
      <c r="C970" s="214"/>
      <c r="D970" s="232"/>
      <c r="E970" s="106" t="s">
        <v>1186</v>
      </c>
    </row>
    <row r="971" spans="2:5" ht="22.8" x14ac:dyDescent="0.25">
      <c r="B971" s="221"/>
      <c r="C971" s="214"/>
      <c r="D971" s="232"/>
      <c r="E971" s="106" t="s">
        <v>1187</v>
      </c>
    </row>
    <row r="972" spans="2:5" ht="22.8" x14ac:dyDescent="0.25">
      <c r="B972" s="221"/>
      <c r="C972" s="214"/>
      <c r="D972" s="232"/>
      <c r="E972" s="106" t="s">
        <v>203</v>
      </c>
    </row>
    <row r="973" spans="2:5" ht="22.8" x14ac:dyDescent="0.25">
      <c r="B973" s="221"/>
      <c r="C973" s="214"/>
      <c r="D973" s="232"/>
      <c r="E973" s="106" t="s">
        <v>1188</v>
      </c>
    </row>
    <row r="974" spans="2:5" ht="22.8" x14ac:dyDescent="0.25">
      <c r="B974" s="221"/>
      <c r="C974" s="214"/>
      <c r="D974" s="232"/>
      <c r="E974" s="106" t="s">
        <v>2363</v>
      </c>
    </row>
    <row r="975" spans="2:5" ht="22.8" x14ac:dyDescent="0.25">
      <c r="B975" s="221"/>
      <c r="C975" s="214"/>
      <c r="D975" s="232"/>
      <c r="E975" s="106" t="s">
        <v>2364</v>
      </c>
    </row>
    <row r="976" spans="2:5" ht="22.8" x14ac:dyDescent="0.25">
      <c r="B976" s="221"/>
      <c r="C976" s="214"/>
      <c r="D976" s="232"/>
      <c r="E976" s="106" t="s">
        <v>1374</v>
      </c>
    </row>
    <row r="977" spans="2:5" ht="22.8" x14ac:dyDescent="0.25">
      <c r="B977" s="221"/>
      <c r="C977" s="214"/>
      <c r="D977" s="232"/>
      <c r="E977" s="106" t="s">
        <v>1375</v>
      </c>
    </row>
    <row r="978" spans="2:5" ht="22.8" x14ac:dyDescent="0.25">
      <c r="B978" s="221"/>
      <c r="C978" s="214"/>
      <c r="D978" s="232"/>
      <c r="E978" s="106" t="s">
        <v>1225</v>
      </c>
    </row>
    <row r="979" spans="2:5" ht="22.8" x14ac:dyDescent="0.25">
      <c r="B979" s="221"/>
      <c r="C979" s="214"/>
      <c r="D979" s="232"/>
      <c r="E979" s="106" t="s">
        <v>1226</v>
      </c>
    </row>
    <row r="980" spans="2:5" ht="22.8" x14ac:dyDescent="0.25">
      <c r="B980" s="221"/>
      <c r="C980" s="214"/>
      <c r="D980" s="232"/>
      <c r="E980" s="106" t="s">
        <v>1227</v>
      </c>
    </row>
    <row r="981" spans="2:5" ht="22.8" x14ac:dyDescent="0.25">
      <c r="B981" s="221"/>
      <c r="C981" s="214"/>
      <c r="D981" s="232"/>
      <c r="E981" s="106" t="s">
        <v>1228</v>
      </c>
    </row>
    <row r="982" spans="2:5" ht="22.8" x14ac:dyDescent="0.25">
      <c r="B982" s="221"/>
      <c r="C982" s="214"/>
      <c r="D982" s="232"/>
      <c r="E982" s="106" t="s">
        <v>1229</v>
      </c>
    </row>
    <row r="983" spans="2:5" x14ac:dyDescent="0.25">
      <c r="B983" s="221"/>
      <c r="C983" s="214"/>
      <c r="D983" s="232"/>
      <c r="E983" s="106" t="s">
        <v>2540</v>
      </c>
    </row>
    <row r="984" spans="2:5" x14ac:dyDescent="0.25">
      <c r="B984" s="221"/>
      <c r="C984" s="214"/>
      <c r="D984" s="232"/>
      <c r="E984" s="106" t="s">
        <v>2541</v>
      </c>
    </row>
    <row r="985" spans="2:5" x14ac:dyDescent="0.25">
      <c r="B985" s="221"/>
      <c r="C985" s="214"/>
      <c r="D985" s="232"/>
      <c r="E985" s="106" t="s">
        <v>2542</v>
      </c>
    </row>
    <row r="986" spans="2:5" x14ac:dyDescent="0.25">
      <c r="B986" s="221"/>
      <c r="C986" s="214"/>
      <c r="D986" s="232"/>
      <c r="E986" s="106" t="s">
        <v>1341</v>
      </c>
    </row>
    <row r="987" spans="2:5" x14ac:dyDescent="0.25">
      <c r="B987" s="221"/>
      <c r="C987" s="214"/>
      <c r="D987" s="232"/>
      <c r="E987" s="106" t="s">
        <v>1604</v>
      </c>
    </row>
    <row r="988" spans="2:5" x14ac:dyDescent="0.25">
      <c r="B988" s="221"/>
      <c r="C988" s="214"/>
      <c r="D988" s="232"/>
      <c r="E988" s="106" t="s">
        <v>1605</v>
      </c>
    </row>
    <row r="989" spans="2:5" x14ac:dyDescent="0.25">
      <c r="B989" s="221"/>
      <c r="C989" s="214"/>
      <c r="D989" s="232"/>
      <c r="E989" s="106" t="s">
        <v>1004</v>
      </c>
    </row>
    <row r="990" spans="2:5" x14ac:dyDescent="0.25">
      <c r="B990" s="221"/>
      <c r="C990" s="214"/>
      <c r="D990" s="232"/>
      <c r="E990" s="106" t="s">
        <v>1622</v>
      </c>
    </row>
    <row r="991" spans="2:5" x14ac:dyDescent="0.25">
      <c r="B991" s="221"/>
      <c r="C991" s="214"/>
      <c r="D991" s="232"/>
      <c r="E991" s="106" t="s">
        <v>231</v>
      </c>
    </row>
    <row r="992" spans="2:5" ht="22.8" x14ac:dyDescent="0.25">
      <c r="B992" s="221"/>
      <c r="C992" s="214"/>
      <c r="D992" s="232"/>
      <c r="E992" s="106" t="s">
        <v>2761</v>
      </c>
    </row>
    <row r="993" spans="2:5" ht="22.8" x14ac:dyDescent="0.25">
      <c r="B993" s="221"/>
      <c r="C993" s="214"/>
      <c r="D993" s="232"/>
      <c r="E993" s="106" t="s">
        <v>2762</v>
      </c>
    </row>
    <row r="994" spans="2:5" ht="22.8" x14ac:dyDescent="0.25">
      <c r="B994" s="221"/>
      <c r="C994" s="214"/>
      <c r="D994" s="232"/>
      <c r="E994" s="106" t="s">
        <v>2763</v>
      </c>
    </row>
    <row r="995" spans="2:5" ht="22.8" x14ac:dyDescent="0.25">
      <c r="B995" s="221"/>
      <c r="C995" s="214"/>
      <c r="D995" s="232"/>
      <c r="E995" s="106" t="s">
        <v>2764</v>
      </c>
    </row>
    <row r="996" spans="2:5" ht="22.8" x14ac:dyDescent="0.25">
      <c r="B996" s="221"/>
      <c r="C996" s="214"/>
      <c r="D996" s="232"/>
      <c r="E996" s="106" t="s">
        <v>2765</v>
      </c>
    </row>
    <row r="997" spans="2:5" ht="22.8" x14ac:dyDescent="0.25">
      <c r="B997" s="221"/>
      <c r="C997" s="214"/>
      <c r="D997" s="232"/>
      <c r="E997" s="106" t="s">
        <v>2766</v>
      </c>
    </row>
    <row r="998" spans="2:5" ht="22.8" x14ac:dyDescent="0.25">
      <c r="B998" s="221"/>
      <c r="C998" s="214"/>
      <c r="D998" s="232"/>
      <c r="E998" s="106" t="s">
        <v>2767</v>
      </c>
    </row>
    <row r="999" spans="2:5" ht="22.8" x14ac:dyDescent="0.25">
      <c r="B999" s="221"/>
      <c r="C999" s="214"/>
      <c r="D999" s="232"/>
      <c r="E999" s="106" t="s">
        <v>2768</v>
      </c>
    </row>
    <row r="1000" spans="2:5" ht="22.8" x14ac:dyDescent="0.25">
      <c r="B1000" s="221"/>
      <c r="C1000" s="214"/>
      <c r="D1000" s="232"/>
      <c r="E1000" s="106" t="s">
        <v>2769</v>
      </c>
    </row>
    <row r="1001" spans="2:5" ht="22.8" x14ac:dyDescent="0.25">
      <c r="B1001" s="221"/>
      <c r="C1001" s="214"/>
      <c r="D1001" s="232"/>
      <c r="E1001" s="106" t="s">
        <v>2120</v>
      </c>
    </row>
    <row r="1002" spans="2:5" ht="22.8" x14ac:dyDescent="0.25">
      <c r="B1002" s="221"/>
      <c r="C1002" s="214"/>
      <c r="D1002" s="232"/>
      <c r="E1002" s="106" t="s">
        <v>2694</v>
      </c>
    </row>
    <row r="1003" spans="2:5" ht="22.8" x14ac:dyDescent="0.25">
      <c r="B1003" s="221"/>
      <c r="C1003" s="214"/>
      <c r="D1003" s="232"/>
      <c r="E1003" s="106" t="s">
        <v>2695</v>
      </c>
    </row>
    <row r="1004" spans="2:5" x14ac:dyDescent="0.25">
      <c r="B1004" s="221"/>
      <c r="C1004" s="214"/>
      <c r="D1004" s="232"/>
      <c r="E1004" s="106" t="s">
        <v>702</v>
      </c>
    </row>
    <row r="1005" spans="2:5" x14ac:dyDescent="0.25">
      <c r="B1005" s="221"/>
      <c r="C1005" s="214"/>
      <c r="D1005" s="232"/>
      <c r="E1005" s="106" t="s">
        <v>703</v>
      </c>
    </row>
    <row r="1006" spans="2:5" x14ac:dyDescent="0.25">
      <c r="B1006" s="221"/>
      <c r="C1006" s="214"/>
      <c r="D1006" s="232"/>
      <c r="E1006" s="106" t="s">
        <v>704</v>
      </c>
    </row>
    <row r="1007" spans="2:5" x14ac:dyDescent="0.25">
      <c r="B1007" s="221"/>
      <c r="C1007" s="214"/>
      <c r="D1007" s="232"/>
      <c r="E1007" s="106" t="s">
        <v>699</v>
      </c>
    </row>
    <row r="1008" spans="2:5" x14ac:dyDescent="0.25">
      <c r="B1008" s="221"/>
      <c r="C1008" s="214"/>
      <c r="D1008" s="232"/>
      <c r="E1008" s="106" t="s">
        <v>700</v>
      </c>
    </row>
    <row r="1009" spans="2:5" x14ac:dyDescent="0.25">
      <c r="B1009" s="221"/>
      <c r="C1009" s="214"/>
      <c r="D1009" s="232"/>
      <c r="E1009" s="106" t="s">
        <v>701</v>
      </c>
    </row>
    <row r="1010" spans="2:5" x14ac:dyDescent="0.25">
      <c r="B1010" s="221"/>
      <c r="C1010" s="214"/>
      <c r="D1010" s="232"/>
      <c r="E1010" s="106" t="s">
        <v>1376</v>
      </c>
    </row>
    <row r="1011" spans="2:5" x14ac:dyDescent="0.25">
      <c r="B1011" s="221"/>
      <c r="C1011" s="214"/>
      <c r="D1011" s="232"/>
      <c r="E1011" s="106" t="s">
        <v>1110</v>
      </c>
    </row>
    <row r="1012" spans="2:5" x14ac:dyDescent="0.25">
      <c r="B1012" s="221"/>
      <c r="C1012" s="214"/>
      <c r="D1012" s="232"/>
      <c r="E1012" s="106" t="s">
        <v>987</v>
      </c>
    </row>
    <row r="1013" spans="2:5" x14ac:dyDescent="0.25">
      <c r="B1013" s="221"/>
      <c r="C1013" s="214"/>
      <c r="D1013" s="232"/>
      <c r="E1013" s="106" t="s">
        <v>988</v>
      </c>
    </row>
    <row r="1014" spans="2:5" x14ac:dyDescent="0.25">
      <c r="B1014" s="221"/>
      <c r="C1014" s="214"/>
      <c r="D1014" s="232"/>
      <c r="E1014" s="106" t="s">
        <v>2797</v>
      </c>
    </row>
    <row r="1015" spans="2:5" x14ac:dyDescent="0.25">
      <c r="B1015" s="221"/>
      <c r="C1015" s="214"/>
      <c r="D1015" s="232"/>
      <c r="E1015" s="106" t="s">
        <v>1999</v>
      </c>
    </row>
    <row r="1016" spans="2:5" x14ac:dyDescent="0.25">
      <c r="B1016" s="221"/>
      <c r="C1016" s="214"/>
      <c r="D1016" s="232"/>
      <c r="E1016" s="106" t="s">
        <v>2786</v>
      </c>
    </row>
    <row r="1017" spans="2:5" x14ac:dyDescent="0.25">
      <c r="B1017" s="221"/>
      <c r="C1017" s="214"/>
      <c r="D1017" s="232"/>
      <c r="E1017" s="106" t="s">
        <v>2784</v>
      </c>
    </row>
    <row r="1018" spans="2:5" x14ac:dyDescent="0.25">
      <c r="B1018" s="221"/>
      <c r="C1018" s="214"/>
      <c r="D1018" s="232"/>
      <c r="E1018" s="106" t="s">
        <v>1996</v>
      </c>
    </row>
    <row r="1019" spans="2:5" x14ac:dyDescent="0.25">
      <c r="B1019" s="221"/>
      <c r="C1019" s="214"/>
      <c r="D1019" s="232"/>
      <c r="E1019" s="106" t="s">
        <v>1997</v>
      </c>
    </row>
    <row r="1020" spans="2:5" x14ac:dyDescent="0.25">
      <c r="B1020" s="221"/>
      <c r="C1020" s="214"/>
      <c r="D1020" s="232"/>
      <c r="E1020" s="106" t="s">
        <v>1998</v>
      </c>
    </row>
    <row r="1021" spans="2:5" ht="22.8" x14ac:dyDescent="0.25">
      <c r="B1021" s="221"/>
      <c r="C1021" s="214"/>
      <c r="D1021" s="232"/>
      <c r="E1021" s="106" t="s">
        <v>909</v>
      </c>
    </row>
    <row r="1022" spans="2:5" ht="22.8" x14ac:dyDescent="0.25">
      <c r="B1022" s="221"/>
      <c r="C1022" s="214"/>
      <c r="D1022" s="232"/>
      <c r="E1022" s="106" t="s">
        <v>906</v>
      </c>
    </row>
    <row r="1023" spans="2:5" ht="22.8" x14ac:dyDescent="0.25">
      <c r="B1023" s="221"/>
      <c r="C1023" s="214"/>
      <c r="D1023" s="232"/>
      <c r="E1023" s="106" t="s">
        <v>907</v>
      </c>
    </row>
    <row r="1024" spans="2:5" ht="22.8" x14ac:dyDescent="0.25">
      <c r="B1024" s="221"/>
      <c r="C1024" s="214"/>
      <c r="D1024" s="232"/>
      <c r="E1024" s="106" t="s">
        <v>1781</v>
      </c>
    </row>
    <row r="1025" spans="2:7" ht="22.8" x14ac:dyDescent="0.25">
      <c r="B1025" s="221"/>
      <c r="C1025" s="214"/>
      <c r="D1025" s="232"/>
      <c r="E1025" s="106" t="s">
        <v>908</v>
      </c>
    </row>
    <row r="1026" spans="2:7" ht="22.8" x14ac:dyDescent="0.25">
      <c r="B1026" s="221"/>
      <c r="C1026" s="214"/>
      <c r="D1026" s="232"/>
      <c r="E1026" s="106" t="s">
        <v>910</v>
      </c>
    </row>
    <row r="1027" spans="2:7" x14ac:dyDescent="0.25">
      <c r="B1027" s="221"/>
      <c r="C1027" s="172" t="s">
        <v>2299</v>
      </c>
      <c r="D1027" s="226"/>
      <c r="E1027" s="135"/>
    </row>
    <row r="1028" spans="2:7" x14ac:dyDescent="0.25">
      <c r="B1028" s="221"/>
      <c r="C1028" s="214"/>
      <c r="D1028" s="232"/>
      <c r="E1028" s="106" t="s">
        <v>2313</v>
      </c>
    </row>
    <row r="1029" spans="2:7" x14ac:dyDescent="0.25">
      <c r="B1029" s="221"/>
      <c r="C1029" s="214"/>
      <c r="D1029" s="232"/>
      <c r="E1029" s="106" t="s">
        <v>1034</v>
      </c>
    </row>
    <row r="1030" spans="2:7" x14ac:dyDescent="0.25">
      <c r="B1030" s="221"/>
      <c r="C1030" s="214"/>
      <c r="D1030" s="232"/>
      <c r="E1030" s="106" t="s">
        <v>1523</v>
      </c>
    </row>
    <row r="1031" spans="2:7" x14ac:dyDescent="0.25">
      <c r="B1031" s="221"/>
      <c r="C1031" s="214"/>
      <c r="D1031" s="232"/>
      <c r="E1031" s="106" t="s">
        <v>2712</v>
      </c>
    </row>
    <row r="1032" spans="2:7" x14ac:dyDescent="0.25">
      <c r="B1032" s="221"/>
      <c r="C1032" s="172" t="s">
        <v>722</v>
      </c>
      <c r="D1032" s="226"/>
      <c r="E1032" s="135"/>
    </row>
    <row r="1033" spans="2:7" ht="21" x14ac:dyDescent="0.25">
      <c r="B1033" s="221"/>
      <c r="C1033" s="129"/>
      <c r="D1033" s="216"/>
      <c r="E1033" s="184" t="s">
        <v>517</v>
      </c>
      <c r="F1033" s="118" t="str">
        <f>VLOOKUP(E1033,'RSMeans 2009'!$B$3:$E$210,3,FALSE)</f>
        <v>Ea.</v>
      </c>
      <c r="G1033" s="183">
        <f>VLOOKUP(E1033,'RSMeans 2009'!$B$3:$E$210,4,FALSE)</f>
        <v>134.5053332</v>
      </c>
    </row>
    <row r="1034" spans="2:7" ht="21" x14ac:dyDescent="0.25">
      <c r="B1034" s="221"/>
      <c r="C1034" s="129"/>
      <c r="D1034" s="216"/>
      <c r="E1034" s="184" t="s">
        <v>518</v>
      </c>
      <c r="F1034" s="118" t="str">
        <f>VLOOKUP(E1034,'RSMeans 2009'!$B$3:$E$210,3,FALSE)</f>
        <v>Ea.</v>
      </c>
      <c r="G1034" s="183">
        <f>VLOOKUP(E1034,'RSMeans 2009'!$B$3:$E$210,4,FALSE)</f>
        <v>53.886975799999988</v>
      </c>
    </row>
    <row r="1035" spans="2:7" ht="21" x14ac:dyDescent="0.25">
      <c r="B1035" s="221"/>
      <c r="C1035" s="129"/>
      <c r="D1035" s="216"/>
      <c r="E1035" s="184" t="s">
        <v>519</v>
      </c>
      <c r="F1035" s="118" t="str">
        <f>VLOOKUP(E1035,'RSMeans 2009'!$B$3:$E$210,3,FALSE)</f>
        <v>Ea.</v>
      </c>
      <c r="G1035" s="183">
        <f>VLOOKUP(E1035,'RSMeans 2009'!$B$3:$E$210,4,FALSE)</f>
        <v>196.20132139999998</v>
      </c>
    </row>
    <row r="1036" spans="2:7" x14ac:dyDescent="0.25">
      <c r="B1036" s="221"/>
      <c r="C1036" s="172" t="s">
        <v>724</v>
      </c>
      <c r="D1036" s="226"/>
      <c r="E1036" s="106"/>
    </row>
    <row r="1037" spans="2:7" x14ac:dyDescent="0.25">
      <c r="B1037" s="221"/>
      <c r="E1037" s="106" t="s">
        <v>1159</v>
      </c>
      <c r="F1037" s="118" t="e">
        <f>VLOOKUP(E1037,#REF!,2,FALSE)</f>
        <v>#REF!</v>
      </c>
      <c r="G1037" s="183" t="e">
        <f>VLOOKUP(E1037,#REF!,5,FALSE)</f>
        <v>#REF!</v>
      </c>
    </row>
    <row r="1038" spans="2:7" x14ac:dyDescent="0.25">
      <c r="B1038" s="221"/>
      <c r="C1038" s="214"/>
      <c r="D1038" s="232"/>
      <c r="E1038" s="135"/>
    </row>
    <row r="1039" spans="2:7" ht="26.4" x14ac:dyDescent="0.25">
      <c r="B1039" s="221">
        <v>574</v>
      </c>
      <c r="C1039" s="214" t="s">
        <v>2040</v>
      </c>
      <c r="D1039" s="232"/>
      <c r="E1039" s="135" t="s">
        <v>1287</v>
      </c>
    </row>
    <row r="1040" spans="2:7" x14ac:dyDescent="0.25">
      <c r="B1040" s="221"/>
      <c r="C1040" s="214" t="s">
        <v>329</v>
      </c>
      <c r="D1040" s="232"/>
      <c r="E1040" s="135"/>
    </row>
    <row r="1041" spans="2:7" x14ac:dyDescent="0.25">
      <c r="B1041" s="221"/>
      <c r="C1041" s="214"/>
      <c r="D1041" s="232"/>
      <c r="E1041" s="135"/>
    </row>
    <row r="1042" spans="2:7" x14ac:dyDescent="0.25">
      <c r="B1042" s="221"/>
      <c r="C1042" s="172" t="s">
        <v>2299</v>
      </c>
      <c r="D1042" s="226"/>
      <c r="E1042" s="135"/>
    </row>
    <row r="1043" spans="2:7" x14ac:dyDescent="0.25">
      <c r="B1043" s="221"/>
      <c r="C1043" s="214"/>
      <c r="D1043" s="232"/>
      <c r="E1043" s="135"/>
    </row>
    <row r="1044" spans="2:7" x14ac:dyDescent="0.25">
      <c r="B1044" s="221"/>
      <c r="C1044" s="214"/>
      <c r="D1044" s="232"/>
      <c r="E1044" s="135"/>
    </row>
    <row r="1045" spans="2:7" x14ac:dyDescent="0.25">
      <c r="B1045" s="221"/>
      <c r="C1045" s="214"/>
      <c r="D1045" s="232"/>
      <c r="E1045" s="135"/>
    </row>
    <row r="1046" spans="2:7" x14ac:dyDescent="0.25">
      <c r="B1046" s="221"/>
      <c r="C1046" s="214"/>
      <c r="D1046" s="232"/>
      <c r="E1046" s="135"/>
    </row>
    <row r="1047" spans="2:7" x14ac:dyDescent="0.25">
      <c r="B1047" s="221"/>
      <c r="C1047" s="172" t="s">
        <v>722</v>
      </c>
      <c r="D1047" s="226"/>
      <c r="E1047" s="135"/>
    </row>
    <row r="1048" spans="2:7" ht="21" x14ac:dyDescent="0.25">
      <c r="B1048" s="221"/>
      <c r="C1048" s="129"/>
      <c r="D1048" s="216"/>
      <c r="E1048" s="184" t="s">
        <v>517</v>
      </c>
      <c r="F1048" s="118" t="str">
        <f>VLOOKUP(E1048,'RSMeans 2009'!$B$3:$E$210,3,FALSE)</f>
        <v>Ea.</v>
      </c>
      <c r="G1048" s="183">
        <f>VLOOKUP(E1048,'RSMeans 2009'!$B$3:$E$210,4,FALSE)</f>
        <v>134.5053332</v>
      </c>
    </row>
    <row r="1049" spans="2:7" ht="21" x14ac:dyDescent="0.25">
      <c r="B1049" s="221"/>
      <c r="C1049" s="129"/>
      <c r="D1049" s="216"/>
      <c r="E1049" s="184" t="s">
        <v>518</v>
      </c>
      <c r="F1049" s="118" t="str">
        <f>VLOOKUP(E1049,'RSMeans 2009'!$B$3:$E$210,3,FALSE)</f>
        <v>Ea.</v>
      </c>
      <c r="G1049" s="183">
        <f>VLOOKUP(E1049,'RSMeans 2009'!$B$3:$E$210,4,FALSE)</f>
        <v>53.886975799999988</v>
      </c>
    </row>
    <row r="1050" spans="2:7" ht="21" x14ac:dyDescent="0.25">
      <c r="B1050" s="221"/>
      <c r="C1050" s="129"/>
      <c r="D1050" s="216"/>
      <c r="E1050" s="184" t="s">
        <v>519</v>
      </c>
      <c r="F1050" s="118" t="str">
        <f>VLOOKUP(E1050,'RSMeans 2009'!$B$3:$E$210,3,FALSE)</f>
        <v>Ea.</v>
      </c>
      <c r="G1050" s="183">
        <f>VLOOKUP(E1050,'RSMeans 2009'!$B$3:$E$210,4,FALSE)</f>
        <v>196.20132139999998</v>
      </c>
    </row>
    <row r="1051" spans="2:7" x14ac:dyDescent="0.25">
      <c r="B1051" s="221"/>
      <c r="C1051" s="172" t="s">
        <v>724</v>
      </c>
      <c r="D1051" s="226"/>
      <c r="E1051" s="106"/>
    </row>
    <row r="1052" spans="2:7" x14ac:dyDescent="0.25">
      <c r="B1052" s="221"/>
      <c r="C1052" s="214"/>
      <c r="D1052" s="232"/>
      <c r="E1052" s="106" t="s">
        <v>1159</v>
      </c>
      <c r="F1052" s="118" t="e">
        <f>VLOOKUP(E1052,#REF!,2,FALSE)</f>
        <v>#REF!</v>
      </c>
      <c r="G1052" s="183" t="e">
        <f>VLOOKUP(E1052,#REF!,5,FALSE)</f>
        <v>#REF!</v>
      </c>
    </row>
    <row r="1053" spans="2:7" x14ac:dyDescent="0.25">
      <c r="B1053" s="221"/>
      <c r="C1053" s="214"/>
      <c r="D1053" s="232"/>
      <c r="E1053" s="135"/>
    </row>
    <row r="1054" spans="2:7" ht="39.6" x14ac:dyDescent="0.25">
      <c r="B1054" s="221">
        <v>578</v>
      </c>
      <c r="C1054" s="214" t="s">
        <v>2041</v>
      </c>
      <c r="D1054" s="232"/>
      <c r="E1054" s="135" t="s">
        <v>2042</v>
      </c>
    </row>
    <row r="1055" spans="2:7" x14ac:dyDescent="0.25">
      <c r="B1055" s="221"/>
      <c r="C1055" s="214" t="s">
        <v>329</v>
      </c>
      <c r="D1055" s="232"/>
      <c r="E1055" s="135"/>
    </row>
    <row r="1056" spans="2:7" ht="22.8" x14ac:dyDescent="0.25">
      <c r="B1056" s="221"/>
      <c r="C1056" s="214"/>
      <c r="D1056" s="232"/>
      <c r="E1056" s="113" t="s">
        <v>979</v>
      </c>
    </row>
    <row r="1057" spans="2:5" x14ac:dyDescent="0.25">
      <c r="B1057" s="221"/>
      <c r="C1057" s="214"/>
      <c r="D1057" s="232"/>
      <c r="E1057" s="106" t="s">
        <v>1376</v>
      </c>
    </row>
    <row r="1058" spans="2:5" x14ac:dyDescent="0.25">
      <c r="B1058" s="221"/>
      <c r="C1058" s="214"/>
      <c r="D1058" s="232"/>
      <c r="E1058" s="106" t="s">
        <v>1110</v>
      </c>
    </row>
    <row r="1059" spans="2:5" x14ac:dyDescent="0.25">
      <c r="B1059" s="221"/>
      <c r="C1059" s="214"/>
      <c r="D1059" s="232"/>
      <c r="E1059" s="125" t="s">
        <v>2832</v>
      </c>
    </row>
    <row r="1060" spans="2:5" x14ac:dyDescent="0.25">
      <c r="B1060" s="221"/>
      <c r="C1060" s="214"/>
      <c r="D1060" s="232"/>
      <c r="E1060" s="106" t="s">
        <v>987</v>
      </c>
    </row>
    <row r="1061" spans="2:5" x14ac:dyDescent="0.25">
      <c r="B1061" s="221"/>
      <c r="C1061" s="214"/>
      <c r="D1061" s="232"/>
      <c r="E1061" s="106" t="s">
        <v>988</v>
      </c>
    </row>
    <row r="1062" spans="2:5" ht="22.8" x14ac:dyDescent="0.25">
      <c r="B1062" s="221"/>
      <c r="C1062" s="214"/>
      <c r="D1062" s="232"/>
      <c r="E1062" s="106" t="s">
        <v>1963</v>
      </c>
    </row>
    <row r="1063" spans="2:5" x14ac:dyDescent="0.25">
      <c r="B1063" s="221"/>
      <c r="C1063" s="214"/>
      <c r="D1063" s="232"/>
      <c r="E1063" s="106" t="s">
        <v>1111</v>
      </c>
    </row>
    <row r="1064" spans="2:5" ht="22.8" x14ac:dyDescent="0.25">
      <c r="B1064" s="221"/>
      <c r="C1064" s="214"/>
      <c r="D1064" s="232"/>
      <c r="E1064" s="106" t="s">
        <v>1964</v>
      </c>
    </row>
    <row r="1065" spans="2:5" ht="22.8" x14ac:dyDescent="0.25">
      <c r="B1065" s="221"/>
      <c r="C1065" s="214"/>
      <c r="D1065" s="232"/>
      <c r="E1065" s="106" t="s">
        <v>1965</v>
      </c>
    </row>
    <row r="1066" spans="2:5" x14ac:dyDescent="0.25">
      <c r="B1066" s="221"/>
      <c r="C1066" s="172" t="s">
        <v>2299</v>
      </c>
      <c r="D1066" s="226"/>
      <c r="E1066" s="106"/>
    </row>
    <row r="1067" spans="2:5" x14ac:dyDescent="0.25">
      <c r="B1067" s="221"/>
      <c r="C1067" s="214"/>
      <c r="D1067" s="232"/>
      <c r="E1067" s="106" t="s">
        <v>1034</v>
      </c>
    </row>
    <row r="1068" spans="2:5" x14ac:dyDescent="0.25">
      <c r="B1068" s="221"/>
      <c r="C1068" s="214"/>
      <c r="D1068" s="232"/>
      <c r="E1068" s="106" t="s">
        <v>2313</v>
      </c>
    </row>
    <row r="1069" spans="2:5" x14ac:dyDescent="0.25">
      <c r="B1069" s="221"/>
      <c r="C1069" s="214"/>
      <c r="D1069" s="232"/>
      <c r="E1069" s="106" t="s">
        <v>1034</v>
      </c>
    </row>
    <row r="1070" spans="2:5" x14ac:dyDescent="0.25">
      <c r="B1070" s="221"/>
      <c r="C1070" s="214"/>
      <c r="D1070" s="232"/>
      <c r="E1070" s="106" t="s">
        <v>1523</v>
      </c>
    </row>
    <row r="1071" spans="2:5" x14ac:dyDescent="0.25">
      <c r="B1071" s="221"/>
      <c r="C1071" s="214"/>
      <c r="D1071" s="232"/>
      <c r="E1071" s="106" t="s">
        <v>243</v>
      </c>
    </row>
    <row r="1072" spans="2:5" x14ac:dyDescent="0.25">
      <c r="B1072" s="221"/>
      <c r="C1072" s="214"/>
      <c r="D1072" s="232"/>
      <c r="E1072" s="106" t="s">
        <v>2433</v>
      </c>
    </row>
    <row r="1073" spans="2:7" x14ac:dyDescent="0.25">
      <c r="B1073" s="221"/>
      <c r="C1073" s="172" t="s">
        <v>722</v>
      </c>
      <c r="D1073" s="226"/>
      <c r="E1073" s="135"/>
    </row>
    <row r="1074" spans="2:7" ht="21" x14ac:dyDescent="0.25">
      <c r="B1074" s="221"/>
      <c r="C1074" s="129"/>
      <c r="D1074" s="216"/>
      <c r="E1074" s="184" t="s">
        <v>517</v>
      </c>
      <c r="F1074" s="118" t="str">
        <f>VLOOKUP(E1074,'RSMeans 2009'!$B$3:$E$210,3,FALSE)</f>
        <v>Ea.</v>
      </c>
      <c r="G1074" s="183">
        <f>VLOOKUP(E1074,'RSMeans 2009'!$B$3:$E$210,4,FALSE)</f>
        <v>134.5053332</v>
      </c>
    </row>
    <row r="1075" spans="2:7" ht="21" x14ac:dyDescent="0.25">
      <c r="B1075" s="221"/>
      <c r="C1075" s="129"/>
      <c r="D1075" s="216"/>
      <c r="E1075" s="184" t="s">
        <v>518</v>
      </c>
      <c r="F1075" s="118" t="str">
        <f>VLOOKUP(E1075,'RSMeans 2009'!$B$3:$E$210,3,FALSE)</f>
        <v>Ea.</v>
      </c>
      <c r="G1075" s="183">
        <f>VLOOKUP(E1075,'RSMeans 2009'!$B$3:$E$210,4,FALSE)</f>
        <v>53.886975799999988</v>
      </c>
    </row>
    <row r="1076" spans="2:7" ht="21" x14ac:dyDescent="0.25">
      <c r="B1076" s="221"/>
      <c r="C1076" s="129"/>
      <c r="D1076" s="216"/>
      <c r="E1076" s="184" t="s">
        <v>519</v>
      </c>
      <c r="F1076" s="118" t="str">
        <f>VLOOKUP(E1076,'RSMeans 2009'!$B$3:$E$210,3,FALSE)</f>
        <v>Ea.</v>
      </c>
      <c r="G1076" s="183">
        <f>VLOOKUP(E1076,'RSMeans 2009'!$B$3:$E$210,4,FALSE)</f>
        <v>196.20132139999998</v>
      </c>
    </row>
    <row r="1077" spans="2:7" x14ac:dyDescent="0.25">
      <c r="B1077" s="221"/>
      <c r="C1077" s="172" t="s">
        <v>724</v>
      </c>
      <c r="D1077" s="226"/>
      <c r="E1077" s="106"/>
    </row>
    <row r="1078" spans="2:7" x14ac:dyDescent="0.25">
      <c r="B1078" s="221"/>
      <c r="C1078" s="214"/>
      <c r="D1078" s="232"/>
      <c r="E1078" s="106" t="s">
        <v>1159</v>
      </c>
      <c r="F1078" s="118" t="e">
        <f>VLOOKUP(E1078,#REF!,2,FALSE)</f>
        <v>#REF!</v>
      </c>
      <c r="G1078" s="183" t="e">
        <f>VLOOKUP(E1078,#REF!,5,FALSE)</f>
        <v>#REF!</v>
      </c>
    </row>
    <row r="1079" spans="2:7" x14ac:dyDescent="0.25">
      <c r="B1079" s="221"/>
      <c r="C1079" s="214"/>
      <c r="D1079" s="232"/>
      <c r="E1079" s="135"/>
    </row>
    <row r="1080" spans="2:7" ht="39.6" x14ac:dyDescent="0.25">
      <c r="B1080" s="221">
        <v>580</v>
      </c>
      <c r="C1080" s="214" t="s">
        <v>2044</v>
      </c>
      <c r="D1080" s="232"/>
      <c r="E1080" s="135" t="s">
        <v>2045</v>
      </c>
    </row>
    <row r="1081" spans="2:7" x14ac:dyDescent="0.25">
      <c r="B1081" s="221"/>
      <c r="C1081" s="214" t="s">
        <v>329</v>
      </c>
      <c r="D1081" s="232"/>
      <c r="E1081" s="135"/>
    </row>
    <row r="1082" spans="2:7" x14ac:dyDescent="0.25">
      <c r="B1082" s="221"/>
      <c r="C1082" s="214"/>
      <c r="D1082" s="232"/>
      <c r="E1082" s="106" t="s">
        <v>2751</v>
      </c>
    </row>
    <row r="1083" spans="2:7" x14ac:dyDescent="0.25">
      <c r="B1083" s="221"/>
      <c r="C1083" s="214"/>
      <c r="D1083" s="232"/>
      <c r="E1083" s="106" t="s">
        <v>2752</v>
      </c>
    </row>
    <row r="1084" spans="2:7" x14ac:dyDescent="0.25">
      <c r="B1084" s="221"/>
      <c r="C1084" s="214"/>
      <c r="D1084" s="232"/>
      <c r="E1084" s="106" t="s">
        <v>2753</v>
      </c>
    </row>
    <row r="1085" spans="2:7" x14ac:dyDescent="0.25">
      <c r="B1085" s="221"/>
      <c r="C1085" s="214"/>
      <c r="D1085" s="232"/>
      <c r="E1085" s="106" t="s">
        <v>2754</v>
      </c>
    </row>
    <row r="1086" spans="2:7" x14ac:dyDescent="0.25">
      <c r="B1086" s="221"/>
      <c r="C1086" s="214"/>
      <c r="D1086" s="232"/>
      <c r="E1086" s="106" t="s">
        <v>2757</v>
      </c>
    </row>
    <row r="1087" spans="2:7" x14ac:dyDescent="0.25">
      <c r="B1087" s="221"/>
      <c r="C1087" s="214"/>
      <c r="D1087" s="232"/>
      <c r="E1087" s="113" t="s">
        <v>706</v>
      </c>
    </row>
    <row r="1088" spans="2:7" x14ac:dyDescent="0.25">
      <c r="B1088" s="221"/>
      <c r="C1088" s="214"/>
      <c r="D1088" s="232"/>
      <c r="E1088" s="106" t="s">
        <v>1376</v>
      </c>
    </row>
    <row r="1089" spans="2:5" x14ac:dyDescent="0.25">
      <c r="B1089" s="221"/>
      <c r="C1089" s="214"/>
      <c r="D1089" s="232"/>
      <c r="E1089" s="106" t="s">
        <v>1110</v>
      </c>
    </row>
    <row r="1090" spans="2:5" x14ac:dyDescent="0.25">
      <c r="B1090" s="221"/>
      <c r="C1090" s="214"/>
      <c r="D1090" s="232"/>
      <c r="E1090" s="106" t="s">
        <v>2432</v>
      </c>
    </row>
    <row r="1091" spans="2:5" x14ac:dyDescent="0.25">
      <c r="B1091" s="221"/>
      <c r="C1091" s="214"/>
      <c r="D1091" s="232"/>
      <c r="E1091" s="106" t="s">
        <v>2557</v>
      </c>
    </row>
    <row r="1092" spans="2:5" x14ac:dyDescent="0.25">
      <c r="B1092" s="221"/>
      <c r="C1092" s="214"/>
      <c r="D1092" s="232"/>
      <c r="E1092" s="106" t="s">
        <v>2154</v>
      </c>
    </row>
    <row r="1093" spans="2:5" x14ac:dyDescent="0.25">
      <c r="B1093" s="221"/>
      <c r="C1093" s="214"/>
      <c r="D1093" s="232"/>
      <c r="E1093" s="106" t="s">
        <v>2155</v>
      </c>
    </row>
    <row r="1094" spans="2:5" x14ac:dyDescent="0.25">
      <c r="B1094" s="221"/>
      <c r="C1094" s="214"/>
      <c r="D1094" s="232"/>
      <c r="E1094" s="106" t="s">
        <v>987</v>
      </c>
    </row>
    <row r="1095" spans="2:5" x14ac:dyDescent="0.25">
      <c r="B1095" s="221"/>
      <c r="C1095" s="214"/>
      <c r="D1095" s="232"/>
      <c r="E1095" s="106" t="s">
        <v>988</v>
      </c>
    </row>
    <row r="1096" spans="2:5" x14ac:dyDescent="0.25">
      <c r="B1096" s="221"/>
      <c r="C1096" s="214"/>
      <c r="D1096" s="232"/>
      <c r="E1096" s="106" t="s">
        <v>2797</v>
      </c>
    </row>
    <row r="1097" spans="2:5" x14ac:dyDescent="0.25">
      <c r="B1097" s="221"/>
      <c r="C1097" s="214"/>
      <c r="D1097" s="232"/>
      <c r="E1097" s="106" t="s">
        <v>2755</v>
      </c>
    </row>
    <row r="1098" spans="2:5" ht="22.8" x14ac:dyDescent="0.25">
      <c r="B1098" s="221"/>
      <c r="C1098" s="214"/>
      <c r="D1098" s="232"/>
      <c r="E1098" s="106" t="s">
        <v>909</v>
      </c>
    </row>
    <row r="1099" spans="2:5" ht="22.8" x14ac:dyDescent="0.25">
      <c r="B1099" s="221"/>
      <c r="C1099" s="214"/>
      <c r="D1099" s="232"/>
      <c r="E1099" s="106" t="s">
        <v>906</v>
      </c>
    </row>
    <row r="1100" spans="2:5" ht="22.8" x14ac:dyDescent="0.25">
      <c r="B1100" s="221"/>
      <c r="C1100" s="214"/>
      <c r="D1100" s="232"/>
      <c r="E1100" s="106" t="s">
        <v>907</v>
      </c>
    </row>
    <row r="1101" spans="2:5" ht="22.8" x14ac:dyDescent="0.25">
      <c r="B1101" s="221"/>
      <c r="C1101" s="214"/>
      <c r="D1101" s="232"/>
      <c r="E1101" s="106" t="s">
        <v>1781</v>
      </c>
    </row>
    <row r="1102" spans="2:5" ht="22.8" x14ac:dyDescent="0.25">
      <c r="B1102" s="221"/>
      <c r="C1102" s="214"/>
      <c r="D1102" s="232"/>
      <c r="E1102" s="106" t="s">
        <v>908</v>
      </c>
    </row>
    <row r="1103" spans="2:5" ht="22.8" x14ac:dyDescent="0.25">
      <c r="B1103" s="221"/>
      <c r="C1103" s="214"/>
      <c r="D1103" s="232"/>
      <c r="E1103" s="106" t="s">
        <v>910</v>
      </c>
    </row>
    <row r="1104" spans="2:5" x14ac:dyDescent="0.25">
      <c r="B1104" s="221"/>
      <c r="C1104" s="214"/>
      <c r="D1104" s="232"/>
      <c r="E1104" s="96" t="s">
        <v>2773</v>
      </c>
    </row>
    <row r="1105" spans="2:5" x14ac:dyDescent="0.25">
      <c r="B1105" s="221"/>
      <c r="C1105" s="214"/>
      <c r="D1105" s="232"/>
      <c r="E1105" s="125" t="s">
        <v>2774</v>
      </c>
    </row>
    <row r="1106" spans="2:5" x14ac:dyDescent="0.25">
      <c r="B1106" s="221"/>
      <c r="C1106" s="214"/>
      <c r="D1106" s="232"/>
      <c r="E1106" s="125" t="s">
        <v>654</v>
      </c>
    </row>
    <row r="1107" spans="2:5" x14ac:dyDescent="0.25">
      <c r="B1107" s="221"/>
      <c r="C1107" s="214"/>
      <c r="D1107" s="232"/>
      <c r="E1107" s="96" t="s">
        <v>655</v>
      </c>
    </row>
    <row r="1108" spans="2:5" x14ac:dyDescent="0.25">
      <c r="B1108" s="221"/>
      <c r="C1108" s="214"/>
      <c r="D1108" s="232"/>
      <c r="E1108" s="125" t="s">
        <v>656</v>
      </c>
    </row>
    <row r="1109" spans="2:5" x14ac:dyDescent="0.25">
      <c r="B1109" s="221"/>
      <c r="C1109" s="214"/>
      <c r="D1109" s="232"/>
      <c r="E1109" s="125" t="s">
        <v>657</v>
      </c>
    </row>
    <row r="1110" spans="2:5" x14ac:dyDescent="0.25">
      <c r="B1110" s="221"/>
      <c r="C1110" s="214"/>
      <c r="D1110" s="232"/>
      <c r="E1110" s="125" t="s">
        <v>2787</v>
      </c>
    </row>
    <row r="1111" spans="2:5" x14ac:dyDescent="0.25">
      <c r="B1111" s="221"/>
      <c r="C1111" s="214"/>
      <c r="D1111" s="232"/>
      <c r="E1111" s="125" t="s">
        <v>1723</v>
      </c>
    </row>
    <row r="1112" spans="2:5" x14ac:dyDescent="0.25">
      <c r="B1112" s="221"/>
      <c r="C1112" s="214"/>
      <c r="D1112" s="232"/>
      <c r="E1112" s="125" t="s">
        <v>2832</v>
      </c>
    </row>
    <row r="1113" spans="2:5" x14ac:dyDescent="0.25">
      <c r="B1113" s="221"/>
      <c r="C1113" s="172" t="s">
        <v>2299</v>
      </c>
      <c r="D1113" s="226"/>
      <c r="E1113" s="135"/>
    </row>
    <row r="1114" spans="2:5" x14ac:dyDescent="0.25">
      <c r="B1114" s="221"/>
      <c r="C1114" s="214"/>
      <c r="D1114" s="232"/>
      <c r="E1114" s="106" t="s">
        <v>2756</v>
      </c>
    </row>
    <row r="1115" spans="2:5" x14ac:dyDescent="0.25">
      <c r="B1115" s="221"/>
      <c r="C1115" s="214"/>
      <c r="D1115" s="232"/>
      <c r="E1115" s="106" t="s">
        <v>2313</v>
      </c>
    </row>
    <row r="1116" spans="2:5" x14ac:dyDescent="0.25">
      <c r="B1116" s="221"/>
      <c r="C1116" s="214"/>
      <c r="D1116" s="232"/>
      <c r="E1116" s="106" t="s">
        <v>1034</v>
      </c>
    </row>
    <row r="1117" spans="2:5" x14ac:dyDescent="0.25">
      <c r="B1117" s="221"/>
      <c r="C1117" s="214"/>
      <c r="D1117" s="232"/>
      <c r="E1117" s="106" t="s">
        <v>1523</v>
      </c>
    </row>
    <row r="1118" spans="2:5" x14ac:dyDescent="0.25">
      <c r="B1118" s="221"/>
      <c r="C1118" s="214"/>
      <c r="D1118" s="232"/>
      <c r="E1118" s="106" t="s">
        <v>13</v>
      </c>
    </row>
    <row r="1119" spans="2:5" x14ac:dyDescent="0.25">
      <c r="B1119" s="221"/>
      <c r="C1119" s="214"/>
      <c r="D1119" s="232"/>
      <c r="E1119" s="106" t="s">
        <v>243</v>
      </c>
    </row>
    <row r="1120" spans="2:5" x14ac:dyDescent="0.25">
      <c r="B1120" s="221"/>
      <c r="C1120" s="214"/>
      <c r="D1120" s="232"/>
      <c r="E1120" s="106" t="s">
        <v>2433</v>
      </c>
    </row>
    <row r="1121" spans="2:7" x14ac:dyDescent="0.25">
      <c r="B1121" s="221"/>
      <c r="C1121" s="172" t="s">
        <v>722</v>
      </c>
      <c r="D1121" s="226"/>
      <c r="E1121" s="135"/>
    </row>
    <row r="1122" spans="2:7" ht="21" x14ac:dyDescent="0.25">
      <c r="B1122" s="221"/>
      <c r="C1122" s="129"/>
      <c r="D1122" s="216"/>
      <c r="E1122" s="184" t="s">
        <v>517</v>
      </c>
      <c r="F1122" s="118" t="str">
        <f>VLOOKUP(E1122,'RSMeans 2009'!$B$3:$E$210,3,FALSE)</f>
        <v>Ea.</v>
      </c>
      <c r="G1122" s="183">
        <f>VLOOKUP(E1122,'RSMeans 2009'!$B$3:$E$210,4,FALSE)</f>
        <v>134.5053332</v>
      </c>
    </row>
    <row r="1123" spans="2:7" ht="21" x14ac:dyDescent="0.25">
      <c r="B1123" s="221"/>
      <c r="C1123" s="129"/>
      <c r="D1123" s="216"/>
      <c r="E1123" s="184" t="s">
        <v>518</v>
      </c>
      <c r="F1123" s="118" t="str">
        <f>VLOOKUP(E1123,'RSMeans 2009'!$B$3:$E$210,3,FALSE)</f>
        <v>Ea.</v>
      </c>
      <c r="G1123" s="183">
        <f>VLOOKUP(E1123,'RSMeans 2009'!$B$3:$E$210,4,FALSE)</f>
        <v>53.886975799999988</v>
      </c>
    </row>
    <row r="1124" spans="2:7" ht="21" x14ac:dyDescent="0.25">
      <c r="B1124" s="221"/>
      <c r="C1124" s="129"/>
      <c r="D1124" s="216"/>
      <c r="E1124" s="184" t="s">
        <v>519</v>
      </c>
      <c r="F1124" s="118" t="str">
        <f>VLOOKUP(E1124,'RSMeans 2009'!$B$3:$E$210,3,FALSE)</f>
        <v>Ea.</v>
      </c>
      <c r="G1124" s="183">
        <f>VLOOKUP(E1124,'RSMeans 2009'!$B$3:$E$210,4,FALSE)</f>
        <v>196.20132139999998</v>
      </c>
    </row>
    <row r="1125" spans="2:7" x14ac:dyDescent="0.25">
      <c r="B1125" s="221"/>
      <c r="C1125" s="172" t="s">
        <v>724</v>
      </c>
      <c r="D1125" s="226"/>
      <c r="E1125" s="106"/>
    </row>
    <row r="1126" spans="2:7" x14ac:dyDescent="0.25">
      <c r="B1126" s="221"/>
      <c r="C1126" s="214"/>
      <c r="D1126" s="232"/>
      <c r="E1126" s="106" t="s">
        <v>1159</v>
      </c>
      <c r="F1126" s="118" t="e">
        <f>VLOOKUP(E1126,#REF!,2,FALSE)</f>
        <v>#REF!</v>
      </c>
      <c r="G1126" s="183" t="e">
        <f>VLOOKUP(E1126,#REF!,5,FALSE)</f>
        <v>#REF!</v>
      </c>
    </row>
    <row r="1127" spans="2:7" x14ac:dyDescent="0.25">
      <c r="B1127" s="221"/>
      <c r="C1127" s="214"/>
      <c r="D1127" s="232"/>
      <c r="E1127" s="135"/>
    </row>
    <row r="1128" spans="2:7" ht="52.8" x14ac:dyDescent="0.25">
      <c r="B1128" s="221">
        <v>587</v>
      </c>
      <c r="C1128" s="214" t="s">
        <v>2048</v>
      </c>
      <c r="D1128" s="232"/>
      <c r="E1128" s="135" t="s">
        <v>2049</v>
      </c>
    </row>
    <row r="1129" spans="2:7" x14ac:dyDescent="0.25">
      <c r="B1129" s="221"/>
      <c r="C1129" s="214" t="s">
        <v>329</v>
      </c>
      <c r="D1129" s="232"/>
      <c r="E1129" s="135"/>
    </row>
    <row r="1130" spans="2:7" x14ac:dyDescent="0.25">
      <c r="B1130" s="221"/>
      <c r="C1130" s="214"/>
      <c r="D1130" s="232"/>
      <c r="E1130" s="113" t="s">
        <v>706</v>
      </c>
    </row>
    <row r="1131" spans="2:7" x14ac:dyDescent="0.25">
      <c r="B1131" s="221"/>
      <c r="C1131" s="214"/>
      <c r="D1131" s="232"/>
      <c r="E1131" s="106" t="s">
        <v>1371</v>
      </c>
    </row>
    <row r="1132" spans="2:7" x14ac:dyDescent="0.25">
      <c r="B1132" s="221"/>
      <c r="C1132" s="214"/>
      <c r="D1132" s="232"/>
      <c r="E1132" s="106" t="s">
        <v>1372</v>
      </c>
    </row>
    <row r="1133" spans="2:7" x14ac:dyDescent="0.25">
      <c r="B1133" s="221"/>
      <c r="C1133" s="214"/>
      <c r="D1133" s="232"/>
      <c r="E1133" s="106" t="s">
        <v>1988</v>
      </c>
    </row>
    <row r="1134" spans="2:7" x14ac:dyDescent="0.25">
      <c r="B1134" s="221"/>
      <c r="C1134" s="214"/>
      <c r="D1134" s="232"/>
      <c r="E1134" s="106" t="s">
        <v>1989</v>
      </c>
    </row>
    <row r="1135" spans="2:7" x14ac:dyDescent="0.25">
      <c r="B1135" s="221"/>
      <c r="C1135" s="214"/>
      <c r="D1135" s="232"/>
      <c r="E1135" s="106" t="s">
        <v>2195</v>
      </c>
    </row>
    <row r="1136" spans="2:7" x14ac:dyDescent="0.25">
      <c r="B1136" s="221"/>
      <c r="C1136" s="214"/>
      <c r="D1136" s="232"/>
      <c r="E1136" s="106" t="s">
        <v>2196</v>
      </c>
    </row>
    <row r="1137" spans="2:5" x14ac:dyDescent="0.25">
      <c r="B1137" s="221"/>
      <c r="C1137" s="214"/>
      <c r="D1137" s="232"/>
      <c r="E1137" s="106" t="s">
        <v>2193</v>
      </c>
    </row>
    <row r="1138" spans="2:5" x14ac:dyDescent="0.25">
      <c r="B1138" s="221"/>
      <c r="C1138" s="214"/>
      <c r="D1138" s="232"/>
      <c r="E1138" s="106" t="s">
        <v>2194</v>
      </c>
    </row>
    <row r="1139" spans="2:5" x14ac:dyDescent="0.25">
      <c r="B1139" s="221"/>
      <c r="C1139" s="214"/>
      <c r="D1139" s="232"/>
      <c r="E1139" s="106" t="s">
        <v>600</v>
      </c>
    </row>
    <row r="1140" spans="2:5" ht="22.8" x14ac:dyDescent="0.25">
      <c r="B1140" s="221"/>
      <c r="C1140" s="214"/>
      <c r="D1140" s="232"/>
      <c r="E1140" s="106" t="s">
        <v>1184</v>
      </c>
    </row>
    <row r="1141" spans="2:5" ht="22.8" x14ac:dyDescent="0.25">
      <c r="B1141" s="221"/>
      <c r="C1141" s="214"/>
      <c r="D1141" s="232"/>
      <c r="E1141" s="106" t="s">
        <v>1185</v>
      </c>
    </row>
    <row r="1142" spans="2:5" ht="22.8" x14ac:dyDescent="0.25">
      <c r="B1142" s="221"/>
      <c r="C1142" s="214"/>
      <c r="D1142" s="232"/>
      <c r="E1142" s="106" t="s">
        <v>1186</v>
      </c>
    </row>
    <row r="1143" spans="2:5" ht="22.8" x14ac:dyDescent="0.25">
      <c r="B1143" s="221"/>
      <c r="C1143" s="214"/>
      <c r="D1143" s="232"/>
      <c r="E1143" s="106" t="s">
        <v>1187</v>
      </c>
    </row>
    <row r="1144" spans="2:5" ht="22.8" x14ac:dyDescent="0.25">
      <c r="B1144" s="221"/>
      <c r="C1144" s="214"/>
      <c r="D1144" s="232"/>
      <c r="E1144" s="106" t="s">
        <v>203</v>
      </c>
    </row>
    <row r="1145" spans="2:5" ht="22.8" x14ac:dyDescent="0.25">
      <c r="B1145" s="221"/>
      <c r="C1145" s="214"/>
      <c r="D1145" s="232"/>
      <c r="E1145" s="106" t="s">
        <v>1188</v>
      </c>
    </row>
    <row r="1146" spans="2:5" ht="22.8" x14ac:dyDescent="0.25">
      <c r="B1146" s="221"/>
      <c r="C1146" s="214"/>
      <c r="D1146" s="232"/>
      <c r="E1146" s="106" t="s">
        <v>2363</v>
      </c>
    </row>
    <row r="1147" spans="2:5" ht="22.8" x14ac:dyDescent="0.25">
      <c r="B1147" s="221"/>
      <c r="C1147" s="214"/>
      <c r="D1147" s="232"/>
      <c r="E1147" s="106" t="s">
        <v>2364</v>
      </c>
    </row>
    <row r="1148" spans="2:5" ht="22.8" x14ac:dyDescent="0.25">
      <c r="B1148" s="221"/>
      <c r="C1148" s="214"/>
      <c r="D1148" s="232"/>
      <c r="E1148" s="106" t="s">
        <v>1374</v>
      </c>
    </row>
    <row r="1149" spans="2:5" ht="22.8" x14ac:dyDescent="0.25">
      <c r="B1149" s="221"/>
      <c r="C1149" s="214"/>
      <c r="D1149" s="232"/>
      <c r="E1149" s="106" t="s">
        <v>1375</v>
      </c>
    </row>
    <row r="1150" spans="2:5" x14ac:dyDescent="0.25">
      <c r="B1150" s="221"/>
      <c r="C1150" s="214"/>
      <c r="D1150" s="232"/>
      <c r="E1150" s="106" t="s">
        <v>2540</v>
      </c>
    </row>
    <row r="1151" spans="2:5" x14ac:dyDescent="0.25">
      <c r="B1151" s="221"/>
      <c r="C1151" s="214"/>
      <c r="D1151" s="232"/>
      <c r="E1151" s="106" t="s">
        <v>2541</v>
      </c>
    </row>
    <row r="1152" spans="2:5" x14ac:dyDescent="0.25">
      <c r="B1152" s="221"/>
      <c r="C1152" s="214"/>
      <c r="D1152" s="232"/>
      <c r="E1152" s="106" t="s">
        <v>2542</v>
      </c>
    </row>
    <row r="1153" spans="2:5" x14ac:dyDescent="0.25">
      <c r="B1153" s="221"/>
      <c r="C1153" s="214"/>
      <c r="D1153" s="232"/>
      <c r="E1153" s="106" t="s">
        <v>1341</v>
      </c>
    </row>
    <row r="1154" spans="2:5" x14ac:dyDescent="0.25">
      <c r="B1154" s="221"/>
      <c r="C1154" s="214"/>
      <c r="D1154" s="232"/>
      <c r="E1154" s="106" t="s">
        <v>1604</v>
      </c>
    </row>
    <row r="1155" spans="2:5" x14ac:dyDescent="0.25">
      <c r="B1155" s="221"/>
      <c r="C1155" s="214"/>
      <c r="D1155" s="232"/>
      <c r="E1155" s="106" t="s">
        <v>1605</v>
      </c>
    </row>
    <row r="1156" spans="2:5" x14ac:dyDescent="0.25">
      <c r="B1156" s="221"/>
      <c r="C1156" s="214"/>
      <c r="D1156" s="232"/>
      <c r="E1156" s="106" t="s">
        <v>1004</v>
      </c>
    </row>
    <row r="1157" spans="2:5" x14ac:dyDescent="0.25">
      <c r="B1157" s="221"/>
      <c r="C1157" s="214"/>
      <c r="D1157" s="232"/>
      <c r="E1157" s="106" t="s">
        <v>1622</v>
      </c>
    </row>
    <row r="1158" spans="2:5" x14ac:dyDescent="0.25">
      <c r="B1158" s="221"/>
      <c r="C1158" s="214"/>
      <c r="D1158" s="232"/>
      <c r="E1158" s="106" t="s">
        <v>231</v>
      </c>
    </row>
    <row r="1159" spans="2:5" ht="22.8" x14ac:dyDescent="0.25">
      <c r="B1159" s="221"/>
      <c r="C1159" s="214"/>
      <c r="D1159" s="232"/>
      <c r="E1159" s="106" t="s">
        <v>2761</v>
      </c>
    </row>
    <row r="1160" spans="2:5" ht="22.8" x14ac:dyDescent="0.25">
      <c r="B1160" s="221"/>
      <c r="C1160" s="214"/>
      <c r="D1160" s="232"/>
      <c r="E1160" s="106" t="s">
        <v>2762</v>
      </c>
    </row>
    <row r="1161" spans="2:5" ht="22.8" x14ac:dyDescent="0.25">
      <c r="B1161" s="221"/>
      <c r="C1161" s="214"/>
      <c r="D1161" s="232"/>
      <c r="E1161" s="106" t="s">
        <v>2763</v>
      </c>
    </row>
    <row r="1162" spans="2:5" ht="22.8" x14ac:dyDescent="0.25">
      <c r="B1162" s="221"/>
      <c r="C1162" s="214"/>
      <c r="D1162" s="232"/>
      <c r="E1162" s="106" t="s">
        <v>2764</v>
      </c>
    </row>
    <row r="1163" spans="2:5" ht="22.8" x14ac:dyDescent="0.25">
      <c r="B1163" s="221"/>
      <c r="C1163" s="214"/>
      <c r="D1163" s="232"/>
      <c r="E1163" s="106" t="s">
        <v>2765</v>
      </c>
    </row>
    <row r="1164" spans="2:5" ht="22.8" x14ac:dyDescent="0.25">
      <c r="B1164" s="221"/>
      <c r="C1164" s="214"/>
      <c r="D1164" s="232"/>
      <c r="E1164" s="106" t="s">
        <v>2766</v>
      </c>
    </row>
    <row r="1165" spans="2:5" ht="22.8" x14ac:dyDescent="0.25">
      <c r="B1165" s="221"/>
      <c r="C1165" s="214"/>
      <c r="D1165" s="232"/>
      <c r="E1165" s="106" t="s">
        <v>2767</v>
      </c>
    </row>
    <row r="1166" spans="2:5" ht="22.8" x14ac:dyDescent="0.25">
      <c r="B1166" s="221"/>
      <c r="C1166" s="214"/>
      <c r="D1166" s="232"/>
      <c r="E1166" s="106" t="s">
        <v>2768</v>
      </c>
    </row>
    <row r="1167" spans="2:5" ht="22.8" x14ac:dyDescent="0.25">
      <c r="B1167" s="221"/>
      <c r="C1167" s="214"/>
      <c r="D1167" s="232"/>
      <c r="E1167" s="106" t="s">
        <v>2769</v>
      </c>
    </row>
    <row r="1168" spans="2:5" ht="22.8" x14ac:dyDescent="0.25">
      <c r="B1168" s="221"/>
      <c r="C1168" s="214"/>
      <c r="D1168" s="232"/>
      <c r="E1168" s="106" t="s">
        <v>2120</v>
      </c>
    </row>
    <row r="1169" spans="2:5" ht="22.8" x14ac:dyDescent="0.25">
      <c r="B1169" s="221"/>
      <c r="C1169" s="214"/>
      <c r="D1169" s="232"/>
      <c r="E1169" s="106" t="s">
        <v>2694</v>
      </c>
    </row>
    <row r="1170" spans="2:5" ht="22.8" x14ac:dyDescent="0.25">
      <c r="B1170" s="221"/>
      <c r="C1170" s="214"/>
      <c r="D1170" s="232"/>
      <c r="E1170" s="106" t="s">
        <v>2695</v>
      </c>
    </row>
    <row r="1171" spans="2:5" x14ac:dyDescent="0.25">
      <c r="B1171" s="221"/>
      <c r="C1171" s="214"/>
      <c r="D1171" s="232"/>
      <c r="E1171" s="106" t="s">
        <v>702</v>
      </c>
    </row>
    <row r="1172" spans="2:5" x14ac:dyDescent="0.25">
      <c r="B1172" s="221"/>
      <c r="C1172" s="214"/>
      <c r="D1172" s="232"/>
      <c r="E1172" s="106" t="s">
        <v>703</v>
      </c>
    </row>
    <row r="1173" spans="2:5" x14ac:dyDescent="0.25">
      <c r="B1173" s="221"/>
      <c r="C1173" s="214"/>
      <c r="D1173" s="232"/>
      <c r="E1173" s="106" t="s">
        <v>704</v>
      </c>
    </row>
    <row r="1174" spans="2:5" x14ac:dyDescent="0.25">
      <c r="B1174" s="221"/>
      <c r="C1174" s="214"/>
      <c r="D1174" s="232"/>
      <c r="E1174" s="106" t="s">
        <v>699</v>
      </c>
    </row>
    <row r="1175" spans="2:5" x14ac:dyDescent="0.25">
      <c r="B1175" s="221"/>
      <c r="C1175" s="214"/>
      <c r="D1175" s="232"/>
      <c r="E1175" s="106" t="s">
        <v>700</v>
      </c>
    </row>
    <row r="1176" spans="2:5" x14ac:dyDescent="0.25">
      <c r="B1176" s="221"/>
      <c r="C1176" s="214"/>
      <c r="D1176" s="232"/>
      <c r="E1176" s="106" t="s">
        <v>701</v>
      </c>
    </row>
    <row r="1177" spans="2:5" x14ac:dyDescent="0.25">
      <c r="B1177" s="221"/>
      <c r="C1177" s="214"/>
      <c r="D1177" s="232"/>
      <c r="E1177" s="106" t="s">
        <v>1376</v>
      </c>
    </row>
    <row r="1178" spans="2:5" x14ac:dyDescent="0.25">
      <c r="B1178" s="221"/>
      <c r="C1178" s="214"/>
      <c r="D1178" s="232"/>
      <c r="E1178" s="106" t="s">
        <v>1110</v>
      </c>
    </row>
    <row r="1179" spans="2:5" x14ac:dyDescent="0.25">
      <c r="B1179" s="221"/>
      <c r="C1179" s="214"/>
      <c r="D1179" s="232"/>
      <c r="E1179" s="106" t="s">
        <v>2432</v>
      </c>
    </row>
    <row r="1180" spans="2:5" x14ac:dyDescent="0.25">
      <c r="B1180" s="221"/>
      <c r="C1180" s="214"/>
      <c r="D1180" s="232"/>
      <c r="E1180" s="106" t="s">
        <v>2557</v>
      </c>
    </row>
    <row r="1181" spans="2:5" x14ac:dyDescent="0.25">
      <c r="B1181" s="221"/>
      <c r="C1181" s="214"/>
      <c r="D1181" s="232"/>
      <c r="E1181" s="106" t="s">
        <v>2154</v>
      </c>
    </row>
    <row r="1182" spans="2:5" x14ac:dyDescent="0.25">
      <c r="B1182" s="221"/>
      <c r="C1182" s="214"/>
      <c r="D1182" s="232"/>
      <c r="E1182" s="106" t="s">
        <v>2155</v>
      </c>
    </row>
    <row r="1183" spans="2:5" x14ac:dyDescent="0.25">
      <c r="B1183" s="221"/>
      <c r="C1183" s="214"/>
      <c r="D1183" s="232"/>
      <c r="E1183" s="106" t="s">
        <v>988</v>
      </c>
    </row>
    <row r="1184" spans="2:5" x14ac:dyDescent="0.25">
      <c r="B1184" s="221"/>
      <c r="C1184" s="214"/>
      <c r="D1184" s="232"/>
      <c r="E1184" s="106" t="s">
        <v>2797</v>
      </c>
    </row>
    <row r="1185" spans="2:5" x14ac:dyDescent="0.25">
      <c r="B1185" s="221"/>
      <c r="C1185" s="214"/>
      <c r="D1185" s="232"/>
      <c r="E1185" s="106" t="s">
        <v>1999</v>
      </c>
    </row>
    <row r="1186" spans="2:5" x14ac:dyDescent="0.25">
      <c r="B1186" s="221"/>
      <c r="C1186" s="214"/>
      <c r="D1186" s="232"/>
      <c r="E1186" s="106" t="s">
        <v>2786</v>
      </c>
    </row>
    <row r="1187" spans="2:5" x14ac:dyDescent="0.25">
      <c r="B1187" s="221"/>
      <c r="C1187" s="214"/>
      <c r="D1187" s="232"/>
      <c r="E1187" s="106" t="s">
        <v>2784</v>
      </c>
    </row>
    <row r="1188" spans="2:5" x14ac:dyDescent="0.25">
      <c r="B1188" s="221"/>
      <c r="C1188" s="214"/>
      <c r="D1188" s="232"/>
      <c r="E1188" s="106" t="s">
        <v>1996</v>
      </c>
    </row>
    <row r="1189" spans="2:5" x14ac:dyDescent="0.25">
      <c r="B1189" s="221"/>
      <c r="C1189" s="214"/>
      <c r="D1189" s="232"/>
      <c r="E1189" s="106" t="s">
        <v>1997</v>
      </c>
    </row>
    <row r="1190" spans="2:5" x14ac:dyDescent="0.25">
      <c r="B1190" s="221"/>
      <c r="C1190" s="214"/>
      <c r="D1190" s="232"/>
      <c r="E1190" s="106" t="s">
        <v>1998</v>
      </c>
    </row>
    <row r="1191" spans="2:5" ht="22.8" x14ac:dyDescent="0.25">
      <c r="B1191" s="221"/>
      <c r="C1191" s="214"/>
      <c r="D1191" s="232"/>
      <c r="E1191" s="106" t="s">
        <v>909</v>
      </c>
    </row>
    <row r="1192" spans="2:5" ht="22.8" x14ac:dyDescent="0.25">
      <c r="B1192" s="221"/>
      <c r="C1192" s="214"/>
      <c r="D1192" s="232"/>
      <c r="E1192" s="106" t="s">
        <v>906</v>
      </c>
    </row>
    <row r="1193" spans="2:5" ht="22.8" x14ac:dyDescent="0.25">
      <c r="B1193" s="221"/>
      <c r="C1193" s="214"/>
      <c r="D1193" s="232"/>
      <c r="E1193" s="106" t="s">
        <v>907</v>
      </c>
    </row>
    <row r="1194" spans="2:5" ht="22.8" x14ac:dyDescent="0.25">
      <c r="B1194" s="221"/>
      <c r="C1194" s="214"/>
      <c r="D1194" s="232"/>
      <c r="E1194" s="106" t="s">
        <v>1781</v>
      </c>
    </row>
    <row r="1195" spans="2:5" ht="22.8" x14ac:dyDescent="0.25">
      <c r="B1195" s="221"/>
      <c r="C1195" s="214"/>
      <c r="D1195" s="232"/>
      <c r="E1195" s="106" t="s">
        <v>908</v>
      </c>
    </row>
    <row r="1196" spans="2:5" ht="22.8" x14ac:dyDescent="0.25">
      <c r="B1196" s="221"/>
      <c r="C1196" s="214"/>
      <c r="D1196" s="232"/>
      <c r="E1196" s="106" t="s">
        <v>910</v>
      </c>
    </row>
    <row r="1197" spans="2:5" x14ac:dyDescent="0.25">
      <c r="B1197" s="221"/>
      <c r="C1197" s="214"/>
      <c r="D1197" s="232"/>
      <c r="E1197" s="106" t="s">
        <v>13</v>
      </c>
    </row>
    <row r="1198" spans="2:5" x14ac:dyDescent="0.25">
      <c r="B1198" s="221"/>
      <c r="C1198" s="214"/>
      <c r="D1198" s="232"/>
      <c r="E1198" s="106" t="s">
        <v>2835</v>
      </c>
    </row>
    <row r="1199" spans="2:5" x14ac:dyDescent="0.25">
      <c r="B1199" s="221"/>
      <c r="C1199" s="214"/>
      <c r="D1199" s="232"/>
      <c r="E1199" s="106" t="s">
        <v>2696</v>
      </c>
    </row>
    <row r="1200" spans="2:5" x14ac:dyDescent="0.25">
      <c r="B1200" s="221"/>
      <c r="C1200" s="214"/>
      <c r="D1200" s="232"/>
      <c r="E1200" s="125" t="s">
        <v>1966</v>
      </c>
    </row>
    <row r="1201" spans="1:9" x14ac:dyDescent="0.25">
      <c r="B1201" s="221"/>
      <c r="C1201" s="214"/>
      <c r="D1201" s="232"/>
      <c r="E1201" s="106" t="s">
        <v>1455</v>
      </c>
    </row>
    <row r="1202" spans="1:9" x14ac:dyDescent="0.25">
      <c r="B1202" s="221"/>
      <c r="C1202" s="172" t="s">
        <v>2299</v>
      </c>
      <c r="D1202" s="226"/>
      <c r="E1202" s="135"/>
    </row>
    <row r="1203" spans="1:9" x14ac:dyDescent="0.25">
      <c r="B1203" s="221"/>
      <c r="C1203" s="214"/>
      <c r="D1203" s="232"/>
      <c r="E1203" s="106" t="s">
        <v>2313</v>
      </c>
    </row>
    <row r="1204" spans="1:9" x14ac:dyDescent="0.25">
      <c r="B1204" s="221"/>
      <c r="C1204" s="214"/>
      <c r="D1204" s="232"/>
      <c r="E1204" s="106" t="s">
        <v>1034</v>
      </c>
    </row>
    <row r="1205" spans="1:9" x14ac:dyDescent="0.25">
      <c r="B1205" s="221"/>
      <c r="C1205" s="214"/>
      <c r="D1205" s="232"/>
      <c r="E1205" s="106" t="s">
        <v>1523</v>
      </c>
    </row>
    <row r="1206" spans="1:9" x14ac:dyDescent="0.25">
      <c r="B1206" s="221"/>
      <c r="C1206" s="214"/>
      <c r="D1206" s="232"/>
      <c r="E1206" s="106" t="s">
        <v>2433</v>
      </c>
    </row>
    <row r="1207" spans="1:9" x14ac:dyDescent="0.25">
      <c r="B1207" s="221"/>
      <c r="C1207" s="172" t="s">
        <v>722</v>
      </c>
      <c r="D1207" s="226"/>
      <c r="E1207" s="135"/>
    </row>
    <row r="1208" spans="1:9" ht="21" x14ac:dyDescent="0.25">
      <c r="B1208" s="221"/>
      <c r="C1208" s="129"/>
      <c r="D1208" s="216"/>
      <c r="E1208" s="184" t="s">
        <v>517</v>
      </c>
      <c r="F1208" s="118" t="str">
        <f>VLOOKUP(E1208,'RSMeans 2009'!$B$3:$E$210,3,FALSE)</f>
        <v>Ea.</v>
      </c>
      <c r="G1208" s="183">
        <f>VLOOKUP(E1208,'RSMeans 2009'!$B$3:$E$210,4,FALSE)</f>
        <v>134.5053332</v>
      </c>
    </row>
    <row r="1209" spans="1:9" ht="21" x14ac:dyDescent="0.25">
      <c r="B1209" s="221"/>
      <c r="C1209" s="129"/>
      <c r="D1209" s="216"/>
      <c r="E1209" s="184" t="s">
        <v>518</v>
      </c>
      <c r="F1209" s="118" t="str">
        <f>VLOOKUP(E1209,'RSMeans 2009'!$B$3:$E$210,3,FALSE)</f>
        <v>Ea.</v>
      </c>
      <c r="G1209" s="183">
        <f>VLOOKUP(E1209,'RSMeans 2009'!$B$3:$E$210,4,FALSE)</f>
        <v>53.886975799999988</v>
      </c>
    </row>
    <row r="1210" spans="1:9" ht="21" x14ac:dyDescent="0.25">
      <c r="B1210" s="221"/>
      <c r="C1210" s="129"/>
      <c r="D1210" s="216"/>
      <c r="E1210" s="184" t="s">
        <v>519</v>
      </c>
      <c r="F1210" s="118" t="str">
        <f>VLOOKUP(E1210,'RSMeans 2009'!$B$3:$E$210,3,FALSE)</f>
        <v>Ea.</v>
      </c>
      <c r="G1210" s="183">
        <f>VLOOKUP(E1210,'RSMeans 2009'!$B$3:$E$210,4,FALSE)</f>
        <v>196.20132139999998</v>
      </c>
    </row>
    <row r="1211" spans="1:9" x14ac:dyDescent="0.25">
      <c r="B1211" s="221"/>
      <c r="C1211" s="172" t="s">
        <v>724</v>
      </c>
      <c r="D1211" s="226"/>
      <c r="E1211" s="106"/>
    </row>
    <row r="1212" spans="1:9" x14ac:dyDescent="0.25">
      <c r="A1212" s="169"/>
      <c r="B1212" s="173"/>
      <c r="C1212" s="214"/>
      <c r="D1212" s="232"/>
      <c r="E1212" s="106" t="s">
        <v>1159</v>
      </c>
      <c r="F1212" s="118" t="e">
        <f>VLOOKUP(E1212,#REF!,2,FALSE)</f>
        <v>#REF!</v>
      </c>
      <c r="G1212" s="183" t="e">
        <f>VLOOKUP(E1212,#REF!,5,FALSE)</f>
        <v>#REF!</v>
      </c>
      <c r="H1212" s="120"/>
      <c r="I1212" s="120"/>
    </row>
    <row r="1213" spans="1:9" x14ac:dyDescent="0.25">
      <c r="B1213" s="221"/>
      <c r="C1213" s="214"/>
      <c r="D1213" s="232"/>
      <c r="E1213" s="135"/>
    </row>
    <row r="1214" spans="1:9" ht="39.6" x14ac:dyDescent="0.25">
      <c r="B1214" s="221">
        <v>606</v>
      </c>
      <c r="C1214" s="214" t="s">
        <v>2050</v>
      </c>
      <c r="D1214" s="232"/>
      <c r="E1214" s="135" t="s">
        <v>1289</v>
      </c>
    </row>
    <row r="1215" spans="1:9" x14ac:dyDescent="0.25">
      <c r="B1215" s="221"/>
      <c r="C1215" s="214"/>
      <c r="D1215" s="232"/>
      <c r="E1215" s="135"/>
    </row>
    <row r="1216" spans="1:9" x14ac:dyDescent="0.25">
      <c r="B1216" s="221"/>
      <c r="C1216" s="214"/>
      <c r="D1216" s="232"/>
      <c r="E1216" s="106" t="s">
        <v>1371</v>
      </c>
    </row>
    <row r="1217" spans="2:5" x14ac:dyDescent="0.25">
      <c r="B1217" s="221"/>
      <c r="C1217" s="214"/>
      <c r="D1217" s="232"/>
      <c r="E1217" s="106" t="s">
        <v>1372</v>
      </c>
    </row>
    <row r="1218" spans="2:5" x14ac:dyDescent="0.25">
      <c r="B1218" s="221"/>
      <c r="C1218" s="214"/>
      <c r="D1218" s="232"/>
      <c r="E1218" s="106" t="s">
        <v>1988</v>
      </c>
    </row>
    <row r="1219" spans="2:5" x14ac:dyDescent="0.25">
      <c r="B1219" s="221"/>
      <c r="C1219" s="214"/>
      <c r="D1219" s="232"/>
      <c r="E1219" s="106" t="s">
        <v>1989</v>
      </c>
    </row>
    <row r="1220" spans="2:5" ht="22.8" x14ac:dyDescent="0.25">
      <c r="B1220" s="221"/>
      <c r="C1220" s="214"/>
      <c r="D1220" s="232"/>
      <c r="E1220" s="106" t="s">
        <v>1481</v>
      </c>
    </row>
    <row r="1221" spans="2:5" ht="22.8" x14ac:dyDescent="0.25">
      <c r="B1221" s="221"/>
      <c r="C1221" s="214"/>
      <c r="D1221" s="232"/>
      <c r="E1221" s="106" t="s">
        <v>438</v>
      </c>
    </row>
    <row r="1222" spans="2:5" ht="22.8" x14ac:dyDescent="0.25">
      <c r="B1222" s="221"/>
      <c r="C1222" s="214"/>
      <c r="D1222" s="232"/>
      <c r="E1222" s="106" t="s">
        <v>1397</v>
      </c>
    </row>
    <row r="1223" spans="2:5" ht="34.200000000000003" x14ac:dyDescent="0.25">
      <c r="B1223" s="221"/>
      <c r="C1223" s="214"/>
      <c r="D1223" s="232"/>
      <c r="E1223" s="106" t="s">
        <v>2655</v>
      </c>
    </row>
    <row r="1224" spans="2:5" ht="34.200000000000003" x14ac:dyDescent="0.25">
      <c r="B1224" s="221"/>
      <c r="C1224" s="214"/>
      <c r="D1224" s="232"/>
      <c r="E1224" s="106" t="s">
        <v>2656</v>
      </c>
    </row>
    <row r="1225" spans="2:5" ht="22.8" x14ac:dyDescent="0.25">
      <c r="B1225" s="221"/>
      <c r="C1225" s="214"/>
      <c r="D1225" s="232"/>
      <c r="E1225" s="106" t="s">
        <v>2168</v>
      </c>
    </row>
    <row r="1226" spans="2:5" ht="22.8" x14ac:dyDescent="0.25">
      <c r="B1226" s="221"/>
      <c r="C1226" s="214"/>
      <c r="D1226" s="232"/>
      <c r="E1226" s="106" t="s">
        <v>1981</v>
      </c>
    </row>
    <row r="1227" spans="2:5" ht="22.8" x14ac:dyDescent="0.25">
      <c r="B1227" s="221"/>
      <c r="C1227" s="214"/>
      <c r="D1227" s="232"/>
      <c r="E1227" s="106" t="s">
        <v>1982</v>
      </c>
    </row>
    <row r="1228" spans="2:5" ht="34.200000000000003" x14ac:dyDescent="0.25">
      <c r="B1228" s="221"/>
      <c r="C1228" s="214"/>
      <c r="D1228" s="232"/>
      <c r="E1228" s="106" t="s">
        <v>1309</v>
      </c>
    </row>
    <row r="1229" spans="2:5" ht="34.200000000000003" x14ac:dyDescent="0.25">
      <c r="B1229" s="221"/>
      <c r="C1229" s="214"/>
      <c r="D1229" s="232"/>
      <c r="E1229" s="106" t="s">
        <v>214</v>
      </c>
    </row>
    <row r="1230" spans="2:5" ht="22.8" x14ac:dyDescent="0.25">
      <c r="B1230" s="221"/>
      <c r="C1230" s="214"/>
      <c r="D1230" s="232"/>
      <c r="E1230" s="106" t="s">
        <v>1184</v>
      </c>
    </row>
    <row r="1231" spans="2:5" ht="22.8" x14ac:dyDescent="0.25">
      <c r="B1231" s="221"/>
      <c r="C1231" s="214"/>
      <c r="D1231" s="232"/>
      <c r="E1231" s="106" t="s">
        <v>1185</v>
      </c>
    </row>
    <row r="1232" spans="2:5" ht="22.8" x14ac:dyDescent="0.25">
      <c r="B1232" s="221"/>
      <c r="C1232" s="214"/>
      <c r="D1232" s="232"/>
      <c r="E1232" s="106" t="s">
        <v>1186</v>
      </c>
    </row>
    <row r="1233" spans="2:5" ht="22.8" x14ac:dyDescent="0.25">
      <c r="B1233" s="221"/>
      <c r="C1233" s="214"/>
      <c r="D1233" s="232"/>
      <c r="E1233" s="106" t="s">
        <v>1187</v>
      </c>
    </row>
    <row r="1234" spans="2:5" ht="22.8" x14ac:dyDescent="0.25">
      <c r="B1234" s="221"/>
      <c r="C1234" s="214"/>
      <c r="D1234" s="232"/>
      <c r="E1234" s="106" t="s">
        <v>203</v>
      </c>
    </row>
    <row r="1235" spans="2:5" ht="22.8" x14ac:dyDescent="0.25">
      <c r="B1235" s="221"/>
      <c r="C1235" s="214"/>
      <c r="D1235" s="232"/>
      <c r="E1235" s="106" t="s">
        <v>1225</v>
      </c>
    </row>
    <row r="1236" spans="2:5" ht="22.8" x14ac:dyDescent="0.25">
      <c r="B1236" s="221"/>
      <c r="C1236" s="214"/>
      <c r="D1236" s="232"/>
      <c r="E1236" s="106" t="s">
        <v>1226</v>
      </c>
    </row>
    <row r="1237" spans="2:5" ht="22.8" x14ac:dyDescent="0.25">
      <c r="B1237" s="221"/>
      <c r="C1237" s="214"/>
      <c r="D1237" s="232"/>
      <c r="E1237" s="106" t="s">
        <v>1227</v>
      </c>
    </row>
    <row r="1238" spans="2:5" ht="22.8" x14ac:dyDescent="0.25">
      <c r="B1238" s="221"/>
      <c r="C1238" s="214"/>
      <c r="D1238" s="232"/>
      <c r="E1238" s="106" t="s">
        <v>1228</v>
      </c>
    </row>
    <row r="1239" spans="2:5" ht="22.8" x14ac:dyDescent="0.25">
      <c r="B1239" s="221"/>
      <c r="C1239" s="214"/>
      <c r="D1239" s="232"/>
      <c r="E1239" s="106" t="s">
        <v>1229</v>
      </c>
    </row>
    <row r="1240" spans="2:5" x14ac:dyDescent="0.25">
      <c r="B1240" s="221"/>
      <c r="C1240" s="214"/>
      <c r="D1240" s="232"/>
      <c r="E1240" s="106" t="s">
        <v>2540</v>
      </c>
    </row>
    <row r="1241" spans="2:5" x14ac:dyDescent="0.25">
      <c r="B1241" s="221"/>
      <c r="C1241" s="214"/>
      <c r="D1241" s="232"/>
      <c r="E1241" s="106" t="s">
        <v>2541</v>
      </c>
    </row>
    <row r="1242" spans="2:5" x14ac:dyDescent="0.25">
      <c r="B1242" s="221"/>
      <c r="C1242" s="214"/>
      <c r="D1242" s="232"/>
      <c r="E1242" s="106" t="s">
        <v>2542</v>
      </c>
    </row>
    <row r="1243" spans="2:5" x14ac:dyDescent="0.25">
      <c r="B1243" s="221"/>
      <c r="C1243" s="214"/>
      <c r="D1243" s="232"/>
      <c r="E1243" s="106" t="s">
        <v>1341</v>
      </c>
    </row>
    <row r="1244" spans="2:5" x14ac:dyDescent="0.25">
      <c r="B1244" s="221"/>
      <c r="C1244" s="214"/>
      <c r="D1244" s="232"/>
      <c r="E1244" s="106" t="s">
        <v>702</v>
      </c>
    </row>
    <row r="1245" spans="2:5" x14ac:dyDescent="0.25">
      <c r="B1245" s="221"/>
      <c r="C1245" s="214"/>
      <c r="D1245" s="232"/>
      <c r="E1245" s="106" t="s">
        <v>703</v>
      </c>
    </row>
    <row r="1246" spans="2:5" x14ac:dyDescent="0.25">
      <c r="B1246" s="221"/>
      <c r="C1246" s="214"/>
      <c r="D1246" s="232"/>
      <c r="E1246" s="106" t="s">
        <v>704</v>
      </c>
    </row>
    <row r="1247" spans="2:5" x14ac:dyDescent="0.25">
      <c r="B1247" s="221"/>
      <c r="C1247" s="214"/>
      <c r="D1247" s="232"/>
      <c r="E1247" s="106" t="s">
        <v>699</v>
      </c>
    </row>
    <row r="1248" spans="2:5" x14ac:dyDescent="0.25">
      <c r="B1248" s="221"/>
      <c r="C1248" s="214"/>
      <c r="D1248" s="232"/>
      <c r="E1248" s="106" t="s">
        <v>700</v>
      </c>
    </row>
    <row r="1249" spans="2:5" x14ac:dyDescent="0.25">
      <c r="B1249" s="221"/>
      <c r="C1249" s="214"/>
      <c r="D1249" s="232"/>
      <c r="E1249" s="106" t="s">
        <v>701</v>
      </c>
    </row>
    <row r="1250" spans="2:5" x14ac:dyDescent="0.25">
      <c r="B1250" s="221"/>
      <c r="C1250" s="214"/>
      <c r="D1250" s="232"/>
      <c r="E1250" s="106" t="s">
        <v>2797</v>
      </c>
    </row>
    <row r="1251" spans="2:5" x14ac:dyDescent="0.25">
      <c r="B1251" s="221"/>
      <c r="C1251" s="214"/>
      <c r="D1251" s="232"/>
      <c r="E1251" s="135"/>
    </row>
    <row r="1252" spans="2:5" x14ac:dyDescent="0.25">
      <c r="B1252" s="221">
        <v>607</v>
      </c>
      <c r="C1252" s="214" t="s">
        <v>2051</v>
      </c>
      <c r="D1252" s="232"/>
      <c r="E1252" s="135" t="s">
        <v>2509</v>
      </c>
    </row>
    <row r="1253" spans="2:5" x14ac:dyDescent="0.25">
      <c r="B1253" s="221"/>
      <c r="C1253" s="214"/>
      <c r="D1253" s="232"/>
      <c r="E1253" s="135"/>
    </row>
    <row r="1254" spans="2:5" ht="26.4" x14ac:dyDescent="0.25">
      <c r="B1254" s="221">
        <v>608</v>
      </c>
      <c r="C1254" s="214" t="s">
        <v>2052</v>
      </c>
      <c r="D1254" s="232"/>
      <c r="E1254" s="135" t="s">
        <v>1290</v>
      </c>
    </row>
    <row r="1255" spans="2:5" x14ac:dyDescent="0.25">
      <c r="B1255" s="221"/>
      <c r="C1255" s="214" t="s">
        <v>329</v>
      </c>
      <c r="D1255" s="232"/>
      <c r="E1255" s="135"/>
    </row>
    <row r="1256" spans="2:5" x14ac:dyDescent="0.25">
      <c r="B1256" s="221"/>
      <c r="C1256" s="214"/>
      <c r="D1256" s="232"/>
      <c r="E1256" s="106" t="s">
        <v>1376</v>
      </c>
    </row>
    <row r="1257" spans="2:5" x14ac:dyDescent="0.25">
      <c r="E1257" s="106" t="s">
        <v>1110</v>
      </c>
    </row>
    <row r="1258" spans="2:5" x14ac:dyDescent="0.25">
      <c r="E1258" s="106" t="s">
        <v>1999</v>
      </c>
    </row>
    <row r="1259" spans="2:5" x14ac:dyDescent="0.25">
      <c r="E1259" s="106" t="s">
        <v>2786</v>
      </c>
    </row>
    <row r="1260" spans="2:5" x14ac:dyDescent="0.25">
      <c r="E1260" s="106" t="s">
        <v>2784</v>
      </c>
    </row>
    <row r="1261" spans="2:5" x14ac:dyDescent="0.25">
      <c r="E1261" s="106" t="s">
        <v>1996</v>
      </c>
    </row>
    <row r="1262" spans="2:5" ht="22.8" x14ac:dyDescent="0.25">
      <c r="E1262" s="106" t="s">
        <v>908</v>
      </c>
    </row>
    <row r="1263" spans="2:5" ht="22.8" x14ac:dyDescent="0.25">
      <c r="E1263" s="106" t="s">
        <v>1475</v>
      </c>
    </row>
    <row r="1264" spans="2:5" ht="22.8" x14ac:dyDescent="0.25">
      <c r="E1264" s="106" t="s">
        <v>907</v>
      </c>
    </row>
    <row r="1265" spans="2:7" ht="22.8" x14ac:dyDescent="0.25">
      <c r="E1265" s="106" t="s">
        <v>910</v>
      </c>
    </row>
    <row r="1266" spans="2:7" x14ac:dyDescent="0.25">
      <c r="B1266" s="221"/>
      <c r="C1266" s="172" t="s">
        <v>2299</v>
      </c>
      <c r="D1266" s="226"/>
      <c r="E1266" s="135"/>
    </row>
    <row r="1267" spans="2:7" x14ac:dyDescent="0.25">
      <c r="B1267" s="221"/>
      <c r="C1267" s="214"/>
      <c r="D1267" s="232"/>
      <c r="E1267" s="106" t="s">
        <v>2313</v>
      </c>
    </row>
    <row r="1268" spans="2:7" x14ac:dyDescent="0.25">
      <c r="B1268" s="221"/>
      <c r="C1268" s="214"/>
      <c r="D1268" s="232"/>
      <c r="E1268" s="106" t="s">
        <v>1034</v>
      </c>
    </row>
    <row r="1269" spans="2:7" x14ac:dyDescent="0.25">
      <c r="B1269" s="221"/>
      <c r="C1269" s="214"/>
      <c r="D1269" s="232"/>
      <c r="E1269" s="106" t="s">
        <v>1523</v>
      </c>
    </row>
    <row r="1270" spans="2:7" x14ac:dyDescent="0.25">
      <c r="B1270" s="221"/>
      <c r="C1270" s="214"/>
      <c r="D1270" s="232"/>
      <c r="E1270" s="106" t="s">
        <v>2433</v>
      </c>
    </row>
    <row r="1271" spans="2:7" x14ac:dyDescent="0.25">
      <c r="B1271" s="221"/>
      <c r="C1271" s="172" t="s">
        <v>722</v>
      </c>
      <c r="D1271" s="226"/>
      <c r="E1271" s="135"/>
    </row>
    <row r="1272" spans="2:7" ht="21" x14ac:dyDescent="0.25">
      <c r="B1272" s="221"/>
      <c r="C1272" s="129"/>
      <c r="D1272" s="216"/>
      <c r="E1272" s="184" t="s">
        <v>517</v>
      </c>
      <c r="F1272" s="118" t="str">
        <f>VLOOKUP(E1272,'RSMeans 2009'!$B$3:$E$210,3,FALSE)</f>
        <v>Ea.</v>
      </c>
      <c r="G1272" s="183">
        <f>VLOOKUP(E1272,'RSMeans 2009'!$B$3:$E$210,4,FALSE)</f>
        <v>134.5053332</v>
      </c>
    </row>
    <row r="1273" spans="2:7" ht="21" x14ac:dyDescent="0.25">
      <c r="B1273" s="221"/>
      <c r="C1273" s="129"/>
      <c r="D1273" s="216"/>
      <c r="E1273" s="184" t="s">
        <v>518</v>
      </c>
      <c r="F1273" s="118" t="str">
        <f>VLOOKUP(E1273,'RSMeans 2009'!$B$3:$E$210,3,FALSE)</f>
        <v>Ea.</v>
      </c>
      <c r="G1273" s="183">
        <f>VLOOKUP(E1273,'RSMeans 2009'!$B$3:$E$210,4,FALSE)</f>
        <v>53.886975799999988</v>
      </c>
    </row>
    <row r="1274" spans="2:7" ht="21" x14ac:dyDescent="0.25">
      <c r="B1274" s="221"/>
      <c r="C1274" s="129"/>
      <c r="D1274" s="216"/>
      <c r="E1274" s="184" t="s">
        <v>519</v>
      </c>
      <c r="F1274" s="118" t="str">
        <f>VLOOKUP(E1274,'RSMeans 2009'!$B$3:$E$210,3,FALSE)</f>
        <v>Ea.</v>
      </c>
      <c r="G1274" s="183">
        <f>VLOOKUP(E1274,'RSMeans 2009'!$B$3:$E$210,4,FALSE)</f>
        <v>196.20132139999998</v>
      </c>
    </row>
    <row r="1275" spans="2:7" x14ac:dyDescent="0.25">
      <c r="B1275" s="221"/>
      <c r="C1275" s="172" t="s">
        <v>724</v>
      </c>
      <c r="D1275" s="226"/>
      <c r="E1275" s="106"/>
    </row>
    <row r="1276" spans="2:7" x14ac:dyDescent="0.25">
      <c r="B1276" s="221"/>
      <c r="C1276" s="214"/>
      <c r="D1276" s="232"/>
      <c r="E1276" s="106" t="s">
        <v>1159</v>
      </c>
      <c r="F1276" s="118" t="e">
        <f>VLOOKUP(E1276,#REF!,2,FALSE)</f>
        <v>#REF!</v>
      </c>
      <c r="G1276" s="183" t="e">
        <f>VLOOKUP(E1276,#REF!,5,FALSE)</f>
        <v>#REF!</v>
      </c>
    </row>
    <row r="1277" spans="2:7" x14ac:dyDescent="0.25">
      <c r="B1277" s="221"/>
      <c r="C1277" s="214"/>
      <c r="D1277" s="232"/>
      <c r="E1277" s="135"/>
    </row>
    <row r="1278" spans="2:7" ht="26.4" x14ac:dyDescent="0.25">
      <c r="B1278" s="221">
        <v>600</v>
      </c>
      <c r="C1278" s="214" t="s">
        <v>2053</v>
      </c>
      <c r="D1278" s="232"/>
      <c r="E1278" s="135" t="s">
        <v>1291</v>
      </c>
    </row>
    <row r="1279" spans="2:7" x14ac:dyDescent="0.25">
      <c r="C1279" s="240" t="s">
        <v>329</v>
      </c>
      <c r="D1279" s="235"/>
    </row>
    <row r="1281" spans="2:7" x14ac:dyDescent="0.25">
      <c r="C1281" s="172" t="s">
        <v>2299</v>
      </c>
      <c r="D1281" s="226"/>
    </row>
    <row r="1282" spans="2:7" x14ac:dyDescent="0.25">
      <c r="C1282" s="172" t="s">
        <v>722</v>
      </c>
      <c r="D1282" s="226"/>
      <c r="E1282" s="135"/>
    </row>
    <row r="1283" spans="2:7" ht="21" x14ac:dyDescent="0.25">
      <c r="C1283" s="129"/>
      <c r="D1283" s="216"/>
      <c r="E1283" s="184" t="s">
        <v>517</v>
      </c>
      <c r="F1283" s="118" t="str">
        <f>VLOOKUP(E1283,'RSMeans 2009'!$B$3:$E$210,3,FALSE)</f>
        <v>Ea.</v>
      </c>
      <c r="G1283" s="183">
        <f>VLOOKUP(E1283,'RSMeans 2009'!$B$3:$E$210,4,FALSE)</f>
        <v>134.5053332</v>
      </c>
    </row>
    <row r="1284" spans="2:7" ht="21" x14ac:dyDescent="0.25">
      <c r="C1284" s="129"/>
      <c r="D1284" s="216"/>
      <c r="E1284" s="184" t="s">
        <v>518</v>
      </c>
      <c r="F1284" s="118" t="str">
        <f>VLOOKUP(E1284,'RSMeans 2009'!$B$3:$E$210,3,FALSE)</f>
        <v>Ea.</v>
      </c>
      <c r="G1284" s="183">
        <f>VLOOKUP(E1284,'RSMeans 2009'!$B$3:$E$210,4,FALSE)</f>
        <v>53.886975799999988</v>
      </c>
    </row>
    <row r="1285" spans="2:7" ht="21" x14ac:dyDescent="0.25">
      <c r="C1285" s="129"/>
      <c r="D1285" s="216"/>
      <c r="E1285" s="184" t="s">
        <v>519</v>
      </c>
      <c r="F1285" s="118" t="str">
        <f>VLOOKUP(E1285,'RSMeans 2009'!$B$3:$E$210,3,FALSE)</f>
        <v>Ea.</v>
      </c>
      <c r="G1285" s="183">
        <f>VLOOKUP(E1285,'RSMeans 2009'!$B$3:$E$210,4,FALSE)</f>
        <v>196.20132139999998</v>
      </c>
    </row>
    <row r="1286" spans="2:7" x14ac:dyDescent="0.25">
      <c r="C1286" s="172" t="s">
        <v>724</v>
      </c>
      <c r="D1286" s="226"/>
      <c r="E1286" s="106"/>
    </row>
    <row r="1287" spans="2:7" x14ac:dyDescent="0.25">
      <c r="C1287" s="214"/>
      <c r="D1287" s="232"/>
      <c r="E1287" s="106" t="s">
        <v>1159</v>
      </c>
      <c r="F1287" s="118" t="e">
        <f>VLOOKUP(E1287,#REF!,2,FALSE)</f>
        <v>#REF!</v>
      </c>
      <c r="G1287" s="183" t="e">
        <f>VLOOKUP(E1287,#REF!,5,FALSE)</f>
        <v>#REF!</v>
      </c>
    </row>
    <row r="1288" spans="2:7" x14ac:dyDescent="0.25">
      <c r="C1288" s="214"/>
      <c r="D1288" s="232"/>
      <c r="E1288" s="106"/>
      <c r="F1288" s="118"/>
      <c r="G1288" s="183"/>
    </row>
    <row r="1289" spans="2:7" ht="39.6" x14ac:dyDescent="0.25">
      <c r="B1289" s="221">
        <v>620</v>
      </c>
      <c r="C1289" s="214" t="s">
        <v>2059</v>
      </c>
      <c r="D1289" s="232"/>
      <c r="E1289" s="135" t="s">
        <v>1293</v>
      </c>
    </row>
    <row r="1290" spans="2:7" x14ac:dyDescent="0.25">
      <c r="B1290" s="221"/>
      <c r="C1290" s="214" t="s">
        <v>329</v>
      </c>
      <c r="D1290" s="232"/>
      <c r="E1290" s="135"/>
    </row>
    <row r="1291" spans="2:7" x14ac:dyDescent="0.25">
      <c r="B1291" s="221"/>
      <c r="C1291" s="214"/>
      <c r="D1291" s="232"/>
      <c r="E1291" s="106" t="s">
        <v>1371</v>
      </c>
    </row>
    <row r="1292" spans="2:7" x14ac:dyDescent="0.25">
      <c r="B1292" s="221"/>
      <c r="C1292" s="214"/>
      <c r="D1292" s="232"/>
      <c r="E1292" s="106" t="s">
        <v>1372</v>
      </c>
    </row>
    <row r="1293" spans="2:7" x14ac:dyDescent="0.25">
      <c r="B1293" s="221"/>
      <c r="C1293" s="214"/>
      <c r="D1293" s="232"/>
      <c r="E1293" s="106" t="s">
        <v>1988</v>
      </c>
    </row>
    <row r="1294" spans="2:7" x14ac:dyDescent="0.25">
      <c r="B1294" s="221"/>
      <c r="C1294" s="214"/>
      <c r="D1294" s="232"/>
      <c r="E1294" s="106" t="s">
        <v>1989</v>
      </c>
    </row>
    <row r="1295" spans="2:7" x14ac:dyDescent="0.25">
      <c r="B1295" s="221"/>
      <c r="C1295" s="214"/>
      <c r="D1295" s="232"/>
      <c r="E1295" s="106" t="s">
        <v>2195</v>
      </c>
    </row>
    <row r="1296" spans="2:7" x14ac:dyDescent="0.25">
      <c r="B1296" s="221"/>
      <c r="C1296" s="214"/>
      <c r="D1296" s="232"/>
      <c r="E1296" s="106" t="s">
        <v>2196</v>
      </c>
    </row>
    <row r="1297" spans="2:5" x14ac:dyDescent="0.25">
      <c r="B1297" s="221"/>
      <c r="C1297" s="214"/>
      <c r="D1297" s="232"/>
      <c r="E1297" s="106" t="s">
        <v>2193</v>
      </c>
    </row>
    <row r="1298" spans="2:5" ht="22.8" x14ac:dyDescent="0.25">
      <c r="B1298" s="221"/>
      <c r="C1298" s="214"/>
      <c r="D1298" s="232"/>
      <c r="E1298" s="106" t="s">
        <v>1481</v>
      </c>
    </row>
    <row r="1299" spans="2:5" ht="22.8" x14ac:dyDescent="0.25">
      <c r="B1299" s="221"/>
      <c r="C1299" s="214"/>
      <c r="D1299" s="232"/>
      <c r="E1299" s="106" t="s">
        <v>438</v>
      </c>
    </row>
    <row r="1300" spans="2:5" ht="22.8" x14ac:dyDescent="0.25">
      <c r="B1300" s="221"/>
      <c r="C1300" s="214"/>
      <c r="D1300" s="232"/>
      <c r="E1300" s="106" t="s">
        <v>1397</v>
      </c>
    </row>
    <row r="1301" spans="2:5" ht="34.200000000000003" x14ac:dyDescent="0.25">
      <c r="B1301" s="221"/>
      <c r="C1301" s="214"/>
      <c r="D1301" s="232"/>
      <c r="E1301" s="106" t="s">
        <v>2655</v>
      </c>
    </row>
    <row r="1302" spans="2:5" ht="34.200000000000003" x14ac:dyDescent="0.25">
      <c r="B1302" s="221"/>
      <c r="C1302" s="214"/>
      <c r="D1302" s="232"/>
      <c r="E1302" s="106" t="s">
        <v>2656</v>
      </c>
    </row>
    <row r="1303" spans="2:5" ht="22.8" x14ac:dyDescent="0.25">
      <c r="B1303" s="221"/>
      <c r="C1303" s="214"/>
      <c r="D1303" s="232"/>
      <c r="E1303" s="106" t="s">
        <v>2168</v>
      </c>
    </row>
    <row r="1304" spans="2:5" ht="22.8" x14ac:dyDescent="0.25">
      <c r="B1304" s="221"/>
      <c r="C1304" s="214"/>
      <c r="D1304" s="232"/>
      <c r="E1304" s="106" t="s">
        <v>1981</v>
      </c>
    </row>
    <row r="1305" spans="2:5" ht="22.8" x14ac:dyDescent="0.25">
      <c r="B1305" s="221"/>
      <c r="C1305" s="214"/>
      <c r="D1305" s="232"/>
      <c r="E1305" s="106" t="s">
        <v>1982</v>
      </c>
    </row>
    <row r="1306" spans="2:5" ht="34.200000000000003" x14ac:dyDescent="0.25">
      <c r="B1306" s="221"/>
      <c r="C1306" s="214"/>
      <c r="D1306" s="232"/>
      <c r="E1306" s="106" t="s">
        <v>1309</v>
      </c>
    </row>
    <row r="1307" spans="2:5" ht="34.200000000000003" x14ac:dyDescent="0.25">
      <c r="B1307" s="221"/>
      <c r="C1307" s="214"/>
      <c r="D1307" s="232"/>
      <c r="E1307" s="106" t="s">
        <v>214</v>
      </c>
    </row>
    <row r="1308" spans="2:5" ht="22.8" x14ac:dyDescent="0.25">
      <c r="B1308" s="221"/>
      <c r="C1308" s="214"/>
      <c r="D1308" s="232"/>
      <c r="E1308" s="106" t="s">
        <v>1184</v>
      </c>
    </row>
    <row r="1309" spans="2:5" ht="22.8" x14ac:dyDescent="0.25">
      <c r="B1309" s="221"/>
      <c r="C1309" s="214"/>
      <c r="D1309" s="232"/>
      <c r="E1309" s="106" t="s">
        <v>1185</v>
      </c>
    </row>
    <row r="1310" spans="2:5" ht="22.8" x14ac:dyDescent="0.25">
      <c r="B1310" s="221"/>
      <c r="C1310" s="214"/>
      <c r="D1310" s="232"/>
      <c r="E1310" s="106" t="s">
        <v>1186</v>
      </c>
    </row>
    <row r="1311" spans="2:5" ht="22.8" x14ac:dyDescent="0.25">
      <c r="B1311" s="221"/>
      <c r="C1311" s="214"/>
      <c r="D1311" s="232"/>
      <c r="E1311" s="106" t="s">
        <v>1187</v>
      </c>
    </row>
    <row r="1312" spans="2:5" ht="22.8" x14ac:dyDescent="0.25">
      <c r="B1312" s="221"/>
      <c r="C1312" s="214"/>
      <c r="D1312" s="232"/>
      <c r="E1312" s="106" t="s">
        <v>203</v>
      </c>
    </row>
    <row r="1313" spans="2:5" ht="22.8" x14ac:dyDescent="0.25">
      <c r="B1313" s="221"/>
      <c r="C1313" s="214"/>
      <c r="D1313" s="232"/>
      <c r="E1313" s="106" t="s">
        <v>1188</v>
      </c>
    </row>
    <row r="1314" spans="2:5" ht="22.8" x14ac:dyDescent="0.25">
      <c r="B1314" s="221"/>
      <c r="C1314" s="214"/>
      <c r="D1314" s="232"/>
      <c r="E1314" s="106" t="s">
        <v>2363</v>
      </c>
    </row>
    <row r="1315" spans="2:5" ht="22.8" x14ac:dyDescent="0.25">
      <c r="B1315" s="221"/>
      <c r="C1315" s="214"/>
      <c r="D1315" s="232"/>
      <c r="E1315" s="106" t="s">
        <v>2364</v>
      </c>
    </row>
    <row r="1316" spans="2:5" ht="22.8" x14ac:dyDescent="0.25">
      <c r="B1316" s="221"/>
      <c r="C1316" s="214"/>
      <c r="D1316" s="232"/>
      <c r="E1316" s="106" t="s">
        <v>1374</v>
      </c>
    </row>
    <row r="1317" spans="2:5" ht="22.8" x14ac:dyDescent="0.25">
      <c r="B1317" s="221"/>
      <c r="C1317" s="214"/>
      <c r="D1317" s="232"/>
      <c r="E1317" s="106" t="s">
        <v>1375</v>
      </c>
    </row>
    <row r="1318" spans="2:5" ht="22.8" x14ac:dyDescent="0.25">
      <c r="B1318" s="221"/>
      <c r="C1318" s="214"/>
      <c r="D1318" s="232"/>
      <c r="E1318" s="106" t="s">
        <v>1225</v>
      </c>
    </row>
    <row r="1319" spans="2:5" ht="22.8" x14ac:dyDescent="0.25">
      <c r="B1319" s="221"/>
      <c r="C1319" s="214"/>
      <c r="D1319" s="232"/>
      <c r="E1319" s="106" t="s">
        <v>1226</v>
      </c>
    </row>
    <row r="1320" spans="2:5" ht="22.8" x14ac:dyDescent="0.25">
      <c r="B1320" s="221"/>
      <c r="C1320" s="214"/>
      <c r="D1320" s="232"/>
      <c r="E1320" s="106" t="s">
        <v>1227</v>
      </c>
    </row>
    <row r="1321" spans="2:5" ht="22.8" x14ac:dyDescent="0.25">
      <c r="B1321" s="221"/>
      <c r="C1321" s="214"/>
      <c r="D1321" s="232"/>
      <c r="E1321" s="106" t="s">
        <v>1228</v>
      </c>
    </row>
    <row r="1322" spans="2:5" ht="22.8" x14ac:dyDescent="0.25">
      <c r="B1322" s="221"/>
      <c r="C1322" s="214"/>
      <c r="D1322" s="232"/>
      <c r="E1322" s="106" t="s">
        <v>1229</v>
      </c>
    </row>
    <row r="1323" spans="2:5" x14ac:dyDescent="0.25">
      <c r="B1323" s="221"/>
      <c r="C1323" s="214"/>
      <c r="D1323" s="232"/>
      <c r="E1323" s="106" t="s">
        <v>2540</v>
      </c>
    </row>
    <row r="1324" spans="2:5" x14ac:dyDescent="0.25">
      <c r="B1324" s="221"/>
      <c r="C1324" s="214"/>
      <c r="D1324" s="232"/>
      <c r="E1324" s="106" t="s">
        <v>2541</v>
      </c>
    </row>
    <row r="1325" spans="2:5" x14ac:dyDescent="0.25">
      <c r="B1325" s="221"/>
      <c r="C1325" s="214"/>
      <c r="D1325" s="232"/>
      <c r="E1325" s="106" t="s">
        <v>2542</v>
      </c>
    </row>
    <row r="1326" spans="2:5" x14ac:dyDescent="0.25">
      <c r="B1326" s="221"/>
      <c r="C1326" s="214"/>
      <c r="D1326" s="232"/>
      <c r="E1326" s="106" t="s">
        <v>1341</v>
      </c>
    </row>
    <row r="1327" spans="2:5" x14ac:dyDescent="0.25">
      <c r="B1327" s="221"/>
      <c r="C1327" s="214"/>
      <c r="D1327" s="232"/>
      <c r="E1327" s="106" t="s">
        <v>702</v>
      </c>
    </row>
    <row r="1328" spans="2:5" x14ac:dyDescent="0.25">
      <c r="B1328" s="221"/>
      <c r="C1328" s="214"/>
      <c r="D1328" s="232"/>
      <c r="E1328" s="106" t="s">
        <v>703</v>
      </c>
    </row>
    <row r="1329" spans="2:5" x14ac:dyDescent="0.25">
      <c r="B1329" s="221"/>
      <c r="C1329" s="214"/>
      <c r="D1329" s="232"/>
      <c r="E1329" s="106" t="s">
        <v>704</v>
      </c>
    </row>
    <row r="1330" spans="2:5" x14ac:dyDescent="0.25">
      <c r="B1330" s="221"/>
      <c r="C1330" s="214"/>
      <c r="D1330" s="232"/>
      <c r="E1330" s="106" t="s">
        <v>699</v>
      </c>
    </row>
    <row r="1331" spans="2:5" x14ac:dyDescent="0.25">
      <c r="B1331" s="221"/>
      <c r="C1331" s="214"/>
      <c r="D1331" s="232"/>
      <c r="E1331" s="106" t="s">
        <v>700</v>
      </c>
    </row>
    <row r="1332" spans="2:5" x14ac:dyDescent="0.25">
      <c r="B1332" s="221"/>
      <c r="C1332" s="214"/>
      <c r="D1332" s="232"/>
      <c r="E1332" s="106" t="s">
        <v>701</v>
      </c>
    </row>
    <row r="1333" spans="2:5" x14ac:dyDescent="0.25">
      <c r="B1333" s="221"/>
      <c r="C1333" s="214"/>
      <c r="D1333" s="232"/>
      <c r="E1333" s="106" t="s">
        <v>165</v>
      </c>
    </row>
    <row r="1334" spans="2:5" x14ac:dyDescent="0.25">
      <c r="B1334" s="221"/>
      <c r="C1334" s="214"/>
      <c r="D1334" s="232"/>
      <c r="E1334" s="106" t="s">
        <v>1376</v>
      </c>
    </row>
    <row r="1335" spans="2:5" x14ac:dyDescent="0.25">
      <c r="B1335" s="221"/>
      <c r="C1335" s="214"/>
      <c r="D1335" s="232"/>
      <c r="E1335" s="106" t="s">
        <v>1110</v>
      </c>
    </row>
    <row r="1336" spans="2:5" x14ac:dyDescent="0.25">
      <c r="B1336" s="221"/>
      <c r="C1336" s="214"/>
      <c r="D1336" s="232"/>
      <c r="E1336" s="106" t="s">
        <v>988</v>
      </c>
    </row>
    <row r="1337" spans="2:5" x14ac:dyDescent="0.25">
      <c r="B1337" s="221"/>
      <c r="C1337" s="214"/>
      <c r="D1337" s="232"/>
      <c r="E1337" s="106" t="s">
        <v>2797</v>
      </c>
    </row>
    <row r="1338" spans="2:5" x14ac:dyDescent="0.25">
      <c r="B1338" s="221"/>
      <c r="C1338" s="214"/>
      <c r="D1338" s="232"/>
      <c r="E1338" s="106" t="s">
        <v>1999</v>
      </c>
    </row>
    <row r="1339" spans="2:5" x14ac:dyDescent="0.25">
      <c r="B1339" s="221"/>
      <c r="C1339" s="214"/>
      <c r="D1339" s="232"/>
      <c r="E1339" s="106" t="s">
        <v>2786</v>
      </c>
    </row>
    <row r="1340" spans="2:5" x14ac:dyDescent="0.25">
      <c r="B1340" s="221"/>
      <c r="C1340" s="214"/>
      <c r="D1340" s="232"/>
      <c r="E1340" s="106" t="s">
        <v>2784</v>
      </c>
    </row>
    <row r="1341" spans="2:5" x14ac:dyDescent="0.25">
      <c r="B1341" s="221"/>
      <c r="C1341" s="214"/>
      <c r="D1341" s="232"/>
      <c r="E1341" s="106" t="s">
        <v>1996</v>
      </c>
    </row>
    <row r="1342" spans="2:5" x14ac:dyDescent="0.25">
      <c r="B1342" s="221"/>
      <c r="C1342" s="214"/>
      <c r="D1342" s="232"/>
      <c r="E1342" s="106" t="s">
        <v>1997</v>
      </c>
    </row>
    <row r="1343" spans="2:5" x14ac:dyDescent="0.25">
      <c r="B1343" s="221"/>
      <c r="C1343" s="214"/>
      <c r="D1343" s="232"/>
      <c r="E1343" s="106" t="s">
        <v>1998</v>
      </c>
    </row>
    <row r="1344" spans="2:5" ht="22.8" x14ac:dyDescent="0.25">
      <c r="B1344" s="221"/>
      <c r="C1344" s="214"/>
      <c r="D1344" s="232"/>
      <c r="E1344" s="106" t="s">
        <v>909</v>
      </c>
    </row>
    <row r="1345" spans="2:7" ht="22.8" x14ac:dyDescent="0.25">
      <c r="B1345" s="221"/>
      <c r="C1345" s="214"/>
      <c r="D1345" s="232"/>
      <c r="E1345" s="106" t="s">
        <v>906</v>
      </c>
    </row>
    <row r="1346" spans="2:7" ht="22.8" x14ac:dyDescent="0.25">
      <c r="B1346" s="221"/>
      <c r="C1346" s="214"/>
      <c r="D1346" s="232"/>
      <c r="E1346" s="106" t="s">
        <v>907</v>
      </c>
    </row>
    <row r="1347" spans="2:7" ht="22.8" x14ac:dyDescent="0.25">
      <c r="B1347" s="221"/>
      <c r="C1347" s="214"/>
      <c r="D1347" s="232"/>
      <c r="E1347" s="106" t="s">
        <v>1781</v>
      </c>
    </row>
    <row r="1348" spans="2:7" ht="22.8" x14ac:dyDescent="0.25">
      <c r="B1348" s="221"/>
      <c r="C1348" s="214"/>
      <c r="D1348" s="232"/>
      <c r="E1348" s="106" t="s">
        <v>908</v>
      </c>
    </row>
    <row r="1349" spans="2:7" ht="22.8" x14ac:dyDescent="0.25">
      <c r="B1349" s="221"/>
      <c r="C1349" s="214"/>
      <c r="D1349" s="232"/>
      <c r="E1349" s="106" t="s">
        <v>910</v>
      </c>
    </row>
    <row r="1350" spans="2:7" x14ac:dyDescent="0.25">
      <c r="B1350" s="221"/>
      <c r="C1350" s="172" t="s">
        <v>2299</v>
      </c>
      <c r="D1350" s="226"/>
    </row>
    <row r="1351" spans="2:7" x14ac:dyDescent="0.25">
      <c r="B1351" s="221"/>
      <c r="C1351" s="172"/>
      <c r="D1351" s="226"/>
      <c r="E1351" s="106" t="s">
        <v>2313</v>
      </c>
    </row>
    <row r="1352" spans="2:7" x14ac:dyDescent="0.25">
      <c r="B1352" s="221"/>
      <c r="C1352" s="172"/>
      <c r="D1352" s="226"/>
      <c r="E1352" s="106" t="s">
        <v>1034</v>
      </c>
    </row>
    <row r="1353" spans="2:7" x14ac:dyDescent="0.25">
      <c r="B1353" s="221"/>
      <c r="C1353" s="214"/>
      <c r="D1353" s="232"/>
      <c r="E1353" s="106" t="s">
        <v>1523</v>
      </c>
    </row>
    <row r="1354" spans="2:7" x14ac:dyDescent="0.25">
      <c r="B1354" s="221"/>
      <c r="C1354" s="214"/>
      <c r="D1354" s="232"/>
      <c r="E1354" s="106" t="s">
        <v>2433</v>
      </c>
    </row>
    <row r="1355" spans="2:7" x14ac:dyDescent="0.25">
      <c r="B1355" s="221"/>
      <c r="C1355" s="172" t="s">
        <v>722</v>
      </c>
      <c r="D1355" s="226"/>
      <c r="E1355" s="135"/>
    </row>
    <row r="1356" spans="2:7" ht="21" x14ac:dyDescent="0.25">
      <c r="B1356" s="221"/>
      <c r="C1356" s="129"/>
      <c r="D1356" s="216"/>
      <c r="E1356" s="184" t="s">
        <v>517</v>
      </c>
      <c r="F1356" s="118" t="str">
        <f>VLOOKUP(E1356,'RSMeans 2009'!$B$3:$E$210,3,FALSE)</f>
        <v>Ea.</v>
      </c>
      <c r="G1356" s="183">
        <f>VLOOKUP(E1356,'RSMeans 2009'!$B$3:$E$210,4,FALSE)</f>
        <v>134.5053332</v>
      </c>
    </row>
    <row r="1357" spans="2:7" ht="21" x14ac:dyDescent="0.25">
      <c r="B1357" s="221"/>
      <c r="C1357" s="129"/>
      <c r="D1357" s="216"/>
      <c r="E1357" s="184" t="s">
        <v>518</v>
      </c>
      <c r="F1357" s="118" t="str">
        <f>VLOOKUP(E1357,'RSMeans 2009'!$B$3:$E$210,3,FALSE)</f>
        <v>Ea.</v>
      </c>
      <c r="G1357" s="183">
        <f>VLOOKUP(E1357,'RSMeans 2009'!$B$3:$E$210,4,FALSE)</f>
        <v>53.886975799999988</v>
      </c>
    </row>
    <row r="1358" spans="2:7" ht="21" x14ac:dyDescent="0.25">
      <c r="B1358" s="221"/>
      <c r="C1358" s="129"/>
      <c r="D1358" s="216"/>
      <c r="E1358" s="184" t="s">
        <v>519</v>
      </c>
      <c r="F1358" s="118" t="str">
        <f>VLOOKUP(E1358,'RSMeans 2009'!$B$3:$E$210,3,FALSE)</f>
        <v>Ea.</v>
      </c>
      <c r="G1358" s="183">
        <f>VLOOKUP(E1358,'RSMeans 2009'!$B$3:$E$210,4,FALSE)</f>
        <v>196.20132139999998</v>
      </c>
    </row>
    <row r="1359" spans="2:7" x14ac:dyDescent="0.25">
      <c r="B1359" s="221"/>
      <c r="C1359" s="172" t="s">
        <v>724</v>
      </c>
      <c r="D1359" s="226"/>
      <c r="E1359" s="106"/>
    </row>
    <row r="1360" spans="2:7" x14ac:dyDescent="0.25">
      <c r="B1360" s="221"/>
      <c r="C1360" s="214"/>
      <c r="D1360" s="232"/>
      <c r="E1360" s="106" t="s">
        <v>1159</v>
      </c>
      <c r="F1360" s="118" t="e">
        <f>VLOOKUP(E1360,#REF!,2,FALSE)</f>
        <v>#REF!</v>
      </c>
      <c r="G1360" s="183" t="e">
        <f>VLOOKUP(E1360,#REF!,5,FALSE)</f>
        <v>#REF!</v>
      </c>
    </row>
    <row r="1361" spans="2:5" ht="26.4" x14ac:dyDescent="0.25">
      <c r="B1361" s="221">
        <v>367</v>
      </c>
      <c r="C1361" s="214" t="s">
        <v>2063</v>
      </c>
      <c r="D1361" s="232"/>
      <c r="E1361" s="135" t="s">
        <v>2064</v>
      </c>
    </row>
    <row r="1362" spans="2:5" x14ac:dyDescent="0.25">
      <c r="B1362" s="221"/>
      <c r="C1362" s="240" t="s">
        <v>329</v>
      </c>
      <c r="D1362" s="235"/>
    </row>
    <row r="1363" spans="2:5" x14ac:dyDescent="0.25">
      <c r="B1363" s="221"/>
      <c r="C1363" s="172"/>
      <c r="D1363" s="226"/>
      <c r="E1363" s="81" t="s">
        <v>1338</v>
      </c>
    </row>
    <row r="1364" spans="2:5" x14ac:dyDescent="0.25">
      <c r="B1364" s="221"/>
      <c r="C1364" s="172"/>
      <c r="D1364" s="226"/>
      <c r="E1364" s="81" t="s">
        <v>1339</v>
      </c>
    </row>
    <row r="1365" spans="2:5" x14ac:dyDescent="0.25">
      <c r="B1365" s="221"/>
      <c r="C1365" s="172" t="s">
        <v>2299</v>
      </c>
      <c r="D1365" s="226"/>
    </row>
    <row r="1366" spans="2:5" x14ac:dyDescent="0.25">
      <c r="B1366" s="221"/>
      <c r="C1366" s="172"/>
      <c r="D1366" s="226"/>
    </row>
    <row r="1367" spans="2:5" x14ac:dyDescent="0.25">
      <c r="B1367" s="221"/>
      <c r="C1367" s="172" t="s">
        <v>722</v>
      </c>
      <c r="D1367" s="226"/>
    </row>
    <row r="1368" spans="2:5" x14ac:dyDescent="0.25">
      <c r="B1368" s="221"/>
      <c r="C1368" s="172"/>
      <c r="D1368" s="226"/>
    </row>
    <row r="1369" spans="2:5" x14ac:dyDescent="0.25">
      <c r="B1369" s="221"/>
      <c r="C1369" s="172" t="s">
        <v>724</v>
      </c>
      <c r="D1369" s="226"/>
    </row>
    <row r="1370" spans="2:5" x14ac:dyDescent="0.25">
      <c r="B1370" s="221"/>
      <c r="C1370" s="172"/>
      <c r="D1370" s="226"/>
    </row>
    <row r="1371" spans="2:5" ht="39.6" x14ac:dyDescent="0.25">
      <c r="B1371" s="221">
        <v>313</v>
      </c>
      <c r="C1371" s="214" t="s">
        <v>2065</v>
      </c>
      <c r="D1371" s="232"/>
      <c r="E1371" s="135" t="s">
        <v>2066</v>
      </c>
    </row>
    <row r="1372" spans="2:5" x14ac:dyDescent="0.25">
      <c r="B1372" s="221"/>
      <c r="C1372" s="240" t="s">
        <v>329</v>
      </c>
      <c r="D1372" s="235"/>
    </row>
    <row r="1373" spans="2:5" ht="22.8" x14ac:dyDescent="0.25">
      <c r="B1373" s="221"/>
      <c r="C1373" s="172"/>
      <c r="D1373" s="226"/>
      <c r="E1373" s="106" t="s">
        <v>1481</v>
      </c>
    </row>
    <row r="1374" spans="2:5" ht="22.8" x14ac:dyDescent="0.25">
      <c r="B1374" s="221"/>
      <c r="E1374" s="106" t="s">
        <v>438</v>
      </c>
    </row>
    <row r="1375" spans="2:5" ht="22.8" x14ac:dyDescent="0.25">
      <c r="B1375" s="221"/>
      <c r="E1375" s="106" t="s">
        <v>1397</v>
      </c>
    </row>
    <row r="1376" spans="2:5" ht="22.8" x14ac:dyDescent="0.25">
      <c r="B1376" s="221"/>
      <c r="E1376" s="106" t="s">
        <v>1184</v>
      </c>
    </row>
    <row r="1377" spans="2:7" ht="22.8" x14ac:dyDescent="0.25">
      <c r="B1377" s="221"/>
      <c r="E1377" s="106" t="s">
        <v>1185</v>
      </c>
    </row>
    <row r="1378" spans="2:7" ht="22.8" x14ac:dyDescent="0.25">
      <c r="B1378" s="221"/>
      <c r="E1378" s="106" t="s">
        <v>1186</v>
      </c>
    </row>
    <row r="1379" spans="2:7" ht="22.8" x14ac:dyDescent="0.25">
      <c r="B1379" s="221"/>
      <c r="E1379" s="106" t="s">
        <v>1187</v>
      </c>
    </row>
    <row r="1380" spans="2:7" ht="22.8" x14ac:dyDescent="0.25">
      <c r="B1380" s="221"/>
      <c r="C1380" s="214"/>
      <c r="D1380" s="232"/>
      <c r="E1380" s="106" t="s">
        <v>203</v>
      </c>
      <c r="F1380" s="118"/>
      <c r="G1380" s="183"/>
    </row>
    <row r="1381" spans="2:7" ht="22.8" x14ac:dyDescent="0.25">
      <c r="B1381" s="221"/>
      <c r="C1381" s="214"/>
      <c r="D1381" s="232"/>
      <c r="E1381" s="106" t="s">
        <v>1188</v>
      </c>
    </row>
    <row r="1382" spans="2:7" ht="22.8" x14ac:dyDescent="0.25">
      <c r="B1382" s="221"/>
      <c r="C1382" s="214"/>
      <c r="D1382" s="232"/>
      <c r="E1382" s="106" t="s">
        <v>2363</v>
      </c>
    </row>
    <row r="1383" spans="2:7" ht="22.8" x14ac:dyDescent="0.25">
      <c r="B1383" s="221"/>
      <c r="C1383" s="214"/>
      <c r="D1383" s="232"/>
      <c r="E1383" s="106" t="s">
        <v>2364</v>
      </c>
    </row>
    <row r="1384" spans="2:7" ht="22.8" x14ac:dyDescent="0.25">
      <c r="B1384" s="221"/>
      <c r="C1384" s="214"/>
      <c r="D1384" s="232"/>
      <c r="E1384" s="106" t="s">
        <v>1374</v>
      </c>
    </row>
    <row r="1385" spans="2:7" ht="22.8" x14ac:dyDescent="0.25">
      <c r="B1385" s="221"/>
      <c r="C1385" s="214"/>
      <c r="D1385" s="232"/>
      <c r="E1385" s="106" t="s">
        <v>1375</v>
      </c>
    </row>
    <row r="1386" spans="2:7" x14ac:dyDescent="0.25">
      <c r="B1386" s="221"/>
      <c r="C1386" s="214"/>
      <c r="D1386" s="232"/>
      <c r="E1386" s="106" t="s">
        <v>2540</v>
      </c>
    </row>
    <row r="1387" spans="2:7" x14ac:dyDescent="0.25">
      <c r="B1387" s="221"/>
      <c r="C1387" s="214"/>
      <c r="D1387" s="232"/>
      <c r="E1387" s="106" t="s">
        <v>2541</v>
      </c>
    </row>
    <row r="1388" spans="2:7" x14ac:dyDescent="0.25">
      <c r="B1388" s="221"/>
      <c r="C1388" s="214"/>
      <c r="D1388" s="232"/>
      <c r="E1388" s="106" t="s">
        <v>2542</v>
      </c>
    </row>
    <row r="1389" spans="2:7" x14ac:dyDescent="0.25">
      <c r="B1389" s="221"/>
      <c r="C1389" s="214"/>
      <c r="D1389" s="232"/>
      <c r="E1389" s="106" t="s">
        <v>1341</v>
      </c>
    </row>
    <row r="1390" spans="2:7" x14ac:dyDescent="0.25">
      <c r="B1390" s="221"/>
      <c r="C1390" s="214"/>
      <c r="D1390" s="232"/>
      <c r="E1390" s="106" t="s">
        <v>1604</v>
      </c>
    </row>
    <row r="1391" spans="2:7" x14ac:dyDescent="0.25">
      <c r="B1391" s="221"/>
      <c r="C1391" s="214"/>
      <c r="D1391" s="232"/>
      <c r="E1391" s="106" t="s">
        <v>1605</v>
      </c>
    </row>
    <row r="1392" spans="2:7" x14ac:dyDescent="0.25">
      <c r="B1392" s="221"/>
      <c r="C1392" s="214"/>
      <c r="D1392" s="232"/>
      <c r="E1392" s="106" t="s">
        <v>1004</v>
      </c>
    </row>
    <row r="1393" spans="2:5" x14ac:dyDescent="0.25">
      <c r="B1393" s="221"/>
      <c r="C1393" s="214"/>
      <c r="D1393" s="232"/>
      <c r="E1393" s="106" t="s">
        <v>1622</v>
      </c>
    </row>
    <row r="1394" spans="2:5" x14ac:dyDescent="0.25">
      <c r="B1394" s="221"/>
      <c r="C1394" s="214"/>
      <c r="D1394" s="232"/>
      <c r="E1394" s="106" t="s">
        <v>231</v>
      </c>
    </row>
    <row r="1395" spans="2:5" x14ac:dyDescent="0.25">
      <c r="B1395" s="221"/>
      <c r="C1395" s="214"/>
      <c r="D1395" s="232"/>
      <c r="E1395" s="106" t="s">
        <v>702</v>
      </c>
    </row>
    <row r="1396" spans="2:5" x14ac:dyDescent="0.25">
      <c r="B1396" s="221"/>
      <c r="C1396" s="214"/>
      <c r="D1396" s="232"/>
      <c r="E1396" s="106" t="s">
        <v>703</v>
      </c>
    </row>
    <row r="1397" spans="2:5" x14ac:dyDescent="0.25">
      <c r="B1397" s="221"/>
      <c r="C1397" s="214"/>
      <c r="D1397" s="232"/>
      <c r="E1397" s="106" t="s">
        <v>704</v>
      </c>
    </row>
    <row r="1398" spans="2:5" x14ac:dyDescent="0.25">
      <c r="B1398" s="221"/>
      <c r="C1398" s="214"/>
      <c r="D1398" s="232"/>
      <c r="E1398" s="106" t="s">
        <v>1376</v>
      </c>
    </row>
    <row r="1399" spans="2:5" x14ac:dyDescent="0.25">
      <c r="B1399" s="221"/>
      <c r="C1399" s="214"/>
      <c r="D1399" s="232"/>
      <c r="E1399" s="106" t="s">
        <v>1110</v>
      </c>
    </row>
    <row r="1400" spans="2:5" ht="22.8" x14ac:dyDescent="0.25">
      <c r="B1400" s="221"/>
      <c r="C1400" s="214"/>
      <c r="D1400" s="232"/>
      <c r="E1400" s="106" t="s">
        <v>2522</v>
      </c>
    </row>
    <row r="1401" spans="2:5" x14ac:dyDescent="0.25">
      <c r="B1401" s="221"/>
      <c r="C1401" s="214"/>
      <c r="D1401" s="232"/>
      <c r="E1401" s="106" t="s">
        <v>1232</v>
      </c>
    </row>
    <row r="1402" spans="2:5" ht="22.8" x14ac:dyDescent="0.25">
      <c r="B1402" s="221"/>
      <c r="C1402" s="214"/>
      <c r="D1402" s="232"/>
      <c r="E1402" s="106" t="s">
        <v>2543</v>
      </c>
    </row>
    <row r="1403" spans="2:5" ht="22.8" x14ac:dyDescent="0.25">
      <c r="B1403" s="221"/>
      <c r="C1403" s="214"/>
      <c r="D1403" s="232"/>
      <c r="E1403" s="106" t="s">
        <v>2544</v>
      </c>
    </row>
    <row r="1404" spans="2:5" ht="22.8" x14ac:dyDescent="0.25">
      <c r="B1404" s="221"/>
      <c r="C1404" s="214"/>
      <c r="D1404" s="232"/>
      <c r="E1404" s="106" t="s">
        <v>2318</v>
      </c>
    </row>
    <row r="1405" spans="2:5" ht="22.8" x14ac:dyDescent="0.25">
      <c r="B1405" s="221"/>
      <c r="C1405" s="214"/>
      <c r="D1405" s="232"/>
      <c r="E1405" s="106" t="s">
        <v>909</v>
      </c>
    </row>
    <row r="1406" spans="2:5" ht="22.8" x14ac:dyDescent="0.25">
      <c r="B1406" s="221"/>
      <c r="C1406" s="214"/>
      <c r="D1406" s="232"/>
      <c r="E1406" s="106" t="s">
        <v>906</v>
      </c>
    </row>
    <row r="1407" spans="2:5" ht="22.8" x14ac:dyDescent="0.25">
      <c r="B1407" s="221"/>
      <c r="C1407" s="214"/>
      <c r="D1407" s="232"/>
      <c r="E1407" s="106" t="s">
        <v>907</v>
      </c>
    </row>
    <row r="1408" spans="2:5" ht="22.8" x14ac:dyDescent="0.25">
      <c r="B1408" s="221"/>
      <c r="C1408" s="214"/>
      <c r="D1408" s="232"/>
      <c r="E1408" s="106" t="s">
        <v>1781</v>
      </c>
    </row>
    <row r="1409" spans="2:5" ht="22.8" x14ac:dyDescent="0.25">
      <c r="B1409" s="221"/>
      <c r="C1409" s="214"/>
      <c r="D1409" s="232"/>
      <c r="E1409" s="106" t="s">
        <v>908</v>
      </c>
    </row>
    <row r="1410" spans="2:5" ht="22.8" x14ac:dyDescent="0.25">
      <c r="B1410" s="221"/>
      <c r="C1410" s="214"/>
      <c r="D1410" s="232"/>
      <c r="E1410" s="106" t="s">
        <v>910</v>
      </c>
    </row>
    <row r="1411" spans="2:5" x14ac:dyDescent="0.25">
      <c r="B1411" s="221"/>
      <c r="C1411" s="214"/>
      <c r="D1411" s="232"/>
      <c r="E1411" s="114" t="s">
        <v>422</v>
      </c>
    </row>
    <row r="1412" spans="2:5" x14ac:dyDescent="0.25">
      <c r="B1412" s="221"/>
      <c r="C1412" s="214"/>
      <c r="D1412" s="232"/>
      <c r="E1412" s="114" t="s">
        <v>2860</v>
      </c>
    </row>
    <row r="1413" spans="2:5" ht="22.8" x14ac:dyDescent="0.25">
      <c r="B1413" s="221"/>
      <c r="C1413" s="214"/>
      <c r="D1413" s="232"/>
      <c r="E1413" s="114" t="s">
        <v>1716</v>
      </c>
    </row>
    <row r="1414" spans="2:5" ht="22.8" x14ac:dyDescent="0.25">
      <c r="B1414" s="221"/>
      <c r="C1414" s="214"/>
      <c r="D1414" s="232"/>
      <c r="E1414" s="115" t="s">
        <v>1717</v>
      </c>
    </row>
    <row r="1415" spans="2:5" ht="22.8" x14ac:dyDescent="0.25">
      <c r="B1415" s="221"/>
      <c r="C1415" s="214"/>
      <c r="D1415" s="232"/>
      <c r="E1415" s="115" t="s">
        <v>2204</v>
      </c>
    </row>
    <row r="1416" spans="2:5" ht="22.8" x14ac:dyDescent="0.25">
      <c r="B1416" s="221"/>
      <c r="C1416" s="214"/>
      <c r="D1416" s="232"/>
      <c r="E1416" s="115" t="s">
        <v>2205</v>
      </c>
    </row>
    <row r="1417" spans="2:5" x14ac:dyDescent="0.25">
      <c r="B1417" s="221"/>
      <c r="C1417" s="214"/>
      <c r="D1417" s="232"/>
      <c r="E1417" s="106" t="s">
        <v>2654</v>
      </c>
    </row>
    <row r="1418" spans="2:5" ht="18.75" customHeight="1" x14ac:dyDescent="0.25">
      <c r="B1418" s="221"/>
      <c r="C1418" s="214"/>
      <c r="D1418" s="232"/>
      <c r="E1418" s="106" t="s">
        <v>401</v>
      </c>
    </row>
    <row r="1419" spans="2:5" x14ac:dyDescent="0.25">
      <c r="B1419" s="221"/>
      <c r="C1419" s="214"/>
      <c r="D1419" s="232"/>
      <c r="E1419" s="106" t="s">
        <v>1984</v>
      </c>
    </row>
    <row r="1420" spans="2:5" x14ac:dyDescent="0.25">
      <c r="B1420" s="221"/>
      <c r="C1420" s="214"/>
      <c r="D1420" s="232"/>
      <c r="E1420" s="106" t="s">
        <v>403</v>
      </c>
    </row>
    <row r="1421" spans="2:5" x14ac:dyDescent="0.25">
      <c r="B1421" s="221"/>
      <c r="C1421" s="214"/>
      <c r="D1421" s="232"/>
      <c r="E1421" s="106" t="s">
        <v>1455</v>
      </c>
    </row>
    <row r="1422" spans="2:5" x14ac:dyDescent="0.25">
      <c r="B1422" s="221"/>
      <c r="C1422" s="214"/>
      <c r="D1422" s="232"/>
      <c r="E1422" s="113" t="s">
        <v>2183</v>
      </c>
    </row>
    <row r="1423" spans="2:5" x14ac:dyDescent="0.25">
      <c r="B1423" s="221"/>
      <c r="C1423" s="214"/>
      <c r="D1423" s="232"/>
      <c r="E1423" s="113" t="s">
        <v>2658</v>
      </c>
    </row>
    <row r="1424" spans="2:5" x14ac:dyDescent="0.25">
      <c r="B1424" s="221"/>
      <c r="C1424" s="214"/>
      <c r="D1424" s="232"/>
      <c r="E1424" s="113" t="s">
        <v>2659</v>
      </c>
    </row>
    <row r="1425" spans="2:7" x14ac:dyDescent="0.25">
      <c r="B1425" s="221"/>
      <c r="C1425" s="214"/>
      <c r="D1425" s="232"/>
      <c r="E1425" s="113" t="s">
        <v>2660</v>
      </c>
    </row>
    <row r="1426" spans="2:7" x14ac:dyDescent="0.25">
      <c r="B1426" s="221"/>
      <c r="C1426" s="172" t="s">
        <v>2299</v>
      </c>
      <c r="D1426" s="226"/>
      <c r="E1426" s="135"/>
    </row>
    <row r="1427" spans="2:7" x14ac:dyDescent="0.25">
      <c r="B1427" s="221"/>
      <c r="C1427" s="214"/>
      <c r="D1427" s="232"/>
      <c r="E1427" s="106" t="s">
        <v>1034</v>
      </c>
    </row>
    <row r="1428" spans="2:7" x14ac:dyDescent="0.25">
      <c r="B1428" s="221"/>
      <c r="C1428" s="214"/>
      <c r="D1428" s="232"/>
      <c r="E1428" s="106" t="s">
        <v>2313</v>
      </c>
    </row>
    <row r="1429" spans="2:7" x14ac:dyDescent="0.25">
      <c r="B1429" s="221"/>
      <c r="C1429" s="214"/>
      <c r="D1429" s="232"/>
      <c r="E1429" s="106" t="s">
        <v>1523</v>
      </c>
    </row>
    <row r="1430" spans="2:7" x14ac:dyDescent="0.25">
      <c r="B1430" s="221"/>
      <c r="C1430" s="214"/>
      <c r="D1430" s="232"/>
      <c r="E1430" s="106" t="s">
        <v>2433</v>
      </c>
    </row>
    <row r="1431" spans="2:7" x14ac:dyDescent="0.25">
      <c r="B1431" s="221"/>
      <c r="C1431" s="214"/>
      <c r="D1431" s="232"/>
      <c r="E1431" s="113" t="s">
        <v>2661</v>
      </c>
    </row>
    <row r="1432" spans="2:7" x14ac:dyDescent="0.25">
      <c r="B1432" s="221"/>
      <c r="C1432" s="172" t="s">
        <v>722</v>
      </c>
      <c r="D1432" s="226"/>
      <c r="E1432" s="135"/>
    </row>
    <row r="1433" spans="2:7" ht="21" x14ac:dyDescent="0.25">
      <c r="B1433" s="221"/>
      <c r="C1433" s="129"/>
      <c r="D1433" s="216"/>
      <c r="E1433" s="184" t="s">
        <v>517</v>
      </c>
      <c r="F1433" s="118" t="str">
        <f>VLOOKUP(E1433,'RSMeans 2009'!$B$3:$E$210,3,FALSE)</f>
        <v>Ea.</v>
      </c>
      <c r="G1433" s="183">
        <f>VLOOKUP(E1433,'RSMeans 2009'!$B$3:$E$210,4,FALSE)</f>
        <v>134.5053332</v>
      </c>
    </row>
    <row r="1434" spans="2:7" ht="21" x14ac:dyDescent="0.25">
      <c r="B1434" s="221"/>
      <c r="C1434" s="129"/>
      <c r="D1434" s="216"/>
      <c r="E1434" s="184" t="s">
        <v>518</v>
      </c>
      <c r="F1434" s="118" t="str">
        <f>VLOOKUP(E1434,'RSMeans 2009'!$B$3:$E$210,3,FALSE)</f>
        <v>Ea.</v>
      </c>
      <c r="G1434" s="183">
        <f>VLOOKUP(E1434,'RSMeans 2009'!$B$3:$E$210,4,FALSE)</f>
        <v>53.886975799999988</v>
      </c>
    </row>
    <row r="1435" spans="2:7" ht="21" x14ac:dyDescent="0.25">
      <c r="B1435" s="221"/>
      <c r="C1435" s="129"/>
      <c r="D1435" s="216"/>
      <c r="E1435" s="184" t="s">
        <v>519</v>
      </c>
      <c r="F1435" s="118" t="str">
        <f>VLOOKUP(E1435,'RSMeans 2009'!$B$3:$E$210,3,FALSE)</f>
        <v>Ea.</v>
      </c>
      <c r="G1435" s="183">
        <f>VLOOKUP(E1435,'RSMeans 2009'!$B$3:$E$210,4,FALSE)</f>
        <v>196.20132139999998</v>
      </c>
    </row>
    <row r="1436" spans="2:7" x14ac:dyDescent="0.25">
      <c r="B1436" s="221"/>
      <c r="C1436" s="172" t="s">
        <v>724</v>
      </c>
      <c r="D1436" s="226"/>
      <c r="E1436" s="106"/>
    </row>
    <row r="1437" spans="2:7" x14ac:dyDescent="0.25">
      <c r="B1437" s="221"/>
      <c r="C1437" s="214"/>
      <c r="D1437" s="232"/>
      <c r="E1437" s="106" t="s">
        <v>1159</v>
      </c>
      <c r="F1437" s="118" t="e">
        <f>VLOOKUP(E1437,#REF!,2,FALSE)</f>
        <v>#REF!</v>
      </c>
      <c r="G1437" s="183" t="e">
        <f>VLOOKUP(E1437,#REF!,5,FALSE)</f>
        <v>#REF!</v>
      </c>
    </row>
    <row r="1438" spans="2:7" x14ac:dyDescent="0.25">
      <c r="B1438" s="221"/>
      <c r="C1438" s="214"/>
      <c r="D1438" s="232"/>
      <c r="E1438" s="135"/>
    </row>
    <row r="1439" spans="2:7" ht="39.6" x14ac:dyDescent="0.25">
      <c r="B1439" s="221">
        <v>635</v>
      </c>
      <c r="C1439" s="214" t="s">
        <v>2068</v>
      </c>
      <c r="D1439" s="232"/>
      <c r="E1439" s="135" t="s">
        <v>444</v>
      </c>
    </row>
    <row r="1440" spans="2:7" x14ac:dyDescent="0.25">
      <c r="B1440" s="221"/>
      <c r="C1440" s="214" t="s">
        <v>329</v>
      </c>
      <c r="D1440" s="232"/>
      <c r="E1440" s="135"/>
    </row>
    <row r="1441" spans="2:5" x14ac:dyDescent="0.25">
      <c r="B1441" s="221"/>
      <c r="C1441" s="214"/>
      <c r="D1441" s="232"/>
      <c r="E1441" s="106" t="s">
        <v>1376</v>
      </c>
    </row>
    <row r="1442" spans="2:5" x14ac:dyDescent="0.25">
      <c r="B1442" s="221"/>
      <c r="C1442" s="214"/>
      <c r="D1442" s="232"/>
      <c r="E1442" s="106" t="s">
        <v>1110</v>
      </c>
    </row>
    <row r="1443" spans="2:5" x14ac:dyDescent="0.25">
      <c r="B1443" s="221"/>
      <c r="C1443" s="214"/>
      <c r="D1443" s="232"/>
      <c r="E1443" s="135"/>
    </row>
    <row r="1444" spans="2:5" x14ac:dyDescent="0.25">
      <c r="B1444" s="221"/>
      <c r="C1444" s="214"/>
      <c r="D1444" s="232"/>
      <c r="E1444" s="135"/>
    </row>
    <row r="1445" spans="2:5" x14ac:dyDescent="0.25">
      <c r="B1445" s="221"/>
      <c r="C1445" s="214"/>
      <c r="D1445" s="232"/>
      <c r="E1445" s="135"/>
    </row>
    <row r="1446" spans="2:5" x14ac:dyDescent="0.25">
      <c r="B1446" s="221"/>
      <c r="C1446" s="214"/>
      <c r="D1446" s="232"/>
      <c r="E1446" s="135"/>
    </row>
    <row r="1447" spans="2:5" x14ac:dyDescent="0.25">
      <c r="B1447" s="221"/>
      <c r="C1447" s="214"/>
      <c r="D1447" s="232"/>
      <c r="E1447" s="135"/>
    </row>
    <row r="1448" spans="2:5" x14ac:dyDescent="0.25">
      <c r="B1448" s="221"/>
      <c r="C1448" s="214"/>
      <c r="D1448" s="232"/>
      <c r="E1448" s="135"/>
    </row>
    <row r="1449" spans="2:5" x14ac:dyDescent="0.25">
      <c r="B1449" s="221"/>
      <c r="C1449" s="214"/>
      <c r="D1449" s="232"/>
      <c r="E1449" s="135"/>
    </row>
    <row r="1450" spans="2:5" x14ac:dyDescent="0.25">
      <c r="B1450" s="221"/>
      <c r="C1450" s="214"/>
      <c r="D1450" s="232"/>
      <c r="E1450" s="135"/>
    </row>
    <row r="1451" spans="2:5" x14ac:dyDescent="0.25">
      <c r="B1451" s="221"/>
      <c r="C1451" s="214"/>
      <c r="D1451" s="232"/>
      <c r="E1451" s="135"/>
    </row>
    <row r="1452" spans="2:5" x14ac:dyDescent="0.25">
      <c r="B1452" s="221"/>
      <c r="C1452" s="214"/>
      <c r="D1452" s="232"/>
      <c r="E1452" s="135"/>
    </row>
    <row r="1453" spans="2:5" x14ac:dyDescent="0.25">
      <c r="B1453" s="221"/>
      <c r="C1453" s="214"/>
      <c r="D1453" s="232"/>
      <c r="E1453" s="135"/>
    </row>
    <row r="1454" spans="2:5" x14ac:dyDescent="0.25">
      <c r="B1454" s="221"/>
      <c r="C1454" s="214"/>
      <c r="D1454" s="232"/>
      <c r="E1454" s="135"/>
    </row>
    <row r="1455" spans="2:5" x14ac:dyDescent="0.25">
      <c r="B1455" s="221"/>
      <c r="C1455" s="214"/>
      <c r="D1455" s="232"/>
      <c r="E1455" s="135"/>
    </row>
    <row r="1456" spans="2:5" x14ac:dyDescent="0.25">
      <c r="B1456" s="221"/>
      <c r="C1456" s="214"/>
      <c r="D1456" s="232"/>
      <c r="E1456" s="135"/>
    </row>
    <row r="1457" spans="2:5" x14ac:dyDescent="0.25">
      <c r="B1457" s="221"/>
      <c r="C1457" s="214"/>
      <c r="D1457" s="232"/>
      <c r="E1457" s="135"/>
    </row>
    <row r="1458" spans="2:5" x14ac:dyDescent="0.25">
      <c r="B1458" s="221"/>
      <c r="C1458" s="214"/>
      <c r="D1458" s="232"/>
      <c r="E1458" s="135"/>
    </row>
    <row r="1459" spans="2:5" x14ac:dyDescent="0.25">
      <c r="B1459" s="221"/>
      <c r="C1459" s="214"/>
      <c r="D1459" s="232"/>
      <c r="E1459" s="135"/>
    </row>
    <row r="1460" spans="2:5" x14ac:dyDescent="0.25">
      <c r="B1460" s="221"/>
      <c r="C1460" s="214"/>
      <c r="D1460" s="232"/>
      <c r="E1460" s="135"/>
    </row>
    <row r="1461" spans="2:5" x14ac:dyDescent="0.25">
      <c r="B1461" s="221"/>
      <c r="C1461" s="214"/>
      <c r="D1461" s="232"/>
      <c r="E1461" s="135"/>
    </row>
    <row r="1462" spans="2:5" x14ac:dyDescent="0.25">
      <c r="B1462" s="221"/>
      <c r="C1462" s="214"/>
      <c r="D1462" s="232"/>
      <c r="E1462" s="135"/>
    </row>
    <row r="1463" spans="2:5" x14ac:dyDescent="0.25">
      <c r="B1463" s="221"/>
      <c r="C1463" s="214"/>
      <c r="D1463" s="232"/>
      <c r="E1463" s="135"/>
    </row>
    <row r="1464" spans="2:5" x14ac:dyDescent="0.25">
      <c r="B1464" s="221"/>
      <c r="C1464" s="214"/>
      <c r="D1464" s="232"/>
      <c r="E1464" s="135"/>
    </row>
    <row r="1465" spans="2:5" x14ac:dyDescent="0.25">
      <c r="B1465" s="221"/>
      <c r="C1465" s="214"/>
      <c r="D1465" s="232"/>
      <c r="E1465" s="135"/>
    </row>
    <row r="1466" spans="2:5" x14ac:dyDescent="0.25">
      <c r="B1466" s="221"/>
      <c r="C1466" s="214"/>
      <c r="D1466" s="232"/>
      <c r="E1466" s="135"/>
    </row>
    <row r="1467" spans="2:5" x14ac:dyDescent="0.25">
      <c r="B1467" s="221"/>
      <c r="C1467" s="214"/>
      <c r="D1467" s="232"/>
      <c r="E1467" s="135"/>
    </row>
    <row r="1468" spans="2:5" x14ac:dyDescent="0.25">
      <c r="B1468" s="221"/>
      <c r="C1468" s="214"/>
      <c r="D1468" s="232"/>
      <c r="E1468" s="135"/>
    </row>
    <row r="1469" spans="2:5" x14ac:dyDescent="0.25">
      <c r="B1469" s="221"/>
      <c r="C1469" s="214"/>
      <c r="D1469" s="232"/>
      <c r="E1469" s="135"/>
    </row>
    <row r="1470" spans="2:5" x14ac:dyDescent="0.25">
      <c r="B1470" s="221"/>
      <c r="C1470" s="214"/>
      <c r="D1470" s="232"/>
      <c r="E1470" s="135"/>
    </row>
    <row r="1471" spans="2:5" x14ac:dyDescent="0.25">
      <c r="B1471" s="221"/>
      <c r="C1471" s="214"/>
      <c r="D1471" s="232"/>
      <c r="E1471" s="135"/>
    </row>
    <row r="1472" spans="2:5" x14ac:dyDescent="0.25">
      <c r="B1472" s="221"/>
      <c r="C1472" s="214"/>
      <c r="D1472" s="232"/>
      <c r="E1472" s="135"/>
    </row>
    <row r="1473" spans="2:5" x14ac:dyDescent="0.25">
      <c r="B1473" s="221"/>
      <c r="C1473" s="214"/>
      <c r="D1473" s="232"/>
      <c r="E1473" s="135"/>
    </row>
    <row r="1474" spans="2:5" x14ac:dyDescent="0.25">
      <c r="B1474" s="221"/>
      <c r="C1474" s="214"/>
      <c r="D1474" s="232"/>
      <c r="E1474" s="135"/>
    </row>
    <row r="1475" spans="2:5" x14ac:dyDescent="0.25">
      <c r="B1475" s="221"/>
      <c r="C1475" s="214"/>
      <c r="D1475" s="232"/>
      <c r="E1475" s="135"/>
    </row>
    <row r="1476" spans="2:5" x14ac:dyDescent="0.25">
      <c r="B1476" s="221"/>
      <c r="C1476" s="214"/>
      <c r="D1476" s="232"/>
      <c r="E1476" s="135"/>
    </row>
    <row r="1477" spans="2:5" x14ac:dyDescent="0.25">
      <c r="B1477" s="221"/>
      <c r="C1477" s="214"/>
      <c r="D1477" s="232"/>
      <c r="E1477" s="135"/>
    </row>
    <row r="1478" spans="2:5" x14ac:dyDescent="0.25">
      <c r="B1478" s="221"/>
      <c r="C1478" s="214"/>
      <c r="D1478" s="232"/>
      <c r="E1478" s="135"/>
    </row>
    <row r="1481" spans="2:5" ht="52.8" x14ac:dyDescent="0.25">
      <c r="B1481" s="222">
        <v>638</v>
      </c>
      <c r="C1481" s="215" t="s">
        <v>2069</v>
      </c>
      <c r="D1481" s="233"/>
      <c r="E1481" s="135" t="s">
        <v>2070</v>
      </c>
    </row>
    <row r="1482" spans="2:5" ht="26.4" x14ac:dyDescent="0.25">
      <c r="B1482" s="222">
        <v>642</v>
      </c>
      <c r="C1482" s="215" t="s">
        <v>2071</v>
      </c>
      <c r="D1482" s="233"/>
      <c r="E1482" s="135" t="s">
        <v>445</v>
      </c>
    </row>
    <row r="1483" spans="2:5" ht="26.4" x14ac:dyDescent="0.25">
      <c r="B1483" s="222">
        <v>614</v>
      </c>
      <c r="C1483" s="215" t="s">
        <v>2072</v>
      </c>
      <c r="D1483" s="233"/>
      <c r="E1483" s="135" t="s">
        <v>2073</v>
      </c>
    </row>
    <row r="1484" spans="2:5" ht="26.4" x14ac:dyDescent="0.25">
      <c r="B1484" s="222">
        <v>351</v>
      </c>
      <c r="C1484" s="215" t="s">
        <v>2074</v>
      </c>
      <c r="D1484" s="233"/>
      <c r="E1484" s="135" t="s">
        <v>446</v>
      </c>
    </row>
    <row r="1485" spans="2:5" ht="52.8" x14ac:dyDescent="0.25">
      <c r="B1485" s="222" t="s">
        <v>447</v>
      </c>
      <c r="C1485" s="215" t="s">
        <v>2075</v>
      </c>
      <c r="D1485" s="233"/>
      <c r="E1485" s="135" t="s">
        <v>2076</v>
      </c>
    </row>
    <row r="1486" spans="2:5" ht="39.6" x14ac:dyDescent="0.25">
      <c r="B1486" s="222" t="s">
        <v>448</v>
      </c>
      <c r="C1486" s="215" t="s">
        <v>2077</v>
      </c>
      <c r="D1486" s="233"/>
      <c r="E1486" s="135" t="s">
        <v>2078</v>
      </c>
    </row>
    <row r="1487" spans="2:5" ht="66" x14ac:dyDescent="0.25">
      <c r="B1487" s="222" t="s">
        <v>449</v>
      </c>
      <c r="C1487" s="215" t="s">
        <v>2079</v>
      </c>
      <c r="D1487" s="233"/>
      <c r="E1487" s="135" t="s">
        <v>2080</v>
      </c>
    </row>
    <row r="1488" spans="2:5" x14ac:dyDescent="0.25">
      <c r="B1488" s="219"/>
      <c r="C1488" s="213"/>
      <c r="D1488" s="231"/>
      <c r="E1488" s="133"/>
    </row>
    <row r="1489" spans="2:5" x14ac:dyDescent="0.25">
      <c r="B1489" s="219"/>
      <c r="C1489" s="213"/>
      <c r="D1489" s="231"/>
      <c r="E1489" s="133"/>
    </row>
    <row r="1490" spans="2:5" x14ac:dyDescent="0.25">
      <c r="B1490" s="219"/>
      <c r="C1490" s="213"/>
      <c r="D1490" s="231"/>
      <c r="E1490" s="133"/>
    </row>
    <row r="1491" spans="2:5" x14ac:dyDescent="0.25">
      <c r="B1491" s="219"/>
      <c r="C1491" s="213"/>
      <c r="D1491" s="231"/>
      <c r="E1491" s="133"/>
    </row>
    <row r="1492" spans="2:5" x14ac:dyDescent="0.25">
      <c r="B1492" s="219"/>
      <c r="C1492" s="213"/>
      <c r="D1492" s="231"/>
      <c r="E1492" s="133"/>
    </row>
    <row r="1493" spans="2:5" x14ac:dyDescent="0.25">
      <c r="B1493" s="219"/>
      <c r="C1493" s="213"/>
      <c r="D1493" s="231"/>
      <c r="E1493" s="133"/>
    </row>
    <row r="1494" spans="2:5" x14ac:dyDescent="0.25">
      <c r="B1494" s="219"/>
      <c r="C1494" s="213"/>
      <c r="D1494" s="231"/>
      <c r="E1494" s="133"/>
    </row>
    <row r="1495" spans="2:5" x14ac:dyDescent="0.25">
      <c r="B1495" s="219"/>
      <c r="C1495" s="213"/>
      <c r="D1495" s="231"/>
      <c r="E1495" s="133"/>
    </row>
    <row r="1496" spans="2:5" x14ac:dyDescent="0.25">
      <c r="B1496" s="219"/>
      <c r="C1496" s="213"/>
      <c r="D1496" s="231"/>
      <c r="E1496" s="133"/>
    </row>
    <row r="1497" spans="2:5" x14ac:dyDescent="0.25">
      <c r="B1497" s="219"/>
      <c r="C1497" s="213"/>
      <c r="D1497" s="231"/>
      <c r="E1497" s="133"/>
    </row>
  </sheetData>
  <phoneticPr fontId="6"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59"/>
  <sheetViews>
    <sheetView workbookViewId="0">
      <selection activeCell="D52" sqref="D52"/>
    </sheetView>
  </sheetViews>
  <sheetFormatPr defaultRowHeight="13.2" x14ac:dyDescent="0.25"/>
  <cols>
    <col min="1" max="1" width="21.6640625" customWidth="1"/>
    <col min="2" max="2" width="69" style="11" customWidth="1"/>
    <col min="3" max="3" width="18.88671875" style="13" customWidth="1"/>
  </cols>
  <sheetData>
    <row r="1" spans="1:3" ht="26.4" x14ac:dyDescent="0.25">
      <c r="B1" s="19" t="s">
        <v>1721</v>
      </c>
    </row>
    <row r="2" spans="1:3" ht="39.6" x14ac:dyDescent="0.25">
      <c r="A2" s="20" t="s">
        <v>1722</v>
      </c>
      <c r="B2" s="21" t="s">
        <v>2437</v>
      </c>
      <c r="C2" s="22" t="s">
        <v>2438</v>
      </c>
    </row>
    <row r="3" spans="1:3" x14ac:dyDescent="0.25">
      <c r="A3" s="12" t="s">
        <v>2439</v>
      </c>
      <c r="B3" s="11" t="s">
        <v>2440</v>
      </c>
      <c r="C3" s="23">
        <v>6.48</v>
      </c>
    </row>
    <row r="4" spans="1:3" ht="26.4" x14ac:dyDescent="0.25">
      <c r="A4" s="568" t="s">
        <v>1601</v>
      </c>
      <c r="B4" s="3" t="s">
        <v>533</v>
      </c>
      <c r="C4" s="14">
        <v>8.8000000000000007</v>
      </c>
    </row>
    <row r="5" spans="1:3" x14ac:dyDescent="0.25">
      <c r="A5" s="568"/>
      <c r="B5" s="1" t="s">
        <v>534</v>
      </c>
      <c r="C5" s="14"/>
    </row>
    <row r="6" spans="1:3" x14ac:dyDescent="0.25">
      <c r="A6" s="568"/>
      <c r="B6" s="11" t="s">
        <v>535</v>
      </c>
      <c r="C6" s="14"/>
    </row>
    <row r="7" spans="1:3" x14ac:dyDescent="0.25">
      <c r="A7" s="568"/>
      <c r="B7" s="11" t="s">
        <v>536</v>
      </c>
      <c r="C7" s="14"/>
    </row>
    <row r="8" spans="1:3" x14ac:dyDescent="0.25">
      <c r="A8" s="568"/>
      <c r="B8" s="11" t="s">
        <v>537</v>
      </c>
      <c r="C8" s="14"/>
    </row>
    <row r="9" spans="1:3" x14ac:dyDescent="0.25">
      <c r="A9" s="568"/>
      <c r="B9" s="11" t="s">
        <v>538</v>
      </c>
      <c r="C9" s="14"/>
    </row>
    <row r="10" spans="1:3" x14ac:dyDescent="0.25">
      <c r="B10" s="11" t="s">
        <v>539</v>
      </c>
      <c r="C10" s="14"/>
    </row>
    <row r="11" spans="1:3" x14ac:dyDescent="0.25">
      <c r="A11" s="18" t="s">
        <v>540</v>
      </c>
      <c r="B11" s="11" t="s">
        <v>541</v>
      </c>
      <c r="C11" s="14"/>
    </row>
    <row r="12" spans="1:3" x14ac:dyDescent="0.25">
      <c r="B12" s="11" t="s">
        <v>542</v>
      </c>
      <c r="C12" s="14"/>
    </row>
    <row r="13" spans="1:3" x14ac:dyDescent="0.25">
      <c r="B13" s="11" t="s">
        <v>543</v>
      </c>
      <c r="C13" s="14"/>
    </row>
    <row r="14" spans="1:3" x14ac:dyDescent="0.25">
      <c r="B14" s="11" t="s">
        <v>1989</v>
      </c>
      <c r="C14" s="14"/>
    </row>
    <row r="15" spans="1:3" x14ac:dyDescent="0.25">
      <c r="B15" s="11" t="s">
        <v>2195</v>
      </c>
      <c r="C15" s="14"/>
    </row>
    <row r="16" spans="1:3" x14ac:dyDescent="0.25">
      <c r="B16" s="11" t="s">
        <v>2196</v>
      </c>
      <c r="C16" s="14"/>
    </row>
    <row r="17" spans="2:3" x14ac:dyDescent="0.25">
      <c r="B17" s="11" t="s">
        <v>2193</v>
      </c>
      <c r="C17" s="14"/>
    </row>
    <row r="18" spans="2:3" x14ac:dyDescent="0.25">
      <c r="B18" s="11" t="s">
        <v>2194</v>
      </c>
      <c r="C18" s="14"/>
    </row>
    <row r="19" spans="2:3" x14ac:dyDescent="0.25">
      <c r="B19" s="11" t="s">
        <v>600</v>
      </c>
      <c r="C19" s="14"/>
    </row>
    <row r="20" spans="2:3" x14ac:dyDescent="0.25">
      <c r="B20" s="11" t="s">
        <v>1371</v>
      </c>
      <c r="C20" s="14"/>
    </row>
    <row r="21" spans="2:3" x14ac:dyDescent="0.25">
      <c r="B21" s="11" t="s">
        <v>1372</v>
      </c>
      <c r="C21" s="14"/>
    </row>
    <row r="22" spans="2:3" x14ac:dyDescent="0.25">
      <c r="B22" s="11" t="s">
        <v>1187</v>
      </c>
      <c r="C22" s="14"/>
    </row>
    <row r="23" spans="2:3" x14ac:dyDescent="0.25">
      <c r="B23" s="11" t="s">
        <v>203</v>
      </c>
      <c r="C23" s="14"/>
    </row>
    <row r="24" spans="2:3" x14ac:dyDescent="0.25">
      <c r="B24" s="11" t="s">
        <v>1188</v>
      </c>
      <c r="C24" s="14" t="s">
        <v>2573</v>
      </c>
    </row>
    <row r="25" spans="2:3" x14ac:dyDescent="0.25">
      <c r="B25" s="11" t="s">
        <v>2363</v>
      </c>
      <c r="C25" s="14" t="s">
        <v>2573</v>
      </c>
    </row>
    <row r="26" spans="2:3" x14ac:dyDescent="0.25">
      <c r="B26" s="11" t="s">
        <v>2364</v>
      </c>
      <c r="C26" s="14" t="s">
        <v>2573</v>
      </c>
    </row>
    <row r="27" spans="2:3" x14ac:dyDescent="0.25">
      <c r="B27" s="11" t="s">
        <v>1374</v>
      </c>
      <c r="C27" s="14" t="s">
        <v>2573</v>
      </c>
    </row>
    <row r="28" spans="2:3" x14ac:dyDescent="0.25">
      <c r="B28" s="11" t="s">
        <v>1375</v>
      </c>
      <c r="C28" s="14" t="s">
        <v>2573</v>
      </c>
    </row>
    <row r="29" spans="2:3" x14ac:dyDescent="0.25">
      <c r="B29" s="11" t="s">
        <v>1184</v>
      </c>
      <c r="C29" s="14" t="s">
        <v>2573</v>
      </c>
    </row>
    <row r="30" spans="2:3" x14ac:dyDescent="0.25">
      <c r="B30" s="11" t="s">
        <v>1185</v>
      </c>
      <c r="C30" s="14" t="s">
        <v>2573</v>
      </c>
    </row>
    <row r="31" spans="2:3" x14ac:dyDescent="0.25">
      <c r="B31" s="11" t="s">
        <v>1186</v>
      </c>
      <c r="C31" s="14" t="s">
        <v>2573</v>
      </c>
    </row>
    <row r="32" spans="2:3" x14ac:dyDescent="0.25">
      <c r="B32" s="11" t="s">
        <v>1604</v>
      </c>
      <c r="C32" s="14" t="s">
        <v>2573</v>
      </c>
    </row>
    <row r="33" spans="2:3" x14ac:dyDescent="0.25">
      <c r="B33" s="11" t="s">
        <v>1605</v>
      </c>
      <c r="C33" s="14" t="s">
        <v>2573</v>
      </c>
    </row>
    <row r="34" spans="2:3" x14ac:dyDescent="0.25">
      <c r="B34" s="11" t="s">
        <v>1004</v>
      </c>
      <c r="C34" s="14" t="s">
        <v>2573</v>
      </c>
    </row>
    <row r="35" spans="2:3" x14ac:dyDescent="0.25">
      <c r="B35" s="11" t="s">
        <v>1622</v>
      </c>
      <c r="C35" s="14" t="s">
        <v>2573</v>
      </c>
    </row>
    <row r="36" spans="2:3" x14ac:dyDescent="0.25">
      <c r="B36" s="11" t="s">
        <v>231</v>
      </c>
      <c r="C36" s="14" t="s">
        <v>2573</v>
      </c>
    </row>
    <row r="37" spans="2:3" x14ac:dyDescent="0.25">
      <c r="B37" s="11" t="s">
        <v>2712</v>
      </c>
      <c r="C37" s="14" t="s">
        <v>1711</v>
      </c>
    </row>
    <row r="38" spans="2:3" ht="26.4" x14ac:dyDescent="0.25">
      <c r="B38" s="11" t="s">
        <v>906</v>
      </c>
      <c r="C38" s="14" t="s">
        <v>1711</v>
      </c>
    </row>
    <row r="39" spans="2:3" ht="26.4" x14ac:dyDescent="0.25">
      <c r="B39" s="11" t="s">
        <v>907</v>
      </c>
      <c r="C39" s="14" t="s">
        <v>1711</v>
      </c>
    </row>
    <row r="40" spans="2:3" x14ac:dyDescent="0.25">
      <c r="B40" s="11" t="s">
        <v>908</v>
      </c>
      <c r="C40" s="14" t="s">
        <v>1711</v>
      </c>
    </row>
    <row r="41" spans="2:3" ht="26.4" x14ac:dyDescent="0.25">
      <c r="B41" s="11" t="s">
        <v>909</v>
      </c>
      <c r="C41" s="14" t="s">
        <v>1711</v>
      </c>
    </row>
    <row r="42" spans="2:3" ht="26.4" x14ac:dyDescent="0.25">
      <c r="B42" s="11" t="s">
        <v>910</v>
      </c>
      <c r="C42" s="14" t="s">
        <v>1711</v>
      </c>
    </row>
    <row r="43" spans="2:3" x14ac:dyDescent="0.25">
      <c r="B43" s="11" t="s">
        <v>1523</v>
      </c>
      <c r="C43" s="14" t="s">
        <v>1711</v>
      </c>
    </row>
    <row r="44" spans="2:3" x14ac:dyDescent="0.25">
      <c r="B44" s="11" t="s">
        <v>13</v>
      </c>
      <c r="C44" s="14" t="s">
        <v>1711</v>
      </c>
    </row>
    <row r="45" spans="2:3" x14ac:dyDescent="0.25">
      <c r="C45" s="14" t="s">
        <v>544</v>
      </c>
    </row>
    <row r="46" spans="2:3" x14ac:dyDescent="0.25">
      <c r="B46" s="12" t="s">
        <v>1780</v>
      </c>
      <c r="C46" s="14" t="e">
        <v>#N/A</v>
      </c>
    </row>
    <row r="47" spans="2:3" x14ac:dyDescent="0.25">
      <c r="B47" s="11" t="s">
        <v>1376</v>
      </c>
      <c r="C47" s="14" t="s">
        <v>1711</v>
      </c>
    </row>
    <row r="48" spans="2:3" x14ac:dyDescent="0.25">
      <c r="B48" s="11" t="s">
        <v>1110</v>
      </c>
      <c r="C48" s="14" t="s">
        <v>1711</v>
      </c>
    </row>
    <row r="49" spans="2:3" x14ac:dyDescent="0.25">
      <c r="B49" s="11" t="s">
        <v>1034</v>
      </c>
      <c r="C49" s="14" t="s">
        <v>2206</v>
      </c>
    </row>
    <row r="50" spans="2:3" x14ac:dyDescent="0.25">
      <c r="B50" s="11" t="s">
        <v>987</v>
      </c>
      <c r="C50" s="14" t="s">
        <v>1711</v>
      </c>
    </row>
    <row r="51" spans="2:3" x14ac:dyDescent="0.25">
      <c r="B51" s="11" t="s">
        <v>988</v>
      </c>
      <c r="C51" s="14" t="s">
        <v>1711</v>
      </c>
    </row>
    <row r="52" spans="2:3" x14ac:dyDescent="0.25">
      <c r="B52" s="11" t="s">
        <v>2797</v>
      </c>
      <c r="C52" s="14" t="s">
        <v>1711</v>
      </c>
    </row>
    <row r="53" spans="2:3" ht="26.4" x14ac:dyDescent="0.25">
      <c r="B53" s="11" t="s">
        <v>909</v>
      </c>
      <c r="C53" s="14" t="s">
        <v>1711</v>
      </c>
    </row>
    <row r="54" spans="2:3" ht="26.4" x14ac:dyDescent="0.25">
      <c r="B54" s="11" t="s">
        <v>906</v>
      </c>
      <c r="C54" s="14" t="s">
        <v>1711</v>
      </c>
    </row>
    <row r="55" spans="2:3" ht="26.4" x14ac:dyDescent="0.25">
      <c r="B55" s="11" t="s">
        <v>907</v>
      </c>
      <c r="C55" s="14" t="s">
        <v>1711</v>
      </c>
    </row>
    <row r="56" spans="2:3" x14ac:dyDescent="0.25">
      <c r="B56" s="11" t="s">
        <v>1781</v>
      </c>
      <c r="C56" s="14" t="s">
        <v>1711</v>
      </c>
    </row>
    <row r="57" spans="2:3" x14ac:dyDescent="0.25">
      <c r="B57" s="11" t="s">
        <v>908</v>
      </c>
      <c r="C57" s="14" t="s">
        <v>1711</v>
      </c>
    </row>
    <row r="58" spans="2:3" ht="26.4" x14ac:dyDescent="0.25">
      <c r="B58" s="11" t="s">
        <v>910</v>
      </c>
      <c r="C58" s="14" t="s">
        <v>1711</v>
      </c>
    </row>
    <row r="59" spans="2:3" x14ac:dyDescent="0.25">
      <c r="B59" s="11" t="s">
        <v>13</v>
      </c>
      <c r="C59" s="14" t="s">
        <v>1711</v>
      </c>
    </row>
    <row r="60" spans="2:3" x14ac:dyDescent="0.25">
      <c r="B60" s="11" t="s">
        <v>2712</v>
      </c>
      <c r="C60" s="14" t="s">
        <v>1711</v>
      </c>
    </row>
    <row r="61" spans="2:3" x14ac:dyDescent="0.25">
      <c r="B61" s="3" t="s">
        <v>1782</v>
      </c>
      <c r="C61" s="14" t="s">
        <v>1711</v>
      </c>
    </row>
    <row r="62" spans="2:3" x14ac:dyDescent="0.25">
      <c r="B62" s="3" t="s">
        <v>1966</v>
      </c>
      <c r="C62" s="14" t="s">
        <v>1711</v>
      </c>
    </row>
    <row r="63" spans="2:3" x14ac:dyDescent="0.25">
      <c r="B63" s="3" t="s">
        <v>1783</v>
      </c>
      <c r="C63" s="14" t="s">
        <v>1711</v>
      </c>
    </row>
    <row r="64" spans="2:3" x14ac:dyDescent="0.25">
      <c r="B64" s="3" t="s">
        <v>1784</v>
      </c>
      <c r="C64" s="14" t="s">
        <v>1711</v>
      </c>
    </row>
    <row r="65" spans="2:3" x14ac:dyDescent="0.25">
      <c r="B65" s="3" t="s">
        <v>1785</v>
      </c>
      <c r="C65" s="14" t="s">
        <v>1711</v>
      </c>
    </row>
    <row r="66" spans="2:3" x14ac:dyDescent="0.25">
      <c r="B66" s="3" t="s">
        <v>1786</v>
      </c>
      <c r="C66" s="14" t="s">
        <v>1711</v>
      </c>
    </row>
    <row r="67" spans="2:3" x14ac:dyDescent="0.25">
      <c r="B67" s="5" t="s">
        <v>2861</v>
      </c>
      <c r="C67" s="14" t="e">
        <v>#N/A</v>
      </c>
    </row>
    <row r="68" spans="2:3" x14ac:dyDescent="0.25">
      <c r="B68" s="6" t="s">
        <v>2862</v>
      </c>
      <c r="C68" s="14" t="e">
        <v>#N/A</v>
      </c>
    </row>
    <row r="69" spans="2:3" x14ac:dyDescent="0.25">
      <c r="B69" s="6" t="s">
        <v>1306</v>
      </c>
      <c r="C69" s="14" t="e">
        <v>#N/A</v>
      </c>
    </row>
    <row r="70" spans="2:3" x14ac:dyDescent="0.25">
      <c r="B70" s="5" t="s">
        <v>1033</v>
      </c>
      <c r="C70" s="14" t="s">
        <v>1714</v>
      </c>
    </row>
    <row r="71" spans="2:3" x14ac:dyDescent="0.25">
      <c r="B71" s="5" t="s">
        <v>2574</v>
      </c>
      <c r="C71" s="14" t="s">
        <v>1711</v>
      </c>
    </row>
    <row r="72" spans="2:3" x14ac:dyDescent="0.25">
      <c r="B72" s="6" t="s">
        <v>2575</v>
      </c>
      <c r="C72" s="14" t="s">
        <v>1711</v>
      </c>
    </row>
    <row r="73" spans="2:3" ht="26.4" x14ac:dyDescent="0.25">
      <c r="B73" s="3" t="s">
        <v>668</v>
      </c>
      <c r="C73" s="14" t="e">
        <v>#N/A</v>
      </c>
    </row>
    <row r="74" spans="2:3" ht="26.4" x14ac:dyDescent="0.25">
      <c r="B74" s="3" t="s">
        <v>1468</v>
      </c>
      <c r="C74" s="14" t="e">
        <v>#N/A</v>
      </c>
    </row>
    <row r="75" spans="2:3" x14ac:dyDescent="0.25">
      <c r="B75" s="5" t="s">
        <v>1710</v>
      </c>
      <c r="C75" s="14" t="e">
        <v>#N/A</v>
      </c>
    </row>
    <row r="76" spans="2:3" x14ac:dyDescent="0.25">
      <c r="B76" s="5" t="s">
        <v>422</v>
      </c>
      <c r="C76" s="14" t="e">
        <v>#N/A</v>
      </c>
    </row>
    <row r="77" spans="2:3" x14ac:dyDescent="0.25">
      <c r="B77" s="5" t="s">
        <v>2860</v>
      </c>
      <c r="C77" s="14" t="e">
        <v>#N/A</v>
      </c>
    </row>
    <row r="78" spans="2:3" x14ac:dyDescent="0.25">
      <c r="B78" s="5" t="s">
        <v>1712</v>
      </c>
      <c r="C78" s="14" t="e">
        <v>#N/A</v>
      </c>
    </row>
    <row r="79" spans="2:3" x14ac:dyDescent="0.25">
      <c r="B79" s="6" t="s">
        <v>1713</v>
      </c>
      <c r="C79" s="14" t="e">
        <v>#N/A</v>
      </c>
    </row>
    <row r="80" spans="2:3" x14ac:dyDescent="0.25">
      <c r="B80" s="3" t="s">
        <v>982</v>
      </c>
      <c r="C80" s="14" t="e">
        <v>#N/A</v>
      </c>
    </row>
    <row r="81" spans="2:3" x14ac:dyDescent="0.25">
      <c r="B81" s="3" t="s">
        <v>981</v>
      </c>
      <c r="C81" s="14" t="e">
        <v>#N/A</v>
      </c>
    </row>
    <row r="82" spans="2:3" x14ac:dyDescent="0.25">
      <c r="B82" s="11" t="s">
        <v>1469</v>
      </c>
      <c r="C82" s="14" t="s">
        <v>1711</v>
      </c>
    </row>
    <row r="83" spans="2:3" x14ac:dyDescent="0.25">
      <c r="B83" s="3" t="s">
        <v>1455</v>
      </c>
      <c r="C83" s="14" t="s">
        <v>1711</v>
      </c>
    </row>
    <row r="84" spans="2:3" x14ac:dyDescent="0.25">
      <c r="C84" s="14" t="s">
        <v>544</v>
      </c>
    </row>
    <row r="85" spans="2:3" x14ac:dyDescent="0.25">
      <c r="B85" s="12" t="s">
        <v>1470</v>
      </c>
      <c r="C85" s="14" t="e">
        <v>#N/A</v>
      </c>
    </row>
    <row r="86" spans="2:3" x14ac:dyDescent="0.25">
      <c r="B86" s="11" t="s">
        <v>170</v>
      </c>
      <c r="C86" s="14" t="s">
        <v>1711</v>
      </c>
    </row>
    <row r="87" spans="2:3" x14ac:dyDescent="0.25">
      <c r="B87" s="11" t="s">
        <v>171</v>
      </c>
      <c r="C87" s="14" t="s">
        <v>1711</v>
      </c>
    </row>
    <row r="88" spans="2:3" x14ac:dyDescent="0.25">
      <c r="B88" s="11" t="s">
        <v>1302</v>
      </c>
      <c r="C88" s="14" t="s">
        <v>1711</v>
      </c>
    </row>
    <row r="89" spans="2:3" x14ac:dyDescent="0.25">
      <c r="B89" s="11" t="s">
        <v>1303</v>
      </c>
      <c r="C89" s="14" t="s">
        <v>1711</v>
      </c>
    </row>
    <row r="90" spans="2:3" x14ac:dyDescent="0.25">
      <c r="B90" s="11" t="s">
        <v>1422</v>
      </c>
      <c r="C90" s="14" t="s">
        <v>1711</v>
      </c>
    </row>
    <row r="91" spans="2:3" x14ac:dyDescent="0.25">
      <c r="B91" s="11" t="s">
        <v>575</v>
      </c>
      <c r="C91" s="14" t="s">
        <v>1711</v>
      </c>
    </row>
    <row r="92" spans="2:3" x14ac:dyDescent="0.25">
      <c r="B92" s="11" t="s">
        <v>574</v>
      </c>
      <c r="C92" s="14" t="s">
        <v>1711</v>
      </c>
    </row>
    <row r="93" spans="2:3" x14ac:dyDescent="0.25">
      <c r="B93" s="11" t="s">
        <v>199</v>
      </c>
      <c r="C93" s="14" t="s">
        <v>1711</v>
      </c>
    </row>
    <row r="94" spans="2:3" x14ac:dyDescent="0.25">
      <c r="B94" s="11" t="s">
        <v>200</v>
      </c>
      <c r="C94" s="14" t="s">
        <v>1711</v>
      </c>
    </row>
    <row r="95" spans="2:3" ht="26.4" x14ac:dyDescent="0.25">
      <c r="B95" s="11" t="s">
        <v>201</v>
      </c>
      <c r="C95" s="14" t="s">
        <v>1711</v>
      </c>
    </row>
    <row r="96" spans="2:3" x14ac:dyDescent="0.25">
      <c r="C96" s="14" t="s">
        <v>544</v>
      </c>
    </row>
    <row r="97" spans="2:3" x14ac:dyDescent="0.25">
      <c r="B97" s="12" t="s">
        <v>1471</v>
      </c>
      <c r="C97" s="14" t="s">
        <v>1387</v>
      </c>
    </row>
    <row r="98" spans="2:3" x14ac:dyDescent="0.25">
      <c r="B98" s="11" t="s">
        <v>2837</v>
      </c>
      <c r="C98" s="14" t="s">
        <v>1715</v>
      </c>
    </row>
    <row r="99" spans="2:3" x14ac:dyDescent="0.25">
      <c r="B99" s="11" t="s">
        <v>284</v>
      </c>
      <c r="C99" s="14" t="s">
        <v>1715</v>
      </c>
    </row>
    <row r="100" spans="2:3" x14ac:dyDescent="0.25">
      <c r="B100" s="11" t="s">
        <v>2307</v>
      </c>
      <c r="C100" s="14" t="s">
        <v>1388</v>
      </c>
    </row>
    <row r="101" spans="2:3" x14ac:dyDescent="0.25">
      <c r="B101" s="2" t="s">
        <v>1472</v>
      </c>
      <c r="C101" s="14" t="s">
        <v>2834</v>
      </c>
    </row>
    <row r="102" spans="2:3" x14ac:dyDescent="0.25">
      <c r="B102" s="11" t="s">
        <v>409</v>
      </c>
      <c r="C102" s="14" t="s">
        <v>1711</v>
      </c>
    </row>
    <row r="103" spans="2:3" x14ac:dyDescent="0.25">
      <c r="B103" s="2" t="s">
        <v>1473</v>
      </c>
      <c r="C103" s="14" t="s">
        <v>1711</v>
      </c>
    </row>
    <row r="104" spans="2:3" x14ac:dyDescent="0.25">
      <c r="C104" s="14" t="s">
        <v>544</v>
      </c>
    </row>
    <row r="105" spans="2:3" x14ac:dyDescent="0.25">
      <c r="B105" s="12" t="s">
        <v>1474</v>
      </c>
      <c r="C105" s="14" t="s">
        <v>1715</v>
      </c>
    </row>
    <row r="106" spans="2:3" x14ac:dyDescent="0.25">
      <c r="B106" s="11" t="s">
        <v>908</v>
      </c>
      <c r="C106" s="14" t="s">
        <v>1711</v>
      </c>
    </row>
    <row r="107" spans="2:3" x14ac:dyDescent="0.25">
      <c r="B107" s="11" t="s">
        <v>1475</v>
      </c>
      <c r="C107" s="14" t="s">
        <v>1711</v>
      </c>
    </row>
    <row r="108" spans="2:3" ht="26.4" x14ac:dyDescent="0.25">
      <c r="B108" s="11" t="s">
        <v>907</v>
      </c>
      <c r="C108" s="14" t="s">
        <v>1711</v>
      </c>
    </row>
    <row r="109" spans="2:3" x14ac:dyDescent="0.25">
      <c r="B109" s="11" t="s">
        <v>2425</v>
      </c>
      <c r="C109" s="14" t="e">
        <v>#N/A</v>
      </c>
    </row>
    <row r="110" spans="2:3" x14ac:dyDescent="0.25">
      <c r="B110" s="11" t="s">
        <v>2424</v>
      </c>
      <c r="C110" s="14" t="e">
        <v>#N/A</v>
      </c>
    </row>
    <row r="111" spans="2:3" x14ac:dyDescent="0.25">
      <c r="B111" s="11" t="s">
        <v>2311</v>
      </c>
      <c r="C111" s="14" t="s">
        <v>2206</v>
      </c>
    </row>
    <row r="112" spans="2:3" x14ac:dyDescent="0.25">
      <c r="B112" s="11" t="s">
        <v>2310</v>
      </c>
      <c r="C112" s="14" t="s">
        <v>2206</v>
      </c>
    </row>
    <row r="113" spans="2:3" x14ac:dyDescent="0.25">
      <c r="C113" s="14" t="s">
        <v>544</v>
      </c>
    </row>
    <row r="114" spans="2:3" x14ac:dyDescent="0.25">
      <c r="B114" s="12" t="s">
        <v>1476</v>
      </c>
      <c r="C114" s="14">
        <v>0</v>
      </c>
    </row>
    <row r="115" spans="2:3" x14ac:dyDescent="0.25">
      <c r="B115" s="11" t="s">
        <v>1376</v>
      </c>
      <c r="C115" s="14" t="s">
        <v>1711</v>
      </c>
    </row>
    <row r="116" spans="2:3" x14ac:dyDescent="0.25">
      <c r="B116" s="11" t="s">
        <v>1110</v>
      </c>
      <c r="C116" s="14" t="s">
        <v>1711</v>
      </c>
    </row>
    <row r="117" spans="2:3" x14ac:dyDescent="0.25">
      <c r="B117" s="11" t="s">
        <v>1034</v>
      </c>
      <c r="C117" s="14" t="s">
        <v>2206</v>
      </c>
    </row>
    <row r="118" spans="2:3" x14ac:dyDescent="0.25">
      <c r="B118" s="11" t="s">
        <v>1034</v>
      </c>
      <c r="C118" s="14" t="s">
        <v>2206</v>
      </c>
    </row>
    <row r="119" spans="2:3" ht="26.4" x14ac:dyDescent="0.25">
      <c r="B119" s="11" t="s">
        <v>909</v>
      </c>
      <c r="C119" s="14" t="s">
        <v>1711</v>
      </c>
    </row>
    <row r="120" spans="2:3" ht="26.4" x14ac:dyDescent="0.25">
      <c r="B120" s="11" t="s">
        <v>906</v>
      </c>
      <c r="C120" s="14" t="s">
        <v>1711</v>
      </c>
    </row>
    <row r="121" spans="2:3" ht="26.4" x14ac:dyDescent="0.25">
      <c r="B121" s="11" t="s">
        <v>907</v>
      </c>
      <c r="C121" s="14" t="s">
        <v>1711</v>
      </c>
    </row>
    <row r="122" spans="2:3" x14ac:dyDescent="0.25">
      <c r="B122" s="11" t="s">
        <v>1781</v>
      </c>
      <c r="C122" s="14" t="s">
        <v>1711</v>
      </c>
    </row>
    <row r="123" spans="2:3" x14ac:dyDescent="0.25">
      <c r="B123" s="11" t="s">
        <v>908</v>
      </c>
      <c r="C123" s="14" t="s">
        <v>1711</v>
      </c>
    </row>
    <row r="124" spans="2:3" ht="26.4" x14ac:dyDescent="0.25">
      <c r="B124" s="11" t="s">
        <v>910</v>
      </c>
      <c r="C124" s="14" t="s">
        <v>1711</v>
      </c>
    </row>
    <row r="125" spans="2:3" x14ac:dyDescent="0.25">
      <c r="B125" s="11" t="s">
        <v>13</v>
      </c>
      <c r="C125" s="14" t="s">
        <v>1711</v>
      </c>
    </row>
    <row r="126" spans="2:3" x14ac:dyDescent="0.25">
      <c r="B126" s="11" t="s">
        <v>2712</v>
      </c>
      <c r="C126" s="14" t="s">
        <v>1711</v>
      </c>
    </row>
    <row r="127" spans="2:3" x14ac:dyDescent="0.25">
      <c r="B127" s="11" t="s">
        <v>14</v>
      </c>
      <c r="C127" s="14" t="s">
        <v>1711</v>
      </c>
    </row>
    <row r="128" spans="2:3" x14ac:dyDescent="0.25">
      <c r="C128" s="14" t="s">
        <v>544</v>
      </c>
    </row>
    <row r="129" spans="2:3" x14ac:dyDescent="0.25">
      <c r="B129" s="12" t="s">
        <v>1477</v>
      </c>
      <c r="C129" s="14" t="s">
        <v>1036</v>
      </c>
    </row>
    <row r="130" spans="2:3" x14ac:dyDescent="0.25">
      <c r="B130" s="11" t="s">
        <v>1523</v>
      </c>
      <c r="C130" s="14" t="s">
        <v>1711</v>
      </c>
    </row>
    <row r="131" spans="2:3" x14ac:dyDescent="0.25">
      <c r="B131" s="11" t="s">
        <v>1034</v>
      </c>
      <c r="C131" s="14" t="s">
        <v>2206</v>
      </c>
    </row>
    <row r="132" spans="2:3" x14ac:dyDescent="0.25">
      <c r="B132" s="3" t="s">
        <v>2424</v>
      </c>
      <c r="C132" s="14" t="e">
        <v>#N/A</v>
      </c>
    </row>
    <row r="133" spans="2:3" x14ac:dyDescent="0.25">
      <c r="B133" s="3" t="s">
        <v>2425</v>
      </c>
      <c r="C133" s="14" t="e">
        <v>#N/A</v>
      </c>
    </row>
    <row r="134" spans="2:3" x14ac:dyDescent="0.25">
      <c r="B134" s="11" t="s">
        <v>1389</v>
      </c>
      <c r="C134" s="14" t="s">
        <v>2206</v>
      </c>
    </row>
    <row r="135" spans="2:3" x14ac:dyDescent="0.25">
      <c r="B135" s="11" t="s">
        <v>2316</v>
      </c>
      <c r="C135" s="14" t="s">
        <v>1037</v>
      </c>
    </row>
    <row r="136" spans="2:3" x14ac:dyDescent="0.25">
      <c r="B136" s="11" t="s">
        <v>1478</v>
      </c>
      <c r="C136" s="14" t="s">
        <v>1715</v>
      </c>
    </row>
    <row r="137" spans="2:3" x14ac:dyDescent="0.25">
      <c r="B137" s="11" t="s">
        <v>1479</v>
      </c>
      <c r="C137" s="14">
        <v>0</v>
      </c>
    </row>
    <row r="138" spans="2:3" x14ac:dyDescent="0.25">
      <c r="B138" s="11" t="s">
        <v>978</v>
      </c>
      <c r="C138" s="14" t="e">
        <v>#N/A</v>
      </c>
    </row>
    <row r="139" spans="2:3" ht="26.4" x14ac:dyDescent="0.25">
      <c r="B139" s="3" t="s">
        <v>906</v>
      </c>
      <c r="C139" s="14" t="s">
        <v>1711</v>
      </c>
    </row>
    <row r="140" spans="2:3" ht="26.4" x14ac:dyDescent="0.25">
      <c r="B140" s="3" t="s">
        <v>907</v>
      </c>
      <c r="C140" s="14" t="s">
        <v>1711</v>
      </c>
    </row>
    <row r="141" spans="2:3" x14ac:dyDescent="0.25">
      <c r="B141" s="3" t="s">
        <v>1781</v>
      </c>
      <c r="C141" s="14" t="s">
        <v>1711</v>
      </c>
    </row>
    <row r="142" spans="2:3" x14ac:dyDescent="0.25">
      <c r="B142" s="3" t="s">
        <v>908</v>
      </c>
      <c r="C142" s="14" t="s">
        <v>1711</v>
      </c>
    </row>
    <row r="143" spans="2:3" ht="26.4" x14ac:dyDescent="0.25">
      <c r="B143" s="3" t="s">
        <v>909</v>
      </c>
      <c r="C143" s="14" t="s">
        <v>1711</v>
      </c>
    </row>
    <row r="144" spans="2:3" ht="26.4" x14ac:dyDescent="0.25">
      <c r="B144" s="3" t="s">
        <v>910</v>
      </c>
      <c r="C144" s="14" t="s">
        <v>1711</v>
      </c>
    </row>
    <row r="145" spans="2:3" x14ac:dyDescent="0.25">
      <c r="C145" s="14" t="s">
        <v>544</v>
      </c>
    </row>
    <row r="146" spans="2:3" x14ac:dyDescent="0.25">
      <c r="C146" s="14" t="s">
        <v>544</v>
      </c>
    </row>
    <row r="147" spans="2:3" x14ac:dyDescent="0.25">
      <c r="B147" s="12" t="s">
        <v>1480</v>
      </c>
      <c r="C147" s="14" t="s">
        <v>1183</v>
      </c>
    </row>
    <row r="148" spans="2:3" ht="26.4" x14ac:dyDescent="0.25">
      <c r="B148" s="11" t="s">
        <v>1481</v>
      </c>
      <c r="C148" s="14" t="s">
        <v>1711</v>
      </c>
    </row>
    <row r="149" spans="2:3" ht="26.4" x14ac:dyDescent="0.25">
      <c r="B149" s="11" t="s">
        <v>438</v>
      </c>
      <c r="C149" s="14" t="s">
        <v>1711</v>
      </c>
    </row>
    <row r="150" spans="2:3" ht="26.4" x14ac:dyDescent="0.25">
      <c r="B150" s="11" t="s">
        <v>1397</v>
      </c>
      <c r="C150" s="14" t="s">
        <v>1711</v>
      </c>
    </row>
    <row r="151" spans="2:3" ht="26.4" x14ac:dyDescent="0.25">
      <c r="B151" s="11" t="s">
        <v>2655</v>
      </c>
      <c r="C151" s="14" t="s">
        <v>1711</v>
      </c>
    </row>
    <row r="152" spans="2:3" ht="26.4" x14ac:dyDescent="0.25">
      <c r="B152" s="11" t="s">
        <v>2656</v>
      </c>
      <c r="C152" s="14" t="s">
        <v>1711</v>
      </c>
    </row>
    <row r="153" spans="2:3" ht="26.4" x14ac:dyDescent="0.25">
      <c r="B153" s="3" t="s">
        <v>979</v>
      </c>
      <c r="C153" s="14" t="e">
        <v>#N/A</v>
      </c>
    </row>
    <row r="154" spans="2:3" x14ac:dyDescent="0.25">
      <c r="B154" s="11" t="s">
        <v>1376</v>
      </c>
      <c r="C154" s="14" t="s">
        <v>1711</v>
      </c>
    </row>
    <row r="155" spans="2:3" x14ac:dyDescent="0.25">
      <c r="B155" s="11" t="s">
        <v>1110</v>
      </c>
      <c r="C155" s="14" t="s">
        <v>1711</v>
      </c>
    </row>
    <row r="156" spans="2:3" x14ac:dyDescent="0.25">
      <c r="B156" s="11" t="s">
        <v>1034</v>
      </c>
      <c r="C156" s="14" t="s">
        <v>2206</v>
      </c>
    </row>
    <row r="157" spans="2:3" x14ac:dyDescent="0.25">
      <c r="B157" s="11" t="s">
        <v>987</v>
      </c>
      <c r="C157" s="14" t="s">
        <v>1711</v>
      </c>
    </row>
    <row r="158" spans="2:3" x14ac:dyDescent="0.25">
      <c r="B158" s="11" t="s">
        <v>988</v>
      </c>
      <c r="C158" s="14" t="s">
        <v>1711</v>
      </c>
    </row>
    <row r="159" spans="2:3" ht="26.4" x14ac:dyDescent="0.25">
      <c r="B159" s="11" t="s">
        <v>909</v>
      </c>
      <c r="C159" s="14" t="s">
        <v>1711</v>
      </c>
    </row>
    <row r="160" spans="2:3" ht="26.4" x14ac:dyDescent="0.25">
      <c r="B160" s="11" t="s">
        <v>906</v>
      </c>
      <c r="C160" s="14" t="s">
        <v>1711</v>
      </c>
    </row>
    <row r="161" spans="2:3" ht="26.4" x14ac:dyDescent="0.25">
      <c r="B161" s="11" t="s">
        <v>907</v>
      </c>
      <c r="C161" s="14" t="s">
        <v>1711</v>
      </c>
    </row>
    <row r="162" spans="2:3" x14ac:dyDescent="0.25">
      <c r="B162" s="11" t="s">
        <v>1781</v>
      </c>
      <c r="C162" s="14" t="s">
        <v>1711</v>
      </c>
    </row>
    <row r="163" spans="2:3" x14ac:dyDescent="0.25">
      <c r="B163" s="11" t="s">
        <v>908</v>
      </c>
      <c r="C163" s="14" t="s">
        <v>1711</v>
      </c>
    </row>
    <row r="164" spans="2:3" ht="26.4" x14ac:dyDescent="0.25">
      <c r="B164" s="11" t="s">
        <v>910</v>
      </c>
      <c r="C164" s="14" t="s">
        <v>1711</v>
      </c>
    </row>
    <row r="165" spans="2:3" x14ac:dyDescent="0.25">
      <c r="B165" s="11" t="s">
        <v>13</v>
      </c>
      <c r="C165" s="14" t="s">
        <v>1711</v>
      </c>
    </row>
    <row r="166" spans="2:3" x14ac:dyDescent="0.25">
      <c r="B166" s="11" t="s">
        <v>2712</v>
      </c>
      <c r="C166" s="14" t="s">
        <v>1711</v>
      </c>
    </row>
    <row r="167" spans="2:3" ht="26.4" x14ac:dyDescent="0.25">
      <c r="B167" s="5" t="s">
        <v>1716</v>
      </c>
      <c r="C167" s="14" t="e">
        <v>#N/A</v>
      </c>
    </row>
    <row r="168" spans="2:3" x14ac:dyDescent="0.25">
      <c r="B168" s="6" t="s">
        <v>1717</v>
      </c>
      <c r="C168" s="14" t="e">
        <v>#N/A</v>
      </c>
    </row>
    <row r="169" spans="2:3" x14ac:dyDescent="0.25">
      <c r="B169" s="6" t="s">
        <v>2204</v>
      </c>
      <c r="C169" s="14" t="e">
        <v>#N/A</v>
      </c>
    </row>
    <row r="170" spans="2:3" x14ac:dyDescent="0.25">
      <c r="B170" s="6" t="s">
        <v>2205</v>
      </c>
      <c r="C170" s="14" t="e">
        <v>#N/A</v>
      </c>
    </row>
    <row r="171" spans="2:3" x14ac:dyDescent="0.25">
      <c r="B171" s="11" t="s">
        <v>1455</v>
      </c>
      <c r="C171" s="14" t="s">
        <v>1711</v>
      </c>
    </row>
    <row r="172" spans="2:3" x14ac:dyDescent="0.25">
      <c r="C172" s="14" t="s">
        <v>544</v>
      </c>
    </row>
    <row r="173" spans="2:3" x14ac:dyDescent="0.25">
      <c r="B173" s="12" t="s">
        <v>2657</v>
      </c>
      <c r="C173" s="14" t="s">
        <v>1711</v>
      </c>
    </row>
    <row r="174" spans="2:3" ht="26.4" x14ac:dyDescent="0.25">
      <c r="B174" s="11" t="s">
        <v>909</v>
      </c>
      <c r="C174" s="14" t="s">
        <v>1711</v>
      </c>
    </row>
    <row r="175" spans="2:3" ht="26.4" x14ac:dyDescent="0.25">
      <c r="B175" s="11" t="s">
        <v>906</v>
      </c>
      <c r="C175" s="14" t="s">
        <v>1711</v>
      </c>
    </row>
    <row r="176" spans="2:3" x14ac:dyDescent="0.25">
      <c r="C176" s="14" t="s">
        <v>544</v>
      </c>
    </row>
    <row r="177" spans="2:3" x14ac:dyDescent="0.25">
      <c r="B177" s="12" t="s">
        <v>286</v>
      </c>
      <c r="C177" s="14" t="s">
        <v>1715</v>
      </c>
    </row>
    <row r="178" spans="2:3" x14ac:dyDescent="0.25">
      <c r="B178" s="11" t="s">
        <v>2375</v>
      </c>
      <c r="C178" s="14" t="s">
        <v>1715</v>
      </c>
    </row>
    <row r="179" spans="2:3" x14ac:dyDescent="0.25">
      <c r="C179" s="14" t="s">
        <v>544</v>
      </c>
    </row>
    <row r="180" spans="2:3" x14ac:dyDescent="0.25">
      <c r="B180" s="12" t="s">
        <v>287</v>
      </c>
      <c r="C180" s="14" t="s">
        <v>1715</v>
      </c>
    </row>
    <row r="181" spans="2:3" x14ac:dyDescent="0.25">
      <c r="B181" s="11" t="s">
        <v>1523</v>
      </c>
      <c r="C181" s="14" t="s">
        <v>1711</v>
      </c>
    </row>
    <row r="182" spans="2:3" x14ac:dyDescent="0.25">
      <c r="B182" s="11" t="s">
        <v>1658</v>
      </c>
      <c r="C182" s="14" t="s">
        <v>1711</v>
      </c>
    </row>
    <row r="183" spans="2:3" x14ac:dyDescent="0.25">
      <c r="B183" s="11" t="s">
        <v>1034</v>
      </c>
      <c r="C183" s="14" t="s">
        <v>2206</v>
      </c>
    </row>
    <row r="184" spans="2:3" x14ac:dyDescent="0.25">
      <c r="B184" s="11" t="s">
        <v>1659</v>
      </c>
      <c r="C184" s="14" t="s">
        <v>2734</v>
      </c>
    </row>
    <row r="185" spans="2:3" x14ac:dyDescent="0.25">
      <c r="B185" s="3" t="s">
        <v>1660</v>
      </c>
      <c r="C185" s="14" t="s">
        <v>1711</v>
      </c>
    </row>
    <row r="186" spans="2:3" x14ac:dyDescent="0.25">
      <c r="B186" s="3" t="s">
        <v>1661</v>
      </c>
      <c r="C186" s="14" t="s">
        <v>1711</v>
      </c>
    </row>
    <row r="187" spans="2:3" x14ac:dyDescent="0.25">
      <c r="B187" s="3" t="s">
        <v>1662</v>
      </c>
      <c r="C187" s="14" t="s">
        <v>1711</v>
      </c>
    </row>
    <row r="188" spans="2:3" x14ac:dyDescent="0.25">
      <c r="B188" s="3" t="s">
        <v>191</v>
      </c>
      <c r="C188" s="14" t="s">
        <v>1711</v>
      </c>
    </row>
    <row r="189" spans="2:3" x14ac:dyDescent="0.25">
      <c r="B189" s="3" t="s">
        <v>192</v>
      </c>
      <c r="C189" s="14" t="s">
        <v>1711</v>
      </c>
    </row>
    <row r="190" spans="2:3" x14ac:dyDescent="0.25">
      <c r="B190" s="3" t="s">
        <v>2126</v>
      </c>
      <c r="C190" s="14" t="s">
        <v>1711</v>
      </c>
    </row>
    <row r="191" spans="2:3" x14ac:dyDescent="0.25">
      <c r="B191" s="11" t="s">
        <v>2127</v>
      </c>
      <c r="C191" s="14">
        <v>0</v>
      </c>
    </row>
    <row r="192" spans="2:3" ht="26.4" x14ac:dyDescent="0.25">
      <c r="B192" s="11" t="s">
        <v>909</v>
      </c>
      <c r="C192" s="14" t="s">
        <v>1711</v>
      </c>
    </row>
    <row r="193" spans="2:3" ht="26.4" x14ac:dyDescent="0.25">
      <c r="B193" s="11" t="s">
        <v>906</v>
      </c>
      <c r="C193" s="14" t="s">
        <v>1711</v>
      </c>
    </row>
    <row r="194" spans="2:3" ht="26.4" x14ac:dyDescent="0.25">
      <c r="B194" s="11" t="s">
        <v>907</v>
      </c>
      <c r="C194" s="14" t="s">
        <v>1711</v>
      </c>
    </row>
    <row r="195" spans="2:3" x14ac:dyDescent="0.25">
      <c r="B195" s="11" t="s">
        <v>1781</v>
      </c>
      <c r="C195" s="14" t="s">
        <v>1711</v>
      </c>
    </row>
    <row r="196" spans="2:3" x14ac:dyDescent="0.25">
      <c r="B196" s="11" t="s">
        <v>908</v>
      </c>
      <c r="C196" s="14" t="s">
        <v>1711</v>
      </c>
    </row>
    <row r="197" spans="2:3" ht="26.4" x14ac:dyDescent="0.25">
      <c r="B197" s="11" t="s">
        <v>910</v>
      </c>
      <c r="C197" s="14" t="s">
        <v>1711</v>
      </c>
    </row>
    <row r="198" spans="2:3" x14ac:dyDescent="0.25">
      <c r="B198" s="11" t="s">
        <v>2128</v>
      </c>
      <c r="C198" s="14" t="s">
        <v>1711</v>
      </c>
    </row>
    <row r="199" spans="2:3" x14ac:dyDescent="0.25">
      <c r="B199" s="11" t="s">
        <v>279</v>
      </c>
      <c r="C199" s="14" t="e">
        <v>#N/A</v>
      </c>
    </row>
    <row r="200" spans="2:3" x14ac:dyDescent="0.25">
      <c r="C200" s="14" t="s">
        <v>544</v>
      </c>
    </row>
    <row r="201" spans="2:3" x14ac:dyDescent="0.25">
      <c r="B201" s="12" t="s">
        <v>2129</v>
      </c>
      <c r="C201" s="14" t="s">
        <v>2836</v>
      </c>
    </row>
    <row r="202" spans="2:3" ht="26.4" x14ac:dyDescent="0.25">
      <c r="B202" s="11" t="s">
        <v>909</v>
      </c>
      <c r="C202" s="14" t="s">
        <v>1711</v>
      </c>
    </row>
    <row r="203" spans="2:3" ht="26.4" x14ac:dyDescent="0.25">
      <c r="B203" s="11" t="s">
        <v>906</v>
      </c>
      <c r="C203" s="14" t="s">
        <v>1711</v>
      </c>
    </row>
    <row r="204" spans="2:3" x14ac:dyDescent="0.25">
      <c r="C204" s="14" t="s">
        <v>544</v>
      </c>
    </row>
    <row r="205" spans="2:3" x14ac:dyDescent="0.25">
      <c r="B205" s="12" t="s">
        <v>2130</v>
      </c>
      <c r="C205" s="14" t="s">
        <v>1715</v>
      </c>
    </row>
    <row r="206" spans="2:3" x14ac:dyDescent="0.25">
      <c r="B206" s="11" t="s">
        <v>2131</v>
      </c>
      <c r="C206" s="14" t="s">
        <v>1715</v>
      </c>
    </row>
    <row r="207" spans="2:3" x14ac:dyDescent="0.25">
      <c r="B207" s="12"/>
      <c r="C207" s="14" t="s">
        <v>544</v>
      </c>
    </row>
    <row r="208" spans="2:3" x14ac:dyDescent="0.25">
      <c r="B208" s="12" t="s">
        <v>2132</v>
      </c>
      <c r="C208" s="14" t="s">
        <v>1715</v>
      </c>
    </row>
    <row r="209" spans="2:3" x14ac:dyDescent="0.25">
      <c r="B209" s="11" t="s">
        <v>2131</v>
      </c>
      <c r="C209" s="14" t="s">
        <v>1715</v>
      </c>
    </row>
    <row r="210" spans="2:3" x14ac:dyDescent="0.25">
      <c r="C210" s="14" t="s">
        <v>544</v>
      </c>
    </row>
    <row r="211" spans="2:3" x14ac:dyDescent="0.25">
      <c r="B211" s="12" t="s">
        <v>2133</v>
      </c>
      <c r="C211" s="14" t="s">
        <v>1715</v>
      </c>
    </row>
    <row r="212" spans="2:3" x14ac:dyDescent="0.25">
      <c r="B212" s="11" t="s">
        <v>2134</v>
      </c>
      <c r="C212" s="14" t="s">
        <v>1711</v>
      </c>
    </row>
    <row r="213" spans="2:3" x14ac:dyDescent="0.25">
      <c r="C213" s="14" t="s">
        <v>544</v>
      </c>
    </row>
    <row r="214" spans="2:3" x14ac:dyDescent="0.25">
      <c r="B214" s="12" t="s">
        <v>2135</v>
      </c>
      <c r="C214" s="14" t="s">
        <v>2734</v>
      </c>
    </row>
    <row r="215" spans="2:3" ht="26.4" x14ac:dyDescent="0.25">
      <c r="B215" s="11" t="s">
        <v>909</v>
      </c>
      <c r="C215" s="14" t="s">
        <v>1711</v>
      </c>
    </row>
    <row r="216" spans="2:3" ht="26.4" x14ac:dyDescent="0.25">
      <c r="B216" s="11" t="s">
        <v>906</v>
      </c>
      <c r="C216" s="14" t="s">
        <v>1711</v>
      </c>
    </row>
    <row r="217" spans="2:3" x14ac:dyDescent="0.25">
      <c r="C217" s="14" t="s">
        <v>544</v>
      </c>
    </row>
    <row r="218" spans="2:3" x14ac:dyDescent="0.25">
      <c r="B218" s="12" t="s">
        <v>2006</v>
      </c>
      <c r="C218" s="14">
        <v>0</v>
      </c>
    </row>
    <row r="219" spans="2:3" x14ac:dyDescent="0.25">
      <c r="B219" s="11" t="s">
        <v>1389</v>
      </c>
      <c r="C219" s="14" t="s">
        <v>2206</v>
      </c>
    </row>
    <row r="220" spans="2:3" ht="26.4" x14ac:dyDescent="0.25">
      <c r="B220" s="11" t="s">
        <v>909</v>
      </c>
      <c r="C220" s="14" t="s">
        <v>1711</v>
      </c>
    </row>
    <row r="221" spans="2:3" ht="26.4" x14ac:dyDescent="0.25">
      <c r="B221" s="11" t="s">
        <v>906</v>
      </c>
      <c r="C221" s="14" t="s">
        <v>1711</v>
      </c>
    </row>
    <row r="222" spans="2:3" ht="26.4" x14ac:dyDescent="0.25">
      <c r="B222" s="11" t="s">
        <v>907</v>
      </c>
      <c r="C222" s="14" t="s">
        <v>1711</v>
      </c>
    </row>
    <row r="223" spans="2:3" x14ac:dyDescent="0.25">
      <c r="B223" s="11" t="s">
        <v>1781</v>
      </c>
      <c r="C223" s="14" t="s">
        <v>1711</v>
      </c>
    </row>
    <row r="224" spans="2:3" x14ac:dyDescent="0.25">
      <c r="B224" s="11" t="s">
        <v>908</v>
      </c>
      <c r="C224" s="14" t="s">
        <v>1711</v>
      </c>
    </row>
    <row r="225" spans="2:3" ht="26.4" x14ac:dyDescent="0.25">
      <c r="B225" s="11" t="s">
        <v>910</v>
      </c>
      <c r="C225" s="14" t="s">
        <v>1711</v>
      </c>
    </row>
    <row r="226" spans="2:3" x14ac:dyDescent="0.25">
      <c r="B226" s="11" t="s">
        <v>2733</v>
      </c>
      <c r="C226" s="14" t="s">
        <v>1711</v>
      </c>
    </row>
    <row r="227" spans="2:3" x14ac:dyDescent="0.25">
      <c r="B227" s="11" t="s">
        <v>2007</v>
      </c>
      <c r="C227" s="14" t="s">
        <v>1711</v>
      </c>
    </row>
    <row r="228" spans="2:3" x14ac:dyDescent="0.25">
      <c r="C228" s="14" t="s">
        <v>544</v>
      </c>
    </row>
    <row r="229" spans="2:3" x14ac:dyDescent="0.25">
      <c r="B229" s="12" t="s">
        <v>2008</v>
      </c>
      <c r="C229" s="14">
        <v>0</v>
      </c>
    </row>
    <row r="230" spans="2:3" x14ac:dyDescent="0.25">
      <c r="B230" s="11" t="s">
        <v>246</v>
      </c>
      <c r="C230" s="14" t="s">
        <v>1711</v>
      </c>
    </row>
    <row r="231" spans="2:3" x14ac:dyDescent="0.25">
      <c r="C231" s="14" t="s">
        <v>544</v>
      </c>
    </row>
    <row r="232" spans="2:3" x14ac:dyDescent="0.25">
      <c r="B232" s="12" t="s">
        <v>2009</v>
      </c>
      <c r="C232" s="14">
        <v>0</v>
      </c>
    </row>
    <row r="233" spans="2:3" x14ac:dyDescent="0.25">
      <c r="B233" s="11" t="s">
        <v>246</v>
      </c>
      <c r="C233" s="14" t="s">
        <v>1711</v>
      </c>
    </row>
    <row r="234" spans="2:3" x14ac:dyDescent="0.25">
      <c r="B234" s="11" t="s">
        <v>1178</v>
      </c>
      <c r="C234" s="14" t="s">
        <v>1711</v>
      </c>
    </row>
    <row r="235" spans="2:3" x14ac:dyDescent="0.25">
      <c r="B235" s="11" t="s">
        <v>2726</v>
      </c>
      <c r="C235" s="14" t="s">
        <v>1711</v>
      </c>
    </row>
    <row r="236" spans="2:3" x14ac:dyDescent="0.25">
      <c r="B236" s="11" t="s">
        <v>2727</v>
      </c>
      <c r="C236" s="14" t="s">
        <v>1711</v>
      </c>
    </row>
    <row r="237" spans="2:3" x14ac:dyDescent="0.25">
      <c r="B237" s="11" t="s">
        <v>2732</v>
      </c>
      <c r="C237" s="14" t="s">
        <v>1711</v>
      </c>
    </row>
    <row r="238" spans="2:3" x14ac:dyDescent="0.25">
      <c r="C238" s="14" t="s">
        <v>544</v>
      </c>
    </row>
    <row r="239" spans="2:3" x14ac:dyDescent="0.25">
      <c r="B239" s="12" t="s">
        <v>2402</v>
      </c>
      <c r="C239" s="14">
        <v>0</v>
      </c>
    </row>
    <row r="240" spans="2:3" x14ac:dyDescent="0.25">
      <c r="B240" s="11" t="s">
        <v>246</v>
      </c>
      <c r="C240" s="14" t="s">
        <v>1711</v>
      </c>
    </row>
    <row r="241" spans="2:3" x14ac:dyDescent="0.25">
      <c r="B241" s="11" t="s">
        <v>2726</v>
      </c>
      <c r="C241" s="14" t="s">
        <v>1711</v>
      </c>
    </row>
    <row r="242" spans="2:3" x14ac:dyDescent="0.25">
      <c r="B242" s="11" t="s">
        <v>2732</v>
      </c>
      <c r="C242" s="14" t="s">
        <v>1711</v>
      </c>
    </row>
    <row r="243" spans="2:3" x14ac:dyDescent="0.25">
      <c r="C243" s="14" t="s">
        <v>544</v>
      </c>
    </row>
    <row r="244" spans="2:3" x14ac:dyDescent="0.25">
      <c r="B244" s="12" t="s">
        <v>2403</v>
      </c>
      <c r="C244" s="14" t="s">
        <v>1715</v>
      </c>
    </row>
    <row r="245" spans="2:3" x14ac:dyDescent="0.25">
      <c r="B245" s="11" t="s">
        <v>2308</v>
      </c>
      <c r="C245" s="14" t="s">
        <v>1715</v>
      </c>
    </row>
    <row r="246" spans="2:3" x14ac:dyDescent="0.25">
      <c r="B246" s="11" t="s">
        <v>247</v>
      </c>
      <c r="C246" s="14" t="s">
        <v>1711</v>
      </c>
    </row>
    <row r="247" spans="2:3" x14ac:dyDescent="0.25">
      <c r="B247" s="11" t="s">
        <v>1696</v>
      </c>
      <c r="C247" s="14" t="s">
        <v>1711</v>
      </c>
    </row>
    <row r="248" spans="2:3" x14ac:dyDescent="0.25">
      <c r="B248" s="11" t="s">
        <v>1697</v>
      </c>
      <c r="C248" s="14" t="s">
        <v>1711</v>
      </c>
    </row>
    <row r="249" spans="2:3" x14ac:dyDescent="0.25">
      <c r="B249" s="11" t="s">
        <v>9</v>
      </c>
      <c r="C249" s="14" t="s">
        <v>1711</v>
      </c>
    </row>
    <row r="250" spans="2:3" x14ac:dyDescent="0.25">
      <c r="C250" s="14" t="s">
        <v>544</v>
      </c>
    </row>
    <row r="251" spans="2:3" x14ac:dyDescent="0.25">
      <c r="B251" s="12" t="s">
        <v>2404</v>
      </c>
      <c r="C251" s="14" t="s">
        <v>2840</v>
      </c>
    </row>
    <row r="252" spans="2:3" x14ac:dyDescent="0.25">
      <c r="B252" s="11" t="s">
        <v>1376</v>
      </c>
      <c r="C252" s="14" t="s">
        <v>1711</v>
      </c>
    </row>
    <row r="253" spans="2:3" x14ac:dyDescent="0.25">
      <c r="B253" s="11" t="s">
        <v>1110</v>
      </c>
      <c r="C253" s="14" t="s">
        <v>1711</v>
      </c>
    </row>
    <row r="254" spans="2:3" x14ac:dyDescent="0.25">
      <c r="B254" s="11" t="s">
        <v>1034</v>
      </c>
      <c r="C254" s="14" t="s">
        <v>2206</v>
      </c>
    </row>
    <row r="255" spans="2:3" x14ac:dyDescent="0.25">
      <c r="B255" s="11" t="s">
        <v>2313</v>
      </c>
      <c r="C255" s="14" t="s">
        <v>1711</v>
      </c>
    </row>
    <row r="256" spans="2:3" x14ac:dyDescent="0.25">
      <c r="B256" s="11" t="s">
        <v>1034</v>
      </c>
      <c r="C256" s="14" t="s">
        <v>2206</v>
      </c>
    </row>
    <row r="257" spans="2:3" x14ac:dyDescent="0.25">
      <c r="B257" s="11" t="s">
        <v>1999</v>
      </c>
      <c r="C257" s="14" t="s">
        <v>1711</v>
      </c>
    </row>
    <row r="258" spans="2:3" x14ac:dyDescent="0.25">
      <c r="B258" s="11" t="s">
        <v>2786</v>
      </c>
      <c r="C258" s="14" t="s">
        <v>1711</v>
      </c>
    </row>
    <row r="259" spans="2:3" x14ac:dyDescent="0.25">
      <c r="B259" s="11" t="s">
        <v>2784</v>
      </c>
      <c r="C259" s="14" t="s">
        <v>1711</v>
      </c>
    </row>
    <row r="260" spans="2:3" x14ac:dyDescent="0.25">
      <c r="B260" s="11" t="s">
        <v>1996</v>
      </c>
      <c r="C260" s="14" t="s">
        <v>1711</v>
      </c>
    </row>
    <row r="261" spans="2:3" x14ac:dyDescent="0.25">
      <c r="B261" s="11" t="s">
        <v>1997</v>
      </c>
      <c r="C261" s="14" t="s">
        <v>1711</v>
      </c>
    </row>
    <row r="262" spans="2:3" x14ac:dyDescent="0.25">
      <c r="B262" s="11" t="s">
        <v>1998</v>
      </c>
      <c r="C262" s="14" t="s">
        <v>1711</v>
      </c>
    </row>
    <row r="263" spans="2:3" ht="26.4" x14ac:dyDescent="0.25">
      <c r="B263" s="11" t="s">
        <v>909</v>
      </c>
      <c r="C263" s="14" t="s">
        <v>1711</v>
      </c>
    </row>
    <row r="264" spans="2:3" ht="26.4" x14ac:dyDescent="0.25">
      <c r="B264" s="11" t="s">
        <v>906</v>
      </c>
      <c r="C264" s="14" t="s">
        <v>1711</v>
      </c>
    </row>
    <row r="265" spans="2:3" ht="26.4" x14ac:dyDescent="0.25">
      <c r="B265" s="11" t="s">
        <v>907</v>
      </c>
      <c r="C265" s="14" t="s">
        <v>1711</v>
      </c>
    </row>
    <row r="266" spans="2:3" x14ac:dyDescent="0.25">
      <c r="B266" s="11" t="s">
        <v>1781</v>
      </c>
      <c r="C266" s="14" t="s">
        <v>1711</v>
      </c>
    </row>
    <row r="267" spans="2:3" x14ac:dyDescent="0.25">
      <c r="B267" s="11" t="s">
        <v>908</v>
      </c>
      <c r="C267" s="14" t="s">
        <v>1711</v>
      </c>
    </row>
    <row r="268" spans="2:3" ht="26.4" x14ac:dyDescent="0.25">
      <c r="B268" s="11" t="s">
        <v>910</v>
      </c>
      <c r="C268" s="14" t="s">
        <v>1711</v>
      </c>
    </row>
    <row r="269" spans="2:3" x14ac:dyDescent="0.25">
      <c r="B269" s="11" t="s">
        <v>1523</v>
      </c>
      <c r="C269" s="14" t="s">
        <v>1711</v>
      </c>
    </row>
    <row r="270" spans="2:3" x14ac:dyDescent="0.25">
      <c r="B270" s="11" t="s">
        <v>13</v>
      </c>
      <c r="C270" s="14" t="s">
        <v>1711</v>
      </c>
    </row>
    <row r="271" spans="2:3" x14ac:dyDescent="0.25">
      <c r="B271" s="11" t="s">
        <v>243</v>
      </c>
      <c r="C271" s="14" t="s">
        <v>1711</v>
      </c>
    </row>
    <row r="272" spans="2:3" x14ac:dyDescent="0.25">
      <c r="B272" s="11" t="s">
        <v>2712</v>
      </c>
      <c r="C272" s="14" t="s">
        <v>1711</v>
      </c>
    </row>
    <row r="273" spans="2:3" x14ac:dyDescent="0.25">
      <c r="C273" s="14" t="s">
        <v>544</v>
      </c>
    </row>
    <row r="274" spans="2:3" x14ac:dyDescent="0.25">
      <c r="B274" s="12" t="s">
        <v>2405</v>
      </c>
      <c r="C274" s="14" t="s">
        <v>1715</v>
      </c>
    </row>
    <row r="275" spans="2:3" x14ac:dyDescent="0.25">
      <c r="B275" s="11" t="s">
        <v>1704</v>
      </c>
      <c r="C275" s="14">
        <v>0</v>
      </c>
    </row>
    <row r="276" spans="2:3" ht="26.4" x14ac:dyDescent="0.25">
      <c r="B276" s="11" t="s">
        <v>909</v>
      </c>
      <c r="C276" s="14" t="s">
        <v>1711</v>
      </c>
    </row>
    <row r="277" spans="2:3" ht="26.4" x14ac:dyDescent="0.25">
      <c r="B277" s="11" t="s">
        <v>906</v>
      </c>
      <c r="C277" s="14" t="s">
        <v>1711</v>
      </c>
    </row>
    <row r="278" spans="2:3" ht="26.4" x14ac:dyDescent="0.25">
      <c r="B278" s="11" t="s">
        <v>907</v>
      </c>
      <c r="C278" s="14" t="s">
        <v>1711</v>
      </c>
    </row>
    <row r="279" spans="2:3" ht="26.4" x14ac:dyDescent="0.25">
      <c r="B279" s="3" t="s">
        <v>1481</v>
      </c>
      <c r="C279" s="14" t="s">
        <v>1711</v>
      </c>
    </row>
    <row r="280" spans="2:3" x14ac:dyDescent="0.25">
      <c r="B280" s="11" t="s">
        <v>908</v>
      </c>
      <c r="C280" s="14" t="s">
        <v>1711</v>
      </c>
    </row>
    <row r="281" spans="2:3" ht="26.4" x14ac:dyDescent="0.25">
      <c r="B281" s="11" t="s">
        <v>910</v>
      </c>
      <c r="C281" s="14" t="s">
        <v>1711</v>
      </c>
    </row>
    <row r="282" spans="2:3" x14ac:dyDescent="0.25">
      <c r="B282" s="11" t="s">
        <v>1523</v>
      </c>
      <c r="C282" s="14" t="s">
        <v>1711</v>
      </c>
    </row>
    <row r="283" spans="2:3" x14ac:dyDescent="0.25">
      <c r="B283" s="11" t="s">
        <v>13</v>
      </c>
      <c r="C283" s="14" t="s">
        <v>1711</v>
      </c>
    </row>
    <row r="284" spans="2:3" x14ac:dyDescent="0.25">
      <c r="B284" s="11" t="s">
        <v>2712</v>
      </c>
      <c r="C284" s="14" t="s">
        <v>1711</v>
      </c>
    </row>
    <row r="285" spans="2:3" x14ac:dyDescent="0.25">
      <c r="C285" s="14" t="s">
        <v>544</v>
      </c>
    </row>
    <row r="286" spans="2:3" x14ac:dyDescent="0.25">
      <c r="B286" s="12" t="s">
        <v>1705</v>
      </c>
      <c r="C286" s="14" t="s">
        <v>1715</v>
      </c>
    </row>
    <row r="287" spans="2:3" x14ac:dyDescent="0.25">
      <c r="B287" s="12"/>
      <c r="C287" s="14" t="s">
        <v>544</v>
      </c>
    </row>
    <row r="288" spans="2:3" x14ac:dyDescent="0.25">
      <c r="B288" s="12" t="s">
        <v>1706</v>
      </c>
      <c r="C288" s="14" t="s">
        <v>614</v>
      </c>
    </row>
    <row r="289" spans="2:3" x14ac:dyDescent="0.25">
      <c r="B289" s="11" t="s">
        <v>2540</v>
      </c>
      <c r="C289" s="14" t="s">
        <v>1711</v>
      </c>
    </row>
    <row r="290" spans="2:3" x14ac:dyDescent="0.25">
      <c r="B290" s="11" t="s">
        <v>2541</v>
      </c>
      <c r="C290" s="14" t="s">
        <v>1711</v>
      </c>
    </row>
    <row r="291" spans="2:3" x14ac:dyDescent="0.25">
      <c r="B291" s="11" t="s">
        <v>2542</v>
      </c>
      <c r="C291" s="14" t="s">
        <v>1711</v>
      </c>
    </row>
    <row r="292" spans="2:3" x14ac:dyDescent="0.25">
      <c r="B292" s="11" t="s">
        <v>1341</v>
      </c>
      <c r="C292" s="14" t="s">
        <v>1711</v>
      </c>
    </row>
    <row r="293" spans="2:3" x14ac:dyDescent="0.25">
      <c r="B293" s="11" t="s">
        <v>750</v>
      </c>
      <c r="C293" s="14" t="e">
        <v>#N/A</v>
      </c>
    </row>
    <row r="294" spans="2:3" x14ac:dyDescent="0.25">
      <c r="B294" s="11" t="s">
        <v>1376</v>
      </c>
      <c r="C294" s="14" t="s">
        <v>1711</v>
      </c>
    </row>
    <row r="295" spans="2:3" x14ac:dyDescent="0.25">
      <c r="B295" s="11" t="s">
        <v>1110</v>
      </c>
      <c r="C295" s="14" t="s">
        <v>1711</v>
      </c>
    </row>
    <row r="296" spans="2:3" x14ac:dyDescent="0.25">
      <c r="B296" s="11" t="s">
        <v>1034</v>
      </c>
      <c r="C296" s="14" t="s">
        <v>2206</v>
      </c>
    </row>
    <row r="297" spans="2:3" x14ac:dyDescent="0.25">
      <c r="B297" s="11" t="s">
        <v>2313</v>
      </c>
      <c r="C297" s="14" t="s">
        <v>1711</v>
      </c>
    </row>
    <row r="298" spans="2:3" x14ac:dyDescent="0.25">
      <c r="B298" s="11" t="s">
        <v>1034</v>
      </c>
      <c r="C298" s="14" t="s">
        <v>2206</v>
      </c>
    </row>
    <row r="299" spans="2:3" x14ac:dyDescent="0.25">
      <c r="B299" s="11" t="s">
        <v>988</v>
      </c>
      <c r="C299" s="14" t="s">
        <v>1711</v>
      </c>
    </row>
    <row r="300" spans="2:3" ht="26.4" x14ac:dyDescent="0.25">
      <c r="B300" s="11" t="s">
        <v>909</v>
      </c>
      <c r="C300" s="14" t="s">
        <v>1711</v>
      </c>
    </row>
    <row r="301" spans="2:3" ht="26.4" x14ac:dyDescent="0.25">
      <c r="B301" s="11" t="s">
        <v>906</v>
      </c>
      <c r="C301" s="14" t="s">
        <v>1711</v>
      </c>
    </row>
    <row r="302" spans="2:3" ht="26.4" x14ac:dyDescent="0.25">
      <c r="B302" s="11" t="s">
        <v>907</v>
      </c>
      <c r="C302" s="14" t="s">
        <v>1711</v>
      </c>
    </row>
    <row r="303" spans="2:3" x14ac:dyDescent="0.25">
      <c r="B303" s="11" t="s">
        <v>1781</v>
      </c>
      <c r="C303" s="14" t="s">
        <v>1711</v>
      </c>
    </row>
    <row r="304" spans="2:3" x14ac:dyDescent="0.25">
      <c r="B304" s="11" t="s">
        <v>908</v>
      </c>
      <c r="C304" s="14" t="s">
        <v>1711</v>
      </c>
    </row>
    <row r="305" spans="2:3" ht="26.4" x14ac:dyDescent="0.25">
      <c r="B305" s="11" t="s">
        <v>910</v>
      </c>
      <c r="C305" s="14" t="s">
        <v>1711</v>
      </c>
    </row>
    <row r="306" spans="2:3" x14ac:dyDescent="0.25">
      <c r="B306" s="11" t="s">
        <v>1523</v>
      </c>
      <c r="C306" s="14" t="s">
        <v>1711</v>
      </c>
    </row>
    <row r="307" spans="2:3" x14ac:dyDescent="0.25">
      <c r="B307" s="11" t="s">
        <v>2712</v>
      </c>
      <c r="C307" s="14" t="s">
        <v>1711</v>
      </c>
    </row>
    <row r="308" spans="2:3" x14ac:dyDescent="0.25">
      <c r="B308" s="11" t="s">
        <v>983</v>
      </c>
      <c r="C308" s="14" t="s">
        <v>2734</v>
      </c>
    </row>
    <row r="309" spans="2:3" x14ac:dyDescent="0.25">
      <c r="B309" s="11" t="s">
        <v>2414</v>
      </c>
      <c r="C309" s="14" t="s">
        <v>1711</v>
      </c>
    </row>
    <row r="310" spans="2:3" x14ac:dyDescent="0.25">
      <c r="B310" s="11" t="s">
        <v>1709</v>
      </c>
      <c r="C310" s="14" t="s">
        <v>1711</v>
      </c>
    </row>
    <row r="311" spans="2:3" x14ac:dyDescent="0.25">
      <c r="C311" s="14" t="s">
        <v>544</v>
      </c>
    </row>
    <row r="312" spans="2:3" x14ac:dyDescent="0.25">
      <c r="B312" s="12" t="s">
        <v>1800</v>
      </c>
      <c r="C312" s="14" t="s">
        <v>2206</v>
      </c>
    </row>
    <row r="313" spans="2:3" x14ac:dyDescent="0.25">
      <c r="B313" s="11" t="s">
        <v>2833</v>
      </c>
      <c r="C313" s="14" t="s">
        <v>2834</v>
      </c>
    </row>
    <row r="314" spans="2:3" x14ac:dyDescent="0.25">
      <c r="B314" s="11" t="s">
        <v>2218</v>
      </c>
      <c r="C314" s="14" t="s">
        <v>1711</v>
      </c>
    </row>
    <row r="315" spans="2:3" x14ac:dyDescent="0.25">
      <c r="B315" s="11" t="s">
        <v>2309</v>
      </c>
      <c r="C315" s="14" t="s">
        <v>1715</v>
      </c>
    </row>
    <row r="316" spans="2:3" x14ac:dyDescent="0.25">
      <c r="B316" s="11" t="s">
        <v>282</v>
      </c>
      <c r="C316" s="14" t="s">
        <v>1715</v>
      </c>
    </row>
    <row r="317" spans="2:3" x14ac:dyDescent="0.25">
      <c r="B317" s="11" t="s">
        <v>2371</v>
      </c>
      <c r="C317" s="14" t="s">
        <v>1711</v>
      </c>
    </row>
    <row r="318" spans="2:3" x14ac:dyDescent="0.25">
      <c r="B318" s="11" t="s">
        <v>2741</v>
      </c>
      <c r="C318" s="14" t="s">
        <v>1711</v>
      </c>
    </row>
    <row r="319" spans="2:3" x14ac:dyDescent="0.25">
      <c r="B319" s="11" t="s">
        <v>1301</v>
      </c>
      <c r="C319" s="14" t="s">
        <v>1711</v>
      </c>
    </row>
    <row r="320" spans="2:3" x14ac:dyDescent="0.25">
      <c r="C320" s="14" t="s">
        <v>544</v>
      </c>
    </row>
    <row r="321" spans="2:3" x14ac:dyDescent="0.25">
      <c r="B321" s="12" t="s">
        <v>2417</v>
      </c>
      <c r="C321" s="14" t="s">
        <v>2202</v>
      </c>
    </row>
    <row r="322" spans="2:3" x14ac:dyDescent="0.25">
      <c r="B322" s="11" t="s">
        <v>1524</v>
      </c>
      <c r="C322" s="14" t="s">
        <v>1711</v>
      </c>
    </row>
    <row r="323" spans="2:3" x14ac:dyDescent="0.25">
      <c r="B323" s="11" t="s">
        <v>402</v>
      </c>
      <c r="C323" s="14" t="s">
        <v>1388</v>
      </c>
    </row>
    <row r="324" spans="2:3" x14ac:dyDescent="0.25">
      <c r="B324" s="11" t="s">
        <v>403</v>
      </c>
      <c r="C324" s="14" t="s">
        <v>1388</v>
      </c>
    </row>
    <row r="325" spans="2:3" x14ac:dyDescent="0.25">
      <c r="B325" s="11" t="s">
        <v>2418</v>
      </c>
      <c r="C325" s="14" t="s">
        <v>1388</v>
      </c>
    </row>
    <row r="326" spans="2:3" x14ac:dyDescent="0.25">
      <c r="B326" s="11" t="s">
        <v>401</v>
      </c>
      <c r="C326" s="14" t="s">
        <v>1388</v>
      </c>
    </row>
    <row r="327" spans="2:3" x14ac:dyDescent="0.25">
      <c r="B327" s="11" t="s">
        <v>2419</v>
      </c>
      <c r="C327" s="14" t="s">
        <v>1388</v>
      </c>
    </row>
    <row r="328" spans="2:3" x14ac:dyDescent="0.25">
      <c r="B328" s="8" t="s">
        <v>2771</v>
      </c>
      <c r="C328" s="14" t="e">
        <v>#N/A</v>
      </c>
    </row>
    <row r="329" spans="2:3" x14ac:dyDescent="0.25">
      <c r="B329" s="4" t="s">
        <v>2770</v>
      </c>
      <c r="C329" s="14" t="e">
        <v>#N/A</v>
      </c>
    </row>
    <row r="330" spans="2:3" x14ac:dyDescent="0.25">
      <c r="B330" s="4" t="s">
        <v>2420</v>
      </c>
      <c r="C330" s="14" t="s">
        <v>2734</v>
      </c>
    </row>
    <row r="331" spans="2:3" x14ac:dyDescent="0.25">
      <c r="B331" s="2" t="s">
        <v>585</v>
      </c>
      <c r="C331" s="14" t="s">
        <v>1711</v>
      </c>
    </row>
    <row r="332" spans="2:3" x14ac:dyDescent="0.25">
      <c r="C332" s="14" t="s">
        <v>544</v>
      </c>
    </row>
    <row r="333" spans="2:3" x14ac:dyDescent="0.25">
      <c r="C333" s="14" t="s">
        <v>544</v>
      </c>
    </row>
    <row r="334" spans="2:3" x14ac:dyDescent="0.25">
      <c r="C334" s="14" t="s">
        <v>544</v>
      </c>
    </row>
    <row r="335" spans="2:3" x14ac:dyDescent="0.25">
      <c r="B335" s="12" t="s">
        <v>2421</v>
      </c>
      <c r="C335" s="14" t="s">
        <v>2840</v>
      </c>
    </row>
    <row r="336" spans="2:3" ht="26.4" x14ac:dyDescent="0.25">
      <c r="B336" s="3" t="s">
        <v>906</v>
      </c>
      <c r="C336" s="14" t="s">
        <v>1711</v>
      </c>
    </row>
    <row r="337" spans="2:3" ht="26.4" x14ac:dyDescent="0.25">
      <c r="B337" s="3" t="s">
        <v>909</v>
      </c>
      <c r="C337" s="14" t="s">
        <v>1711</v>
      </c>
    </row>
    <row r="338" spans="2:3" x14ac:dyDescent="0.25">
      <c r="C338" s="14" t="s">
        <v>544</v>
      </c>
    </row>
    <row r="339" spans="2:3" x14ac:dyDescent="0.25">
      <c r="B339" s="12" t="s">
        <v>2422</v>
      </c>
      <c r="C339" s="14" t="s">
        <v>2840</v>
      </c>
    </row>
    <row r="340" spans="2:3" x14ac:dyDescent="0.25">
      <c r="B340" s="12"/>
      <c r="C340" s="14" t="s">
        <v>544</v>
      </c>
    </row>
    <row r="341" spans="2:3" x14ac:dyDescent="0.25">
      <c r="B341" s="12" t="s">
        <v>2423</v>
      </c>
      <c r="C341" s="14">
        <v>0</v>
      </c>
    </row>
    <row r="342" spans="2:3" ht="26.4" x14ac:dyDescent="0.25">
      <c r="B342" s="11" t="s">
        <v>909</v>
      </c>
      <c r="C342" s="14" t="s">
        <v>1711</v>
      </c>
    </row>
    <row r="343" spans="2:3" ht="26.4" x14ac:dyDescent="0.25">
      <c r="B343" s="11" t="s">
        <v>906</v>
      </c>
      <c r="C343" s="14" t="s">
        <v>1711</v>
      </c>
    </row>
    <row r="344" spans="2:3" x14ac:dyDescent="0.25">
      <c r="C344" s="14" t="s">
        <v>544</v>
      </c>
    </row>
    <row r="345" spans="2:3" x14ac:dyDescent="0.25">
      <c r="B345" s="12" t="s">
        <v>2653</v>
      </c>
      <c r="C345" s="14">
        <v>0</v>
      </c>
    </row>
    <row r="346" spans="2:3" x14ac:dyDescent="0.25">
      <c r="B346" s="11" t="s">
        <v>1376</v>
      </c>
      <c r="C346" s="14" t="s">
        <v>1711</v>
      </c>
    </row>
    <row r="347" spans="2:3" x14ac:dyDescent="0.25">
      <c r="B347" s="11" t="s">
        <v>1110</v>
      </c>
      <c r="C347" s="14" t="s">
        <v>1711</v>
      </c>
    </row>
    <row r="348" spans="2:3" x14ac:dyDescent="0.25">
      <c r="B348" s="11" t="s">
        <v>1034</v>
      </c>
      <c r="C348" s="14" t="s">
        <v>2206</v>
      </c>
    </row>
    <row r="349" spans="2:3" x14ac:dyDescent="0.25">
      <c r="B349" s="11" t="s">
        <v>988</v>
      </c>
      <c r="C349" s="14" t="s">
        <v>1711</v>
      </c>
    </row>
    <row r="350" spans="2:3" x14ac:dyDescent="0.25">
      <c r="B350" s="11" t="s">
        <v>2797</v>
      </c>
      <c r="C350" s="14" t="s">
        <v>1711</v>
      </c>
    </row>
    <row r="351" spans="2:3" ht="26.4" x14ac:dyDescent="0.25">
      <c r="B351" s="11" t="s">
        <v>909</v>
      </c>
      <c r="C351" s="14" t="s">
        <v>1711</v>
      </c>
    </row>
    <row r="352" spans="2:3" ht="26.4" x14ac:dyDescent="0.25">
      <c r="B352" s="11" t="s">
        <v>906</v>
      </c>
      <c r="C352" s="14" t="s">
        <v>1711</v>
      </c>
    </row>
    <row r="353" spans="2:3" ht="26.4" x14ac:dyDescent="0.25">
      <c r="B353" s="11" t="s">
        <v>907</v>
      </c>
      <c r="C353" s="14" t="s">
        <v>1711</v>
      </c>
    </row>
    <row r="354" spans="2:3" x14ac:dyDescent="0.25">
      <c r="B354" s="11" t="s">
        <v>1781</v>
      </c>
      <c r="C354" s="14" t="s">
        <v>1711</v>
      </c>
    </row>
    <row r="355" spans="2:3" x14ac:dyDescent="0.25">
      <c r="B355" s="11" t="s">
        <v>908</v>
      </c>
      <c r="C355" s="14" t="s">
        <v>1711</v>
      </c>
    </row>
    <row r="356" spans="2:3" ht="26.4" x14ac:dyDescent="0.25">
      <c r="B356" s="11" t="s">
        <v>910</v>
      </c>
      <c r="C356" s="14" t="s">
        <v>1711</v>
      </c>
    </row>
    <row r="357" spans="2:3" x14ac:dyDescent="0.25">
      <c r="B357" s="11" t="s">
        <v>1523</v>
      </c>
      <c r="C357" s="14" t="s">
        <v>1711</v>
      </c>
    </row>
    <row r="358" spans="2:3" x14ac:dyDescent="0.25">
      <c r="B358" s="11" t="s">
        <v>2712</v>
      </c>
      <c r="C358" s="14" t="s">
        <v>1711</v>
      </c>
    </row>
    <row r="359" spans="2:3" x14ac:dyDescent="0.25">
      <c r="B359" s="11" t="s">
        <v>2654</v>
      </c>
      <c r="C359" s="14" t="s">
        <v>1388</v>
      </c>
    </row>
    <row r="360" spans="2:3" x14ac:dyDescent="0.25">
      <c r="B360" s="11" t="s">
        <v>401</v>
      </c>
      <c r="C360" s="14" t="s">
        <v>1388</v>
      </c>
    </row>
    <row r="361" spans="2:3" x14ac:dyDescent="0.25">
      <c r="B361" s="11" t="s">
        <v>1984</v>
      </c>
      <c r="C361" s="14" t="s">
        <v>1388</v>
      </c>
    </row>
    <row r="362" spans="2:3" x14ac:dyDescent="0.25">
      <c r="B362" s="11" t="s">
        <v>403</v>
      </c>
      <c r="C362" s="14" t="s">
        <v>1388</v>
      </c>
    </row>
    <row r="363" spans="2:3" x14ac:dyDescent="0.25">
      <c r="B363" s="11" t="s">
        <v>1455</v>
      </c>
      <c r="C363" s="14" t="s">
        <v>1711</v>
      </c>
    </row>
    <row r="364" spans="2:3" x14ac:dyDescent="0.25">
      <c r="B364" s="11" t="s">
        <v>561</v>
      </c>
      <c r="C364" s="14">
        <v>0</v>
      </c>
    </row>
    <row r="365" spans="2:3" x14ac:dyDescent="0.25">
      <c r="B365" s="3" t="s">
        <v>1963</v>
      </c>
      <c r="C365" s="14" t="s">
        <v>1387</v>
      </c>
    </row>
    <row r="366" spans="2:3" x14ac:dyDescent="0.25">
      <c r="B366" s="3" t="s">
        <v>1111</v>
      </c>
      <c r="C366" s="14" t="s">
        <v>1387</v>
      </c>
    </row>
    <row r="367" spans="2:3" x14ac:dyDescent="0.25">
      <c r="B367" s="3" t="s">
        <v>1782</v>
      </c>
      <c r="C367" s="14" t="s">
        <v>1711</v>
      </c>
    </row>
    <row r="368" spans="2:3" x14ac:dyDescent="0.25">
      <c r="C368" s="14" t="s">
        <v>544</v>
      </c>
    </row>
    <row r="369" spans="2:3" x14ac:dyDescent="0.25">
      <c r="C369" s="14" t="s">
        <v>544</v>
      </c>
    </row>
    <row r="370" spans="2:3" x14ac:dyDescent="0.25">
      <c r="B370" s="12" t="s">
        <v>562</v>
      </c>
      <c r="C370" s="14" t="s">
        <v>1802</v>
      </c>
    </row>
    <row r="371" spans="2:3" x14ac:dyDescent="0.25">
      <c r="B371" s="11" t="s">
        <v>2218</v>
      </c>
      <c r="C371" s="14" t="s">
        <v>1711</v>
      </c>
    </row>
    <row r="372" spans="2:3" x14ac:dyDescent="0.25">
      <c r="B372" s="11" t="s">
        <v>551</v>
      </c>
      <c r="C372" s="14" t="s">
        <v>1711</v>
      </c>
    </row>
    <row r="373" spans="2:3" x14ac:dyDescent="0.25">
      <c r="B373" s="11" t="s">
        <v>1728</v>
      </c>
      <c r="C373" s="14" t="s">
        <v>1711</v>
      </c>
    </row>
    <row r="374" spans="2:3" x14ac:dyDescent="0.25">
      <c r="B374" s="11" t="s">
        <v>1523</v>
      </c>
      <c r="C374" s="14" t="s">
        <v>1711</v>
      </c>
    </row>
    <row r="375" spans="2:3" x14ac:dyDescent="0.25">
      <c r="C375" s="14" t="s">
        <v>544</v>
      </c>
    </row>
    <row r="376" spans="2:3" x14ac:dyDescent="0.25">
      <c r="B376" s="12" t="s">
        <v>1729</v>
      </c>
      <c r="C376" s="14" t="s">
        <v>1037</v>
      </c>
    </row>
    <row r="377" spans="2:3" x14ac:dyDescent="0.25">
      <c r="C377" s="14" t="s">
        <v>544</v>
      </c>
    </row>
    <row r="378" spans="2:3" x14ac:dyDescent="0.25">
      <c r="C378" s="14" t="s">
        <v>544</v>
      </c>
    </row>
    <row r="379" spans="2:3" x14ac:dyDescent="0.25">
      <c r="B379" s="12" t="s">
        <v>1730</v>
      </c>
      <c r="C379" s="14" t="s">
        <v>1037</v>
      </c>
    </row>
    <row r="380" spans="2:3" x14ac:dyDescent="0.25">
      <c r="B380" s="11" t="s">
        <v>188</v>
      </c>
      <c r="C380" s="14" t="s">
        <v>1711</v>
      </c>
    </row>
    <row r="381" spans="2:3" x14ac:dyDescent="0.25">
      <c r="B381" s="11" t="s">
        <v>410</v>
      </c>
      <c r="C381" s="14" t="s">
        <v>1711</v>
      </c>
    </row>
    <row r="382" spans="2:3" x14ac:dyDescent="0.25">
      <c r="B382" s="11" t="s">
        <v>15</v>
      </c>
      <c r="C382" s="14" t="s">
        <v>1711</v>
      </c>
    </row>
    <row r="383" spans="2:3" x14ac:dyDescent="0.25">
      <c r="B383" s="11" t="s">
        <v>16</v>
      </c>
      <c r="C383" s="14" t="s">
        <v>1711</v>
      </c>
    </row>
    <row r="384" spans="2:3" x14ac:dyDescent="0.25">
      <c r="B384" s="11" t="s">
        <v>413</v>
      </c>
      <c r="C384" s="14" t="s">
        <v>1711</v>
      </c>
    </row>
    <row r="385" spans="2:3" x14ac:dyDescent="0.25">
      <c r="C385" s="14" t="s">
        <v>544</v>
      </c>
    </row>
    <row r="386" spans="2:3" x14ac:dyDescent="0.25">
      <c r="B386" s="12" t="s">
        <v>189</v>
      </c>
      <c r="C386" s="14" t="s">
        <v>2840</v>
      </c>
    </row>
    <row r="387" spans="2:3" x14ac:dyDescent="0.25">
      <c r="B387" s="11" t="s">
        <v>730</v>
      </c>
      <c r="C387" s="14" t="s">
        <v>1711</v>
      </c>
    </row>
    <row r="388" spans="2:3" x14ac:dyDescent="0.25">
      <c r="C388" s="14" t="s">
        <v>544</v>
      </c>
    </row>
    <row r="389" spans="2:3" x14ac:dyDescent="0.25">
      <c r="B389" s="12" t="s">
        <v>731</v>
      </c>
      <c r="C389" s="14" t="s">
        <v>2840</v>
      </c>
    </row>
    <row r="390" spans="2:3" x14ac:dyDescent="0.25">
      <c r="B390" s="11" t="s">
        <v>1523</v>
      </c>
      <c r="C390" s="14" t="s">
        <v>1711</v>
      </c>
    </row>
    <row r="391" spans="2:3" x14ac:dyDescent="0.25">
      <c r="B391" s="11" t="s">
        <v>2713</v>
      </c>
      <c r="C391" s="14" t="s">
        <v>1711</v>
      </c>
    </row>
    <row r="392" spans="2:3" x14ac:dyDescent="0.25">
      <c r="B392" s="11" t="s">
        <v>905</v>
      </c>
      <c r="C392" s="14" t="s">
        <v>1711</v>
      </c>
    </row>
    <row r="393" spans="2:3" ht="26.4" x14ac:dyDescent="0.25">
      <c r="B393" s="11" t="s">
        <v>1176</v>
      </c>
      <c r="C393" s="14" t="s">
        <v>1037</v>
      </c>
    </row>
    <row r="394" spans="2:3" x14ac:dyDescent="0.25">
      <c r="C394" s="14" t="s">
        <v>544</v>
      </c>
    </row>
    <row r="395" spans="2:3" x14ac:dyDescent="0.25">
      <c r="B395" s="12" t="s">
        <v>1307</v>
      </c>
      <c r="C395" s="14" t="s">
        <v>2840</v>
      </c>
    </row>
    <row r="396" spans="2:3" x14ac:dyDescent="0.25">
      <c r="B396" s="11" t="s">
        <v>225</v>
      </c>
      <c r="C396" s="14" t="s">
        <v>1715</v>
      </c>
    </row>
    <row r="397" spans="2:3" x14ac:dyDescent="0.25">
      <c r="B397" s="11" t="s">
        <v>1415</v>
      </c>
      <c r="C397" s="14" t="s">
        <v>1715</v>
      </c>
    </row>
    <row r="398" spans="2:3" x14ac:dyDescent="0.25">
      <c r="B398" s="11" t="s">
        <v>625</v>
      </c>
      <c r="C398" s="14" t="s">
        <v>2840</v>
      </c>
    </row>
    <row r="399" spans="2:3" x14ac:dyDescent="0.25">
      <c r="C399" s="14" t="s">
        <v>544</v>
      </c>
    </row>
    <row r="400" spans="2:3" x14ac:dyDescent="0.25">
      <c r="B400" s="12" t="s">
        <v>626</v>
      </c>
      <c r="C400" s="14" t="s">
        <v>1715</v>
      </c>
    </row>
    <row r="401" spans="2:3" ht="26.4" x14ac:dyDescent="0.25">
      <c r="B401" s="11" t="s">
        <v>627</v>
      </c>
      <c r="C401" s="14" t="s">
        <v>1711</v>
      </c>
    </row>
    <row r="402" spans="2:3" ht="26.4" x14ac:dyDescent="0.25">
      <c r="B402" s="11" t="s">
        <v>2383</v>
      </c>
      <c r="C402" s="14" t="s">
        <v>1711</v>
      </c>
    </row>
    <row r="403" spans="2:3" ht="26.4" x14ac:dyDescent="0.25">
      <c r="B403" s="11" t="s">
        <v>2384</v>
      </c>
      <c r="C403" s="14" t="s">
        <v>1711</v>
      </c>
    </row>
    <row r="404" spans="2:3" x14ac:dyDescent="0.25">
      <c r="B404" s="11" t="s">
        <v>573</v>
      </c>
      <c r="C404" s="14" t="s">
        <v>1711</v>
      </c>
    </row>
    <row r="405" spans="2:3" x14ac:dyDescent="0.25">
      <c r="C405" s="14" t="s">
        <v>544</v>
      </c>
    </row>
    <row r="406" spans="2:3" x14ac:dyDescent="0.25">
      <c r="B406" s="12" t="s">
        <v>2760</v>
      </c>
      <c r="C406" s="14" t="s">
        <v>1714</v>
      </c>
    </row>
    <row r="407" spans="2:3" x14ac:dyDescent="0.25">
      <c r="B407" s="11" t="s">
        <v>1371</v>
      </c>
      <c r="C407" s="14" t="s">
        <v>1711</v>
      </c>
    </row>
    <row r="408" spans="2:3" x14ac:dyDescent="0.25">
      <c r="B408" s="11" t="s">
        <v>1372</v>
      </c>
      <c r="C408" s="14" t="s">
        <v>1711</v>
      </c>
    </row>
    <row r="409" spans="2:3" x14ac:dyDescent="0.25">
      <c r="B409" s="11" t="s">
        <v>1988</v>
      </c>
      <c r="C409" s="14" t="s">
        <v>1711</v>
      </c>
    </row>
    <row r="410" spans="2:3" x14ac:dyDescent="0.25">
      <c r="B410" s="11" t="s">
        <v>1989</v>
      </c>
      <c r="C410" s="14" t="s">
        <v>1711</v>
      </c>
    </row>
    <row r="411" spans="2:3" x14ac:dyDescent="0.25">
      <c r="B411" s="11" t="s">
        <v>2195</v>
      </c>
      <c r="C411" s="14" t="s">
        <v>1711</v>
      </c>
    </row>
    <row r="412" spans="2:3" x14ac:dyDescent="0.25">
      <c r="B412" s="11" t="s">
        <v>2196</v>
      </c>
      <c r="C412" s="14" t="s">
        <v>1711</v>
      </c>
    </row>
    <row r="413" spans="2:3" x14ac:dyDescent="0.25">
      <c r="B413" s="11" t="s">
        <v>2193</v>
      </c>
      <c r="C413" s="14" t="s">
        <v>1711</v>
      </c>
    </row>
    <row r="414" spans="2:3" x14ac:dyDescent="0.25">
      <c r="B414" s="11" t="s">
        <v>2194</v>
      </c>
      <c r="C414" s="14" t="s">
        <v>1711</v>
      </c>
    </row>
    <row r="415" spans="2:3" x14ac:dyDescent="0.25">
      <c r="B415" s="11" t="s">
        <v>600</v>
      </c>
      <c r="C415" s="14" t="s">
        <v>1711</v>
      </c>
    </row>
    <row r="416" spans="2:3" x14ac:dyDescent="0.25">
      <c r="B416" s="11" t="s">
        <v>1184</v>
      </c>
      <c r="C416" s="14" t="s">
        <v>1711</v>
      </c>
    </row>
    <row r="417" spans="2:3" x14ac:dyDescent="0.25">
      <c r="B417" s="11" t="s">
        <v>1185</v>
      </c>
      <c r="C417" s="14" t="s">
        <v>1711</v>
      </c>
    </row>
    <row r="418" spans="2:3" x14ac:dyDescent="0.25">
      <c r="B418" s="11" t="s">
        <v>1186</v>
      </c>
      <c r="C418" s="14" t="s">
        <v>1711</v>
      </c>
    </row>
    <row r="419" spans="2:3" x14ac:dyDescent="0.25">
      <c r="B419" s="11" t="s">
        <v>1187</v>
      </c>
      <c r="C419" s="14" t="s">
        <v>1711</v>
      </c>
    </row>
    <row r="420" spans="2:3" x14ac:dyDescent="0.25">
      <c r="B420" s="11" t="s">
        <v>203</v>
      </c>
      <c r="C420" s="14" t="s">
        <v>1711</v>
      </c>
    </row>
    <row r="421" spans="2:3" x14ac:dyDescent="0.25">
      <c r="B421" s="11" t="s">
        <v>1188</v>
      </c>
      <c r="C421" s="14" t="s">
        <v>1711</v>
      </c>
    </row>
    <row r="422" spans="2:3" x14ac:dyDescent="0.25">
      <c r="B422" s="11" t="s">
        <v>2363</v>
      </c>
      <c r="C422" s="14" t="s">
        <v>1711</v>
      </c>
    </row>
    <row r="423" spans="2:3" x14ac:dyDescent="0.25">
      <c r="B423" s="11" t="s">
        <v>2364</v>
      </c>
      <c r="C423" s="14" t="s">
        <v>1711</v>
      </c>
    </row>
    <row r="424" spans="2:3" x14ac:dyDescent="0.25">
      <c r="B424" s="11" t="s">
        <v>1374</v>
      </c>
      <c r="C424" s="14" t="s">
        <v>1711</v>
      </c>
    </row>
    <row r="425" spans="2:3" x14ac:dyDescent="0.25">
      <c r="B425" s="11" t="s">
        <v>1375</v>
      </c>
      <c r="C425" s="14" t="s">
        <v>1711</v>
      </c>
    </row>
    <row r="426" spans="2:3" x14ac:dyDescent="0.25">
      <c r="B426" s="11" t="s">
        <v>2540</v>
      </c>
      <c r="C426" s="14" t="s">
        <v>1711</v>
      </c>
    </row>
    <row r="427" spans="2:3" x14ac:dyDescent="0.25">
      <c r="B427" s="11" t="s">
        <v>2541</v>
      </c>
      <c r="C427" s="14" t="s">
        <v>1711</v>
      </c>
    </row>
    <row r="428" spans="2:3" x14ac:dyDescent="0.25">
      <c r="B428" s="11" t="s">
        <v>2542</v>
      </c>
      <c r="C428" s="14" t="s">
        <v>1711</v>
      </c>
    </row>
    <row r="429" spans="2:3" x14ac:dyDescent="0.25">
      <c r="B429" s="11" t="s">
        <v>1341</v>
      </c>
      <c r="C429" s="14" t="s">
        <v>1711</v>
      </c>
    </row>
    <row r="430" spans="2:3" x14ac:dyDescent="0.25">
      <c r="B430" s="11" t="s">
        <v>1604</v>
      </c>
      <c r="C430" s="14" t="s">
        <v>1711</v>
      </c>
    </row>
    <row r="431" spans="2:3" x14ac:dyDescent="0.25">
      <c r="B431" s="11" t="s">
        <v>1605</v>
      </c>
      <c r="C431" s="14" t="s">
        <v>1711</v>
      </c>
    </row>
    <row r="432" spans="2:3" x14ac:dyDescent="0.25">
      <c r="B432" s="11" t="s">
        <v>1004</v>
      </c>
      <c r="C432" s="14" t="s">
        <v>1711</v>
      </c>
    </row>
    <row r="433" spans="2:3" x14ac:dyDescent="0.25">
      <c r="B433" s="11" t="s">
        <v>1622</v>
      </c>
      <c r="C433" s="14" t="s">
        <v>1711</v>
      </c>
    </row>
    <row r="434" spans="2:3" x14ac:dyDescent="0.25">
      <c r="B434" s="11" t="s">
        <v>231</v>
      </c>
      <c r="C434" s="14" t="s">
        <v>1711</v>
      </c>
    </row>
    <row r="435" spans="2:3" ht="26.4" x14ac:dyDescent="0.25">
      <c r="B435" s="11" t="s">
        <v>2761</v>
      </c>
      <c r="C435" s="14" t="s">
        <v>1711</v>
      </c>
    </row>
    <row r="436" spans="2:3" ht="26.4" x14ac:dyDescent="0.25">
      <c r="B436" s="11" t="s">
        <v>2762</v>
      </c>
      <c r="C436" s="14" t="s">
        <v>1711</v>
      </c>
    </row>
    <row r="437" spans="2:3" ht="26.4" x14ac:dyDescent="0.25">
      <c r="B437" s="11" t="s">
        <v>2763</v>
      </c>
      <c r="C437" s="14" t="s">
        <v>1711</v>
      </c>
    </row>
    <row r="438" spans="2:3" ht="26.4" x14ac:dyDescent="0.25">
      <c r="B438" s="11" t="s">
        <v>2764</v>
      </c>
      <c r="C438" s="14" t="s">
        <v>1711</v>
      </c>
    </row>
    <row r="439" spans="2:3" ht="26.4" x14ac:dyDescent="0.25">
      <c r="B439" s="11" t="s">
        <v>2765</v>
      </c>
      <c r="C439" s="14" t="s">
        <v>1711</v>
      </c>
    </row>
    <row r="440" spans="2:3" ht="26.4" x14ac:dyDescent="0.25">
      <c r="B440" s="11" t="s">
        <v>2766</v>
      </c>
      <c r="C440" s="14" t="s">
        <v>1711</v>
      </c>
    </row>
    <row r="441" spans="2:3" ht="26.4" x14ac:dyDescent="0.25">
      <c r="B441" s="11" t="s">
        <v>2767</v>
      </c>
      <c r="C441" s="14" t="s">
        <v>1711</v>
      </c>
    </row>
    <row r="442" spans="2:3" ht="26.4" x14ac:dyDescent="0.25">
      <c r="B442" s="11" t="s">
        <v>2768</v>
      </c>
      <c r="C442" s="14" t="s">
        <v>1711</v>
      </c>
    </row>
    <row r="443" spans="2:3" ht="26.4" x14ac:dyDescent="0.25">
      <c r="B443" s="11" t="s">
        <v>2769</v>
      </c>
      <c r="C443" s="14" t="s">
        <v>1711</v>
      </c>
    </row>
    <row r="444" spans="2:3" ht="26.4" x14ac:dyDescent="0.25">
      <c r="B444" s="11" t="s">
        <v>2120</v>
      </c>
      <c r="C444" s="14" t="s">
        <v>1711</v>
      </c>
    </row>
    <row r="445" spans="2:3" ht="26.4" x14ac:dyDescent="0.25">
      <c r="B445" s="11" t="s">
        <v>2694</v>
      </c>
      <c r="C445" s="14" t="s">
        <v>1711</v>
      </c>
    </row>
    <row r="446" spans="2:3" ht="26.4" x14ac:dyDescent="0.25">
      <c r="B446" s="11" t="s">
        <v>2695</v>
      </c>
      <c r="C446" s="14" t="s">
        <v>1711</v>
      </c>
    </row>
    <row r="447" spans="2:3" x14ac:dyDescent="0.25">
      <c r="B447" s="11" t="s">
        <v>702</v>
      </c>
      <c r="C447" s="14" t="s">
        <v>1711</v>
      </c>
    </row>
    <row r="448" spans="2:3" x14ac:dyDescent="0.25">
      <c r="B448" s="11" t="s">
        <v>703</v>
      </c>
      <c r="C448" s="14" t="s">
        <v>1711</v>
      </c>
    </row>
    <row r="449" spans="2:3" x14ac:dyDescent="0.25">
      <c r="B449" s="11" t="s">
        <v>704</v>
      </c>
      <c r="C449" s="14" t="s">
        <v>1711</v>
      </c>
    </row>
    <row r="450" spans="2:3" x14ac:dyDescent="0.25">
      <c r="B450" s="11" t="s">
        <v>699</v>
      </c>
      <c r="C450" s="14" t="s">
        <v>1711</v>
      </c>
    </row>
    <row r="451" spans="2:3" x14ac:dyDescent="0.25">
      <c r="B451" s="11" t="s">
        <v>700</v>
      </c>
      <c r="C451" s="14" t="s">
        <v>1711</v>
      </c>
    </row>
    <row r="452" spans="2:3" x14ac:dyDescent="0.25">
      <c r="B452" s="11" t="s">
        <v>701</v>
      </c>
      <c r="C452" s="14" t="s">
        <v>1711</v>
      </c>
    </row>
    <row r="453" spans="2:3" x14ac:dyDescent="0.25">
      <c r="B453" s="11" t="s">
        <v>1376</v>
      </c>
      <c r="C453" s="14" t="s">
        <v>1711</v>
      </c>
    </row>
    <row r="454" spans="2:3" x14ac:dyDescent="0.25">
      <c r="B454" s="11" t="s">
        <v>1110</v>
      </c>
      <c r="C454" s="14" t="s">
        <v>1711</v>
      </c>
    </row>
    <row r="455" spans="2:3" x14ac:dyDescent="0.25">
      <c r="B455" s="11" t="s">
        <v>1034</v>
      </c>
      <c r="C455" s="14" t="s">
        <v>2206</v>
      </c>
    </row>
    <row r="456" spans="2:3" x14ac:dyDescent="0.25">
      <c r="B456" s="11" t="s">
        <v>2313</v>
      </c>
      <c r="C456" s="14" t="s">
        <v>1711</v>
      </c>
    </row>
    <row r="457" spans="2:3" x14ac:dyDescent="0.25">
      <c r="B457" s="11" t="s">
        <v>1034</v>
      </c>
      <c r="C457" s="14" t="s">
        <v>2206</v>
      </c>
    </row>
    <row r="458" spans="2:3" x14ac:dyDescent="0.25">
      <c r="B458" s="11" t="s">
        <v>988</v>
      </c>
      <c r="C458" s="14" t="s">
        <v>1711</v>
      </c>
    </row>
    <row r="459" spans="2:3" x14ac:dyDescent="0.25">
      <c r="B459" s="11" t="s">
        <v>2797</v>
      </c>
      <c r="C459" s="14" t="s">
        <v>1711</v>
      </c>
    </row>
    <row r="460" spans="2:3" x14ac:dyDescent="0.25">
      <c r="B460" s="11" t="s">
        <v>1999</v>
      </c>
      <c r="C460" s="14" t="s">
        <v>1711</v>
      </c>
    </row>
    <row r="461" spans="2:3" x14ac:dyDescent="0.25">
      <c r="B461" s="11" t="s">
        <v>2786</v>
      </c>
      <c r="C461" s="14" t="s">
        <v>1711</v>
      </c>
    </row>
    <row r="462" spans="2:3" x14ac:dyDescent="0.25">
      <c r="B462" s="11" t="s">
        <v>2784</v>
      </c>
      <c r="C462" s="14" t="s">
        <v>1711</v>
      </c>
    </row>
    <row r="463" spans="2:3" x14ac:dyDescent="0.25">
      <c r="B463" s="11" t="s">
        <v>1996</v>
      </c>
      <c r="C463" s="14" t="s">
        <v>1711</v>
      </c>
    </row>
    <row r="464" spans="2:3" x14ac:dyDescent="0.25">
      <c r="B464" s="11" t="s">
        <v>1997</v>
      </c>
      <c r="C464" s="14" t="s">
        <v>1711</v>
      </c>
    </row>
    <row r="465" spans="2:3" x14ac:dyDescent="0.25">
      <c r="B465" s="11" t="s">
        <v>1998</v>
      </c>
      <c r="C465" s="14" t="s">
        <v>1711</v>
      </c>
    </row>
    <row r="466" spans="2:3" ht="26.4" x14ac:dyDescent="0.25">
      <c r="B466" s="11" t="s">
        <v>909</v>
      </c>
      <c r="C466" s="14" t="s">
        <v>1711</v>
      </c>
    </row>
    <row r="467" spans="2:3" ht="26.4" x14ac:dyDescent="0.25">
      <c r="B467" s="11" t="s">
        <v>906</v>
      </c>
      <c r="C467" s="14" t="s">
        <v>1711</v>
      </c>
    </row>
    <row r="468" spans="2:3" ht="26.4" x14ac:dyDescent="0.25">
      <c r="B468" s="11" t="s">
        <v>907</v>
      </c>
      <c r="C468" s="14" t="s">
        <v>1711</v>
      </c>
    </row>
    <row r="469" spans="2:3" x14ac:dyDescent="0.25">
      <c r="B469" s="11" t="s">
        <v>1781</v>
      </c>
      <c r="C469" s="14" t="s">
        <v>1711</v>
      </c>
    </row>
    <row r="470" spans="2:3" x14ac:dyDescent="0.25">
      <c r="B470" s="11" t="s">
        <v>908</v>
      </c>
      <c r="C470" s="14" t="s">
        <v>1711</v>
      </c>
    </row>
    <row r="471" spans="2:3" ht="26.4" x14ac:dyDescent="0.25">
      <c r="B471" s="11" t="s">
        <v>910</v>
      </c>
      <c r="C471" s="14" t="s">
        <v>1711</v>
      </c>
    </row>
    <row r="472" spans="2:3" x14ac:dyDescent="0.25">
      <c r="B472" s="11" t="s">
        <v>1523</v>
      </c>
      <c r="C472" s="14" t="s">
        <v>1711</v>
      </c>
    </row>
    <row r="473" spans="2:3" x14ac:dyDescent="0.25">
      <c r="B473" s="11" t="s">
        <v>13</v>
      </c>
      <c r="C473" s="14" t="s">
        <v>1711</v>
      </c>
    </row>
    <row r="474" spans="2:3" x14ac:dyDescent="0.25">
      <c r="B474" s="11" t="s">
        <v>2712</v>
      </c>
      <c r="C474" s="14" t="s">
        <v>1711</v>
      </c>
    </row>
    <row r="475" spans="2:3" x14ac:dyDescent="0.25">
      <c r="B475" s="11" t="s">
        <v>2835</v>
      </c>
      <c r="C475" s="14" t="s">
        <v>1714</v>
      </c>
    </row>
    <row r="476" spans="2:3" x14ac:dyDescent="0.25">
      <c r="B476" s="11" t="s">
        <v>2696</v>
      </c>
      <c r="C476" s="14" t="s">
        <v>1714</v>
      </c>
    </row>
    <row r="477" spans="2:3" x14ac:dyDescent="0.25">
      <c r="B477" s="11" t="s">
        <v>2697</v>
      </c>
      <c r="C477" s="14" t="s">
        <v>1711</v>
      </c>
    </row>
    <row r="478" spans="2:3" x14ac:dyDescent="0.25">
      <c r="B478" s="11" t="s">
        <v>1455</v>
      </c>
      <c r="C478" s="14" t="s">
        <v>1711</v>
      </c>
    </row>
    <row r="479" spans="2:3" x14ac:dyDescent="0.25">
      <c r="B479" s="3" t="s">
        <v>706</v>
      </c>
      <c r="C479" s="14" t="s">
        <v>1711</v>
      </c>
    </row>
    <row r="480" spans="2:3" x14ac:dyDescent="0.25">
      <c r="B480" s="3" t="s">
        <v>2183</v>
      </c>
      <c r="C480" s="14" t="s">
        <v>1711</v>
      </c>
    </row>
    <row r="481" spans="2:3" x14ac:dyDescent="0.25">
      <c r="B481" s="3"/>
      <c r="C481" s="14" t="s">
        <v>544</v>
      </c>
    </row>
    <row r="482" spans="2:3" x14ac:dyDescent="0.25">
      <c r="B482" s="12" t="s">
        <v>2698</v>
      </c>
      <c r="C482" s="14">
        <v>0</v>
      </c>
    </row>
    <row r="483" spans="2:3" x14ac:dyDescent="0.25">
      <c r="B483" s="11" t="s">
        <v>1376</v>
      </c>
      <c r="C483" s="14" t="s">
        <v>1711</v>
      </c>
    </row>
    <row r="484" spans="2:3" x14ac:dyDescent="0.25">
      <c r="B484" s="11" t="s">
        <v>1110</v>
      </c>
      <c r="C484" s="14" t="s">
        <v>1711</v>
      </c>
    </row>
    <row r="485" spans="2:3" x14ac:dyDescent="0.25">
      <c r="B485" s="11" t="s">
        <v>1034</v>
      </c>
      <c r="C485" s="14" t="s">
        <v>2206</v>
      </c>
    </row>
    <row r="486" spans="2:3" x14ac:dyDescent="0.25">
      <c r="B486" s="11" t="s">
        <v>2699</v>
      </c>
      <c r="C486" s="14">
        <v>0</v>
      </c>
    </row>
    <row r="487" spans="2:3" ht="26.4" x14ac:dyDescent="0.25">
      <c r="B487" s="11" t="s">
        <v>909</v>
      </c>
      <c r="C487" s="14" t="s">
        <v>1711</v>
      </c>
    </row>
    <row r="488" spans="2:3" ht="26.4" x14ac:dyDescent="0.25">
      <c r="B488" s="11" t="s">
        <v>906</v>
      </c>
      <c r="C488" s="14" t="s">
        <v>1711</v>
      </c>
    </row>
    <row r="489" spans="2:3" ht="26.4" x14ac:dyDescent="0.25">
      <c r="B489" s="11" t="s">
        <v>907</v>
      </c>
      <c r="C489" s="14" t="s">
        <v>1711</v>
      </c>
    </row>
    <row r="490" spans="2:3" x14ac:dyDescent="0.25">
      <c r="B490" s="11" t="s">
        <v>1781</v>
      </c>
      <c r="C490" s="14" t="s">
        <v>1711</v>
      </c>
    </row>
    <row r="491" spans="2:3" x14ac:dyDescent="0.25">
      <c r="B491" s="11" t="s">
        <v>908</v>
      </c>
      <c r="C491" s="14" t="s">
        <v>1711</v>
      </c>
    </row>
    <row r="492" spans="2:3" ht="26.4" x14ac:dyDescent="0.25">
      <c r="B492" s="11" t="s">
        <v>910</v>
      </c>
      <c r="C492" s="14" t="s">
        <v>1711</v>
      </c>
    </row>
    <row r="493" spans="2:3" x14ac:dyDescent="0.25">
      <c r="B493" s="11" t="s">
        <v>1523</v>
      </c>
      <c r="C493" s="14" t="s">
        <v>1711</v>
      </c>
    </row>
    <row r="494" spans="2:3" x14ac:dyDescent="0.25">
      <c r="B494" s="11" t="s">
        <v>13</v>
      </c>
      <c r="C494" s="14" t="s">
        <v>1711</v>
      </c>
    </row>
    <row r="495" spans="2:3" x14ac:dyDescent="0.25">
      <c r="B495" s="11" t="s">
        <v>243</v>
      </c>
      <c r="C495" s="14" t="s">
        <v>1711</v>
      </c>
    </row>
    <row r="496" spans="2:3" x14ac:dyDescent="0.25">
      <c r="B496" s="11" t="s">
        <v>2712</v>
      </c>
      <c r="C496" s="14" t="s">
        <v>1711</v>
      </c>
    </row>
    <row r="497" spans="2:3" x14ac:dyDescent="0.25">
      <c r="B497" s="11" t="s">
        <v>1999</v>
      </c>
      <c r="C497" s="14" t="s">
        <v>1711</v>
      </c>
    </row>
    <row r="498" spans="2:3" x14ac:dyDescent="0.25">
      <c r="B498" s="11" t="s">
        <v>2786</v>
      </c>
      <c r="C498" s="14" t="s">
        <v>1711</v>
      </c>
    </row>
    <row r="499" spans="2:3" x14ac:dyDescent="0.25">
      <c r="B499" s="11" t="s">
        <v>2784</v>
      </c>
      <c r="C499" s="14" t="s">
        <v>1711</v>
      </c>
    </row>
    <row r="500" spans="2:3" ht="26.4" x14ac:dyDescent="0.25">
      <c r="B500" s="11" t="s">
        <v>1481</v>
      </c>
      <c r="C500" s="14" t="s">
        <v>1711</v>
      </c>
    </row>
    <row r="501" spans="2:3" ht="26.4" x14ac:dyDescent="0.25">
      <c r="B501" s="11" t="s">
        <v>438</v>
      </c>
      <c r="C501" s="14" t="s">
        <v>1711</v>
      </c>
    </row>
    <row r="502" spans="2:3" ht="26.4" x14ac:dyDescent="0.25">
      <c r="B502" s="11" t="s">
        <v>1397</v>
      </c>
      <c r="C502" s="14" t="s">
        <v>1711</v>
      </c>
    </row>
    <row r="503" spans="2:3" ht="26.4" x14ac:dyDescent="0.25">
      <c r="B503" s="11" t="s">
        <v>2655</v>
      </c>
      <c r="C503" s="14" t="s">
        <v>1711</v>
      </c>
    </row>
    <row r="504" spans="2:3" ht="26.4" x14ac:dyDescent="0.25">
      <c r="B504" s="11" t="s">
        <v>2656</v>
      </c>
      <c r="C504" s="14" t="s">
        <v>1711</v>
      </c>
    </row>
    <row r="505" spans="2:3" ht="26.4" x14ac:dyDescent="0.25">
      <c r="B505" s="11" t="s">
        <v>2168</v>
      </c>
      <c r="C505" s="14" t="s">
        <v>1711</v>
      </c>
    </row>
    <row r="506" spans="2:3" ht="26.4" x14ac:dyDescent="0.25">
      <c r="B506" s="11" t="s">
        <v>1981</v>
      </c>
      <c r="C506" s="14" t="s">
        <v>1711</v>
      </c>
    </row>
    <row r="507" spans="2:3" ht="26.4" x14ac:dyDescent="0.25">
      <c r="B507" s="11" t="s">
        <v>1982</v>
      </c>
      <c r="C507" s="14" t="s">
        <v>1711</v>
      </c>
    </row>
    <row r="508" spans="2:3" ht="26.4" x14ac:dyDescent="0.25">
      <c r="B508" s="11" t="s">
        <v>1309</v>
      </c>
      <c r="C508" s="14" t="s">
        <v>1711</v>
      </c>
    </row>
    <row r="509" spans="2:3" ht="26.4" x14ac:dyDescent="0.25">
      <c r="B509" s="11" t="s">
        <v>214</v>
      </c>
      <c r="C509" s="14" t="s">
        <v>1711</v>
      </c>
    </row>
    <row r="510" spans="2:3" x14ac:dyDescent="0.25">
      <c r="C510" s="14" t="s">
        <v>544</v>
      </c>
    </row>
    <row r="511" spans="2:3" x14ac:dyDescent="0.25">
      <c r="B511" s="12" t="s">
        <v>215</v>
      </c>
      <c r="C511" s="14" t="s">
        <v>1711</v>
      </c>
    </row>
    <row r="512" spans="2:3" ht="26.4" x14ac:dyDescent="0.25">
      <c r="B512" s="3" t="s">
        <v>979</v>
      </c>
      <c r="C512" s="14" t="e">
        <v>#N/A</v>
      </c>
    </row>
    <row r="513" spans="2:3" x14ac:dyDescent="0.25">
      <c r="B513" s="11" t="s">
        <v>1376</v>
      </c>
      <c r="C513" s="14" t="s">
        <v>1711</v>
      </c>
    </row>
    <row r="514" spans="2:3" x14ac:dyDescent="0.25">
      <c r="B514" s="11" t="s">
        <v>1110</v>
      </c>
      <c r="C514" s="14" t="s">
        <v>1711</v>
      </c>
    </row>
    <row r="515" spans="2:3" x14ac:dyDescent="0.25">
      <c r="B515" s="11" t="s">
        <v>1034</v>
      </c>
      <c r="C515" s="14" t="s">
        <v>2206</v>
      </c>
    </row>
    <row r="516" spans="2:3" x14ac:dyDescent="0.25">
      <c r="B516" s="11" t="s">
        <v>2313</v>
      </c>
      <c r="C516" s="14" t="s">
        <v>1711</v>
      </c>
    </row>
    <row r="517" spans="2:3" x14ac:dyDescent="0.25">
      <c r="B517" s="11" t="s">
        <v>1034</v>
      </c>
      <c r="C517" s="14" t="s">
        <v>2206</v>
      </c>
    </row>
    <row r="518" spans="2:3" x14ac:dyDescent="0.25">
      <c r="B518" s="11" t="s">
        <v>987</v>
      </c>
      <c r="C518" s="14" t="s">
        <v>1711</v>
      </c>
    </row>
    <row r="519" spans="2:3" x14ac:dyDescent="0.25">
      <c r="B519" s="11" t="s">
        <v>988</v>
      </c>
      <c r="C519" s="14" t="s">
        <v>1711</v>
      </c>
    </row>
    <row r="520" spans="2:3" x14ac:dyDescent="0.25">
      <c r="B520" s="11" t="s">
        <v>2797</v>
      </c>
      <c r="C520" s="14" t="s">
        <v>1711</v>
      </c>
    </row>
    <row r="521" spans="2:3" ht="26.4" x14ac:dyDescent="0.25">
      <c r="B521" s="11" t="s">
        <v>909</v>
      </c>
      <c r="C521" s="14" t="s">
        <v>1711</v>
      </c>
    </row>
    <row r="522" spans="2:3" ht="26.4" x14ac:dyDescent="0.25">
      <c r="B522" s="11" t="s">
        <v>906</v>
      </c>
      <c r="C522" s="14" t="s">
        <v>1711</v>
      </c>
    </row>
    <row r="523" spans="2:3" ht="26.4" x14ac:dyDescent="0.25">
      <c r="B523" s="11" t="s">
        <v>907</v>
      </c>
      <c r="C523" s="14" t="s">
        <v>1711</v>
      </c>
    </row>
    <row r="524" spans="2:3" x14ac:dyDescent="0.25">
      <c r="B524" s="11" t="s">
        <v>1781</v>
      </c>
      <c r="C524" s="14" t="s">
        <v>1711</v>
      </c>
    </row>
    <row r="525" spans="2:3" x14ac:dyDescent="0.25">
      <c r="B525" s="11" t="s">
        <v>908</v>
      </c>
      <c r="C525" s="14" t="s">
        <v>1711</v>
      </c>
    </row>
    <row r="526" spans="2:3" ht="26.4" x14ac:dyDescent="0.25">
      <c r="B526" s="11" t="s">
        <v>910</v>
      </c>
      <c r="C526" s="14" t="s">
        <v>1711</v>
      </c>
    </row>
    <row r="527" spans="2:3" x14ac:dyDescent="0.25">
      <c r="B527" s="11" t="s">
        <v>1523</v>
      </c>
      <c r="C527" s="14" t="s">
        <v>1711</v>
      </c>
    </row>
    <row r="528" spans="2:3" x14ac:dyDescent="0.25">
      <c r="B528" s="11" t="s">
        <v>13</v>
      </c>
      <c r="C528" s="14" t="s">
        <v>1711</v>
      </c>
    </row>
    <row r="529" spans="2:3" x14ac:dyDescent="0.25">
      <c r="B529" s="11" t="s">
        <v>2712</v>
      </c>
      <c r="C529" s="14" t="s">
        <v>1711</v>
      </c>
    </row>
    <row r="530" spans="2:3" x14ac:dyDescent="0.25">
      <c r="B530" s="11" t="s">
        <v>1963</v>
      </c>
      <c r="C530" s="14" t="s">
        <v>1387</v>
      </c>
    </row>
    <row r="531" spans="2:3" x14ac:dyDescent="0.25">
      <c r="B531" s="11" t="s">
        <v>1111</v>
      </c>
      <c r="C531" s="14" t="s">
        <v>1387</v>
      </c>
    </row>
    <row r="532" spans="2:3" x14ac:dyDescent="0.25">
      <c r="B532" s="11" t="s">
        <v>1964</v>
      </c>
      <c r="C532" s="14" t="s">
        <v>1387</v>
      </c>
    </row>
    <row r="533" spans="2:3" x14ac:dyDescent="0.25">
      <c r="B533" s="11" t="s">
        <v>1965</v>
      </c>
      <c r="C533" s="14" t="s">
        <v>1387</v>
      </c>
    </row>
    <row r="534" spans="2:3" x14ac:dyDescent="0.25">
      <c r="B534" s="11" t="s">
        <v>2697</v>
      </c>
      <c r="C534" s="14" t="s">
        <v>1711</v>
      </c>
    </row>
    <row r="535" spans="2:3" x14ac:dyDescent="0.25">
      <c r="B535" s="11" t="s">
        <v>2654</v>
      </c>
      <c r="C535" s="14" t="s">
        <v>1388</v>
      </c>
    </row>
    <row r="536" spans="2:3" x14ac:dyDescent="0.25">
      <c r="B536" s="11" t="s">
        <v>401</v>
      </c>
      <c r="C536" s="14" t="s">
        <v>1388</v>
      </c>
    </row>
    <row r="537" spans="2:3" x14ac:dyDescent="0.25">
      <c r="B537" s="11" t="s">
        <v>1984</v>
      </c>
      <c r="C537" s="14" t="s">
        <v>1388</v>
      </c>
    </row>
    <row r="538" spans="2:3" x14ac:dyDescent="0.25">
      <c r="B538" s="11" t="s">
        <v>403</v>
      </c>
      <c r="C538" s="14" t="s">
        <v>1388</v>
      </c>
    </row>
    <row r="539" spans="2:3" x14ac:dyDescent="0.25">
      <c r="C539" s="14" t="s">
        <v>544</v>
      </c>
    </row>
    <row r="540" spans="2:3" x14ac:dyDescent="0.25">
      <c r="B540" s="12" t="s">
        <v>216</v>
      </c>
      <c r="C540" s="14" t="s">
        <v>1711</v>
      </c>
    </row>
    <row r="541" spans="2:3" x14ac:dyDescent="0.25">
      <c r="C541" s="14" t="s">
        <v>544</v>
      </c>
    </row>
    <row r="542" spans="2:3" x14ac:dyDescent="0.25">
      <c r="B542" s="12" t="s">
        <v>209</v>
      </c>
      <c r="C542" s="14" t="s">
        <v>1711</v>
      </c>
    </row>
    <row r="543" spans="2:3" x14ac:dyDescent="0.25">
      <c r="B543" s="11" t="s">
        <v>405</v>
      </c>
      <c r="C543" s="14" t="s">
        <v>1711</v>
      </c>
    </row>
    <row r="544" spans="2:3" ht="26.4" x14ac:dyDescent="0.25">
      <c r="B544" s="11" t="s">
        <v>1521</v>
      </c>
      <c r="C544" s="14" t="s">
        <v>1711</v>
      </c>
    </row>
    <row r="545" spans="2:3" x14ac:dyDescent="0.25">
      <c r="B545" s="11" t="s">
        <v>406</v>
      </c>
      <c r="C545" s="14" t="s">
        <v>1711</v>
      </c>
    </row>
    <row r="546" spans="2:3" ht="26.4" x14ac:dyDescent="0.25">
      <c r="B546" s="11" t="s">
        <v>408</v>
      </c>
      <c r="C546" s="14" t="s">
        <v>1711</v>
      </c>
    </row>
    <row r="547" spans="2:3" x14ac:dyDescent="0.25">
      <c r="C547" s="14" t="s">
        <v>544</v>
      </c>
    </row>
    <row r="548" spans="2:3" x14ac:dyDescent="0.25">
      <c r="B548" s="12" t="s">
        <v>1522</v>
      </c>
      <c r="C548" s="14" t="s">
        <v>1711</v>
      </c>
    </row>
    <row r="549" spans="2:3" x14ac:dyDescent="0.25">
      <c r="B549" s="3" t="s">
        <v>1660</v>
      </c>
      <c r="C549" s="14" t="s">
        <v>1711</v>
      </c>
    </row>
    <row r="550" spans="2:3" x14ac:dyDescent="0.25">
      <c r="B550" s="3" t="s">
        <v>1661</v>
      </c>
      <c r="C550" s="14" t="s">
        <v>1711</v>
      </c>
    </row>
    <row r="551" spans="2:3" x14ac:dyDescent="0.25">
      <c r="B551" s="3" t="s">
        <v>1662</v>
      </c>
      <c r="C551" s="14" t="s">
        <v>1711</v>
      </c>
    </row>
    <row r="552" spans="2:3" x14ac:dyDescent="0.25">
      <c r="B552" s="3" t="s">
        <v>191</v>
      </c>
      <c r="C552" s="14" t="s">
        <v>1711</v>
      </c>
    </row>
    <row r="553" spans="2:3" x14ac:dyDescent="0.25">
      <c r="B553" s="3" t="s">
        <v>192</v>
      </c>
      <c r="C553" s="14" t="s">
        <v>1711</v>
      </c>
    </row>
    <row r="554" spans="2:3" x14ac:dyDescent="0.25">
      <c r="B554" s="3" t="s">
        <v>2126</v>
      </c>
      <c r="C554" s="14" t="s">
        <v>1711</v>
      </c>
    </row>
    <row r="555" spans="2:3" x14ac:dyDescent="0.25">
      <c r="B555" s="11" t="s">
        <v>1371</v>
      </c>
      <c r="C555" s="14" t="s">
        <v>1711</v>
      </c>
    </row>
    <row r="556" spans="2:3" x14ac:dyDescent="0.25">
      <c r="B556" s="11" t="s">
        <v>1372</v>
      </c>
      <c r="C556" s="14" t="s">
        <v>1711</v>
      </c>
    </row>
    <row r="557" spans="2:3" x14ac:dyDescent="0.25">
      <c r="B557" s="11" t="s">
        <v>1988</v>
      </c>
      <c r="C557" s="14" t="s">
        <v>1711</v>
      </c>
    </row>
    <row r="558" spans="2:3" x14ac:dyDescent="0.25">
      <c r="B558" s="11" t="s">
        <v>1989</v>
      </c>
      <c r="C558" s="14" t="s">
        <v>1711</v>
      </c>
    </row>
    <row r="559" spans="2:3" x14ac:dyDescent="0.25">
      <c r="B559" s="11" t="s">
        <v>2195</v>
      </c>
      <c r="C559" s="14" t="s">
        <v>1711</v>
      </c>
    </row>
    <row r="560" spans="2:3" x14ac:dyDescent="0.25">
      <c r="B560" s="11" t="s">
        <v>2196</v>
      </c>
      <c r="C560" s="14" t="s">
        <v>1711</v>
      </c>
    </row>
    <row r="561" spans="2:3" x14ac:dyDescent="0.25">
      <c r="B561" s="11" t="s">
        <v>2193</v>
      </c>
      <c r="C561" s="14" t="s">
        <v>1711</v>
      </c>
    </row>
    <row r="562" spans="2:3" x14ac:dyDescent="0.25">
      <c r="B562" s="11" t="s">
        <v>2194</v>
      </c>
      <c r="C562" s="14" t="s">
        <v>1711</v>
      </c>
    </row>
    <row r="563" spans="2:3" x14ac:dyDescent="0.25">
      <c r="B563" s="11" t="s">
        <v>600</v>
      </c>
      <c r="C563" s="14" t="s">
        <v>1711</v>
      </c>
    </row>
    <row r="564" spans="2:3" ht="26.4" x14ac:dyDescent="0.25">
      <c r="B564" s="11" t="s">
        <v>1481</v>
      </c>
      <c r="C564" s="14" t="s">
        <v>1711</v>
      </c>
    </row>
    <row r="565" spans="2:3" ht="26.4" x14ac:dyDescent="0.25">
      <c r="B565" s="11" t="s">
        <v>438</v>
      </c>
      <c r="C565" s="14" t="s">
        <v>1711</v>
      </c>
    </row>
    <row r="566" spans="2:3" ht="26.4" x14ac:dyDescent="0.25">
      <c r="B566" s="11" t="s">
        <v>1397</v>
      </c>
      <c r="C566" s="14" t="s">
        <v>1711</v>
      </c>
    </row>
    <row r="567" spans="2:3" ht="26.4" x14ac:dyDescent="0.25">
      <c r="B567" s="11" t="s">
        <v>2655</v>
      </c>
      <c r="C567" s="14" t="s">
        <v>1711</v>
      </c>
    </row>
    <row r="568" spans="2:3" ht="26.4" x14ac:dyDescent="0.25">
      <c r="B568" s="11" t="s">
        <v>2656</v>
      </c>
      <c r="C568" s="14" t="s">
        <v>1711</v>
      </c>
    </row>
    <row r="569" spans="2:3" ht="26.4" x14ac:dyDescent="0.25">
      <c r="B569" s="11" t="s">
        <v>2168</v>
      </c>
      <c r="C569" s="14" t="s">
        <v>1711</v>
      </c>
    </row>
    <row r="570" spans="2:3" ht="26.4" x14ac:dyDescent="0.25">
      <c r="B570" s="11" t="s">
        <v>1981</v>
      </c>
      <c r="C570" s="14" t="s">
        <v>1711</v>
      </c>
    </row>
    <row r="571" spans="2:3" ht="26.4" x14ac:dyDescent="0.25">
      <c r="B571" s="11" t="s">
        <v>1982</v>
      </c>
      <c r="C571" s="14" t="s">
        <v>1711</v>
      </c>
    </row>
    <row r="572" spans="2:3" ht="26.4" x14ac:dyDescent="0.25">
      <c r="B572" s="11" t="s">
        <v>1309</v>
      </c>
      <c r="C572" s="14" t="s">
        <v>1711</v>
      </c>
    </row>
    <row r="573" spans="2:3" ht="26.4" x14ac:dyDescent="0.25">
      <c r="B573" s="11" t="s">
        <v>214</v>
      </c>
      <c r="C573" s="14" t="s">
        <v>1711</v>
      </c>
    </row>
    <row r="574" spans="2:3" x14ac:dyDescent="0.25">
      <c r="B574" s="11" t="s">
        <v>1184</v>
      </c>
      <c r="C574" s="14" t="s">
        <v>1711</v>
      </c>
    </row>
    <row r="575" spans="2:3" x14ac:dyDescent="0.25">
      <c r="B575" s="11" t="s">
        <v>1185</v>
      </c>
      <c r="C575" s="14" t="s">
        <v>1711</v>
      </c>
    </row>
    <row r="576" spans="2:3" x14ac:dyDescent="0.25">
      <c r="B576" s="11" t="s">
        <v>1186</v>
      </c>
      <c r="C576" s="14" t="s">
        <v>1711</v>
      </c>
    </row>
    <row r="577" spans="2:3" x14ac:dyDescent="0.25">
      <c r="B577" s="11" t="s">
        <v>1187</v>
      </c>
      <c r="C577" s="14" t="s">
        <v>1711</v>
      </c>
    </row>
    <row r="578" spans="2:3" x14ac:dyDescent="0.25">
      <c r="B578" s="11" t="s">
        <v>203</v>
      </c>
      <c r="C578" s="14" t="s">
        <v>1711</v>
      </c>
    </row>
    <row r="579" spans="2:3" x14ac:dyDescent="0.25">
      <c r="B579" s="11" t="s">
        <v>1188</v>
      </c>
      <c r="C579" s="14" t="s">
        <v>1711</v>
      </c>
    </row>
    <row r="580" spans="2:3" x14ac:dyDescent="0.25">
      <c r="B580" s="11" t="s">
        <v>2363</v>
      </c>
      <c r="C580" s="14" t="s">
        <v>1711</v>
      </c>
    </row>
    <row r="581" spans="2:3" x14ac:dyDescent="0.25">
      <c r="B581" s="11" t="s">
        <v>2364</v>
      </c>
      <c r="C581" s="14" t="s">
        <v>1711</v>
      </c>
    </row>
    <row r="582" spans="2:3" x14ac:dyDescent="0.25">
      <c r="B582" s="11" t="s">
        <v>1374</v>
      </c>
      <c r="C582" s="14" t="s">
        <v>1711</v>
      </c>
    </row>
    <row r="583" spans="2:3" x14ac:dyDescent="0.25">
      <c r="B583" s="11" t="s">
        <v>1375</v>
      </c>
      <c r="C583" s="14" t="s">
        <v>1711</v>
      </c>
    </row>
    <row r="584" spans="2:3" x14ac:dyDescent="0.25">
      <c r="B584" s="11" t="s">
        <v>1225</v>
      </c>
      <c r="C584" s="14" t="s">
        <v>1711</v>
      </c>
    </row>
    <row r="585" spans="2:3" x14ac:dyDescent="0.25">
      <c r="B585" s="11" t="s">
        <v>1226</v>
      </c>
      <c r="C585" s="14" t="s">
        <v>1711</v>
      </c>
    </row>
    <row r="586" spans="2:3" x14ac:dyDescent="0.25">
      <c r="B586" s="11" t="s">
        <v>1227</v>
      </c>
      <c r="C586" s="14" t="s">
        <v>1711</v>
      </c>
    </row>
    <row r="587" spans="2:3" x14ac:dyDescent="0.25">
      <c r="B587" s="11" t="s">
        <v>1228</v>
      </c>
      <c r="C587" s="14" t="s">
        <v>1711</v>
      </c>
    </row>
    <row r="588" spans="2:3" x14ac:dyDescent="0.25">
      <c r="B588" s="11" t="s">
        <v>1229</v>
      </c>
      <c r="C588" s="14" t="s">
        <v>1711</v>
      </c>
    </row>
    <row r="589" spans="2:3" x14ac:dyDescent="0.25">
      <c r="B589" s="11" t="s">
        <v>2540</v>
      </c>
      <c r="C589" s="14" t="s">
        <v>1711</v>
      </c>
    </row>
    <row r="590" spans="2:3" x14ac:dyDescent="0.25">
      <c r="B590" s="11" t="s">
        <v>2541</v>
      </c>
      <c r="C590" s="14" t="s">
        <v>1711</v>
      </c>
    </row>
    <row r="591" spans="2:3" x14ac:dyDescent="0.25">
      <c r="B591" s="11" t="s">
        <v>2542</v>
      </c>
      <c r="C591" s="14" t="s">
        <v>1711</v>
      </c>
    </row>
    <row r="592" spans="2:3" x14ac:dyDescent="0.25">
      <c r="B592" s="11" t="s">
        <v>1341</v>
      </c>
      <c r="C592" s="14" t="s">
        <v>1711</v>
      </c>
    </row>
    <row r="593" spans="2:3" x14ac:dyDescent="0.25">
      <c r="B593" s="11" t="s">
        <v>1604</v>
      </c>
      <c r="C593" s="14" t="s">
        <v>1711</v>
      </c>
    </row>
    <row r="594" spans="2:3" x14ac:dyDescent="0.25">
      <c r="B594" s="11" t="s">
        <v>1605</v>
      </c>
      <c r="C594" s="14" t="s">
        <v>1711</v>
      </c>
    </row>
    <row r="595" spans="2:3" x14ac:dyDescent="0.25">
      <c r="B595" s="11" t="s">
        <v>1004</v>
      </c>
      <c r="C595" s="14" t="s">
        <v>1711</v>
      </c>
    </row>
    <row r="596" spans="2:3" x14ac:dyDescent="0.25">
      <c r="B596" s="11" t="s">
        <v>1622</v>
      </c>
      <c r="C596" s="14" t="s">
        <v>1711</v>
      </c>
    </row>
    <row r="597" spans="2:3" x14ac:dyDescent="0.25">
      <c r="B597" s="11" t="s">
        <v>231</v>
      </c>
      <c r="C597" s="14" t="s">
        <v>1711</v>
      </c>
    </row>
    <row r="598" spans="2:3" ht="26.4" x14ac:dyDescent="0.25">
      <c r="B598" s="11" t="s">
        <v>2761</v>
      </c>
      <c r="C598" s="14" t="s">
        <v>1711</v>
      </c>
    </row>
    <row r="599" spans="2:3" ht="26.4" x14ac:dyDescent="0.25">
      <c r="B599" s="11" t="s">
        <v>2762</v>
      </c>
      <c r="C599" s="14" t="s">
        <v>1711</v>
      </c>
    </row>
    <row r="600" spans="2:3" ht="26.4" x14ac:dyDescent="0.25">
      <c r="B600" s="11" t="s">
        <v>2763</v>
      </c>
      <c r="C600" s="14" t="s">
        <v>1711</v>
      </c>
    </row>
    <row r="601" spans="2:3" ht="26.4" x14ac:dyDescent="0.25">
      <c r="B601" s="11" t="s">
        <v>2764</v>
      </c>
      <c r="C601" s="14" t="s">
        <v>1711</v>
      </c>
    </row>
    <row r="602" spans="2:3" ht="26.4" x14ac:dyDescent="0.25">
      <c r="B602" s="11" t="s">
        <v>2765</v>
      </c>
      <c r="C602" s="14" t="s">
        <v>1711</v>
      </c>
    </row>
    <row r="603" spans="2:3" ht="26.4" x14ac:dyDescent="0.25">
      <c r="B603" s="11" t="s">
        <v>2766</v>
      </c>
      <c r="C603" s="14" t="s">
        <v>1711</v>
      </c>
    </row>
    <row r="604" spans="2:3" ht="26.4" x14ac:dyDescent="0.25">
      <c r="B604" s="11" t="s">
        <v>2767</v>
      </c>
      <c r="C604" s="14" t="s">
        <v>1711</v>
      </c>
    </row>
    <row r="605" spans="2:3" ht="26.4" x14ac:dyDescent="0.25">
      <c r="B605" s="11" t="s">
        <v>2768</v>
      </c>
      <c r="C605" s="14" t="s">
        <v>1711</v>
      </c>
    </row>
    <row r="606" spans="2:3" ht="26.4" x14ac:dyDescent="0.25">
      <c r="B606" s="11" t="s">
        <v>2769</v>
      </c>
      <c r="C606" s="14" t="s">
        <v>1711</v>
      </c>
    </row>
    <row r="607" spans="2:3" ht="26.4" x14ac:dyDescent="0.25">
      <c r="B607" s="11" t="s">
        <v>2120</v>
      </c>
      <c r="C607" s="14" t="s">
        <v>1711</v>
      </c>
    </row>
    <row r="608" spans="2:3" ht="26.4" x14ac:dyDescent="0.25">
      <c r="B608" s="11" t="s">
        <v>2694</v>
      </c>
      <c r="C608" s="14" t="s">
        <v>1711</v>
      </c>
    </row>
    <row r="609" spans="2:3" ht="26.4" x14ac:dyDescent="0.25">
      <c r="B609" s="11" t="s">
        <v>2695</v>
      </c>
      <c r="C609" s="14" t="s">
        <v>1711</v>
      </c>
    </row>
    <row r="610" spans="2:3" x14ac:dyDescent="0.25">
      <c r="B610" s="11" t="s">
        <v>702</v>
      </c>
      <c r="C610" s="14" t="s">
        <v>1711</v>
      </c>
    </row>
    <row r="611" spans="2:3" x14ac:dyDescent="0.25">
      <c r="B611" s="11" t="s">
        <v>703</v>
      </c>
      <c r="C611" s="14" t="s">
        <v>1711</v>
      </c>
    </row>
    <row r="612" spans="2:3" x14ac:dyDescent="0.25">
      <c r="B612" s="11" t="s">
        <v>704</v>
      </c>
      <c r="C612" s="14" t="s">
        <v>1711</v>
      </c>
    </row>
    <row r="613" spans="2:3" x14ac:dyDescent="0.25">
      <c r="B613" s="11" t="s">
        <v>699</v>
      </c>
      <c r="C613" s="14" t="s">
        <v>1711</v>
      </c>
    </row>
    <row r="614" spans="2:3" x14ac:dyDescent="0.25">
      <c r="B614" s="11" t="s">
        <v>700</v>
      </c>
      <c r="C614" s="14" t="s">
        <v>1711</v>
      </c>
    </row>
    <row r="615" spans="2:3" x14ac:dyDescent="0.25">
      <c r="B615" s="11" t="s">
        <v>701</v>
      </c>
      <c r="C615" s="14" t="s">
        <v>1711</v>
      </c>
    </row>
    <row r="616" spans="2:3" x14ac:dyDescent="0.25">
      <c r="B616" s="11" t="s">
        <v>1376</v>
      </c>
      <c r="C616" s="14" t="s">
        <v>1711</v>
      </c>
    </row>
    <row r="617" spans="2:3" x14ac:dyDescent="0.25">
      <c r="B617" s="11" t="s">
        <v>1110</v>
      </c>
      <c r="C617" s="14" t="s">
        <v>1711</v>
      </c>
    </row>
    <row r="618" spans="2:3" x14ac:dyDescent="0.25">
      <c r="B618" s="11" t="s">
        <v>1034</v>
      </c>
      <c r="C618" s="14" t="s">
        <v>2206</v>
      </c>
    </row>
    <row r="619" spans="2:3" x14ac:dyDescent="0.25">
      <c r="B619" s="11" t="s">
        <v>2313</v>
      </c>
      <c r="C619" s="14" t="s">
        <v>1711</v>
      </c>
    </row>
    <row r="620" spans="2:3" x14ac:dyDescent="0.25">
      <c r="B620" s="11" t="s">
        <v>1034</v>
      </c>
      <c r="C620" s="14" t="s">
        <v>2206</v>
      </c>
    </row>
    <row r="621" spans="2:3" x14ac:dyDescent="0.25">
      <c r="B621" s="11" t="s">
        <v>987</v>
      </c>
      <c r="C621" s="14" t="s">
        <v>1711</v>
      </c>
    </row>
    <row r="622" spans="2:3" x14ac:dyDescent="0.25">
      <c r="B622" s="11" t="s">
        <v>988</v>
      </c>
      <c r="C622" s="14" t="s">
        <v>1711</v>
      </c>
    </row>
    <row r="623" spans="2:3" x14ac:dyDescent="0.25">
      <c r="B623" s="11" t="s">
        <v>2797</v>
      </c>
      <c r="C623" s="14" t="s">
        <v>1711</v>
      </c>
    </row>
    <row r="624" spans="2:3" x14ac:dyDescent="0.25">
      <c r="B624" s="11" t="s">
        <v>1230</v>
      </c>
      <c r="C624" s="14" t="s">
        <v>1711</v>
      </c>
    </row>
    <row r="625" spans="2:3" x14ac:dyDescent="0.25">
      <c r="B625" s="11" t="s">
        <v>1231</v>
      </c>
      <c r="C625" s="14" t="s">
        <v>1711</v>
      </c>
    </row>
    <row r="626" spans="2:3" x14ac:dyDescent="0.25">
      <c r="B626" s="11" t="s">
        <v>1232</v>
      </c>
      <c r="C626" s="14" t="s">
        <v>1711</v>
      </c>
    </row>
    <row r="627" spans="2:3" x14ac:dyDescent="0.25">
      <c r="B627" s="11" t="s">
        <v>1233</v>
      </c>
      <c r="C627" s="14" t="s">
        <v>1711</v>
      </c>
    </row>
    <row r="628" spans="2:3" x14ac:dyDescent="0.25">
      <c r="B628" s="11" t="s">
        <v>1234</v>
      </c>
      <c r="C628" s="14" t="s">
        <v>1711</v>
      </c>
    </row>
    <row r="629" spans="2:3" x14ac:dyDescent="0.25">
      <c r="B629" s="11" t="s">
        <v>1999</v>
      </c>
      <c r="C629" s="14" t="s">
        <v>1711</v>
      </c>
    </row>
    <row r="630" spans="2:3" x14ac:dyDescent="0.25">
      <c r="B630" s="11" t="s">
        <v>2786</v>
      </c>
      <c r="C630" s="14" t="s">
        <v>1711</v>
      </c>
    </row>
    <row r="631" spans="2:3" x14ac:dyDescent="0.25">
      <c r="B631" s="11" t="s">
        <v>2784</v>
      </c>
      <c r="C631" s="14" t="s">
        <v>1711</v>
      </c>
    </row>
    <row r="632" spans="2:3" x14ac:dyDescent="0.25">
      <c r="B632" s="11" t="s">
        <v>1996</v>
      </c>
      <c r="C632" s="14" t="s">
        <v>1711</v>
      </c>
    </row>
    <row r="633" spans="2:3" x14ac:dyDescent="0.25">
      <c r="B633" s="11" t="s">
        <v>1997</v>
      </c>
      <c r="C633" s="14" t="s">
        <v>1711</v>
      </c>
    </row>
    <row r="634" spans="2:3" x14ac:dyDescent="0.25">
      <c r="B634" s="11" t="s">
        <v>1998</v>
      </c>
      <c r="C634" s="14" t="s">
        <v>1711</v>
      </c>
    </row>
    <row r="635" spans="2:3" ht="26.4" x14ac:dyDescent="0.25">
      <c r="B635" s="11" t="s">
        <v>909</v>
      </c>
      <c r="C635" s="14" t="s">
        <v>1711</v>
      </c>
    </row>
    <row r="636" spans="2:3" ht="26.4" x14ac:dyDescent="0.25">
      <c r="B636" s="11" t="s">
        <v>906</v>
      </c>
      <c r="C636" s="14" t="s">
        <v>1711</v>
      </c>
    </row>
    <row r="637" spans="2:3" ht="26.4" x14ac:dyDescent="0.25">
      <c r="B637" s="11" t="s">
        <v>907</v>
      </c>
      <c r="C637" s="14" t="s">
        <v>1711</v>
      </c>
    </row>
    <row r="638" spans="2:3" x14ac:dyDescent="0.25">
      <c r="B638" s="11" t="s">
        <v>1781</v>
      </c>
      <c r="C638" s="14" t="s">
        <v>1711</v>
      </c>
    </row>
    <row r="639" spans="2:3" x14ac:dyDescent="0.25">
      <c r="B639" s="11" t="s">
        <v>908</v>
      </c>
      <c r="C639" s="14" t="s">
        <v>1711</v>
      </c>
    </row>
    <row r="640" spans="2:3" ht="26.4" x14ac:dyDescent="0.25">
      <c r="B640" s="11" t="s">
        <v>910</v>
      </c>
      <c r="C640" s="14" t="s">
        <v>1711</v>
      </c>
    </row>
    <row r="641" spans="2:3" x14ac:dyDescent="0.25">
      <c r="B641" s="11" t="s">
        <v>1523</v>
      </c>
      <c r="C641" s="14" t="s">
        <v>1711</v>
      </c>
    </row>
    <row r="642" spans="2:3" x14ac:dyDescent="0.25">
      <c r="B642" s="11" t="s">
        <v>243</v>
      </c>
      <c r="C642" s="14" t="s">
        <v>1711</v>
      </c>
    </row>
    <row r="643" spans="2:3" x14ac:dyDescent="0.25">
      <c r="B643" s="11" t="s">
        <v>2712</v>
      </c>
      <c r="C643" s="14" t="s">
        <v>1711</v>
      </c>
    </row>
    <row r="644" spans="2:3" x14ac:dyDescent="0.25">
      <c r="C644" s="14" t="s">
        <v>544</v>
      </c>
    </row>
    <row r="645" spans="2:3" x14ac:dyDescent="0.25">
      <c r="B645" s="12" t="s">
        <v>1235</v>
      </c>
      <c r="C645" s="14" t="s">
        <v>1711</v>
      </c>
    </row>
    <row r="646" spans="2:3" x14ac:dyDescent="0.25">
      <c r="B646" s="11" t="s">
        <v>1236</v>
      </c>
      <c r="C646" s="14" t="s">
        <v>1711</v>
      </c>
    </row>
    <row r="647" spans="2:3" x14ac:dyDescent="0.25">
      <c r="B647" s="11" t="s">
        <v>2319</v>
      </c>
      <c r="C647" s="14" t="s">
        <v>1711</v>
      </c>
    </row>
    <row r="648" spans="2:3" x14ac:dyDescent="0.25">
      <c r="B648" s="11" t="s">
        <v>2320</v>
      </c>
      <c r="C648" s="14" t="s">
        <v>1711</v>
      </c>
    </row>
    <row r="649" spans="2:3" x14ac:dyDescent="0.25">
      <c r="B649" s="11" t="s">
        <v>1246</v>
      </c>
      <c r="C649" s="14" t="s">
        <v>1711</v>
      </c>
    </row>
    <row r="650" spans="2:3" x14ac:dyDescent="0.25">
      <c r="B650" s="11" t="s">
        <v>2708</v>
      </c>
      <c r="C650" s="14" t="s">
        <v>1711</v>
      </c>
    </row>
    <row r="651" spans="2:3" x14ac:dyDescent="0.25">
      <c r="B651" s="11" t="s">
        <v>2709</v>
      </c>
      <c r="C651" s="14" t="s">
        <v>1711</v>
      </c>
    </row>
    <row r="652" spans="2:3" x14ac:dyDescent="0.25">
      <c r="B652" s="11" t="s">
        <v>1371</v>
      </c>
      <c r="C652" s="14" t="s">
        <v>1711</v>
      </c>
    </row>
    <row r="653" spans="2:3" x14ac:dyDescent="0.25">
      <c r="B653" s="11" t="s">
        <v>1372</v>
      </c>
      <c r="C653" s="14" t="s">
        <v>1711</v>
      </c>
    </row>
    <row r="654" spans="2:3" x14ac:dyDescent="0.25">
      <c r="B654" s="11" t="s">
        <v>1988</v>
      </c>
      <c r="C654" s="14" t="s">
        <v>1711</v>
      </c>
    </row>
    <row r="655" spans="2:3" x14ac:dyDescent="0.25">
      <c r="B655" s="11" t="s">
        <v>1989</v>
      </c>
      <c r="C655" s="14" t="s">
        <v>1711</v>
      </c>
    </row>
    <row r="656" spans="2:3" x14ac:dyDescent="0.25">
      <c r="B656" s="11" t="s">
        <v>2195</v>
      </c>
      <c r="C656" s="14" t="s">
        <v>1711</v>
      </c>
    </row>
    <row r="657" spans="2:3" x14ac:dyDescent="0.25">
      <c r="B657" s="11" t="s">
        <v>2196</v>
      </c>
      <c r="C657" s="14" t="s">
        <v>1711</v>
      </c>
    </row>
    <row r="658" spans="2:3" x14ac:dyDescent="0.25">
      <c r="B658" s="11" t="s">
        <v>2193</v>
      </c>
      <c r="C658" s="14" t="s">
        <v>1711</v>
      </c>
    </row>
    <row r="659" spans="2:3" x14ac:dyDescent="0.25">
      <c r="B659" s="11" t="s">
        <v>2194</v>
      </c>
      <c r="C659" s="14" t="s">
        <v>1711</v>
      </c>
    </row>
    <row r="660" spans="2:3" x14ac:dyDescent="0.25">
      <c r="B660" s="11" t="s">
        <v>600</v>
      </c>
      <c r="C660" s="14" t="s">
        <v>1711</v>
      </c>
    </row>
    <row r="661" spans="2:3" ht="26.4" x14ac:dyDescent="0.25">
      <c r="B661" s="11" t="s">
        <v>1481</v>
      </c>
      <c r="C661" s="14" t="s">
        <v>1711</v>
      </c>
    </row>
    <row r="662" spans="2:3" ht="26.4" x14ac:dyDescent="0.25">
      <c r="B662" s="11" t="s">
        <v>438</v>
      </c>
      <c r="C662" s="14" t="s">
        <v>1711</v>
      </c>
    </row>
    <row r="663" spans="2:3" ht="26.4" x14ac:dyDescent="0.25">
      <c r="B663" s="11" t="s">
        <v>1397</v>
      </c>
      <c r="C663" s="14" t="s">
        <v>1711</v>
      </c>
    </row>
    <row r="664" spans="2:3" ht="26.4" x14ac:dyDescent="0.25">
      <c r="B664" s="11" t="s">
        <v>2655</v>
      </c>
      <c r="C664" s="14" t="s">
        <v>1711</v>
      </c>
    </row>
    <row r="665" spans="2:3" ht="26.4" x14ac:dyDescent="0.25">
      <c r="B665" s="11" t="s">
        <v>2656</v>
      </c>
      <c r="C665" s="14" t="s">
        <v>1711</v>
      </c>
    </row>
    <row r="666" spans="2:3" ht="26.4" x14ac:dyDescent="0.25">
      <c r="B666" s="11" t="s">
        <v>2168</v>
      </c>
      <c r="C666" s="14" t="s">
        <v>1711</v>
      </c>
    </row>
    <row r="667" spans="2:3" ht="26.4" x14ac:dyDescent="0.25">
      <c r="B667" s="11" t="s">
        <v>1981</v>
      </c>
      <c r="C667" s="14" t="s">
        <v>1711</v>
      </c>
    </row>
    <row r="668" spans="2:3" ht="26.4" x14ac:dyDescent="0.25">
      <c r="B668" s="11" t="s">
        <v>1982</v>
      </c>
      <c r="C668" s="14" t="s">
        <v>1711</v>
      </c>
    </row>
    <row r="669" spans="2:3" ht="26.4" x14ac:dyDescent="0.25">
      <c r="B669" s="11" t="s">
        <v>1309</v>
      </c>
      <c r="C669" s="14" t="s">
        <v>1711</v>
      </c>
    </row>
    <row r="670" spans="2:3" ht="26.4" x14ac:dyDescent="0.25">
      <c r="B670" s="11" t="s">
        <v>214</v>
      </c>
      <c r="C670" s="14" t="s">
        <v>1711</v>
      </c>
    </row>
    <row r="671" spans="2:3" x14ac:dyDescent="0.25">
      <c r="B671" s="11" t="s">
        <v>1184</v>
      </c>
      <c r="C671" s="14" t="s">
        <v>1711</v>
      </c>
    </row>
    <row r="672" spans="2:3" x14ac:dyDescent="0.25">
      <c r="B672" s="11" t="s">
        <v>1185</v>
      </c>
      <c r="C672" s="14" t="s">
        <v>1711</v>
      </c>
    </row>
    <row r="673" spans="2:3" x14ac:dyDescent="0.25">
      <c r="B673" s="11" t="s">
        <v>1186</v>
      </c>
      <c r="C673" s="14" t="s">
        <v>1711</v>
      </c>
    </row>
    <row r="674" spans="2:3" x14ac:dyDescent="0.25">
      <c r="B674" s="11" t="s">
        <v>1187</v>
      </c>
      <c r="C674" s="14" t="s">
        <v>1711</v>
      </c>
    </row>
    <row r="675" spans="2:3" x14ac:dyDescent="0.25">
      <c r="B675" s="11" t="s">
        <v>203</v>
      </c>
      <c r="C675" s="14" t="s">
        <v>1711</v>
      </c>
    </row>
    <row r="676" spans="2:3" x14ac:dyDescent="0.25">
      <c r="B676" s="11" t="s">
        <v>1188</v>
      </c>
      <c r="C676" s="14" t="s">
        <v>1711</v>
      </c>
    </row>
    <row r="677" spans="2:3" x14ac:dyDescent="0.25">
      <c r="B677" s="11" t="s">
        <v>2363</v>
      </c>
      <c r="C677" s="14" t="s">
        <v>1711</v>
      </c>
    </row>
    <row r="678" spans="2:3" x14ac:dyDescent="0.25">
      <c r="B678" s="11" t="s">
        <v>2364</v>
      </c>
      <c r="C678" s="14" t="s">
        <v>1711</v>
      </c>
    </row>
    <row r="679" spans="2:3" x14ac:dyDescent="0.25">
      <c r="B679" s="11" t="s">
        <v>1374</v>
      </c>
      <c r="C679" s="14" t="s">
        <v>1711</v>
      </c>
    </row>
    <row r="680" spans="2:3" x14ac:dyDescent="0.25">
      <c r="B680" s="11" t="s">
        <v>1375</v>
      </c>
      <c r="C680" s="14" t="s">
        <v>1711</v>
      </c>
    </row>
    <row r="681" spans="2:3" x14ac:dyDescent="0.25">
      <c r="B681" s="11" t="s">
        <v>1225</v>
      </c>
      <c r="C681" s="14" t="s">
        <v>1711</v>
      </c>
    </row>
    <row r="682" spans="2:3" x14ac:dyDescent="0.25">
      <c r="B682" s="11" t="s">
        <v>1226</v>
      </c>
      <c r="C682" s="14" t="s">
        <v>1711</v>
      </c>
    </row>
    <row r="683" spans="2:3" x14ac:dyDescent="0.25">
      <c r="B683" s="11" t="s">
        <v>1227</v>
      </c>
      <c r="C683" s="14" t="s">
        <v>1711</v>
      </c>
    </row>
    <row r="684" spans="2:3" x14ac:dyDescent="0.25">
      <c r="B684" s="11" t="s">
        <v>1228</v>
      </c>
      <c r="C684" s="14" t="s">
        <v>1711</v>
      </c>
    </row>
    <row r="685" spans="2:3" x14ac:dyDescent="0.25">
      <c r="B685" s="11" t="s">
        <v>1229</v>
      </c>
      <c r="C685" s="14" t="s">
        <v>1711</v>
      </c>
    </row>
    <row r="686" spans="2:3" x14ac:dyDescent="0.25">
      <c r="B686" s="11" t="s">
        <v>2540</v>
      </c>
      <c r="C686" s="14" t="s">
        <v>1711</v>
      </c>
    </row>
    <row r="687" spans="2:3" x14ac:dyDescent="0.25">
      <c r="B687" s="11" t="s">
        <v>2541</v>
      </c>
      <c r="C687" s="14" t="s">
        <v>1711</v>
      </c>
    </row>
    <row r="688" spans="2:3" x14ac:dyDescent="0.25">
      <c r="B688" s="11" t="s">
        <v>2542</v>
      </c>
      <c r="C688" s="14" t="s">
        <v>1711</v>
      </c>
    </row>
    <row r="689" spans="2:3" x14ac:dyDescent="0.25">
      <c r="B689" s="11" t="s">
        <v>1341</v>
      </c>
      <c r="C689" s="14" t="s">
        <v>1711</v>
      </c>
    </row>
    <row r="690" spans="2:3" x14ac:dyDescent="0.25">
      <c r="B690" s="11" t="s">
        <v>1604</v>
      </c>
      <c r="C690" s="14" t="s">
        <v>1711</v>
      </c>
    </row>
    <row r="691" spans="2:3" x14ac:dyDescent="0.25">
      <c r="B691" s="11" t="s">
        <v>1605</v>
      </c>
      <c r="C691" s="14" t="s">
        <v>1711</v>
      </c>
    </row>
    <row r="692" spans="2:3" x14ac:dyDescent="0.25">
      <c r="B692" s="11" t="s">
        <v>1004</v>
      </c>
      <c r="C692" s="14" t="s">
        <v>1711</v>
      </c>
    </row>
    <row r="693" spans="2:3" x14ac:dyDescent="0.25">
      <c r="B693" s="11" t="s">
        <v>1622</v>
      </c>
      <c r="C693" s="14" t="s">
        <v>1711</v>
      </c>
    </row>
    <row r="694" spans="2:3" x14ac:dyDescent="0.25">
      <c r="B694" s="11" t="s">
        <v>231</v>
      </c>
      <c r="C694" s="14" t="s">
        <v>1711</v>
      </c>
    </row>
    <row r="695" spans="2:3" ht="26.4" x14ac:dyDescent="0.25">
      <c r="B695" s="11" t="s">
        <v>2761</v>
      </c>
      <c r="C695" s="14" t="s">
        <v>1711</v>
      </c>
    </row>
    <row r="696" spans="2:3" ht="26.4" x14ac:dyDescent="0.25">
      <c r="B696" s="11" t="s">
        <v>2762</v>
      </c>
      <c r="C696" s="14" t="s">
        <v>1711</v>
      </c>
    </row>
    <row r="697" spans="2:3" ht="26.4" x14ac:dyDescent="0.25">
      <c r="B697" s="11" t="s">
        <v>2763</v>
      </c>
      <c r="C697" s="14" t="s">
        <v>1711</v>
      </c>
    </row>
    <row r="698" spans="2:3" ht="26.4" x14ac:dyDescent="0.25">
      <c r="B698" s="11" t="s">
        <v>2764</v>
      </c>
      <c r="C698" s="14" t="s">
        <v>1711</v>
      </c>
    </row>
    <row r="699" spans="2:3" ht="26.4" x14ac:dyDescent="0.25">
      <c r="B699" s="11" t="s">
        <v>2765</v>
      </c>
      <c r="C699" s="14" t="s">
        <v>1711</v>
      </c>
    </row>
    <row r="700" spans="2:3" ht="26.4" x14ac:dyDescent="0.25">
      <c r="B700" s="11" t="s">
        <v>2766</v>
      </c>
      <c r="C700" s="14" t="s">
        <v>1711</v>
      </c>
    </row>
    <row r="701" spans="2:3" ht="26.4" x14ac:dyDescent="0.25">
      <c r="B701" s="11" t="s">
        <v>2767</v>
      </c>
      <c r="C701" s="14" t="s">
        <v>1711</v>
      </c>
    </row>
    <row r="702" spans="2:3" ht="26.4" x14ac:dyDescent="0.25">
      <c r="B702" s="11" t="s">
        <v>2768</v>
      </c>
      <c r="C702" s="14" t="s">
        <v>1711</v>
      </c>
    </row>
    <row r="703" spans="2:3" ht="26.4" x14ac:dyDescent="0.25">
      <c r="B703" s="11" t="s">
        <v>2769</v>
      </c>
      <c r="C703" s="14" t="s">
        <v>1711</v>
      </c>
    </row>
    <row r="704" spans="2:3" ht="26.4" x14ac:dyDescent="0.25">
      <c r="B704" s="11" t="s">
        <v>2120</v>
      </c>
      <c r="C704" s="14" t="s">
        <v>1711</v>
      </c>
    </row>
    <row r="705" spans="2:3" ht="26.4" x14ac:dyDescent="0.25">
      <c r="B705" s="11" t="s">
        <v>2694</v>
      </c>
      <c r="C705" s="14" t="s">
        <v>1711</v>
      </c>
    </row>
    <row r="706" spans="2:3" ht="26.4" x14ac:dyDescent="0.25">
      <c r="B706" s="11" t="s">
        <v>2695</v>
      </c>
      <c r="C706" s="14" t="s">
        <v>1711</v>
      </c>
    </row>
    <row r="707" spans="2:3" x14ac:dyDescent="0.25">
      <c r="B707" s="11" t="s">
        <v>702</v>
      </c>
      <c r="C707" s="14" t="s">
        <v>1711</v>
      </c>
    </row>
    <row r="708" spans="2:3" x14ac:dyDescent="0.25">
      <c r="B708" s="11" t="s">
        <v>703</v>
      </c>
      <c r="C708" s="14" t="s">
        <v>1711</v>
      </c>
    </row>
    <row r="709" spans="2:3" x14ac:dyDescent="0.25">
      <c r="B709" s="11" t="s">
        <v>704</v>
      </c>
      <c r="C709" s="14" t="s">
        <v>1711</v>
      </c>
    </row>
    <row r="710" spans="2:3" x14ac:dyDescent="0.25">
      <c r="B710" s="11" t="s">
        <v>699</v>
      </c>
      <c r="C710" s="14" t="s">
        <v>1711</v>
      </c>
    </row>
    <row r="711" spans="2:3" x14ac:dyDescent="0.25">
      <c r="B711" s="11" t="s">
        <v>700</v>
      </c>
      <c r="C711" s="14" t="s">
        <v>1711</v>
      </c>
    </row>
    <row r="712" spans="2:3" x14ac:dyDescent="0.25">
      <c r="B712" s="11" t="s">
        <v>701</v>
      </c>
      <c r="C712" s="14" t="s">
        <v>1711</v>
      </c>
    </row>
    <row r="713" spans="2:3" x14ac:dyDescent="0.25">
      <c r="B713" s="11" t="s">
        <v>1376</v>
      </c>
      <c r="C713" s="14" t="s">
        <v>1711</v>
      </c>
    </row>
    <row r="714" spans="2:3" x14ac:dyDescent="0.25">
      <c r="B714" s="11" t="s">
        <v>1110</v>
      </c>
      <c r="C714" s="14" t="s">
        <v>1711</v>
      </c>
    </row>
    <row r="715" spans="2:3" x14ac:dyDescent="0.25">
      <c r="B715" s="11" t="s">
        <v>1034</v>
      </c>
      <c r="C715" s="14" t="s">
        <v>2206</v>
      </c>
    </row>
    <row r="716" spans="2:3" x14ac:dyDescent="0.25">
      <c r="B716" s="11" t="s">
        <v>2313</v>
      </c>
      <c r="C716" s="14" t="s">
        <v>1711</v>
      </c>
    </row>
    <row r="717" spans="2:3" x14ac:dyDescent="0.25">
      <c r="B717" s="11" t="s">
        <v>1034</v>
      </c>
      <c r="C717" s="14" t="s">
        <v>2206</v>
      </c>
    </row>
    <row r="718" spans="2:3" x14ac:dyDescent="0.25">
      <c r="B718" s="11" t="s">
        <v>987</v>
      </c>
      <c r="C718" s="14" t="s">
        <v>1711</v>
      </c>
    </row>
    <row r="719" spans="2:3" x14ac:dyDescent="0.25">
      <c r="B719" s="11" t="s">
        <v>988</v>
      </c>
      <c r="C719" s="14" t="s">
        <v>1711</v>
      </c>
    </row>
    <row r="720" spans="2:3" x14ac:dyDescent="0.25">
      <c r="B720" s="11" t="s">
        <v>2797</v>
      </c>
      <c r="C720" s="14" t="s">
        <v>1711</v>
      </c>
    </row>
    <row r="721" spans="2:3" x14ac:dyDescent="0.25">
      <c r="B721" s="11" t="s">
        <v>2710</v>
      </c>
      <c r="C721" s="14" t="s">
        <v>1711</v>
      </c>
    </row>
    <row r="722" spans="2:3" x14ac:dyDescent="0.25">
      <c r="B722" s="11" t="s">
        <v>2522</v>
      </c>
      <c r="C722" s="14" t="s">
        <v>1711</v>
      </c>
    </row>
    <row r="723" spans="2:3" x14ac:dyDescent="0.25">
      <c r="B723" s="11" t="s">
        <v>1232</v>
      </c>
      <c r="C723" s="14" t="s">
        <v>1711</v>
      </c>
    </row>
    <row r="724" spans="2:3" x14ac:dyDescent="0.25">
      <c r="B724" s="11" t="s">
        <v>2543</v>
      </c>
      <c r="C724" s="14" t="s">
        <v>1711</v>
      </c>
    </row>
    <row r="725" spans="2:3" x14ac:dyDescent="0.25">
      <c r="B725" s="11" t="s">
        <v>2544</v>
      </c>
      <c r="C725" s="14" t="s">
        <v>1711</v>
      </c>
    </row>
    <row r="726" spans="2:3" x14ac:dyDescent="0.25">
      <c r="B726" s="11" t="s">
        <v>2318</v>
      </c>
      <c r="C726" s="14" t="s">
        <v>1711</v>
      </c>
    </row>
    <row r="727" spans="2:3" x14ac:dyDescent="0.25">
      <c r="B727" s="11" t="s">
        <v>1999</v>
      </c>
      <c r="C727" s="14" t="s">
        <v>1711</v>
      </c>
    </row>
    <row r="728" spans="2:3" x14ac:dyDescent="0.25">
      <c r="B728" s="11" t="s">
        <v>2786</v>
      </c>
      <c r="C728" s="14" t="s">
        <v>1711</v>
      </c>
    </row>
    <row r="729" spans="2:3" x14ac:dyDescent="0.25">
      <c r="B729" s="11" t="s">
        <v>2784</v>
      </c>
      <c r="C729" s="14" t="s">
        <v>1711</v>
      </c>
    </row>
    <row r="730" spans="2:3" x14ac:dyDescent="0.25">
      <c r="B730" s="11" t="s">
        <v>1996</v>
      </c>
      <c r="C730" s="14" t="s">
        <v>1711</v>
      </c>
    </row>
    <row r="731" spans="2:3" x14ac:dyDescent="0.25">
      <c r="B731" s="11" t="s">
        <v>1997</v>
      </c>
      <c r="C731" s="14" t="s">
        <v>1711</v>
      </c>
    </row>
    <row r="732" spans="2:3" x14ac:dyDescent="0.25">
      <c r="B732" s="11" t="s">
        <v>1998</v>
      </c>
      <c r="C732" s="14" t="s">
        <v>1711</v>
      </c>
    </row>
    <row r="733" spans="2:3" ht="26.4" x14ac:dyDescent="0.25">
      <c r="B733" s="11" t="s">
        <v>909</v>
      </c>
      <c r="C733" s="14" t="s">
        <v>1711</v>
      </c>
    </row>
    <row r="734" spans="2:3" ht="26.4" x14ac:dyDescent="0.25">
      <c r="B734" s="11" t="s">
        <v>906</v>
      </c>
      <c r="C734" s="14" t="s">
        <v>1711</v>
      </c>
    </row>
    <row r="735" spans="2:3" ht="26.4" x14ac:dyDescent="0.25">
      <c r="B735" s="11" t="s">
        <v>907</v>
      </c>
      <c r="C735" s="14" t="s">
        <v>1711</v>
      </c>
    </row>
    <row r="736" spans="2:3" x14ac:dyDescent="0.25">
      <c r="B736" s="11" t="s">
        <v>1781</v>
      </c>
      <c r="C736" s="14" t="s">
        <v>1711</v>
      </c>
    </row>
    <row r="737" spans="2:3" x14ac:dyDescent="0.25">
      <c r="B737" s="11" t="s">
        <v>908</v>
      </c>
      <c r="C737" s="14" t="s">
        <v>1711</v>
      </c>
    </row>
    <row r="738" spans="2:3" ht="26.4" x14ac:dyDescent="0.25">
      <c r="B738" s="11" t="s">
        <v>910</v>
      </c>
      <c r="C738" s="14" t="s">
        <v>1711</v>
      </c>
    </row>
    <row r="739" spans="2:3" x14ac:dyDescent="0.25">
      <c r="B739" s="11" t="s">
        <v>1523</v>
      </c>
      <c r="C739" s="14" t="s">
        <v>1711</v>
      </c>
    </row>
    <row r="740" spans="2:3" x14ac:dyDescent="0.25">
      <c r="B740" s="11" t="s">
        <v>243</v>
      </c>
      <c r="C740" s="14" t="s">
        <v>1711</v>
      </c>
    </row>
    <row r="741" spans="2:3" x14ac:dyDescent="0.25">
      <c r="B741" s="11" t="s">
        <v>2712</v>
      </c>
      <c r="C741" s="14" t="s">
        <v>1711</v>
      </c>
    </row>
    <row r="742" spans="2:3" x14ac:dyDescent="0.25">
      <c r="C742" s="14" t="s">
        <v>544</v>
      </c>
    </row>
    <row r="743" spans="2:3" x14ac:dyDescent="0.25">
      <c r="B743" s="12" t="s">
        <v>2545</v>
      </c>
      <c r="C743" s="14" t="s">
        <v>1711</v>
      </c>
    </row>
    <row r="744" spans="2:3" x14ac:dyDescent="0.25">
      <c r="B744" s="11" t="s">
        <v>1236</v>
      </c>
      <c r="C744" s="14" t="s">
        <v>1711</v>
      </c>
    </row>
    <row r="745" spans="2:3" x14ac:dyDescent="0.25">
      <c r="B745" s="11" t="s">
        <v>2319</v>
      </c>
      <c r="C745" s="14" t="s">
        <v>1711</v>
      </c>
    </row>
    <row r="746" spans="2:3" x14ac:dyDescent="0.25">
      <c r="B746" s="11" t="s">
        <v>2320</v>
      </c>
      <c r="C746" s="14" t="s">
        <v>1711</v>
      </c>
    </row>
    <row r="747" spans="2:3" x14ac:dyDescent="0.25">
      <c r="B747" s="11" t="s">
        <v>1246</v>
      </c>
      <c r="C747" s="14" t="s">
        <v>1711</v>
      </c>
    </row>
    <row r="748" spans="2:3" x14ac:dyDescent="0.25">
      <c r="B748" s="11" t="s">
        <v>2708</v>
      </c>
      <c r="C748" s="14" t="s">
        <v>1711</v>
      </c>
    </row>
    <row r="749" spans="2:3" x14ac:dyDescent="0.25">
      <c r="B749" s="11" t="s">
        <v>2709</v>
      </c>
      <c r="C749" s="14" t="s">
        <v>1711</v>
      </c>
    </row>
    <row r="750" spans="2:3" x14ac:dyDescent="0.25">
      <c r="B750" s="11" t="s">
        <v>1371</v>
      </c>
      <c r="C750" s="14" t="s">
        <v>1711</v>
      </c>
    </row>
    <row r="751" spans="2:3" x14ac:dyDescent="0.25">
      <c r="B751" s="11" t="s">
        <v>1372</v>
      </c>
      <c r="C751" s="14" t="s">
        <v>1711</v>
      </c>
    </row>
    <row r="752" spans="2:3" x14ac:dyDescent="0.25">
      <c r="B752" s="11" t="s">
        <v>1988</v>
      </c>
      <c r="C752" s="14" t="s">
        <v>1711</v>
      </c>
    </row>
    <row r="753" spans="2:3" x14ac:dyDescent="0.25">
      <c r="B753" s="11" t="s">
        <v>1989</v>
      </c>
      <c r="C753" s="14" t="s">
        <v>1711</v>
      </c>
    </row>
    <row r="754" spans="2:3" x14ac:dyDescent="0.25">
      <c r="B754" s="11" t="s">
        <v>2195</v>
      </c>
      <c r="C754" s="14" t="s">
        <v>1711</v>
      </c>
    </row>
    <row r="755" spans="2:3" x14ac:dyDescent="0.25">
      <c r="B755" s="11" t="s">
        <v>2196</v>
      </c>
      <c r="C755" s="14" t="s">
        <v>1711</v>
      </c>
    </row>
    <row r="756" spans="2:3" x14ac:dyDescent="0.25">
      <c r="B756" s="11" t="s">
        <v>2193</v>
      </c>
      <c r="C756" s="14" t="s">
        <v>1711</v>
      </c>
    </row>
    <row r="757" spans="2:3" x14ac:dyDescent="0.25">
      <c r="B757" s="11" t="s">
        <v>2194</v>
      </c>
      <c r="C757" s="14" t="s">
        <v>1711</v>
      </c>
    </row>
    <row r="758" spans="2:3" x14ac:dyDescent="0.25">
      <c r="B758" s="11" t="s">
        <v>600</v>
      </c>
      <c r="C758" s="14" t="s">
        <v>1711</v>
      </c>
    </row>
    <row r="759" spans="2:3" ht="26.4" x14ac:dyDescent="0.25">
      <c r="B759" s="11" t="s">
        <v>1481</v>
      </c>
      <c r="C759" s="14" t="s">
        <v>1711</v>
      </c>
    </row>
    <row r="760" spans="2:3" ht="26.4" x14ac:dyDescent="0.25">
      <c r="B760" s="11" t="s">
        <v>438</v>
      </c>
      <c r="C760" s="14" t="s">
        <v>1711</v>
      </c>
    </row>
    <row r="761" spans="2:3" ht="26.4" x14ac:dyDescent="0.25">
      <c r="B761" s="11" t="s">
        <v>1397</v>
      </c>
      <c r="C761" s="14" t="s">
        <v>1711</v>
      </c>
    </row>
    <row r="762" spans="2:3" ht="26.4" x14ac:dyDescent="0.25">
      <c r="B762" s="11" t="s">
        <v>2655</v>
      </c>
      <c r="C762" s="14" t="s">
        <v>1711</v>
      </c>
    </row>
    <row r="763" spans="2:3" ht="26.4" x14ac:dyDescent="0.25">
      <c r="B763" s="11" t="s">
        <v>2656</v>
      </c>
      <c r="C763" s="14" t="s">
        <v>1711</v>
      </c>
    </row>
    <row r="764" spans="2:3" ht="26.4" x14ac:dyDescent="0.25">
      <c r="B764" s="11" t="s">
        <v>2168</v>
      </c>
      <c r="C764" s="14" t="s">
        <v>1711</v>
      </c>
    </row>
    <row r="765" spans="2:3" ht="26.4" x14ac:dyDescent="0.25">
      <c r="B765" s="11" t="s">
        <v>1981</v>
      </c>
      <c r="C765" s="14" t="s">
        <v>1711</v>
      </c>
    </row>
    <row r="766" spans="2:3" ht="26.4" x14ac:dyDescent="0.25">
      <c r="B766" s="11" t="s">
        <v>1982</v>
      </c>
      <c r="C766" s="14" t="s">
        <v>1711</v>
      </c>
    </row>
    <row r="767" spans="2:3" ht="26.4" x14ac:dyDescent="0.25">
      <c r="B767" s="11" t="s">
        <v>1309</v>
      </c>
      <c r="C767" s="14" t="s">
        <v>1711</v>
      </c>
    </row>
    <row r="768" spans="2:3" ht="26.4" x14ac:dyDescent="0.25">
      <c r="B768" s="11" t="s">
        <v>214</v>
      </c>
      <c r="C768" s="14" t="s">
        <v>1711</v>
      </c>
    </row>
    <row r="769" spans="2:3" x14ac:dyDescent="0.25">
      <c r="B769" s="11" t="s">
        <v>1184</v>
      </c>
      <c r="C769" s="14" t="s">
        <v>1711</v>
      </c>
    </row>
    <row r="770" spans="2:3" x14ac:dyDescent="0.25">
      <c r="B770" s="11" t="s">
        <v>1185</v>
      </c>
      <c r="C770" s="14" t="s">
        <v>1711</v>
      </c>
    </row>
    <row r="771" spans="2:3" x14ac:dyDescent="0.25">
      <c r="B771" s="11" t="s">
        <v>1186</v>
      </c>
      <c r="C771" s="14" t="s">
        <v>1711</v>
      </c>
    </row>
    <row r="772" spans="2:3" x14ac:dyDescent="0.25">
      <c r="B772" s="11" t="s">
        <v>1187</v>
      </c>
      <c r="C772" s="14" t="s">
        <v>1711</v>
      </c>
    </row>
    <row r="773" spans="2:3" x14ac:dyDescent="0.25">
      <c r="B773" s="11" t="s">
        <v>203</v>
      </c>
      <c r="C773" s="14" t="s">
        <v>1711</v>
      </c>
    </row>
    <row r="774" spans="2:3" x14ac:dyDescent="0.25">
      <c r="B774" s="11" t="s">
        <v>1188</v>
      </c>
      <c r="C774" s="14" t="s">
        <v>1711</v>
      </c>
    </row>
    <row r="775" spans="2:3" x14ac:dyDescent="0.25">
      <c r="B775" s="11" t="s">
        <v>2363</v>
      </c>
      <c r="C775" s="14" t="s">
        <v>1711</v>
      </c>
    </row>
    <row r="776" spans="2:3" x14ac:dyDescent="0.25">
      <c r="B776" s="11" t="s">
        <v>2364</v>
      </c>
      <c r="C776" s="14" t="s">
        <v>1711</v>
      </c>
    </row>
    <row r="777" spans="2:3" x14ac:dyDescent="0.25">
      <c r="B777" s="11" t="s">
        <v>1374</v>
      </c>
      <c r="C777" s="14" t="s">
        <v>1711</v>
      </c>
    </row>
    <row r="778" spans="2:3" x14ac:dyDescent="0.25">
      <c r="B778" s="11" t="s">
        <v>1375</v>
      </c>
      <c r="C778" s="14" t="s">
        <v>1711</v>
      </c>
    </row>
    <row r="779" spans="2:3" x14ac:dyDescent="0.25">
      <c r="B779" s="11" t="s">
        <v>1225</v>
      </c>
      <c r="C779" s="14" t="s">
        <v>1711</v>
      </c>
    </row>
    <row r="780" spans="2:3" x14ac:dyDescent="0.25">
      <c r="B780" s="11" t="s">
        <v>1226</v>
      </c>
      <c r="C780" s="14" t="s">
        <v>1711</v>
      </c>
    </row>
    <row r="781" spans="2:3" x14ac:dyDescent="0.25">
      <c r="B781" s="11" t="s">
        <v>1227</v>
      </c>
      <c r="C781" s="14" t="s">
        <v>1711</v>
      </c>
    </row>
    <row r="782" spans="2:3" x14ac:dyDescent="0.25">
      <c r="B782" s="11" t="s">
        <v>1228</v>
      </c>
      <c r="C782" s="14" t="s">
        <v>1711</v>
      </c>
    </row>
    <row r="783" spans="2:3" x14ac:dyDescent="0.25">
      <c r="B783" s="11" t="s">
        <v>1229</v>
      </c>
      <c r="C783" s="14" t="s">
        <v>1711</v>
      </c>
    </row>
    <row r="784" spans="2:3" x14ac:dyDescent="0.25">
      <c r="B784" s="11" t="s">
        <v>2540</v>
      </c>
      <c r="C784" s="14" t="s">
        <v>1711</v>
      </c>
    </row>
    <row r="785" spans="2:3" x14ac:dyDescent="0.25">
      <c r="B785" s="11" t="s">
        <v>2541</v>
      </c>
      <c r="C785" s="14" t="s">
        <v>1711</v>
      </c>
    </row>
    <row r="786" spans="2:3" x14ac:dyDescent="0.25">
      <c r="B786" s="11" t="s">
        <v>2542</v>
      </c>
      <c r="C786" s="14" t="s">
        <v>1711</v>
      </c>
    </row>
    <row r="787" spans="2:3" x14ac:dyDescent="0.25">
      <c r="B787" s="11" t="s">
        <v>1341</v>
      </c>
      <c r="C787" s="14" t="s">
        <v>1711</v>
      </c>
    </row>
    <row r="788" spans="2:3" x14ac:dyDescent="0.25">
      <c r="B788" s="11" t="s">
        <v>1604</v>
      </c>
      <c r="C788" s="14" t="s">
        <v>1711</v>
      </c>
    </row>
    <row r="789" spans="2:3" x14ac:dyDescent="0.25">
      <c r="B789" s="11" t="s">
        <v>1605</v>
      </c>
      <c r="C789" s="14" t="s">
        <v>1711</v>
      </c>
    </row>
    <row r="790" spans="2:3" x14ac:dyDescent="0.25">
      <c r="B790" s="11" t="s">
        <v>1004</v>
      </c>
      <c r="C790" s="14" t="s">
        <v>1711</v>
      </c>
    </row>
    <row r="791" spans="2:3" x14ac:dyDescent="0.25">
      <c r="B791" s="11" t="s">
        <v>1622</v>
      </c>
      <c r="C791" s="14" t="s">
        <v>1711</v>
      </c>
    </row>
    <row r="792" spans="2:3" x14ac:dyDescent="0.25">
      <c r="B792" s="11" t="s">
        <v>231</v>
      </c>
      <c r="C792" s="14" t="s">
        <v>1711</v>
      </c>
    </row>
    <row r="793" spans="2:3" ht="26.4" x14ac:dyDescent="0.25">
      <c r="B793" s="11" t="s">
        <v>2761</v>
      </c>
      <c r="C793" s="14" t="s">
        <v>1711</v>
      </c>
    </row>
    <row r="794" spans="2:3" ht="26.4" x14ac:dyDescent="0.25">
      <c r="B794" s="11" t="s">
        <v>2762</v>
      </c>
      <c r="C794" s="14" t="s">
        <v>1711</v>
      </c>
    </row>
    <row r="795" spans="2:3" ht="26.4" x14ac:dyDescent="0.25">
      <c r="B795" s="11" t="s">
        <v>2763</v>
      </c>
      <c r="C795" s="14" t="s">
        <v>1711</v>
      </c>
    </row>
    <row r="796" spans="2:3" ht="26.4" x14ac:dyDescent="0.25">
      <c r="B796" s="11" t="s">
        <v>2764</v>
      </c>
      <c r="C796" s="14" t="s">
        <v>1711</v>
      </c>
    </row>
    <row r="797" spans="2:3" ht="26.4" x14ac:dyDescent="0.25">
      <c r="B797" s="11" t="s">
        <v>2765</v>
      </c>
      <c r="C797" s="14" t="s">
        <v>1711</v>
      </c>
    </row>
    <row r="798" spans="2:3" ht="26.4" x14ac:dyDescent="0.25">
      <c r="B798" s="11" t="s">
        <v>2766</v>
      </c>
      <c r="C798" s="14" t="s">
        <v>1711</v>
      </c>
    </row>
    <row r="799" spans="2:3" ht="26.4" x14ac:dyDescent="0.25">
      <c r="B799" s="11" t="s">
        <v>2767</v>
      </c>
      <c r="C799" s="14" t="s">
        <v>1711</v>
      </c>
    </row>
    <row r="800" spans="2:3" ht="26.4" x14ac:dyDescent="0.25">
      <c r="B800" s="11" t="s">
        <v>2768</v>
      </c>
      <c r="C800" s="14" t="s">
        <v>1711</v>
      </c>
    </row>
    <row r="801" spans="2:3" ht="26.4" x14ac:dyDescent="0.25">
      <c r="B801" s="11" t="s">
        <v>2769</v>
      </c>
      <c r="C801" s="14" t="s">
        <v>1711</v>
      </c>
    </row>
    <row r="802" spans="2:3" ht="26.4" x14ac:dyDescent="0.25">
      <c r="B802" s="11" t="s">
        <v>2120</v>
      </c>
      <c r="C802" s="14" t="s">
        <v>1711</v>
      </c>
    </row>
    <row r="803" spans="2:3" ht="26.4" x14ac:dyDescent="0.25">
      <c r="B803" s="11" t="s">
        <v>2694</v>
      </c>
      <c r="C803" s="14" t="s">
        <v>1711</v>
      </c>
    </row>
    <row r="804" spans="2:3" ht="26.4" x14ac:dyDescent="0.25">
      <c r="B804" s="11" t="s">
        <v>2695</v>
      </c>
      <c r="C804" s="14" t="s">
        <v>1711</v>
      </c>
    </row>
    <row r="805" spans="2:3" x14ac:dyDescent="0.25">
      <c r="B805" s="11" t="s">
        <v>702</v>
      </c>
      <c r="C805" s="14" t="s">
        <v>1711</v>
      </c>
    </row>
    <row r="806" spans="2:3" x14ac:dyDescent="0.25">
      <c r="B806" s="11" t="s">
        <v>703</v>
      </c>
      <c r="C806" s="14" t="s">
        <v>1711</v>
      </c>
    </row>
    <row r="807" spans="2:3" x14ac:dyDescent="0.25">
      <c r="B807" s="11" t="s">
        <v>704</v>
      </c>
      <c r="C807" s="14" t="s">
        <v>1711</v>
      </c>
    </row>
    <row r="808" spans="2:3" x14ac:dyDescent="0.25">
      <c r="B808" s="11" t="s">
        <v>699</v>
      </c>
      <c r="C808" s="14" t="s">
        <v>1711</v>
      </c>
    </row>
    <row r="809" spans="2:3" x14ac:dyDescent="0.25">
      <c r="B809" s="11" t="s">
        <v>700</v>
      </c>
      <c r="C809" s="14" t="s">
        <v>1711</v>
      </c>
    </row>
    <row r="810" spans="2:3" x14ac:dyDescent="0.25">
      <c r="B810" s="11" t="s">
        <v>701</v>
      </c>
      <c r="C810" s="14" t="s">
        <v>1711</v>
      </c>
    </row>
    <row r="811" spans="2:3" x14ac:dyDescent="0.25">
      <c r="B811" s="11" t="s">
        <v>1376</v>
      </c>
      <c r="C811" s="14" t="s">
        <v>1711</v>
      </c>
    </row>
    <row r="812" spans="2:3" x14ac:dyDescent="0.25">
      <c r="B812" s="11" t="s">
        <v>1110</v>
      </c>
      <c r="C812" s="14" t="s">
        <v>1711</v>
      </c>
    </row>
    <row r="813" spans="2:3" x14ac:dyDescent="0.25">
      <c r="B813" s="11" t="s">
        <v>1034</v>
      </c>
      <c r="C813" s="14" t="s">
        <v>2206</v>
      </c>
    </row>
    <row r="814" spans="2:3" x14ac:dyDescent="0.25">
      <c r="B814" s="11" t="s">
        <v>2313</v>
      </c>
      <c r="C814" s="14" t="s">
        <v>1711</v>
      </c>
    </row>
    <row r="815" spans="2:3" x14ac:dyDescent="0.25">
      <c r="B815" s="11" t="s">
        <v>1034</v>
      </c>
      <c r="C815" s="14" t="s">
        <v>2206</v>
      </c>
    </row>
    <row r="816" spans="2:3" x14ac:dyDescent="0.25">
      <c r="B816" s="11" t="s">
        <v>987</v>
      </c>
      <c r="C816" s="14" t="s">
        <v>1711</v>
      </c>
    </row>
    <row r="817" spans="2:3" x14ac:dyDescent="0.25">
      <c r="B817" s="11" t="s">
        <v>988</v>
      </c>
      <c r="C817" s="14" t="s">
        <v>1711</v>
      </c>
    </row>
    <row r="818" spans="2:3" x14ac:dyDescent="0.25">
      <c r="B818" s="11" t="s">
        <v>2797</v>
      </c>
      <c r="C818" s="14" t="s">
        <v>1711</v>
      </c>
    </row>
    <row r="819" spans="2:3" x14ac:dyDescent="0.25">
      <c r="B819" s="11" t="s">
        <v>2710</v>
      </c>
      <c r="C819" s="14" t="s">
        <v>1711</v>
      </c>
    </row>
    <row r="820" spans="2:3" x14ac:dyDescent="0.25">
      <c r="B820" s="11" t="s">
        <v>2522</v>
      </c>
      <c r="C820" s="14" t="s">
        <v>1711</v>
      </c>
    </row>
    <row r="821" spans="2:3" x14ac:dyDescent="0.25">
      <c r="B821" s="11" t="s">
        <v>1232</v>
      </c>
      <c r="C821" s="14" t="s">
        <v>1711</v>
      </c>
    </row>
    <row r="822" spans="2:3" x14ac:dyDescent="0.25">
      <c r="B822" s="11" t="s">
        <v>2543</v>
      </c>
      <c r="C822" s="14" t="s">
        <v>1711</v>
      </c>
    </row>
    <row r="823" spans="2:3" x14ac:dyDescent="0.25">
      <c r="B823" s="11" t="s">
        <v>2544</v>
      </c>
      <c r="C823" s="14" t="s">
        <v>1711</v>
      </c>
    </row>
    <row r="824" spans="2:3" x14ac:dyDescent="0.25">
      <c r="B824" s="11" t="s">
        <v>2318</v>
      </c>
      <c r="C824" s="14" t="s">
        <v>1711</v>
      </c>
    </row>
    <row r="825" spans="2:3" x14ac:dyDescent="0.25">
      <c r="B825" s="11" t="s">
        <v>1999</v>
      </c>
      <c r="C825" s="14" t="s">
        <v>1711</v>
      </c>
    </row>
    <row r="826" spans="2:3" x14ac:dyDescent="0.25">
      <c r="B826" s="11" t="s">
        <v>2786</v>
      </c>
      <c r="C826" s="14" t="s">
        <v>1711</v>
      </c>
    </row>
    <row r="827" spans="2:3" x14ac:dyDescent="0.25">
      <c r="B827" s="11" t="s">
        <v>2784</v>
      </c>
      <c r="C827" s="14" t="s">
        <v>1711</v>
      </c>
    </row>
    <row r="828" spans="2:3" x14ac:dyDescent="0.25">
      <c r="B828" s="11" t="s">
        <v>1996</v>
      </c>
      <c r="C828" s="14" t="s">
        <v>1711</v>
      </c>
    </row>
    <row r="829" spans="2:3" x14ac:dyDescent="0.25">
      <c r="B829" s="11" t="s">
        <v>1997</v>
      </c>
      <c r="C829" s="14" t="s">
        <v>1711</v>
      </c>
    </row>
    <row r="830" spans="2:3" x14ac:dyDescent="0.25">
      <c r="B830" s="11" t="s">
        <v>1998</v>
      </c>
      <c r="C830" s="14" t="s">
        <v>1711</v>
      </c>
    </row>
    <row r="831" spans="2:3" x14ac:dyDescent="0.25">
      <c r="B831" s="3" t="s">
        <v>706</v>
      </c>
      <c r="C831" s="14" t="s">
        <v>1711</v>
      </c>
    </row>
    <row r="832" spans="2:3" ht="26.4" x14ac:dyDescent="0.25">
      <c r="B832" s="11" t="s">
        <v>909</v>
      </c>
      <c r="C832" s="14" t="s">
        <v>1711</v>
      </c>
    </row>
    <row r="833" spans="2:3" ht="26.4" x14ac:dyDescent="0.25">
      <c r="B833" s="11" t="s">
        <v>906</v>
      </c>
      <c r="C833" s="14" t="s">
        <v>1711</v>
      </c>
    </row>
    <row r="834" spans="2:3" ht="26.4" x14ac:dyDescent="0.25">
      <c r="B834" s="11" t="s">
        <v>907</v>
      </c>
      <c r="C834" s="14" t="s">
        <v>1711</v>
      </c>
    </row>
    <row r="835" spans="2:3" x14ac:dyDescent="0.25">
      <c r="B835" s="11" t="s">
        <v>1781</v>
      </c>
      <c r="C835" s="14" t="s">
        <v>1711</v>
      </c>
    </row>
    <row r="836" spans="2:3" x14ac:dyDescent="0.25">
      <c r="B836" s="11" t="s">
        <v>908</v>
      </c>
      <c r="C836" s="14" t="s">
        <v>1711</v>
      </c>
    </row>
    <row r="837" spans="2:3" ht="26.4" x14ac:dyDescent="0.25">
      <c r="B837" s="11" t="s">
        <v>910</v>
      </c>
      <c r="C837" s="14" t="s">
        <v>1711</v>
      </c>
    </row>
    <row r="838" spans="2:3" x14ac:dyDescent="0.25">
      <c r="B838" s="11" t="s">
        <v>1523</v>
      </c>
      <c r="C838" s="14" t="s">
        <v>1711</v>
      </c>
    </row>
    <row r="839" spans="2:3" x14ac:dyDescent="0.25">
      <c r="B839" s="11" t="s">
        <v>243</v>
      </c>
      <c r="C839" s="14" t="s">
        <v>1711</v>
      </c>
    </row>
    <row r="840" spans="2:3" x14ac:dyDescent="0.25">
      <c r="B840" s="11" t="s">
        <v>2712</v>
      </c>
      <c r="C840" s="14" t="s">
        <v>1711</v>
      </c>
    </row>
    <row r="841" spans="2:3" x14ac:dyDescent="0.25">
      <c r="C841" s="14" t="s">
        <v>544</v>
      </c>
    </row>
    <row r="842" spans="2:3" x14ac:dyDescent="0.25">
      <c r="B842" s="12" t="s">
        <v>2546</v>
      </c>
      <c r="C842" s="14" t="s">
        <v>1711</v>
      </c>
    </row>
    <row r="843" spans="2:3" x14ac:dyDescent="0.25">
      <c r="C843" s="14" t="s">
        <v>544</v>
      </c>
    </row>
    <row r="844" spans="2:3" x14ac:dyDescent="0.25">
      <c r="B844" s="12" t="s">
        <v>2547</v>
      </c>
      <c r="C844" s="14" t="s">
        <v>1711</v>
      </c>
    </row>
    <row r="845" spans="2:3" x14ac:dyDescent="0.25">
      <c r="B845" s="11" t="s">
        <v>2540</v>
      </c>
      <c r="C845" s="14" t="s">
        <v>1711</v>
      </c>
    </row>
    <row r="846" spans="2:3" x14ac:dyDescent="0.25">
      <c r="B846" s="11" t="s">
        <v>2541</v>
      </c>
      <c r="C846" s="14" t="s">
        <v>1711</v>
      </c>
    </row>
    <row r="847" spans="2:3" x14ac:dyDescent="0.25">
      <c r="B847" s="11" t="s">
        <v>2542</v>
      </c>
      <c r="C847" s="14" t="s">
        <v>1711</v>
      </c>
    </row>
    <row r="848" spans="2:3" x14ac:dyDescent="0.25">
      <c r="B848" s="11" t="s">
        <v>1341</v>
      </c>
      <c r="C848" s="14" t="s">
        <v>1711</v>
      </c>
    </row>
    <row r="849" spans="2:3" x14ac:dyDescent="0.25">
      <c r="B849" s="11" t="s">
        <v>2548</v>
      </c>
      <c r="C849" s="14" t="s">
        <v>1711</v>
      </c>
    </row>
    <row r="850" spans="2:3" x14ac:dyDescent="0.25">
      <c r="B850" s="11" t="s">
        <v>2177</v>
      </c>
      <c r="C850" s="14" t="s">
        <v>1711</v>
      </c>
    </row>
    <row r="851" spans="2:3" x14ac:dyDescent="0.25">
      <c r="B851" s="11" t="s">
        <v>2799</v>
      </c>
      <c r="C851" s="14" t="s">
        <v>1711</v>
      </c>
    </row>
    <row r="852" spans="2:3" x14ac:dyDescent="0.25">
      <c r="B852" s="11" t="s">
        <v>2549</v>
      </c>
      <c r="C852" s="14" t="s">
        <v>1711</v>
      </c>
    </row>
    <row r="853" spans="2:3" x14ac:dyDescent="0.25">
      <c r="C853" s="14" t="s">
        <v>544</v>
      </c>
    </row>
    <row r="854" spans="2:3" ht="26.4" x14ac:dyDescent="0.25">
      <c r="B854" s="12" t="s">
        <v>2550</v>
      </c>
      <c r="C854" s="14" t="s">
        <v>1711</v>
      </c>
    </row>
    <row r="855" spans="2:3" x14ac:dyDescent="0.25">
      <c r="B855" s="11" t="s">
        <v>2540</v>
      </c>
      <c r="C855" s="14" t="s">
        <v>1711</v>
      </c>
    </row>
    <row r="856" spans="2:3" x14ac:dyDescent="0.25">
      <c r="B856" s="11" t="s">
        <v>2541</v>
      </c>
      <c r="C856" s="14" t="s">
        <v>1711</v>
      </c>
    </row>
    <row r="857" spans="2:3" x14ac:dyDescent="0.25">
      <c r="B857" s="11" t="s">
        <v>2542</v>
      </c>
      <c r="C857" s="14" t="s">
        <v>1711</v>
      </c>
    </row>
    <row r="858" spans="2:3" x14ac:dyDescent="0.25">
      <c r="B858" s="11" t="s">
        <v>1341</v>
      </c>
      <c r="C858" s="14" t="s">
        <v>1711</v>
      </c>
    </row>
    <row r="859" spans="2:3" x14ac:dyDescent="0.25">
      <c r="B859" s="11" t="s">
        <v>2551</v>
      </c>
      <c r="C859" s="14" t="s">
        <v>1711</v>
      </c>
    </row>
    <row r="860" spans="2:3" x14ac:dyDescent="0.25">
      <c r="B860" s="11" t="s">
        <v>2552</v>
      </c>
      <c r="C860" s="14" t="s">
        <v>1711</v>
      </c>
    </row>
    <row r="861" spans="2:3" x14ac:dyDescent="0.25">
      <c r="C861" s="14" t="s">
        <v>544</v>
      </c>
    </row>
    <row r="862" spans="2:3" ht="26.4" x14ac:dyDescent="0.25">
      <c r="B862" s="12" t="s">
        <v>2553</v>
      </c>
      <c r="C862" s="14" t="s">
        <v>1711</v>
      </c>
    </row>
    <row r="863" spans="2:3" x14ac:dyDescent="0.25">
      <c r="B863" s="11" t="s">
        <v>2540</v>
      </c>
      <c r="C863" s="14" t="s">
        <v>1711</v>
      </c>
    </row>
    <row r="864" spans="2:3" x14ac:dyDescent="0.25">
      <c r="B864" s="11" t="s">
        <v>2541</v>
      </c>
      <c r="C864" s="14" t="s">
        <v>1711</v>
      </c>
    </row>
    <row r="865" spans="2:3" x14ac:dyDescent="0.25">
      <c r="B865" s="11" t="s">
        <v>2542</v>
      </c>
      <c r="C865" s="14" t="s">
        <v>1711</v>
      </c>
    </row>
    <row r="866" spans="2:3" x14ac:dyDescent="0.25">
      <c r="B866" s="11" t="s">
        <v>1341</v>
      </c>
      <c r="C866" s="14" t="s">
        <v>1711</v>
      </c>
    </row>
    <row r="867" spans="2:3" x14ac:dyDescent="0.25">
      <c r="B867" s="11" t="s">
        <v>1369</v>
      </c>
      <c r="C867" s="14" t="s">
        <v>1711</v>
      </c>
    </row>
    <row r="868" spans="2:3" x14ac:dyDescent="0.25">
      <c r="B868" s="11" t="s">
        <v>1370</v>
      </c>
      <c r="C868" s="14" t="s">
        <v>1711</v>
      </c>
    </row>
    <row r="869" spans="2:3" x14ac:dyDescent="0.25">
      <c r="C869" s="14" t="s">
        <v>544</v>
      </c>
    </row>
    <row r="870" spans="2:3" x14ac:dyDescent="0.25">
      <c r="B870" s="12" t="s">
        <v>2554</v>
      </c>
      <c r="C870" s="14"/>
    </row>
    <row r="871" spans="2:3" x14ac:dyDescent="0.25">
      <c r="B871" s="11" t="s">
        <v>2758</v>
      </c>
      <c r="C871" s="14"/>
    </row>
    <row r="872" spans="2:3" x14ac:dyDescent="0.25">
      <c r="B872" s="11" t="s">
        <v>1787</v>
      </c>
      <c r="C872" s="14"/>
    </row>
    <row r="873" spans="2:3" x14ac:dyDescent="0.25">
      <c r="C873" s="14" t="s">
        <v>544</v>
      </c>
    </row>
    <row r="874" spans="2:3" x14ac:dyDescent="0.25">
      <c r="B874" s="12" t="s">
        <v>2555</v>
      </c>
      <c r="C874" s="14" t="s">
        <v>1711</v>
      </c>
    </row>
    <row r="875" spans="2:3" x14ac:dyDescent="0.25">
      <c r="B875" s="11" t="s">
        <v>750</v>
      </c>
      <c r="C875" s="14" t="e">
        <v>#N/A</v>
      </c>
    </row>
    <row r="876" spans="2:3" x14ac:dyDescent="0.25">
      <c r="B876" s="11" t="s">
        <v>1376</v>
      </c>
      <c r="C876" s="14" t="s">
        <v>1711</v>
      </c>
    </row>
    <row r="877" spans="2:3" x14ac:dyDescent="0.25">
      <c r="B877" s="11" t="s">
        <v>1110</v>
      </c>
      <c r="C877" s="14" t="s">
        <v>1711</v>
      </c>
    </row>
    <row r="878" spans="2:3" x14ac:dyDescent="0.25">
      <c r="B878" s="11" t="s">
        <v>1034</v>
      </c>
      <c r="C878" s="14" t="s">
        <v>2206</v>
      </c>
    </row>
    <row r="879" spans="2:3" x14ac:dyDescent="0.25">
      <c r="B879" s="11" t="s">
        <v>2313</v>
      </c>
      <c r="C879" s="14" t="s">
        <v>1711</v>
      </c>
    </row>
    <row r="880" spans="2:3" x14ac:dyDescent="0.25">
      <c r="B880" s="11" t="s">
        <v>1034</v>
      </c>
      <c r="C880" s="14" t="s">
        <v>2206</v>
      </c>
    </row>
    <row r="881" spans="2:3" x14ac:dyDescent="0.25">
      <c r="B881" s="11" t="s">
        <v>2556</v>
      </c>
      <c r="C881" s="14" t="s">
        <v>1802</v>
      </c>
    </row>
    <row r="882" spans="2:3" x14ac:dyDescent="0.25">
      <c r="B882" s="11" t="s">
        <v>2557</v>
      </c>
      <c r="C882" s="14" t="s">
        <v>1802</v>
      </c>
    </row>
    <row r="883" spans="2:3" x14ac:dyDescent="0.25">
      <c r="B883" s="11" t="s">
        <v>2154</v>
      </c>
      <c r="C883" s="14" t="s">
        <v>1714</v>
      </c>
    </row>
    <row r="884" spans="2:3" x14ac:dyDescent="0.25">
      <c r="B884" s="11" t="s">
        <v>2155</v>
      </c>
      <c r="C884" s="14" t="s">
        <v>1714</v>
      </c>
    </row>
    <row r="885" spans="2:3" x14ac:dyDescent="0.25">
      <c r="B885" s="11" t="s">
        <v>2156</v>
      </c>
      <c r="C885" s="14" t="s">
        <v>1714</v>
      </c>
    </row>
    <row r="886" spans="2:3" x14ac:dyDescent="0.25">
      <c r="B886" s="11" t="s">
        <v>2157</v>
      </c>
      <c r="C886" s="14" t="s">
        <v>1714</v>
      </c>
    </row>
    <row r="887" spans="2:3" x14ac:dyDescent="0.25">
      <c r="B887" s="11" t="s">
        <v>987</v>
      </c>
      <c r="C887" s="14" t="s">
        <v>1711</v>
      </c>
    </row>
    <row r="888" spans="2:3" x14ac:dyDescent="0.25">
      <c r="B888" s="11" t="s">
        <v>988</v>
      </c>
      <c r="C888" s="14" t="s">
        <v>1711</v>
      </c>
    </row>
    <row r="889" spans="2:3" x14ac:dyDescent="0.25">
      <c r="B889" s="11" t="s">
        <v>2797</v>
      </c>
      <c r="C889" s="14" t="s">
        <v>1711</v>
      </c>
    </row>
    <row r="890" spans="2:3" x14ac:dyDescent="0.25">
      <c r="B890" s="11" t="s">
        <v>1999</v>
      </c>
      <c r="C890" s="14" t="s">
        <v>1711</v>
      </c>
    </row>
    <row r="891" spans="2:3" x14ac:dyDescent="0.25">
      <c r="B891" s="11" t="s">
        <v>2786</v>
      </c>
      <c r="C891" s="14" t="s">
        <v>1711</v>
      </c>
    </row>
    <row r="892" spans="2:3" x14ac:dyDescent="0.25">
      <c r="B892" s="11" t="s">
        <v>2784</v>
      </c>
      <c r="C892" s="14" t="s">
        <v>1711</v>
      </c>
    </row>
    <row r="893" spans="2:3" x14ac:dyDescent="0.25">
      <c r="B893" s="11" t="s">
        <v>1996</v>
      </c>
      <c r="C893" s="14" t="s">
        <v>1711</v>
      </c>
    </row>
    <row r="894" spans="2:3" x14ac:dyDescent="0.25">
      <c r="B894" s="11" t="s">
        <v>1997</v>
      </c>
      <c r="C894" s="14" t="s">
        <v>1711</v>
      </c>
    </row>
    <row r="895" spans="2:3" x14ac:dyDescent="0.25">
      <c r="B895" s="11" t="s">
        <v>1998</v>
      </c>
      <c r="C895" s="14" t="s">
        <v>1711</v>
      </c>
    </row>
    <row r="896" spans="2:3" ht="26.4" x14ac:dyDescent="0.25">
      <c r="B896" s="11" t="s">
        <v>909</v>
      </c>
      <c r="C896" s="14" t="s">
        <v>1711</v>
      </c>
    </row>
    <row r="897" spans="2:3" ht="26.4" x14ac:dyDescent="0.25">
      <c r="B897" s="11" t="s">
        <v>906</v>
      </c>
      <c r="C897" s="14" t="s">
        <v>1711</v>
      </c>
    </row>
    <row r="898" spans="2:3" ht="26.4" x14ac:dyDescent="0.25">
      <c r="B898" s="11" t="s">
        <v>907</v>
      </c>
      <c r="C898" s="14" t="s">
        <v>1711</v>
      </c>
    </row>
    <row r="899" spans="2:3" x14ac:dyDescent="0.25">
      <c r="B899" s="11" t="s">
        <v>1781</v>
      </c>
      <c r="C899" s="14" t="s">
        <v>1711</v>
      </c>
    </row>
    <row r="900" spans="2:3" x14ac:dyDescent="0.25">
      <c r="B900" s="11" t="s">
        <v>908</v>
      </c>
      <c r="C900" s="14" t="s">
        <v>1711</v>
      </c>
    </row>
    <row r="901" spans="2:3" ht="26.4" x14ac:dyDescent="0.25">
      <c r="B901" s="11" t="s">
        <v>910</v>
      </c>
      <c r="C901" s="14" t="s">
        <v>1711</v>
      </c>
    </row>
    <row r="902" spans="2:3" x14ac:dyDescent="0.25">
      <c r="B902" s="11" t="s">
        <v>1523</v>
      </c>
      <c r="C902" s="14" t="s">
        <v>1711</v>
      </c>
    </row>
    <row r="903" spans="2:3" x14ac:dyDescent="0.25">
      <c r="B903" s="11" t="s">
        <v>243</v>
      </c>
      <c r="C903" s="14" t="s">
        <v>1711</v>
      </c>
    </row>
    <row r="904" spans="2:3" x14ac:dyDescent="0.25">
      <c r="B904" s="11" t="s">
        <v>2712</v>
      </c>
      <c r="C904" s="14" t="s">
        <v>1711</v>
      </c>
    </row>
    <row r="905" spans="2:3" x14ac:dyDescent="0.25">
      <c r="B905" s="11" t="s">
        <v>400</v>
      </c>
      <c r="C905" s="14" t="s">
        <v>1388</v>
      </c>
    </row>
    <row r="906" spans="2:3" x14ac:dyDescent="0.25">
      <c r="B906" s="11" t="s">
        <v>401</v>
      </c>
      <c r="C906" s="14" t="s">
        <v>1388</v>
      </c>
    </row>
    <row r="907" spans="2:3" x14ac:dyDescent="0.25">
      <c r="B907" s="11" t="s">
        <v>402</v>
      </c>
      <c r="C907" s="14" t="s">
        <v>1388</v>
      </c>
    </row>
    <row r="908" spans="2:3" x14ac:dyDescent="0.25">
      <c r="B908" s="11" t="s">
        <v>403</v>
      </c>
      <c r="C908" s="14" t="s">
        <v>1388</v>
      </c>
    </row>
    <row r="909" spans="2:3" x14ac:dyDescent="0.25">
      <c r="B909" s="11" t="s">
        <v>2425</v>
      </c>
      <c r="C909" s="14" t="e">
        <v>#N/A</v>
      </c>
    </row>
    <row r="910" spans="2:3" x14ac:dyDescent="0.25">
      <c r="B910" s="11" t="s">
        <v>2424</v>
      </c>
      <c r="C910" s="14" t="e">
        <v>#N/A</v>
      </c>
    </row>
    <row r="911" spans="2:3" x14ac:dyDescent="0.25">
      <c r="B911" s="11" t="s">
        <v>2158</v>
      </c>
      <c r="C911" s="14" t="s">
        <v>1715</v>
      </c>
    </row>
    <row r="912" spans="2:3" x14ac:dyDescent="0.25">
      <c r="B912" s="11" t="s">
        <v>1389</v>
      </c>
      <c r="C912" s="14" t="s">
        <v>2206</v>
      </c>
    </row>
    <row r="913" spans="2:3" x14ac:dyDescent="0.25">
      <c r="B913" s="11" t="s">
        <v>2159</v>
      </c>
      <c r="C913" s="14" t="s">
        <v>1715</v>
      </c>
    </row>
    <row r="914" spans="2:3" x14ac:dyDescent="0.25">
      <c r="B914" s="11" t="s">
        <v>2311</v>
      </c>
      <c r="C914" s="14" t="s">
        <v>2206</v>
      </c>
    </row>
    <row r="915" spans="2:3" x14ac:dyDescent="0.25">
      <c r="B915" s="11" t="s">
        <v>2310</v>
      </c>
      <c r="C915" s="14" t="s">
        <v>2206</v>
      </c>
    </row>
    <row r="916" spans="2:3" x14ac:dyDescent="0.25">
      <c r="C916" s="14" t="s">
        <v>544</v>
      </c>
    </row>
    <row r="917" spans="2:3" x14ac:dyDescent="0.25">
      <c r="B917" s="12" t="s">
        <v>2160</v>
      </c>
      <c r="C917" s="14" t="s">
        <v>1711</v>
      </c>
    </row>
    <row r="918" spans="2:3" x14ac:dyDescent="0.25">
      <c r="B918" s="11" t="s">
        <v>750</v>
      </c>
      <c r="C918" s="14" t="e">
        <v>#N/A</v>
      </c>
    </row>
    <row r="919" spans="2:3" x14ac:dyDescent="0.25">
      <c r="B919" s="11" t="s">
        <v>1376</v>
      </c>
      <c r="C919" s="14" t="s">
        <v>1711</v>
      </c>
    </row>
    <row r="920" spans="2:3" x14ac:dyDescent="0.25">
      <c r="B920" s="11" t="s">
        <v>1110</v>
      </c>
      <c r="C920" s="14" t="s">
        <v>1711</v>
      </c>
    </row>
    <row r="921" spans="2:3" x14ac:dyDescent="0.25">
      <c r="B921" s="11" t="s">
        <v>1034</v>
      </c>
      <c r="C921" s="14" t="s">
        <v>2206</v>
      </c>
    </row>
    <row r="922" spans="2:3" x14ac:dyDescent="0.25">
      <c r="B922" s="11" t="s">
        <v>2313</v>
      </c>
      <c r="C922" s="14" t="s">
        <v>1711</v>
      </c>
    </row>
    <row r="923" spans="2:3" x14ac:dyDescent="0.25">
      <c r="B923" s="11" t="s">
        <v>1034</v>
      </c>
      <c r="C923" s="14" t="s">
        <v>2206</v>
      </c>
    </row>
    <row r="924" spans="2:3" x14ac:dyDescent="0.25">
      <c r="B924" s="11" t="s">
        <v>2556</v>
      </c>
      <c r="C924" s="14" t="s">
        <v>1802</v>
      </c>
    </row>
    <row r="925" spans="2:3" x14ac:dyDescent="0.25">
      <c r="B925" s="11" t="s">
        <v>2557</v>
      </c>
      <c r="C925" s="14" t="s">
        <v>1802</v>
      </c>
    </row>
    <row r="926" spans="2:3" x14ac:dyDescent="0.25">
      <c r="B926" s="11" t="s">
        <v>2154</v>
      </c>
      <c r="C926" s="14" t="s">
        <v>1714</v>
      </c>
    </row>
    <row r="927" spans="2:3" x14ac:dyDescent="0.25">
      <c r="B927" s="11" t="s">
        <v>2155</v>
      </c>
      <c r="C927" s="14" t="s">
        <v>1714</v>
      </c>
    </row>
    <row r="928" spans="2:3" x14ac:dyDescent="0.25">
      <c r="B928" s="11" t="s">
        <v>2156</v>
      </c>
      <c r="C928" s="14" t="s">
        <v>1714</v>
      </c>
    </row>
    <row r="929" spans="2:3" x14ac:dyDescent="0.25">
      <c r="B929" s="11" t="s">
        <v>2157</v>
      </c>
      <c r="C929" s="14" t="s">
        <v>1714</v>
      </c>
    </row>
    <row r="930" spans="2:3" x14ac:dyDescent="0.25">
      <c r="B930" s="11" t="s">
        <v>987</v>
      </c>
      <c r="C930" s="14" t="s">
        <v>1711</v>
      </c>
    </row>
    <row r="931" spans="2:3" x14ac:dyDescent="0.25">
      <c r="B931" s="11" t="s">
        <v>988</v>
      </c>
      <c r="C931" s="14" t="s">
        <v>1711</v>
      </c>
    </row>
    <row r="932" spans="2:3" x14ac:dyDescent="0.25">
      <c r="B932" s="11" t="s">
        <v>2797</v>
      </c>
      <c r="C932" s="14" t="s">
        <v>1711</v>
      </c>
    </row>
    <row r="933" spans="2:3" x14ac:dyDescent="0.25">
      <c r="B933" s="11" t="s">
        <v>1999</v>
      </c>
      <c r="C933" s="14" t="s">
        <v>1711</v>
      </c>
    </row>
    <row r="934" spans="2:3" x14ac:dyDescent="0.25">
      <c r="B934" s="11" t="s">
        <v>2786</v>
      </c>
      <c r="C934" s="14" t="s">
        <v>1711</v>
      </c>
    </row>
    <row r="935" spans="2:3" x14ac:dyDescent="0.25">
      <c r="B935" s="11" t="s">
        <v>2784</v>
      </c>
      <c r="C935" s="14" t="s">
        <v>1711</v>
      </c>
    </row>
    <row r="936" spans="2:3" x14ac:dyDescent="0.25">
      <c r="B936" s="11" t="s">
        <v>1996</v>
      </c>
      <c r="C936" s="14" t="s">
        <v>1711</v>
      </c>
    </row>
    <row r="937" spans="2:3" x14ac:dyDescent="0.25">
      <c r="B937" s="11" t="s">
        <v>1997</v>
      </c>
      <c r="C937" s="14" t="s">
        <v>1711</v>
      </c>
    </row>
    <row r="938" spans="2:3" x14ac:dyDescent="0.25">
      <c r="B938" s="11" t="s">
        <v>1998</v>
      </c>
      <c r="C938" s="14" t="s">
        <v>1711</v>
      </c>
    </row>
    <row r="939" spans="2:3" ht="26.4" x14ac:dyDescent="0.25">
      <c r="B939" s="11" t="s">
        <v>909</v>
      </c>
      <c r="C939" s="14" t="s">
        <v>1711</v>
      </c>
    </row>
    <row r="940" spans="2:3" ht="26.4" x14ac:dyDescent="0.25">
      <c r="B940" s="11" t="s">
        <v>906</v>
      </c>
      <c r="C940" s="14" t="s">
        <v>1711</v>
      </c>
    </row>
    <row r="941" spans="2:3" ht="26.4" x14ac:dyDescent="0.25">
      <c r="B941" s="11" t="s">
        <v>907</v>
      </c>
      <c r="C941" s="14" t="s">
        <v>1711</v>
      </c>
    </row>
    <row r="942" spans="2:3" x14ac:dyDescent="0.25">
      <c r="B942" s="11" t="s">
        <v>1781</v>
      </c>
      <c r="C942" s="14" t="s">
        <v>1711</v>
      </c>
    </row>
    <row r="943" spans="2:3" x14ac:dyDescent="0.25">
      <c r="B943" s="11" t="s">
        <v>908</v>
      </c>
      <c r="C943" s="14" t="s">
        <v>1711</v>
      </c>
    </row>
    <row r="944" spans="2:3" ht="26.4" x14ac:dyDescent="0.25">
      <c r="B944" s="11" t="s">
        <v>910</v>
      </c>
      <c r="C944" s="14" t="s">
        <v>1711</v>
      </c>
    </row>
    <row r="945" spans="2:3" x14ac:dyDescent="0.25">
      <c r="B945" s="11" t="s">
        <v>1523</v>
      </c>
      <c r="C945" s="14" t="s">
        <v>1711</v>
      </c>
    </row>
    <row r="946" spans="2:3" x14ac:dyDescent="0.25">
      <c r="B946" s="11" t="s">
        <v>243</v>
      </c>
      <c r="C946" s="14" t="s">
        <v>1711</v>
      </c>
    </row>
    <row r="947" spans="2:3" x14ac:dyDescent="0.25">
      <c r="B947" s="11" t="s">
        <v>2712</v>
      </c>
      <c r="C947" s="14" t="s">
        <v>1711</v>
      </c>
    </row>
    <row r="948" spans="2:3" x14ac:dyDescent="0.25">
      <c r="B948" s="11" t="s">
        <v>400</v>
      </c>
      <c r="C948" s="14" t="s">
        <v>1388</v>
      </c>
    </row>
    <row r="949" spans="2:3" x14ac:dyDescent="0.25">
      <c r="B949" s="11" t="s">
        <v>401</v>
      </c>
      <c r="C949" s="14" t="s">
        <v>1388</v>
      </c>
    </row>
    <row r="950" spans="2:3" x14ac:dyDescent="0.25">
      <c r="B950" s="11" t="s">
        <v>402</v>
      </c>
      <c r="C950" s="14" t="s">
        <v>1388</v>
      </c>
    </row>
    <row r="951" spans="2:3" x14ac:dyDescent="0.25">
      <c r="B951" s="11" t="s">
        <v>403</v>
      </c>
      <c r="C951" s="14" t="s">
        <v>1388</v>
      </c>
    </row>
    <row r="952" spans="2:3" x14ac:dyDescent="0.25">
      <c r="B952" s="11" t="s">
        <v>1455</v>
      </c>
      <c r="C952" s="14" t="s">
        <v>1711</v>
      </c>
    </row>
    <row r="953" spans="2:3" x14ac:dyDescent="0.25">
      <c r="B953" s="11" t="s">
        <v>2425</v>
      </c>
      <c r="C953" s="14" t="e">
        <v>#N/A</v>
      </c>
    </row>
    <row r="954" spans="2:3" x14ac:dyDescent="0.25">
      <c r="B954" s="11" t="s">
        <v>2424</v>
      </c>
      <c r="C954" s="14" t="e">
        <v>#N/A</v>
      </c>
    </row>
    <row r="955" spans="2:3" x14ac:dyDescent="0.25">
      <c r="B955" s="11" t="s">
        <v>2158</v>
      </c>
      <c r="C955" s="14" t="s">
        <v>1715</v>
      </c>
    </row>
    <row r="956" spans="2:3" x14ac:dyDescent="0.25">
      <c r="B956" s="11" t="s">
        <v>1389</v>
      </c>
      <c r="C956" s="14" t="s">
        <v>2206</v>
      </c>
    </row>
    <row r="957" spans="2:3" x14ac:dyDescent="0.25">
      <c r="B957" s="11" t="s">
        <v>2159</v>
      </c>
      <c r="C957" s="14" t="s">
        <v>1715</v>
      </c>
    </row>
    <row r="958" spans="2:3" x14ac:dyDescent="0.25">
      <c r="B958" s="11" t="s">
        <v>2311</v>
      </c>
      <c r="C958" s="14" t="s">
        <v>2206</v>
      </c>
    </row>
    <row r="959" spans="2:3" x14ac:dyDescent="0.25">
      <c r="B959" s="11" t="s">
        <v>2310</v>
      </c>
      <c r="C959" s="14" t="s">
        <v>2206</v>
      </c>
    </row>
    <row r="960" spans="2:3" x14ac:dyDescent="0.25">
      <c r="C960" s="14" t="s">
        <v>544</v>
      </c>
    </row>
    <row r="961" spans="2:3" x14ac:dyDescent="0.25">
      <c r="B961" s="12" t="s">
        <v>2161</v>
      </c>
      <c r="C961" s="14" t="s">
        <v>1711</v>
      </c>
    </row>
    <row r="962" spans="2:3" x14ac:dyDescent="0.25">
      <c r="B962" s="11" t="s">
        <v>2158</v>
      </c>
      <c r="C962" s="14" t="s">
        <v>1715</v>
      </c>
    </row>
    <row r="963" spans="2:3" x14ac:dyDescent="0.25">
      <c r="B963" s="11" t="s">
        <v>1389</v>
      </c>
      <c r="C963" s="14" t="s">
        <v>2206</v>
      </c>
    </row>
    <row r="964" spans="2:3" x14ac:dyDescent="0.25">
      <c r="B964" s="11" t="s">
        <v>2159</v>
      </c>
      <c r="C964" s="14" t="s">
        <v>1715</v>
      </c>
    </row>
    <row r="965" spans="2:3" x14ac:dyDescent="0.25">
      <c r="B965" s="11" t="s">
        <v>908</v>
      </c>
      <c r="C965" s="14" t="s">
        <v>1711</v>
      </c>
    </row>
    <row r="966" spans="2:3" x14ac:dyDescent="0.25">
      <c r="B966" s="11" t="s">
        <v>1475</v>
      </c>
      <c r="C966" s="14" t="s">
        <v>1711</v>
      </c>
    </row>
    <row r="967" spans="2:3" ht="26.4" x14ac:dyDescent="0.25">
      <c r="B967" s="11" t="s">
        <v>907</v>
      </c>
      <c r="C967" s="14" t="s">
        <v>1711</v>
      </c>
    </row>
    <row r="968" spans="2:3" x14ac:dyDescent="0.25">
      <c r="B968" s="11" t="s">
        <v>1523</v>
      </c>
      <c r="C968" s="14" t="s">
        <v>1711</v>
      </c>
    </row>
    <row r="969" spans="2:3" x14ac:dyDescent="0.25">
      <c r="B969" s="11" t="s">
        <v>243</v>
      </c>
      <c r="C969" s="14" t="s">
        <v>1711</v>
      </c>
    </row>
    <row r="970" spans="2:3" x14ac:dyDescent="0.25">
      <c r="B970" s="11" t="s">
        <v>2712</v>
      </c>
      <c r="C970" s="14" t="s">
        <v>1711</v>
      </c>
    </row>
    <row r="971" spans="2:3" x14ac:dyDescent="0.25">
      <c r="C971" s="14" t="s">
        <v>544</v>
      </c>
    </row>
    <row r="972" spans="2:3" x14ac:dyDescent="0.25">
      <c r="B972" s="12" t="s">
        <v>2162</v>
      </c>
      <c r="C972" s="14" t="s">
        <v>1711</v>
      </c>
    </row>
    <row r="973" spans="2:3" x14ac:dyDescent="0.25">
      <c r="B973" s="11" t="s">
        <v>1376</v>
      </c>
      <c r="C973" s="14" t="s">
        <v>1711</v>
      </c>
    </row>
    <row r="974" spans="2:3" x14ac:dyDescent="0.25">
      <c r="B974" s="11" t="s">
        <v>1110</v>
      </c>
      <c r="C974" s="14" t="s">
        <v>1711</v>
      </c>
    </row>
    <row r="975" spans="2:3" x14ac:dyDescent="0.25">
      <c r="B975" s="11" t="s">
        <v>1034</v>
      </c>
      <c r="C975" s="14" t="s">
        <v>2206</v>
      </c>
    </row>
    <row r="976" spans="2:3" x14ac:dyDescent="0.25">
      <c r="B976" s="11" t="s">
        <v>2699</v>
      </c>
      <c r="C976" s="14">
        <v>0</v>
      </c>
    </row>
    <row r="977" spans="2:3" ht="26.4" x14ac:dyDescent="0.25">
      <c r="B977" s="11" t="s">
        <v>909</v>
      </c>
      <c r="C977" s="14" t="s">
        <v>1711</v>
      </c>
    </row>
    <row r="978" spans="2:3" ht="26.4" x14ac:dyDescent="0.25">
      <c r="B978" s="11" t="s">
        <v>906</v>
      </c>
      <c r="C978" s="14" t="s">
        <v>1711</v>
      </c>
    </row>
    <row r="979" spans="2:3" ht="26.4" x14ac:dyDescent="0.25">
      <c r="B979" s="11" t="s">
        <v>907</v>
      </c>
      <c r="C979" s="14" t="s">
        <v>1711</v>
      </c>
    </row>
    <row r="980" spans="2:3" x14ac:dyDescent="0.25">
      <c r="B980" s="11" t="s">
        <v>1781</v>
      </c>
      <c r="C980" s="14" t="s">
        <v>1711</v>
      </c>
    </row>
    <row r="981" spans="2:3" x14ac:dyDescent="0.25">
      <c r="B981" s="11" t="s">
        <v>908</v>
      </c>
      <c r="C981" s="14" t="s">
        <v>1711</v>
      </c>
    </row>
    <row r="982" spans="2:3" ht="26.4" x14ac:dyDescent="0.25">
      <c r="B982" s="11" t="s">
        <v>910</v>
      </c>
      <c r="C982" s="14" t="s">
        <v>1711</v>
      </c>
    </row>
    <row r="983" spans="2:3" x14ac:dyDescent="0.25">
      <c r="B983" s="11" t="s">
        <v>1523</v>
      </c>
      <c r="C983" s="14" t="s">
        <v>1711</v>
      </c>
    </row>
    <row r="984" spans="2:3" x14ac:dyDescent="0.25">
      <c r="B984" s="11" t="s">
        <v>13</v>
      </c>
      <c r="C984" s="14" t="s">
        <v>1711</v>
      </c>
    </row>
    <row r="985" spans="2:3" x14ac:dyDescent="0.25">
      <c r="B985" s="11" t="s">
        <v>243</v>
      </c>
      <c r="C985" s="14" t="s">
        <v>1711</v>
      </c>
    </row>
    <row r="986" spans="2:3" x14ac:dyDescent="0.25">
      <c r="B986" s="11" t="s">
        <v>2712</v>
      </c>
      <c r="C986" s="14" t="s">
        <v>1711</v>
      </c>
    </row>
    <row r="987" spans="2:3" x14ac:dyDescent="0.25">
      <c r="B987" s="11" t="s">
        <v>1999</v>
      </c>
      <c r="C987" s="14" t="s">
        <v>1711</v>
      </c>
    </row>
    <row r="988" spans="2:3" x14ac:dyDescent="0.25">
      <c r="B988" s="11" t="s">
        <v>2786</v>
      </c>
      <c r="C988" s="14" t="s">
        <v>1711</v>
      </c>
    </row>
    <row r="989" spans="2:3" x14ac:dyDescent="0.25">
      <c r="B989" s="11" t="s">
        <v>2784</v>
      </c>
      <c r="C989" s="14" t="s">
        <v>1711</v>
      </c>
    </row>
    <row r="990" spans="2:3" ht="26.4" x14ac:dyDescent="0.25">
      <c r="B990" s="11" t="s">
        <v>1481</v>
      </c>
      <c r="C990" s="14" t="s">
        <v>1711</v>
      </c>
    </row>
    <row r="991" spans="2:3" ht="26.4" x14ac:dyDescent="0.25">
      <c r="B991" s="11" t="s">
        <v>438</v>
      </c>
      <c r="C991" s="14" t="s">
        <v>1711</v>
      </c>
    </row>
    <row r="992" spans="2:3" ht="26.4" x14ac:dyDescent="0.25">
      <c r="B992" s="11" t="s">
        <v>1397</v>
      </c>
      <c r="C992" s="14" t="s">
        <v>1711</v>
      </c>
    </row>
    <row r="993" spans="2:3" ht="26.4" x14ac:dyDescent="0.25">
      <c r="B993" s="11" t="s">
        <v>2655</v>
      </c>
      <c r="C993" s="14" t="s">
        <v>1711</v>
      </c>
    </row>
    <row r="994" spans="2:3" ht="26.4" x14ac:dyDescent="0.25">
      <c r="B994" s="11" t="s">
        <v>2656</v>
      </c>
      <c r="C994" s="14" t="s">
        <v>1711</v>
      </c>
    </row>
    <row r="995" spans="2:3" ht="26.4" x14ac:dyDescent="0.25">
      <c r="B995" s="11" t="s">
        <v>2168</v>
      </c>
      <c r="C995" s="14" t="s">
        <v>1711</v>
      </c>
    </row>
    <row r="996" spans="2:3" ht="26.4" x14ac:dyDescent="0.25">
      <c r="B996" s="11" t="s">
        <v>1981</v>
      </c>
      <c r="C996" s="14" t="s">
        <v>1711</v>
      </c>
    </row>
    <row r="997" spans="2:3" ht="26.4" x14ac:dyDescent="0.25">
      <c r="B997" s="11" t="s">
        <v>1982</v>
      </c>
      <c r="C997" s="14" t="s">
        <v>1711</v>
      </c>
    </row>
    <row r="998" spans="2:3" ht="26.4" x14ac:dyDescent="0.25">
      <c r="B998" s="11" t="s">
        <v>1309</v>
      </c>
      <c r="C998" s="14" t="s">
        <v>1711</v>
      </c>
    </row>
    <row r="999" spans="2:3" ht="26.4" x14ac:dyDescent="0.25">
      <c r="B999" s="11" t="s">
        <v>214</v>
      </c>
      <c r="C999" s="14" t="s">
        <v>1711</v>
      </c>
    </row>
    <row r="1000" spans="2:3" x14ac:dyDescent="0.25">
      <c r="C1000" s="14" t="s">
        <v>544</v>
      </c>
    </row>
    <row r="1001" spans="2:3" x14ac:dyDescent="0.25">
      <c r="B1001" s="12" t="s">
        <v>2163</v>
      </c>
      <c r="C1001" s="14" t="s">
        <v>1711</v>
      </c>
    </row>
    <row r="1002" spans="2:3" x14ac:dyDescent="0.25">
      <c r="B1002" s="11" t="s">
        <v>1184</v>
      </c>
      <c r="C1002" s="14" t="s">
        <v>1711</v>
      </c>
    </row>
    <row r="1003" spans="2:3" x14ac:dyDescent="0.25">
      <c r="B1003" s="11" t="s">
        <v>1185</v>
      </c>
      <c r="C1003" s="14" t="s">
        <v>1711</v>
      </c>
    </row>
    <row r="1004" spans="2:3" x14ac:dyDescent="0.25">
      <c r="B1004" s="11" t="s">
        <v>1186</v>
      </c>
      <c r="C1004" s="14" t="s">
        <v>1711</v>
      </c>
    </row>
    <row r="1005" spans="2:3" x14ac:dyDescent="0.25">
      <c r="B1005" s="11" t="s">
        <v>1187</v>
      </c>
      <c r="C1005" s="14" t="s">
        <v>1711</v>
      </c>
    </row>
    <row r="1006" spans="2:3" x14ac:dyDescent="0.25">
      <c r="B1006" s="11" t="s">
        <v>203</v>
      </c>
      <c r="C1006" s="14" t="s">
        <v>1711</v>
      </c>
    </row>
    <row r="1007" spans="2:3" x14ac:dyDescent="0.25">
      <c r="B1007" s="11" t="s">
        <v>1188</v>
      </c>
      <c r="C1007" s="14" t="s">
        <v>1711</v>
      </c>
    </row>
    <row r="1008" spans="2:3" x14ac:dyDescent="0.25">
      <c r="B1008" s="11" t="s">
        <v>2363</v>
      </c>
      <c r="C1008" s="14" t="s">
        <v>1711</v>
      </c>
    </row>
    <row r="1009" spans="2:3" x14ac:dyDescent="0.25">
      <c r="B1009" s="11" t="s">
        <v>2364</v>
      </c>
      <c r="C1009" s="14" t="s">
        <v>1711</v>
      </c>
    </row>
    <row r="1010" spans="2:3" x14ac:dyDescent="0.25">
      <c r="B1010" s="11" t="s">
        <v>1374</v>
      </c>
      <c r="C1010" s="14" t="s">
        <v>1711</v>
      </c>
    </row>
    <row r="1011" spans="2:3" x14ac:dyDescent="0.25">
      <c r="B1011" s="11" t="s">
        <v>1375</v>
      </c>
      <c r="C1011" s="14" t="s">
        <v>1711</v>
      </c>
    </row>
    <row r="1012" spans="2:3" x14ac:dyDescent="0.25">
      <c r="B1012" s="11" t="s">
        <v>1225</v>
      </c>
      <c r="C1012" s="14" t="s">
        <v>1711</v>
      </c>
    </row>
    <row r="1013" spans="2:3" x14ac:dyDescent="0.25">
      <c r="B1013" s="11" t="s">
        <v>1226</v>
      </c>
      <c r="C1013" s="14" t="s">
        <v>1711</v>
      </c>
    </row>
    <row r="1014" spans="2:3" x14ac:dyDescent="0.25">
      <c r="B1014" s="11" t="s">
        <v>1227</v>
      </c>
      <c r="C1014" s="14" t="s">
        <v>1711</v>
      </c>
    </row>
    <row r="1015" spans="2:3" x14ac:dyDescent="0.25">
      <c r="B1015" s="11" t="s">
        <v>1228</v>
      </c>
      <c r="C1015" s="14" t="s">
        <v>1711</v>
      </c>
    </row>
    <row r="1016" spans="2:3" x14ac:dyDescent="0.25">
      <c r="B1016" s="11" t="s">
        <v>1229</v>
      </c>
      <c r="C1016" s="14" t="s">
        <v>1711</v>
      </c>
    </row>
    <row r="1017" spans="2:3" x14ac:dyDescent="0.25">
      <c r="B1017" s="11" t="s">
        <v>1376</v>
      </c>
      <c r="C1017" s="14" t="s">
        <v>1711</v>
      </c>
    </row>
    <row r="1018" spans="2:3" x14ac:dyDescent="0.25">
      <c r="B1018" s="11" t="s">
        <v>1110</v>
      </c>
      <c r="C1018" s="14" t="s">
        <v>1711</v>
      </c>
    </row>
    <row r="1019" spans="2:3" x14ac:dyDescent="0.25">
      <c r="B1019" s="11" t="s">
        <v>1034</v>
      </c>
      <c r="C1019" s="14" t="s">
        <v>2206</v>
      </c>
    </row>
    <row r="1020" spans="2:3" x14ac:dyDescent="0.25">
      <c r="B1020" s="11" t="s">
        <v>2313</v>
      </c>
      <c r="C1020" s="14" t="s">
        <v>1711</v>
      </c>
    </row>
    <row r="1021" spans="2:3" x14ac:dyDescent="0.25">
      <c r="B1021" s="11" t="s">
        <v>1034</v>
      </c>
      <c r="C1021" s="14" t="s">
        <v>2206</v>
      </c>
    </row>
    <row r="1022" spans="2:3" x14ac:dyDescent="0.25">
      <c r="B1022" s="11" t="s">
        <v>988</v>
      </c>
      <c r="C1022" s="14" t="s">
        <v>1711</v>
      </c>
    </row>
    <row r="1023" spans="2:3" x14ac:dyDescent="0.25">
      <c r="B1023" s="11" t="s">
        <v>2797</v>
      </c>
      <c r="C1023" s="14" t="s">
        <v>1711</v>
      </c>
    </row>
    <row r="1024" spans="2:3" ht="26.4" x14ac:dyDescent="0.25">
      <c r="B1024" s="11" t="s">
        <v>909</v>
      </c>
      <c r="C1024" s="14" t="s">
        <v>1711</v>
      </c>
    </row>
    <row r="1025" spans="2:3" ht="26.4" x14ac:dyDescent="0.25">
      <c r="B1025" s="11" t="s">
        <v>906</v>
      </c>
      <c r="C1025" s="14" t="s">
        <v>1711</v>
      </c>
    </row>
    <row r="1026" spans="2:3" ht="26.4" x14ac:dyDescent="0.25">
      <c r="B1026" s="11" t="s">
        <v>907</v>
      </c>
      <c r="C1026" s="14" t="s">
        <v>1711</v>
      </c>
    </row>
    <row r="1027" spans="2:3" x14ac:dyDescent="0.25">
      <c r="B1027" s="11" t="s">
        <v>1781</v>
      </c>
      <c r="C1027" s="14" t="s">
        <v>1711</v>
      </c>
    </row>
    <row r="1028" spans="2:3" x14ac:dyDescent="0.25">
      <c r="B1028" s="11" t="s">
        <v>908</v>
      </c>
      <c r="C1028" s="14" t="s">
        <v>1711</v>
      </c>
    </row>
    <row r="1029" spans="2:3" ht="26.4" x14ac:dyDescent="0.25">
      <c r="B1029" s="11" t="s">
        <v>910</v>
      </c>
      <c r="C1029" s="14" t="s">
        <v>1711</v>
      </c>
    </row>
    <row r="1030" spans="2:3" x14ac:dyDescent="0.25">
      <c r="B1030" s="11" t="s">
        <v>1523</v>
      </c>
      <c r="C1030" s="14" t="s">
        <v>1711</v>
      </c>
    </row>
    <row r="1031" spans="2:3" x14ac:dyDescent="0.25">
      <c r="B1031" s="11" t="s">
        <v>2712</v>
      </c>
      <c r="C1031" s="14" t="s">
        <v>1711</v>
      </c>
    </row>
    <row r="1032" spans="2:3" x14ac:dyDescent="0.25">
      <c r="C1032" s="14" t="s">
        <v>544</v>
      </c>
    </row>
    <row r="1033" spans="2:3" x14ac:dyDescent="0.25">
      <c r="B1033" s="12" t="s">
        <v>2164</v>
      </c>
      <c r="C1033" s="15" t="s">
        <v>2374</v>
      </c>
    </row>
    <row r="1034" spans="2:3" x14ac:dyDescent="0.25">
      <c r="B1034" s="17" t="s">
        <v>2171</v>
      </c>
      <c r="C1034" s="24"/>
    </row>
    <row r="1035" spans="2:3" x14ac:dyDescent="0.25">
      <c r="B1035" s="11" t="s">
        <v>2523</v>
      </c>
      <c r="C1035" s="14"/>
    </row>
    <row r="1036" spans="2:3" x14ac:dyDescent="0.25">
      <c r="B1036" s="11" t="s">
        <v>1120</v>
      </c>
      <c r="C1036" s="14" t="s">
        <v>1711</v>
      </c>
    </row>
    <row r="1037" spans="2:3" x14ac:dyDescent="0.25">
      <c r="B1037" s="11" t="s">
        <v>1121</v>
      </c>
      <c r="C1037" s="14"/>
    </row>
    <row r="1038" spans="2:3" x14ac:dyDescent="0.25">
      <c r="B1038" s="11" t="s">
        <v>1123</v>
      </c>
      <c r="C1038" s="14"/>
    </row>
    <row r="1039" spans="2:3" x14ac:dyDescent="0.25">
      <c r="B1039" s="11" t="s">
        <v>1122</v>
      </c>
      <c r="C1039" s="14"/>
    </row>
    <row r="1040" spans="2:3" x14ac:dyDescent="0.25">
      <c r="B1040" s="11" t="s">
        <v>1124</v>
      </c>
      <c r="C1040" s="14"/>
    </row>
    <row r="1041" spans="2:3" x14ac:dyDescent="0.25">
      <c r="B1041" s="11" t="s">
        <v>1125</v>
      </c>
      <c r="C1041" s="14"/>
    </row>
    <row r="1042" spans="2:3" x14ac:dyDescent="0.25">
      <c r="B1042" s="11" t="s">
        <v>1126</v>
      </c>
      <c r="C1042" s="14"/>
    </row>
    <row r="1043" spans="2:3" x14ac:dyDescent="0.25">
      <c r="B1043" s="11" t="s">
        <v>2715</v>
      </c>
      <c r="C1043" s="14"/>
    </row>
    <row r="1044" spans="2:3" x14ac:dyDescent="0.25">
      <c r="B1044" s="11" t="s">
        <v>2524</v>
      </c>
      <c r="C1044" s="14"/>
    </row>
    <row r="1045" spans="2:3" x14ac:dyDescent="0.25">
      <c r="B1045" s="11" t="s">
        <v>628</v>
      </c>
      <c r="C1045" s="14"/>
    </row>
    <row r="1046" spans="2:3" x14ac:dyDescent="0.25">
      <c r="B1046" s="11" t="s">
        <v>629</v>
      </c>
      <c r="C1046" s="14"/>
    </row>
    <row r="1047" spans="2:3" x14ac:dyDescent="0.25">
      <c r="B1047" s="11" t="s">
        <v>630</v>
      </c>
      <c r="C1047" s="14"/>
    </row>
    <row r="1048" spans="2:3" x14ac:dyDescent="0.25">
      <c r="B1048" s="11" t="s">
        <v>631</v>
      </c>
      <c r="C1048" s="14"/>
    </row>
    <row r="1049" spans="2:3" x14ac:dyDescent="0.25">
      <c r="B1049" s="11" t="s">
        <v>632</v>
      </c>
      <c r="C1049" s="14"/>
    </row>
    <row r="1050" spans="2:3" x14ac:dyDescent="0.25">
      <c r="B1050" s="11" t="s">
        <v>636</v>
      </c>
      <c r="C1050" s="14"/>
    </row>
    <row r="1051" spans="2:3" x14ac:dyDescent="0.25">
      <c r="B1051" s="11" t="s">
        <v>637</v>
      </c>
      <c r="C1051" s="14"/>
    </row>
    <row r="1052" spans="2:3" x14ac:dyDescent="0.25">
      <c r="B1052" s="11" t="s">
        <v>1112</v>
      </c>
      <c r="C1052" s="14"/>
    </row>
    <row r="1053" spans="2:3" x14ac:dyDescent="0.25">
      <c r="B1053" s="11" t="s">
        <v>1113</v>
      </c>
      <c r="C1053" s="14"/>
    </row>
    <row r="1054" spans="2:3" x14ac:dyDescent="0.25">
      <c r="B1054" s="11" t="s">
        <v>1114</v>
      </c>
      <c r="C1054" s="14"/>
    </row>
    <row r="1055" spans="2:3" x14ac:dyDescent="0.25">
      <c r="B1055" s="11" t="s">
        <v>633</v>
      </c>
      <c r="C1055" s="14"/>
    </row>
    <row r="1056" spans="2:3" x14ac:dyDescent="0.25">
      <c r="B1056" s="11" t="s">
        <v>634</v>
      </c>
      <c r="C1056" s="14"/>
    </row>
    <row r="1057" spans="2:3" x14ac:dyDescent="0.25">
      <c r="B1057" s="11" t="s">
        <v>635</v>
      </c>
      <c r="C1057" s="14"/>
    </row>
    <row r="1058" spans="2:3" x14ac:dyDescent="0.25">
      <c r="B1058" s="11" t="s">
        <v>1115</v>
      </c>
      <c r="C1058" s="14"/>
    </row>
    <row r="1059" spans="2:3" x14ac:dyDescent="0.25">
      <c r="B1059" s="11" t="s">
        <v>1116</v>
      </c>
      <c r="C1059" s="14"/>
    </row>
    <row r="1060" spans="2:3" x14ac:dyDescent="0.25">
      <c r="B1060" s="11" t="s">
        <v>1117</v>
      </c>
      <c r="C1060" s="14"/>
    </row>
    <row r="1061" spans="2:3" x14ac:dyDescent="0.25">
      <c r="B1061" s="11" t="s">
        <v>1118</v>
      </c>
      <c r="C1061" s="14"/>
    </row>
    <row r="1062" spans="2:3" x14ac:dyDescent="0.25">
      <c r="B1062" s="11" t="s">
        <v>1119</v>
      </c>
      <c r="C1062" s="14"/>
    </row>
    <row r="1063" spans="2:3" x14ac:dyDescent="0.25">
      <c r="B1063" s="11" t="s">
        <v>2716</v>
      </c>
      <c r="C1063" s="14"/>
    </row>
    <row r="1064" spans="2:3" x14ac:dyDescent="0.25">
      <c r="B1064" s="11" t="s">
        <v>2717</v>
      </c>
      <c r="C1064" s="14"/>
    </row>
    <row r="1065" spans="2:3" x14ac:dyDescent="0.25">
      <c r="C1065" s="14" t="s">
        <v>544</v>
      </c>
    </row>
    <row r="1066" spans="2:3" x14ac:dyDescent="0.25">
      <c r="B1066" s="12" t="s">
        <v>2165</v>
      </c>
      <c r="C1066" s="14" t="s">
        <v>1711</v>
      </c>
    </row>
    <row r="1067" spans="2:3" x14ac:dyDescent="0.25">
      <c r="B1067" s="11" t="s">
        <v>911</v>
      </c>
      <c r="C1067" s="14" t="s">
        <v>1711</v>
      </c>
    </row>
    <row r="1068" spans="2:3" x14ac:dyDescent="0.25">
      <c r="B1068" s="11" t="s">
        <v>245</v>
      </c>
      <c r="C1068" s="14" t="s">
        <v>1711</v>
      </c>
    </row>
    <row r="1069" spans="2:3" x14ac:dyDescent="0.25">
      <c r="B1069" s="11" t="s">
        <v>8</v>
      </c>
      <c r="C1069" s="14" t="s">
        <v>1711</v>
      </c>
    </row>
    <row r="1070" spans="2:3" x14ac:dyDescent="0.25">
      <c r="B1070" s="11" t="s">
        <v>285</v>
      </c>
      <c r="C1070" s="14" t="s">
        <v>1715</v>
      </c>
    </row>
    <row r="1071" spans="2:3" x14ac:dyDescent="0.25">
      <c r="C1071" s="14" t="s">
        <v>544</v>
      </c>
    </row>
    <row r="1072" spans="2:3" x14ac:dyDescent="0.25">
      <c r="B1072" s="12" t="s">
        <v>912</v>
      </c>
      <c r="C1072" s="14" t="s">
        <v>1711</v>
      </c>
    </row>
    <row r="1073" spans="2:3" ht="26.4" x14ac:dyDescent="0.25">
      <c r="B1073" s="11" t="s">
        <v>242</v>
      </c>
      <c r="C1073" s="14" t="s">
        <v>1711</v>
      </c>
    </row>
    <row r="1074" spans="2:3" ht="26.4" x14ac:dyDescent="0.25">
      <c r="B1074" s="11" t="s">
        <v>1137</v>
      </c>
      <c r="C1074" s="14" t="s">
        <v>1711</v>
      </c>
    </row>
    <row r="1075" spans="2:3" ht="26.4" x14ac:dyDescent="0.25">
      <c r="B1075" s="11" t="s">
        <v>1135</v>
      </c>
      <c r="C1075" s="14" t="s">
        <v>1711</v>
      </c>
    </row>
    <row r="1076" spans="2:3" ht="26.4" x14ac:dyDescent="0.25">
      <c r="B1076" s="11" t="s">
        <v>452</v>
      </c>
      <c r="C1076" s="14" t="s">
        <v>1711</v>
      </c>
    </row>
    <row r="1077" spans="2:3" ht="26.4" x14ac:dyDescent="0.25">
      <c r="B1077" s="11" t="s">
        <v>1527</v>
      </c>
      <c r="C1077" s="14" t="s">
        <v>1711</v>
      </c>
    </row>
    <row r="1078" spans="2:3" ht="26.4" x14ac:dyDescent="0.25">
      <c r="B1078" s="11" t="s">
        <v>1456</v>
      </c>
      <c r="C1078" s="14" t="s">
        <v>1711</v>
      </c>
    </row>
    <row r="1079" spans="2:3" x14ac:dyDescent="0.25">
      <c r="C1079" s="14" t="s">
        <v>544</v>
      </c>
    </row>
    <row r="1080" spans="2:3" x14ac:dyDescent="0.25">
      <c r="B1080" s="12" t="s">
        <v>913</v>
      </c>
      <c r="C1080" s="14" t="s">
        <v>1711</v>
      </c>
    </row>
    <row r="1081" spans="2:3" x14ac:dyDescent="0.25">
      <c r="B1081" s="11" t="s">
        <v>2425</v>
      </c>
      <c r="C1081" s="14" t="e">
        <v>#N/A</v>
      </c>
    </row>
    <row r="1082" spans="2:3" x14ac:dyDescent="0.25">
      <c r="B1082" s="11" t="s">
        <v>2424</v>
      </c>
      <c r="C1082" s="14" t="e">
        <v>#N/A</v>
      </c>
    </row>
    <row r="1083" spans="2:3" x14ac:dyDescent="0.25">
      <c r="B1083" s="11" t="s">
        <v>2158</v>
      </c>
      <c r="C1083" s="14" t="s">
        <v>1715</v>
      </c>
    </row>
    <row r="1084" spans="2:3" x14ac:dyDescent="0.25">
      <c r="B1084" s="11" t="s">
        <v>1389</v>
      </c>
      <c r="C1084" s="14" t="s">
        <v>2206</v>
      </c>
    </row>
    <row r="1085" spans="2:3" x14ac:dyDescent="0.25">
      <c r="B1085" s="11" t="s">
        <v>2159</v>
      </c>
      <c r="C1085" s="14" t="s">
        <v>1715</v>
      </c>
    </row>
    <row r="1086" spans="2:3" x14ac:dyDescent="0.25">
      <c r="B1086" s="11" t="s">
        <v>2311</v>
      </c>
      <c r="C1086" s="14" t="s">
        <v>2206</v>
      </c>
    </row>
    <row r="1087" spans="2:3" x14ac:dyDescent="0.25">
      <c r="B1087" s="11" t="s">
        <v>2310</v>
      </c>
      <c r="C1087" s="14" t="s">
        <v>2206</v>
      </c>
    </row>
    <row r="1088" spans="2:3" ht="26.4" x14ac:dyDescent="0.25">
      <c r="B1088" s="11" t="s">
        <v>909</v>
      </c>
      <c r="C1088" s="14" t="s">
        <v>1711</v>
      </c>
    </row>
    <row r="1089" spans="2:3" ht="26.4" x14ac:dyDescent="0.25">
      <c r="B1089" s="11" t="s">
        <v>906</v>
      </c>
      <c r="C1089" s="14" t="s">
        <v>1711</v>
      </c>
    </row>
    <row r="1090" spans="2:3" ht="26.4" x14ac:dyDescent="0.25">
      <c r="B1090" s="11" t="s">
        <v>907</v>
      </c>
      <c r="C1090" s="14" t="s">
        <v>1711</v>
      </c>
    </row>
    <row r="1091" spans="2:3" x14ac:dyDescent="0.25">
      <c r="B1091" s="11" t="s">
        <v>1781</v>
      </c>
      <c r="C1091" s="14" t="s">
        <v>1711</v>
      </c>
    </row>
    <row r="1092" spans="2:3" x14ac:dyDescent="0.25">
      <c r="B1092" s="11" t="s">
        <v>908</v>
      </c>
      <c r="C1092" s="14" t="s">
        <v>1711</v>
      </c>
    </row>
    <row r="1093" spans="2:3" ht="26.4" x14ac:dyDescent="0.25">
      <c r="B1093" s="11" t="s">
        <v>910</v>
      </c>
      <c r="C1093" s="14" t="s">
        <v>1711</v>
      </c>
    </row>
    <row r="1094" spans="2:3" x14ac:dyDescent="0.25">
      <c r="B1094" s="11" t="s">
        <v>663</v>
      </c>
      <c r="C1094" s="14" t="s">
        <v>1711</v>
      </c>
    </row>
    <row r="1095" spans="2:3" x14ac:dyDescent="0.25">
      <c r="B1095" s="11" t="s">
        <v>2712</v>
      </c>
      <c r="C1095" s="14" t="s">
        <v>1711</v>
      </c>
    </row>
    <row r="1096" spans="2:3" x14ac:dyDescent="0.25">
      <c r="C1096" s="14" t="s">
        <v>544</v>
      </c>
    </row>
    <row r="1097" spans="2:3" x14ac:dyDescent="0.25">
      <c r="B1097" s="12" t="s">
        <v>664</v>
      </c>
      <c r="C1097" s="14" t="s">
        <v>1711</v>
      </c>
    </row>
    <row r="1098" spans="2:3" x14ac:dyDescent="0.25">
      <c r="B1098" s="11" t="s">
        <v>1376</v>
      </c>
      <c r="C1098" s="14" t="s">
        <v>1711</v>
      </c>
    </row>
    <row r="1099" spans="2:3" x14ac:dyDescent="0.25">
      <c r="B1099" s="11" t="s">
        <v>1110</v>
      </c>
      <c r="C1099" s="14" t="s">
        <v>1711</v>
      </c>
    </row>
    <row r="1100" spans="2:3" x14ac:dyDescent="0.25">
      <c r="B1100" s="11" t="s">
        <v>1034</v>
      </c>
      <c r="C1100" s="14" t="s">
        <v>2206</v>
      </c>
    </row>
    <row r="1101" spans="2:3" x14ac:dyDescent="0.25">
      <c r="B1101" s="11" t="s">
        <v>2313</v>
      </c>
      <c r="C1101" s="14" t="s">
        <v>1711</v>
      </c>
    </row>
    <row r="1102" spans="2:3" x14ac:dyDescent="0.25">
      <c r="B1102" s="11" t="s">
        <v>1034</v>
      </c>
      <c r="C1102" s="14" t="s">
        <v>2206</v>
      </c>
    </row>
    <row r="1103" spans="2:3" x14ac:dyDescent="0.25">
      <c r="B1103" s="11" t="s">
        <v>1999</v>
      </c>
      <c r="C1103" s="14" t="s">
        <v>1711</v>
      </c>
    </row>
    <row r="1104" spans="2:3" x14ac:dyDescent="0.25">
      <c r="B1104" s="11" t="s">
        <v>2786</v>
      </c>
      <c r="C1104" s="14" t="s">
        <v>1711</v>
      </c>
    </row>
    <row r="1105" spans="2:3" x14ac:dyDescent="0.25">
      <c r="B1105" s="11" t="s">
        <v>2784</v>
      </c>
      <c r="C1105" s="14" t="s">
        <v>1711</v>
      </c>
    </row>
    <row r="1106" spans="2:3" x14ac:dyDescent="0.25">
      <c r="B1106" s="11" t="s">
        <v>1996</v>
      </c>
      <c r="C1106" s="14" t="s">
        <v>1711</v>
      </c>
    </row>
    <row r="1107" spans="2:3" x14ac:dyDescent="0.25">
      <c r="B1107" s="11" t="s">
        <v>1997</v>
      </c>
      <c r="C1107" s="14" t="s">
        <v>1711</v>
      </c>
    </row>
    <row r="1108" spans="2:3" x14ac:dyDescent="0.25">
      <c r="B1108" s="11" t="s">
        <v>1998</v>
      </c>
      <c r="C1108" s="14" t="s">
        <v>1711</v>
      </c>
    </row>
    <row r="1109" spans="2:3" ht="26.4" x14ac:dyDescent="0.25">
      <c r="B1109" s="11" t="s">
        <v>909</v>
      </c>
      <c r="C1109" s="14" t="s">
        <v>1711</v>
      </c>
    </row>
    <row r="1110" spans="2:3" ht="26.4" x14ac:dyDescent="0.25">
      <c r="B1110" s="11" t="s">
        <v>906</v>
      </c>
      <c r="C1110" s="14" t="s">
        <v>1711</v>
      </c>
    </row>
    <row r="1111" spans="2:3" ht="26.4" x14ac:dyDescent="0.25">
      <c r="B1111" s="11" t="s">
        <v>907</v>
      </c>
      <c r="C1111" s="14" t="s">
        <v>1711</v>
      </c>
    </row>
    <row r="1112" spans="2:3" x14ac:dyDescent="0.25">
      <c r="B1112" s="11" t="s">
        <v>1781</v>
      </c>
      <c r="C1112" s="14" t="s">
        <v>1711</v>
      </c>
    </row>
    <row r="1113" spans="2:3" x14ac:dyDescent="0.25">
      <c r="B1113" s="11" t="s">
        <v>908</v>
      </c>
      <c r="C1113" s="14" t="s">
        <v>1711</v>
      </c>
    </row>
    <row r="1114" spans="2:3" ht="26.4" x14ac:dyDescent="0.25">
      <c r="B1114" s="11" t="s">
        <v>910</v>
      </c>
      <c r="C1114" s="14" t="s">
        <v>1711</v>
      </c>
    </row>
    <row r="1115" spans="2:3" x14ac:dyDescent="0.25">
      <c r="B1115" s="11" t="s">
        <v>1523</v>
      </c>
      <c r="C1115" s="14" t="s">
        <v>1711</v>
      </c>
    </row>
    <row r="1116" spans="2:3" x14ac:dyDescent="0.25">
      <c r="B1116" s="11" t="s">
        <v>13</v>
      </c>
      <c r="C1116" s="14" t="s">
        <v>1711</v>
      </c>
    </row>
    <row r="1117" spans="2:3" x14ac:dyDescent="0.25">
      <c r="B1117" s="11" t="s">
        <v>243</v>
      </c>
      <c r="C1117" s="14" t="s">
        <v>1711</v>
      </c>
    </row>
    <row r="1118" spans="2:3" x14ac:dyDescent="0.25">
      <c r="B1118" s="11" t="s">
        <v>2712</v>
      </c>
      <c r="C1118" s="14" t="s">
        <v>1711</v>
      </c>
    </row>
    <row r="1119" spans="2:3" x14ac:dyDescent="0.25">
      <c r="C1119" s="14" t="s">
        <v>544</v>
      </c>
    </row>
    <row r="1120" spans="2:3" x14ac:dyDescent="0.25">
      <c r="B1120" s="12" t="s">
        <v>665</v>
      </c>
      <c r="C1120" s="14" t="s">
        <v>1711</v>
      </c>
    </row>
    <row r="1121" spans="2:3" ht="26.4" x14ac:dyDescent="0.25">
      <c r="B1121" s="11" t="s">
        <v>918</v>
      </c>
      <c r="C1121" s="14" t="s">
        <v>1711</v>
      </c>
    </row>
    <row r="1122" spans="2:3" ht="26.4" x14ac:dyDescent="0.25">
      <c r="B1122" s="11" t="s">
        <v>919</v>
      </c>
      <c r="C1122" s="14" t="s">
        <v>1711</v>
      </c>
    </row>
    <row r="1123" spans="2:3" ht="26.4" x14ac:dyDescent="0.25">
      <c r="B1123" s="11" t="s">
        <v>2436</v>
      </c>
      <c r="C1123" s="14" t="s">
        <v>1711</v>
      </c>
    </row>
    <row r="1124" spans="2:3" x14ac:dyDescent="0.25">
      <c r="C1124" s="14" t="s">
        <v>544</v>
      </c>
    </row>
    <row r="1125" spans="2:3" x14ac:dyDescent="0.25">
      <c r="B1125" s="12" t="s">
        <v>666</v>
      </c>
      <c r="C1125" s="14" t="s">
        <v>1711</v>
      </c>
    </row>
    <row r="1126" spans="2:3" x14ac:dyDescent="0.25">
      <c r="B1126" s="11" t="s">
        <v>904</v>
      </c>
      <c r="C1126" s="14" t="s">
        <v>1711</v>
      </c>
    </row>
    <row r="1127" spans="2:3" x14ac:dyDescent="0.25">
      <c r="B1127" s="2" t="s">
        <v>1473</v>
      </c>
      <c r="C1127" s="14" t="s">
        <v>1711</v>
      </c>
    </row>
    <row r="1128" spans="2:3" x14ac:dyDescent="0.25">
      <c r="B1128" s="11" t="s">
        <v>280</v>
      </c>
      <c r="C1128" s="14" t="s">
        <v>1715</v>
      </c>
    </row>
    <row r="1129" spans="2:3" x14ac:dyDescent="0.25">
      <c r="B1129" s="11" t="s">
        <v>244</v>
      </c>
      <c r="C1129" s="14" t="s">
        <v>1711</v>
      </c>
    </row>
    <row r="1130" spans="2:3" x14ac:dyDescent="0.25">
      <c r="C1130" s="14" t="s">
        <v>544</v>
      </c>
    </row>
    <row r="1131" spans="2:3" x14ac:dyDescent="0.25">
      <c r="B1131" s="12" t="s">
        <v>667</v>
      </c>
      <c r="C1131" s="14" t="s">
        <v>1711</v>
      </c>
    </row>
    <row r="1132" spans="2:3" x14ac:dyDescent="0.25">
      <c r="B1132" s="11" t="s">
        <v>2540</v>
      </c>
      <c r="C1132" s="14" t="s">
        <v>1711</v>
      </c>
    </row>
    <row r="1133" spans="2:3" x14ac:dyDescent="0.25">
      <c r="B1133" s="11" t="s">
        <v>2541</v>
      </c>
      <c r="C1133" s="14" t="s">
        <v>1711</v>
      </c>
    </row>
    <row r="1134" spans="2:3" x14ac:dyDescent="0.25">
      <c r="B1134" s="11" t="s">
        <v>2542</v>
      </c>
      <c r="C1134" s="14" t="s">
        <v>1711</v>
      </c>
    </row>
    <row r="1135" spans="2:3" x14ac:dyDescent="0.25">
      <c r="B1135" s="11" t="s">
        <v>1341</v>
      </c>
      <c r="C1135" s="14" t="s">
        <v>1711</v>
      </c>
    </row>
    <row r="1136" spans="2:3" x14ac:dyDescent="0.25">
      <c r="B1136" s="11" t="s">
        <v>1369</v>
      </c>
      <c r="C1136" s="14" t="s">
        <v>1711</v>
      </c>
    </row>
    <row r="1137" spans="2:3" x14ac:dyDescent="0.25">
      <c r="B1137" s="11" t="s">
        <v>1370</v>
      </c>
      <c r="C1137" s="14" t="s">
        <v>1711</v>
      </c>
    </row>
    <row r="1138" spans="2:3" x14ac:dyDescent="0.25">
      <c r="B1138" s="11" t="s">
        <v>2538</v>
      </c>
      <c r="C1138" s="14" t="s">
        <v>1711</v>
      </c>
    </row>
    <row r="1139" spans="2:3" x14ac:dyDescent="0.25">
      <c r="B1139" s="11" t="s">
        <v>2026</v>
      </c>
      <c r="C1139" s="14" t="s">
        <v>1711</v>
      </c>
    </row>
    <row r="1140" spans="2:3" x14ac:dyDescent="0.25">
      <c r="B1140" s="11" t="s">
        <v>479</v>
      </c>
      <c r="C1140" s="14" t="s">
        <v>1711</v>
      </c>
    </row>
    <row r="1141" spans="2:3" x14ac:dyDescent="0.25">
      <c r="B1141" s="11" t="s">
        <v>2539</v>
      </c>
      <c r="C1141" s="14" t="s">
        <v>1711</v>
      </c>
    </row>
    <row r="1142" spans="2:3" ht="26.4" x14ac:dyDescent="0.25">
      <c r="B1142" s="11" t="s">
        <v>909</v>
      </c>
      <c r="C1142" s="14" t="s">
        <v>1711</v>
      </c>
    </row>
    <row r="1143" spans="2:3" ht="26.4" x14ac:dyDescent="0.25">
      <c r="B1143" s="11" t="s">
        <v>906</v>
      </c>
      <c r="C1143" s="14" t="s">
        <v>1711</v>
      </c>
    </row>
    <row r="1144" spans="2:3" ht="26.4" x14ac:dyDescent="0.25">
      <c r="B1144" s="11" t="s">
        <v>907</v>
      </c>
      <c r="C1144" s="14" t="s">
        <v>1711</v>
      </c>
    </row>
    <row r="1145" spans="2:3" x14ac:dyDescent="0.25">
      <c r="B1145" s="11" t="s">
        <v>1781</v>
      </c>
      <c r="C1145" s="14" t="s">
        <v>1711</v>
      </c>
    </row>
    <row r="1146" spans="2:3" x14ac:dyDescent="0.25">
      <c r="B1146" s="11" t="s">
        <v>908</v>
      </c>
      <c r="C1146" s="14" t="s">
        <v>1711</v>
      </c>
    </row>
    <row r="1147" spans="2:3" ht="26.4" x14ac:dyDescent="0.25">
      <c r="B1147" s="11" t="s">
        <v>910</v>
      </c>
      <c r="C1147" s="14" t="s">
        <v>1711</v>
      </c>
    </row>
    <row r="1148" spans="2:3" x14ac:dyDescent="0.25">
      <c r="B1148" s="11" t="s">
        <v>1523</v>
      </c>
      <c r="C1148" s="14" t="s">
        <v>1711</v>
      </c>
    </row>
    <row r="1149" spans="2:3" x14ac:dyDescent="0.25">
      <c r="B1149" s="11" t="s">
        <v>243</v>
      </c>
      <c r="C1149" s="14" t="s">
        <v>1711</v>
      </c>
    </row>
    <row r="1150" spans="2:3" x14ac:dyDescent="0.25">
      <c r="B1150" s="11" t="s">
        <v>2712</v>
      </c>
      <c r="C1150" s="14" t="s">
        <v>1711</v>
      </c>
    </row>
    <row r="1151" spans="2:3" x14ac:dyDescent="0.25">
      <c r="C1151" s="14" t="s">
        <v>544</v>
      </c>
    </row>
    <row r="1152" spans="2:3" x14ac:dyDescent="0.25">
      <c r="B1152" s="12" t="s">
        <v>480</v>
      </c>
      <c r="C1152" s="14" t="s">
        <v>1711</v>
      </c>
    </row>
    <row r="1153" spans="2:3" x14ac:dyDescent="0.25">
      <c r="B1153" s="11" t="s">
        <v>1236</v>
      </c>
      <c r="C1153" s="14" t="s">
        <v>1711</v>
      </c>
    </row>
    <row r="1154" spans="2:3" x14ac:dyDescent="0.25">
      <c r="B1154" s="11" t="s">
        <v>2319</v>
      </c>
      <c r="C1154" s="14" t="s">
        <v>1711</v>
      </c>
    </row>
    <row r="1155" spans="2:3" x14ac:dyDescent="0.25">
      <c r="B1155" s="11" t="s">
        <v>2320</v>
      </c>
      <c r="C1155" s="14" t="s">
        <v>1711</v>
      </c>
    </row>
    <row r="1156" spans="2:3" x14ac:dyDescent="0.25">
      <c r="B1156" s="11" t="s">
        <v>1246</v>
      </c>
      <c r="C1156" s="14" t="s">
        <v>1711</v>
      </c>
    </row>
    <row r="1157" spans="2:3" x14ac:dyDescent="0.25">
      <c r="B1157" s="11" t="s">
        <v>2708</v>
      </c>
      <c r="C1157" s="14" t="s">
        <v>1711</v>
      </c>
    </row>
    <row r="1158" spans="2:3" x14ac:dyDescent="0.25">
      <c r="B1158" s="11" t="s">
        <v>2709</v>
      </c>
      <c r="C1158" s="14" t="s">
        <v>1711</v>
      </c>
    </row>
    <row r="1159" spans="2:3" x14ac:dyDescent="0.25">
      <c r="B1159" s="11" t="s">
        <v>1371</v>
      </c>
      <c r="C1159" s="14" t="s">
        <v>1711</v>
      </c>
    </row>
    <row r="1160" spans="2:3" x14ac:dyDescent="0.25">
      <c r="B1160" s="11" t="s">
        <v>1372</v>
      </c>
      <c r="C1160" s="14" t="s">
        <v>1711</v>
      </c>
    </row>
    <row r="1161" spans="2:3" x14ac:dyDescent="0.25">
      <c r="B1161" s="11" t="s">
        <v>1988</v>
      </c>
      <c r="C1161" s="14" t="s">
        <v>1711</v>
      </c>
    </row>
    <row r="1162" spans="2:3" x14ac:dyDescent="0.25">
      <c r="B1162" s="11" t="s">
        <v>1989</v>
      </c>
      <c r="C1162" s="14" t="s">
        <v>1711</v>
      </c>
    </row>
    <row r="1163" spans="2:3" x14ac:dyDescent="0.25">
      <c r="B1163" s="11" t="s">
        <v>2195</v>
      </c>
      <c r="C1163" s="14" t="s">
        <v>1711</v>
      </c>
    </row>
    <row r="1164" spans="2:3" x14ac:dyDescent="0.25">
      <c r="B1164" s="11" t="s">
        <v>2196</v>
      </c>
      <c r="C1164" s="14" t="s">
        <v>1711</v>
      </c>
    </row>
    <row r="1165" spans="2:3" x14ac:dyDescent="0.25">
      <c r="B1165" s="11" t="s">
        <v>2193</v>
      </c>
      <c r="C1165" s="14" t="s">
        <v>1711</v>
      </c>
    </row>
    <row r="1166" spans="2:3" x14ac:dyDescent="0.25">
      <c r="B1166" s="11" t="s">
        <v>2194</v>
      </c>
      <c r="C1166" s="14" t="s">
        <v>1711</v>
      </c>
    </row>
    <row r="1167" spans="2:3" x14ac:dyDescent="0.25">
      <c r="B1167" s="11" t="s">
        <v>600</v>
      </c>
      <c r="C1167" s="14" t="s">
        <v>1711</v>
      </c>
    </row>
    <row r="1168" spans="2:3" ht="26.4" x14ac:dyDescent="0.25">
      <c r="B1168" s="11" t="s">
        <v>1481</v>
      </c>
      <c r="C1168" s="14" t="s">
        <v>1711</v>
      </c>
    </row>
    <row r="1169" spans="2:3" ht="26.4" x14ac:dyDescent="0.25">
      <c r="B1169" s="11" t="s">
        <v>438</v>
      </c>
      <c r="C1169" s="14" t="s">
        <v>1711</v>
      </c>
    </row>
    <row r="1170" spans="2:3" ht="26.4" x14ac:dyDescent="0.25">
      <c r="B1170" s="11" t="s">
        <v>1397</v>
      </c>
      <c r="C1170" s="14" t="s">
        <v>1711</v>
      </c>
    </row>
    <row r="1171" spans="2:3" ht="26.4" x14ac:dyDescent="0.25">
      <c r="B1171" s="11" t="s">
        <v>2655</v>
      </c>
      <c r="C1171" s="14" t="s">
        <v>1711</v>
      </c>
    </row>
    <row r="1172" spans="2:3" ht="26.4" x14ac:dyDescent="0.25">
      <c r="B1172" s="11" t="s">
        <v>2656</v>
      </c>
      <c r="C1172" s="14" t="s">
        <v>1711</v>
      </c>
    </row>
    <row r="1173" spans="2:3" ht="26.4" x14ac:dyDescent="0.25">
      <c r="B1173" s="11" t="s">
        <v>2168</v>
      </c>
      <c r="C1173" s="14" t="s">
        <v>1711</v>
      </c>
    </row>
    <row r="1174" spans="2:3" ht="26.4" x14ac:dyDescent="0.25">
      <c r="B1174" s="11" t="s">
        <v>1981</v>
      </c>
      <c r="C1174" s="14" t="s">
        <v>1711</v>
      </c>
    </row>
    <row r="1175" spans="2:3" ht="26.4" x14ac:dyDescent="0.25">
      <c r="B1175" s="11" t="s">
        <v>1982</v>
      </c>
      <c r="C1175" s="14" t="s">
        <v>1711</v>
      </c>
    </row>
    <row r="1176" spans="2:3" ht="26.4" x14ac:dyDescent="0.25">
      <c r="B1176" s="11" t="s">
        <v>1309</v>
      </c>
      <c r="C1176" s="14" t="s">
        <v>1711</v>
      </c>
    </row>
    <row r="1177" spans="2:3" ht="26.4" x14ac:dyDescent="0.25">
      <c r="B1177" s="11" t="s">
        <v>214</v>
      </c>
      <c r="C1177" s="14" t="s">
        <v>1711</v>
      </c>
    </row>
    <row r="1178" spans="2:3" x14ac:dyDescent="0.25">
      <c r="B1178" s="11" t="s">
        <v>1184</v>
      </c>
      <c r="C1178" s="14" t="s">
        <v>1711</v>
      </c>
    </row>
    <row r="1179" spans="2:3" x14ac:dyDescent="0.25">
      <c r="B1179" s="11" t="s">
        <v>1185</v>
      </c>
      <c r="C1179" s="14" t="s">
        <v>1711</v>
      </c>
    </row>
    <row r="1180" spans="2:3" x14ac:dyDescent="0.25">
      <c r="B1180" s="11" t="s">
        <v>1186</v>
      </c>
      <c r="C1180" s="14" t="s">
        <v>1711</v>
      </c>
    </row>
    <row r="1181" spans="2:3" x14ac:dyDescent="0.25">
      <c r="B1181" s="11" t="s">
        <v>1187</v>
      </c>
      <c r="C1181" s="14" t="s">
        <v>1711</v>
      </c>
    </row>
    <row r="1182" spans="2:3" x14ac:dyDescent="0.25">
      <c r="B1182" s="11" t="s">
        <v>203</v>
      </c>
      <c r="C1182" s="14" t="s">
        <v>1711</v>
      </c>
    </row>
    <row r="1183" spans="2:3" x14ac:dyDescent="0.25">
      <c r="B1183" s="11" t="s">
        <v>1188</v>
      </c>
      <c r="C1183" s="14" t="s">
        <v>1711</v>
      </c>
    </row>
    <row r="1184" spans="2:3" x14ac:dyDescent="0.25">
      <c r="B1184" s="11" t="s">
        <v>2363</v>
      </c>
      <c r="C1184" s="14" t="s">
        <v>1711</v>
      </c>
    </row>
    <row r="1185" spans="2:3" x14ac:dyDescent="0.25">
      <c r="B1185" s="11" t="s">
        <v>2364</v>
      </c>
      <c r="C1185" s="14" t="s">
        <v>1711</v>
      </c>
    </row>
    <row r="1186" spans="2:3" x14ac:dyDescent="0.25">
      <c r="B1186" s="11" t="s">
        <v>1374</v>
      </c>
      <c r="C1186" s="14" t="s">
        <v>1711</v>
      </c>
    </row>
    <row r="1187" spans="2:3" x14ac:dyDescent="0.25">
      <c r="B1187" s="11" t="s">
        <v>1375</v>
      </c>
      <c r="C1187" s="14" t="s">
        <v>1711</v>
      </c>
    </row>
    <row r="1188" spans="2:3" x14ac:dyDescent="0.25">
      <c r="B1188" s="11" t="s">
        <v>1225</v>
      </c>
      <c r="C1188" s="14" t="s">
        <v>1711</v>
      </c>
    </row>
    <row r="1189" spans="2:3" x14ac:dyDescent="0.25">
      <c r="B1189" s="11" t="s">
        <v>1226</v>
      </c>
      <c r="C1189" s="14" t="s">
        <v>1711</v>
      </c>
    </row>
    <row r="1190" spans="2:3" x14ac:dyDescent="0.25">
      <c r="B1190" s="11" t="s">
        <v>1227</v>
      </c>
      <c r="C1190" s="14" t="s">
        <v>1711</v>
      </c>
    </row>
    <row r="1191" spans="2:3" x14ac:dyDescent="0.25">
      <c r="B1191" s="11" t="s">
        <v>1228</v>
      </c>
      <c r="C1191" s="14" t="s">
        <v>1711</v>
      </c>
    </row>
    <row r="1192" spans="2:3" x14ac:dyDescent="0.25">
      <c r="B1192" s="11" t="s">
        <v>1229</v>
      </c>
      <c r="C1192" s="14" t="s">
        <v>1711</v>
      </c>
    </row>
    <row r="1193" spans="2:3" x14ac:dyDescent="0.25">
      <c r="B1193" s="11" t="s">
        <v>2540</v>
      </c>
      <c r="C1193" s="14" t="s">
        <v>1711</v>
      </c>
    </row>
    <row r="1194" spans="2:3" x14ac:dyDescent="0.25">
      <c r="B1194" s="11" t="s">
        <v>2541</v>
      </c>
      <c r="C1194" s="14" t="s">
        <v>1711</v>
      </c>
    </row>
    <row r="1195" spans="2:3" x14ac:dyDescent="0.25">
      <c r="B1195" s="11" t="s">
        <v>2542</v>
      </c>
      <c r="C1195" s="14" t="s">
        <v>1711</v>
      </c>
    </row>
    <row r="1196" spans="2:3" x14ac:dyDescent="0.25">
      <c r="B1196" s="11" t="s">
        <v>1341</v>
      </c>
      <c r="C1196" s="14" t="s">
        <v>1711</v>
      </c>
    </row>
    <row r="1197" spans="2:3" x14ac:dyDescent="0.25">
      <c r="B1197" s="11" t="s">
        <v>1604</v>
      </c>
      <c r="C1197" s="14" t="s">
        <v>1711</v>
      </c>
    </row>
    <row r="1198" spans="2:3" x14ac:dyDescent="0.25">
      <c r="B1198" s="11" t="s">
        <v>1605</v>
      </c>
      <c r="C1198" s="14" t="s">
        <v>1711</v>
      </c>
    </row>
    <row r="1199" spans="2:3" x14ac:dyDescent="0.25">
      <c r="B1199" s="11" t="s">
        <v>1004</v>
      </c>
      <c r="C1199" s="14" t="s">
        <v>1711</v>
      </c>
    </row>
    <row r="1200" spans="2:3" x14ac:dyDescent="0.25">
      <c r="B1200" s="11" t="s">
        <v>1622</v>
      </c>
      <c r="C1200" s="14" t="s">
        <v>1711</v>
      </c>
    </row>
    <row r="1201" spans="2:3" x14ac:dyDescent="0.25">
      <c r="B1201" s="11" t="s">
        <v>231</v>
      </c>
      <c r="C1201" s="14" t="s">
        <v>1711</v>
      </c>
    </row>
    <row r="1202" spans="2:3" ht="26.4" x14ac:dyDescent="0.25">
      <c r="B1202" s="11" t="s">
        <v>2761</v>
      </c>
      <c r="C1202" s="14" t="s">
        <v>1711</v>
      </c>
    </row>
    <row r="1203" spans="2:3" ht="26.4" x14ac:dyDescent="0.25">
      <c r="B1203" s="11" t="s">
        <v>2762</v>
      </c>
      <c r="C1203" s="14" t="s">
        <v>1711</v>
      </c>
    </row>
    <row r="1204" spans="2:3" ht="26.4" x14ac:dyDescent="0.25">
      <c r="B1204" s="11" t="s">
        <v>2763</v>
      </c>
      <c r="C1204" s="14" t="s">
        <v>1711</v>
      </c>
    </row>
    <row r="1205" spans="2:3" ht="26.4" x14ac:dyDescent="0.25">
      <c r="B1205" s="11" t="s">
        <v>2764</v>
      </c>
      <c r="C1205" s="14" t="s">
        <v>1711</v>
      </c>
    </row>
    <row r="1206" spans="2:3" ht="26.4" x14ac:dyDescent="0.25">
      <c r="B1206" s="11" t="s">
        <v>2765</v>
      </c>
      <c r="C1206" s="14" t="s">
        <v>1711</v>
      </c>
    </row>
    <row r="1207" spans="2:3" ht="26.4" x14ac:dyDescent="0.25">
      <c r="B1207" s="11" t="s">
        <v>2766</v>
      </c>
      <c r="C1207" s="14" t="s">
        <v>1711</v>
      </c>
    </row>
    <row r="1208" spans="2:3" ht="26.4" x14ac:dyDescent="0.25">
      <c r="B1208" s="11" t="s">
        <v>2767</v>
      </c>
      <c r="C1208" s="14" t="s">
        <v>1711</v>
      </c>
    </row>
    <row r="1209" spans="2:3" ht="26.4" x14ac:dyDescent="0.25">
      <c r="B1209" s="11" t="s">
        <v>2768</v>
      </c>
      <c r="C1209" s="14" t="s">
        <v>1711</v>
      </c>
    </row>
    <row r="1210" spans="2:3" ht="26.4" x14ac:dyDescent="0.25">
      <c r="B1210" s="11" t="s">
        <v>2769</v>
      </c>
      <c r="C1210" s="14" t="s">
        <v>1711</v>
      </c>
    </row>
    <row r="1211" spans="2:3" ht="26.4" x14ac:dyDescent="0.25">
      <c r="B1211" s="11" t="s">
        <v>2120</v>
      </c>
      <c r="C1211" s="14" t="s">
        <v>1711</v>
      </c>
    </row>
    <row r="1212" spans="2:3" ht="26.4" x14ac:dyDescent="0.25">
      <c r="B1212" s="11" t="s">
        <v>2694</v>
      </c>
      <c r="C1212" s="14" t="s">
        <v>1711</v>
      </c>
    </row>
    <row r="1213" spans="2:3" ht="26.4" x14ac:dyDescent="0.25">
      <c r="B1213" s="11" t="s">
        <v>2695</v>
      </c>
      <c r="C1213" s="14" t="s">
        <v>1711</v>
      </c>
    </row>
    <row r="1214" spans="2:3" x14ac:dyDescent="0.25">
      <c r="B1214" s="11" t="s">
        <v>702</v>
      </c>
      <c r="C1214" s="14" t="s">
        <v>1711</v>
      </c>
    </row>
    <row r="1215" spans="2:3" x14ac:dyDescent="0.25">
      <c r="B1215" s="11" t="s">
        <v>703</v>
      </c>
      <c r="C1215" s="14" t="s">
        <v>1711</v>
      </c>
    </row>
    <row r="1216" spans="2:3" x14ac:dyDescent="0.25">
      <c r="B1216" s="11" t="s">
        <v>704</v>
      </c>
      <c r="C1216" s="14" t="s">
        <v>1711</v>
      </c>
    </row>
    <row r="1217" spans="2:3" x14ac:dyDescent="0.25">
      <c r="B1217" s="11" t="s">
        <v>699</v>
      </c>
      <c r="C1217" s="14" t="s">
        <v>1711</v>
      </c>
    </row>
    <row r="1218" spans="2:3" x14ac:dyDescent="0.25">
      <c r="B1218" s="11" t="s">
        <v>700</v>
      </c>
      <c r="C1218" s="14" t="s">
        <v>1711</v>
      </c>
    </row>
    <row r="1219" spans="2:3" x14ac:dyDescent="0.25">
      <c r="B1219" s="11" t="s">
        <v>701</v>
      </c>
      <c r="C1219" s="14" t="s">
        <v>1711</v>
      </c>
    </row>
    <row r="1220" spans="2:3" x14ac:dyDescent="0.25">
      <c r="B1220" s="11" t="s">
        <v>1376</v>
      </c>
      <c r="C1220" s="14" t="s">
        <v>1711</v>
      </c>
    </row>
    <row r="1221" spans="2:3" x14ac:dyDescent="0.25">
      <c r="B1221" s="11" t="s">
        <v>1110</v>
      </c>
      <c r="C1221" s="14" t="s">
        <v>1711</v>
      </c>
    </row>
    <row r="1222" spans="2:3" x14ac:dyDescent="0.25">
      <c r="B1222" s="11" t="s">
        <v>1034</v>
      </c>
      <c r="C1222" s="14" t="s">
        <v>2206</v>
      </c>
    </row>
    <row r="1223" spans="2:3" x14ac:dyDescent="0.25">
      <c r="B1223" s="11" t="s">
        <v>2313</v>
      </c>
      <c r="C1223" s="14" t="s">
        <v>1711</v>
      </c>
    </row>
    <row r="1224" spans="2:3" x14ac:dyDescent="0.25">
      <c r="B1224" s="11" t="s">
        <v>1034</v>
      </c>
      <c r="C1224" s="14" t="s">
        <v>2206</v>
      </c>
    </row>
    <row r="1225" spans="2:3" x14ac:dyDescent="0.25">
      <c r="B1225" s="11" t="s">
        <v>987</v>
      </c>
      <c r="C1225" s="14" t="s">
        <v>1711</v>
      </c>
    </row>
    <row r="1226" spans="2:3" x14ac:dyDescent="0.25">
      <c r="B1226" s="11" t="s">
        <v>988</v>
      </c>
      <c r="C1226" s="14" t="s">
        <v>1711</v>
      </c>
    </row>
    <row r="1227" spans="2:3" x14ac:dyDescent="0.25">
      <c r="B1227" s="11" t="s">
        <v>2797</v>
      </c>
      <c r="C1227" s="14" t="s">
        <v>1711</v>
      </c>
    </row>
    <row r="1228" spans="2:3" x14ac:dyDescent="0.25">
      <c r="B1228" s="11" t="s">
        <v>2710</v>
      </c>
      <c r="C1228" s="14" t="s">
        <v>1711</v>
      </c>
    </row>
    <row r="1229" spans="2:3" x14ac:dyDescent="0.25">
      <c r="B1229" s="11" t="s">
        <v>2522</v>
      </c>
      <c r="C1229" s="14" t="s">
        <v>1711</v>
      </c>
    </row>
    <row r="1230" spans="2:3" x14ac:dyDescent="0.25">
      <c r="B1230" s="11" t="s">
        <v>1232</v>
      </c>
      <c r="C1230" s="14" t="s">
        <v>1711</v>
      </c>
    </row>
    <row r="1231" spans="2:3" x14ac:dyDescent="0.25">
      <c r="B1231" s="11" t="s">
        <v>2543</v>
      </c>
      <c r="C1231" s="14" t="s">
        <v>1711</v>
      </c>
    </row>
    <row r="1232" spans="2:3" x14ac:dyDescent="0.25">
      <c r="B1232" s="11" t="s">
        <v>2544</v>
      </c>
      <c r="C1232" s="14" t="s">
        <v>1711</v>
      </c>
    </row>
    <row r="1233" spans="2:3" x14ac:dyDescent="0.25">
      <c r="B1233" s="11" t="s">
        <v>2318</v>
      </c>
      <c r="C1233" s="14" t="s">
        <v>1711</v>
      </c>
    </row>
    <row r="1234" spans="2:3" x14ac:dyDescent="0.25">
      <c r="B1234" s="11" t="s">
        <v>1999</v>
      </c>
      <c r="C1234" s="14" t="s">
        <v>1711</v>
      </c>
    </row>
    <row r="1235" spans="2:3" x14ac:dyDescent="0.25">
      <c r="B1235" s="11" t="s">
        <v>2786</v>
      </c>
      <c r="C1235" s="14" t="s">
        <v>1711</v>
      </c>
    </row>
    <row r="1236" spans="2:3" x14ac:dyDescent="0.25">
      <c r="B1236" s="11" t="s">
        <v>2784</v>
      </c>
      <c r="C1236" s="14" t="s">
        <v>1711</v>
      </c>
    </row>
    <row r="1237" spans="2:3" x14ac:dyDescent="0.25">
      <c r="B1237" s="11" t="s">
        <v>1996</v>
      </c>
      <c r="C1237" s="14" t="s">
        <v>1711</v>
      </c>
    </row>
    <row r="1238" spans="2:3" x14ac:dyDescent="0.25">
      <c r="B1238" s="11" t="s">
        <v>1997</v>
      </c>
      <c r="C1238" s="14" t="s">
        <v>1711</v>
      </c>
    </row>
    <row r="1239" spans="2:3" x14ac:dyDescent="0.25">
      <c r="B1239" s="11" t="s">
        <v>1998</v>
      </c>
      <c r="C1239" s="14" t="s">
        <v>1711</v>
      </c>
    </row>
    <row r="1240" spans="2:3" ht="26.4" x14ac:dyDescent="0.25">
      <c r="B1240" s="11" t="s">
        <v>909</v>
      </c>
      <c r="C1240" s="14" t="s">
        <v>1711</v>
      </c>
    </row>
    <row r="1241" spans="2:3" ht="26.4" x14ac:dyDescent="0.25">
      <c r="B1241" s="11" t="s">
        <v>906</v>
      </c>
      <c r="C1241" s="14" t="s">
        <v>1711</v>
      </c>
    </row>
    <row r="1242" spans="2:3" ht="26.4" x14ac:dyDescent="0.25">
      <c r="B1242" s="11" t="s">
        <v>907</v>
      </c>
      <c r="C1242" s="14" t="s">
        <v>1711</v>
      </c>
    </row>
    <row r="1243" spans="2:3" x14ac:dyDescent="0.25">
      <c r="B1243" s="11" t="s">
        <v>1781</v>
      </c>
      <c r="C1243" s="14" t="s">
        <v>1711</v>
      </c>
    </row>
    <row r="1244" spans="2:3" x14ac:dyDescent="0.25">
      <c r="B1244" s="11" t="s">
        <v>908</v>
      </c>
      <c r="C1244" s="14" t="s">
        <v>1711</v>
      </c>
    </row>
    <row r="1245" spans="2:3" ht="26.4" x14ac:dyDescent="0.25">
      <c r="B1245" s="11" t="s">
        <v>910</v>
      </c>
      <c r="C1245" s="14" t="s">
        <v>1711</v>
      </c>
    </row>
    <row r="1246" spans="2:3" x14ac:dyDescent="0.25">
      <c r="B1246" s="11" t="s">
        <v>1523</v>
      </c>
      <c r="C1246" s="14" t="s">
        <v>1711</v>
      </c>
    </row>
    <row r="1247" spans="2:3" x14ac:dyDescent="0.25">
      <c r="B1247" s="11" t="s">
        <v>243</v>
      </c>
      <c r="C1247" s="14" t="s">
        <v>1711</v>
      </c>
    </row>
    <row r="1248" spans="2:3" x14ac:dyDescent="0.25">
      <c r="B1248" s="11" t="s">
        <v>2712</v>
      </c>
      <c r="C1248" s="14" t="s">
        <v>1711</v>
      </c>
    </row>
    <row r="1249" spans="2:3" x14ac:dyDescent="0.25">
      <c r="C1249" s="14" t="s">
        <v>544</v>
      </c>
    </row>
    <row r="1250" spans="2:3" x14ac:dyDescent="0.25">
      <c r="B1250" s="12" t="s">
        <v>481</v>
      </c>
      <c r="C1250" s="14" t="s">
        <v>1711</v>
      </c>
    </row>
    <row r="1251" spans="2:3" x14ac:dyDescent="0.25">
      <c r="B1251" s="11" t="s">
        <v>2710</v>
      </c>
      <c r="C1251" s="14" t="s">
        <v>1711</v>
      </c>
    </row>
    <row r="1252" spans="2:3" x14ac:dyDescent="0.25">
      <c r="C1252" s="14" t="s">
        <v>544</v>
      </c>
    </row>
    <row r="1253" spans="2:3" x14ac:dyDescent="0.25">
      <c r="B1253" s="12" t="s">
        <v>917</v>
      </c>
      <c r="C1253" s="14" t="s">
        <v>1711</v>
      </c>
    </row>
    <row r="1254" spans="2:3" x14ac:dyDescent="0.25">
      <c r="B1254" s="11" t="s">
        <v>2522</v>
      </c>
      <c r="C1254" s="14" t="s">
        <v>1711</v>
      </c>
    </row>
    <row r="1255" spans="2:3" x14ac:dyDescent="0.25">
      <c r="B1255" s="11" t="s">
        <v>2543</v>
      </c>
      <c r="C1255" s="14" t="s">
        <v>1711</v>
      </c>
    </row>
    <row r="1256" spans="2:3" x14ac:dyDescent="0.25">
      <c r="B1256" s="11" t="s">
        <v>2544</v>
      </c>
      <c r="C1256" s="14" t="s">
        <v>1711</v>
      </c>
    </row>
    <row r="1257" spans="2:3" x14ac:dyDescent="0.25">
      <c r="C1257" s="14" t="s">
        <v>544</v>
      </c>
    </row>
    <row r="1258" spans="2:3" x14ac:dyDescent="0.25">
      <c r="B1258" s="12" t="s">
        <v>2890</v>
      </c>
      <c r="C1258" s="14" t="s">
        <v>1711</v>
      </c>
    </row>
    <row r="1259" spans="2:3" x14ac:dyDescent="0.25">
      <c r="B1259" s="11" t="s">
        <v>2318</v>
      </c>
      <c r="C1259" s="14" t="s">
        <v>1711</v>
      </c>
    </row>
    <row r="1260" spans="2:3" x14ac:dyDescent="0.25">
      <c r="C1260" s="14" t="s">
        <v>544</v>
      </c>
    </row>
    <row r="1261" spans="2:3" x14ac:dyDescent="0.25">
      <c r="B1261" s="12" t="s">
        <v>2891</v>
      </c>
      <c r="C1261" s="14" t="s">
        <v>1711</v>
      </c>
    </row>
    <row r="1262" spans="2:3" x14ac:dyDescent="0.25">
      <c r="B1262" s="11" t="s">
        <v>1472</v>
      </c>
      <c r="C1262" s="14" t="s">
        <v>2834</v>
      </c>
    </row>
    <row r="1263" spans="2:3" x14ac:dyDescent="0.25">
      <c r="C1263" s="14" t="s">
        <v>544</v>
      </c>
    </row>
    <row r="1264" spans="2:3" x14ac:dyDescent="0.25">
      <c r="B1264" s="12" t="s">
        <v>2892</v>
      </c>
      <c r="C1264" s="14" t="s">
        <v>1711</v>
      </c>
    </row>
    <row r="1265" spans="2:3" x14ac:dyDescent="0.25">
      <c r="B1265" s="12"/>
      <c r="C1265" s="14" t="s">
        <v>544</v>
      </c>
    </row>
    <row r="1266" spans="2:3" x14ac:dyDescent="0.25">
      <c r="B1266" s="12" t="s">
        <v>2893</v>
      </c>
      <c r="C1266" s="14" t="s">
        <v>1711</v>
      </c>
    </row>
    <row r="1267" spans="2:3" x14ac:dyDescent="0.25">
      <c r="B1267" s="11" t="s">
        <v>1727</v>
      </c>
      <c r="C1267" s="14" t="s">
        <v>1711</v>
      </c>
    </row>
    <row r="1268" spans="2:3" x14ac:dyDescent="0.25">
      <c r="C1268" s="14" t="s">
        <v>544</v>
      </c>
    </row>
    <row r="1269" spans="2:3" x14ac:dyDescent="0.25">
      <c r="B1269" s="12" t="s">
        <v>483</v>
      </c>
      <c r="C1269" s="14" t="s">
        <v>1711</v>
      </c>
    </row>
    <row r="1270" spans="2:3" x14ac:dyDescent="0.25">
      <c r="B1270" s="11" t="s">
        <v>173</v>
      </c>
      <c r="C1270" s="14" t="s">
        <v>1711</v>
      </c>
    </row>
    <row r="1271" spans="2:3" x14ac:dyDescent="0.25">
      <c r="B1271" s="11" t="s">
        <v>1302</v>
      </c>
      <c r="C1271" s="14" t="s">
        <v>1711</v>
      </c>
    </row>
    <row r="1272" spans="2:3" x14ac:dyDescent="0.25">
      <c r="B1272" s="11" t="s">
        <v>1303</v>
      </c>
      <c r="C1272" s="14" t="s">
        <v>1711</v>
      </c>
    </row>
    <row r="1273" spans="2:3" x14ac:dyDescent="0.25">
      <c r="B1273" s="11" t="s">
        <v>2216</v>
      </c>
      <c r="C1273" s="14" t="s">
        <v>1711</v>
      </c>
    </row>
    <row r="1274" spans="2:3" x14ac:dyDescent="0.25">
      <c r="B1274" s="11" t="s">
        <v>2736</v>
      </c>
      <c r="C1274" s="14" t="s">
        <v>1711</v>
      </c>
    </row>
    <row r="1275" spans="2:3" x14ac:dyDescent="0.25">
      <c r="B1275" s="11" t="s">
        <v>2735</v>
      </c>
      <c r="C1275" s="14" t="s">
        <v>1711</v>
      </c>
    </row>
    <row r="1276" spans="2:3" x14ac:dyDescent="0.25">
      <c r="B1276" s="11" t="s">
        <v>199</v>
      </c>
      <c r="C1276" s="14" t="s">
        <v>1711</v>
      </c>
    </row>
    <row r="1277" spans="2:3" x14ac:dyDescent="0.25">
      <c r="B1277" s="11" t="s">
        <v>200</v>
      </c>
      <c r="C1277" s="14" t="s">
        <v>1711</v>
      </c>
    </row>
    <row r="1278" spans="2:3" ht="26.4" x14ac:dyDescent="0.25">
      <c r="B1278" s="11" t="s">
        <v>201</v>
      </c>
      <c r="C1278" s="14" t="s">
        <v>1711</v>
      </c>
    </row>
    <row r="1279" spans="2:3" x14ac:dyDescent="0.25">
      <c r="B1279" s="11" t="s">
        <v>1523</v>
      </c>
      <c r="C1279" s="14" t="s">
        <v>1711</v>
      </c>
    </row>
    <row r="1280" spans="2:3" ht="26.4" x14ac:dyDescent="0.25">
      <c r="B1280" s="11" t="s">
        <v>909</v>
      </c>
      <c r="C1280" s="14" t="s">
        <v>1711</v>
      </c>
    </row>
    <row r="1281" spans="2:3" ht="26.4" x14ac:dyDescent="0.25">
      <c r="B1281" s="11" t="s">
        <v>906</v>
      </c>
      <c r="C1281" s="14" t="s">
        <v>1711</v>
      </c>
    </row>
    <row r="1282" spans="2:3" ht="26.4" x14ac:dyDescent="0.25">
      <c r="B1282" s="11" t="s">
        <v>907</v>
      </c>
      <c r="C1282" s="14" t="s">
        <v>1711</v>
      </c>
    </row>
    <row r="1283" spans="2:3" x14ac:dyDescent="0.25">
      <c r="B1283" s="11" t="s">
        <v>1781</v>
      </c>
      <c r="C1283" s="14" t="s">
        <v>1711</v>
      </c>
    </row>
    <row r="1284" spans="2:3" x14ac:dyDescent="0.25">
      <c r="B1284" s="11" t="s">
        <v>908</v>
      </c>
      <c r="C1284" s="14" t="s">
        <v>1711</v>
      </c>
    </row>
    <row r="1285" spans="2:3" ht="26.4" x14ac:dyDescent="0.25">
      <c r="B1285" s="11" t="s">
        <v>910</v>
      </c>
      <c r="C1285" s="14" t="s">
        <v>1711</v>
      </c>
    </row>
    <row r="1286" spans="2:3" x14ac:dyDescent="0.25">
      <c r="B1286" s="11" t="s">
        <v>484</v>
      </c>
      <c r="C1286" s="14" t="s">
        <v>1711</v>
      </c>
    </row>
    <row r="1287" spans="2:3" x14ac:dyDescent="0.25">
      <c r="B1287" s="11" t="s">
        <v>485</v>
      </c>
      <c r="C1287" s="14" t="s">
        <v>1711</v>
      </c>
    </row>
    <row r="1288" spans="2:3" x14ac:dyDescent="0.25">
      <c r="B1288" s="11" t="s">
        <v>486</v>
      </c>
      <c r="C1288" s="14" t="s">
        <v>1711</v>
      </c>
    </row>
    <row r="1289" spans="2:3" x14ac:dyDescent="0.25">
      <c r="C1289" s="14" t="s">
        <v>544</v>
      </c>
    </row>
    <row r="1290" spans="2:3" x14ac:dyDescent="0.25">
      <c r="B1290" s="12" t="s">
        <v>487</v>
      </c>
      <c r="C1290" s="14" t="s">
        <v>1711</v>
      </c>
    </row>
    <row r="1291" spans="2:3" x14ac:dyDescent="0.25">
      <c r="B1291" s="11" t="s">
        <v>1376</v>
      </c>
      <c r="C1291" s="14" t="s">
        <v>1711</v>
      </c>
    </row>
    <row r="1292" spans="2:3" x14ac:dyDescent="0.25">
      <c r="B1292" s="11" t="s">
        <v>1110</v>
      </c>
      <c r="C1292" s="14" t="s">
        <v>1711</v>
      </c>
    </row>
    <row r="1293" spans="2:3" x14ac:dyDescent="0.25">
      <c r="B1293" s="11" t="s">
        <v>1034</v>
      </c>
      <c r="C1293" s="14" t="s">
        <v>2206</v>
      </c>
    </row>
    <row r="1294" spans="2:3" x14ac:dyDescent="0.25">
      <c r="B1294" s="11" t="s">
        <v>2313</v>
      </c>
      <c r="C1294" s="14" t="s">
        <v>1711</v>
      </c>
    </row>
    <row r="1295" spans="2:3" x14ac:dyDescent="0.25">
      <c r="B1295" s="11" t="s">
        <v>1034</v>
      </c>
      <c r="C1295" s="14" t="s">
        <v>2206</v>
      </c>
    </row>
    <row r="1296" spans="2:3" ht="26.4" x14ac:dyDescent="0.25">
      <c r="B1296" s="11" t="s">
        <v>909</v>
      </c>
      <c r="C1296" s="14" t="s">
        <v>1711</v>
      </c>
    </row>
    <row r="1297" spans="2:3" ht="26.4" x14ac:dyDescent="0.25">
      <c r="B1297" s="11" t="s">
        <v>906</v>
      </c>
      <c r="C1297" s="14" t="s">
        <v>1711</v>
      </c>
    </row>
    <row r="1298" spans="2:3" ht="26.4" x14ac:dyDescent="0.25">
      <c r="B1298" s="11" t="s">
        <v>907</v>
      </c>
      <c r="C1298" s="14" t="s">
        <v>1711</v>
      </c>
    </row>
    <row r="1299" spans="2:3" x14ac:dyDescent="0.25">
      <c r="B1299" s="11" t="s">
        <v>1781</v>
      </c>
      <c r="C1299" s="14" t="s">
        <v>1711</v>
      </c>
    </row>
    <row r="1300" spans="2:3" x14ac:dyDescent="0.25">
      <c r="B1300" s="11" t="s">
        <v>908</v>
      </c>
      <c r="C1300" s="14" t="s">
        <v>1711</v>
      </c>
    </row>
    <row r="1301" spans="2:3" ht="26.4" x14ac:dyDescent="0.25">
      <c r="B1301" s="11" t="s">
        <v>910</v>
      </c>
      <c r="C1301" s="14" t="s">
        <v>1711</v>
      </c>
    </row>
    <row r="1302" spans="2:3" x14ac:dyDescent="0.25">
      <c r="B1302" s="11" t="s">
        <v>1523</v>
      </c>
      <c r="C1302" s="14" t="s">
        <v>1711</v>
      </c>
    </row>
    <row r="1303" spans="2:3" x14ac:dyDescent="0.25">
      <c r="B1303" s="11" t="s">
        <v>13</v>
      </c>
      <c r="C1303" s="14" t="s">
        <v>1711</v>
      </c>
    </row>
    <row r="1304" spans="2:3" x14ac:dyDescent="0.25">
      <c r="B1304" s="11" t="s">
        <v>2712</v>
      </c>
      <c r="C1304" s="14" t="s">
        <v>1711</v>
      </c>
    </row>
    <row r="1305" spans="2:3" x14ac:dyDescent="0.25">
      <c r="B1305" s="11" t="s">
        <v>2158</v>
      </c>
      <c r="C1305" s="14" t="s">
        <v>1715</v>
      </c>
    </row>
    <row r="1306" spans="2:3" x14ac:dyDescent="0.25">
      <c r="B1306" s="11" t="s">
        <v>1389</v>
      </c>
      <c r="C1306" s="14" t="s">
        <v>2206</v>
      </c>
    </row>
    <row r="1307" spans="2:3" x14ac:dyDescent="0.25">
      <c r="B1307" s="11" t="s">
        <v>2159</v>
      </c>
      <c r="C1307" s="14" t="s">
        <v>1715</v>
      </c>
    </row>
    <row r="1308" spans="2:3" x14ac:dyDescent="0.25">
      <c r="C1308" s="14" t="s">
        <v>544</v>
      </c>
    </row>
    <row r="1309" spans="2:3" x14ac:dyDescent="0.25">
      <c r="B1309" s="12" t="s">
        <v>2742</v>
      </c>
      <c r="C1309" s="14" t="s">
        <v>1711</v>
      </c>
    </row>
    <row r="1310" spans="2:3" x14ac:dyDescent="0.25">
      <c r="B1310" s="11" t="s">
        <v>1371</v>
      </c>
      <c r="C1310" s="14" t="s">
        <v>1711</v>
      </c>
    </row>
    <row r="1311" spans="2:3" x14ac:dyDescent="0.25">
      <c r="B1311" s="11" t="s">
        <v>1372</v>
      </c>
      <c r="C1311" s="14" t="s">
        <v>1711</v>
      </c>
    </row>
    <row r="1312" spans="2:3" x14ac:dyDescent="0.25">
      <c r="B1312" s="11" t="s">
        <v>1988</v>
      </c>
      <c r="C1312" s="14" t="s">
        <v>1711</v>
      </c>
    </row>
    <row r="1313" spans="2:3" x14ac:dyDescent="0.25">
      <c r="B1313" s="11" t="s">
        <v>1989</v>
      </c>
      <c r="C1313" s="14" t="s">
        <v>1711</v>
      </c>
    </row>
    <row r="1314" spans="2:3" x14ac:dyDescent="0.25">
      <c r="B1314" s="11" t="s">
        <v>2195</v>
      </c>
      <c r="C1314" s="14" t="s">
        <v>1711</v>
      </c>
    </row>
    <row r="1315" spans="2:3" x14ac:dyDescent="0.25">
      <c r="B1315" s="11" t="s">
        <v>2196</v>
      </c>
      <c r="C1315" s="14" t="s">
        <v>1711</v>
      </c>
    </row>
    <row r="1316" spans="2:3" x14ac:dyDescent="0.25">
      <c r="B1316" s="11" t="s">
        <v>2193</v>
      </c>
      <c r="C1316" s="14" t="s">
        <v>1711</v>
      </c>
    </row>
    <row r="1317" spans="2:3" x14ac:dyDescent="0.25">
      <c r="B1317" s="11" t="s">
        <v>2194</v>
      </c>
      <c r="C1317" s="14" t="s">
        <v>1711</v>
      </c>
    </row>
    <row r="1318" spans="2:3" x14ac:dyDescent="0.25">
      <c r="B1318" s="11" t="s">
        <v>600</v>
      </c>
      <c r="C1318" s="14" t="s">
        <v>1711</v>
      </c>
    </row>
    <row r="1319" spans="2:3" x14ac:dyDescent="0.25">
      <c r="B1319" s="11" t="s">
        <v>1184</v>
      </c>
      <c r="C1319" s="14" t="s">
        <v>1711</v>
      </c>
    </row>
    <row r="1320" spans="2:3" x14ac:dyDescent="0.25">
      <c r="B1320" s="11" t="s">
        <v>1185</v>
      </c>
      <c r="C1320" s="14" t="s">
        <v>1711</v>
      </c>
    </row>
    <row r="1321" spans="2:3" x14ac:dyDescent="0.25">
      <c r="B1321" s="11" t="s">
        <v>1186</v>
      </c>
      <c r="C1321" s="14" t="s">
        <v>1711</v>
      </c>
    </row>
    <row r="1322" spans="2:3" x14ac:dyDescent="0.25">
      <c r="B1322" s="11" t="s">
        <v>1187</v>
      </c>
      <c r="C1322" s="14" t="s">
        <v>1711</v>
      </c>
    </row>
    <row r="1323" spans="2:3" x14ac:dyDescent="0.25">
      <c r="B1323" s="11" t="s">
        <v>203</v>
      </c>
      <c r="C1323" s="14" t="s">
        <v>1711</v>
      </c>
    </row>
    <row r="1324" spans="2:3" x14ac:dyDescent="0.25">
      <c r="B1324" s="11" t="s">
        <v>1188</v>
      </c>
      <c r="C1324" s="14" t="s">
        <v>1711</v>
      </c>
    </row>
    <row r="1325" spans="2:3" x14ac:dyDescent="0.25">
      <c r="B1325" s="11" t="s">
        <v>2363</v>
      </c>
      <c r="C1325" s="14" t="s">
        <v>1711</v>
      </c>
    </row>
    <row r="1326" spans="2:3" x14ac:dyDescent="0.25">
      <c r="B1326" s="11" t="s">
        <v>2364</v>
      </c>
      <c r="C1326" s="14" t="s">
        <v>1711</v>
      </c>
    </row>
    <row r="1327" spans="2:3" x14ac:dyDescent="0.25">
      <c r="B1327" s="11" t="s">
        <v>1374</v>
      </c>
      <c r="C1327" s="14" t="s">
        <v>1711</v>
      </c>
    </row>
    <row r="1328" spans="2:3" x14ac:dyDescent="0.25">
      <c r="B1328" s="11" t="s">
        <v>1375</v>
      </c>
      <c r="C1328" s="14" t="s">
        <v>1711</v>
      </c>
    </row>
    <row r="1329" spans="2:3" x14ac:dyDescent="0.25">
      <c r="B1329" s="11" t="s">
        <v>2540</v>
      </c>
      <c r="C1329" s="14" t="s">
        <v>1711</v>
      </c>
    </row>
    <row r="1330" spans="2:3" x14ac:dyDescent="0.25">
      <c r="B1330" s="11" t="s">
        <v>2541</v>
      </c>
      <c r="C1330" s="14" t="s">
        <v>1711</v>
      </c>
    </row>
    <row r="1331" spans="2:3" x14ac:dyDescent="0.25">
      <c r="B1331" s="11" t="s">
        <v>2542</v>
      </c>
      <c r="C1331" s="14" t="s">
        <v>1711</v>
      </c>
    </row>
    <row r="1332" spans="2:3" x14ac:dyDescent="0.25">
      <c r="B1332" s="11" t="s">
        <v>1341</v>
      </c>
      <c r="C1332" s="14" t="s">
        <v>1711</v>
      </c>
    </row>
    <row r="1333" spans="2:3" x14ac:dyDescent="0.25">
      <c r="B1333" s="11" t="s">
        <v>1604</v>
      </c>
      <c r="C1333" s="14" t="s">
        <v>1711</v>
      </c>
    </row>
    <row r="1334" spans="2:3" x14ac:dyDescent="0.25">
      <c r="B1334" s="11" t="s">
        <v>1605</v>
      </c>
      <c r="C1334" s="14" t="s">
        <v>1711</v>
      </c>
    </row>
    <row r="1335" spans="2:3" x14ac:dyDescent="0.25">
      <c r="B1335" s="11" t="s">
        <v>1004</v>
      </c>
      <c r="C1335" s="14" t="s">
        <v>1711</v>
      </c>
    </row>
    <row r="1336" spans="2:3" x14ac:dyDescent="0.25">
      <c r="B1336" s="11" t="s">
        <v>1622</v>
      </c>
      <c r="C1336" s="14" t="s">
        <v>1711</v>
      </c>
    </row>
    <row r="1337" spans="2:3" x14ac:dyDescent="0.25">
      <c r="B1337" s="11" t="s">
        <v>231</v>
      </c>
      <c r="C1337" s="14" t="s">
        <v>1711</v>
      </c>
    </row>
    <row r="1338" spans="2:3" x14ac:dyDescent="0.25">
      <c r="B1338" s="11" t="s">
        <v>750</v>
      </c>
      <c r="C1338" s="14" t="e">
        <v>#N/A</v>
      </c>
    </row>
    <row r="1339" spans="2:3" x14ac:dyDescent="0.25">
      <c r="B1339" s="11" t="s">
        <v>1376</v>
      </c>
      <c r="C1339" s="14" t="s">
        <v>1711</v>
      </c>
    </row>
    <row r="1340" spans="2:3" x14ac:dyDescent="0.25">
      <c r="B1340" s="11" t="s">
        <v>1110</v>
      </c>
      <c r="C1340" s="14" t="s">
        <v>1711</v>
      </c>
    </row>
    <row r="1341" spans="2:3" x14ac:dyDescent="0.25">
      <c r="B1341" s="11" t="s">
        <v>1034</v>
      </c>
      <c r="C1341" s="14" t="s">
        <v>2206</v>
      </c>
    </row>
    <row r="1342" spans="2:3" x14ac:dyDescent="0.25">
      <c r="B1342" s="11" t="s">
        <v>2313</v>
      </c>
      <c r="C1342" s="14" t="s">
        <v>1711</v>
      </c>
    </row>
    <row r="1343" spans="2:3" x14ac:dyDescent="0.25">
      <c r="B1343" s="11" t="s">
        <v>1034</v>
      </c>
      <c r="C1343" s="14" t="s">
        <v>2206</v>
      </c>
    </row>
    <row r="1344" spans="2:3" x14ac:dyDescent="0.25">
      <c r="B1344" s="9" t="s">
        <v>2832</v>
      </c>
      <c r="C1344" s="14">
        <v>0</v>
      </c>
    </row>
    <row r="1345" spans="2:3" ht="26.4" x14ac:dyDescent="0.25">
      <c r="B1345" s="9" t="s">
        <v>979</v>
      </c>
      <c r="C1345" s="14" t="e">
        <v>#N/A</v>
      </c>
    </row>
    <row r="1346" spans="2:3" x14ac:dyDescent="0.25">
      <c r="B1346" s="11" t="s">
        <v>987</v>
      </c>
      <c r="C1346" s="14" t="s">
        <v>1711</v>
      </c>
    </row>
    <row r="1347" spans="2:3" x14ac:dyDescent="0.25">
      <c r="B1347" s="11" t="s">
        <v>988</v>
      </c>
      <c r="C1347" s="14" t="s">
        <v>1711</v>
      </c>
    </row>
    <row r="1348" spans="2:3" x14ac:dyDescent="0.25">
      <c r="B1348" s="11" t="s">
        <v>2797</v>
      </c>
      <c r="C1348" s="14" t="s">
        <v>1711</v>
      </c>
    </row>
    <row r="1349" spans="2:3" ht="26.4" x14ac:dyDescent="0.25">
      <c r="B1349" s="11" t="s">
        <v>909</v>
      </c>
      <c r="C1349" s="14" t="s">
        <v>1711</v>
      </c>
    </row>
    <row r="1350" spans="2:3" ht="26.4" x14ac:dyDescent="0.25">
      <c r="B1350" s="11" t="s">
        <v>906</v>
      </c>
      <c r="C1350" s="14" t="s">
        <v>1711</v>
      </c>
    </row>
    <row r="1351" spans="2:3" ht="26.4" x14ac:dyDescent="0.25">
      <c r="B1351" s="11" t="s">
        <v>907</v>
      </c>
      <c r="C1351" s="14" t="s">
        <v>1711</v>
      </c>
    </row>
    <row r="1352" spans="2:3" x14ac:dyDescent="0.25">
      <c r="B1352" s="11" t="s">
        <v>1781</v>
      </c>
      <c r="C1352" s="14" t="s">
        <v>1711</v>
      </c>
    </row>
    <row r="1353" spans="2:3" x14ac:dyDescent="0.25">
      <c r="B1353" s="11" t="s">
        <v>908</v>
      </c>
      <c r="C1353" s="14" t="s">
        <v>1711</v>
      </c>
    </row>
    <row r="1354" spans="2:3" ht="26.4" x14ac:dyDescent="0.25">
      <c r="B1354" s="11" t="s">
        <v>910</v>
      </c>
      <c r="C1354" s="14" t="s">
        <v>1711</v>
      </c>
    </row>
    <row r="1355" spans="2:3" x14ac:dyDescent="0.25">
      <c r="B1355" s="11" t="s">
        <v>1523</v>
      </c>
      <c r="C1355" s="14" t="s">
        <v>1711</v>
      </c>
    </row>
    <row r="1356" spans="2:3" x14ac:dyDescent="0.25">
      <c r="B1356" s="11" t="s">
        <v>13</v>
      </c>
      <c r="C1356" s="14" t="s">
        <v>1711</v>
      </c>
    </row>
    <row r="1357" spans="2:3" x14ac:dyDescent="0.25">
      <c r="B1357" s="11" t="s">
        <v>2712</v>
      </c>
      <c r="C1357" s="14" t="s">
        <v>1711</v>
      </c>
    </row>
    <row r="1358" spans="2:3" x14ac:dyDescent="0.25">
      <c r="B1358" s="11" t="s">
        <v>1455</v>
      </c>
      <c r="C1358" s="14" t="s">
        <v>1711</v>
      </c>
    </row>
    <row r="1359" spans="2:3" x14ac:dyDescent="0.25">
      <c r="C1359" s="14" t="s">
        <v>544</v>
      </c>
    </row>
    <row r="1360" spans="2:3" x14ac:dyDescent="0.25">
      <c r="B1360" s="12" t="s">
        <v>2743</v>
      </c>
      <c r="C1360" s="14" t="s">
        <v>1711</v>
      </c>
    </row>
    <row r="1361" spans="2:3" x14ac:dyDescent="0.25">
      <c r="C1361" s="14" t="s">
        <v>544</v>
      </c>
    </row>
    <row r="1362" spans="2:3" x14ac:dyDescent="0.25">
      <c r="B1362" s="12" t="s">
        <v>2748</v>
      </c>
      <c r="C1362" s="14" t="s">
        <v>1711</v>
      </c>
    </row>
    <row r="1363" spans="2:3" x14ac:dyDescent="0.25">
      <c r="B1363" s="2" t="s">
        <v>282</v>
      </c>
      <c r="C1363" s="14" t="s">
        <v>1715</v>
      </c>
    </row>
    <row r="1364" spans="2:3" x14ac:dyDescent="0.25">
      <c r="C1364" s="14" t="s">
        <v>544</v>
      </c>
    </row>
    <row r="1365" spans="2:3" x14ac:dyDescent="0.25">
      <c r="B1365" s="12" t="s">
        <v>2749</v>
      </c>
      <c r="C1365" s="14" t="s">
        <v>1711</v>
      </c>
    </row>
    <row r="1366" spans="2:3" x14ac:dyDescent="0.25">
      <c r="B1366" s="11" t="s">
        <v>281</v>
      </c>
      <c r="C1366" s="14" t="s">
        <v>1715</v>
      </c>
    </row>
    <row r="1367" spans="2:3" x14ac:dyDescent="0.25">
      <c r="C1367" s="14" t="s">
        <v>544</v>
      </c>
    </row>
    <row r="1368" spans="2:3" x14ac:dyDescent="0.25">
      <c r="B1368" s="12" t="s">
        <v>2750</v>
      </c>
      <c r="C1368" s="14" t="s">
        <v>1711</v>
      </c>
    </row>
    <row r="1369" spans="2:3" x14ac:dyDescent="0.25">
      <c r="C1369" s="14" t="s">
        <v>544</v>
      </c>
    </row>
    <row r="1370" spans="2:3" x14ac:dyDescent="0.25">
      <c r="B1370" s="12" t="s">
        <v>2530</v>
      </c>
      <c r="C1370" s="14" t="s">
        <v>1711</v>
      </c>
    </row>
    <row r="1371" spans="2:3" x14ac:dyDescent="0.25">
      <c r="B1371" s="11" t="s">
        <v>1646</v>
      </c>
      <c r="C1371" s="14" t="s">
        <v>1711</v>
      </c>
    </row>
    <row r="1372" spans="2:3" x14ac:dyDescent="0.25">
      <c r="B1372" s="11" t="s">
        <v>172</v>
      </c>
      <c r="C1372" s="14" t="s">
        <v>1711</v>
      </c>
    </row>
    <row r="1373" spans="2:3" x14ac:dyDescent="0.25">
      <c r="B1373" s="11" t="s">
        <v>2700</v>
      </c>
      <c r="C1373" s="14" t="s">
        <v>1711</v>
      </c>
    </row>
    <row r="1374" spans="2:3" x14ac:dyDescent="0.25">
      <c r="B1374" s="11" t="s">
        <v>1368</v>
      </c>
      <c r="C1374" s="14" t="s">
        <v>1711</v>
      </c>
    </row>
    <row r="1375" spans="2:3" x14ac:dyDescent="0.25">
      <c r="B1375" s="11" t="s">
        <v>179</v>
      </c>
      <c r="C1375" s="14" t="s">
        <v>1711</v>
      </c>
    </row>
    <row r="1376" spans="2:3" x14ac:dyDescent="0.25">
      <c r="B1376" s="11" t="s">
        <v>571</v>
      </c>
      <c r="C1376" s="14" t="s">
        <v>1711</v>
      </c>
    </row>
    <row r="1377" spans="2:3" x14ac:dyDescent="0.25">
      <c r="B1377" s="11" t="s">
        <v>572</v>
      </c>
      <c r="C1377" s="14" t="s">
        <v>1711</v>
      </c>
    </row>
    <row r="1378" spans="2:3" x14ac:dyDescent="0.25">
      <c r="C1378" s="14" t="s">
        <v>544</v>
      </c>
    </row>
    <row r="1379" spans="2:3" x14ac:dyDescent="0.25">
      <c r="B1379" s="12" t="s">
        <v>2023</v>
      </c>
      <c r="C1379" s="14" t="s">
        <v>1711</v>
      </c>
    </row>
    <row r="1380" spans="2:3" x14ac:dyDescent="0.25">
      <c r="B1380" s="11" t="s">
        <v>170</v>
      </c>
      <c r="C1380" s="14" t="s">
        <v>1711</v>
      </c>
    </row>
    <row r="1381" spans="2:3" x14ac:dyDescent="0.25">
      <c r="B1381" s="11" t="s">
        <v>171</v>
      </c>
      <c r="C1381" s="14" t="s">
        <v>1711</v>
      </c>
    </row>
    <row r="1382" spans="2:3" x14ac:dyDescent="0.25">
      <c r="B1382" s="11" t="s">
        <v>1303</v>
      </c>
      <c r="C1382" s="14" t="s">
        <v>1711</v>
      </c>
    </row>
    <row r="1383" spans="2:3" x14ac:dyDescent="0.25">
      <c r="B1383" s="11" t="s">
        <v>1302</v>
      </c>
      <c r="C1383" s="14" t="s">
        <v>1711</v>
      </c>
    </row>
    <row r="1384" spans="2:3" x14ac:dyDescent="0.25">
      <c r="B1384" s="11" t="s">
        <v>574</v>
      </c>
      <c r="C1384" s="14" t="s">
        <v>1711</v>
      </c>
    </row>
    <row r="1385" spans="2:3" x14ac:dyDescent="0.25">
      <c r="B1385" s="11" t="s">
        <v>575</v>
      </c>
      <c r="C1385" s="14" t="s">
        <v>1711</v>
      </c>
    </row>
    <row r="1386" spans="2:3" x14ac:dyDescent="0.25">
      <c r="B1386" s="11" t="s">
        <v>1422</v>
      </c>
      <c r="C1386" s="14" t="s">
        <v>1711</v>
      </c>
    </row>
    <row r="1387" spans="2:3" x14ac:dyDescent="0.25">
      <c r="B1387" s="11" t="s">
        <v>199</v>
      </c>
      <c r="C1387" s="14" t="s">
        <v>1711</v>
      </c>
    </row>
    <row r="1388" spans="2:3" x14ac:dyDescent="0.25">
      <c r="B1388" s="11" t="s">
        <v>200</v>
      </c>
      <c r="C1388" s="14" t="s">
        <v>1711</v>
      </c>
    </row>
    <row r="1389" spans="2:3" ht="26.4" x14ac:dyDescent="0.25">
      <c r="B1389" s="11" t="s">
        <v>201</v>
      </c>
      <c r="C1389" s="14" t="s">
        <v>1711</v>
      </c>
    </row>
    <row r="1390" spans="2:3" x14ac:dyDescent="0.25">
      <c r="C1390" s="14" t="s">
        <v>544</v>
      </c>
    </row>
    <row r="1391" spans="2:3" x14ac:dyDescent="0.25">
      <c r="B1391" s="12" t="s">
        <v>2024</v>
      </c>
      <c r="C1391" s="14" t="s">
        <v>1711</v>
      </c>
    </row>
    <row r="1392" spans="2:3" x14ac:dyDescent="0.25">
      <c r="B1392" s="11" t="s">
        <v>2221</v>
      </c>
      <c r="C1392" s="14" t="s">
        <v>1711</v>
      </c>
    </row>
    <row r="1393" spans="2:3" x14ac:dyDescent="0.25">
      <c r="B1393" s="11" t="s">
        <v>2219</v>
      </c>
      <c r="C1393" s="14" t="s">
        <v>1711</v>
      </c>
    </row>
    <row r="1394" spans="2:3" x14ac:dyDescent="0.25">
      <c r="C1394" s="14" t="s">
        <v>544</v>
      </c>
    </row>
    <row r="1395" spans="2:3" x14ac:dyDescent="0.25">
      <c r="B1395" s="12" t="s">
        <v>2533</v>
      </c>
      <c r="C1395" s="14" t="s">
        <v>1711</v>
      </c>
    </row>
    <row r="1396" spans="2:3" x14ac:dyDescent="0.25">
      <c r="B1396" s="11" t="s">
        <v>1469</v>
      </c>
      <c r="C1396" s="14" t="s">
        <v>1711</v>
      </c>
    </row>
    <row r="1397" spans="2:3" x14ac:dyDescent="0.25">
      <c r="C1397" s="14" t="s">
        <v>544</v>
      </c>
    </row>
    <row r="1398" spans="2:3" x14ac:dyDescent="0.25">
      <c r="B1398" s="12" t="s">
        <v>2534</v>
      </c>
      <c r="C1398" s="14" t="s">
        <v>1711</v>
      </c>
    </row>
    <row r="1399" spans="2:3" x14ac:dyDescent="0.25">
      <c r="B1399" s="11" t="s">
        <v>1236</v>
      </c>
      <c r="C1399" s="14" t="s">
        <v>1711</v>
      </c>
    </row>
    <row r="1400" spans="2:3" x14ac:dyDescent="0.25">
      <c r="B1400" s="11" t="s">
        <v>2319</v>
      </c>
      <c r="C1400" s="14" t="s">
        <v>1711</v>
      </c>
    </row>
    <row r="1401" spans="2:3" x14ac:dyDescent="0.25">
      <c r="B1401" s="11" t="s">
        <v>2320</v>
      </c>
      <c r="C1401" s="14" t="s">
        <v>1711</v>
      </c>
    </row>
    <row r="1402" spans="2:3" x14ac:dyDescent="0.25">
      <c r="B1402" s="11" t="s">
        <v>1246</v>
      </c>
      <c r="C1402" s="14" t="s">
        <v>1711</v>
      </c>
    </row>
    <row r="1403" spans="2:3" x14ac:dyDescent="0.25">
      <c r="B1403" s="11" t="s">
        <v>2708</v>
      </c>
      <c r="C1403" s="14" t="s">
        <v>1711</v>
      </c>
    </row>
    <row r="1404" spans="2:3" x14ac:dyDescent="0.25">
      <c r="B1404" s="11" t="s">
        <v>2709</v>
      </c>
      <c r="C1404" s="14" t="s">
        <v>1711</v>
      </c>
    </row>
    <row r="1405" spans="2:3" x14ac:dyDescent="0.25">
      <c r="B1405" s="11" t="s">
        <v>1371</v>
      </c>
      <c r="C1405" s="14" t="s">
        <v>1711</v>
      </c>
    </row>
    <row r="1406" spans="2:3" x14ac:dyDescent="0.25">
      <c r="B1406" s="11" t="s">
        <v>1372</v>
      </c>
      <c r="C1406" s="14" t="s">
        <v>1711</v>
      </c>
    </row>
    <row r="1407" spans="2:3" x14ac:dyDescent="0.25">
      <c r="B1407" s="11" t="s">
        <v>1988</v>
      </c>
      <c r="C1407" s="14" t="s">
        <v>1711</v>
      </c>
    </row>
    <row r="1408" spans="2:3" x14ac:dyDescent="0.25">
      <c r="B1408" s="11" t="s">
        <v>1989</v>
      </c>
      <c r="C1408" s="14" t="s">
        <v>1711</v>
      </c>
    </row>
    <row r="1409" spans="2:3" x14ac:dyDescent="0.25">
      <c r="B1409" s="11" t="s">
        <v>2195</v>
      </c>
      <c r="C1409" s="14" t="s">
        <v>1711</v>
      </c>
    </row>
    <row r="1410" spans="2:3" x14ac:dyDescent="0.25">
      <c r="B1410" s="11" t="s">
        <v>2196</v>
      </c>
      <c r="C1410" s="14" t="s">
        <v>1711</v>
      </c>
    </row>
    <row r="1411" spans="2:3" x14ac:dyDescent="0.25">
      <c r="B1411" s="11" t="s">
        <v>2193</v>
      </c>
      <c r="C1411" s="14" t="s">
        <v>1711</v>
      </c>
    </row>
    <row r="1412" spans="2:3" x14ac:dyDescent="0.25">
      <c r="B1412" s="11" t="s">
        <v>2194</v>
      </c>
      <c r="C1412" s="14" t="s">
        <v>1711</v>
      </c>
    </row>
    <row r="1413" spans="2:3" x14ac:dyDescent="0.25">
      <c r="B1413" s="11" t="s">
        <v>600</v>
      </c>
      <c r="C1413" s="14" t="s">
        <v>1711</v>
      </c>
    </row>
    <row r="1414" spans="2:3" ht="26.4" x14ac:dyDescent="0.25">
      <c r="B1414" s="11" t="s">
        <v>1481</v>
      </c>
      <c r="C1414" s="14" t="s">
        <v>1711</v>
      </c>
    </row>
    <row r="1415" spans="2:3" ht="26.4" x14ac:dyDescent="0.25">
      <c r="B1415" s="11" t="s">
        <v>438</v>
      </c>
      <c r="C1415" s="14" t="s">
        <v>1711</v>
      </c>
    </row>
    <row r="1416" spans="2:3" ht="26.4" x14ac:dyDescent="0.25">
      <c r="B1416" s="11" t="s">
        <v>1397</v>
      </c>
      <c r="C1416" s="14" t="s">
        <v>1711</v>
      </c>
    </row>
    <row r="1417" spans="2:3" ht="26.4" x14ac:dyDescent="0.25">
      <c r="B1417" s="11" t="s">
        <v>2655</v>
      </c>
      <c r="C1417" s="14" t="s">
        <v>1711</v>
      </c>
    </row>
    <row r="1418" spans="2:3" ht="26.4" x14ac:dyDescent="0.25">
      <c r="B1418" s="11" t="s">
        <v>2656</v>
      </c>
      <c r="C1418" s="14" t="s">
        <v>1711</v>
      </c>
    </row>
    <row r="1419" spans="2:3" ht="26.4" x14ac:dyDescent="0.25">
      <c r="B1419" s="11" t="s">
        <v>2168</v>
      </c>
      <c r="C1419" s="14" t="s">
        <v>1711</v>
      </c>
    </row>
    <row r="1420" spans="2:3" ht="26.4" x14ac:dyDescent="0.25">
      <c r="B1420" s="11" t="s">
        <v>1981</v>
      </c>
      <c r="C1420" s="14" t="s">
        <v>1711</v>
      </c>
    </row>
    <row r="1421" spans="2:3" ht="26.4" x14ac:dyDescent="0.25">
      <c r="B1421" s="11" t="s">
        <v>1982</v>
      </c>
      <c r="C1421" s="14" t="s">
        <v>1711</v>
      </c>
    </row>
    <row r="1422" spans="2:3" ht="26.4" x14ac:dyDescent="0.25">
      <c r="B1422" s="11" t="s">
        <v>1309</v>
      </c>
      <c r="C1422" s="14" t="s">
        <v>1711</v>
      </c>
    </row>
    <row r="1423" spans="2:3" ht="26.4" x14ac:dyDescent="0.25">
      <c r="B1423" s="11" t="s">
        <v>214</v>
      </c>
      <c r="C1423" s="14" t="s">
        <v>1711</v>
      </c>
    </row>
    <row r="1424" spans="2:3" x14ac:dyDescent="0.25">
      <c r="B1424" s="11" t="s">
        <v>1184</v>
      </c>
      <c r="C1424" s="14" t="s">
        <v>1711</v>
      </c>
    </row>
    <row r="1425" spans="2:3" x14ac:dyDescent="0.25">
      <c r="B1425" s="11" t="s">
        <v>1185</v>
      </c>
      <c r="C1425" s="14" t="s">
        <v>1711</v>
      </c>
    </row>
    <row r="1426" spans="2:3" x14ac:dyDescent="0.25">
      <c r="B1426" s="11" t="s">
        <v>1186</v>
      </c>
      <c r="C1426" s="14" t="s">
        <v>1711</v>
      </c>
    </row>
    <row r="1427" spans="2:3" x14ac:dyDescent="0.25">
      <c r="B1427" s="11" t="s">
        <v>1187</v>
      </c>
      <c r="C1427" s="14" t="s">
        <v>1711</v>
      </c>
    </row>
    <row r="1428" spans="2:3" x14ac:dyDescent="0.25">
      <c r="B1428" s="11" t="s">
        <v>203</v>
      </c>
      <c r="C1428" s="14" t="s">
        <v>1711</v>
      </c>
    </row>
    <row r="1429" spans="2:3" x14ac:dyDescent="0.25">
      <c r="B1429" s="11" t="s">
        <v>1188</v>
      </c>
      <c r="C1429" s="14" t="s">
        <v>1711</v>
      </c>
    </row>
    <row r="1430" spans="2:3" x14ac:dyDescent="0.25">
      <c r="B1430" s="11" t="s">
        <v>2363</v>
      </c>
      <c r="C1430" s="14" t="s">
        <v>1711</v>
      </c>
    </row>
    <row r="1431" spans="2:3" x14ac:dyDescent="0.25">
      <c r="B1431" s="11" t="s">
        <v>2364</v>
      </c>
      <c r="C1431" s="14" t="s">
        <v>1711</v>
      </c>
    </row>
    <row r="1432" spans="2:3" x14ac:dyDescent="0.25">
      <c r="B1432" s="11" t="s">
        <v>1374</v>
      </c>
      <c r="C1432" s="14" t="s">
        <v>1711</v>
      </c>
    </row>
    <row r="1433" spans="2:3" x14ac:dyDescent="0.25">
      <c r="B1433" s="11" t="s">
        <v>1375</v>
      </c>
      <c r="C1433" s="14" t="s">
        <v>1711</v>
      </c>
    </row>
    <row r="1434" spans="2:3" x14ac:dyDescent="0.25">
      <c r="B1434" s="11" t="s">
        <v>1225</v>
      </c>
      <c r="C1434" s="14" t="s">
        <v>1711</v>
      </c>
    </row>
    <row r="1435" spans="2:3" x14ac:dyDescent="0.25">
      <c r="B1435" s="11" t="s">
        <v>1226</v>
      </c>
      <c r="C1435" s="14" t="s">
        <v>1711</v>
      </c>
    </row>
    <row r="1436" spans="2:3" x14ac:dyDescent="0.25">
      <c r="B1436" s="11" t="s">
        <v>1227</v>
      </c>
      <c r="C1436" s="14" t="s">
        <v>1711</v>
      </c>
    </row>
    <row r="1437" spans="2:3" x14ac:dyDescent="0.25">
      <c r="B1437" s="11" t="s">
        <v>1228</v>
      </c>
      <c r="C1437" s="14" t="s">
        <v>1711</v>
      </c>
    </row>
    <row r="1438" spans="2:3" x14ac:dyDescent="0.25">
      <c r="B1438" s="11" t="s">
        <v>1229</v>
      </c>
      <c r="C1438" s="14" t="s">
        <v>1711</v>
      </c>
    </row>
    <row r="1439" spans="2:3" x14ac:dyDescent="0.25">
      <c r="B1439" s="11" t="s">
        <v>2540</v>
      </c>
      <c r="C1439" s="14" t="s">
        <v>1711</v>
      </c>
    </row>
    <row r="1440" spans="2:3" x14ac:dyDescent="0.25">
      <c r="B1440" s="11" t="s">
        <v>2541</v>
      </c>
      <c r="C1440" s="14" t="s">
        <v>1711</v>
      </c>
    </row>
    <row r="1441" spans="2:3" x14ac:dyDescent="0.25">
      <c r="B1441" s="11" t="s">
        <v>2542</v>
      </c>
      <c r="C1441" s="14" t="s">
        <v>1711</v>
      </c>
    </row>
    <row r="1442" spans="2:3" x14ac:dyDescent="0.25">
      <c r="B1442" s="11" t="s">
        <v>1341</v>
      </c>
      <c r="C1442" s="14" t="s">
        <v>1711</v>
      </c>
    </row>
    <row r="1443" spans="2:3" x14ac:dyDescent="0.25">
      <c r="B1443" s="11" t="s">
        <v>1604</v>
      </c>
      <c r="C1443" s="14" t="s">
        <v>1711</v>
      </c>
    </row>
    <row r="1444" spans="2:3" x14ac:dyDescent="0.25">
      <c r="B1444" s="11" t="s">
        <v>1605</v>
      </c>
      <c r="C1444" s="14" t="s">
        <v>1711</v>
      </c>
    </row>
    <row r="1445" spans="2:3" x14ac:dyDescent="0.25">
      <c r="B1445" s="11" t="s">
        <v>1004</v>
      </c>
      <c r="C1445" s="14" t="s">
        <v>1711</v>
      </c>
    </row>
    <row r="1446" spans="2:3" x14ac:dyDescent="0.25">
      <c r="B1446" s="11" t="s">
        <v>1622</v>
      </c>
      <c r="C1446" s="14" t="s">
        <v>1711</v>
      </c>
    </row>
    <row r="1447" spans="2:3" x14ac:dyDescent="0.25">
      <c r="B1447" s="11" t="s">
        <v>231</v>
      </c>
      <c r="C1447" s="14" t="s">
        <v>1711</v>
      </c>
    </row>
    <row r="1448" spans="2:3" ht="26.4" x14ac:dyDescent="0.25">
      <c r="B1448" s="11" t="s">
        <v>2761</v>
      </c>
      <c r="C1448" s="14" t="s">
        <v>1711</v>
      </c>
    </row>
    <row r="1449" spans="2:3" ht="26.4" x14ac:dyDescent="0.25">
      <c r="B1449" s="11" t="s">
        <v>2762</v>
      </c>
      <c r="C1449" s="14" t="s">
        <v>1711</v>
      </c>
    </row>
    <row r="1450" spans="2:3" ht="26.4" x14ac:dyDescent="0.25">
      <c r="B1450" s="11" t="s">
        <v>2763</v>
      </c>
      <c r="C1450" s="14" t="s">
        <v>1711</v>
      </c>
    </row>
    <row r="1451" spans="2:3" ht="26.4" x14ac:dyDescent="0.25">
      <c r="B1451" s="11" t="s">
        <v>2764</v>
      </c>
      <c r="C1451" s="14" t="s">
        <v>1711</v>
      </c>
    </row>
    <row r="1452" spans="2:3" ht="26.4" x14ac:dyDescent="0.25">
      <c r="B1452" s="11" t="s">
        <v>2765</v>
      </c>
      <c r="C1452" s="14" t="s">
        <v>1711</v>
      </c>
    </row>
    <row r="1453" spans="2:3" ht="26.4" x14ac:dyDescent="0.25">
      <c r="B1453" s="11" t="s">
        <v>2766</v>
      </c>
      <c r="C1453" s="14" t="s">
        <v>1711</v>
      </c>
    </row>
    <row r="1454" spans="2:3" ht="26.4" x14ac:dyDescent="0.25">
      <c r="B1454" s="11" t="s">
        <v>2767</v>
      </c>
      <c r="C1454" s="14" t="s">
        <v>1711</v>
      </c>
    </row>
    <row r="1455" spans="2:3" ht="26.4" x14ac:dyDescent="0.25">
      <c r="B1455" s="11" t="s">
        <v>2768</v>
      </c>
      <c r="C1455" s="14" t="s">
        <v>1711</v>
      </c>
    </row>
    <row r="1456" spans="2:3" ht="26.4" x14ac:dyDescent="0.25">
      <c r="B1456" s="11" t="s">
        <v>2769</v>
      </c>
      <c r="C1456" s="14" t="s">
        <v>1711</v>
      </c>
    </row>
    <row r="1457" spans="2:3" ht="26.4" x14ac:dyDescent="0.25">
      <c r="B1457" s="11" t="s">
        <v>2120</v>
      </c>
      <c r="C1457" s="14" t="s">
        <v>1711</v>
      </c>
    </row>
    <row r="1458" spans="2:3" ht="26.4" x14ac:dyDescent="0.25">
      <c r="B1458" s="11" t="s">
        <v>2694</v>
      </c>
      <c r="C1458" s="14" t="s">
        <v>1711</v>
      </c>
    </row>
    <row r="1459" spans="2:3" ht="26.4" x14ac:dyDescent="0.25">
      <c r="B1459" s="11" t="s">
        <v>2695</v>
      </c>
      <c r="C1459" s="14" t="s">
        <v>1711</v>
      </c>
    </row>
    <row r="1460" spans="2:3" x14ac:dyDescent="0.25">
      <c r="B1460" s="11" t="s">
        <v>702</v>
      </c>
      <c r="C1460" s="14" t="s">
        <v>1711</v>
      </c>
    </row>
    <row r="1461" spans="2:3" x14ac:dyDescent="0.25">
      <c r="B1461" s="11" t="s">
        <v>703</v>
      </c>
      <c r="C1461" s="14" t="s">
        <v>1711</v>
      </c>
    </row>
    <row r="1462" spans="2:3" x14ac:dyDescent="0.25">
      <c r="B1462" s="11" t="s">
        <v>704</v>
      </c>
      <c r="C1462" s="14" t="s">
        <v>1711</v>
      </c>
    </row>
    <row r="1463" spans="2:3" x14ac:dyDescent="0.25">
      <c r="B1463" s="11" t="s">
        <v>699</v>
      </c>
      <c r="C1463" s="14" t="s">
        <v>1711</v>
      </c>
    </row>
    <row r="1464" spans="2:3" x14ac:dyDescent="0.25">
      <c r="B1464" s="11" t="s">
        <v>700</v>
      </c>
      <c r="C1464" s="14" t="s">
        <v>1711</v>
      </c>
    </row>
    <row r="1465" spans="2:3" x14ac:dyDescent="0.25">
      <c r="B1465" s="11" t="s">
        <v>701</v>
      </c>
      <c r="C1465" s="14" t="s">
        <v>1711</v>
      </c>
    </row>
    <row r="1466" spans="2:3" x14ac:dyDescent="0.25">
      <c r="B1466" s="11" t="s">
        <v>1376</v>
      </c>
      <c r="C1466" s="14" t="s">
        <v>1711</v>
      </c>
    </row>
    <row r="1467" spans="2:3" x14ac:dyDescent="0.25">
      <c r="B1467" s="11" t="s">
        <v>1110</v>
      </c>
      <c r="C1467" s="14" t="s">
        <v>1711</v>
      </c>
    </row>
    <row r="1468" spans="2:3" x14ac:dyDescent="0.25">
      <c r="B1468" s="11" t="s">
        <v>1034</v>
      </c>
      <c r="C1468" s="14" t="s">
        <v>2206</v>
      </c>
    </row>
    <row r="1469" spans="2:3" x14ac:dyDescent="0.25">
      <c r="B1469" s="11" t="s">
        <v>2313</v>
      </c>
      <c r="C1469" s="14" t="s">
        <v>1711</v>
      </c>
    </row>
    <row r="1470" spans="2:3" x14ac:dyDescent="0.25">
      <c r="B1470" s="11" t="s">
        <v>1034</v>
      </c>
      <c r="C1470" s="14" t="s">
        <v>2206</v>
      </c>
    </row>
    <row r="1471" spans="2:3" x14ac:dyDescent="0.25">
      <c r="B1471" s="11" t="s">
        <v>987</v>
      </c>
      <c r="C1471" s="14" t="s">
        <v>1711</v>
      </c>
    </row>
    <row r="1472" spans="2:3" x14ac:dyDescent="0.25">
      <c r="B1472" s="11" t="s">
        <v>988</v>
      </c>
      <c r="C1472" s="14" t="s">
        <v>1711</v>
      </c>
    </row>
    <row r="1473" spans="2:3" x14ac:dyDescent="0.25">
      <c r="B1473" s="11" t="s">
        <v>2797</v>
      </c>
      <c r="C1473" s="14" t="s">
        <v>1711</v>
      </c>
    </row>
    <row r="1474" spans="2:3" x14ac:dyDescent="0.25">
      <c r="B1474" s="11" t="s">
        <v>1999</v>
      </c>
      <c r="C1474" s="14" t="s">
        <v>1711</v>
      </c>
    </row>
    <row r="1475" spans="2:3" x14ac:dyDescent="0.25">
      <c r="B1475" s="11" t="s">
        <v>2786</v>
      </c>
      <c r="C1475" s="14" t="s">
        <v>1711</v>
      </c>
    </row>
    <row r="1476" spans="2:3" x14ac:dyDescent="0.25">
      <c r="B1476" s="11" t="s">
        <v>2784</v>
      </c>
      <c r="C1476" s="14" t="s">
        <v>1711</v>
      </c>
    </row>
    <row r="1477" spans="2:3" x14ac:dyDescent="0.25">
      <c r="B1477" s="11" t="s">
        <v>1996</v>
      </c>
      <c r="C1477" s="14" t="s">
        <v>1711</v>
      </c>
    </row>
    <row r="1478" spans="2:3" x14ac:dyDescent="0.25">
      <c r="B1478" s="11" t="s">
        <v>1997</v>
      </c>
      <c r="C1478" s="14" t="s">
        <v>1711</v>
      </c>
    </row>
    <row r="1479" spans="2:3" x14ac:dyDescent="0.25">
      <c r="B1479" s="11" t="s">
        <v>1998</v>
      </c>
      <c r="C1479" s="14" t="s">
        <v>1711</v>
      </c>
    </row>
    <row r="1480" spans="2:3" ht="26.4" x14ac:dyDescent="0.25">
      <c r="B1480" s="11" t="s">
        <v>909</v>
      </c>
      <c r="C1480" s="14" t="s">
        <v>1711</v>
      </c>
    </row>
    <row r="1481" spans="2:3" ht="26.4" x14ac:dyDescent="0.25">
      <c r="B1481" s="11" t="s">
        <v>906</v>
      </c>
      <c r="C1481" s="14" t="s">
        <v>1711</v>
      </c>
    </row>
    <row r="1482" spans="2:3" ht="26.4" x14ac:dyDescent="0.25">
      <c r="B1482" s="11" t="s">
        <v>907</v>
      </c>
      <c r="C1482" s="14" t="s">
        <v>1711</v>
      </c>
    </row>
    <row r="1483" spans="2:3" x14ac:dyDescent="0.25">
      <c r="B1483" s="11" t="s">
        <v>1781</v>
      </c>
      <c r="C1483" s="14" t="s">
        <v>1711</v>
      </c>
    </row>
    <row r="1484" spans="2:3" x14ac:dyDescent="0.25">
      <c r="B1484" s="11" t="s">
        <v>908</v>
      </c>
      <c r="C1484" s="14" t="s">
        <v>1711</v>
      </c>
    </row>
    <row r="1485" spans="2:3" ht="26.4" x14ac:dyDescent="0.25">
      <c r="B1485" s="11" t="s">
        <v>910</v>
      </c>
      <c r="C1485" s="14" t="s">
        <v>1711</v>
      </c>
    </row>
    <row r="1486" spans="2:3" x14ac:dyDescent="0.25">
      <c r="B1486" s="11" t="s">
        <v>1523</v>
      </c>
      <c r="C1486" s="14" t="s">
        <v>1711</v>
      </c>
    </row>
    <row r="1487" spans="2:3" x14ac:dyDescent="0.25">
      <c r="B1487" s="11" t="s">
        <v>2712</v>
      </c>
      <c r="C1487" s="14" t="s">
        <v>1711</v>
      </c>
    </row>
    <row r="1488" spans="2:3" x14ac:dyDescent="0.25">
      <c r="C1488" s="14" t="s">
        <v>544</v>
      </c>
    </row>
    <row r="1489" spans="2:3" x14ac:dyDescent="0.25">
      <c r="B1489" s="12" t="s">
        <v>2535</v>
      </c>
      <c r="C1489" s="14" t="s">
        <v>1711</v>
      </c>
    </row>
    <row r="1490" spans="2:3" x14ac:dyDescent="0.25">
      <c r="B1490" s="11" t="s">
        <v>1523</v>
      </c>
      <c r="C1490" s="14" t="s">
        <v>1711</v>
      </c>
    </row>
    <row r="1491" spans="2:3" x14ac:dyDescent="0.25">
      <c r="B1491" s="11" t="s">
        <v>1658</v>
      </c>
      <c r="C1491" s="14" t="s">
        <v>1711</v>
      </c>
    </row>
    <row r="1492" spans="2:3" x14ac:dyDescent="0.25">
      <c r="B1492" s="11" t="s">
        <v>2536</v>
      </c>
      <c r="C1492" s="14" t="s">
        <v>614</v>
      </c>
    </row>
    <row r="1493" spans="2:3" x14ac:dyDescent="0.25">
      <c r="B1493" s="11" t="s">
        <v>1376</v>
      </c>
      <c r="C1493" s="14" t="s">
        <v>1711</v>
      </c>
    </row>
    <row r="1494" spans="2:3" x14ac:dyDescent="0.25">
      <c r="B1494" s="11" t="s">
        <v>1110</v>
      </c>
      <c r="C1494" s="14" t="s">
        <v>1711</v>
      </c>
    </row>
    <row r="1495" spans="2:3" x14ac:dyDescent="0.25">
      <c r="B1495" s="11" t="s">
        <v>2537</v>
      </c>
      <c r="C1495" s="14" t="s">
        <v>2202</v>
      </c>
    </row>
    <row r="1496" spans="2:3" x14ac:dyDescent="0.25">
      <c r="B1496" s="11" t="s">
        <v>2428</v>
      </c>
      <c r="C1496" s="14">
        <v>0</v>
      </c>
    </row>
    <row r="1497" spans="2:3" ht="26.4" x14ac:dyDescent="0.25">
      <c r="B1497" s="11" t="s">
        <v>909</v>
      </c>
      <c r="C1497" s="14" t="s">
        <v>1711</v>
      </c>
    </row>
    <row r="1498" spans="2:3" ht="26.4" x14ac:dyDescent="0.25">
      <c r="B1498" s="11" t="s">
        <v>906</v>
      </c>
      <c r="C1498" s="14" t="s">
        <v>1711</v>
      </c>
    </row>
    <row r="1499" spans="2:3" x14ac:dyDescent="0.25">
      <c r="C1499" s="14" t="s">
        <v>544</v>
      </c>
    </row>
    <row r="1500" spans="2:3" x14ac:dyDescent="0.25">
      <c r="B1500" s="12" t="s">
        <v>2429</v>
      </c>
      <c r="C1500" s="14" t="s">
        <v>1711</v>
      </c>
    </row>
    <row r="1501" spans="2:3" x14ac:dyDescent="0.25">
      <c r="B1501" s="11" t="s">
        <v>2430</v>
      </c>
      <c r="C1501" s="14" t="s">
        <v>1711</v>
      </c>
    </row>
    <row r="1502" spans="2:3" x14ac:dyDescent="0.25">
      <c r="C1502" s="14" t="s">
        <v>544</v>
      </c>
    </row>
    <row r="1503" spans="2:3" x14ac:dyDescent="0.25">
      <c r="B1503" s="12" t="s">
        <v>2431</v>
      </c>
      <c r="C1503" s="14" t="s">
        <v>1711</v>
      </c>
    </row>
    <row r="1504" spans="2:3" x14ac:dyDescent="0.25">
      <c r="B1504" s="11" t="s">
        <v>2751</v>
      </c>
      <c r="C1504" s="14"/>
    </row>
    <row r="1505" spans="2:3" x14ac:dyDescent="0.25">
      <c r="B1505" s="11" t="s">
        <v>2752</v>
      </c>
      <c r="C1505" s="14"/>
    </row>
    <row r="1506" spans="2:3" x14ac:dyDescent="0.25">
      <c r="B1506" s="11" t="s">
        <v>2753</v>
      </c>
      <c r="C1506" s="14"/>
    </row>
    <row r="1507" spans="2:3" x14ac:dyDescent="0.25">
      <c r="B1507" s="11" t="s">
        <v>2754</v>
      </c>
      <c r="C1507" s="14"/>
    </row>
    <row r="1508" spans="2:3" x14ac:dyDescent="0.25">
      <c r="B1508" s="11" t="s">
        <v>2756</v>
      </c>
      <c r="C1508" s="14"/>
    </row>
    <row r="1509" spans="2:3" x14ac:dyDescent="0.25">
      <c r="B1509" s="11" t="s">
        <v>2757</v>
      </c>
      <c r="C1509" s="14"/>
    </row>
    <row r="1510" spans="2:3" x14ac:dyDescent="0.25">
      <c r="C1510" s="14"/>
    </row>
    <row r="1511" spans="2:3" x14ac:dyDescent="0.25">
      <c r="C1511" s="14"/>
    </row>
    <row r="1512" spans="2:3" x14ac:dyDescent="0.25">
      <c r="C1512" s="14"/>
    </row>
    <row r="1513" spans="2:3" x14ac:dyDescent="0.25">
      <c r="B1513" s="3" t="s">
        <v>706</v>
      </c>
      <c r="C1513" s="14" t="s">
        <v>1711</v>
      </c>
    </row>
    <row r="1514" spans="2:3" x14ac:dyDescent="0.25">
      <c r="B1514" s="11" t="s">
        <v>1376</v>
      </c>
      <c r="C1514" s="14" t="s">
        <v>1711</v>
      </c>
    </row>
    <row r="1515" spans="2:3" x14ac:dyDescent="0.25">
      <c r="B1515" s="11" t="s">
        <v>1110</v>
      </c>
      <c r="C1515" s="14" t="s">
        <v>1711</v>
      </c>
    </row>
    <row r="1516" spans="2:3" x14ac:dyDescent="0.25">
      <c r="B1516" s="11" t="s">
        <v>1034</v>
      </c>
      <c r="C1516" s="14" t="s">
        <v>2206</v>
      </c>
    </row>
    <row r="1517" spans="2:3" x14ac:dyDescent="0.25">
      <c r="B1517" s="11" t="s">
        <v>2313</v>
      </c>
      <c r="C1517" s="14" t="s">
        <v>1711</v>
      </c>
    </row>
    <row r="1518" spans="2:3" x14ac:dyDescent="0.25">
      <c r="B1518" s="11" t="s">
        <v>1034</v>
      </c>
      <c r="C1518" s="14" t="s">
        <v>2206</v>
      </c>
    </row>
    <row r="1519" spans="2:3" x14ac:dyDescent="0.25">
      <c r="B1519" s="11" t="s">
        <v>2432</v>
      </c>
      <c r="C1519" s="14" t="s">
        <v>1802</v>
      </c>
    </row>
    <row r="1520" spans="2:3" x14ac:dyDescent="0.25">
      <c r="B1520" s="11" t="s">
        <v>2557</v>
      </c>
      <c r="C1520" s="14" t="s">
        <v>1802</v>
      </c>
    </row>
    <row r="1521" spans="2:3" x14ac:dyDescent="0.25">
      <c r="B1521" s="11" t="s">
        <v>2154</v>
      </c>
      <c r="C1521" s="14" t="s">
        <v>1714</v>
      </c>
    </row>
    <row r="1522" spans="2:3" x14ac:dyDescent="0.25">
      <c r="B1522" s="11" t="s">
        <v>2155</v>
      </c>
      <c r="C1522" s="14" t="s">
        <v>1714</v>
      </c>
    </row>
    <row r="1523" spans="2:3" x14ac:dyDescent="0.25">
      <c r="B1523" s="11" t="s">
        <v>987</v>
      </c>
      <c r="C1523" s="14" t="s">
        <v>1711</v>
      </c>
    </row>
    <row r="1524" spans="2:3" x14ac:dyDescent="0.25">
      <c r="B1524" s="11" t="s">
        <v>988</v>
      </c>
      <c r="C1524" s="14" t="s">
        <v>1711</v>
      </c>
    </row>
    <row r="1525" spans="2:3" x14ac:dyDescent="0.25">
      <c r="B1525" s="11" t="s">
        <v>2797</v>
      </c>
      <c r="C1525" s="14" t="s">
        <v>1711</v>
      </c>
    </row>
    <row r="1526" spans="2:3" x14ac:dyDescent="0.25">
      <c r="B1526" s="11" t="s">
        <v>2755</v>
      </c>
      <c r="C1526" s="14" t="s">
        <v>1711</v>
      </c>
    </row>
    <row r="1527" spans="2:3" ht="26.4" x14ac:dyDescent="0.25">
      <c r="B1527" s="11" t="s">
        <v>909</v>
      </c>
      <c r="C1527" s="14" t="s">
        <v>1711</v>
      </c>
    </row>
    <row r="1528" spans="2:3" ht="26.4" x14ac:dyDescent="0.25">
      <c r="B1528" s="11" t="s">
        <v>906</v>
      </c>
      <c r="C1528" s="14" t="s">
        <v>1711</v>
      </c>
    </row>
    <row r="1529" spans="2:3" ht="26.4" x14ac:dyDescent="0.25">
      <c r="B1529" s="11" t="s">
        <v>907</v>
      </c>
      <c r="C1529" s="14" t="s">
        <v>1711</v>
      </c>
    </row>
    <row r="1530" spans="2:3" x14ac:dyDescent="0.25">
      <c r="B1530" s="11" t="s">
        <v>1781</v>
      </c>
      <c r="C1530" s="14" t="s">
        <v>1711</v>
      </c>
    </row>
    <row r="1531" spans="2:3" x14ac:dyDescent="0.25">
      <c r="B1531" s="11" t="s">
        <v>908</v>
      </c>
      <c r="C1531" s="14" t="s">
        <v>1711</v>
      </c>
    </row>
    <row r="1532" spans="2:3" ht="26.4" x14ac:dyDescent="0.25">
      <c r="B1532" s="11" t="s">
        <v>910</v>
      </c>
      <c r="C1532" s="14" t="s">
        <v>1711</v>
      </c>
    </row>
    <row r="1533" spans="2:3" x14ac:dyDescent="0.25">
      <c r="B1533" s="11" t="s">
        <v>1523</v>
      </c>
      <c r="C1533" s="14" t="s">
        <v>1711</v>
      </c>
    </row>
    <row r="1534" spans="2:3" x14ac:dyDescent="0.25">
      <c r="B1534" s="11" t="s">
        <v>13</v>
      </c>
      <c r="C1534" s="14" t="s">
        <v>1711</v>
      </c>
    </row>
    <row r="1535" spans="2:3" x14ac:dyDescent="0.25">
      <c r="B1535" s="11" t="s">
        <v>243</v>
      </c>
      <c r="C1535" s="14" t="s">
        <v>1711</v>
      </c>
    </row>
    <row r="1536" spans="2:3" x14ac:dyDescent="0.25">
      <c r="B1536" s="11" t="s">
        <v>2433</v>
      </c>
      <c r="C1536" s="14" t="s">
        <v>1711</v>
      </c>
    </row>
    <row r="1537" spans="2:3" x14ac:dyDescent="0.25">
      <c r="B1537" s="1" t="s">
        <v>2773</v>
      </c>
      <c r="C1537" s="14" t="s">
        <v>1387</v>
      </c>
    </row>
    <row r="1538" spans="2:3" x14ac:dyDescent="0.25">
      <c r="B1538" s="9" t="s">
        <v>2774</v>
      </c>
      <c r="C1538" s="14">
        <v>0</v>
      </c>
    </row>
    <row r="1539" spans="2:3" x14ac:dyDescent="0.25">
      <c r="B1539" s="9" t="s">
        <v>654</v>
      </c>
      <c r="C1539" s="14">
        <v>0</v>
      </c>
    </row>
    <row r="1540" spans="2:3" x14ac:dyDescent="0.25">
      <c r="B1540" s="1" t="s">
        <v>655</v>
      </c>
      <c r="C1540" s="14" t="s">
        <v>1388</v>
      </c>
    </row>
    <row r="1541" spans="2:3" x14ac:dyDescent="0.25">
      <c r="B1541" s="9" t="s">
        <v>656</v>
      </c>
      <c r="C1541" s="14" t="s">
        <v>1732</v>
      </c>
    </row>
    <row r="1542" spans="2:3" x14ac:dyDescent="0.25">
      <c r="B1542" s="9" t="s">
        <v>657</v>
      </c>
      <c r="C1542" s="14" t="s">
        <v>1732</v>
      </c>
    </row>
    <row r="1543" spans="2:3" x14ac:dyDescent="0.25">
      <c r="B1543" s="9" t="s">
        <v>2787</v>
      </c>
      <c r="C1543" s="14" t="s">
        <v>1732</v>
      </c>
    </row>
    <row r="1544" spans="2:3" x14ac:dyDescent="0.25">
      <c r="B1544" s="9" t="s">
        <v>1723</v>
      </c>
      <c r="C1544" s="14">
        <v>0</v>
      </c>
    </row>
    <row r="1545" spans="2:3" x14ac:dyDescent="0.25">
      <c r="B1545" s="9" t="s">
        <v>2832</v>
      </c>
      <c r="C1545" s="14">
        <v>0</v>
      </c>
    </row>
    <row r="1546" spans="2:3" x14ac:dyDescent="0.25">
      <c r="C1546" s="14" t="s">
        <v>544</v>
      </c>
    </row>
    <row r="1547" spans="2:3" x14ac:dyDescent="0.25">
      <c r="B1547" s="12" t="s">
        <v>155</v>
      </c>
      <c r="C1547" s="14" t="s">
        <v>1711</v>
      </c>
    </row>
    <row r="1548" spans="2:3" x14ac:dyDescent="0.25">
      <c r="B1548" s="11" t="s">
        <v>1376</v>
      </c>
      <c r="C1548" s="14" t="s">
        <v>1711</v>
      </c>
    </row>
    <row r="1549" spans="2:3" x14ac:dyDescent="0.25">
      <c r="B1549" s="11" t="s">
        <v>1110</v>
      </c>
      <c r="C1549" s="14" t="s">
        <v>1711</v>
      </c>
    </row>
    <row r="1550" spans="2:3" x14ac:dyDescent="0.25">
      <c r="B1550" s="11" t="s">
        <v>1034</v>
      </c>
      <c r="C1550" s="14" t="s">
        <v>2206</v>
      </c>
    </row>
    <row r="1551" spans="2:3" x14ac:dyDescent="0.25">
      <c r="B1551" s="11" t="s">
        <v>2313</v>
      </c>
      <c r="C1551" s="14" t="s">
        <v>1711</v>
      </c>
    </row>
    <row r="1552" spans="2:3" x14ac:dyDescent="0.25">
      <c r="B1552" s="11" t="s">
        <v>1034</v>
      </c>
      <c r="C1552" s="14" t="s">
        <v>2206</v>
      </c>
    </row>
    <row r="1553" spans="2:3" x14ac:dyDescent="0.25">
      <c r="B1553" s="11" t="s">
        <v>2432</v>
      </c>
      <c r="C1553" s="14" t="s">
        <v>1802</v>
      </c>
    </row>
    <row r="1554" spans="2:3" x14ac:dyDescent="0.25">
      <c r="B1554" s="11" t="s">
        <v>2557</v>
      </c>
      <c r="C1554" s="14" t="s">
        <v>1802</v>
      </c>
    </row>
    <row r="1555" spans="2:3" x14ac:dyDescent="0.25">
      <c r="B1555" s="11" t="s">
        <v>2154</v>
      </c>
      <c r="C1555" s="14" t="s">
        <v>1714</v>
      </c>
    </row>
    <row r="1556" spans="2:3" x14ac:dyDescent="0.25">
      <c r="B1556" s="11" t="s">
        <v>2155</v>
      </c>
      <c r="C1556" s="14" t="s">
        <v>1714</v>
      </c>
    </row>
    <row r="1557" spans="2:3" x14ac:dyDescent="0.25">
      <c r="B1557" s="11" t="s">
        <v>988</v>
      </c>
      <c r="C1557" s="14" t="s">
        <v>1711</v>
      </c>
    </row>
    <row r="1558" spans="2:3" x14ac:dyDescent="0.25">
      <c r="B1558" s="11" t="s">
        <v>2797</v>
      </c>
      <c r="C1558" s="14" t="s">
        <v>1711</v>
      </c>
    </row>
    <row r="1559" spans="2:3" x14ac:dyDescent="0.25">
      <c r="B1559" s="11" t="s">
        <v>1999</v>
      </c>
      <c r="C1559" s="14" t="s">
        <v>1711</v>
      </c>
    </row>
    <row r="1560" spans="2:3" x14ac:dyDescent="0.25">
      <c r="B1560" s="11" t="s">
        <v>2786</v>
      </c>
      <c r="C1560" s="14" t="s">
        <v>1711</v>
      </c>
    </row>
    <row r="1561" spans="2:3" x14ac:dyDescent="0.25">
      <c r="B1561" s="11" t="s">
        <v>2784</v>
      </c>
      <c r="C1561" s="14" t="s">
        <v>1711</v>
      </c>
    </row>
    <row r="1562" spans="2:3" x14ac:dyDescent="0.25">
      <c r="B1562" s="11" t="s">
        <v>1996</v>
      </c>
      <c r="C1562" s="14" t="s">
        <v>1711</v>
      </c>
    </row>
    <row r="1563" spans="2:3" x14ac:dyDescent="0.25">
      <c r="B1563" s="11" t="s">
        <v>1997</v>
      </c>
      <c r="C1563" s="14" t="s">
        <v>1711</v>
      </c>
    </row>
    <row r="1564" spans="2:3" x14ac:dyDescent="0.25">
      <c r="B1564" s="11" t="s">
        <v>1998</v>
      </c>
      <c r="C1564" s="14" t="s">
        <v>1711</v>
      </c>
    </row>
    <row r="1565" spans="2:3" ht="26.4" x14ac:dyDescent="0.25">
      <c r="B1565" s="11" t="s">
        <v>909</v>
      </c>
      <c r="C1565" s="14" t="s">
        <v>1711</v>
      </c>
    </row>
    <row r="1566" spans="2:3" ht="26.4" x14ac:dyDescent="0.25">
      <c r="B1566" s="11" t="s">
        <v>906</v>
      </c>
      <c r="C1566" s="14" t="s">
        <v>1711</v>
      </c>
    </row>
    <row r="1567" spans="2:3" ht="26.4" x14ac:dyDescent="0.25">
      <c r="B1567" s="11" t="s">
        <v>907</v>
      </c>
      <c r="C1567" s="14" t="s">
        <v>1711</v>
      </c>
    </row>
    <row r="1568" spans="2:3" x14ac:dyDescent="0.25">
      <c r="B1568" s="11" t="s">
        <v>1781</v>
      </c>
      <c r="C1568" s="14" t="s">
        <v>1711</v>
      </c>
    </row>
    <row r="1569" spans="2:3" x14ac:dyDescent="0.25">
      <c r="B1569" s="11" t="s">
        <v>908</v>
      </c>
      <c r="C1569" s="14" t="s">
        <v>1711</v>
      </c>
    </row>
    <row r="1570" spans="2:3" ht="26.4" x14ac:dyDescent="0.25">
      <c r="B1570" s="11" t="s">
        <v>910</v>
      </c>
      <c r="C1570" s="14" t="s">
        <v>1711</v>
      </c>
    </row>
    <row r="1571" spans="2:3" x14ac:dyDescent="0.25">
      <c r="B1571" s="11" t="s">
        <v>1523</v>
      </c>
      <c r="C1571" s="14" t="s">
        <v>1711</v>
      </c>
    </row>
    <row r="1572" spans="2:3" x14ac:dyDescent="0.25">
      <c r="B1572" s="11" t="s">
        <v>2696</v>
      </c>
      <c r="C1572" s="14" t="s">
        <v>1714</v>
      </c>
    </row>
    <row r="1573" spans="2:3" x14ac:dyDescent="0.25">
      <c r="B1573" s="11" t="s">
        <v>2697</v>
      </c>
      <c r="C1573" s="14" t="s">
        <v>1711</v>
      </c>
    </row>
    <row r="1574" spans="2:3" x14ac:dyDescent="0.25">
      <c r="C1574" s="14" t="s">
        <v>544</v>
      </c>
    </row>
    <row r="1575" spans="2:3" x14ac:dyDescent="0.25">
      <c r="B1575" s="12" t="s">
        <v>156</v>
      </c>
      <c r="C1575" s="14" t="s">
        <v>1711</v>
      </c>
    </row>
    <row r="1576" spans="2:3" ht="26.4" x14ac:dyDescent="0.25">
      <c r="B1576" s="3" t="s">
        <v>979</v>
      </c>
      <c r="C1576" s="14" t="e">
        <v>#N/A</v>
      </c>
    </row>
    <row r="1577" spans="2:3" x14ac:dyDescent="0.25">
      <c r="B1577" s="11" t="s">
        <v>1376</v>
      </c>
      <c r="C1577" s="14" t="s">
        <v>1711</v>
      </c>
    </row>
    <row r="1578" spans="2:3" x14ac:dyDescent="0.25">
      <c r="B1578" s="11" t="s">
        <v>1110</v>
      </c>
      <c r="C1578" s="14" t="s">
        <v>1711</v>
      </c>
    </row>
    <row r="1579" spans="2:3" x14ac:dyDescent="0.25">
      <c r="B1579" s="11" t="s">
        <v>1034</v>
      </c>
      <c r="C1579" s="14" t="s">
        <v>2206</v>
      </c>
    </row>
    <row r="1580" spans="2:3" x14ac:dyDescent="0.25">
      <c r="B1580" s="11" t="s">
        <v>2313</v>
      </c>
      <c r="C1580" s="14" t="s">
        <v>1711</v>
      </c>
    </row>
    <row r="1581" spans="2:3" x14ac:dyDescent="0.25">
      <c r="B1581" s="11" t="s">
        <v>1034</v>
      </c>
      <c r="C1581" s="14" t="s">
        <v>2206</v>
      </c>
    </row>
    <row r="1582" spans="2:3" x14ac:dyDescent="0.25">
      <c r="B1582" s="9" t="s">
        <v>2832</v>
      </c>
      <c r="C1582" s="14">
        <v>0</v>
      </c>
    </row>
    <row r="1583" spans="2:3" x14ac:dyDescent="0.25">
      <c r="B1583" s="11" t="s">
        <v>987</v>
      </c>
      <c r="C1583" s="14" t="s">
        <v>1711</v>
      </c>
    </row>
    <row r="1584" spans="2:3" x14ac:dyDescent="0.25">
      <c r="B1584" s="11" t="s">
        <v>988</v>
      </c>
      <c r="C1584" s="14" t="s">
        <v>1711</v>
      </c>
    </row>
    <row r="1585" spans="2:3" ht="26.4" x14ac:dyDescent="0.25">
      <c r="B1585" s="11" t="s">
        <v>909</v>
      </c>
      <c r="C1585" s="14" t="s">
        <v>1711</v>
      </c>
    </row>
    <row r="1586" spans="2:3" ht="26.4" x14ac:dyDescent="0.25">
      <c r="B1586" s="11" t="s">
        <v>906</v>
      </c>
      <c r="C1586" s="14" t="s">
        <v>1711</v>
      </c>
    </row>
    <row r="1587" spans="2:3" ht="26.4" x14ac:dyDescent="0.25">
      <c r="B1587" s="11" t="s">
        <v>907</v>
      </c>
      <c r="C1587" s="14" t="s">
        <v>1711</v>
      </c>
    </row>
    <row r="1588" spans="2:3" x14ac:dyDescent="0.25">
      <c r="B1588" s="11" t="s">
        <v>1781</v>
      </c>
      <c r="C1588" s="14" t="s">
        <v>1711</v>
      </c>
    </row>
    <row r="1589" spans="2:3" x14ac:dyDescent="0.25">
      <c r="B1589" s="11" t="s">
        <v>908</v>
      </c>
      <c r="C1589" s="14" t="s">
        <v>1711</v>
      </c>
    </row>
    <row r="1590" spans="2:3" ht="26.4" x14ac:dyDescent="0.25">
      <c r="B1590" s="11" t="s">
        <v>910</v>
      </c>
      <c r="C1590" s="14" t="s">
        <v>1711</v>
      </c>
    </row>
    <row r="1591" spans="2:3" x14ac:dyDescent="0.25">
      <c r="B1591" s="11" t="s">
        <v>1523</v>
      </c>
      <c r="C1591" s="14" t="s">
        <v>1711</v>
      </c>
    </row>
    <row r="1592" spans="2:3" x14ac:dyDescent="0.25">
      <c r="B1592" s="11" t="s">
        <v>243</v>
      </c>
      <c r="C1592" s="14" t="s">
        <v>1711</v>
      </c>
    </row>
    <row r="1593" spans="2:3" x14ac:dyDescent="0.25">
      <c r="B1593" s="11" t="s">
        <v>2433</v>
      </c>
      <c r="C1593" s="14" t="s">
        <v>1711</v>
      </c>
    </row>
    <row r="1594" spans="2:3" x14ac:dyDescent="0.25">
      <c r="B1594" s="11" t="s">
        <v>1963</v>
      </c>
      <c r="C1594" s="14" t="s">
        <v>1387</v>
      </c>
    </row>
    <row r="1595" spans="2:3" x14ac:dyDescent="0.25">
      <c r="B1595" s="11" t="s">
        <v>1111</v>
      </c>
      <c r="C1595" s="14" t="s">
        <v>1387</v>
      </c>
    </row>
    <row r="1596" spans="2:3" x14ac:dyDescent="0.25">
      <c r="B1596" s="11" t="s">
        <v>1964</v>
      </c>
      <c r="C1596" s="14" t="s">
        <v>1387</v>
      </c>
    </row>
    <row r="1597" spans="2:3" x14ac:dyDescent="0.25">
      <c r="B1597" s="11" t="s">
        <v>1965</v>
      </c>
      <c r="C1597" s="14" t="s">
        <v>1387</v>
      </c>
    </row>
    <row r="1598" spans="2:3" x14ac:dyDescent="0.25">
      <c r="C1598" s="14" t="s">
        <v>544</v>
      </c>
    </row>
    <row r="1599" spans="2:3" x14ac:dyDescent="0.25">
      <c r="B1599" s="12" t="s">
        <v>157</v>
      </c>
      <c r="C1599" s="14" t="s">
        <v>1711</v>
      </c>
    </row>
    <row r="1600" spans="2:3" x14ac:dyDescent="0.25">
      <c r="B1600" s="11" t="s">
        <v>1525</v>
      </c>
      <c r="C1600" s="14" t="s">
        <v>1711</v>
      </c>
    </row>
    <row r="1601" spans="2:3" x14ac:dyDescent="0.25">
      <c r="B1601" s="11" t="s">
        <v>1389</v>
      </c>
      <c r="C1601" s="14" t="s">
        <v>2206</v>
      </c>
    </row>
    <row r="1602" spans="2:3" x14ac:dyDescent="0.25">
      <c r="B1602" s="11" t="s">
        <v>2159</v>
      </c>
      <c r="C1602" s="14" t="s">
        <v>1715</v>
      </c>
    </row>
    <row r="1603" spans="2:3" x14ac:dyDescent="0.25">
      <c r="B1603" s="11" t="s">
        <v>2158</v>
      </c>
      <c r="C1603" s="14" t="s">
        <v>1715</v>
      </c>
    </row>
    <row r="1604" spans="2:3" x14ac:dyDescent="0.25">
      <c r="B1604" s="11" t="s">
        <v>1996</v>
      </c>
      <c r="C1604" s="14" t="s">
        <v>1711</v>
      </c>
    </row>
    <row r="1605" spans="2:3" x14ac:dyDescent="0.25">
      <c r="B1605" s="11" t="s">
        <v>1997</v>
      </c>
      <c r="C1605" s="14" t="s">
        <v>1711</v>
      </c>
    </row>
    <row r="1606" spans="2:3" x14ac:dyDescent="0.25">
      <c r="B1606" s="11" t="s">
        <v>1998</v>
      </c>
      <c r="C1606" s="14" t="s">
        <v>1711</v>
      </c>
    </row>
    <row r="1607" spans="2:3" x14ac:dyDescent="0.25">
      <c r="B1607" s="11" t="s">
        <v>1999</v>
      </c>
      <c r="C1607" s="14" t="s">
        <v>1711</v>
      </c>
    </row>
    <row r="1608" spans="2:3" x14ac:dyDescent="0.25">
      <c r="B1608" s="11" t="s">
        <v>2786</v>
      </c>
      <c r="C1608" s="14" t="s">
        <v>1711</v>
      </c>
    </row>
    <row r="1609" spans="2:3" x14ac:dyDescent="0.25">
      <c r="B1609" s="11" t="s">
        <v>2784</v>
      </c>
      <c r="C1609" s="14" t="s">
        <v>1711</v>
      </c>
    </row>
    <row r="1610" spans="2:3" x14ac:dyDescent="0.25">
      <c r="B1610" s="3" t="s">
        <v>655</v>
      </c>
      <c r="C1610" s="14" t="s">
        <v>1388</v>
      </c>
    </row>
    <row r="1611" spans="2:3" x14ac:dyDescent="0.25">
      <c r="B1611" s="1" t="s">
        <v>2773</v>
      </c>
      <c r="C1611" s="14" t="s">
        <v>1387</v>
      </c>
    </row>
    <row r="1612" spans="2:3" ht="26.4" x14ac:dyDescent="0.25">
      <c r="B1612" s="11" t="s">
        <v>909</v>
      </c>
      <c r="C1612" s="14" t="s">
        <v>1711</v>
      </c>
    </row>
    <row r="1613" spans="2:3" ht="26.4" x14ac:dyDescent="0.25">
      <c r="B1613" s="11" t="s">
        <v>906</v>
      </c>
      <c r="C1613" s="14" t="s">
        <v>1711</v>
      </c>
    </row>
    <row r="1614" spans="2:3" ht="26.4" x14ac:dyDescent="0.25">
      <c r="B1614" s="11" t="s">
        <v>907</v>
      </c>
      <c r="C1614" s="14" t="s">
        <v>1711</v>
      </c>
    </row>
    <row r="1615" spans="2:3" x14ac:dyDescent="0.25">
      <c r="B1615" s="11" t="s">
        <v>1781</v>
      </c>
      <c r="C1615" s="14" t="s">
        <v>1711</v>
      </c>
    </row>
    <row r="1616" spans="2:3" x14ac:dyDescent="0.25">
      <c r="B1616" s="11" t="s">
        <v>908</v>
      </c>
      <c r="C1616" s="14" t="s">
        <v>1711</v>
      </c>
    </row>
    <row r="1617" spans="2:3" ht="26.4" x14ac:dyDescent="0.25">
      <c r="B1617" s="11" t="s">
        <v>910</v>
      </c>
      <c r="C1617" s="14" t="s">
        <v>1711</v>
      </c>
    </row>
    <row r="1618" spans="2:3" x14ac:dyDescent="0.25">
      <c r="B1618" s="11" t="s">
        <v>2182</v>
      </c>
      <c r="C1618" s="14" t="s">
        <v>1711</v>
      </c>
    </row>
    <row r="1619" spans="2:3" x14ac:dyDescent="0.25">
      <c r="B1619" s="11" t="s">
        <v>2838</v>
      </c>
      <c r="C1619" s="14" t="s">
        <v>1388</v>
      </c>
    </row>
    <row r="1620" spans="2:3" x14ac:dyDescent="0.25">
      <c r="B1620" s="11" t="s">
        <v>2737</v>
      </c>
      <c r="C1620" s="14" t="s">
        <v>1711</v>
      </c>
    </row>
    <row r="1621" spans="2:3" x14ac:dyDescent="0.25">
      <c r="C1621" s="14" t="s">
        <v>544</v>
      </c>
    </row>
    <row r="1622" spans="2:3" x14ac:dyDescent="0.25">
      <c r="B1622" s="12" t="s">
        <v>158</v>
      </c>
      <c r="C1622" s="14" t="s">
        <v>1711</v>
      </c>
    </row>
    <row r="1623" spans="2:3" x14ac:dyDescent="0.25">
      <c r="B1623" s="2" t="s">
        <v>246</v>
      </c>
      <c r="C1623" s="14" t="s">
        <v>1711</v>
      </c>
    </row>
    <row r="1624" spans="2:3" x14ac:dyDescent="0.25">
      <c r="C1624" s="14" t="s">
        <v>544</v>
      </c>
    </row>
    <row r="1625" spans="2:3" x14ac:dyDescent="0.25">
      <c r="B1625" s="12" t="s">
        <v>159</v>
      </c>
      <c r="C1625" s="14" t="s">
        <v>1711</v>
      </c>
    </row>
    <row r="1626" spans="2:3" x14ac:dyDescent="0.25">
      <c r="B1626" s="3" t="s">
        <v>706</v>
      </c>
      <c r="C1626" s="14" t="s">
        <v>1711</v>
      </c>
    </row>
    <row r="1627" spans="2:3" x14ac:dyDescent="0.25">
      <c r="B1627" s="11" t="s">
        <v>1371</v>
      </c>
      <c r="C1627" s="14" t="s">
        <v>1711</v>
      </c>
    </row>
    <row r="1628" spans="2:3" x14ac:dyDescent="0.25">
      <c r="B1628" s="11" t="s">
        <v>1372</v>
      </c>
      <c r="C1628" s="14" t="s">
        <v>1711</v>
      </c>
    </row>
    <row r="1629" spans="2:3" x14ac:dyDescent="0.25">
      <c r="B1629" s="11" t="s">
        <v>1988</v>
      </c>
      <c r="C1629" s="14" t="s">
        <v>1711</v>
      </c>
    </row>
    <row r="1630" spans="2:3" x14ac:dyDescent="0.25">
      <c r="B1630" s="11" t="s">
        <v>1989</v>
      </c>
      <c r="C1630" s="14" t="s">
        <v>1711</v>
      </c>
    </row>
    <row r="1631" spans="2:3" x14ac:dyDescent="0.25">
      <c r="B1631" s="11" t="s">
        <v>2195</v>
      </c>
      <c r="C1631" s="14" t="s">
        <v>1711</v>
      </c>
    </row>
    <row r="1632" spans="2:3" x14ac:dyDescent="0.25">
      <c r="B1632" s="11" t="s">
        <v>2196</v>
      </c>
      <c r="C1632" s="14" t="s">
        <v>1711</v>
      </c>
    </row>
    <row r="1633" spans="2:3" x14ac:dyDescent="0.25">
      <c r="B1633" s="11" t="s">
        <v>2193</v>
      </c>
      <c r="C1633" s="14" t="s">
        <v>1711</v>
      </c>
    </row>
    <row r="1634" spans="2:3" x14ac:dyDescent="0.25">
      <c r="B1634" s="11" t="s">
        <v>2194</v>
      </c>
      <c r="C1634" s="14" t="s">
        <v>1711</v>
      </c>
    </row>
    <row r="1635" spans="2:3" x14ac:dyDescent="0.25">
      <c r="B1635" s="11" t="s">
        <v>600</v>
      </c>
      <c r="C1635" s="14" t="s">
        <v>1711</v>
      </c>
    </row>
    <row r="1636" spans="2:3" x14ac:dyDescent="0.25">
      <c r="B1636" s="11" t="s">
        <v>1184</v>
      </c>
      <c r="C1636" s="14" t="s">
        <v>1711</v>
      </c>
    </row>
    <row r="1637" spans="2:3" x14ac:dyDescent="0.25">
      <c r="B1637" s="11" t="s">
        <v>1185</v>
      </c>
      <c r="C1637" s="14" t="s">
        <v>1711</v>
      </c>
    </row>
    <row r="1638" spans="2:3" x14ac:dyDescent="0.25">
      <c r="B1638" s="11" t="s">
        <v>1186</v>
      </c>
      <c r="C1638" s="14" t="s">
        <v>1711</v>
      </c>
    </row>
    <row r="1639" spans="2:3" x14ac:dyDescent="0.25">
      <c r="B1639" s="11" t="s">
        <v>1187</v>
      </c>
      <c r="C1639" s="14" t="s">
        <v>1711</v>
      </c>
    </row>
    <row r="1640" spans="2:3" x14ac:dyDescent="0.25">
      <c r="B1640" s="11" t="s">
        <v>203</v>
      </c>
      <c r="C1640" s="14" t="s">
        <v>1711</v>
      </c>
    </row>
    <row r="1641" spans="2:3" x14ac:dyDescent="0.25">
      <c r="B1641" s="11" t="s">
        <v>1188</v>
      </c>
      <c r="C1641" s="14" t="s">
        <v>1711</v>
      </c>
    </row>
    <row r="1642" spans="2:3" x14ac:dyDescent="0.25">
      <c r="B1642" s="11" t="s">
        <v>2363</v>
      </c>
      <c r="C1642" s="14" t="s">
        <v>1711</v>
      </c>
    </row>
    <row r="1643" spans="2:3" x14ac:dyDescent="0.25">
      <c r="B1643" s="11" t="s">
        <v>2364</v>
      </c>
      <c r="C1643" s="14" t="s">
        <v>1711</v>
      </c>
    </row>
    <row r="1644" spans="2:3" x14ac:dyDescent="0.25">
      <c r="B1644" s="11" t="s">
        <v>1374</v>
      </c>
      <c r="C1644" s="14" t="s">
        <v>1711</v>
      </c>
    </row>
    <row r="1645" spans="2:3" x14ac:dyDescent="0.25">
      <c r="B1645" s="11" t="s">
        <v>1375</v>
      </c>
      <c r="C1645" s="14" t="s">
        <v>1711</v>
      </c>
    </row>
    <row r="1646" spans="2:3" x14ac:dyDescent="0.25">
      <c r="B1646" s="11" t="s">
        <v>2540</v>
      </c>
      <c r="C1646" s="14" t="s">
        <v>1711</v>
      </c>
    </row>
    <row r="1647" spans="2:3" x14ac:dyDescent="0.25">
      <c r="B1647" s="11" t="s">
        <v>2541</v>
      </c>
      <c r="C1647" s="14" t="s">
        <v>1711</v>
      </c>
    </row>
    <row r="1648" spans="2:3" x14ac:dyDescent="0.25">
      <c r="B1648" s="11" t="s">
        <v>2542</v>
      </c>
      <c r="C1648" s="14" t="s">
        <v>1711</v>
      </c>
    </row>
    <row r="1649" spans="2:3" x14ac:dyDescent="0.25">
      <c r="B1649" s="11" t="s">
        <v>1341</v>
      </c>
      <c r="C1649" s="14" t="s">
        <v>1711</v>
      </c>
    </row>
    <row r="1650" spans="2:3" x14ac:dyDescent="0.25">
      <c r="B1650" s="11" t="s">
        <v>1604</v>
      </c>
      <c r="C1650" s="14" t="s">
        <v>1711</v>
      </c>
    </row>
    <row r="1651" spans="2:3" x14ac:dyDescent="0.25">
      <c r="B1651" s="11" t="s">
        <v>1605</v>
      </c>
      <c r="C1651" s="14" t="s">
        <v>1711</v>
      </c>
    </row>
    <row r="1652" spans="2:3" x14ac:dyDescent="0.25">
      <c r="B1652" s="11" t="s">
        <v>1004</v>
      </c>
      <c r="C1652" s="14" t="s">
        <v>1711</v>
      </c>
    </row>
    <row r="1653" spans="2:3" x14ac:dyDescent="0.25">
      <c r="B1653" s="11" t="s">
        <v>1622</v>
      </c>
      <c r="C1653" s="14" t="s">
        <v>1711</v>
      </c>
    </row>
    <row r="1654" spans="2:3" x14ac:dyDescent="0.25">
      <c r="B1654" s="11" t="s">
        <v>231</v>
      </c>
      <c r="C1654" s="14" t="s">
        <v>1711</v>
      </c>
    </row>
    <row r="1655" spans="2:3" ht="26.4" x14ac:dyDescent="0.25">
      <c r="B1655" s="11" t="s">
        <v>2761</v>
      </c>
      <c r="C1655" s="14" t="s">
        <v>1711</v>
      </c>
    </row>
    <row r="1656" spans="2:3" ht="26.4" x14ac:dyDescent="0.25">
      <c r="B1656" s="11" t="s">
        <v>2762</v>
      </c>
      <c r="C1656" s="14" t="s">
        <v>1711</v>
      </c>
    </row>
    <row r="1657" spans="2:3" ht="26.4" x14ac:dyDescent="0.25">
      <c r="B1657" s="11" t="s">
        <v>2763</v>
      </c>
      <c r="C1657" s="14" t="s">
        <v>1711</v>
      </c>
    </row>
    <row r="1658" spans="2:3" ht="26.4" x14ac:dyDescent="0.25">
      <c r="B1658" s="11" t="s">
        <v>2764</v>
      </c>
      <c r="C1658" s="14" t="s">
        <v>1711</v>
      </c>
    </row>
    <row r="1659" spans="2:3" ht="26.4" x14ac:dyDescent="0.25">
      <c r="B1659" s="11" t="s">
        <v>2765</v>
      </c>
      <c r="C1659" s="14" t="s">
        <v>1711</v>
      </c>
    </row>
    <row r="1660" spans="2:3" ht="26.4" x14ac:dyDescent="0.25">
      <c r="B1660" s="11" t="s">
        <v>2766</v>
      </c>
      <c r="C1660" s="14" t="s">
        <v>1711</v>
      </c>
    </row>
    <row r="1661" spans="2:3" ht="26.4" x14ac:dyDescent="0.25">
      <c r="B1661" s="11" t="s">
        <v>2767</v>
      </c>
      <c r="C1661" s="14" t="s">
        <v>1711</v>
      </c>
    </row>
    <row r="1662" spans="2:3" ht="26.4" x14ac:dyDescent="0.25">
      <c r="B1662" s="11" t="s">
        <v>2768</v>
      </c>
      <c r="C1662" s="14" t="s">
        <v>1711</v>
      </c>
    </row>
    <row r="1663" spans="2:3" ht="26.4" x14ac:dyDescent="0.25">
      <c r="B1663" s="11" t="s">
        <v>2769</v>
      </c>
      <c r="C1663" s="14" t="s">
        <v>1711</v>
      </c>
    </row>
    <row r="1664" spans="2:3" ht="26.4" x14ac:dyDescent="0.25">
      <c r="B1664" s="11" t="s">
        <v>2120</v>
      </c>
      <c r="C1664" s="14" t="s">
        <v>1711</v>
      </c>
    </row>
    <row r="1665" spans="2:3" ht="26.4" x14ac:dyDescent="0.25">
      <c r="B1665" s="11" t="s">
        <v>2694</v>
      </c>
      <c r="C1665" s="14" t="s">
        <v>1711</v>
      </c>
    </row>
    <row r="1666" spans="2:3" ht="26.4" x14ac:dyDescent="0.25">
      <c r="B1666" s="11" t="s">
        <v>2695</v>
      </c>
      <c r="C1666" s="14" t="s">
        <v>1711</v>
      </c>
    </row>
    <row r="1667" spans="2:3" x14ac:dyDescent="0.25">
      <c r="B1667" s="11" t="s">
        <v>702</v>
      </c>
      <c r="C1667" s="14" t="s">
        <v>1711</v>
      </c>
    </row>
    <row r="1668" spans="2:3" x14ac:dyDescent="0.25">
      <c r="B1668" s="11" t="s">
        <v>703</v>
      </c>
      <c r="C1668" s="14" t="s">
        <v>1711</v>
      </c>
    </row>
    <row r="1669" spans="2:3" x14ac:dyDescent="0.25">
      <c r="B1669" s="11" t="s">
        <v>704</v>
      </c>
      <c r="C1669" s="14" t="s">
        <v>1711</v>
      </c>
    </row>
    <row r="1670" spans="2:3" x14ac:dyDescent="0.25">
      <c r="B1670" s="11" t="s">
        <v>699</v>
      </c>
      <c r="C1670" s="14" t="s">
        <v>1711</v>
      </c>
    </row>
    <row r="1671" spans="2:3" x14ac:dyDescent="0.25">
      <c r="B1671" s="11" t="s">
        <v>700</v>
      </c>
      <c r="C1671" s="14" t="s">
        <v>1711</v>
      </c>
    </row>
    <row r="1672" spans="2:3" x14ac:dyDescent="0.25">
      <c r="B1672" s="11" t="s">
        <v>701</v>
      </c>
      <c r="C1672" s="14" t="s">
        <v>1711</v>
      </c>
    </row>
    <row r="1673" spans="2:3" x14ac:dyDescent="0.25">
      <c r="B1673" s="11" t="s">
        <v>1376</v>
      </c>
      <c r="C1673" s="14" t="s">
        <v>1711</v>
      </c>
    </row>
    <row r="1674" spans="2:3" x14ac:dyDescent="0.25">
      <c r="B1674" s="11" t="s">
        <v>1110</v>
      </c>
      <c r="C1674" s="14" t="s">
        <v>1711</v>
      </c>
    </row>
    <row r="1675" spans="2:3" x14ac:dyDescent="0.25">
      <c r="B1675" s="11" t="s">
        <v>1034</v>
      </c>
      <c r="C1675" s="14" t="s">
        <v>2206</v>
      </c>
    </row>
    <row r="1676" spans="2:3" x14ac:dyDescent="0.25">
      <c r="B1676" s="11" t="s">
        <v>2313</v>
      </c>
      <c r="C1676" s="14" t="s">
        <v>1711</v>
      </c>
    </row>
    <row r="1677" spans="2:3" x14ac:dyDescent="0.25">
      <c r="B1677" s="11" t="s">
        <v>1034</v>
      </c>
      <c r="C1677" s="14" t="s">
        <v>2206</v>
      </c>
    </row>
    <row r="1678" spans="2:3" x14ac:dyDescent="0.25">
      <c r="B1678" s="11" t="s">
        <v>2432</v>
      </c>
      <c r="C1678" s="14" t="s">
        <v>1802</v>
      </c>
    </row>
    <row r="1679" spans="2:3" x14ac:dyDescent="0.25">
      <c r="B1679" s="11" t="s">
        <v>2557</v>
      </c>
      <c r="C1679" s="14" t="s">
        <v>1802</v>
      </c>
    </row>
    <row r="1680" spans="2:3" x14ac:dyDescent="0.25">
      <c r="B1680" s="11" t="s">
        <v>2154</v>
      </c>
      <c r="C1680" s="14" t="s">
        <v>1714</v>
      </c>
    </row>
    <row r="1681" spans="2:3" x14ac:dyDescent="0.25">
      <c r="B1681" s="11" t="s">
        <v>2155</v>
      </c>
      <c r="C1681" s="14" t="s">
        <v>1714</v>
      </c>
    </row>
    <row r="1682" spans="2:3" x14ac:dyDescent="0.25">
      <c r="B1682" s="11" t="s">
        <v>988</v>
      </c>
      <c r="C1682" s="14" t="s">
        <v>1711</v>
      </c>
    </row>
    <row r="1683" spans="2:3" x14ac:dyDescent="0.25">
      <c r="B1683" s="11" t="s">
        <v>2797</v>
      </c>
      <c r="C1683" s="14" t="s">
        <v>1711</v>
      </c>
    </row>
    <row r="1684" spans="2:3" x14ac:dyDescent="0.25">
      <c r="B1684" s="11" t="s">
        <v>1999</v>
      </c>
      <c r="C1684" s="14" t="s">
        <v>1711</v>
      </c>
    </row>
    <row r="1685" spans="2:3" x14ac:dyDescent="0.25">
      <c r="B1685" s="11" t="s">
        <v>2786</v>
      </c>
      <c r="C1685" s="14" t="s">
        <v>1711</v>
      </c>
    </row>
    <row r="1686" spans="2:3" x14ac:dyDescent="0.25">
      <c r="B1686" s="11" t="s">
        <v>2784</v>
      </c>
      <c r="C1686" s="14" t="s">
        <v>1711</v>
      </c>
    </row>
    <row r="1687" spans="2:3" x14ac:dyDescent="0.25">
      <c r="B1687" s="11" t="s">
        <v>1996</v>
      </c>
      <c r="C1687" s="14" t="s">
        <v>1711</v>
      </c>
    </row>
    <row r="1688" spans="2:3" x14ac:dyDescent="0.25">
      <c r="B1688" s="11" t="s">
        <v>1997</v>
      </c>
      <c r="C1688" s="14" t="s">
        <v>1711</v>
      </c>
    </row>
    <row r="1689" spans="2:3" x14ac:dyDescent="0.25">
      <c r="B1689" s="11" t="s">
        <v>1998</v>
      </c>
      <c r="C1689" s="14" t="s">
        <v>1711</v>
      </c>
    </row>
    <row r="1690" spans="2:3" ht="26.4" x14ac:dyDescent="0.25">
      <c r="B1690" s="11" t="s">
        <v>909</v>
      </c>
      <c r="C1690" s="14" t="s">
        <v>1711</v>
      </c>
    </row>
    <row r="1691" spans="2:3" ht="26.4" x14ac:dyDescent="0.25">
      <c r="B1691" s="11" t="s">
        <v>906</v>
      </c>
      <c r="C1691" s="14" t="s">
        <v>1711</v>
      </c>
    </row>
    <row r="1692" spans="2:3" ht="26.4" x14ac:dyDescent="0.25">
      <c r="B1692" s="11" t="s">
        <v>907</v>
      </c>
      <c r="C1692" s="14" t="s">
        <v>1711</v>
      </c>
    </row>
    <row r="1693" spans="2:3" x14ac:dyDescent="0.25">
      <c r="B1693" s="11" t="s">
        <v>1781</v>
      </c>
      <c r="C1693" s="14" t="s">
        <v>1711</v>
      </c>
    </row>
    <row r="1694" spans="2:3" x14ac:dyDescent="0.25">
      <c r="B1694" s="11" t="s">
        <v>908</v>
      </c>
      <c r="C1694" s="14" t="s">
        <v>1711</v>
      </c>
    </row>
    <row r="1695" spans="2:3" ht="26.4" x14ac:dyDescent="0.25">
      <c r="B1695" s="11" t="s">
        <v>910</v>
      </c>
      <c r="C1695" s="14" t="s">
        <v>1711</v>
      </c>
    </row>
    <row r="1696" spans="2:3" x14ac:dyDescent="0.25">
      <c r="B1696" s="11" t="s">
        <v>1523</v>
      </c>
      <c r="C1696" s="14" t="s">
        <v>1711</v>
      </c>
    </row>
    <row r="1697" spans="2:3" x14ac:dyDescent="0.25">
      <c r="B1697" s="11" t="s">
        <v>13</v>
      </c>
      <c r="C1697" s="14" t="s">
        <v>1711</v>
      </c>
    </row>
    <row r="1698" spans="2:3" x14ac:dyDescent="0.25">
      <c r="B1698" s="11" t="s">
        <v>2433</v>
      </c>
      <c r="C1698" s="14" t="s">
        <v>1711</v>
      </c>
    </row>
    <row r="1699" spans="2:3" x14ac:dyDescent="0.25">
      <c r="B1699" s="11" t="s">
        <v>2835</v>
      </c>
      <c r="C1699" s="14" t="s">
        <v>1714</v>
      </c>
    </row>
    <row r="1700" spans="2:3" x14ac:dyDescent="0.25">
      <c r="B1700" s="11" t="s">
        <v>2696</v>
      </c>
      <c r="C1700" s="14" t="s">
        <v>1714</v>
      </c>
    </row>
    <row r="1701" spans="2:3" x14ac:dyDescent="0.25">
      <c r="B1701" s="9" t="s">
        <v>1966</v>
      </c>
      <c r="C1701" s="14" t="s">
        <v>1711</v>
      </c>
    </row>
    <row r="1702" spans="2:3" x14ac:dyDescent="0.25">
      <c r="B1702" s="11" t="s">
        <v>1455</v>
      </c>
      <c r="C1702" s="14" t="s">
        <v>1711</v>
      </c>
    </row>
    <row r="1703" spans="2:3" x14ac:dyDescent="0.25">
      <c r="C1703" s="14" t="s">
        <v>544</v>
      </c>
    </row>
    <row r="1704" spans="2:3" x14ac:dyDescent="0.25">
      <c r="B1704" s="12" t="s">
        <v>160</v>
      </c>
      <c r="C1704" s="14" t="s">
        <v>1711</v>
      </c>
    </row>
    <row r="1705" spans="2:3" x14ac:dyDescent="0.25">
      <c r="B1705" s="11" t="s">
        <v>1371</v>
      </c>
      <c r="C1705" s="14" t="s">
        <v>1711</v>
      </c>
    </row>
    <row r="1706" spans="2:3" x14ac:dyDescent="0.25">
      <c r="B1706" s="11" t="s">
        <v>1372</v>
      </c>
      <c r="C1706" s="14" t="s">
        <v>1711</v>
      </c>
    </row>
    <row r="1707" spans="2:3" x14ac:dyDescent="0.25">
      <c r="B1707" s="11" t="s">
        <v>1988</v>
      </c>
      <c r="C1707" s="14" t="s">
        <v>1711</v>
      </c>
    </row>
    <row r="1708" spans="2:3" x14ac:dyDescent="0.25">
      <c r="B1708" s="11" t="s">
        <v>1989</v>
      </c>
      <c r="C1708" s="14" t="s">
        <v>1711</v>
      </c>
    </row>
    <row r="1709" spans="2:3" ht="26.4" x14ac:dyDescent="0.25">
      <c r="B1709" s="11" t="s">
        <v>1481</v>
      </c>
      <c r="C1709" s="14" t="s">
        <v>1711</v>
      </c>
    </row>
    <row r="1710" spans="2:3" ht="26.4" x14ac:dyDescent="0.25">
      <c r="B1710" s="11" t="s">
        <v>438</v>
      </c>
      <c r="C1710" s="14" t="s">
        <v>1711</v>
      </c>
    </row>
    <row r="1711" spans="2:3" ht="26.4" x14ac:dyDescent="0.25">
      <c r="B1711" s="11" t="s">
        <v>1397</v>
      </c>
      <c r="C1711" s="14" t="s">
        <v>1711</v>
      </c>
    </row>
    <row r="1712" spans="2:3" ht="26.4" x14ac:dyDescent="0.25">
      <c r="B1712" s="11" t="s">
        <v>2655</v>
      </c>
      <c r="C1712" s="14" t="s">
        <v>1711</v>
      </c>
    </row>
    <row r="1713" spans="2:3" ht="26.4" x14ac:dyDescent="0.25">
      <c r="B1713" s="11" t="s">
        <v>2656</v>
      </c>
      <c r="C1713" s="14" t="s">
        <v>1711</v>
      </c>
    </row>
    <row r="1714" spans="2:3" ht="26.4" x14ac:dyDescent="0.25">
      <c r="B1714" s="11" t="s">
        <v>2168</v>
      </c>
      <c r="C1714" s="14" t="s">
        <v>1711</v>
      </c>
    </row>
    <row r="1715" spans="2:3" ht="26.4" x14ac:dyDescent="0.25">
      <c r="B1715" s="11" t="s">
        <v>1981</v>
      </c>
      <c r="C1715" s="14" t="s">
        <v>1711</v>
      </c>
    </row>
    <row r="1716" spans="2:3" ht="26.4" x14ac:dyDescent="0.25">
      <c r="B1716" s="11" t="s">
        <v>1982</v>
      </c>
      <c r="C1716" s="14" t="s">
        <v>1711</v>
      </c>
    </row>
    <row r="1717" spans="2:3" ht="26.4" x14ac:dyDescent="0.25">
      <c r="B1717" s="11" t="s">
        <v>1309</v>
      </c>
      <c r="C1717" s="14" t="s">
        <v>1711</v>
      </c>
    </row>
    <row r="1718" spans="2:3" ht="26.4" x14ac:dyDescent="0.25">
      <c r="B1718" s="11" t="s">
        <v>214</v>
      </c>
      <c r="C1718" s="14" t="s">
        <v>1711</v>
      </c>
    </row>
    <row r="1719" spans="2:3" x14ac:dyDescent="0.25">
      <c r="B1719" s="11" t="s">
        <v>1184</v>
      </c>
      <c r="C1719" s="14" t="s">
        <v>1711</v>
      </c>
    </row>
    <row r="1720" spans="2:3" x14ac:dyDescent="0.25">
      <c r="B1720" s="11" t="s">
        <v>1185</v>
      </c>
      <c r="C1720" s="14" t="s">
        <v>1711</v>
      </c>
    </row>
    <row r="1721" spans="2:3" x14ac:dyDescent="0.25">
      <c r="B1721" s="11" t="s">
        <v>1186</v>
      </c>
      <c r="C1721" s="14" t="s">
        <v>1711</v>
      </c>
    </row>
    <row r="1722" spans="2:3" x14ac:dyDescent="0.25">
      <c r="B1722" s="11" t="s">
        <v>1187</v>
      </c>
      <c r="C1722" s="14" t="s">
        <v>1711</v>
      </c>
    </row>
    <row r="1723" spans="2:3" x14ac:dyDescent="0.25">
      <c r="B1723" s="11" t="s">
        <v>203</v>
      </c>
      <c r="C1723" s="14" t="s">
        <v>1711</v>
      </c>
    </row>
    <row r="1724" spans="2:3" x14ac:dyDescent="0.25">
      <c r="B1724" s="11" t="s">
        <v>1225</v>
      </c>
      <c r="C1724" s="14" t="s">
        <v>1711</v>
      </c>
    </row>
    <row r="1725" spans="2:3" x14ac:dyDescent="0.25">
      <c r="B1725" s="11" t="s">
        <v>1226</v>
      </c>
      <c r="C1725" s="14" t="s">
        <v>1711</v>
      </c>
    </row>
    <row r="1726" spans="2:3" x14ac:dyDescent="0.25">
      <c r="B1726" s="11" t="s">
        <v>1227</v>
      </c>
      <c r="C1726" s="14" t="s">
        <v>1711</v>
      </c>
    </row>
    <row r="1727" spans="2:3" x14ac:dyDescent="0.25">
      <c r="B1727" s="11" t="s">
        <v>1228</v>
      </c>
      <c r="C1727" s="14" t="s">
        <v>1711</v>
      </c>
    </row>
    <row r="1728" spans="2:3" x14ac:dyDescent="0.25">
      <c r="B1728" s="11" t="s">
        <v>1229</v>
      </c>
      <c r="C1728" s="14" t="s">
        <v>1711</v>
      </c>
    </row>
    <row r="1729" spans="2:3" x14ac:dyDescent="0.25">
      <c r="B1729" s="11" t="s">
        <v>2540</v>
      </c>
      <c r="C1729" s="14" t="s">
        <v>1711</v>
      </c>
    </row>
    <row r="1730" spans="2:3" x14ac:dyDescent="0.25">
      <c r="B1730" s="11" t="s">
        <v>2541</v>
      </c>
      <c r="C1730" s="14" t="s">
        <v>1711</v>
      </c>
    </row>
    <row r="1731" spans="2:3" x14ac:dyDescent="0.25">
      <c r="B1731" s="11" t="s">
        <v>2542</v>
      </c>
      <c r="C1731" s="14" t="s">
        <v>1711</v>
      </c>
    </row>
    <row r="1732" spans="2:3" x14ac:dyDescent="0.25">
      <c r="B1732" s="11" t="s">
        <v>1341</v>
      </c>
      <c r="C1732" s="14" t="s">
        <v>1711</v>
      </c>
    </row>
    <row r="1733" spans="2:3" x14ac:dyDescent="0.25">
      <c r="B1733" s="11" t="s">
        <v>702</v>
      </c>
      <c r="C1733" s="14" t="s">
        <v>1711</v>
      </c>
    </row>
    <row r="1734" spans="2:3" x14ac:dyDescent="0.25">
      <c r="B1734" s="11" t="s">
        <v>703</v>
      </c>
      <c r="C1734" s="14" t="s">
        <v>1711</v>
      </c>
    </row>
    <row r="1735" spans="2:3" x14ac:dyDescent="0.25">
      <c r="B1735" s="11" t="s">
        <v>704</v>
      </c>
      <c r="C1735" s="14" t="s">
        <v>1711</v>
      </c>
    </row>
    <row r="1736" spans="2:3" x14ac:dyDescent="0.25">
      <c r="B1736" s="11" t="s">
        <v>699</v>
      </c>
      <c r="C1736" s="14" t="s">
        <v>1711</v>
      </c>
    </row>
    <row r="1737" spans="2:3" x14ac:dyDescent="0.25">
      <c r="B1737" s="11" t="s">
        <v>700</v>
      </c>
      <c r="C1737" s="14" t="s">
        <v>1711</v>
      </c>
    </row>
    <row r="1738" spans="2:3" x14ac:dyDescent="0.25">
      <c r="B1738" s="11" t="s">
        <v>701</v>
      </c>
      <c r="C1738" s="14" t="s">
        <v>1711</v>
      </c>
    </row>
    <row r="1739" spans="2:3" x14ac:dyDescent="0.25">
      <c r="B1739" s="11" t="s">
        <v>2797</v>
      </c>
      <c r="C1739" s="14" t="s">
        <v>1711</v>
      </c>
    </row>
    <row r="1740" spans="2:3" x14ac:dyDescent="0.25">
      <c r="C1740" s="14" t="s">
        <v>544</v>
      </c>
    </row>
    <row r="1741" spans="2:3" x14ac:dyDescent="0.25">
      <c r="B1741" s="12" t="s">
        <v>161</v>
      </c>
      <c r="C1741" s="14" t="s">
        <v>1711</v>
      </c>
    </row>
    <row r="1742" spans="2:3" x14ac:dyDescent="0.25">
      <c r="B1742" s="11" t="s">
        <v>1376</v>
      </c>
      <c r="C1742" s="14" t="s">
        <v>1711</v>
      </c>
    </row>
    <row r="1743" spans="2:3" x14ac:dyDescent="0.25">
      <c r="B1743" s="11" t="s">
        <v>1110</v>
      </c>
      <c r="C1743" s="14" t="s">
        <v>1711</v>
      </c>
    </row>
    <row r="1744" spans="2:3" x14ac:dyDescent="0.25">
      <c r="B1744" s="11" t="s">
        <v>1034</v>
      </c>
      <c r="C1744" s="14" t="s">
        <v>2206</v>
      </c>
    </row>
    <row r="1745" spans="2:3" x14ac:dyDescent="0.25">
      <c r="B1745" s="11" t="s">
        <v>2313</v>
      </c>
      <c r="C1745" s="14" t="s">
        <v>1711</v>
      </c>
    </row>
    <row r="1746" spans="2:3" x14ac:dyDescent="0.25">
      <c r="B1746" s="11" t="s">
        <v>1034</v>
      </c>
      <c r="C1746" s="14" t="s">
        <v>2206</v>
      </c>
    </row>
    <row r="1747" spans="2:3" x14ac:dyDescent="0.25">
      <c r="B1747" s="11" t="s">
        <v>1999</v>
      </c>
      <c r="C1747" s="14" t="s">
        <v>1711</v>
      </c>
    </row>
    <row r="1748" spans="2:3" x14ac:dyDescent="0.25">
      <c r="B1748" s="11" t="s">
        <v>2786</v>
      </c>
      <c r="C1748" s="14" t="s">
        <v>1711</v>
      </c>
    </row>
    <row r="1749" spans="2:3" x14ac:dyDescent="0.25">
      <c r="B1749" s="11" t="s">
        <v>2784</v>
      </c>
      <c r="C1749" s="14" t="s">
        <v>1711</v>
      </c>
    </row>
    <row r="1750" spans="2:3" x14ac:dyDescent="0.25">
      <c r="B1750" s="11" t="s">
        <v>1996</v>
      </c>
      <c r="C1750" s="14" t="s">
        <v>1711</v>
      </c>
    </row>
    <row r="1751" spans="2:3" x14ac:dyDescent="0.25">
      <c r="B1751" s="11" t="s">
        <v>908</v>
      </c>
      <c r="C1751" s="14" t="s">
        <v>1711</v>
      </c>
    </row>
    <row r="1752" spans="2:3" x14ac:dyDescent="0.25">
      <c r="B1752" s="11" t="s">
        <v>1475</v>
      </c>
      <c r="C1752" s="14" t="s">
        <v>1711</v>
      </c>
    </row>
    <row r="1753" spans="2:3" ht="26.4" x14ac:dyDescent="0.25">
      <c r="B1753" s="11" t="s">
        <v>907</v>
      </c>
      <c r="C1753" s="14" t="s">
        <v>1711</v>
      </c>
    </row>
    <row r="1754" spans="2:3" ht="26.4" x14ac:dyDescent="0.25">
      <c r="B1754" s="11" t="s">
        <v>910</v>
      </c>
      <c r="C1754" s="14" t="s">
        <v>1711</v>
      </c>
    </row>
    <row r="1755" spans="2:3" x14ac:dyDescent="0.25">
      <c r="B1755" s="11" t="s">
        <v>1523</v>
      </c>
      <c r="C1755" s="14" t="s">
        <v>1711</v>
      </c>
    </row>
    <row r="1756" spans="2:3" x14ac:dyDescent="0.25">
      <c r="B1756" s="11" t="s">
        <v>243</v>
      </c>
      <c r="C1756" s="14" t="s">
        <v>1711</v>
      </c>
    </row>
    <row r="1757" spans="2:3" x14ac:dyDescent="0.25">
      <c r="B1757" s="11" t="s">
        <v>2433</v>
      </c>
      <c r="C1757" s="14" t="s">
        <v>1711</v>
      </c>
    </row>
    <row r="1758" spans="2:3" x14ac:dyDescent="0.25">
      <c r="C1758" s="14" t="s">
        <v>544</v>
      </c>
    </row>
    <row r="1759" spans="2:3" x14ac:dyDescent="0.25">
      <c r="B1759" s="12" t="s">
        <v>162</v>
      </c>
      <c r="C1759" s="14" t="s">
        <v>1711</v>
      </c>
    </row>
    <row r="1760" spans="2:3" x14ac:dyDescent="0.25">
      <c r="B1760" s="11" t="s">
        <v>170</v>
      </c>
      <c r="C1760" s="14" t="s">
        <v>1711</v>
      </c>
    </row>
    <row r="1761" spans="2:3" x14ac:dyDescent="0.25">
      <c r="B1761" s="11" t="s">
        <v>171</v>
      </c>
      <c r="C1761" s="14" t="s">
        <v>1711</v>
      </c>
    </row>
    <row r="1762" spans="2:3" x14ac:dyDescent="0.25">
      <c r="B1762" s="11" t="s">
        <v>1302</v>
      </c>
      <c r="C1762" s="14" t="s">
        <v>1711</v>
      </c>
    </row>
    <row r="1763" spans="2:3" x14ac:dyDescent="0.25">
      <c r="B1763" s="11" t="s">
        <v>1303</v>
      </c>
      <c r="C1763" s="14" t="s">
        <v>1711</v>
      </c>
    </row>
    <row r="1764" spans="2:3" x14ac:dyDescent="0.25">
      <c r="B1764" s="11" t="s">
        <v>574</v>
      </c>
      <c r="C1764" s="14" t="s">
        <v>1711</v>
      </c>
    </row>
    <row r="1765" spans="2:3" x14ac:dyDescent="0.25">
      <c r="B1765" s="11" t="s">
        <v>575</v>
      </c>
      <c r="C1765" s="14" t="s">
        <v>1711</v>
      </c>
    </row>
    <row r="1766" spans="2:3" x14ac:dyDescent="0.25">
      <c r="B1766" s="11" t="s">
        <v>1422</v>
      </c>
      <c r="C1766" s="14" t="s">
        <v>1711</v>
      </c>
    </row>
    <row r="1767" spans="2:3" x14ac:dyDescent="0.25">
      <c r="B1767" s="11" t="s">
        <v>199</v>
      </c>
      <c r="C1767" s="14" t="s">
        <v>1711</v>
      </c>
    </row>
    <row r="1768" spans="2:3" x14ac:dyDescent="0.25">
      <c r="B1768" s="11" t="s">
        <v>200</v>
      </c>
      <c r="C1768" s="14" t="s">
        <v>1711</v>
      </c>
    </row>
    <row r="1769" spans="2:3" ht="26.4" x14ac:dyDescent="0.25">
      <c r="B1769" s="11" t="s">
        <v>201</v>
      </c>
      <c r="C1769" s="14" t="s">
        <v>1711</v>
      </c>
    </row>
    <row r="1770" spans="2:3" x14ac:dyDescent="0.25">
      <c r="C1770" s="14" t="s">
        <v>544</v>
      </c>
    </row>
    <row r="1771" spans="2:3" x14ac:dyDescent="0.25">
      <c r="B1771" s="12" t="s">
        <v>163</v>
      </c>
      <c r="C1771" s="14" t="s">
        <v>1711</v>
      </c>
    </row>
    <row r="1772" spans="2:3" x14ac:dyDescent="0.25">
      <c r="B1772" s="11" t="s">
        <v>485</v>
      </c>
      <c r="C1772" s="14" t="s">
        <v>1711</v>
      </c>
    </row>
    <row r="1773" spans="2:3" x14ac:dyDescent="0.25">
      <c r="B1773" s="11" t="s">
        <v>486</v>
      </c>
      <c r="C1773" s="14" t="s">
        <v>1711</v>
      </c>
    </row>
    <row r="1774" spans="2:3" x14ac:dyDescent="0.25">
      <c r="B1774" s="11" t="s">
        <v>484</v>
      </c>
      <c r="C1774" s="14" t="s">
        <v>1711</v>
      </c>
    </row>
    <row r="1775" spans="2:3" x14ac:dyDescent="0.25">
      <c r="C1775" s="14" t="s">
        <v>544</v>
      </c>
    </row>
    <row r="1776" spans="2:3" x14ac:dyDescent="0.25">
      <c r="B1776" s="12" t="s">
        <v>164</v>
      </c>
      <c r="C1776" s="14" t="s">
        <v>1711</v>
      </c>
    </row>
    <row r="1777" spans="2:3" x14ac:dyDescent="0.25">
      <c r="B1777" s="11" t="s">
        <v>1371</v>
      </c>
      <c r="C1777" s="14" t="s">
        <v>1711</v>
      </c>
    </row>
    <row r="1778" spans="2:3" x14ac:dyDescent="0.25">
      <c r="B1778" s="11" t="s">
        <v>1372</v>
      </c>
      <c r="C1778" s="14" t="s">
        <v>1711</v>
      </c>
    </row>
    <row r="1779" spans="2:3" x14ac:dyDescent="0.25">
      <c r="B1779" s="11" t="s">
        <v>1988</v>
      </c>
      <c r="C1779" s="14" t="s">
        <v>1711</v>
      </c>
    </row>
    <row r="1780" spans="2:3" x14ac:dyDescent="0.25">
      <c r="B1780" s="11" t="s">
        <v>1989</v>
      </c>
      <c r="C1780" s="14" t="s">
        <v>1711</v>
      </c>
    </row>
    <row r="1781" spans="2:3" x14ac:dyDescent="0.25">
      <c r="B1781" s="11" t="s">
        <v>2195</v>
      </c>
      <c r="C1781" s="14" t="s">
        <v>1711</v>
      </c>
    </row>
    <row r="1782" spans="2:3" x14ac:dyDescent="0.25">
      <c r="B1782" s="11" t="s">
        <v>2196</v>
      </c>
      <c r="C1782" s="14" t="s">
        <v>1711</v>
      </c>
    </row>
    <row r="1783" spans="2:3" x14ac:dyDescent="0.25">
      <c r="B1783" s="11" t="s">
        <v>2193</v>
      </c>
      <c r="C1783" s="14" t="s">
        <v>1711</v>
      </c>
    </row>
    <row r="1784" spans="2:3" ht="26.4" x14ac:dyDescent="0.25">
      <c r="B1784" s="11" t="s">
        <v>1481</v>
      </c>
      <c r="C1784" s="14" t="s">
        <v>1711</v>
      </c>
    </row>
    <row r="1785" spans="2:3" ht="26.4" x14ac:dyDescent="0.25">
      <c r="B1785" s="11" t="s">
        <v>438</v>
      </c>
      <c r="C1785" s="14" t="s">
        <v>1711</v>
      </c>
    </row>
    <row r="1786" spans="2:3" ht="26.4" x14ac:dyDescent="0.25">
      <c r="B1786" s="11" t="s">
        <v>1397</v>
      </c>
      <c r="C1786" s="14" t="s">
        <v>1711</v>
      </c>
    </row>
    <row r="1787" spans="2:3" ht="26.4" x14ac:dyDescent="0.25">
      <c r="B1787" s="11" t="s">
        <v>2655</v>
      </c>
      <c r="C1787" s="14" t="s">
        <v>1711</v>
      </c>
    </row>
    <row r="1788" spans="2:3" ht="26.4" x14ac:dyDescent="0.25">
      <c r="B1788" s="11" t="s">
        <v>2656</v>
      </c>
      <c r="C1788" s="14" t="s">
        <v>1711</v>
      </c>
    </row>
    <row r="1789" spans="2:3" ht="26.4" x14ac:dyDescent="0.25">
      <c r="B1789" s="11" t="s">
        <v>2168</v>
      </c>
      <c r="C1789" s="14" t="s">
        <v>1711</v>
      </c>
    </row>
    <row r="1790" spans="2:3" ht="26.4" x14ac:dyDescent="0.25">
      <c r="B1790" s="11" t="s">
        <v>1981</v>
      </c>
      <c r="C1790" s="14" t="s">
        <v>1711</v>
      </c>
    </row>
    <row r="1791" spans="2:3" ht="26.4" x14ac:dyDescent="0.25">
      <c r="B1791" s="11" t="s">
        <v>1982</v>
      </c>
      <c r="C1791" s="14" t="s">
        <v>1711</v>
      </c>
    </row>
    <row r="1792" spans="2:3" ht="26.4" x14ac:dyDescent="0.25">
      <c r="B1792" s="11" t="s">
        <v>1309</v>
      </c>
      <c r="C1792" s="14" t="s">
        <v>1711</v>
      </c>
    </row>
    <row r="1793" spans="2:3" ht="26.4" x14ac:dyDescent="0.25">
      <c r="B1793" s="11" t="s">
        <v>214</v>
      </c>
      <c r="C1793" s="14" t="s">
        <v>1711</v>
      </c>
    </row>
    <row r="1794" spans="2:3" x14ac:dyDescent="0.25">
      <c r="B1794" s="11" t="s">
        <v>1184</v>
      </c>
      <c r="C1794" s="14" t="s">
        <v>1711</v>
      </c>
    </row>
    <row r="1795" spans="2:3" x14ac:dyDescent="0.25">
      <c r="B1795" s="11" t="s">
        <v>1185</v>
      </c>
      <c r="C1795" s="14" t="s">
        <v>1711</v>
      </c>
    </row>
    <row r="1796" spans="2:3" x14ac:dyDescent="0.25">
      <c r="B1796" s="11" t="s">
        <v>1186</v>
      </c>
      <c r="C1796" s="14" t="s">
        <v>1711</v>
      </c>
    </row>
    <row r="1797" spans="2:3" x14ac:dyDescent="0.25">
      <c r="B1797" s="11" t="s">
        <v>1187</v>
      </c>
      <c r="C1797" s="14" t="s">
        <v>1711</v>
      </c>
    </row>
    <row r="1798" spans="2:3" x14ac:dyDescent="0.25">
      <c r="B1798" s="11" t="s">
        <v>203</v>
      </c>
      <c r="C1798" s="14" t="s">
        <v>1711</v>
      </c>
    </row>
    <row r="1799" spans="2:3" x14ac:dyDescent="0.25">
      <c r="B1799" s="11" t="s">
        <v>1188</v>
      </c>
      <c r="C1799" s="14" t="s">
        <v>1711</v>
      </c>
    </row>
    <row r="1800" spans="2:3" x14ac:dyDescent="0.25">
      <c r="B1800" s="11" t="s">
        <v>2363</v>
      </c>
      <c r="C1800" s="14" t="s">
        <v>1711</v>
      </c>
    </row>
    <row r="1801" spans="2:3" x14ac:dyDescent="0.25">
      <c r="B1801" s="11" t="s">
        <v>2364</v>
      </c>
      <c r="C1801" s="14" t="s">
        <v>1711</v>
      </c>
    </row>
    <row r="1802" spans="2:3" x14ac:dyDescent="0.25">
      <c r="B1802" s="11" t="s">
        <v>1374</v>
      </c>
      <c r="C1802" s="14" t="s">
        <v>1711</v>
      </c>
    </row>
    <row r="1803" spans="2:3" x14ac:dyDescent="0.25">
      <c r="B1803" s="11" t="s">
        <v>1375</v>
      </c>
      <c r="C1803" s="14" t="s">
        <v>1711</v>
      </c>
    </row>
    <row r="1804" spans="2:3" x14ac:dyDescent="0.25">
      <c r="B1804" s="11" t="s">
        <v>1225</v>
      </c>
      <c r="C1804" s="14" t="s">
        <v>1711</v>
      </c>
    </row>
    <row r="1805" spans="2:3" x14ac:dyDescent="0.25">
      <c r="B1805" s="11" t="s">
        <v>1226</v>
      </c>
      <c r="C1805" s="14" t="s">
        <v>1711</v>
      </c>
    </row>
    <row r="1806" spans="2:3" x14ac:dyDescent="0.25">
      <c r="B1806" s="11" t="s">
        <v>1227</v>
      </c>
      <c r="C1806" s="14" t="s">
        <v>1711</v>
      </c>
    </row>
    <row r="1807" spans="2:3" x14ac:dyDescent="0.25">
      <c r="B1807" s="11" t="s">
        <v>1228</v>
      </c>
      <c r="C1807" s="14" t="s">
        <v>1711</v>
      </c>
    </row>
    <row r="1808" spans="2:3" x14ac:dyDescent="0.25">
      <c r="B1808" s="11" t="s">
        <v>1229</v>
      </c>
      <c r="C1808" s="14" t="s">
        <v>1711</v>
      </c>
    </row>
    <row r="1809" spans="2:3" x14ac:dyDescent="0.25">
      <c r="B1809" s="11" t="s">
        <v>2540</v>
      </c>
      <c r="C1809" s="14" t="s">
        <v>1711</v>
      </c>
    </row>
    <row r="1810" spans="2:3" x14ac:dyDescent="0.25">
      <c r="B1810" s="11" t="s">
        <v>2541</v>
      </c>
      <c r="C1810" s="14" t="s">
        <v>1711</v>
      </c>
    </row>
    <row r="1811" spans="2:3" x14ac:dyDescent="0.25">
      <c r="B1811" s="11" t="s">
        <v>2542</v>
      </c>
      <c r="C1811" s="14" t="s">
        <v>1711</v>
      </c>
    </row>
    <row r="1812" spans="2:3" x14ac:dyDescent="0.25">
      <c r="B1812" s="11" t="s">
        <v>1341</v>
      </c>
      <c r="C1812" s="14" t="s">
        <v>1711</v>
      </c>
    </row>
    <row r="1813" spans="2:3" x14ac:dyDescent="0.25">
      <c r="B1813" s="11" t="s">
        <v>702</v>
      </c>
      <c r="C1813" s="14" t="s">
        <v>1711</v>
      </c>
    </row>
    <row r="1814" spans="2:3" x14ac:dyDescent="0.25">
      <c r="B1814" s="11" t="s">
        <v>703</v>
      </c>
      <c r="C1814" s="14" t="s">
        <v>1711</v>
      </c>
    </row>
    <row r="1815" spans="2:3" x14ac:dyDescent="0.25">
      <c r="B1815" s="11" t="s">
        <v>704</v>
      </c>
      <c r="C1815" s="14" t="s">
        <v>1711</v>
      </c>
    </row>
    <row r="1816" spans="2:3" x14ac:dyDescent="0.25">
      <c r="B1816" s="11" t="s">
        <v>699</v>
      </c>
      <c r="C1816" s="14" t="s">
        <v>1711</v>
      </c>
    </row>
    <row r="1817" spans="2:3" x14ac:dyDescent="0.25">
      <c r="B1817" s="11" t="s">
        <v>700</v>
      </c>
      <c r="C1817" s="14" t="s">
        <v>1711</v>
      </c>
    </row>
    <row r="1818" spans="2:3" x14ac:dyDescent="0.25">
      <c r="B1818" s="11" t="s">
        <v>701</v>
      </c>
      <c r="C1818" s="14" t="s">
        <v>1711</v>
      </c>
    </row>
    <row r="1819" spans="2:3" x14ac:dyDescent="0.25">
      <c r="B1819" s="11" t="s">
        <v>165</v>
      </c>
      <c r="C1819" s="14" t="s">
        <v>1711</v>
      </c>
    </row>
    <row r="1820" spans="2:3" x14ac:dyDescent="0.25">
      <c r="B1820" s="11" t="s">
        <v>1376</v>
      </c>
      <c r="C1820" s="14" t="s">
        <v>1711</v>
      </c>
    </row>
    <row r="1821" spans="2:3" x14ac:dyDescent="0.25">
      <c r="B1821" s="11" t="s">
        <v>1110</v>
      </c>
      <c r="C1821" s="14" t="s">
        <v>1711</v>
      </c>
    </row>
    <row r="1822" spans="2:3" x14ac:dyDescent="0.25">
      <c r="B1822" s="11" t="s">
        <v>1034</v>
      </c>
      <c r="C1822" s="14" t="s">
        <v>2206</v>
      </c>
    </row>
    <row r="1823" spans="2:3" x14ac:dyDescent="0.25">
      <c r="B1823" s="11" t="s">
        <v>2313</v>
      </c>
      <c r="C1823" s="14" t="s">
        <v>1711</v>
      </c>
    </row>
    <row r="1824" spans="2:3" x14ac:dyDescent="0.25">
      <c r="B1824" s="11" t="s">
        <v>1034</v>
      </c>
      <c r="C1824" s="14" t="s">
        <v>2206</v>
      </c>
    </row>
    <row r="1825" spans="2:3" x14ac:dyDescent="0.25">
      <c r="B1825" s="11" t="s">
        <v>988</v>
      </c>
      <c r="C1825" s="14" t="s">
        <v>1711</v>
      </c>
    </row>
    <row r="1826" spans="2:3" x14ac:dyDescent="0.25">
      <c r="B1826" s="11" t="s">
        <v>2797</v>
      </c>
      <c r="C1826" s="14" t="s">
        <v>1711</v>
      </c>
    </row>
    <row r="1827" spans="2:3" x14ac:dyDescent="0.25">
      <c r="B1827" s="11" t="s">
        <v>1999</v>
      </c>
      <c r="C1827" s="14" t="s">
        <v>1711</v>
      </c>
    </row>
    <row r="1828" spans="2:3" x14ac:dyDescent="0.25">
      <c r="B1828" s="11" t="s">
        <v>2786</v>
      </c>
      <c r="C1828" s="14" t="s">
        <v>1711</v>
      </c>
    </row>
    <row r="1829" spans="2:3" x14ac:dyDescent="0.25">
      <c r="B1829" s="11" t="s">
        <v>2784</v>
      </c>
      <c r="C1829" s="14" t="s">
        <v>1711</v>
      </c>
    </row>
    <row r="1830" spans="2:3" x14ac:dyDescent="0.25">
      <c r="B1830" s="11" t="s">
        <v>1996</v>
      </c>
      <c r="C1830" s="14" t="s">
        <v>1711</v>
      </c>
    </row>
    <row r="1831" spans="2:3" x14ac:dyDescent="0.25">
      <c r="B1831" s="11" t="s">
        <v>1997</v>
      </c>
      <c r="C1831" s="14" t="s">
        <v>1711</v>
      </c>
    </row>
    <row r="1832" spans="2:3" x14ac:dyDescent="0.25">
      <c r="B1832" s="11" t="s">
        <v>1998</v>
      </c>
      <c r="C1832" s="14" t="s">
        <v>1711</v>
      </c>
    </row>
    <row r="1833" spans="2:3" ht="26.4" x14ac:dyDescent="0.25">
      <c r="B1833" s="11" t="s">
        <v>909</v>
      </c>
      <c r="C1833" s="14" t="s">
        <v>1711</v>
      </c>
    </row>
    <row r="1834" spans="2:3" ht="26.4" x14ac:dyDescent="0.25">
      <c r="B1834" s="11" t="s">
        <v>906</v>
      </c>
      <c r="C1834" s="14" t="s">
        <v>1711</v>
      </c>
    </row>
    <row r="1835" spans="2:3" ht="26.4" x14ac:dyDescent="0.25">
      <c r="B1835" s="11" t="s">
        <v>907</v>
      </c>
      <c r="C1835" s="14" t="s">
        <v>1711</v>
      </c>
    </row>
    <row r="1836" spans="2:3" x14ac:dyDescent="0.25">
      <c r="B1836" s="11" t="s">
        <v>1781</v>
      </c>
      <c r="C1836" s="14" t="s">
        <v>1711</v>
      </c>
    </row>
    <row r="1837" spans="2:3" x14ac:dyDescent="0.25">
      <c r="B1837" s="11" t="s">
        <v>908</v>
      </c>
      <c r="C1837" s="14" t="s">
        <v>1711</v>
      </c>
    </row>
    <row r="1838" spans="2:3" ht="26.4" x14ac:dyDescent="0.25">
      <c r="B1838" s="11" t="s">
        <v>910</v>
      </c>
      <c r="C1838" s="14" t="s">
        <v>1711</v>
      </c>
    </row>
    <row r="1839" spans="2:3" x14ac:dyDescent="0.25">
      <c r="B1839" s="11" t="s">
        <v>1523</v>
      </c>
      <c r="C1839" s="14" t="s">
        <v>1711</v>
      </c>
    </row>
    <row r="1840" spans="2:3" x14ac:dyDescent="0.25">
      <c r="B1840" s="11" t="s">
        <v>2433</v>
      </c>
      <c r="C1840" s="14" t="s">
        <v>1711</v>
      </c>
    </row>
    <row r="1841" spans="2:3" x14ac:dyDescent="0.25">
      <c r="C1841" s="14" t="s">
        <v>544</v>
      </c>
    </row>
    <row r="1842" spans="2:3" x14ac:dyDescent="0.25">
      <c r="B1842" s="12" t="s">
        <v>166</v>
      </c>
      <c r="C1842" s="14" t="s">
        <v>1711</v>
      </c>
    </row>
    <row r="1843" spans="2:3" x14ac:dyDescent="0.25">
      <c r="B1843" s="11" t="s">
        <v>1034</v>
      </c>
      <c r="C1843" s="14" t="s">
        <v>2206</v>
      </c>
    </row>
    <row r="1844" spans="2:3" ht="26.4" x14ac:dyDescent="0.25">
      <c r="B1844" s="11" t="s">
        <v>909</v>
      </c>
      <c r="C1844" s="14" t="s">
        <v>1711</v>
      </c>
    </row>
    <row r="1845" spans="2:3" ht="26.4" x14ac:dyDescent="0.25">
      <c r="B1845" s="11" t="s">
        <v>906</v>
      </c>
      <c r="C1845" s="14" t="s">
        <v>1711</v>
      </c>
    </row>
    <row r="1846" spans="2:3" x14ac:dyDescent="0.25">
      <c r="B1846" s="11" t="s">
        <v>2741</v>
      </c>
      <c r="C1846" s="14" t="s">
        <v>1711</v>
      </c>
    </row>
    <row r="1847" spans="2:3" x14ac:dyDescent="0.25">
      <c r="B1847" s="11" t="s">
        <v>1302</v>
      </c>
      <c r="C1847" s="14" t="s">
        <v>1711</v>
      </c>
    </row>
    <row r="1848" spans="2:3" x14ac:dyDescent="0.25">
      <c r="B1848" s="11" t="s">
        <v>1303</v>
      </c>
      <c r="C1848" s="14" t="s">
        <v>1711</v>
      </c>
    </row>
    <row r="1849" spans="2:3" x14ac:dyDescent="0.25">
      <c r="B1849" s="11" t="s">
        <v>170</v>
      </c>
      <c r="C1849" s="14" t="s">
        <v>1711</v>
      </c>
    </row>
    <row r="1850" spans="2:3" x14ac:dyDescent="0.25">
      <c r="B1850" s="11" t="s">
        <v>171</v>
      </c>
      <c r="C1850" s="14" t="s">
        <v>1711</v>
      </c>
    </row>
    <row r="1851" spans="2:3" x14ac:dyDescent="0.25">
      <c r="B1851" s="11" t="s">
        <v>2789</v>
      </c>
      <c r="C1851" s="14" t="s">
        <v>1711</v>
      </c>
    </row>
    <row r="1852" spans="2:3" x14ac:dyDescent="0.25">
      <c r="B1852" s="11" t="s">
        <v>283</v>
      </c>
      <c r="C1852" s="14" t="s">
        <v>1715</v>
      </c>
    </row>
    <row r="1853" spans="2:3" x14ac:dyDescent="0.25">
      <c r="B1853" s="11" t="s">
        <v>1177</v>
      </c>
      <c r="C1853" s="14" t="s">
        <v>2376</v>
      </c>
    </row>
    <row r="1854" spans="2:3" x14ac:dyDescent="0.25">
      <c r="C1854" s="14" t="s">
        <v>544</v>
      </c>
    </row>
    <row r="1855" spans="2:3" x14ac:dyDescent="0.25">
      <c r="B1855" s="12" t="s">
        <v>167</v>
      </c>
      <c r="C1855" s="14" t="s">
        <v>1711</v>
      </c>
    </row>
    <row r="1856" spans="2:3" x14ac:dyDescent="0.25">
      <c r="B1856" s="11" t="s">
        <v>168</v>
      </c>
      <c r="C1856" s="14" t="s">
        <v>1711</v>
      </c>
    </row>
    <row r="1857" spans="2:3" x14ac:dyDescent="0.25">
      <c r="C1857" s="14" t="s">
        <v>544</v>
      </c>
    </row>
    <row r="1858" spans="2:3" x14ac:dyDescent="0.25">
      <c r="B1858" s="12" t="s">
        <v>169</v>
      </c>
      <c r="C1858" s="14" t="s">
        <v>1711</v>
      </c>
    </row>
    <row r="1859" spans="2:3" ht="26.4" x14ac:dyDescent="0.25">
      <c r="B1859" s="11" t="s">
        <v>202</v>
      </c>
      <c r="C1859" s="14" t="s">
        <v>1711</v>
      </c>
    </row>
    <row r="1860" spans="2:3" x14ac:dyDescent="0.25">
      <c r="B1860" s="12"/>
      <c r="C1860" s="14" t="s">
        <v>544</v>
      </c>
    </row>
    <row r="1861" spans="2:3" x14ac:dyDescent="0.25">
      <c r="B1861" s="12" t="s">
        <v>554</v>
      </c>
      <c r="C1861" s="14" t="s">
        <v>1711</v>
      </c>
    </row>
    <row r="1862" spans="2:3" ht="26.4" x14ac:dyDescent="0.25">
      <c r="B1862" s="11" t="s">
        <v>1481</v>
      </c>
      <c r="C1862" s="14" t="s">
        <v>1711</v>
      </c>
    </row>
    <row r="1863" spans="2:3" ht="26.4" x14ac:dyDescent="0.25">
      <c r="B1863" s="11" t="s">
        <v>438</v>
      </c>
      <c r="C1863" s="14" t="s">
        <v>1711</v>
      </c>
    </row>
    <row r="1864" spans="2:3" ht="26.4" x14ac:dyDescent="0.25">
      <c r="B1864" s="11" t="s">
        <v>1397</v>
      </c>
      <c r="C1864" s="14" t="s">
        <v>1711</v>
      </c>
    </row>
    <row r="1865" spans="2:3" x14ac:dyDescent="0.25">
      <c r="B1865" s="11" t="s">
        <v>1184</v>
      </c>
      <c r="C1865" s="14" t="s">
        <v>1711</v>
      </c>
    </row>
    <row r="1866" spans="2:3" x14ac:dyDescent="0.25">
      <c r="B1866" s="11" t="s">
        <v>1185</v>
      </c>
      <c r="C1866" s="14" t="s">
        <v>1711</v>
      </c>
    </row>
    <row r="1867" spans="2:3" x14ac:dyDescent="0.25">
      <c r="B1867" s="11" t="s">
        <v>1186</v>
      </c>
      <c r="C1867" s="14" t="s">
        <v>1711</v>
      </c>
    </row>
    <row r="1868" spans="2:3" x14ac:dyDescent="0.25">
      <c r="B1868" s="11" t="s">
        <v>1187</v>
      </c>
      <c r="C1868" s="14" t="s">
        <v>1711</v>
      </c>
    </row>
    <row r="1869" spans="2:3" x14ac:dyDescent="0.25">
      <c r="B1869" s="11" t="s">
        <v>203</v>
      </c>
      <c r="C1869" s="14" t="s">
        <v>1711</v>
      </c>
    </row>
    <row r="1870" spans="2:3" x14ac:dyDescent="0.25">
      <c r="B1870" s="11" t="s">
        <v>1188</v>
      </c>
      <c r="C1870" s="14" t="s">
        <v>1711</v>
      </c>
    </row>
    <row r="1871" spans="2:3" x14ac:dyDescent="0.25">
      <c r="B1871" s="11" t="s">
        <v>2363</v>
      </c>
      <c r="C1871" s="14" t="s">
        <v>1711</v>
      </c>
    </row>
    <row r="1872" spans="2:3" x14ac:dyDescent="0.25">
      <c r="B1872" s="11" t="s">
        <v>2364</v>
      </c>
      <c r="C1872" s="14" t="s">
        <v>1711</v>
      </c>
    </row>
    <row r="1873" spans="2:3" x14ac:dyDescent="0.25">
      <c r="B1873" s="11" t="s">
        <v>1374</v>
      </c>
      <c r="C1873" s="14" t="s">
        <v>1711</v>
      </c>
    </row>
    <row r="1874" spans="2:3" x14ac:dyDescent="0.25">
      <c r="B1874" s="11" t="s">
        <v>1375</v>
      </c>
      <c r="C1874" s="14" t="s">
        <v>1711</v>
      </c>
    </row>
    <row r="1875" spans="2:3" x14ac:dyDescent="0.25">
      <c r="B1875" s="11" t="s">
        <v>2540</v>
      </c>
      <c r="C1875" s="14" t="s">
        <v>1711</v>
      </c>
    </row>
    <row r="1876" spans="2:3" x14ac:dyDescent="0.25">
      <c r="B1876" s="11" t="s">
        <v>2541</v>
      </c>
      <c r="C1876" s="14" t="s">
        <v>1711</v>
      </c>
    </row>
    <row r="1877" spans="2:3" x14ac:dyDescent="0.25">
      <c r="B1877" s="11" t="s">
        <v>2542</v>
      </c>
      <c r="C1877" s="14" t="s">
        <v>1711</v>
      </c>
    </row>
    <row r="1878" spans="2:3" x14ac:dyDescent="0.25">
      <c r="B1878" s="11" t="s">
        <v>1341</v>
      </c>
      <c r="C1878" s="14" t="s">
        <v>1711</v>
      </c>
    </row>
    <row r="1879" spans="2:3" x14ac:dyDescent="0.25">
      <c r="B1879" s="11" t="s">
        <v>1604</v>
      </c>
      <c r="C1879" s="14" t="s">
        <v>1711</v>
      </c>
    </row>
    <row r="1880" spans="2:3" x14ac:dyDescent="0.25">
      <c r="B1880" s="11" t="s">
        <v>1605</v>
      </c>
      <c r="C1880" s="14" t="s">
        <v>1711</v>
      </c>
    </row>
    <row r="1881" spans="2:3" x14ac:dyDescent="0.25">
      <c r="B1881" s="11" t="s">
        <v>1004</v>
      </c>
      <c r="C1881" s="14" t="s">
        <v>1711</v>
      </c>
    </row>
    <row r="1882" spans="2:3" x14ac:dyDescent="0.25">
      <c r="B1882" s="11" t="s">
        <v>1622</v>
      </c>
      <c r="C1882" s="14" t="s">
        <v>1711</v>
      </c>
    </row>
    <row r="1883" spans="2:3" x14ac:dyDescent="0.25">
      <c r="B1883" s="11" t="s">
        <v>231</v>
      </c>
      <c r="C1883" s="14" t="s">
        <v>1711</v>
      </c>
    </row>
    <row r="1884" spans="2:3" x14ac:dyDescent="0.25">
      <c r="B1884" s="11" t="s">
        <v>702</v>
      </c>
      <c r="C1884" s="14" t="s">
        <v>1711</v>
      </c>
    </row>
    <row r="1885" spans="2:3" x14ac:dyDescent="0.25">
      <c r="B1885" s="11" t="s">
        <v>703</v>
      </c>
      <c r="C1885" s="14" t="s">
        <v>1711</v>
      </c>
    </row>
    <row r="1886" spans="2:3" x14ac:dyDescent="0.25">
      <c r="B1886" s="11" t="s">
        <v>704</v>
      </c>
      <c r="C1886" s="14" t="s">
        <v>1711</v>
      </c>
    </row>
    <row r="1887" spans="2:3" x14ac:dyDescent="0.25">
      <c r="B1887" s="11" t="s">
        <v>1376</v>
      </c>
      <c r="C1887" s="14" t="s">
        <v>1711</v>
      </c>
    </row>
    <row r="1888" spans="2:3" x14ac:dyDescent="0.25">
      <c r="B1888" s="11" t="s">
        <v>1110</v>
      </c>
      <c r="C1888" s="14" t="s">
        <v>1711</v>
      </c>
    </row>
    <row r="1889" spans="2:3" x14ac:dyDescent="0.25">
      <c r="B1889" s="11" t="s">
        <v>1034</v>
      </c>
      <c r="C1889" s="14" t="s">
        <v>2206</v>
      </c>
    </row>
    <row r="1890" spans="2:3" x14ac:dyDescent="0.25">
      <c r="B1890" s="11" t="s">
        <v>2313</v>
      </c>
      <c r="C1890" s="14" t="s">
        <v>1711</v>
      </c>
    </row>
    <row r="1891" spans="2:3" x14ac:dyDescent="0.25">
      <c r="B1891" s="11" t="s">
        <v>1034</v>
      </c>
      <c r="C1891" s="14" t="s">
        <v>2206</v>
      </c>
    </row>
    <row r="1892" spans="2:3" x14ac:dyDescent="0.25">
      <c r="B1892" s="11" t="s">
        <v>2710</v>
      </c>
      <c r="C1892" s="14" t="s">
        <v>1711</v>
      </c>
    </row>
    <row r="1893" spans="2:3" x14ac:dyDescent="0.25">
      <c r="B1893" s="11" t="s">
        <v>2522</v>
      </c>
      <c r="C1893" s="14" t="s">
        <v>1711</v>
      </c>
    </row>
    <row r="1894" spans="2:3" x14ac:dyDescent="0.25">
      <c r="B1894" s="11" t="s">
        <v>1232</v>
      </c>
      <c r="C1894" s="14" t="s">
        <v>1711</v>
      </c>
    </row>
    <row r="1895" spans="2:3" x14ac:dyDescent="0.25">
      <c r="B1895" s="11" t="s">
        <v>2543</v>
      </c>
      <c r="C1895" s="14" t="s">
        <v>1711</v>
      </c>
    </row>
    <row r="1896" spans="2:3" x14ac:dyDescent="0.25">
      <c r="B1896" s="11" t="s">
        <v>2544</v>
      </c>
      <c r="C1896" s="14" t="s">
        <v>1711</v>
      </c>
    </row>
    <row r="1897" spans="2:3" x14ac:dyDescent="0.25">
      <c r="B1897" s="11" t="s">
        <v>2318</v>
      </c>
      <c r="C1897" s="14" t="s">
        <v>1711</v>
      </c>
    </row>
    <row r="1898" spans="2:3" ht="26.4" x14ac:dyDescent="0.25">
      <c r="B1898" s="11" t="s">
        <v>909</v>
      </c>
      <c r="C1898" s="14" t="s">
        <v>1711</v>
      </c>
    </row>
    <row r="1899" spans="2:3" ht="26.4" x14ac:dyDescent="0.25">
      <c r="B1899" s="11" t="s">
        <v>906</v>
      </c>
      <c r="C1899" s="14" t="s">
        <v>1711</v>
      </c>
    </row>
    <row r="1900" spans="2:3" ht="26.4" x14ac:dyDescent="0.25">
      <c r="B1900" s="11" t="s">
        <v>907</v>
      </c>
      <c r="C1900" s="14" t="s">
        <v>1711</v>
      </c>
    </row>
    <row r="1901" spans="2:3" x14ac:dyDescent="0.25">
      <c r="B1901" s="11" t="s">
        <v>1781</v>
      </c>
      <c r="C1901" s="14" t="s">
        <v>1711</v>
      </c>
    </row>
    <row r="1902" spans="2:3" x14ac:dyDescent="0.25">
      <c r="B1902" s="11" t="s">
        <v>908</v>
      </c>
      <c r="C1902" s="14" t="s">
        <v>1711</v>
      </c>
    </row>
    <row r="1903" spans="2:3" ht="26.4" x14ac:dyDescent="0.25">
      <c r="B1903" s="11" t="s">
        <v>910</v>
      </c>
      <c r="C1903" s="14" t="s">
        <v>1711</v>
      </c>
    </row>
    <row r="1904" spans="2:3" x14ac:dyDescent="0.25">
      <c r="B1904" s="11" t="s">
        <v>1523</v>
      </c>
      <c r="C1904" s="14" t="s">
        <v>1711</v>
      </c>
    </row>
    <row r="1905" spans="2:3" x14ac:dyDescent="0.25">
      <c r="B1905" s="11" t="s">
        <v>2433</v>
      </c>
      <c r="C1905" s="14" t="s">
        <v>1711</v>
      </c>
    </row>
    <row r="1906" spans="2:3" x14ac:dyDescent="0.25">
      <c r="B1906" s="5" t="s">
        <v>422</v>
      </c>
      <c r="C1906" s="14" t="e">
        <v>#N/A</v>
      </c>
    </row>
    <row r="1907" spans="2:3" x14ac:dyDescent="0.25">
      <c r="B1907" s="5" t="s">
        <v>2860</v>
      </c>
      <c r="C1907" s="14" t="e">
        <v>#N/A</v>
      </c>
    </row>
    <row r="1908" spans="2:3" ht="26.4" x14ac:dyDescent="0.25">
      <c r="B1908" s="5" t="s">
        <v>1716</v>
      </c>
      <c r="C1908" s="14" t="e">
        <v>#N/A</v>
      </c>
    </row>
    <row r="1909" spans="2:3" x14ac:dyDescent="0.25">
      <c r="B1909" s="6" t="s">
        <v>1717</v>
      </c>
      <c r="C1909" s="14" t="e">
        <v>#N/A</v>
      </c>
    </row>
    <row r="1910" spans="2:3" x14ac:dyDescent="0.25">
      <c r="B1910" s="6" t="s">
        <v>2204</v>
      </c>
      <c r="C1910" s="14" t="e">
        <v>#N/A</v>
      </c>
    </row>
    <row r="1911" spans="2:3" x14ac:dyDescent="0.25">
      <c r="B1911" s="6" t="s">
        <v>2205</v>
      </c>
      <c r="C1911" s="14" t="e">
        <v>#N/A</v>
      </c>
    </row>
    <row r="1912" spans="2:3" x14ac:dyDescent="0.25">
      <c r="B1912" s="11" t="s">
        <v>2654</v>
      </c>
      <c r="C1912" s="14" t="s">
        <v>1388</v>
      </c>
    </row>
    <row r="1913" spans="2:3" x14ac:dyDescent="0.25">
      <c r="B1913" s="11" t="s">
        <v>401</v>
      </c>
      <c r="C1913" s="14" t="s">
        <v>1388</v>
      </c>
    </row>
    <row r="1914" spans="2:3" x14ac:dyDescent="0.25">
      <c r="B1914" s="11" t="s">
        <v>1984</v>
      </c>
      <c r="C1914" s="14" t="s">
        <v>1388</v>
      </c>
    </row>
    <row r="1915" spans="2:3" x14ac:dyDescent="0.25">
      <c r="B1915" s="11" t="s">
        <v>403</v>
      </c>
      <c r="C1915" s="14" t="s">
        <v>1388</v>
      </c>
    </row>
    <row r="1916" spans="2:3" x14ac:dyDescent="0.25">
      <c r="B1916" s="11" t="s">
        <v>1469</v>
      </c>
      <c r="C1916" s="14" t="s">
        <v>1711</v>
      </c>
    </row>
    <row r="1917" spans="2:3" x14ac:dyDescent="0.25">
      <c r="B1917" s="11" t="s">
        <v>1455</v>
      </c>
      <c r="C1917" s="14" t="s">
        <v>1711</v>
      </c>
    </row>
    <row r="1918" spans="2:3" x14ac:dyDescent="0.25">
      <c r="B1918" s="3" t="s">
        <v>2183</v>
      </c>
      <c r="C1918" s="14" t="s">
        <v>1711</v>
      </c>
    </row>
    <row r="1919" spans="2:3" x14ac:dyDescent="0.25">
      <c r="C1919" s="14" t="s">
        <v>544</v>
      </c>
    </row>
    <row r="1920" spans="2:3" x14ac:dyDescent="0.25">
      <c r="B1920" s="12" t="s">
        <v>555</v>
      </c>
      <c r="C1920" s="14" t="s">
        <v>1711</v>
      </c>
    </row>
    <row r="1921" spans="2:3" x14ac:dyDescent="0.25">
      <c r="B1921" s="11" t="s">
        <v>556</v>
      </c>
      <c r="C1921" s="14" t="s">
        <v>1711</v>
      </c>
    </row>
    <row r="1922" spans="2:3" x14ac:dyDescent="0.25">
      <c r="B1922" s="12"/>
      <c r="C1922" s="14" t="s">
        <v>544</v>
      </c>
    </row>
    <row r="1923" spans="2:3" x14ac:dyDescent="0.25">
      <c r="B1923" s="12" t="s">
        <v>557</v>
      </c>
      <c r="C1923" s="14" t="s">
        <v>1711</v>
      </c>
    </row>
    <row r="1924" spans="2:3" x14ac:dyDescent="0.25">
      <c r="B1924" s="11" t="s">
        <v>1376</v>
      </c>
      <c r="C1924" s="14" t="s">
        <v>1711</v>
      </c>
    </row>
    <row r="1925" spans="2:3" x14ac:dyDescent="0.25">
      <c r="B1925" s="11" t="s">
        <v>1110</v>
      </c>
      <c r="C1925" s="14" t="s">
        <v>1711</v>
      </c>
    </row>
    <row r="1926" spans="2:3" x14ac:dyDescent="0.25">
      <c r="B1926" s="11" t="s">
        <v>1034</v>
      </c>
      <c r="C1926" s="14" t="s">
        <v>2206</v>
      </c>
    </row>
    <row r="1927" spans="2:3" ht="26.4" x14ac:dyDescent="0.25">
      <c r="B1927" s="11" t="s">
        <v>909</v>
      </c>
      <c r="C1927" s="14" t="s">
        <v>1711</v>
      </c>
    </row>
    <row r="1928" spans="2:3" ht="26.4" x14ac:dyDescent="0.25">
      <c r="B1928" s="11" t="s">
        <v>906</v>
      </c>
      <c r="C1928" s="14" t="s">
        <v>1711</v>
      </c>
    </row>
    <row r="1929" spans="2:3" ht="26.4" x14ac:dyDescent="0.25">
      <c r="B1929" s="11" t="s">
        <v>907</v>
      </c>
      <c r="C1929" s="14" t="s">
        <v>1711</v>
      </c>
    </row>
    <row r="1930" spans="2:3" x14ac:dyDescent="0.25">
      <c r="B1930" s="11" t="s">
        <v>1781</v>
      </c>
      <c r="C1930" s="14" t="s">
        <v>1711</v>
      </c>
    </row>
    <row r="1931" spans="2:3" x14ac:dyDescent="0.25">
      <c r="B1931" s="11" t="s">
        <v>908</v>
      </c>
      <c r="C1931" s="14" t="s">
        <v>1711</v>
      </c>
    </row>
    <row r="1932" spans="2:3" ht="26.4" x14ac:dyDescent="0.25">
      <c r="B1932" s="11" t="s">
        <v>910</v>
      </c>
      <c r="C1932" s="14" t="s">
        <v>1711</v>
      </c>
    </row>
    <row r="1933" spans="2:3" x14ac:dyDescent="0.25">
      <c r="B1933" s="11" t="s">
        <v>1523</v>
      </c>
      <c r="C1933" s="14" t="s">
        <v>1711</v>
      </c>
    </row>
    <row r="1934" spans="2:3" x14ac:dyDescent="0.25">
      <c r="B1934" s="11" t="s">
        <v>2433</v>
      </c>
      <c r="C1934" s="14" t="s">
        <v>1711</v>
      </c>
    </row>
    <row r="1935" spans="2:3" x14ac:dyDescent="0.25">
      <c r="B1935" s="11" t="s">
        <v>558</v>
      </c>
      <c r="C1935" s="14" t="s">
        <v>1711</v>
      </c>
    </row>
    <row r="1936" spans="2:3" x14ac:dyDescent="0.25">
      <c r="C1936" s="14" t="s">
        <v>544</v>
      </c>
    </row>
    <row r="1937" spans="2:3" x14ac:dyDescent="0.25">
      <c r="B1937" s="12" t="s">
        <v>559</v>
      </c>
      <c r="C1937" s="14" t="s">
        <v>1711</v>
      </c>
    </row>
    <row r="1938" spans="2:3" x14ac:dyDescent="0.25">
      <c r="B1938" s="11" t="s">
        <v>2718</v>
      </c>
      <c r="C1938" s="14"/>
    </row>
    <row r="1939" spans="2:3" x14ac:dyDescent="0.25">
      <c r="B1939" s="11" t="s">
        <v>2719</v>
      </c>
      <c r="C1939" s="14"/>
    </row>
    <row r="1940" spans="2:3" x14ac:dyDescent="0.25">
      <c r="B1940" s="11" t="s">
        <v>2720</v>
      </c>
      <c r="C1940" s="14"/>
    </row>
    <row r="1941" spans="2:3" x14ac:dyDescent="0.25">
      <c r="B1941" s="11" t="s">
        <v>560</v>
      </c>
      <c r="C1941" s="14" t="s">
        <v>1711</v>
      </c>
    </row>
    <row r="1942" spans="2:3" x14ac:dyDescent="0.25">
      <c r="B1942" s="11" t="s">
        <v>2689</v>
      </c>
      <c r="C1942" s="14" t="s">
        <v>1711</v>
      </c>
    </row>
    <row r="1943" spans="2:3" x14ac:dyDescent="0.25">
      <c r="B1943" s="11" t="s">
        <v>2690</v>
      </c>
      <c r="C1943" s="14" t="s">
        <v>1711</v>
      </c>
    </row>
    <row r="1944" spans="2:3" x14ac:dyDescent="0.25">
      <c r="B1944" s="11" t="s">
        <v>1180</v>
      </c>
      <c r="C1944" s="14" t="s">
        <v>1711</v>
      </c>
    </row>
    <row r="1945" spans="2:3" x14ac:dyDescent="0.25">
      <c r="B1945" s="11" t="s">
        <v>218</v>
      </c>
      <c r="C1945" s="14"/>
    </row>
    <row r="1946" spans="2:3" x14ac:dyDescent="0.25">
      <c r="B1946" s="11" t="s">
        <v>1386</v>
      </c>
      <c r="C1946" s="14"/>
    </row>
    <row r="1947" spans="2:3" x14ac:dyDescent="0.25">
      <c r="B1947" s="11" t="s">
        <v>226</v>
      </c>
      <c r="C1947" s="14"/>
    </row>
    <row r="1948" spans="2:3" x14ac:dyDescent="0.25">
      <c r="B1948" s="11" t="s">
        <v>227</v>
      </c>
      <c r="C1948" s="14"/>
    </row>
    <row r="1949" spans="2:3" x14ac:dyDescent="0.25">
      <c r="B1949" s="11" t="s">
        <v>248</v>
      </c>
      <c r="C1949" s="14"/>
    </row>
    <row r="1950" spans="2:3" x14ac:dyDescent="0.25">
      <c r="B1950" s="11" t="s">
        <v>249</v>
      </c>
      <c r="C1950" s="14"/>
    </row>
    <row r="1951" spans="2:3" x14ac:dyDescent="0.25">
      <c r="B1951" s="11" t="s">
        <v>250</v>
      </c>
      <c r="C1951" s="14"/>
    </row>
    <row r="1952" spans="2:3" x14ac:dyDescent="0.25">
      <c r="C1952" s="14" t="s">
        <v>544</v>
      </c>
    </row>
    <row r="1953" spans="2:3" x14ac:dyDescent="0.25">
      <c r="B1953" s="12" t="s">
        <v>1398</v>
      </c>
      <c r="C1953" s="14" t="s">
        <v>1711</v>
      </c>
    </row>
    <row r="1954" spans="2:3" x14ac:dyDescent="0.25">
      <c r="B1954" s="11" t="s">
        <v>1369</v>
      </c>
      <c r="C1954" s="14" t="s">
        <v>1711</v>
      </c>
    </row>
    <row r="1955" spans="2:3" x14ac:dyDescent="0.25">
      <c r="B1955" s="11" t="s">
        <v>1370</v>
      </c>
      <c r="C1955" s="14" t="s">
        <v>1711</v>
      </c>
    </row>
    <row r="1956" spans="2:3" x14ac:dyDescent="0.25">
      <c r="B1956" s="11" t="s">
        <v>2538</v>
      </c>
      <c r="C1956" s="14" t="s">
        <v>1711</v>
      </c>
    </row>
    <row r="1957" spans="2:3" x14ac:dyDescent="0.25">
      <c r="B1957" s="11" t="s">
        <v>2026</v>
      </c>
      <c r="C1957" s="14" t="s">
        <v>1711</v>
      </c>
    </row>
    <row r="1958" spans="2:3" x14ac:dyDescent="0.25">
      <c r="B1958" s="11" t="s">
        <v>479</v>
      </c>
      <c r="C1958" s="14" t="s">
        <v>1711</v>
      </c>
    </row>
    <row r="1959" spans="2:3" x14ac:dyDescent="0.25">
      <c r="B1959" s="11" t="s">
        <v>2539</v>
      </c>
      <c r="C1959" s="14" t="s">
        <v>1711</v>
      </c>
    </row>
    <row r="1960" spans="2:3" x14ac:dyDescent="0.25">
      <c r="B1960" s="11" t="s">
        <v>2704</v>
      </c>
      <c r="C1960" s="14" t="s">
        <v>1711</v>
      </c>
    </row>
    <row r="1961" spans="2:3" x14ac:dyDescent="0.25">
      <c r="B1961" s="11" t="s">
        <v>2430</v>
      </c>
      <c r="C1961" s="14" t="s">
        <v>1711</v>
      </c>
    </row>
    <row r="1962" spans="2:3" x14ac:dyDescent="0.25">
      <c r="B1962" s="11" t="s">
        <v>696</v>
      </c>
      <c r="C1962" s="14" t="s">
        <v>1711</v>
      </c>
    </row>
    <row r="1963" spans="2:3" x14ac:dyDescent="0.25">
      <c r="B1963" s="11" t="s">
        <v>1377</v>
      </c>
      <c r="C1963" s="14" t="s">
        <v>1711</v>
      </c>
    </row>
    <row r="1964" spans="2:3" x14ac:dyDescent="0.25">
      <c r="B1964" s="11" t="s">
        <v>1378</v>
      </c>
      <c r="C1964" s="14" t="s">
        <v>1711</v>
      </c>
    </row>
    <row r="1965" spans="2:3" x14ac:dyDescent="0.25">
      <c r="B1965" s="11" t="s">
        <v>1379</v>
      </c>
      <c r="C1965" s="14" t="s">
        <v>1711</v>
      </c>
    </row>
    <row r="1966" spans="2:3" x14ac:dyDescent="0.25">
      <c r="B1966" s="11" t="s">
        <v>671</v>
      </c>
      <c r="C1966" s="14" t="s">
        <v>1711</v>
      </c>
    </row>
    <row r="1967" spans="2:3" x14ac:dyDescent="0.25">
      <c r="B1967" s="11" t="s">
        <v>672</v>
      </c>
      <c r="C1967" s="14" t="s">
        <v>1711</v>
      </c>
    </row>
    <row r="1968" spans="2:3" x14ac:dyDescent="0.25">
      <c r="B1968" s="11" t="s">
        <v>1399</v>
      </c>
      <c r="C1968" s="14" t="e">
        <v>#N/A</v>
      </c>
    </row>
    <row r="1969" spans="2:3" x14ac:dyDescent="0.25">
      <c r="C1969" s="14" t="s">
        <v>544</v>
      </c>
    </row>
    <row r="1970" spans="2:3" x14ac:dyDescent="0.25">
      <c r="B1970" s="12" t="s">
        <v>1400</v>
      </c>
      <c r="C1970" s="14" t="s">
        <v>1711</v>
      </c>
    </row>
    <row r="1971" spans="2:3" x14ac:dyDescent="0.25">
      <c r="B1971" s="11" t="s">
        <v>5</v>
      </c>
      <c r="C1971" s="14" t="s">
        <v>1711</v>
      </c>
    </row>
    <row r="1972" spans="2:3" x14ac:dyDescent="0.25">
      <c r="B1972" s="11" t="s">
        <v>6</v>
      </c>
      <c r="C1972" s="14" t="s">
        <v>1711</v>
      </c>
    </row>
    <row r="1973" spans="2:3" x14ac:dyDescent="0.25">
      <c r="B1973" s="11" t="s">
        <v>7</v>
      </c>
      <c r="C1973" s="14" t="s">
        <v>1711</v>
      </c>
    </row>
    <row r="1974" spans="2:3" x14ac:dyDescent="0.25">
      <c r="C1974" s="14" t="s">
        <v>544</v>
      </c>
    </row>
    <row r="1975" spans="2:3" x14ac:dyDescent="0.25">
      <c r="B1975" s="12" t="s">
        <v>1401</v>
      </c>
      <c r="C1975" s="14" t="s">
        <v>1711</v>
      </c>
    </row>
    <row r="1976" spans="2:3" x14ac:dyDescent="0.25">
      <c r="B1976" s="11" t="s">
        <v>1523</v>
      </c>
      <c r="C1976" s="14" t="s">
        <v>1711</v>
      </c>
    </row>
    <row r="1977" spans="2:3" x14ac:dyDescent="0.25">
      <c r="B1977" s="11" t="s">
        <v>2712</v>
      </c>
      <c r="C1977" s="14" t="s">
        <v>1711</v>
      </c>
    </row>
    <row r="1978" spans="2:3" x14ac:dyDescent="0.25">
      <c r="B1978" s="11" t="s">
        <v>1034</v>
      </c>
      <c r="C1978" s="14" t="s">
        <v>2206</v>
      </c>
    </row>
    <row r="1979" spans="2:3" x14ac:dyDescent="0.25">
      <c r="B1979" s="11" t="s">
        <v>1376</v>
      </c>
      <c r="C1979" s="14" t="s">
        <v>1711</v>
      </c>
    </row>
    <row r="1980" spans="2:3" x14ac:dyDescent="0.25">
      <c r="B1980" s="11" t="s">
        <v>1110</v>
      </c>
      <c r="C1980" s="14" t="s">
        <v>1711</v>
      </c>
    </row>
    <row r="1981" spans="2:3" x14ac:dyDescent="0.25">
      <c r="B1981" s="11" t="s">
        <v>1662</v>
      </c>
      <c r="C1981" s="14" t="s">
        <v>1711</v>
      </c>
    </row>
    <row r="1982" spans="2:3" x14ac:dyDescent="0.25">
      <c r="B1982" s="11" t="s">
        <v>191</v>
      </c>
      <c r="C1982" s="14" t="s">
        <v>1711</v>
      </c>
    </row>
    <row r="1983" spans="2:3" x14ac:dyDescent="0.25">
      <c r="B1983" s="11" t="s">
        <v>192</v>
      </c>
      <c r="C1983" s="14" t="s">
        <v>1711</v>
      </c>
    </row>
    <row r="1984" spans="2:3" x14ac:dyDescent="0.25">
      <c r="B1984" s="11" t="s">
        <v>2126</v>
      </c>
      <c r="C1984" s="14" t="s">
        <v>1711</v>
      </c>
    </row>
    <row r="1985" spans="2:3" x14ac:dyDescent="0.25">
      <c r="B1985" s="11" t="s">
        <v>1660</v>
      </c>
      <c r="C1985" s="14" t="s">
        <v>1711</v>
      </c>
    </row>
    <row r="1986" spans="2:3" x14ac:dyDescent="0.25">
      <c r="B1986" s="11" t="s">
        <v>1661</v>
      </c>
      <c r="C1986" s="14" t="s">
        <v>1711</v>
      </c>
    </row>
    <row r="1987" spans="2:3" x14ac:dyDescent="0.25">
      <c r="B1987" s="11" t="s">
        <v>2428</v>
      </c>
      <c r="C1987" s="14">
        <v>0</v>
      </c>
    </row>
    <row r="1988" spans="2:3" ht="26.4" x14ac:dyDescent="0.25">
      <c r="B1988" s="11" t="s">
        <v>909</v>
      </c>
      <c r="C1988" s="14" t="s">
        <v>1711</v>
      </c>
    </row>
    <row r="1989" spans="2:3" ht="26.4" x14ac:dyDescent="0.25">
      <c r="B1989" s="11" t="s">
        <v>906</v>
      </c>
      <c r="C1989" s="14" t="s">
        <v>1711</v>
      </c>
    </row>
    <row r="1990" spans="2:3" ht="26.4" x14ac:dyDescent="0.25">
      <c r="B1990" s="11" t="s">
        <v>907</v>
      </c>
      <c r="C1990" s="14" t="s">
        <v>1711</v>
      </c>
    </row>
    <row r="1991" spans="2:3" x14ac:dyDescent="0.25">
      <c r="B1991" s="11" t="s">
        <v>1781</v>
      </c>
      <c r="C1991" s="14" t="s">
        <v>1711</v>
      </c>
    </row>
    <row r="1992" spans="2:3" x14ac:dyDescent="0.25">
      <c r="B1992" s="11" t="s">
        <v>908</v>
      </c>
      <c r="C1992" s="14" t="s">
        <v>1711</v>
      </c>
    </row>
    <row r="1993" spans="2:3" ht="26.4" x14ac:dyDescent="0.25">
      <c r="B1993" s="11" t="s">
        <v>910</v>
      </c>
      <c r="C1993" s="14" t="s">
        <v>1711</v>
      </c>
    </row>
    <row r="1994" spans="2:3" x14ac:dyDescent="0.25">
      <c r="B1994" s="11" t="s">
        <v>2128</v>
      </c>
      <c r="C1994" s="14" t="s">
        <v>1711</v>
      </c>
    </row>
    <row r="1995" spans="2:3" x14ac:dyDescent="0.25">
      <c r="B1995" s="11" t="s">
        <v>279</v>
      </c>
      <c r="C1995" s="14" t="e">
        <v>#N/A</v>
      </c>
    </row>
    <row r="1996" spans="2:3" x14ac:dyDescent="0.25">
      <c r="C1996" s="14" t="s">
        <v>544</v>
      </c>
    </row>
    <row r="1997" spans="2:3" x14ac:dyDescent="0.25">
      <c r="B1997" s="12" t="s">
        <v>1402</v>
      </c>
      <c r="C1997" s="14" t="s">
        <v>1711</v>
      </c>
    </row>
    <row r="1998" spans="2:3" x14ac:dyDescent="0.25">
      <c r="B1998" s="11" t="s">
        <v>1523</v>
      </c>
      <c r="C1998" s="14" t="s">
        <v>1711</v>
      </c>
    </row>
    <row r="1999" spans="2:3" x14ac:dyDescent="0.25">
      <c r="B1999" s="11" t="s">
        <v>2712</v>
      </c>
      <c r="C1999" s="14" t="s">
        <v>1711</v>
      </c>
    </row>
    <row r="2000" spans="2:3" x14ac:dyDescent="0.25">
      <c r="B2000" s="11" t="s">
        <v>1034</v>
      </c>
      <c r="C2000" s="14" t="s">
        <v>2206</v>
      </c>
    </row>
    <row r="2001" spans="2:3" x14ac:dyDescent="0.25">
      <c r="B2001" s="11" t="s">
        <v>1376</v>
      </c>
      <c r="C2001" s="14" t="s">
        <v>1711</v>
      </c>
    </row>
    <row r="2002" spans="2:3" x14ac:dyDescent="0.25">
      <c r="B2002" s="11" t="s">
        <v>1110</v>
      </c>
      <c r="C2002" s="14" t="s">
        <v>1711</v>
      </c>
    </row>
    <row r="2003" spans="2:3" x14ac:dyDescent="0.25">
      <c r="B2003" s="11" t="s">
        <v>1731</v>
      </c>
      <c r="C2003" s="14" t="s">
        <v>1711</v>
      </c>
    </row>
    <row r="2004" spans="2:3" x14ac:dyDescent="0.25">
      <c r="B2004" s="11" t="s">
        <v>1662</v>
      </c>
      <c r="C2004" s="14" t="s">
        <v>1711</v>
      </c>
    </row>
    <row r="2005" spans="2:3" x14ac:dyDescent="0.25">
      <c r="B2005" s="11" t="s">
        <v>191</v>
      </c>
      <c r="C2005" s="14" t="s">
        <v>1711</v>
      </c>
    </row>
    <row r="2006" spans="2:3" x14ac:dyDescent="0.25">
      <c r="B2006" s="11" t="s">
        <v>192</v>
      </c>
      <c r="C2006" s="14" t="s">
        <v>1711</v>
      </c>
    </row>
    <row r="2007" spans="2:3" x14ac:dyDescent="0.25">
      <c r="B2007" s="11" t="s">
        <v>2126</v>
      </c>
      <c r="C2007" s="14" t="s">
        <v>1711</v>
      </c>
    </row>
    <row r="2008" spans="2:3" x14ac:dyDescent="0.25">
      <c r="B2008" s="11" t="s">
        <v>1660</v>
      </c>
      <c r="C2008" s="14" t="s">
        <v>1711</v>
      </c>
    </row>
    <row r="2009" spans="2:3" x14ac:dyDescent="0.25">
      <c r="B2009" s="11" t="s">
        <v>1661</v>
      </c>
      <c r="C2009" s="14" t="s">
        <v>1711</v>
      </c>
    </row>
    <row r="2010" spans="2:3" x14ac:dyDescent="0.25">
      <c r="B2010" s="11" t="s">
        <v>2428</v>
      </c>
      <c r="C2010" s="14">
        <v>0</v>
      </c>
    </row>
    <row r="2011" spans="2:3" ht="26.4" x14ac:dyDescent="0.25">
      <c r="B2011" s="11" t="s">
        <v>909</v>
      </c>
      <c r="C2011" s="14" t="s">
        <v>1711</v>
      </c>
    </row>
    <row r="2012" spans="2:3" ht="26.4" x14ac:dyDescent="0.25">
      <c r="B2012" s="11" t="s">
        <v>906</v>
      </c>
      <c r="C2012" s="14" t="s">
        <v>1711</v>
      </c>
    </row>
    <row r="2013" spans="2:3" ht="26.4" x14ac:dyDescent="0.25">
      <c r="B2013" s="11" t="s">
        <v>907</v>
      </c>
      <c r="C2013" s="14" t="s">
        <v>1711</v>
      </c>
    </row>
    <row r="2014" spans="2:3" x14ac:dyDescent="0.25">
      <c r="B2014" s="11" t="s">
        <v>1781</v>
      </c>
      <c r="C2014" s="14" t="s">
        <v>1711</v>
      </c>
    </row>
    <row r="2015" spans="2:3" x14ac:dyDescent="0.25">
      <c r="B2015" s="11" t="s">
        <v>908</v>
      </c>
      <c r="C2015" s="14" t="s">
        <v>1711</v>
      </c>
    </row>
    <row r="2016" spans="2:3" ht="26.4" x14ac:dyDescent="0.25">
      <c r="B2016" s="11" t="s">
        <v>910</v>
      </c>
      <c r="C2016" s="14" t="s">
        <v>1711</v>
      </c>
    </row>
    <row r="2017" spans="2:3" x14ac:dyDescent="0.25">
      <c r="B2017" s="11" t="s">
        <v>2370</v>
      </c>
      <c r="C2017" s="14" t="s">
        <v>1711</v>
      </c>
    </row>
    <row r="2018" spans="2:3" x14ac:dyDescent="0.25">
      <c r="C2018" s="14" t="s">
        <v>544</v>
      </c>
    </row>
    <row r="2019" spans="2:3" x14ac:dyDescent="0.25">
      <c r="B2019" s="12" t="s">
        <v>1403</v>
      </c>
      <c r="C2019" s="14" t="s">
        <v>1711</v>
      </c>
    </row>
    <row r="2020" spans="2:3" x14ac:dyDescent="0.25">
      <c r="B2020" s="11" t="s">
        <v>1523</v>
      </c>
      <c r="C2020" s="14" t="s">
        <v>1711</v>
      </c>
    </row>
    <row r="2021" spans="2:3" x14ac:dyDescent="0.25">
      <c r="B2021" s="11" t="s">
        <v>2712</v>
      </c>
      <c r="C2021" s="14" t="s">
        <v>1711</v>
      </c>
    </row>
    <row r="2022" spans="2:3" x14ac:dyDescent="0.25">
      <c r="B2022" s="11" t="s">
        <v>1034</v>
      </c>
      <c r="C2022" s="14" t="s">
        <v>2206</v>
      </c>
    </row>
    <row r="2023" spans="2:3" x14ac:dyDescent="0.25">
      <c r="B2023" s="11" t="s">
        <v>1376</v>
      </c>
      <c r="C2023" s="14" t="s">
        <v>1711</v>
      </c>
    </row>
    <row r="2024" spans="2:3" x14ac:dyDescent="0.25">
      <c r="B2024" s="11" t="s">
        <v>1110</v>
      </c>
      <c r="C2024" s="14" t="s">
        <v>1711</v>
      </c>
    </row>
    <row r="2025" spans="2:3" x14ac:dyDescent="0.25">
      <c r="B2025" s="11" t="s">
        <v>1731</v>
      </c>
      <c r="C2025" s="14" t="s">
        <v>1711</v>
      </c>
    </row>
    <row r="2026" spans="2:3" x14ac:dyDescent="0.25">
      <c r="B2026" s="11" t="s">
        <v>1662</v>
      </c>
      <c r="C2026" s="14" t="s">
        <v>1711</v>
      </c>
    </row>
    <row r="2027" spans="2:3" x14ac:dyDescent="0.25">
      <c r="B2027" s="11" t="s">
        <v>191</v>
      </c>
      <c r="C2027" s="14" t="s">
        <v>1711</v>
      </c>
    </row>
    <row r="2028" spans="2:3" x14ac:dyDescent="0.25">
      <c r="B2028" s="11" t="s">
        <v>192</v>
      </c>
      <c r="C2028" s="14" t="s">
        <v>1711</v>
      </c>
    </row>
    <row r="2029" spans="2:3" x14ac:dyDescent="0.25">
      <c r="B2029" s="11" t="s">
        <v>2126</v>
      </c>
      <c r="C2029" s="14" t="s">
        <v>1711</v>
      </c>
    </row>
    <row r="2030" spans="2:3" x14ac:dyDescent="0.25">
      <c r="B2030" s="11" t="s">
        <v>1660</v>
      </c>
      <c r="C2030" s="14" t="s">
        <v>1711</v>
      </c>
    </row>
    <row r="2031" spans="2:3" x14ac:dyDescent="0.25">
      <c r="B2031" s="11" t="s">
        <v>1661</v>
      </c>
      <c r="C2031" s="14" t="s">
        <v>1711</v>
      </c>
    </row>
    <row r="2032" spans="2:3" x14ac:dyDescent="0.25">
      <c r="B2032" s="11" t="s">
        <v>2428</v>
      </c>
      <c r="C2032" s="14">
        <v>0</v>
      </c>
    </row>
    <row r="2033" spans="2:3" ht="26.4" x14ac:dyDescent="0.25">
      <c r="B2033" s="11" t="s">
        <v>909</v>
      </c>
      <c r="C2033" s="14" t="s">
        <v>1711</v>
      </c>
    </row>
    <row r="2034" spans="2:3" ht="26.4" x14ac:dyDescent="0.25">
      <c r="B2034" s="11" t="s">
        <v>906</v>
      </c>
      <c r="C2034" s="14" t="s">
        <v>1711</v>
      </c>
    </row>
    <row r="2035" spans="2:3" ht="26.4" x14ac:dyDescent="0.25">
      <c r="B2035" s="11" t="s">
        <v>907</v>
      </c>
      <c r="C2035" s="14" t="s">
        <v>1711</v>
      </c>
    </row>
    <row r="2036" spans="2:3" x14ac:dyDescent="0.25">
      <c r="B2036" s="11" t="s">
        <v>1781</v>
      </c>
      <c r="C2036" s="14" t="s">
        <v>1711</v>
      </c>
    </row>
    <row r="2037" spans="2:3" x14ac:dyDescent="0.25">
      <c r="B2037" s="11" t="s">
        <v>908</v>
      </c>
      <c r="C2037" s="14" t="s">
        <v>1711</v>
      </c>
    </row>
    <row r="2038" spans="2:3" ht="26.4" x14ac:dyDescent="0.25">
      <c r="B2038" s="11" t="s">
        <v>910</v>
      </c>
      <c r="C2038" s="14" t="s">
        <v>1711</v>
      </c>
    </row>
    <row r="2039" spans="2:3" x14ac:dyDescent="0.25">
      <c r="B2039" s="11" t="s">
        <v>2370</v>
      </c>
      <c r="C2039" s="14" t="s">
        <v>1711</v>
      </c>
    </row>
    <row r="2040" spans="2:3" x14ac:dyDescent="0.25">
      <c r="C2040" s="14" t="s">
        <v>544</v>
      </c>
    </row>
    <row r="2041" spans="2:3" x14ac:dyDescent="0.25">
      <c r="B2041" s="12" t="s">
        <v>1404</v>
      </c>
      <c r="C2041" s="14" t="s">
        <v>1711</v>
      </c>
    </row>
    <row r="2042" spans="2:3" ht="26.4" x14ac:dyDescent="0.25">
      <c r="B2042" s="11" t="s">
        <v>2386</v>
      </c>
      <c r="C2042" s="14" t="s">
        <v>1711</v>
      </c>
    </row>
    <row r="2043" spans="2:3" x14ac:dyDescent="0.25">
      <c r="B2043" s="8" t="s">
        <v>2387</v>
      </c>
      <c r="C2043" s="14"/>
    </row>
    <row r="2044" spans="2:3" ht="26.4" x14ac:dyDescent="0.25">
      <c r="B2044" s="7" t="s">
        <v>2388</v>
      </c>
      <c r="C2044" s="14"/>
    </row>
    <row r="2045" spans="2:3" x14ac:dyDescent="0.25">
      <c r="B2045" s="7" t="s">
        <v>2389</v>
      </c>
      <c r="C2045" s="14"/>
    </row>
    <row r="2046" spans="2:3" x14ac:dyDescent="0.25">
      <c r="B2046" s="7" t="s">
        <v>2390</v>
      </c>
      <c r="C2046" s="14"/>
    </row>
    <row r="2047" spans="2:3" x14ac:dyDescent="0.25">
      <c r="B2047" s="7" t="s">
        <v>2391</v>
      </c>
      <c r="C2047" s="14"/>
    </row>
    <row r="2048" spans="2:3" ht="26.4" x14ac:dyDescent="0.25">
      <c r="B2048" s="7" t="s">
        <v>2392</v>
      </c>
      <c r="C2048" s="14"/>
    </row>
    <row r="2049" spans="2:3" ht="26.4" x14ac:dyDescent="0.25">
      <c r="B2049" s="7" t="s">
        <v>2826</v>
      </c>
      <c r="C2049" s="14"/>
    </row>
    <row r="2050" spans="2:3" ht="26.4" x14ac:dyDescent="0.25">
      <c r="B2050" s="7" t="s">
        <v>692</v>
      </c>
      <c r="C2050" s="14"/>
    </row>
    <row r="2051" spans="2:3" x14ac:dyDescent="0.25">
      <c r="B2051" s="2" t="s">
        <v>693</v>
      </c>
      <c r="C2051" s="14"/>
    </row>
    <row r="2052" spans="2:3" x14ac:dyDescent="0.25">
      <c r="B2052" s="8" t="s">
        <v>661</v>
      </c>
      <c r="C2052" s="14"/>
    </row>
    <row r="2053" spans="2:3" x14ac:dyDescent="0.25">
      <c r="B2053" s="8" t="s">
        <v>658</v>
      </c>
      <c r="C2053" s="14"/>
    </row>
    <row r="2054" spans="2:3" x14ac:dyDescent="0.25">
      <c r="B2054" s="8" t="s">
        <v>653</v>
      </c>
      <c r="C2054" s="14"/>
    </row>
    <row r="2055" spans="2:3" x14ac:dyDescent="0.25">
      <c r="B2055" s="8" t="s">
        <v>1593</v>
      </c>
      <c r="C2055" s="14"/>
    </row>
    <row r="2056" spans="2:3" x14ac:dyDescent="0.25">
      <c r="B2056" s="8" t="s">
        <v>1594</v>
      </c>
      <c r="C2056" s="14"/>
    </row>
    <row r="2057" spans="2:3" x14ac:dyDescent="0.25">
      <c r="B2057" s="8" t="s">
        <v>1595</v>
      </c>
      <c r="C2057" s="14"/>
    </row>
    <row r="2058" spans="2:3" x14ac:dyDescent="0.25">
      <c r="B2058" s="8" t="s">
        <v>1596</v>
      </c>
      <c r="C2058" s="14"/>
    </row>
    <row r="2059" spans="2:3" x14ac:dyDescent="0.25">
      <c r="B2059" s="8" t="s">
        <v>180</v>
      </c>
      <c r="C2059" s="14"/>
    </row>
    <row r="2060" spans="2:3" x14ac:dyDescent="0.25">
      <c r="B2060" s="8" t="s">
        <v>238</v>
      </c>
      <c r="C2060" s="14"/>
    </row>
    <row r="2061" spans="2:3" x14ac:dyDescent="0.25">
      <c r="B2061" s="8" t="s">
        <v>239</v>
      </c>
      <c r="C2061" s="14"/>
    </row>
    <row r="2062" spans="2:3" x14ac:dyDescent="0.25">
      <c r="B2062" s="8" t="s">
        <v>240</v>
      </c>
      <c r="C2062" s="14"/>
    </row>
    <row r="2063" spans="2:3" x14ac:dyDescent="0.25">
      <c r="B2063" s="10" t="s">
        <v>1801</v>
      </c>
      <c r="C2063" s="14"/>
    </row>
    <row r="2064" spans="2:3" ht="26.4" x14ac:dyDescent="0.25">
      <c r="B2064" s="10" t="s">
        <v>769</v>
      </c>
      <c r="C2064" s="14"/>
    </row>
    <row r="2065" spans="2:3" ht="26.4" x14ac:dyDescent="0.25">
      <c r="B2065" s="10" t="s">
        <v>770</v>
      </c>
      <c r="C2065" s="14"/>
    </row>
    <row r="2066" spans="2:3" ht="26.4" x14ac:dyDescent="0.25">
      <c r="B2066" s="10" t="s">
        <v>397</v>
      </c>
      <c r="C2066" s="14"/>
    </row>
    <row r="2067" spans="2:3" ht="26.4" x14ac:dyDescent="0.25">
      <c r="B2067" s="10" t="s">
        <v>398</v>
      </c>
      <c r="C2067" s="14"/>
    </row>
    <row r="2068" spans="2:3" x14ac:dyDescent="0.25">
      <c r="B2068" s="11" t="s">
        <v>2712</v>
      </c>
      <c r="C2068" s="14"/>
    </row>
    <row r="2069" spans="2:3" x14ac:dyDescent="0.25">
      <c r="B2069" s="2"/>
      <c r="C2069" s="14"/>
    </row>
    <row r="2070" spans="2:3" x14ac:dyDescent="0.25">
      <c r="B2070" s="2"/>
      <c r="C2070" s="14"/>
    </row>
    <row r="2071" spans="2:3" x14ac:dyDescent="0.25">
      <c r="B2071" s="2"/>
      <c r="C2071" s="14"/>
    </row>
    <row r="2072" spans="2:3" x14ac:dyDescent="0.25">
      <c r="B2072" s="2"/>
      <c r="C2072" s="14"/>
    </row>
    <row r="2073" spans="2:3" x14ac:dyDescent="0.25">
      <c r="B2073" s="2"/>
      <c r="C2073" s="14"/>
    </row>
    <row r="2074" spans="2:3" x14ac:dyDescent="0.25">
      <c r="B2074" s="2"/>
      <c r="C2074" s="14"/>
    </row>
    <row r="2075" spans="2:3" x14ac:dyDescent="0.25">
      <c r="B2075" s="2"/>
      <c r="C2075" s="14"/>
    </row>
    <row r="2076" spans="2:3" x14ac:dyDescent="0.25">
      <c r="B2076" s="2"/>
      <c r="C2076" s="14"/>
    </row>
    <row r="2077" spans="2:3" x14ac:dyDescent="0.25">
      <c r="B2077" s="2"/>
      <c r="C2077" s="14"/>
    </row>
    <row r="2078" spans="2:3" x14ac:dyDescent="0.25">
      <c r="B2078" s="2"/>
      <c r="C2078" s="14"/>
    </row>
    <row r="2079" spans="2:3" x14ac:dyDescent="0.25">
      <c r="C2079" s="14"/>
    </row>
    <row r="2080" spans="2:3" x14ac:dyDescent="0.25">
      <c r="C2080" s="14" t="s">
        <v>1711</v>
      </c>
    </row>
    <row r="2081" spans="2:3" x14ac:dyDescent="0.25">
      <c r="B2081" s="11" t="s">
        <v>1034</v>
      </c>
      <c r="C2081" s="14" t="s">
        <v>2206</v>
      </c>
    </row>
    <row r="2082" spans="2:3" x14ac:dyDescent="0.25">
      <c r="B2082" s="11" t="s">
        <v>1376</v>
      </c>
      <c r="C2082" s="14" t="s">
        <v>1711</v>
      </c>
    </row>
    <row r="2083" spans="2:3" x14ac:dyDescent="0.25">
      <c r="B2083" s="11" t="s">
        <v>1110</v>
      </c>
      <c r="C2083" s="14" t="s">
        <v>1711</v>
      </c>
    </row>
    <row r="2084" spans="2:3" x14ac:dyDescent="0.25">
      <c r="B2084" s="11" t="s">
        <v>1731</v>
      </c>
      <c r="C2084" s="14" t="s">
        <v>1711</v>
      </c>
    </row>
    <row r="2085" spans="2:3" x14ac:dyDescent="0.25">
      <c r="B2085" s="11" t="s">
        <v>1662</v>
      </c>
      <c r="C2085" s="14" t="s">
        <v>1711</v>
      </c>
    </row>
    <row r="2086" spans="2:3" x14ac:dyDescent="0.25">
      <c r="B2086" s="11" t="s">
        <v>191</v>
      </c>
      <c r="C2086" s="14" t="s">
        <v>1711</v>
      </c>
    </row>
    <row r="2087" spans="2:3" x14ac:dyDescent="0.25">
      <c r="B2087" s="11" t="s">
        <v>192</v>
      </c>
      <c r="C2087" s="14" t="s">
        <v>1711</v>
      </c>
    </row>
    <row r="2088" spans="2:3" x14ac:dyDescent="0.25">
      <c r="B2088" s="11" t="s">
        <v>2126</v>
      </c>
      <c r="C2088" s="14" t="s">
        <v>1711</v>
      </c>
    </row>
    <row r="2089" spans="2:3" x14ac:dyDescent="0.25">
      <c r="B2089" s="11" t="s">
        <v>1660</v>
      </c>
      <c r="C2089" s="14" t="s">
        <v>1711</v>
      </c>
    </row>
    <row r="2090" spans="2:3" x14ac:dyDescent="0.25">
      <c r="B2090" s="11" t="s">
        <v>1661</v>
      </c>
      <c r="C2090" s="14" t="s">
        <v>1711</v>
      </c>
    </row>
    <row r="2091" spans="2:3" x14ac:dyDescent="0.25">
      <c r="B2091" s="11" t="s">
        <v>2428</v>
      </c>
      <c r="C2091" s="14">
        <v>0</v>
      </c>
    </row>
    <row r="2092" spans="2:3" ht="26.4" x14ac:dyDescent="0.25">
      <c r="B2092" s="11" t="s">
        <v>909</v>
      </c>
      <c r="C2092" s="14" t="s">
        <v>1711</v>
      </c>
    </row>
    <row r="2093" spans="2:3" ht="26.4" x14ac:dyDescent="0.25">
      <c r="B2093" s="11" t="s">
        <v>906</v>
      </c>
      <c r="C2093" s="14" t="s">
        <v>1711</v>
      </c>
    </row>
    <row r="2094" spans="2:3" ht="26.4" x14ac:dyDescent="0.25">
      <c r="B2094" s="11" t="s">
        <v>907</v>
      </c>
      <c r="C2094" s="14" t="s">
        <v>1711</v>
      </c>
    </row>
    <row r="2095" spans="2:3" x14ac:dyDescent="0.25">
      <c r="B2095" s="11" t="s">
        <v>908</v>
      </c>
      <c r="C2095" s="14" t="s">
        <v>1711</v>
      </c>
    </row>
    <row r="2096" spans="2:3" ht="26.4" x14ac:dyDescent="0.25">
      <c r="B2096" s="11" t="s">
        <v>910</v>
      </c>
      <c r="C2096" s="14" t="s">
        <v>1711</v>
      </c>
    </row>
    <row r="2097" spans="2:3" x14ac:dyDescent="0.25">
      <c r="B2097" s="11" t="s">
        <v>2370</v>
      </c>
      <c r="C2097" s="14" t="s">
        <v>1711</v>
      </c>
    </row>
    <row r="2098" spans="2:3" x14ac:dyDescent="0.25">
      <c r="B2098" s="11" t="s">
        <v>1405</v>
      </c>
      <c r="C2098" s="14" t="s">
        <v>1711</v>
      </c>
    </row>
    <row r="2099" spans="2:3" x14ac:dyDescent="0.25">
      <c r="B2099" s="11" t="s">
        <v>279</v>
      </c>
      <c r="C2099" s="14" t="e">
        <v>#N/A</v>
      </c>
    </row>
    <row r="2100" spans="2:3" x14ac:dyDescent="0.25">
      <c r="B2100" s="11" t="s">
        <v>2184</v>
      </c>
      <c r="C2100" s="14" t="s">
        <v>1711</v>
      </c>
    </row>
    <row r="2101" spans="2:3" x14ac:dyDescent="0.25">
      <c r="C2101" s="14" t="s">
        <v>544</v>
      </c>
    </row>
    <row r="2102" spans="2:3" x14ac:dyDescent="0.25">
      <c r="B2102" s="12" t="s">
        <v>1406</v>
      </c>
      <c r="C2102" s="14" t="s">
        <v>1711</v>
      </c>
    </row>
    <row r="2103" spans="2:3" ht="26.4" x14ac:dyDescent="0.25">
      <c r="B2103" s="11" t="s">
        <v>1412</v>
      </c>
      <c r="C2103" s="14" t="s">
        <v>1711</v>
      </c>
    </row>
    <row r="2104" spans="2:3" ht="26.4" x14ac:dyDescent="0.25">
      <c r="B2104" s="11" t="s">
        <v>1411</v>
      </c>
      <c r="C2104" s="14" t="s">
        <v>1711</v>
      </c>
    </row>
    <row r="2105" spans="2:3" ht="26.4" x14ac:dyDescent="0.25">
      <c r="B2105" s="11" t="s">
        <v>1413</v>
      </c>
      <c r="C2105" s="14" t="s">
        <v>1711</v>
      </c>
    </row>
    <row r="2106" spans="2:3" ht="26.4" x14ac:dyDescent="0.25">
      <c r="B2106" s="11" t="s">
        <v>230</v>
      </c>
      <c r="C2106" s="14"/>
    </row>
    <row r="2107" spans="2:3" ht="26.4" x14ac:dyDescent="0.25">
      <c r="B2107" s="11" t="s">
        <v>1410</v>
      </c>
      <c r="C2107" s="14" t="s">
        <v>1711</v>
      </c>
    </row>
    <row r="2109" spans="2:3" x14ac:dyDescent="0.25">
      <c r="B2109" s="11" t="s">
        <v>1414</v>
      </c>
      <c r="C2109" s="14" t="s">
        <v>1711</v>
      </c>
    </row>
    <row r="2110" spans="2:3" x14ac:dyDescent="0.25">
      <c r="B2110" s="11" t="s">
        <v>989</v>
      </c>
      <c r="C2110" s="14" t="s">
        <v>1711</v>
      </c>
    </row>
    <row r="2111" spans="2:3" x14ac:dyDescent="0.25">
      <c r="B2111" s="11" t="s">
        <v>990</v>
      </c>
      <c r="C2111" s="14"/>
    </row>
    <row r="2112" spans="2:3" x14ac:dyDescent="0.25">
      <c r="B2112" s="11" t="s">
        <v>2173</v>
      </c>
      <c r="C2112" s="14"/>
    </row>
    <row r="2113" spans="2:3" x14ac:dyDescent="0.25">
      <c r="B2113" s="11" t="s">
        <v>2531</v>
      </c>
      <c r="C2113" s="14"/>
    </row>
    <row r="2114" spans="2:3" x14ac:dyDescent="0.25">
      <c r="B2114" s="11" t="s">
        <v>2532</v>
      </c>
      <c r="C2114" s="14"/>
    </row>
    <row r="2115" spans="2:3" ht="26.4" x14ac:dyDescent="0.25">
      <c r="B2115" s="11" t="s">
        <v>1647</v>
      </c>
      <c r="C2115" s="14" t="s">
        <v>1711</v>
      </c>
    </row>
    <row r="2116" spans="2:3" x14ac:dyDescent="0.25">
      <c r="C2116" s="14" t="s">
        <v>544</v>
      </c>
    </row>
    <row r="2117" spans="2:3" x14ac:dyDescent="0.25">
      <c r="C2117" s="14" t="s">
        <v>544</v>
      </c>
    </row>
    <row r="2118" spans="2:3" x14ac:dyDescent="0.25">
      <c r="B2118" s="12" t="s">
        <v>1407</v>
      </c>
      <c r="C2118" s="14" t="s">
        <v>1711</v>
      </c>
    </row>
    <row r="2119" spans="2:3" x14ac:dyDescent="0.25">
      <c r="B2119" s="11" t="s">
        <v>1624</v>
      </c>
      <c r="C2119" s="14" t="s">
        <v>1711</v>
      </c>
    </row>
    <row r="2120" spans="2:3" x14ac:dyDescent="0.25">
      <c r="B2120" s="11" t="s">
        <v>1623</v>
      </c>
      <c r="C2120" s="14" t="s">
        <v>1711</v>
      </c>
    </row>
    <row r="2121" spans="2:3" x14ac:dyDescent="0.25">
      <c r="B2121" s="11" t="s">
        <v>989</v>
      </c>
      <c r="C2121" s="14" t="s">
        <v>1711</v>
      </c>
    </row>
    <row r="2122" spans="2:3" x14ac:dyDescent="0.25">
      <c r="B2122" s="11" t="s">
        <v>990</v>
      </c>
      <c r="C2122" s="14" t="s">
        <v>1711</v>
      </c>
    </row>
    <row r="2123" spans="2:3" x14ac:dyDescent="0.25">
      <c r="B2123" s="11" t="s">
        <v>2173</v>
      </c>
      <c r="C2123" s="14" t="s">
        <v>1711</v>
      </c>
    </row>
    <row r="2124" spans="2:3" x14ac:dyDescent="0.25">
      <c r="B2124" s="11" t="s">
        <v>2531</v>
      </c>
      <c r="C2124" s="14" t="s">
        <v>1711</v>
      </c>
    </row>
    <row r="2125" spans="2:3" x14ac:dyDescent="0.25">
      <c r="B2125" s="11" t="s">
        <v>2532</v>
      </c>
      <c r="C2125" s="14" t="s">
        <v>1711</v>
      </c>
    </row>
    <row r="2126" spans="2:3" ht="26.4" x14ac:dyDescent="0.25">
      <c r="B2126" s="11" t="s">
        <v>1647</v>
      </c>
      <c r="C2126" s="14" t="s">
        <v>1711</v>
      </c>
    </row>
    <row r="2127" spans="2:3" x14ac:dyDescent="0.25">
      <c r="C2127" s="14" t="s">
        <v>544</v>
      </c>
    </row>
    <row r="2128" spans="2:3" x14ac:dyDescent="0.25">
      <c r="C2128" s="14" t="s">
        <v>544</v>
      </c>
    </row>
    <row r="2129" spans="3:3" x14ac:dyDescent="0.25">
      <c r="C2129" s="14" t="s">
        <v>544</v>
      </c>
    </row>
    <row r="2130" spans="3:3" x14ac:dyDescent="0.25">
      <c r="C2130" s="14" t="s">
        <v>544</v>
      </c>
    </row>
    <row r="2131" spans="3:3" x14ac:dyDescent="0.25">
      <c r="C2131" s="14" t="s">
        <v>544</v>
      </c>
    </row>
    <row r="2132" spans="3:3" x14ac:dyDescent="0.25">
      <c r="C2132" s="14" t="s">
        <v>544</v>
      </c>
    </row>
    <row r="2133" spans="3:3" x14ac:dyDescent="0.25">
      <c r="C2133" s="14" t="s">
        <v>544</v>
      </c>
    </row>
    <row r="2134" spans="3:3" x14ac:dyDescent="0.25">
      <c r="C2134" s="14" t="s">
        <v>544</v>
      </c>
    </row>
    <row r="2135" spans="3:3" x14ac:dyDescent="0.25">
      <c r="C2135" s="14" t="s">
        <v>544</v>
      </c>
    </row>
    <row r="2136" spans="3:3" x14ac:dyDescent="0.25">
      <c r="C2136" s="14" t="s">
        <v>544</v>
      </c>
    </row>
    <row r="2137" spans="3:3" x14ac:dyDescent="0.25">
      <c r="C2137" s="14" t="s">
        <v>544</v>
      </c>
    </row>
    <row r="2138" spans="3:3" x14ac:dyDescent="0.25">
      <c r="C2138" s="14" t="s">
        <v>544</v>
      </c>
    </row>
    <row r="2139" spans="3:3" x14ac:dyDescent="0.25">
      <c r="C2139" s="14" t="s">
        <v>544</v>
      </c>
    </row>
    <row r="2140" spans="3:3" x14ac:dyDescent="0.25">
      <c r="C2140" s="14" t="s">
        <v>544</v>
      </c>
    </row>
    <row r="2141" spans="3:3" x14ac:dyDescent="0.25">
      <c r="C2141" s="14" t="s">
        <v>544</v>
      </c>
    </row>
    <row r="2142" spans="3:3" x14ac:dyDescent="0.25">
      <c r="C2142" s="14" t="s">
        <v>544</v>
      </c>
    </row>
    <row r="2143" spans="3:3" x14ac:dyDescent="0.25">
      <c r="C2143" s="14" t="s">
        <v>544</v>
      </c>
    </row>
    <row r="2144" spans="3:3" x14ac:dyDescent="0.25">
      <c r="C2144" s="14" t="s">
        <v>544</v>
      </c>
    </row>
    <row r="2145" spans="3:3" x14ac:dyDescent="0.25">
      <c r="C2145" s="14" t="s">
        <v>544</v>
      </c>
    </row>
    <row r="2146" spans="3:3" x14ac:dyDescent="0.25">
      <c r="C2146" s="14" t="s">
        <v>544</v>
      </c>
    </row>
    <row r="2147" spans="3:3" x14ac:dyDescent="0.25">
      <c r="C2147" s="14" t="s">
        <v>544</v>
      </c>
    </row>
    <row r="2148" spans="3:3" x14ac:dyDescent="0.25">
      <c r="C2148" s="14" t="s">
        <v>544</v>
      </c>
    </row>
    <row r="2149" spans="3:3" x14ac:dyDescent="0.25">
      <c r="C2149" s="14" t="s">
        <v>544</v>
      </c>
    </row>
    <row r="2150" spans="3:3" x14ac:dyDescent="0.25">
      <c r="C2150" s="14" t="s">
        <v>544</v>
      </c>
    </row>
    <row r="2151" spans="3:3" x14ac:dyDescent="0.25">
      <c r="C2151" s="14" t="s">
        <v>544</v>
      </c>
    </row>
    <row r="2152" spans="3:3" x14ac:dyDescent="0.25">
      <c r="C2152" s="14" t="s">
        <v>544</v>
      </c>
    </row>
    <row r="2153" spans="3:3" x14ac:dyDescent="0.25">
      <c r="C2153" s="14" t="s">
        <v>544</v>
      </c>
    </row>
    <row r="2154" spans="3:3" x14ac:dyDescent="0.25">
      <c r="C2154" s="14" t="s">
        <v>544</v>
      </c>
    </row>
    <row r="2155" spans="3:3" x14ac:dyDescent="0.25">
      <c r="C2155" s="14" t="s">
        <v>544</v>
      </c>
    </row>
    <row r="2156" spans="3:3" x14ac:dyDescent="0.25">
      <c r="C2156" s="14" t="s">
        <v>544</v>
      </c>
    </row>
    <row r="2157" spans="3:3" x14ac:dyDescent="0.25">
      <c r="C2157" s="14" t="s">
        <v>544</v>
      </c>
    </row>
    <row r="2158" spans="3:3" x14ac:dyDescent="0.25">
      <c r="C2158" s="14" t="s">
        <v>544</v>
      </c>
    </row>
    <row r="2159" spans="3:3" x14ac:dyDescent="0.25">
      <c r="C2159" s="14" t="s">
        <v>544</v>
      </c>
    </row>
    <row r="2160" spans="3:3" x14ac:dyDescent="0.25">
      <c r="C2160" s="14" t="s">
        <v>544</v>
      </c>
    </row>
    <row r="2161" spans="3:3" x14ac:dyDescent="0.25">
      <c r="C2161" s="14" t="s">
        <v>544</v>
      </c>
    </row>
    <row r="2162" spans="3:3" x14ac:dyDescent="0.25">
      <c r="C2162" s="14" t="s">
        <v>544</v>
      </c>
    </row>
    <row r="2163" spans="3:3" x14ac:dyDescent="0.25">
      <c r="C2163" s="14" t="s">
        <v>544</v>
      </c>
    </row>
    <row r="2168" spans="3:3" x14ac:dyDescent="0.25">
      <c r="C2168" s="23"/>
    </row>
    <row r="2169" spans="3:3" x14ac:dyDescent="0.25">
      <c r="C2169" s="23"/>
    </row>
    <row r="2183" spans="3:3" x14ac:dyDescent="0.25">
      <c r="C2183" s="23"/>
    </row>
    <row r="2196" spans="3:3" x14ac:dyDescent="0.25">
      <c r="C2196" s="23"/>
    </row>
    <row r="2198" spans="3:3" x14ac:dyDescent="0.25">
      <c r="C2198" s="23"/>
    </row>
    <row r="2199" spans="3:3" x14ac:dyDescent="0.25">
      <c r="C2199" s="23"/>
    </row>
    <row r="2232" spans="3:3" x14ac:dyDescent="0.25">
      <c r="C2232" s="23"/>
    </row>
    <row r="2278" spans="3:3" x14ac:dyDescent="0.25">
      <c r="C2278" s="23"/>
    </row>
    <row r="2316" spans="3:3" x14ac:dyDescent="0.25">
      <c r="C2316" s="23"/>
    </row>
    <row r="2361" spans="3:3" x14ac:dyDescent="0.25">
      <c r="C2361" s="23"/>
    </row>
    <row r="2387" spans="3:3" x14ac:dyDescent="0.25">
      <c r="C2387" s="23"/>
    </row>
    <row r="2438" spans="3:3" x14ac:dyDescent="0.25">
      <c r="C2438" s="23"/>
    </row>
    <row r="2465" spans="3:3" x14ac:dyDescent="0.25">
      <c r="C2465" s="23"/>
    </row>
    <row r="2467" spans="3:3" x14ac:dyDescent="0.25">
      <c r="C2467" s="23"/>
    </row>
    <row r="2470" spans="3:3" x14ac:dyDescent="0.25">
      <c r="C2470" s="23"/>
    </row>
    <row r="2549" spans="3:3" x14ac:dyDescent="0.25">
      <c r="C2549" s="23"/>
    </row>
    <row r="2559" spans="3:3" x14ac:dyDescent="0.25">
      <c r="C2559" s="23"/>
    </row>
  </sheetData>
  <mergeCells count="1">
    <mergeCell ref="A4:A9"/>
  </mergeCells>
  <phoneticPr fontId="6" type="noConversion"/>
  <pageMargins left="0.75" right="0.75" top="1" bottom="1" header="0.5" footer="0.5"/>
  <pageSetup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28</vt:i4>
      </vt:variant>
    </vt:vector>
  </HeadingPairs>
  <TitlesOfParts>
    <vt:vector size="46" baseType="lpstr">
      <vt:lpstr>Cost Estimate</vt:lpstr>
      <vt:lpstr>Materialslookup</vt:lpstr>
      <vt:lpstr>Equipmentlookup</vt:lpstr>
      <vt:lpstr>Mobilizationlookup</vt:lpstr>
      <vt:lpstr>Laborlookup</vt:lpstr>
      <vt:lpstr>Customercostlookup</vt:lpstr>
      <vt:lpstr>Practices</vt:lpstr>
      <vt:lpstr>Nat Data 2013</vt:lpstr>
      <vt:lpstr>RSMean 2011</vt:lpstr>
      <vt:lpstr>RSMean 2011_delete hidden cells</vt:lpstr>
      <vt:lpstr>Per Hour</vt:lpstr>
      <vt:lpstr>lookup</vt:lpstr>
      <vt:lpstr>RSMeans 2009</vt:lpstr>
      <vt:lpstr>components</vt:lpstr>
      <vt:lpstr>Component Assemblies</vt:lpstr>
      <vt:lpstr>MI Component Costs</vt:lpstr>
      <vt:lpstr>Practices with components</vt:lpstr>
      <vt:lpstr>2006</vt:lpstr>
      <vt:lpstr>AgChemicals</vt:lpstr>
      <vt:lpstr>Aggregates</vt:lpstr>
      <vt:lpstr>Agri</vt:lpstr>
      <vt:lpstr>Cont</vt:lpstr>
      <vt:lpstr>Contin</vt:lpstr>
      <vt:lpstr>CostEtc</vt:lpstr>
      <vt:lpstr>Cust</vt:lpstr>
      <vt:lpstr>CustCost</vt:lpstr>
      <vt:lpstr>Customer</vt:lpstr>
      <vt:lpstr>Demo</vt:lpstr>
      <vt:lpstr>Equipment</vt:lpstr>
      <vt:lpstr>Excav</vt:lpstr>
      <vt:lpstr>Fencing</vt:lpstr>
      <vt:lpstr>Forestry</vt:lpstr>
      <vt:lpstr>Geotextile</vt:lpstr>
      <vt:lpstr>Gutters</vt:lpstr>
      <vt:lpstr>Labor</vt:lpstr>
      <vt:lpstr>LaborCost</vt:lpstr>
      <vt:lpstr>Material</vt:lpstr>
      <vt:lpstr>Mobil</vt:lpstr>
      <vt:lpstr>Mobilization</vt:lpstr>
      <vt:lpstr>Piping</vt:lpstr>
      <vt:lpstr>Prefab</vt:lpstr>
      <vt:lpstr>'Cost Estimate'!Print_Area</vt:lpstr>
      <vt:lpstr>'MI Component Costs'!Print_Area</vt:lpstr>
      <vt:lpstr>'MI Component Costs'!Print_Titles</vt:lpstr>
      <vt:lpstr>SitePrep</vt:lpstr>
      <vt:lpstr>Stuff</vt:lpstr>
    </vt:vector>
  </TitlesOfParts>
  <Company>USDA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june.grabemeyer</dc:creator>
  <cp:lastModifiedBy>Grabemeyer, June - NRCS, East Lansing, MI</cp:lastModifiedBy>
  <cp:lastPrinted>2013-09-13T18:17:56Z</cp:lastPrinted>
  <dcterms:created xsi:type="dcterms:W3CDTF">2004-01-28T22:36:42Z</dcterms:created>
  <dcterms:modified xsi:type="dcterms:W3CDTF">2013-09-13T18:18:11Z</dcterms:modified>
</cp:coreProperties>
</file>