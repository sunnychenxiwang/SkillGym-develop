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120" windowWidth="11640" windowHeight="9120"/>
  </bookViews>
  <sheets>
    <sheet name="Timesheet Template" sheetId="2" r:id="rId1"/>
    <sheet name="Payroll Calendar" sheetId="4" r:id="rId2"/>
  </sheets>
  <definedNames>
    <definedName name="_xlnm.Print_Area" localSheetId="0">'Timesheet Template'!$B$2:$R$28</definedName>
  </definedNames>
  <calcPr calcId="145621"/>
</workbook>
</file>

<file path=xl/calcChain.xml><?xml version="1.0" encoding="utf-8"?>
<calcChain xmlns="http://schemas.openxmlformats.org/spreadsheetml/2006/main">
  <c r="D20" i="2" l="1"/>
  <c r="E20" i="2"/>
  <c r="F20" i="2"/>
  <c r="G20" i="2"/>
  <c r="H20" i="2"/>
  <c r="I20" i="2"/>
  <c r="J20" i="2"/>
  <c r="K20" i="2"/>
  <c r="L20" i="2"/>
  <c r="M20" i="2"/>
  <c r="K21" i="2" s="1"/>
  <c r="N20" i="2"/>
  <c r="O20" i="2"/>
  <c r="P20" i="2"/>
  <c r="Q20" i="2"/>
  <c r="R9" i="2"/>
  <c r="D21" i="2" l="1"/>
  <c r="Q19" i="2"/>
  <c r="K19" i="2" s="1"/>
  <c r="J19" i="2"/>
  <c r="D19" i="2" s="1"/>
  <c r="G25" i="2"/>
  <c r="D8" i="2"/>
  <c r="E8" i="2" s="1"/>
  <c r="O5" i="2" l="1"/>
  <c r="Q8" i="2"/>
  <c r="H5" i="2" s="1"/>
  <c r="P8" i="2"/>
  <c r="N8" i="2"/>
  <c r="L8" i="2"/>
  <c r="J8" i="2"/>
  <c r="H8" i="2"/>
  <c r="F8" i="2"/>
  <c r="O8" i="2"/>
  <c r="M8" i="2"/>
  <c r="K8" i="2"/>
  <c r="I8" i="2"/>
  <c r="G8" i="2"/>
  <c r="R10" i="2" l="1"/>
  <c r="R11" i="2"/>
  <c r="G24" i="2" s="1"/>
  <c r="R12" i="2"/>
  <c r="R13" i="2"/>
  <c r="R14" i="2"/>
  <c r="R15" i="2"/>
  <c r="R16" i="2"/>
  <c r="R17" i="2"/>
  <c r="R18" i="2"/>
  <c r="D25" i="2" l="1"/>
  <c r="D24" i="2"/>
  <c r="R25" i="2"/>
  <c r="J24" i="2"/>
  <c r="J25" i="2" l="1"/>
</calcChain>
</file>

<file path=xl/comments1.xml><?xml version="1.0" encoding="utf-8"?>
<comments xmlns="http://schemas.openxmlformats.org/spreadsheetml/2006/main">
  <authors>
    <author>Nikolai</author>
  </authors>
  <commentList>
    <comment ref="M3" authorId="0">
      <text>
        <r>
          <rPr>
            <b/>
            <sz val="8"/>
            <color indexed="81"/>
            <rFont val="Tahoma"/>
            <family val="2"/>
            <charset val="204"/>
          </rPr>
          <t>Nikolai:</t>
        </r>
        <r>
          <rPr>
            <sz val="8"/>
            <color indexed="81"/>
            <rFont val="Tahoma"/>
            <family val="2"/>
            <charset val="204"/>
          </rPr>
          <t xml:space="preserve">
The Employee Number is 
printed on your Paystub.
Or contact Payroll to get your Employee Number at:
payroll@chugachmiut.org
or 334-0141</t>
        </r>
      </text>
    </comment>
    <comment ref="D5" authorId="0">
      <text>
        <r>
          <rPr>
            <b/>
            <sz val="8"/>
            <color indexed="81"/>
            <rFont val="Tahoma"/>
            <family val="2"/>
            <charset val="204"/>
          </rPr>
          <t>Nikolai:</t>
        </r>
        <r>
          <rPr>
            <sz val="8"/>
            <color indexed="81"/>
            <rFont val="Tahoma"/>
            <family val="2"/>
            <charset val="204"/>
          </rPr>
          <t xml:space="preserve">
Use Drop Down Menu
To Select Pay Period Start
</t>
        </r>
      </text>
    </comment>
  </commentList>
</comments>
</file>

<file path=xl/sharedStrings.xml><?xml version="1.0" encoding="utf-8"?>
<sst xmlns="http://schemas.openxmlformats.org/spreadsheetml/2006/main" count="95" uniqueCount="84">
  <si>
    <t>Employee Name</t>
  </si>
  <si>
    <t>HOURLY</t>
  </si>
  <si>
    <t>SALARY</t>
  </si>
  <si>
    <t>These Signatures certify actual hours worked</t>
  </si>
  <si>
    <t>Employee Title</t>
  </si>
  <si>
    <t>Sun</t>
  </si>
  <si>
    <t>Mon</t>
  </si>
  <si>
    <t>Tue</t>
  </si>
  <si>
    <t>Wed</t>
  </si>
  <si>
    <t>Thu</t>
  </si>
  <si>
    <t>Fri</t>
  </si>
  <si>
    <t>Sat</t>
  </si>
  <si>
    <t>Overtime</t>
  </si>
  <si>
    <t>HOL</t>
  </si>
  <si>
    <t>Holiday</t>
  </si>
  <si>
    <t>OT</t>
  </si>
  <si>
    <t>PTO</t>
  </si>
  <si>
    <t>HR</t>
  </si>
  <si>
    <t>Pay</t>
  </si>
  <si>
    <t>Code</t>
  </si>
  <si>
    <t>Grant</t>
  </si>
  <si>
    <t xml:space="preserve">            /            /2016</t>
  </si>
  <si>
    <t xml:space="preserve">Date: </t>
  </si>
  <si>
    <t xml:space="preserve">Supervisor signature: </t>
  </si>
  <si>
    <t>nikolai@chugachmiut.org</t>
  </si>
  <si>
    <t>payroll@chugachmiut.org</t>
  </si>
  <si>
    <t xml:space="preserve">Pay Period Total: </t>
  </si>
  <si>
    <t>New Years Day</t>
  </si>
  <si>
    <t>Martin Luther King Jr. Day</t>
  </si>
  <si>
    <t>Chenega Day</t>
  </si>
  <si>
    <t>Seward's Day</t>
  </si>
  <si>
    <t>Memorial Day</t>
  </si>
  <si>
    <t>Independence Day</t>
  </si>
  <si>
    <t>Labor Day</t>
  </si>
  <si>
    <t>Veterans Day</t>
  </si>
  <si>
    <t>Thanksgiving Day</t>
  </si>
  <si>
    <t>Day After Thanksgiving</t>
  </si>
  <si>
    <t>Christmas Day</t>
  </si>
  <si>
    <t>Presidents Day</t>
  </si>
  <si>
    <t>Date observed</t>
  </si>
  <si>
    <r>
      <rPr>
        <b/>
        <sz val="9"/>
        <rFont val="Arial"/>
        <family val="2"/>
        <charset val="204"/>
      </rPr>
      <t xml:space="preserve">4. Sign it </t>
    </r>
    <r>
      <rPr>
        <sz val="9"/>
        <rFont val="Arial"/>
        <family val="2"/>
        <charset val="204"/>
      </rPr>
      <t>(You and your supervisor must sign it)</t>
    </r>
  </si>
  <si>
    <r>
      <rPr>
        <b/>
        <sz val="9"/>
        <rFont val="Arial"/>
        <family val="2"/>
        <charset val="204"/>
      </rPr>
      <t xml:space="preserve">3. Print </t>
    </r>
    <r>
      <rPr>
        <sz val="9"/>
        <rFont val="Arial"/>
        <family val="2"/>
        <charset val="204"/>
      </rPr>
      <t>(You don't have to save it on your computer)</t>
    </r>
  </si>
  <si>
    <r>
      <rPr>
        <b/>
        <sz val="9"/>
        <rFont val="Arial"/>
        <family val="2"/>
        <charset val="204"/>
      </rPr>
      <t xml:space="preserve">5. Send to Payroll </t>
    </r>
    <r>
      <rPr>
        <sz val="9"/>
        <rFont val="Arial"/>
        <family val="2"/>
        <charset val="204"/>
      </rPr>
      <t>(Scan to Email or Fax signed copy to payroll@chugachmiut.org)</t>
    </r>
  </si>
  <si>
    <r>
      <rPr>
        <b/>
        <sz val="9"/>
        <rFont val="Arial"/>
        <family val="2"/>
        <charset val="204"/>
      </rPr>
      <t xml:space="preserve">2. Fill </t>
    </r>
    <r>
      <rPr>
        <sz val="9"/>
        <rFont val="Arial"/>
        <family val="2"/>
        <charset val="204"/>
      </rPr>
      <t>(Enter your time. Standard hours is 7.5 hours. Overtime is over 8.00 hours)</t>
    </r>
  </si>
  <si>
    <t>DAY</t>
  </si>
  <si>
    <t>Daily Rate</t>
  </si>
  <si>
    <t>LWP</t>
  </si>
  <si>
    <t>Leave Without Pay</t>
  </si>
  <si>
    <t>&gt; 8</t>
  </si>
  <si>
    <t>Overtime is over 8.00 hours (not 7.50!)</t>
  </si>
  <si>
    <t>Paid Time Off</t>
  </si>
  <si>
    <t>HR Weekly</t>
  </si>
  <si>
    <t xml:space="preserve">PTO Total: </t>
  </si>
  <si>
    <t>Total Daily</t>
  </si>
  <si>
    <t>AD</t>
  </si>
  <si>
    <t>Admin Leave</t>
  </si>
  <si>
    <t>Pay Day</t>
  </si>
  <si>
    <t>to</t>
  </si>
  <si>
    <t xml:space="preserve">Pay Period from: </t>
  </si>
  <si>
    <t xml:space="preserve">Pay Day: </t>
  </si>
  <si>
    <r>
      <rPr>
        <b/>
        <sz val="9"/>
        <rFont val="Arial"/>
        <family val="2"/>
        <charset val="204"/>
      </rPr>
      <t xml:space="preserve">1. Select Pay Period From </t>
    </r>
    <r>
      <rPr>
        <sz val="9"/>
        <rFont val="Arial"/>
        <family val="2"/>
        <charset val="204"/>
      </rPr>
      <t>(Other dates will fill automatically)</t>
    </r>
  </si>
  <si>
    <t xml:space="preserve">HOL Total: </t>
  </si>
  <si>
    <t xml:space="preserve">HR Total: </t>
  </si>
  <si>
    <t xml:space="preserve">OT Total: </t>
  </si>
  <si>
    <t xml:space="preserve">Other Total: </t>
  </si>
  <si>
    <t xml:space="preserve">LWP Total: </t>
  </si>
  <si>
    <t>Total Weekly</t>
  </si>
  <si>
    <t>Pey Period Start</t>
  </si>
  <si>
    <t>Pay Period End</t>
  </si>
  <si>
    <t>Timesheet Due</t>
  </si>
  <si>
    <t>Subtotal</t>
  </si>
  <si>
    <t>Bi-Weekly</t>
  </si>
  <si>
    <t>Employee Number</t>
  </si>
  <si>
    <t>Question about your time and paycodes, contact payroll at 334-0141</t>
  </si>
  <si>
    <t>Any question about this Timesheet Template, please contact:</t>
  </si>
  <si>
    <t>Nikolai: 334-0151</t>
  </si>
  <si>
    <t>right click on [Timesheet Template] Tab, then click [Unprotect]</t>
  </si>
  <si>
    <t>To unlock this Worksheet no password required:</t>
  </si>
  <si>
    <t xml:space="preserve">Employee signature: </t>
  </si>
  <si>
    <t>7.50 = 7hours 30 minutes</t>
  </si>
  <si>
    <t>Timesheet Excel Template Version: 4</t>
  </si>
  <si>
    <t>JUR</t>
  </si>
  <si>
    <t>Regular Time</t>
  </si>
  <si>
    <t>Jury Duty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</si>
</sst>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m/d;@"/>
    <numFmt numFmtId="165" formatCode="[$-409]mmmm\ d\,\ yyyy;@"/>
    <numFmt numFmtId="166" formatCode="mm/dd/yy;@"/>
    <numFmt numFmtId="167" formatCode="0.0;\-0.0;;@"/>
    <numFmt numFmtId="168" formatCode="0.00;\-0.00;;@"/>
  </numFmts>
  <fonts count="19" x14ac:knownFonts="1">
    <font>
      <sz val="10"/>
      <name val="Arial"/>
    </font>
    <font>
      <sz val="8"/>
      <name val="Arial"/>
      <family val="2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sz val="9"/>
      <color rgb="FFFF0000"/>
      <name val="Arial"/>
      <family val="2"/>
      <charset val="204"/>
    </font>
    <font>
      <sz val="8"/>
      <name val="Arial"/>
      <family val="2"/>
      <charset val="204"/>
    </font>
    <font>
      <sz val="9"/>
      <color rgb="FF0000FF"/>
      <name val="Arial"/>
      <family val="2"/>
      <charset val="204"/>
    </font>
    <font>
      <u/>
      <sz val="10"/>
      <color theme="10"/>
      <name val="Arial"/>
      <family val="2"/>
      <charset val="204"/>
    </font>
    <font>
      <b/>
      <sz val="9"/>
      <color rgb="FF0000FF"/>
      <name val="Arial"/>
      <family val="2"/>
      <charset val="204"/>
    </font>
    <font>
      <sz val="8"/>
      <color rgb="FFFF0000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8"/>
      <color rgb="FFFF0000"/>
      <name val="Arial"/>
      <family val="2"/>
      <charset val="204"/>
    </font>
    <font>
      <b/>
      <sz val="8"/>
      <name val="Arial"/>
      <family val="2"/>
      <charset val="204"/>
    </font>
    <font>
      <b/>
      <sz val="12"/>
      <name val="Arial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11"/>
      <color rgb="FF006100"/>
      <name val="Calibri"/>
      <family val="2"/>
      <scheme val="minor"/>
    </font>
    <font>
      <sz val="12"/>
      <color rgb="FFFF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17" fillId="5" borderId="0" applyNumberFormat="0" applyBorder="0" applyAlignment="0" applyProtection="0"/>
  </cellStyleXfs>
  <cellXfs count="117">
    <xf numFmtId="0" fontId="0" fillId="0" borderId="0" xfId="0"/>
    <xf numFmtId="0" fontId="3" fillId="0" borderId="0" xfId="0" applyFont="1" applyProtection="1"/>
    <xf numFmtId="0" fontId="3" fillId="0" borderId="0" xfId="0" applyFont="1" applyBorder="1" applyAlignment="1" applyProtection="1"/>
    <xf numFmtId="0" fontId="2" fillId="0" borderId="0" xfId="0" applyFont="1" applyBorder="1" applyAlignment="1" applyProtection="1">
      <alignment horizontal="right"/>
    </xf>
    <xf numFmtId="0" fontId="3" fillId="0" borderId="0" xfId="0" applyFont="1" applyBorder="1" applyProtection="1"/>
    <xf numFmtId="0" fontId="3" fillId="0" borderId="0" xfId="0" applyFont="1" applyBorder="1" applyAlignment="1" applyProtection="1">
      <alignment horizontal="right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right"/>
    </xf>
    <xf numFmtId="0" fontId="3" fillId="0" borderId="1" xfId="0" applyFont="1" applyBorder="1" applyProtection="1"/>
    <xf numFmtId="0" fontId="3" fillId="0" borderId="0" xfId="0" applyFont="1" applyAlignment="1" applyProtection="1"/>
    <xf numFmtId="0" fontId="3" fillId="0" borderId="0" xfId="0" applyFont="1" applyBorder="1" applyAlignment="1" applyProtection="1">
      <alignment horizontal="center"/>
    </xf>
    <xf numFmtId="0" fontId="2" fillId="0" borderId="0" xfId="0" applyFont="1" applyProtection="1"/>
    <xf numFmtId="0" fontId="6" fillId="0" borderId="0" xfId="0" applyFont="1" applyProtection="1"/>
    <xf numFmtId="0" fontId="7" fillId="0" borderId="0" xfId="1" applyProtection="1"/>
    <xf numFmtId="0" fontId="4" fillId="0" borderId="0" xfId="0" applyFont="1" applyProtection="1"/>
    <xf numFmtId="0" fontId="3" fillId="4" borderId="0" xfId="0" applyFont="1" applyFill="1" applyProtection="1"/>
    <xf numFmtId="0" fontId="2" fillId="0" borderId="0" xfId="0" applyFont="1" applyAlignment="1" applyProtection="1">
      <alignment vertical="center"/>
    </xf>
    <xf numFmtId="43" fontId="2" fillId="0" borderId="0" xfId="0" applyNumberFormat="1" applyFont="1" applyFill="1" applyBorder="1" applyAlignment="1" applyProtection="1">
      <alignment horizontal="center"/>
    </xf>
    <xf numFmtId="164" fontId="3" fillId="0" borderId="6" xfId="0" applyNumberFormat="1" applyFont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right"/>
    </xf>
    <xf numFmtId="0" fontId="3" fillId="0" borderId="0" xfId="0" applyFont="1" applyAlignment="1" applyProtection="1">
      <alignment horizontal="left"/>
    </xf>
    <xf numFmtId="14" fontId="0" fillId="0" borderId="0" xfId="0" applyNumberFormat="1"/>
    <xf numFmtId="0" fontId="11" fillId="0" borderId="0" xfId="0" applyFont="1"/>
    <xf numFmtId="0" fontId="10" fillId="0" borderId="0" xfId="0" applyFont="1" applyAlignment="1">
      <alignment horizontal="center"/>
    </xf>
    <xf numFmtId="14" fontId="11" fillId="0" borderId="0" xfId="0" applyNumberFormat="1" applyFont="1"/>
    <xf numFmtId="0" fontId="10" fillId="0" borderId="0" xfId="0" applyFont="1"/>
    <xf numFmtId="166" fontId="0" fillId="0" borderId="0" xfId="0" applyNumberFormat="1"/>
    <xf numFmtId="166" fontId="10" fillId="0" borderId="0" xfId="0" applyNumberFormat="1" applyFont="1" applyAlignment="1">
      <alignment horizontal="center"/>
    </xf>
    <xf numFmtId="0" fontId="3" fillId="0" borderId="0" xfId="0" applyFont="1" applyBorder="1" applyAlignment="1" applyProtection="1">
      <alignment horizontal="left"/>
    </xf>
    <xf numFmtId="0" fontId="2" fillId="0" borderId="0" xfId="0" applyFont="1" applyAlignment="1" applyProtection="1">
      <alignment horizontal="center"/>
    </xf>
    <xf numFmtId="164" fontId="4" fillId="0" borderId="9" xfId="0" applyNumberFormat="1" applyFont="1" applyBorder="1" applyAlignment="1" applyProtection="1">
      <alignment horizontal="center" vertical="center"/>
    </xf>
    <xf numFmtId="164" fontId="4" fillId="0" borderId="10" xfId="0" applyNumberFormat="1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2" fillId="3" borderId="8" xfId="0" applyFont="1" applyFill="1" applyBorder="1" applyAlignment="1" applyProtection="1">
      <alignment horizontal="center" vertical="center" wrapText="1"/>
      <protection locked="0"/>
    </xf>
    <xf numFmtId="0" fontId="2" fillId="3" borderId="12" xfId="0" applyFont="1" applyFill="1" applyBorder="1" applyAlignment="1" applyProtection="1">
      <alignment horizontal="center" vertical="center" wrapText="1"/>
      <protection locked="0"/>
    </xf>
    <xf numFmtId="43" fontId="2" fillId="0" borderId="0" xfId="0" applyNumberFormat="1" applyFont="1" applyFill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vertical="center"/>
    </xf>
    <xf numFmtId="0" fontId="6" fillId="0" borderId="15" xfId="0" applyFont="1" applyBorder="1" applyAlignment="1" applyProtection="1">
      <alignment vertical="center"/>
    </xf>
    <xf numFmtId="0" fontId="3" fillId="0" borderId="23" xfId="0" applyFont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horizontal="center" vertical="center"/>
    </xf>
    <xf numFmtId="0" fontId="9" fillId="0" borderId="21" xfId="0" applyFont="1" applyBorder="1" applyAlignment="1" applyProtection="1">
      <alignment horizontal="center" vertical="center"/>
    </xf>
    <xf numFmtId="0" fontId="5" fillId="0" borderId="17" xfId="0" applyFont="1" applyBorder="1" applyAlignment="1" applyProtection="1">
      <alignment horizontal="center" vertical="center"/>
    </xf>
    <xf numFmtId="0" fontId="9" fillId="0" borderId="18" xfId="0" applyFont="1" applyBorder="1" applyAlignment="1" applyProtection="1">
      <alignment horizontal="center" vertical="center"/>
    </xf>
    <xf numFmtId="0" fontId="5" fillId="0" borderId="21" xfId="0" applyFont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horizontal="center" vertical="center"/>
    </xf>
    <xf numFmtId="0" fontId="2" fillId="3" borderId="19" xfId="0" applyFont="1" applyFill="1" applyBorder="1" applyAlignment="1" applyProtection="1">
      <alignment horizontal="center" vertical="center" wrapText="1"/>
      <protection locked="0"/>
    </xf>
    <xf numFmtId="0" fontId="2" fillId="3" borderId="26" xfId="0" applyFont="1" applyFill="1" applyBorder="1" applyAlignment="1" applyProtection="1">
      <alignment horizontal="center" vertical="center" wrapText="1"/>
      <protection locked="0"/>
    </xf>
    <xf numFmtId="0" fontId="9" fillId="0" borderId="1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164" fontId="4" fillId="0" borderId="25" xfId="0" applyNumberFormat="1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2" fillId="4" borderId="0" xfId="0" applyFont="1" applyFill="1" applyBorder="1" applyAlignment="1" applyProtection="1">
      <alignment vertical="center"/>
    </xf>
    <xf numFmtId="0" fontId="3" fillId="0" borderId="0" xfId="0" applyFont="1" applyProtection="1">
      <protection locked="0"/>
    </xf>
    <xf numFmtId="43" fontId="5" fillId="0" borderId="0" xfId="0" applyNumberFormat="1" applyFont="1" applyFill="1" applyBorder="1" applyProtection="1"/>
    <xf numFmtId="43" fontId="5" fillId="0" borderId="0" xfId="0" applyNumberFormat="1" applyFont="1" applyFill="1" applyBorder="1" applyAlignment="1" applyProtection="1">
      <alignment vertical="center"/>
    </xf>
    <xf numFmtId="0" fontId="8" fillId="0" borderId="32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vertical="center"/>
    </xf>
    <xf numFmtId="0" fontId="8" fillId="0" borderId="31" xfId="0" applyFont="1" applyBorder="1" applyAlignment="1" applyProtection="1">
      <alignment horizontal="center" vertical="center"/>
    </xf>
    <xf numFmtId="0" fontId="2" fillId="3" borderId="35" xfId="0" applyFont="1" applyFill="1" applyBorder="1" applyAlignment="1" applyProtection="1">
      <alignment horizontal="center" vertical="center" wrapText="1"/>
      <protection locked="0"/>
    </xf>
    <xf numFmtId="14" fontId="10" fillId="0" borderId="0" xfId="0" applyNumberFormat="1" applyFont="1" applyAlignment="1">
      <alignment horizontal="center"/>
    </xf>
    <xf numFmtId="0" fontId="2" fillId="0" borderId="0" xfId="0" applyFont="1" applyAlignment="1" applyProtection="1">
      <alignment horizontal="center"/>
    </xf>
    <xf numFmtId="0" fontId="5" fillId="2" borderId="32" xfId="0" applyFont="1" applyFill="1" applyBorder="1" applyAlignment="1" applyProtection="1">
      <alignment horizontal="center" vertical="center"/>
    </xf>
    <xf numFmtId="0" fontId="5" fillId="2" borderId="12" xfId="0" applyFont="1" applyFill="1" applyBorder="1" applyAlignment="1" applyProtection="1">
      <alignment horizontal="center" vertical="center"/>
    </xf>
    <xf numFmtId="0" fontId="18" fillId="0" borderId="0" xfId="2" applyFont="1" applyFill="1" applyAlignment="1" applyProtection="1"/>
    <xf numFmtId="43" fontId="2" fillId="3" borderId="5" xfId="0" applyNumberFormat="1" applyFont="1" applyFill="1" applyBorder="1" applyAlignment="1" applyProtection="1">
      <alignment vertical="center"/>
      <protection locked="0"/>
    </xf>
    <xf numFmtId="43" fontId="2" fillId="3" borderId="3" xfId="0" applyNumberFormat="1" applyFont="1" applyFill="1" applyBorder="1" applyAlignment="1" applyProtection="1">
      <alignment vertical="center"/>
      <protection locked="0"/>
    </xf>
    <xf numFmtId="43" fontId="2" fillId="3" borderId="4" xfId="0" applyNumberFormat="1" applyFont="1" applyFill="1" applyBorder="1" applyAlignment="1" applyProtection="1">
      <alignment vertical="center"/>
      <protection locked="0"/>
    </xf>
    <xf numFmtId="43" fontId="2" fillId="3" borderId="16" xfId="0" applyNumberFormat="1" applyFont="1" applyFill="1" applyBorder="1" applyAlignment="1" applyProtection="1">
      <alignment vertical="center"/>
      <protection locked="0"/>
    </xf>
    <xf numFmtId="43" fontId="2" fillId="3" borderId="17" xfId="0" applyNumberFormat="1" applyFont="1" applyFill="1" applyBorder="1" applyAlignment="1" applyProtection="1">
      <alignment vertical="center"/>
      <protection locked="0"/>
    </xf>
    <xf numFmtId="43" fontId="2" fillId="3" borderId="18" xfId="0" applyNumberFormat="1" applyFont="1" applyFill="1" applyBorder="1" applyAlignment="1" applyProtection="1">
      <alignment vertical="center"/>
      <protection locked="0"/>
    </xf>
    <xf numFmtId="43" fontId="2" fillId="3" borderId="19" xfId="0" applyNumberFormat="1" applyFont="1" applyFill="1" applyBorder="1" applyAlignment="1" applyProtection="1">
      <alignment vertical="center"/>
      <protection locked="0"/>
    </xf>
    <xf numFmtId="43" fontId="2" fillId="3" borderId="7" xfId="0" applyNumberFormat="1" applyFont="1" applyFill="1" applyBorder="1" applyAlignment="1" applyProtection="1">
      <alignment vertical="center"/>
      <protection locked="0"/>
    </xf>
    <xf numFmtId="43" fontId="2" fillId="3" borderId="34" xfId="0" applyNumberFormat="1" applyFont="1" applyFill="1" applyBorder="1" applyAlignment="1" applyProtection="1">
      <alignment vertical="center"/>
      <protection locked="0"/>
    </xf>
    <xf numFmtId="43" fontId="2" fillId="3" borderId="28" xfId="0" applyNumberFormat="1" applyFont="1" applyFill="1" applyBorder="1" applyAlignment="1" applyProtection="1">
      <alignment vertical="center"/>
      <protection locked="0"/>
    </xf>
    <xf numFmtId="43" fontId="2" fillId="3" borderId="29" xfId="0" applyNumberFormat="1" applyFont="1" applyFill="1" applyBorder="1" applyAlignment="1" applyProtection="1">
      <alignment vertical="center"/>
      <protection locked="0"/>
    </xf>
    <xf numFmtId="43" fontId="2" fillId="3" borderId="26" xfId="0" applyNumberFormat="1" applyFont="1" applyFill="1" applyBorder="1" applyAlignment="1" applyProtection="1">
      <alignment vertical="center"/>
      <protection locked="0"/>
    </xf>
    <xf numFmtId="43" fontId="2" fillId="3" borderId="30" xfId="0" applyNumberFormat="1" applyFont="1" applyFill="1" applyBorder="1" applyAlignment="1" applyProtection="1">
      <alignment vertical="center"/>
      <protection locked="0"/>
    </xf>
    <xf numFmtId="168" fontId="5" fillId="0" borderId="27" xfId="0" applyNumberFormat="1" applyFont="1" applyFill="1" applyBorder="1" applyAlignment="1" applyProtection="1">
      <alignment horizontal="center" vertical="center"/>
    </xf>
    <xf numFmtId="168" fontId="13" fillId="0" borderId="27" xfId="0" applyNumberFormat="1" applyFont="1" applyFill="1" applyBorder="1" applyAlignment="1" applyProtection="1">
      <alignment vertical="center"/>
    </xf>
    <xf numFmtId="168" fontId="5" fillId="0" borderId="5" xfId="0" applyNumberFormat="1" applyFont="1" applyFill="1" applyBorder="1" applyAlignment="1" applyProtection="1">
      <alignment vertical="center"/>
    </xf>
    <xf numFmtId="168" fontId="5" fillId="0" borderId="3" xfId="0" applyNumberFormat="1" applyFont="1" applyFill="1" applyBorder="1" applyAlignment="1" applyProtection="1">
      <alignment vertical="center"/>
    </xf>
    <xf numFmtId="168" fontId="5" fillId="0" borderId="4" xfId="0" applyNumberFormat="1" applyFont="1" applyFill="1" applyBorder="1" applyAlignment="1" applyProtection="1">
      <alignment vertical="center"/>
    </xf>
    <xf numFmtId="168" fontId="5" fillId="0" borderId="19" xfId="0" applyNumberFormat="1" applyFont="1" applyFill="1" applyBorder="1" applyAlignment="1" applyProtection="1">
      <alignment vertical="center"/>
    </xf>
    <xf numFmtId="168" fontId="5" fillId="0" borderId="7" xfId="0" applyNumberFormat="1" applyFont="1" applyFill="1" applyBorder="1" applyAlignment="1" applyProtection="1">
      <alignment vertical="center"/>
    </xf>
    <xf numFmtId="168" fontId="5" fillId="2" borderId="8" xfId="0" applyNumberFormat="1" applyFont="1" applyFill="1" applyBorder="1" applyAlignment="1" applyProtection="1">
      <alignment horizontal="center" vertical="center"/>
    </xf>
    <xf numFmtId="168" fontId="5" fillId="2" borderId="13" xfId="0" applyNumberFormat="1" applyFont="1" applyFill="1" applyBorder="1" applyAlignment="1" applyProtection="1">
      <alignment horizontal="center" vertical="center"/>
    </xf>
    <xf numFmtId="168" fontId="2" fillId="0" borderId="1" xfId="0" applyNumberFormat="1" applyFont="1" applyFill="1" applyBorder="1" applyAlignment="1" applyProtection="1">
      <alignment horizontal="center"/>
    </xf>
    <xf numFmtId="168" fontId="2" fillId="0" borderId="1" xfId="0" applyNumberFormat="1" applyFont="1" applyBorder="1" applyAlignment="1" applyProtection="1">
      <alignment horizontal="center"/>
    </xf>
    <xf numFmtId="168" fontId="2" fillId="0" borderId="2" xfId="0" applyNumberFormat="1" applyFont="1" applyBorder="1" applyAlignment="1" applyProtection="1">
      <alignment horizontal="center"/>
    </xf>
    <xf numFmtId="168" fontId="14" fillId="0" borderId="1" xfId="0" applyNumberFormat="1" applyFont="1" applyFill="1" applyBorder="1" applyAlignment="1" applyProtection="1">
      <alignment horizontal="center"/>
    </xf>
    <xf numFmtId="2" fontId="3" fillId="0" borderId="15" xfId="0" applyNumberFormat="1" applyFont="1" applyBorder="1" applyAlignment="1" applyProtection="1">
      <alignment horizontal="center" vertical="center"/>
    </xf>
    <xf numFmtId="2" fontId="3" fillId="0" borderId="32" xfId="0" applyNumberFormat="1" applyFont="1" applyBorder="1" applyAlignment="1" applyProtection="1">
      <alignment horizontal="center" vertical="center"/>
    </xf>
    <xf numFmtId="2" fontId="3" fillId="0" borderId="33" xfId="0" applyNumberFormat="1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165" fontId="10" fillId="3" borderId="1" xfId="0" applyNumberFormat="1" applyFont="1" applyFill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</xf>
    <xf numFmtId="165" fontId="10" fillId="0" borderId="1" xfId="0" applyNumberFormat="1" applyFont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left" vertical="center" wrapText="1"/>
    </xf>
    <xf numFmtId="0" fontId="5" fillId="0" borderId="18" xfId="0" applyFont="1" applyFill="1" applyBorder="1" applyAlignment="1" applyProtection="1">
      <alignment horizontal="left" vertical="center" wrapText="1"/>
    </xf>
    <xf numFmtId="165" fontId="10" fillId="0" borderId="1" xfId="0" applyNumberFormat="1" applyFont="1" applyFill="1" applyBorder="1" applyAlignment="1" applyProtection="1">
      <alignment horizontal="center"/>
    </xf>
    <xf numFmtId="168" fontId="5" fillId="0" borderId="10" xfId="0" applyNumberFormat="1" applyFont="1" applyFill="1" applyBorder="1" applyAlignment="1" applyProtection="1">
      <alignment horizontal="center" vertical="center"/>
    </xf>
    <xf numFmtId="168" fontId="5" fillId="0" borderId="6" xfId="0" applyNumberFormat="1" applyFont="1" applyFill="1" applyBorder="1" applyAlignment="1" applyProtection="1">
      <alignment horizontal="center" vertical="center"/>
    </xf>
    <xf numFmtId="168" fontId="5" fillId="0" borderId="14" xfId="0" applyNumberFormat="1" applyFont="1" applyFill="1" applyBorder="1" applyAlignment="1" applyProtection="1">
      <alignment horizontal="center" vertical="center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167" fontId="12" fillId="0" borderId="21" xfId="0" applyNumberFormat="1" applyFont="1" applyFill="1" applyBorder="1" applyAlignment="1" applyProtection="1">
      <alignment horizontal="center" vertical="center"/>
    </xf>
    <xf numFmtId="167" fontId="12" fillId="0" borderId="17" xfId="0" applyNumberFormat="1" applyFont="1" applyFill="1" applyBorder="1" applyAlignment="1" applyProtection="1">
      <alignment horizontal="center" vertical="center"/>
    </xf>
    <xf numFmtId="167" fontId="12" fillId="0" borderId="22" xfId="0" applyNumberFormat="1" applyFont="1" applyFill="1" applyBorder="1" applyAlignment="1" applyProtection="1">
      <alignment horizontal="center" vertical="center"/>
    </xf>
    <xf numFmtId="167" fontId="12" fillId="0" borderId="16" xfId="0" applyNumberFormat="1" applyFont="1" applyFill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wrapText="1"/>
    </xf>
    <xf numFmtId="0" fontId="5" fillId="0" borderId="20" xfId="0" applyFont="1" applyFill="1" applyBorder="1" applyAlignment="1" applyProtection="1">
      <alignment horizontal="left" vertical="center" wrapText="1"/>
    </xf>
    <xf numFmtId="0" fontId="5" fillId="0" borderId="9" xfId="0" applyFont="1" applyFill="1" applyBorder="1" applyAlignment="1" applyProtection="1">
      <alignment horizontal="left" vertical="center" wrapText="1"/>
    </xf>
    <xf numFmtId="0" fontId="3" fillId="0" borderId="2" xfId="0" applyFont="1" applyBorder="1" applyAlignment="1" applyProtection="1">
      <alignment horizontal="center"/>
    </xf>
    <xf numFmtId="0" fontId="5" fillId="0" borderId="19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168" fontId="5" fillId="0" borderId="20" xfId="0" applyNumberFormat="1" applyFont="1" applyFill="1" applyBorder="1" applyAlignment="1" applyProtection="1">
      <alignment horizontal="center" vertical="center"/>
    </xf>
    <xf numFmtId="168" fontId="5" fillId="0" borderId="9" xfId="0" applyNumberFormat="1" applyFont="1" applyFill="1" applyBorder="1" applyAlignment="1" applyProtection="1">
      <alignment horizontal="center" vertical="center"/>
    </xf>
  </cellXfs>
  <cellStyles count="3">
    <cellStyle name="Good" xfId="2" builtinId="26"/>
    <cellStyle name="Hyperlink" xfId="1" builtinId="8"/>
    <cellStyle name="Normal" xfId="0" builtinId="0"/>
  </cellStyles>
  <dxfs count="1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</font>
    </dxf>
    <dxf>
      <font>
        <b/>
        <i val="0"/>
      </font>
      <fill>
        <patternFill>
          <bgColor rgb="FFFF5050"/>
        </patternFill>
      </fill>
    </dxf>
    <dxf>
      <font>
        <b/>
        <i val="0"/>
      </font>
      <fill>
        <patternFill>
          <bgColor rgb="FFFF5050"/>
        </patternFill>
      </fill>
    </dxf>
    <dxf>
      <fill>
        <patternFill>
          <bgColor rgb="FFFF5050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00"/>
      <color rgb="FF0000FF"/>
      <color rgb="FFFFFFCC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</xdr:row>
          <xdr:rowOff>57150</xdr:rowOff>
        </xdr:from>
        <xdr:to>
          <xdr:col>16</xdr:col>
          <xdr:colOff>352425</xdr:colOff>
          <xdr:row>2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</xdr:row>
          <xdr:rowOff>161925</xdr:rowOff>
        </xdr:from>
        <xdr:to>
          <xdr:col>16</xdr:col>
          <xdr:colOff>352425</xdr:colOff>
          <xdr:row>3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ikolai@chugachmiut.org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C31"/>
  <sheetViews>
    <sheetView showGridLines="0" tabSelected="1" zoomScaleNormal="100" workbookViewId="0">
      <selection activeCell="B3" sqref="B3:F3"/>
    </sheetView>
  </sheetViews>
  <sheetFormatPr defaultColWidth="6.28515625" defaultRowHeight="18" customHeight="1" x14ac:dyDescent="0.2"/>
  <cols>
    <col min="1" max="1" width="3.140625" style="1" customWidth="1"/>
    <col min="2" max="17" width="7.42578125" style="1" customWidth="1"/>
    <col min="18" max="18" width="9.42578125" style="11" customWidth="1"/>
    <col min="19" max="19" width="6.28515625" style="1"/>
    <col min="20" max="20" width="7.42578125" style="1" customWidth="1"/>
    <col min="21" max="21" width="17" style="1" customWidth="1"/>
    <col min="22" max="16384" width="6.28515625" style="1"/>
  </cols>
  <sheetData>
    <row r="1" spans="1:24" ht="28.5" customHeight="1" x14ac:dyDescent="0.2"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</row>
    <row r="2" spans="1:24" ht="18" customHeight="1" x14ac:dyDescent="0.2">
      <c r="B2" s="20" t="s">
        <v>0</v>
      </c>
      <c r="D2" s="29"/>
      <c r="E2" s="29"/>
      <c r="F2" s="29"/>
      <c r="G2" s="29"/>
      <c r="H2" s="28" t="s">
        <v>4</v>
      </c>
      <c r="I2" s="28"/>
      <c r="K2" s="29"/>
      <c r="L2" s="29"/>
      <c r="M2" s="9" t="s">
        <v>72</v>
      </c>
      <c r="N2" s="29"/>
      <c r="O2" s="29"/>
      <c r="P2" s="3" t="s">
        <v>2</v>
      </c>
      <c r="Q2" s="52"/>
    </row>
    <row r="3" spans="1:24" ht="26.25" customHeight="1" x14ac:dyDescent="0.2">
      <c r="B3" s="103"/>
      <c r="C3" s="103"/>
      <c r="D3" s="103"/>
      <c r="E3" s="103"/>
      <c r="F3" s="103"/>
      <c r="G3" s="16"/>
      <c r="H3" s="104"/>
      <c r="I3" s="104"/>
      <c r="J3" s="104"/>
      <c r="K3" s="104"/>
      <c r="L3" s="60"/>
      <c r="M3" s="104"/>
      <c r="N3" s="104"/>
      <c r="O3" s="51"/>
      <c r="P3" s="3" t="s">
        <v>1</v>
      </c>
      <c r="Q3" s="52"/>
      <c r="T3" s="1" t="s">
        <v>60</v>
      </c>
    </row>
    <row r="4" spans="1:24" ht="18" customHeight="1" x14ac:dyDescent="0.2">
      <c r="C4" s="2"/>
      <c r="T4" s="20" t="s">
        <v>43</v>
      </c>
    </row>
    <row r="5" spans="1:24" ht="18" customHeight="1" x14ac:dyDescent="0.2">
      <c r="C5" s="5" t="s">
        <v>58</v>
      </c>
      <c r="D5" s="94"/>
      <c r="E5" s="94"/>
      <c r="F5" s="94"/>
      <c r="G5" s="6" t="s">
        <v>57</v>
      </c>
      <c r="H5" s="96" t="str">
        <f>Q8</f>
        <v/>
      </c>
      <c r="I5" s="96"/>
      <c r="J5" s="96"/>
      <c r="N5" s="2" t="s">
        <v>59</v>
      </c>
      <c r="O5" s="99" t="str">
        <f>IFERROR(D8+19,"")</f>
        <v/>
      </c>
      <c r="P5" s="99"/>
      <c r="Q5" s="99"/>
      <c r="T5" s="20" t="s">
        <v>41</v>
      </c>
    </row>
    <row r="6" spans="1:24" ht="18" customHeight="1" thickBot="1" x14ac:dyDescent="0.25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5"/>
      <c r="N6" s="4"/>
      <c r="O6" s="4"/>
      <c r="P6" s="4"/>
      <c r="Q6" s="4"/>
      <c r="T6" s="20" t="s">
        <v>40</v>
      </c>
    </row>
    <row r="7" spans="1:24" s="6" customFormat="1" ht="18" customHeight="1" x14ac:dyDescent="0.2">
      <c r="A7" s="10"/>
      <c r="B7" s="38" t="s">
        <v>18</v>
      </c>
      <c r="C7" s="39" t="s">
        <v>20</v>
      </c>
      <c r="D7" s="40" t="s">
        <v>5</v>
      </c>
      <c r="E7" s="41" t="s">
        <v>6</v>
      </c>
      <c r="F7" s="41" t="s">
        <v>7</v>
      </c>
      <c r="G7" s="41" t="s">
        <v>8</v>
      </c>
      <c r="H7" s="41" t="s">
        <v>9</v>
      </c>
      <c r="I7" s="41" t="s">
        <v>10</v>
      </c>
      <c r="J7" s="42" t="s">
        <v>11</v>
      </c>
      <c r="K7" s="47" t="s">
        <v>5</v>
      </c>
      <c r="L7" s="43" t="s">
        <v>6</v>
      </c>
      <c r="M7" s="43" t="s">
        <v>7</v>
      </c>
      <c r="N7" s="43" t="s">
        <v>8</v>
      </c>
      <c r="O7" s="43" t="s">
        <v>9</v>
      </c>
      <c r="P7" s="43" t="s">
        <v>10</v>
      </c>
      <c r="Q7" s="48" t="s">
        <v>11</v>
      </c>
      <c r="R7" s="61" t="s">
        <v>71</v>
      </c>
      <c r="T7" s="20" t="s">
        <v>42</v>
      </c>
    </row>
    <row r="8" spans="1:24" ht="18" customHeight="1" thickBot="1" x14ac:dyDescent="0.25">
      <c r="A8" s="4"/>
      <c r="B8" s="44" t="s">
        <v>19</v>
      </c>
      <c r="C8" s="32" t="s">
        <v>19</v>
      </c>
      <c r="D8" s="31" t="str">
        <f>IF(D5&lt;1,"",D5)</f>
        <v/>
      </c>
      <c r="E8" s="18" t="str">
        <f>IFERROR(D8+1,"")</f>
        <v/>
      </c>
      <c r="F8" s="18" t="str">
        <f>IFERROR(D8+2,"")</f>
        <v/>
      </c>
      <c r="G8" s="18" t="str">
        <f>IFERROR(D8+3,"")</f>
        <v/>
      </c>
      <c r="H8" s="18" t="str">
        <f>IFERROR(D8+4,"")</f>
        <v/>
      </c>
      <c r="I8" s="18" t="str">
        <f>IFERROR(D8+5,"")</f>
        <v/>
      </c>
      <c r="J8" s="30" t="str">
        <f>IFERROR(D8+6,"")</f>
        <v/>
      </c>
      <c r="K8" s="49" t="str">
        <f>IFERROR(D8+7,"")</f>
        <v/>
      </c>
      <c r="L8" s="18" t="str">
        <f>IFERROR(D8+8,"")</f>
        <v/>
      </c>
      <c r="M8" s="18" t="str">
        <f>IFERROR(D8+9,"")</f>
        <v/>
      </c>
      <c r="N8" s="18" t="str">
        <f>IFERROR(D8+10,"")</f>
        <v/>
      </c>
      <c r="O8" s="18" t="str">
        <f>IFERROR(D8+11,"")</f>
        <v/>
      </c>
      <c r="P8" s="18" t="str">
        <f>IFERROR(D8+12,"")</f>
        <v/>
      </c>
      <c r="Q8" s="30" t="str">
        <f>IFERROR(D8+13,"")</f>
        <v/>
      </c>
      <c r="R8" s="62" t="s">
        <v>70</v>
      </c>
    </row>
    <row r="9" spans="1:24" ht="19.5" customHeight="1" thickBot="1" x14ac:dyDescent="0.25">
      <c r="A9" s="4"/>
      <c r="B9" s="45"/>
      <c r="C9" s="33"/>
      <c r="D9" s="64"/>
      <c r="E9" s="65"/>
      <c r="F9" s="65"/>
      <c r="G9" s="65"/>
      <c r="H9" s="65"/>
      <c r="I9" s="65"/>
      <c r="J9" s="66"/>
      <c r="K9" s="67"/>
      <c r="L9" s="68"/>
      <c r="M9" s="68"/>
      <c r="N9" s="68"/>
      <c r="O9" s="68"/>
      <c r="P9" s="68"/>
      <c r="Q9" s="69"/>
      <c r="R9" s="84">
        <f>SUM(D9:Q9)</f>
        <v>0</v>
      </c>
      <c r="T9" s="36" t="s">
        <v>17</v>
      </c>
      <c r="U9" s="37" t="s">
        <v>82</v>
      </c>
      <c r="V9" s="90">
        <v>7.5</v>
      </c>
      <c r="X9" s="14" t="s">
        <v>79</v>
      </c>
    </row>
    <row r="10" spans="1:24" ht="19.5" customHeight="1" thickBot="1" x14ac:dyDescent="0.25">
      <c r="A10" s="4"/>
      <c r="B10" s="45"/>
      <c r="C10" s="34"/>
      <c r="D10" s="64"/>
      <c r="E10" s="65"/>
      <c r="F10" s="65"/>
      <c r="G10" s="65"/>
      <c r="H10" s="65"/>
      <c r="I10" s="65"/>
      <c r="J10" s="66"/>
      <c r="K10" s="70"/>
      <c r="L10" s="65"/>
      <c r="M10" s="65"/>
      <c r="N10" s="65"/>
      <c r="O10" s="65"/>
      <c r="P10" s="65"/>
      <c r="Q10" s="71"/>
      <c r="R10" s="84">
        <f t="shared" ref="R10:R18" si="0">SUM(D10:Q10)</f>
        <v>0</v>
      </c>
      <c r="T10" s="36" t="s">
        <v>16</v>
      </c>
      <c r="U10" s="37" t="s">
        <v>50</v>
      </c>
      <c r="V10" s="90">
        <v>7.5</v>
      </c>
    </row>
    <row r="11" spans="1:24" ht="19.5" customHeight="1" thickBot="1" x14ac:dyDescent="0.25">
      <c r="A11" s="4"/>
      <c r="B11" s="45"/>
      <c r="C11" s="34"/>
      <c r="D11" s="64"/>
      <c r="E11" s="65"/>
      <c r="F11" s="65"/>
      <c r="G11" s="65"/>
      <c r="H11" s="65"/>
      <c r="I11" s="65"/>
      <c r="J11" s="66"/>
      <c r="K11" s="70"/>
      <c r="L11" s="65"/>
      <c r="M11" s="65"/>
      <c r="N11" s="65"/>
      <c r="O11" s="65"/>
      <c r="P11" s="65"/>
      <c r="Q11" s="71"/>
      <c r="R11" s="84">
        <f t="shared" si="0"/>
        <v>0</v>
      </c>
      <c r="T11" s="36" t="s">
        <v>46</v>
      </c>
      <c r="U11" s="37" t="s">
        <v>47</v>
      </c>
      <c r="V11" s="90">
        <v>7.5</v>
      </c>
    </row>
    <row r="12" spans="1:24" ht="19.5" customHeight="1" thickBot="1" x14ac:dyDescent="0.25">
      <c r="A12" s="4"/>
      <c r="B12" s="46"/>
      <c r="C12" s="34"/>
      <c r="D12" s="64"/>
      <c r="E12" s="65"/>
      <c r="F12" s="65"/>
      <c r="G12" s="65"/>
      <c r="H12" s="65"/>
      <c r="I12" s="65"/>
      <c r="J12" s="66"/>
      <c r="K12" s="70"/>
      <c r="L12" s="65"/>
      <c r="M12" s="65"/>
      <c r="N12" s="65"/>
      <c r="O12" s="65"/>
      <c r="P12" s="65"/>
      <c r="Q12" s="71"/>
      <c r="R12" s="84">
        <f t="shared" si="0"/>
        <v>0</v>
      </c>
      <c r="T12" s="36" t="s">
        <v>13</v>
      </c>
      <c r="U12" s="37" t="s">
        <v>14</v>
      </c>
      <c r="V12" s="90">
        <v>7.5</v>
      </c>
    </row>
    <row r="13" spans="1:24" ht="19.5" customHeight="1" thickBot="1" x14ac:dyDescent="0.25">
      <c r="A13" s="4"/>
      <c r="B13" s="46"/>
      <c r="C13" s="34"/>
      <c r="D13" s="64"/>
      <c r="E13" s="65"/>
      <c r="F13" s="65"/>
      <c r="G13" s="65"/>
      <c r="H13" s="65"/>
      <c r="I13" s="65"/>
      <c r="J13" s="66"/>
      <c r="K13" s="70"/>
      <c r="L13" s="65"/>
      <c r="M13" s="65"/>
      <c r="N13" s="65"/>
      <c r="O13" s="65"/>
      <c r="P13" s="65"/>
      <c r="Q13" s="71"/>
      <c r="R13" s="84">
        <f t="shared" si="0"/>
        <v>0</v>
      </c>
      <c r="T13" s="36" t="s">
        <v>44</v>
      </c>
      <c r="U13" s="37" t="s">
        <v>45</v>
      </c>
      <c r="V13" s="90">
        <v>1</v>
      </c>
    </row>
    <row r="14" spans="1:24" ht="19.5" customHeight="1" thickBot="1" x14ac:dyDescent="0.25">
      <c r="A14" s="4"/>
      <c r="B14" s="46"/>
      <c r="C14" s="34"/>
      <c r="D14" s="64"/>
      <c r="E14" s="65"/>
      <c r="F14" s="65"/>
      <c r="G14" s="65"/>
      <c r="H14" s="65"/>
      <c r="I14" s="65"/>
      <c r="J14" s="66"/>
      <c r="K14" s="70"/>
      <c r="L14" s="65"/>
      <c r="M14" s="65"/>
      <c r="N14" s="65"/>
      <c r="O14" s="65"/>
      <c r="P14" s="65"/>
      <c r="Q14" s="71"/>
      <c r="R14" s="84">
        <f t="shared" si="0"/>
        <v>0</v>
      </c>
      <c r="T14" s="55" t="s">
        <v>15</v>
      </c>
      <c r="U14" s="56" t="s">
        <v>12</v>
      </c>
      <c r="V14" s="91" t="s">
        <v>48</v>
      </c>
      <c r="X14" s="14" t="s">
        <v>49</v>
      </c>
    </row>
    <row r="15" spans="1:24" ht="19.5" customHeight="1" thickBot="1" x14ac:dyDescent="0.25">
      <c r="A15" s="4"/>
      <c r="B15" s="46"/>
      <c r="C15" s="34"/>
      <c r="D15" s="64"/>
      <c r="E15" s="65"/>
      <c r="F15" s="65"/>
      <c r="G15" s="65"/>
      <c r="H15" s="65"/>
      <c r="I15" s="65"/>
      <c r="J15" s="66"/>
      <c r="K15" s="70"/>
      <c r="L15" s="65"/>
      <c r="M15" s="65"/>
      <c r="N15" s="65"/>
      <c r="O15" s="65"/>
      <c r="P15" s="65"/>
      <c r="Q15" s="71"/>
      <c r="R15" s="84">
        <f t="shared" si="0"/>
        <v>0</v>
      </c>
      <c r="T15" s="57" t="s">
        <v>54</v>
      </c>
      <c r="U15" s="37" t="s">
        <v>55</v>
      </c>
      <c r="V15" s="92">
        <v>7.5</v>
      </c>
    </row>
    <row r="16" spans="1:24" ht="19.5" customHeight="1" thickBot="1" x14ac:dyDescent="0.25">
      <c r="A16" s="4"/>
      <c r="B16" s="46"/>
      <c r="C16" s="34"/>
      <c r="D16" s="64"/>
      <c r="E16" s="65"/>
      <c r="F16" s="65"/>
      <c r="G16" s="65"/>
      <c r="H16" s="65"/>
      <c r="I16" s="65"/>
      <c r="J16" s="66"/>
      <c r="K16" s="70"/>
      <c r="L16" s="65"/>
      <c r="M16" s="65"/>
      <c r="N16" s="65"/>
      <c r="O16" s="65"/>
      <c r="P16" s="65"/>
      <c r="Q16" s="71"/>
      <c r="R16" s="84">
        <f t="shared" si="0"/>
        <v>0</v>
      </c>
      <c r="T16" s="57" t="s">
        <v>81</v>
      </c>
      <c r="U16" s="37" t="s">
        <v>83</v>
      </c>
      <c r="V16" s="92">
        <v>7.5</v>
      </c>
    </row>
    <row r="17" spans="1:29" ht="19.5" customHeight="1" x14ac:dyDescent="0.2">
      <c r="A17" s="4"/>
      <c r="B17" s="46"/>
      <c r="C17" s="34"/>
      <c r="D17" s="64"/>
      <c r="E17" s="65"/>
      <c r="F17" s="65"/>
      <c r="G17" s="65"/>
      <c r="H17" s="65"/>
      <c r="I17" s="65"/>
      <c r="J17" s="66"/>
      <c r="K17" s="70"/>
      <c r="L17" s="65"/>
      <c r="M17" s="65"/>
      <c r="N17" s="65"/>
      <c r="O17" s="65"/>
      <c r="P17" s="65"/>
      <c r="Q17" s="71"/>
      <c r="R17" s="84">
        <f t="shared" si="0"/>
        <v>0</v>
      </c>
      <c r="T17" s="12"/>
      <c r="U17" s="12"/>
    </row>
    <row r="18" spans="1:29" ht="19.5" customHeight="1" thickBot="1" x14ac:dyDescent="0.25">
      <c r="A18" s="4"/>
      <c r="B18" s="46"/>
      <c r="C18" s="58"/>
      <c r="D18" s="72"/>
      <c r="E18" s="73"/>
      <c r="F18" s="73"/>
      <c r="G18" s="73"/>
      <c r="H18" s="73"/>
      <c r="I18" s="73"/>
      <c r="J18" s="74"/>
      <c r="K18" s="75"/>
      <c r="L18" s="73"/>
      <c r="M18" s="73"/>
      <c r="N18" s="73"/>
      <c r="O18" s="73"/>
      <c r="P18" s="73"/>
      <c r="Q18" s="76"/>
      <c r="R18" s="85">
        <f t="shared" si="0"/>
        <v>0</v>
      </c>
      <c r="T18" s="12" t="s">
        <v>73</v>
      </c>
      <c r="U18" s="50"/>
    </row>
    <row r="19" spans="1:29" ht="19.5" customHeight="1" x14ac:dyDescent="0.2">
      <c r="A19" s="4"/>
      <c r="B19" s="97" t="s">
        <v>51</v>
      </c>
      <c r="C19" s="98"/>
      <c r="D19" s="105" t="str">
        <f>IF(J19&gt;40,"HR cannot be over 40 hours per week!","")</f>
        <v/>
      </c>
      <c r="E19" s="106"/>
      <c r="F19" s="106"/>
      <c r="G19" s="106"/>
      <c r="H19" s="106"/>
      <c r="I19" s="107"/>
      <c r="J19" s="77">
        <f>IF(B9="HR",SUM(D9:J9))+IF(B10="HR",SUM(D10:J10))+IF(B11="HR",SUM(D11:J11))+IF(B12="HR",SUM(D12:J12))+IF(B13="HR",SUM(D13:J13))+IF(B14="HR",SUM(D14:J14))+IF(B15="HR",SUM(D15:J15))+IF(B16="HR",SUM(D16:J16))+IF(B17="HR",SUM(D17:J17))+IF(B18="HR",SUM(D18:J18))</f>
        <v>0</v>
      </c>
      <c r="K19" s="108" t="str">
        <f>IF(Q19&gt;40,"HR cannot be over 40 hours per week!","")</f>
        <v/>
      </c>
      <c r="L19" s="106"/>
      <c r="M19" s="106"/>
      <c r="N19" s="106"/>
      <c r="O19" s="106"/>
      <c r="P19" s="107"/>
      <c r="Q19" s="78">
        <f>IF(B9="HR",SUM(K9:Q9))+IF(B10="HR",SUM(K10:Q10))+IF(B11="HR",SUM(K11:Q11))+IF(B12="HR",SUM(K12:Q12))+IF(B13="HR",SUM(K13:Q13))+IF(B14="HR",SUM(K14:Q14))+IF(B15="HR",SUM(K15:Q15))+IF(B16="HR",SUM(K16:Q16))+IF(B17="HR",SUM(K17:Q17))+IF(B18="HR",SUM(K18:Q18))</f>
        <v>0</v>
      </c>
      <c r="R19" s="54"/>
      <c r="T19" s="13" t="s">
        <v>25</v>
      </c>
      <c r="U19" s="50"/>
    </row>
    <row r="20" spans="1:29" ht="19.5" customHeight="1" x14ac:dyDescent="0.2">
      <c r="A20" s="4"/>
      <c r="B20" s="113" t="s">
        <v>53</v>
      </c>
      <c r="C20" s="114"/>
      <c r="D20" s="79">
        <f t="shared" ref="D20:Q20" si="1">SUM(D9:D18)</f>
        <v>0</v>
      </c>
      <c r="E20" s="80">
        <f t="shared" si="1"/>
        <v>0</v>
      </c>
      <c r="F20" s="80">
        <f t="shared" si="1"/>
        <v>0</v>
      </c>
      <c r="G20" s="80">
        <f t="shared" si="1"/>
        <v>0</v>
      </c>
      <c r="H20" s="80">
        <f t="shared" si="1"/>
        <v>0</v>
      </c>
      <c r="I20" s="80">
        <f t="shared" si="1"/>
        <v>0</v>
      </c>
      <c r="J20" s="81">
        <f t="shared" si="1"/>
        <v>0</v>
      </c>
      <c r="K20" s="82">
        <f t="shared" si="1"/>
        <v>0</v>
      </c>
      <c r="L20" s="80">
        <f t="shared" si="1"/>
        <v>0</v>
      </c>
      <c r="M20" s="80">
        <f t="shared" si="1"/>
        <v>0</v>
      </c>
      <c r="N20" s="80">
        <f t="shared" si="1"/>
        <v>0</v>
      </c>
      <c r="O20" s="80">
        <f t="shared" si="1"/>
        <v>0</v>
      </c>
      <c r="P20" s="80">
        <f t="shared" si="1"/>
        <v>0</v>
      </c>
      <c r="Q20" s="83">
        <f t="shared" si="1"/>
        <v>0</v>
      </c>
      <c r="R20" s="53"/>
    </row>
    <row r="21" spans="1:29" ht="19.5" customHeight="1" thickBot="1" x14ac:dyDescent="0.25">
      <c r="A21" s="4"/>
      <c r="B21" s="110" t="s">
        <v>66</v>
      </c>
      <c r="C21" s="111"/>
      <c r="D21" s="100">
        <f>SUM(D20:J20)</f>
        <v>0</v>
      </c>
      <c r="E21" s="101"/>
      <c r="F21" s="101"/>
      <c r="G21" s="101"/>
      <c r="H21" s="101"/>
      <c r="I21" s="101"/>
      <c r="J21" s="102"/>
      <c r="K21" s="115">
        <f>SUM(K20:Q20)</f>
        <v>0</v>
      </c>
      <c r="L21" s="101"/>
      <c r="M21" s="101"/>
      <c r="N21" s="101"/>
      <c r="O21" s="101"/>
      <c r="P21" s="101"/>
      <c r="Q21" s="116"/>
      <c r="R21" s="53"/>
      <c r="T21" s="12" t="s">
        <v>74</v>
      </c>
    </row>
    <row r="22" spans="1:29" ht="18" customHeight="1" x14ac:dyDescent="0.2">
      <c r="T22" s="12" t="s">
        <v>75</v>
      </c>
      <c r="V22" s="13" t="s">
        <v>24</v>
      </c>
    </row>
    <row r="24" spans="1:29" ht="21" customHeight="1" x14ac:dyDescent="0.2">
      <c r="A24" s="4"/>
      <c r="C24" s="19" t="s">
        <v>62</v>
      </c>
      <c r="D24" s="86">
        <f>IF(B9="HR",R9)+IF(B10="HR",R10)+IF(B11="HR",R11)+IF(B12="HR",R12)+IF(B13="HR",R13)+IF(B14="HR",R14)+IF(B15="HR",R15)+IF(B16="HR",R16)+IF(B17="HR",R17)+IF(B18="HR",R18)</f>
        <v>0</v>
      </c>
      <c r="F24" s="19" t="s">
        <v>63</v>
      </c>
      <c r="G24" s="86">
        <f>IF(B9="OT",R9)+IF(B10="OT",R10)+IF(B11="OT",R11)+IF(B12="OT",R12)+IF(B13="OT",R13)+IF(B14="OT",R14)+IF(B15="OT",R15)+IF(B16="OT",R16)+IF(B17="OT",R17)+IF(B18="OT",R18)</f>
        <v>0</v>
      </c>
      <c r="I24" s="19" t="s">
        <v>61</v>
      </c>
      <c r="J24" s="86">
        <f>IF(B9="HOL",R9)+IF(B10="HOL",R10)+IF(B11="HOL",R11)+IF(B12="HOL",R12)+IF(B13="HOL",R13)+IF(B14="HOL",R14)+IF(B15="HOL",R15)+IF(B16="HOL",R16)+IF(B17="HOL",R17)+IF(B18="HOL",R18)</f>
        <v>0</v>
      </c>
      <c r="R24" s="1"/>
      <c r="T24" s="12" t="s">
        <v>77</v>
      </c>
    </row>
    <row r="25" spans="1:29" ht="21" customHeight="1" x14ac:dyDescent="0.25">
      <c r="A25" s="4"/>
      <c r="C25" s="7" t="s">
        <v>52</v>
      </c>
      <c r="D25" s="86">
        <f>IF(B9="PTO",R9)+IF(B10="PTO",R10)+IF(B11="PTO",R11)+IF(B12="PTO",R12)+IF(B13="PTO",R13)+IF(B14="PTO",R14)+IF(B15="PTO",R15)+IF(B16="PTO",R16)+IF(B17="PTO",R17)+IF(B18="PTO",R18)</f>
        <v>0</v>
      </c>
      <c r="F25" s="7" t="s">
        <v>65</v>
      </c>
      <c r="G25" s="87">
        <f>IF(B9="LWP",R9)+IF(B10="LWP",R10)+IF(B11="LWP",R11)+IF(B12="LWP",R12)+IF(B13="LWP",R13)+IF(B14="LWP",R14)+IF(B15="LWP",R15)+IF(B16="LWP",R16)+IF(B17="LWP",R17)+IF(B18="LWP",R18)</f>
        <v>0</v>
      </c>
      <c r="H25" s="17"/>
      <c r="I25" s="7" t="s">
        <v>64</v>
      </c>
      <c r="J25" s="88">
        <f>R25-D24-G24-D25-J24</f>
        <v>0</v>
      </c>
      <c r="K25" s="17"/>
      <c r="L25" s="17"/>
      <c r="M25" s="17"/>
      <c r="N25" s="17"/>
      <c r="O25" s="17"/>
      <c r="Q25" s="35" t="s">
        <v>26</v>
      </c>
      <c r="R25" s="89">
        <f>SUM(R9:R18)</f>
        <v>0</v>
      </c>
      <c r="T25" s="12" t="s">
        <v>76</v>
      </c>
      <c r="U25" s="13"/>
      <c r="V25" s="13"/>
      <c r="W25" s="13"/>
    </row>
    <row r="26" spans="1:29" ht="45" customHeight="1" x14ac:dyDescent="0.2">
      <c r="B26" s="2"/>
      <c r="D26" s="5" t="s">
        <v>78</v>
      </c>
      <c r="E26" s="95"/>
      <c r="F26" s="95"/>
      <c r="G26" s="95"/>
      <c r="H26" s="95"/>
      <c r="I26" s="95"/>
      <c r="J26" s="95"/>
      <c r="L26" s="7" t="s">
        <v>22</v>
      </c>
      <c r="M26" s="8" t="s">
        <v>21</v>
      </c>
      <c r="N26" s="8"/>
      <c r="O26" s="8"/>
      <c r="T26" s="12"/>
      <c r="U26" s="12"/>
    </row>
    <row r="27" spans="1:29" ht="27" customHeight="1" x14ac:dyDescent="0.25">
      <c r="B27" s="9"/>
      <c r="D27" s="7" t="s">
        <v>23</v>
      </c>
      <c r="E27" s="112"/>
      <c r="F27" s="112"/>
      <c r="G27" s="112"/>
      <c r="H27" s="112"/>
      <c r="I27" s="112"/>
      <c r="J27" s="112"/>
      <c r="L27" s="7" t="s">
        <v>22</v>
      </c>
      <c r="M27" s="8" t="s">
        <v>21</v>
      </c>
      <c r="N27" s="8"/>
      <c r="O27" s="8"/>
      <c r="T27" s="63" t="s">
        <v>80</v>
      </c>
      <c r="U27" s="63"/>
      <c r="V27" s="13"/>
      <c r="W27" s="13"/>
      <c r="X27" s="13"/>
      <c r="Y27" s="13"/>
      <c r="Z27" s="13"/>
      <c r="AA27" s="13"/>
      <c r="AB27" s="13"/>
      <c r="AC27" s="13"/>
    </row>
    <row r="28" spans="1:29" ht="27" customHeight="1" x14ac:dyDescent="0.2">
      <c r="K28" s="109" t="s">
        <v>3</v>
      </c>
      <c r="L28" s="109"/>
      <c r="M28" s="109"/>
      <c r="N28" s="109"/>
      <c r="O28" s="109"/>
      <c r="P28" s="109"/>
      <c r="T28" s="12"/>
      <c r="U28" s="12"/>
      <c r="AC28" s="13"/>
    </row>
    <row r="29" spans="1:29" ht="27" customHeight="1" x14ac:dyDescent="0.2">
      <c r="U29" s="12"/>
      <c r="AC29" s="13"/>
    </row>
    <row r="30" spans="1:29" ht="18" customHeight="1" x14ac:dyDescent="0.2">
      <c r="G30" s="15"/>
      <c r="V30" s="13"/>
      <c r="AC30" s="13"/>
    </row>
    <row r="31" spans="1:29" ht="18" customHeight="1" x14ac:dyDescent="0.2">
      <c r="V31" s="13"/>
      <c r="W31" s="13"/>
      <c r="X31" s="13"/>
      <c r="Y31" s="13"/>
      <c r="Z31" s="13"/>
      <c r="AA31" s="13"/>
      <c r="AB31" s="13"/>
      <c r="AC31" s="13"/>
    </row>
  </sheetData>
  <sheetProtection sheet="1" objects="1" scenarios="1" selectLockedCells="1"/>
  <dataConsolidate/>
  <mergeCells count="17">
    <mergeCell ref="K28:P28"/>
    <mergeCell ref="B21:C21"/>
    <mergeCell ref="E27:J27"/>
    <mergeCell ref="B20:C20"/>
    <mergeCell ref="K21:Q21"/>
    <mergeCell ref="B1:Q1"/>
    <mergeCell ref="D5:F5"/>
    <mergeCell ref="E26:J26"/>
    <mergeCell ref="H5:J5"/>
    <mergeCell ref="B19:C19"/>
    <mergeCell ref="O5:Q5"/>
    <mergeCell ref="D21:J21"/>
    <mergeCell ref="B3:F3"/>
    <mergeCell ref="M3:N3"/>
    <mergeCell ref="H3:K3"/>
    <mergeCell ref="D19:I19"/>
    <mergeCell ref="K19:P19"/>
  </mergeCells>
  <phoneticPr fontId="1" type="noConversion"/>
  <conditionalFormatting sqref="D9:Q18 D20:Q20">
    <cfRule type="cellIs" dxfId="14" priority="19" operator="greaterThan">
      <formula>8</formula>
    </cfRule>
  </conditionalFormatting>
  <conditionalFormatting sqref="O5">
    <cfRule type="cellIs" dxfId="13" priority="6" operator="equal">
      <formula>"Select Pay Day"</formula>
    </cfRule>
  </conditionalFormatting>
  <conditionalFormatting sqref="J19">
    <cfRule type="cellIs" dxfId="12" priority="3" operator="greaterThan">
      <formula>40</formula>
    </cfRule>
  </conditionalFormatting>
  <conditionalFormatting sqref="Q19">
    <cfRule type="cellIs" dxfId="11" priority="2" operator="greaterThan">
      <formula>40</formula>
    </cfRule>
  </conditionalFormatting>
  <conditionalFormatting sqref="D20:Q20">
    <cfRule type="cellIs" dxfId="10" priority="1" operator="equal">
      <formula>7.5</formula>
    </cfRule>
  </conditionalFormatting>
  <dataValidations count="1">
    <dataValidation type="list" allowBlank="1" showInputMessage="1" showErrorMessage="1" sqref="B9:B18">
      <formula1>$T$9:$T$16</formula1>
    </dataValidation>
  </dataValidations>
  <hyperlinks>
    <hyperlink ref="V22" r:id="rId1"/>
  </hyperlinks>
  <printOptions horizontalCentered="1" verticalCentered="1"/>
  <pageMargins left="0.25" right="0.25" top="0.75" bottom="0.75" header="0.3" footer="0.3"/>
  <pageSetup scale="92" orientation="landscape" r:id="rId2"/>
  <headerFooter alignWithMargins="0">
    <oddHeader>&amp;C&amp;"Arial,Полужирный"&amp;20Chugachmiut Time  Sheet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16</xdr:col>
                    <xdr:colOff>47625</xdr:colOff>
                    <xdr:row>1</xdr:row>
                    <xdr:rowOff>57150</xdr:rowOff>
                  </from>
                  <to>
                    <xdr:col>16</xdr:col>
                    <xdr:colOff>352425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16</xdr:col>
                    <xdr:colOff>47625</xdr:colOff>
                    <xdr:row>2</xdr:row>
                    <xdr:rowOff>161925</xdr:rowOff>
                  </from>
                  <to>
                    <xdr:col>16</xdr:col>
                    <xdr:colOff>352425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54D0C24C-5E8E-4814-8220-D1ADFD836D65}">
            <xm:f>COUNTIF('Payroll Calendar'!$G:$G,$E$8)</xm:f>
            <x14:dxf>
              <font>
                <color rgb="FFFF0000"/>
              </font>
            </x14:dxf>
          </x14:cfRule>
          <xm:sqref>E8</xm:sqref>
        </x14:conditionalFormatting>
        <x14:conditionalFormatting xmlns:xm="http://schemas.microsoft.com/office/excel/2006/main">
          <x14:cfRule type="expression" priority="18" id="{6DA4630E-1C09-4F9E-8474-193C39660483}">
            <xm:f>COUNTIF('Payroll Calendar'!$G:$G,$F$8)</xm:f>
            <x14:dxf>
              <font>
                <color rgb="FFFF0000"/>
              </font>
            </x14:dxf>
          </x14:cfRule>
          <xm:sqref>F8</xm:sqref>
        </x14:conditionalFormatting>
        <x14:conditionalFormatting xmlns:xm="http://schemas.microsoft.com/office/excel/2006/main">
          <x14:cfRule type="expression" priority="16" id="{C72A9558-1A08-4B7C-B555-353558BB8158}">
            <xm:f>COUNTIF('Payroll Calendar'!$G:$G,$G$8)</xm:f>
            <x14:dxf>
              <font>
                <color rgb="FFFF0000"/>
              </font>
            </x14:dxf>
          </x14:cfRule>
          <xm:sqref>G8</xm:sqref>
        </x14:conditionalFormatting>
        <x14:conditionalFormatting xmlns:xm="http://schemas.microsoft.com/office/excel/2006/main">
          <x14:cfRule type="expression" priority="15" id="{B179D17E-4315-44D3-B202-F0F914BFDE45}">
            <xm:f>COUNTIF('Payroll Calendar'!$G:$G,$H$8)</xm:f>
            <x14:dxf>
              <font>
                <color rgb="FFFF0000"/>
              </font>
            </x14:dxf>
          </x14:cfRule>
          <xm:sqref>H8</xm:sqref>
        </x14:conditionalFormatting>
        <x14:conditionalFormatting xmlns:xm="http://schemas.microsoft.com/office/excel/2006/main">
          <x14:cfRule type="expression" priority="14" id="{D7784ADB-163C-4C78-AFF5-7F212C1B1B27}">
            <xm:f>COUNTIF('Payroll Calendar'!$G:$G,$I$8)</xm:f>
            <x14:dxf>
              <font>
                <color rgb="FFFF0000"/>
              </font>
            </x14:dxf>
          </x14:cfRule>
          <xm:sqref>I8</xm:sqref>
        </x14:conditionalFormatting>
        <x14:conditionalFormatting xmlns:xm="http://schemas.microsoft.com/office/excel/2006/main">
          <x14:cfRule type="expression" priority="13" id="{6D1AD19C-6D99-4CF6-9962-F8F371F1395E}">
            <xm:f>COUNTIF('Payroll Calendar'!$G:$G,$L$8)</xm:f>
            <x14:dxf>
              <font>
                <color rgb="FFFF0000"/>
              </font>
            </x14:dxf>
          </x14:cfRule>
          <xm:sqref>L8</xm:sqref>
        </x14:conditionalFormatting>
        <x14:conditionalFormatting xmlns:xm="http://schemas.microsoft.com/office/excel/2006/main">
          <x14:cfRule type="expression" priority="12" id="{9CF20E02-71E7-4737-8D87-D658B569C500}">
            <xm:f>COUNTIF('Payroll Calendar'!$G:$G,$M$8)</xm:f>
            <x14:dxf>
              <font>
                <color rgb="FFFF0000"/>
              </font>
            </x14:dxf>
          </x14:cfRule>
          <xm:sqref>M8</xm:sqref>
        </x14:conditionalFormatting>
        <x14:conditionalFormatting xmlns:xm="http://schemas.microsoft.com/office/excel/2006/main">
          <x14:cfRule type="expression" priority="11" id="{79C1DC06-B401-47EE-8D0B-990100793BDF}">
            <xm:f>COUNTIF('Payroll Calendar'!$G:$G,$N$8)</xm:f>
            <x14:dxf>
              <font>
                <color rgb="FFFF0000"/>
              </font>
            </x14:dxf>
          </x14:cfRule>
          <xm:sqref>N8</xm:sqref>
        </x14:conditionalFormatting>
        <x14:conditionalFormatting xmlns:xm="http://schemas.microsoft.com/office/excel/2006/main">
          <x14:cfRule type="expression" priority="10" id="{AA2B1092-AB37-4973-B48D-C065D9A70416}">
            <xm:f>COUNTIF('Payroll Calendar'!$G:$G,$O$8)</xm:f>
            <x14:dxf>
              <font>
                <color rgb="FFFF0000"/>
              </font>
            </x14:dxf>
          </x14:cfRule>
          <xm:sqref>O8</xm:sqref>
        </x14:conditionalFormatting>
        <x14:conditionalFormatting xmlns:xm="http://schemas.microsoft.com/office/excel/2006/main">
          <x14:cfRule type="expression" priority="9" id="{9D7168C4-6528-49E1-B345-96A85C9176A1}">
            <xm:f>COUNTIF('Payroll Calendar'!$G:$G,$P$8)</xm:f>
            <x14:dxf>
              <font>
                <color rgb="FFFF0000"/>
              </font>
            </x14:dxf>
          </x14:cfRule>
          <xm:sqref>P8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ate Error" error="Wrong Pay Period Selected!">
          <x14:formula1>
            <xm:f>'Payroll Calendar'!$A$2:$A$29</xm:f>
          </x14:formula1>
          <xm:sqref>D5:F5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30" sqref="A30"/>
    </sheetView>
  </sheetViews>
  <sheetFormatPr defaultRowHeight="12.75" x14ac:dyDescent="0.2"/>
  <cols>
    <col min="1" max="2" width="17.42578125" customWidth="1"/>
    <col min="3" max="3" width="17.42578125" style="26" customWidth="1"/>
    <col min="4" max="4" width="13.7109375" style="26" customWidth="1"/>
    <col min="5" max="5" width="6.140625" customWidth="1"/>
    <col min="6" max="6" width="23" bestFit="1" customWidth="1"/>
    <col min="7" max="7" width="15.140625" style="21" customWidth="1"/>
    <col min="12" max="12" width="9.140625" customWidth="1"/>
  </cols>
  <sheetData>
    <row r="1" spans="1:7" s="25" customFormat="1" x14ac:dyDescent="0.2">
      <c r="A1" s="23" t="s">
        <v>67</v>
      </c>
      <c r="B1" s="23" t="s">
        <v>68</v>
      </c>
      <c r="C1" s="27" t="s">
        <v>69</v>
      </c>
      <c r="D1" s="27" t="s">
        <v>56</v>
      </c>
      <c r="E1" s="23"/>
      <c r="F1" s="23" t="s">
        <v>14</v>
      </c>
      <c r="G1" s="59" t="s">
        <v>39</v>
      </c>
    </row>
    <row r="2" spans="1:7" x14ac:dyDescent="0.2">
      <c r="A2" s="21">
        <v>42358</v>
      </c>
      <c r="B2" s="21">
        <v>42371</v>
      </c>
      <c r="C2" s="26">
        <v>42373</v>
      </c>
      <c r="D2" s="26">
        <v>42377</v>
      </c>
      <c r="F2" s="22" t="s">
        <v>27</v>
      </c>
      <c r="G2" s="21">
        <v>42363</v>
      </c>
    </row>
    <row r="3" spans="1:7" x14ac:dyDescent="0.2">
      <c r="A3" s="21">
        <v>42372</v>
      </c>
      <c r="B3" s="21">
        <v>42385</v>
      </c>
      <c r="C3" s="26">
        <v>42388</v>
      </c>
      <c r="D3" s="26">
        <v>42391</v>
      </c>
      <c r="F3" s="22"/>
      <c r="G3" s="24">
        <v>42370</v>
      </c>
    </row>
    <row r="4" spans="1:7" x14ac:dyDescent="0.2">
      <c r="A4" s="21">
        <v>42386</v>
      </c>
      <c r="B4" s="21">
        <v>42399</v>
      </c>
      <c r="C4" s="26">
        <v>42401</v>
      </c>
      <c r="D4" s="26">
        <v>42405</v>
      </c>
      <c r="F4" s="22" t="s">
        <v>28</v>
      </c>
      <c r="G4" s="24">
        <v>42387</v>
      </c>
    </row>
    <row r="5" spans="1:7" x14ac:dyDescent="0.2">
      <c r="A5" s="21">
        <v>42400</v>
      </c>
      <c r="B5" s="21">
        <v>42413</v>
      </c>
      <c r="C5" s="26">
        <v>42416</v>
      </c>
      <c r="D5" s="26">
        <v>42419</v>
      </c>
    </row>
    <row r="6" spans="1:7" x14ac:dyDescent="0.2">
      <c r="A6" s="21">
        <v>42414</v>
      </c>
      <c r="B6" s="21">
        <v>42427</v>
      </c>
      <c r="C6" s="26">
        <v>42429</v>
      </c>
      <c r="D6" s="26">
        <v>42433</v>
      </c>
      <c r="F6" s="22" t="s">
        <v>38</v>
      </c>
      <c r="G6" s="21">
        <v>42415</v>
      </c>
    </row>
    <row r="7" spans="1:7" x14ac:dyDescent="0.2">
      <c r="A7" s="21">
        <v>42428</v>
      </c>
      <c r="B7" s="21">
        <v>42441</v>
      </c>
      <c r="C7" s="26">
        <v>42443</v>
      </c>
      <c r="D7" s="26">
        <v>42447</v>
      </c>
    </row>
    <row r="8" spans="1:7" x14ac:dyDescent="0.2">
      <c r="A8" s="21">
        <v>42442</v>
      </c>
      <c r="B8" s="21">
        <v>42455</v>
      </c>
      <c r="C8" s="26">
        <v>42458</v>
      </c>
      <c r="D8" s="26">
        <v>42461</v>
      </c>
      <c r="F8" s="22" t="s">
        <v>29</v>
      </c>
      <c r="G8" s="21">
        <v>42454</v>
      </c>
    </row>
    <row r="9" spans="1:7" x14ac:dyDescent="0.2">
      <c r="A9" s="21">
        <v>42456</v>
      </c>
      <c r="B9" s="21">
        <v>42469</v>
      </c>
      <c r="C9" s="26">
        <v>42471</v>
      </c>
      <c r="D9" s="26">
        <v>42475</v>
      </c>
      <c r="F9" s="22" t="s">
        <v>30</v>
      </c>
      <c r="G9" s="21">
        <v>42457</v>
      </c>
    </row>
    <row r="10" spans="1:7" x14ac:dyDescent="0.2">
      <c r="A10" s="21">
        <v>42470</v>
      </c>
      <c r="B10" s="21">
        <v>42483</v>
      </c>
      <c r="C10" s="26">
        <v>42485</v>
      </c>
      <c r="D10" s="26">
        <v>42489</v>
      </c>
    </row>
    <row r="11" spans="1:7" x14ac:dyDescent="0.2">
      <c r="A11" s="21">
        <v>42484</v>
      </c>
      <c r="B11" s="21">
        <v>42497</v>
      </c>
      <c r="C11" s="26">
        <v>42499</v>
      </c>
      <c r="D11" s="26">
        <v>42503</v>
      </c>
    </row>
    <row r="12" spans="1:7" x14ac:dyDescent="0.2">
      <c r="A12" s="21">
        <v>42498</v>
      </c>
      <c r="B12" s="21">
        <v>42511</v>
      </c>
      <c r="C12" s="26">
        <v>42513</v>
      </c>
      <c r="D12" s="26">
        <v>42517</v>
      </c>
    </row>
    <row r="13" spans="1:7" x14ac:dyDescent="0.2">
      <c r="A13" s="21">
        <v>42512</v>
      </c>
      <c r="B13" s="21">
        <v>42525</v>
      </c>
      <c r="C13" s="26">
        <v>42527</v>
      </c>
      <c r="D13" s="26">
        <v>42531</v>
      </c>
      <c r="F13" s="22" t="s">
        <v>31</v>
      </c>
      <c r="G13" s="21">
        <v>42520</v>
      </c>
    </row>
    <row r="14" spans="1:7" x14ac:dyDescent="0.2">
      <c r="A14" s="21">
        <v>42526</v>
      </c>
      <c r="B14" s="21">
        <v>42539</v>
      </c>
      <c r="C14" s="26">
        <v>42541</v>
      </c>
      <c r="D14" s="26">
        <v>42545</v>
      </c>
    </row>
    <row r="15" spans="1:7" x14ac:dyDescent="0.2">
      <c r="A15" s="21">
        <v>42540</v>
      </c>
      <c r="B15" s="21">
        <v>42553</v>
      </c>
      <c r="C15" s="26">
        <v>42556</v>
      </c>
      <c r="D15" s="26">
        <v>42559</v>
      </c>
    </row>
    <row r="16" spans="1:7" x14ac:dyDescent="0.2">
      <c r="A16" s="21">
        <v>42554</v>
      </c>
      <c r="B16" s="21">
        <v>42567</v>
      </c>
      <c r="C16" s="26">
        <v>42569</v>
      </c>
      <c r="D16" s="26">
        <v>42573</v>
      </c>
      <c r="F16" s="22" t="s">
        <v>32</v>
      </c>
      <c r="G16" s="21">
        <v>42555</v>
      </c>
    </row>
    <row r="17" spans="1:7" x14ac:dyDescent="0.2">
      <c r="A17" s="21">
        <v>42568</v>
      </c>
      <c r="B17" s="21">
        <v>42581</v>
      </c>
      <c r="C17" s="26">
        <v>42583</v>
      </c>
      <c r="D17" s="26">
        <v>42587</v>
      </c>
    </row>
    <row r="18" spans="1:7" x14ac:dyDescent="0.2">
      <c r="A18" s="21">
        <v>42582</v>
      </c>
      <c r="B18" s="21">
        <v>42595</v>
      </c>
      <c r="C18" s="26">
        <v>42597</v>
      </c>
      <c r="D18" s="26">
        <v>42601</v>
      </c>
    </row>
    <row r="19" spans="1:7" x14ac:dyDescent="0.2">
      <c r="A19" s="21">
        <v>42596</v>
      </c>
      <c r="B19" s="21">
        <v>42609</v>
      </c>
      <c r="C19" s="26">
        <v>42611</v>
      </c>
      <c r="D19" s="26">
        <v>42615</v>
      </c>
    </row>
    <row r="20" spans="1:7" x14ac:dyDescent="0.2">
      <c r="A20" s="21">
        <v>42610</v>
      </c>
      <c r="B20" s="21">
        <v>42623</v>
      </c>
      <c r="C20" s="26">
        <v>42625</v>
      </c>
      <c r="D20" s="26">
        <v>42629</v>
      </c>
      <c r="F20" s="22" t="s">
        <v>33</v>
      </c>
      <c r="G20" s="21">
        <v>42618</v>
      </c>
    </row>
    <row r="21" spans="1:7" x14ac:dyDescent="0.2">
      <c r="A21" s="21">
        <v>42624</v>
      </c>
      <c r="B21" s="21">
        <v>42637</v>
      </c>
      <c r="C21" s="26">
        <v>42639</v>
      </c>
      <c r="D21" s="26">
        <v>42643</v>
      </c>
    </row>
    <row r="22" spans="1:7" x14ac:dyDescent="0.2">
      <c r="A22" s="21">
        <v>42638</v>
      </c>
      <c r="B22" s="21">
        <v>42651</v>
      </c>
      <c r="C22" s="26">
        <v>42653</v>
      </c>
      <c r="D22" s="26">
        <v>42657</v>
      </c>
    </row>
    <row r="23" spans="1:7" x14ac:dyDescent="0.2">
      <c r="A23" s="21">
        <v>42652</v>
      </c>
      <c r="B23" s="21">
        <v>42665</v>
      </c>
      <c r="C23" s="26">
        <v>42667</v>
      </c>
      <c r="D23" s="26">
        <v>42671</v>
      </c>
    </row>
    <row r="24" spans="1:7" x14ac:dyDescent="0.2">
      <c r="A24" s="21">
        <v>42666</v>
      </c>
      <c r="B24" s="21">
        <v>42679</v>
      </c>
      <c r="C24" s="26">
        <v>42681</v>
      </c>
      <c r="D24" s="26">
        <v>42684</v>
      </c>
    </row>
    <row r="25" spans="1:7" x14ac:dyDescent="0.2">
      <c r="A25" s="21">
        <v>42680</v>
      </c>
      <c r="B25" s="21">
        <v>42693</v>
      </c>
      <c r="C25" s="26">
        <v>42695</v>
      </c>
      <c r="D25" s="26">
        <v>42699</v>
      </c>
      <c r="F25" s="22" t="s">
        <v>34</v>
      </c>
      <c r="G25" s="21">
        <v>42685</v>
      </c>
    </row>
    <row r="26" spans="1:7" x14ac:dyDescent="0.2">
      <c r="A26" s="21">
        <v>42694</v>
      </c>
      <c r="B26" s="21">
        <v>42707</v>
      </c>
      <c r="C26" s="26">
        <v>42709</v>
      </c>
      <c r="D26" s="26">
        <v>42713</v>
      </c>
      <c r="F26" s="22" t="s">
        <v>35</v>
      </c>
      <c r="G26" s="21">
        <v>42698</v>
      </c>
    </row>
    <row r="27" spans="1:7" x14ac:dyDescent="0.2">
      <c r="A27" s="21">
        <v>42708</v>
      </c>
      <c r="B27" s="21">
        <v>42721</v>
      </c>
      <c r="C27" s="26">
        <v>42723</v>
      </c>
      <c r="D27" s="26">
        <v>42727</v>
      </c>
      <c r="F27" s="22" t="s">
        <v>36</v>
      </c>
      <c r="G27" s="21">
        <v>42699</v>
      </c>
    </row>
    <row r="28" spans="1:7" x14ac:dyDescent="0.2">
      <c r="A28" s="21">
        <v>42722</v>
      </c>
      <c r="B28" s="21">
        <v>42735</v>
      </c>
      <c r="C28" s="26">
        <v>42737</v>
      </c>
      <c r="D28" s="26">
        <v>42741</v>
      </c>
    </row>
    <row r="29" spans="1:7" x14ac:dyDescent="0.2">
      <c r="A29" s="21">
        <v>42722</v>
      </c>
      <c r="B29" s="21">
        <v>42735</v>
      </c>
      <c r="C29" s="26">
        <v>42737</v>
      </c>
      <c r="D29" s="26">
        <v>42741</v>
      </c>
      <c r="F29" s="22" t="s">
        <v>37</v>
      </c>
      <c r="G29" s="21">
        <v>42730</v>
      </c>
    </row>
  </sheetData>
  <sheetProtection sheet="1" objects="1" scenario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E68EE3D0D4FF458EDEC7C6CEC6FA28" ma:contentTypeVersion="0" ma:contentTypeDescription="Create a new document." ma:contentTypeScope="" ma:versionID="4d44df7ae0515ba6e7bb5ee21e696a7b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C6DFD83-4926-49CE-881D-5E3ABF9549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4C022A4-6D82-427C-9491-EE2364AF5B4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12F1DF-C244-4198-A5B7-F54E9B160D3B}">
  <ds:schemaRefs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Timesheet Template</vt:lpstr>
      <vt:lpstr>Payroll Calendar</vt:lpstr>
      <vt:lpstr>'Timesheet Template'!Print_Area</vt:lpstr>
    </vt:vector>
  </TitlesOfParts>
  <Company>FNA/Admin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2016 Excel Timesheet with Payroll Calendar</dc:title>
  <dc:creator>Nikolai</dc:creator>
  <cp:lastModifiedBy>Nikolai</cp:lastModifiedBy>
  <cp:lastPrinted>2016-01-06T01:26:06Z</cp:lastPrinted>
  <dcterms:created xsi:type="dcterms:W3CDTF">2005-05-19T20:12:19Z</dcterms:created>
  <dcterms:modified xsi:type="dcterms:W3CDTF">2016-03-23T19:32:52Z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0x010100A8E68EE3D0D4FF458EDEC7C6CEC6FA28</vt:lpwstr>
  </property>
</Properties>
</file>