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31"/>
  <workbookPr/>
  <mc:AlternateContent xmlns:mc="http://schemas.openxmlformats.org/markup-compatibility/2006">
    <mc:Choice Requires="x15">
      <x15ac:absPath xmlns:x15ac="http://schemas.microsoft.com/office/spreadsheetml/2010/11/ac" url="C:\Users\Public\Documents\R_poverty_reports_2023\output\"/>
    </mc:Choice>
  </mc:AlternateContent>
  <xr:revisionPtr revIDLastSave="0" documentId="13_ncr:1_{D878535E-8824-4765-8CEC-7CDA88322ED0}" xr6:coauthVersionLast="47" xr6:coauthVersionMax="47" xr10:uidLastSave="{00000000-0000-0000-0000-000000000000}"/>
  <bookViews>
    <workbookView xWindow="-110" yWindow="-110" windowWidth="19420" windowHeight="10560" xr2:uid="{00000000-000D-0000-FFFF-FFFF00000000}"/>
  </bookViews>
  <sheets>
    <sheet name="Readme" sheetId="9" r:id="rId1"/>
    <sheet name="Contents" sheetId="8" r:id="rId2"/>
    <sheet name="1" sheetId="1" r:id="rId3"/>
    <sheet name="2" sheetId="2" r:id="rId4"/>
    <sheet name="3" sheetId="3" r:id="rId5"/>
    <sheet name="4" sheetId="4" r:id="rId6"/>
    <sheet name="5" sheetId="5" r:id="rId7"/>
    <sheet name="6" sheetId="6" r:id="rId8"/>
    <sheet name="7" sheetId="7"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9" i="8" l="1"/>
  <c r="A8" i="8"/>
  <c r="A7" i="8"/>
  <c r="A6" i="8"/>
  <c r="A5" i="8"/>
  <c r="A4" i="8"/>
  <c r="A3" i="8"/>
</calcChain>
</file>

<file path=xl/sharedStrings.xml><?xml version="1.0" encoding="utf-8"?>
<sst xmlns="http://schemas.openxmlformats.org/spreadsheetml/2006/main" count="3930" uniqueCount="177">
  <si>
    <t>This worksheet contains ten tables.</t>
  </si>
  <si>
    <t>Important: The latest two estimates are two-year averages. See README for more information.</t>
  </si>
  <si>
    <t>Important: Child material deprivation estimates for 2018-21 and 2019-22 are not comparable to previous estimates. This is because these two periods cover a time when families were less able to undertake certain activities due to the pandemic, and not necessarily because they couldn't afford to. This changed how people responded to the material deprivation questions.</t>
  </si>
  <si>
    <t>All poverty measures are after housing costs measures.</t>
  </si>
  <si>
    <t>Source: Scottish Government analysis of Family Resources Survey data</t>
  </si>
  <si>
    <t>Group</t>
  </si>
  <si>
    <t>1994-97</t>
  </si>
  <si>
    <t>1995-98</t>
  </si>
  <si>
    <t>1996-99</t>
  </si>
  <si>
    <t>1997-00</t>
  </si>
  <si>
    <t>1998-01</t>
  </si>
  <si>
    <t>1999-02</t>
  </si>
  <si>
    <t>2000-03</t>
  </si>
  <si>
    <t>2001-04</t>
  </si>
  <si>
    <t>2002-05</t>
  </si>
  <si>
    <t>2003-06</t>
  </si>
  <si>
    <t>2004-07</t>
  </si>
  <si>
    <t>2005-08</t>
  </si>
  <si>
    <t>2006-09</t>
  </si>
  <si>
    <t>2007-10</t>
  </si>
  <si>
    <t>2008-11</t>
  </si>
  <si>
    <t>2009-12</t>
  </si>
  <si>
    <t>2010-13</t>
  </si>
  <si>
    <t>2011-14</t>
  </si>
  <si>
    <t>2012-15</t>
  </si>
  <si>
    <t>2013-16</t>
  </si>
  <si>
    <t>2014-17</t>
  </si>
  <si>
    <t>2015-18</t>
  </si>
  <si>
    <t>2016-19</t>
  </si>
  <si>
    <t>2017-20</t>
  </si>
  <si>
    <t>2018-21</t>
  </si>
  <si>
    <t>2019-22</t>
  </si>
  <si>
    <t>All</t>
  </si>
  <si>
    <t>No single parent in household</t>
  </si>
  <si>
    <t>Single parent in household</t>
  </si>
  <si>
    <t>[u]</t>
  </si>
  <si>
    <t>1-2 children in the household</t>
  </si>
  <si>
    <t>3 or more children in the household</t>
  </si>
  <si>
    <t>Individual child age data is not available between 2003 and 2005.</t>
  </si>
  <si>
    <t>Youngest child in household is 1 or older</t>
  </si>
  <si>
    <t>Youngest child is younger than 1</t>
  </si>
  <si>
    <t>(Missing)</t>
  </si>
  <si>
    <t>Individual age data is available from 1997, but not between 2003 and 2005.</t>
  </si>
  <si>
    <t>No mother under 25 in household</t>
  </si>
  <si>
    <t>Mother under 25 in household</t>
  </si>
  <si>
    <t>The way in which information on disabled people is collected changed several times during this timeseries. This causes breaks in the timeseries between 2001/02 and 2002/03, between 2003/04 and 2004/05, and between 2011/12 and 2012/13. Since 2012/13, disabled people are identified as those who report any physical or mental health condition(s) or illness(es) that last or are expected to last 12 months or more, and which limit their ability to carry out day-to-day activities. Therefore, care needs to be taken when considering long-term trends. The last break in the methodology caused a large change in the size of the disabled population. Therefore, the estimated numbers in poverty before and after the break cannot be directly compared and no three-year averaged data is available during the break.</t>
  </si>
  <si>
    <t>Note: Data on disabled children is available from 1995/96.</t>
  </si>
  <si>
    <t>In household with no disabled person(s)</t>
  </si>
  <si>
    <t>In household with disabled person(s)</t>
  </si>
  <si>
    <t>Ethnicity data relates to all people in a household and is based on the ethnicity of the adult with the highest income.</t>
  </si>
  <si>
    <t>Different ethnic groups have been combined into one for this analysis, as sample sizes are too small to reliably report on individual groups.</t>
  </si>
  <si>
    <t>Ethnicity data according to the categories above has been available since 2001/02.</t>
  </si>
  <si>
    <t>White - British</t>
  </si>
  <si>
    <t>Minority ethnic</t>
  </si>
  <si>
    <t>Estimates in periods where we don't have informaton on one or more priority groups are unavailable.</t>
  </si>
  <si>
    <t>In none of the priority groups</t>
  </si>
  <si>
    <t>In one or more priority group(s)</t>
  </si>
  <si>
    <t>This workbook contains additional child poverty priority group analysis for the three child poverty target measures which are based on Family Resources Survey data: Relative poverty, absolute poverty, and combined low income and material deprivation. While some of this data has been previously published elsewhere, this workbook contains a longer time series, a new 'no priority group' category, and composition estimates. The new data is not available for the final target measure, persistent poverty.</t>
  </si>
  <si>
    <t>Published: 4 April 2023</t>
  </si>
  <si>
    <t>Estimates are based on Scotland data from the Family Resources Survey. This survey is managed by the Department for Work and Pensions, who also published a report, available on their website.</t>
  </si>
  <si>
    <t>Detailed information on definitions and methodology can be found in the report.</t>
  </si>
  <si>
    <t>Estimates provided here are averages of three years of data. Three-year averages show trends better than single-year estimates.</t>
  </si>
  <si>
    <t>Estimates for periods which include the year 2020/21 (the three-year periods 2018-21 and 2019-22) do not include the data collected during 2020/21. This means that tables with three-year averages contain two-year averages spanning three years for the latest two periods. Also, tables with five-year averages contain four-year averages spanning five years for the latest two periods.</t>
  </si>
  <si>
    <t>The 2020/21 estimates are unreliable as they are based on data collected during the first year of the coronavirus (COVID-19) pandemic. Lockdown rules severely disrupted the data collection. As a result, we were unable to obtain a representative sample for Scotland.</t>
  </si>
  <si>
    <t>Each worksheet contains multiple tables with relative poverty, absolute poverty and child material deprivation rates, compositions, and numbers, and sample sizes.</t>
  </si>
  <si>
    <t>Poverty rate tables show the proportion of individuals who are in poverty. Poverty rates describe the risk of being in poverty. If one group has a higher poverty rate than another, people in this group have a higher risk of being in poverty.</t>
  </si>
  <si>
    <t>Composition tables show how people in poverty break down into subgroups. For example, it shows how many of those who are in poverty rent their homes versus how many own their homes. The poverty composition describes the scale of poverty for certain groups of people.</t>
  </si>
  <si>
    <t>Numbers tables show the numbers of people (or children or adults) in poverty.</t>
  </si>
  <si>
    <t>In this spreadsheet, we use different measures of poverty. Each measures a different aspect of people's living standards.</t>
  </si>
  <si>
    <t>Relative poverty is the measure of low income that we use most often. It measures whether low-income households are keeping pace with middle income households. The relative poverty line is 60% of median UK income, and it changes every year along with median income.</t>
  </si>
  <si>
    <t>Absolute poverty is another measure of low income. It measures whether the incomes of low-income households are keeping pace with inflation. The absolute poverty line is fixed at 60% of median UK income from 2010/11. It changes only a little due to inflation. It is now lower than the relative poverty line.</t>
  </si>
  <si>
    <t>Material deprivation measures look at whether households can access basic goods and activities. The child measure combines material deprivation and low income. It looks at families who would like certain goods or activities but cannot afford them. Questions on material deprivation have been asked since 2004/05. The definition of material deprivation changed in 2010/11, creating a break in the time series.</t>
  </si>
  <si>
    <t>The most commonly used poverty indicator in Scotland is relative poverty after housing costs. After-housing-costs measures describe disposable household income after housing costs are paid for. They therefore better describe what is available to spend on food, bills and leisure every week or month.</t>
  </si>
  <si>
    <t>In this spreadsheet, all poverty measures are available after housing costs.</t>
  </si>
  <si>
    <t>In the tables, the following conventions have been used where figures are unavailable:</t>
  </si>
  <si>
    <t>[u] - unreliable due to small sample size</t>
  </si>
  <si>
    <t>[low] - below 0.5%</t>
  </si>
  <si>
    <t>[b] - break in the time series</t>
  </si>
  <si>
    <t>[x] - not available for another reason (data accuracy, data wasn't collected etc.)</t>
  </si>
  <si>
    <t>The figures in these tables are estimates only, based on data from a sample survey. Thus, they could be a little bit higher or lower if we interviewed a different sample of the population.</t>
  </si>
  <si>
    <t>The precision of poverty rate estimates for the whole Scottish population is usually the central estimate plus or minus two percentage points, or plus or minus four percentage points for the Scottish child population. (Note that the precision is lower for 2018-21 estimates.) Precision is lower for smaller groups.</t>
  </si>
  <si>
    <t>Any small changes from year to year may not reflect real changes in the population. Longer-term trends are a better sign of a real change. Small differences between groups do not always reflect real differences in the population. Differences are more likely to be real if they are consistent over time.</t>
  </si>
  <si>
    <t>Estimates are considered unreliable when they are based on a very small sample size. For averages such as median incomes, this is less than 50 cases. For proportions and population estimates, it is less than 100 cases.</t>
  </si>
  <si>
    <t>Proportions are rounded to five decimal places. Population numbers are rounded to the nearest 10,000 people. Annual GBP amounts are rounded to the nearest £100. Weekly GBP amounts are rounded to the nearest £1.</t>
  </si>
  <si>
    <t>Elizabeth Fraser</t>
  </si>
  <si>
    <t>Scottish Government</t>
  </si>
  <si>
    <t>Communities Analysis Division</t>
  </si>
  <si>
    <t>Email: social-justice-analysis@gov.scot</t>
  </si>
  <si>
    <t>Tables</t>
  </si>
  <si>
    <t>Poverty measures</t>
  </si>
  <si>
    <t>Housing costs</t>
  </si>
  <si>
    <t>Missing data</t>
  </si>
  <si>
    <t>Reliability of the estimates</t>
  </si>
  <si>
    <t>Rounding</t>
  </si>
  <si>
    <t>Contact</t>
  </si>
  <si>
    <t>COVID-19 impact</t>
  </si>
  <si>
    <t>Important notes</t>
  </si>
  <si>
    <t>Table of contents</t>
  </si>
  <si>
    <t>[b]</t>
  </si>
  <si>
    <t>[x]</t>
  </si>
  <si>
    <t>1b Relative poverty composition: Proportion of children in relative poverty (below 60% of UK median income) who are in each category, Scotland</t>
  </si>
  <si>
    <t>1c Relative poverty number: Number of children in each category who are in relative poverty (below 60% of UK median income), Scotland</t>
  </si>
  <si>
    <t>1d Absolute poverty rate: Proportion of children in each category who are in absolute poverty (below 60% of UK median income in 2010/11), Scotland</t>
  </si>
  <si>
    <t>1e Absolute poverty composition: Proportion of children in absolute poverty (below 60% of UK median income in 2010/11) who are in each category, Scotland</t>
  </si>
  <si>
    <t>1f Absolute poverty number: Number of children in each category who are in absolute poverty (below 60% of UK median income in 2010/11), Scotland</t>
  </si>
  <si>
    <t>1g Material deprivation rate: Proportion of children in each category who are in combined low income and material deprivation (below 70% of UK median income and unable to afford certain basic necessities), Scotland</t>
  </si>
  <si>
    <t>1h Material deprivation composition: Proportion of children in combined low income and material deprivation (below 70% of UK median income and unable to afford certain basic necessities) who are in each category, Scotland</t>
  </si>
  <si>
    <t>1i Material deprivation number: Number of children in each category who are in combined low income and material deprivation (below 70% of UK median income and unable to afford certain basic necessities), Scotland</t>
  </si>
  <si>
    <t>1j Sample size: Number of families with children in each category in the combined three-year survey sample, Scotland</t>
  </si>
  <si>
    <t>1a Relative poverty rate: Proportion of children in each category who are in relative poverty (below 60% of UK median income), Scotland</t>
  </si>
  <si>
    <t>1 Lone parenthood</t>
  </si>
  <si>
    <t>2b Relative poverty composition: Proportion of children in relative poverty (below 60% of UK median income) who are in each category, Scotland</t>
  </si>
  <si>
    <t>2c Relative poverty number: Number of children in each category who are in relative poverty (below 60% of UK median income), Scotland</t>
  </si>
  <si>
    <t>2d Absolute poverty rate: Proportion of children in each category who are in absolute poverty (below 60% of UK median income in 2010/11), Scotland</t>
  </si>
  <si>
    <t>2e Absolute poverty composition: Proportion of children in absolute poverty (below 60% of UK median income in 2010/11) who are in each category, Scotland</t>
  </si>
  <si>
    <t>2f Absolute poverty number: Number of children in each category who are in absolute poverty (below 60% of UK median income in 2010/11), Scotland</t>
  </si>
  <si>
    <t>2g Material deprivation rate: Proportion of children in each category who are in combined low income and material deprivation (below 70% of UK median income and unable to afford certain basic necessities), Scotland</t>
  </si>
  <si>
    <t>2h Material deprivation composition: Proportion of children in combined low income and material deprivation (below 70% of UK median income and unable to afford certain basic necessities) who are in each category, Scotland</t>
  </si>
  <si>
    <t>2i Material deprivation number: Number of children in each category who are in combined low income and material deprivation (below 70% of UK median income and unable to afford certain basic necessities), Scotland</t>
  </si>
  <si>
    <t>2j Sample size: Number of families with children in each category in the combined three-year survey sample, Scotland</t>
  </si>
  <si>
    <t>2a Relative poverty rate: Proportion of children in each category who are in relative poverty (below 60% of UK median income), Scotland</t>
  </si>
  <si>
    <t>2 Number of children in the household</t>
  </si>
  <si>
    <t>3b Relative poverty composition: Proportion of children in relative poverty (below 60% of UK median income) who are in each category, Scotland</t>
  </si>
  <si>
    <t>3c Relative poverty number: Number of children in each category who are in relative poverty (below 60% of UK median income), Scotland</t>
  </si>
  <si>
    <t>3d Absolute poverty rate: Proportion of children in each category who are in absolute poverty (below 60% of UK median income in 2010/11), Scotland</t>
  </si>
  <si>
    <t>3e Absolute poverty composition: Proportion of children in absolute poverty (below 60% of UK median income in 2010/11) who are in each category, Scotland</t>
  </si>
  <si>
    <t>3f Absolute poverty number: Number of children in each category who are in absolute poverty (below 60% of UK median income in 2010/11), Scotland</t>
  </si>
  <si>
    <t>3g Material deprivation rate: Proportion of children in each category who are in combined low income and material deprivation (below 70% of UK median income and unable to afford certain basic necessities), Scotland</t>
  </si>
  <si>
    <t>3h Material deprivation composition: Proportion of children in combined low income and material deprivation (below 70% of UK median income and unable to afford certain basic necessities) who are in each category, Scotland</t>
  </si>
  <si>
    <t>3i Material deprivation number: Number of children in each category who are in combined low income and material deprivation (below 70% of UK median income and unable to afford certain basic necessities), Scotland</t>
  </si>
  <si>
    <t>3j Sample size: Number of families with children in each category in the combined three-year survey sample, Scotland</t>
  </si>
  <si>
    <t>3a Relative poverty rate: Proportion of children in each category who are in relative poverty (below 60% of UK median income), Scotland</t>
  </si>
  <si>
    <t>3 Age of youngest child in the household</t>
  </si>
  <si>
    <t>4b Relative poverty composition: Proportion of children in relative poverty (below 60% of UK median income) who are in each category, Scotland</t>
  </si>
  <si>
    <t>4c Relative poverty number: Number of children in each category who are in relative poverty (below 60% of UK median income), Scotland</t>
  </si>
  <si>
    <t>4d Absolute poverty rate: Proportion of children in each category who are in absolute poverty (below 60% of UK median income in 2010/11), Scotland</t>
  </si>
  <si>
    <t>4e Absolute poverty composition: Proportion of children in absolute poverty (below 60% of UK median income in 2010/11) who are in each category, Scotland</t>
  </si>
  <si>
    <t>4f Absolute poverty number: Number of children in each category who are in absolute poverty (below 60% of UK median income in 2010/11), Scotland</t>
  </si>
  <si>
    <t>4g Material deprivation rate: Proportion of children in each category who are in combined low income and material deprivation (below 70% of UK median income and unable to afford certain basic necessities), Scotland</t>
  </si>
  <si>
    <t>4h Material deprivation composition: Proportion of children in combined low income and material deprivation (below 70% of UK median income and unable to afford certain basic necessities) who are in each category, Scotland</t>
  </si>
  <si>
    <t>4i Material deprivation number: Number of children in each category who are in combined low income and material deprivation (below 70% of UK median income and unable to afford certain basic necessities), Scotland</t>
  </si>
  <si>
    <t>4j Sample size: Number of families with children in each category in the combined three-year survey sample, Scotland</t>
  </si>
  <si>
    <t>4a Relative poverty rate: Proportion of children in each category who are in relative poverty (below 60% of UK median income), Scotland</t>
  </si>
  <si>
    <t>4 Age of mother</t>
  </si>
  <si>
    <t>5b Relative poverty composition: Proportion of children in relative poverty (below 60% of UK median income) who are in each category, Scotland</t>
  </si>
  <si>
    <t>5c Relative poverty number: Number of children in each category who are in relative poverty (below 60% of UK median income), Scotland</t>
  </si>
  <si>
    <t>5d Absolute poverty rate: Proportion of children in each category who are in absolute poverty (below 60% of UK median income in 2010/11), Scotland</t>
  </si>
  <si>
    <t>5e Absolute poverty composition: Proportion of children in absolute poverty (below 60% of UK median income in 2010/11) who are in each category, Scotland</t>
  </si>
  <si>
    <t>5f Absolute poverty number: Number of children in each category who are in absolute poverty (below 60% of UK median income in 2010/11), Scotland</t>
  </si>
  <si>
    <t>5g Material deprivation rate: Proportion of children in each category who are in combined low income and material deprivation (below 70% of UK median income and unable to afford certain basic necessities), Scotland</t>
  </si>
  <si>
    <t>5h Material deprivation composition: Proportion of children in combined low income and material deprivation (below 70% of UK median income and unable to afford certain basic necessities) who are in each category, Scotland</t>
  </si>
  <si>
    <t>5i Material deprivation number: Number of children in each category who are in combined low income and material deprivation (below 70% of UK median income and unable to afford certain basic necessities), Scotland</t>
  </si>
  <si>
    <t>5j Sample size: Number of families with children in each category in the combined three-year survey sample, Scotland</t>
  </si>
  <si>
    <t>5a Relative poverty rate: Proportion of children in each category who are in relative poverty (below 60% of UK median income), Scotland</t>
  </si>
  <si>
    <t>5 Disabled household members</t>
  </si>
  <si>
    <t>6b Relative poverty composition: Proportion of children in relative poverty (below 60% of UK median income) who are in each category, Scotland</t>
  </si>
  <si>
    <t>6c Relative poverty number: Number of children in each category who are in relative poverty (below 60% of UK median income), Scotland</t>
  </si>
  <si>
    <t>6d Absolute poverty rate: Proportion of children in each category who are in absolute poverty (below 60% of UK median income in 2010/11), Scotland</t>
  </si>
  <si>
    <t>6e Absolute poverty composition: Proportion of children in absolute poverty (below 60% of UK median income in 2010/11) who are in each category, Scotland</t>
  </si>
  <si>
    <t>6f Absolute poverty number: Number of children in each category who are in absolute poverty (below 60% of UK median income in 2010/11), Scotland</t>
  </si>
  <si>
    <t>6g Material deprivation rate: Proportion of children in each category who are in combined low income and material deprivation (below 70% of UK median income and unable to afford certain basic necessities), Scotland</t>
  </si>
  <si>
    <t>6h Material deprivation composition: Proportion of children in combined low income and material deprivation (below 70% of UK median income and unable to afford certain basic necessities) who are in each category, Scotland</t>
  </si>
  <si>
    <t>6i Material deprivation number: Number of children in each category who are in combined low income and material deprivation (below 70% of UK median income and unable to afford certain basic necessities), Scotland</t>
  </si>
  <si>
    <t>6j Sample size: Number of families with children in each category in the combined three-year survey sample, Scotland</t>
  </si>
  <si>
    <t>6a Relative poverty rate: Proportion of children in each category who are in relative poverty (below 60% of UK median income), Scotland</t>
  </si>
  <si>
    <t>6 Ethnicity (3-year average)</t>
  </si>
  <si>
    <t>7b Relative poverty composition: Proportion of children in relative poverty (below 60% of UK median income) who are in each category, Scotland</t>
  </si>
  <si>
    <t>7c Relative poverty number: Number of children in each category who are in relative poverty (below 60% of UK median income), Scotland</t>
  </si>
  <si>
    <t>7d Absolute poverty rate: Proportion of children in each category who are in absolute poverty (below 60% of UK median income in 2010/11), Scotland</t>
  </si>
  <si>
    <t>7e Absolute poverty composition: Proportion of children in absolute poverty (below 60% of UK median income in 2010/11) who are in each category, Scotland</t>
  </si>
  <si>
    <t>7f Absolute poverty number: Number of children in each category who are in absolute poverty (below 60% of UK median income in 2010/11), Scotland</t>
  </si>
  <si>
    <t>7g Material deprivation rate: Proportion of children in each category who are in combined low income and material deprivation (below 70% of UK median income and unable to afford certain basic necessities), Scotland</t>
  </si>
  <si>
    <t>7h Material deprivation composition: Proportion of children in combined low income and material deprivation (below 70% of UK median income and unable to afford certain basic necessities) who are in each category, Scotland</t>
  </si>
  <si>
    <t>7i Material deprivation number: Number of children in each category who are in combined low income and material deprivation (below 70% of UK median income and unable to afford certain basic necessities), Scotland</t>
  </si>
  <si>
    <t>7j Sample size: Number of families with children in each category in the combined three-year survey sample, Scotland</t>
  </si>
  <si>
    <t>7a Relative poverty rate: Proportion of children in each category who are in relative poverty (below 60% of UK median income), Scotland</t>
  </si>
  <si>
    <t>7 In any or none of the priority groups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</si>
</sst>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rgb="FF000000"/>
      <name val="Calibri"/>
      <family val="2"/>
      <scheme val="minor"/>
    </font>
    <font>
      <u/>
      <sz val="11"/>
      <color theme="10"/>
      <name val="Calibri"/>
      <family val="2"/>
      <scheme val="minor"/>
    </font>
    <font>
      <b/>
      <sz val="15"/>
      <color theme="3"/>
      <name val="Calibri"/>
      <family val="2"/>
      <scheme val="minor"/>
    </font>
    <font>
      <b/>
      <sz val="13"/>
      <color theme="3"/>
      <name val="Calibri"/>
      <family val="2"/>
      <scheme val="minor"/>
    </font>
    <font>
      <i/>
      <sz val="11"/>
      <color rgb="FF7F7F7F"/>
      <name val="Calibri"/>
      <family val="2"/>
      <scheme val="minor"/>
    </font>
    <font>
      <b/>
      <sz val="15"/>
      <name val="Calibri"/>
      <family val="2"/>
      <scheme val="minor"/>
    </font>
    <font>
      <sz val="12"/>
      <name val="Calibri"/>
    </font>
    <font>
      <b/>
      <sz val="13"/>
      <name val="Calibri"/>
      <family val="2"/>
      <scheme val="minor"/>
    </font>
    <font>
      <sz val="12"/>
      <name val="Segoe UI"/>
    </font>
    <font>
      <sz val="12"/>
      <name val="Segoe UI Semibold"/>
    </font>
    <font>
      <sz val="11"/>
      <name val="Calibri"/>
      <family val="2"/>
      <scheme val="minor"/>
    </font>
    <font>
      <sz val="11"/>
      <name val="Calibri"/>
    </font>
    <font>
      <i/>
      <sz val="11"/>
      <name val="Calibri"/>
      <family val="2"/>
      <scheme val="minor"/>
    </font>
  </fonts>
  <fills count="2">
    <fill>
      <patternFill patternType="none"/>
    </fill>
    <fill>
      <patternFill patternType="gray125"/>
    </fill>
  </fills>
  <borders count="1">
    <border>
      <left/>
      <right/>
      <top/>
      <bottom/>
      <diagonal/>
    </border>
  </borders>
  <cellStyleXfs count="5">
    <xf numFmtId="0" fontId="0" fillId="0" borderId="0"/>
    <xf numFmtId="0" fontId="1" fillId="0" borderId="0" applyNumberFormat="0" applyFill="0" applyBorder="0" applyAlignment="0" applyProtection="0"/>
    <xf numFmtId="0" fontId="2" fillId="0" borderId="0" applyNumberFormat="0" applyFill="0" applyAlignment="0" applyProtection="0"/>
    <xf numFmtId="0" fontId="3" fillId="0" borderId="0" applyNumberFormat="0" applyFill="0" applyAlignment="0" applyProtection="0"/>
    <xf numFmtId="0" fontId="4" fillId="0" borderId="0" applyNumberFormat="0" applyFill="0" applyBorder="0" applyAlignment="0" applyProtection="0"/>
  </cellStyleXfs>
  <cellXfs count="19">
    <xf numFmtId="0" fontId="0" fillId="0" borderId="0" xfId="0"/>
    <xf numFmtId="0" fontId="5" fillId="0" borderId="0" xfId="2" applyFont="1"/>
    <xf numFmtId="0" fontId="6" fillId="0" borderId="0" xfId="0" applyFont="1" applyAlignment="1">
      <alignment horizontal="left" wrapText="1"/>
    </xf>
    <xf numFmtId="0" fontId="7" fillId="0" borderId="0" xfId="3" applyFont="1"/>
    <xf numFmtId="0" fontId="5" fillId="0" borderId="0" xfId="2" applyFont="1" applyAlignment="1">
      <alignment horizontal="left"/>
    </xf>
    <xf numFmtId="0" fontId="8" fillId="0" borderId="0" xfId="0" applyFont="1" applyAlignment="1">
      <alignment horizontal="left" wrapText="1"/>
    </xf>
    <xf numFmtId="0" fontId="9" fillId="0" borderId="0" xfId="0" applyFont="1" applyAlignment="1">
      <alignment horizontal="left"/>
    </xf>
    <xf numFmtId="0" fontId="1" fillId="0" borderId="0" xfId="1" applyAlignment="1">
      <alignment horizontal="left"/>
    </xf>
    <xf numFmtId="0" fontId="10" fillId="0" borderId="0" xfId="0" applyFont="1"/>
    <xf numFmtId="0" fontId="11" fillId="0" borderId="0" xfId="0" applyFont="1" applyAlignment="1">
      <alignment horizontal="left" wrapText="1"/>
    </xf>
    <xf numFmtId="0" fontId="11" fillId="0" borderId="0" xfId="0" applyFont="1" applyAlignment="1">
      <alignment horizontal="right"/>
    </xf>
    <xf numFmtId="0" fontId="12" fillId="0" borderId="0" xfId="4" applyFont="1" applyAlignment="1">
      <alignment horizontal="left" wrapText="1"/>
    </xf>
    <xf numFmtId="0" fontId="7" fillId="0" borderId="0" xfId="3" applyFont="1" applyAlignment="1">
      <alignment horizontal="left"/>
    </xf>
    <xf numFmtId="0" fontId="11" fillId="0" borderId="0" xfId="0" applyFont="1" applyAlignment="1">
      <alignment horizontal="left"/>
    </xf>
    <xf numFmtId="0" fontId="11" fillId="0" borderId="0" xfId="0" applyFont="1" applyAlignment="1">
      <alignment horizontal="right" wrapText="1"/>
    </xf>
    <xf numFmtId="9" fontId="11" fillId="0" borderId="0" xfId="0" applyNumberFormat="1" applyFont="1" applyAlignment="1">
      <alignment horizontal="right"/>
    </xf>
    <xf numFmtId="9" fontId="11" fillId="0" borderId="0" xfId="0" applyNumberFormat="1" applyFont="1" applyAlignment="1">
      <alignment horizontal="right" wrapText="1"/>
    </xf>
    <xf numFmtId="3" fontId="11" fillId="0" borderId="0" xfId="0" applyNumberFormat="1" applyFont="1" applyAlignment="1">
      <alignment horizontal="right"/>
    </xf>
    <xf numFmtId="3" fontId="11" fillId="0" borderId="0" xfId="0" applyNumberFormat="1" applyFont="1" applyAlignment="1">
      <alignment horizontal="right" wrapText="1"/>
    </xf>
  </cellXfs>
  <cellStyles count="5">
    <cellStyle name="Explanatory Text" xfId="4" builtinId="53"/>
    <cellStyle name="Heading 1" xfId="2" builtinId="16" customBuiltin="1"/>
    <cellStyle name="Heading 2" xfId="3" builtinId="17" customBuiltin="1"/>
    <cellStyle name="Hyperlink" xfId="1" builtinId="8"/>
    <cellStyle name="Normal" xfId="0" builtinId="0"/>
  </cellStyles>
  <dxfs count="2030">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1a" displayName="table1a" ref="A8:AA11" totalsRowShown="0" headerRowDxfId="2029" dataDxfId="2028">
  <tableColumns count="27">
    <tableColumn id="1" xr3:uid="{00000000-0010-0000-0000-000001000000}" name="Group" dataDxfId="2027"/>
    <tableColumn id="2" xr3:uid="{00000000-0010-0000-0000-000002000000}" name="1994-97" dataDxfId="2026"/>
    <tableColumn id="3" xr3:uid="{00000000-0010-0000-0000-000003000000}" name="1995-98" dataDxfId="2025"/>
    <tableColumn id="4" xr3:uid="{00000000-0010-0000-0000-000004000000}" name="1996-99" dataDxfId="2024"/>
    <tableColumn id="5" xr3:uid="{00000000-0010-0000-0000-000005000000}" name="1997-00" dataDxfId="2023"/>
    <tableColumn id="6" xr3:uid="{00000000-0010-0000-0000-000006000000}" name="1998-01" dataDxfId="2022"/>
    <tableColumn id="7" xr3:uid="{00000000-0010-0000-0000-000007000000}" name="1999-02" dataDxfId="2021"/>
    <tableColumn id="8" xr3:uid="{00000000-0010-0000-0000-000008000000}" name="2000-03" dataDxfId="2020"/>
    <tableColumn id="9" xr3:uid="{00000000-0010-0000-0000-000009000000}" name="2001-04" dataDxfId="2019"/>
    <tableColumn id="10" xr3:uid="{00000000-0010-0000-0000-00000A000000}" name="2002-05" dataDxfId="2018"/>
    <tableColumn id="11" xr3:uid="{00000000-0010-0000-0000-00000B000000}" name="2003-06" dataDxfId="2017"/>
    <tableColumn id="12" xr3:uid="{00000000-0010-0000-0000-00000C000000}" name="2004-07" dataDxfId="2016"/>
    <tableColumn id="13" xr3:uid="{00000000-0010-0000-0000-00000D000000}" name="2005-08" dataDxfId="2015"/>
    <tableColumn id="14" xr3:uid="{00000000-0010-0000-0000-00000E000000}" name="2006-09" dataDxfId="2014"/>
    <tableColumn id="15" xr3:uid="{00000000-0010-0000-0000-00000F000000}" name="2007-10" dataDxfId="2013"/>
    <tableColumn id="16" xr3:uid="{00000000-0010-0000-0000-000010000000}" name="2008-11" dataDxfId="2012"/>
    <tableColumn id="17" xr3:uid="{00000000-0010-0000-0000-000011000000}" name="2009-12" dataDxfId="2011"/>
    <tableColumn id="18" xr3:uid="{00000000-0010-0000-0000-000012000000}" name="2010-13" dataDxfId="2010"/>
    <tableColumn id="19" xr3:uid="{00000000-0010-0000-0000-000013000000}" name="2011-14" dataDxfId="2009"/>
    <tableColumn id="20" xr3:uid="{00000000-0010-0000-0000-000014000000}" name="2012-15" dataDxfId="2008"/>
    <tableColumn id="21" xr3:uid="{00000000-0010-0000-0000-000015000000}" name="2013-16" dataDxfId="2007"/>
    <tableColumn id="22" xr3:uid="{00000000-0010-0000-0000-000016000000}" name="2014-17" dataDxfId="2006"/>
    <tableColumn id="23" xr3:uid="{00000000-0010-0000-0000-000017000000}" name="2015-18" dataDxfId="2005"/>
    <tableColumn id="24" xr3:uid="{00000000-0010-0000-0000-000018000000}" name="2016-19" dataDxfId="2004"/>
    <tableColumn id="25" xr3:uid="{00000000-0010-0000-0000-000019000000}" name="2017-20" dataDxfId="2003"/>
    <tableColumn id="26" xr3:uid="{00000000-0010-0000-0000-00001A000000}" name="2018-21" dataDxfId="2002"/>
    <tableColumn id="27" xr3:uid="{00000000-0010-0000-0000-00001B000000}" name="2019-22" dataDxfId="2001"/>
  </tableColumns>
  <tableStyleInfo name="TableStyleLight1" showFirstColumn="1"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table1b" displayName="table1b" ref="A13:AA16" totalsRowShown="0" headerRowDxfId="2000" dataDxfId="1999">
  <tableColumns count="27">
    <tableColumn id="1" xr3:uid="{00000000-0010-0000-0100-000001000000}" name="Group" dataDxfId="1998"/>
    <tableColumn id="2" xr3:uid="{00000000-0010-0000-0100-000002000000}" name="1994-97" dataDxfId="1997"/>
    <tableColumn id="3" xr3:uid="{00000000-0010-0000-0100-000003000000}" name="1995-98" dataDxfId="1996"/>
    <tableColumn id="4" xr3:uid="{00000000-0010-0000-0100-000004000000}" name="1996-99" dataDxfId="1995"/>
    <tableColumn id="5" xr3:uid="{00000000-0010-0000-0100-000005000000}" name="1997-00" dataDxfId="1994"/>
    <tableColumn id="6" xr3:uid="{00000000-0010-0000-0100-000006000000}" name="1998-01" dataDxfId="1993"/>
    <tableColumn id="7" xr3:uid="{00000000-0010-0000-0100-000007000000}" name="1999-02" dataDxfId="1992"/>
    <tableColumn id="8" xr3:uid="{00000000-0010-0000-0100-000008000000}" name="2000-03" dataDxfId="1991"/>
    <tableColumn id="9" xr3:uid="{00000000-0010-0000-0100-000009000000}" name="2001-04" dataDxfId="1990"/>
    <tableColumn id="10" xr3:uid="{00000000-0010-0000-0100-00000A000000}" name="2002-05" dataDxfId="1989"/>
    <tableColumn id="11" xr3:uid="{00000000-0010-0000-0100-00000B000000}" name="2003-06" dataDxfId="1988"/>
    <tableColumn id="12" xr3:uid="{00000000-0010-0000-0100-00000C000000}" name="2004-07" dataDxfId="1987"/>
    <tableColumn id="13" xr3:uid="{00000000-0010-0000-0100-00000D000000}" name="2005-08" dataDxfId="1986"/>
    <tableColumn id="14" xr3:uid="{00000000-0010-0000-0100-00000E000000}" name="2006-09" dataDxfId="1985"/>
    <tableColumn id="15" xr3:uid="{00000000-0010-0000-0100-00000F000000}" name="2007-10" dataDxfId="1984"/>
    <tableColumn id="16" xr3:uid="{00000000-0010-0000-0100-000010000000}" name="2008-11" dataDxfId="1983"/>
    <tableColumn id="17" xr3:uid="{00000000-0010-0000-0100-000011000000}" name="2009-12" dataDxfId="1982"/>
    <tableColumn id="18" xr3:uid="{00000000-0010-0000-0100-000012000000}" name="2010-13" dataDxfId="1981"/>
    <tableColumn id="19" xr3:uid="{00000000-0010-0000-0100-000013000000}" name="2011-14" dataDxfId="1980"/>
    <tableColumn id="20" xr3:uid="{00000000-0010-0000-0100-000014000000}" name="2012-15" dataDxfId="1979"/>
    <tableColumn id="21" xr3:uid="{00000000-0010-0000-0100-000015000000}" name="2013-16" dataDxfId="1978"/>
    <tableColumn id="22" xr3:uid="{00000000-0010-0000-0100-000016000000}" name="2014-17" dataDxfId="1977"/>
    <tableColumn id="23" xr3:uid="{00000000-0010-0000-0100-000017000000}" name="2015-18" dataDxfId="1976"/>
    <tableColumn id="24" xr3:uid="{00000000-0010-0000-0100-000018000000}" name="2016-19" dataDxfId="1975"/>
    <tableColumn id="25" xr3:uid="{00000000-0010-0000-0100-000019000000}" name="2017-20" dataDxfId="1974"/>
    <tableColumn id="26" xr3:uid="{00000000-0010-0000-0100-00001A000000}" name="2018-21" dataDxfId="1973"/>
    <tableColumn id="27" xr3:uid="{00000000-0010-0000-0100-00001B000000}" name="2019-22" dataDxfId="1972"/>
  </tableColumns>
  <tableStyleInfo name="TableStyleLight1" showFirstColumn="1"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1c" displayName="table1c" ref="A18:AA21" totalsRowShown="0" headerRowDxfId="1971" dataDxfId="1970">
  <tableColumns count="27">
    <tableColumn id="1" xr3:uid="{00000000-0010-0000-0200-000001000000}" name="Group" dataDxfId="1969"/>
    <tableColumn id="2" xr3:uid="{00000000-0010-0000-0200-000002000000}" name="1994-97" dataDxfId="1968"/>
    <tableColumn id="3" xr3:uid="{00000000-0010-0000-0200-000003000000}" name="1995-98" dataDxfId="1967"/>
    <tableColumn id="4" xr3:uid="{00000000-0010-0000-0200-000004000000}" name="1996-99" dataDxfId="1966"/>
    <tableColumn id="5" xr3:uid="{00000000-0010-0000-0200-000005000000}" name="1997-00" dataDxfId="1965"/>
    <tableColumn id="6" xr3:uid="{00000000-0010-0000-0200-000006000000}" name="1998-01" dataDxfId="1964"/>
    <tableColumn id="7" xr3:uid="{00000000-0010-0000-0200-000007000000}" name="1999-02" dataDxfId="1963"/>
    <tableColumn id="8" xr3:uid="{00000000-0010-0000-0200-000008000000}" name="2000-03" dataDxfId="1962"/>
    <tableColumn id="9" xr3:uid="{00000000-0010-0000-0200-000009000000}" name="2001-04" dataDxfId="1961"/>
    <tableColumn id="10" xr3:uid="{00000000-0010-0000-0200-00000A000000}" name="2002-05" dataDxfId="1960"/>
    <tableColumn id="11" xr3:uid="{00000000-0010-0000-0200-00000B000000}" name="2003-06" dataDxfId="1959"/>
    <tableColumn id="12" xr3:uid="{00000000-0010-0000-0200-00000C000000}" name="2004-07" dataDxfId="1958"/>
    <tableColumn id="13" xr3:uid="{00000000-0010-0000-0200-00000D000000}" name="2005-08" dataDxfId="1957"/>
    <tableColumn id="14" xr3:uid="{00000000-0010-0000-0200-00000E000000}" name="2006-09" dataDxfId="1956"/>
    <tableColumn id="15" xr3:uid="{00000000-0010-0000-0200-00000F000000}" name="2007-10" dataDxfId="1955"/>
    <tableColumn id="16" xr3:uid="{00000000-0010-0000-0200-000010000000}" name="2008-11" dataDxfId="1954"/>
    <tableColumn id="17" xr3:uid="{00000000-0010-0000-0200-000011000000}" name="2009-12" dataDxfId="1953"/>
    <tableColumn id="18" xr3:uid="{00000000-0010-0000-0200-000012000000}" name="2010-13" dataDxfId="1952"/>
    <tableColumn id="19" xr3:uid="{00000000-0010-0000-0200-000013000000}" name="2011-14" dataDxfId="1951"/>
    <tableColumn id="20" xr3:uid="{00000000-0010-0000-0200-000014000000}" name="2012-15" dataDxfId="1950"/>
    <tableColumn id="21" xr3:uid="{00000000-0010-0000-0200-000015000000}" name="2013-16" dataDxfId="1949"/>
    <tableColumn id="22" xr3:uid="{00000000-0010-0000-0200-000016000000}" name="2014-17" dataDxfId="1948"/>
    <tableColumn id="23" xr3:uid="{00000000-0010-0000-0200-000017000000}" name="2015-18" dataDxfId="1947"/>
    <tableColumn id="24" xr3:uid="{00000000-0010-0000-0200-000018000000}" name="2016-19" dataDxfId="1946"/>
    <tableColumn id="25" xr3:uid="{00000000-0010-0000-0200-000019000000}" name="2017-20" dataDxfId="1945"/>
    <tableColumn id="26" xr3:uid="{00000000-0010-0000-0200-00001A000000}" name="2018-21" dataDxfId="1944"/>
    <tableColumn id="27" xr3:uid="{00000000-0010-0000-0200-00001B000000}" name="2019-22" dataDxfId="1943"/>
  </tableColumns>
  <tableStyleInfo name="TableStyleLight1" showFirstColumn="1"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1d" displayName="table1d" ref="A23:AA26" totalsRowShown="0" headerRowDxfId="1942" dataDxfId="1941">
  <tableColumns count="27">
    <tableColumn id="1" xr3:uid="{00000000-0010-0000-0300-000001000000}" name="Group" dataDxfId="1940"/>
    <tableColumn id="2" xr3:uid="{00000000-0010-0000-0300-000002000000}" name="1994-97" dataDxfId="1939"/>
    <tableColumn id="3" xr3:uid="{00000000-0010-0000-0300-000003000000}" name="1995-98" dataDxfId="1938"/>
    <tableColumn id="4" xr3:uid="{00000000-0010-0000-0300-000004000000}" name="1996-99" dataDxfId="1937"/>
    <tableColumn id="5" xr3:uid="{00000000-0010-0000-0300-000005000000}" name="1997-00" dataDxfId="1936"/>
    <tableColumn id="6" xr3:uid="{00000000-0010-0000-0300-000006000000}" name="1998-01" dataDxfId="1935"/>
    <tableColumn id="7" xr3:uid="{00000000-0010-0000-0300-000007000000}" name="1999-02" dataDxfId="1934"/>
    <tableColumn id="8" xr3:uid="{00000000-0010-0000-0300-000008000000}" name="2000-03" dataDxfId="1933"/>
    <tableColumn id="9" xr3:uid="{00000000-0010-0000-0300-000009000000}" name="2001-04" dataDxfId="1932"/>
    <tableColumn id="10" xr3:uid="{00000000-0010-0000-0300-00000A000000}" name="2002-05" dataDxfId="1931"/>
    <tableColumn id="11" xr3:uid="{00000000-0010-0000-0300-00000B000000}" name="2003-06" dataDxfId="1930"/>
    <tableColumn id="12" xr3:uid="{00000000-0010-0000-0300-00000C000000}" name="2004-07" dataDxfId="1929"/>
    <tableColumn id="13" xr3:uid="{00000000-0010-0000-0300-00000D000000}" name="2005-08" dataDxfId="1928"/>
    <tableColumn id="14" xr3:uid="{00000000-0010-0000-0300-00000E000000}" name="2006-09" dataDxfId="1927"/>
    <tableColumn id="15" xr3:uid="{00000000-0010-0000-0300-00000F000000}" name="2007-10" dataDxfId="1926"/>
    <tableColumn id="16" xr3:uid="{00000000-0010-0000-0300-000010000000}" name="2008-11" dataDxfId="1925"/>
    <tableColumn id="17" xr3:uid="{00000000-0010-0000-0300-000011000000}" name="2009-12" dataDxfId="1924"/>
    <tableColumn id="18" xr3:uid="{00000000-0010-0000-0300-000012000000}" name="2010-13" dataDxfId="1923"/>
    <tableColumn id="19" xr3:uid="{00000000-0010-0000-0300-000013000000}" name="2011-14" dataDxfId="1922"/>
    <tableColumn id="20" xr3:uid="{00000000-0010-0000-0300-000014000000}" name="2012-15" dataDxfId="1921"/>
    <tableColumn id="21" xr3:uid="{00000000-0010-0000-0300-000015000000}" name="2013-16" dataDxfId="1920"/>
    <tableColumn id="22" xr3:uid="{00000000-0010-0000-0300-000016000000}" name="2014-17" dataDxfId="1919"/>
    <tableColumn id="23" xr3:uid="{00000000-0010-0000-0300-000017000000}" name="2015-18" dataDxfId="1918"/>
    <tableColumn id="24" xr3:uid="{00000000-0010-0000-0300-000018000000}" name="2016-19" dataDxfId="1917"/>
    <tableColumn id="25" xr3:uid="{00000000-0010-0000-0300-000019000000}" name="2017-20" dataDxfId="1916"/>
    <tableColumn id="26" xr3:uid="{00000000-0010-0000-0300-00001A000000}" name="2018-21" dataDxfId="1915"/>
    <tableColumn id="27" xr3:uid="{00000000-0010-0000-0300-00001B000000}" name="2019-22" dataDxfId="1914"/>
  </tableColumns>
  <tableStyleInfo name="TableStyleLight1" showFirstColumn="1"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4000000}" name="table1e" displayName="table1e" ref="A28:AA31" totalsRowShown="0" headerRowDxfId="1913" dataDxfId="1912">
  <tableColumns count="27">
    <tableColumn id="1" xr3:uid="{00000000-0010-0000-0400-000001000000}" name="Group" dataDxfId="1911"/>
    <tableColumn id="2" xr3:uid="{00000000-0010-0000-0400-000002000000}" name="1994-97" dataDxfId="1910"/>
    <tableColumn id="3" xr3:uid="{00000000-0010-0000-0400-000003000000}" name="1995-98" dataDxfId="1909"/>
    <tableColumn id="4" xr3:uid="{00000000-0010-0000-0400-000004000000}" name="1996-99" dataDxfId="1908"/>
    <tableColumn id="5" xr3:uid="{00000000-0010-0000-0400-000005000000}" name="1997-00" dataDxfId="1907"/>
    <tableColumn id="6" xr3:uid="{00000000-0010-0000-0400-000006000000}" name="1998-01" dataDxfId="1906"/>
    <tableColumn id="7" xr3:uid="{00000000-0010-0000-0400-000007000000}" name="1999-02" dataDxfId="1905"/>
    <tableColumn id="8" xr3:uid="{00000000-0010-0000-0400-000008000000}" name="2000-03" dataDxfId="1904"/>
    <tableColumn id="9" xr3:uid="{00000000-0010-0000-0400-000009000000}" name="2001-04" dataDxfId="1903"/>
    <tableColumn id="10" xr3:uid="{00000000-0010-0000-0400-00000A000000}" name="2002-05" dataDxfId="1902"/>
    <tableColumn id="11" xr3:uid="{00000000-0010-0000-0400-00000B000000}" name="2003-06" dataDxfId="1901"/>
    <tableColumn id="12" xr3:uid="{00000000-0010-0000-0400-00000C000000}" name="2004-07" dataDxfId="1900"/>
    <tableColumn id="13" xr3:uid="{00000000-0010-0000-0400-00000D000000}" name="2005-08" dataDxfId="1899"/>
    <tableColumn id="14" xr3:uid="{00000000-0010-0000-0400-00000E000000}" name="2006-09" dataDxfId="1898"/>
    <tableColumn id="15" xr3:uid="{00000000-0010-0000-0400-00000F000000}" name="2007-10" dataDxfId="1897"/>
    <tableColumn id="16" xr3:uid="{00000000-0010-0000-0400-000010000000}" name="2008-11" dataDxfId="1896"/>
    <tableColumn id="17" xr3:uid="{00000000-0010-0000-0400-000011000000}" name="2009-12" dataDxfId="1895"/>
    <tableColumn id="18" xr3:uid="{00000000-0010-0000-0400-000012000000}" name="2010-13" dataDxfId="1894"/>
    <tableColumn id="19" xr3:uid="{00000000-0010-0000-0400-000013000000}" name="2011-14" dataDxfId="1893"/>
    <tableColumn id="20" xr3:uid="{00000000-0010-0000-0400-000014000000}" name="2012-15" dataDxfId="1892"/>
    <tableColumn id="21" xr3:uid="{00000000-0010-0000-0400-000015000000}" name="2013-16" dataDxfId="1891"/>
    <tableColumn id="22" xr3:uid="{00000000-0010-0000-0400-000016000000}" name="2014-17" dataDxfId="1890"/>
    <tableColumn id="23" xr3:uid="{00000000-0010-0000-0400-000017000000}" name="2015-18" dataDxfId="1889"/>
    <tableColumn id="24" xr3:uid="{00000000-0010-0000-0400-000018000000}" name="2016-19" dataDxfId="1888"/>
    <tableColumn id="25" xr3:uid="{00000000-0010-0000-0400-000019000000}" name="2017-20" dataDxfId="1887"/>
    <tableColumn id="26" xr3:uid="{00000000-0010-0000-0400-00001A000000}" name="2018-21" dataDxfId="1886"/>
    <tableColumn id="27" xr3:uid="{00000000-0010-0000-0400-00001B000000}" name="2019-22" dataDxfId="1885"/>
  </tableColumns>
  <tableStyleInfo name="TableStyleLight1" showFirstColumn="1"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5000000}" name="table1f" displayName="table1f" ref="A33:AA36" totalsRowShown="0" headerRowDxfId="1884" dataDxfId="1883">
  <tableColumns count="27">
    <tableColumn id="1" xr3:uid="{00000000-0010-0000-0500-000001000000}" name="Group" dataDxfId="1882"/>
    <tableColumn id="2" xr3:uid="{00000000-0010-0000-0500-000002000000}" name="1994-97" dataDxfId="1881"/>
    <tableColumn id="3" xr3:uid="{00000000-0010-0000-0500-000003000000}" name="1995-98" dataDxfId="1880"/>
    <tableColumn id="4" xr3:uid="{00000000-0010-0000-0500-000004000000}" name="1996-99" dataDxfId="1879"/>
    <tableColumn id="5" xr3:uid="{00000000-0010-0000-0500-000005000000}" name="1997-00" dataDxfId="1878"/>
    <tableColumn id="6" xr3:uid="{00000000-0010-0000-0500-000006000000}" name="1998-01" dataDxfId="1877"/>
    <tableColumn id="7" xr3:uid="{00000000-0010-0000-0500-000007000000}" name="1999-02" dataDxfId="1876"/>
    <tableColumn id="8" xr3:uid="{00000000-0010-0000-0500-000008000000}" name="2000-03" dataDxfId="1875"/>
    <tableColumn id="9" xr3:uid="{00000000-0010-0000-0500-000009000000}" name="2001-04" dataDxfId="1874"/>
    <tableColumn id="10" xr3:uid="{00000000-0010-0000-0500-00000A000000}" name="2002-05" dataDxfId="1873"/>
    <tableColumn id="11" xr3:uid="{00000000-0010-0000-0500-00000B000000}" name="2003-06" dataDxfId="1872"/>
    <tableColumn id="12" xr3:uid="{00000000-0010-0000-0500-00000C000000}" name="2004-07" dataDxfId="1871"/>
    <tableColumn id="13" xr3:uid="{00000000-0010-0000-0500-00000D000000}" name="2005-08" dataDxfId="1870"/>
    <tableColumn id="14" xr3:uid="{00000000-0010-0000-0500-00000E000000}" name="2006-09" dataDxfId="1869"/>
    <tableColumn id="15" xr3:uid="{00000000-0010-0000-0500-00000F000000}" name="2007-10" dataDxfId="1868"/>
    <tableColumn id="16" xr3:uid="{00000000-0010-0000-0500-000010000000}" name="2008-11" dataDxfId="1867"/>
    <tableColumn id="17" xr3:uid="{00000000-0010-0000-0500-000011000000}" name="2009-12" dataDxfId="1866"/>
    <tableColumn id="18" xr3:uid="{00000000-0010-0000-0500-000012000000}" name="2010-13" dataDxfId="1865"/>
    <tableColumn id="19" xr3:uid="{00000000-0010-0000-0500-000013000000}" name="2011-14" dataDxfId="1864"/>
    <tableColumn id="20" xr3:uid="{00000000-0010-0000-0500-000014000000}" name="2012-15" dataDxfId="1863"/>
    <tableColumn id="21" xr3:uid="{00000000-0010-0000-0500-000015000000}" name="2013-16" dataDxfId="1862"/>
    <tableColumn id="22" xr3:uid="{00000000-0010-0000-0500-000016000000}" name="2014-17" dataDxfId="1861"/>
    <tableColumn id="23" xr3:uid="{00000000-0010-0000-0500-000017000000}" name="2015-18" dataDxfId="1860"/>
    <tableColumn id="24" xr3:uid="{00000000-0010-0000-0500-000018000000}" name="2016-19" dataDxfId="1859"/>
    <tableColumn id="25" xr3:uid="{00000000-0010-0000-0500-000019000000}" name="2017-20" dataDxfId="1858"/>
    <tableColumn id="26" xr3:uid="{00000000-0010-0000-0500-00001A000000}" name="2018-21" dataDxfId="1857"/>
    <tableColumn id="27" xr3:uid="{00000000-0010-0000-0500-00001B000000}" name="2019-22" dataDxfId="1856"/>
  </tableColumns>
  <tableStyleInfo name="TableStyleLight1" showFirstColumn="1"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6000000}" name="table1g" displayName="table1g" ref="A38:AA41" totalsRowShown="0" headerRowDxfId="1855" dataDxfId="1854">
  <tableColumns count="27">
    <tableColumn id="1" xr3:uid="{00000000-0010-0000-0600-000001000000}" name="Group" dataDxfId="1853"/>
    <tableColumn id="2" xr3:uid="{00000000-0010-0000-0600-000002000000}" name="1994-97" dataDxfId="1852"/>
    <tableColumn id="3" xr3:uid="{00000000-0010-0000-0600-000003000000}" name="1995-98" dataDxfId="1851"/>
    <tableColumn id="4" xr3:uid="{00000000-0010-0000-0600-000004000000}" name="1996-99" dataDxfId="1850"/>
    <tableColumn id="5" xr3:uid="{00000000-0010-0000-0600-000005000000}" name="1997-00" dataDxfId="1849"/>
    <tableColumn id="6" xr3:uid="{00000000-0010-0000-0600-000006000000}" name="1998-01" dataDxfId="1848"/>
    <tableColumn id="7" xr3:uid="{00000000-0010-0000-0600-000007000000}" name="1999-02" dataDxfId="1847"/>
    <tableColumn id="8" xr3:uid="{00000000-0010-0000-0600-000008000000}" name="2000-03" dataDxfId="1846"/>
    <tableColumn id="9" xr3:uid="{00000000-0010-0000-0600-000009000000}" name="2001-04" dataDxfId="1845"/>
    <tableColumn id="10" xr3:uid="{00000000-0010-0000-0600-00000A000000}" name="2002-05" dataDxfId="1844"/>
    <tableColumn id="11" xr3:uid="{00000000-0010-0000-0600-00000B000000}" name="2003-06" dataDxfId="1843"/>
    <tableColumn id="12" xr3:uid="{00000000-0010-0000-0600-00000C000000}" name="2004-07" dataDxfId="1842"/>
    <tableColumn id="13" xr3:uid="{00000000-0010-0000-0600-00000D000000}" name="2005-08" dataDxfId="1841"/>
    <tableColumn id="14" xr3:uid="{00000000-0010-0000-0600-00000E000000}" name="2006-09" dataDxfId="1840"/>
    <tableColumn id="15" xr3:uid="{00000000-0010-0000-0600-00000F000000}" name="2007-10" dataDxfId="1839"/>
    <tableColumn id="16" xr3:uid="{00000000-0010-0000-0600-000010000000}" name="2008-11" dataDxfId="1838"/>
    <tableColumn id="17" xr3:uid="{00000000-0010-0000-0600-000011000000}" name="2009-12" dataDxfId="1837"/>
    <tableColumn id="18" xr3:uid="{00000000-0010-0000-0600-000012000000}" name="2010-13" dataDxfId="1836"/>
    <tableColumn id="19" xr3:uid="{00000000-0010-0000-0600-000013000000}" name="2011-14" dataDxfId="1835"/>
    <tableColumn id="20" xr3:uid="{00000000-0010-0000-0600-000014000000}" name="2012-15" dataDxfId="1834"/>
    <tableColumn id="21" xr3:uid="{00000000-0010-0000-0600-000015000000}" name="2013-16" dataDxfId="1833"/>
    <tableColumn id="22" xr3:uid="{00000000-0010-0000-0600-000016000000}" name="2014-17" dataDxfId="1832"/>
    <tableColumn id="23" xr3:uid="{00000000-0010-0000-0600-000017000000}" name="2015-18" dataDxfId="1831"/>
    <tableColumn id="24" xr3:uid="{00000000-0010-0000-0600-000018000000}" name="2016-19" dataDxfId="1830"/>
    <tableColumn id="25" xr3:uid="{00000000-0010-0000-0600-000019000000}" name="2017-20" dataDxfId="1829"/>
    <tableColumn id="26" xr3:uid="{00000000-0010-0000-0600-00001A000000}" name="2018-21" dataDxfId="1828"/>
    <tableColumn id="27" xr3:uid="{00000000-0010-0000-0600-00001B000000}" name="2019-22" dataDxfId="1827"/>
  </tableColumns>
  <tableStyleInfo name="TableStyleLight1" showFirstColumn="1" showLastColumn="0" showRowStripes="0"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7000000}" name="table1h" displayName="table1h" ref="A43:AA46" totalsRowShown="0" headerRowDxfId="1826" dataDxfId="1825">
  <tableColumns count="27">
    <tableColumn id="1" xr3:uid="{00000000-0010-0000-0700-000001000000}" name="Group" dataDxfId="1824"/>
    <tableColumn id="2" xr3:uid="{00000000-0010-0000-0700-000002000000}" name="1994-97" dataDxfId="1823"/>
    <tableColumn id="3" xr3:uid="{00000000-0010-0000-0700-000003000000}" name="1995-98" dataDxfId="1822"/>
    <tableColumn id="4" xr3:uid="{00000000-0010-0000-0700-000004000000}" name="1996-99" dataDxfId="1821"/>
    <tableColumn id="5" xr3:uid="{00000000-0010-0000-0700-000005000000}" name="1997-00" dataDxfId="1820"/>
    <tableColumn id="6" xr3:uid="{00000000-0010-0000-0700-000006000000}" name="1998-01" dataDxfId="1819"/>
    <tableColumn id="7" xr3:uid="{00000000-0010-0000-0700-000007000000}" name="1999-02" dataDxfId="1818"/>
    <tableColumn id="8" xr3:uid="{00000000-0010-0000-0700-000008000000}" name="2000-03" dataDxfId="1817"/>
    <tableColumn id="9" xr3:uid="{00000000-0010-0000-0700-000009000000}" name="2001-04" dataDxfId="1816"/>
    <tableColumn id="10" xr3:uid="{00000000-0010-0000-0700-00000A000000}" name="2002-05" dataDxfId="1815"/>
    <tableColumn id="11" xr3:uid="{00000000-0010-0000-0700-00000B000000}" name="2003-06" dataDxfId="1814"/>
    <tableColumn id="12" xr3:uid="{00000000-0010-0000-0700-00000C000000}" name="2004-07" dataDxfId="1813"/>
    <tableColumn id="13" xr3:uid="{00000000-0010-0000-0700-00000D000000}" name="2005-08" dataDxfId="1812"/>
    <tableColumn id="14" xr3:uid="{00000000-0010-0000-0700-00000E000000}" name="2006-09" dataDxfId="1811"/>
    <tableColumn id="15" xr3:uid="{00000000-0010-0000-0700-00000F000000}" name="2007-10" dataDxfId="1810"/>
    <tableColumn id="16" xr3:uid="{00000000-0010-0000-0700-000010000000}" name="2008-11" dataDxfId="1809"/>
    <tableColumn id="17" xr3:uid="{00000000-0010-0000-0700-000011000000}" name="2009-12" dataDxfId="1808"/>
    <tableColumn id="18" xr3:uid="{00000000-0010-0000-0700-000012000000}" name="2010-13" dataDxfId="1807"/>
    <tableColumn id="19" xr3:uid="{00000000-0010-0000-0700-000013000000}" name="2011-14" dataDxfId="1806"/>
    <tableColumn id="20" xr3:uid="{00000000-0010-0000-0700-000014000000}" name="2012-15" dataDxfId="1805"/>
    <tableColumn id="21" xr3:uid="{00000000-0010-0000-0700-000015000000}" name="2013-16" dataDxfId="1804"/>
    <tableColumn id="22" xr3:uid="{00000000-0010-0000-0700-000016000000}" name="2014-17" dataDxfId="1803"/>
    <tableColumn id="23" xr3:uid="{00000000-0010-0000-0700-000017000000}" name="2015-18" dataDxfId="1802"/>
    <tableColumn id="24" xr3:uid="{00000000-0010-0000-0700-000018000000}" name="2016-19" dataDxfId="1801"/>
    <tableColumn id="25" xr3:uid="{00000000-0010-0000-0700-000019000000}" name="2017-20" dataDxfId="1800"/>
    <tableColumn id="26" xr3:uid="{00000000-0010-0000-0700-00001A000000}" name="2018-21" dataDxfId="1799"/>
    <tableColumn id="27" xr3:uid="{00000000-0010-0000-0700-00001B000000}" name="2019-22" dataDxfId="1798"/>
  </tableColumns>
  <tableStyleInfo name="TableStyleLight1" showFirstColumn="1" showLastColumn="0" showRowStripes="0"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8000000}" name="table1i" displayName="table1i" ref="A48:AA51" totalsRowShown="0" headerRowDxfId="1797" dataDxfId="1796">
  <tableColumns count="27">
    <tableColumn id="1" xr3:uid="{00000000-0010-0000-0800-000001000000}" name="Group" dataDxfId="1795"/>
    <tableColumn id="2" xr3:uid="{00000000-0010-0000-0800-000002000000}" name="1994-97" dataDxfId="1794"/>
    <tableColumn id="3" xr3:uid="{00000000-0010-0000-0800-000003000000}" name="1995-98" dataDxfId="1793"/>
    <tableColumn id="4" xr3:uid="{00000000-0010-0000-0800-000004000000}" name="1996-99" dataDxfId="1792"/>
    <tableColumn id="5" xr3:uid="{00000000-0010-0000-0800-000005000000}" name="1997-00" dataDxfId="1791"/>
    <tableColumn id="6" xr3:uid="{00000000-0010-0000-0800-000006000000}" name="1998-01" dataDxfId="1790"/>
    <tableColumn id="7" xr3:uid="{00000000-0010-0000-0800-000007000000}" name="1999-02" dataDxfId="1789"/>
    <tableColumn id="8" xr3:uid="{00000000-0010-0000-0800-000008000000}" name="2000-03" dataDxfId="1788"/>
    <tableColumn id="9" xr3:uid="{00000000-0010-0000-0800-000009000000}" name="2001-04" dataDxfId="1787"/>
    <tableColumn id="10" xr3:uid="{00000000-0010-0000-0800-00000A000000}" name="2002-05" dataDxfId="1786"/>
    <tableColumn id="11" xr3:uid="{00000000-0010-0000-0800-00000B000000}" name="2003-06" dataDxfId="1785"/>
    <tableColumn id="12" xr3:uid="{00000000-0010-0000-0800-00000C000000}" name="2004-07" dataDxfId="1784"/>
    <tableColumn id="13" xr3:uid="{00000000-0010-0000-0800-00000D000000}" name="2005-08" dataDxfId="1783"/>
    <tableColumn id="14" xr3:uid="{00000000-0010-0000-0800-00000E000000}" name="2006-09" dataDxfId="1782"/>
    <tableColumn id="15" xr3:uid="{00000000-0010-0000-0800-00000F000000}" name="2007-10" dataDxfId="1781"/>
    <tableColumn id="16" xr3:uid="{00000000-0010-0000-0800-000010000000}" name="2008-11" dataDxfId="1780"/>
    <tableColumn id="17" xr3:uid="{00000000-0010-0000-0800-000011000000}" name="2009-12" dataDxfId="1779"/>
    <tableColumn id="18" xr3:uid="{00000000-0010-0000-0800-000012000000}" name="2010-13" dataDxfId="1778"/>
    <tableColumn id="19" xr3:uid="{00000000-0010-0000-0800-000013000000}" name="2011-14" dataDxfId="1777"/>
    <tableColumn id="20" xr3:uid="{00000000-0010-0000-0800-000014000000}" name="2012-15" dataDxfId="1776"/>
    <tableColumn id="21" xr3:uid="{00000000-0010-0000-0800-000015000000}" name="2013-16" dataDxfId="1775"/>
    <tableColumn id="22" xr3:uid="{00000000-0010-0000-0800-000016000000}" name="2014-17" dataDxfId="1774"/>
    <tableColumn id="23" xr3:uid="{00000000-0010-0000-0800-000017000000}" name="2015-18" dataDxfId="1773"/>
    <tableColumn id="24" xr3:uid="{00000000-0010-0000-0800-000018000000}" name="2016-19" dataDxfId="1772"/>
    <tableColumn id="25" xr3:uid="{00000000-0010-0000-0800-000019000000}" name="2017-20" dataDxfId="1771"/>
    <tableColumn id="26" xr3:uid="{00000000-0010-0000-0800-00001A000000}" name="2018-21" dataDxfId="1770"/>
    <tableColumn id="27" xr3:uid="{00000000-0010-0000-0800-00001B000000}" name="2019-22" dataDxfId="1769"/>
  </tableColumns>
  <tableStyleInfo name="TableStyleLight1" showFirstColumn="1" showLastColumn="0" showRowStripes="0"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9000000}" name="table1j" displayName="table1j" ref="A53:AA56" totalsRowShown="0" headerRowDxfId="1768" dataDxfId="1767">
  <tableColumns count="27">
    <tableColumn id="1" xr3:uid="{00000000-0010-0000-0900-000001000000}" name="Group" dataDxfId="1766"/>
    <tableColumn id="2" xr3:uid="{00000000-0010-0000-0900-000002000000}" name="1994-97" dataDxfId="1765"/>
    <tableColumn id="3" xr3:uid="{00000000-0010-0000-0900-000003000000}" name="1995-98" dataDxfId="1764"/>
    <tableColumn id="4" xr3:uid="{00000000-0010-0000-0900-000004000000}" name="1996-99" dataDxfId="1763"/>
    <tableColumn id="5" xr3:uid="{00000000-0010-0000-0900-000005000000}" name="1997-00" dataDxfId="1762"/>
    <tableColumn id="6" xr3:uid="{00000000-0010-0000-0900-000006000000}" name="1998-01" dataDxfId="1761"/>
    <tableColumn id="7" xr3:uid="{00000000-0010-0000-0900-000007000000}" name="1999-02" dataDxfId="1760"/>
    <tableColumn id="8" xr3:uid="{00000000-0010-0000-0900-000008000000}" name="2000-03" dataDxfId="1759"/>
    <tableColumn id="9" xr3:uid="{00000000-0010-0000-0900-000009000000}" name="2001-04" dataDxfId="1758"/>
    <tableColumn id="10" xr3:uid="{00000000-0010-0000-0900-00000A000000}" name="2002-05" dataDxfId="1757"/>
    <tableColumn id="11" xr3:uid="{00000000-0010-0000-0900-00000B000000}" name="2003-06" dataDxfId="1756"/>
    <tableColumn id="12" xr3:uid="{00000000-0010-0000-0900-00000C000000}" name="2004-07" dataDxfId="1755"/>
    <tableColumn id="13" xr3:uid="{00000000-0010-0000-0900-00000D000000}" name="2005-08" dataDxfId="1754"/>
    <tableColumn id="14" xr3:uid="{00000000-0010-0000-0900-00000E000000}" name="2006-09" dataDxfId="1753"/>
    <tableColumn id="15" xr3:uid="{00000000-0010-0000-0900-00000F000000}" name="2007-10" dataDxfId="1752"/>
    <tableColumn id="16" xr3:uid="{00000000-0010-0000-0900-000010000000}" name="2008-11" dataDxfId="1751"/>
    <tableColumn id="17" xr3:uid="{00000000-0010-0000-0900-000011000000}" name="2009-12" dataDxfId="1750"/>
    <tableColumn id="18" xr3:uid="{00000000-0010-0000-0900-000012000000}" name="2010-13" dataDxfId="1749"/>
    <tableColumn id="19" xr3:uid="{00000000-0010-0000-0900-000013000000}" name="2011-14" dataDxfId="1748"/>
    <tableColumn id="20" xr3:uid="{00000000-0010-0000-0900-000014000000}" name="2012-15" dataDxfId="1747"/>
    <tableColumn id="21" xr3:uid="{00000000-0010-0000-0900-000015000000}" name="2013-16" dataDxfId="1746"/>
    <tableColumn id="22" xr3:uid="{00000000-0010-0000-0900-000016000000}" name="2014-17" dataDxfId="1745"/>
    <tableColumn id="23" xr3:uid="{00000000-0010-0000-0900-000017000000}" name="2015-18" dataDxfId="1744"/>
    <tableColumn id="24" xr3:uid="{00000000-0010-0000-0900-000018000000}" name="2016-19" dataDxfId="1743"/>
    <tableColumn id="25" xr3:uid="{00000000-0010-0000-0900-000019000000}" name="2017-20" dataDxfId="1742"/>
    <tableColumn id="26" xr3:uid="{00000000-0010-0000-0900-00001A000000}" name="2018-21" dataDxfId="1741"/>
    <tableColumn id="27" xr3:uid="{00000000-0010-0000-0900-00001B000000}" name="2019-22" dataDxfId="1740"/>
  </tableColumns>
  <tableStyleInfo name="TableStyleLight1" showFirstColumn="1" showLastColumn="0" showRowStripes="0"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A000000}" name="table2a" displayName="table2a" ref="A8:AA11" totalsRowShown="0" headerRowDxfId="1739" dataDxfId="1738">
  <tableColumns count="27">
    <tableColumn id="1" xr3:uid="{00000000-0010-0000-0A00-000001000000}" name="Group" dataDxfId="1737"/>
    <tableColumn id="2" xr3:uid="{00000000-0010-0000-0A00-000002000000}" name="1994-97" dataDxfId="1736"/>
    <tableColumn id="3" xr3:uid="{00000000-0010-0000-0A00-000003000000}" name="1995-98" dataDxfId="1735"/>
    <tableColumn id="4" xr3:uid="{00000000-0010-0000-0A00-000004000000}" name="1996-99" dataDxfId="1734"/>
    <tableColumn id="5" xr3:uid="{00000000-0010-0000-0A00-000005000000}" name="1997-00" dataDxfId="1733"/>
    <tableColumn id="6" xr3:uid="{00000000-0010-0000-0A00-000006000000}" name="1998-01" dataDxfId="1732"/>
    <tableColumn id="7" xr3:uid="{00000000-0010-0000-0A00-000007000000}" name="1999-02" dataDxfId="1731"/>
    <tableColumn id="8" xr3:uid="{00000000-0010-0000-0A00-000008000000}" name="2000-03" dataDxfId="1730"/>
    <tableColumn id="9" xr3:uid="{00000000-0010-0000-0A00-000009000000}" name="2001-04" dataDxfId="1729"/>
    <tableColumn id="10" xr3:uid="{00000000-0010-0000-0A00-00000A000000}" name="2002-05" dataDxfId="1728"/>
    <tableColumn id="11" xr3:uid="{00000000-0010-0000-0A00-00000B000000}" name="2003-06" dataDxfId="1727"/>
    <tableColumn id="12" xr3:uid="{00000000-0010-0000-0A00-00000C000000}" name="2004-07" dataDxfId="1726"/>
    <tableColumn id="13" xr3:uid="{00000000-0010-0000-0A00-00000D000000}" name="2005-08" dataDxfId="1725"/>
    <tableColumn id="14" xr3:uid="{00000000-0010-0000-0A00-00000E000000}" name="2006-09" dataDxfId="1724"/>
    <tableColumn id="15" xr3:uid="{00000000-0010-0000-0A00-00000F000000}" name="2007-10" dataDxfId="1723"/>
    <tableColumn id="16" xr3:uid="{00000000-0010-0000-0A00-000010000000}" name="2008-11" dataDxfId="1722"/>
    <tableColumn id="17" xr3:uid="{00000000-0010-0000-0A00-000011000000}" name="2009-12" dataDxfId="1721"/>
    <tableColumn id="18" xr3:uid="{00000000-0010-0000-0A00-000012000000}" name="2010-13" dataDxfId="1720"/>
    <tableColumn id="19" xr3:uid="{00000000-0010-0000-0A00-000013000000}" name="2011-14" dataDxfId="1719"/>
    <tableColumn id="20" xr3:uid="{00000000-0010-0000-0A00-000014000000}" name="2012-15" dataDxfId="1718"/>
    <tableColumn id="21" xr3:uid="{00000000-0010-0000-0A00-000015000000}" name="2013-16" dataDxfId="1717"/>
    <tableColumn id="22" xr3:uid="{00000000-0010-0000-0A00-000016000000}" name="2014-17" dataDxfId="1716"/>
    <tableColumn id="23" xr3:uid="{00000000-0010-0000-0A00-000017000000}" name="2015-18" dataDxfId="1715"/>
    <tableColumn id="24" xr3:uid="{00000000-0010-0000-0A00-000018000000}" name="2016-19" dataDxfId="1714"/>
    <tableColumn id="25" xr3:uid="{00000000-0010-0000-0A00-000019000000}" name="2017-20" dataDxfId="1713"/>
    <tableColumn id="26" xr3:uid="{00000000-0010-0000-0A00-00001A000000}" name="2018-21" dataDxfId="1712"/>
    <tableColumn id="27" xr3:uid="{00000000-0010-0000-0A00-00001B000000}" name="2019-22" dataDxfId="1711"/>
  </tableColumns>
  <tableStyleInfo name="TableStyleLight1" showFirstColumn="1" showLastColumn="0" showRowStripes="0"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B000000}" name="table2b" displayName="table2b" ref="A13:AA16" totalsRowShown="0" headerRowDxfId="1710" dataDxfId="1709">
  <tableColumns count="27">
    <tableColumn id="1" xr3:uid="{00000000-0010-0000-0B00-000001000000}" name="Group" dataDxfId="1708"/>
    <tableColumn id="2" xr3:uid="{00000000-0010-0000-0B00-000002000000}" name="1994-97" dataDxfId="1707"/>
    <tableColumn id="3" xr3:uid="{00000000-0010-0000-0B00-000003000000}" name="1995-98" dataDxfId="1706"/>
    <tableColumn id="4" xr3:uid="{00000000-0010-0000-0B00-000004000000}" name="1996-99" dataDxfId="1705"/>
    <tableColumn id="5" xr3:uid="{00000000-0010-0000-0B00-000005000000}" name="1997-00" dataDxfId="1704"/>
    <tableColumn id="6" xr3:uid="{00000000-0010-0000-0B00-000006000000}" name="1998-01" dataDxfId="1703"/>
    <tableColumn id="7" xr3:uid="{00000000-0010-0000-0B00-000007000000}" name="1999-02" dataDxfId="1702"/>
    <tableColumn id="8" xr3:uid="{00000000-0010-0000-0B00-000008000000}" name="2000-03" dataDxfId="1701"/>
    <tableColumn id="9" xr3:uid="{00000000-0010-0000-0B00-000009000000}" name="2001-04" dataDxfId="1700"/>
    <tableColumn id="10" xr3:uid="{00000000-0010-0000-0B00-00000A000000}" name="2002-05" dataDxfId="1699"/>
    <tableColumn id="11" xr3:uid="{00000000-0010-0000-0B00-00000B000000}" name="2003-06" dataDxfId="1698"/>
    <tableColumn id="12" xr3:uid="{00000000-0010-0000-0B00-00000C000000}" name="2004-07" dataDxfId="1697"/>
    <tableColumn id="13" xr3:uid="{00000000-0010-0000-0B00-00000D000000}" name="2005-08" dataDxfId="1696"/>
    <tableColumn id="14" xr3:uid="{00000000-0010-0000-0B00-00000E000000}" name="2006-09" dataDxfId="1695"/>
    <tableColumn id="15" xr3:uid="{00000000-0010-0000-0B00-00000F000000}" name="2007-10" dataDxfId="1694"/>
    <tableColumn id="16" xr3:uid="{00000000-0010-0000-0B00-000010000000}" name="2008-11" dataDxfId="1693"/>
    <tableColumn id="17" xr3:uid="{00000000-0010-0000-0B00-000011000000}" name="2009-12" dataDxfId="1692"/>
    <tableColumn id="18" xr3:uid="{00000000-0010-0000-0B00-000012000000}" name="2010-13" dataDxfId="1691"/>
    <tableColumn id="19" xr3:uid="{00000000-0010-0000-0B00-000013000000}" name="2011-14" dataDxfId="1690"/>
    <tableColumn id="20" xr3:uid="{00000000-0010-0000-0B00-000014000000}" name="2012-15" dataDxfId="1689"/>
    <tableColumn id="21" xr3:uid="{00000000-0010-0000-0B00-000015000000}" name="2013-16" dataDxfId="1688"/>
    <tableColumn id="22" xr3:uid="{00000000-0010-0000-0B00-000016000000}" name="2014-17" dataDxfId="1687"/>
    <tableColumn id="23" xr3:uid="{00000000-0010-0000-0B00-000017000000}" name="2015-18" dataDxfId="1686"/>
    <tableColumn id="24" xr3:uid="{00000000-0010-0000-0B00-000018000000}" name="2016-19" dataDxfId="1685"/>
    <tableColumn id="25" xr3:uid="{00000000-0010-0000-0B00-000019000000}" name="2017-20" dataDxfId="1684"/>
    <tableColumn id="26" xr3:uid="{00000000-0010-0000-0B00-00001A000000}" name="2018-21" dataDxfId="1683"/>
    <tableColumn id="27" xr3:uid="{00000000-0010-0000-0B00-00001B000000}" name="2019-22" dataDxfId="1682"/>
  </tableColumns>
  <tableStyleInfo name="TableStyleLight1" showFirstColumn="1" showLastColumn="0" showRowStripes="0"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C000000}" name="table2c" displayName="table2c" ref="A18:AA21" totalsRowShown="0" headerRowDxfId="1681" dataDxfId="1680">
  <tableColumns count="27">
    <tableColumn id="1" xr3:uid="{00000000-0010-0000-0C00-000001000000}" name="Group" dataDxfId="1679"/>
    <tableColumn id="2" xr3:uid="{00000000-0010-0000-0C00-000002000000}" name="1994-97" dataDxfId="1678"/>
    <tableColumn id="3" xr3:uid="{00000000-0010-0000-0C00-000003000000}" name="1995-98" dataDxfId="1677"/>
    <tableColumn id="4" xr3:uid="{00000000-0010-0000-0C00-000004000000}" name="1996-99" dataDxfId="1676"/>
    <tableColumn id="5" xr3:uid="{00000000-0010-0000-0C00-000005000000}" name="1997-00" dataDxfId="1675"/>
    <tableColumn id="6" xr3:uid="{00000000-0010-0000-0C00-000006000000}" name="1998-01" dataDxfId="1674"/>
    <tableColumn id="7" xr3:uid="{00000000-0010-0000-0C00-000007000000}" name="1999-02" dataDxfId="1673"/>
    <tableColumn id="8" xr3:uid="{00000000-0010-0000-0C00-000008000000}" name="2000-03" dataDxfId="1672"/>
    <tableColumn id="9" xr3:uid="{00000000-0010-0000-0C00-000009000000}" name="2001-04" dataDxfId="1671"/>
    <tableColumn id="10" xr3:uid="{00000000-0010-0000-0C00-00000A000000}" name="2002-05" dataDxfId="1670"/>
    <tableColumn id="11" xr3:uid="{00000000-0010-0000-0C00-00000B000000}" name="2003-06" dataDxfId="1669"/>
    <tableColumn id="12" xr3:uid="{00000000-0010-0000-0C00-00000C000000}" name="2004-07" dataDxfId="1668"/>
    <tableColumn id="13" xr3:uid="{00000000-0010-0000-0C00-00000D000000}" name="2005-08" dataDxfId="1667"/>
    <tableColumn id="14" xr3:uid="{00000000-0010-0000-0C00-00000E000000}" name="2006-09" dataDxfId="1666"/>
    <tableColumn id="15" xr3:uid="{00000000-0010-0000-0C00-00000F000000}" name="2007-10" dataDxfId="1665"/>
    <tableColumn id="16" xr3:uid="{00000000-0010-0000-0C00-000010000000}" name="2008-11" dataDxfId="1664"/>
    <tableColumn id="17" xr3:uid="{00000000-0010-0000-0C00-000011000000}" name="2009-12" dataDxfId="1663"/>
    <tableColumn id="18" xr3:uid="{00000000-0010-0000-0C00-000012000000}" name="2010-13" dataDxfId="1662"/>
    <tableColumn id="19" xr3:uid="{00000000-0010-0000-0C00-000013000000}" name="2011-14" dataDxfId="1661"/>
    <tableColumn id="20" xr3:uid="{00000000-0010-0000-0C00-000014000000}" name="2012-15" dataDxfId="1660"/>
    <tableColumn id="21" xr3:uid="{00000000-0010-0000-0C00-000015000000}" name="2013-16" dataDxfId="1659"/>
    <tableColumn id="22" xr3:uid="{00000000-0010-0000-0C00-000016000000}" name="2014-17" dataDxfId="1658"/>
    <tableColumn id="23" xr3:uid="{00000000-0010-0000-0C00-000017000000}" name="2015-18" dataDxfId="1657"/>
    <tableColumn id="24" xr3:uid="{00000000-0010-0000-0C00-000018000000}" name="2016-19" dataDxfId="1656"/>
    <tableColumn id="25" xr3:uid="{00000000-0010-0000-0C00-000019000000}" name="2017-20" dataDxfId="1655"/>
    <tableColumn id="26" xr3:uid="{00000000-0010-0000-0C00-00001A000000}" name="2018-21" dataDxfId="1654"/>
    <tableColumn id="27" xr3:uid="{00000000-0010-0000-0C00-00001B000000}" name="2019-22" dataDxfId="1653"/>
  </tableColumns>
  <tableStyleInfo name="TableStyleLight1" showFirstColumn="1" showLastColumn="0" showRowStripes="0"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D000000}" name="table2d" displayName="table2d" ref="A23:AA26" totalsRowShown="0" headerRowDxfId="1652" dataDxfId="1651">
  <tableColumns count="27">
    <tableColumn id="1" xr3:uid="{00000000-0010-0000-0D00-000001000000}" name="Group" dataDxfId="1650"/>
    <tableColumn id="2" xr3:uid="{00000000-0010-0000-0D00-000002000000}" name="1994-97" dataDxfId="1649"/>
    <tableColumn id="3" xr3:uid="{00000000-0010-0000-0D00-000003000000}" name="1995-98" dataDxfId="1648"/>
    <tableColumn id="4" xr3:uid="{00000000-0010-0000-0D00-000004000000}" name="1996-99" dataDxfId="1647"/>
    <tableColumn id="5" xr3:uid="{00000000-0010-0000-0D00-000005000000}" name="1997-00" dataDxfId="1646"/>
    <tableColumn id="6" xr3:uid="{00000000-0010-0000-0D00-000006000000}" name="1998-01" dataDxfId="1645"/>
    <tableColumn id="7" xr3:uid="{00000000-0010-0000-0D00-000007000000}" name="1999-02" dataDxfId="1644"/>
    <tableColumn id="8" xr3:uid="{00000000-0010-0000-0D00-000008000000}" name="2000-03" dataDxfId="1643"/>
    <tableColumn id="9" xr3:uid="{00000000-0010-0000-0D00-000009000000}" name="2001-04" dataDxfId="1642"/>
    <tableColumn id="10" xr3:uid="{00000000-0010-0000-0D00-00000A000000}" name="2002-05" dataDxfId="1641"/>
    <tableColumn id="11" xr3:uid="{00000000-0010-0000-0D00-00000B000000}" name="2003-06" dataDxfId="1640"/>
    <tableColumn id="12" xr3:uid="{00000000-0010-0000-0D00-00000C000000}" name="2004-07" dataDxfId="1639"/>
    <tableColumn id="13" xr3:uid="{00000000-0010-0000-0D00-00000D000000}" name="2005-08" dataDxfId="1638"/>
    <tableColumn id="14" xr3:uid="{00000000-0010-0000-0D00-00000E000000}" name="2006-09" dataDxfId="1637"/>
    <tableColumn id="15" xr3:uid="{00000000-0010-0000-0D00-00000F000000}" name="2007-10" dataDxfId="1636"/>
    <tableColumn id="16" xr3:uid="{00000000-0010-0000-0D00-000010000000}" name="2008-11" dataDxfId="1635"/>
    <tableColumn id="17" xr3:uid="{00000000-0010-0000-0D00-000011000000}" name="2009-12" dataDxfId="1634"/>
    <tableColumn id="18" xr3:uid="{00000000-0010-0000-0D00-000012000000}" name="2010-13" dataDxfId="1633"/>
    <tableColumn id="19" xr3:uid="{00000000-0010-0000-0D00-000013000000}" name="2011-14" dataDxfId="1632"/>
    <tableColumn id="20" xr3:uid="{00000000-0010-0000-0D00-000014000000}" name="2012-15" dataDxfId="1631"/>
    <tableColumn id="21" xr3:uid="{00000000-0010-0000-0D00-000015000000}" name="2013-16" dataDxfId="1630"/>
    <tableColumn id="22" xr3:uid="{00000000-0010-0000-0D00-000016000000}" name="2014-17" dataDxfId="1629"/>
    <tableColumn id="23" xr3:uid="{00000000-0010-0000-0D00-000017000000}" name="2015-18" dataDxfId="1628"/>
    <tableColumn id="24" xr3:uid="{00000000-0010-0000-0D00-000018000000}" name="2016-19" dataDxfId="1627"/>
    <tableColumn id="25" xr3:uid="{00000000-0010-0000-0D00-000019000000}" name="2017-20" dataDxfId="1626"/>
    <tableColumn id="26" xr3:uid="{00000000-0010-0000-0D00-00001A000000}" name="2018-21" dataDxfId="1625"/>
    <tableColumn id="27" xr3:uid="{00000000-0010-0000-0D00-00001B000000}" name="2019-22" dataDxfId="1624"/>
  </tableColumns>
  <tableStyleInfo name="TableStyleLight1" showFirstColumn="1" showLastColumn="0" showRowStripes="0"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0E000000}" name="table2e" displayName="table2e" ref="A28:AA31" totalsRowShown="0" headerRowDxfId="1623" dataDxfId="1622">
  <tableColumns count="27">
    <tableColumn id="1" xr3:uid="{00000000-0010-0000-0E00-000001000000}" name="Group" dataDxfId="1621"/>
    <tableColumn id="2" xr3:uid="{00000000-0010-0000-0E00-000002000000}" name="1994-97" dataDxfId="1620"/>
    <tableColumn id="3" xr3:uid="{00000000-0010-0000-0E00-000003000000}" name="1995-98" dataDxfId="1619"/>
    <tableColumn id="4" xr3:uid="{00000000-0010-0000-0E00-000004000000}" name="1996-99" dataDxfId="1618"/>
    <tableColumn id="5" xr3:uid="{00000000-0010-0000-0E00-000005000000}" name="1997-00" dataDxfId="1617"/>
    <tableColumn id="6" xr3:uid="{00000000-0010-0000-0E00-000006000000}" name="1998-01" dataDxfId="1616"/>
    <tableColumn id="7" xr3:uid="{00000000-0010-0000-0E00-000007000000}" name="1999-02" dataDxfId="1615"/>
    <tableColumn id="8" xr3:uid="{00000000-0010-0000-0E00-000008000000}" name="2000-03" dataDxfId="1614"/>
    <tableColumn id="9" xr3:uid="{00000000-0010-0000-0E00-000009000000}" name="2001-04" dataDxfId="1613"/>
    <tableColumn id="10" xr3:uid="{00000000-0010-0000-0E00-00000A000000}" name="2002-05" dataDxfId="1612"/>
    <tableColumn id="11" xr3:uid="{00000000-0010-0000-0E00-00000B000000}" name="2003-06" dataDxfId="1611"/>
    <tableColumn id="12" xr3:uid="{00000000-0010-0000-0E00-00000C000000}" name="2004-07" dataDxfId="1610"/>
    <tableColumn id="13" xr3:uid="{00000000-0010-0000-0E00-00000D000000}" name="2005-08" dataDxfId="1609"/>
    <tableColumn id="14" xr3:uid="{00000000-0010-0000-0E00-00000E000000}" name="2006-09" dataDxfId="1608"/>
    <tableColumn id="15" xr3:uid="{00000000-0010-0000-0E00-00000F000000}" name="2007-10" dataDxfId="1607"/>
    <tableColumn id="16" xr3:uid="{00000000-0010-0000-0E00-000010000000}" name="2008-11" dataDxfId="1606"/>
    <tableColumn id="17" xr3:uid="{00000000-0010-0000-0E00-000011000000}" name="2009-12" dataDxfId="1605"/>
    <tableColumn id="18" xr3:uid="{00000000-0010-0000-0E00-000012000000}" name="2010-13" dataDxfId="1604"/>
    <tableColumn id="19" xr3:uid="{00000000-0010-0000-0E00-000013000000}" name="2011-14" dataDxfId="1603"/>
    <tableColumn id="20" xr3:uid="{00000000-0010-0000-0E00-000014000000}" name="2012-15" dataDxfId="1602"/>
    <tableColumn id="21" xr3:uid="{00000000-0010-0000-0E00-000015000000}" name="2013-16" dataDxfId="1601"/>
    <tableColumn id="22" xr3:uid="{00000000-0010-0000-0E00-000016000000}" name="2014-17" dataDxfId="1600"/>
    <tableColumn id="23" xr3:uid="{00000000-0010-0000-0E00-000017000000}" name="2015-18" dataDxfId="1599"/>
    <tableColumn id="24" xr3:uid="{00000000-0010-0000-0E00-000018000000}" name="2016-19" dataDxfId="1598"/>
    <tableColumn id="25" xr3:uid="{00000000-0010-0000-0E00-000019000000}" name="2017-20" dataDxfId="1597"/>
    <tableColumn id="26" xr3:uid="{00000000-0010-0000-0E00-00001A000000}" name="2018-21" dataDxfId="1596"/>
    <tableColumn id="27" xr3:uid="{00000000-0010-0000-0E00-00001B000000}" name="2019-22" dataDxfId="1595"/>
  </tableColumns>
  <tableStyleInfo name="TableStyleLight1" showFirstColumn="1" showLastColumn="0" showRowStripes="0"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F000000}" name="table2f" displayName="table2f" ref="A33:AA36" totalsRowShown="0" headerRowDxfId="1594" dataDxfId="1593">
  <tableColumns count="27">
    <tableColumn id="1" xr3:uid="{00000000-0010-0000-0F00-000001000000}" name="Group" dataDxfId="1592"/>
    <tableColumn id="2" xr3:uid="{00000000-0010-0000-0F00-000002000000}" name="1994-97" dataDxfId="1591"/>
    <tableColumn id="3" xr3:uid="{00000000-0010-0000-0F00-000003000000}" name="1995-98" dataDxfId="1590"/>
    <tableColumn id="4" xr3:uid="{00000000-0010-0000-0F00-000004000000}" name="1996-99" dataDxfId="1589"/>
    <tableColumn id="5" xr3:uid="{00000000-0010-0000-0F00-000005000000}" name="1997-00" dataDxfId="1588"/>
    <tableColumn id="6" xr3:uid="{00000000-0010-0000-0F00-000006000000}" name="1998-01" dataDxfId="1587"/>
    <tableColumn id="7" xr3:uid="{00000000-0010-0000-0F00-000007000000}" name="1999-02" dataDxfId="1586"/>
    <tableColumn id="8" xr3:uid="{00000000-0010-0000-0F00-000008000000}" name="2000-03" dataDxfId="1585"/>
    <tableColumn id="9" xr3:uid="{00000000-0010-0000-0F00-000009000000}" name="2001-04" dataDxfId="1584"/>
    <tableColumn id="10" xr3:uid="{00000000-0010-0000-0F00-00000A000000}" name="2002-05" dataDxfId="1583"/>
    <tableColumn id="11" xr3:uid="{00000000-0010-0000-0F00-00000B000000}" name="2003-06" dataDxfId="1582"/>
    <tableColumn id="12" xr3:uid="{00000000-0010-0000-0F00-00000C000000}" name="2004-07" dataDxfId="1581"/>
    <tableColumn id="13" xr3:uid="{00000000-0010-0000-0F00-00000D000000}" name="2005-08" dataDxfId="1580"/>
    <tableColumn id="14" xr3:uid="{00000000-0010-0000-0F00-00000E000000}" name="2006-09" dataDxfId="1579"/>
    <tableColumn id="15" xr3:uid="{00000000-0010-0000-0F00-00000F000000}" name="2007-10" dataDxfId="1578"/>
    <tableColumn id="16" xr3:uid="{00000000-0010-0000-0F00-000010000000}" name="2008-11" dataDxfId="1577"/>
    <tableColumn id="17" xr3:uid="{00000000-0010-0000-0F00-000011000000}" name="2009-12" dataDxfId="1576"/>
    <tableColumn id="18" xr3:uid="{00000000-0010-0000-0F00-000012000000}" name="2010-13" dataDxfId="1575"/>
    <tableColumn id="19" xr3:uid="{00000000-0010-0000-0F00-000013000000}" name="2011-14" dataDxfId="1574"/>
    <tableColumn id="20" xr3:uid="{00000000-0010-0000-0F00-000014000000}" name="2012-15" dataDxfId="1573"/>
    <tableColumn id="21" xr3:uid="{00000000-0010-0000-0F00-000015000000}" name="2013-16" dataDxfId="1572"/>
    <tableColumn id="22" xr3:uid="{00000000-0010-0000-0F00-000016000000}" name="2014-17" dataDxfId="1571"/>
    <tableColumn id="23" xr3:uid="{00000000-0010-0000-0F00-000017000000}" name="2015-18" dataDxfId="1570"/>
    <tableColumn id="24" xr3:uid="{00000000-0010-0000-0F00-000018000000}" name="2016-19" dataDxfId="1569"/>
    <tableColumn id="25" xr3:uid="{00000000-0010-0000-0F00-000019000000}" name="2017-20" dataDxfId="1568"/>
    <tableColumn id="26" xr3:uid="{00000000-0010-0000-0F00-00001A000000}" name="2018-21" dataDxfId="1567"/>
    <tableColumn id="27" xr3:uid="{00000000-0010-0000-0F00-00001B000000}" name="2019-22" dataDxfId="1566"/>
  </tableColumns>
  <tableStyleInfo name="TableStyleLight1" showFirstColumn="1" showLastColumn="0" showRowStripes="0"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0000000}" name="table2g" displayName="table2g" ref="A38:AA41" totalsRowShown="0" headerRowDxfId="1565" dataDxfId="1564">
  <tableColumns count="27">
    <tableColumn id="1" xr3:uid="{00000000-0010-0000-1000-000001000000}" name="Group" dataDxfId="1563"/>
    <tableColumn id="2" xr3:uid="{00000000-0010-0000-1000-000002000000}" name="1994-97" dataDxfId="1562"/>
    <tableColumn id="3" xr3:uid="{00000000-0010-0000-1000-000003000000}" name="1995-98" dataDxfId="1561"/>
    <tableColumn id="4" xr3:uid="{00000000-0010-0000-1000-000004000000}" name="1996-99" dataDxfId="1560"/>
    <tableColumn id="5" xr3:uid="{00000000-0010-0000-1000-000005000000}" name="1997-00" dataDxfId="1559"/>
    <tableColumn id="6" xr3:uid="{00000000-0010-0000-1000-000006000000}" name="1998-01" dataDxfId="1558"/>
    <tableColumn id="7" xr3:uid="{00000000-0010-0000-1000-000007000000}" name="1999-02" dataDxfId="1557"/>
    <tableColumn id="8" xr3:uid="{00000000-0010-0000-1000-000008000000}" name="2000-03" dataDxfId="1556"/>
    <tableColumn id="9" xr3:uid="{00000000-0010-0000-1000-000009000000}" name="2001-04" dataDxfId="1555"/>
    <tableColumn id="10" xr3:uid="{00000000-0010-0000-1000-00000A000000}" name="2002-05" dataDxfId="1554"/>
    <tableColumn id="11" xr3:uid="{00000000-0010-0000-1000-00000B000000}" name="2003-06" dataDxfId="1553"/>
    <tableColumn id="12" xr3:uid="{00000000-0010-0000-1000-00000C000000}" name="2004-07" dataDxfId="1552"/>
    <tableColumn id="13" xr3:uid="{00000000-0010-0000-1000-00000D000000}" name="2005-08" dataDxfId="1551"/>
    <tableColumn id="14" xr3:uid="{00000000-0010-0000-1000-00000E000000}" name="2006-09" dataDxfId="1550"/>
    <tableColumn id="15" xr3:uid="{00000000-0010-0000-1000-00000F000000}" name="2007-10" dataDxfId="1549"/>
    <tableColumn id="16" xr3:uid="{00000000-0010-0000-1000-000010000000}" name="2008-11" dataDxfId="1548"/>
    <tableColumn id="17" xr3:uid="{00000000-0010-0000-1000-000011000000}" name="2009-12" dataDxfId="1547"/>
    <tableColumn id="18" xr3:uid="{00000000-0010-0000-1000-000012000000}" name="2010-13" dataDxfId="1546"/>
    <tableColumn id="19" xr3:uid="{00000000-0010-0000-1000-000013000000}" name="2011-14" dataDxfId="1545"/>
    <tableColumn id="20" xr3:uid="{00000000-0010-0000-1000-000014000000}" name="2012-15" dataDxfId="1544"/>
    <tableColumn id="21" xr3:uid="{00000000-0010-0000-1000-000015000000}" name="2013-16" dataDxfId="1543"/>
    <tableColumn id="22" xr3:uid="{00000000-0010-0000-1000-000016000000}" name="2014-17" dataDxfId="1542"/>
    <tableColumn id="23" xr3:uid="{00000000-0010-0000-1000-000017000000}" name="2015-18" dataDxfId="1541"/>
    <tableColumn id="24" xr3:uid="{00000000-0010-0000-1000-000018000000}" name="2016-19" dataDxfId="1540"/>
    <tableColumn id="25" xr3:uid="{00000000-0010-0000-1000-000019000000}" name="2017-20" dataDxfId="1539"/>
    <tableColumn id="26" xr3:uid="{00000000-0010-0000-1000-00001A000000}" name="2018-21" dataDxfId="1538"/>
    <tableColumn id="27" xr3:uid="{00000000-0010-0000-1000-00001B000000}" name="2019-22" dataDxfId="1537"/>
  </tableColumns>
  <tableStyleInfo name="TableStyleLight1" showFirstColumn="1" showLastColumn="0" showRowStripes="0"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1000000}" name="table2h" displayName="table2h" ref="A43:AA46" totalsRowShown="0" headerRowDxfId="1536" dataDxfId="1535">
  <tableColumns count="27">
    <tableColumn id="1" xr3:uid="{00000000-0010-0000-1100-000001000000}" name="Group" dataDxfId="1534"/>
    <tableColumn id="2" xr3:uid="{00000000-0010-0000-1100-000002000000}" name="1994-97" dataDxfId="1533"/>
    <tableColumn id="3" xr3:uid="{00000000-0010-0000-1100-000003000000}" name="1995-98" dataDxfId="1532"/>
    <tableColumn id="4" xr3:uid="{00000000-0010-0000-1100-000004000000}" name="1996-99" dataDxfId="1531"/>
    <tableColumn id="5" xr3:uid="{00000000-0010-0000-1100-000005000000}" name="1997-00" dataDxfId="1530"/>
    <tableColumn id="6" xr3:uid="{00000000-0010-0000-1100-000006000000}" name="1998-01" dataDxfId="1529"/>
    <tableColumn id="7" xr3:uid="{00000000-0010-0000-1100-000007000000}" name="1999-02" dataDxfId="1528"/>
    <tableColumn id="8" xr3:uid="{00000000-0010-0000-1100-000008000000}" name="2000-03" dataDxfId="1527"/>
    <tableColumn id="9" xr3:uid="{00000000-0010-0000-1100-000009000000}" name="2001-04" dataDxfId="1526"/>
    <tableColumn id="10" xr3:uid="{00000000-0010-0000-1100-00000A000000}" name="2002-05" dataDxfId="1525"/>
    <tableColumn id="11" xr3:uid="{00000000-0010-0000-1100-00000B000000}" name="2003-06" dataDxfId="1524"/>
    <tableColumn id="12" xr3:uid="{00000000-0010-0000-1100-00000C000000}" name="2004-07" dataDxfId="1523"/>
    <tableColumn id="13" xr3:uid="{00000000-0010-0000-1100-00000D000000}" name="2005-08" dataDxfId="1522"/>
    <tableColumn id="14" xr3:uid="{00000000-0010-0000-1100-00000E000000}" name="2006-09" dataDxfId="1521"/>
    <tableColumn id="15" xr3:uid="{00000000-0010-0000-1100-00000F000000}" name="2007-10" dataDxfId="1520"/>
    <tableColumn id="16" xr3:uid="{00000000-0010-0000-1100-000010000000}" name="2008-11" dataDxfId="1519"/>
    <tableColumn id="17" xr3:uid="{00000000-0010-0000-1100-000011000000}" name="2009-12" dataDxfId="1518"/>
    <tableColumn id="18" xr3:uid="{00000000-0010-0000-1100-000012000000}" name="2010-13" dataDxfId="1517"/>
    <tableColumn id="19" xr3:uid="{00000000-0010-0000-1100-000013000000}" name="2011-14" dataDxfId="1516"/>
    <tableColumn id="20" xr3:uid="{00000000-0010-0000-1100-000014000000}" name="2012-15" dataDxfId="1515"/>
    <tableColumn id="21" xr3:uid="{00000000-0010-0000-1100-000015000000}" name="2013-16" dataDxfId="1514"/>
    <tableColumn id="22" xr3:uid="{00000000-0010-0000-1100-000016000000}" name="2014-17" dataDxfId="1513"/>
    <tableColumn id="23" xr3:uid="{00000000-0010-0000-1100-000017000000}" name="2015-18" dataDxfId="1512"/>
    <tableColumn id="24" xr3:uid="{00000000-0010-0000-1100-000018000000}" name="2016-19" dataDxfId="1511"/>
    <tableColumn id="25" xr3:uid="{00000000-0010-0000-1100-000019000000}" name="2017-20" dataDxfId="1510"/>
    <tableColumn id="26" xr3:uid="{00000000-0010-0000-1100-00001A000000}" name="2018-21" dataDxfId="1509"/>
    <tableColumn id="27" xr3:uid="{00000000-0010-0000-1100-00001B000000}" name="2019-22" dataDxfId="1508"/>
  </tableColumns>
  <tableStyleInfo name="TableStyleLight1" showFirstColumn="1" showLastColumn="0" showRowStripes="0"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2000000}" name="table2i" displayName="table2i" ref="A48:AA51" totalsRowShown="0" headerRowDxfId="1507" dataDxfId="1506">
  <tableColumns count="27">
    <tableColumn id="1" xr3:uid="{00000000-0010-0000-1200-000001000000}" name="Group" dataDxfId="1505"/>
    <tableColumn id="2" xr3:uid="{00000000-0010-0000-1200-000002000000}" name="1994-97" dataDxfId="1504"/>
    <tableColumn id="3" xr3:uid="{00000000-0010-0000-1200-000003000000}" name="1995-98" dataDxfId="1503"/>
    <tableColumn id="4" xr3:uid="{00000000-0010-0000-1200-000004000000}" name="1996-99" dataDxfId="1502"/>
    <tableColumn id="5" xr3:uid="{00000000-0010-0000-1200-000005000000}" name="1997-00" dataDxfId="1501"/>
    <tableColumn id="6" xr3:uid="{00000000-0010-0000-1200-000006000000}" name="1998-01" dataDxfId="1500"/>
    <tableColumn id="7" xr3:uid="{00000000-0010-0000-1200-000007000000}" name="1999-02" dataDxfId="1499"/>
    <tableColumn id="8" xr3:uid="{00000000-0010-0000-1200-000008000000}" name="2000-03" dataDxfId="1498"/>
    <tableColumn id="9" xr3:uid="{00000000-0010-0000-1200-000009000000}" name="2001-04" dataDxfId="1497"/>
    <tableColumn id="10" xr3:uid="{00000000-0010-0000-1200-00000A000000}" name="2002-05" dataDxfId="1496"/>
    <tableColumn id="11" xr3:uid="{00000000-0010-0000-1200-00000B000000}" name="2003-06" dataDxfId="1495"/>
    <tableColumn id="12" xr3:uid="{00000000-0010-0000-1200-00000C000000}" name="2004-07" dataDxfId="1494"/>
    <tableColumn id="13" xr3:uid="{00000000-0010-0000-1200-00000D000000}" name="2005-08" dataDxfId="1493"/>
    <tableColumn id="14" xr3:uid="{00000000-0010-0000-1200-00000E000000}" name="2006-09" dataDxfId="1492"/>
    <tableColumn id="15" xr3:uid="{00000000-0010-0000-1200-00000F000000}" name="2007-10" dataDxfId="1491"/>
    <tableColumn id="16" xr3:uid="{00000000-0010-0000-1200-000010000000}" name="2008-11" dataDxfId="1490"/>
    <tableColumn id="17" xr3:uid="{00000000-0010-0000-1200-000011000000}" name="2009-12" dataDxfId="1489"/>
    <tableColumn id="18" xr3:uid="{00000000-0010-0000-1200-000012000000}" name="2010-13" dataDxfId="1488"/>
    <tableColumn id="19" xr3:uid="{00000000-0010-0000-1200-000013000000}" name="2011-14" dataDxfId="1487"/>
    <tableColumn id="20" xr3:uid="{00000000-0010-0000-1200-000014000000}" name="2012-15" dataDxfId="1486"/>
    <tableColumn id="21" xr3:uid="{00000000-0010-0000-1200-000015000000}" name="2013-16" dataDxfId="1485"/>
    <tableColumn id="22" xr3:uid="{00000000-0010-0000-1200-000016000000}" name="2014-17" dataDxfId="1484"/>
    <tableColumn id="23" xr3:uid="{00000000-0010-0000-1200-000017000000}" name="2015-18" dataDxfId="1483"/>
    <tableColumn id="24" xr3:uid="{00000000-0010-0000-1200-000018000000}" name="2016-19" dataDxfId="1482"/>
    <tableColumn id="25" xr3:uid="{00000000-0010-0000-1200-000019000000}" name="2017-20" dataDxfId="1481"/>
    <tableColumn id="26" xr3:uid="{00000000-0010-0000-1200-00001A000000}" name="2018-21" dataDxfId="1480"/>
    <tableColumn id="27" xr3:uid="{00000000-0010-0000-1200-00001B000000}" name="2019-22" dataDxfId="1479"/>
  </tableColumns>
  <tableStyleInfo name="TableStyleLight1" showFirstColumn="1" showLastColumn="0" showRowStripes="0"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3000000}" name="table2j" displayName="table2j" ref="A53:AA56" totalsRowShown="0" headerRowDxfId="1478" dataDxfId="1477">
  <tableColumns count="27">
    <tableColumn id="1" xr3:uid="{00000000-0010-0000-1300-000001000000}" name="Group" dataDxfId="1476"/>
    <tableColumn id="2" xr3:uid="{00000000-0010-0000-1300-000002000000}" name="1994-97" dataDxfId="1475"/>
    <tableColumn id="3" xr3:uid="{00000000-0010-0000-1300-000003000000}" name="1995-98" dataDxfId="1474"/>
    <tableColumn id="4" xr3:uid="{00000000-0010-0000-1300-000004000000}" name="1996-99" dataDxfId="1473"/>
    <tableColumn id="5" xr3:uid="{00000000-0010-0000-1300-000005000000}" name="1997-00" dataDxfId="1472"/>
    <tableColumn id="6" xr3:uid="{00000000-0010-0000-1300-000006000000}" name="1998-01" dataDxfId="1471"/>
    <tableColumn id="7" xr3:uid="{00000000-0010-0000-1300-000007000000}" name="1999-02" dataDxfId="1470"/>
    <tableColumn id="8" xr3:uid="{00000000-0010-0000-1300-000008000000}" name="2000-03" dataDxfId="1469"/>
    <tableColumn id="9" xr3:uid="{00000000-0010-0000-1300-000009000000}" name="2001-04" dataDxfId="1468"/>
    <tableColumn id="10" xr3:uid="{00000000-0010-0000-1300-00000A000000}" name="2002-05" dataDxfId="1467"/>
    <tableColumn id="11" xr3:uid="{00000000-0010-0000-1300-00000B000000}" name="2003-06" dataDxfId="1466"/>
    <tableColumn id="12" xr3:uid="{00000000-0010-0000-1300-00000C000000}" name="2004-07" dataDxfId="1465"/>
    <tableColumn id="13" xr3:uid="{00000000-0010-0000-1300-00000D000000}" name="2005-08" dataDxfId="1464"/>
    <tableColumn id="14" xr3:uid="{00000000-0010-0000-1300-00000E000000}" name="2006-09" dataDxfId="1463"/>
    <tableColumn id="15" xr3:uid="{00000000-0010-0000-1300-00000F000000}" name="2007-10" dataDxfId="1462"/>
    <tableColumn id="16" xr3:uid="{00000000-0010-0000-1300-000010000000}" name="2008-11" dataDxfId="1461"/>
    <tableColumn id="17" xr3:uid="{00000000-0010-0000-1300-000011000000}" name="2009-12" dataDxfId="1460"/>
    <tableColumn id="18" xr3:uid="{00000000-0010-0000-1300-000012000000}" name="2010-13" dataDxfId="1459"/>
    <tableColumn id="19" xr3:uid="{00000000-0010-0000-1300-000013000000}" name="2011-14" dataDxfId="1458"/>
    <tableColumn id="20" xr3:uid="{00000000-0010-0000-1300-000014000000}" name="2012-15" dataDxfId="1457"/>
    <tableColumn id="21" xr3:uid="{00000000-0010-0000-1300-000015000000}" name="2013-16" dataDxfId="1456"/>
    <tableColumn id="22" xr3:uid="{00000000-0010-0000-1300-000016000000}" name="2014-17" dataDxfId="1455"/>
    <tableColumn id="23" xr3:uid="{00000000-0010-0000-1300-000017000000}" name="2015-18" dataDxfId="1454"/>
    <tableColumn id="24" xr3:uid="{00000000-0010-0000-1300-000018000000}" name="2016-19" dataDxfId="1453"/>
    <tableColumn id="25" xr3:uid="{00000000-0010-0000-1300-000019000000}" name="2017-20" dataDxfId="1452"/>
    <tableColumn id="26" xr3:uid="{00000000-0010-0000-1300-00001A000000}" name="2018-21" dataDxfId="1451"/>
    <tableColumn id="27" xr3:uid="{00000000-0010-0000-1300-00001B000000}" name="2019-22" dataDxfId="1450"/>
  </tableColumns>
  <tableStyleInfo name="TableStyleLight1" showFirstColumn="1" showLastColumn="0" showRowStripes="0"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4000000}" name="table3a" displayName="table3a" ref="A9:AA12" totalsRowShown="0" headerRowDxfId="1449" dataDxfId="1448">
  <tableColumns count="27">
    <tableColumn id="1" xr3:uid="{00000000-0010-0000-1400-000001000000}" name="Group" dataDxfId="1447"/>
    <tableColumn id="2" xr3:uid="{00000000-0010-0000-1400-000002000000}" name="1994-97" dataDxfId="1446"/>
    <tableColumn id="3" xr3:uid="{00000000-0010-0000-1400-000003000000}" name="1995-98" dataDxfId="1445"/>
    <tableColumn id="4" xr3:uid="{00000000-0010-0000-1400-000004000000}" name="1996-99" dataDxfId="1444"/>
    <tableColumn id="5" xr3:uid="{00000000-0010-0000-1400-000005000000}" name="1997-00" dataDxfId="1443"/>
    <tableColumn id="6" xr3:uid="{00000000-0010-0000-1400-000006000000}" name="1998-01" dataDxfId="1442"/>
    <tableColumn id="7" xr3:uid="{00000000-0010-0000-1400-000007000000}" name="1999-02" dataDxfId="1441"/>
    <tableColumn id="8" xr3:uid="{00000000-0010-0000-1400-000008000000}" name="2000-03" dataDxfId="1440"/>
    <tableColumn id="9" xr3:uid="{00000000-0010-0000-1400-000009000000}" name="2001-04" dataDxfId="1439"/>
    <tableColumn id="10" xr3:uid="{00000000-0010-0000-1400-00000A000000}" name="2002-05" dataDxfId="1438"/>
    <tableColumn id="11" xr3:uid="{00000000-0010-0000-1400-00000B000000}" name="2003-06" dataDxfId="1437"/>
    <tableColumn id="12" xr3:uid="{00000000-0010-0000-1400-00000C000000}" name="2004-07" dataDxfId="1436"/>
    <tableColumn id="13" xr3:uid="{00000000-0010-0000-1400-00000D000000}" name="2005-08" dataDxfId="1435"/>
    <tableColumn id="14" xr3:uid="{00000000-0010-0000-1400-00000E000000}" name="2006-09" dataDxfId="1434"/>
    <tableColumn id="15" xr3:uid="{00000000-0010-0000-1400-00000F000000}" name="2007-10" dataDxfId="1433"/>
    <tableColumn id="16" xr3:uid="{00000000-0010-0000-1400-000010000000}" name="2008-11" dataDxfId="1432"/>
    <tableColumn id="17" xr3:uid="{00000000-0010-0000-1400-000011000000}" name="2009-12" dataDxfId="1431"/>
    <tableColumn id="18" xr3:uid="{00000000-0010-0000-1400-000012000000}" name="2010-13" dataDxfId="1430"/>
    <tableColumn id="19" xr3:uid="{00000000-0010-0000-1400-000013000000}" name="2011-14" dataDxfId="1429"/>
    <tableColumn id="20" xr3:uid="{00000000-0010-0000-1400-000014000000}" name="2012-15" dataDxfId="1428"/>
    <tableColumn id="21" xr3:uid="{00000000-0010-0000-1400-000015000000}" name="2013-16" dataDxfId="1427"/>
    <tableColumn id="22" xr3:uid="{00000000-0010-0000-1400-000016000000}" name="2014-17" dataDxfId="1426"/>
    <tableColumn id="23" xr3:uid="{00000000-0010-0000-1400-000017000000}" name="2015-18" dataDxfId="1425"/>
    <tableColumn id="24" xr3:uid="{00000000-0010-0000-1400-000018000000}" name="2016-19" dataDxfId="1424"/>
    <tableColumn id="25" xr3:uid="{00000000-0010-0000-1400-000019000000}" name="2017-20" dataDxfId="1423"/>
    <tableColumn id="26" xr3:uid="{00000000-0010-0000-1400-00001A000000}" name="2018-21" dataDxfId="1422"/>
    <tableColumn id="27" xr3:uid="{00000000-0010-0000-1400-00001B000000}" name="2019-22" dataDxfId="1421"/>
  </tableColumns>
  <tableStyleInfo name="TableStyleLight1" showFirstColumn="1" showLastColumn="0" showRowStripes="0"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5000000}" name="table3b" displayName="table3b" ref="A14:AA17" totalsRowShown="0" headerRowDxfId="1420" dataDxfId="1419">
  <tableColumns count="27">
    <tableColumn id="1" xr3:uid="{00000000-0010-0000-1500-000001000000}" name="Group" dataDxfId="1418"/>
    <tableColumn id="2" xr3:uid="{00000000-0010-0000-1500-000002000000}" name="1994-97" dataDxfId="1417"/>
    <tableColumn id="3" xr3:uid="{00000000-0010-0000-1500-000003000000}" name="1995-98" dataDxfId="1416"/>
    <tableColumn id="4" xr3:uid="{00000000-0010-0000-1500-000004000000}" name="1996-99" dataDxfId="1415"/>
    <tableColumn id="5" xr3:uid="{00000000-0010-0000-1500-000005000000}" name="1997-00" dataDxfId="1414"/>
    <tableColumn id="6" xr3:uid="{00000000-0010-0000-1500-000006000000}" name="1998-01" dataDxfId="1413"/>
    <tableColumn id="7" xr3:uid="{00000000-0010-0000-1500-000007000000}" name="1999-02" dataDxfId="1412"/>
    <tableColumn id="8" xr3:uid="{00000000-0010-0000-1500-000008000000}" name="2000-03" dataDxfId="1411"/>
    <tableColumn id="9" xr3:uid="{00000000-0010-0000-1500-000009000000}" name="2001-04" dataDxfId="1410"/>
    <tableColumn id="10" xr3:uid="{00000000-0010-0000-1500-00000A000000}" name="2002-05" dataDxfId="1409"/>
    <tableColumn id="11" xr3:uid="{00000000-0010-0000-1500-00000B000000}" name="2003-06" dataDxfId="1408"/>
    <tableColumn id="12" xr3:uid="{00000000-0010-0000-1500-00000C000000}" name="2004-07" dataDxfId="1407"/>
    <tableColumn id="13" xr3:uid="{00000000-0010-0000-1500-00000D000000}" name="2005-08" dataDxfId="1406"/>
    <tableColumn id="14" xr3:uid="{00000000-0010-0000-1500-00000E000000}" name="2006-09" dataDxfId="1405"/>
    <tableColumn id="15" xr3:uid="{00000000-0010-0000-1500-00000F000000}" name="2007-10" dataDxfId="1404"/>
    <tableColumn id="16" xr3:uid="{00000000-0010-0000-1500-000010000000}" name="2008-11" dataDxfId="1403"/>
    <tableColumn id="17" xr3:uid="{00000000-0010-0000-1500-000011000000}" name="2009-12" dataDxfId="1402"/>
    <tableColumn id="18" xr3:uid="{00000000-0010-0000-1500-000012000000}" name="2010-13" dataDxfId="1401"/>
    <tableColumn id="19" xr3:uid="{00000000-0010-0000-1500-000013000000}" name="2011-14" dataDxfId="1400"/>
    <tableColumn id="20" xr3:uid="{00000000-0010-0000-1500-000014000000}" name="2012-15" dataDxfId="1399"/>
    <tableColumn id="21" xr3:uid="{00000000-0010-0000-1500-000015000000}" name="2013-16" dataDxfId="1398"/>
    <tableColumn id="22" xr3:uid="{00000000-0010-0000-1500-000016000000}" name="2014-17" dataDxfId="1397"/>
    <tableColumn id="23" xr3:uid="{00000000-0010-0000-1500-000017000000}" name="2015-18" dataDxfId="1396"/>
    <tableColumn id="24" xr3:uid="{00000000-0010-0000-1500-000018000000}" name="2016-19" dataDxfId="1395"/>
    <tableColumn id="25" xr3:uid="{00000000-0010-0000-1500-000019000000}" name="2017-20" dataDxfId="1394"/>
    <tableColumn id="26" xr3:uid="{00000000-0010-0000-1500-00001A000000}" name="2018-21" dataDxfId="1393"/>
    <tableColumn id="27" xr3:uid="{00000000-0010-0000-1500-00001B000000}" name="2019-22" dataDxfId="1392"/>
  </tableColumns>
  <tableStyleInfo name="TableStyleLight1" showFirstColumn="1" showLastColumn="0" showRowStripes="0"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6000000}" name="table3c" displayName="table3c" ref="A19:AA22" totalsRowShown="0" headerRowDxfId="1391" dataDxfId="1390">
  <tableColumns count="27">
    <tableColumn id="1" xr3:uid="{00000000-0010-0000-1600-000001000000}" name="Group" dataDxfId="1389"/>
    <tableColumn id="2" xr3:uid="{00000000-0010-0000-1600-000002000000}" name="1994-97" dataDxfId="1388"/>
    <tableColumn id="3" xr3:uid="{00000000-0010-0000-1600-000003000000}" name="1995-98" dataDxfId="1387"/>
    <tableColumn id="4" xr3:uid="{00000000-0010-0000-1600-000004000000}" name="1996-99" dataDxfId="1386"/>
    <tableColumn id="5" xr3:uid="{00000000-0010-0000-1600-000005000000}" name="1997-00" dataDxfId="1385"/>
    <tableColumn id="6" xr3:uid="{00000000-0010-0000-1600-000006000000}" name="1998-01" dataDxfId="1384"/>
    <tableColumn id="7" xr3:uid="{00000000-0010-0000-1600-000007000000}" name="1999-02" dataDxfId="1383"/>
    <tableColumn id="8" xr3:uid="{00000000-0010-0000-1600-000008000000}" name="2000-03" dataDxfId="1382"/>
    <tableColumn id="9" xr3:uid="{00000000-0010-0000-1600-000009000000}" name="2001-04" dataDxfId="1381"/>
    <tableColumn id="10" xr3:uid="{00000000-0010-0000-1600-00000A000000}" name="2002-05" dataDxfId="1380"/>
    <tableColumn id="11" xr3:uid="{00000000-0010-0000-1600-00000B000000}" name="2003-06" dataDxfId="1379"/>
    <tableColumn id="12" xr3:uid="{00000000-0010-0000-1600-00000C000000}" name="2004-07" dataDxfId="1378"/>
    <tableColumn id="13" xr3:uid="{00000000-0010-0000-1600-00000D000000}" name="2005-08" dataDxfId="1377"/>
    <tableColumn id="14" xr3:uid="{00000000-0010-0000-1600-00000E000000}" name="2006-09" dataDxfId="1376"/>
    <tableColumn id="15" xr3:uid="{00000000-0010-0000-1600-00000F000000}" name="2007-10" dataDxfId="1375"/>
    <tableColumn id="16" xr3:uid="{00000000-0010-0000-1600-000010000000}" name="2008-11" dataDxfId="1374"/>
    <tableColumn id="17" xr3:uid="{00000000-0010-0000-1600-000011000000}" name="2009-12" dataDxfId="1373"/>
    <tableColumn id="18" xr3:uid="{00000000-0010-0000-1600-000012000000}" name="2010-13" dataDxfId="1372"/>
    <tableColumn id="19" xr3:uid="{00000000-0010-0000-1600-000013000000}" name="2011-14" dataDxfId="1371"/>
    <tableColumn id="20" xr3:uid="{00000000-0010-0000-1600-000014000000}" name="2012-15" dataDxfId="1370"/>
    <tableColumn id="21" xr3:uid="{00000000-0010-0000-1600-000015000000}" name="2013-16" dataDxfId="1369"/>
    <tableColumn id="22" xr3:uid="{00000000-0010-0000-1600-000016000000}" name="2014-17" dataDxfId="1368"/>
    <tableColumn id="23" xr3:uid="{00000000-0010-0000-1600-000017000000}" name="2015-18" dataDxfId="1367"/>
    <tableColumn id="24" xr3:uid="{00000000-0010-0000-1600-000018000000}" name="2016-19" dataDxfId="1366"/>
    <tableColumn id="25" xr3:uid="{00000000-0010-0000-1600-000019000000}" name="2017-20" dataDxfId="1365"/>
    <tableColumn id="26" xr3:uid="{00000000-0010-0000-1600-00001A000000}" name="2018-21" dataDxfId="1364"/>
    <tableColumn id="27" xr3:uid="{00000000-0010-0000-1600-00001B000000}" name="2019-22" dataDxfId="1363"/>
  </tableColumns>
  <tableStyleInfo name="TableStyleLight1" showFirstColumn="1" showLastColumn="0" showRowStripes="0"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7000000}" name="table3d" displayName="table3d" ref="A24:AA27" totalsRowShown="0" headerRowDxfId="1362" dataDxfId="1361">
  <tableColumns count="27">
    <tableColumn id="1" xr3:uid="{00000000-0010-0000-1700-000001000000}" name="Group" dataDxfId="1360"/>
    <tableColumn id="2" xr3:uid="{00000000-0010-0000-1700-000002000000}" name="1994-97" dataDxfId="1359"/>
    <tableColumn id="3" xr3:uid="{00000000-0010-0000-1700-000003000000}" name="1995-98" dataDxfId="1358"/>
    <tableColumn id="4" xr3:uid="{00000000-0010-0000-1700-000004000000}" name="1996-99" dataDxfId="1357"/>
    <tableColumn id="5" xr3:uid="{00000000-0010-0000-1700-000005000000}" name="1997-00" dataDxfId="1356"/>
    <tableColumn id="6" xr3:uid="{00000000-0010-0000-1700-000006000000}" name="1998-01" dataDxfId="1355"/>
    <tableColumn id="7" xr3:uid="{00000000-0010-0000-1700-000007000000}" name="1999-02" dataDxfId="1354"/>
    <tableColumn id="8" xr3:uid="{00000000-0010-0000-1700-000008000000}" name="2000-03" dataDxfId="1353"/>
    <tableColumn id="9" xr3:uid="{00000000-0010-0000-1700-000009000000}" name="2001-04" dataDxfId="1352"/>
    <tableColumn id="10" xr3:uid="{00000000-0010-0000-1700-00000A000000}" name="2002-05" dataDxfId="1351"/>
    <tableColumn id="11" xr3:uid="{00000000-0010-0000-1700-00000B000000}" name="2003-06" dataDxfId="1350"/>
    <tableColumn id="12" xr3:uid="{00000000-0010-0000-1700-00000C000000}" name="2004-07" dataDxfId="1349"/>
    <tableColumn id="13" xr3:uid="{00000000-0010-0000-1700-00000D000000}" name="2005-08" dataDxfId="1348"/>
    <tableColumn id="14" xr3:uid="{00000000-0010-0000-1700-00000E000000}" name="2006-09" dataDxfId="1347"/>
    <tableColumn id="15" xr3:uid="{00000000-0010-0000-1700-00000F000000}" name="2007-10" dataDxfId="1346"/>
    <tableColumn id="16" xr3:uid="{00000000-0010-0000-1700-000010000000}" name="2008-11" dataDxfId="1345"/>
    <tableColumn id="17" xr3:uid="{00000000-0010-0000-1700-000011000000}" name="2009-12" dataDxfId="1344"/>
    <tableColumn id="18" xr3:uid="{00000000-0010-0000-1700-000012000000}" name="2010-13" dataDxfId="1343"/>
    <tableColumn id="19" xr3:uid="{00000000-0010-0000-1700-000013000000}" name="2011-14" dataDxfId="1342"/>
    <tableColumn id="20" xr3:uid="{00000000-0010-0000-1700-000014000000}" name="2012-15" dataDxfId="1341"/>
    <tableColumn id="21" xr3:uid="{00000000-0010-0000-1700-000015000000}" name="2013-16" dataDxfId="1340"/>
    <tableColumn id="22" xr3:uid="{00000000-0010-0000-1700-000016000000}" name="2014-17" dataDxfId="1339"/>
    <tableColumn id="23" xr3:uid="{00000000-0010-0000-1700-000017000000}" name="2015-18" dataDxfId="1338"/>
    <tableColumn id="24" xr3:uid="{00000000-0010-0000-1700-000018000000}" name="2016-19" dataDxfId="1337"/>
    <tableColumn id="25" xr3:uid="{00000000-0010-0000-1700-000019000000}" name="2017-20" dataDxfId="1336"/>
    <tableColumn id="26" xr3:uid="{00000000-0010-0000-1700-00001A000000}" name="2018-21" dataDxfId="1335"/>
    <tableColumn id="27" xr3:uid="{00000000-0010-0000-1700-00001B000000}" name="2019-22" dataDxfId="1334"/>
  </tableColumns>
  <tableStyleInfo name="TableStyleLight1" showFirstColumn="1" showLastColumn="0" showRowStripes="0"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8000000}" name="table3e" displayName="table3e" ref="A29:AA32" totalsRowShown="0" headerRowDxfId="1333" dataDxfId="1332">
  <tableColumns count="27">
    <tableColumn id="1" xr3:uid="{00000000-0010-0000-1800-000001000000}" name="Group" dataDxfId="1331"/>
    <tableColumn id="2" xr3:uid="{00000000-0010-0000-1800-000002000000}" name="1994-97" dataDxfId="1330"/>
    <tableColumn id="3" xr3:uid="{00000000-0010-0000-1800-000003000000}" name="1995-98" dataDxfId="1329"/>
    <tableColumn id="4" xr3:uid="{00000000-0010-0000-1800-000004000000}" name="1996-99" dataDxfId="1328"/>
    <tableColumn id="5" xr3:uid="{00000000-0010-0000-1800-000005000000}" name="1997-00" dataDxfId="1327"/>
    <tableColumn id="6" xr3:uid="{00000000-0010-0000-1800-000006000000}" name="1998-01" dataDxfId="1326"/>
    <tableColumn id="7" xr3:uid="{00000000-0010-0000-1800-000007000000}" name="1999-02" dataDxfId="1325"/>
    <tableColumn id="8" xr3:uid="{00000000-0010-0000-1800-000008000000}" name="2000-03" dataDxfId="1324"/>
    <tableColumn id="9" xr3:uid="{00000000-0010-0000-1800-000009000000}" name="2001-04" dataDxfId="1323"/>
    <tableColumn id="10" xr3:uid="{00000000-0010-0000-1800-00000A000000}" name="2002-05" dataDxfId="1322"/>
    <tableColumn id="11" xr3:uid="{00000000-0010-0000-1800-00000B000000}" name="2003-06" dataDxfId="1321"/>
    <tableColumn id="12" xr3:uid="{00000000-0010-0000-1800-00000C000000}" name="2004-07" dataDxfId="1320"/>
    <tableColumn id="13" xr3:uid="{00000000-0010-0000-1800-00000D000000}" name="2005-08" dataDxfId="1319"/>
    <tableColumn id="14" xr3:uid="{00000000-0010-0000-1800-00000E000000}" name="2006-09" dataDxfId="1318"/>
    <tableColumn id="15" xr3:uid="{00000000-0010-0000-1800-00000F000000}" name="2007-10" dataDxfId="1317"/>
    <tableColumn id="16" xr3:uid="{00000000-0010-0000-1800-000010000000}" name="2008-11" dataDxfId="1316"/>
    <tableColumn id="17" xr3:uid="{00000000-0010-0000-1800-000011000000}" name="2009-12" dataDxfId="1315"/>
    <tableColumn id="18" xr3:uid="{00000000-0010-0000-1800-000012000000}" name="2010-13" dataDxfId="1314"/>
    <tableColumn id="19" xr3:uid="{00000000-0010-0000-1800-000013000000}" name="2011-14" dataDxfId="1313"/>
    <tableColumn id="20" xr3:uid="{00000000-0010-0000-1800-000014000000}" name="2012-15" dataDxfId="1312"/>
    <tableColumn id="21" xr3:uid="{00000000-0010-0000-1800-000015000000}" name="2013-16" dataDxfId="1311"/>
    <tableColumn id="22" xr3:uid="{00000000-0010-0000-1800-000016000000}" name="2014-17" dataDxfId="1310"/>
    <tableColumn id="23" xr3:uid="{00000000-0010-0000-1800-000017000000}" name="2015-18" dataDxfId="1309"/>
    <tableColumn id="24" xr3:uid="{00000000-0010-0000-1800-000018000000}" name="2016-19" dataDxfId="1308"/>
    <tableColumn id="25" xr3:uid="{00000000-0010-0000-1800-000019000000}" name="2017-20" dataDxfId="1307"/>
    <tableColumn id="26" xr3:uid="{00000000-0010-0000-1800-00001A000000}" name="2018-21" dataDxfId="1306"/>
    <tableColumn id="27" xr3:uid="{00000000-0010-0000-1800-00001B000000}" name="2019-22" dataDxfId="1305"/>
  </tableColumns>
  <tableStyleInfo name="TableStyleLight1" showFirstColumn="1" showLastColumn="0" showRowStripes="0"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9000000}" name="table3f" displayName="table3f" ref="A34:AA37" totalsRowShown="0" headerRowDxfId="1304" dataDxfId="1303">
  <tableColumns count="27">
    <tableColumn id="1" xr3:uid="{00000000-0010-0000-1900-000001000000}" name="Group" dataDxfId="1302"/>
    <tableColumn id="2" xr3:uid="{00000000-0010-0000-1900-000002000000}" name="1994-97" dataDxfId="1301"/>
    <tableColumn id="3" xr3:uid="{00000000-0010-0000-1900-000003000000}" name="1995-98" dataDxfId="1300"/>
    <tableColumn id="4" xr3:uid="{00000000-0010-0000-1900-000004000000}" name="1996-99" dataDxfId="1299"/>
    <tableColumn id="5" xr3:uid="{00000000-0010-0000-1900-000005000000}" name="1997-00" dataDxfId="1298"/>
    <tableColumn id="6" xr3:uid="{00000000-0010-0000-1900-000006000000}" name="1998-01" dataDxfId="1297"/>
    <tableColumn id="7" xr3:uid="{00000000-0010-0000-1900-000007000000}" name="1999-02" dataDxfId="1296"/>
    <tableColumn id="8" xr3:uid="{00000000-0010-0000-1900-000008000000}" name="2000-03" dataDxfId="1295"/>
    <tableColumn id="9" xr3:uid="{00000000-0010-0000-1900-000009000000}" name="2001-04" dataDxfId="1294"/>
    <tableColumn id="10" xr3:uid="{00000000-0010-0000-1900-00000A000000}" name="2002-05" dataDxfId="1293"/>
    <tableColumn id="11" xr3:uid="{00000000-0010-0000-1900-00000B000000}" name="2003-06" dataDxfId="1292"/>
    <tableColumn id="12" xr3:uid="{00000000-0010-0000-1900-00000C000000}" name="2004-07" dataDxfId="1291"/>
    <tableColumn id="13" xr3:uid="{00000000-0010-0000-1900-00000D000000}" name="2005-08" dataDxfId="1290"/>
    <tableColumn id="14" xr3:uid="{00000000-0010-0000-1900-00000E000000}" name="2006-09" dataDxfId="1289"/>
    <tableColumn id="15" xr3:uid="{00000000-0010-0000-1900-00000F000000}" name="2007-10" dataDxfId="1288"/>
    <tableColumn id="16" xr3:uid="{00000000-0010-0000-1900-000010000000}" name="2008-11" dataDxfId="1287"/>
    <tableColumn id="17" xr3:uid="{00000000-0010-0000-1900-000011000000}" name="2009-12" dataDxfId="1286"/>
    <tableColumn id="18" xr3:uid="{00000000-0010-0000-1900-000012000000}" name="2010-13" dataDxfId="1285"/>
    <tableColumn id="19" xr3:uid="{00000000-0010-0000-1900-000013000000}" name="2011-14" dataDxfId="1284"/>
    <tableColumn id="20" xr3:uid="{00000000-0010-0000-1900-000014000000}" name="2012-15" dataDxfId="1283"/>
    <tableColumn id="21" xr3:uid="{00000000-0010-0000-1900-000015000000}" name="2013-16" dataDxfId="1282"/>
    <tableColumn id="22" xr3:uid="{00000000-0010-0000-1900-000016000000}" name="2014-17" dataDxfId="1281"/>
    <tableColumn id="23" xr3:uid="{00000000-0010-0000-1900-000017000000}" name="2015-18" dataDxfId="1280"/>
    <tableColumn id="24" xr3:uid="{00000000-0010-0000-1900-000018000000}" name="2016-19" dataDxfId="1279"/>
    <tableColumn id="25" xr3:uid="{00000000-0010-0000-1900-000019000000}" name="2017-20" dataDxfId="1278"/>
    <tableColumn id="26" xr3:uid="{00000000-0010-0000-1900-00001A000000}" name="2018-21" dataDxfId="1277"/>
    <tableColumn id="27" xr3:uid="{00000000-0010-0000-1900-00001B000000}" name="2019-22" dataDxfId="1276"/>
  </tableColumns>
  <tableStyleInfo name="TableStyleLight1" showFirstColumn="1" showLastColumn="0" showRowStripes="0"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A000000}" name="table3g" displayName="table3g" ref="A39:AA43" totalsRowShown="0" headerRowDxfId="1275" dataDxfId="1274">
  <tableColumns count="27">
    <tableColumn id="1" xr3:uid="{00000000-0010-0000-1A00-000001000000}" name="Group" dataDxfId="1273"/>
    <tableColumn id="2" xr3:uid="{00000000-0010-0000-1A00-000002000000}" name="1994-97" dataDxfId="1272"/>
    <tableColumn id="3" xr3:uid="{00000000-0010-0000-1A00-000003000000}" name="1995-98" dataDxfId="1271"/>
    <tableColumn id="4" xr3:uid="{00000000-0010-0000-1A00-000004000000}" name="1996-99" dataDxfId="1270"/>
    <tableColumn id="5" xr3:uid="{00000000-0010-0000-1A00-000005000000}" name="1997-00" dataDxfId="1269"/>
    <tableColumn id="6" xr3:uid="{00000000-0010-0000-1A00-000006000000}" name="1998-01" dataDxfId="1268"/>
    <tableColumn id="7" xr3:uid="{00000000-0010-0000-1A00-000007000000}" name="1999-02" dataDxfId="1267"/>
    <tableColumn id="8" xr3:uid="{00000000-0010-0000-1A00-000008000000}" name="2000-03" dataDxfId="1266"/>
    <tableColumn id="9" xr3:uid="{00000000-0010-0000-1A00-000009000000}" name="2001-04" dataDxfId="1265"/>
    <tableColumn id="10" xr3:uid="{00000000-0010-0000-1A00-00000A000000}" name="2002-05" dataDxfId="1264"/>
    <tableColumn id="11" xr3:uid="{00000000-0010-0000-1A00-00000B000000}" name="2003-06" dataDxfId="1263"/>
    <tableColumn id="12" xr3:uid="{00000000-0010-0000-1A00-00000C000000}" name="2004-07" dataDxfId="1262"/>
    <tableColumn id="13" xr3:uid="{00000000-0010-0000-1A00-00000D000000}" name="2005-08" dataDxfId="1261"/>
    <tableColumn id="14" xr3:uid="{00000000-0010-0000-1A00-00000E000000}" name="2006-09" dataDxfId="1260"/>
    <tableColumn id="15" xr3:uid="{00000000-0010-0000-1A00-00000F000000}" name="2007-10" dataDxfId="1259"/>
    <tableColumn id="16" xr3:uid="{00000000-0010-0000-1A00-000010000000}" name="2008-11" dataDxfId="1258"/>
    <tableColumn id="17" xr3:uid="{00000000-0010-0000-1A00-000011000000}" name="2009-12" dataDxfId="1257"/>
    <tableColumn id="18" xr3:uid="{00000000-0010-0000-1A00-000012000000}" name="2010-13" dataDxfId="1256"/>
    <tableColumn id="19" xr3:uid="{00000000-0010-0000-1A00-000013000000}" name="2011-14" dataDxfId="1255"/>
    <tableColumn id="20" xr3:uid="{00000000-0010-0000-1A00-000014000000}" name="2012-15" dataDxfId="1254"/>
    <tableColumn id="21" xr3:uid="{00000000-0010-0000-1A00-000015000000}" name="2013-16" dataDxfId="1253"/>
    <tableColumn id="22" xr3:uid="{00000000-0010-0000-1A00-000016000000}" name="2014-17" dataDxfId="1252"/>
    <tableColumn id="23" xr3:uid="{00000000-0010-0000-1A00-000017000000}" name="2015-18" dataDxfId="1251"/>
    <tableColumn id="24" xr3:uid="{00000000-0010-0000-1A00-000018000000}" name="2016-19" dataDxfId="1250"/>
    <tableColumn id="25" xr3:uid="{00000000-0010-0000-1A00-000019000000}" name="2017-20" dataDxfId="1249"/>
    <tableColumn id="26" xr3:uid="{00000000-0010-0000-1A00-00001A000000}" name="2018-21" dataDxfId="1248"/>
    <tableColumn id="27" xr3:uid="{00000000-0010-0000-1A00-00001B000000}" name="2019-22" dataDxfId="1247"/>
  </tableColumns>
  <tableStyleInfo name="TableStyleLight1" showFirstColumn="1" showLastColumn="0" showRowStripes="0"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B000000}" name="table3h" displayName="table3h" ref="A45:AA49" totalsRowShown="0" headerRowDxfId="1246" dataDxfId="1245">
  <tableColumns count="27">
    <tableColumn id="1" xr3:uid="{00000000-0010-0000-1B00-000001000000}" name="Group" dataDxfId="1244"/>
    <tableColumn id="2" xr3:uid="{00000000-0010-0000-1B00-000002000000}" name="1994-97" dataDxfId="1243"/>
    <tableColumn id="3" xr3:uid="{00000000-0010-0000-1B00-000003000000}" name="1995-98" dataDxfId="1242"/>
    <tableColumn id="4" xr3:uid="{00000000-0010-0000-1B00-000004000000}" name="1996-99" dataDxfId="1241"/>
    <tableColumn id="5" xr3:uid="{00000000-0010-0000-1B00-000005000000}" name="1997-00" dataDxfId="1240"/>
    <tableColumn id="6" xr3:uid="{00000000-0010-0000-1B00-000006000000}" name="1998-01" dataDxfId="1239"/>
    <tableColumn id="7" xr3:uid="{00000000-0010-0000-1B00-000007000000}" name="1999-02" dataDxfId="1238"/>
    <tableColumn id="8" xr3:uid="{00000000-0010-0000-1B00-000008000000}" name="2000-03" dataDxfId="1237"/>
    <tableColumn id="9" xr3:uid="{00000000-0010-0000-1B00-000009000000}" name="2001-04" dataDxfId="1236"/>
    <tableColumn id="10" xr3:uid="{00000000-0010-0000-1B00-00000A000000}" name="2002-05" dataDxfId="1235"/>
    <tableColumn id="11" xr3:uid="{00000000-0010-0000-1B00-00000B000000}" name="2003-06" dataDxfId="1234"/>
    <tableColumn id="12" xr3:uid="{00000000-0010-0000-1B00-00000C000000}" name="2004-07" dataDxfId="1233"/>
    <tableColumn id="13" xr3:uid="{00000000-0010-0000-1B00-00000D000000}" name="2005-08" dataDxfId="1232"/>
    <tableColumn id="14" xr3:uid="{00000000-0010-0000-1B00-00000E000000}" name="2006-09" dataDxfId="1231"/>
    <tableColumn id="15" xr3:uid="{00000000-0010-0000-1B00-00000F000000}" name="2007-10" dataDxfId="1230"/>
    <tableColumn id="16" xr3:uid="{00000000-0010-0000-1B00-000010000000}" name="2008-11" dataDxfId="1229"/>
    <tableColumn id="17" xr3:uid="{00000000-0010-0000-1B00-000011000000}" name="2009-12" dataDxfId="1228"/>
    <tableColumn id="18" xr3:uid="{00000000-0010-0000-1B00-000012000000}" name="2010-13" dataDxfId="1227"/>
    <tableColumn id="19" xr3:uid="{00000000-0010-0000-1B00-000013000000}" name="2011-14" dataDxfId="1226"/>
    <tableColumn id="20" xr3:uid="{00000000-0010-0000-1B00-000014000000}" name="2012-15" dataDxfId="1225"/>
    <tableColumn id="21" xr3:uid="{00000000-0010-0000-1B00-000015000000}" name="2013-16" dataDxfId="1224"/>
    <tableColumn id="22" xr3:uid="{00000000-0010-0000-1B00-000016000000}" name="2014-17" dataDxfId="1223"/>
    <tableColumn id="23" xr3:uid="{00000000-0010-0000-1B00-000017000000}" name="2015-18" dataDxfId="1222"/>
    <tableColumn id="24" xr3:uid="{00000000-0010-0000-1B00-000018000000}" name="2016-19" dataDxfId="1221"/>
    <tableColumn id="25" xr3:uid="{00000000-0010-0000-1B00-000019000000}" name="2017-20" dataDxfId="1220"/>
    <tableColumn id="26" xr3:uid="{00000000-0010-0000-1B00-00001A000000}" name="2018-21" dataDxfId="1219"/>
    <tableColumn id="27" xr3:uid="{00000000-0010-0000-1B00-00001B000000}" name="2019-22" dataDxfId="1218"/>
  </tableColumns>
  <tableStyleInfo name="TableStyleLight1" showFirstColumn="1" showLastColumn="0" showRowStripes="0"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C000000}" name="table3i" displayName="table3i" ref="A51:AA55" totalsRowShown="0" headerRowDxfId="1217" dataDxfId="1216">
  <tableColumns count="27">
    <tableColumn id="1" xr3:uid="{00000000-0010-0000-1C00-000001000000}" name="Group" dataDxfId="1215"/>
    <tableColumn id="2" xr3:uid="{00000000-0010-0000-1C00-000002000000}" name="1994-97" dataDxfId="1214"/>
    <tableColumn id="3" xr3:uid="{00000000-0010-0000-1C00-000003000000}" name="1995-98" dataDxfId="1213"/>
    <tableColumn id="4" xr3:uid="{00000000-0010-0000-1C00-000004000000}" name="1996-99" dataDxfId="1212"/>
    <tableColumn id="5" xr3:uid="{00000000-0010-0000-1C00-000005000000}" name="1997-00" dataDxfId="1211"/>
    <tableColumn id="6" xr3:uid="{00000000-0010-0000-1C00-000006000000}" name="1998-01" dataDxfId="1210"/>
    <tableColumn id="7" xr3:uid="{00000000-0010-0000-1C00-000007000000}" name="1999-02" dataDxfId="1209"/>
    <tableColumn id="8" xr3:uid="{00000000-0010-0000-1C00-000008000000}" name="2000-03" dataDxfId="1208"/>
    <tableColumn id="9" xr3:uid="{00000000-0010-0000-1C00-000009000000}" name="2001-04" dataDxfId="1207"/>
    <tableColumn id="10" xr3:uid="{00000000-0010-0000-1C00-00000A000000}" name="2002-05" dataDxfId="1206"/>
    <tableColumn id="11" xr3:uid="{00000000-0010-0000-1C00-00000B000000}" name="2003-06" dataDxfId="1205"/>
    <tableColumn id="12" xr3:uid="{00000000-0010-0000-1C00-00000C000000}" name="2004-07" dataDxfId="1204"/>
    <tableColumn id="13" xr3:uid="{00000000-0010-0000-1C00-00000D000000}" name="2005-08" dataDxfId="1203"/>
    <tableColumn id="14" xr3:uid="{00000000-0010-0000-1C00-00000E000000}" name="2006-09" dataDxfId="1202"/>
    <tableColumn id="15" xr3:uid="{00000000-0010-0000-1C00-00000F000000}" name="2007-10" dataDxfId="1201"/>
    <tableColumn id="16" xr3:uid="{00000000-0010-0000-1C00-000010000000}" name="2008-11" dataDxfId="1200"/>
    <tableColumn id="17" xr3:uid="{00000000-0010-0000-1C00-000011000000}" name="2009-12" dataDxfId="1199"/>
    <tableColumn id="18" xr3:uid="{00000000-0010-0000-1C00-000012000000}" name="2010-13" dataDxfId="1198"/>
    <tableColumn id="19" xr3:uid="{00000000-0010-0000-1C00-000013000000}" name="2011-14" dataDxfId="1197"/>
    <tableColumn id="20" xr3:uid="{00000000-0010-0000-1C00-000014000000}" name="2012-15" dataDxfId="1196"/>
    <tableColumn id="21" xr3:uid="{00000000-0010-0000-1C00-000015000000}" name="2013-16" dataDxfId="1195"/>
    <tableColumn id="22" xr3:uid="{00000000-0010-0000-1C00-000016000000}" name="2014-17" dataDxfId="1194"/>
    <tableColumn id="23" xr3:uid="{00000000-0010-0000-1C00-000017000000}" name="2015-18" dataDxfId="1193"/>
    <tableColumn id="24" xr3:uid="{00000000-0010-0000-1C00-000018000000}" name="2016-19" dataDxfId="1192"/>
    <tableColumn id="25" xr3:uid="{00000000-0010-0000-1C00-000019000000}" name="2017-20" dataDxfId="1191"/>
    <tableColumn id="26" xr3:uid="{00000000-0010-0000-1C00-00001A000000}" name="2018-21" dataDxfId="1190"/>
    <tableColumn id="27" xr3:uid="{00000000-0010-0000-1C00-00001B000000}" name="2019-22" dataDxfId="1189"/>
  </tableColumns>
  <tableStyleInfo name="TableStyleLight1" showFirstColumn="1" showLastColumn="0" showRowStripes="0"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D000000}" name="table3j" displayName="table3j" ref="A57:AA60" totalsRowShown="0" headerRowDxfId="1188" dataDxfId="1187">
  <tableColumns count="27">
    <tableColumn id="1" xr3:uid="{00000000-0010-0000-1D00-000001000000}" name="Group" dataDxfId="1186"/>
    <tableColumn id="2" xr3:uid="{00000000-0010-0000-1D00-000002000000}" name="1994-97" dataDxfId="1185"/>
    <tableColumn id="3" xr3:uid="{00000000-0010-0000-1D00-000003000000}" name="1995-98" dataDxfId="1184"/>
    <tableColumn id="4" xr3:uid="{00000000-0010-0000-1D00-000004000000}" name="1996-99" dataDxfId="1183"/>
    <tableColumn id="5" xr3:uid="{00000000-0010-0000-1D00-000005000000}" name="1997-00" dataDxfId="1182"/>
    <tableColumn id="6" xr3:uid="{00000000-0010-0000-1D00-000006000000}" name="1998-01" dataDxfId="1181"/>
    <tableColumn id="7" xr3:uid="{00000000-0010-0000-1D00-000007000000}" name="1999-02" dataDxfId="1180"/>
    <tableColumn id="8" xr3:uid="{00000000-0010-0000-1D00-000008000000}" name="2000-03" dataDxfId="1179"/>
    <tableColumn id="9" xr3:uid="{00000000-0010-0000-1D00-000009000000}" name="2001-04" dataDxfId="1178"/>
    <tableColumn id="10" xr3:uid="{00000000-0010-0000-1D00-00000A000000}" name="2002-05" dataDxfId="1177"/>
    <tableColumn id="11" xr3:uid="{00000000-0010-0000-1D00-00000B000000}" name="2003-06" dataDxfId="1176"/>
    <tableColumn id="12" xr3:uid="{00000000-0010-0000-1D00-00000C000000}" name="2004-07" dataDxfId="1175"/>
    <tableColumn id="13" xr3:uid="{00000000-0010-0000-1D00-00000D000000}" name="2005-08" dataDxfId="1174"/>
    <tableColumn id="14" xr3:uid="{00000000-0010-0000-1D00-00000E000000}" name="2006-09" dataDxfId="1173"/>
    <tableColumn id="15" xr3:uid="{00000000-0010-0000-1D00-00000F000000}" name="2007-10" dataDxfId="1172"/>
    <tableColumn id="16" xr3:uid="{00000000-0010-0000-1D00-000010000000}" name="2008-11" dataDxfId="1171"/>
    <tableColumn id="17" xr3:uid="{00000000-0010-0000-1D00-000011000000}" name="2009-12" dataDxfId="1170"/>
    <tableColumn id="18" xr3:uid="{00000000-0010-0000-1D00-000012000000}" name="2010-13" dataDxfId="1169"/>
    <tableColumn id="19" xr3:uid="{00000000-0010-0000-1D00-000013000000}" name="2011-14" dataDxfId="1168"/>
    <tableColumn id="20" xr3:uid="{00000000-0010-0000-1D00-000014000000}" name="2012-15" dataDxfId="1167"/>
    <tableColumn id="21" xr3:uid="{00000000-0010-0000-1D00-000015000000}" name="2013-16" dataDxfId="1166"/>
    <tableColumn id="22" xr3:uid="{00000000-0010-0000-1D00-000016000000}" name="2014-17" dataDxfId="1165"/>
    <tableColumn id="23" xr3:uid="{00000000-0010-0000-1D00-000017000000}" name="2015-18" dataDxfId="1164"/>
    <tableColumn id="24" xr3:uid="{00000000-0010-0000-1D00-000018000000}" name="2016-19" dataDxfId="1163"/>
    <tableColumn id="25" xr3:uid="{00000000-0010-0000-1D00-000019000000}" name="2017-20" dataDxfId="1162"/>
    <tableColumn id="26" xr3:uid="{00000000-0010-0000-1D00-00001A000000}" name="2018-21" dataDxfId="1161"/>
    <tableColumn id="27" xr3:uid="{00000000-0010-0000-1D00-00001B000000}" name="2019-22" dataDxfId="1160"/>
  </tableColumns>
  <tableStyleInfo name="TableStyleLight1" showFirstColumn="1" showLastColumn="0" showRowStripes="0"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1E000000}" name="table4a" displayName="table4a" ref="A9:AA12" totalsRowShown="0" headerRowDxfId="1159" dataDxfId="1158">
  <tableColumns count="27">
    <tableColumn id="1" xr3:uid="{00000000-0010-0000-1E00-000001000000}" name="Group" dataDxfId="1157"/>
    <tableColumn id="2" xr3:uid="{00000000-0010-0000-1E00-000002000000}" name="1994-97" dataDxfId="1156"/>
    <tableColumn id="3" xr3:uid="{00000000-0010-0000-1E00-000003000000}" name="1995-98" dataDxfId="1155"/>
    <tableColumn id="4" xr3:uid="{00000000-0010-0000-1E00-000004000000}" name="1996-99" dataDxfId="1154"/>
    <tableColumn id="5" xr3:uid="{00000000-0010-0000-1E00-000005000000}" name="1997-00" dataDxfId="1153"/>
    <tableColumn id="6" xr3:uid="{00000000-0010-0000-1E00-000006000000}" name="1998-01" dataDxfId="1152"/>
    <tableColumn id="7" xr3:uid="{00000000-0010-0000-1E00-000007000000}" name="1999-02" dataDxfId="1151"/>
    <tableColumn id="8" xr3:uid="{00000000-0010-0000-1E00-000008000000}" name="2000-03" dataDxfId="1150"/>
    <tableColumn id="9" xr3:uid="{00000000-0010-0000-1E00-000009000000}" name="2001-04" dataDxfId="1149"/>
    <tableColumn id="10" xr3:uid="{00000000-0010-0000-1E00-00000A000000}" name="2002-05" dataDxfId="1148"/>
    <tableColumn id="11" xr3:uid="{00000000-0010-0000-1E00-00000B000000}" name="2003-06" dataDxfId="1147"/>
    <tableColumn id="12" xr3:uid="{00000000-0010-0000-1E00-00000C000000}" name="2004-07" dataDxfId="1146"/>
    <tableColumn id="13" xr3:uid="{00000000-0010-0000-1E00-00000D000000}" name="2005-08" dataDxfId="1145"/>
    <tableColumn id="14" xr3:uid="{00000000-0010-0000-1E00-00000E000000}" name="2006-09" dataDxfId="1144"/>
    <tableColumn id="15" xr3:uid="{00000000-0010-0000-1E00-00000F000000}" name="2007-10" dataDxfId="1143"/>
    <tableColumn id="16" xr3:uid="{00000000-0010-0000-1E00-000010000000}" name="2008-11" dataDxfId="1142"/>
    <tableColumn id="17" xr3:uid="{00000000-0010-0000-1E00-000011000000}" name="2009-12" dataDxfId="1141"/>
    <tableColumn id="18" xr3:uid="{00000000-0010-0000-1E00-000012000000}" name="2010-13" dataDxfId="1140"/>
    <tableColumn id="19" xr3:uid="{00000000-0010-0000-1E00-000013000000}" name="2011-14" dataDxfId="1139"/>
    <tableColumn id="20" xr3:uid="{00000000-0010-0000-1E00-000014000000}" name="2012-15" dataDxfId="1138"/>
    <tableColumn id="21" xr3:uid="{00000000-0010-0000-1E00-000015000000}" name="2013-16" dataDxfId="1137"/>
    <tableColumn id="22" xr3:uid="{00000000-0010-0000-1E00-000016000000}" name="2014-17" dataDxfId="1136"/>
    <tableColumn id="23" xr3:uid="{00000000-0010-0000-1E00-000017000000}" name="2015-18" dataDxfId="1135"/>
    <tableColumn id="24" xr3:uid="{00000000-0010-0000-1E00-000018000000}" name="2016-19" dataDxfId="1134"/>
    <tableColumn id="25" xr3:uid="{00000000-0010-0000-1E00-000019000000}" name="2017-20" dataDxfId="1133"/>
    <tableColumn id="26" xr3:uid="{00000000-0010-0000-1E00-00001A000000}" name="2018-21" dataDxfId="1132"/>
    <tableColumn id="27" xr3:uid="{00000000-0010-0000-1E00-00001B000000}" name="2019-22" dataDxfId="1131"/>
  </tableColumns>
  <tableStyleInfo name="TableStyleLight1" showFirstColumn="1" showLastColumn="0" showRowStripes="0"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1F000000}" name="table4b" displayName="table4b" ref="A14:AA17" totalsRowShown="0" headerRowDxfId="1130" dataDxfId="1129">
  <tableColumns count="27">
    <tableColumn id="1" xr3:uid="{00000000-0010-0000-1F00-000001000000}" name="Group" dataDxfId="1128"/>
    <tableColumn id="2" xr3:uid="{00000000-0010-0000-1F00-000002000000}" name="1994-97" dataDxfId="1127"/>
    <tableColumn id="3" xr3:uid="{00000000-0010-0000-1F00-000003000000}" name="1995-98" dataDxfId="1126"/>
    <tableColumn id="4" xr3:uid="{00000000-0010-0000-1F00-000004000000}" name="1996-99" dataDxfId="1125"/>
    <tableColumn id="5" xr3:uid="{00000000-0010-0000-1F00-000005000000}" name="1997-00" dataDxfId="1124"/>
    <tableColumn id="6" xr3:uid="{00000000-0010-0000-1F00-000006000000}" name="1998-01" dataDxfId="1123"/>
    <tableColumn id="7" xr3:uid="{00000000-0010-0000-1F00-000007000000}" name="1999-02" dataDxfId="1122"/>
    <tableColumn id="8" xr3:uid="{00000000-0010-0000-1F00-000008000000}" name="2000-03" dataDxfId="1121"/>
    <tableColumn id="9" xr3:uid="{00000000-0010-0000-1F00-000009000000}" name="2001-04" dataDxfId="1120"/>
    <tableColumn id="10" xr3:uid="{00000000-0010-0000-1F00-00000A000000}" name="2002-05" dataDxfId="1119"/>
    <tableColumn id="11" xr3:uid="{00000000-0010-0000-1F00-00000B000000}" name="2003-06" dataDxfId="1118"/>
    <tableColumn id="12" xr3:uid="{00000000-0010-0000-1F00-00000C000000}" name="2004-07" dataDxfId="1117"/>
    <tableColumn id="13" xr3:uid="{00000000-0010-0000-1F00-00000D000000}" name="2005-08" dataDxfId="1116"/>
    <tableColumn id="14" xr3:uid="{00000000-0010-0000-1F00-00000E000000}" name="2006-09" dataDxfId="1115"/>
    <tableColumn id="15" xr3:uid="{00000000-0010-0000-1F00-00000F000000}" name="2007-10" dataDxfId="1114"/>
    <tableColumn id="16" xr3:uid="{00000000-0010-0000-1F00-000010000000}" name="2008-11" dataDxfId="1113"/>
    <tableColumn id="17" xr3:uid="{00000000-0010-0000-1F00-000011000000}" name="2009-12" dataDxfId="1112"/>
    <tableColumn id="18" xr3:uid="{00000000-0010-0000-1F00-000012000000}" name="2010-13" dataDxfId="1111"/>
    <tableColumn id="19" xr3:uid="{00000000-0010-0000-1F00-000013000000}" name="2011-14" dataDxfId="1110"/>
    <tableColumn id="20" xr3:uid="{00000000-0010-0000-1F00-000014000000}" name="2012-15" dataDxfId="1109"/>
    <tableColumn id="21" xr3:uid="{00000000-0010-0000-1F00-000015000000}" name="2013-16" dataDxfId="1108"/>
    <tableColumn id="22" xr3:uid="{00000000-0010-0000-1F00-000016000000}" name="2014-17" dataDxfId="1107"/>
    <tableColumn id="23" xr3:uid="{00000000-0010-0000-1F00-000017000000}" name="2015-18" dataDxfId="1106"/>
    <tableColumn id="24" xr3:uid="{00000000-0010-0000-1F00-000018000000}" name="2016-19" dataDxfId="1105"/>
    <tableColumn id="25" xr3:uid="{00000000-0010-0000-1F00-000019000000}" name="2017-20" dataDxfId="1104"/>
    <tableColumn id="26" xr3:uid="{00000000-0010-0000-1F00-00001A000000}" name="2018-21" dataDxfId="1103"/>
    <tableColumn id="27" xr3:uid="{00000000-0010-0000-1F00-00001B000000}" name="2019-22" dataDxfId="1102"/>
  </tableColumns>
  <tableStyleInfo name="TableStyleLight1" showFirstColumn="1" showLastColumn="0" showRowStripes="0"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0000000}" name="table4c" displayName="table4c" ref="A19:AA22" totalsRowShown="0" headerRowDxfId="1101" dataDxfId="1100">
  <tableColumns count="27">
    <tableColumn id="1" xr3:uid="{00000000-0010-0000-2000-000001000000}" name="Group" dataDxfId="1099"/>
    <tableColumn id="2" xr3:uid="{00000000-0010-0000-2000-000002000000}" name="1994-97" dataDxfId="1098"/>
    <tableColumn id="3" xr3:uid="{00000000-0010-0000-2000-000003000000}" name="1995-98" dataDxfId="1097"/>
    <tableColumn id="4" xr3:uid="{00000000-0010-0000-2000-000004000000}" name="1996-99" dataDxfId="1096"/>
    <tableColumn id="5" xr3:uid="{00000000-0010-0000-2000-000005000000}" name="1997-00" dataDxfId="1095"/>
    <tableColumn id="6" xr3:uid="{00000000-0010-0000-2000-000006000000}" name="1998-01" dataDxfId="1094"/>
    <tableColumn id="7" xr3:uid="{00000000-0010-0000-2000-000007000000}" name="1999-02" dataDxfId="1093"/>
    <tableColumn id="8" xr3:uid="{00000000-0010-0000-2000-000008000000}" name="2000-03" dataDxfId="1092"/>
    <tableColumn id="9" xr3:uid="{00000000-0010-0000-2000-000009000000}" name="2001-04" dataDxfId="1091"/>
    <tableColumn id="10" xr3:uid="{00000000-0010-0000-2000-00000A000000}" name="2002-05" dataDxfId="1090"/>
    <tableColumn id="11" xr3:uid="{00000000-0010-0000-2000-00000B000000}" name="2003-06" dataDxfId="1089"/>
    <tableColumn id="12" xr3:uid="{00000000-0010-0000-2000-00000C000000}" name="2004-07" dataDxfId="1088"/>
    <tableColumn id="13" xr3:uid="{00000000-0010-0000-2000-00000D000000}" name="2005-08" dataDxfId="1087"/>
    <tableColumn id="14" xr3:uid="{00000000-0010-0000-2000-00000E000000}" name="2006-09" dataDxfId="1086"/>
    <tableColumn id="15" xr3:uid="{00000000-0010-0000-2000-00000F000000}" name="2007-10" dataDxfId="1085"/>
    <tableColumn id="16" xr3:uid="{00000000-0010-0000-2000-000010000000}" name="2008-11" dataDxfId="1084"/>
    <tableColumn id="17" xr3:uid="{00000000-0010-0000-2000-000011000000}" name="2009-12" dataDxfId="1083"/>
    <tableColumn id="18" xr3:uid="{00000000-0010-0000-2000-000012000000}" name="2010-13" dataDxfId="1082"/>
    <tableColumn id="19" xr3:uid="{00000000-0010-0000-2000-000013000000}" name="2011-14" dataDxfId="1081"/>
    <tableColumn id="20" xr3:uid="{00000000-0010-0000-2000-000014000000}" name="2012-15" dataDxfId="1080"/>
    <tableColumn id="21" xr3:uid="{00000000-0010-0000-2000-000015000000}" name="2013-16" dataDxfId="1079"/>
    <tableColumn id="22" xr3:uid="{00000000-0010-0000-2000-000016000000}" name="2014-17" dataDxfId="1078"/>
    <tableColumn id="23" xr3:uid="{00000000-0010-0000-2000-000017000000}" name="2015-18" dataDxfId="1077"/>
    <tableColumn id="24" xr3:uid="{00000000-0010-0000-2000-000018000000}" name="2016-19" dataDxfId="1076"/>
    <tableColumn id="25" xr3:uid="{00000000-0010-0000-2000-000019000000}" name="2017-20" dataDxfId="1075"/>
    <tableColumn id="26" xr3:uid="{00000000-0010-0000-2000-00001A000000}" name="2018-21" dataDxfId="1074"/>
    <tableColumn id="27" xr3:uid="{00000000-0010-0000-2000-00001B000000}" name="2019-22" dataDxfId="1073"/>
  </tableColumns>
  <tableStyleInfo name="TableStyleLight1" showFirstColumn="1" showLastColumn="0" showRowStripes="0"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1000000}" name="table4d" displayName="table4d" ref="A24:AA27" totalsRowShown="0" headerRowDxfId="1072" dataDxfId="1071">
  <tableColumns count="27">
    <tableColumn id="1" xr3:uid="{00000000-0010-0000-2100-000001000000}" name="Group" dataDxfId="1070"/>
    <tableColumn id="2" xr3:uid="{00000000-0010-0000-2100-000002000000}" name="1994-97" dataDxfId="1069"/>
    <tableColumn id="3" xr3:uid="{00000000-0010-0000-2100-000003000000}" name="1995-98" dataDxfId="1068"/>
    <tableColumn id="4" xr3:uid="{00000000-0010-0000-2100-000004000000}" name="1996-99" dataDxfId="1067"/>
    <tableColumn id="5" xr3:uid="{00000000-0010-0000-2100-000005000000}" name="1997-00" dataDxfId="1066"/>
    <tableColumn id="6" xr3:uid="{00000000-0010-0000-2100-000006000000}" name="1998-01" dataDxfId="1065"/>
    <tableColumn id="7" xr3:uid="{00000000-0010-0000-2100-000007000000}" name="1999-02" dataDxfId="1064"/>
    <tableColumn id="8" xr3:uid="{00000000-0010-0000-2100-000008000000}" name="2000-03" dataDxfId="1063"/>
    <tableColumn id="9" xr3:uid="{00000000-0010-0000-2100-000009000000}" name="2001-04" dataDxfId="1062"/>
    <tableColumn id="10" xr3:uid="{00000000-0010-0000-2100-00000A000000}" name="2002-05" dataDxfId="1061"/>
    <tableColumn id="11" xr3:uid="{00000000-0010-0000-2100-00000B000000}" name="2003-06" dataDxfId="1060"/>
    <tableColumn id="12" xr3:uid="{00000000-0010-0000-2100-00000C000000}" name="2004-07" dataDxfId="1059"/>
    <tableColumn id="13" xr3:uid="{00000000-0010-0000-2100-00000D000000}" name="2005-08" dataDxfId="1058"/>
    <tableColumn id="14" xr3:uid="{00000000-0010-0000-2100-00000E000000}" name="2006-09" dataDxfId="1057"/>
    <tableColumn id="15" xr3:uid="{00000000-0010-0000-2100-00000F000000}" name="2007-10" dataDxfId="1056"/>
    <tableColumn id="16" xr3:uid="{00000000-0010-0000-2100-000010000000}" name="2008-11" dataDxfId="1055"/>
    <tableColumn id="17" xr3:uid="{00000000-0010-0000-2100-000011000000}" name="2009-12" dataDxfId="1054"/>
    <tableColumn id="18" xr3:uid="{00000000-0010-0000-2100-000012000000}" name="2010-13" dataDxfId="1053"/>
    <tableColumn id="19" xr3:uid="{00000000-0010-0000-2100-000013000000}" name="2011-14" dataDxfId="1052"/>
    <tableColumn id="20" xr3:uid="{00000000-0010-0000-2100-000014000000}" name="2012-15" dataDxfId="1051"/>
    <tableColumn id="21" xr3:uid="{00000000-0010-0000-2100-000015000000}" name="2013-16" dataDxfId="1050"/>
    <tableColumn id="22" xr3:uid="{00000000-0010-0000-2100-000016000000}" name="2014-17" dataDxfId="1049"/>
    <tableColumn id="23" xr3:uid="{00000000-0010-0000-2100-000017000000}" name="2015-18" dataDxfId="1048"/>
    <tableColumn id="24" xr3:uid="{00000000-0010-0000-2100-000018000000}" name="2016-19" dataDxfId="1047"/>
    <tableColumn id="25" xr3:uid="{00000000-0010-0000-2100-000019000000}" name="2017-20" dataDxfId="1046"/>
    <tableColumn id="26" xr3:uid="{00000000-0010-0000-2100-00001A000000}" name="2018-21" dataDxfId="1045"/>
    <tableColumn id="27" xr3:uid="{00000000-0010-0000-2100-00001B000000}" name="2019-22" dataDxfId="1044"/>
  </tableColumns>
  <tableStyleInfo name="TableStyleLight1" showFirstColumn="1" showLastColumn="0" showRowStripes="0"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2000000}" name="table4e" displayName="table4e" ref="A29:AA32" totalsRowShown="0" headerRowDxfId="1043" dataDxfId="1042">
  <tableColumns count="27">
    <tableColumn id="1" xr3:uid="{00000000-0010-0000-2200-000001000000}" name="Group" dataDxfId="1041"/>
    <tableColumn id="2" xr3:uid="{00000000-0010-0000-2200-000002000000}" name="1994-97" dataDxfId="1040"/>
    <tableColumn id="3" xr3:uid="{00000000-0010-0000-2200-000003000000}" name="1995-98" dataDxfId="1039"/>
    <tableColumn id="4" xr3:uid="{00000000-0010-0000-2200-000004000000}" name="1996-99" dataDxfId="1038"/>
    <tableColumn id="5" xr3:uid="{00000000-0010-0000-2200-000005000000}" name="1997-00" dataDxfId="1037"/>
    <tableColumn id="6" xr3:uid="{00000000-0010-0000-2200-000006000000}" name="1998-01" dataDxfId="1036"/>
    <tableColumn id="7" xr3:uid="{00000000-0010-0000-2200-000007000000}" name="1999-02" dataDxfId="1035"/>
    <tableColumn id="8" xr3:uid="{00000000-0010-0000-2200-000008000000}" name="2000-03" dataDxfId="1034"/>
    <tableColumn id="9" xr3:uid="{00000000-0010-0000-2200-000009000000}" name="2001-04" dataDxfId="1033"/>
    <tableColumn id="10" xr3:uid="{00000000-0010-0000-2200-00000A000000}" name="2002-05" dataDxfId="1032"/>
    <tableColumn id="11" xr3:uid="{00000000-0010-0000-2200-00000B000000}" name="2003-06" dataDxfId="1031"/>
    <tableColumn id="12" xr3:uid="{00000000-0010-0000-2200-00000C000000}" name="2004-07" dataDxfId="1030"/>
    <tableColumn id="13" xr3:uid="{00000000-0010-0000-2200-00000D000000}" name="2005-08" dataDxfId="1029"/>
    <tableColumn id="14" xr3:uid="{00000000-0010-0000-2200-00000E000000}" name="2006-09" dataDxfId="1028"/>
    <tableColumn id="15" xr3:uid="{00000000-0010-0000-2200-00000F000000}" name="2007-10" dataDxfId="1027"/>
    <tableColumn id="16" xr3:uid="{00000000-0010-0000-2200-000010000000}" name="2008-11" dataDxfId="1026"/>
    <tableColumn id="17" xr3:uid="{00000000-0010-0000-2200-000011000000}" name="2009-12" dataDxfId="1025"/>
    <tableColumn id="18" xr3:uid="{00000000-0010-0000-2200-000012000000}" name="2010-13" dataDxfId="1024"/>
    <tableColumn id="19" xr3:uid="{00000000-0010-0000-2200-000013000000}" name="2011-14" dataDxfId="1023"/>
    <tableColumn id="20" xr3:uid="{00000000-0010-0000-2200-000014000000}" name="2012-15" dataDxfId="1022"/>
    <tableColumn id="21" xr3:uid="{00000000-0010-0000-2200-000015000000}" name="2013-16" dataDxfId="1021"/>
    <tableColumn id="22" xr3:uid="{00000000-0010-0000-2200-000016000000}" name="2014-17" dataDxfId="1020"/>
    <tableColumn id="23" xr3:uid="{00000000-0010-0000-2200-000017000000}" name="2015-18" dataDxfId="1019"/>
    <tableColumn id="24" xr3:uid="{00000000-0010-0000-2200-000018000000}" name="2016-19" dataDxfId="1018"/>
    <tableColumn id="25" xr3:uid="{00000000-0010-0000-2200-000019000000}" name="2017-20" dataDxfId="1017"/>
    <tableColumn id="26" xr3:uid="{00000000-0010-0000-2200-00001A000000}" name="2018-21" dataDxfId="1016"/>
    <tableColumn id="27" xr3:uid="{00000000-0010-0000-2200-00001B000000}" name="2019-22" dataDxfId="1015"/>
  </tableColumns>
  <tableStyleInfo name="TableStyleLight1" showFirstColumn="1" showLastColumn="0" showRowStripes="0"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3000000}" name="table4f" displayName="table4f" ref="A34:AA37" totalsRowShown="0" headerRowDxfId="1014" dataDxfId="1013">
  <tableColumns count="27">
    <tableColumn id="1" xr3:uid="{00000000-0010-0000-2300-000001000000}" name="Group" dataDxfId="1012"/>
    <tableColumn id="2" xr3:uid="{00000000-0010-0000-2300-000002000000}" name="1994-97" dataDxfId="1011"/>
    <tableColumn id="3" xr3:uid="{00000000-0010-0000-2300-000003000000}" name="1995-98" dataDxfId="1010"/>
    <tableColumn id="4" xr3:uid="{00000000-0010-0000-2300-000004000000}" name="1996-99" dataDxfId="1009"/>
    <tableColumn id="5" xr3:uid="{00000000-0010-0000-2300-000005000000}" name="1997-00" dataDxfId="1008"/>
    <tableColumn id="6" xr3:uid="{00000000-0010-0000-2300-000006000000}" name="1998-01" dataDxfId="1007"/>
    <tableColumn id="7" xr3:uid="{00000000-0010-0000-2300-000007000000}" name="1999-02" dataDxfId="1006"/>
    <tableColumn id="8" xr3:uid="{00000000-0010-0000-2300-000008000000}" name="2000-03" dataDxfId="1005"/>
    <tableColumn id="9" xr3:uid="{00000000-0010-0000-2300-000009000000}" name="2001-04" dataDxfId="1004"/>
    <tableColumn id="10" xr3:uid="{00000000-0010-0000-2300-00000A000000}" name="2002-05" dataDxfId="1003"/>
    <tableColumn id="11" xr3:uid="{00000000-0010-0000-2300-00000B000000}" name="2003-06" dataDxfId="1002"/>
    <tableColumn id="12" xr3:uid="{00000000-0010-0000-2300-00000C000000}" name="2004-07" dataDxfId="1001"/>
    <tableColumn id="13" xr3:uid="{00000000-0010-0000-2300-00000D000000}" name="2005-08" dataDxfId="1000"/>
    <tableColumn id="14" xr3:uid="{00000000-0010-0000-2300-00000E000000}" name="2006-09" dataDxfId="999"/>
    <tableColumn id="15" xr3:uid="{00000000-0010-0000-2300-00000F000000}" name="2007-10" dataDxfId="998"/>
    <tableColumn id="16" xr3:uid="{00000000-0010-0000-2300-000010000000}" name="2008-11" dataDxfId="997"/>
    <tableColumn id="17" xr3:uid="{00000000-0010-0000-2300-000011000000}" name="2009-12" dataDxfId="996"/>
    <tableColumn id="18" xr3:uid="{00000000-0010-0000-2300-000012000000}" name="2010-13" dataDxfId="995"/>
    <tableColumn id="19" xr3:uid="{00000000-0010-0000-2300-000013000000}" name="2011-14" dataDxfId="994"/>
    <tableColumn id="20" xr3:uid="{00000000-0010-0000-2300-000014000000}" name="2012-15" dataDxfId="993"/>
    <tableColumn id="21" xr3:uid="{00000000-0010-0000-2300-000015000000}" name="2013-16" dataDxfId="992"/>
    <tableColumn id="22" xr3:uid="{00000000-0010-0000-2300-000016000000}" name="2014-17" dataDxfId="991"/>
    <tableColumn id="23" xr3:uid="{00000000-0010-0000-2300-000017000000}" name="2015-18" dataDxfId="990"/>
    <tableColumn id="24" xr3:uid="{00000000-0010-0000-2300-000018000000}" name="2016-19" dataDxfId="989"/>
    <tableColumn id="25" xr3:uid="{00000000-0010-0000-2300-000019000000}" name="2017-20" dataDxfId="988"/>
    <tableColumn id="26" xr3:uid="{00000000-0010-0000-2300-00001A000000}" name="2018-21" dataDxfId="987"/>
    <tableColumn id="27" xr3:uid="{00000000-0010-0000-2300-00001B000000}" name="2019-22" dataDxfId="986"/>
  </tableColumns>
  <tableStyleInfo name="TableStyleLight1" showFirstColumn="1" showLastColumn="0" showRowStripes="0"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4000000}" name="table4g" displayName="table4g" ref="A39:AA42" totalsRowShown="0" headerRowDxfId="985" dataDxfId="984">
  <tableColumns count="27">
    <tableColumn id="1" xr3:uid="{00000000-0010-0000-2400-000001000000}" name="Group" dataDxfId="983"/>
    <tableColumn id="2" xr3:uid="{00000000-0010-0000-2400-000002000000}" name="1994-97" dataDxfId="982"/>
    <tableColumn id="3" xr3:uid="{00000000-0010-0000-2400-000003000000}" name="1995-98" dataDxfId="981"/>
    <tableColumn id="4" xr3:uid="{00000000-0010-0000-2400-000004000000}" name="1996-99" dataDxfId="980"/>
    <tableColumn id="5" xr3:uid="{00000000-0010-0000-2400-000005000000}" name="1997-00" dataDxfId="979"/>
    <tableColumn id="6" xr3:uid="{00000000-0010-0000-2400-000006000000}" name="1998-01" dataDxfId="978"/>
    <tableColumn id="7" xr3:uid="{00000000-0010-0000-2400-000007000000}" name="1999-02" dataDxfId="977"/>
    <tableColumn id="8" xr3:uid="{00000000-0010-0000-2400-000008000000}" name="2000-03" dataDxfId="976"/>
    <tableColumn id="9" xr3:uid="{00000000-0010-0000-2400-000009000000}" name="2001-04" dataDxfId="975"/>
    <tableColumn id="10" xr3:uid="{00000000-0010-0000-2400-00000A000000}" name="2002-05" dataDxfId="974"/>
    <tableColumn id="11" xr3:uid="{00000000-0010-0000-2400-00000B000000}" name="2003-06" dataDxfId="973"/>
    <tableColumn id="12" xr3:uid="{00000000-0010-0000-2400-00000C000000}" name="2004-07" dataDxfId="972"/>
    <tableColumn id="13" xr3:uid="{00000000-0010-0000-2400-00000D000000}" name="2005-08" dataDxfId="971"/>
    <tableColumn id="14" xr3:uid="{00000000-0010-0000-2400-00000E000000}" name="2006-09" dataDxfId="970"/>
    <tableColumn id="15" xr3:uid="{00000000-0010-0000-2400-00000F000000}" name="2007-10" dataDxfId="969"/>
    <tableColumn id="16" xr3:uid="{00000000-0010-0000-2400-000010000000}" name="2008-11" dataDxfId="968"/>
    <tableColumn id="17" xr3:uid="{00000000-0010-0000-2400-000011000000}" name="2009-12" dataDxfId="967"/>
    <tableColumn id="18" xr3:uid="{00000000-0010-0000-2400-000012000000}" name="2010-13" dataDxfId="966"/>
    <tableColumn id="19" xr3:uid="{00000000-0010-0000-2400-000013000000}" name="2011-14" dataDxfId="965"/>
    <tableColumn id="20" xr3:uid="{00000000-0010-0000-2400-000014000000}" name="2012-15" dataDxfId="964"/>
    <tableColumn id="21" xr3:uid="{00000000-0010-0000-2400-000015000000}" name="2013-16" dataDxfId="963"/>
    <tableColumn id="22" xr3:uid="{00000000-0010-0000-2400-000016000000}" name="2014-17" dataDxfId="962"/>
    <tableColumn id="23" xr3:uid="{00000000-0010-0000-2400-000017000000}" name="2015-18" dataDxfId="961"/>
    <tableColumn id="24" xr3:uid="{00000000-0010-0000-2400-000018000000}" name="2016-19" dataDxfId="960"/>
    <tableColumn id="25" xr3:uid="{00000000-0010-0000-2400-000019000000}" name="2017-20" dataDxfId="959"/>
    <tableColumn id="26" xr3:uid="{00000000-0010-0000-2400-00001A000000}" name="2018-21" dataDxfId="958"/>
    <tableColumn id="27" xr3:uid="{00000000-0010-0000-2400-00001B000000}" name="2019-22" dataDxfId="957"/>
  </tableColumns>
  <tableStyleInfo name="TableStyleLight1" showFirstColumn="1" showLastColumn="0" showRowStripes="0"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5000000}" name="table4h" displayName="table4h" ref="A44:AA47" totalsRowShown="0" headerRowDxfId="956" dataDxfId="955">
  <tableColumns count="27">
    <tableColumn id="1" xr3:uid="{00000000-0010-0000-2500-000001000000}" name="Group" dataDxfId="954"/>
    <tableColumn id="2" xr3:uid="{00000000-0010-0000-2500-000002000000}" name="1994-97" dataDxfId="953"/>
    <tableColumn id="3" xr3:uid="{00000000-0010-0000-2500-000003000000}" name="1995-98" dataDxfId="952"/>
    <tableColumn id="4" xr3:uid="{00000000-0010-0000-2500-000004000000}" name="1996-99" dataDxfId="951"/>
    <tableColumn id="5" xr3:uid="{00000000-0010-0000-2500-000005000000}" name="1997-00" dataDxfId="950"/>
    <tableColumn id="6" xr3:uid="{00000000-0010-0000-2500-000006000000}" name="1998-01" dataDxfId="949"/>
    <tableColumn id="7" xr3:uid="{00000000-0010-0000-2500-000007000000}" name="1999-02" dataDxfId="948"/>
    <tableColumn id="8" xr3:uid="{00000000-0010-0000-2500-000008000000}" name="2000-03" dataDxfId="947"/>
    <tableColumn id="9" xr3:uid="{00000000-0010-0000-2500-000009000000}" name="2001-04" dataDxfId="946"/>
    <tableColumn id="10" xr3:uid="{00000000-0010-0000-2500-00000A000000}" name="2002-05" dataDxfId="945"/>
    <tableColumn id="11" xr3:uid="{00000000-0010-0000-2500-00000B000000}" name="2003-06" dataDxfId="944"/>
    <tableColumn id="12" xr3:uid="{00000000-0010-0000-2500-00000C000000}" name="2004-07" dataDxfId="943"/>
    <tableColumn id="13" xr3:uid="{00000000-0010-0000-2500-00000D000000}" name="2005-08" dataDxfId="942"/>
    <tableColumn id="14" xr3:uid="{00000000-0010-0000-2500-00000E000000}" name="2006-09" dataDxfId="941"/>
    <tableColumn id="15" xr3:uid="{00000000-0010-0000-2500-00000F000000}" name="2007-10" dataDxfId="940"/>
    <tableColumn id="16" xr3:uid="{00000000-0010-0000-2500-000010000000}" name="2008-11" dataDxfId="939"/>
    <tableColumn id="17" xr3:uid="{00000000-0010-0000-2500-000011000000}" name="2009-12" dataDxfId="938"/>
    <tableColumn id="18" xr3:uid="{00000000-0010-0000-2500-000012000000}" name="2010-13" dataDxfId="937"/>
    <tableColumn id="19" xr3:uid="{00000000-0010-0000-2500-000013000000}" name="2011-14" dataDxfId="936"/>
    <tableColumn id="20" xr3:uid="{00000000-0010-0000-2500-000014000000}" name="2012-15" dataDxfId="935"/>
    <tableColumn id="21" xr3:uid="{00000000-0010-0000-2500-000015000000}" name="2013-16" dataDxfId="934"/>
    <tableColumn id="22" xr3:uid="{00000000-0010-0000-2500-000016000000}" name="2014-17" dataDxfId="933"/>
    <tableColumn id="23" xr3:uid="{00000000-0010-0000-2500-000017000000}" name="2015-18" dataDxfId="932"/>
    <tableColumn id="24" xr3:uid="{00000000-0010-0000-2500-000018000000}" name="2016-19" dataDxfId="931"/>
    <tableColumn id="25" xr3:uid="{00000000-0010-0000-2500-000019000000}" name="2017-20" dataDxfId="930"/>
    <tableColumn id="26" xr3:uid="{00000000-0010-0000-2500-00001A000000}" name="2018-21" dataDxfId="929"/>
    <tableColumn id="27" xr3:uid="{00000000-0010-0000-2500-00001B000000}" name="2019-22" dataDxfId="928"/>
  </tableColumns>
  <tableStyleInfo name="TableStyleLight1" showFirstColumn="1" showLastColumn="0" showRowStripes="0"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6000000}" name="table4i" displayName="table4i" ref="A49:AA52" totalsRowShown="0" headerRowDxfId="927" dataDxfId="926">
  <tableColumns count="27">
    <tableColumn id="1" xr3:uid="{00000000-0010-0000-2600-000001000000}" name="Group" dataDxfId="925"/>
    <tableColumn id="2" xr3:uid="{00000000-0010-0000-2600-000002000000}" name="1994-97" dataDxfId="924"/>
    <tableColumn id="3" xr3:uid="{00000000-0010-0000-2600-000003000000}" name="1995-98" dataDxfId="923"/>
    <tableColumn id="4" xr3:uid="{00000000-0010-0000-2600-000004000000}" name="1996-99" dataDxfId="922"/>
    <tableColumn id="5" xr3:uid="{00000000-0010-0000-2600-000005000000}" name="1997-00" dataDxfId="921"/>
    <tableColumn id="6" xr3:uid="{00000000-0010-0000-2600-000006000000}" name="1998-01" dataDxfId="920"/>
    <tableColumn id="7" xr3:uid="{00000000-0010-0000-2600-000007000000}" name="1999-02" dataDxfId="919"/>
    <tableColumn id="8" xr3:uid="{00000000-0010-0000-2600-000008000000}" name="2000-03" dataDxfId="918"/>
    <tableColumn id="9" xr3:uid="{00000000-0010-0000-2600-000009000000}" name="2001-04" dataDxfId="917"/>
    <tableColumn id="10" xr3:uid="{00000000-0010-0000-2600-00000A000000}" name="2002-05" dataDxfId="916"/>
    <tableColumn id="11" xr3:uid="{00000000-0010-0000-2600-00000B000000}" name="2003-06" dataDxfId="915"/>
    <tableColumn id="12" xr3:uid="{00000000-0010-0000-2600-00000C000000}" name="2004-07" dataDxfId="914"/>
    <tableColumn id="13" xr3:uid="{00000000-0010-0000-2600-00000D000000}" name="2005-08" dataDxfId="913"/>
    <tableColumn id="14" xr3:uid="{00000000-0010-0000-2600-00000E000000}" name="2006-09" dataDxfId="912"/>
    <tableColumn id="15" xr3:uid="{00000000-0010-0000-2600-00000F000000}" name="2007-10" dataDxfId="911"/>
    <tableColumn id="16" xr3:uid="{00000000-0010-0000-2600-000010000000}" name="2008-11" dataDxfId="910"/>
    <tableColumn id="17" xr3:uid="{00000000-0010-0000-2600-000011000000}" name="2009-12" dataDxfId="909"/>
    <tableColumn id="18" xr3:uid="{00000000-0010-0000-2600-000012000000}" name="2010-13" dataDxfId="908"/>
    <tableColumn id="19" xr3:uid="{00000000-0010-0000-2600-000013000000}" name="2011-14" dataDxfId="907"/>
    <tableColumn id="20" xr3:uid="{00000000-0010-0000-2600-000014000000}" name="2012-15" dataDxfId="906"/>
    <tableColumn id="21" xr3:uid="{00000000-0010-0000-2600-000015000000}" name="2013-16" dataDxfId="905"/>
    <tableColumn id="22" xr3:uid="{00000000-0010-0000-2600-000016000000}" name="2014-17" dataDxfId="904"/>
    <tableColumn id="23" xr3:uid="{00000000-0010-0000-2600-000017000000}" name="2015-18" dataDxfId="903"/>
    <tableColumn id="24" xr3:uid="{00000000-0010-0000-2600-000018000000}" name="2016-19" dataDxfId="902"/>
    <tableColumn id="25" xr3:uid="{00000000-0010-0000-2600-000019000000}" name="2017-20" dataDxfId="901"/>
    <tableColumn id="26" xr3:uid="{00000000-0010-0000-2600-00001A000000}" name="2018-21" dataDxfId="900"/>
    <tableColumn id="27" xr3:uid="{00000000-0010-0000-2600-00001B000000}" name="2019-22" dataDxfId="899"/>
  </tableColumns>
  <tableStyleInfo name="TableStyleLight1" showFirstColumn="1" showLastColumn="0" showRowStripes="0"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7000000}" name="table4j" displayName="table4j" ref="A54:AA57" totalsRowShown="0" headerRowDxfId="898" dataDxfId="897">
  <tableColumns count="27">
    <tableColumn id="1" xr3:uid="{00000000-0010-0000-2700-000001000000}" name="Group" dataDxfId="896"/>
    <tableColumn id="2" xr3:uid="{00000000-0010-0000-2700-000002000000}" name="1994-97" dataDxfId="895"/>
    <tableColumn id="3" xr3:uid="{00000000-0010-0000-2700-000003000000}" name="1995-98" dataDxfId="894"/>
    <tableColumn id="4" xr3:uid="{00000000-0010-0000-2700-000004000000}" name="1996-99" dataDxfId="893"/>
    <tableColumn id="5" xr3:uid="{00000000-0010-0000-2700-000005000000}" name="1997-00" dataDxfId="892"/>
    <tableColumn id="6" xr3:uid="{00000000-0010-0000-2700-000006000000}" name="1998-01" dataDxfId="891"/>
    <tableColumn id="7" xr3:uid="{00000000-0010-0000-2700-000007000000}" name="1999-02" dataDxfId="890"/>
    <tableColumn id="8" xr3:uid="{00000000-0010-0000-2700-000008000000}" name="2000-03" dataDxfId="889"/>
    <tableColumn id="9" xr3:uid="{00000000-0010-0000-2700-000009000000}" name="2001-04" dataDxfId="888"/>
    <tableColumn id="10" xr3:uid="{00000000-0010-0000-2700-00000A000000}" name="2002-05" dataDxfId="887"/>
    <tableColumn id="11" xr3:uid="{00000000-0010-0000-2700-00000B000000}" name="2003-06" dataDxfId="886"/>
    <tableColumn id="12" xr3:uid="{00000000-0010-0000-2700-00000C000000}" name="2004-07" dataDxfId="885"/>
    <tableColumn id="13" xr3:uid="{00000000-0010-0000-2700-00000D000000}" name="2005-08" dataDxfId="884"/>
    <tableColumn id="14" xr3:uid="{00000000-0010-0000-2700-00000E000000}" name="2006-09" dataDxfId="883"/>
    <tableColumn id="15" xr3:uid="{00000000-0010-0000-2700-00000F000000}" name="2007-10" dataDxfId="882"/>
    <tableColumn id="16" xr3:uid="{00000000-0010-0000-2700-000010000000}" name="2008-11" dataDxfId="881"/>
    <tableColumn id="17" xr3:uid="{00000000-0010-0000-2700-000011000000}" name="2009-12" dataDxfId="880"/>
    <tableColumn id="18" xr3:uid="{00000000-0010-0000-2700-000012000000}" name="2010-13" dataDxfId="879"/>
    <tableColumn id="19" xr3:uid="{00000000-0010-0000-2700-000013000000}" name="2011-14" dataDxfId="878"/>
    <tableColumn id="20" xr3:uid="{00000000-0010-0000-2700-000014000000}" name="2012-15" dataDxfId="877"/>
    <tableColumn id="21" xr3:uid="{00000000-0010-0000-2700-000015000000}" name="2013-16" dataDxfId="876"/>
    <tableColumn id="22" xr3:uid="{00000000-0010-0000-2700-000016000000}" name="2014-17" dataDxfId="875"/>
    <tableColumn id="23" xr3:uid="{00000000-0010-0000-2700-000017000000}" name="2015-18" dataDxfId="874"/>
    <tableColumn id="24" xr3:uid="{00000000-0010-0000-2700-000018000000}" name="2016-19" dataDxfId="873"/>
    <tableColumn id="25" xr3:uid="{00000000-0010-0000-2700-000019000000}" name="2017-20" dataDxfId="872"/>
    <tableColumn id="26" xr3:uid="{00000000-0010-0000-2700-00001A000000}" name="2018-21" dataDxfId="871"/>
    <tableColumn id="27" xr3:uid="{00000000-0010-0000-2700-00001B000000}" name="2019-22" dataDxfId="870"/>
  </tableColumns>
  <tableStyleInfo name="TableStyleLight1" showFirstColumn="1" showLastColumn="0" showRowStripes="0"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8000000}" name="table5a" displayName="table5a" ref="A10:AA13" totalsRowShown="0" headerRowDxfId="869" dataDxfId="868">
  <tableColumns count="27">
    <tableColumn id="1" xr3:uid="{00000000-0010-0000-2800-000001000000}" name="Group" dataDxfId="867"/>
    <tableColumn id="2" xr3:uid="{00000000-0010-0000-2800-000002000000}" name="1994-97" dataDxfId="866"/>
    <tableColumn id="3" xr3:uid="{00000000-0010-0000-2800-000003000000}" name="1995-98" dataDxfId="865"/>
    <tableColumn id="4" xr3:uid="{00000000-0010-0000-2800-000004000000}" name="1996-99" dataDxfId="864"/>
    <tableColumn id="5" xr3:uid="{00000000-0010-0000-2800-000005000000}" name="1997-00" dataDxfId="863"/>
    <tableColumn id="6" xr3:uid="{00000000-0010-0000-2800-000006000000}" name="1998-01" dataDxfId="862"/>
    <tableColumn id="7" xr3:uid="{00000000-0010-0000-2800-000007000000}" name="1999-02" dataDxfId="861"/>
    <tableColumn id="8" xr3:uid="{00000000-0010-0000-2800-000008000000}" name="2000-03" dataDxfId="860"/>
    <tableColumn id="9" xr3:uid="{00000000-0010-0000-2800-000009000000}" name="2001-04" dataDxfId="859"/>
    <tableColumn id="10" xr3:uid="{00000000-0010-0000-2800-00000A000000}" name="2002-05" dataDxfId="858"/>
    <tableColumn id="11" xr3:uid="{00000000-0010-0000-2800-00000B000000}" name="2003-06" dataDxfId="857"/>
    <tableColumn id="12" xr3:uid="{00000000-0010-0000-2800-00000C000000}" name="2004-07" dataDxfId="856"/>
    <tableColumn id="13" xr3:uid="{00000000-0010-0000-2800-00000D000000}" name="2005-08" dataDxfId="855"/>
    <tableColumn id="14" xr3:uid="{00000000-0010-0000-2800-00000E000000}" name="2006-09" dataDxfId="854"/>
    <tableColumn id="15" xr3:uid="{00000000-0010-0000-2800-00000F000000}" name="2007-10" dataDxfId="853"/>
    <tableColumn id="16" xr3:uid="{00000000-0010-0000-2800-000010000000}" name="2008-11" dataDxfId="852"/>
    <tableColumn id="17" xr3:uid="{00000000-0010-0000-2800-000011000000}" name="2009-12" dataDxfId="851"/>
    <tableColumn id="18" xr3:uid="{00000000-0010-0000-2800-000012000000}" name="2010-13" dataDxfId="850"/>
    <tableColumn id="19" xr3:uid="{00000000-0010-0000-2800-000013000000}" name="2011-14" dataDxfId="849"/>
    <tableColumn id="20" xr3:uid="{00000000-0010-0000-2800-000014000000}" name="2012-15" dataDxfId="848"/>
    <tableColumn id="21" xr3:uid="{00000000-0010-0000-2800-000015000000}" name="2013-16" dataDxfId="847"/>
    <tableColumn id="22" xr3:uid="{00000000-0010-0000-2800-000016000000}" name="2014-17" dataDxfId="846"/>
    <tableColumn id="23" xr3:uid="{00000000-0010-0000-2800-000017000000}" name="2015-18" dataDxfId="845"/>
    <tableColumn id="24" xr3:uid="{00000000-0010-0000-2800-000018000000}" name="2016-19" dataDxfId="844"/>
    <tableColumn id="25" xr3:uid="{00000000-0010-0000-2800-000019000000}" name="2017-20" dataDxfId="843"/>
    <tableColumn id="26" xr3:uid="{00000000-0010-0000-2800-00001A000000}" name="2018-21" dataDxfId="842"/>
    <tableColumn id="27" xr3:uid="{00000000-0010-0000-2800-00001B000000}" name="2019-22" dataDxfId="841"/>
  </tableColumns>
  <tableStyleInfo name="TableStyleLight1" showFirstColumn="1" showLastColumn="0" showRowStripes="0"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9000000}" name="table5b" displayName="table5b" ref="A15:AA18" totalsRowShown="0" headerRowDxfId="840" dataDxfId="839">
  <tableColumns count="27">
    <tableColumn id="1" xr3:uid="{00000000-0010-0000-2900-000001000000}" name="Group" dataDxfId="838"/>
    <tableColumn id="2" xr3:uid="{00000000-0010-0000-2900-000002000000}" name="1994-97" dataDxfId="837"/>
    <tableColumn id="3" xr3:uid="{00000000-0010-0000-2900-000003000000}" name="1995-98" dataDxfId="836"/>
    <tableColumn id="4" xr3:uid="{00000000-0010-0000-2900-000004000000}" name="1996-99" dataDxfId="835"/>
    <tableColumn id="5" xr3:uid="{00000000-0010-0000-2900-000005000000}" name="1997-00" dataDxfId="834"/>
    <tableColumn id="6" xr3:uid="{00000000-0010-0000-2900-000006000000}" name="1998-01" dataDxfId="833"/>
    <tableColumn id="7" xr3:uid="{00000000-0010-0000-2900-000007000000}" name="1999-02" dataDxfId="832"/>
    <tableColumn id="8" xr3:uid="{00000000-0010-0000-2900-000008000000}" name="2000-03" dataDxfId="831"/>
    <tableColumn id="9" xr3:uid="{00000000-0010-0000-2900-000009000000}" name="2001-04" dataDxfId="830"/>
    <tableColumn id="10" xr3:uid="{00000000-0010-0000-2900-00000A000000}" name="2002-05" dataDxfId="829"/>
    <tableColumn id="11" xr3:uid="{00000000-0010-0000-2900-00000B000000}" name="2003-06" dataDxfId="828"/>
    <tableColumn id="12" xr3:uid="{00000000-0010-0000-2900-00000C000000}" name="2004-07" dataDxfId="827"/>
    <tableColumn id="13" xr3:uid="{00000000-0010-0000-2900-00000D000000}" name="2005-08" dataDxfId="826"/>
    <tableColumn id="14" xr3:uid="{00000000-0010-0000-2900-00000E000000}" name="2006-09" dataDxfId="825"/>
    <tableColumn id="15" xr3:uid="{00000000-0010-0000-2900-00000F000000}" name="2007-10" dataDxfId="824"/>
    <tableColumn id="16" xr3:uid="{00000000-0010-0000-2900-000010000000}" name="2008-11" dataDxfId="823"/>
    <tableColumn id="17" xr3:uid="{00000000-0010-0000-2900-000011000000}" name="2009-12" dataDxfId="822"/>
    <tableColumn id="18" xr3:uid="{00000000-0010-0000-2900-000012000000}" name="2010-13" dataDxfId="821"/>
    <tableColumn id="19" xr3:uid="{00000000-0010-0000-2900-000013000000}" name="2011-14" dataDxfId="820"/>
    <tableColumn id="20" xr3:uid="{00000000-0010-0000-2900-000014000000}" name="2012-15" dataDxfId="819"/>
    <tableColumn id="21" xr3:uid="{00000000-0010-0000-2900-000015000000}" name="2013-16" dataDxfId="818"/>
    <tableColumn id="22" xr3:uid="{00000000-0010-0000-2900-000016000000}" name="2014-17" dataDxfId="817"/>
    <tableColumn id="23" xr3:uid="{00000000-0010-0000-2900-000017000000}" name="2015-18" dataDxfId="816"/>
    <tableColumn id="24" xr3:uid="{00000000-0010-0000-2900-000018000000}" name="2016-19" dataDxfId="815"/>
    <tableColumn id="25" xr3:uid="{00000000-0010-0000-2900-000019000000}" name="2017-20" dataDxfId="814"/>
    <tableColumn id="26" xr3:uid="{00000000-0010-0000-2900-00001A000000}" name="2018-21" dataDxfId="813"/>
    <tableColumn id="27" xr3:uid="{00000000-0010-0000-2900-00001B000000}" name="2019-22" dataDxfId="812"/>
  </tableColumns>
  <tableStyleInfo name="TableStyleLight1" showFirstColumn="1" showLastColumn="0" showRowStripes="0"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A000000}" name="table5c" displayName="table5c" ref="A20:AA23" totalsRowShown="0" headerRowDxfId="811" dataDxfId="810">
  <tableColumns count="27">
    <tableColumn id="1" xr3:uid="{00000000-0010-0000-2A00-000001000000}" name="Group" dataDxfId="809"/>
    <tableColumn id="2" xr3:uid="{00000000-0010-0000-2A00-000002000000}" name="1994-97" dataDxfId="808"/>
    <tableColumn id="3" xr3:uid="{00000000-0010-0000-2A00-000003000000}" name="1995-98" dataDxfId="807"/>
    <tableColumn id="4" xr3:uid="{00000000-0010-0000-2A00-000004000000}" name="1996-99" dataDxfId="806"/>
    <tableColumn id="5" xr3:uid="{00000000-0010-0000-2A00-000005000000}" name="1997-00" dataDxfId="805"/>
    <tableColumn id="6" xr3:uid="{00000000-0010-0000-2A00-000006000000}" name="1998-01" dataDxfId="804"/>
    <tableColumn id="7" xr3:uid="{00000000-0010-0000-2A00-000007000000}" name="1999-02" dataDxfId="803"/>
    <tableColumn id="8" xr3:uid="{00000000-0010-0000-2A00-000008000000}" name="2000-03" dataDxfId="802"/>
    <tableColumn id="9" xr3:uid="{00000000-0010-0000-2A00-000009000000}" name="2001-04" dataDxfId="801"/>
    <tableColumn id="10" xr3:uid="{00000000-0010-0000-2A00-00000A000000}" name="2002-05" dataDxfId="800"/>
    <tableColumn id="11" xr3:uid="{00000000-0010-0000-2A00-00000B000000}" name="2003-06" dataDxfId="799"/>
    <tableColumn id="12" xr3:uid="{00000000-0010-0000-2A00-00000C000000}" name="2004-07" dataDxfId="798"/>
    <tableColumn id="13" xr3:uid="{00000000-0010-0000-2A00-00000D000000}" name="2005-08" dataDxfId="797"/>
    <tableColumn id="14" xr3:uid="{00000000-0010-0000-2A00-00000E000000}" name="2006-09" dataDxfId="796"/>
    <tableColumn id="15" xr3:uid="{00000000-0010-0000-2A00-00000F000000}" name="2007-10" dataDxfId="795"/>
    <tableColumn id="16" xr3:uid="{00000000-0010-0000-2A00-000010000000}" name="2008-11" dataDxfId="794"/>
    <tableColumn id="17" xr3:uid="{00000000-0010-0000-2A00-000011000000}" name="2009-12" dataDxfId="793"/>
    <tableColumn id="18" xr3:uid="{00000000-0010-0000-2A00-000012000000}" name="2010-13" dataDxfId="792"/>
    <tableColumn id="19" xr3:uid="{00000000-0010-0000-2A00-000013000000}" name="2011-14" dataDxfId="791"/>
    <tableColumn id="20" xr3:uid="{00000000-0010-0000-2A00-000014000000}" name="2012-15" dataDxfId="790"/>
    <tableColumn id="21" xr3:uid="{00000000-0010-0000-2A00-000015000000}" name="2013-16" dataDxfId="789"/>
    <tableColumn id="22" xr3:uid="{00000000-0010-0000-2A00-000016000000}" name="2014-17" dataDxfId="788"/>
    <tableColumn id="23" xr3:uid="{00000000-0010-0000-2A00-000017000000}" name="2015-18" dataDxfId="787"/>
    <tableColumn id="24" xr3:uid="{00000000-0010-0000-2A00-000018000000}" name="2016-19" dataDxfId="786"/>
    <tableColumn id="25" xr3:uid="{00000000-0010-0000-2A00-000019000000}" name="2017-20" dataDxfId="785"/>
    <tableColumn id="26" xr3:uid="{00000000-0010-0000-2A00-00001A000000}" name="2018-21" dataDxfId="784"/>
    <tableColumn id="27" xr3:uid="{00000000-0010-0000-2A00-00001B000000}" name="2019-22" dataDxfId="783"/>
  </tableColumns>
  <tableStyleInfo name="TableStyleLight1" showFirstColumn="1" showLastColumn="0" showRowStripes="0"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B000000}" name="table5d" displayName="table5d" ref="A25:AA28" totalsRowShown="0" headerRowDxfId="782" dataDxfId="781">
  <tableColumns count="27">
    <tableColumn id="1" xr3:uid="{00000000-0010-0000-2B00-000001000000}" name="Group" dataDxfId="780"/>
    <tableColumn id="2" xr3:uid="{00000000-0010-0000-2B00-000002000000}" name="1994-97" dataDxfId="779"/>
    <tableColumn id="3" xr3:uid="{00000000-0010-0000-2B00-000003000000}" name="1995-98" dataDxfId="778"/>
    <tableColumn id="4" xr3:uid="{00000000-0010-0000-2B00-000004000000}" name="1996-99" dataDxfId="777"/>
    <tableColumn id="5" xr3:uid="{00000000-0010-0000-2B00-000005000000}" name="1997-00" dataDxfId="776"/>
    <tableColumn id="6" xr3:uid="{00000000-0010-0000-2B00-000006000000}" name="1998-01" dataDxfId="775"/>
    <tableColumn id="7" xr3:uid="{00000000-0010-0000-2B00-000007000000}" name="1999-02" dataDxfId="774"/>
    <tableColumn id="8" xr3:uid="{00000000-0010-0000-2B00-000008000000}" name="2000-03" dataDxfId="773"/>
    <tableColumn id="9" xr3:uid="{00000000-0010-0000-2B00-000009000000}" name="2001-04" dataDxfId="772"/>
    <tableColumn id="10" xr3:uid="{00000000-0010-0000-2B00-00000A000000}" name="2002-05" dataDxfId="771"/>
    <tableColumn id="11" xr3:uid="{00000000-0010-0000-2B00-00000B000000}" name="2003-06" dataDxfId="770"/>
    <tableColumn id="12" xr3:uid="{00000000-0010-0000-2B00-00000C000000}" name="2004-07" dataDxfId="769"/>
    <tableColumn id="13" xr3:uid="{00000000-0010-0000-2B00-00000D000000}" name="2005-08" dataDxfId="768"/>
    <tableColumn id="14" xr3:uid="{00000000-0010-0000-2B00-00000E000000}" name="2006-09" dataDxfId="767"/>
    <tableColumn id="15" xr3:uid="{00000000-0010-0000-2B00-00000F000000}" name="2007-10" dataDxfId="766"/>
    <tableColumn id="16" xr3:uid="{00000000-0010-0000-2B00-000010000000}" name="2008-11" dataDxfId="765"/>
    <tableColumn id="17" xr3:uid="{00000000-0010-0000-2B00-000011000000}" name="2009-12" dataDxfId="764"/>
    <tableColumn id="18" xr3:uid="{00000000-0010-0000-2B00-000012000000}" name="2010-13" dataDxfId="763"/>
    <tableColumn id="19" xr3:uid="{00000000-0010-0000-2B00-000013000000}" name="2011-14" dataDxfId="762"/>
    <tableColumn id="20" xr3:uid="{00000000-0010-0000-2B00-000014000000}" name="2012-15" dataDxfId="761"/>
    <tableColumn id="21" xr3:uid="{00000000-0010-0000-2B00-000015000000}" name="2013-16" dataDxfId="760"/>
    <tableColumn id="22" xr3:uid="{00000000-0010-0000-2B00-000016000000}" name="2014-17" dataDxfId="759"/>
    <tableColumn id="23" xr3:uid="{00000000-0010-0000-2B00-000017000000}" name="2015-18" dataDxfId="758"/>
    <tableColumn id="24" xr3:uid="{00000000-0010-0000-2B00-000018000000}" name="2016-19" dataDxfId="757"/>
    <tableColumn id="25" xr3:uid="{00000000-0010-0000-2B00-000019000000}" name="2017-20" dataDxfId="756"/>
    <tableColumn id="26" xr3:uid="{00000000-0010-0000-2B00-00001A000000}" name="2018-21" dataDxfId="755"/>
    <tableColumn id="27" xr3:uid="{00000000-0010-0000-2B00-00001B000000}" name="2019-22" dataDxfId="754"/>
  </tableColumns>
  <tableStyleInfo name="TableStyleLight1" showFirstColumn="1" showLastColumn="0" showRowStripes="0"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C000000}" name="table5e" displayName="table5e" ref="A30:AA33" totalsRowShown="0" headerRowDxfId="753" dataDxfId="752">
  <tableColumns count="27">
    <tableColumn id="1" xr3:uid="{00000000-0010-0000-2C00-000001000000}" name="Group" dataDxfId="751"/>
    <tableColumn id="2" xr3:uid="{00000000-0010-0000-2C00-000002000000}" name="1994-97" dataDxfId="750"/>
    <tableColumn id="3" xr3:uid="{00000000-0010-0000-2C00-000003000000}" name="1995-98" dataDxfId="749"/>
    <tableColumn id="4" xr3:uid="{00000000-0010-0000-2C00-000004000000}" name="1996-99" dataDxfId="748"/>
    <tableColumn id="5" xr3:uid="{00000000-0010-0000-2C00-000005000000}" name="1997-00" dataDxfId="747"/>
    <tableColumn id="6" xr3:uid="{00000000-0010-0000-2C00-000006000000}" name="1998-01" dataDxfId="746"/>
    <tableColumn id="7" xr3:uid="{00000000-0010-0000-2C00-000007000000}" name="1999-02" dataDxfId="745"/>
    <tableColumn id="8" xr3:uid="{00000000-0010-0000-2C00-000008000000}" name="2000-03" dataDxfId="744"/>
    <tableColumn id="9" xr3:uid="{00000000-0010-0000-2C00-000009000000}" name="2001-04" dataDxfId="743"/>
    <tableColumn id="10" xr3:uid="{00000000-0010-0000-2C00-00000A000000}" name="2002-05" dataDxfId="742"/>
    <tableColumn id="11" xr3:uid="{00000000-0010-0000-2C00-00000B000000}" name="2003-06" dataDxfId="741"/>
    <tableColumn id="12" xr3:uid="{00000000-0010-0000-2C00-00000C000000}" name="2004-07" dataDxfId="740"/>
    <tableColumn id="13" xr3:uid="{00000000-0010-0000-2C00-00000D000000}" name="2005-08" dataDxfId="739"/>
    <tableColumn id="14" xr3:uid="{00000000-0010-0000-2C00-00000E000000}" name="2006-09" dataDxfId="738"/>
    <tableColumn id="15" xr3:uid="{00000000-0010-0000-2C00-00000F000000}" name="2007-10" dataDxfId="737"/>
    <tableColumn id="16" xr3:uid="{00000000-0010-0000-2C00-000010000000}" name="2008-11" dataDxfId="736"/>
    <tableColumn id="17" xr3:uid="{00000000-0010-0000-2C00-000011000000}" name="2009-12" dataDxfId="735"/>
    <tableColumn id="18" xr3:uid="{00000000-0010-0000-2C00-000012000000}" name="2010-13" dataDxfId="734"/>
    <tableColumn id="19" xr3:uid="{00000000-0010-0000-2C00-000013000000}" name="2011-14" dataDxfId="733"/>
    <tableColumn id="20" xr3:uid="{00000000-0010-0000-2C00-000014000000}" name="2012-15" dataDxfId="732"/>
    <tableColumn id="21" xr3:uid="{00000000-0010-0000-2C00-000015000000}" name="2013-16" dataDxfId="731"/>
    <tableColumn id="22" xr3:uid="{00000000-0010-0000-2C00-000016000000}" name="2014-17" dataDxfId="730"/>
    <tableColumn id="23" xr3:uid="{00000000-0010-0000-2C00-000017000000}" name="2015-18" dataDxfId="729"/>
    <tableColumn id="24" xr3:uid="{00000000-0010-0000-2C00-000018000000}" name="2016-19" dataDxfId="728"/>
    <tableColumn id="25" xr3:uid="{00000000-0010-0000-2C00-000019000000}" name="2017-20" dataDxfId="727"/>
    <tableColumn id="26" xr3:uid="{00000000-0010-0000-2C00-00001A000000}" name="2018-21" dataDxfId="726"/>
    <tableColumn id="27" xr3:uid="{00000000-0010-0000-2C00-00001B000000}" name="2019-22" dataDxfId="725"/>
  </tableColumns>
  <tableStyleInfo name="TableStyleLight1" showFirstColumn="1" showLastColumn="0" showRowStripes="0"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2D000000}" name="table5f" displayName="table5f" ref="A35:AA38" totalsRowShown="0" headerRowDxfId="724" dataDxfId="723">
  <tableColumns count="27">
    <tableColumn id="1" xr3:uid="{00000000-0010-0000-2D00-000001000000}" name="Group" dataDxfId="722"/>
    <tableColumn id="2" xr3:uid="{00000000-0010-0000-2D00-000002000000}" name="1994-97" dataDxfId="721"/>
    <tableColumn id="3" xr3:uid="{00000000-0010-0000-2D00-000003000000}" name="1995-98" dataDxfId="720"/>
    <tableColumn id="4" xr3:uid="{00000000-0010-0000-2D00-000004000000}" name="1996-99" dataDxfId="719"/>
    <tableColumn id="5" xr3:uid="{00000000-0010-0000-2D00-000005000000}" name="1997-00" dataDxfId="718"/>
    <tableColumn id="6" xr3:uid="{00000000-0010-0000-2D00-000006000000}" name="1998-01" dataDxfId="717"/>
    <tableColumn id="7" xr3:uid="{00000000-0010-0000-2D00-000007000000}" name="1999-02" dataDxfId="716"/>
    <tableColumn id="8" xr3:uid="{00000000-0010-0000-2D00-000008000000}" name="2000-03" dataDxfId="715"/>
    <tableColumn id="9" xr3:uid="{00000000-0010-0000-2D00-000009000000}" name="2001-04" dataDxfId="714"/>
    <tableColumn id="10" xr3:uid="{00000000-0010-0000-2D00-00000A000000}" name="2002-05" dataDxfId="713"/>
    <tableColumn id="11" xr3:uid="{00000000-0010-0000-2D00-00000B000000}" name="2003-06" dataDxfId="712"/>
    <tableColumn id="12" xr3:uid="{00000000-0010-0000-2D00-00000C000000}" name="2004-07" dataDxfId="711"/>
    <tableColumn id="13" xr3:uid="{00000000-0010-0000-2D00-00000D000000}" name="2005-08" dataDxfId="710"/>
    <tableColumn id="14" xr3:uid="{00000000-0010-0000-2D00-00000E000000}" name="2006-09" dataDxfId="709"/>
    <tableColumn id="15" xr3:uid="{00000000-0010-0000-2D00-00000F000000}" name="2007-10" dataDxfId="708"/>
    <tableColumn id="16" xr3:uid="{00000000-0010-0000-2D00-000010000000}" name="2008-11" dataDxfId="707"/>
    <tableColumn id="17" xr3:uid="{00000000-0010-0000-2D00-000011000000}" name="2009-12" dataDxfId="706"/>
    <tableColumn id="18" xr3:uid="{00000000-0010-0000-2D00-000012000000}" name="2010-13" dataDxfId="705"/>
    <tableColumn id="19" xr3:uid="{00000000-0010-0000-2D00-000013000000}" name="2011-14" dataDxfId="704"/>
    <tableColumn id="20" xr3:uid="{00000000-0010-0000-2D00-000014000000}" name="2012-15" dataDxfId="703"/>
    <tableColumn id="21" xr3:uid="{00000000-0010-0000-2D00-000015000000}" name="2013-16" dataDxfId="702"/>
    <tableColumn id="22" xr3:uid="{00000000-0010-0000-2D00-000016000000}" name="2014-17" dataDxfId="701"/>
    <tableColumn id="23" xr3:uid="{00000000-0010-0000-2D00-000017000000}" name="2015-18" dataDxfId="700"/>
    <tableColumn id="24" xr3:uid="{00000000-0010-0000-2D00-000018000000}" name="2016-19" dataDxfId="699"/>
    <tableColumn id="25" xr3:uid="{00000000-0010-0000-2D00-000019000000}" name="2017-20" dataDxfId="698"/>
    <tableColumn id="26" xr3:uid="{00000000-0010-0000-2D00-00001A000000}" name="2018-21" dataDxfId="697"/>
    <tableColumn id="27" xr3:uid="{00000000-0010-0000-2D00-00001B000000}" name="2019-22" dataDxfId="696"/>
  </tableColumns>
  <tableStyleInfo name="TableStyleLight1" showFirstColumn="1" showLastColumn="0" showRowStripes="0"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2E000000}" name="table5g" displayName="table5g" ref="A40:AA43" totalsRowShown="0" headerRowDxfId="695" dataDxfId="694">
  <tableColumns count="27">
    <tableColumn id="1" xr3:uid="{00000000-0010-0000-2E00-000001000000}" name="Group" dataDxfId="693"/>
    <tableColumn id="2" xr3:uid="{00000000-0010-0000-2E00-000002000000}" name="1994-97" dataDxfId="692"/>
    <tableColumn id="3" xr3:uid="{00000000-0010-0000-2E00-000003000000}" name="1995-98" dataDxfId="691"/>
    <tableColumn id="4" xr3:uid="{00000000-0010-0000-2E00-000004000000}" name="1996-99" dataDxfId="690"/>
    <tableColumn id="5" xr3:uid="{00000000-0010-0000-2E00-000005000000}" name="1997-00" dataDxfId="689"/>
    <tableColumn id="6" xr3:uid="{00000000-0010-0000-2E00-000006000000}" name="1998-01" dataDxfId="688"/>
    <tableColumn id="7" xr3:uid="{00000000-0010-0000-2E00-000007000000}" name="1999-02" dataDxfId="687"/>
    <tableColumn id="8" xr3:uid="{00000000-0010-0000-2E00-000008000000}" name="2000-03" dataDxfId="686"/>
    <tableColumn id="9" xr3:uid="{00000000-0010-0000-2E00-000009000000}" name="2001-04" dataDxfId="685"/>
    <tableColumn id="10" xr3:uid="{00000000-0010-0000-2E00-00000A000000}" name="2002-05" dataDxfId="684"/>
    <tableColumn id="11" xr3:uid="{00000000-0010-0000-2E00-00000B000000}" name="2003-06" dataDxfId="683"/>
    <tableColumn id="12" xr3:uid="{00000000-0010-0000-2E00-00000C000000}" name="2004-07" dataDxfId="682"/>
    <tableColumn id="13" xr3:uid="{00000000-0010-0000-2E00-00000D000000}" name="2005-08" dataDxfId="681"/>
    <tableColumn id="14" xr3:uid="{00000000-0010-0000-2E00-00000E000000}" name="2006-09" dataDxfId="680"/>
    <tableColumn id="15" xr3:uid="{00000000-0010-0000-2E00-00000F000000}" name="2007-10" dataDxfId="679"/>
    <tableColumn id="16" xr3:uid="{00000000-0010-0000-2E00-000010000000}" name="2008-11" dataDxfId="678"/>
    <tableColumn id="17" xr3:uid="{00000000-0010-0000-2E00-000011000000}" name="2009-12" dataDxfId="677"/>
    <tableColumn id="18" xr3:uid="{00000000-0010-0000-2E00-000012000000}" name="2010-13" dataDxfId="676"/>
    <tableColumn id="19" xr3:uid="{00000000-0010-0000-2E00-000013000000}" name="2011-14" dataDxfId="675"/>
    <tableColumn id="20" xr3:uid="{00000000-0010-0000-2E00-000014000000}" name="2012-15" dataDxfId="674"/>
    <tableColumn id="21" xr3:uid="{00000000-0010-0000-2E00-000015000000}" name="2013-16" dataDxfId="673"/>
    <tableColumn id="22" xr3:uid="{00000000-0010-0000-2E00-000016000000}" name="2014-17" dataDxfId="672"/>
    <tableColumn id="23" xr3:uid="{00000000-0010-0000-2E00-000017000000}" name="2015-18" dataDxfId="671"/>
    <tableColumn id="24" xr3:uid="{00000000-0010-0000-2E00-000018000000}" name="2016-19" dataDxfId="670"/>
    <tableColumn id="25" xr3:uid="{00000000-0010-0000-2E00-000019000000}" name="2017-20" dataDxfId="669"/>
    <tableColumn id="26" xr3:uid="{00000000-0010-0000-2E00-00001A000000}" name="2018-21" dataDxfId="668"/>
    <tableColumn id="27" xr3:uid="{00000000-0010-0000-2E00-00001B000000}" name="2019-22" dataDxfId="667"/>
  </tableColumns>
  <tableStyleInfo name="TableStyleLight1" showFirstColumn="1" showLastColumn="0" showRowStripes="0"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2F000000}" name="table5h" displayName="table5h" ref="A45:AA48" totalsRowShown="0" headerRowDxfId="666" dataDxfId="665">
  <tableColumns count="27">
    <tableColumn id="1" xr3:uid="{00000000-0010-0000-2F00-000001000000}" name="Group" dataDxfId="664"/>
    <tableColumn id="2" xr3:uid="{00000000-0010-0000-2F00-000002000000}" name="1994-97" dataDxfId="663"/>
    <tableColumn id="3" xr3:uid="{00000000-0010-0000-2F00-000003000000}" name="1995-98" dataDxfId="662"/>
    <tableColumn id="4" xr3:uid="{00000000-0010-0000-2F00-000004000000}" name="1996-99" dataDxfId="661"/>
    <tableColumn id="5" xr3:uid="{00000000-0010-0000-2F00-000005000000}" name="1997-00" dataDxfId="660"/>
    <tableColumn id="6" xr3:uid="{00000000-0010-0000-2F00-000006000000}" name="1998-01" dataDxfId="659"/>
    <tableColumn id="7" xr3:uid="{00000000-0010-0000-2F00-000007000000}" name="1999-02" dataDxfId="658"/>
    <tableColumn id="8" xr3:uid="{00000000-0010-0000-2F00-000008000000}" name="2000-03" dataDxfId="657"/>
    <tableColumn id="9" xr3:uid="{00000000-0010-0000-2F00-000009000000}" name="2001-04" dataDxfId="656"/>
    <tableColumn id="10" xr3:uid="{00000000-0010-0000-2F00-00000A000000}" name="2002-05" dataDxfId="655"/>
    <tableColumn id="11" xr3:uid="{00000000-0010-0000-2F00-00000B000000}" name="2003-06" dataDxfId="654"/>
    <tableColumn id="12" xr3:uid="{00000000-0010-0000-2F00-00000C000000}" name="2004-07" dataDxfId="653"/>
    <tableColumn id="13" xr3:uid="{00000000-0010-0000-2F00-00000D000000}" name="2005-08" dataDxfId="652"/>
    <tableColumn id="14" xr3:uid="{00000000-0010-0000-2F00-00000E000000}" name="2006-09" dataDxfId="651"/>
    <tableColumn id="15" xr3:uid="{00000000-0010-0000-2F00-00000F000000}" name="2007-10" dataDxfId="650"/>
    <tableColumn id="16" xr3:uid="{00000000-0010-0000-2F00-000010000000}" name="2008-11" dataDxfId="649"/>
    <tableColumn id="17" xr3:uid="{00000000-0010-0000-2F00-000011000000}" name="2009-12" dataDxfId="648"/>
    <tableColumn id="18" xr3:uid="{00000000-0010-0000-2F00-000012000000}" name="2010-13" dataDxfId="647"/>
    <tableColumn id="19" xr3:uid="{00000000-0010-0000-2F00-000013000000}" name="2011-14" dataDxfId="646"/>
    <tableColumn id="20" xr3:uid="{00000000-0010-0000-2F00-000014000000}" name="2012-15" dataDxfId="645"/>
    <tableColumn id="21" xr3:uid="{00000000-0010-0000-2F00-000015000000}" name="2013-16" dataDxfId="644"/>
    <tableColumn id="22" xr3:uid="{00000000-0010-0000-2F00-000016000000}" name="2014-17" dataDxfId="643"/>
    <tableColumn id="23" xr3:uid="{00000000-0010-0000-2F00-000017000000}" name="2015-18" dataDxfId="642"/>
    <tableColumn id="24" xr3:uid="{00000000-0010-0000-2F00-000018000000}" name="2016-19" dataDxfId="641"/>
    <tableColumn id="25" xr3:uid="{00000000-0010-0000-2F00-000019000000}" name="2017-20" dataDxfId="640"/>
    <tableColumn id="26" xr3:uid="{00000000-0010-0000-2F00-00001A000000}" name="2018-21" dataDxfId="639"/>
    <tableColumn id="27" xr3:uid="{00000000-0010-0000-2F00-00001B000000}" name="2019-22" dataDxfId="638"/>
  </tableColumns>
  <tableStyleInfo name="TableStyleLight1" showFirstColumn="1" showLastColumn="0" showRowStripes="0"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30000000}" name="table5i" displayName="table5i" ref="A50:AA53" totalsRowShown="0" headerRowDxfId="637" dataDxfId="636">
  <tableColumns count="27">
    <tableColumn id="1" xr3:uid="{00000000-0010-0000-3000-000001000000}" name="Group" dataDxfId="635"/>
    <tableColumn id="2" xr3:uid="{00000000-0010-0000-3000-000002000000}" name="1994-97" dataDxfId="634"/>
    <tableColumn id="3" xr3:uid="{00000000-0010-0000-3000-000003000000}" name="1995-98" dataDxfId="633"/>
    <tableColumn id="4" xr3:uid="{00000000-0010-0000-3000-000004000000}" name="1996-99" dataDxfId="632"/>
    <tableColumn id="5" xr3:uid="{00000000-0010-0000-3000-000005000000}" name="1997-00" dataDxfId="631"/>
    <tableColumn id="6" xr3:uid="{00000000-0010-0000-3000-000006000000}" name="1998-01" dataDxfId="630"/>
    <tableColumn id="7" xr3:uid="{00000000-0010-0000-3000-000007000000}" name="1999-02" dataDxfId="629"/>
    <tableColumn id="8" xr3:uid="{00000000-0010-0000-3000-000008000000}" name="2000-03" dataDxfId="628"/>
    <tableColumn id="9" xr3:uid="{00000000-0010-0000-3000-000009000000}" name="2001-04" dataDxfId="627"/>
    <tableColumn id="10" xr3:uid="{00000000-0010-0000-3000-00000A000000}" name="2002-05" dataDxfId="626"/>
    <tableColumn id="11" xr3:uid="{00000000-0010-0000-3000-00000B000000}" name="2003-06" dataDxfId="625"/>
    <tableColumn id="12" xr3:uid="{00000000-0010-0000-3000-00000C000000}" name="2004-07" dataDxfId="624"/>
    <tableColumn id="13" xr3:uid="{00000000-0010-0000-3000-00000D000000}" name="2005-08" dataDxfId="623"/>
    <tableColumn id="14" xr3:uid="{00000000-0010-0000-3000-00000E000000}" name="2006-09" dataDxfId="622"/>
    <tableColumn id="15" xr3:uid="{00000000-0010-0000-3000-00000F000000}" name="2007-10" dataDxfId="621"/>
    <tableColumn id="16" xr3:uid="{00000000-0010-0000-3000-000010000000}" name="2008-11" dataDxfId="620"/>
    <tableColumn id="17" xr3:uid="{00000000-0010-0000-3000-000011000000}" name="2009-12" dataDxfId="619"/>
    <tableColumn id="18" xr3:uid="{00000000-0010-0000-3000-000012000000}" name="2010-13" dataDxfId="618"/>
    <tableColumn id="19" xr3:uid="{00000000-0010-0000-3000-000013000000}" name="2011-14" dataDxfId="617"/>
    <tableColumn id="20" xr3:uid="{00000000-0010-0000-3000-000014000000}" name="2012-15" dataDxfId="616"/>
    <tableColumn id="21" xr3:uid="{00000000-0010-0000-3000-000015000000}" name="2013-16" dataDxfId="615"/>
    <tableColumn id="22" xr3:uid="{00000000-0010-0000-3000-000016000000}" name="2014-17" dataDxfId="614"/>
    <tableColumn id="23" xr3:uid="{00000000-0010-0000-3000-000017000000}" name="2015-18" dataDxfId="613"/>
    <tableColumn id="24" xr3:uid="{00000000-0010-0000-3000-000018000000}" name="2016-19" dataDxfId="612"/>
    <tableColumn id="25" xr3:uid="{00000000-0010-0000-3000-000019000000}" name="2017-20" dataDxfId="611"/>
    <tableColumn id="26" xr3:uid="{00000000-0010-0000-3000-00001A000000}" name="2018-21" dataDxfId="610"/>
    <tableColumn id="27" xr3:uid="{00000000-0010-0000-3000-00001B000000}" name="2019-22" dataDxfId="609"/>
  </tableColumns>
  <tableStyleInfo name="TableStyleLight1" showFirstColumn="1" showLastColumn="0" showRowStripes="0"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0000000-000C-0000-FFFF-FFFF31000000}" name="table5j" displayName="table5j" ref="A55:AA58" totalsRowShown="0" headerRowDxfId="608" dataDxfId="607">
  <tableColumns count="27">
    <tableColumn id="1" xr3:uid="{00000000-0010-0000-3100-000001000000}" name="Group" dataDxfId="606"/>
    <tableColumn id="2" xr3:uid="{00000000-0010-0000-3100-000002000000}" name="1994-97" dataDxfId="605"/>
    <tableColumn id="3" xr3:uid="{00000000-0010-0000-3100-000003000000}" name="1995-98" dataDxfId="604"/>
    <tableColumn id="4" xr3:uid="{00000000-0010-0000-3100-000004000000}" name="1996-99" dataDxfId="603"/>
    <tableColumn id="5" xr3:uid="{00000000-0010-0000-3100-000005000000}" name="1997-00" dataDxfId="602"/>
    <tableColumn id="6" xr3:uid="{00000000-0010-0000-3100-000006000000}" name="1998-01" dataDxfId="601"/>
    <tableColumn id="7" xr3:uid="{00000000-0010-0000-3100-000007000000}" name="1999-02" dataDxfId="600"/>
    <tableColumn id="8" xr3:uid="{00000000-0010-0000-3100-000008000000}" name="2000-03" dataDxfId="599"/>
    <tableColumn id="9" xr3:uid="{00000000-0010-0000-3100-000009000000}" name="2001-04" dataDxfId="598"/>
    <tableColumn id="10" xr3:uid="{00000000-0010-0000-3100-00000A000000}" name="2002-05" dataDxfId="597"/>
    <tableColumn id="11" xr3:uid="{00000000-0010-0000-3100-00000B000000}" name="2003-06" dataDxfId="596"/>
    <tableColumn id="12" xr3:uid="{00000000-0010-0000-3100-00000C000000}" name="2004-07" dataDxfId="595"/>
    <tableColumn id="13" xr3:uid="{00000000-0010-0000-3100-00000D000000}" name="2005-08" dataDxfId="594"/>
    <tableColumn id="14" xr3:uid="{00000000-0010-0000-3100-00000E000000}" name="2006-09" dataDxfId="593"/>
    <tableColumn id="15" xr3:uid="{00000000-0010-0000-3100-00000F000000}" name="2007-10" dataDxfId="592"/>
    <tableColumn id="16" xr3:uid="{00000000-0010-0000-3100-000010000000}" name="2008-11" dataDxfId="591"/>
    <tableColumn id="17" xr3:uid="{00000000-0010-0000-3100-000011000000}" name="2009-12" dataDxfId="590"/>
    <tableColumn id="18" xr3:uid="{00000000-0010-0000-3100-000012000000}" name="2010-13" dataDxfId="589"/>
    <tableColumn id="19" xr3:uid="{00000000-0010-0000-3100-000013000000}" name="2011-14" dataDxfId="588"/>
    <tableColumn id="20" xr3:uid="{00000000-0010-0000-3100-000014000000}" name="2012-15" dataDxfId="587"/>
    <tableColumn id="21" xr3:uid="{00000000-0010-0000-3100-000015000000}" name="2013-16" dataDxfId="586"/>
    <tableColumn id="22" xr3:uid="{00000000-0010-0000-3100-000016000000}" name="2014-17" dataDxfId="585"/>
    <tableColumn id="23" xr3:uid="{00000000-0010-0000-3100-000017000000}" name="2015-18" dataDxfId="584"/>
    <tableColumn id="24" xr3:uid="{00000000-0010-0000-3100-000018000000}" name="2016-19" dataDxfId="583"/>
    <tableColumn id="25" xr3:uid="{00000000-0010-0000-3100-000019000000}" name="2017-20" dataDxfId="582"/>
    <tableColumn id="26" xr3:uid="{00000000-0010-0000-3100-00001A000000}" name="2018-21" dataDxfId="581"/>
    <tableColumn id="27" xr3:uid="{00000000-0010-0000-3100-00001B000000}" name="2019-22" dataDxfId="580"/>
  </tableColumns>
  <tableStyleInfo name="TableStyleLight1" showFirstColumn="1" showLastColumn="0" showRowStripes="0"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0000000-000C-0000-FFFF-FFFF32000000}" name="table6a" displayName="table6a" ref="A11:AA14" totalsRowShown="0" headerRowDxfId="579" dataDxfId="578">
  <tableColumns count="27">
    <tableColumn id="1" xr3:uid="{00000000-0010-0000-3200-000001000000}" name="Group" dataDxfId="577"/>
    <tableColumn id="2" xr3:uid="{00000000-0010-0000-3200-000002000000}" name="1994-97" dataDxfId="576"/>
    <tableColumn id="3" xr3:uid="{00000000-0010-0000-3200-000003000000}" name="1995-98" dataDxfId="575"/>
    <tableColumn id="4" xr3:uid="{00000000-0010-0000-3200-000004000000}" name="1996-99" dataDxfId="574"/>
    <tableColumn id="5" xr3:uid="{00000000-0010-0000-3200-000005000000}" name="1997-00" dataDxfId="573"/>
    <tableColumn id="6" xr3:uid="{00000000-0010-0000-3200-000006000000}" name="1998-01" dataDxfId="572"/>
    <tableColumn id="7" xr3:uid="{00000000-0010-0000-3200-000007000000}" name="1999-02" dataDxfId="571"/>
    <tableColumn id="8" xr3:uid="{00000000-0010-0000-3200-000008000000}" name="2000-03" dataDxfId="570"/>
    <tableColumn id="9" xr3:uid="{00000000-0010-0000-3200-000009000000}" name="2001-04" dataDxfId="569"/>
    <tableColumn id="10" xr3:uid="{00000000-0010-0000-3200-00000A000000}" name="2002-05" dataDxfId="568"/>
    <tableColumn id="11" xr3:uid="{00000000-0010-0000-3200-00000B000000}" name="2003-06" dataDxfId="567"/>
    <tableColumn id="12" xr3:uid="{00000000-0010-0000-3200-00000C000000}" name="2004-07" dataDxfId="566"/>
    <tableColumn id="13" xr3:uid="{00000000-0010-0000-3200-00000D000000}" name="2005-08" dataDxfId="565"/>
    <tableColumn id="14" xr3:uid="{00000000-0010-0000-3200-00000E000000}" name="2006-09" dataDxfId="564"/>
    <tableColumn id="15" xr3:uid="{00000000-0010-0000-3200-00000F000000}" name="2007-10" dataDxfId="563"/>
    <tableColumn id="16" xr3:uid="{00000000-0010-0000-3200-000010000000}" name="2008-11" dataDxfId="562"/>
    <tableColumn id="17" xr3:uid="{00000000-0010-0000-3200-000011000000}" name="2009-12" dataDxfId="561"/>
    <tableColumn id="18" xr3:uid="{00000000-0010-0000-3200-000012000000}" name="2010-13" dataDxfId="560"/>
    <tableColumn id="19" xr3:uid="{00000000-0010-0000-3200-000013000000}" name="2011-14" dataDxfId="559"/>
    <tableColumn id="20" xr3:uid="{00000000-0010-0000-3200-000014000000}" name="2012-15" dataDxfId="558"/>
    <tableColumn id="21" xr3:uid="{00000000-0010-0000-3200-000015000000}" name="2013-16" dataDxfId="557"/>
    <tableColumn id="22" xr3:uid="{00000000-0010-0000-3200-000016000000}" name="2014-17" dataDxfId="556"/>
    <tableColumn id="23" xr3:uid="{00000000-0010-0000-3200-000017000000}" name="2015-18" dataDxfId="555"/>
    <tableColumn id="24" xr3:uid="{00000000-0010-0000-3200-000018000000}" name="2016-19" dataDxfId="554"/>
    <tableColumn id="25" xr3:uid="{00000000-0010-0000-3200-000019000000}" name="2017-20" dataDxfId="553"/>
    <tableColumn id="26" xr3:uid="{00000000-0010-0000-3200-00001A000000}" name="2018-21" dataDxfId="552"/>
    <tableColumn id="27" xr3:uid="{00000000-0010-0000-3200-00001B000000}" name="2019-22" dataDxfId="551"/>
  </tableColumns>
  <tableStyleInfo name="TableStyleLight1" showFirstColumn="1" showLastColumn="0" showRowStripes="0"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0000000-000C-0000-FFFF-FFFF33000000}" name="table6b" displayName="table6b" ref="A16:AA19" totalsRowShown="0" headerRowDxfId="550" dataDxfId="549">
  <tableColumns count="27">
    <tableColumn id="1" xr3:uid="{00000000-0010-0000-3300-000001000000}" name="Group" dataDxfId="548"/>
    <tableColumn id="2" xr3:uid="{00000000-0010-0000-3300-000002000000}" name="1994-97" dataDxfId="547"/>
    <tableColumn id="3" xr3:uid="{00000000-0010-0000-3300-000003000000}" name="1995-98" dataDxfId="546"/>
    <tableColumn id="4" xr3:uid="{00000000-0010-0000-3300-000004000000}" name="1996-99" dataDxfId="545"/>
    <tableColumn id="5" xr3:uid="{00000000-0010-0000-3300-000005000000}" name="1997-00" dataDxfId="544"/>
    <tableColumn id="6" xr3:uid="{00000000-0010-0000-3300-000006000000}" name="1998-01" dataDxfId="543"/>
    <tableColumn id="7" xr3:uid="{00000000-0010-0000-3300-000007000000}" name="1999-02" dataDxfId="542"/>
    <tableColumn id="8" xr3:uid="{00000000-0010-0000-3300-000008000000}" name="2000-03" dataDxfId="541"/>
    <tableColumn id="9" xr3:uid="{00000000-0010-0000-3300-000009000000}" name="2001-04" dataDxfId="540"/>
    <tableColumn id="10" xr3:uid="{00000000-0010-0000-3300-00000A000000}" name="2002-05" dataDxfId="539"/>
    <tableColumn id="11" xr3:uid="{00000000-0010-0000-3300-00000B000000}" name="2003-06" dataDxfId="538"/>
    <tableColumn id="12" xr3:uid="{00000000-0010-0000-3300-00000C000000}" name="2004-07" dataDxfId="537"/>
    <tableColumn id="13" xr3:uid="{00000000-0010-0000-3300-00000D000000}" name="2005-08" dataDxfId="536"/>
    <tableColumn id="14" xr3:uid="{00000000-0010-0000-3300-00000E000000}" name="2006-09" dataDxfId="535"/>
    <tableColumn id="15" xr3:uid="{00000000-0010-0000-3300-00000F000000}" name="2007-10" dataDxfId="534"/>
    <tableColumn id="16" xr3:uid="{00000000-0010-0000-3300-000010000000}" name="2008-11" dataDxfId="533"/>
    <tableColumn id="17" xr3:uid="{00000000-0010-0000-3300-000011000000}" name="2009-12" dataDxfId="532"/>
    <tableColumn id="18" xr3:uid="{00000000-0010-0000-3300-000012000000}" name="2010-13" dataDxfId="531"/>
    <tableColumn id="19" xr3:uid="{00000000-0010-0000-3300-000013000000}" name="2011-14" dataDxfId="530"/>
    <tableColumn id="20" xr3:uid="{00000000-0010-0000-3300-000014000000}" name="2012-15" dataDxfId="529"/>
    <tableColumn id="21" xr3:uid="{00000000-0010-0000-3300-000015000000}" name="2013-16" dataDxfId="528"/>
    <tableColumn id="22" xr3:uid="{00000000-0010-0000-3300-000016000000}" name="2014-17" dataDxfId="527"/>
    <tableColumn id="23" xr3:uid="{00000000-0010-0000-3300-000017000000}" name="2015-18" dataDxfId="526"/>
    <tableColumn id="24" xr3:uid="{00000000-0010-0000-3300-000018000000}" name="2016-19" dataDxfId="525"/>
    <tableColumn id="25" xr3:uid="{00000000-0010-0000-3300-000019000000}" name="2017-20" dataDxfId="524"/>
    <tableColumn id="26" xr3:uid="{00000000-0010-0000-3300-00001A000000}" name="2018-21" dataDxfId="523"/>
    <tableColumn id="27" xr3:uid="{00000000-0010-0000-3300-00001B000000}" name="2019-22" dataDxfId="522"/>
  </tableColumns>
  <tableStyleInfo name="TableStyleLight1" showFirstColumn="1" showLastColumn="0" showRowStripes="0"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0000000-000C-0000-FFFF-FFFF34000000}" name="table6c" displayName="table6c" ref="A21:AA24" totalsRowShown="0" headerRowDxfId="521" dataDxfId="520">
  <tableColumns count="27">
    <tableColumn id="1" xr3:uid="{00000000-0010-0000-3400-000001000000}" name="Group" dataDxfId="519"/>
    <tableColumn id="2" xr3:uid="{00000000-0010-0000-3400-000002000000}" name="1994-97" dataDxfId="518"/>
    <tableColumn id="3" xr3:uid="{00000000-0010-0000-3400-000003000000}" name="1995-98" dataDxfId="517"/>
    <tableColumn id="4" xr3:uid="{00000000-0010-0000-3400-000004000000}" name="1996-99" dataDxfId="516"/>
    <tableColumn id="5" xr3:uid="{00000000-0010-0000-3400-000005000000}" name="1997-00" dataDxfId="515"/>
    <tableColumn id="6" xr3:uid="{00000000-0010-0000-3400-000006000000}" name="1998-01" dataDxfId="514"/>
    <tableColumn id="7" xr3:uid="{00000000-0010-0000-3400-000007000000}" name="1999-02" dataDxfId="513"/>
    <tableColumn id="8" xr3:uid="{00000000-0010-0000-3400-000008000000}" name="2000-03" dataDxfId="512"/>
    <tableColumn id="9" xr3:uid="{00000000-0010-0000-3400-000009000000}" name="2001-04" dataDxfId="511"/>
    <tableColumn id="10" xr3:uid="{00000000-0010-0000-3400-00000A000000}" name="2002-05" dataDxfId="510"/>
    <tableColumn id="11" xr3:uid="{00000000-0010-0000-3400-00000B000000}" name="2003-06" dataDxfId="509"/>
    <tableColumn id="12" xr3:uid="{00000000-0010-0000-3400-00000C000000}" name="2004-07" dataDxfId="508"/>
    <tableColumn id="13" xr3:uid="{00000000-0010-0000-3400-00000D000000}" name="2005-08" dataDxfId="507"/>
    <tableColumn id="14" xr3:uid="{00000000-0010-0000-3400-00000E000000}" name="2006-09" dataDxfId="506"/>
    <tableColumn id="15" xr3:uid="{00000000-0010-0000-3400-00000F000000}" name="2007-10" dataDxfId="505"/>
    <tableColumn id="16" xr3:uid="{00000000-0010-0000-3400-000010000000}" name="2008-11" dataDxfId="504"/>
    <tableColumn id="17" xr3:uid="{00000000-0010-0000-3400-000011000000}" name="2009-12" dataDxfId="503"/>
    <tableColumn id="18" xr3:uid="{00000000-0010-0000-3400-000012000000}" name="2010-13" dataDxfId="502"/>
    <tableColumn id="19" xr3:uid="{00000000-0010-0000-3400-000013000000}" name="2011-14" dataDxfId="501"/>
    <tableColumn id="20" xr3:uid="{00000000-0010-0000-3400-000014000000}" name="2012-15" dataDxfId="500"/>
    <tableColumn id="21" xr3:uid="{00000000-0010-0000-3400-000015000000}" name="2013-16" dataDxfId="499"/>
    <tableColumn id="22" xr3:uid="{00000000-0010-0000-3400-000016000000}" name="2014-17" dataDxfId="498"/>
    <tableColumn id="23" xr3:uid="{00000000-0010-0000-3400-000017000000}" name="2015-18" dataDxfId="497"/>
    <tableColumn id="24" xr3:uid="{00000000-0010-0000-3400-000018000000}" name="2016-19" dataDxfId="496"/>
    <tableColumn id="25" xr3:uid="{00000000-0010-0000-3400-000019000000}" name="2017-20" dataDxfId="495"/>
    <tableColumn id="26" xr3:uid="{00000000-0010-0000-3400-00001A000000}" name="2018-21" dataDxfId="494"/>
    <tableColumn id="27" xr3:uid="{00000000-0010-0000-3400-00001B000000}" name="2019-22" dataDxfId="493"/>
  </tableColumns>
  <tableStyleInfo name="TableStyleLight1" showFirstColumn="1" showLastColumn="0" showRowStripes="0"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00000000-000C-0000-FFFF-FFFF35000000}" name="table6d" displayName="table6d" ref="A26:AA29" totalsRowShown="0" headerRowDxfId="492" dataDxfId="491">
  <tableColumns count="27">
    <tableColumn id="1" xr3:uid="{00000000-0010-0000-3500-000001000000}" name="Group" dataDxfId="490"/>
    <tableColumn id="2" xr3:uid="{00000000-0010-0000-3500-000002000000}" name="1994-97" dataDxfId="489"/>
    <tableColumn id="3" xr3:uid="{00000000-0010-0000-3500-000003000000}" name="1995-98" dataDxfId="488"/>
    <tableColumn id="4" xr3:uid="{00000000-0010-0000-3500-000004000000}" name="1996-99" dataDxfId="487"/>
    <tableColumn id="5" xr3:uid="{00000000-0010-0000-3500-000005000000}" name="1997-00" dataDxfId="486"/>
    <tableColumn id="6" xr3:uid="{00000000-0010-0000-3500-000006000000}" name="1998-01" dataDxfId="485"/>
    <tableColumn id="7" xr3:uid="{00000000-0010-0000-3500-000007000000}" name="1999-02" dataDxfId="484"/>
    <tableColumn id="8" xr3:uid="{00000000-0010-0000-3500-000008000000}" name="2000-03" dataDxfId="483"/>
    <tableColumn id="9" xr3:uid="{00000000-0010-0000-3500-000009000000}" name="2001-04" dataDxfId="482"/>
    <tableColumn id="10" xr3:uid="{00000000-0010-0000-3500-00000A000000}" name="2002-05" dataDxfId="481"/>
    <tableColumn id="11" xr3:uid="{00000000-0010-0000-3500-00000B000000}" name="2003-06" dataDxfId="480"/>
    <tableColumn id="12" xr3:uid="{00000000-0010-0000-3500-00000C000000}" name="2004-07" dataDxfId="479"/>
    <tableColumn id="13" xr3:uid="{00000000-0010-0000-3500-00000D000000}" name="2005-08" dataDxfId="478"/>
    <tableColumn id="14" xr3:uid="{00000000-0010-0000-3500-00000E000000}" name="2006-09" dataDxfId="477"/>
    <tableColumn id="15" xr3:uid="{00000000-0010-0000-3500-00000F000000}" name="2007-10" dataDxfId="476"/>
    <tableColumn id="16" xr3:uid="{00000000-0010-0000-3500-000010000000}" name="2008-11" dataDxfId="475"/>
    <tableColumn id="17" xr3:uid="{00000000-0010-0000-3500-000011000000}" name="2009-12" dataDxfId="474"/>
    <tableColumn id="18" xr3:uid="{00000000-0010-0000-3500-000012000000}" name="2010-13" dataDxfId="473"/>
    <tableColumn id="19" xr3:uid="{00000000-0010-0000-3500-000013000000}" name="2011-14" dataDxfId="472"/>
    <tableColumn id="20" xr3:uid="{00000000-0010-0000-3500-000014000000}" name="2012-15" dataDxfId="471"/>
    <tableColumn id="21" xr3:uid="{00000000-0010-0000-3500-000015000000}" name="2013-16" dataDxfId="470"/>
    <tableColumn id="22" xr3:uid="{00000000-0010-0000-3500-000016000000}" name="2014-17" dataDxfId="469"/>
    <tableColumn id="23" xr3:uid="{00000000-0010-0000-3500-000017000000}" name="2015-18" dataDxfId="468"/>
    <tableColumn id="24" xr3:uid="{00000000-0010-0000-3500-000018000000}" name="2016-19" dataDxfId="467"/>
    <tableColumn id="25" xr3:uid="{00000000-0010-0000-3500-000019000000}" name="2017-20" dataDxfId="466"/>
    <tableColumn id="26" xr3:uid="{00000000-0010-0000-3500-00001A000000}" name="2018-21" dataDxfId="465"/>
    <tableColumn id="27" xr3:uid="{00000000-0010-0000-3500-00001B000000}" name="2019-22" dataDxfId="464"/>
  </tableColumns>
  <tableStyleInfo name="TableStyleLight1" showFirstColumn="1" showLastColumn="0" showRowStripes="0"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00000000-000C-0000-FFFF-FFFF36000000}" name="table6e" displayName="table6e" ref="A31:AA34" totalsRowShown="0" headerRowDxfId="463" dataDxfId="462">
  <tableColumns count="27">
    <tableColumn id="1" xr3:uid="{00000000-0010-0000-3600-000001000000}" name="Group" dataDxfId="461"/>
    <tableColumn id="2" xr3:uid="{00000000-0010-0000-3600-000002000000}" name="1994-97" dataDxfId="460"/>
    <tableColumn id="3" xr3:uid="{00000000-0010-0000-3600-000003000000}" name="1995-98" dataDxfId="459"/>
    <tableColumn id="4" xr3:uid="{00000000-0010-0000-3600-000004000000}" name="1996-99" dataDxfId="458"/>
    <tableColumn id="5" xr3:uid="{00000000-0010-0000-3600-000005000000}" name="1997-00" dataDxfId="457"/>
    <tableColumn id="6" xr3:uid="{00000000-0010-0000-3600-000006000000}" name="1998-01" dataDxfId="456"/>
    <tableColumn id="7" xr3:uid="{00000000-0010-0000-3600-000007000000}" name="1999-02" dataDxfId="455"/>
    <tableColumn id="8" xr3:uid="{00000000-0010-0000-3600-000008000000}" name="2000-03" dataDxfId="454"/>
    <tableColumn id="9" xr3:uid="{00000000-0010-0000-3600-000009000000}" name="2001-04" dataDxfId="453"/>
    <tableColumn id="10" xr3:uid="{00000000-0010-0000-3600-00000A000000}" name="2002-05" dataDxfId="452"/>
    <tableColumn id="11" xr3:uid="{00000000-0010-0000-3600-00000B000000}" name="2003-06" dataDxfId="451"/>
    <tableColumn id="12" xr3:uid="{00000000-0010-0000-3600-00000C000000}" name="2004-07" dataDxfId="450"/>
    <tableColumn id="13" xr3:uid="{00000000-0010-0000-3600-00000D000000}" name="2005-08" dataDxfId="449"/>
    <tableColumn id="14" xr3:uid="{00000000-0010-0000-3600-00000E000000}" name="2006-09" dataDxfId="448"/>
    <tableColumn id="15" xr3:uid="{00000000-0010-0000-3600-00000F000000}" name="2007-10" dataDxfId="447"/>
    <tableColumn id="16" xr3:uid="{00000000-0010-0000-3600-000010000000}" name="2008-11" dataDxfId="446"/>
    <tableColumn id="17" xr3:uid="{00000000-0010-0000-3600-000011000000}" name="2009-12" dataDxfId="445"/>
    <tableColumn id="18" xr3:uid="{00000000-0010-0000-3600-000012000000}" name="2010-13" dataDxfId="444"/>
    <tableColumn id="19" xr3:uid="{00000000-0010-0000-3600-000013000000}" name="2011-14" dataDxfId="443"/>
    <tableColumn id="20" xr3:uid="{00000000-0010-0000-3600-000014000000}" name="2012-15" dataDxfId="442"/>
    <tableColumn id="21" xr3:uid="{00000000-0010-0000-3600-000015000000}" name="2013-16" dataDxfId="441"/>
    <tableColumn id="22" xr3:uid="{00000000-0010-0000-3600-000016000000}" name="2014-17" dataDxfId="440"/>
    <tableColumn id="23" xr3:uid="{00000000-0010-0000-3600-000017000000}" name="2015-18" dataDxfId="439"/>
    <tableColumn id="24" xr3:uid="{00000000-0010-0000-3600-000018000000}" name="2016-19" dataDxfId="438"/>
    <tableColumn id="25" xr3:uid="{00000000-0010-0000-3600-000019000000}" name="2017-20" dataDxfId="437"/>
    <tableColumn id="26" xr3:uid="{00000000-0010-0000-3600-00001A000000}" name="2018-21" dataDxfId="436"/>
    <tableColumn id="27" xr3:uid="{00000000-0010-0000-3600-00001B000000}" name="2019-22" dataDxfId="435"/>
  </tableColumns>
  <tableStyleInfo name="TableStyleLight1" showFirstColumn="1" showLastColumn="0" showRowStripes="0"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00000000-000C-0000-FFFF-FFFF37000000}" name="table6f" displayName="table6f" ref="A36:AA39" totalsRowShown="0" headerRowDxfId="434" dataDxfId="433">
  <tableColumns count="27">
    <tableColumn id="1" xr3:uid="{00000000-0010-0000-3700-000001000000}" name="Group" dataDxfId="432"/>
    <tableColumn id="2" xr3:uid="{00000000-0010-0000-3700-000002000000}" name="1994-97" dataDxfId="431"/>
    <tableColumn id="3" xr3:uid="{00000000-0010-0000-3700-000003000000}" name="1995-98" dataDxfId="430"/>
    <tableColumn id="4" xr3:uid="{00000000-0010-0000-3700-000004000000}" name="1996-99" dataDxfId="429"/>
    <tableColumn id="5" xr3:uid="{00000000-0010-0000-3700-000005000000}" name="1997-00" dataDxfId="428"/>
    <tableColumn id="6" xr3:uid="{00000000-0010-0000-3700-000006000000}" name="1998-01" dataDxfId="427"/>
    <tableColumn id="7" xr3:uid="{00000000-0010-0000-3700-000007000000}" name="1999-02" dataDxfId="426"/>
    <tableColumn id="8" xr3:uid="{00000000-0010-0000-3700-000008000000}" name="2000-03" dataDxfId="425"/>
    <tableColumn id="9" xr3:uid="{00000000-0010-0000-3700-000009000000}" name="2001-04" dataDxfId="424"/>
    <tableColumn id="10" xr3:uid="{00000000-0010-0000-3700-00000A000000}" name="2002-05" dataDxfId="423"/>
    <tableColumn id="11" xr3:uid="{00000000-0010-0000-3700-00000B000000}" name="2003-06" dataDxfId="422"/>
    <tableColumn id="12" xr3:uid="{00000000-0010-0000-3700-00000C000000}" name="2004-07" dataDxfId="421"/>
    <tableColumn id="13" xr3:uid="{00000000-0010-0000-3700-00000D000000}" name="2005-08" dataDxfId="420"/>
    <tableColumn id="14" xr3:uid="{00000000-0010-0000-3700-00000E000000}" name="2006-09" dataDxfId="419"/>
    <tableColumn id="15" xr3:uid="{00000000-0010-0000-3700-00000F000000}" name="2007-10" dataDxfId="418"/>
    <tableColumn id="16" xr3:uid="{00000000-0010-0000-3700-000010000000}" name="2008-11" dataDxfId="417"/>
    <tableColumn id="17" xr3:uid="{00000000-0010-0000-3700-000011000000}" name="2009-12" dataDxfId="416"/>
    <tableColumn id="18" xr3:uid="{00000000-0010-0000-3700-000012000000}" name="2010-13" dataDxfId="415"/>
    <tableColumn id="19" xr3:uid="{00000000-0010-0000-3700-000013000000}" name="2011-14" dataDxfId="414"/>
    <tableColumn id="20" xr3:uid="{00000000-0010-0000-3700-000014000000}" name="2012-15" dataDxfId="413"/>
    <tableColumn id="21" xr3:uid="{00000000-0010-0000-3700-000015000000}" name="2013-16" dataDxfId="412"/>
    <tableColumn id="22" xr3:uid="{00000000-0010-0000-3700-000016000000}" name="2014-17" dataDxfId="411"/>
    <tableColumn id="23" xr3:uid="{00000000-0010-0000-3700-000017000000}" name="2015-18" dataDxfId="410"/>
    <tableColumn id="24" xr3:uid="{00000000-0010-0000-3700-000018000000}" name="2016-19" dataDxfId="409"/>
    <tableColumn id="25" xr3:uid="{00000000-0010-0000-3700-000019000000}" name="2017-20" dataDxfId="408"/>
    <tableColumn id="26" xr3:uid="{00000000-0010-0000-3700-00001A000000}" name="2018-21" dataDxfId="407"/>
    <tableColumn id="27" xr3:uid="{00000000-0010-0000-3700-00001B000000}" name="2019-22" dataDxfId="406"/>
  </tableColumns>
  <tableStyleInfo name="TableStyleLight1" showFirstColumn="1" showLastColumn="0" showRowStripes="0"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00000000-000C-0000-FFFF-FFFF38000000}" name="table6g" displayName="table6g" ref="A41:AA44" totalsRowShown="0" headerRowDxfId="405" dataDxfId="404">
  <tableColumns count="27">
    <tableColumn id="1" xr3:uid="{00000000-0010-0000-3800-000001000000}" name="Group" dataDxfId="403"/>
    <tableColumn id="2" xr3:uid="{00000000-0010-0000-3800-000002000000}" name="1994-97" dataDxfId="402"/>
    <tableColumn id="3" xr3:uid="{00000000-0010-0000-3800-000003000000}" name="1995-98" dataDxfId="401"/>
    <tableColumn id="4" xr3:uid="{00000000-0010-0000-3800-000004000000}" name="1996-99" dataDxfId="400"/>
    <tableColumn id="5" xr3:uid="{00000000-0010-0000-3800-000005000000}" name="1997-00" dataDxfId="399"/>
    <tableColumn id="6" xr3:uid="{00000000-0010-0000-3800-000006000000}" name="1998-01" dataDxfId="398"/>
    <tableColumn id="7" xr3:uid="{00000000-0010-0000-3800-000007000000}" name="1999-02" dataDxfId="397"/>
    <tableColumn id="8" xr3:uid="{00000000-0010-0000-3800-000008000000}" name="2000-03" dataDxfId="396"/>
    <tableColumn id="9" xr3:uid="{00000000-0010-0000-3800-000009000000}" name="2001-04" dataDxfId="395"/>
    <tableColumn id="10" xr3:uid="{00000000-0010-0000-3800-00000A000000}" name="2002-05" dataDxfId="394"/>
    <tableColumn id="11" xr3:uid="{00000000-0010-0000-3800-00000B000000}" name="2003-06" dataDxfId="393"/>
    <tableColumn id="12" xr3:uid="{00000000-0010-0000-3800-00000C000000}" name="2004-07" dataDxfId="392"/>
    <tableColumn id="13" xr3:uid="{00000000-0010-0000-3800-00000D000000}" name="2005-08" dataDxfId="391"/>
    <tableColumn id="14" xr3:uid="{00000000-0010-0000-3800-00000E000000}" name="2006-09" dataDxfId="390"/>
    <tableColumn id="15" xr3:uid="{00000000-0010-0000-3800-00000F000000}" name="2007-10" dataDxfId="389"/>
    <tableColumn id="16" xr3:uid="{00000000-0010-0000-3800-000010000000}" name="2008-11" dataDxfId="388"/>
    <tableColumn id="17" xr3:uid="{00000000-0010-0000-3800-000011000000}" name="2009-12" dataDxfId="387"/>
    <tableColumn id="18" xr3:uid="{00000000-0010-0000-3800-000012000000}" name="2010-13" dataDxfId="386"/>
    <tableColumn id="19" xr3:uid="{00000000-0010-0000-3800-000013000000}" name="2011-14" dataDxfId="385"/>
    <tableColumn id="20" xr3:uid="{00000000-0010-0000-3800-000014000000}" name="2012-15" dataDxfId="384"/>
    <tableColumn id="21" xr3:uid="{00000000-0010-0000-3800-000015000000}" name="2013-16" dataDxfId="383"/>
    <tableColumn id="22" xr3:uid="{00000000-0010-0000-3800-000016000000}" name="2014-17" dataDxfId="382"/>
    <tableColumn id="23" xr3:uid="{00000000-0010-0000-3800-000017000000}" name="2015-18" dataDxfId="381"/>
    <tableColumn id="24" xr3:uid="{00000000-0010-0000-3800-000018000000}" name="2016-19" dataDxfId="380"/>
    <tableColumn id="25" xr3:uid="{00000000-0010-0000-3800-000019000000}" name="2017-20" dataDxfId="379"/>
    <tableColumn id="26" xr3:uid="{00000000-0010-0000-3800-00001A000000}" name="2018-21" dataDxfId="378"/>
    <tableColumn id="27" xr3:uid="{00000000-0010-0000-3800-00001B000000}" name="2019-22" dataDxfId="377"/>
  </tableColumns>
  <tableStyleInfo name="TableStyleLight1" showFirstColumn="1" showLastColumn="0" showRowStripes="0"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00000000-000C-0000-FFFF-FFFF39000000}" name="table6h" displayName="table6h" ref="A46:AA49" totalsRowShown="0" headerRowDxfId="376" dataDxfId="375">
  <tableColumns count="27">
    <tableColumn id="1" xr3:uid="{00000000-0010-0000-3900-000001000000}" name="Group" dataDxfId="374"/>
    <tableColumn id="2" xr3:uid="{00000000-0010-0000-3900-000002000000}" name="1994-97" dataDxfId="373"/>
    <tableColumn id="3" xr3:uid="{00000000-0010-0000-3900-000003000000}" name="1995-98" dataDxfId="372"/>
    <tableColumn id="4" xr3:uid="{00000000-0010-0000-3900-000004000000}" name="1996-99" dataDxfId="371"/>
    <tableColumn id="5" xr3:uid="{00000000-0010-0000-3900-000005000000}" name="1997-00" dataDxfId="370"/>
    <tableColumn id="6" xr3:uid="{00000000-0010-0000-3900-000006000000}" name="1998-01" dataDxfId="369"/>
    <tableColumn id="7" xr3:uid="{00000000-0010-0000-3900-000007000000}" name="1999-02" dataDxfId="368"/>
    <tableColumn id="8" xr3:uid="{00000000-0010-0000-3900-000008000000}" name="2000-03" dataDxfId="367"/>
    <tableColumn id="9" xr3:uid="{00000000-0010-0000-3900-000009000000}" name="2001-04" dataDxfId="366"/>
    <tableColumn id="10" xr3:uid="{00000000-0010-0000-3900-00000A000000}" name="2002-05" dataDxfId="365"/>
    <tableColumn id="11" xr3:uid="{00000000-0010-0000-3900-00000B000000}" name="2003-06" dataDxfId="364"/>
    <tableColumn id="12" xr3:uid="{00000000-0010-0000-3900-00000C000000}" name="2004-07" dataDxfId="363"/>
    <tableColumn id="13" xr3:uid="{00000000-0010-0000-3900-00000D000000}" name="2005-08" dataDxfId="362"/>
    <tableColumn id="14" xr3:uid="{00000000-0010-0000-3900-00000E000000}" name="2006-09" dataDxfId="361"/>
    <tableColumn id="15" xr3:uid="{00000000-0010-0000-3900-00000F000000}" name="2007-10" dataDxfId="360"/>
    <tableColumn id="16" xr3:uid="{00000000-0010-0000-3900-000010000000}" name="2008-11" dataDxfId="359"/>
    <tableColumn id="17" xr3:uid="{00000000-0010-0000-3900-000011000000}" name="2009-12" dataDxfId="358"/>
    <tableColumn id="18" xr3:uid="{00000000-0010-0000-3900-000012000000}" name="2010-13" dataDxfId="357"/>
    <tableColumn id="19" xr3:uid="{00000000-0010-0000-3900-000013000000}" name="2011-14" dataDxfId="356"/>
    <tableColumn id="20" xr3:uid="{00000000-0010-0000-3900-000014000000}" name="2012-15" dataDxfId="355"/>
    <tableColumn id="21" xr3:uid="{00000000-0010-0000-3900-000015000000}" name="2013-16" dataDxfId="354"/>
    <tableColumn id="22" xr3:uid="{00000000-0010-0000-3900-000016000000}" name="2014-17" dataDxfId="353"/>
    <tableColumn id="23" xr3:uid="{00000000-0010-0000-3900-000017000000}" name="2015-18" dataDxfId="352"/>
    <tableColumn id="24" xr3:uid="{00000000-0010-0000-3900-000018000000}" name="2016-19" dataDxfId="351"/>
    <tableColumn id="25" xr3:uid="{00000000-0010-0000-3900-000019000000}" name="2017-20" dataDxfId="350"/>
    <tableColumn id="26" xr3:uid="{00000000-0010-0000-3900-00001A000000}" name="2018-21" dataDxfId="349"/>
    <tableColumn id="27" xr3:uid="{00000000-0010-0000-3900-00001B000000}" name="2019-22" dataDxfId="348"/>
  </tableColumns>
  <tableStyleInfo name="TableStyleLight1" showFirstColumn="1" showLastColumn="0" showRowStripes="0"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00000000-000C-0000-FFFF-FFFF3A000000}" name="table6i" displayName="table6i" ref="A51:AA54" totalsRowShown="0" headerRowDxfId="347" dataDxfId="346">
  <tableColumns count="27">
    <tableColumn id="1" xr3:uid="{00000000-0010-0000-3A00-000001000000}" name="Group" dataDxfId="345"/>
    <tableColumn id="2" xr3:uid="{00000000-0010-0000-3A00-000002000000}" name="1994-97" dataDxfId="344"/>
    <tableColumn id="3" xr3:uid="{00000000-0010-0000-3A00-000003000000}" name="1995-98" dataDxfId="343"/>
    <tableColumn id="4" xr3:uid="{00000000-0010-0000-3A00-000004000000}" name="1996-99" dataDxfId="342"/>
    <tableColumn id="5" xr3:uid="{00000000-0010-0000-3A00-000005000000}" name="1997-00" dataDxfId="341"/>
    <tableColumn id="6" xr3:uid="{00000000-0010-0000-3A00-000006000000}" name="1998-01" dataDxfId="340"/>
    <tableColumn id="7" xr3:uid="{00000000-0010-0000-3A00-000007000000}" name="1999-02" dataDxfId="339"/>
    <tableColumn id="8" xr3:uid="{00000000-0010-0000-3A00-000008000000}" name="2000-03" dataDxfId="338"/>
    <tableColumn id="9" xr3:uid="{00000000-0010-0000-3A00-000009000000}" name="2001-04" dataDxfId="337"/>
    <tableColumn id="10" xr3:uid="{00000000-0010-0000-3A00-00000A000000}" name="2002-05" dataDxfId="336"/>
    <tableColumn id="11" xr3:uid="{00000000-0010-0000-3A00-00000B000000}" name="2003-06" dataDxfId="335"/>
    <tableColumn id="12" xr3:uid="{00000000-0010-0000-3A00-00000C000000}" name="2004-07" dataDxfId="334"/>
    <tableColumn id="13" xr3:uid="{00000000-0010-0000-3A00-00000D000000}" name="2005-08" dataDxfId="333"/>
    <tableColumn id="14" xr3:uid="{00000000-0010-0000-3A00-00000E000000}" name="2006-09" dataDxfId="332"/>
    <tableColumn id="15" xr3:uid="{00000000-0010-0000-3A00-00000F000000}" name="2007-10" dataDxfId="331"/>
    <tableColumn id="16" xr3:uid="{00000000-0010-0000-3A00-000010000000}" name="2008-11" dataDxfId="330"/>
    <tableColumn id="17" xr3:uid="{00000000-0010-0000-3A00-000011000000}" name="2009-12" dataDxfId="329"/>
    <tableColumn id="18" xr3:uid="{00000000-0010-0000-3A00-000012000000}" name="2010-13" dataDxfId="328"/>
    <tableColumn id="19" xr3:uid="{00000000-0010-0000-3A00-000013000000}" name="2011-14" dataDxfId="327"/>
    <tableColumn id="20" xr3:uid="{00000000-0010-0000-3A00-000014000000}" name="2012-15" dataDxfId="326"/>
    <tableColumn id="21" xr3:uid="{00000000-0010-0000-3A00-000015000000}" name="2013-16" dataDxfId="325"/>
    <tableColumn id="22" xr3:uid="{00000000-0010-0000-3A00-000016000000}" name="2014-17" dataDxfId="324"/>
    <tableColumn id="23" xr3:uid="{00000000-0010-0000-3A00-000017000000}" name="2015-18" dataDxfId="323"/>
    <tableColumn id="24" xr3:uid="{00000000-0010-0000-3A00-000018000000}" name="2016-19" dataDxfId="322"/>
    <tableColumn id="25" xr3:uid="{00000000-0010-0000-3A00-000019000000}" name="2017-20" dataDxfId="321"/>
    <tableColumn id="26" xr3:uid="{00000000-0010-0000-3A00-00001A000000}" name="2018-21" dataDxfId="320"/>
    <tableColumn id="27" xr3:uid="{00000000-0010-0000-3A00-00001B000000}" name="2019-22" dataDxfId="319"/>
  </tableColumns>
  <tableStyleInfo name="TableStyleLight1" showFirstColumn="1" showLastColumn="0" showRowStripes="0"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00000000-000C-0000-FFFF-FFFF3B000000}" name="table6j" displayName="table6j" ref="A56:AA59" totalsRowShown="0" headerRowDxfId="318" dataDxfId="317">
  <tableColumns count="27">
    <tableColumn id="1" xr3:uid="{00000000-0010-0000-3B00-000001000000}" name="Group" dataDxfId="316"/>
    <tableColumn id="2" xr3:uid="{00000000-0010-0000-3B00-000002000000}" name="1994-97" dataDxfId="315"/>
    <tableColumn id="3" xr3:uid="{00000000-0010-0000-3B00-000003000000}" name="1995-98" dataDxfId="314"/>
    <tableColumn id="4" xr3:uid="{00000000-0010-0000-3B00-000004000000}" name="1996-99" dataDxfId="313"/>
    <tableColumn id="5" xr3:uid="{00000000-0010-0000-3B00-000005000000}" name="1997-00" dataDxfId="312"/>
    <tableColumn id="6" xr3:uid="{00000000-0010-0000-3B00-000006000000}" name="1998-01" dataDxfId="311"/>
    <tableColumn id="7" xr3:uid="{00000000-0010-0000-3B00-000007000000}" name="1999-02" dataDxfId="310"/>
    <tableColumn id="8" xr3:uid="{00000000-0010-0000-3B00-000008000000}" name="2000-03" dataDxfId="309"/>
    <tableColumn id="9" xr3:uid="{00000000-0010-0000-3B00-000009000000}" name="2001-04" dataDxfId="308"/>
    <tableColumn id="10" xr3:uid="{00000000-0010-0000-3B00-00000A000000}" name="2002-05" dataDxfId="307"/>
    <tableColumn id="11" xr3:uid="{00000000-0010-0000-3B00-00000B000000}" name="2003-06" dataDxfId="306"/>
    <tableColumn id="12" xr3:uid="{00000000-0010-0000-3B00-00000C000000}" name="2004-07" dataDxfId="305"/>
    <tableColumn id="13" xr3:uid="{00000000-0010-0000-3B00-00000D000000}" name="2005-08" dataDxfId="304"/>
    <tableColumn id="14" xr3:uid="{00000000-0010-0000-3B00-00000E000000}" name="2006-09" dataDxfId="303"/>
    <tableColumn id="15" xr3:uid="{00000000-0010-0000-3B00-00000F000000}" name="2007-10" dataDxfId="302"/>
    <tableColumn id="16" xr3:uid="{00000000-0010-0000-3B00-000010000000}" name="2008-11" dataDxfId="301"/>
    <tableColumn id="17" xr3:uid="{00000000-0010-0000-3B00-000011000000}" name="2009-12" dataDxfId="300"/>
    <tableColumn id="18" xr3:uid="{00000000-0010-0000-3B00-000012000000}" name="2010-13" dataDxfId="299"/>
    <tableColumn id="19" xr3:uid="{00000000-0010-0000-3B00-000013000000}" name="2011-14" dataDxfId="298"/>
    <tableColumn id="20" xr3:uid="{00000000-0010-0000-3B00-000014000000}" name="2012-15" dataDxfId="297"/>
    <tableColumn id="21" xr3:uid="{00000000-0010-0000-3B00-000015000000}" name="2013-16" dataDxfId="296"/>
    <tableColumn id="22" xr3:uid="{00000000-0010-0000-3B00-000016000000}" name="2014-17" dataDxfId="295"/>
    <tableColumn id="23" xr3:uid="{00000000-0010-0000-3B00-000017000000}" name="2015-18" dataDxfId="294"/>
    <tableColumn id="24" xr3:uid="{00000000-0010-0000-3B00-000018000000}" name="2016-19" dataDxfId="293"/>
    <tableColumn id="25" xr3:uid="{00000000-0010-0000-3B00-000019000000}" name="2017-20" dataDxfId="292"/>
    <tableColumn id="26" xr3:uid="{00000000-0010-0000-3B00-00001A000000}" name="2018-21" dataDxfId="291"/>
    <tableColumn id="27" xr3:uid="{00000000-0010-0000-3B00-00001B000000}" name="2019-22" dataDxfId="290"/>
  </tableColumns>
  <tableStyleInfo name="TableStyleLight1" showFirstColumn="1" showLastColumn="0" showRowStripes="0"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00000000-000C-0000-FFFF-FFFF3C000000}" name="table7a" displayName="table7a" ref="A9:AA12" totalsRowShown="0" headerRowDxfId="289" dataDxfId="288">
  <tableColumns count="27">
    <tableColumn id="1" xr3:uid="{00000000-0010-0000-3C00-000001000000}" name="Group" dataDxfId="287"/>
    <tableColumn id="2" xr3:uid="{00000000-0010-0000-3C00-000002000000}" name="1994-97" dataDxfId="286"/>
    <tableColumn id="3" xr3:uid="{00000000-0010-0000-3C00-000003000000}" name="1995-98" dataDxfId="285"/>
    <tableColumn id="4" xr3:uid="{00000000-0010-0000-3C00-000004000000}" name="1996-99" dataDxfId="284"/>
    <tableColumn id="5" xr3:uid="{00000000-0010-0000-3C00-000005000000}" name="1997-00" dataDxfId="283"/>
    <tableColumn id="6" xr3:uid="{00000000-0010-0000-3C00-000006000000}" name="1998-01" dataDxfId="282"/>
    <tableColumn id="7" xr3:uid="{00000000-0010-0000-3C00-000007000000}" name="1999-02" dataDxfId="281"/>
    <tableColumn id="8" xr3:uid="{00000000-0010-0000-3C00-000008000000}" name="2000-03" dataDxfId="280"/>
    <tableColumn id="9" xr3:uid="{00000000-0010-0000-3C00-000009000000}" name="2001-04" dataDxfId="279"/>
    <tableColumn id="10" xr3:uid="{00000000-0010-0000-3C00-00000A000000}" name="2002-05" dataDxfId="278"/>
    <tableColumn id="11" xr3:uid="{00000000-0010-0000-3C00-00000B000000}" name="2003-06" dataDxfId="277"/>
    <tableColumn id="12" xr3:uid="{00000000-0010-0000-3C00-00000C000000}" name="2004-07" dataDxfId="276"/>
    <tableColumn id="13" xr3:uid="{00000000-0010-0000-3C00-00000D000000}" name="2005-08" dataDxfId="275"/>
    <tableColumn id="14" xr3:uid="{00000000-0010-0000-3C00-00000E000000}" name="2006-09" dataDxfId="274"/>
    <tableColumn id="15" xr3:uid="{00000000-0010-0000-3C00-00000F000000}" name="2007-10" dataDxfId="273"/>
    <tableColumn id="16" xr3:uid="{00000000-0010-0000-3C00-000010000000}" name="2008-11" dataDxfId="272"/>
    <tableColumn id="17" xr3:uid="{00000000-0010-0000-3C00-000011000000}" name="2009-12" dataDxfId="271"/>
    <tableColumn id="18" xr3:uid="{00000000-0010-0000-3C00-000012000000}" name="2010-13" dataDxfId="270"/>
    <tableColumn id="19" xr3:uid="{00000000-0010-0000-3C00-000013000000}" name="2011-14" dataDxfId="269"/>
    <tableColumn id="20" xr3:uid="{00000000-0010-0000-3C00-000014000000}" name="2012-15" dataDxfId="268"/>
    <tableColumn id="21" xr3:uid="{00000000-0010-0000-3C00-000015000000}" name="2013-16" dataDxfId="267"/>
    <tableColumn id="22" xr3:uid="{00000000-0010-0000-3C00-000016000000}" name="2014-17" dataDxfId="266"/>
    <tableColumn id="23" xr3:uid="{00000000-0010-0000-3C00-000017000000}" name="2015-18" dataDxfId="265"/>
    <tableColumn id="24" xr3:uid="{00000000-0010-0000-3C00-000018000000}" name="2016-19" dataDxfId="264"/>
    <tableColumn id="25" xr3:uid="{00000000-0010-0000-3C00-000019000000}" name="2017-20" dataDxfId="263"/>
    <tableColumn id="26" xr3:uid="{00000000-0010-0000-3C00-00001A000000}" name="2018-21" dataDxfId="262"/>
    <tableColumn id="27" xr3:uid="{00000000-0010-0000-3C00-00001B000000}" name="2019-22" dataDxfId="261"/>
  </tableColumns>
  <tableStyleInfo name="TableStyleLight1" showFirstColumn="1" showLastColumn="0" showRowStripes="0"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00000000-000C-0000-FFFF-FFFF3D000000}" name="table7b" displayName="table7b" ref="A14:AA17" totalsRowShown="0" headerRowDxfId="260" dataDxfId="259">
  <tableColumns count="27">
    <tableColumn id="1" xr3:uid="{00000000-0010-0000-3D00-000001000000}" name="Group" dataDxfId="258"/>
    <tableColumn id="2" xr3:uid="{00000000-0010-0000-3D00-000002000000}" name="1994-97" dataDxfId="257"/>
    <tableColumn id="3" xr3:uid="{00000000-0010-0000-3D00-000003000000}" name="1995-98" dataDxfId="256"/>
    <tableColumn id="4" xr3:uid="{00000000-0010-0000-3D00-000004000000}" name="1996-99" dataDxfId="255"/>
    <tableColumn id="5" xr3:uid="{00000000-0010-0000-3D00-000005000000}" name="1997-00" dataDxfId="254"/>
    <tableColumn id="6" xr3:uid="{00000000-0010-0000-3D00-000006000000}" name="1998-01" dataDxfId="253"/>
    <tableColumn id="7" xr3:uid="{00000000-0010-0000-3D00-000007000000}" name="1999-02" dataDxfId="252"/>
    <tableColumn id="8" xr3:uid="{00000000-0010-0000-3D00-000008000000}" name="2000-03" dataDxfId="251"/>
    <tableColumn id="9" xr3:uid="{00000000-0010-0000-3D00-000009000000}" name="2001-04" dataDxfId="250"/>
    <tableColumn id="10" xr3:uid="{00000000-0010-0000-3D00-00000A000000}" name="2002-05" dataDxfId="249"/>
    <tableColumn id="11" xr3:uid="{00000000-0010-0000-3D00-00000B000000}" name="2003-06" dataDxfId="248"/>
    <tableColumn id="12" xr3:uid="{00000000-0010-0000-3D00-00000C000000}" name="2004-07" dataDxfId="247"/>
    <tableColumn id="13" xr3:uid="{00000000-0010-0000-3D00-00000D000000}" name="2005-08" dataDxfId="246"/>
    <tableColumn id="14" xr3:uid="{00000000-0010-0000-3D00-00000E000000}" name="2006-09" dataDxfId="245"/>
    <tableColumn id="15" xr3:uid="{00000000-0010-0000-3D00-00000F000000}" name="2007-10" dataDxfId="244"/>
    <tableColumn id="16" xr3:uid="{00000000-0010-0000-3D00-000010000000}" name="2008-11" dataDxfId="243"/>
    <tableColumn id="17" xr3:uid="{00000000-0010-0000-3D00-000011000000}" name="2009-12" dataDxfId="242"/>
    <tableColumn id="18" xr3:uid="{00000000-0010-0000-3D00-000012000000}" name="2010-13" dataDxfId="241"/>
    <tableColumn id="19" xr3:uid="{00000000-0010-0000-3D00-000013000000}" name="2011-14" dataDxfId="240"/>
    <tableColumn id="20" xr3:uid="{00000000-0010-0000-3D00-000014000000}" name="2012-15" dataDxfId="239"/>
    <tableColumn id="21" xr3:uid="{00000000-0010-0000-3D00-000015000000}" name="2013-16" dataDxfId="238"/>
    <tableColumn id="22" xr3:uid="{00000000-0010-0000-3D00-000016000000}" name="2014-17" dataDxfId="237"/>
    <tableColumn id="23" xr3:uid="{00000000-0010-0000-3D00-000017000000}" name="2015-18" dataDxfId="236"/>
    <tableColumn id="24" xr3:uid="{00000000-0010-0000-3D00-000018000000}" name="2016-19" dataDxfId="235"/>
    <tableColumn id="25" xr3:uid="{00000000-0010-0000-3D00-000019000000}" name="2017-20" dataDxfId="234"/>
    <tableColumn id="26" xr3:uid="{00000000-0010-0000-3D00-00001A000000}" name="2018-21" dataDxfId="233"/>
    <tableColumn id="27" xr3:uid="{00000000-0010-0000-3D00-00001B000000}" name="2019-22" dataDxfId="232"/>
  </tableColumns>
  <tableStyleInfo name="TableStyleLight1" showFirstColumn="1" showLastColumn="0" showRowStripes="0"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00000000-000C-0000-FFFF-FFFF3E000000}" name="table7c" displayName="table7c" ref="A19:AA22" totalsRowShown="0" headerRowDxfId="231" dataDxfId="230">
  <tableColumns count="27">
    <tableColumn id="1" xr3:uid="{00000000-0010-0000-3E00-000001000000}" name="Group" dataDxfId="229"/>
    <tableColumn id="2" xr3:uid="{00000000-0010-0000-3E00-000002000000}" name="1994-97" dataDxfId="228"/>
    <tableColumn id="3" xr3:uid="{00000000-0010-0000-3E00-000003000000}" name="1995-98" dataDxfId="227"/>
    <tableColumn id="4" xr3:uid="{00000000-0010-0000-3E00-000004000000}" name="1996-99" dataDxfId="226"/>
    <tableColumn id="5" xr3:uid="{00000000-0010-0000-3E00-000005000000}" name="1997-00" dataDxfId="225"/>
    <tableColumn id="6" xr3:uid="{00000000-0010-0000-3E00-000006000000}" name="1998-01" dataDxfId="224"/>
    <tableColumn id="7" xr3:uid="{00000000-0010-0000-3E00-000007000000}" name="1999-02" dataDxfId="223"/>
    <tableColumn id="8" xr3:uid="{00000000-0010-0000-3E00-000008000000}" name="2000-03" dataDxfId="222"/>
    <tableColumn id="9" xr3:uid="{00000000-0010-0000-3E00-000009000000}" name="2001-04" dataDxfId="221"/>
    <tableColumn id="10" xr3:uid="{00000000-0010-0000-3E00-00000A000000}" name="2002-05" dataDxfId="220"/>
    <tableColumn id="11" xr3:uid="{00000000-0010-0000-3E00-00000B000000}" name="2003-06" dataDxfId="219"/>
    <tableColumn id="12" xr3:uid="{00000000-0010-0000-3E00-00000C000000}" name="2004-07" dataDxfId="218"/>
    <tableColumn id="13" xr3:uid="{00000000-0010-0000-3E00-00000D000000}" name="2005-08" dataDxfId="217"/>
    <tableColumn id="14" xr3:uid="{00000000-0010-0000-3E00-00000E000000}" name="2006-09" dataDxfId="216"/>
    <tableColumn id="15" xr3:uid="{00000000-0010-0000-3E00-00000F000000}" name="2007-10" dataDxfId="215"/>
    <tableColumn id="16" xr3:uid="{00000000-0010-0000-3E00-000010000000}" name="2008-11" dataDxfId="214"/>
    <tableColumn id="17" xr3:uid="{00000000-0010-0000-3E00-000011000000}" name="2009-12" dataDxfId="213"/>
    <tableColumn id="18" xr3:uid="{00000000-0010-0000-3E00-000012000000}" name="2010-13" dataDxfId="212"/>
    <tableColumn id="19" xr3:uid="{00000000-0010-0000-3E00-000013000000}" name="2011-14" dataDxfId="211"/>
    <tableColumn id="20" xr3:uid="{00000000-0010-0000-3E00-000014000000}" name="2012-15" dataDxfId="210"/>
    <tableColumn id="21" xr3:uid="{00000000-0010-0000-3E00-000015000000}" name="2013-16" dataDxfId="209"/>
    <tableColumn id="22" xr3:uid="{00000000-0010-0000-3E00-000016000000}" name="2014-17" dataDxfId="208"/>
    <tableColumn id="23" xr3:uid="{00000000-0010-0000-3E00-000017000000}" name="2015-18" dataDxfId="207"/>
    <tableColumn id="24" xr3:uid="{00000000-0010-0000-3E00-000018000000}" name="2016-19" dataDxfId="206"/>
    <tableColumn id="25" xr3:uid="{00000000-0010-0000-3E00-000019000000}" name="2017-20" dataDxfId="205"/>
    <tableColumn id="26" xr3:uid="{00000000-0010-0000-3E00-00001A000000}" name="2018-21" dataDxfId="204"/>
    <tableColumn id="27" xr3:uid="{00000000-0010-0000-3E00-00001B000000}" name="2019-22" dataDxfId="203"/>
  </tableColumns>
  <tableStyleInfo name="TableStyleLight1" showFirstColumn="1" showLastColumn="0" showRowStripes="0"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00000000-000C-0000-FFFF-FFFF3F000000}" name="table7d" displayName="table7d" ref="A24:AA27" totalsRowShown="0" headerRowDxfId="202" dataDxfId="201">
  <tableColumns count="27">
    <tableColumn id="1" xr3:uid="{00000000-0010-0000-3F00-000001000000}" name="Group" dataDxfId="200"/>
    <tableColumn id="2" xr3:uid="{00000000-0010-0000-3F00-000002000000}" name="1994-97" dataDxfId="199"/>
    <tableColumn id="3" xr3:uid="{00000000-0010-0000-3F00-000003000000}" name="1995-98" dataDxfId="198"/>
    <tableColumn id="4" xr3:uid="{00000000-0010-0000-3F00-000004000000}" name="1996-99" dataDxfId="197"/>
    <tableColumn id="5" xr3:uid="{00000000-0010-0000-3F00-000005000000}" name="1997-00" dataDxfId="196"/>
    <tableColumn id="6" xr3:uid="{00000000-0010-0000-3F00-000006000000}" name="1998-01" dataDxfId="195"/>
    <tableColumn id="7" xr3:uid="{00000000-0010-0000-3F00-000007000000}" name="1999-02" dataDxfId="194"/>
    <tableColumn id="8" xr3:uid="{00000000-0010-0000-3F00-000008000000}" name="2000-03" dataDxfId="193"/>
    <tableColumn id="9" xr3:uid="{00000000-0010-0000-3F00-000009000000}" name="2001-04" dataDxfId="192"/>
    <tableColumn id="10" xr3:uid="{00000000-0010-0000-3F00-00000A000000}" name="2002-05" dataDxfId="191"/>
    <tableColumn id="11" xr3:uid="{00000000-0010-0000-3F00-00000B000000}" name="2003-06" dataDxfId="190"/>
    <tableColumn id="12" xr3:uid="{00000000-0010-0000-3F00-00000C000000}" name="2004-07" dataDxfId="189"/>
    <tableColumn id="13" xr3:uid="{00000000-0010-0000-3F00-00000D000000}" name="2005-08" dataDxfId="188"/>
    <tableColumn id="14" xr3:uid="{00000000-0010-0000-3F00-00000E000000}" name="2006-09" dataDxfId="187"/>
    <tableColumn id="15" xr3:uid="{00000000-0010-0000-3F00-00000F000000}" name="2007-10" dataDxfId="186"/>
    <tableColumn id="16" xr3:uid="{00000000-0010-0000-3F00-000010000000}" name="2008-11" dataDxfId="185"/>
    <tableColumn id="17" xr3:uid="{00000000-0010-0000-3F00-000011000000}" name="2009-12" dataDxfId="184"/>
    <tableColumn id="18" xr3:uid="{00000000-0010-0000-3F00-000012000000}" name="2010-13" dataDxfId="183"/>
    <tableColumn id="19" xr3:uid="{00000000-0010-0000-3F00-000013000000}" name="2011-14" dataDxfId="182"/>
    <tableColumn id="20" xr3:uid="{00000000-0010-0000-3F00-000014000000}" name="2012-15" dataDxfId="181"/>
    <tableColumn id="21" xr3:uid="{00000000-0010-0000-3F00-000015000000}" name="2013-16" dataDxfId="180"/>
    <tableColumn id="22" xr3:uid="{00000000-0010-0000-3F00-000016000000}" name="2014-17" dataDxfId="179"/>
    <tableColumn id="23" xr3:uid="{00000000-0010-0000-3F00-000017000000}" name="2015-18" dataDxfId="178"/>
    <tableColumn id="24" xr3:uid="{00000000-0010-0000-3F00-000018000000}" name="2016-19" dataDxfId="177"/>
    <tableColumn id="25" xr3:uid="{00000000-0010-0000-3F00-000019000000}" name="2017-20" dataDxfId="176"/>
    <tableColumn id="26" xr3:uid="{00000000-0010-0000-3F00-00001A000000}" name="2018-21" dataDxfId="175"/>
    <tableColumn id="27" xr3:uid="{00000000-0010-0000-3F00-00001B000000}" name="2019-22" dataDxfId="174"/>
  </tableColumns>
  <tableStyleInfo name="TableStyleLight1" showFirstColumn="1" showLastColumn="0" showRowStripes="0"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00000000-000C-0000-FFFF-FFFF40000000}" name="table7e" displayName="table7e" ref="A29:AA32" totalsRowShown="0" headerRowDxfId="173" dataDxfId="172">
  <tableColumns count="27">
    <tableColumn id="1" xr3:uid="{00000000-0010-0000-4000-000001000000}" name="Group" dataDxfId="171"/>
    <tableColumn id="2" xr3:uid="{00000000-0010-0000-4000-000002000000}" name="1994-97" dataDxfId="170"/>
    <tableColumn id="3" xr3:uid="{00000000-0010-0000-4000-000003000000}" name="1995-98" dataDxfId="169"/>
    <tableColumn id="4" xr3:uid="{00000000-0010-0000-4000-000004000000}" name="1996-99" dataDxfId="168"/>
    <tableColumn id="5" xr3:uid="{00000000-0010-0000-4000-000005000000}" name="1997-00" dataDxfId="167"/>
    <tableColumn id="6" xr3:uid="{00000000-0010-0000-4000-000006000000}" name="1998-01" dataDxfId="166"/>
    <tableColumn id="7" xr3:uid="{00000000-0010-0000-4000-000007000000}" name="1999-02" dataDxfId="165"/>
    <tableColumn id="8" xr3:uid="{00000000-0010-0000-4000-000008000000}" name="2000-03" dataDxfId="164"/>
    <tableColumn id="9" xr3:uid="{00000000-0010-0000-4000-000009000000}" name="2001-04" dataDxfId="163"/>
    <tableColumn id="10" xr3:uid="{00000000-0010-0000-4000-00000A000000}" name="2002-05" dataDxfId="162"/>
    <tableColumn id="11" xr3:uid="{00000000-0010-0000-4000-00000B000000}" name="2003-06" dataDxfId="161"/>
    <tableColumn id="12" xr3:uid="{00000000-0010-0000-4000-00000C000000}" name="2004-07" dataDxfId="160"/>
    <tableColumn id="13" xr3:uid="{00000000-0010-0000-4000-00000D000000}" name="2005-08" dataDxfId="159"/>
    <tableColumn id="14" xr3:uid="{00000000-0010-0000-4000-00000E000000}" name="2006-09" dataDxfId="158"/>
    <tableColumn id="15" xr3:uid="{00000000-0010-0000-4000-00000F000000}" name="2007-10" dataDxfId="157"/>
    <tableColumn id="16" xr3:uid="{00000000-0010-0000-4000-000010000000}" name="2008-11" dataDxfId="156"/>
    <tableColumn id="17" xr3:uid="{00000000-0010-0000-4000-000011000000}" name="2009-12" dataDxfId="155"/>
    <tableColumn id="18" xr3:uid="{00000000-0010-0000-4000-000012000000}" name="2010-13" dataDxfId="154"/>
    <tableColumn id="19" xr3:uid="{00000000-0010-0000-4000-000013000000}" name="2011-14" dataDxfId="153"/>
    <tableColumn id="20" xr3:uid="{00000000-0010-0000-4000-000014000000}" name="2012-15" dataDxfId="152"/>
    <tableColumn id="21" xr3:uid="{00000000-0010-0000-4000-000015000000}" name="2013-16" dataDxfId="151"/>
    <tableColumn id="22" xr3:uid="{00000000-0010-0000-4000-000016000000}" name="2014-17" dataDxfId="150"/>
    <tableColumn id="23" xr3:uid="{00000000-0010-0000-4000-000017000000}" name="2015-18" dataDxfId="149"/>
    <tableColumn id="24" xr3:uid="{00000000-0010-0000-4000-000018000000}" name="2016-19" dataDxfId="148"/>
    <tableColumn id="25" xr3:uid="{00000000-0010-0000-4000-000019000000}" name="2017-20" dataDxfId="147"/>
    <tableColumn id="26" xr3:uid="{00000000-0010-0000-4000-00001A000000}" name="2018-21" dataDxfId="146"/>
    <tableColumn id="27" xr3:uid="{00000000-0010-0000-4000-00001B000000}" name="2019-22" dataDxfId="145"/>
  </tableColumns>
  <tableStyleInfo name="TableStyleLight1" showFirstColumn="1" showLastColumn="0" showRowStripes="0"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00000000-000C-0000-FFFF-FFFF41000000}" name="table7f" displayName="table7f" ref="A34:AA37" totalsRowShown="0" headerRowDxfId="144" dataDxfId="143">
  <tableColumns count="27">
    <tableColumn id="1" xr3:uid="{00000000-0010-0000-4100-000001000000}" name="Group" dataDxfId="142"/>
    <tableColumn id="2" xr3:uid="{00000000-0010-0000-4100-000002000000}" name="1994-97" dataDxfId="141"/>
    <tableColumn id="3" xr3:uid="{00000000-0010-0000-4100-000003000000}" name="1995-98" dataDxfId="140"/>
    <tableColumn id="4" xr3:uid="{00000000-0010-0000-4100-000004000000}" name="1996-99" dataDxfId="139"/>
    <tableColumn id="5" xr3:uid="{00000000-0010-0000-4100-000005000000}" name="1997-00" dataDxfId="138"/>
    <tableColumn id="6" xr3:uid="{00000000-0010-0000-4100-000006000000}" name="1998-01" dataDxfId="137"/>
    <tableColumn id="7" xr3:uid="{00000000-0010-0000-4100-000007000000}" name="1999-02" dataDxfId="136"/>
    <tableColumn id="8" xr3:uid="{00000000-0010-0000-4100-000008000000}" name="2000-03" dataDxfId="135"/>
    <tableColumn id="9" xr3:uid="{00000000-0010-0000-4100-000009000000}" name="2001-04" dataDxfId="134"/>
    <tableColumn id="10" xr3:uid="{00000000-0010-0000-4100-00000A000000}" name="2002-05" dataDxfId="133"/>
    <tableColumn id="11" xr3:uid="{00000000-0010-0000-4100-00000B000000}" name="2003-06" dataDxfId="132"/>
    <tableColumn id="12" xr3:uid="{00000000-0010-0000-4100-00000C000000}" name="2004-07" dataDxfId="131"/>
    <tableColumn id="13" xr3:uid="{00000000-0010-0000-4100-00000D000000}" name="2005-08" dataDxfId="130"/>
    <tableColumn id="14" xr3:uid="{00000000-0010-0000-4100-00000E000000}" name="2006-09" dataDxfId="129"/>
    <tableColumn id="15" xr3:uid="{00000000-0010-0000-4100-00000F000000}" name="2007-10" dataDxfId="128"/>
    <tableColumn id="16" xr3:uid="{00000000-0010-0000-4100-000010000000}" name="2008-11" dataDxfId="127"/>
    <tableColumn id="17" xr3:uid="{00000000-0010-0000-4100-000011000000}" name="2009-12" dataDxfId="126"/>
    <tableColumn id="18" xr3:uid="{00000000-0010-0000-4100-000012000000}" name="2010-13" dataDxfId="125"/>
    <tableColumn id="19" xr3:uid="{00000000-0010-0000-4100-000013000000}" name="2011-14" dataDxfId="124"/>
    <tableColumn id="20" xr3:uid="{00000000-0010-0000-4100-000014000000}" name="2012-15" dataDxfId="123"/>
    <tableColumn id="21" xr3:uid="{00000000-0010-0000-4100-000015000000}" name="2013-16" dataDxfId="122"/>
    <tableColumn id="22" xr3:uid="{00000000-0010-0000-4100-000016000000}" name="2014-17" dataDxfId="121"/>
    <tableColumn id="23" xr3:uid="{00000000-0010-0000-4100-000017000000}" name="2015-18" dataDxfId="120"/>
    <tableColumn id="24" xr3:uid="{00000000-0010-0000-4100-000018000000}" name="2016-19" dataDxfId="119"/>
    <tableColumn id="25" xr3:uid="{00000000-0010-0000-4100-000019000000}" name="2017-20" dataDxfId="118"/>
    <tableColumn id="26" xr3:uid="{00000000-0010-0000-4100-00001A000000}" name="2018-21" dataDxfId="117"/>
    <tableColumn id="27" xr3:uid="{00000000-0010-0000-4100-00001B000000}" name="2019-22" dataDxfId="116"/>
  </tableColumns>
  <tableStyleInfo name="TableStyleLight1" showFirstColumn="1" showLastColumn="0" showRowStripes="0"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00000000-000C-0000-FFFF-FFFF42000000}" name="table7g" displayName="table7g" ref="A39:AA42" totalsRowShown="0" headerRowDxfId="115" dataDxfId="114">
  <tableColumns count="27">
    <tableColumn id="1" xr3:uid="{00000000-0010-0000-4200-000001000000}" name="Group" dataDxfId="113"/>
    <tableColumn id="2" xr3:uid="{00000000-0010-0000-4200-000002000000}" name="1994-97" dataDxfId="112"/>
    <tableColumn id="3" xr3:uid="{00000000-0010-0000-4200-000003000000}" name="1995-98" dataDxfId="111"/>
    <tableColumn id="4" xr3:uid="{00000000-0010-0000-4200-000004000000}" name="1996-99" dataDxfId="110"/>
    <tableColumn id="5" xr3:uid="{00000000-0010-0000-4200-000005000000}" name="1997-00" dataDxfId="109"/>
    <tableColumn id="6" xr3:uid="{00000000-0010-0000-4200-000006000000}" name="1998-01" dataDxfId="108"/>
    <tableColumn id="7" xr3:uid="{00000000-0010-0000-4200-000007000000}" name="1999-02" dataDxfId="107"/>
    <tableColumn id="8" xr3:uid="{00000000-0010-0000-4200-000008000000}" name="2000-03" dataDxfId="106"/>
    <tableColumn id="9" xr3:uid="{00000000-0010-0000-4200-000009000000}" name="2001-04" dataDxfId="105"/>
    <tableColumn id="10" xr3:uid="{00000000-0010-0000-4200-00000A000000}" name="2002-05" dataDxfId="104"/>
    <tableColumn id="11" xr3:uid="{00000000-0010-0000-4200-00000B000000}" name="2003-06" dataDxfId="103"/>
    <tableColumn id="12" xr3:uid="{00000000-0010-0000-4200-00000C000000}" name="2004-07" dataDxfId="102"/>
    <tableColumn id="13" xr3:uid="{00000000-0010-0000-4200-00000D000000}" name="2005-08" dataDxfId="101"/>
    <tableColumn id="14" xr3:uid="{00000000-0010-0000-4200-00000E000000}" name="2006-09" dataDxfId="100"/>
    <tableColumn id="15" xr3:uid="{00000000-0010-0000-4200-00000F000000}" name="2007-10" dataDxfId="99"/>
    <tableColumn id="16" xr3:uid="{00000000-0010-0000-4200-000010000000}" name="2008-11" dataDxfId="98"/>
    <tableColumn id="17" xr3:uid="{00000000-0010-0000-4200-000011000000}" name="2009-12" dataDxfId="97"/>
    <tableColumn id="18" xr3:uid="{00000000-0010-0000-4200-000012000000}" name="2010-13" dataDxfId="96"/>
    <tableColumn id="19" xr3:uid="{00000000-0010-0000-4200-000013000000}" name="2011-14" dataDxfId="95"/>
    <tableColumn id="20" xr3:uid="{00000000-0010-0000-4200-000014000000}" name="2012-15" dataDxfId="94"/>
    <tableColumn id="21" xr3:uid="{00000000-0010-0000-4200-000015000000}" name="2013-16" dataDxfId="93"/>
    <tableColumn id="22" xr3:uid="{00000000-0010-0000-4200-000016000000}" name="2014-17" dataDxfId="92"/>
    <tableColumn id="23" xr3:uid="{00000000-0010-0000-4200-000017000000}" name="2015-18" dataDxfId="91"/>
    <tableColumn id="24" xr3:uid="{00000000-0010-0000-4200-000018000000}" name="2016-19" dataDxfId="90"/>
    <tableColumn id="25" xr3:uid="{00000000-0010-0000-4200-000019000000}" name="2017-20" dataDxfId="89"/>
    <tableColumn id="26" xr3:uid="{00000000-0010-0000-4200-00001A000000}" name="2018-21" dataDxfId="88"/>
    <tableColumn id="27" xr3:uid="{00000000-0010-0000-4200-00001B000000}" name="2019-22" dataDxfId="87"/>
  </tableColumns>
  <tableStyleInfo name="TableStyleLight1" showFirstColumn="1" showLastColumn="0" showRowStripes="0"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00000000-000C-0000-FFFF-FFFF43000000}" name="table7h" displayName="table7h" ref="A44:AA47" totalsRowShown="0" headerRowDxfId="86" dataDxfId="85">
  <tableColumns count="27">
    <tableColumn id="1" xr3:uid="{00000000-0010-0000-4300-000001000000}" name="Group" dataDxfId="84"/>
    <tableColumn id="2" xr3:uid="{00000000-0010-0000-4300-000002000000}" name="1994-97" dataDxfId="83"/>
    <tableColumn id="3" xr3:uid="{00000000-0010-0000-4300-000003000000}" name="1995-98" dataDxfId="82"/>
    <tableColumn id="4" xr3:uid="{00000000-0010-0000-4300-000004000000}" name="1996-99" dataDxfId="81"/>
    <tableColumn id="5" xr3:uid="{00000000-0010-0000-4300-000005000000}" name="1997-00" dataDxfId="80"/>
    <tableColumn id="6" xr3:uid="{00000000-0010-0000-4300-000006000000}" name="1998-01" dataDxfId="79"/>
    <tableColumn id="7" xr3:uid="{00000000-0010-0000-4300-000007000000}" name="1999-02" dataDxfId="78"/>
    <tableColumn id="8" xr3:uid="{00000000-0010-0000-4300-000008000000}" name="2000-03" dataDxfId="77"/>
    <tableColumn id="9" xr3:uid="{00000000-0010-0000-4300-000009000000}" name="2001-04" dataDxfId="76"/>
    <tableColumn id="10" xr3:uid="{00000000-0010-0000-4300-00000A000000}" name="2002-05" dataDxfId="75"/>
    <tableColumn id="11" xr3:uid="{00000000-0010-0000-4300-00000B000000}" name="2003-06" dataDxfId="74"/>
    <tableColumn id="12" xr3:uid="{00000000-0010-0000-4300-00000C000000}" name="2004-07" dataDxfId="73"/>
    <tableColumn id="13" xr3:uid="{00000000-0010-0000-4300-00000D000000}" name="2005-08" dataDxfId="72"/>
    <tableColumn id="14" xr3:uid="{00000000-0010-0000-4300-00000E000000}" name="2006-09" dataDxfId="71"/>
    <tableColumn id="15" xr3:uid="{00000000-0010-0000-4300-00000F000000}" name="2007-10" dataDxfId="70"/>
    <tableColumn id="16" xr3:uid="{00000000-0010-0000-4300-000010000000}" name="2008-11" dataDxfId="69"/>
    <tableColumn id="17" xr3:uid="{00000000-0010-0000-4300-000011000000}" name="2009-12" dataDxfId="68"/>
    <tableColumn id="18" xr3:uid="{00000000-0010-0000-4300-000012000000}" name="2010-13" dataDxfId="67"/>
    <tableColumn id="19" xr3:uid="{00000000-0010-0000-4300-000013000000}" name="2011-14" dataDxfId="66"/>
    <tableColumn id="20" xr3:uid="{00000000-0010-0000-4300-000014000000}" name="2012-15" dataDxfId="65"/>
    <tableColumn id="21" xr3:uid="{00000000-0010-0000-4300-000015000000}" name="2013-16" dataDxfId="64"/>
    <tableColumn id="22" xr3:uid="{00000000-0010-0000-4300-000016000000}" name="2014-17" dataDxfId="63"/>
    <tableColumn id="23" xr3:uid="{00000000-0010-0000-4300-000017000000}" name="2015-18" dataDxfId="62"/>
    <tableColumn id="24" xr3:uid="{00000000-0010-0000-4300-000018000000}" name="2016-19" dataDxfId="61"/>
    <tableColumn id="25" xr3:uid="{00000000-0010-0000-4300-000019000000}" name="2017-20" dataDxfId="60"/>
    <tableColumn id="26" xr3:uid="{00000000-0010-0000-4300-00001A000000}" name="2018-21" dataDxfId="59"/>
    <tableColumn id="27" xr3:uid="{00000000-0010-0000-4300-00001B000000}" name="2019-22" dataDxfId="58"/>
  </tableColumns>
  <tableStyleInfo name="TableStyleLight1" showFirstColumn="1" showLastColumn="0" showRowStripes="0"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00000000-000C-0000-FFFF-FFFF44000000}" name="table7i" displayName="table7i" ref="A49:AA52" totalsRowShown="0" headerRowDxfId="57" dataDxfId="56">
  <tableColumns count="27">
    <tableColumn id="1" xr3:uid="{00000000-0010-0000-4400-000001000000}" name="Group" dataDxfId="55"/>
    <tableColumn id="2" xr3:uid="{00000000-0010-0000-4400-000002000000}" name="1994-97" dataDxfId="54"/>
    <tableColumn id="3" xr3:uid="{00000000-0010-0000-4400-000003000000}" name="1995-98" dataDxfId="53"/>
    <tableColumn id="4" xr3:uid="{00000000-0010-0000-4400-000004000000}" name="1996-99" dataDxfId="52"/>
    <tableColumn id="5" xr3:uid="{00000000-0010-0000-4400-000005000000}" name="1997-00" dataDxfId="51"/>
    <tableColumn id="6" xr3:uid="{00000000-0010-0000-4400-000006000000}" name="1998-01" dataDxfId="50"/>
    <tableColumn id="7" xr3:uid="{00000000-0010-0000-4400-000007000000}" name="1999-02" dataDxfId="49"/>
    <tableColumn id="8" xr3:uid="{00000000-0010-0000-4400-000008000000}" name="2000-03" dataDxfId="48"/>
    <tableColumn id="9" xr3:uid="{00000000-0010-0000-4400-000009000000}" name="2001-04" dataDxfId="47"/>
    <tableColumn id="10" xr3:uid="{00000000-0010-0000-4400-00000A000000}" name="2002-05" dataDxfId="46"/>
    <tableColumn id="11" xr3:uid="{00000000-0010-0000-4400-00000B000000}" name="2003-06" dataDxfId="45"/>
    <tableColumn id="12" xr3:uid="{00000000-0010-0000-4400-00000C000000}" name="2004-07" dataDxfId="44"/>
    <tableColumn id="13" xr3:uid="{00000000-0010-0000-4400-00000D000000}" name="2005-08" dataDxfId="43"/>
    <tableColumn id="14" xr3:uid="{00000000-0010-0000-4400-00000E000000}" name="2006-09" dataDxfId="42"/>
    <tableColumn id="15" xr3:uid="{00000000-0010-0000-4400-00000F000000}" name="2007-10" dataDxfId="41"/>
    <tableColumn id="16" xr3:uid="{00000000-0010-0000-4400-000010000000}" name="2008-11" dataDxfId="40"/>
    <tableColumn id="17" xr3:uid="{00000000-0010-0000-4400-000011000000}" name="2009-12" dataDxfId="39"/>
    <tableColumn id="18" xr3:uid="{00000000-0010-0000-4400-000012000000}" name="2010-13" dataDxfId="38"/>
    <tableColumn id="19" xr3:uid="{00000000-0010-0000-4400-000013000000}" name="2011-14" dataDxfId="37"/>
    <tableColumn id="20" xr3:uid="{00000000-0010-0000-4400-000014000000}" name="2012-15" dataDxfId="36"/>
    <tableColumn id="21" xr3:uid="{00000000-0010-0000-4400-000015000000}" name="2013-16" dataDxfId="35"/>
    <tableColumn id="22" xr3:uid="{00000000-0010-0000-4400-000016000000}" name="2014-17" dataDxfId="34"/>
    <tableColumn id="23" xr3:uid="{00000000-0010-0000-4400-000017000000}" name="2015-18" dataDxfId="33"/>
    <tableColumn id="24" xr3:uid="{00000000-0010-0000-4400-000018000000}" name="2016-19" dataDxfId="32"/>
    <tableColumn id="25" xr3:uid="{00000000-0010-0000-4400-000019000000}" name="2017-20" dataDxfId="31"/>
    <tableColumn id="26" xr3:uid="{00000000-0010-0000-4400-00001A000000}" name="2018-21" dataDxfId="30"/>
    <tableColumn id="27" xr3:uid="{00000000-0010-0000-4400-00001B000000}" name="2019-22" dataDxfId="29"/>
  </tableColumns>
  <tableStyleInfo name="TableStyleLight1" showFirstColumn="1" showLastColumn="0" showRowStripes="0"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00000000-000C-0000-FFFF-FFFF45000000}" name="table7j" displayName="table7j" ref="A54:AA57" totalsRowShown="0" headerRowDxfId="28" dataDxfId="27">
  <tableColumns count="27">
    <tableColumn id="1" xr3:uid="{00000000-0010-0000-4500-000001000000}" name="Group" dataDxfId="26"/>
    <tableColumn id="2" xr3:uid="{00000000-0010-0000-4500-000002000000}" name="1994-97" dataDxfId="25"/>
    <tableColumn id="3" xr3:uid="{00000000-0010-0000-4500-000003000000}" name="1995-98" dataDxfId="24"/>
    <tableColumn id="4" xr3:uid="{00000000-0010-0000-4500-000004000000}" name="1996-99" dataDxfId="23"/>
    <tableColumn id="5" xr3:uid="{00000000-0010-0000-4500-000005000000}" name="1997-00" dataDxfId="22"/>
    <tableColumn id="6" xr3:uid="{00000000-0010-0000-4500-000006000000}" name="1998-01" dataDxfId="21"/>
    <tableColumn id="7" xr3:uid="{00000000-0010-0000-4500-000007000000}" name="1999-02" dataDxfId="20"/>
    <tableColumn id="8" xr3:uid="{00000000-0010-0000-4500-000008000000}" name="2000-03" dataDxfId="19"/>
    <tableColumn id="9" xr3:uid="{00000000-0010-0000-4500-000009000000}" name="2001-04" dataDxfId="18"/>
    <tableColumn id="10" xr3:uid="{00000000-0010-0000-4500-00000A000000}" name="2002-05" dataDxfId="17"/>
    <tableColumn id="11" xr3:uid="{00000000-0010-0000-4500-00000B000000}" name="2003-06" dataDxfId="16"/>
    <tableColumn id="12" xr3:uid="{00000000-0010-0000-4500-00000C000000}" name="2004-07" dataDxfId="15"/>
    <tableColumn id="13" xr3:uid="{00000000-0010-0000-4500-00000D000000}" name="2005-08" dataDxfId="14"/>
    <tableColumn id="14" xr3:uid="{00000000-0010-0000-4500-00000E000000}" name="2006-09" dataDxfId="13"/>
    <tableColumn id="15" xr3:uid="{00000000-0010-0000-4500-00000F000000}" name="2007-10" dataDxfId="12"/>
    <tableColumn id="16" xr3:uid="{00000000-0010-0000-4500-000010000000}" name="2008-11" dataDxfId="11"/>
    <tableColumn id="17" xr3:uid="{00000000-0010-0000-4500-000011000000}" name="2009-12" dataDxfId="10"/>
    <tableColumn id="18" xr3:uid="{00000000-0010-0000-4500-000012000000}" name="2010-13" dataDxfId="9"/>
    <tableColumn id="19" xr3:uid="{00000000-0010-0000-4500-000013000000}" name="2011-14" dataDxfId="8"/>
    <tableColumn id="20" xr3:uid="{00000000-0010-0000-4500-000014000000}" name="2012-15" dataDxfId="7"/>
    <tableColumn id="21" xr3:uid="{00000000-0010-0000-4500-000015000000}" name="2013-16" dataDxfId="6"/>
    <tableColumn id="22" xr3:uid="{00000000-0010-0000-4500-000016000000}" name="2014-17" dataDxfId="5"/>
    <tableColumn id="23" xr3:uid="{00000000-0010-0000-4500-000017000000}" name="2015-18" dataDxfId="4"/>
    <tableColumn id="24" xr3:uid="{00000000-0010-0000-4500-000018000000}" name="2016-19" dataDxfId="3"/>
    <tableColumn id="25" xr3:uid="{00000000-0010-0000-4500-000019000000}" name="2017-20" dataDxfId="2"/>
    <tableColumn id="26" xr3:uid="{00000000-0010-0000-4500-00001A000000}" name="2018-21" dataDxfId="1"/>
    <tableColumn id="27" xr3:uid="{00000000-0010-0000-4500-00001B000000}" name="2019-22" dataDxfId="0"/>
  </tableColumns>
  <tableStyleInfo name="TableStyleLight1" showFirstColumn="1"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8" Type="http://schemas.openxmlformats.org/officeDocument/2006/relationships/table" Target="../tables/table8.xml"/><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s>
</file>

<file path=xl/worksheets/_rels/sheet4.xml.rels><?xml version="1.0" encoding="UTF-8" standalone="yes"?>
<Relationships xmlns="http://schemas.openxmlformats.org/package/2006/relationships"><Relationship Id="rId8" Type="http://schemas.openxmlformats.org/officeDocument/2006/relationships/table" Target="../tables/table18.xml"/><Relationship Id="rId3" Type="http://schemas.openxmlformats.org/officeDocument/2006/relationships/table" Target="../tables/table13.xml"/><Relationship Id="rId7" Type="http://schemas.openxmlformats.org/officeDocument/2006/relationships/table" Target="../tables/table17.xml"/><Relationship Id="rId2" Type="http://schemas.openxmlformats.org/officeDocument/2006/relationships/table" Target="../tables/table12.xml"/><Relationship Id="rId1" Type="http://schemas.openxmlformats.org/officeDocument/2006/relationships/table" Target="../tables/table11.xml"/><Relationship Id="rId6" Type="http://schemas.openxmlformats.org/officeDocument/2006/relationships/table" Target="../tables/table16.xml"/><Relationship Id="rId5" Type="http://schemas.openxmlformats.org/officeDocument/2006/relationships/table" Target="../tables/table15.xml"/><Relationship Id="rId10" Type="http://schemas.openxmlformats.org/officeDocument/2006/relationships/table" Target="../tables/table20.xml"/><Relationship Id="rId4" Type="http://schemas.openxmlformats.org/officeDocument/2006/relationships/table" Target="../tables/table14.xml"/><Relationship Id="rId9" Type="http://schemas.openxmlformats.org/officeDocument/2006/relationships/table" Target="../tables/table19.xml"/></Relationships>
</file>

<file path=xl/worksheets/_rels/sheet5.xml.rels><?xml version="1.0" encoding="UTF-8" standalone="yes"?>
<Relationships xmlns="http://schemas.openxmlformats.org/package/2006/relationships"><Relationship Id="rId8" Type="http://schemas.openxmlformats.org/officeDocument/2006/relationships/table" Target="../tables/table28.xml"/><Relationship Id="rId3" Type="http://schemas.openxmlformats.org/officeDocument/2006/relationships/table" Target="../tables/table23.xml"/><Relationship Id="rId7" Type="http://schemas.openxmlformats.org/officeDocument/2006/relationships/table" Target="../tables/table27.xml"/><Relationship Id="rId2" Type="http://schemas.openxmlformats.org/officeDocument/2006/relationships/table" Target="../tables/table22.xml"/><Relationship Id="rId1" Type="http://schemas.openxmlformats.org/officeDocument/2006/relationships/table" Target="../tables/table21.xml"/><Relationship Id="rId6" Type="http://schemas.openxmlformats.org/officeDocument/2006/relationships/table" Target="../tables/table26.xml"/><Relationship Id="rId5" Type="http://schemas.openxmlformats.org/officeDocument/2006/relationships/table" Target="../tables/table25.xml"/><Relationship Id="rId10" Type="http://schemas.openxmlformats.org/officeDocument/2006/relationships/table" Target="../tables/table30.xml"/><Relationship Id="rId4" Type="http://schemas.openxmlformats.org/officeDocument/2006/relationships/table" Target="../tables/table24.xml"/><Relationship Id="rId9" Type="http://schemas.openxmlformats.org/officeDocument/2006/relationships/table" Target="../tables/table29.xml"/></Relationships>
</file>

<file path=xl/worksheets/_rels/sheet6.xml.rels><?xml version="1.0" encoding="UTF-8" standalone="yes"?>
<Relationships xmlns="http://schemas.openxmlformats.org/package/2006/relationships"><Relationship Id="rId8" Type="http://schemas.openxmlformats.org/officeDocument/2006/relationships/table" Target="../tables/table38.xml"/><Relationship Id="rId3" Type="http://schemas.openxmlformats.org/officeDocument/2006/relationships/table" Target="../tables/table33.xml"/><Relationship Id="rId7" Type="http://schemas.openxmlformats.org/officeDocument/2006/relationships/table" Target="../tables/table37.xml"/><Relationship Id="rId2" Type="http://schemas.openxmlformats.org/officeDocument/2006/relationships/table" Target="../tables/table32.xml"/><Relationship Id="rId1" Type="http://schemas.openxmlformats.org/officeDocument/2006/relationships/table" Target="../tables/table31.xml"/><Relationship Id="rId6" Type="http://schemas.openxmlformats.org/officeDocument/2006/relationships/table" Target="../tables/table36.xml"/><Relationship Id="rId5" Type="http://schemas.openxmlformats.org/officeDocument/2006/relationships/table" Target="../tables/table35.xml"/><Relationship Id="rId10" Type="http://schemas.openxmlformats.org/officeDocument/2006/relationships/table" Target="../tables/table40.xml"/><Relationship Id="rId4" Type="http://schemas.openxmlformats.org/officeDocument/2006/relationships/table" Target="../tables/table34.xml"/><Relationship Id="rId9" Type="http://schemas.openxmlformats.org/officeDocument/2006/relationships/table" Target="../tables/table39.xml"/></Relationships>
</file>

<file path=xl/worksheets/_rels/sheet7.xml.rels><?xml version="1.0" encoding="UTF-8" standalone="yes"?>
<Relationships xmlns="http://schemas.openxmlformats.org/package/2006/relationships"><Relationship Id="rId8" Type="http://schemas.openxmlformats.org/officeDocument/2006/relationships/table" Target="../tables/table48.xml"/><Relationship Id="rId3" Type="http://schemas.openxmlformats.org/officeDocument/2006/relationships/table" Target="../tables/table43.xml"/><Relationship Id="rId7" Type="http://schemas.openxmlformats.org/officeDocument/2006/relationships/table" Target="../tables/table47.xml"/><Relationship Id="rId2" Type="http://schemas.openxmlformats.org/officeDocument/2006/relationships/table" Target="../tables/table42.xml"/><Relationship Id="rId1" Type="http://schemas.openxmlformats.org/officeDocument/2006/relationships/table" Target="../tables/table41.xml"/><Relationship Id="rId6" Type="http://schemas.openxmlformats.org/officeDocument/2006/relationships/table" Target="../tables/table46.xml"/><Relationship Id="rId5" Type="http://schemas.openxmlformats.org/officeDocument/2006/relationships/table" Target="../tables/table45.xml"/><Relationship Id="rId10" Type="http://schemas.openxmlformats.org/officeDocument/2006/relationships/table" Target="../tables/table50.xml"/><Relationship Id="rId4" Type="http://schemas.openxmlformats.org/officeDocument/2006/relationships/table" Target="../tables/table44.xml"/><Relationship Id="rId9" Type="http://schemas.openxmlformats.org/officeDocument/2006/relationships/table" Target="../tables/table49.xml"/></Relationships>
</file>

<file path=xl/worksheets/_rels/sheet8.xml.rels><?xml version="1.0" encoding="UTF-8" standalone="yes"?>
<Relationships xmlns="http://schemas.openxmlformats.org/package/2006/relationships"><Relationship Id="rId8" Type="http://schemas.openxmlformats.org/officeDocument/2006/relationships/table" Target="../tables/table58.xml"/><Relationship Id="rId3" Type="http://schemas.openxmlformats.org/officeDocument/2006/relationships/table" Target="../tables/table53.xml"/><Relationship Id="rId7" Type="http://schemas.openxmlformats.org/officeDocument/2006/relationships/table" Target="../tables/table57.xml"/><Relationship Id="rId2" Type="http://schemas.openxmlformats.org/officeDocument/2006/relationships/table" Target="../tables/table52.xml"/><Relationship Id="rId1" Type="http://schemas.openxmlformats.org/officeDocument/2006/relationships/table" Target="../tables/table51.xml"/><Relationship Id="rId6" Type="http://schemas.openxmlformats.org/officeDocument/2006/relationships/table" Target="../tables/table56.xml"/><Relationship Id="rId5" Type="http://schemas.openxmlformats.org/officeDocument/2006/relationships/table" Target="../tables/table55.xml"/><Relationship Id="rId10" Type="http://schemas.openxmlformats.org/officeDocument/2006/relationships/table" Target="../tables/table60.xml"/><Relationship Id="rId4" Type="http://schemas.openxmlformats.org/officeDocument/2006/relationships/table" Target="../tables/table54.xml"/><Relationship Id="rId9" Type="http://schemas.openxmlformats.org/officeDocument/2006/relationships/table" Target="../tables/table59.xml"/></Relationships>
</file>

<file path=xl/worksheets/_rels/sheet9.xml.rels><?xml version="1.0" encoding="UTF-8" standalone="yes"?>
<Relationships xmlns="http://schemas.openxmlformats.org/package/2006/relationships"><Relationship Id="rId8" Type="http://schemas.openxmlformats.org/officeDocument/2006/relationships/table" Target="../tables/table68.xml"/><Relationship Id="rId3" Type="http://schemas.openxmlformats.org/officeDocument/2006/relationships/table" Target="../tables/table63.xml"/><Relationship Id="rId7" Type="http://schemas.openxmlformats.org/officeDocument/2006/relationships/table" Target="../tables/table67.xml"/><Relationship Id="rId2" Type="http://schemas.openxmlformats.org/officeDocument/2006/relationships/table" Target="../tables/table62.xml"/><Relationship Id="rId1" Type="http://schemas.openxmlformats.org/officeDocument/2006/relationships/table" Target="../tables/table61.xml"/><Relationship Id="rId6" Type="http://schemas.openxmlformats.org/officeDocument/2006/relationships/table" Target="../tables/table66.xml"/><Relationship Id="rId5" Type="http://schemas.openxmlformats.org/officeDocument/2006/relationships/table" Target="../tables/table65.xml"/><Relationship Id="rId10" Type="http://schemas.openxmlformats.org/officeDocument/2006/relationships/table" Target="../tables/table70.xml"/><Relationship Id="rId4" Type="http://schemas.openxmlformats.org/officeDocument/2006/relationships/table" Target="../tables/table64.xml"/><Relationship Id="rId9" Type="http://schemas.openxmlformats.org/officeDocument/2006/relationships/table" Target="../tables/table6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41"/>
  <sheetViews>
    <sheetView showGridLines="0" tabSelected="1" workbookViewId="0"/>
  </sheetViews>
  <sheetFormatPr defaultColWidth="10.90625" defaultRowHeight="14.5"/>
  <cols>
    <col min="1" max="1" width="85.7265625" customWidth="1"/>
  </cols>
  <sheetData>
    <row r="1" spans="1:1" ht="30" customHeight="1">
      <c r="A1" s="1" t="s">
        <v>96</v>
      </c>
    </row>
    <row r="2" spans="1:1" ht="15.5">
      <c r="A2" s="2" t="s">
        <v>58</v>
      </c>
    </row>
    <row r="3" spans="1:1" ht="93">
      <c r="A3" s="2" t="s">
        <v>57</v>
      </c>
    </row>
    <row r="4" spans="1:1" ht="46.5">
      <c r="A4" s="2" t="s">
        <v>59</v>
      </c>
    </row>
    <row r="5" spans="1:1" ht="15.5">
      <c r="A5" s="2" t="s">
        <v>60</v>
      </c>
    </row>
    <row r="6" spans="1:1" ht="31">
      <c r="A6" s="2" t="s">
        <v>61</v>
      </c>
    </row>
    <row r="7" spans="1:1" ht="30" customHeight="1">
      <c r="A7" s="3" t="s">
        <v>95</v>
      </c>
    </row>
    <row r="8" spans="1:1" ht="77.5">
      <c r="A8" s="2" t="s">
        <v>62</v>
      </c>
    </row>
    <row r="9" spans="1:1" ht="46.5">
      <c r="A9" s="2" t="s">
        <v>63</v>
      </c>
    </row>
    <row r="10" spans="1:1" ht="30" customHeight="1">
      <c r="A10" s="3" t="s">
        <v>88</v>
      </c>
    </row>
    <row r="11" spans="1:1" ht="31">
      <c r="A11" s="2" t="s">
        <v>64</v>
      </c>
    </row>
    <row r="12" spans="1:1" ht="46.5">
      <c r="A12" s="2" t="s">
        <v>65</v>
      </c>
    </row>
    <row r="13" spans="1:1" ht="46.5">
      <c r="A13" s="2" t="s">
        <v>66</v>
      </c>
    </row>
    <row r="14" spans="1:1" ht="15.5">
      <c r="A14" s="2" t="s">
        <v>67</v>
      </c>
    </row>
    <row r="15" spans="1:1" ht="30" customHeight="1">
      <c r="A15" s="3" t="s">
        <v>89</v>
      </c>
    </row>
    <row r="16" spans="1:1" ht="31">
      <c r="A16" s="2" t="s">
        <v>68</v>
      </c>
    </row>
    <row r="17" spans="1:1" ht="62">
      <c r="A17" s="2" t="s">
        <v>69</v>
      </c>
    </row>
    <row r="18" spans="1:1" ht="62">
      <c r="A18" s="2" t="s">
        <v>70</v>
      </c>
    </row>
    <row r="19" spans="1:1" ht="77.5">
      <c r="A19" s="2" t="s">
        <v>71</v>
      </c>
    </row>
    <row r="20" spans="1:1" ht="30" customHeight="1">
      <c r="A20" s="3" t="s">
        <v>90</v>
      </c>
    </row>
    <row r="21" spans="1:1" ht="62">
      <c r="A21" s="2" t="s">
        <v>72</v>
      </c>
    </row>
    <row r="22" spans="1:1" ht="15.5">
      <c r="A22" s="2" t="s">
        <v>73</v>
      </c>
    </row>
    <row r="23" spans="1:1" ht="30" customHeight="1">
      <c r="A23" s="3" t="s">
        <v>91</v>
      </c>
    </row>
    <row r="24" spans="1:1" ht="15.5">
      <c r="A24" s="2" t="s">
        <v>74</v>
      </c>
    </row>
    <row r="25" spans="1:1" ht="15.5">
      <c r="A25" s="2" t="s">
        <v>75</v>
      </c>
    </row>
    <row r="26" spans="1:1" ht="15.5">
      <c r="A26" s="2" t="s">
        <v>76</v>
      </c>
    </row>
    <row r="27" spans="1:1" ht="15.5">
      <c r="A27" s="2" t="s">
        <v>77</v>
      </c>
    </row>
    <row r="28" spans="1:1" ht="15.5">
      <c r="A28" s="2" t="s">
        <v>78</v>
      </c>
    </row>
    <row r="29" spans="1:1" ht="30" customHeight="1">
      <c r="A29" s="3" t="s">
        <v>92</v>
      </c>
    </row>
    <row r="30" spans="1:1" ht="46.5">
      <c r="A30" s="2" t="s">
        <v>79</v>
      </c>
    </row>
    <row r="31" spans="1:1" ht="62">
      <c r="A31" s="2" t="s">
        <v>80</v>
      </c>
    </row>
    <row r="32" spans="1:1" ht="62">
      <c r="A32" s="2" t="s">
        <v>81</v>
      </c>
    </row>
    <row r="33" spans="1:1" ht="46.5">
      <c r="A33" s="2" t="s">
        <v>82</v>
      </c>
    </row>
    <row r="34" spans="1:1" ht="30" customHeight="1">
      <c r="A34" s="3" t="s">
        <v>93</v>
      </c>
    </row>
    <row r="35" spans="1:1" ht="46.5">
      <c r="A35" s="2" t="s">
        <v>83</v>
      </c>
    </row>
    <row r="36" spans="1:1" ht="30" customHeight="1">
      <c r="A36" s="3" t="s">
        <v>94</v>
      </c>
    </row>
    <row r="37" spans="1:1" ht="15.5">
      <c r="A37" s="2" t="s">
        <v>84</v>
      </c>
    </row>
    <row r="38" spans="1:1" ht="15.5">
      <c r="A38" s="2" t="s">
        <v>85</v>
      </c>
    </row>
    <row r="39" spans="1:1" ht="15.5">
      <c r="A39" s="2" t="s">
        <v>86</v>
      </c>
    </row>
    <row r="40" spans="1:1" ht="15.5">
      <c r="A40" s="2" t="s">
        <v>87</v>
      </c>
    </row>
    <row r="41" spans="1:1" ht="15.5">
      <c r="A41" s="2"/>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
  <sheetViews>
    <sheetView showGridLines="0" workbookViewId="0"/>
  </sheetViews>
  <sheetFormatPr defaultColWidth="10.90625" defaultRowHeight="14.5"/>
  <cols>
    <col min="1" max="1" width="105.7265625" customWidth="1"/>
  </cols>
  <sheetData>
    <row r="1" spans="1:1" ht="19.5">
      <c r="A1" s="4" t="s">
        <v>97</v>
      </c>
    </row>
    <row r="2" spans="1:1" ht="87.5">
      <c r="A2" s="5" t="s">
        <v>57</v>
      </c>
    </row>
    <row r="3" spans="1:1">
      <c r="A3" s="7" t="str">
        <f>HYPERLINK("#1!A1", "1 Lone parenthood")</f>
        <v>1 Lone parenthood</v>
      </c>
    </row>
    <row r="4" spans="1:1">
      <c r="A4" s="7" t="str">
        <f>HYPERLINK("#2!A1", "2 Number of children in the household")</f>
        <v>2 Number of children in the household</v>
      </c>
    </row>
    <row r="5" spans="1:1">
      <c r="A5" s="7" t="str">
        <f>HYPERLINK("#3!A1", "3 Age of youngest child in the household")</f>
        <v>3 Age of youngest child in the household</v>
      </c>
    </row>
    <row r="6" spans="1:1">
      <c r="A6" s="7" t="str">
        <f>HYPERLINK("#4!A1", "4 Age of mother")</f>
        <v>4 Age of mother</v>
      </c>
    </row>
    <row r="7" spans="1:1">
      <c r="A7" s="7" t="str">
        <f>HYPERLINK("#5!A1", "5 Disabled household members")</f>
        <v>5 Disabled household members</v>
      </c>
    </row>
    <row r="8" spans="1:1">
      <c r="A8" s="7" t="str">
        <f>HYPERLINK("#6!A1", "6 Ethnicity (3-year average)")</f>
        <v>6 Ethnicity (3-year average)</v>
      </c>
    </row>
    <row r="9" spans="1:1">
      <c r="A9" s="7" t="str">
        <f>HYPERLINK("#7!A1", "7 In any or none of the priority groups")</f>
        <v>7 In any or none of the priority groups</v>
      </c>
    </row>
    <row r="10" spans="1:1" ht="30" customHeight="1">
      <c r="A10" s="6"/>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200"/>
  <sheetViews>
    <sheetView showGridLines="0" workbookViewId="0"/>
  </sheetViews>
  <sheetFormatPr defaultColWidth="10.90625" defaultRowHeight="14.5"/>
  <cols>
    <col min="1" max="1" width="70.7265625" customWidth="1"/>
  </cols>
  <sheetData>
    <row r="1" spans="1:27" ht="19.5">
      <c r="A1" s="4" t="s">
        <v>110</v>
      </c>
      <c r="B1" s="8"/>
      <c r="C1" s="8"/>
      <c r="D1" s="8"/>
      <c r="E1" s="8"/>
      <c r="F1" s="8"/>
      <c r="G1" s="8"/>
      <c r="H1" s="8"/>
      <c r="I1" s="8"/>
      <c r="J1" s="8"/>
      <c r="K1" s="8"/>
      <c r="L1" s="8"/>
      <c r="M1" s="8"/>
      <c r="N1" s="8"/>
      <c r="O1" s="8"/>
      <c r="P1" s="8"/>
      <c r="Q1" s="8"/>
      <c r="R1" s="8"/>
      <c r="S1" s="8"/>
      <c r="T1" s="8"/>
      <c r="U1" s="8"/>
      <c r="V1" s="8"/>
      <c r="W1" s="8"/>
      <c r="X1" s="8"/>
      <c r="Y1" s="8"/>
      <c r="Z1" s="8"/>
      <c r="AA1" s="8"/>
    </row>
    <row r="2" spans="1:27">
      <c r="A2" s="9" t="s">
        <v>0</v>
      </c>
      <c r="B2" s="8"/>
      <c r="C2" s="8"/>
      <c r="D2" s="8"/>
      <c r="E2" s="8"/>
      <c r="F2" s="8"/>
      <c r="G2" s="8"/>
      <c r="H2" s="8"/>
      <c r="I2" s="8"/>
      <c r="J2" s="8"/>
      <c r="K2" s="8"/>
      <c r="L2" s="8"/>
      <c r="M2" s="8"/>
      <c r="N2" s="8"/>
      <c r="O2" s="8"/>
      <c r="P2" s="8"/>
      <c r="Q2" s="8"/>
      <c r="R2" s="8"/>
      <c r="S2" s="8"/>
      <c r="T2" s="8"/>
      <c r="U2" s="8"/>
      <c r="V2" s="8"/>
      <c r="W2" s="8"/>
      <c r="X2" s="8"/>
      <c r="Y2" s="8"/>
      <c r="Z2" s="8"/>
      <c r="AA2" s="8"/>
    </row>
    <row r="3" spans="1:27" ht="29">
      <c r="A3" s="9" t="s">
        <v>1</v>
      </c>
      <c r="B3" s="10"/>
      <c r="C3" s="10"/>
      <c r="D3" s="10"/>
      <c r="E3" s="10"/>
      <c r="F3" s="10"/>
      <c r="G3" s="10"/>
      <c r="H3" s="10"/>
      <c r="I3" s="10"/>
      <c r="J3" s="10"/>
      <c r="K3" s="10"/>
      <c r="L3" s="10"/>
      <c r="M3" s="10"/>
      <c r="N3" s="10"/>
      <c r="O3" s="10"/>
      <c r="P3" s="10"/>
      <c r="Q3" s="10"/>
      <c r="R3" s="10"/>
      <c r="S3" s="10"/>
      <c r="T3" s="10"/>
      <c r="U3" s="10"/>
      <c r="V3" s="10"/>
      <c r="W3" s="10"/>
      <c r="X3" s="10"/>
      <c r="Y3" s="10"/>
      <c r="Z3" s="10"/>
      <c r="AA3" s="10"/>
    </row>
    <row r="4" spans="1:27" ht="72.5">
      <c r="A4" s="9" t="s">
        <v>2</v>
      </c>
      <c r="B4" s="10"/>
      <c r="C4" s="10"/>
      <c r="D4" s="10"/>
      <c r="E4" s="10"/>
      <c r="F4" s="10"/>
      <c r="G4" s="10"/>
      <c r="H4" s="10"/>
      <c r="I4" s="10"/>
      <c r="J4" s="10"/>
      <c r="K4" s="10"/>
      <c r="L4" s="10"/>
      <c r="M4" s="10"/>
      <c r="N4" s="10"/>
      <c r="O4" s="10"/>
      <c r="P4" s="10"/>
      <c r="Q4" s="10"/>
      <c r="R4" s="10"/>
      <c r="S4" s="10"/>
      <c r="T4" s="10"/>
      <c r="U4" s="10"/>
      <c r="V4" s="10"/>
      <c r="W4" s="10"/>
      <c r="X4" s="10"/>
      <c r="Y4" s="10"/>
      <c r="Z4" s="10"/>
      <c r="AA4" s="10"/>
    </row>
    <row r="5" spans="1:27">
      <c r="A5" s="9" t="s">
        <v>3</v>
      </c>
      <c r="B5" s="10"/>
      <c r="C5" s="10"/>
      <c r="D5" s="10"/>
      <c r="E5" s="10"/>
      <c r="F5" s="10"/>
      <c r="G5" s="10"/>
      <c r="H5" s="10"/>
      <c r="I5" s="10"/>
      <c r="J5" s="10"/>
      <c r="K5" s="10"/>
      <c r="L5" s="10"/>
      <c r="M5" s="10"/>
      <c r="N5" s="10"/>
      <c r="O5" s="10"/>
      <c r="P5" s="10"/>
      <c r="Q5" s="10"/>
      <c r="R5" s="10"/>
      <c r="S5" s="10"/>
      <c r="T5" s="10"/>
      <c r="U5" s="10"/>
      <c r="V5" s="10"/>
      <c r="W5" s="10"/>
      <c r="X5" s="10"/>
      <c r="Y5" s="10"/>
      <c r="Z5" s="10"/>
      <c r="AA5" s="10"/>
    </row>
    <row r="6" spans="1:27">
      <c r="A6" s="11" t="s">
        <v>4</v>
      </c>
      <c r="B6" s="10"/>
      <c r="C6" s="10"/>
      <c r="D6" s="10"/>
      <c r="E6" s="10"/>
      <c r="F6" s="10"/>
      <c r="G6" s="10"/>
      <c r="H6" s="10"/>
      <c r="I6" s="10"/>
      <c r="J6" s="10"/>
      <c r="K6" s="10"/>
      <c r="L6" s="10"/>
      <c r="M6" s="10"/>
      <c r="N6" s="10"/>
      <c r="O6" s="10"/>
      <c r="P6" s="10"/>
      <c r="Q6" s="10"/>
      <c r="R6" s="10"/>
      <c r="S6" s="10"/>
      <c r="T6" s="10"/>
      <c r="U6" s="10"/>
      <c r="V6" s="10"/>
      <c r="W6" s="10"/>
      <c r="X6" s="10"/>
      <c r="Y6" s="10"/>
      <c r="Z6" s="10"/>
      <c r="AA6" s="10"/>
    </row>
    <row r="7" spans="1:27" ht="30" customHeight="1">
      <c r="A7" s="12" t="s">
        <v>109</v>
      </c>
      <c r="B7" s="10"/>
      <c r="C7" s="10"/>
      <c r="D7" s="10"/>
      <c r="E7" s="10"/>
      <c r="F7" s="10"/>
      <c r="G7" s="10"/>
      <c r="H7" s="10"/>
      <c r="I7" s="10"/>
      <c r="J7" s="10"/>
      <c r="K7" s="10"/>
      <c r="L7" s="10"/>
      <c r="M7" s="10"/>
      <c r="N7" s="10"/>
      <c r="O7" s="10"/>
      <c r="P7" s="10"/>
      <c r="Q7" s="10"/>
      <c r="R7" s="10"/>
      <c r="S7" s="10"/>
      <c r="T7" s="10"/>
      <c r="U7" s="10"/>
      <c r="V7" s="10"/>
      <c r="W7" s="10"/>
      <c r="X7" s="10"/>
      <c r="Y7" s="10"/>
      <c r="Z7" s="10"/>
      <c r="AA7" s="10"/>
    </row>
    <row r="8" spans="1:27">
      <c r="A8" s="13" t="s">
        <v>5</v>
      </c>
      <c r="B8" s="14" t="s">
        <v>6</v>
      </c>
      <c r="C8" s="14" t="s">
        <v>7</v>
      </c>
      <c r="D8" s="14" t="s">
        <v>8</v>
      </c>
      <c r="E8" s="14" t="s">
        <v>9</v>
      </c>
      <c r="F8" s="14" t="s">
        <v>10</v>
      </c>
      <c r="G8" s="14" t="s">
        <v>11</v>
      </c>
      <c r="H8" s="14" t="s">
        <v>12</v>
      </c>
      <c r="I8" s="14" t="s">
        <v>13</v>
      </c>
      <c r="J8" s="14" t="s">
        <v>14</v>
      </c>
      <c r="K8" s="14" t="s">
        <v>15</v>
      </c>
      <c r="L8" s="14" t="s">
        <v>16</v>
      </c>
      <c r="M8" s="14" t="s">
        <v>17</v>
      </c>
      <c r="N8" s="14" t="s">
        <v>18</v>
      </c>
      <c r="O8" s="14" t="s">
        <v>19</v>
      </c>
      <c r="P8" s="14" t="s">
        <v>20</v>
      </c>
      <c r="Q8" s="14" t="s">
        <v>21</v>
      </c>
      <c r="R8" s="14" t="s">
        <v>22</v>
      </c>
      <c r="S8" s="14" t="s">
        <v>23</v>
      </c>
      <c r="T8" s="14" t="s">
        <v>24</v>
      </c>
      <c r="U8" s="14" t="s">
        <v>25</v>
      </c>
      <c r="V8" s="14" t="s">
        <v>26</v>
      </c>
      <c r="W8" s="14" t="s">
        <v>27</v>
      </c>
      <c r="X8" s="14" t="s">
        <v>28</v>
      </c>
      <c r="Y8" s="14" t="s">
        <v>29</v>
      </c>
      <c r="Z8" s="14" t="s">
        <v>30</v>
      </c>
      <c r="AA8" s="14" t="s">
        <v>31</v>
      </c>
    </row>
    <row r="9" spans="1:27">
      <c r="A9" s="13" t="s">
        <v>32</v>
      </c>
      <c r="B9" s="15">
        <v>0.31713940000000002</v>
      </c>
      <c r="C9" s="15">
        <v>0.3190847</v>
      </c>
      <c r="D9" s="15">
        <v>0.3155983</v>
      </c>
      <c r="E9" s="15">
        <v>0.309896</v>
      </c>
      <c r="F9" s="15">
        <v>0.31244749999999999</v>
      </c>
      <c r="G9" s="15">
        <v>0.31238919999999998</v>
      </c>
      <c r="H9" s="15">
        <v>0.29609809999999998</v>
      </c>
      <c r="I9" s="15">
        <v>0.27851979999999998</v>
      </c>
      <c r="J9" s="15">
        <v>0.25814049999999999</v>
      </c>
      <c r="K9" s="15">
        <v>0.2499922</v>
      </c>
      <c r="L9" s="15">
        <v>0.2455253</v>
      </c>
      <c r="M9" s="15">
        <v>0.2409346</v>
      </c>
      <c r="N9" s="15">
        <v>0.24524689999999999</v>
      </c>
      <c r="O9" s="15">
        <v>0.24372530000000001</v>
      </c>
      <c r="P9" s="15">
        <v>0.23525389999999999</v>
      </c>
      <c r="Q9" s="15">
        <v>0.2143718</v>
      </c>
      <c r="R9" s="15">
        <v>0.2073566</v>
      </c>
      <c r="S9" s="15">
        <v>0.20983579999999999</v>
      </c>
      <c r="T9" s="15">
        <v>0.2161679</v>
      </c>
      <c r="U9" s="15">
        <v>0.22795380000000001</v>
      </c>
      <c r="V9" s="15">
        <v>0.23351949999999999</v>
      </c>
      <c r="W9" s="15">
        <v>0.2419675</v>
      </c>
      <c r="X9" s="15">
        <v>0.23227329999999999</v>
      </c>
      <c r="Y9" s="15">
        <v>0.24283840000000001</v>
      </c>
      <c r="Z9" s="15">
        <v>0.2463928</v>
      </c>
      <c r="AA9" s="15">
        <v>0.2447318</v>
      </c>
    </row>
    <row r="10" spans="1:27">
      <c r="A10" s="13" t="s">
        <v>33</v>
      </c>
      <c r="B10" s="15">
        <v>0.23902229999999999</v>
      </c>
      <c r="C10" s="15">
        <v>0.2382802</v>
      </c>
      <c r="D10" s="15">
        <v>0.23131380000000001</v>
      </c>
      <c r="E10" s="15">
        <v>0.22055559999999999</v>
      </c>
      <c r="F10" s="15">
        <v>0.21671219999999999</v>
      </c>
      <c r="G10" s="15">
        <v>0.2184759</v>
      </c>
      <c r="H10" s="15">
        <v>0.21014569999999999</v>
      </c>
      <c r="I10" s="15">
        <v>0.19359879999999999</v>
      </c>
      <c r="J10" s="15">
        <v>0.17997859999999999</v>
      </c>
      <c r="K10" s="15">
        <v>0.17954229999999999</v>
      </c>
      <c r="L10" s="15">
        <v>0.1787107</v>
      </c>
      <c r="M10" s="15">
        <v>0.1701146</v>
      </c>
      <c r="N10" s="15">
        <v>0.1670817</v>
      </c>
      <c r="O10" s="15">
        <v>0.1734009</v>
      </c>
      <c r="P10" s="15">
        <v>0.17948</v>
      </c>
      <c r="Q10" s="15">
        <v>0.16822699999999999</v>
      </c>
      <c r="R10" s="15">
        <v>0.16930619999999999</v>
      </c>
      <c r="S10" s="15">
        <v>0.17467009999999999</v>
      </c>
      <c r="T10" s="15">
        <v>0.18290039999999999</v>
      </c>
      <c r="U10" s="15">
        <v>0.18899640000000001</v>
      </c>
      <c r="V10" s="15">
        <v>0.18559890000000001</v>
      </c>
      <c r="W10" s="15">
        <v>0.1951841</v>
      </c>
      <c r="X10" s="15">
        <v>0.1902327</v>
      </c>
      <c r="Y10" s="15">
        <v>0.20088449999999999</v>
      </c>
      <c r="Z10" s="15">
        <v>0.1994572</v>
      </c>
      <c r="AA10" s="15">
        <v>0.20443130000000001</v>
      </c>
    </row>
    <row r="11" spans="1:27">
      <c r="A11" s="13" t="s">
        <v>34</v>
      </c>
      <c r="B11" s="15">
        <v>0.61764520000000001</v>
      </c>
      <c r="C11" s="15">
        <v>0.60287630000000003</v>
      </c>
      <c r="D11" s="15">
        <v>0.61178100000000002</v>
      </c>
      <c r="E11" s="15">
        <v>0.5915707</v>
      </c>
      <c r="F11" s="15">
        <v>0.61312100000000003</v>
      </c>
      <c r="G11" s="15">
        <v>0.58000309999999999</v>
      </c>
      <c r="H11" s="15">
        <v>0.54181650000000003</v>
      </c>
      <c r="I11" s="15">
        <v>0.50541570000000002</v>
      </c>
      <c r="J11" s="15">
        <v>0.4747421</v>
      </c>
      <c r="K11" s="15">
        <v>0.4492582</v>
      </c>
      <c r="L11" s="15">
        <v>0.43883909999999998</v>
      </c>
      <c r="M11" s="15">
        <v>0.45136110000000002</v>
      </c>
      <c r="N11" s="15">
        <v>0.47551719999999997</v>
      </c>
      <c r="O11" s="15">
        <v>0.45405630000000002</v>
      </c>
      <c r="P11" s="15">
        <v>0.40657989999999999</v>
      </c>
      <c r="Q11" s="15">
        <v>0.35092909999999999</v>
      </c>
      <c r="R11" s="15">
        <v>0.3199398</v>
      </c>
      <c r="S11" s="15">
        <v>0.31205719999999998</v>
      </c>
      <c r="T11" s="15">
        <v>0.31803340000000002</v>
      </c>
      <c r="U11" s="15">
        <v>0.35163929999999999</v>
      </c>
      <c r="V11" s="15">
        <v>0.39199919999999999</v>
      </c>
      <c r="W11" s="15">
        <v>0.40097300000000002</v>
      </c>
      <c r="X11" s="15">
        <v>0.37539990000000001</v>
      </c>
      <c r="Y11" s="15">
        <v>0.37903740000000002</v>
      </c>
      <c r="Z11" s="15">
        <v>0.39481650000000001</v>
      </c>
      <c r="AA11" s="15">
        <v>0.3827083</v>
      </c>
    </row>
    <row r="12" spans="1:27" ht="30" customHeight="1">
      <c r="A12" s="12" t="s">
        <v>100</v>
      </c>
      <c r="B12" s="15"/>
      <c r="C12" s="15"/>
      <c r="D12" s="15"/>
      <c r="E12" s="15"/>
      <c r="F12" s="15"/>
      <c r="G12" s="15"/>
      <c r="H12" s="15"/>
      <c r="I12" s="15"/>
      <c r="J12" s="15"/>
      <c r="K12" s="15"/>
      <c r="L12" s="15"/>
      <c r="M12" s="15"/>
      <c r="N12" s="15"/>
      <c r="O12" s="15"/>
      <c r="P12" s="15"/>
      <c r="Q12" s="15"/>
      <c r="R12" s="15"/>
      <c r="S12" s="15"/>
      <c r="T12" s="15"/>
      <c r="U12" s="15"/>
      <c r="V12" s="15"/>
      <c r="W12" s="15"/>
      <c r="X12" s="15"/>
      <c r="Y12" s="15"/>
      <c r="Z12" s="15"/>
      <c r="AA12" s="15"/>
    </row>
    <row r="13" spans="1:27">
      <c r="A13" s="13" t="s">
        <v>5</v>
      </c>
      <c r="B13" s="16" t="s">
        <v>6</v>
      </c>
      <c r="C13" s="16" t="s">
        <v>7</v>
      </c>
      <c r="D13" s="16" t="s">
        <v>8</v>
      </c>
      <c r="E13" s="16" t="s">
        <v>9</v>
      </c>
      <c r="F13" s="16" t="s">
        <v>10</v>
      </c>
      <c r="G13" s="16" t="s">
        <v>11</v>
      </c>
      <c r="H13" s="16" t="s">
        <v>12</v>
      </c>
      <c r="I13" s="16" t="s">
        <v>13</v>
      </c>
      <c r="J13" s="16" t="s">
        <v>14</v>
      </c>
      <c r="K13" s="16" t="s">
        <v>15</v>
      </c>
      <c r="L13" s="16" t="s">
        <v>16</v>
      </c>
      <c r="M13" s="16" t="s">
        <v>17</v>
      </c>
      <c r="N13" s="16" t="s">
        <v>18</v>
      </c>
      <c r="O13" s="16" t="s">
        <v>19</v>
      </c>
      <c r="P13" s="16" t="s">
        <v>20</v>
      </c>
      <c r="Q13" s="16" t="s">
        <v>21</v>
      </c>
      <c r="R13" s="16" t="s">
        <v>22</v>
      </c>
      <c r="S13" s="16" t="s">
        <v>23</v>
      </c>
      <c r="T13" s="16" t="s">
        <v>24</v>
      </c>
      <c r="U13" s="16" t="s">
        <v>25</v>
      </c>
      <c r="V13" s="16" t="s">
        <v>26</v>
      </c>
      <c r="W13" s="16" t="s">
        <v>27</v>
      </c>
      <c r="X13" s="16" t="s">
        <v>28</v>
      </c>
      <c r="Y13" s="16" t="s">
        <v>29</v>
      </c>
      <c r="Z13" s="16" t="s">
        <v>30</v>
      </c>
      <c r="AA13" s="16" t="s">
        <v>31</v>
      </c>
    </row>
    <row r="14" spans="1:27">
      <c r="A14" s="13" t="s">
        <v>32</v>
      </c>
      <c r="B14" s="15">
        <v>1</v>
      </c>
      <c r="C14" s="15">
        <v>1</v>
      </c>
      <c r="D14" s="15">
        <v>1</v>
      </c>
      <c r="E14" s="15">
        <v>1</v>
      </c>
      <c r="F14" s="15">
        <v>1</v>
      </c>
      <c r="G14" s="15">
        <v>1</v>
      </c>
      <c r="H14" s="15">
        <v>1</v>
      </c>
      <c r="I14" s="15">
        <v>1</v>
      </c>
      <c r="J14" s="15">
        <v>1</v>
      </c>
      <c r="K14" s="15">
        <v>1</v>
      </c>
      <c r="L14" s="15">
        <v>1</v>
      </c>
      <c r="M14" s="15">
        <v>1</v>
      </c>
      <c r="N14" s="15">
        <v>1</v>
      </c>
      <c r="O14" s="15">
        <v>1</v>
      </c>
      <c r="P14" s="15">
        <v>1</v>
      </c>
      <c r="Q14" s="15">
        <v>1</v>
      </c>
      <c r="R14" s="15">
        <v>1</v>
      </c>
      <c r="S14" s="15">
        <v>1</v>
      </c>
      <c r="T14" s="15">
        <v>1</v>
      </c>
      <c r="U14" s="15">
        <v>1</v>
      </c>
      <c r="V14" s="15">
        <v>1</v>
      </c>
      <c r="W14" s="15">
        <v>1</v>
      </c>
      <c r="X14" s="15">
        <v>1</v>
      </c>
      <c r="Y14" s="15">
        <v>1</v>
      </c>
      <c r="Z14" s="15">
        <v>1</v>
      </c>
      <c r="AA14" s="15">
        <v>1</v>
      </c>
    </row>
    <row r="15" spans="1:27">
      <c r="A15" s="13" t="s">
        <v>33</v>
      </c>
      <c r="B15" s="15">
        <v>0.5979101</v>
      </c>
      <c r="C15" s="15">
        <v>0.58046909999999996</v>
      </c>
      <c r="D15" s="15">
        <v>0.56991029999999998</v>
      </c>
      <c r="E15" s="15">
        <v>0.54040589999999999</v>
      </c>
      <c r="F15" s="15">
        <v>0.5257385</v>
      </c>
      <c r="G15" s="15">
        <v>0.51535330000000001</v>
      </c>
      <c r="H15" s="15">
        <v>0.52456219999999998</v>
      </c>
      <c r="I15" s="15">
        <v>0.50490349999999995</v>
      </c>
      <c r="J15" s="15">
        <v>0.51280870000000001</v>
      </c>
      <c r="K15" s="15">
        <v>0.53514059999999997</v>
      </c>
      <c r="L15" s="15">
        <v>0.54314309999999999</v>
      </c>
      <c r="M15" s="15">
        <v>0.53041000000000005</v>
      </c>
      <c r="N15" s="15">
        <v>0.50845609999999997</v>
      </c>
      <c r="O15" s="15">
        <v>0.53266800000000003</v>
      </c>
      <c r="P15" s="15">
        <v>0.57932989999999995</v>
      </c>
      <c r="Q15" s="15">
        <v>0.58816089999999999</v>
      </c>
      <c r="R15" s="15">
        <v>0.6096471</v>
      </c>
      <c r="S15" s="15">
        <v>0.61931270000000005</v>
      </c>
      <c r="T15" s="15">
        <v>0.63799170000000005</v>
      </c>
      <c r="U15" s="15">
        <v>0.63127250000000001</v>
      </c>
      <c r="V15" s="15">
        <v>0.60988370000000003</v>
      </c>
      <c r="W15" s="15">
        <v>0.62404230000000005</v>
      </c>
      <c r="X15" s="15">
        <v>0.63258800000000004</v>
      </c>
      <c r="Y15" s="15">
        <v>0.63477240000000001</v>
      </c>
      <c r="Z15" s="15">
        <v>0.6161894</v>
      </c>
      <c r="AA15" s="15">
        <v>0.65453439999999996</v>
      </c>
    </row>
    <row r="16" spans="1:27">
      <c r="A16" s="13" t="s">
        <v>34</v>
      </c>
      <c r="B16" s="15">
        <v>0.4020899</v>
      </c>
      <c r="C16" s="15">
        <v>0.41953089999999998</v>
      </c>
      <c r="D16" s="15">
        <v>0.43008970000000002</v>
      </c>
      <c r="E16" s="15">
        <v>0.45959410000000001</v>
      </c>
      <c r="F16" s="15">
        <v>0.4742615</v>
      </c>
      <c r="G16" s="15">
        <v>0.48464669999999999</v>
      </c>
      <c r="H16" s="15">
        <v>0.47543780000000002</v>
      </c>
      <c r="I16" s="15">
        <v>0.49509649999999999</v>
      </c>
      <c r="J16" s="15">
        <v>0.48719129999999999</v>
      </c>
      <c r="K16" s="15">
        <v>0.46485939999999998</v>
      </c>
      <c r="L16" s="15">
        <v>0.45685690000000001</v>
      </c>
      <c r="M16" s="15">
        <v>0.46959000000000001</v>
      </c>
      <c r="N16" s="15">
        <v>0.49154389999999998</v>
      </c>
      <c r="O16" s="15">
        <v>0.46733200000000003</v>
      </c>
      <c r="P16" s="15">
        <v>0.42067009999999999</v>
      </c>
      <c r="Q16" s="15">
        <v>0.41183910000000001</v>
      </c>
      <c r="R16" s="15">
        <v>0.3903529</v>
      </c>
      <c r="S16" s="15">
        <v>0.38068730000000001</v>
      </c>
      <c r="T16" s="15">
        <v>0.36200830000000001</v>
      </c>
      <c r="U16" s="15">
        <v>0.36872749999999999</v>
      </c>
      <c r="V16" s="15">
        <v>0.39011630000000003</v>
      </c>
      <c r="W16" s="15">
        <v>0.37595770000000001</v>
      </c>
      <c r="X16" s="15">
        <v>0.36741200000000002</v>
      </c>
      <c r="Y16" s="15">
        <v>0.36522759999999999</v>
      </c>
      <c r="Z16" s="15">
        <v>0.3838106</v>
      </c>
      <c r="AA16" s="15">
        <v>0.34546559999999998</v>
      </c>
    </row>
    <row r="17" spans="1:27" ht="30" customHeight="1">
      <c r="A17" s="12" t="s">
        <v>101</v>
      </c>
      <c r="B17" s="15"/>
      <c r="C17" s="15"/>
      <c r="D17" s="15"/>
      <c r="E17" s="15"/>
      <c r="F17" s="15"/>
      <c r="G17" s="15"/>
      <c r="H17" s="15"/>
      <c r="I17" s="15"/>
      <c r="J17" s="15"/>
      <c r="K17" s="15"/>
      <c r="L17" s="15"/>
      <c r="M17" s="15"/>
      <c r="N17" s="15"/>
      <c r="O17" s="15"/>
      <c r="P17" s="15"/>
      <c r="Q17" s="15"/>
      <c r="R17" s="15"/>
      <c r="S17" s="15"/>
      <c r="T17" s="15"/>
      <c r="U17" s="15"/>
      <c r="V17" s="15"/>
      <c r="W17" s="15"/>
      <c r="X17" s="15"/>
      <c r="Y17" s="15"/>
      <c r="Z17" s="15"/>
      <c r="AA17" s="15"/>
    </row>
    <row r="18" spans="1:27">
      <c r="A18" s="13" t="s">
        <v>5</v>
      </c>
      <c r="B18" s="16" t="s">
        <v>6</v>
      </c>
      <c r="C18" s="16" t="s">
        <v>7</v>
      </c>
      <c r="D18" s="16" t="s">
        <v>8</v>
      </c>
      <c r="E18" s="16" t="s">
        <v>9</v>
      </c>
      <c r="F18" s="16" t="s">
        <v>10</v>
      </c>
      <c r="G18" s="16" t="s">
        <v>11</v>
      </c>
      <c r="H18" s="16" t="s">
        <v>12</v>
      </c>
      <c r="I18" s="16" t="s">
        <v>13</v>
      </c>
      <c r="J18" s="16" t="s">
        <v>14</v>
      </c>
      <c r="K18" s="16" t="s">
        <v>15</v>
      </c>
      <c r="L18" s="16" t="s">
        <v>16</v>
      </c>
      <c r="M18" s="16" t="s">
        <v>17</v>
      </c>
      <c r="N18" s="16" t="s">
        <v>18</v>
      </c>
      <c r="O18" s="16" t="s">
        <v>19</v>
      </c>
      <c r="P18" s="16" t="s">
        <v>20</v>
      </c>
      <c r="Q18" s="16" t="s">
        <v>21</v>
      </c>
      <c r="R18" s="16" t="s">
        <v>22</v>
      </c>
      <c r="S18" s="16" t="s">
        <v>23</v>
      </c>
      <c r="T18" s="16" t="s">
        <v>24</v>
      </c>
      <c r="U18" s="16" t="s">
        <v>25</v>
      </c>
      <c r="V18" s="16" t="s">
        <v>26</v>
      </c>
      <c r="W18" s="16" t="s">
        <v>27</v>
      </c>
      <c r="X18" s="16" t="s">
        <v>28</v>
      </c>
      <c r="Y18" s="16" t="s">
        <v>29</v>
      </c>
      <c r="Z18" s="16" t="s">
        <v>30</v>
      </c>
      <c r="AA18" s="16" t="s">
        <v>31</v>
      </c>
    </row>
    <row r="19" spans="1:27">
      <c r="A19" s="13" t="s">
        <v>32</v>
      </c>
      <c r="B19" s="17">
        <v>350000</v>
      </c>
      <c r="C19" s="17">
        <v>350000</v>
      </c>
      <c r="D19" s="17">
        <v>340000</v>
      </c>
      <c r="E19" s="17">
        <v>330000</v>
      </c>
      <c r="F19" s="17">
        <v>330000</v>
      </c>
      <c r="G19" s="17">
        <v>330000</v>
      </c>
      <c r="H19" s="17">
        <v>310000</v>
      </c>
      <c r="I19" s="17">
        <v>290000</v>
      </c>
      <c r="J19" s="17">
        <v>260000</v>
      </c>
      <c r="K19" s="17">
        <v>250000</v>
      </c>
      <c r="L19" s="17">
        <v>250000</v>
      </c>
      <c r="M19" s="17">
        <v>240000</v>
      </c>
      <c r="N19" s="17">
        <v>240000</v>
      </c>
      <c r="O19" s="17">
        <v>240000</v>
      </c>
      <c r="P19" s="17">
        <v>230000</v>
      </c>
      <c r="Q19" s="17">
        <v>210000</v>
      </c>
      <c r="R19" s="17">
        <v>210000</v>
      </c>
      <c r="S19" s="17">
        <v>210000</v>
      </c>
      <c r="T19" s="17">
        <v>210000</v>
      </c>
      <c r="U19" s="17">
        <v>220000</v>
      </c>
      <c r="V19" s="17">
        <v>230000</v>
      </c>
      <c r="W19" s="17">
        <v>240000</v>
      </c>
      <c r="X19" s="17">
        <v>230000</v>
      </c>
      <c r="Y19" s="17">
        <v>240000</v>
      </c>
      <c r="Z19" s="17">
        <v>240000</v>
      </c>
      <c r="AA19" s="17">
        <v>250000</v>
      </c>
    </row>
    <row r="20" spans="1:27">
      <c r="A20" s="13" t="s">
        <v>33</v>
      </c>
      <c r="B20" s="17">
        <v>210000</v>
      </c>
      <c r="C20" s="17">
        <v>200000</v>
      </c>
      <c r="D20" s="17">
        <v>200000</v>
      </c>
      <c r="E20" s="17">
        <v>180000</v>
      </c>
      <c r="F20" s="17">
        <v>180000</v>
      </c>
      <c r="G20" s="17">
        <v>170000</v>
      </c>
      <c r="H20" s="17">
        <v>160000</v>
      </c>
      <c r="I20" s="17">
        <v>150000</v>
      </c>
      <c r="J20" s="17">
        <v>140000</v>
      </c>
      <c r="K20" s="17">
        <v>130000</v>
      </c>
      <c r="L20" s="17">
        <v>130000</v>
      </c>
      <c r="M20" s="17">
        <v>130000</v>
      </c>
      <c r="N20" s="17">
        <v>120000</v>
      </c>
      <c r="O20" s="17">
        <v>130000</v>
      </c>
      <c r="P20" s="17">
        <v>140000</v>
      </c>
      <c r="Q20" s="17">
        <v>130000</v>
      </c>
      <c r="R20" s="17">
        <v>130000</v>
      </c>
      <c r="S20" s="17">
        <v>130000</v>
      </c>
      <c r="T20" s="17">
        <v>140000</v>
      </c>
      <c r="U20" s="17">
        <v>140000</v>
      </c>
      <c r="V20" s="17">
        <v>140000</v>
      </c>
      <c r="W20" s="17">
        <v>150000</v>
      </c>
      <c r="X20" s="17">
        <v>150000</v>
      </c>
      <c r="Y20" s="17">
        <v>150000</v>
      </c>
      <c r="Z20" s="17">
        <v>150000</v>
      </c>
      <c r="AA20" s="17">
        <v>160000</v>
      </c>
    </row>
    <row r="21" spans="1:27">
      <c r="A21" s="13" t="s">
        <v>34</v>
      </c>
      <c r="B21" s="17">
        <v>140000</v>
      </c>
      <c r="C21" s="17">
        <v>150000</v>
      </c>
      <c r="D21" s="17">
        <v>150000</v>
      </c>
      <c r="E21" s="17">
        <v>150000</v>
      </c>
      <c r="F21" s="17">
        <v>160000</v>
      </c>
      <c r="G21" s="17">
        <v>160000</v>
      </c>
      <c r="H21" s="17">
        <v>150000</v>
      </c>
      <c r="I21" s="17">
        <v>140000</v>
      </c>
      <c r="J21" s="17">
        <v>130000</v>
      </c>
      <c r="K21" s="17">
        <v>120000</v>
      </c>
      <c r="L21" s="17">
        <v>110000</v>
      </c>
      <c r="M21" s="17">
        <v>110000</v>
      </c>
      <c r="N21" s="17">
        <v>120000</v>
      </c>
      <c r="O21" s="17">
        <v>110000</v>
      </c>
      <c r="P21" s="17">
        <v>100000</v>
      </c>
      <c r="Q21" s="17">
        <v>90000</v>
      </c>
      <c r="R21" s="17">
        <v>80000</v>
      </c>
      <c r="S21" s="17">
        <v>80000</v>
      </c>
      <c r="T21" s="17">
        <v>80000</v>
      </c>
      <c r="U21" s="17">
        <v>80000</v>
      </c>
      <c r="V21" s="17">
        <v>90000</v>
      </c>
      <c r="W21" s="17">
        <v>90000</v>
      </c>
      <c r="X21" s="17">
        <v>80000</v>
      </c>
      <c r="Y21" s="17">
        <v>90000</v>
      </c>
      <c r="Z21" s="17">
        <v>90000</v>
      </c>
      <c r="AA21" s="17">
        <v>90000</v>
      </c>
    </row>
    <row r="22" spans="1:27" ht="30" customHeight="1">
      <c r="A22" s="12" t="s">
        <v>102</v>
      </c>
      <c r="B22" s="17"/>
      <c r="C22" s="17"/>
      <c r="D22" s="17"/>
      <c r="E22" s="17"/>
      <c r="F22" s="17"/>
      <c r="G22" s="17"/>
      <c r="H22" s="17"/>
      <c r="I22" s="17"/>
      <c r="J22" s="17"/>
      <c r="K22" s="17"/>
      <c r="L22" s="17"/>
      <c r="M22" s="17"/>
      <c r="N22" s="17"/>
      <c r="O22" s="17"/>
      <c r="P22" s="17"/>
      <c r="Q22" s="17"/>
      <c r="R22" s="17"/>
      <c r="S22" s="17"/>
      <c r="T22" s="17"/>
      <c r="U22" s="17"/>
      <c r="V22" s="17"/>
      <c r="W22" s="17"/>
      <c r="X22" s="17"/>
      <c r="Y22" s="17"/>
      <c r="Z22" s="17"/>
      <c r="AA22" s="17"/>
    </row>
    <row r="23" spans="1:27">
      <c r="A23" s="13" t="s">
        <v>5</v>
      </c>
      <c r="B23" s="18" t="s">
        <v>6</v>
      </c>
      <c r="C23" s="18" t="s">
        <v>7</v>
      </c>
      <c r="D23" s="18" t="s">
        <v>8</v>
      </c>
      <c r="E23" s="18" t="s">
        <v>9</v>
      </c>
      <c r="F23" s="18" t="s">
        <v>10</v>
      </c>
      <c r="G23" s="18" t="s">
        <v>11</v>
      </c>
      <c r="H23" s="18" t="s">
        <v>12</v>
      </c>
      <c r="I23" s="18" t="s">
        <v>13</v>
      </c>
      <c r="J23" s="18" t="s">
        <v>14</v>
      </c>
      <c r="K23" s="18" t="s">
        <v>15</v>
      </c>
      <c r="L23" s="18" t="s">
        <v>16</v>
      </c>
      <c r="M23" s="18" t="s">
        <v>17</v>
      </c>
      <c r="N23" s="18" t="s">
        <v>18</v>
      </c>
      <c r="O23" s="18" t="s">
        <v>19</v>
      </c>
      <c r="P23" s="18" t="s">
        <v>20</v>
      </c>
      <c r="Q23" s="18" t="s">
        <v>21</v>
      </c>
      <c r="R23" s="18" t="s">
        <v>22</v>
      </c>
      <c r="S23" s="18" t="s">
        <v>23</v>
      </c>
      <c r="T23" s="18" t="s">
        <v>24</v>
      </c>
      <c r="U23" s="18" t="s">
        <v>25</v>
      </c>
      <c r="V23" s="18" t="s">
        <v>26</v>
      </c>
      <c r="W23" s="18" t="s">
        <v>27</v>
      </c>
      <c r="X23" s="18" t="s">
        <v>28</v>
      </c>
      <c r="Y23" s="18" t="s">
        <v>29</v>
      </c>
      <c r="Z23" s="18" t="s">
        <v>30</v>
      </c>
      <c r="AA23" s="18" t="s">
        <v>31</v>
      </c>
    </row>
    <row r="24" spans="1:27">
      <c r="A24" s="13" t="s">
        <v>32</v>
      </c>
      <c r="B24" s="15">
        <v>0.49508239999999998</v>
      </c>
      <c r="C24" s="15">
        <v>0.49183529999999998</v>
      </c>
      <c r="D24" s="15">
        <v>0.45778000000000002</v>
      </c>
      <c r="E24" s="15">
        <v>0.4283054</v>
      </c>
      <c r="F24" s="15">
        <v>0.39523950000000002</v>
      </c>
      <c r="G24" s="15">
        <v>0.37891910000000001</v>
      </c>
      <c r="H24" s="15">
        <v>0.34114630000000001</v>
      </c>
      <c r="I24" s="15">
        <v>0.30955690000000002</v>
      </c>
      <c r="J24" s="15">
        <v>0.2726788</v>
      </c>
      <c r="K24" s="15">
        <v>0.25810660000000002</v>
      </c>
      <c r="L24" s="15">
        <v>0.24968180000000001</v>
      </c>
      <c r="M24" s="15">
        <v>0.24055480000000001</v>
      </c>
      <c r="N24" s="15">
        <v>0.24093719999999999</v>
      </c>
      <c r="O24" s="15">
        <v>0.23671420000000001</v>
      </c>
      <c r="P24" s="15">
        <v>0.23137369999999999</v>
      </c>
      <c r="Q24" s="15">
        <v>0.21533070000000001</v>
      </c>
      <c r="R24" s="15">
        <v>0.21545400000000001</v>
      </c>
      <c r="S24" s="15">
        <v>0.22131410000000001</v>
      </c>
      <c r="T24" s="15">
        <v>0.2198638</v>
      </c>
      <c r="U24" s="15">
        <v>0.22061359999999999</v>
      </c>
      <c r="V24" s="15">
        <v>0.21252960000000001</v>
      </c>
      <c r="W24" s="15">
        <v>0.21870529999999999</v>
      </c>
      <c r="X24" s="15">
        <v>0.20637730000000001</v>
      </c>
      <c r="Y24" s="15">
        <v>0.21486730000000001</v>
      </c>
      <c r="Z24" s="15">
        <v>0.21321499999999999</v>
      </c>
      <c r="AA24" s="15">
        <v>0.20818980000000001</v>
      </c>
    </row>
    <row r="25" spans="1:27">
      <c r="A25" s="13" t="s">
        <v>33</v>
      </c>
      <c r="B25" s="15">
        <v>0.41063919999999998</v>
      </c>
      <c r="C25" s="15">
        <v>0.40902319999999998</v>
      </c>
      <c r="D25" s="15">
        <v>0.37269089999999999</v>
      </c>
      <c r="E25" s="15">
        <v>0.33234780000000003</v>
      </c>
      <c r="F25" s="15">
        <v>0.29338829999999999</v>
      </c>
      <c r="G25" s="15">
        <v>0.27937699999999999</v>
      </c>
      <c r="H25" s="15">
        <v>0.24939900000000001</v>
      </c>
      <c r="I25" s="15">
        <v>0.2187019</v>
      </c>
      <c r="J25" s="15">
        <v>0.1918357</v>
      </c>
      <c r="K25" s="15">
        <v>0.1870879</v>
      </c>
      <c r="L25" s="15">
        <v>0.18210689999999999</v>
      </c>
      <c r="M25" s="15">
        <v>0.1699562</v>
      </c>
      <c r="N25" s="15">
        <v>0.1627749</v>
      </c>
      <c r="O25" s="15">
        <v>0.1664523</v>
      </c>
      <c r="P25" s="15">
        <v>0.1752631</v>
      </c>
      <c r="Q25" s="15">
        <v>0.1660816</v>
      </c>
      <c r="R25" s="15">
        <v>0.1738846</v>
      </c>
      <c r="S25" s="15">
        <v>0.1831576</v>
      </c>
      <c r="T25" s="15">
        <v>0.1874566</v>
      </c>
      <c r="U25" s="15">
        <v>0.1860839</v>
      </c>
      <c r="V25" s="15">
        <v>0.1727098</v>
      </c>
      <c r="W25" s="15">
        <v>0.1801287</v>
      </c>
      <c r="X25" s="15">
        <v>0.1703403</v>
      </c>
      <c r="Y25" s="15">
        <v>0.17312169999999999</v>
      </c>
      <c r="Z25" s="15">
        <v>0.16511799999999999</v>
      </c>
      <c r="AA25" s="15">
        <v>0.1640104</v>
      </c>
    </row>
    <row r="26" spans="1:27">
      <c r="A26" s="13" t="s">
        <v>34</v>
      </c>
      <c r="B26" s="15">
        <v>0.81868359999999996</v>
      </c>
      <c r="C26" s="15">
        <v>0.77964979999999995</v>
      </c>
      <c r="D26" s="15">
        <v>0.75413269999999999</v>
      </c>
      <c r="E26" s="15">
        <v>0.73114290000000004</v>
      </c>
      <c r="F26" s="15">
        <v>0.71544730000000001</v>
      </c>
      <c r="G26" s="15">
        <v>0.66090340000000003</v>
      </c>
      <c r="H26" s="15">
        <v>0.60180670000000003</v>
      </c>
      <c r="I26" s="15">
        <v>0.5518421</v>
      </c>
      <c r="J26" s="15">
        <v>0.49698239999999999</v>
      </c>
      <c r="K26" s="15">
        <v>0.4588893</v>
      </c>
      <c r="L26" s="15">
        <v>0.4450597</v>
      </c>
      <c r="M26" s="15">
        <v>0.45031959999999999</v>
      </c>
      <c r="N26" s="15">
        <v>0.47122120000000001</v>
      </c>
      <c r="O26" s="15">
        <v>0.44690429999999998</v>
      </c>
      <c r="P26" s="15">
        <v>0.40372390000000002</v>
      </c>
      <c r="Q26" s="15">
        <v>0.3603266</v>
      </c>
      <c r="R26" s="15">
        <v>0.3377193</v>
      </c>
      <c r="S26" s="15">
        <v>0.33158599999999999</v>
      </c>
      <c r="T26" s="15">
        <v>0.31900089999999998</v>
      </c>
      <c r="U26" s="15">
        <v>0.3300881</v>
      </c>
      <c r="V26" s="15">
        <v>0.34379480000000001</v>
      </c>
      <c r="W26" s="15">
        <v>0.34979199999999999</v>
      </c>
      <c r="X26" s="15">
        <v>0.3287911</v>
      </c>
      <c r="Y26" s="15">
        <v>0.34995199999999999</v>
      </c>
      <c r="Z26" s="15">
        <v>0.36511500000000002</v>
      </c>
      <c r="AA26" s="15">
        <v>0.3596298</v>
      </c>
    </row>
    <row r="27" spans="1:27" ht="30" customHeight="1">
      <c r="A27" s="12" t="s">
        <v>103</v>
      </c>
      <c r="B27" s="15"/>
      <c r="C27" s="15"/>
      <c r="D27" s="15"/>
      <c r="E27" s="15"/>
      <c r="F27" s="15"/>
      <c r="G27" s="15"/>
      <c r="H27" s="15"/>
      <c r="I27" s="15"/>
      <c r="J27" s="15"/>
      <c r="K27" s="15"/>
      <c r="L27" s="15"/>
      <c r="M27" s="15"/>
      <c r="N27" s="15"/>
      <c r="O27" s="15"/>
      <c r="P27" s="15"/>
      <c r="Q27" s="15"/>
      <c r="R27" s="15"/>
      <c r="S27" s="15"/>
      <c r="T27" s="15"/>
      <c r="U27" s="15"/>
      <c r="V27" s="15"/>
      <c r="W27" s="15"/>
      <c r="X27" s="15"/>
      <c r="Y27" s="15"/>
      <c r="Z27" s="15"/>
      <c r="AA27" s="15"/>
    </row>
    <row r="28" spans="1:27">
      <c r="A28" s="13" t="s">
        <v>5</v>
      </c>
      <c r="B28" s="16" t="s">
        <v>6</v>
      </c>
      <c r="C28" s="16" t="s">
        <v>7</v>
      </c>
      <c r="D28" s="16" t="s">
        <v>8</v>
      </c>
      <c r="E28" s="16" t="s">
        <v>9</v>
      </c>
      <c r="F28" s="16" t="s">
        <v>10</v>
      </c>
      <c r="G28" s="16" t="s">
        <v>11</v>
      </c>
      <c r="H28" s="16" t="s">
        <v>12</v>
      </c>
      <c r="I28" s="16" t="s">
        <v>13</v>
      </c>
      <c r="J28" s="16" t="s">
        <v>14</v>
      </c>
      <c r="K28" s="16" t="s">
        <v>15</v>
      </c>
      <c r="L28" s="16" t="s">
        <v>16</v>
      </c>
      <c r="M28" s="16" t="s">
        <v>17</v>
      </c>
      <c r="N28" s="16" t="s">
        <v>18</v>
      </c>
      <c r="O28" s="16" t="s">
        <v>19</v>
      </c>
      <c r="P28" s="16" t="s">
        <v>20</v>
      </c>
      <c r="Q28" s="16" t="s">
        <v>21</v>
      </c>
      <c r="R28" s="16" t="s">
        <v>22</v>
      </c>
      <c r="S28" s="16" t="s">
        <v>23</v>
      </c>
      <c r="T28" s="16" t="s">
        <v>24</v>
      </c>
      <c r="U28" s="16" t="s">
        <v>25</v>
      </c>
      <c r="V28" s="16" t="s">
        <v>26</v>
      </c>
      <c r="W28" s="16" t="s">
        <v>27</v>
      </c>
      <c r="X28" s="16" t="s">
        <v>28</v>
      </c>
      <c r="Y28" s="16" t="s">
        <v>29</v>
      </c>
      <c r="Z28" s="16" t="s">
        <v>30</v>
      </c>
      <c r="AA28" s="16" t="s">
        <v>31</v>
      </c>
    </row>
    <row r="29" spans="1:27">
      <c r="A29" s="13" t="s">
        <v>32</v>
      </c>
      <c r="B29" s="15">
        <v>1</v>
      </c>
      <c r="C29" s="15">
        <v>1</v>
      </c>
      <c r="D29" s="15">
        <v>1</v>
      </c>
      <c r="E29" s="15">
        <v>1</v>
      </c>
      <c r="F29" s="15">
        <v>1</v>
      </c>
      <c r="G29" s="15">
        <v>1</v>
      </c>
      <c r="H29" s="15">
        <v>1</v>
      </c>
      <c r="I29" s="15">
        <v>1</v>
      </c>
      <c r="J29" s="15">
        <v>1</v>
      </c>
      <c r="K29" s="15">
        <v>1</v>
      </c>
      <c r="L29" s="15">
        <v>1</v>
      </c>
      <c r="M29" s="15">
        <v>1</v>
      </c>
      <c r="N29" s="15">
        <v>1</v>
      </c>
      <c r="O29" s="15">
        <v>1</v>
      </c>
      <c r="P29" s="15">
        <v>1</v>
      </c>
      <c r="Q29" s="15">
        <v>1</v>
      </c>
      <c r="R29" s="15">
        <v>1</v>
      </c>
      <c r="S29" s="15">
        <v>1</v>
      </c>
      <c r="T29" s="15">
        <v>1</v>
      </c>
      <c r="U29" s="15">
        <v>1</v>
      </c>
      <c r="V29" s="15">
        <v>1</v>
      </c>
      <c r="W29" s="15">
        <v>1</v>
      </c>
      <c r="X29" s="15">
        <v>1</v>
      </c>
      <c r="Y29" s="15">
        <v>1</v>
      </c>
      <c r="Z29" s="15">
        <v>1</v>
      </c>
      <c r="AA29" s="15">
        <v>1</v>
      </c>
    </row>
    <row r="30" spans="1:27">
      <c r="A30" s="13" t="s">
        <v>33</v>
      </c>
      <c r="B30" s="15">
        <v>0.65804819999999997</v>
      </c>
      <c r="C30" s="15">
        <v>0.64696169999999997</v>
      </c>
      <c r="D30" s="15">
        <v>0.63076949999999998</v>
      </c>
      <c r="E30" s="15">
        <v>0.58735340000000003</v>
      </c>
      <c r="F30" s="15">
        <v>0.56229790000000002</v>
      </c>
      <c r="G30" s="15">
        <v>0.54313929999999999</v>
      </c>
      <c r="H30" s="15">
        <v>0.53998769999999996</v>
      </c>
      <c r="I30" s="15">
        <v>0.51200060000000003</v>
      </c>
      <c r="J30" s="15">
        <v>0.51686969999999999</v>
      </c>
      <c r="K30" s="15">
        <v>0.53996739999999999</v>
      </c>
      <c r="L30" s="15">
        <v>0.54347179999999995</v>
      </c>
      <c r="M30" s="15">
        <v>0.52909720000000005</v>
      </c>
      <c r="N30" s="15">
        <v>0.50396680000000005</v>
      </c>
      <c r="O30" s="15">
        <v>0.52627069999999998</v>
      </c>
      <c r="P30" s="15">
        <v>0.57515110000000003</v>
      </c>
      <c r="Q30" s="15">
        <v>0.57770909999999998</v>
      </c>
      <c r="R30" s="15">
        <v>0.60257159999999999</v>
      </c>
      <c r="S30" s="15">
        <v>0.61543460000000005</v>
      </c>
      <c r="T30" s="15">
        <v>0.64257010000000003</v>
      </c>
      <c r="U30" s="15">
        <v>0.64042220000000005</v>
      </c>
      <c r="V30" s="15">
        <v>0.62282579999999998</v>
      </c>
      <c r="W30" s="15">
        <v>0.63661630000000002</v>
      </c>
      <c r="X30" s="15">
        <v>0.63684059999999998</v>
      </c>
      <c r="Y30" s="15">
        <v>0.61831049999999999</v>
      </c>
      <c r="Z30" s="15">
        <v>0.59049039999999997</v>
      </c>
      <c r="AA30" s="15">
        <v>0.6186007</v>
      </c>
    </row>
    <row r="31" spans="1:27">
      <c r="A31" s="13" t="s">
        <v>34</v>
      </c>
      <c r="B31" s="15">
        <v>0.34195179999999997</v>
      </c>
      <c r="C31" s="15">
        <v>0.35303830000000003</v>
      </c>
      <c r="D31" s="15">
        <v>0.36923050000000002</v>
      </c>
      <c r="E31" s="15">
        <v>0.41264659999999997</v>
      </c>
      <c r="F31" s="15">
        <v>0.43770209999999998</v>
      </c>
      <c r="G31" s="15">
        <v>0.45686070000000001</v>
      </c>
      <c r="H31" s="15">
        <v>0.46001229999999999</v>
      </c>
      <c r="I31" s="15">
        <v>0.48799940000000003</v>
      </c>
      <c r="J31" s="15">
        <v>0.48313030000000001</v>
      </c>
      <c r="K31" s="15">
        <v>0.46003260000000001</v>
      </c>
      <c r="L31" s="15">
        <v>0.4565282</v>
      </c>
      <c r="M31" s="15">
        <v>0.47090280000000001</v>
      </c>
      <c r="N31" s="15">
        <v>0.49603320000000001</v>
      </c>
      <c r="O31" s="15">
        <v>0.47372930000000002</v>
      </c>
      <c r="P31" s="15">
        <v>0.42484889999999997</v>
      </c>
      <c r="Q31" s="15">
        <v>0.42229090000000002</v>
      </c>
      <c r="R31" s="15">
        <v>0.39742840000000001</v>
      </c>
      <c r="S31" s="15">
        <v>0.3845654</v>
      </c>
      <c r="T31" s="15">
        <v>0.35742990000000002</v>
      </c>
      <c r="U31" s="15">
        <v>0.3595778</v>
      </c>
      <c r="V31" s="15">
        <v>0.37717420000000002</v>
      </c>
      <c r="W31" s="15">
        <v>0.36338369999999998</v>
      </c>
      <c r="X31" s="15">
        <v>0.36315940000000002</v>
      </c>
      <c r="Y31" s="15">
        <v>0.38168950000000001</v>
      </c>
      <c r="Z31" s="15">
        <v>0.40950959999999997</v>
      </c>
      <c r="AA31" s="15">
        <v>0.3813993</v>
      </c>
    </row>
    <row r="32" spans="1:27" ht="30" customHeight="1">
      <c r="A32" s="12" t="s">
        <v>104</v>
      </c>
      <c r="B32" s="15"/>
      <c r="C32" s="15"/>
      <c r="D32" s="15"/>
      <c r="E32" s="15"/>
      <c r="F32" s="15"/>
      <c r="G32" s="15"/>
      <c r="H32" s="15"/>
      <c r="I32" s="15"/>
      <c r="J32" s="15"/>
      <c r="K32" s="15"/>
      <c r="L32" s="15"/>
      <c r="M32" s="15"/>
      <c r="N32" s="15"/>
      <c r="O32" s="15"/>
      <c r="P32" s="15"/>
      <c r="Q32" s="15"/>
      <c r="R32" s="15"/>
      <c r="S32" s="15"/>
      <c r="T32" s="15"/>
      <c r="U32" s="15"/>
      <c r="V32" s="15"/>
      <c r="W32" s="15"/>
      <c r="X32" s="15"/>
      <c r="Y32" s="15"/>
      <c r="Z32" s="15"/>
      <c r="AA32" s="15"/>
    </row>
    <row r="33" spans="1:27">
      <c r="A33" s="13" t="s">
        <v>5</v>
      </c>
      <c r="B33" s="16" t="s">
        <v>6</v>
      </c>
      <c r="C33" s="16" t="s">
        <v>7</v>
      </c>
      <c r="D33" s="16" t="s">
        <v>8</v>
      </c>
      <c r="E33" s="16" t="s">
        <v>9</v>
      </c>
      <c r="F33" s="16" t="s">
        <v>10</v>
      </c>
      <c r="G33" s="16" t="s">
        <v>11</v>
      </c>
      <c r="H33" s="16" t="s">
        <v>12</v>
      </c>
      <c r="I33" s="16" t="s">
        <v>13</v>
      </c>
      <c r="J33" s="16" t="s">
        <v>14</v>
      </c>
      <c r="K33" s="16" t="s">
        <v>15</v>
      </c>
      <c r="L33" s="16" t="s">
        <v>16</v>
      </c>
      <c r="M33" s="16" t="s">
        <v>17</v>
      </c>
      <c r="N33" s="16" t="s">
        <v>18</v>
      </c>
      <c r="O33" s="16" t="s">
        <v>19</v>
      </c>
      <c r="P33" s="16" t="s">
        <v>20</v>
      </c>
      <c r="Q33" s="16" t="s">
        <v>21</v>
      </c>
      <c r="R33" s="16" t="s">
        <v>22</v>
      </c>
      <c r="S33" s="16" t="s">
        <v>23</v>
      </c>
      <c r="T33" s="16" t="s">
        <v>24</v>
      </c>
      <c r="U33" s="16" t="s">
        <v>25</v>
      </c>
      <c r="V33" s="16" t="s">
        <v>26</v>
      </c>
      <c r="W33" s="16" t="s">
        <v>27</v>
      </c>
      <c r="X33" s="16" t="s">
        <v>28</v>
      </c>
      <c r="Y33" s="16" t="s">
        <v>29</v>
      </c>
      <c r="Z33" s="16" t="s">
        <v>30</v>
      </c>
      <c r="AA33" s="16" t="s">
        <v>31</v>
      </c>
    </row>
    <row r="34" spans="1:27">
      <c r="A34" s="13" t="s">
        <v>32</v>
      </c>
      <c r="B34" s="17">
        <v>550000</v>
      </c>
      <c r="C34" s="17">
        <v>540000</v>
      </c>
      <c r="D34" s="17">
        <v>500000</v>
      </c>
      <c r="E34" s="17">
        <v>460000</v>
      </c>
      <c r="F34" s="17">
        <v>420000</v>
      </c>
      <c r="G34" s="17">
        <v>400000</v>
      </c>
      <c r="H34" s="17">
        <v>360000</v>
      </c>
      <c r="I34" s="17">
        <v>320000</v>
      </c>
      <c r="J34" s="17">
        <v>280000</v>
      </c>
      <c r="K34" s="17">
        <v>260000</v>
      </c>
      <c r="L34" s="17">
        <v>250000</v>
      </c>
      <c r="M34" s="17">
        <v>240000</v>
      </c>
      <c r="N34" s="17">
        <v>240000</v>
      </c>
      <c r="O34" s="17">
        <v>240000</v>
      </c>
      <c r="P34" s="17">
        <v>230000</v>
      </c>
      <c r="Q34" s="17">
        <v>210000</v>
      </c>
      <c r="R34" s="17">
        <v>210000</v>
      </c>
      <c r="S34" s="17">
        <v>220000</v>
      </c>
      <c r="T34" s="17">
        <v>220000</v>
      </c>
      <c r="U34" s="17">
        <v>220000</v>
      </c>
      <c r="V34" s="17">
        <v>210000</v>
      </c>
      <c r="W34" s="17">
        <v>220000</v>
      </c>
      <c r="X34" s="17">
        <v>200000</v>
      </c>
      <c r="Y34" s="17">
        <v>210000</v>
      </c>
      <c r="Z34" s="17">
        <v>210000</v>
      </c>
      <c r="AA34" s="17">
        <v>210000</v>
      </c>
    </row>
    <row r="35" spans="1:27">
      <c r="A35" s="13" t="s">
        <v>33</v>
      </c>
      <c r="B35" s="17">
        <v>360000</v>
      </c>
      <c r="C35" s="17">
        <v>350000</v>
      </c>
      <c r="D35" s="17">
        <v>320000</v>
      </c>
      <c r="E35" s="17">
        <v>270000</v>
      </c>
      <c r="F35" s="17">
        <v>240000</v>
      </c>
      <c r="G35" s="17">
        <v>220000</v>
      </c>
      <c r="H35" s="17">
        <v>190000</v>
      </c>
      <c r="I35" s="17">
        <v>160000</v>
      </c>
      <c r="J35" s="17">
        <v>140000</v>
      </c>
      <c r="K35" s="17">
        <v>140000</v>
      </c>
      <c r="L35" s="17">
        <v>140000</v>
      </c>
      <c r="M35" s="17">
        <v>130000</v>
      </c>
      <c r="N35" s="17">
        <v>120000</v>
      </c>
      <c r="O35" s="17">
        <v>120000</v>
      </c>
      <c r="P35" s="17">
        <v>130000</v>
      </c>
      <c r="Q35" s="17">
        <v>120000</v>
      </c>
      <c r="R35" s="17">
        <v>130000</v>
      </c>
      <c r="S35" s="17">
        <v>140000</v>
      </c>
      <c r="T35" s="17">
        <v>140000</v>
      </c>
      <c r="U35" s="17">
        <v>140000</v>
      </c>
      <c r="V35" s="17">
        <v>130000</v>
      </c>
      <c r="W35" s="17">
        <v>140000</v>
      </c>
      <c r="X35" s="17">
        <v>130000</v>
      </c>
      <c r="Y35" s="17">
        <v>130000</v>
      </c>
      <c r="Z35" s="17">
        <v>120000</v>
      </c>
      <c r="AA35" s="17" t="s">
        <v>35</v>
      </c>
    </row>
    <row r="36" spans="1:27">
      <c r="A36" s="13" t="s">
        <v>34</v>
      </c>
      <c r="B36" s="17">
        <v>190000</v>
      </c>
      <c r="C36" s="17">
        <v>190000</v>
      </c>
      <c r="D36" s="17">
        <v>180000</v>
      </c>
      <c r="E36" s="17">
        <v>190000</v>
      </c>
      <c r="F36" s="17">
        <v>190000</v>
      </c>
      <c r="G36" s="17">
        <v>180000</v>
      </c>
      <c r="H36" s="17">
        <v>170000</v>
      </c>
      <c r="I36" s="17">
        <v>160000</v>
      </c>
      <c r="J36" s="17">
        <v>130000</v>
      </c>
      <c r="K36" s="17">
        <v>120000</v>
      </c>
      <c r="L36" s="17">
        <v>110000</v>
      </c>
      <c r="M36" s="17">
        <v>110000</v>
      </c>
      <c r="N36" s="17">
        <v>120000</v>
      </c>
      <c r="O36" s="17">
        <v>110000</v>
      </c>
      <c r="P36" s="17">
        <v>100000</v>
      </c>
      <c r="Q36" s="17">
        <v>90000</v>
      </c>
      <c r="R36" s="17">
        <v>90000</v>
      </c>
      <c r="S36" s="17">
        <v>80000</v>
      </c>
      <c r="T36" s="17">
        <v>80000</v>
      </c>
      <c r="U36" s="17">
        <v>80000</v>
      </c>
      <c r="V36" s="17">
        <v>80000</v>
      </c>
      <c r="W36" s="17">
        <v>80000</v>
      </c>
      <c r="X36" s="17">
        <v>70000</v>
      </c>
      <c r="Y36" s="17">
        <v>80000</v>
      </c>
      <c r="Z36" s="17">
        <v>90000</v>
      </c>
      <c r="AA36" s="17" t="s">
        <v>35</v>
      </c>
    </row>
    <row r="37" spans="1:27" ht="30" customHeight="1">
      <c r="A37" s="12" t="s">
        <v>105</v>
      </c>
      <c r="B37" s="17"/>
      <c r="C37" s="17"/>
      <c r="D37" s="17"/>
      <c r="E37" s="17"/>
      <c r="F37" s="17"/>
      <c r="G37" s="17"/>
      <c r="H37" s="17"/>
      <c r="I37" s="17"/>
      <c r="J37" s="17"/>
      <c r="K37" s="17"/>
      <c r="L37" s="17"/>
      <c r="M37" s="17"/>
      <c r="N37" s="17"/>
      <c r="O37" s="17"/>
      <c r="P37" s="17"/>
      <c r="Q37" s="17"/>
      <c r="R37" s="17"/>
      <c r="S37" s="17"/>
      <c r="T37" s="17"/>
      <c r="U37" s="17"/>
      <c r="V37" s="17"/>
      <c r="W37" s="17"/>
      <c r="X37" s="17"/>
      <c r="Y37" s="17"/>
      <c r="Z37" s="17"/>
      <c r="AA37" s="17"/>
    </row>
    <row r="38" spans="1:27">
      <c r="A38" s="13" t="s">
        <v>5</v>
      </c>
      <c r="B38" s="18" t="s">
        <v>6</v>
      </c>
      <c r="C38" s="18" t="s">
        <v>7</v>
      </c>
      <c r="D38" s="18" t="s">
        <v>8</v>
      </c>
      <c r="E38" s="18" t="s">
        <v>9</v>
      </c>
      <c r="F38" s="18" t="s">
        <v>10</v>
      </c>
      <c r="G38" s="18" t="s">
        <v>11</v>
      </c>
      <c r="H38" s="18" t="s">
        <v>12</v>
      </c>
      <c r="I38" s="18" t="s">
        <v>13</v>
      </c>
      <c r="J38" s="18" t="s">
        <v>14</v>
      </c>
      <c r="K38" s="18" t="s">
        <v>15</v>
      </c>
      <c r="L38" s="18" t="s">
        <v>16</v>
      </c>
      <c r="M38" s="18" t="s">
        <v>17</v>
      </c>
      <c r="N38" s="18" t="s">
        <v>18</v>
      </c>
      <c r="O38" s="18" t="s">
        <v>19</v>
      </c>
      <c r="P38" s="18" t="s">
        <v>20</v>
      </c>
      <c r="Q38" s="18" t="s">
        <v>21</v>
      </c>
      <c r="R38" s="18" t="s">
        <v>22</v>
      </c>
      <c r="S38" s="18" t="s">
        <v>23</v>
      </c>
      <c r="T38" s="18" t="s">
        <v>24</v>
      </c>
      <c r="U38" s="18" t="s">
        <v>25</v>
      </c>
      <c r="V38" s="18" t="s">
        <v>26</v>
      </c>
      <c r="W38" s="18" t="s">
        <v>27</v>
      </c>
      <c r="X38" s="18" t="s">
        <v>28</v>
      </c>
      <c r="Y38" s="18" t="s">
        <v>29</v>
      </c>
      <c r="Z38" s="18" t="s">
        <v>30</v>
      </c>
      <c r="AA38" s="18" t="s">
        <v>31</v>
      </c>
    </row>
    <row r="39" spans="1:27">
      <c r="A39" s="13" t="s">
        <v>32</v>
      </c>
      <c r="B39" s="15" t="s">
        <v>99</v>
      </c>
      <c r="C39" s="15" t="s">
        <v>99</v>
      </c>
      <c r="D39" s="15" t="s">
        <v>99</v>
      </c>
      <c r="E39" s="15" t="s">
        <v>99</v>
      </c>
      <c r="F39" s="15" t="s">
        <v>99</v>
      </c>
      <c r="G39" s="15" t="s">
        <v>99</v>
      </c>
      <c r="H39" s="15" t="s">
        <v>99</v>
      </c>
      <c r="I39" s="15" t="s">
        <v>99</v>
      </c>
      <c r="J39" s="15" t="s">
        <v>99</v>
      </c>
      <c r="K39" s="15" t="s">
        <v>99</v>
      </c>
      <c r="L39" s="15">
        <v>0.15674099999999999</v>
      </c>
      <c r="M39" s="15">
        <v>0.15043819999999999</v>
      </c>
      <c r="N39" s="15">
        <v>0.16121170000000001</v>
      </c>
      <c r="O39" s="15">
        <v>0.16044269999999999</v>
      </c>
      <c r="P39" s="15">
        <v>0.15772449999999999</v>
      </c>
      <c r="Q39" s="15" t="s">
        <v>98</v>
      </c>
      <c r="R39" s="15">
        <v>0.1183056</v>
      </c>
      <c r="S39" s="15">
        <v>0.12175800000000001</v>
      </c>
      <c r="T39" s="15">
        <v>0.12656249999999999</v>
      </c>
      <c r="U39" s="15">
        <v>0.12551419999999999</v>
      </c>
      <c r="V39" s="15">
        <v>0.1152852</v>
      </c>
      <c r="W39" s="15">
        <v>0.1210937</v>
      </c>
      <c r="X39" s="15">
        <v>0.12252349999999999</v>
      </c>
      <c r="Y39" s="15">
        <v>0.12522369999999999</v>
      </c>
      <c r="Z39" s="15">
        <v>0.1194209</v>
      </c>
      <c r="AA39" s="15">
        <v>0.105203</v>
      </c>
    </row>
    <row r="40" spans="1:27">
      <c r="A40" s="13" t="s">
        <v>33</v>
      </c>
      <c r="B40" s="15" t="s">
        <v>99</v>
      </c>
      <c r="C40" s="15" t="s">
        <v>99</v>
      </c>
      <c r="D40" s="15" t="s">
        <v>99</v>
      </c>
      <c r="E40" s="15" t="s">
        <v>99</v>
      </c>
      <c r="F40" s="15" t="s">
        <v>99</v>
      </c>
      <c r="G40" s="15" t="s">
        <v>99</v>
      </c>
      <c r="H40" s="15" t="s">
        <v>99</v>
      </c>
      <c r="I40" s="15" t="s">
        <v>99</v>
      </c>
      <c r="J40" s="15" t="s">
        <v>99</v>
      </c>
      <c r="K40" s="15" t="s">
        <v>99</v>
      </c>
      <c r="L40" s="15">
        <v>8.5379200000000002E-2</v>
      </c>
      <c r="M40" s="15">
        <v>8.5007799999999994E-2</v>
      </c>
      <c r="N40" s="15">
        <v>9.3046199999999996E-2</v>
      </c>
      <c r="O40" s="15">
        <v>9.5187400000000005E-2</v>
      </c>
      <c r="P40" s="15">
        <v>9.4953099999999999E-2</v>
      </c>
      <c r="Q40" s="15" t="s">
        <v>98</v>
      </c>
      <c r="R40" s="15">
        <v>6.7245399999999997E-2</v>
      </c>
      <c r="S40" s="15">
        <v>7.3141700000000004E-2</v>
      </c>
      <c r="T40" s="15">
        <v>7.7173800000000001E-2</v>
      </c>
      <c r="U40" s="15">
        <v>7.4272000000000005E-2</v>
      </c>
      <c r="V40" s="15">
        <v>6.3616500000000006E-2</v>
      </c>
      <c r="W40" s="15">
        <v>7.6235300000000006E-2</v>
      </c>
      <c r="X40" s="15">
        <v>8.1359399999999998E-2</v>
      </c>
      <c r="Y40" s="15">
        <v>8.4619100000000003E-2</v>
      </c>
      <c r="Z40" s="15">
        <v>7.5500700000000004E-2</v>
      </c>
      <c r="AA40" s="15">
        <v>6.9892099999999999E-2</v>
      </c>
    </row>
    <row r="41" spans="1:27">
      <c r="A41" s="13" t="s">
        <v>34</v>
      </c>
      <c r="B41" s="15" t="s">
        <v>99</v>
      </c>
      <c r="C41" s="15" t="s">
        <v>99</v>
      </c>
      <c r="D41" s="15" t="s">
        <v>99</v>
      </c>
      <c r="E41" s="15" t="s">
        <v>99</v>
      </c>
      <c r="F41" s="15" t="s">
        <v>99</v>
      </c>
      <c r="G41" s="15" t="s">
        <v>99</v>
      </c>
      <c r="H41" s="15" t="s">
        <v>99</v>
      </c>
      <c r="I41" s="15" t="s">
        <v>99</v>
      </c>
      <c r="J41" s="15" t="s">
        <v>99</v>
      </c>
      <c r="K41" s="15" t="s">
        <v>99</v>
      </c>
      <c r="L41" s="15">
        <v>0.3635737</v>
      </c>
      <c r="M41" s="15">
        <v>0.34638970000000002</v>
      </c>
      <c r="N41" s="15">
        <v>0.36224250000000002</v>
      </c>
      <c r="O41" s="15">
        <v>0.35588399999999998</v>
      </c>
      <c r="P41" s="15">
        <v>0.3512306</v>
      </c>
      <c r="Q41" s="15" t="s">
        <v>98</v>
      </c>
      <c r="R41" s="15">
        <v>0.26996969999999998</v>
      </c>
      <c r="S41" s="15">
        <v>0.26375910000000002</v>
      </c>
      <c r="T41" s="15">
        <v>0.27800350000000001</v>
      </c>
      <c r="U41" s="15">
        <v>0.287302</v>
      </c>
      <c r="V41" s="15">
        <v>0.28445399999999998</v>
      </c>
      <c r="W41" s="15">
        <v>0.2733854</v>
      </c>
      <c r="X41" s="15">
        <v>0.2623183</v>
      </c>
      <c r="Y41" s="15">
        <v>0.25759910000000003</v>
      </c>
      <c r="Z41" s="15">
        <v>0.25864530000000002</v>
      </c>
      <c r="AA41" s="15">
        <v>0.22736190000000001</v>
      </c>
    </row>
    <row r="42" spans="1:27" ht="30" customHeight="1">
      <c r="A42" s="12" t="s">
        <v>106</v>
      </c>
      <c r="B42" s="15"/>
      <c r="C42" s="15"/>
      <c r="D42" s="15"/>
      <c r="E42" s="15"/>
      <c r="F42" s="15"/>
      <c r="G42" s="15"/>
      <c r="H42" s="15"/>
      <c r="I42" s="15"/>
      <c r="J42" s="15"/>
      <c r="K42" s="15"/>
      <c r="L42" s="15"/>
      <c r="M42" s="15"/>
      <c r="N42" s="15"/>
      <c r="O42" s="15"/>
      <c r="P42" s="15"/>
      <c r="Q42" s="15"/>
      <c r="R42" s="15"/>
      <c r="S42" s="15"/>
      <c r="T42" s="15"/>
      <c r="U42" s="15"/>
      <c r="V42" s="15"/>
      <c r="W42" s="15"/>
      <c r="X42" s="15"/>
      <c r="Y42" s="15"/>
      <c r="Z42" s="15"/>
      <c r="AA42" s="15"/>
    </row>
    <row r="43" spans="1:27">
      <c r="A43" s="13" t="s">
        <v>5</v>
      </c>
      <c r="B43" s="16" t="s">
        <v>6</v>
      </c>
      <c r="C43" s="16" t="s">
        <v>7</v>
      </c>
      <c r="D43" s="16" t="s">
        <v>8</v>
      </c>
      <c r="E43" s="16" t="s">
        <v>9</v>
      </c>
      <c r="F43" s="16" t="s">
        <v>10</v>
      </c>
      <c r="G43" s="16" t="s">
        <v>11</v>
      </c>
      <c r="H43" s="16" t="s">
        <v>12</v>
      </c>
      <c r="I43" s="16" t="s">
        <v>13</v>
      </c>
      <c r="J43" s="16" t="s">
        <v>14</v>
      </c>
      <c r="K43" s="16" t="s">
        <v>15</v>
      </c>
      <c r="L43" s="16" t="s">
        <v>16</v>
      </c>
      <c r="M43" s="16" t="s">
        <v>17</v>
      </c>
      <c r="N43" s="16" t="s">
        <v>18</v>
      </c>
      <c r="O43" s="16" t="s">
        <v>19</v>
      </c>
      <c r="P43" s="16" t="s">
        <v>20</v>
      </c>
      <c r="Q43" s="16" t="s">
        <v>21</v>
      </c>
      <c r="R43" s="16" t="s">
        <v>22</v>
      </c>
      <c r="S43" s="16" t="s">
        <v>23</v>
      </c>
      <c r="T43" s="16" t="s">
        <v>24</v>
      </c>
      <c r="U43" s="16" t="s">
        <v>25</v>
      </c>
      <c r="V43" s="16" t="s">
        <v>26</v>
      </c>
      <c r="W43" s="16" t="s">
        <v>27</v>
      </c>
      <c r="X43" s="16" t="s">
        <v>28</v>
      </c>
      <c r="Y43" s="16" t="s">
        <v>29</v>
      </c>
      <c r="Z43" s="16" t="s">
        <v>30</v>
      </c>
      <c r="AA43" s="16" t="s">
        <v>31</v>
      </c>
    </row>
    <row r="44" spans="1:27">
      <c r="A44" s="13" t="s">
        <v>32</v>
      </c>
      <c r="B44" s="15" t="s">
        <v>99</v>
      </c>
      <c r="C44" s="15" t="s">
        <v>99</v>
      </c>
      <c r="D44" s="15" t="s">
        <v>99</v>
      </c>
      <c r="E44" s="15" t="s">
        <v>99</v>
      </c>
      <c r="F44" s="15" t="s">
        <v>99</v>
      </c>
      <c r="G44" s="15" t="s">
        <v>99</v>
      </c>
      <c r="H44" s="15" t="s">
        <v>99</v>
      </c>
      <c r="I44" s="15" t="s">
        <v>99</v>
      </c>
      <c r="J44" s="15" t="s">
        <v>99</v>
      </c>
      <c r="K44" s="15" t="s">
        <v>99</v>
      </c>
      <c r="L44" s="15">
        <v>1</v>
      </c>
      <c r="M44" s="15">
        <v>1</v>
      </c>
      <c r="N44" s="15">
        <v>1</v>
      </c>
      <c r="O44" s="15">
        <v>1</v>
      </c>
      <c r="P44" s="15">
        <v>1</v>
      </c>
      <c r="Q44" s="15" t="s">
        <v>99</v>
      </c>
      <c r="R44" s="15">
        <v>1</v>
      </c>
      <c r="S44" s="15">
        <v>1</v>
      </c>
      <c r="T44" s="15">
        <v>1</v>
      </c>
      <c r="U44" s="15">
        <v>1</v>
      </c>
      <c r="V44" s="15">
        <v>1</v>
      </c>
      <c r="W44" s="15">
        <v>1</v>
      </c>
      <c r="X44" s="15">
        <v>1</v>
      </c>
      <c r="Y44" s="15">
        <v>1</v>
      </c>
      <c r="Z44" s="15">
        <v>1</v>
      </c>
      <c r="AA44" s="15">
        <v>1</v>
      </c>
    </row>
    <row r="45" spans="1:27">
      <c r="A45" s="13" t="s">
        <v>33</v>
      </c>
      <c r="B45" s="15" t="s">
        <v>99</v>
      </c>
      <c r="C45" s="15" t="s">
        <v>99</v>
      </c>
      <c r="D45" s="15" t="s">
        <v>99</v>
      </c>
      <c r="E45" s="15" t="s">
        <v>99</v>
      </c>
      <c r="F45" s="15" t="s">
        <v>99</v>
      </c>
      <c r="G45" s="15" t="s">
        <v>99</v>
      </c>
      <c r="H45" s="15" t="s">
        <v>99</v>
      </c>
      <c r="I45" s="15" t="s">
        <v>99</v>
      </c>
      <c r="J45" s="15" t="s">
        <v>99</v>
      </c>
      <c r="K45" s="15" t="s">
        <v>99</v>
      </c>
      <c r="L45" s="15">
        <v>0.406609</v>
      </c>
      <c r="M45" s="15">
        <v>0.42417850000000001</v>
      </c>
      <c r="N45" s="15">
        <v>0.43125150000000001</v>
      </c>
      <c r="O45" s="15">
        <v>0.44464090000000001</v>
      </c>
      <c r="P45" s="15">
        <v>0.45539160000000001</v>
      </c>
      <c r="Q45" s="15" t="s">
        <v>99</v>
      </c>
      <c r="R45" s="15">
        <v>0.4226106</v>
      </c>
      <c r="S45" s="15">
        <v>0.4414476</v>
      </c>
      <c r="T45" s="15">
        <v>0.45612530000000001</v>
      </c>
      <c r="U45" s="15">
        <v>0.44394119999999998</v>
      </c>
      <c r="V45" s="15">
        <v>0.42338150000000002</v>
      </c>
      <c r="W45" s="15">
        <v>0.48085729999999999</v>
      </c>
      <c r="X45" s="15">
        <v>0.50851049999999998</v>
      </c>
      <c r="Y45" s="15">
        <v>0.51521519999999998</v>
      </c>
      <c r="Z45" s="15">
        <v>0.48061680000000001</v>
      </c>
      <c r="AA45" s="15">
        <v>0.52309090000000003</v>
      </c>
    </row>
    <row r="46" spans="1:27">
      <c r="A46" s="13" t="s">
        <v>34</v>
      </c>
      <c r="B46" s="15" t="s">
        <v>99</v>
      </c>
      <c r="C46" s="15" t="s">
        <v>99</v>
      </c>
      <c r="D46" s="15" t="s">
        <v>99</v>
      </c>
      <c r="E46" s="15" t="s">
        <v>99</v>
      </c>
      <c r="F46" s="15" t="s">
        <v>99</v>
      </c>
      <c r="G46" s="15" t="s">
        <v>99</v>
      </c>
      <c r="H46" s="15" t="s">
        <v>99</v>
      </c>
      <c r="I46" s="15" t="s">
        <v>99</v>
      </c>
      <c r="J46" s="15" t="s">
        <v>99</v>
      </c>
      <c r="K46" s="15" t="s">
        <v>99</v>
      </c>
      <c r="L46" s="15">
        <v>0.593391</v>
      </c>
      <c r="M46" s="15">
        <v>0.57582149999999999</v>
      </c>
      <c r="N46" s="15">
        <v>0.56874849999999999</v>
      </c>
      <c r="O46" s="15">
        <v>0.55535909999999999</v>
      </c>
      <c r="P46" s="15">
        <v>0.54460839999999999</v>
      </c>
      <c r="Q46" s="15" t="s">
        <v>99</v>
      </c>
      <c r="R46" s="15">
        <v>0.57738940000000005</v>
      </c>
      <c r="S46" s="15">
        <v>0.55855239999999995</v>
      </c>
      <c r="T46" s="15">
        <v>0.54387470000000004</v>
      </c>
      <c r="U46" s="15">
        <v>0.55605879999999996</v>
      </c>
      <c r="V46" s="15">
        <v>0.57661850000000003</v>
      </c>
      <c r="W46" s="15">
        <v>0.51914269999999996</v>
      </c>
      <c r="X46" s="15">
        <v>0.49148950000000002</v>
      </c>
      <c r="Y46" s="15">
        <v>0.48478480000000002</v>
      </c>
      <c r="Z46" s="15">
        <v>0.51938320000000004</v>
      </c>
      <c r="AA46" s="15">
        <v>0.47690909999999997</v>
      </c>
    </row>
    <row r="47" spans="1:27" ht="30" customHeight="1">
      <c r="A47" s="12" t="s">
        <v>107</v>
      </c>
      <c r="B47" s="15"/>
      <c r="C47" s="15"/>
      <c r="D47" s="15"/>
      <c r="E47" s="15"/>
      <c r="F47" s="15"/>
      <c r="G47" s="15"/>
      <c r="H47" s="15"/>
      <c r="I47" s="15"/>
      <c r="J47" s="15"/>
      <c r="K47" s="15"/>
      <c r="L47" s="15"/>
      <c r="M47" s="15"/>
      <c r="N47" s="15"/>
      <c r="O47" s="15"/>
      <c r="P47" s="15"/>
      <c r="Q47" s="15"/>
      <c r="R47" s="15"/>
      <c r="S47" s="15"/>
      <c r="T47" s="15"/>
      <c r="U47" s="15"/>
      <c r="V47" s="15"/>
      <c r="W47" s="15"/>
      <c r="X47" s="15"/>
      <c r="Y47" s="15"/>
      <c r="Z47" s="15"/>
      <c r="AA47" s="15"/>
    </row>
    <row r="48" spans="1:27">
      <c r="A48" s="13" t="s">
        <v>5</v>
      </c>
      <c r="B48" s="16" t="s">
        <v>6</v>
      </c>
      <c r="C48" s="16" t="s">
        <v>7</v>
      </c>
      <c r="D48" s="16" t="s">
        <v>8</v>
      </c>
      <c r="E48" s="16" t="s">
        <v>9</v>
      </c>
      <c r="F48" s="16" t="s">
        <v>10</v>
      </c>
      <c r="G48" s="16" t="s">
        <v>11</v>
      </c>
      <c r="H48" s="16" t="s">
        <v>12</v>
      </c>
      <c r="I48" s="16" t="s">
        <v>13</v>
      </c>
      <c r="J48" s="16" t="s">
        <v>14</v>
      </c>
      <c r="K48" s="16" t="s">
        <v>15</v>
      </c>
      <c r="L48" s="16" t="s">
        <v>16</v>
      </c>
      <c r="M48" s="16" t="s">
        <v>17</v>
      </c>
      <c r="N48" s="16" t="s">
        <v>18</v>
      </c>
      <c r="O48" s="16" t="s">
        <v>19</v>
      </c>
      <c r="P48" s="16" t="s">
        <v>20</v>
      </c>
      <c r="Q48" s="16" t="s">
        <v>21</v>
      </c>
      <c r="R48" s="16" t="s">
        <v>22</v>
      </c>
      <c r="S48" s="16" t="s">
        <v>23</v>
      </c>
      <c r="T48" s="16" t="s">
        <v>24</v>
      </c>
      <c r="U48" s="16" t="s">
        <v>25</v>
      </c>
      <c r="V48" s="16" t="s">
        <v>26</v>
      </c>
      <c r="W48" s="16" t="s">
        <v>27</v>
      </c>
      <c r="X48" s="16" t="s">
        <v>28</v>
      </c>
      <c r="Y48" s="16" t="s">
        <v>29</v>
      </c>
      <c r="Z48" s="16" t="s">
        <v>30</v>
      </c>
      <c r="AA48" s="16" t="s">
        <v>31</v>
      </c>
    </row>
    <row r="49" spans="1:27">
      <c r="A49" s="13" t="s">
        <v>32</v>
      </c>
      <c r="B49" s="17" t="s">
        <v>99</v>
      </c>
      <c r="C49" s="17" t="s">
        <v>99</v>
      </c>
      <c r="D49" s="17" t="s">
        <v>99</v>
      </c>
      <c r="E49" s="17" t="s">
        <v>99</v>
      </c>
      <c r="F49" s="17" t="s">
        <v>99</v>
      </c>
      <c r="G49" s="17" t="s">
        <v>99</v>
      </c>
      <c r="H49" s="17" t="s">
        <v>99</v>
      </c>
      <c r="I49" s="17" t="s">
        <v>99</v>
      </c>
      <c r="J49" s="17" t="s">
        <v>99</v>
      </c>
      <c r="K49" s="17" t="s">
        <v>99</v>
      </c>
      <c r="L49" s="17">
        <v>160000</v>
      </c>
      <c r="M49" s="17">
        <v>150000</v>
      </c>
      <c r="N49" s="17">
        <v>160000</v>
      </c>
      <c r="O49" s="17">
        <v>160000</v>
      </c>
      <c r="P49" s="17">
        <v>160000</v>
      </c>
      <c r="Q49" s="17" t="s">
        <v>98</v>
      </c>
      <c r="R49" s="17">
        <v>120000</v>
      </c>
      <c r="S49" s="17">
        <v>120000</v>
      </c>
      <c r="T49" s="17">
        <v>130000</v>
      </c>
      <c r="U49" s="17">
        <v>120000</v>
      </c>
      <c r="V49" s="17">
        <v>110000</v>
      </c>
      <c r="W49" s="17">
        <v>120000</v>
      </c>
      <c r="X49" s="17">
        <v>120000</v>
      </c>
      <c r="Y49" s="17">
        <v>120000</v>
      </c>
      <c r="Z49" s="17">
        <v>120000</v>
      </c>
      <c r="AA49" s="17" t="s">
        <v>35</v>
      </c>
    </row>
    <row r="50" spans="1:27">
      <c r="A50" s="13" t="s">
        <v>33</v>
      </c>
      <c r="B50" s="17" t="s">
        <v>99</v>
      </c>
      <c r="C50" s="17" t="s">
        <v>99</v>
      </c>
      <c r="D50" s="17" t="s">
        <v>99</v>
      </c>
      <c r="E50" s="17" t="s">
        <v>99</v>
      </c>
      <c r="F50" s="17" t="s">
        <v>99</v>
      </c>
      <c r="G50" s="17" t="s">
        <v>99</v>
      </c>
      <c r="H50" s="17" t="s">
        <v>99</v>
      </c>
      <c r="I50" s="17" t="s">
        <v>99</v>
      </c>
      <c r="J50" s="17" t="s">
        <v>99</v>
      </c>
      <c r="K50" s="17" t="s">
        <v>99</v>
      </c>
      <c r="L50" s="17">
        <v>60000</v>
      </c>
      <c r="M50" s="17">
        <v>60000</v>
      </c>
      <c r="N50" s="17">
        <v>70000</v>
      </c>
      <c r="O50" s="17">
        <v>70000</v>
      </c>
      <c r="P50" s="17">
        <v>70000</v>
      </c>
      <c r="Q50" s="17" t="s">
        <v>98</v>
      </c>
      <c r="R50" s="17">
        <v>50000</v>
      </c>
      <c r="S50" s="17">
        <v>50000</v>
      </c>
      <c r="T50" s="17">
        <v>60000</v>
      </c>
      <c r="U50" s="17" t="s">
        <v>35</v>
      </c>
      <c r="V50" s="17" t="s">
        <v>35</v>
      </c>
      <c r="W50" s="17" t="s">
        <v>35</v>
      </c>
      <c r="X50" s="17" t="s">
        <v>35</v>
      </c>
      <c r="Y50" s="17" t="s">
        <v>35</v>
      </c>
      <c r="Z50" s="17" t="s">
        <v>35</v>
      </c>
      <c r="AA50" s="17" t="s">
        <v>35</v>
      </c>
    </row>
    <row r="51" spans="1:27">
      <c r="A51" s="13" t="s">
        <v>34</v>
      </c>
      <c r="B51" s="17" t="s">
        <v>99</v>
      </c>
      <c r="C51" s="17" t="s">
        <v>99</v>
      </c>
      <c r="D51" s="17" t="s">
        <v>99</v>
      </c>
      <c r="E51" s="17" t="s">
        <v>99</v>
      </c>
      <c r="F51" s="17" t="s">
        <v>99</v>
      </c>
      <c r="G51" s="17" t="s">
        <v>99</v>
      </c>
      <c r="H51" s="17" t="s">
        <v>99</v>
      </c>
      <c r="I51" s="17" t="s">
        <v>99</v>
      </c>
      <c r="J51" s="17" t="s">
        <v>99</v>
      </c>
      <c r="K51" s="17" t="s">
        <v>99</v>
      </c>
      <c r="L51" s="17">
        <v>90000</v>
      </c>
      <c r="M51" s="17">
        <v>90000</v>
      </c>
      <c r="N51" s="17">
        <v>90000</v>
      </c>
      <c r="O51" s="17">
        <v>90000</v>
      </c>
      <c r="P51" s="17">
        <v>90000</v>
      </c>
      <c r="Q51" s="17" t="s">
        <v>98</v>
      </c>
      <c r="R51" s="17">
        <v>70000</v>
      </c>
      <c r="S51" s="17">
        <v>70000</v>
      </c>
      <c r="T51" s="17">
        <v>70000</v>
      </c>
      <c r="U51" s="17">
        <v>70000</v>
      </c>
      <c r="V51" s="17">
        <v>70000</v>
      </c>
      <c r="W51" s="17">
        <v>60000</v>
      </c>
      <c r="X51" s="17">
        <v>60000</v>
      </c>
      <c r="Y51" s="17">
        <v>60000</v>
      </c>
      <c r="Z51" s="17" t="s">
        <v>35</v>
      </c>
      <c r="AA51" s="17" t="s">
        <v>35</v>
      </c>
    </row>
    <row r="52" spans="1:27" ht="30" customHeight="1">
      <c r="A52" s="12" t="s">
        <v>108</v>
      </c>
      <c r="B52" s="17"/>
      <c r="C52" s="17"/>
      <c r="D52" s="17"/>
      <c r="E52" s="17"/>
      <c r="F52" s="17"/>
      <c r="G52" s="17"/>
      <c r="H52" s="17"/>
      <c r="I52" s="17"/>
      <c r="J52" s="17"/>
      <c r="K52" s="17"/>
      <c r="L52" s="17"/>
      <c r="M52" s="17"/>
      <c r="N52" s="17"/>
      <c r="O52" s="17"/>
      <c r="P52" s="17"/>
      <c r="Q52" s="17"/>
      <c r="R52" s="17"/>
      <c r="S52" s="17"/>
      <c r="T52" s="17"/>
      <c r="U52" s="17"/>
      <c r="V52" s="17"/>
      <c r="W52" s="17"/>
      <c r="X52" s="17"/>
      <c r="Y52" s="17"/>
      <c r="Z52" s="17"/>
      <c r="AA52" s="17"/>
    </row>
    <row r="53" spans="1:27">
      <c r="A53" s="13" t="s">
        <v>5</v>
      </c>
      <c r="B53" s="18" t="s">
        <v>6</v>
      </c>
      <c r="C53" s="18" t="s">
        <v>7</v>
      </c>
      <c r="D53" s="18" t="s">
        <v>8</v>
      </c>
      <c r="E53" s="18" t="s">
        <v>9</v>
      </c>
      <c r="F53" s="18" t="s">
        <v>10</v>
      </c>
      <c r="G53" s="18" t="s">
        <v>11</v>
      </c>
      <c r="H53" s="18" t="s">
        <v>12</v>
      </c>
      <c r="I53" s="18" t="s">
        <v>13</v>
      </c>
      <c r="J53" s="18" t="s">
        <v>14</v>
      </c>
      <c r="K53" s="18" t="s">
        <v>15</v>
      </c>
      <c r="L53" s="18" t="s">
        <v>16</v>
      </c>
      <c r="M53" s="18" t="s">
        <v>17</v>
      </c>
      <c r="N53" s="18" t="s">
        <v>18</v>
      </c>
      <c r="O53" s="18" t="s">
        <v>19</v>
      </c>
      <c r="P53" s="18" t="s">
        <v>20</v>
      </c>
      <c r="Q53" s="18" t="s">
        <v>21</v>
      </c>
      <c r="R53" s="18" t="s">
        <v>22</v>
      </c>
      <c r="S53" s="18" t="s">
        <v>23</v>
      </c>
      <c r="T53" s="18" t="s">
        <v>24</v>
      </c>
      <c r="U53" s="18" t="s">
        <v>25</v>
      </c>
      <c r="V53" s="18" t="s">
        <v>26</v>
      </c>
      <c r="W53" s="18" t="s">
        <v>27</v>
      </c>
      <c r="X53" s="18" t="s">
        <v>28</v>
      </c>
      <c r="Y53" s="18" t="s">
        <v>29</v>
      </c>
      <c r="Z53" s="18" t="s">
        <v>30</v>
      </c>
      <c r="AA53" s="18" t="s">
        <v>31</v>
      </c>
    </row>
    <row r="54" spans="1:27">
      <c r="A54" s="13" t="s">
        <v>32</v>
      </c>
      <c r="B54" s="17">
        <v>2277</v>
      </c>
      <c r="C54" s="17">
        <v>2168</v>
      </c>
      <c r="D54" s="17">
        <v>1980</v>
      </c>
      <c r="E54" s="17">
        <v>1921</v>
      </c>
      <c r="F54" s="17">
        <v>1858</v>
      </c>
      <c r="G54" s="17">
        <v>1967</v>
      </c>
      <c r="H54" s="17">
        <v>2708</v>
      </c>
      <c r="I54" s="17">
        <v>3414</v>
      </c>
      <c r="J54" s="17">
        <v>3963</v>
      </c>
      <c r="K54" s="17">
        <v>3771</v>
      </c>
      <c r="L54" s="17">
        <v>3543</v>
      </c>
      <c r="M54" s="17">
        <v>3498</v>
      </c>
      <c r="N54" s="17">
        <v>3443</v>
      </c>
      <c r="O54" s="17">
        <v>3417</v>
      </c>
      <c r="P54" s="17">
        <v>3364</v>
      </c>
      <c r="Q54" s="17">
        <v>3103</v>
      </c>
      <c r="R54" s="17">
        <v>2851</v>
      </c>
      <c r="S54" s="17">
        <v>2504</v>
      </c>
      <c r="T54" s="17">
        <v>2386</v>
      </c>
      <c r="U54" s="17">
        <v>2174</v>
      </c>
      <c r="V54" s="17">
        <v>2122</v>
      </c>
      <c r="W54" s="17">
        <v>1974</v>
      </c>
      <c r="X54" s="17">
        <v>2031</v>
      </c>
      <c r="Y54" s="17">
        <v>1947</v>
      </c>
      <c r="Z54" s="17">
        <v>1326</v>
      </c>
      <c r="AA54" s="17">
        <v>1000</v>
      </c>
    </row>
    <row r="55" spans="1:27">
      <c r="A55" s="13" t="s">
        <v>33</v>
      </c>
      <c r="B55" s="17">
        <v>1662</v>
      </c>
      <c r="C55" s="17">
        <v>1575</v>
      </c>
      <c r="D55" s="17">
        <v>1453</v>
      </c>
      <c r="E55" s="17">
        <v>1394</v>
      </c>
      <c r="F55" s="17">
        <v>1333</v>
      </c>
      <c r="G55" s="17">
        <v>1387</v>
      </c>
      <c r="H55" s="17">
        <v>1915</v>
      </c>
      <c r="I55" s="17">
        <v>2390</v>
      </c>
      <c r="J55" s="17">
        <v>2776</v>
      </c>
      <c r="K55" s="17">
        <v>2663</v>
      </c>
      <c r="L55" s="17">
        <v>2519</v>
      </c>
      <c r="M55" s="17">
        <v>2501</v>
      </c>
      <c r="N55" s="17">
        <v>2450</v>
      </c>
      <c r="O55" s="17">
        <v>2438</v>
      </c>
      <c r="P55" s="17">
        <v>2421</v>
      </c>
      <c r="Q55" s="17">
        <v>2203</v>
      </c>
      <c r="R55" s="17">
        <v>2002</v>
      </c>
      <c r="S55" s="17">
        <v>1725</v>
      </c>
      <c r="T55" s="17">
        <v>1668</v>
      </c>
      <c r="U55" s="17">
        <v>1546</v>
      </c>
      <c r="V55" s="17">
        <v>1535</v>
      </c>
      <c r="W55" s="17">
        <v>1428</v>
      </c>
      <c r="X55" s="17">
        <v>1469</v>
      </c>
      <c r="Y55" s="17">
        <v>1390</v>
      </c>
      <c r="Z55" s="17">
        <v>949</v>
      </c>
      <c r="AA55" s="17">
        <v>721</v>
      </c>
    </row>
    <row r="56" spans="1:27">
      <c r="A56" s="13" t="s">
        <v>34</v>
      </c>
      <c r="B56" s="17">
        <v>615</v>
      </c>
      <c r="C56" s="17">
        <v>593</v>
      </c>
      <c r="D56" s="17">
        <v>527</v>
      </c>
      <c r="E56" s="17">
        <v>527</v>
      </c>
      <c r="F56" s="17">
        <v>525</v>
      </c>
      <c r="G56" s="17">
        <v>580</v>
      </c>
      <c r="H56" s="17">
        <v>793</v>
      </c>
      <c r="I56" s="17">
        <v>1024</v>
      </c>
      <c r="J56" s="17">
        <v>1187</v>
      </c>
      <c r="K56" s="17">
        <v>1108</v>
      </c>
      <c r="L56" s="17">
        <v>1024</v>
      </c>
      <c r="M56" s="17">
        <v>997</v>
      </c>
      <c r="N56" s="17">
        <v>993</v>
      </c>
      <c r="O56" s="17">
        <v>979</v>
      </c>
      <c r="P56" s="17">
        <v>943</v>
      </c>
      <c r="Q56" s="17">
        <v>900</v>
      </c>
      <c r="R56" s="17">
        <v>849</v>
      </c>
      <c r="S56" s="17">
        <v>779</v>
      </c>
      <c r="T56" s="17">
        <v>718</v>
      </c>
      <c r="U56" s="17">
        <v>628</v>
      </c>
      <c r="V56" s="17">
        <v>587</v>
      </c>
      <c r="W56" s="17">
        <v>546</v>
      </c>
      <c r="X56" s="17">
        <v>562</v>
      </c>
      <c r="Y56" s="17">
        <v>557</v>
      </c>
      <c r="Z56" s="17">
        <v>377</v>
      </c>
      <c r="AA56" s="17">
        <v>279</v>
      </c>
    </row>
    <row r="57" spans="1:27">
      <c r="A57" s="13"/>
      <c r="B57" s="17"/>
      <c r="C57" s="17"/>
      <c r="D57" s="17"/>
      <c r="E57" s="17"/>
      <c r="F57" s="17"/>
      <c r="G57" s="17"/>
      <c r="H57" s="17"/>
      <c r="I57" s="17"/>
      <c r="J57" s="17"/>
      <c r="K57" s="17"/>
      <c r="L57" s="17"/>
      <c r="M57" s="17"/>
      <c r="N57" s="17"/>
      <c r="O57" s="17"/>
      <c r="P57" s="17"/>
      <c r="Q57" s="17"/>
      <c r="R57" s="17"/>
      <c r="S57" s="17"/>
      <c r="T57" s="17"/>
      <c r="U57" s="17"/>
      <c r="V57" s="17"/>
      <c r="W57" s="17"/>
      <c r="X57" s="17"/>
      <c r="Y57" s="17"/>
      <c r="Z57" s="17"/>
      <c r="AA57" s="17"/>
    </row>
    <row r="58" spans="1:27">
      <c r="A58" s="13"/>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row>
    <row r="59" spans="1:27">
      <c r="A59" s="13"/>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row>
    <row r="60" spans="1:27">
      <c r="A60" s="13"/>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row>
    <row r="61" spans="1:27">
      <c r="A61" s="13"/>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row>
    <row r="62" spans="1:27">
      <c r="A62" s="13"/>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row>
    <row r="63" spans="1:27">
      <c r="A63" s="13"/>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row>
    <row r="64" spans="1:27">
      <c r="A64" s="13"/>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row>
    <row r="65" spans="1:27">
      <c r="A65" s="13"/>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row>
    <row r="66" spans="1:27">
      <c r="A66" s="13"/>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row>
    <row r="67" spans="1:27">
      <c r="A67" s="13"/>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row>
    <row r="68" spans="1:27">
      <c r="A68" s="13"/>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row>
    <row r="69" spans="1:27">
      <c r="A69" s="13"/>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row>
    <row r="70" spans="1:27">
      <c r="A70" s="13"/>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row>
    <row r="71" spans="1:27">
      <c r="A71" s="13"/>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row>
    <row r="72" spans="1:27">
      <c r="A72" s="13"/>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row>
    <row r="73" spans="1:27">
      <c r="A73" s="13"/>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row>
    <row r="74" spans="1:27">
      <c r="A74" s="13"/>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row>
    <row r="75" spans="1:27">
      <c r="A75" s="13"/>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row>
    <row r="76" spans="1:27">
      <c r="A76" s="13"/>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row>
    <row r="77" spans="1:27">
      <c r="A77" s="13"/>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row>
    <row r="78" spans="1:27">
      <c r="A78" s="13"/>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row>
    <row r="79" spans="1:27">
      <c r="A79" s="13"/>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row>
    <row r="80" spans="1:27">
      <c r="A80" s="13"/>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row>
    <row r="81" spans="1:27">
      <c r="A81" s="13"/>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row>
    <row r="82" spans="1:27">
      <c r="A82" s="13"/>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row>
    <row r="83" spans="1:27">
      <c r="A83" s="13"/>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row>
    <row r="84" spans="1:27">
      <c r="A84" s="13"/>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row>
    <row r="85" spans="1:27">
      <c r="A85" s="13"/>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row>
    <row r="86" spans="1:27">
      <c r="A86" s="13"/>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row>
    <row r="87" spans="1:27">
      <c r="A87" s="13"/>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row>
    <row r="88" spans="1:27">
      <c r="A88" s="13"/>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row>
    <row r="89" spans="1:27">
      <c r="A89" s="13"/>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row>
    <row r="90" spans="1:27">
      <c r="A90" s="13"/>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row>
    <row r="91" spans="1:27">
      <c r="A91" s="13"/>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row>
    <row r="92" spans="1:27">
      <c r="A92" s="13"/>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row>
    <row r="93" spans="1:27">
      <c r="A93" s="13"/>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row>
    <row r="94" spans="1:27">
      <c r="A94" s="13"/>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row>
    <row r="95" spans="1:27">
      <c r="A95" s="13"/>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0"/>
    </row>
    <row r="96" spans="1:27">
      <c r="A96" s="13"/>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row>
    <row r="97" spans="1:27">
      <c r="A97" s="13"/>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row>
    <row r="98" spans="1:27">
      <c r="A98" s="13"/>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row>
    <row r="99" spans="1:27">
      <c r="A99" s="13"/>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row>
    <row r="100" spans="1:27">
      <c r="A100" s="13"/>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row>
    <row r="101" spans="1:27">
      <c r="A101" s="13"/>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row>
    <row r="102" spans="1:27">
      <c r="A102" s="13"/>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row>
    <row r="103" spans="1:27">
      <c r="A103" s="13"/>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row>
    <row r="104" spans="1:27">
      <c r="A104" s="13"/>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row>
    <row r="105" spans="1:27">
      <c r="A105" s="13"/>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row>
    <row r="106" spans="1:27">
      <c r="A106" s="13"/>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row>
    <row r="107" spans="1:27">
      <c r="A107" s="13"/>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row>
    <row r="108" spans="1:27">
      <c r="A108" s="13"/>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row>
    <row r="109" spans="1:27">
      <c r="A109" s="13"/>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row>
    <row r="110" spans="1:27">
      <c r="A110" s="13"/>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row>
    <row r="111" spans="1:27">
      <c r="A111" s="13"/>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row>
    <row r="112" spans="1:27">
      <c r="A112" s="13"/>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row>
    <row r="113" spans="1:27">
      <c r="A113" s="13"/>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row>
    <row r="114" spans="1:27">
      <c r="A114" s="13"/>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row>
    <row r="115" spans="1:27">
      <c r="A115" s="13"/>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row>
    <row r="116" spans="1:27">
      <c r="A116" s="13"/>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row>
    <row r="117" spans="1:27">
      <c r="A117" s="13"/>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row>
    <row r="118" spans="1:27">
      <c r="A118" s="13"/>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row>
    <row r="119" spans="1:27">
      <c r="A119" s="13"/>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row>
    <row r="120" spans="1:27">
      <c r="A120" s="13"/>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row>
    <row r="121" spans="1:27">
      <c r="A121" s="13"/>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row>
    <row r="122" spans="1:27">
      <c r="A122" s="13"/>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row>
    <row r="123" spans="1:27">
      <c r="A123" s="13"/>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row>
    <row r="124" spans="1:27">
      <c r="A124" s="13"/>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row>
    <row r="125" spans="1:27">
      <c r="A125" s="13"/>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row>
    <row r="126" spans="1:27">
      <c r="A126" s="13"/>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row>
    <row r="127" spans="1:27">
      <c r="A127" s="13"/>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row>
    <row r="128" spans="1:27">
      <c r="A128" s="13"/>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row>
    <row r="129" spans="1:27">
      <c r="A129" s="13"/>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row>
    <row r="130" spans="1:27">
      <c r="A130" s="13"/>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row>
    <row r="131" spans="1:27">
      <c r="A131" s="13"/>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row>
    <row r="132" spans="1:27">
      <c r="A132" s="13"/>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row>
    <row r="133" spans="1:27">
      <c r="A133" s="13"/>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row>
    <row r="134" spans="1:27">
      <c r="A134" s="13"/>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row>
    <row r="135" spans="1:27">
      <c r="A135" s="13"/>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row>
    <row r="136" spans="1:27">
      <c r="A136" s="13"/>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row>
    <row r="137" spans="1:27">
      <c r="A137" s="13"/>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row>
    <row r="138" spans="1:27">
      <c r="A138" s="13"/>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row>
    <row r="139" spans="1:27">
      <c r="A139" s="13"/>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row>
    <row r="140" spans="1:27">
      <c r="A140" s="13"/>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row>
    <row r="141" spans="1:27">
      <c r="A141" s="13"/>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row>
    <row r="142" spans="1:27">
      <c r="A142" s="13"/>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row>
    <row r="143" spans="1:27">
      <c r="A143" s="13"/>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row>
    <row r="144" spans="1:27">
      <c r="A144" s="13"/>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row>
    <row r="145" spans="1:27">
      <c r="A145" s="13"/>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row>
    <row r="146" spans="1:27">
      <c r="A146" s="13"/>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row>
    <row r="147" spans="1:27">
      <c r="A147" s="13"/>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row>
    <row r="148" spans="1:27">
      <c r="A148" s="13"/>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row>
    <row r="149" spans="1:27">
      <c r="A149" s="13"/>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row>
    <row r="150" spans="1:27">
      <c r="A150" s="13"/>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row>
    <row r="151" spans="1:27">
      <c r="A151" s="13"/>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row>
    <row r="152" spans="1:27">
      <c r="A152" s="13"/>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row>
    <row r="153" spans="1:27">
      <c r="A153" s="13"/>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row>
    <row r="154" spans="1:27">
      <c r="A154" s="13"/>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row>
    <row r="155" spans="1:27">
      <c r="A155" s="13"/>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row>
    <row r="156" spans="1:27">
      <c r="A156" s="13"/>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row>
    <row r="157" spans="1:27">
      <c r="A157" s="13"/>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row>
    <row r="158" spans="1:27">
      <c r="A158" s="13"/>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row>
    <row r="159" spans="1:27">
      <c r="A159" s="13"/>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row>
    <row r="160" spans="1:27">
      <c r="A160" s="13"/>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row>
    <row r="161" spans="1:27">
      <c r="A161" s="13"/>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row>
    <row r="162" spans="1:27">
      <c r="A162" s="13"/>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row>
    <row r="163" spans="1:27">
      <c r="A163" s="13"/>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row>
    <row r="164" spans="1:27">
      <c r="A164" s="13"/>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row>
    <row r="165" spans="1:27">
      <c r="A165" s="13"/>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row>
    <row r="166" spans="1:27">
      <c r="A166" s="13"/>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row>
    <row r="167" spans="1:27">
      <c r="A167" s="13"/>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row>
    <row r="168" spans="1:27">
      <c r="A168" s="13"/>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row>
    <row r="169" spans="1:27">
      <c r="A169" s="13"/>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row>
    <row r="170" spans="1:27">
      <c r="A170" s="13"/>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row>
    <row r="171" spans="1:27">
      <c r="A171" s="13"/>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row>
    <row r="172" spans="1:27">
      <c r="A172" s="13"/>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row>
    <row r="173" spans="1:27">
      <c r="A173" s="13"/>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row>
    <row r="174" spans="1:27">
      <c r="A174" s="13"/>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row>
    <row r="175" spans="1:27">
      <c r="A175" s="13"/>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row>
    <row r="176" spans="1:27">
      <c r="A176" s="13"/>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row>
    <row r="177" spans="1:27">
      <c r="A177" s="13"/>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row>
    <row r="178" spans="1:27">
      <c r="A178" s="13"/>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row>
    <row r="179" spans="1:27">
      <c r="A179" s="13"/>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row>
    <row r="180" spans="1:27">
      <c r="A180" s="13"/>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row>
    <row r="181" spans="1:27">
      <c r="A181" s="13"/>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row>
    <row r="182" spans="1:27">
      <c r="A182" s="13"/>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row>
    <row r="183" spans="1:27">
      <c r="A183" s="13"/>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row>
    <row r="184" spans="1:27">
      <c r="A184" s="13"/>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row>
    <row r="185" spans="1:27">
      <c r="A185" s="13"/>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row>
    <row r="186" spans="1:27">
      <c r="A186" s="13"/>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row>
    <row r="187" spans="1:27">
      <c r="A187" s="13"/>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row>
    <row r="188" spans="1:27">
      <c r="A188" s="13"/>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row>
    <row r="189" spans="1:27">
      <c r="A189" s="13"/>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row>
    <row r="190" spans="1:27">
      <c r="A190" s="13"/>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row>
    <row r="191" spans="1:27">
      <c r="A191" s="13"/>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row>
    <row r="192" spans="1:27">
      <c r="A192" s="13"/>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row>
    <row r="193" spans="1:27">
      <c r="A193" s="13"/>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row>
    <row r="194" spans="1:27">
      <c r="A194" s="13"/>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row>
    <row r="195" spans="1:27">
      <c r="A195" s="13"/>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row>
    <row r="196" spans="1:27">
      <c r="A196" s="13"/>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row>
    <row r="197" spans="1:27">
      <c r="A197" s="13"/>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row>
    <row r="198" spans="1:27">
      <c r="A198" s="13"/>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row>
    <row r="199" spans="1:27">
      <c r="A199" s="13"/>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row>
    <row r="200" spans="1:27">
      <c r="A200" s="13"/>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row>
  </sheetData>
  <pageMargins left="0.7" right="0.7" top="0.75" bottom="0.75" header="0.3" footer="0.3"/>
  <pageSetup paperSize="9" orientation="portrait" horizontalDpi="300" verticalDpi="300"/>
  <tableParts count="10">
    <tablePart r:id="rId1"/>
    <tablePart r:id="rId2"/>
    <tablePart r:id="rId3"/>
    <tablePart r:id="rId4"/>
    <tablePart r:id="rId5"/>
    <tablePart r:id="rId6"/>
    <tablePart r:id="rId7"/>
    <tablePart r:id="rId8"/>
    <tablePart r:id="rId9"/>
    <tablePart r:id="rId10"/>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200"/>
  <sheetViews>
    <sheetView showGridLines="0" workbookViewId="0"/>
  </sheetViews>
  <sheetFormatPr defaultColWidth="10.90625" defaultRowHeight="14.5"/>
  <cols>
    <col min="1" max="1" width="70.7265625" customWidth="1"/>
  </cols>
  <sheetData>
    <row r="1" spans="1:27" ht="19.5">
      <c r="A1" s="4" t="s">
        <v>121</v>
      </c>
      <c r="B1" s="8"/>
      <c r="C1" s="8"/>
      <c r="D1" s="8"/>
      <c r="E1" s="8"/>
      <c r="F1" s="8"/>
      <c r="G1" s="8"/>
      <c r="H1" s="8"/>
      <c r="I1" s="8"/>
      <c r="J1" s="8"/>
      <c r="K1" s="8"/>
      <c r="L1" s="8"/>
      <c r="M1" s="8"/>
      <c r="N1" s="8"/>
      <c r="O1" s="8"/>
      <c r="P1" s="8"/>
      <c r="Q1" s="8"/>
      <c r="R1" s="8"/>
      <c r="S1" s="8"/>
      <c r="T1" s="8"/>
      <c r="U1" s="8"/>
      <c r="V1" s="8"/>
      <c r="W1" s="8"/>
      <c r="X1" s="8"/>
      <c r="Y1" s="8"/>
      <c r="Z1" s="8"/>
      <c r="AA1" s="8"/>
    </row>
    <row r="2" spans="1:27">
      <c r="A2" s="9" t="s">
        <v>0</v>
      </c>
      <c r="B2" s="8"/>
      <c r="C2" s="8"/>
      <c r="D2" s="8"/>
      <c r="E2" s="8"/>
      <c r="F2" s="8"/>
      <c r="G2" s="8"/>
      <c r="H2" s="8"/>
      <c r="I2" s="8"/>
      <c r="J2" s="8"/>
      <c r="K2" s="8"/>
      <c r="L2" s="8"/>
      <c r="M2" s="8"/>
      <c r="N2" s="8"/>
      <c r="O2" s="8"/>
      <c r="P2" s="8"/>
      <c r="Q2" s="8"/>
      <c r="R2" s="8"/>
      <c r="S2" s="8"/>
      <c r="T2" s="8"/>
      <c r="U2" s="8"/>
      <c r="V2" s="8"/>
      <c r="W2" s="8"/>
      <c r="X2" s="8"/>
      <c r="Y2" s="8"/>
      <c r="Z2" s="8"/>
      <c r="AA2" s="8"/>
    </row>
    <row r="3" spans="1:27" ht="29">
      <c r="A3" s="9" t="s">
        <v>1</v>
      </c>
      <c r="B3" s="10"/>
      <c r="C3" s="10"/>
      <c r="D3" s="10"/>
      <c r="E3" s="10"/>
      <c r="F3" s="10"/>
      <c r="G3" s="10"/>
      <c r="H3" s="10"/>
      <c r="I3" s="10"/>
      <c r="J3" s="10"/>
      <c r="K3" s="10"/>
      <c r="L3" s="10"/>
      <c r="M3" s="10"/>
      <c r="N3" s="10"/>
      <c r="O3" s="10"/>
      <c r="P3" s="10"/>
      <c r="Q3" s="10"/>
      <c r="R3" s="10"/>
      <c r="S3" s="10"/>
      <c r="T3" s="10"/>
      <c r="U3" s="10"/>
      <c r="V3" s="10"/>
      <c r="W3" s="10"/>
      <c r="X3" s="10"/>
      <c r="Y3" s="10"/>
      <c r="Z3" s="10"/>
      <c r="AA3" s="10"/>
    </row>
    <row r="4" spans="1:27" ht="72.5">
      <c r="A4" s="9" t="s">
        <v>2</v>
      </c>
      <c r="B4" s="10"/>
      <c r="C4" s="10"/>
      <c r="D4" s="10"/>
      <c r="E4" s="10"/>
      <c r="F4" s="10"/>
      <c r="G4" s="10"/>
      <c r="H4" s="10"/>
      <c r="I4" s="10"/>
      <c r="J4" s="10"/>
      <c r="K4" s="10"/>
      <c r="L4" s="10"/>
      <c r="M4" s="10"/>
      <c r="N4" s="10"/>
      <c r="O4" s="10"/>
      <c r="P4" s="10"/>
      <c r="Q4" s="10"/>
      <c r="R4" s="10"/>
      <c r="S4" s="10"/>
      <c r="T4" s="10"/>
      <c r="U4" s="10"/>
      <c r="V4" s="10"/>
      <c r="W4" s="10"/>
      <c r="X4" s="10"/>
      <c r="Y4" s="10"/>
      <c r="Z4" s="10"/>
      <c r="AA4" s="10"/>
    </row>
    <row r="5" spans="1:27">
      <c r="A5" s="9" t="s">
        <v>3</v>
      </c>
      <c r="B5" s="10"/>
      <c r="C5" s="10"/>
      <c r="D5" s="10"/>
      <c r="E5" s="10"/>
      <c r="F5" s="10"/>
      <c r="G5" s="10"/>
      <c r="H5" s="10"/>
      <c r="I5" s="10"/>
      <c r="J5" s="10"/>
      <c r="K5" s="10"/>
      <c r="L5" s="10"/>
      <c r="M5" s="10"/>
      <c r="N5" s="10"/>
      <c r="O5" s="10"/>
      <c r="P5" s="10"/>
      <c r="Q5" s="10"/>
      <c r="R5" s="10"/>
      <c r="S5" s="10"/>
      <c r="T5" s="10"/>
      <c r="U5" s="10"/>
      <c r="V5" s="10"/>
      <c r="W5" s="10"/>
      <c r="X5" s="10"/>
      <c r="Y5" s="10"/>
      <c r="Z5" s="10"/>
      <c r="AA5" s="10"/>
    </row>
    <row r="6" spans="1:27">
      <c r="A6" s="11" t="s">
        <v>4</v>
      </c>
      <c r="B6" s="10"/>
      <c r="C6" s="10"/>
      <c r="D6" s="10"/>
      <c r="E6" s="10"/>
      <c r="F6" s="10"/>
      <c r="G6" s="10"/>
      <c r="H6" s="10"/>
      <c r="I6" s="10"/>
      <c r="J6" s="10"/>
      <c r="K6" s="10"/>
      <c r="L6" s="10"/>
      <c r="M6" s="10"/>
      <c r="N6" s="10"/>
      <c r="O6" s="10"/>
      <c r="P6" s="10"/>
      <c r="Q6" s="10"/>
      <c r="R6" s="10"/>
      <c r="S6" s="10"/>
      <c r="T6" s="10"/>
      <c r="U6" s="10"/>
      <c r="V6" s="10"/>
      <c r="W6" s="10"/>
      <c r="X6" s="10"/>
      <c r="Y6" s="10"/>
      <c r="Z6" s="10"/>
      <c r="AA6" s="10"/>
    </row>
    <row r="7" spans="1:27" ht="30" customHeight="1">
      <c r="A7" s="12" t="s">
        <v>120</v>
      </c>
      <c r="B7" s="10"/>
      <c r="C7" s="10"/>
      <c r="D7" s="10"/>
      <c r="E7" s="10"/>
      <c r="F7" s="10"/>
      <c r="G7" s="10"/>
      <c r="H7" s="10"/>
      <c r="I7" s="10"/>
      <c r="J7" s="10"/>
      <c r="K7" s="10"/>
      <c r="L7" s="10"/>
      <c r="M7" s="10"/>
      <c r="N7" s="10"/>
      <c r="O7" s="10"/>
      <c r="P7" s="10"/>
      <c r="Q7" s="10"/>
      <c r="R7" s="10"/>
      <c r="S7" s="10"/>
      <c r="T7" s="10"/>
      <c r="U7" s="10"/>
      <c r="V7" s="10"/>
      <c r="W7" s="10"/>
      <c r="X7" s="10"/>
      <c r="Y7" s="10"/>
      <c r="Z7" s="10"/>
      <c r="AA7" s="10"/>
    </row>
    <row r="8" spans="1:27">
      <c r="A8" s="13" t="s">
        <v>5</v>
      </c>
      <c r="B8" s="14" t="s">
        <v>6</v>
      </c>
      <c r="C8" s="14" t="s">
        <v>7</v>
      </c>
      <c r="D8" s="14" t="s">
        <v>8</v>
      </c>
      <c r="E8" s="14" t="s">
        <v>9</v>
      </c>
      <c r="F8" s="14" t="s">
        <v>10</v>
      </c>
      <c r="G8" s="14" t="s">
        <v>11</v>
      </c>
      <c r="H8" s="14" t="s">
        <v>12</v>
      </c>
      <c r="I8" s="14" t="s">
        <v>13</v>
      </c>
      <c r="J8" s="14" t="s">
        <v>14</v>
      </c>
      <c r="K8" s="14" t="s">
        <v>15</v>
      </c>
      <c r="L8" s="14" t="s">
        <v>16</v>
      </c>
      <c r="M8" s="14" t="s">
        <v>17</v>
      </c>
      <c r="N8" s="14" t="s">
        <v>18</v>
      </c>
      <c r="O8" s="14" t="s">
        <v>19</v>
      </c>
      <c r="P8" s="14" t="s">
        <v>20</v>
      </c>
      <c r="Q8" s="14" t="s">
        <v>21</v>
      </c>
      <c r="R8" s="14" t="s">
        <v>22</v>
      </c>
      <c r="S8" s="14" t="s">
        <v>23</v>
      </c>
      <c r="T8" s="14" t="s">
        <v>24</v>
      </c>
      <c r="U8" s="14" t="s">
        <v>25</v>
      </c>
      <c r="V8" s="14" t="s">
        <v>26</v>
      </c>
      <c r="W8" s="14" t="s">
        <v>27</v>
      </c>
      <c r="X8" s="14" t="s">
        <v>28</v>
      </c>
      <c r="Y8" s="14" t="s">
        <v>29</v>
      </c>
      <c r="Z8" s="14" t="s">
        <v>30</v>
      </c>
      <c r="AA8" s="14" t="s">
        <v>31</v>
      </c>
    </row>
    <row r="9" spans="1:27">
      <c r="A9" s="13" t="s">
        <v>32</v>
      </c>
      <c r="B9" s="15">
        <v>0.31713940000000002</v>
      </c>
      <c r="C9" s="15">
        <v>0.3190847</v>
      </c>
      <c r="D9" s="15">
        <v>0.3155983</v>
      </c>
      <c r="E9" s="15">
        <v>0.309896</v>
      </c>
      <c r="F9" s="15">
        <v>0.31244749999999999</v>
      </c>
      <c r="G9" s="15">
        <v>0.31238919999999998</v>
      </c>
      <c r="H9" s="15">
        <v>0.29609809999999998</v>
      </c>
      <c r="I9" s="15">
        <v>0.27851979999999998</v>
      </c>
      <c r="J9" s="15">
        <v>0.25814049999999999</v>
      </c>
      <c r="K9" s="15">
        <v>0.2499922</v>
      </c>
      <c r="L9" s="15">
        <v>0.2455253</v>
      </c>
      <c r="M9" s="15">
        <v>0.2409346</v>
      </c>
      <c r="N9" s="15">
        <v>0.24524689999999999</v>
      </c>
      <c r="O9" s="15">
        <v>0.24372530000000001</v>
      </c>
      <c r="P9" s="15">
        <v>0.23525389999999999</v>
      </c>
      <c r="Q9" s="15">
        <v>0.2143718</v>
      </c>
      <c r="R9" s="15">
        <v>0.2073566</v>
      </c>
      <c r="S9" s="15">
        <v>0.20983579999999999</v>
      </c>
      <c r="T9" s="15">
        <v>0.2161679</v>
      </c>
      <c r="U9" s="15">
        <v>0.22795380000000001</v>
      </c>
      <c r="V9" s="15">
        <v>0.23351949999999999</v>
      </c>
      <c r="W9" s="15">
        <v>0.2419675</v>
      </c>
      <c r="X9" s="15">
        <v>0.23227329999999999</v>
      </c>
      <c r="Y9" s="15">
        <v>0.24283840000000001</v>
      </c>
      <c r="Z9" s="15">
        <v>0.2463928</v>
      </c>
      <c r="AA9" s="15">
        <v>0.2447318</v>
      </c>
    </row>
    <row r="10" spans="1:27">
      <c r="A10" s="13" t="s">
        <v>36</v>
      </c>
      <c r="B10" s="15">
        <v>0.25897189999999998</v>
      </c>
      <c r="C10" s="15">
        <v>0.2513937</v>
      </c>
      <c r="D10" s="15">
        <v>0.23079169999999999</v>
      </c>
      <c r="E10" s="15">
        <v>0.23636409999999999</v>
      </c>
      <c r="F10" s="15">
        <v>0.2375419</v>
      </c>
      <c r="G10" s="15">
        <v>0.2512759</v>
      </c>
      <c r="H10" s="15">
        <v>0.24418719999999999</v>
      </c>
      <c r="I10" s="15">
        <v>0.24239479999999999</v>
      </c>
      <c r="J10" s="15">
        <v>0.231909</v>
      </c>
      <c r="K10" s="15">
        <v>0.22763140000000001</v>
      </c>
      <c r="L10" s="15">
        <v>0.22294919999999999</v>
      </c>
      <c r="M10" s="15">
        <v>0.2223724</v>
      </c>
      <c r="N10" s="15">
        <v>0.22380320000000001</v>
      </c>
      <c r="O10" s="15">
        <v>0.22699949999999999</v>
      </c>
      <c r="P10" s="15">
        <v>0.2156699</v>
      </c>
      <c r="Q10" s="15">
        <v>0.199798</v>
      </c>
      <c r="R10" s="15">
        <v>0.1898215</v>
      </c>
      <c r="S10" s="15">
        <v>0.19736860000000001</v>
      </c>
      <c r="T10" s="15">
        <v>0.19798270000000001</v>
      </c>
      <c r="U10" s="15">
        <v>0.20836270000000001</v>
      </c>
      <c r="V10" s="15">
        <v>0.21005370000000001</v>
      </c>
      <c r="W10" s="15">
        <v>0.2167425</v>
      </c>
      <c r="X10" s="15">
        <v>0.20915</v>
      </c>
      <c r="Y10" s="15">
        <v>0.21907799999999999</v>
      </c>
      <c r="Z10" s="15">
        <v>0.22775580000000001</v>
      </c>
      <c r="AA10" s="15">
        <v>0.2154787</v>
      </c>
    </row>
    <row r="11" spans="1:27">
      <c r="A11" s="13" t="s">
        <v>37</v>
      </c>
      <c r="B11" s="15">
        <v>0.43930190000000002</v>
      </c>
      <c r="C11" s="15">
        <v>0.46210679999999998</v>
      </c>
      <c r="D11" s="15">
        <v>0.49900870000000003</v>
      </c>
      <c r="E11" s="15">
        <v>0.47273900000000002</v>
      </c>
      <c r="F11" s="15">
        <v>0.48503499999999999</v>
      </c>
      <c r="G11" s="15">
        <v>0.45923540000000002</v>
      </c>
      <c r="H11" s="15">
        <v>0.4282899</v>
      </c>
      <c r="I11" s="15">
        <v>0.3734924</v>
      </c>
      <c r="J11" s="15">
        <v>0.33071889999999998</v>
      </c>
      <c r="K11" s="15">
        <v>0.3138898</v>
      </c>
      <c r="L11" s="15">
        <v>0.31226229999999999</v>
      </c>
      <c r="M11" s="15">
        <v>0.29998950000000002</v>
      </c>
      <c r="N11" s="15">
        <v>0.31983129999999999</v>
      </c>
      <c r="O11" s="15">
        <v>0.30405870000000002</v>
      </c>
      <c r="P11" s="15">
        <v>0.3046875</v>
      </c>
      <c r="Q11" s="15">
        <v>0.26403330000000003</v>
      </c>
      <c r="R11" s="15">
        <v>0.26990059999999999</v>
      </c>
      <c r="S11" s="15">
        <v>0.25526480000000001</v>
      </c>
      <c r="T11" s="15">
        <v>0.27952460000000001</v>
      </c>
      <c r="U11" s="15">
        <v>0.29536020000000002</v>
      </c>
      <c r="V11" s="15">
        <v>0.31302809999999998</v>
      </c>
      <c r="W11" s="15">
        <v>0.32084410000000002</v>
      </c>
      <c r="X11" s="15">
        <v>0.30136000000000002</v>
      </c>
      <c r="Y11" s="15">
        <v>0.31657449999999998</v>
      </c>
      <c r="Z11" s="15">
        <v>0.31021500000000002</v>
      </c>
      <c r="AA11" s="15">
        <v>0.34306330000000002</v>
      </c>
    </row>
    <row r="12" spans="1:27" ht="30" customHeight="1">
      <c r="A12" s="12" t="s">
        <v>111</v>
      </c>
      <c r="B12" s="15"/>
      <c r="C12" s="15"/>
      <c r="D12" s="15"/>
      <c r="E12" s="15"/>
      <c r="F12" s="15"/>
      <c r="G12" s="15"/>
      <c r="H12" s="15"/>
      <c r="I12" s="15"/>
      <c r="J12" s="15"/>
      <c r="K12" s="15"/>
      <c r="L12" s="15"/>
      <c r="M12" s="15"/>
      <c r="N12" s="15"/>
      <c r="O12" s="15"/>
      <c r="P12" s="15"/>
      <c r="Q12" s="15"/>
      <c r="R12" s="15"/>
      <c r="S12" s="15"/>
      <c r="T12" s="15"/>
      <c r="U12" s="15"/>
      <c r="V12" s="15"/>
      <c r="W12" s="15"/>
      <c r="X12" s="15"/>
      <c r="Y12" s="15"/>
      <c r="Z12" s="15"/>
      <c r="AA12" s="15"/>
    </row>
    <row r="13" spans="1:27">
      <c r="A13" s="13" t="s">
        <v>5</v>
      </c>
      <c r="B13" s="16" t="s">
        <v>6</v>
      </c>
      <c r="C13" s="16" t="s">
        <v>7</v>
      </c>
      <c r="D13" s="16" t="s">
        <v>8</v>
      </c>
      <c r="E13" s="16" t="s">
        <v>9</v>
      </c>
      <c r="F13" s="16" t="s">
        <v>10</v>
      </c>
      <c r="G13" s="16" t="s">
        <v>11</v>
      </c>
      <c r="H13" s="16" t="s">
        <v>12</v>
      </c>
      <c r="I13" s="16" t="s">
        <v>13</v>
      </c>
      <c r="J13" s="16" t="s">
        <v>14</v>
      </c>
      <c r="K13" s="16" t="s">
        <v>15</v>
      </c>
      <c r="L13" s="16" t="s">
        <v>16</v>
      </c>
      <c r="M13" s="16" t="s">
        <v>17</v>
      </c>
      <c r="N13" s="16" t="s">
        <v>18</v>
      </c>
      <c r="O13" s="16" t="s">
        <v>19</v>
      </c>
      <c r="P13" s="16" t="s">
        <v>20</v>
      </c>
      <c r="Q13" s="16" t="s">
        <v>21</v>
      </c>
      <c r="R13" s="16" t="s">
        <v>22</v>
      </c>
      <c r="S13" s="16" t="s">
        <v>23</v>
      </c>
      <c r="T13" s="16" t="s">
        <v>24</v>
      </c>
      <c r="U13" s="16" t="s">
        <v>25</v>
      </c>
      <c r="V13" s="16" t="s">
        <v>26</v>
      </c>
      <c r="W13" s="16" t="s">
        <v>27</v>
      </c>
      <c r="X13" s="16" t="s">
        <v>28</v>
      </c>
      <c r="Y13" s="16" t="s">
        <v>29</v>
      </c>
      <c r="Z13" s="16" t="s">
        <v>30</v>
      </c>
      <c r="AA13" s="16" t="s">
        <v>31</v>
      </c>
    </row>
    <row r="14" spans="1:27">
      <c r="A14" s="13" t="s">
        <v>32</v>
      </c>
      <c r="B14" s="15">
        <v>1</v>
      </c>
      <c r="C14" s="15">
        <v>1</v>
      </c>
      <c r="D14" s="15">
        <v>1</v>
      </c>
      <c r="E14" s="15">
        <v>1</v>
      </c>
      <c r="F14" s="15">
        <v>1</v>
      </c>
      <c r="G14" s="15">
        <v>1</v>
      </c>
      <c r="H14" s="15">
        <v>1</v>
      </c>
      <c r="I14" s="15">
        <v>1</v>
      </c>
      <c r="J14" s="15">
        <v>1</v>
      </c>
      <c r="K14" s="15">
        <v>1</v>
      </c>
      <c r="L14" s="15">
        <v>1</v>
      </c>
      <c r="M14" s="15">
        <v>1</v>
      </c>
      <c r="N14" s="15">
        <v>1</v>
      </c>
      <c r="O14" s="15">
        <v>1</v>
      </c>
      <c r="P14" s="15">
        <v>1</v>
      </c>
      <c r="Q14" s="15">
        <v>1</v>
      </c>
      <c r="R14" s="15">
        <v>1</v>
      </c>
      <c r="S14" s="15">
        <v>1</v>
      </c>
      <c r="T14" s="15">
        <v>1</v>
      </c>
      <c r="U14" s="15">
        <v>1</v>
      </c>
      <c r="V14" s="15">
        <v>1</v>
      </c>
      <c r="W14" s="15">
        <v>1</v>
      </c>
      <c r="X14" s="15">
        <v>1</v>
      </c>
      <c r="Y14" s="15">
        <v>1</v>
      </c>
      <c r="Z14" s="15">
        <v>1</v>
      </c>
      <c r="AA14" s="15">
        <v>1</v>
      </c>
    </row>
    <row r="15" spans="1:27">
      <c r="A15" s="13" t="s">
        <v>36</v>
      </c>
      <c r="B15" s="15">
        <v>0.5572163</v>
      </c>
      <c r="C15" s="15">
        <v>0.53646609999999995</v>
      </c>
      <c r="D15" s="15">
        <v>0.49993880000000002</v>
      </c>
      <c r="E15" s="15">
        <v>0.52436300000000002</v>
      </c>
      <c r="F15" s="15">
        <v>0.52955459999999999</v>
      </c>
      <c r="G15" s="15">
        <v>0.56694140000000004</v>
      </c>
      <c r="H15" s="15">
        <v>0.59669150000000004</v>
      </c>
      <c r="I15" s="15">
        <v>0.63646899999999995</v>
      </c>
      <c r="J15" s="15">
        <v>0.65987810000000002</v>
      </c>
      <c r="K15" s="15">
        <v>0.67521920000000002</v>
      </c>
      <c r="L15" s="15">
        <v>0.67985470000000003</v>
      </c>
      <c r="M15" s="15">
        <v>0.70245159999999995</v>
      </c>
      <c r="N15" s="15">
        <v>0.70671949999999994</v>
      </c>
      <c r="O15" s="15">
        <v>0.72450490000000001</v>
      </c>
      <c r="P15" s="15">
        <v>0.71032419999999996</v>
      </c>
      <c r="Q15" s="15">
        <v>0.71922660000000005</v>
      </c>
      <c r="R15" s="15">
        <v>0.71708369999999999</v>
      </c>
      <c r="S15" s="15">
        <v>0.73551469999999997</v>
      </c>
      <c r="T15" s="15">
        <v>0.71164830000000001</v>
      </c>
      <c r="U15" s="15">
        <v>0.70695249999999998</v>
      </c>
      <c r="V15" s="15">
        <v>0.69343109999999997</v>
      </c>
      <c r="W15" s="15">
        <v>0.68140389999999995</v>
      </c>
      <c r="X15" s="15">
        <v>0.67886849999999999</v>
      </c>
      <c r="Y15" s="15">
        <v>0.68513599999999997</v>
      </c>
      <c r="Z15" s="15">
        <v>0.71389320000000001</v>
      </c>
      <c r="AA15" s="15">
        <v>0.67796630000000002</v>
      </c>
    </row>
    <row r="16" spans="1:27">
      <c r="A16" s="13" t="s">
        <v>37</v>
      </c>
      <c r="B16" s="15">
        <v>0.4427837</v>
      </c>
      <c r="C16" s="15">
        <v>0.4635339</v>
      </c>
      <c r="D16" s="15">
        <v>0.50006119999999998</v>
      </c>
      <c r="E16" s="15">
        <v>0.47563699999999998</v>
      </c>
      <c r="F16" s="15">
        <v>0.47044540000000001</v>
      </c>
      <c r="G16" s="15">
        <v>0.43305860000000002</v>
      </c>
      <c r="H16" s="15">
        <v>0.40330850000000001</v>
      </c>
      <c r="I16" s="15">
        <v>0.36353099999999999</v>
      </c>
      <c r="J16" s="15">
        <v>0.34012189999999998</v>
      </c>
      <c r="K16" s="15">
        <v>0.32478079999999998</v>
      </c>
      <c r="L16" s="15">
        <v>0.32014530000000002</v>
      </c>
      <c r="M16" s="15">
        <v>0.29754839999999999</v>
      </c>
      <c r="N16" s="15">
        <v>0.2932805</v>
      </c>
      <c r="O16" s="15">
        <v>0.27549509999999999</v>
      </c>
      <c r="P16" s="15">
        <v>0.28967579999999998</v>
      </c>
      <c r="Q16" s="15">
        <v>0.28077340000000001</v>
      </c>
      <c r="R16" s="15">
        <v>0.28291630000000001</v>
      </c>
      <c r="S16" s="15">
        <v>0.26448529999999998</v>
      </c>
      <c r="T16" s="15">
        <v>0.28835169999999999</v>
      </c>
      <c r="U16" s="15">
        <v>0.29304750000000002</v>
      </c>
      <c r="V16" s="15">
        <v>0.30656889999999998</v>
      </c>
      <c r="W16" s="15">
        <v>0.31859609999999999</v>
      </c>
      <c r="X16" s="15">
        <v>0.32113150000000001</v>
      </c>
      <c r="Y16" s="15">
        <v>0.31486399999999998</v>
      </c>
      <c r="Z16" s="15">
        <v>0.28610679999999999</v>
      </c>
      <c r="AA16" s="15">
        <v>0.32203369999999998</v>
      </c>
    </row>
    <row r="17" spans="1:27" ht="30" customHeight="1">
      <c r="A17" s="12" t="s">
        <v>112</v>
      </c>
      <c r="B17" s="15"/>
      <c r="C17" s="15"/>
      <c r="D17" s="15"/>
      <c r="E17" s="15"/>
      <c r="F17" s="15"/>
      <c r="G17" s="15"/>
      <c r="H17" s="15"/>
      <c r="I17" s="15"/>
      <c r="J17" s="15"/>
      <c r="K17" s="15"/>
      <c r="L17" s="15"/>
      <c r="M17" s="15"/>
      <c r="N17" s="15"/>
      <c r="O17" s="15"/>
      <c r="P17" s="15"/>
      <c r="Q17" s="15"/>
      <c r="R17" s="15"/>
      <c r="S17" s="15"/>
      <c r="T17" s="15"/>
      <c r="U17" s="15"/>
      <c r="V17" s="15"/>
      <c r="W17" s="15"/>
      <c r="X17" s="15"/>
      <c r="Y17" s="15"/>
      <c r="Z17" s="15"/>
      <c r="AA17" s="15"/>
    </row>
    <row r="18" spans="1:27">
      <c r="A18" s="13" t="s">
        <v>5</v>
      </c>
      <c r="B18" s="16" t="s">
        <v>6</v>
      </c>
      <c r="C18" s="16" t="s">
        <v>7</v>
      </c>
      <c r="D18" s="16" t="s">
        <v>8</v>
      </c>
      <c r="E18" s="16" t="s">
        <v>9</v>
      </c>
      <c r="F18" s="16" t="s">
        <v>10</v>
      </c>
      <c r="G18" s="16" t="s">
        <v>11</v>
      </c>
      <c r="H18" s="16" t="s">
        <v>12</v>
      </c>
      <c r="I18" s="16" t="s">
        <v>13</v>
      </c>
      <c r="J18" s="16" t="s">
        <v>14</v>
      </c>
      <c r="K18" s="16" t="s">
        <v>15</v>
      </c>
      <c r="L18" s="16" t="s">
        <v>16</v>
      </c>
      <c r="M18" s="16" t="s">
        <v>17</v>
      </c>
      <c r="N18" s="16" t="s">
        <v>18</v>
      </c>
      <c r="O18" s="16" t="s">
        <v>19</v>
      </c>
      <c r="P18" s="16" t="s">
        <v>20</v>
      </c>
      <c r="Q18" s="16" t="s">
        <v>21</v>
      </c>
      <c r="R18" s="16" t="s">
        <v>22</v>
      </c>
      <c r="S18" s="16" t="s">
        <v>23</v>
      </c>
      <c r="T18" s="16" t="s">
        <v>24</v>
      </c>
      <c r="U18" s="16" t="s">
        <v>25</v>
      </c>
      <c r="V18" s="16" t="s">
        <v>26</v>
      </c>
      <c r="W18" s="16" t="s">
        <v>27</v>
      </c>
      <c r="X18" s="16" t="s">
        <v>28</v>
      </c>
      <c r="Y18" s="16" t="s">
        <v>29</v>
      </c>
      <c r="Z18" s="16" t="s">
        <v>30</v>
      </c>
      <c r="AA18" s="16" t="s">
        <v>31</v>
      </c>
    </row>
    <row r="19" spans="1:27">
      <c r="A19" s="13" t="s">
        <v>32</v>
      </c>
      <c r="B19" s="17">
        <v>350000</v>
      </c>
      <c r="C19" s="17">
        <v>350000</v>
      </c>
      <c r="D19" s="17">
        <v>340000</v>
      </c>
      <c r="E19" s="17">
        <v>330000</v>
      </c>
      <c r="F19" s="17">
        <v>330000</v>
      </c>
      <c r="G19" s="17">
        <v>330000</v>
      </c>
      <c r="H19" s="17">
        <v>310000</v>
      </c>
      <c r="I19" s="17">
        <v>290000</v>
      </c>
      <c r="J19" s="17">
        <v>260000</v>
      </c>
      <c r="K19" s="17">
        <v>250000</v>
      </c>
      <c r="L19" s="17">
        <v>250000</v>
      </c>
      <c r="M19" s="17">
        <v>240000</v>
      </c>
      <c r="N19" s="17">
        <v>240000</v>
      </c>
      <c r="O19" s="17">
        <v>240000</v>
      </c>
      <c r="P19" s="17">
        <v>230000</v>
      </c>
      <c r="Q19" s="17">
        <v>210000</v>
      </c>
      <c r="R19" s="17">
        <v>210000</v>
      </c>
      <c r="S19" s="17">
        <v>210000</v>
      </c>
      <c r="T19" s="17">
        <v>210000</v>
      </c>
      <c r="U19" s="17">
        <v>220000</v>
      </c>
      <c r="V19" s="17">
        <v>230000</v>
      </c>
      <c r="W19" s="17">
        <v>240000</v>
      </c>
      <c r="X19" s="17">
        <v>230000</v>
      </c>
      <c r="Y19" s="17">
        <v>240000</v>
      </c>
      <c r="Z19" s="17">
        <v>240000</v>
      </c>
      <c r="AA19" s="17">
        <v>250000</v>
      </c>
    </row>
    <row r="20" spans="1:27">
      <c r="A20" s="13" t="s">
        <v>36</v>
      </c>
      <c r="B20" s="17">
        <v>190000</v>
      </c>
      <c r="C20" s="17">
        <v>190000</v>
      </c>
      <c r="D20" s="17">
        <v>170000</v>
      </c>
      <c r="E20" s="17">
        <v>180000</v>
      </c>
      <c r="F20" s="17">
        <v>180000</v>
      </c>
      <c r="G20" s="17">
        <v>190000</v>
      </c>
      <c r="H20" s="17">
        <v>180000</v>
      </c>
      <c r="I20" s="17">
        <v>180000</v>
      </c>
      <c r="J20" s="17">
        <v>170000</v>
      </c>
      <c r="K20" s="17">
        <v>170000</v>
      </c>
      <c r="L20" s="17">
        <v>170000</v>
      </c>
      <c r="M20" s="17">
        <v>170000</v>
      </c>
      <c r="N20" s="17">
        <v>170000</v>
      </c>
      <c r="O20" s="17">
        <v>180000</v>
      </c>
      <c r="P20" s="17">
        <v>170000</v>
      </c>
      <c r="Q20" s="17">
        <v>150000</v>
      </c>
      <c r="R20" s="17">
        <v>150000</v>
      </c>
      <c r="S20" s="17">
        <v>150000</v>
      </c>
      <c r="T20" s="17">
        <v>150000</v>
      </c>
      <c r="U20" s="17">
        <v>160000</v>
      </c>
      <c r="V20" s="17">
        <v>160000</v>
      </c>
      <c r="W20" s="17">
        <v>160000</v>
      </c>
      <c r="X20" s="17">
        <v>160000</v>
      </c>
      <c r="Y20" s="17">
        <v>160000</v>
      </c>
      <c r="Z20" s="17">
        <v>170000</v>
      </c>
      <c r="AA20" s="17">
        <v>170000</v>
      </c>
    </row>
    <row r="21" spans="1:27">
      <c r="A21" s="13" t="s">
        <v>37</v>
      </c>
      <c r="B21" s="17">
        <v>160000</v>
      </c>
      <c r="C21" s="17">
        <v>160000</v>
      </c>
      <c r="D21" s="17">
        <v>170000</v>
      </c>
      <c r="E21" s="17">
        <v>160000</v>
      </c>
      <c r="F21" s="17">
        <v>160000</v>
      </c>
      <c r="G21" s="17">
        <v>140000</v>
      </c>
      <c r="H21" s="17">
        <v>130000</v>
      </c>
      <c r="I21" s="17">
        <v>110000</v>
      </c>
      <c r="J21" s="17">
        <v>90000</v>
      </c>
      <c r="K21" s="17">
        <v>80000</v>
      </c>
      <c r="L21" s="17">
        <v>80000</v>
      </c>
      <c r="M21" s="17">
        <v>70000</v>
      </c>
      <c r="N21" s="17">
        <v>70000</v>
      </c>
      <c r="O21" s="17">
        <v>70000</v>
      </c>
      <c r="P21" s="17">
        <v>70000</v>
      </c>
      <c r="Q21" s="17">
        <v>60000</v>
      </c>
      <c r="R21" s="17">
        <v>60000</v>
      </c>
      <c r="S21" s="17" t="s">
        <v>35</v>
      </c>
      <c r="T21" s="17" t="s">
        <v>35</v>
      </c>
      <c r="U21" s="17" t="s">
        <v>35</v>
      </c>
      <c r="V21" s="17" t="s">
        <v>35</v>
      </c>
      <c r="W21" s="17" t="s">
        <v>35</v>
      </c>
      <c r="X21" s="17" t="s">
        <v>35</v>
      </c>
      <c r="Y21" s="17" t="s">
        <v>35</v>
      </c>
      <c r="Z21" s="17" t="s">
        <v>35</v>
      </c>
      <c r="AA21" s="17" t="s">
        <v>35</v>
      </c>
    </row>
    <row r="22" spans="1:27" ht="30" customHeight="1">
      <c r="A22" s="12" t="s">
        <v>113</v>
      </c>
      <c r="B22" s="17"/>
      <c r="C22" s="17"/>
      <c r="D22" s="17"/>
      <c r="E22" s="17"/>
      <c r="F22" s="17"/>
      <c r="G22" s="17"/>
      <c r="H22" s="17"/>
      <c r="I22" s="17"/>
      <c r="J22" s="17"/>
      <c r="K22" s="17"/>
      <c r="L22" s="17"/>
      <c r="M22" s="17"/>
      <c r="N22" s="17"/>
      <c r="O22" s="17"/>
      <c r="P22" s="17"/>
      <c r="Q22" s="17"/>
      <c r="R22" s="17"/>
      <c r="S22" s="17"/>
      <c r="T22" s="17"/>
      <c r="U22" s="17"/>
      <c r="V22" s="17"/>
      <c r="W22" s="17"/>
      <c r="X22" s="17"/>
      <c r="Y22" s="17"/>
      <c r="Z22" s="17"/>
      <c r="AA22" s="17"/>
    </row>
    <row r="23" spans="1:27">
      <c r="A23" s="13" t="s">
        <v>5</v>
      </c>
      <c r="B23" s="18" t="s">
        <v>6</v>
      </c>
      <c r="C23" s="18" t="s">
        <v>7</v>
      </c>
      <c r="D23" s="18" t="s">
        <v>8</v>
      </c>
      <c r="E23" s="18" t="s">
        <v>9</v>
      </c>
      <c r="F23" s="18" t="s">
        <v>10</v>
      </c>
      <c r="G23" s="18" t="s">
        <v>11</v>
      </c>
      <c r="H23" s="18" t="s">
        <v>12</v>
      </c>
      <c r="I23" s="18" t="s">
        <v>13</v>
      </c>
      <c r="J23" s="18" t="s">
        <v>14</v>
      </c>
      <c r="K23" s="18" t="s">
        <v>15</v>
      </c>
      <c r="L23" s="18" t="s">
        <v>16</v>
      </c>
      <c r="M23" s="18" t="s">
        <v>17</v>
      </c>
      <c r="N23" s="18" t="s">
        <v>18</v>
      </c>
      <c r="O23" s="18" t="s">
        <v>19</v>
      </c>
      <c r="P23" s="18" t="s">
        <v>20</v>
      </c>
      <c r="Q23" s="18" t="s">
        <v>21</v>
      </c>
      <c r="R23" s="18" t="s">
        <v>22</v>
      </c>
      <c r="S23" s="18" t="s">
        <v>23</v>
      </c>
      <c r="T23" s="18" t="s">
        <v>24</v>
      </c>
      <c r="U23" s="18" t="s">
        <v>25</v>
      </c>
      <c r="V23" s="18" t="s">
        <v>26</v>
      </c>
      <c r="W23" s="18" t="s">
        <v>27</v>
      </c>
      <c r="X23" s="18" t="s">
        <v>28</v>
      </c>
      <c r="Y23" s="18" t="s">
        <v>29</v>
      </c>
      <c r="Z23" s="18" t="s">
        <v>30</v>
      </c>
      <c r="AA23" s="18" t="s">
        <v>31</v>
      </c>
    </row>
    <row r="24" spans="1:27">
      <c r="A24" s="13" t="s">
        <v>32</v>
      </c>
      <c r="B24" s="15">
        <v>0.49508239999999998</v>
      </c>
      <c r="C24" s="15">
        <v>0.49183529999999998</v>
      </c>
      <c r="D24" s="15">
        <v>0.45778000000000002</v>
      </c>
      <c r="E24" s="15">
        <v>0.4283054</v>
      </c>
      <c r="F24" s="15">
        <v>0.39523950000000002</v>
      </c>
      <c r="G24" s="15">
        <v>0.37891910000000001</v>
      </c>
      <c r="H24" s="15">
        <v>0.34114630000000001</v>
      </c>
      <c r="I24" s="15">
        <v>0.30955690000000002</v>
      </c>
      <c r="J24" s="15">
        <v>0.2726788</v>
      </c>
      <c r="K24" s="15">
        <v>0.25810660000000002</v>
      </c>
      <c r="L24" s="15">
        <v>0.24968180000000001</v>
      </c>
      <c r="M24" s="15">
        <v>0.24055480000000001</v>
      </c>
      <c r="N24" s="15">
        <v>0.24093719999999999</v>
      </c>
      <c r="O24" s="15">
        <v>0.23671420000000001</v>
      </c>
      <c r="P24" s="15">
        <v>0.23137369999999999</v>
      </c>
      <c r="Q24" s="15">
        <v>0.21533070000000001</v>
      </c>
      <c r="R24" s="15">
        <v>0.21545400000000001</v>
      </c>
      <c r="S24" s="15">
        <v>0.22131410000000001</v>
      </c>
      <c r="T24" s="15">
        <v>0.2198638</v>
      </c>
      <c r="U24" s="15">
        <v>0.22061359999999999</v>
      </c>
      <c r="V24" s="15">
        <v>0.21252960000000001</v>
      </c>
      <c r="W24" s="15">
        <v>0.21870529999999999</v>
      </c>
      <c r="X24" s="15">
        <v>0.20637730000000001</v>
      </c>
      <c r="Y24" s="15">
        <v>0.21486730000000001</v>
      </c>
      <c r="Z24" s="15">
        <v>0.21321499999999999</v>
      </c>
      <c r="AA24" s="15">
        <v>0.20818980000000001</v>
      </c>
    </row>
    <row r="25" spans="1:27">
      <c r="A25" s="13" t="s">
        <v>36</v>
      </c>
      <c r="B25" s="15">
        <v>0.41471170000000002</v>
      </c>
      <c r="C25" s="15">
        <v>0.40023550000000002</v>
      </c>
      <c r="D25" s="15">
        <v>0.3589098</v>
      </c>
      <c r="E25" s="15">
        <v>0.34698099999999998</v>
      </c>
      <c r="F25" s="15">
        <v>0.31093759999999998</v>
      </c>
      <c r="G25" s="15">
        <v>0.30387259999999999</v>
      </c>
      <c r="H25" s="15">
        <v>0.27387729999999999</v>
      </c>
      <c r="I25" s="15">
        <v>0.2629688</v>
      </c>
      <c r="J25" s="15">
        <v>0.23989440000000001</v>
      </c>
      <c r="K25" s="15">
        <v>0.23294480000000001</v>
      </c>
      <c r="L25" s="15">
        <v>0.22633339999999999</v>
      </c>
      <c r="M25" s="15">
        <v>0.22117990000000001</v>
      </c>
      <c r="N25" s="15">
        <v>0.21900430000000001</v>
      </c>
      <c r="O25" s="15">
        <v>0.22053680000000001</v>
      </c>
      <c r="P25" s="15">
        <v>0.21248529999999999</v>
      </c>
      <c r="Q25" s="15">
        <v>0.20061780000000001</v>
      </c>
      <c r="R25" s="15">
        <v>0.19791520000000001</v>
      </c>
      <c r="S25" s="15">
        <v>0.20894579999999999</v>
      </c>
      <c r="T25" s="15">
        <v>0.20346249999999999</v>
      </c>
      <c r="U25" s="15">
        <v>0.2027166</v>
      </c>
      <c r="V25" s="15">
        <v>0.19276740000000001</v>
      </c>
      <c r="W25" s="15">
        <v>0.1943743</v>
      </c>
      <c r="X25" s="15">
        <v>0.18468029999999999</v>
      </c>
      <c r="Y25" s="15">
        <v>0.18935740000000001</v>
      </c>
      <c r="Z25" s="15">
        <v>0.1951444</v>
      </c>
      <c r="AA25" s="15">
        <v>0.17543819999999999</v>
      </c>
    </row>
    <row r="26" spans="1:27">
      <c r="A26" s="13" t="s">
        <v>37</v>
      </c>
      <c r="B26" s="15">
        <v>0.66408469999999997</v>
      </c>
      <c r="C26" s="15">
        <v>0.68543580000000004</v>
      </c>
      <c r="D26" s="15">
        <v>0.67063099999999998</v>
      </c>
      <c r="E26" s="15">
        <v>0.60813240000000002</v>
      </c>
      <c r="F26" s="15">
        <v>0.59044280000000005</v>
      </c>
      <c r="G26" s="15">
        <v>0.55970350000000002</v>
      </c>
      <c r="H26" s="15">
        <v>0.51268689999999995</v>
      </c>
      <c r="I26" s="15">
        <v>0.43237110000000001</v>
      </c>
      <c r="J26" s="15">
        <v>0.36324689999999998</v>
      </c>
      <c r="K26" s="15">
        <v>0.32993929999999999</v>
      </c>
      <c r="L26" s="15">
        <v>0.31874789999999997</v>
      </c>
      <c r="M26" s="15">
        <v>0.30214479999999999</v>
      </c>
      <c r="N26" s="15">
        <v>0.31720559999999998</v>
      </c>
      <c r="O26" s="15">
        <v>0.29533540000000003</v>
      </c>
      <c r="P26" s="15">
        <v>0.29859000000000002</v>
      </c>
      <c r="Q26" s="15">
        <v>0.26574740000000002</v>
      </c>
      <c r="R26" s="15">
        <v>0.27771220000000002</v>
      </c>
      <c r="S26" s="15">
        <v>0.26611829999999997</v>
      </c>
      <c r="T26" s="15">
        <v>0.27671869999999998</v>
      </c>
      <c r="U26" s="15">
        <v>0.28206500000000001</v>
      </c>
      <c r="V26" s="15">
        <v>0.27964990000000001</v>
      </c>
      <c r="W26" s="15">
        <v>0.29331360000000001</v>
      </c>
      <c r="X26" s="15">
        <v>0.26988990000000002</v>
      </c>
      <c r="Y26" s="15">
        <v>0.29356339999999997</v>
      </c>
      <c r="Z26" s="15">
        <v>0.27569830000000001</v>
      </c>
      <c r="AA26" s="15">
        <v>0.31833299999999998</v>
      </c>
    </row>
    <row r="27" spans="1:27" ht="30" customHeight="1">
      <c r="A27" s="12" t="s">
        <v>114</v>
      </c>
      <c r="B27" s="15"/>
      <c r="C27" s="15"/>
      <c r="D27" s="15"/>
      <c r="E27" s="15"/>
      <c r="F27" s="15"/>
      <c r="G27" s="15"/>
      <c r="H27" s="15"/>
      <c r="I27" s="15"/>
      <c r="J27" s="15"/>
      <c r="K27" s="15"/>
      <c r="L27" s="15"/>
      <c r="M27" s="15"/>
      <c r="N27" s="15"/>
      <c r="O27" s="15"/>
      <c r="P27" s="15"/>
      <c r="Q27" s="15"/>
      <c r="R27" s="15"/>
      <c r="S27" s="15"/>
      <c r="T27" s="15"/>
      <c r="U27" s="15"/>
      <c r="V27" s="15"/>
      <c r="W27" s="15"/>
      <c r="X27" s="15"/>
      <c r="Y27" s="15"/>
      <c r="Z27" s="15"/>
      <c r="AA27" s="15"/>
    </row>
    <row r="28" spans="1:27">
      <c r="A28" s="13" t="s">
        <v>5</v>
      </c>
      <c r="B28" s="16" t="s">
        <v>6</v>
      </c>
      <c r="C28" s="16" t="s">
        <v>7</v>
      </c>
      <c r="D28" s="16" t="s">
        <v>8</v>
      </c>
      <c r="E28" s="16" t="s">
        <v>9</v>
      </c>
      <c r="F28" s="16" t="s">
        <v>10</v>
      </c>
      <c r="G28" s="16" t="s">
        <v>11</v>
      </c>
      <c r="H28" s="16" t="s">
        <v>12</v>
      </c>
      <c r="I28" s="16" t="s">
        <v>13</v>
      </c>
      <c r="J28" s="16" t="s">
        <v>14</v>
      </c>
      <c r="K28" s="16" t="s">
        <v>15</v>
      </c>
      <c r="L28" s="16" t="s">
        <v>16</v>
      </c>
      <c r="M28" s="16" t="s">
        <v>17</v>
      </c>
      <c r="N28" s="16" t="s">
        <v>18</v>
      </c>
      <c r="O28" s="16" t="s">
        <v>19</v>
      </c>
      <c r="P28" s="16" t="s">
        <v>20</v>
      </c>
      <c r="Q28" s="16" t="s">
        <v>21</v>
      </c>
      <c r="R28" s="16" t="s">
        <v>22</v>
      </c>
      <c r="S28" s="16" t="s">
        <v>23</v>
      </c>
      <c r="T28" s="16" t="s">
        <v>24</v>
      </c>
      <c r="U28" s="16" t="s">
        <v>25</v>
      </c>
      <c r="V28" s="16" t="s">
        <v>26</v>
      </c>
      <c r="W28" s="16" t="s">
        <v>27</v>
      </c>
      <c r="X28" s="16" t="s">
        <v>28</v>
      </c>
      <c r="Y28" s="16" t="s">
        <v>29</v>
      </c>
      <c r="Z28" s="16" t="s">
        <v>30</v>
      </c>
      <c r="AA28" s="16" t="s">
        <v>31</v>
      </c>
    </row>
    <row r="29" spans="1:27">
      <c r="A29" s="13" t="s">
        <v>32</v>
      </c>
      <c r="B29" s="15">
        <v>1</v>
      </c>
      <c r="C29" s="15">
        <v>1</v>
      </c>
      <c r="D29" s="15">
        <v>1</v>
      </c>
      <c r="E29" s="15">
        <v>1</v>
      </c>
      <c r="F29" s="15">
        <v>1</v>
      </c>
      <c r="G29" s="15">
        <v>1</v>
      </c>
      <c r="H29" s="15">
        <v>1</v>
      </c>
      <c r="I29" s="15">
        <v>1</v>
      </c>
      <c r="J29" s="15">
        <v>1</v>
      </c>
      <c r="K29" s="15">
        <v>1</v>
      </c>
      <c r="L29" s="15">
        <v>1</v>
      </c>
      <c r="M29" s="15">
        <v>1</v>
      </c>
      <c r="N29" s="15">
        <v>1</v>
      </c>
      <c r="O29" s="15">
        <v>1</v>
      </c>
      <c r="P29" s="15">
        <v>1</v>
      </c>
      <c r="Q29" s="15">
        <v>1</v>
      </c>
      <c r="R29" s="15">
        <v>1</v>
      </c>
      <c r="S29" s="15">
        <v>1</v>
      </c>
      <c r="T29" s="15">
        <v>1</v>
      </c>
      <c r="U29" s="15">
        <v>1</v>
      </c>
      <c r="V29" s="15">
        <v>1</v>
      </c>
      <c r="W29" s="15">
        <v>1</v>
      </c>
      <c r="X29" s="15">
        <v>1</v>
      </c>
      <c r="Y29" s="15">
        <v>1</v>
      </c>
      <c r="Z29" s="15">
        <v>1</v>
      </c>
      <c r="AA29" s="15">
        <v>1</v>
      </c>
    </row>
    <row r="30" spans="1:27">
      <c r="A30" s="13" t="s">
        <v>36</v>
      </c>
      <c r="B30" s="15">
        <v>0.57032680000000002</v>
      </c>
      <c r="C30" s="15">
        <v>0.55336969999999996</v>
      </c>
      <c r="D30" s="15">
        <v>0.53566440000000004</v>
      </c>
      <c r="E30" s="15">
        <v>0.55676590000000004</v>
      </c>
      <c r="F30" s="15">
        <v>0.54737040000000003</v>
      </c>
      <c r="G30" s="15">
        <v>0.56399949999999999</v>
      </c>
      <c r="H30" s="15">
        <v>0.5811115</v>
      </c>
      <c r="I30" s="15">
        <v>0.62216099999999996</v>
      </c>
      <c r="J30" s="15">
        <v>0.64695639999999999</v>
      </c>
      <c r="K30" s="15">
        <v>0.669404</v>
      </c>
      <c r="L30" s="15">
        <v>0.6786124</v>
      </c>
      <c r="M30" s="15">
        <v>0.69975039999999999</v>
      </c>
      <c r="N30" s="15">
        <v>0.7040189</v>
      </c>
      <c r="O30" s="15">
        <v>0.7250162</v>
      </c>
      <c r="P30" s="15">
        <v>0.71212600000000004</v>
      </c>
      <c r="Q30" s="15">
        <v>0.71889369999999997</v>
      </c>
      <c r="R30" s="15">
        <v>0.71853</v>
      </c>
      <c r="S30" s="15">
        <v>0.73785619999999996</v>
      </c>
      <c r="T30" s="15">
        <v>0.71760590000000002</v>
      </c>
      <c r="U30" s="15">
        <v>0.70979049999999999</v>
      </c>
      <c r="V30" s="15">
        <v>0.6997139</v>
      </c>
      <c r="W30" s="15">
        <v>0.67695249999999996</v>
      </c>
      <c r="X30" s="15">
        <v>0.67652290000000004</v>
      </c>
      <c r="Y30" s="15">
        <v>0.67097030000000002</v>
      </c>
      <c r="Z30" s="15">
        <v>0.70762840000000005</v>
      </c>
      <c r="AA30" s="15">
        <v>0.647895</v>
      </c>
    </row>
    <row r="31" spans="1:27">
      <c r="A31" s="13" t="s">
        <v>37</v>
      </c>
      <c r="B31" s="15">
        <v>0.42967319999999998</v>
      </c>
      <c r="C31" s="15">
        <v>0.44663029999999998</v>
      </c>
      <c r="D31" s="15">
        <v>0.46433560000000001</v>
      </c>
      <c r="E31" s="15">
        <v>0.44323410000000002</v>
      </c>
      <c r="F31" s="15">
        <v>0.45262960000000002</v>
      </c>
      <c r="G31" s="15">
        <v>0.43600050000000001</v>
      </c>
      <c r="H31" s="15">
        <v>0.4188885</v>
      </c>
      <c r="I31" s="15">
        <v>0.37783899999999998</v>
      </c>
      <c r="J31" s="15">
        <v>0.35304360000000001</v>
      </c>
      <c r="K31" s="15">
        <v>0.330596</v>
      </c>
      <c r="L31" s="15">
        <v>0.3213876</v>
      </c>
      <c r="M31" s="15">
        <v>0.30024960000000001</v>
      </c>
      <c r="N31" s="15">
        <v>0.2959811</v>
      </c>
      <c r="O31" s="15">
        <v>0.2749838</v>
      </c>
      <c r="P31" s="15">
        <v>0.28787400000000002</v>
      </c>
      <c r="Q31" s="15">
        <v>0.28110629999999998</v>
      </c>
      <c r="R31" s="15">
        <v>0.28147</v>
      </c>
      <c r="S31" s="15">
        <v>0.26214379999999998</v>
      </c>
      <c r="T31" s="15">
        <v>0.28239409999999998</v>
      </c>
      <c r="U31" s="15">
        <v>0.29020950000000001</v>
      </c>
      <c r="V31" s="15">
        <v>0.3002861</v>
      </c>
      <c r="W31" s="15">
        <v>0.32304749999999999</v>
      </c>
      <c r="X31" s="15">
        <v>0.32347710000000002</v>
      </c>
      <c r="Y31" s="15">
        <v>0.32902969999999998</v>
      </c>
      <c r="Z31" s="15">
        <v>0.29237160000000001</v>
      </c>
      <c r="AA31" s="15">
        <v>0.352105</v>
      </c>
    </row>
    <row r="32" spans="1:27" ht="30" customHeight="1">
      <c r="A32" s="12" t="s">
        <v>115</v>
      </c>
      <c r="B32" s="15"/>
      <c r="C32" s="15"/>
      <c r="D32" s="15"/>
      <c r="E32" s="15"/>
      <c r="F32" s="15"/>
      <c r="G32" s="15"/>
      <c r="H32" s="15"/>
      <c r="I32" s="15"/>
      <c r="J32" s="15"/>
      <c r="K32" s="15"/>
      <c r="L32" s="15"/>
      <c r="M32" s="15"/>
      <c r="N32" s="15"/>
      <c r="O32" s="15"/>
      <c r="P32" s="15"/>
      <c r="Q32" s="15"/>
      <c r="R32" s="15"/>
      <c r="S32" s="15"/>
      <c r="T32" s="15"/>
      <c r="U32" s="15"/>
      <c r="V32" s="15"/>
      <c r="W32" s="15"/>
      <c r="X32" s="15"/>
      <c r="Y32" s="15"/>
      <c r="Z32" s="15"/>
      <c r="AA32" s="15"/>
    </row>
    <row r="33" spans="1:27">
      <c r="A33" s="13" t="s">
        <v>5</v>
      </c>
      <c r="B33" s="16" t="s">
        <v>6</v>
      </c>
      <c r="C33" s="16" t="s">
        <v>7</v>
      </c>
      <c r="D33" s="16" t="s">
        <v>8</v>
      </c>
      <c r="E33" s="16" t="s">
        <v>9</v>
      </c>
      <c r="F33" s="16" t="s">
        <v>10</v>
      </c>
      <c r="G33" s="16" t="s">
        <v>11</v>
      </c>
      <c r="H33" s="16" t="s">
        <v>12</v>
      </c>
      <c r="I33" s="16" t="s">
        <v>13</v>
      </c>
      <c r="J33" s="16" t="s">
        <v>14</v>
      </c>
      <c r="K33" s="16" t="s">
        <v>15</v>
      </c>
      <c r="L33" s="16" t="s">
        <v>16</v>
      </c>
      <c r="M33" s="16" t="s">
        <v>17</v>
      </c>
      <c r="N33" s="16" t="s">
        <v>18</v>
      </c>
      <c r="O33" s="16" t="s">
        <v>19</v>
      </c>
      <c r="P33" s="16" t="s">
        <v>20</v>
      </c>
      <c r="Q33" s="16" t="s">
        <v>21</v>
      </c>
      <c r="R33" s="16" t="s">
        <v>22</v>
      </c>
      <c r="S33" s="16" t="s">
        <v>23</v>
      </c>
      <c r="T33" s="16" t="s">
        <v>24</v>
      </c>
      <c r="U33" s="16" t="s">
        <v>25</v>
      </c>
      <c r="V33" s="16" t="s">
        <v>26</v>
      </c>
      <c r="W33" s="16" t="s">
        <v>27</v>
      </c>
      <c r="X33" s="16" t="s">
        <v>28</v>
      </c>
      <c r="Y33" s="16" t="s">
        <v>29</v>
      </c>
      <c r="Z33" s="16" t="s">
        <v>30</v>
      </c>
      <c r="AA33" s="16" t="s">
        <v>31</v>
      </c>
    </row>
    <row r="34" spans="1:27">
      <c r="A34" s="13" t="s">
        <v>32</v>
      </c>
      <c r="B34" s="17">
        <v>550000</v>
      </c>
      <c r="C34" s="17">
        <v>540000</v>
      </c>
      <c r="D34" s="17">
        <v>500000</v>
      </c>
      <c r="E34" s="17">
        <v>460000</v>
      </c>
      <c r="F34" s="17">
        <v>420000</v>
      </c>
      <c r="G34" s="17">
        <v>400000</v>
      </c>
      <c r="H34" s="17">
        <v>360000</v>
      </c>
      <c r="I34" s="17">
        <v>320000</v>
      </c>
      <c r="J34" s="17">
        <v>280000</v>
      </c>
      <c r="K34" s="17">
        <v>260000</v>
      </c>
      <c r="L34" s="17">
        <v>250000</v>
      </c>
      <c r="M34" s="17">
        <v>240000</v>
      </c>
      <c r="N34" s="17">
        <v>240000</v>
      </c>
      <c r="O34" s="17">
        <v>240000</v>
      </c>
      <c r="P34" s="17">
        <v>230000</v>
      </c>
      <c r="Q34" s="17">
        <v>210000</v>
      </c>
      <c r="R34" s="17">
        <v>210000</v>
      </c>
      <c r="S34" s="17">
        <v>220000</v>
      </c>
      <c r="T34" s="17">
        <v>220000</v>
      </c>
      <c r="U34" s="17">
        <v>220000</v>
      </c>
      <c r="V34" s="17">
        <v>210000</v>
      </c>
      <c r="W34" s="17">
        <v>220000</v>
      </c>
      <c r="X34" s="17">
        <v>200000</v>
      </c>
      <c r="Y34" s="17">
        <v>210000</v>
      </c>
      <c r="Z34" s="17">
        <v>210000</v>
      </c>
      <c r="AA34" s="17">
        <v>210000</v>
      </c>
    </row>
    <row r="35" spans="1:27">
      <c r="A35" s="13" t="s">
        <v>36</v>
      </c>
      <c r="B35" s="17">
        <v>310000</v>
      </c>
      <c r="C35" s="17">
        <v>300000</v>
      </c>
      <c r="D35" s="17">
        <v>270000</v>
      </c>
      <c r="E35" s="17">
        <v>260000</v>
      </c>
      <c r="F35" s="17">
        <v>230000</v>
      </c>
      <c r="G35" s="17">
        <v>230000</v>
      </c>
      <c r="H35" s="17">
        <v>210000</v>
      </c>
      <c r="I35" s="17">
        <v>200000</v>
      </c>
      <c r="J35" s="17">
        <v>180000</v>
      </c>
      <c r="K35" s="17">
        <v>170000</v>
      </c>
      <c r="L35" s="17">
        <v>170000</v>
      </c>
      <c r="M35" s="17">
        <v>170000</v>
      </c>
      <c r="N35" s="17">
        <v>170000</v>
      </c>
      <c r="O35" s="17">
        <v>170000</v>
      </c>
      <c r="P35" s="17">
        <v>160000</v>
      </c>
      <c r="Q35" s="17">
        <v>150000</v>
      </c>
      <c r="R35" s="17">
        <v>150000</v>
      </c>
      <c r="S35" s="17">
        <v>160000</v>
      </c>
      <c r="T35" s="17">
        <v>160000</v>
      </c>
      <c r="U35" s="17">
        <v>150000</v>
      </c>
      <c r="V35" s="17">
        <v>150000</v>
      </c>
      <c r="W35" s="17">
        <v>150000</v>
      </c>
      <c r="X35" s="17">
        <v>140000</v>
      </c>
      <c r="Y35" s="17">
        <v>140000</v>
      </c>
      <c r="Z35" s="17">
        <v>150000</v>
      </c>
      <c r="AA35" s="17">
        <v>140000</v>
      </c>
    </row>
    <row r="36" spans="1:27">
      <c r="A36" s="13" t="s">
        <v>37</v>
      </c>
      <c r="B36" s="17">
        <v>230000</v>
      </c>
      <c r="C36" s="17">
        <v>240000</v>
      </c>
      <c r="D36" s="17">
        <v>230000</v>
      </c>
      <c r="E36" s="17">
        <v>200000</v>
      </c>
      <c r="F36" s="17">
        <v>190000</v>
      </c>
      <c r="G36" s="17">
        <v>180000</v>
      </c>
      <c r="H36" s="17">
        <v>150000</v>
      </c>
      <c r="I36" s="17">
        <v>120000</v>
      </c>
      <c r="J36" s="17">
        <v>100000</v>
      </c>
      <c r="K36" s="17">
        <v>90000</v>
      </c>
      <c r="L36" s="17">
        <v>80000</v>
      </c>
      <c r="M36" s="17">
        <v>70000</v>
      </c>
      <c r="N36" s="17">
        <v>70000</v>
      </c>
      <c r="O36" s="17">
        <v>60000</v>
      </c>
      <c r="P36" s="17">
        <v>70000</v>
      </c>
      <c r="Q36" s="17">
        <v>60000</v>
      </c>
      <c r="R36" s="17">
        <v>60000</v>
      </c>
      <c r="S36" s="17" t="s">
        <v>35</v>
      </c>
      <c r="T36" s="17" t="s">
        <v>35</v>
      </c>
      <c r="U36" s="17" t="s">
        <v>35</v>
      </c>
      <c r="V36" s="17" t="s">
        <v>35</v>
      </c>
      <c r="W36" s="17" t="s">
        <v>35</v>
      </c>
      <c r="X36" s="17" t="s">
        <v>35</v>
      </c>
      <c r="Y36" s="17" t="s">
        <v>35</v>
      </c>
      <c r="Z36" s="17" t="s">
        <v>35</v>
      </c>
      <c r="AA36" s="17" t="s">
        <v>35</v>
      </c>
    </row>
    <row r="37" spans="1:27" ht="30" customHeight="1">
      <c r="A37" s="12" t="s">
        <v>116</v>
      </c>
      <c r="B37" s="17"/>
      <c r="C37" s="17"/>
      <c r="D37" s="17"/>
      <c r="E37" s="17"/>
      <c r="F37" s="17"/>
      <c r="G37" s="17"/>
      <c r="H37" s="17"/>
      <c r="I37" s="17"/>
      <c r="J37" s="17"/>
      <c r="K37" s="17"/>
      <c r="L37" s="17"/>
      <c r="M37" s="17"/>
      <c r="N37" s="17"/>
      <c r="O37" s="17"/>
      <c r="P37" s="17"/>
      <c r="Q37" s="17"/>
      <c r="R37" s="17"/>
      <c r="S37" s="17"/>
      <c r="T37" s="17"/>
      <c r="U37" s="17"/>
      <c r="V37" s="17"/>
      <c r="W37" s="17"/>
      <c r="X37" s="17"/>
      <c r="Y37" s="17"/>
      <c r="Z37" s="17"/>
      <c r="AA37" s="17"/>
    </row>
    <row r="38" spans="1:27">
      <c r="A38" s="13" t="s">
        <v>5</v>
      </c>
      <c r="B38" s="18" t="s">
        <v>6</v>
      </c>
      <c r="C38" s="18" t="s">
        <v>7</v>
      </c>
      <c r="D38" s="18" t="s">
        <v>8</v>
      </c>
      <c r="E38" s="18" t="s">
        <v>9</v>
      </c>
      <c r="F38" s="18" t="s">
        <v>10</v>
      </c>
      <c r="G38" s="18" t="s">
        <v>11</v>
      </c>
      <c r="H38" s="18" t="s">
        <v>12</v>
      </c>
      <c r="I38" s="18" t="s">
        <v>13</v>
      </c>
      <c r="J38" s="18" t="s">
        <v>14</v>
      </c>
      <c r="K38" s="18" t="s">
        <v>15</v>
      </c>
      <c r="L38" s="18" t="s">
        <v>16</v>
      </c>
      <c r="M38" s="18" t="s">
        <v>17</v>
      </c>
      <c r="N38" s="18" t="s">
        <v>18</v>
      </c>
      <c r="O38" s="18" t="s">
        <v>19</v>
      </c>
      <c r="P38" s="18" t="s">
        <v>20</v>
      </c>
      <c r="Q38" s="18" t="s">
        <v>21</v>
      </c>
      <c r="R38" s="18" t="s">
        <v>22</v>
      </c>
      <c r="S38" s="18" t="s">
        <v>23</v>
      </c>
      <c r="T38" s="18" t="s">
        <v>24</v>
      </c>
      <c r="U38" s="18" t="s">
        <v>25</v>
      </c>
      <c r="V38" s="18" t="s">
        <v>26</v>
      </c>
      <c r="W38" s="18" t="s">
        <v>27</v>
      </c>
      <c r="X38" s="18" t="s">
        <v>28</v>
      </c>
      <c r="Y38" s="18" t="s">
        <v>29</v>
      </c>
      <c r="Z38" s="18" t="s">
        <v>30</v>
      </c>
      <c r="AA38" s="18" t="s">
        <v>31</v>
      </c>
    </row>
    <row r="39" spans="1:27">
      <c r="A39" s="13" t="s">
        <v>32</v>
      </c>
      <c r="B39" s="15" t="s">
        <v>99</v>
      </c>
      <c r="C39" s="15" t="s">
        <v>99</v>
      </c>
      <c r="D39" s="15" t="s">
        <v>99</v>
      </c>
      <c r="E39" s="15" t="s">
        <v>99</v>
      </c>
      <c r="F39" s="15" t="s">
        <v>99</v>
      </c>
      <c r="G39" s="15" t="s">
        <v>99</v>
      </c>
      <c r="H39" s="15" t="s">
        <v>99</v>
      </c>
      <c r="I39" s="15" t="s">
        <v>99</v>
      </c>
      <c r="J39" s="15" t="s">
        <v>99</v>
      </c>
      <c r="K39" s="15" t="s">
        <v>99</v>
      </c>
      <c r="L39" s="15">
        <v>0.15674099999999999</v>
      </c>
      <c r="M39" s="15">
        <v>0.15043819999999999</v>
      </c>
      <c r="N39" s="15">
        <v>0.16121170000000001</v>
      </c>
      <c r="O39" s="15">
        <v>0.16044269999999999</v>
      </c>
      <c r="P39" s="15">
        <v>0.15772449999999999</v>
      </c>
      <c r="Q39" s="15" t="s">
        <v>98</v>
      </c>
      <c r="R39" s="15">
        <v>0.1183056</v>
      </c>
      <c r="S39" s="15">
        <v>0.12175800000000001</v>
      </c>
      <c r="T39" s="15">
        <v>0.12656249999999999</v>
      </c>
      <c r="U39" s="15">
        <v>0.12551419999999999</v>
      </c>
      <c r="V39" s="15">
        <v>0.1152852</v>
      </c>
      <c r="W39" s="15">
        <v>0.1210937</v>
      </c>
      <c r="X39" s="15">
        <v>0.12252349999999999</v>
      </c>
      <c r="Y39" s="15">
        <v>0.12522369999999999</v>
      </c>
      <c r="Z39" s="15">
        <v>0.1194209</v>
      </c>
      <c r="AA39" s="15">
        <v>0.105203</v>
      </c>
    </row>
    <row r="40" spans="1:27">
      <c r="A40" s="13" t="s">
        <v>36</v>
      </c>
      <c r="B40" s="15" t="s">
        <v>99</v>
      </c>
      <c r="C40" s="15" t="s">
        <v>99</v>
      </c>
      <c r="D40" s="15" t="s">
        <v>99</v>
      </c>
      <c r="E40" s="15" t="s">
        <v>99</v>
      </c>
      <c r="F40" s="15" t="s">
        <v>99</v>
      </c>
      <c r="G40" s="15" t="s">
        <v>99</v>
      </c>
      <c r="H40" s="15" t="s">
        <v>99</v>
      </c>
      <c r="I40" s="15" t="s">
        <v>99</v>
      </c>
      <c r="J40" s="15" t="s">
        <v>99</v>
      </c>
      <c r="K40" s="15" t="s">
        <v>99</v>
      </c>
      <c r="L40" s="15">
        <v>0.13975670000000001</v>
      </c>
      <c r="M40" s="15">
        <v>0.1298791</v>
      </c>
      <c r="N40" s="15">
        <v>0.13537009999999999</v>
      </c>
      <c r="O40" s="15">
        <v>0.13408300000000001</v>
      </c>
      <c r="P40" s="15">
        <v>0.12668109999999999</v>
      </c>
      <c r="Q40" s="15" t="s">
        <v>98</v>
      </c>
      <c r="R40" s="15">
        <v>0.1039904</v>
      </c>
      <c r="S40" s="15">
        <v>0.10846790000000001</v>
      </c>
      <c r="T40" s="15">
        <v>0.10432959999999999</v>
      </c>
      <c r="U40" s="15">
        <v>9.7706200000000007E-2</v>
      </c>
      <c r="V40" s="15">
        <v>9.4623299999999994E-2</v>
      </c>
      <c r="W40" s="15">
        <v>9.6436800000000003E-2</v>
      </c>
      <c r="X40" s="15">
        <v>0.1026572</v>
      </c>
      <c r="Y40" s="15">
        <v>0.10212160000000001</v>
      </c>
      <c r="Z40" s="15">
        <v>0.1049418</v>
      </c>
      <c r="AA40" s="15">
        <v>8.3837099999999998E-2</v>
      </c>
    </row>
    <row r="41" spans="1:27">
      <c r="A41" s="13" t="s">
        <v>37</v>
      </c>
      <c r="B41" s="15" t="s">
        <v>99</v>
      </c>
      <c r="C41" s="15" t="s">
        <v>99</v>
      </c>
      <c r="D41" s="15" t="s">
        <v>99</v>
      </c>
      <c r="E41" s="15" t="s">
        <v>99</v>
      </c>
      <c r="F41" s="15" t="s">
        <v>99</v>
      </c>
      <c r="G41" s="15" t="s">
        <v>99</v>
      </c>
      <c r="H41" s="15" t="s">
        <v>99</v>
      </c>
      <c r="I41" s="15" t="s">
        <v>99</v>
      </c>
      <c r="J41" s="15" t="s">
        <v>99</v>
      </c>
      <c r="K41" s="15" t="s">
        <v>99</v>
      </c>
      <c r="L41" s="15">
        <v>0.20772879999999999</v>
      </c>
      <c r="M41" s="15">
        <v>0.21661369999999999</v>
      </c>
      <c r="N41" s="15">
        <v>0.2512703</v>
      </c>
      <c r="O41" s="15">
        <v>0.25363599999999997</v>
      </c>
      <c r="P41" s="15">
        <v>0.26591209999999998</v>
      </c>
      <c r="Q41" s="15" t="s">
        <v>98</v>
      </c>
      <c r="R41" s="15">
        <v>0.1683769</v>
      </c>
      <c r="S41" s="15">
        <v>0.16798489999999999</v>
      </c>
      <c r="T41" s="15">
        <v>0.20236199999999999</v>
      </c>
      <c r="U41" s="15">
        <v>0.2210512</v>
      </c>
      <c r="V41" s="15">
        <v>0.18704670000000001</v>
      </c>
      <c r="W41" s="15">
        <v>0.19844390000000001</v>
      </c>
      <c r="X41" s="15">
        <v>0.18020320000000001</v>
      </c>
      <c r="Y41" s="15">
        <v>0.19498940000000001</v>
      </c>
      <c r="Z41" s="15">
        <v>0.16856389999999999</v>
      </c>
      <c r="AA41" s="15">
        <v>0.1767637</v>
      </c>
    </row>
    <row r="42" spans="1:27" ht="30" customHeight="1">
      <c r="A42" s="12" t="s">
        <v>117</v>
      </c>
      <c r="B42" s="15"/>
      <c r="C42" s="15"/>
      <c r="D42" s="15"/>
      <c r="E42" s="15"/>
      <c r="F42" s="15"/>
      <c r="G42" s="15"/>
      <c r="H42" s="15"/>
      <c r="I42" s="15"/>
      <c r="J42" s="15"/>
      <c r="K42" s="15"/>
      <c r="L42" s="15"/>
      <c r="M42" s="15"/>
      <c r="N42" s="15"/>
      <c r="O42" s="15"/>
      <c r="P42" s="15"/>
      <c r="Q42" s="15"/>
      <c r="R42" s="15"/>
      <c r="S42" s="15"/>
      <c r="T42" s="15"/>
      <c r="U42" s="15"/>
      <c r="V42" s="15"/>
      <c r="W42" s="15"/>
      <c r="X42" s="15"/>
      <c r="Y42" s="15"/>
      <c r="Z42" s="15"/>
      <c r="AA42" s="15"/>
    </row>
    <row r="43" spans="1:27">
      <c r="A43" s="13" t="s">
        <v>5</v>
      </c>
      <c r="B43" s="16" t="s">
        <v>6</v>
      </c>
      <c r="C43" s="16" t="s">
        <v>7</v>
      </c>
      <c r="D43" s="16" t="s">
        <v>8</v>
      </c>
      <c r="E43" s="16" t="s">
        <v>9</v>
      </c>
      <c r="F43" s="16" t="s">
        <v>10</v>
      </c>
      <c r="G43" s="16" t="s">
        <v>11</v>
      </c>
      <c r="H43" s="16" t="s">
        <v>12</v>
      </c>
      <c r="I43" s="16" t="s">
        <v>13</v>
      </c>
      <c r="J43" s="16" t="s">
        <v>14</v>
      </c>
      <c r="K43" s="16" t="s">
        <v>15</v>
      </c>
      <c r="L43" s="16" t="s">
        <v>16</v>
      </c>
      <c r="M43" s="16" t="s">
        <v>17</v>
      </c>
      <c r="N43" s="16" t="s">
        <v>18</v>
      </c>
      <c r="O43" s="16" t="s">
        <v>19</v>
      </c>
      <c r="P43" s="16" t="s">
        <v>20</v>
      </c>
      <c r="Q43" s="16" t="s">
        <v>21</v>
      </c>
      <c r="R43" s="16" t="s">
        <v>22</v>
      </c>
      <c r="S43" s="16" t="s">
        <v>23</v>
      </c>
      <c r="T43" s="16" t="s">
        <v>24</v>
      </c>
      <c r="U43" s="16" t="s">
        <v>25</v>
      </c>
      <c r="V43" s="16" t="s">
        <v>26</v>
      </c>
      <c r="W43" s="16" t="s">
        <v>27</v>
      </c>
      <c r="X43" s="16" t="s">
        <v>28</v>
      </c>
      <c r="Y43" s="16" t="s">
        <v>29</v>
      </c>
      <c r="Z43" s="16" t="s">
        <v>30</v>
      </c>
      <c r="AA43" s="16" t="s">
        <v>31</v>
      </c>
    </row>
    <row r="44" spans="1:27">
      <c r="A44" s="13" t="s">
        <v>32</v>
      </c>
      <c r="B44" s="15" t="s">
        <v>99</v>
      </c>
      <c r="C44" s="15" t="s">
        <v>99</v>
      </c>
      <c r="D44" s="15" t="s">
        <v>99</v>
      </c>
      <c r="E44" s="15" t="s">
        <v>99</v>
      </c>
      <c r="F44" s="15" t="s">
        <v>99</v>
      </c>
      <c r="G44" s="15" t="s">
        <v>99</v>
      </c>
      <c r="H44" s="15" t="s">
        <v>99</v>
      </c>
      <c r="I44" s="15" t="s">
        <v>99</v>
      </c>
      <c r="J44" s="15" t="s">
        <v>99</v>
      </c>
      <c r="K44" s="15" t="s">
        <v>99</v>
      </c>
      <c r="L44" s="15">
        <v>1</v>
      </c>
      <c r="M44" s="15">
        <v>1</v>
      </c>
      <c r="N44" s="15">
        <v>1</v>
      </c>
      <c r="O44" s="15">
        <v>1</v>
      </c>
      <c r="P44" s="15">
        <v>1</v>
      </c>
      <c r="Q44" s="15" t="s">
        <v>98</v>
      </c>
      <c r="R44" s="15">
        <v>1</v>
      </c>
      <c r="S44" s="15">
        <v>1</v>
      </c>
      <c r="T44" s="15">
        <v>1</v>
      </c>
      <c r="U44" s="15">
        <v>1</v>
      </c>
      <c r="V44" s="15">
        <v>1</v>
      </c>
      <c r="W44" s="15">
        <v>1</v>
      </c>
      <c r="X44" s="15">
        <v>1</v>
      </c>
      <c r="Y44" s="15">
        <v>1</v>
      </c>
      <c r="Z44" s="15">
        <v>1</v>
      </c>
      <c r="AA44" s="15">
        <v>1</v>
      </c>
    </row>
    <row r="45" spans="1:27">
      <c r="A45" s="13" t="s">
        <v>36</v>
      </c>
      <c r="B45" s="15" t="s">
        <v>99</v>
      </c>
      <c r="C45" s="15" t="s">
        <v>99</v>
      </c>
      <c r="D45" s="15" t="s">
        <v>99</v>
      </c>
      <c r="E45" s="15" t="s">
        <v>99</v>
      </c>
      <c r="F45" s="15" t="s">
        <v>99</v>
      </c>
      <c r="G45" s="15" t="s">
        <v>99</v>
      </c>
      <c r="H45" s="15" t="s">
        <v>99</v>
      </c>
      <c r="I45" s="15" t="s">
        <v>99</v>
      </c>
      <c r="J45" s="15" t="s">
        <v>99</v>
      </c>
      <c r="K45" s="15" t="s">
        <v>99</v>
      </c>
      <c r="L45" s="15">
        <v>0.66621870000000005</v>
      </c>
      <c r="M45" s="15">
        <v>0.65776349999999995</v>
      </c>
      <c r="N45" s="15">
        <v>0.64998409999999995</v>
      </c>
      <c r="O45" s="15">
        <v>0.65011059999999998</v>
      </c>
      <c r="P45" s="15">
        <v>0.6225948</v>
      </c>
      <c r="Q45" s="15" t="s">
        <v>98</v>
      </c>
      <c r="R45" s="15">
        <v>0.69506489999999999</v>
      </c>
      <c r="S45" s="15">
        <v>0.70428210000000002</v>
      </c>
      <c r="T45" s="15">
        <v>0.64257730000000002</v>
      </c>
      <c r="U45" s="15">
        <v>0.60095089999999995</v>
      </c>
      <c r="V45" s="15">
        <v>0.63499419999999995</v>
      </c>
      <c r="W45" s="15">
        <v>0.6120196</v>
      </c>
      <c r="X45" s="15">
        <v>0.63906560000000001</v>
      </c>
      <c r="Y45" s="15">
        <v>0.624332</v>
      </c>
      <c r="Z45" s="15">
        <v>0.67792059999999998</v>
      </c>
      <c r="AA45" s="15">
        <v>0.60697190000000001</v>
      </c>
    </row>
    <row r="46" spans="1:27">
      <c r="A46" s="13" t="s">
        <v>37</v>
      </c>
      <c r="B46" s="15" t="s">
        <v>99</v>
      </c>
      <c r="C46" s="15" t="s">
        <v>99</v>
      </c>
      <c r="D46" s="15" t="s">
        <v>99</v>
      </c>
      <c r="E46" s="15" t="s">
        <v>99</v>
      </c>
      <c r="F46" s="15" t="s">
        <v>99</v>
      </c>
      <c r="G46" s="15" t="s">
        <v>99</v>
      </c>
      <c r="H46" s="15" t="s">
        <v>99</v>
      </c>
      <c r="I46" s="15" t="s">
        <v>99</v>
      </c>
      <c r="J46" s="15" t="s">
        <v>99</v>
      </c>
      <c r="K46" s="15" t="s">
        <v>99</v>
      </c>
      <c r="L46" s="15">
        <v>0.3337813</v>
      </c>
      <c r="M46" s="15">
        <v>0.3422365</v>
      </c>
      <c r="N46" s="15">
        <v>0.35001589999999999</v>
      </c>
      <c r="O46" s="15">
        <v>0.34988940000000002</v>
      </c>
      <c r="P46" s="15">
        <v>0.3774052</v>
      </c>
      <c r="Q46" s="15" t="s">
        <v>98</v>
      </c>
      <c r="R46" s="15">
        <v>0.30493510000000001</v>
      </c>
      <c r="S46" s="15">
        <v>0.29571789999999998</v>
      </c>
      <c r="T46" s="15">
        <v>0.35742269999999998</v>
      </c>
      <c r="U46" s="15">
        <v>0.39904909999999999</v>
      </c>
      <c r="V46" s="15">
        <v>0.36500579999999999</v>
      </c>
      <c r="W46" s="15">
        <v>0.3879804</v>
      </c>
      <c r="X46" s="15">
        <v>0.36093439999999999</v>
      </c>
      <c r="Y46" s="15">
        <v>0.375668</v>
      </c>
      <c r="Z46" s="15">
        <v>0.32207940000000002</v>
      </c>
      <c r="AA46" s="15">
        <v>0.39302809999999999</v>
      </c>
    </row>
    <row r="47" spans="1:27" ht="30" customHeight="1">
      <c r="A47" s="12" t="s">
        <v>118</v>
      </c>
      <c r="B47" s="15"/>
      <c r="C47" s="15"/>
      <c r="D47" s="15"/>
      <c r="E47" s="15"/>
      <c r="F47" s="15"/>
      <c r="G47" s="15"/>
      <c r="H47" s="15"/>
      <c r="I47" s="15"/>
      <c r="J47" s="15"/>
      <c r="K47" s="15"/>
      <c r="L47" s="15"/>
      <c r="M47" s="15"/>
      <c r="N47" s="15"/>
      <c r="O47" s="15"/>
      <c r="P47" s="15"/>
      <c r="Q47" s="15"/>
      <c r="R47" s="15"/>
      <c r="S47" s="15"/>
      <c r="T47" s="15"/>
      <c r="U47" s="15"/>
      <c r="V47" s="15"/>
      <c r="W47" s="15"/>
      <c r="X47" s="15"/>
      <c r="Y47" s="15"/>
      <c r="Z47" s="15"/>
      <c r="AA47" s="15"/>
    </row>
    <row r="48" spans="1:27">
      <c r="A48" s="13" t="s">
        <v>5</v>
      </c>
      <c r="B48" s="16" t="s">
        <v>6</v>
      </c>
      <c r="C48" s="16" t="s">
        <v>7</v>
      </c>
      <c r="D48" s="16" t="s">
        <v>8</v>
      </c>
      <c r="E48" s="16" t="s">
        <v>9</v>
      </c>
      <c r="F48" s="16" t="s">
        <v>10</v>
      </c>
      <c r="G48" s="16" t="s">
        <v>11</v>
      </c>
      <c r="H48" s="16" t="s">
        <v>12</v>
      </c>
      <c r="I48" s="16" t="s">
        <v>13</v>
      </c>
      <c r="J48" s="16" t="s">
        <v>14</v>
      </c>
      <c r="K48" s="16" t="s">
        <v>15</v>
      </c>
      <c r="L48" s="16" t="s">
        <v>16</v>
      </c>
      <c r="M48" s="16" t="s">
        <v>17</v>
      </c>
      <c r="N48" s="16" t="s">
        <v>18</v>
      </c>
      <c r="O48" s="16" t="s">
        <v>19</v>
      </c>
      <c r="P48" s="16" t="s">
        <v>20</v>
      </c>
      <c r="Q48" s="16" t="s">
        <v>21</v>
      </c>
      <c r="R48" s="16" t="s">
        <v>22</v>
      </c>
      <c r="S48" s="16" t="s">
        <v>23</v>
      </c>
      <c r="T48" s="16" t="s">
        <v>24</v>
      </c>
      <c r="U48" s="16" t="s">
        <v>25</v>
      </c>
      <c r="V48" s="16" t="s">
        <v>26</v>
      </c>
      <c r="W48" s="16" t="s">
        <v>27</v>
      </c>
      <c r="X48" s="16" t="s">
        <v>28</v>
      </c>
      <c r="Y48" s="16" t="s">
        <v>29</v>
      </c>
      <c r="Z48" s="16" t="s">
        <v>30</v>
      </c>
      <c r="AA48" s="16" t="s">
        <v>31</v>
      </c>
    </row>
    <row r="49" spans="1:27">
      <c r="A49" s="13" t="s">
        <v>32</v>
      </c>
      <c r="B49" s="17" t="s">
        <v>99</v>
      </c>
      <c r="C49" s="17" t="s">
        <v>99</v>
      </c>
      <c r="D49" s="17" t="s">
        <v>99</v>
      </c>
      <c r="E49" s="17" t="s">
        <v>99</v>
      </c>
      <c r="F49" s="17" t="s">
        <v>99</v>
      </c>
      <c r="G49" s="17" t="s">
        <v>99</v>
      </c>
      <c r="H49" s="17" t="s">
        <v>99</v>
      </c>
      <c r="I49" s="17" t="s">
        <v>99</v>
      </c>
      <c r="J49" s="17" t="s">
        <v>99</v>
      </c>
      <c r="K49" s="17" t="s">
        <v>99</v>
      </c>
      <c r="L49" s="17">
        <v>160000</v>
      </c>
      <c r="M49" s="17">
        <v>150000</v>
      </c>
      <c r="N49" s="17">
        <v>160000</v>
      </c>
      <c r="O49" s="17">
        <v>160000</v>
      </c>
      <c r="P49" s="17">
        <v>160000</v>
      </c>
      <c r="Q49" s="17" t="s">
        <v>98</v>
      </c>
      <c r="R49" s="17">
        <v>120000</v>
      </c>
      <c r="S49" s="17">
        <v>120000</v>
      </c>
      <c r="T49" s="17">
        <v>130000</v>
      </c>
      <c r="U49" s="17">
        <v>120000</v>
      </c>
      <c r="V49" s="17">
        <v>110000</v>
      </c>
      <c r="W49" s="17">
        <v>120000</v>
      </c>
      <c r="X49" s="17">
        <v>120000</v>
      </c>
      <c r="Y49" s="17">
        <v>120000</v>
      </c>
      <c r="Z49" s="17">
        <v>120000</v>
      </c>
      <c r="AA49" s="17" t="s">
        <v>35</v>
      </c>
    </row>
    <row r="50" spans="1:27">
      <c r="A50" s="13" t="s">
        <v>36</v>
      </c>
      <c r="B50" s="17" t="s">
        <v>99</v>
      </c>
      <c r="C50" s="17" t="s">
        <v>99</v>
      </c>
      <c r="D50" s="17" t="s">
        <v>99</v>
      </c>
      <c r="E50" s="17" t="s">
        <v>99</v>
      </c>
      <c r="F50" s="17" t="s">
        <v>99</v>
      </c>
      <c r="G50" s="17" t="s">
        <v>99</v>
      </c>
      <c r="H50" s="17" t="s">
        <v>99</v>
      </c>
      <c r="I50" s="17" t="s">
        <v>99</v>
      </c>
      <c r="J50" s="17" t="s">
        <v>99</v>
      </c>
      <c r="K50" s="17" t="s">
        <v>99</v>
      </c>
      <c r="L50" s="17">
        <v>100000</v>
      </c>
      <c r="M50" s="17">
        <v>100000</v>
      </c>
      <c r="N50" s="17">
        <v>100000</v>
      </c>
      <c r="O50" s="17">
        <v>100000</v>
      </c>
      <c r="P50" s="17">
        <v>100000</v>
      </c>
      <c r="Q50" s="17" t="s">
        <v>98</v>
      </c>
      <c r="R50" s="17">
        <v>80000</v>
      </c>
      <c r="S50" s="17">
        <v>80000</v>
      </c>
      <c r="T50" s="17">
        <v>80000</v>
      </c>
      <c r="U50" s="17">
        <v>70000</v>
      </c>
      <c r="V50" s="17">
        <v>70000</v>
      </c>
      <c r="W50" s="17">
        <v>70000</v>
      </c>
      <c r="X50" s="17">
        <v>80000</v>
      </c>
      <c r="Y50" s="17">
        <v>80000</v>
      </c>
      <c r="Z50" s="17">
        <v>80000</v>
      </c>
      <c r="AA50" s="17" t="s">
        <v>35</v>
      </c>
    </row>
    <row r="51" spans="1:27">
      <c r="A51" s="13" t="s">
        <v>37</v>
      </c>
      <c r="B51" s="17" t="s">
        <v>99</v>
      </c>
      <c r="C51" s="17" t="s">
        <v>99</v>
      </c>
      <c r="D51" s="17" t="s">
        <v>99</v>
      </c>
      <c r="E51" s="17" t="s">
        <v>99</v>
      </c>
      <c r="F51" s="17" t="s">
        <v>99</v>
      </c>
      <c r="G51" s="17" t="s">
        <v>99</v>
      </c>
      <c r="H51" s="17" t="s">
        <v>99</v>
      </c>
      <c r="I51" s="17" t="s">
        <v>99</v>
      </c>
      <c r="J51" s="17" t="s">
        <v>99</v>
      </c>
      <c r="K51" s="17" t="s">
        <v>99</v>
      </c>
      <c r="L51" s="17">
        <v>50000</v>
      </c>
      <c r="M51" s="17">
        <v>50000</v>
      </c>
      <c r="N51" s="17">
        <v>60000</v>
      </c>
      <c r="O51" s="17">
        <v>60000</v>
      </c>
      <c r="P51" s="17">
        <v>60000</v>
      </c>
      <c r="Q51" s="17" t="s">
        <v>98</v>
      </c>
      <c r="R51" s="17" t="s">
        <v>35</v>
      </c>
      <c r="S51" s="17" t="s">
        <v>35</v>
      </c>
      <c r="T51" s="17" t="s">
        <v>35</v>
      </c>
      <c r="U51" s="17" t="s">
        <v>35</v>
      </c>
      <c r="V51" s="17" t="s">
        <v>35</v>
      </c>
      <c r="W51" s="17" t="s">
        <v>35</v>
      </c>
      <c r="X51" s="17" t="s">
        <v>35</v>
      </c>
      <c r="Y51" s="17" t="s">
        <v>35</v>
      </c>
      <c r="Z51" s="17" t="s">
        <v>35</v>
      </c>
      <c r="AA51" s="17" t="s">
        <v>35</v>
      </c>
    </row>
    <row r="52" spans="1:27" ht="30" customHeight="1">
      <c r="A52" s="12" t="s">
        <v>119</v>
      </c>
      <c r="B52" s="17"/>
      <c r="C52" s="17"/>
      <c r="D52" s="17"/>
      <c r="E52" s="17"/>
      <c r="F52" s="17"/>
      <c r="G52" s="17"/>
      <c r="H52" s="17"/>
      <c r="I52" s="17"/>
      <c r="J52" s="17"/>
      <c r="K52" s="17"/>
      <c r="L52" s="17"/>
      <c r="M52" s="17"/>
      <c r="N52" s="17"/>
      <c r="O52" s="17"/>
      <c r="P52" s="17"/>
      <c r="Q52" s="17"/>
      <c r="R52" s="17"/>
      <c r="S52" s="17"/>
      <c r="T52" s="17"/>
      <c r="U52" s="17"/>
      <c r="V52" s="17"/>
      <c r="W52" s="17"/>
      <c r="X52" s="17"/>
      <c r="Y52" s="17"/>
      <c r="Z52" s="17"/>
      <c r="AA52" s="17"/>
    </row>
    <row r="53" spans="1:27">
      <c r="A53" s="13" t="s">
        <v>5</v>
      </c>
      <c r="B53" s="18" t="s">
        <v>6</v>
      </c>
      <c r="C53" s="18" t="s">
        <v>7</v>
      </c>
      <c r="D53" s="18" t="s">
        <v>8</v>
      </c>
      <c r="E53" s="18" t="s">
        <v>9</v>
      </c>
      <c r="F53" s="18" t="s">
        <v>10</v>
      </c>
      <c r="G53" s="18" t="s">
        <v>11</v>
      </c>
      <c r="H53" s="18" t="s">
        <v>12</v>
      </c>
      <c r="I53" s="18" t="s">
        <v>13</v>
      </c>
      <c r="J53" s="18" t="s">
        <v>14</v>
      </c>
      <c r="K53" s="18" t="s">
        <v>15</v>
      </c>
      <c r="L53" s="18" t="s">
        <v>16</v>
      </c>
      <c r="M53" s="18" t="s">
        <v>17</v>
      </c>
      <c r="N53" s="18" t="s">
        <v>18</v>
      </c>
      <c r="O53" s="18" t="s">
        <v>19</v>
      </c>
      <c r="P53" s="18" t="s">
        <v>20</v>
      </c>
      <c r="Q53" s="18" t="s">
        <v>21</v>
      </c>
      <c r="R53" s="18" t="s">
        <v>22</v>
      </c>
      <c r="S53" s="18" t="s">
        <v>23</v>
      </c>
      <c r="T53" s="18" t="s">
        <v>24</v>
      </c>
      <c r="U53" s="18" t="s">
        <v>25</v>
      </c>
      <c r="V53" s="18" t="s">
        <v>26</v>
      </c>
      <c r="W53" s="18" t="s">
        <v>27</v>
      </c>
      <c r="X53" s="18" t="s">
        <v>28</v>
      </c>
      <c r="Y53" s="18" t="s">
        <v>29</v>
      </c>
      <c r="Z53" s="18" t="s">
        <v>30</v>
      </c>
      <c r="AA53" s="18" t="s">
        <v>31</v>
      </c>
    </row>
    <row r="54" spans="1:27">
      <c r="A54" s="13" t="s">
        <v>32</v>
      </c>
      <c r="B54" s="17">
        <v>2277</v>
      </c>
      <c r="C54" s="17">
        <v>2168</v>
      </c>
      <c r="D54" s="17">
        <v>1980</v>
      </c>
      <c r="E54" s="17">
        <v>1921</v>
      </c>
      <c r="F54" s="17">
        <v>1858</v>
      </c>
      <c r="G54" s="17">
        <v>1967</v>
      </c>
      <c r="H54" s="17">
        <v>2708</v>
      </c>
      <c r="I54" s="17">
        <v>3414</v>
      </c>
      <c r="J54" s="17">
        <v>3963</v>
      </c>
      <c r="K54" s="17">
        <v>3771</v>
      </c>
      <c r="L54" s="17">
        <v>3543</v>
      </c>
      <c r="M54" s="17">
        <v>3498</v>
      </c>
      <c r="N54" s="17">
        <v>3443</v>
      </c>
      <c r="O54" s="17">
        <v>3417</v>
      </c>
      <c r="P54" s="17">
        <v>3364</v>
      </c>
      <c r="Q54" s="17">
        <v>3103</v>
      </c>
      <c r="R54" s="17">
        <v>2851</v>
      </c>
      <c r="S54" s="17">
        <v>2504</v>
      </c>
      <c r="T54" s="17">
        <v>2386</v>
      </c>
      <c r="U54" s="17">
        <v>2174</v>
      </c>
      <c r="V54" s="17">
        <v>2122</v>
      </c>
      <c r="W54" s="17">
        <v>1974</v>
      </c>
      <c r="X54" s="17">
        <v>2031</v>
      </c>
      <c r="Y54" s="17">
        <v>1947</v>
      </c>
      <c r="Z54" s="17">
        <v>1326</v>
      </c>
      <c r="AA54" s="17">
        <v>1000</v>
      </c>
    </row>
    <row r="55" spans="1:27">
      <c r="A55" s="13" t="s">
        <v>36</v>
      </c>
      <c r="B55" s="17">
        <v>1895</v>
      </c>
      <c r="C55" s="17">
        <v>1795</v>
      </c>
      <c r="D55" s="17">
        <v>1642</v>
      </c>
      <c r="E55" s="17">
        <v>1601</v>
      </c>
      <c r="F55" s="17">
        <v>1561</v>
      </c>
      <c r="G55" s="17">
        <v>1667</v>
      </c>
      <c r="H55" s="17">
        <v>2301</v>
      </c>
      <c r="I55" s="17">
        <v>2896</v>
      </c>
      <c r="J55" s="17">
        <v>3331</v>
      </c>
      <c r="K55" s="17">
        <v>3189</v>
      </c>
      <c r="L55" s="17">
        <v>3011</v>
      </c>
      <c r="M55" s="17">
        <v>3023</v>
      </c>
      <c r="N55" s="17">
        <v>2978</v>
      </c>
      <c r="O55" s="17">
        <v>2956</v>
      </c>
      <c r="P55" s="17">
        <v>2882</v>
      </c>
      <c r="Q55" s="17">
        <v>2659</v>
      </c>
      <c r="R55" s="17">
        <v>2465</v>
      </c>
      <c r="S55" s="17">
        <v>2172</v>
      </c>
      <c r="T55" s="17">
        <v>2058</v>
      </c>
      <c r="U55" s="17">
        <v>1853</v>
      </c>
      <c r="V55" s="17">
        <v>1805</v>
      </c>
      <c r="W55" s="17">
        <v>1668</v>
      </c>
      <c r="X55" s="17">
        <v>1721</v>
      </c>
      <c r="Y55" s="17">
        <v>1656</v>
      </c>
      <c r="Z55" s="17">
        <v>1138</v>
      </c>
      <c r="AA55" s="17">
        <v>867</v>
      </c>
    </row>
    <row r="56" spans="1:27">
      <c r="A56" s="13" t="s">
        <v>37</v>
      </c>
      <c r="B56" s="17">
        <v>382</v>
      </c>
      <c r="C56" s="17">
        <v>373</v>
      </c>
      <c r="D56" s="17">
        <v>338</v>
      </c>
      <c r="E56" s="17">
        <v>320</v>
      </c>
      <c r="F56" s="17">
        <v>297</v>
      </c>
      <c r="G56" s="17">
        <v>300</v>
      </c>
      <c r="H56" s="17">
        <v>407</v>
      </c>
      <c r="I56" s="17">
        <v>518</v>
      </c>
      <c r="J56" s="17">
        <v>632</v>
      </c>
      <c r="K56" s="17">
        <v>582</v>
      </c>
      <c r="L56" s="17">
        <v>532</v>
      </c>
      <c r="M56" s="17">
        <v>475</v>
      </c>
      <c r="N56" s="17">
        <v>465</v>
      </c>
      <c r="O56" s="17">
        <v>461</v>
      </c>
      <c r="P56" s="17">
        <v>482</v>
      </c>
      <c r="Q56" s="17">
        <v>444</v>
      </c>
      <c r="R56" s="17">
        <v>386</v>
      </c>
      <c r="S56" s="17">
        <v>332</v>
      </c>
      <c r="T56" s="17">
        <v>328</v>
      </c>
      <c r="U56" s="17">
        <v>321</v>
      </c>
      <c r="V56" s="17">
        <v>317</v>
      </c>
      <c r="W56" s="17">
        <v>306</v>
      </c>
      <c r="X56" s="17">
        <v>310</v>
      </c>
      <c r="Y56" s="17">
        <v>291</v>
      </c>
      <c r="Z56" s="17">
        <v>188</v>
      </c>
      <c r="AA56" s="17">
        <v>133</v>
      </c>
    </row>
    <row r="57" spans="1:27">
      <c r="A57" s="13"/>
      <c r="B57" s="17"/>
      <c r="C57" s="17"/>
      <c r="D57" s="17"/>
      <c r="E57" s="17"/>
      <c r="F57" s="17"/>
      <c r="G57" s="17"/>
      <c r="H57" s="17"/>
      <c r="I57" s="17"/>
      <c r="J57" s="17"/>
      <c r="K57" s="17"/>
      <c r="L57" s="17"/>
      <c r="M57" s="17"/>
      <c r="N57" s="17"/>
      <c r="O57" s="17"/>
      <c r="P57" s="17"/>
      <c r="Q57" s="17"/>
      <c r="R57" s="17"/>
      <c r="S57" s="17"/>
      <c r="T57" s="17"/>
      <c r="U57" s="17"/>
      <c r="V57" s="17"/>
      <c r="W57" s="17"/>
      <c r="X57" s="17"/>
      <c r="Y57" s="17"/>
      <c r="Z57" s="17"/>
      <c r="AA57" s="17"/>
    </row>
    <row r="58" spans="1:27">
      <c r="A58" s="13"/>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row>
    <row r="59" spans="1:27">
      <c r="A59" s="13"/>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row>
    <row r="60" spans="1:27">
      <c r="A60" s="13"/>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row>
    <row r="61" spans="1:27">
      <c r="A61" s="13"/>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row>
    <row r="62" spans="1:27">
      <c r="A62" s="13"/>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row>
    <row r="63" spans="1:27">
      <c r="A63" s="13"/>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row>
    <row r="64" spans="1:27">
      <c r="A64" s="13"/>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row>
    <row r="65" spans="1:27">
      <c r="A65" s="13"/>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row>
    <row r="66" spans="1:27">
      <c r="A66" s="13"/>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row>
    <row r="67" spans="1:27">
      <c r="A67" s="13"/>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row>
    <row r="68" spans="1:27">
      <c r="A68" s="13"/>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row>
    <row r="69" spans="1:27">
      <c r="A69" s="13"/>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row>
    <row r="70" spans="1:27">
      <c r="A70" s="13"/>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row>
    <row r="71" spans="1:27">
      <c r="A71" s="13"/>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row>
    <row r="72" spans="1:27">
      <c r="A72" s="13"/>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row>
    <row r="73" spans="1:27">
      <c r="A73" s="13"/>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row>
    <row r="74" spans="1:27">
      <c r="A74" s="13"/>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row>
    <row r="75" spans="1:27">
      <c r="A75" s="13"/>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row>
    <row r="76" spans="1:27">
      <c r="A76" s="13"/>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row>
    <row r="77" spans="1:27">
      <c r="A77" s="13"/>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row>
    <row r="78" spans="1:27">
      <c r="A78" s="13"/>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row>
    <row r="79" spans="1:27">
      <c r="A79" s="13"/>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row>
    <row r="80" spans="1:27">
      <c r="A80" s="13"/>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row>
    <row r="81" spans="1:27">
      <c r="A81" s="13"/>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row>
    <row r="82" spans="1:27">
      <c r="A82" s="13"/>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row>
    <row r="83" spans="1:27">
      <c r="A83" s="13"/>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row>
    <row r="84" spans="1:27">
      <c r="A84" s="13"/>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row>
    <row r="85" spans="1:27">
      <c r="A85" s="13"/>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row>
    <row r="86" spans="1:27">
      <c r="A86" s="13"/>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row>
    <row r="87" spans="1:27">
      <c r="A87" s="13"/>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row>
    <row r="88" spans="1:27">
      <c r="A88" s="13"/>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row>
    <row r="89" spans="1:27">
      <c r="A89" s="13"/>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row>
    <row r="90" spans="1:27">
      <c r="A90" s="13"/>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row>
    <row r="91" spans="1:27">
      <c r="A91" s="13"/>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row>
    <row r="92" spans="1:27">
      <c r="A92" s="13"/>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row>
    <row r="93" spans="1:27">
      <c r="A93" s="13"/>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row>
    <row r="94" spans="1:27">
      <c r="A94" s="13"/>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row>
    <row r="95" spans="1:27">
      <c r="A95" s="13"/>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0"/>
    </row>
    <row r="96" spans="1:27">
      <c r="A96" s="13"/>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row>
    <row r="97" spans="1:27">
      <c r="A97" s="13"/>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row>
    <row r="98" spans="1:27">
      <c r="A98" s="13"/>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row>
    <row r="99" spans="1:27">
      <c r="A99" s="13"/>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row>
    <row r="100" spans="1:27">
      <c r="A100" s="13"/>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row>
    <row r="101" spans="1:27">
      <c r="A101" s="13"/>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row>
    <row r="102" spans="1:27">
      <c r="A102" s="13"/>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row>
    <row r="103" spans="1:27">
      <c r="A103" s="13"/>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row>
    <row r="104" spans="1:27">
      <c r="A104" s="13"/>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row>
    <row r="105" spans="1:27">
      <c r="A105" s="13"/>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row>
    <row r="106" spans="1:27">
      <c r="A106" s="13"/>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row>
    <row r="107" spans="1:27">
      <c r="A107" s="13"/>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row>
    <row r="108" spans="1:27">
      <c r="A108" s="13"/>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row>
    <row r="109" spans="1:27">
      <c r="A109" s="13"/>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row>
    <row r="110" spans="1:27">
      <c r="A110" s="13"/>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row>
    <row r="111" spans="1:27">
      <c r="A111" s="13"/>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row>
    <row r="112" spans="1:27">
      <c r="A112" s="13"/>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row>
    <row r="113" spans="1:27">
      <c r="A113" s="13"/>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row>
    <row r="114" spans="1:27">
      <c r="A114" s="13"/>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row>
    <row r="115" spans="1:27">
      <c r="A115" s="13"/>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row>
    <row r="116" spans="1:27">
      <c r="A116" s="13"/>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row>
    <row r="117" spans="1:27">
      <c r="A117" s="13"/>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row>
    <row r="118" spans="1:27">
      <c r="A118" s="13"/>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row>
    <row r="119" spans="1:27">
      <c r="A119" s="13"/>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row>
    <row r="120" spans="1:27">
      <c r="A120" s="13"/>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row>
    <row r="121" spans="1:27">
      <c r="A121" s="13"/>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row>
    <row r="122" spans="1:27">
      <c r="A122" s="13"/>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row>
    <row r="123" spans="1:27">
      <c r="A123" s="13"/>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row>
    <row r="124" spans="1:27">
      <c r="A124" s="13"/>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row>
    <row r="125" spans="1:27">
      <c r="A125" s="13"/>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row>
    <row r="126" spans="1:27">
      <c r="A126" s="13"/>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row>
    <row r="127" spans="1:27">
      <c r="A127" s="13"/>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row>
    <row r="128" spans="1:27">
      <c r="A128" s="13"/>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row>
    <row r="129" spans="1:27">
      <c r="A129" s="13"/>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row>
    <row r="130" spans="1:27">
      <c r="A130" s="13"/>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row>
    <row r="131" spans="1:27">
      <c r="A131" s="13"/>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row>
    <row r="132" spans="1:27">
      <c r="A132" s="13"/>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row>
    <row r="133" spans="1:27">
      <c r="A133" s="13"/>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row>
    <row r="134" spans="1:27">
      <c r="A134" s="13"/>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row>
    <row r="135" spans="1:27">
      <c r="A135" s="13"/>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row>
    <row r="136" spans="1:27">
      <c r="A136" s="13"/>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row>
    <row r="137" spans="1:27">
      <c r="A137" s="13"/>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row>
    <row r="138" spans="1:27">
      <c r="A138" s="13"/>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row>
    <row r="139" spans="1:27">
      <c r="A139" s="13"/>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row>
    <row r="140" spans="1:27">
      <c r="A140" s="13"/>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row>
    <row r="141" spans="1:27">
      <c r="A141" s="13"/>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row>
    <row r="142" spans="1:27">
      <c r="A142" s="13"/>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row>
    <row r="143" spans="1:27">
      <c r="A143" s="13"/>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row>
    <row r="144" spans="1:27">
      <c r="A144" s="13"/>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row>
    <row r="145" spans="1:27">
      <c r="A145" s="13"/>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row>
    <row r="146" spans="1:27">
      <c r="A146" s="13"/>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row>
    <row r="147" spans="1:27">
      <c r="A147" s="13"/>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row>
    <row r="148" spans="1:27">
      <c r="A148" s="13"/>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row>
    <row r="149" spans="1:27">
      <c r="A149" s="13"/>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row>
    <row r="150" spans="1:27">
      <c r="A150" s="13"/>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row>
    <row r="151" spans="1:27">
      <c r="A151" s="13"/>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row>
    <row r="152" spans="1:27">
      <c r="A152" s="13"/>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row>
    <row r="153" spans="1:27">
      <c r="A153" s="13"/>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row>
    <row r="154" spans="1:27">
      <c r="A154" s="13"/>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row>
    <row r="155" spans="1:27">
      <c r="A155" s="13"/>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row>
    <row r="156" spans="1:27">
      <c r="A156" s="13"/>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row>
    <row r="157" spans="1:27">
      <c r="A157" s="13"/>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row>
    <row r="158" spans="1:27">
      <c r="A158" s="13"/>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row>
    <row r="159" spans="1:27">
      <c r="A159" s="13"/>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row>
    <row r="160" spans="1:27">
      <c r="A160" s="13"/>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row>
    <row r="161" spans="1:27">
      <c r="A161" s="13"/>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row>
    <row r="162" spans="1:27">
      <c r="A162" s="13"/>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row>
    <row r="163" spans="1:27">
      <c r="A163" s="13"/>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row>
    <row r="164" spans="1:27">
      <c r="A164" s="13"/>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row>
    <row r="165" spans="1:27">
      <c r="A165" s="13"/>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row>
    <row r="166" spans="1:27">
      <c r="A166" s="13"/>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row>
    <row r="167" spans="1:27">
      <c r="A167" s="13"/>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row>
    <row r="168" spans="1:27">
      <c r="A168" s="13"/>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row>
    <row r="169" spans="1:27">
      <c r="A169" s="13"/>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row>
    <row r="170" spans="1:27">
      <c r="A170" s="13"/>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row>
    <row r="171" spans="1:27">
      <c r="A171" s="13"/>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row>
    <row r="172" spans="1:27">
      <c r="A172" s="13"/>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row>
    <row r="173" spans="1:27">
      <c r="A173" s="13"/>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row>
    <row r="174" spans="1:27">
      <c r="A174" s="13"/>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row>
    <row r="175" spans="1:27">
      <c r="A175" s="13"/>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row>
    <row r="176" spans="1:27">
      <c r="A176" s="13"/>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row>
    <row r="177" spans="1:27">
      <c r="A177" s="13"/>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row>
    <row r="178" spans="1:27">
      <c r="A178" s="13"/>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row>
    <row r="179" spans="1:27">
      <c r="A179" s="13"/>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row>
    <row r="180" spans="1:27">
      <c r="A180" s="13"/>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row>
    <row r="181" spans="1:27">
      <c r="A181" s="13"/>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row>
    <row r="182" spans="1:27">
      <c r="A182" s="13"/>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row>
    <row r="183" spans="1:27">
      <c r="A183" s="13"/>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row>
    <row r="184" spans="1:27">
      <c r="A184" s="13"/>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row>
    <row r="185" spans="1:27">
      <c r="A185" s="13"/>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row>
    <row r="186" spans="1:27">
      <c r="A186" s="13"/>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row>
    <row r="187" spans="1:27">
      <c r="A187" s="13"/>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row>
    <row r="188" spans="1:27">
      <c r="A188" s="13"/>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row>
    <row r="189" spans="1:27">
      <c r="A189" s="13"/>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row>
    <row r="190" spans="1:27">
      <c r="A190" s="13"/>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row>
    <row r="191" spans="1:27">
      <c r="A191" s="13"/>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row>
    <row r="192" spans="1:27">
      <c r="A192" s="13"/>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row>
    <row r="193" spans="1:27">
      <c r="A193" s="13"/>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row>
    <row r="194" spans="1:27">
      <c r="A194" s="13"/>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row>
    <row r="195" spans="1:27">
      <c r="A195" s="13"/>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row>
    <row r="196" spans="1:27">
      <c r="A196" s="13"/>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row>
    <row r="197" spans="1:27">
      <c r="A197" s="13"/>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row>
    <row r="198" spans="1:27">
      <c r="A198" s="13"/>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row>
    <row r="199" spans="1:27">
      <c r="A199" s="13"/>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row>
    <row r="200" spans="1:27">
      <c r="A200" s="13"/>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row>
  </sheetData>
  <pageMargins left="0.7" right="0.7" top="0.75" bottom="0.75" header="0.3" footer="0.3"/>
  <pageSetup paperSize="9" orientation="portrait" horizontalDpi="300" verticalDpi="300"/>
  <tableParts count="10">
    <tablePart r:id="rId1"/>
    <tablePart r:id="rId2"/>
    <tablePart r:id="rId3"/>
    <tablePart r:id="rId4"/>
    <tablePart r:id="rId5"/>
    <tablePart r:id="rId6"/>
    <tablePart r:id="rId7"/>
    <tablePart r:id="rId8"/>
    <tablePart r:id="rId9"/>
    <tablePart r:id="rId10"/>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200"/>
  <sheetViews>
    <sheetView showGridLines="0" workbookViewId="0"/>
  </sheetViews>
  <sheetFormatPr defaultColWidth="10.90625" defaultRowHeight="14.5"/>
  <cols>
    <col min="1" max="1" width="70.7265625" customWidth="1"/>
  </cols>
  <sheetData>
    <row r="1" spans="1:27" ht="19.5">
      <c r="A1" s="4" t="s">
        <v>132</v>
      </c>
      <c r="B1" s="8"/>
      <c r="C1" s="8"/>
      <c r="D1" s="8"/>
      <c r="E1" s="8"/>
      <c r="F1" s="8"/>
      <c r="G1" s="8"/>
      <c r="H1" s="8"/>
      <c r="I1" s="8"/>
      <c r="J1" s="8"/>
      <c r="K1" s="8"/>
      <c r="L1" s="8"/>
      <c r="M1" s="8"/>
      <c r="N1" s="8"/>
      <c r="O1" s="8"/>
      <c r="P1" s="8"/>
      <c r="Q1" s="8"/>
      <c r="R1" s="8"/>
      <c r="S1" s="8"/>
      <c r="T1" s="8"/>
      <c r="U1" s="8"/>
      <c r="V1" s="8"/>
      <c r="W1" s="8"/>
      <c r="X1" s="8"/>
      <c r="Y1" s="8"/>
      <c r="Z1" s="8"/>
      <c r="AA1" s="8"/>
    </row>
    <row r="2" spans="1:27">
      <c r="A2" s="9" t="s">
        <v>0</v>
      </c>
      <c r="B2" s="8"/>
      <c r="C2" s="8"/>
      <c r="D2" s="8"/>
      <c r="E2" s="8"/>
      <c r="F2" s="8"/>
      <c r="G2" s="8"/>
      <c r="H2" s="8"/>
      <c r="I2" s="8"/>
      <c r="J2" s="8"/>
      <c r="K2" s="8"/>
      <c r="L2" s="8"/>
      <c r="M2" s="8"/>
      <c r="N2" s="8"/>
      <c r="O2" s="8"/>
      <c r="P2" s="8"/>
      <c r="Q2" s="8"/>
      <c r="R2" s="8"/>
      <c r="S2" s="8"/>
      <c r="T2" s="8"/>
      <c r="U2" s="8"/>
      <c r="V2" s="8"/>
      <c r="W2" s="8"/>
      <c r="X2" s="8"/>
      <c r="Y2" s="8"/>
      <c r="Z2" s="8"/>
      <c r="AA2" s="8"/>
    </row>
    <row r="3" spans="1:27" ht="29">
      <c r="A3" s="9" t="s">
        <v>1</v>
      </c>
      <c r="B3" s="10"/>
      <c r="C3" s="10"/>
      <c r="D3" s="10"/>
      <c r="E3" s="10"/>
      <c r="F3" s="10"/>
      <c r="G3" s="10"/>
      <c r="H3" s="10"/>
      <c r="I3" s="10"/>
      <c r="J3" s="10"/>
      <c r="K3" s="10"/>
      <c r="L3" s="10"/>
      <c r="M3" s="10"/>
      <c r="N3" s="10"/>
      <c r="O3" s="10"/>
      <c r="P3" s="10"/>
      <c r="Q3" s="10"/>
      <c r="R3" s="10"/>
      <c r="S3" s="10"/>
      <c r="T3" s="10"/>
      <c r="U3" s="10"/>
      <c r="V3" s="10"/>
      <c r="W3" s="10"/>
      <c r="X3" s="10"/>
      <c r="Y3" s="10"/>
      <c r="Z3" s="10"/>
      <c r="AA3" s="10"/>
    </row>
    <row r="4" spans="1:27" ht="72.5">
      <c r="A4" s="9" t="s">
        <v>2</v>
      </c>
      <c r="B4" s="10"/>
      <c r="C4" s="10"/>
      <c r="D4" s="10"/>
      <c r="E4" s="10"/>
      <c r="F4" s="10"/>
      <c r="G4" s="10"/>
      <c r="H4" s="10"/>
      <c r="I4" s="10"/>
      <c r="J4" s="10"/>
      <c r="K4" s="10"/>
      <c r="L4" s="10"/>
      <c r="M4" s="10"/>
      <c r="N4" s="10"/>
      <c r="O4" s="10"/>
      <c r="P4" s="10"/>
      <c r="Q4" s="10"/>
      <c r="R4" s="10"/>
      <c r="S4" s="10"/>
      <c r="T4" s="10"/>
      <c r="U4" s="10"/>
      <c r="V4" s="10"/>
      <c r="W4" s="10"/>
      <c r="X4" s="10"/>
      <c r="Y4" s="10"/>
      <c r="Z4" s="10"/>
      <c r="AA4" s="10"/>
    </row>
    <row r="5" spans="1:27">
      <c r="A5" s="9" t="s">
        <v>38</v>
      </c>
      <c r="B5" s="10"/>
      <c r="C5" s="10"/>
      <c r="D5" s="10"/>
      <c r="E5" s="10"/>
      <c r="F5" s="10"/>
      <c r="G5" s="10"/>
      <c r="H5" s="10"/>
      <c r="I5" s="10"/>
      <c r="J5" s="10"/>
      <c r="K5" s="10"/>
      <c r="L5" s="10"/>
      <c r="M5" s="10"/>
      <c r="N5" s="10"/>
      <c r="O5" s="10"/>
      <c r="P5" s="10"/>
      <c r="Q5" s="10"/>
      <c r="R5" s="10"/>
      <c r="S5" s="10"/>
      <c r="T5" s="10"/>
      <c r="U5" s="10"/>
      <c r="V5" s="10"/>
      <c r="W5" s="10"/>
      <c r="X5" s="10"/>
      <c r="Y5" s="10"/>
      <c r="Z5" s="10"/>
      <c r="AA5" s="10"/>
    </row>
    <row r="6" spans="1:27">
      <c r="A6" s="9" t="s">
        <v>3</v>
      </c>
      <c r="B6" s="10"/>
      <c r="C6" s="10"/>
      <c r="D6" s="10"/>
      <c r="E6" s="10"/>
      <c r="F6" s="10"/>
      <c r="G6" s="10"/>
      <c r="H6" s="10"/>
      <c r="I6" s="10"/>
      <c r="J6" s="10"/>
      <c r="K6" s="10"/>
      <c r="L6" s="10"/>
      <c r="M6" s="10"/>
      <c r="N6" s="10"/>
      <c r="O6" s="10"/>
      <c r="P6" s="10"/>
      <c r="Q6" s="10"/>
      <c r="R6" s="10"/>
      <c r="S6" s="10"/>
      <c r="T6" s="10"/>
      <c r="U6" s="10"/>
      <c r="V6" s="10"/>
      <c r="W6" s="10"/>
      <c r="X6" s="10"/>
      <c r="Y6" s="10"/>
      <c r="Z6" s="10"/>
      <c r="AA6" s="10"/>
    </row>
    <row r="7" spans="1:27">
      <c r="A7" s="11" t="s">
        <v>4</v>
      </c>
      <c r="B7" s="10"/>
      <c r="C7" s="10"/>
      <c r="D7" s="10"/>
      <c r="E7" s="10"/>
      <c r="F7" s="10"/>
      <c r="G7" s="10"/>
      <c r="H7" s="10"/>
      <c r="I7" s="10"/>
      <c r="J7" s="10"/>
      <c r="K7" s="10"/>
      <c r="L7" s="10"/>
      <c r="M7" s="10"/>
      <c r="N7" s="10"/>
      <c r="O7" s="10"/>
      <c r="P7" s="10"/>
      <c r="Q7" s="10"/>
      <c r="R7" s="10"/>
      <c r="S7" s="10"/>
      <c r="T7" s="10"/>
      <c r="U7" s="10"/>
      <c r="V7" s="10"/>
      <c r="W7" s="10"/>
      <c r="X7" s="10"/>
      <c r="Y7" s="10"/>
      <c r="Z7" s="10"/>
      <c r="AA7" s="10"/>
    </row>
    <row r="8" spans="1:27" ht="30" customHeight="1">
      <c r="A8" s="12" t="s">
        <v>131</v>
      </c>
      <c r="B8" s="10"/>
      <c r="C8" s="10"/>
      <c r="D8" s="10"/>
      <c r="E8" s="10"/>
      <c r="F8" s="10"/>
      <c r="G8" s="10"/>
      <c r="H8" s="10"/>
      <c r="I8" s="10"/>
      <c r="J8" s="10"/>
      <c r="K8" s="10"/>
      <c r="L8" s="10"/>
      <c r="M8" s="10"/>
      <c r="N8" s="10"/>
      <c r="O8" s="10"/>
      <c r="P8" s="10"/>
      <c r="Q8" s="10"/>
      <c r="R8" s="10"/>
      <c r="S8" s="10"/>
      <c r="T8" s="10"/>
      <c r="U8" s="10"/>
      <c r="V8" s="10"/>
      <c r="W8" s="10"/>
      <c r="X8" s="10"/>
      <c r="Y8" s="10"/>
      <c r="Z8" s="10"/>
      <c r="AA8" s="10"/>
    </row>
    <row r="9" spans="1:27">
      <c r="A9" s="13" t="s">
        <v>5</v>
      </c>
      <c r="B9" s="14" t="s">
        <v>6</v>
      </c>
      <c r="C9" s="14" t="s">
        <v>7</v>
      </c>
      <c r="D9" s="14" t="s">
        <v>8</v>
      </c>
      <c r="E9" s="14" t="s">
        <v>9</v>
      </c>
      <c r="F9" s="14" t="s">
        <v>10</v>
      </c>
      <c r="G9" s="14" t="s">
        <v>11</v>
      </c>
      <c r="H9" s="14" t="s">
        <v>12</v>
      </c>
      <c r="I9" s="14" t="s">
        <v>13</v>
      </c>
      <c r="J9" s="14" t="s">
        <v>14</v>
      </c>
      <c r="K9" s="14" t="s">
        <v>15</v>
      </c>
      <c r="L9" s="14" t="s">
        <v>16</v>
      </c>
      <c r="M9" s="14" t="s">
        <v>17</v>
      </c>
      <c r="N9" s="14" t="s">
        <v>18</v>
      </c>
      <c r="O9" s="14" t="s">
        <v>19</v>
      </c>
      <c r="P9" s="14" t="s">
        <v>20</v>
      </c>
      <c r="Q9" s="14" t="s">
        <v>21</v>
      </c>
      <c r="R9" s="14" t="s">
        <v>22</v>
      </c>
      <c r="S9" s="14" t="s">
        <v>23</v>
      </c>
      <c r="T9" s="14" t="s">
        <v>24</v>
      </c>
      <c r="U9" s="14" t="s">
        <v>25</v>
      </c>
      <c r="V9" s="14" t="s">
        <v>26</v>
      </c>
      <c r="W9" s="14" t="s">
        <v>27</v>
      </c>
      <c r="X9" s="14" t="s">
        <v>28</v>
      </c>
      <c r="Y9" s="14" t="s">
        <v>29</v>
      </c>
      <c r="Z9" s="14" t="s">
        <v>30</v>
      </c>
      <c r="AA9" s="14" t="s">
        <v>31</v>
      </c>
    </row>
    <row r="10" spans="1:27">
      <c r="A10" s="13" t="s">
        <v>32</v>
      </c>
      <c r="B10" s="15">
        <v>0.31713940000000002</v>
      </c>
      <c r="C10" s="15">
        <v>0.3190847</v>
      </c>
      <c r="D10" s="15">
        <v>0.3155983</v>
      </c>
      <c r="E10" s="15">
        <v>0.309896</v>
      </c>
      <c r="F10" s="15">
        <v>0.31244749999999999</v>
      </c>
      <c r="G10" s="15">
        <v>0.31238919999999998</v>
      </c>
      <c r="H10" s="15">
        <v>0.29609809999999998</v>
      </c>
      <c r="I10" s="15">
        <v>0.27851979999999998</v>
      </c>
      <c r="J10" s="15">
        <v>0.25814049999999999</v>
      </c>
      <c r="K10" s="15">
        <v>0.2499922</v>
      </c>
      <c r="L10" s="15">
        <v>0.2455253</v>
      </c>
      <c r="M10" s="15">
        <v>0.2409346</v>
      </c>
      <c r="N10" s="15">
        <v>0.24524689999999999</v>
      </c>
      <c r="O10" s="15">
        <v>0.24372530000000001</v>
      </c>
      <c r="P10" s="15">
        <v>0.23525389999999999</v>
      </c>
      <c r="Q10" s="15">
        <v>0.2143718</v>
      </c>
      <c r="R10" s="15">
        <v>0.2073566</v>
      </c>
      <c r="S10" s="15">
        <v>0.20983579999999999</v>
      </c>
      <c r="T10" s="15">
        <v>0.2161679</v>
      </c>
      <c r="U10" s="15">
        <v>0.22795380000000001</v>
      </c>
      <c r="V10" s="15">
        <v>0.23351949999999999</v>
      </c>
      <c r="W10" s="15">
        <v>0.2419675</v>
      </c>
      <c r="X10" s="15">
        <v>0.23227329999999999</v>
      </c>
      <c r="Y10" s="15">
        <v>0.24283840000000001</v>
      </c>
      <c r="Z10" s="15">
        <v>0.2463928</v>
      </c>
      <c r="AA10" s="15">
        <v>0.2447318</v>
      </c>
    </row>
    <row r="11" spans="1:27">
      <c r="A11" s="13" t="s">
        <v>39</v>
      </c>
      <c r="B11" s="15">
        <v>0.30330230000000002</v>
      </c>
      <c r="C11" s="15">
        <v>0.30340709999999999</v>
      </c>
      <c r="D11" s="15">
        <v>0.29648780000000002</v>
      </c>
      <c r="E11" s="15">
        <v>0.29355609999999999</v>
      </c>
      <c r="F11" s="15">
        <v>0.29782389999999997</v>
      </c>
      <c r="G11" s="15">
        <v>0.30093510000000001</v>
      </c>
      <c r="H11" s="15" t="s">
        <v>99</v>
      </c>
      <c r="I11" s="15" t="s">
        <v>99</v>
      </c>
      <c r="J11" s="15" t="s">
        <v>99</v>
      </c>
      <c r="K11" s="15" t="s">
        <v>99</v>
      </c>
      <c r="L11" s="15" t="s">
        <v>99</v>
      </c>
      <c r="M11" s="15" t="s">
        <v>99</v>
      </c>
      <c r="N11" s="15" t="s">
        <v>99</v>
      </c>
      <c r="O11" s="15" t="s">
        <v>99</v>
      </c>
      <c r="P11" s="15">
        <v>0.22673070000000001</v>
      </c>
      <c r="Q11" s="15">
        <v>0.2073614</v>
      </c>
      <c r="R11" s="15">
        <v>0.2044271</v>
      </c>
      <c r="S11" s="15">
        <v>0.2028913</v>
      </c>
      <c r="T11" s="15">
        <v>0.20819799999999999</v>
      </c>
      <c r="U11" s="15">
        <v>0.2168814</v>
      </c>
      <c r="V11" s="15">
        <v>0.2245933</v>
      </c>
      <c r="W11" s="15">
        <v>0.2328153</v>
      </c>
      <c r="X11" s="15">
        <v>0.22299150000000001</v>
      </c>
      <c r="Y11" s="15">
        <v>0.23211560000000001</v>
      </c>
      <c r="Z11" s="15">
        <v>0.23611750000000001</v>
      </c>
      <c r="AA11" s="15">
        <v>0.23799690000000001</v>
      </c>
    </row>
    <row r="12" spans="1:27">
      <c r="A12" s="13" t="s">
        <v>40</v>
      </c>
      <c r="B12" s="15">
        <v>0.43669059999999998</v>
      </c>
      <c r="C12" s="15">
        <v>0.46047290000000002</v>
      </c>
      <c r="D12" s="15">
        <v>0.483539</v>
      </c>
      <c r="E12" s="15">
        <v>0.45814319999999997</v>
      </c>
      <c r="F12" s="15">
        <v>0.44467119999999999</v>
      </c>
      <c r="G12" s="15">
        <v>0.4223923</v>
      </c>
      <c r="H12" s="15" t="s">
        <v>99</v>
      </c>
      <c r="I12" s="15" t="s">
        <v>99</v>
      </c>
      <c r="J12" s="15" t="s">
        <v>99</v>
      </c>
      <c r="K12" s="15" t="s">
        <v>99</v>
      </c>
      <c r="L12" s="15" t="s">
        <v>99</v>
      </c>
      <c r="M12" s="15" t="s">
        <v>99</v>
      </c>
      <c r="N12" s="15" t="s">
        <v>99</v>
      </c>
      <c r="O12" s="15" t="s">
        <v>99</v>
      </c>
      <c r="P12" s="15">
        <v>0.3039442</v>
      </c>
      <c r="Q12" s="15">
        <v>0.26949800000000002</v>
      </c>
      <c r="R12" s="15">
        <v>0.23385880000000001</v>
      </c>
      <c r="S12" s="15">
        <v>0.2688062</v>
      </c>
      <c r="T12" s="15">
        <v>0.27963510000000003</v>
      </c>
      <c r="U12" s="15">
        <v>0.31646410000000003</v>
      </c>
      <c r="V12" s="15">
        <v>0.30399409999999999</v>
      </c>
      <c r="W12" s="15">
        <v>0.31797900000000001</v>
      </c>
      <c r="X12" s="15">
        <v>0.31320340000000002</v>
      </c>
      <c r="Y12" s="15">
        <v>0.33960499999999999</v>
      </c>
      <c r="Z12" s="15">
        <v>0.34244390000000002</v>
      </c>
      <c r="AA12" s="15" t="s">
        <v>35</v>
      </c>
    </row>
    <row r="13" spans="1:27" ht="30" customHeight="1">
      <c r="A13" s="12" t="s">
        <v>122</v>
      </c>
      <c r="B13" s="15"/>
      <c r="C13" s="15"/>
      <c r="D13" s="15"/>
      <c r="E13" s="15"/>
      <c r="F13" s="15"/>
      <c r="G13" s="15"/>
      <c r="H13" s="15"/>
      <c r="I13" s="15"/>
      <c r="J13" s="15"/>
      <c r="K13" s="15"/>
      <c r="L13" s="15"/>
      <c r="M13" s="15"/>
      <c r="N13" s="15"/>
      <c r="O13" s="15"/>
      <c r="P13" s="15"/>
      <c r="Q13" s="15"/>
      <c r="R13" s="15"/>
      <c r="S13" s="15"/>
      <c r="T13" s="15"/>
      <c r="U13" s="15"/>
      <c r="V13" s="15"/>
      <c r="W13" s="15"/>
      <c r="X13" s="15"/>
      <c r="Y13" s="15"/>
      <c r="Z13" s="15"/>
      <c r="AA13" s="15"/>
    </row>
    <row r="14" spans="1:27">
      <c r="A14" s="13" t="s">
        <v>5</v>
      </c>
      <c r="B14" s="16" t="s">
        <v>6</v>
      </c>
      <c r="C14" s="16" t="s">
        <v>7</v>
      </c>
      <c r="D14" s="16" t="s">
        <v>8</v>
      </c>
      <c r="E14" s="16" t="s">
        <v>9</v>
      </c>
      <c r="F14" s="16" t="s">
        <v>10</v>
      </c>
      <c r="G14" s="16" t="s">
        <v>11</v>
      </c>
      <c r="H14" s="16" t="s">
        <v>12</v>
      </c>
      <c r="I14" s="16" t="s">
        <v>13</v>
      </c>
      <c r="J14" s="16" t="s">
        <v>14</v>
      </c>
      <c r="K14" s="16" t="s">
        <v>15</v>
      </c>
      <c r="L14" s="16" t="s">
        <v>16</v>
      </c>
      <c r="M14" s="16" t="s">
        <v>17</v>
      </c>
      <c r="N14" s="16" t="s">
        <v>18</v>
      </c>
      <c r="O14" s="16" t="s">
        <v>19</v>
      </c>
      <c r="P14" s="16" t="s">
        <v>20</v>
      </c>
      <c r="Q14" s="16" t="s">
        <v>21</v>
      </c>
      <c r="R14" s="16" t="s">
        <v>22</v>
      </c>
      <c r="S14" s="16" t="s">
        <v>23</v>
      </c>
      <c r="T14" s="16" t="s">
        <v>24</v>
      </c>
      <c r="U14" s="16" t="s">
        <v>25</v>
      </c>
      <c r="V14" s="16" t="s">
        <v>26</v>
      </c>
      <c r="W14" s="16" t="s">
        <v>27</v>
      </c>
      <c r="X14" s="16" t="s">
        <v>28</v>
      </c>
      <c r="Y14" s="16" t="s">
        <v>29</v>
      </c>
      <c r="Z14" s="16" t="s">
        <v>30</v>
      </c>
      <c r="AA14" s="16" t="s">
        <v>31</v>
      </c>
    </row>
    <row r="15" spans="1:27">
      <c r="A15" s="13" t="s">
        <v>32</v>
      </c>
      <c r="B15" s="15">
        <v>1</v>
      </c>
      <c r="C15" s="15">
        <v>1</v>
      </c>
      <c r="D15" s="15">
        <v>1</v>
      </c>
      <c r="E15" s="15">
        <v>1</v>
      </c>
      <c r="F15" s="15">
        <v>1</v>
      </c>
      <c r="G15" s="15">
        <v>1</v>
      </c>
      <c r="H15" s="15">
        <v>1</v>
      </c>
      <c r="I15" s="15">
        <v>1</v>
      </c>
      <c r="J15" s="15">
        <v>1</v>
      </c>
      <c r="K15" s="15">
        <v>1</v>
      </c>
      <c r="L15" s="15">
        <v>1</v>
      </c>
      <c r="M15" s="15">
        <v>1</v>
      </c>
      <c r="N15" s="15">
        <v>1</v>
      </c>
      <c r="O15" s="15">
        <v>1</v>
      </c>
      <c r="P15" s="15">
        <v>1</v>
      </c>
      <c r="Q15" s="15">
        <v>1</v>
      </c>
      <c r="R15" s="15">
        <v>1</v>
      </c>
      <c r="S15" s="15">
        <v>1</v>
      </c>
      <c r="T15" s="15">
        <v>1</v>
      </c>
      <c r="U15" s="15">
        <v>1</v>
      </c>
      <c r="V15" s="15">
        <v>1</v>
      </c>
      <c r="W15" s="15">
        <v>1</v>
      </c>
      <c r="X15" s="15">
        <v>1</v>
      </c>
      <c r="Y15" s="15">
        <v>1</v>
      </c>
      <c r="Z15" s="15">
        <v>1</v>
      </c>
      <c r="AA15" s="15">
        <v>1</v>
      </c>
    </row>
    <row r="16" spans="1:27">
      <c r="A16" s="13" t="s">
        <v>39</v>
      </c>
      <c r="B16" s="15">
        <v>0.85885310000000004</v>
      </c>
      <c r="C16" s="15">
        <v>0.85713890000000004</v>
      </c>
      <c r="D16" s="15">
        <v>0.84254640000000003</v>
      </c>
      <c r="E16" s="15">
        <v>0.85097509999999998</v>
      </c>
      <c r="F16" s="15">
        <v>0.85660769999999997</v>
      </c>
      <c r="G16" s="15">
        <v>0.87980250000000004</v>
      </c>
      <c r="H16" s="15" t="s">
        <v>99</v>
      </c>
      <c r="I16" s="15" t="s">
        <v>99</v>
      </c>
      <c r="J16" s="15" t="s">
        <v>99</v>
      </c>
      <c r="K16" s="15" t="s">
        <v>99</v>
      </c>
      <c r="L16" s="15" t="s">
        <v>99</v>
      </c>
      <c r="M16" s="15" t="s">
        <v>99</v>
      </c>
      <c r="N16" s="15" t="s">
        <v>99</v>
      </c>
      <c r="O16" s="15" t="s">
        <v>99</v>
      </c>
      <c r="P16" s="15">
        <v>0.85670250000000003</v>
      </c>
      <c r="Q16" s="15">
        <v>0.8586376</v>
      </c>
      <c r="R16" s="15">
        <v>0.87833689999999998</v>
      </c>
      <c r="S16" s="15">
        <v>0.86519330000000005</v>
      </c>
      <c r="T16" s="15">
        <v>0.85728400000000005</v>
      </c>
      <c r="U16" s="15">
        <v>0.84546670000000002</v>
      </c>
      <c r="V16" s="15">
        <v>0.8535007</v>
      </c>
      <c r="W16" s="15">
        <v>0.85823910000000003</v>
      </c>
      <c r="X16" s="15">
        <v>0.85879910000000004</v>
      </c>
      <c r="Y16" s="15">
        <v>0.86036889999999999</v>
      </c>
      <c r="Z16" s="15">
        <v>0.86548420000000004</v>
      </c>
      <c r="AA16" s="15">
        <v>0.89937029999999996</v>
      </c>
    </row>
    <row r="17" spans="1:27">
      <c r="A17" s="13" t="s">
        <v>40</v>
      </c>
      <c r="B17" s="15">
        <v>0.14114689999999999</v>
      </c>
      <c r="C17" s="15">
        <v>0.14286109999999999</v>
      </c>
      <c r="D17" s="15">
        <v>0.1574536</v>
      </c>
      <c r="E17" s="15">
        <v>0.14902489999999999</v>
      </c>
      <c r="F17" s="15">
        <v>0.1433923</v>
      </c>
      <c r="G17" s="15">
        <v>0.1201975</v>
      </c>
      <c r="H17" s="15" t="s">
        <v>99</v>
      </c>
      <c r="I17" s="15" t="s">
        <v>99</v>
      </c>
      <c r="J17" s="15" t="s">
        <v>99</v>
      </c>
      <c r="K17" s="15" t="s">
        <v>99</v>
      </c>
      <c r="L17" s="15" t="s">
        <v>99</v>
      </c>
      <c r="M17" s="15" t="s">
        <v>99</v>
      </c>
      <c r="N17" s="15" t="s">
        <v>99</v>
      </c>
      <c r="O17" s="15" t="s">
        <v>99</v>
      </c>
      <c r="P17" s="15">
        <v>0.14329749999999999</v>
      </c>
      <c r="Q17" s="15">
        <v>0.1413624</v>
      </c>
      <c r="R17" s="15">
        <v>0.1216631</v>
      </c>
      <c r="S17" s="15">
        <v>0.1348067</v>
      </c>
      <c r="T17" s="15">
        <v>0.14271600000000001</v>
      </c>
      <c r="U17" s="15">
        <v>0.15453330000000001</v>
      </c>
      <c r="V17" s="15">
        <v>0.1464993</v>
      </c>
      <c r="W17" s="15">
        <v>0.1417609</v>
      </c>
      <c r="X17" s="15">
        <v>0.14120089999999999</v>
      </c>
      <c r="Y17" s="15">
        <v>0.13963110000000001</v>
      </c>
      <c r="Z17" s="15">
        <v>0.13451579999999999</v>
      </c>
      <c r="AA17" s="15">
        <v>0.1006297</v>
      </c>
    </row>
    <row r="18" spans="1:27" ht="30" customHeight="1">
      <c r="A18" s="12" t="s">
        <v>123</v>
      </c>
      <c r="B18" s="15"/>
      <c r="C18" s="15"/>
      <c r="D18" s="15"/>
      <c r="E18" s="15"/>
      <c r="F18" s="15"/>
      <c r="G18" s="15"/>
      <c r="H18" s="15"/>
      <c r="I18" s="15"/>
      <c r="J18" s="15"/>
      <c r="K18" s="15"/>
      <c r="L18" s="15"/>
      <c r="M18" s="15"/>
      <c r="N18" s="15"/>
      <c r="O18" s="15"/>
      <c r="P18" s="15"/>
      <c r="Q18" s="15"/>
      <c r="R18" s="15"/>
      <c r="S18" s="15"/>
      <c r="T18" s="15"/>
      <c r="U18" s="15"/>
      <c r="V18" s="15"/>
      <c r="W18" s="15"/>
      <c r="X18" s="15"/>
      <c r="Y18" s="15"/>
      <c r="Z18" s="15"/>
      <c r="AA18" s="15"/>
    </row>
    <row r="19" spans="1:27">
      <c r="A19" s="13" t="s">
        <v>5</v>
      </c>
      <c r="B19" s="16" t="s">
        <v>6</v>
      </c>
      <c r="C19" s="16" t="s">
        <v>7</v>
      </c>
      <c r="D19" s="16" t="s">
        <v>8</v>
      </c>
      <c r="E19" s="16" t="s">
        <v>9</v>
      </c>
      <c r="F19" s="16" t="s">
        <v>10</v>
      </c>
      <c r="G19" s="16" t="s">
        <v>11</v>
      </c>
      <c r="H19" s="16" t="s">
        <v>12</v>
      </c>
      <c r="I19" s="16" t="s">
        <v>13</v>
      </c>
      <c r="J19" s="16" t="s">
        <v>14</v>
      </c>
      <c r="K19" s="16" t="s">
        <v>15</v>
      </c>
      <c r="L19" s="16" t="s">
        <v>16</v>
      </c>
      <c r="M19" s="16" t="s">
        <v>17</v>
      </c>
      <c r="N19" s="16" t="s">
        <v>18</v>
      </c>
      <c r="O19" s="16" t="s">
        <v>19</v>
      </c>
      <c r="P19" s="16" t="s">
        <v>20</v>
      </c>
      <c r="Q19" s="16" t="s">
        <v>21</v>
      </c>
      <c r="R19" s="16" t="s">
        <v>22</v>
      </c>
      <c r="S19" s="16" t="s">
        <v>23</v>
      </c>
      <c r="T19" s="16" t="s">
        <v>24</v>
      </c>
      <c r="U19" s="16" t="s">
        <v>25</v>
      </c>
      <c r="V19" s="16" t="s">
        <v>26</v>
      </c>
      <c r="W19" s="16" t="s">
        <v>27</v>
      </c>
      <c r="X19" s="16" t="s">
        <v>28</v>
      </c>
      <c r="Y19" s="16" t="s">
        <v>29</v>
      </c>
      <c r="Z19" s="16" t="s">
        <v>30</v>
      </c>
      <c r="AA19" s="16" t="s">
        <v>31</v>
      </c>
    </row>
    <row r="20" spans="1:27">
      <c r="A20" s="13" t="s">
        <v>32</v>
      </c>
      <c r="B20" s="17">
        <v>350000</v>
      </c>
      <c r="C20" s="17">
        <v>350000</v>
      </c>
      <c r="D20" s="17">
        <v>340000</v>
      </c>
      <c r="E20" s="17">
        <v>330000</v>
      </c>
      <c r="F20" s="17">
        <v>330000</v>
      </c>
      <c r="G20" s="17">
        <v>330000</v>
      </c>
      <c r="H20" s="17">
        <v>310000</v>
      </c>
      <c r="I20" s="17">
        <v>290000</v>
      </c>
      <c r="J20" s="17">
        <v>260000</v>
      </c>
      <c r="K20" s="17">
        <v>250000</v>
      </c>
      <c r="L20" s="17">
        <v>250000</v>
      </c>
      <c r="M20" s="17">
        <v>240000</v>
      </c>
      <c r="N20" s="17">
        <v>240000</v>
      </c>
      <c r="O20" s="17">
        <v>240000</v>
      </c>
      <c r="P20" s="17">
        <v>230000</v>
      </c>
      <c r="Q20" s="17">
        <v>210000</v>
      </c>
      <c r="R20" s="17">
        <v>210000</v>
      </c>
      <c r="S20" s="17">
        <v>210000</v>
      </c>
      <c r="T20" s="17">
        <v>210000</v>
      </c>
      <c r="U20" s="17">
        <v>220000</v>
      </c>
      <c r="V20" s="17">
        <v>230000</v>
      </c>
      <c r="W20" s="17">
        <v>240000</v>
      </c>
      <c r="X20" s="17">
        <v>230000</v>
      </c>
      <c r="Y20" s="17">
        <v>240000</v>
      </c>
      <c r="Z20" s="17">
        <v>240000</v>
      </c>
      <c r="AA20" s="17">
        <v>250000</v>
      </c>
    </row>
    <row r="21" spans="1:27">
      <c r="A21" s="13" t="s">
        <v>39</v>
      </c>
      <c r="B21" s="17">
        <v>300000</v>
      </c>
      <c r="C21" s="17">
        <v>300000</v>
      </c>
      <c r="D21" s="17">
        <v>290000</v>
      </c>
      <c r="E21" s="17">
        <v>280000</v>
      </c>
      <c r="F21" s="17">
        <v>290000</v>
      </c>
      <c r="G21" s="17">
        <v>290000</v>
      </c>
      <c r="H21" s="17" t="s">
        <v>99</v>
      </c>
      <c r="I21" s="17" t="s">
        <v>99</v>
      </c>
      <c r="J21" s="17" t="s">
        <v>99</v>
      </c>
      <c r="K21" s="17" t="s">
        <v>99</v>
      </c>
      <c r="L21" s="17" t="s">
        <v>99</v>
      </c>
      <c r="M21" s="17" t="s">
        <v>99</v>
      </c>
      <c r="N21" s="17" t="s">
        <v>99</v>
      </c>
      <c r="O21" s="17" t="s">
        <v>99</v>
      </c>
      <c r="P21" s="17">
        <v>200000</v>
      </c>
      <c r="Q21" s="17">
        <v>180000</v>
      </c>
      <c r="R21" s="17">
        <v>180000</v>
      </c>
      <c r="S21" s="17">
        <v>180000</v>
      </c>
      <c r="T21" s="17">
        <v>180000</v>
      </c>
      <c r="U21" s="17">
        <v>190000</v>
      </c>
      <c r="V21" s="17">
        <v>200000</v>
      </c>
      <c r="W21" s="17">
        <v>200000</v>
      </c>
      <c r="X21" s="17">
        <v>200000</v>
      </c>
      <c r="Y21" s="17">
        <v>210000</v>
      </c>
      <c r="Z21" s="17">
        <v>210000</v>
      </c>
      <c r="AA21" s="17">
        <v>220000</v>
      </c>
    </row>
    <row r="22" spans="1:27">
      <c r="A22" s="13" t="s">
        <v>40</v>
      </c>
      <c r="B22" s="17">
        <v>50000</v>
      </c>
      <c r="C22" s="17" t="s">
        <v>35</v>
      </c>
      <c r="D22" s="17" t="s">
        <v>35</v>
      </c>
      <c r="E22" s="17" t="s">
        <v>35</v>
      </c>
      <c r="F22" s="17" t="s">
        <v>35</v>
      </c>
      <c r="G22" s="17" t="s">
        <v>35</v>
      </c>
      <c r="H22" s="17" t="s">
        <v>99</v>
      </c>
      <c r="I22" s="17" t="s">
        <v>99</v>
      </c>
      <c r="J22" s="17" t="s">
        <v>99</v>
      </c>
      <c r="K22" s="17" t="s">
        <v>99</v>
      </c>
      <c r="L22" s="17" t="s">
        <v>99</v>
      </c>
      <c r="M22" s="17" t="s">
        <v>99</v>
      </c>
      <c r="N22" s="17" t="s">
        <v>99</v>
      </c>
      <c r="O22" s="17" t="s">
        <v>99</v>
      </c>
      <c r="P22" s="17">
        <v>30000</v>
      </c>
      <c r="Q22" s="17" t="s">
        <v>35</v>
      </c>
      <c r="R22" s="17" t="s">
        <v>35</v>
      </c>
      <c r="S22" s="17" t="s">
        <v>35</v>
      </c>
      <c r="T22" s="17" t="s">
        <v>35</v>
      </c>
      <c r="U22" s="17" t="s">
        <v>35</v>
      </c>
      <c r="V22" s="17" t="s">
        <v>35</v>
      </c>
      <c r="W22" s="17" t="s">
        <v>35</v>
      </c>
      <c r="X22" s="17" t="s">
        <v>35</v>
      </c>
      <c r="Y22" s="17" t="s">
        <v>35</v>
      </c>
      <c r="Z22" s="17" t="s">
        <v>35</v>
      </c>
      <c r="AA22" s="17" t="s">
        <v>35</v>
      </c>
    </row>
    <row r="23" spans="1:27" ht="30" customHeight="1">
      <c r="A23" s="12" t="s">
        <v>124</v>
      </c>
      <c r="B23" s="17"/>
      <c r="C23" s="17"/>
      <c r="D23" s="17"/>
      <c r="E23" s="17"/>
      <c r="F23" s="17"/>
      <c r="G23" s="17"/>
      <c r="H23" s="17"/>
      <c r="I23" s="17"/>
      <c r="J23" s="17"/>
      <c r="K23" s="17"/>
      <c r="L23" s="17"/>
      <c r="M23" s="17"/>
      <c r="N23" s="17"/>
      <c r="O23" s="17"/>
      <c r="P23" s="17"/>
      <c r="Q23" s="17"/>
      <c r="R23" s="17"/>
      <c r="S23" s="17"/>
      <c r="T23" s="17"/>
      <c r="U23" s="17"/>
      <c r="V23" s="17"/>
      <c r="W23" s="17"/>
      <c r="X23" s="17"/>
      <c r="Y23" s="17"/>
      <c r="Z23" s="17"/>
      <c r="AA23" s="17"/>
    </row>
    <row r="24" spans="1:27">
      <c r="A24" s="13" t="s">
        <v>5</v>
      </c>
      <c r="B24" s="18" t="s">
        <v>6</v>
      </c>
      <c r="C24" s="18" t="s">
        <v>7</v>
      </c>
      <c r="D24" s="18" t="s">
        <v>8</v>
      </c>
      <c r="E24" s="18" t="s">
        <v>9</v>
      </c>
      <c r="F24" s="18" t="s">
        <v>10</v>
      </c>
      <c r="G24" s="18" t="s">
        <v>11</v>
      </c>
      <c r="H24" s="18" t="s">
        <v>12</v>
      </c>
      <c r="I24" s="18" t="s">
        <v>13</v>
      </c>
      <c r="J24" s="18" t="s">
        <v>14</v>
      </c>
      <c r="K24" s="18" t="s">
        <v>15</v>
      </c>
      <c r="L24" s="18" t="s">
        <v>16</v>
      </c>
      <c r="M24" s="18" t="s">
        <v>17</v>
      </c>
      <c r="N24" s="18" t="s">
        <v>18</v>
      </c>
      <c r="O24" s="18" t="s">
        <v>19</v>
      </c>
      <c r="P24" s="18" t="s">
        <v>20</v>
      </c>
      <c r="Q24" s="18" t="s">
        <v>21</v>
      </c>
      <c r="R24" s="18" t="s">
        <v>22</v>
      </c>
      <c r="S24" s="18" t="s">
        <v>23</v>
      </c>
      <c r="T24" s="18" t="s">
        <v>24</v>
      </c>
      <c r="U24" s="18" t="s">
        <v>25</v>
      </c>
      <c r="V24" s="18" t="s">
        <v>26</v>
      </c>
      <c r="W24" s="18" t="s">
        <v>27</v>
      </c>
      <c r="X24" s="18" t="s">
        <v>28</v>
      </c>
      <c r="Y24" s="18" t="s">
        <v>29</v>
      </c>
      <c r="Z24" s="18" t="s">
        <v>30</v>
      </c>
      <c r="AA24" s="18" t="s">
        <v>31</v>
      </c>
    </row>
    <row r="25" spans="1:27">
      <c r="A25" s="13" t="s">
        <v>32</v>
      </c>
      <c r="B25" s="15">
        <v>0.49508239999999998</v>
      </c>
      <c r="C25" s="15">
        <v>0.49183529999999998</v>
      </c>
      <c r="D25" s="15">
        <v>0.45778000000000002</v>
      </c>
      <c r="E25" s="15">
        <v>0.4283054</v>
      </c>
      <c r="F25" s="15">
        <v>0.39523950000000002</v>
      </c>
      <c r="G25" s="15">
        <v>0.37891910000000001</v>
      </c>
      <c r="H25" s="15">
        <v>0.34114630000000001</v>
      </c>
      <c r="I25" s="15">
        <v>0.30955690000000002</v>
      </c>
      <c r="J25" s="15">
        <v>0.2726788</v>
      </c>
      <c r="K25" s="15">
        <v>0.25810660000000002</v>
      </c>
      <c r="L25" s="15">
        <v>0.24968180000000001</v>
      </c>
      <c r="M25" s="15">
        <v>0.24055480000000001</v>
      </c>
      <c r="N25" s="15">
        <v>0.24093719999999999</v>
      </c>
      <c r="O25" s="15">
        <v>0.23671420000000001</v>
      </c>
      <c r="P25" s="15">
        <v>0.23137369999999999</v>
      </c>
      <c r="Q25" s="15">
        <v>0.21533070000000001</v>
      </c>
      <c r="R25" s="15">
        <v>0.21545400000000001</v>
      </c>
      <c r="S25" s="15">
        <v>0.22131410000000001</v>
      </c>
      <c r="T25" s="15">
        <v>0.2198638</v>
      </c>
      <c r="U25" s="15">
        <v>0.22061359999999999</v>
      </c>
      <c r="V25" s="15">
        <v>0.21252960000000001</v>
      </c>
      <c r="W25" s="15">
        <v>0.21870529999999999</v>
      </c>
      <c r="X25" s="15">
        <v>0.20637730000000001</v>
      </c>
      <c r="Y25" s="15">
        <v>0.21486730000000001</v>
      </c>
      <c r="Z25" s="15">
        <v>0.21321499999999999</v>
      </c>
      <c r="AA25" s="15">
        <v>0.20818980000000001</v>
      </c>
    </row>
    <row r="26" spans="1:27">
      <c r="A26" s="13" t="s">
        <v>39</v>
      </c>
      <c r="B26" s="15">
        <v>0.4852243</v>
      </c>
      <c r="C26" s="15">
        <v>0.48110510000000001</v>
      </c>
      <c r="D26" s="15">
        <v>0.44225429999999999</v>
      </c>
      <c r="E26" s="15">
        <v>0.41386859999999998</v>
      </c>
      <c r="F26" s="15">
        <v>0.3807468</v>
      </c>
      <c r="G26" s="15">
        <v>0.36732979999999998</v>
      </c>
      <c r="H26" s="15" t="s">
        <v>99</v>
      </c>
      <c r="I26" s="15" t="s">
        <v>99</v>
      </c>
      <c r="J26" s="15" t="s">
        <v>99</v>
      </c>
      <c r="K26" s="15" t="s">
        <v>99</v>
      </c>
      <c r="L26" s="15" t="s">
        <v>99</v>
      </c>
      <c r="M26" s="15" t="s">
        <v>99</v>
      </c>
      <c r="N26" s="15" t="s">
        <v>99</v>
      </c>
      <c r="O26" s="15" t="s">
        <v>99</v>
      </c>
      <c r="P26" s="15">
        <v>0.22384609999999999</v>
      </c>
      <c r="Q26" s="15">
        <v>0.20940420000000001</v>
      </c>
      <c r="R26" s="15">
        <v>0.2129508</v>
      </c>
      <c r="S26" s="15">
        <v>0.21441209999999999</v>
      </c>
      <c r="T26" s="15">
        <v>0.2116603</v>
      </c>
      <c r="U26" s="15">
        <v>0.20903820000000001</v>
      </c>
      <c r="V26" s="15">
        <v>0.20410320000000001</v>
      </c>
      <c r="W26" s="15">
        <v>0.20915149999999999</v>
      </c>
      <c r="X26" s="15">
        <v>0.1979639</v>
      </c>
      <c r="Y26" s="15">
        <v>0.20592289999999999</v>
      </c>
      <c r="Z26" s="15">
        <v>0.20664579999999999</v>
      </c>
      <c r="AA26" s="15">
        <v>0.20686289999999999</v>
      </c>
    </row>
    <row r="27" spans="1:27">
      <c r="A27" s="13" t="s">
        <v>40</v>
      </c>
      <c r="B27" s="15">
        <v>0.57964260000000001</v>
      </c>
      <c r="C27" s="15">
        <v>0.58875230000000001</v>
      </c>
      <c r="D27" s="15">
        <v>0.59335490000000002</v>
      </c>
      <c r="E27" s="15">
        <v>0.55821690000000002</v>
      </c>
      <c r="F27" s="15">
        <v>0.52614190000000005</v>
      </c>
      <c r="G27" s="15">
        <v>0.49215490000000001</v>
      </c>
      <c r="H27" s="15" t="s">
        <v>99</v>
      </c>
      <c r="I27" s="15" t="s">
        <v>99</v>
      </c>
      <c r="J27" s="15" t="s">
        <v>99</v>
      </c>
      <c r="K27" s="15" t="s">
        <v>99</v>
      </c>
      <c r="L27" s="15" t="s">
        <v>99</v>
      </c>
      <c r="M27" s="15" t="s">
        <v>99</v>
      </c>
      <c r="N27" s="15" t="s">
        <v>99</v>
      </c>
      <c r="O27" s="15" t="s">
        <v>99</v>
      </c>
      <c r="P27" s="15">
        <v>0.29215479999999999</v>
      </c>
      <c r="Q27" s="15">
        <v>0.2618279</v>
      </c>
      <c r="R27" s="15">
        <v>0.23826849999999999</v>
      </c>
      <c r="S27" s="15">
        <v>0.27976830000000003</v>
      </c>
      <c r="T27" s="15">
        <v>0.28545809999999999</v>
      </c>
      <c r="U27" s="15">
        <v>0.31344460000000002</v>
      </c>
      <c r="V27" s="15">
        <v>0.27921829999999997</v>
      </c>
      <c r="W27" s="15">
        <v>0.2983422</v>
      </c>
      <c r="X27" s="15">
        <v>0.27962900000000002</v>
      </c>
      <c r="Y27" s="15">
        <v>0.29399249999999999</v>
      </c>
      <c r="Z27" s="15">
        <v>0.27402530000000003</v>
      </c>
      <c r="AA27" s="15" t="s">
        <v>35</v>
      </c>
    </row>
    <row r="28" spans="1:27" ht="30" customHeight="1">
      <c r="A28" s="12" t="s">
        <v>125</v>
      </c>
      <c r="B28" s="15"/>
      <c r="C28" s="15"/>
      <c r="D28" s="15"/>
      <c r="E28" s="15"/>
      <c r="F28" s="15"/>
      <c r="G28" s="15"/>
      <c r="H28" s="15"/>
      <c r="I28" s="15"/>
      <c r="J28" s="15"/>
      <c r="K28" s="15"/>
      <c r="L28" s="15"/>
      <c r="M28" s="15"/>
      <c r="N28" s="15"/>
      <c r="O28" s="15"/>
      <c r="P28" s="15"/>
      <c r="Q28" s="15"/>
      <c r="R28" s="15"/>
      <c r="S28" s="15"/>
      <c r="T28" s="15"/>
      <c r="U28" s="15"/>
      <c r="V28" s="15"/>
      <c r="W28" s="15"/>
      <c r="X28" s="15"/>
      <c r="Y28" s="15"/>
      <c r="Z28" s="15"/>
      <c r="AA28" s="15"/>
    </row>
    <row r="29" spans="1:27">
      <c r="A29" s="13" t="s">
        <v>5</v>
      </c>
      <c r="B29" s="16" t="s">
        <v>6</v>
      </c>
      <c r="C29" s="16" t="s">
        <v>7</v>
      </c>
      <c r="D29" s="16" t="s">
        <v>8</v>
      </c>
      <c r="E29" s="16" t="s">
        <v>9</v>
      </c>
      <c r="F29" s="16" t="s">
        <v>10</v>
      </c>
      <c r="G29" s="16" t="s">
        <v>11</v>
      </c>
      <c r="H29" s="16" t="s">
        <v>12</v>
      </c>
      <c r="I29" s="16" t="s">
        <v>13</v>
      </c>
      <c r="J29" s="16" t="s">
        <v>14</v>
      </c>
      <c r="K29" s="16" t="s">
        <v>15</v>
      </c>
      <c r="L29" s="16" t="s">
        <v>16</v>
      </c>
      <c r="M29" s="16" t="s">
        <v>17</v>
      </c>
      <c r="N29" s="16" t="s">
        <v>18</v>
      </c>
      <c r="O29" s="16" t="s">
        <v>19</v>
      </c>
      <c r="P29" s="16" t="s">
        <v>20</v>
      </c>
      <c r="Q29" s="16" t="s">
        <v>21</v>
      </c>
      <c r="R29" s="16" t="s">
        <v>22</v>
      </c>
      <c r="S29" s="16" t="s">
        <v>23</v>
      </c>
      <c r="T29" s="16" t="s">
        <v>24</v>
      </c>
      <c r="U29" s="16" t="s">
        <v>25</v>
      </c>
      <c r="V29" s="16" t="s">
        <v>26</v>
      </c>
      <c r="W29" s="16" t="s">
        <v>27</v>
      </c>
      <c r="X29" s="16" t="s">
        <v>28</v>
      </c>
      <c r="Y29" s="16" t="s">
        <v>29</v>
      </c>
      <c r="Z29" s="16" t="s">
        <v>30</v>
      </c>
      <c r="AA29" s="16" t="s">
        <v>31</v>
      </c>
    </row>
    <row r="30" spans="1:27">
      <c r="A30" s="13" t="s">
        <v>32</v>
      </c>
      <c r="B30" s="15">
        <v>1</v>
      </c>
      <c r="C30" s="15">
        <v>1</v>
      </c>
      <c r="D30" s="15">
        <v>1</v>
      </c>
      <c r="E30" s="15">
        <v>1</v>
      </c>
      <c r="F30" s="15">
        <v>1</v>
      </c>
      <c r="G30" s="15">
        <v>1</v>
      </c>
      <c r="H30" s="15">
        <v>1</v>
      </c>
      <c r="I30" s="15">
        <v>1</v>
      </c>
      <c r="J30" s="15">
        <v>1</v>
      </c>
      <c r="K30" s="15">
        <v>1</v>
      </c>
      <c r="L30" s="15">
        <v>1</v>
      </c>
      <c r="M30" s="15">
        <v>1</v>
      </c>
      <c r="N30" s="15">
        <v>1</v>
      </c>
      <c r="O30" s="15">
        <v>1</v>
      </c>
      <c r="P30" s="15">
        <v>1</v>
      </c>
      <c r="Q30" s="15">
        <v>1</v>
      </c>
      <c r="R30" s="15">
        <v>1</v>
      </c>
      <c r="S30" s="15">
        <v>1</v>
      </c>
      <c r="T30" s="15">
        <v>1</v>
      </c>
      <c r="U30" s="15">
        <v>1</v>
      </c>
      <c r="V30" s="15">
        <v>1</v>
      </c>
      <c r="W30" s="15">
        <v>1</v>
      </c>
      <c r="X30" s="15">
        <v>1</v>
      </c>
      <c r="Y30" s="15">
        <v>1</v>
      </c>
      <c r="Z30" s="15">
        <v>1</v>
      </c>
      <c r="AA30" s="15">
        <v>1</v>
      </c>
    </row>
    <row r="31" spans="1:27">
      <c r="A31" s="13" t="s">
        <v>39</v>
      </c>
      <c r="B31" s="15">
        <v>0.87921479999999996</v>
      </c>
      <c r="C31" s="15">
        <v>0.88092459999999995</v>
      </c>
      <c r="D31" s="15">
        <v>0.86624230000000002</v>
      </c>
      <c r="E31" s="15">
        <v>0.86785389999999996</v>
      </c>
      <c r="F31" s="15">
        <v>0.86560939999999997</v>
      </c>
      <c r="G31" s="15">
        <v>0.88563460000000005</v>
      </c>
      <c r="H31" s="15" t="s">
        <v>99</v>
      </c>
      <c r="I31" s="15" t="s">
        <v>99</v>
      </c>
      <c r="J31" s="15" t="s">
        <v>99</v>
      </c>
      <c r="K31" s="15" t="s">
        <v>99</v>
      </c>
      <c r="L31" s="15" t="s">
        <v>99</v>
      </c>
      <c r="M31" s="15" t="s">
        <v>99</v>
      </c>
      <c r="N31" s="15" t="s">
        <v>99</v>
      </c>
      <c r="O31" s="15" t="s">
        <v>99</v>
      </c>
      <c r="P31" s="15">
        <v>0.85947039999999997</v>
      </c>
      <c r="Q31" s="15">
        <v>0.86299380000000003</v>
      </c>
      <c r="R31" s="15">
        <v>0.88123620000000003</v>
      </c>
      <c r="S31" s="15">
        <v>0.86716300000000002</v>
      </c>
      <c r="T31" s="15">
        <v>0.85646359999999999</v>
      </c>
      <c r="U31" s="15">
        <v>0.84206709999999996</v>
      </c>
      <c r="V31" s="15">
        <v>0.8531704</v>
      </c>
      <c r="W31" s="15">
        <v>0.85378790000000004</v>
      </c>
      <c r="X31" s="15">
        <v>0.85862899999999998</v>
      </c>
      <c r="Y31" s="15">
        <v>0.86279700000000004</v>
      </c>
      <c r="Z31" s="15">
        <v>0.87515639999999995</v>
      </c>
      <c r="AA31" s="15">
        <v>0.91953189999999996</v>
      </c>
    </row>
    <row r="32" spans="1:27">
      <c r="A32" s="13" t="s">
        <v>40</v>
      </c>
      <c r="B32" s="15">
        <v>0.1207852</v>
      </c>
      <c r="C32" s="15">
        <v>0.1190754</v>
      </c>
      <c r="D32" s="15">
        <v>0.13375770000000001</v>
      </c>
      <c r="E32" s="15">
        <v>0.13214609999999999</v>
      </c>
      <c r="F32" s="15">
        <v>0.1343906</v>
      </c>
      <c r="G32" s="15">
        <v>0.11436540000000001</v>
      </c>
      <c r="H32" s="15" t="s">
        <v>99</v>
      </c>
      <c r="I32" s="15" t="s">
        <v>99</v>
      </c>
      <c r="J32" s="15" t="s">
        <v>99</v>
      </c>
      <c r="K32" s="15" t="s">
        <v>99</v>
      </c>
      <c r="L32" s="15" t="s">
        <v>99</v>
      </c>
      <c r="M32" s="15" t="s">
        <v>99</v>
      </c>
      <c r="N32" s="15" t="s">
        <v>99</v>
      </c>
      <c r="O32" s="15" t="s">
        <v>99</v>
      </c>
      <c r="P32" s="15">
        <v>0.1405296</v>
      </c>
      <c r="Q32" s="15">
        <v>0.13700619999999999</v>
      </c>
      <c r="R32" s="15">
        <v>0.1187638</v>
      </c>
      <c r="S32" s="15">
        <v>0.13283700000000001</v>
      </c>
      <c r="T32" s="15">
        <v>0.14353640000000001</v>
      </c>
      <c r="U32" s="15">
        <v>0.15793289999999999</v>
      </c>
      <c r="V32" s="15">
        <v>0.1468296</v>
      </c>
      <c r="W32" s="15">
        <v>0.14621210000000001</v>
      </c>
      <c r="X32" s="15">
        <v>0.141371</v>
      </c>
      <c r="Y32" s="15">
        <v>0.13720299999999999</v>
      </c>
      <c r="Z32" s="15">
        <v>0.1248436</v>
      </c>
      <c r="AA32" s="15">
        <v>8.0468100000000001E-2</v>
      </c>
    </row>
    <row r="33" spans="1:27" ht="30" customHeight="1">
      <c r="A33" s="12" t="s">
        <v>126</v>
      </c>
      <c r="B33" s="15"/>
      <c r="C33" s="15"/>
      <c r="D33" s="15"/>
      <c r="E33" s="15"/>
      <c r="F33" s="15"/>
      <c r="G33" s="15"/>
      <c r="H33" s="15"/>
      <c r="I33" s="15"/>
      <c r="J33" s="15"/>
      <c r="K33" s="15"/>
      <c r="L33" s="15"/>
      <c r="M33" s="15"/>
      <c r="N33" s="15"/>
      <c r="O33" s="15"/>
      <c r="P33" s="15"/>
      <c r="Q33" s="15"/>
      <c r="R33" s="15"/>
      <c r="S33" s="15"/>
      <c r="T33" s="15"/>
      <c r="U33" s="15"/>
      <c r="V33" s="15"/>
      <c r="W33" s="15"/>
      <c r="X33" s="15"/>
      <c r="Y33" s="15"/>
      <c r="Z33" s="15"/>
      <c r="AA33" s="15"/>
    </row>
    <row r="34" spans="1:27">
      <c r="A34" s="13" t="s">
        <v>5</v>
      </c>
      <c r="B34" s="16" t="s">
        <v>6</v>
      </c>
      <c r="C34" s="16" t="s">
        <v>7</v>
      </c>
      <c r="D34" s="16" t="s">
        <v>8</v>
      </c>
      <c r="E34" s="16" t="s">
        <v>9</v>
      </c>
      <c r="F34" s="16" t="s">
        <v>10</v>
      </c>
      <c r="G34" s="16" t="s">
        <v>11</v>
      </c>
      <c r="H34" s="16" t="s">
        <v>12</v>
      </c>
      <c r="I34" s="16" t="s">
        <v>13</v>
      </c>
      <c r="J34" s="16" t="s">
        <v>14</v>
      </c>
      <c r="K34" s="16" t="s">
        <v>15</v>
      </c>
      <c r="L34" s="16" t="s">
        <v>16</v>
      </c>
      <c r="M34" s="16" t="s">
        <v>17</v>
      </c>
      <c r="N34" s="16" t="s">
        <v>18</v>
      </c>
      <c r="O34" s="16" t="s">
        <v>19</v>
      </c>
      <c r="P34" s="16" t="s">
        <v>20</v>
      </c>
      <c r="Q34" s="16" t="s">
        <v>21</v>
      </c>
      <c r="R34" s="16" t="s">
        <v>22</v>
      </c>
      <c r="S34" s="16" t="s">
        <v>23</v>
      </c>
      <c r="T34" s="16" t="s">
        <v>24</v>
      </c>
      <c r="U34" s="16" t="s">
        <v>25</v>
      </c>
      <c r="V34" s="16" t="s">
        <v>26</v>
      </c>
      <c r="W34" s="16" t="s">
        <v>27</v>
      </c>
      <c r="X34" s="16" t="s">
        <v>28</v>
      </c>
      <c r="Y34" s="16" t="s">
        <v>29</v>
      </c>
      <c r="Z34" s="16" t="s">
        <v>30</v>
      </c>
      <c r="AA34" s="16" t="s">
        <v>31</v>
      </c>
    </row>
    <row r="35" spans="1:27">
      <c r="A35" s="13" t="s">
        <v>32</v>
      </c>
      <c r="B35" s="17">
        <v>550000</v>
      </c>
      <c r="C35" s="17">
        <v>540000</v>
      </c>
      <c r="D35" s="17">
        <v>500000</v>
      </c>
      <c r="E35" s="17">
        <v>460000</v>
      </c>
      <c r="F35" s="17">
        <v>420000</v>
      </c>
      <c r="G35" s="17">
        <v>400000</v>
      </c>
      <c r="H35" s="17">
        <v>360000</v>
      </c>
      <c r="I35" s="17">
        <v>320000</v>
      </c>
      <c r="J35" s="17">
        <v>280000</v>
      </c>
      <c r="K35" s="17">
        <v>260000</v>
      </c>
      <c r="L35" s="17">
        <v>250000</v>
      </c>
      <c r="M35" s="17">
        <v>240000</v>
      </c>
      <c r="N35" s="17">
        <v>240000</v>
      </c>
      <c r="O35" s="17">
        <v>240000</v>
      </c>
      <c r="P35" s="17">
        <v>230000</v>
      </c>
      <c r="Q35" s="17">
        <v>210000</v>
      </c>
      <c r="R35" s="17">
        <v>210000</v>
      </c>
      <c r="S35" s="17">
        <v>220000</v>
      </c>
      <c r="T35" s="17">
        <v>220000</v>
      </c>
      <c r="U35" s="17">
        <v>220000</v>
      </c>
      <c r="V35" s="17">
        <v>210000</v>
      </c>
      <c r="W35" s="17">
        <v>220000</v>
      </c>
      <c r="X35" s="17">
        <v>200000</v>
      </c>
      <c r="Y35" s="17">
        <v>210000</v>
      </c>
      <c r="Z35" s="17">
        <v>210000</v>
      </c>
      <c r="AA35" s="17">
        <v>210000</v>
      </c>
    </row>
    <row r="36" spans="1:27">
      <c r="A36" s="13" t="s">
        <v>39</v>
      </c>
      <c r="B36" s="17">
        <v>480000</v>
      </c>
      <c r="C36" s="17">
        <v>480000</v>
      </c>
      <c r="D36" s="17">
        <v>430000</v>
      </c>
      <c r="E36" s="17">
        <v>400000</v>
      </c>
      <c r="F36" s="17">
        <v>370000</v>
      </c>
      <c r="G36" s="17">
        <v>360000</v>
      </c>
      <c r="H36" s="17" t="s">
        <v>99</v>
      </c>
      <c r="I36" s="17" t="s">
        <v>99</v>
      </c>
      <c r="J36" s="17" t="s">
        <v>99</v>
      </c>
      <c r="K36" s="17" t="s">
        <v>99</v>
      </c>
      <c r="L36" s="17" t="s">
        <v>99</v>
      </c>
      <c r="M36" s="17" t="s">
        <v>99</v>
      </c>
      <c r="N36" s="17" t="s">
        <v>99</v>
      </c>
      <c r="O36" s="17" t="s">
        <v>99</v>
      </c>
      <c r="P36" s="17">
        <v>200000</v>
      </c>
      <c r="Q36" s="17">
        <v>190000</v>
      </c>
      <c r="R36" s="17">
        <v>190000</v>
      </c>
      <c r="S36" s="17">
        <v>190000</v>
      </c>
      <c r="T36" s="17">
        <v>190000</v>
      </c>
      <c r="U36" s="17">
        <v>180000</v>
      </c>
      <c r="V36" s="17">
        <v>180000</v>
      </c>
      <c r="W36" s="17">
        <v>180000</v>
      </c>
      <c r="X36" s="17">
        <v>180000</v>
      </c>
      <c r="Y36" s="17">
        <v>180000</v>
      </c>
      <c r="Z36" s="17">
        <v>190000</v>
      </c>
      <c r="AA36" s="17">
        <v>190000</v>
      </c>
    </row>
    <row r="37" spans="1:27">
      <c r="A37" s="13" t="s">
        <v>40</v>
      </c>
      <c r="B37" s="17">
        <v>70000</v>
      </c>
      <c r="C37" s="17">
        <v>60000</v>
      </c>
      <c r="D37" s="17">
        <v>70000</v>
      </c>
      <c r="E37" s="17" t="s">
        <v>35</v>
      </c>
      <c r="F37" s="17" t="s">
        <v>35</v>
      </c>
      <c r="G37" s="17" t="s">
        <v>35</v>
      </c>
      <c r="H37" s="17" t="s">
        <v>99</v>
      </c>
      <c r="I37" s="17" t="s">
        <v>99</v>
      </c>
      <c r="J37" s="17" t="s">
        <v>99</v>
      </c>
      <c r="K37" s="17" t="s">
        <v>99</v>
      </c>
      <c r="L37" s="17" t="s">
        <v>99</v>
      </c>
      <c r="M37" s="17" t="s">
        <v>99</v>
      </c>
      <c r="N37" s="17" t="s">
        <v>99</v>
      </c>
      <c r="O37" s="17" t="s">
        <v>99</v>
      </c>
      <c r="P37" s="17" t="s">
        <v>35</v>
      </c>
      <c r="Q37" s="17" t="s">
        <v>35</v>
      </c>
      <c r="R37" s="17" t="s">
        <v>35</v>
      </c>
      <c r="S37" s="17" t="s">
        <v>35</v>
      </c>
      <c r="T37" s="17" t="s">
        <v>35</v>
      </c>
      <c r="U37" s="17" t="s">
        <v>35</v>
      </c>
      <c r="V37" s="17" t="s">
        <v>35</v>
      </c>
      <c r="W37" s="17" t="s">
        <v>35</v>
      </c>
      <c r="X37" s="17" t="s">
        <v>35</v>
      </c>
      <c r="Y37" s="17" t="s">
        <v>35</v>
      </c>
      <c r="Z37" s="17" t="s">
        <v>35</v>
      </c>
      <c r="AA37" s="17" t="s">
        <v>35</v>
      </c>
    </row>
    <row r="38" spans="1:27" ht="30" customHeight="1">
      <c r="A38" s="12" t="s">
        <v>127</v>
      </c>
      <c r="B38" s="17"/>
      <c r="C38" s="17"/>
      <c r="D38" s="17"/>
      <c r="E38" s="17"/>
      <c r="F38" s="17"/>
      <c r="G38" s="17"/>
      <c r="H38" s="17"/>
      <c r="I38" s="17"/>
      <c r="J38" s="17"/>
      <c r="K38" s="17"/>
      <c r="L38" s="17"/>
      <c r="M38" s="17"/>
      <c r="N38" s="17"/>
      <c r="O38" s="17"/>
      <c r="P38" s="17"/>
      <c r="Q38" s="17"/>
      <c r="R38" s="17"/>
      <c r="S38" s="17"/>
      <c r="T38" s="17"/>
      <c r="U38" s="17"/>
      <c r="V38" s="17"/>
      <c r="W38" s="17"/>
      <c r="X38" s="17"/>
      <c r="Y38" s="17"/>
      <c r="Z38" s="17"/>
      <c r="AA38" s="17"/>
    </row>
    <row r="39" spans="1:27">
      <c r="A39" s="13" t="s">
        <v>5</v>
      </c>
      <c r="B39" s="18" t="s">
        <v>6</v>
      </c>
      <c r="C39" s="18" t="s">
        <v>7</v>
      </c>
      <c r="D39" s="18" t="s">
        <v>8</v>
      </c>
      <c r="E39" s="18" t="s">
        <v>9</v>
      </c>
      <c r="F39" s="18" t="s">
        <v>10</v>
      </c>
      <c r="G39" s="18" t="s">
        <v>11</v>
      </c>
      <c r="H39" s="18" t="s">
        <v>12</v>
      </c>
      <c r="I39" s="18" t="s">
        <v>13</v>
      </c>
      <c r="J39" s="18" t="s">
        <v>14</v>
      </c>
      <c r="K39" s="18" t="s">
        <v>15</v>
      </c>
      <c r="L39" s="18" t="s">
        <v>16</v>
      </c>
      <c r="M39" s="18" t="s">
        <v>17</v>
      </c>
      <c r="N39" s="18" t="s">
        <v>18</v>
      </c>
      <c r="O39" s="18" t="s">
        <v>19</v>
      </c>
      <c r="P39" s="18" t="s">
        <v>20</v>
      </c>
      <c r="Q39" s="18" t="s">
        <v>21</v>
      </c>
      <c r="R39" s="18" t="s">
        <v>22</v>
      </c>
      <c r="S39" s="18" t="s">
        <v>23</v>
      </c>
      <c r="T39" s="18" t="s">
        <v>24</v>
      </c>
      <c r="U39" s="18" t="s">
        <v>25</v>
      </c>
      <c r="V39" s="18" t="s">
        <v>26</v>
      </c>
      <c r="W39" s="18" t="s">
        <v>27</v>
      </c>
      <c r="X39" s="18" t="s">
        <v>28</v>
      </c>
      <c r="Y39" s="18" t="s">
        <v>29</v>
      </c>
      <c r="Z39" s="18" t="s">
        <v>30</v>
      </c>
      <c r="AA39" s="18" t="s">
        <v>31</v>
      </c>
    </row>
    <row r="40" spans="1:27">
      <c r="A40" s="13" t="s">
        <v>32</v>
      </c>
      <c r="B40" s="15" t="s">
        <v>99</v>
      </c>
      <c r="C40" s="15" t="s">
        <v>99</v>
      </c>
      <c r="D40" s="15" t="s">
        <v>99</v>
      </c>
      <c r="E40" s="15" t="s">
        <v>99</v>
      </c>
      <c r="F40" s="15" t="s">
        <v>99</v>
      </c>
      <c r="G40" s="15" t="s">
        <v>99</v>
      </c>
      <c r="H40" s="15" t="s">
        <v>99</v>
      </c>
      <c r="I40" s="15" t="s">
        <v>99</v>
      </c>
      <c r="J40" s="15" t="s">
        <v>99</v>
      </c>
      <c r="K40" s="15" t="s">
        <v>99</v>
      </c>
      <c r="L40" s="15">
        <v>0.15674099999999999</v>
      </c>
      <c r="M40" s="15">
        <v>0.15043819999999999</v>
      </c>
      <c r="N40" s="15">
        <v>0.16121170000000001</v>
      </c>
      <c r="O40" s="15">
        <v>0.16044269999999999</v>
      </c>
      <c r="P40" s="15">
        <v>0.15772449999999999</v>
      </c>
      <c r="Q40" s="15" t="s">
        <v>98</v>
      </c>
      <c r="R40" s="15">
        <v>0.1183056</v>
      </c>
      <c r="S40" s="15">
        <v>0.12175800000000001</v>
      </c>
      <c r="T40" s="15">
        <v>0.12656249999999999</v>
      </c>
      <c r="U40" s="15">
        <v>0.12551419999999999</v>
      </c>
      <c r="V40" s="15">
        <v>0.1152852</v>
      </c>
      <c r="W40" s="15">
        <v>0.1210937</v>
      </c>
      <c r="X40" s="15">
        <v>0.12252349999999999</v>
      </c>
      <c r="Y40" s="15">
        <v>0.12522369999999999</v>
      </c>
      <c r="Z40" s="15">
        <v>0.1194209</v>
      </c>
      <c r="AA40" s="15">
        <v>0.105203</v>
      </c>
    </row>
    <row r="41" spans="1:27">
      <c r="A41" s="13" t="s">
        <v>39</v>
      </c>
      <c r="B41" s="15" t="s">
        <v>99</v>
      </c>
      <c r="C41" s="15" t="s">
        <v>99</v>
      </c>
      <c r="D41" s="15" t="s">
        <v>99</v>
      </c>
      <c r="E41" s="15" t="s">
        <v>99</v>
      </c>
      <c r="F41" s="15" t="s">
        <v>99</v>
      </c>
      <c r="G41" s="15" t="s">
        <v>99</v>
      </c>
      <c r="H41" s="15" t="s">
        <v>99</v>
      </c>
      <c r="I41" s="15" t="s">
        <v>99</v>
      </c>
      <c r="J41" s="15" t="s">
        <v>99</v>
      </c>
      <c r="K41" s="15" t="s">
        <v>99</v>
      </c>
      <c r="L41" s="15" t="s">
        <v>99</v>
      </c>
      <c r="M41" s="15" t="s">
        <v>99</v>
      </c>
      <c r="N41" s="15" t="s">
        <v>99</v>
      </c>
      <c r="O41" s="15" t="s">
        <v>99</v>
      </c>
      <c r="P41" s="15">
        <v>0.1561275</v>
      </c>
      <c r="Q41" s="15" t="s">
        <v>98</v>
      </c>
      <c r="R41" s="15">
        <v>0.1156466</v>
      </c>
      <c r="S41" s="15">
        <v>0.1155849</v>
      </c>
      <c r="T41" s="15">
        <v>0.119551</v>
      </c>
      <c r="U41" s="15">
        <v>0.12261039999999999</v>
      </c>
      <c r="V41" s="15">
        <v>0.113583</v>
      </c>
      <c r="W41" s="15">
        <v>0.1217155</v>
      </c>
      <c r="X41" s="15">
        <v>0.1211984</v>
      </c>
      <c r="Y41" s="15">
        <v>0.1243958</v>
      </c>
      <c r="Z41" s="15">
        <v>0.1183241</v>
      </c>
      <c r="AA41" s="15">
        <v>9.8812700000000003E-2</v>
      </c>
    </row>
    <row r="42" spans="1:27">
      <c r="A42" s="13" t="s">
        <v>40</v>
      </c>
      <c r="B42" s="15" t="s">
        <v>99</v>
      </c>
      <c r="C42" s="15" t="s">
        <v>99</v>
      </c>
      <c r="D42" s="15" t="s">
        <v>99</v>
      </c>
      <c r="E42" s="15" t="s">
        <v>99</v>
      </c>
      <c r="F42" s="15" t="s">
        <v>99</v>
      </c>
      <c r="G42" s="15" t="s">
        <v>99</v>
      </c>
      <c r="H42" s="15" t="s">
        <v>99</v>
      </c>
      <c r="I42" s="15" t="s">
        <v>99</v>
      </c>
      <c r="J42" s="15" t="s">
        <v>99</v>
      </c>
      <c r="K42" s="15" t="s">
        <v>99</v>
      </c>
      <c r="L42" s="15" t="s">
        <v>99</v>
      </c>
      <c r="M42" s="15" t="s">
        <v>99</v>
      </c>
      <c r="N42" s="15" t="s">
        <v>99</v>
      </c>
      <c r="O42" s="15" t="s">
        <v>99</v>
      </c>
      <c r="P42" s="15">
        <v>0.1697147</v>
      </c>
      <c r="Q42" s="15" t="s">
        <v>98</v>
      </c>
      <c r="R42" s="15">
        <v>0.14270559999999999</v>
      </c>
      <c r="S42" s="15">
        <v>0.1743643</v>
      </c>
      <c r="T42" s="15">
        <v>0.1835194</v>
      </c>
      <c r="U42" s="15">
        <v>0.14759069999999999</v>
      </c>
      <c r="V42" s="15">
        <v>0.1270463</v>
      </c>
      <c r="W42" s="15">
        <v>0.115618</v>
      </c>
      <c r="X42" s="15">
        <v>0.1330393</v>
      </c>
      <c r="Y42" s="15">
        <v>0.1332178</v>
      </c>
      <c r="Z42" s="15">
        <v>0.13018469999999999</v>
      </c>
      <c r="AA42" s="15" t="s">
        <v>35</v>
      </c>
    </row>
    <row r="43" spans="1:27">
      <c r="A43" s="13" t="s">
        <v>41</v>
      </c>
      <c r="B43" s="15" t="s">
        <v>99</v>
      </c>
      <c r="C43" s="15" t="s">
        <v>99</v>
      </c>
      <c r="D43" s="15" t="s">
        <v>99</v>
      </c>
      <c r="E43" s="15" t="s">
        <v>99</v>
      </c>
      <c r="F43" s="15" t="s">
        <v>99</v>
      </c>
      <c r="G43" s="15" t="s">
        <v>99</v>
      </c>
      <c r="H43" s="15" t="s">
        <v>99</v>
      </c>
      <c r="I43" s="15" t="s">
        <v>99</v>
      </c>
      <c r="J43" s="15" t="s">
        <v>99</v>
      </c>
      <c r="K43" s="15" t="s">
        <v>99</v>
      </c>
      <c r="L43" s="15" t="s">
        <v>99</v>
      </c>
      <c r="M43" s="15" t="s">
        <v>99</v>
      </c>
      <c r="N43" s="15" t="s">
        <v>99</v>
      </c>
      <c r="O43" s="15" t="s">
        <v>99</v>
      </c>
      <c r="P43" s="15" t="s">
        <v>35</v>
      </c>
      <c r="Q43" s="15" t="s">
        <v>98</v>
      </c>
      <c r="R43" s="15" t="s">
        <v>35</v>
      </c>
      <c r="S43" s="15" t="s">
        <v>35</v>
      </c>
      <c r="T43" s="15" t="s">
        <v>35</v>
      </c>
      <c r="U43" s="15" t="s">
        <v>35</v>
      </c>
      <c r="V43" s="15" t="s">
        <v>35</v>
      </c>
      <c r="W43" s="15" t="s">
        <v>35</v>
      </c>
      <c r="X43" s="15" t="s">
        <v>35</v>
      </c>
      <c r="Y43" s="15" t="s">
        <v>35</v>
      </c>
      <c r="Z43" s="15" t="s">
        <v>35</v>
      </c>
      <c r="AA43" s="15" t="s">
        <v>35</v>
      </c>
    </row>
    <row r="44" spans="1:27" ht="30" customHeight="1">
      <c r="A44" s="12" t="s">
        <v>128</v>
      </c>
      <c r="B44" s="15"/>
      <c r="C44" s="15"/>
      <c r="D44" s="15"/>
      <c r="E44" s="15"/>
      <c r="F44" s="15"/>
      <c r="G44" s="15"/>
      <c r="H44" s="15"/>
      <c r="I44" s="15"/>
      <c r="J44" s="15"/>
      <c r="K44" s="15"/>
      <c r="L44" s="15"/>
      <c r="M44" s="15"/>
      <c r="N44" s="15"/>
      <c r="O44" s="15"/>
      <c r="P44" s="15"/>
      <c r="Q44" s="15"/>
      <c r="R44" s="15"/>
      <c r="S44" s="15"/>
      <c r="T44" s="15"/>
      <c r="U44" s="15"/>
      <c r="V44" s="15"/>
      <c r="W44" s="15"/>
      <c r="X44" s="15"/>
      <c r="Y44" s="15"/>
      <c r="Z44" s="15"/>
      <c r="AA44" s="15"/>
    </row>
    <row r="45" spans="1:27">
      <c r="A45" s="13" t="s">
        <v>5</v>
      </c>
      <c r="B45" s="16" t="s">
        <v>6</v>
      </c>
      <c r="C45" s="16" t="s">
        <v>7</v>
      </c>
      <c r="D45" s="16" t="s">
        <v>8</v>
      </c>
      <c r="E45" s="16" t="s">
        <v>9</v>
      </c>
      <c r="F45" s="16" t="s">
        <v>10</v>
      </c>
      <c r="G45" s="16" t="s">
        <v>11</v>
      </c>
      <c r="H45" s="16" t="s">
        <v>12</v>
      </c>
      <c r="I45" s="16" t="s">
        <v>13</v>
      </c>
      <c r="J45" s="16" t="s">
        <v>14</v>
      </c>
      <c r="K45" s="16" t="s">
        <v>15</v>
      </c>
      <c r="L45" s="16" t="s">
        <v>16</v>
      </c>
      <c r="M45" s="16" t="s">
        <v>17</v>
      </c>
      <c r="N45" s="16" t="s">
        <v>18</v>
      </c>
      <c r="O45" s="16" t="s">
        <v>19</v>
      </c>
      <c r="P45" s="16" t="s">
        <v>20</v>
      </c>
      <c r="Q45" s="16" t="s">
        <v>21</v>
      </c>
      <c r="R45" s="16" t="s">
        <v>22</v>
      </c>
      <c r="S45" s="16" t="s">
        <v>23</v>
      </c>
      <c r="T45" s="16" t="s">
        <v>24</v>
      </c>
      <c r="U45" s="16" t="s">
        <v>25</v>
      </c>
      <c r="V45" s="16" t="s">
        <v>26</v>
      </c>
      <c r="W45" s="16" t="s">
        <v>27</v>
      </c>
      <c r="X45" s="16" t="s">
        <v>28</v>
      </c>
      <c r="Y45" s="16" t="s">
        <v>29</v>
      </c>
      <c r="Z45" s="16" t="s">
        <v>30</v>
      </c>
      <c r="AA45" s="16" t="s">
        <v>31</v>
      </c>
    </row>
    <row r="46" spans="1:27">
      <c r="A46" s="13" t="s">
        <v>32</v>
      </c>
      <c r="B46" s="15" t="s">
        <v>99</v>
      </c>
      <c r="C46" s="15" t="s">
        <v>99</v>
      </c>
      <c r="D46" s="15" t="s">
        <v>99</v>
      </c>
      <c r="E46" s="15" t="s">
        <v>99</v>
      </c>
      <c r="F46" s="15" t="s">
        <v>99</v>
      </c>
      <c r="G46" s="15" t="s">
        <v>99</v>
      </c>
      <c r="H46" s="15" t="s">
        <v>99</v>
      </c>
      <c r="I46" s="15" t="s">
        <v>99</v>
      </c>
      <c r="J46" s="15" t="s">
        <v>99</v>
      </c>
      <c r="K46" s="15" t="s">
        <v>99</v>
      </c>
      <c r="L46" s="15">
        <v>1</v>
      </c>
      <c r="M46" s="15">
        <v>1</v>
      </c>
      <c r="N46" s="15">
        <v>1</v>
      </c>
      <c r="O46" s="15">
        <v>1</v>
      </c>
      <c r="P46" s="15">
        <v>1</v>
      </c>
      <c r="Q46" s="15" t="s">
        <v>98</v>
      </c>
      <c r="R46" s="15">
        <v>1</v>
      </c>
      <c r="S46" s="15">
        <v>1</v>
      </c>
      <c r="T46" s="15">
        <v>1</v>
      </c>
      <c r="U46" s="15">
        <v>1</v>
      </c>
      <c r="V46" s="15">
        <v>1</v>
      </c>
      <c r="W46" s="15">
        <v>1</v>
      </c>
      <c r="X46" s="15">
        <v>1</v>
      </c>
      <c r="Y46" s="15">
        <v>1</v>
      </c>
      <c r="Z46" s="15">
        <v>1</v>
      </c>
      <c r="AA46" s="15">
        <v>1</v>
      </c>
    </row>
    <row r="47" spans="1:27">
      <c r="A47" s="13" t="s">
        <v>39</v>
      </c>
      <c r="B47" s="15" t="s">
        <v>99</v>
      </c>
      <c r="C47" s="15" t="s">
        <v>99</v>
      </c>
      <c r="D47" s="15" t="s">
        <v>99</v>
      </c>
      <c r="E47" s="15" t="s">
        <v>99</v>
      </c>
      <c r="F47" s="15" t="s">
        <v>99</v>
      </c>
      <c r="G47" s="15" t="s">
        <v>99</v>
      </c>
      <c r="H47" s="15" t="s">
        <v>99</v>
      </c>
      <c r="I47" s="15" t="s">
        <v>99</v>
      </c>
      <c r="J47" s="15" t="s">
        <v>99</v>
      </c>
      <c r="K47" s="15" t="s">
        <v>99</v>
      </c>
      <c r="L47" s="15" t="s">
        <v>99</v>
      </c>
      <c r="M47" s="15" t="s">
        <v>99</v>
      </c>
      <c r="N47" s="15" t="s">
        <v>99</v>
      </c>
      <c r="O47" s="15" t="s">
        <v>99</v>
      </c>
      <c r="P47" s="15">
        <v>0.87792300000000001</v>
      </c>
      <c r="Q47" s="15" t="s">
        <v>98</v>
      </c>
      <c r="R47" s="15">
        <v>0.86909389999999997</v>
      </c>
      <c r="S47" s="15">
        <v>0.85018550000000004</v>
      </c>
      <c r="T47" s="15">
        <v>0.84091669999999996</v>
      </c>
      <c r="U47" s="15">
        <v>0.87065349999999997</v>
      </c>
      <c r="V47" s="15">
        <v>0.87479899999999999</v>
      </c>
      <c r="W47" s="15">
        <v>0.89618900000000001</v>
      </c>
      <c r="X47" s="15">
        <v>0.88419879999999995</v>
      </c>
      <c r="Y47" s="15">
        <v>0.89460919999999999</v>
      </c>
      <c r="Z47" s="15">
        <v>0.89575859999999996</v>
      </c>
      <c r="AA47" s="15">
        <v>0.86192250000000004</v>
      </c>
    </row>
    <row r="48" spans="1:27">
      <c r="A48" s="13" t="s">
        <v>40</v>
      </c>
      <c r="B48" s="15" t="s">
        <v>99</v>
      </c>
      <c r="C48" s="15" t="s">
        <v>99</v>
      </c>
      <c r="D48" s="15" t="s">
        <v>99</v>
      </c>
      <c r="E48" s="15" t="s">
        <v>99</v>
      </c>
      <c r="F48" s="15" t="s">
        <v>99</v>
      </c>
      <c r="G48" s="15" t="s">
        <v>99</v>
      </c>
      <c r="H48" s="15" t="s">
        <v>99</v>
      </c>
      <c r="I48" s="15" t="s">
        <v>99</v>
      </c>
      <c r="J48" s="15" t="s">
        <v>99</v>
      </c>
      <c r="K48" s="15" t="s">
        <v>99</v>
      </c>
      <c r="L48" s="15" t="s">
        <v>99</v>
      </c>
      <c r="M48" s="15" t="s">
        <v>99</v>
      </c>
      <c r="N48" s="15" t="s">
        <v>99</v>
      </c>
      <c r="O48" s="15" t="s">
        <v>99</v>
      </c>
      <c r="P48" s="15">
        <v>0.122077</v>
      </c>
      <c r="Q48" s="15" t="s">
        <v>98</v>
      </c>
      <c r="R48" s="15">
        <v>0.1309061</v>
      </c>
      <c r="S48" s="15">
        <v>0.14981449999999999</v>
      </c>
      <c r="T48" s="15">
        <v>0.15908330000000001</v>
      </c>
      <c r="U48" s="15">
        <v>0.1293465</v>
      </c>
      <c r="V48" s="15">
        <v>0.12520100000000001</v>
      </c>
      <c r="W48" s="15">
        <v>0.103811</v>
      </c>
      <c r="X48" s="15">
        <v>0.11580120000000001</v>
      </c>
      <c r="Y48" s="15">
        <v>0.10539080000000001</v>
      </c>
      <c r="Z48" s="15">
        <v>0.1042414</v>
      </c>
      <c r="AA48" s="15">
        <v>0.13807749999999999</v>
      </c>
    </row>
    <row r="49" spans="1:27">
      <c r="A49" s="13" t="s">
        <v>41</v>
      </c>
      <c r="B49" s="15" t="s">
        <v>99</v>
      </c>
      <c r="C49" s="15" t="s">
        <v>99</v>
      </c>
      <c r="D49" s="15" t="s">
        <v>99</v>
      </c>
      <c r="E49" s="15" t="s">
        <v>99</v>
      </c>
      <c r="F49" s="15" t="s">
        <v>99</v>
      </c>
      <c r="G49" s="15" t="s">
        <v>99</v>
      </c>
      <c r="H49" s="15" t="s">
        <v>99</v>
      </c>
      <c r="I49" s="15" t="s">
        <v>99</v>
      </c>
      <c r="J49" s="15" t="s">
        <v>99</v>
      </c>
      <c r="K49" s="15" t="s">
        <v>99</v>
      </c>
      <c r="L49" s="15" t="s">
        <v>99</v>
      </c>
      <c r="M49" s="15" t="s">
        <v>99</v>
      </c>
      <c r="N49" s="15" t="s">
        <v>99</v>
      </c>
      <c r="O49" s="15" t="s">
        <v>99</v>
      </c>
      <c r="P49" s="15" t="s">
        <v>35</v>
      </c>
      <c r="Q49" s="15" t="s">
        <v>98</v>
      </c>
      <c r="R49" s="15" t="s">
        <v>35</v>
      </c>
      <c r="S49" s="15" t="s">
        <v>35</v>
      </c>
      <c r="T49" s="15" t="s">
        <v>35</v>
      </c>
      <c r="U49" s="15" t="s">
        <v>35</v>
      </c>
      <c r="V49" s="15" t="s">
        <v>35</v>
      </c>
      <c r="W49" s="15" t="s">
        <v>35</v>
      </c>
      <c r="X49" s="15" t="s">
        <v>35</v>
      </c>
      <c r="Y49" s="15" t="s">
        <v>35</v>
      </c>
      <c r="Z49" s="15" t="s">
        <v>35</v>
      </c>
      <c r="AA49" s="15" t="s">
        <v>35</v>
      </c>
    </row>
    <row r="50" spans="1:27" ht="30" customHeight="1">
      <c r="A50" s="12" t="s">
        <v>129</v>
      </c>
      <c r="B50" s="15"/>
      <c r="C50" s="15"/>
      <c r="D50" s="15"/>
      <c r="E50" s="15"/>
      <c r="F50" s="15"/>
      <c r="G50" s="15"/>
      <c r="H50" s="15"/>
      <c r="I50" s="15"/>
      <c r="J50" s="15"/>
      <c r="K50" s="15"/>
      <c r="L50" s="15"/>
      <c r="M50" s="15"/>
      <c r="N50" s="15"/>
      <c r="O50" s="15"/>
      <c r="P50" s="15"/>
      <c r="Q50" s="15"/>
      <c r="R50" s="15"/>
      <c r="S50" s="15"/>
      <c r="T50" s="15"/>
      <c r="U50" s="15"/>
      <c r="V50" s="15"/>
      <c r="W50" s="15"/>
      <c r="X50" s="15"/>
      <c r="Y50" s="15"/>
      <c r="Z50" s="15"/>
      <c r="AA50" s="15"/>
    </row>
    <row r="51" spans="1:27">
      <c r="A51" s="13" t="s">
        <v>5</v>
      </c>
      <c r="B51" s="16" t="s">
        <v>6</v>
      </c>
      <c r="C51" s="16" t="s">
        <v>7</v>
      </c>
      <c r="D51" s="16" t="s">
        <v>8</v>
      </c>
      <c r="E51" s="16" t="s">
        <v>9</v>
      </c>
      <c r="F51" s="16" t="s">
        <v>10</v>
      </c>
      <c r="G51" s="16" t="s">
        <v>11</v>
      </c>
      <c r="H51" s="16" t="s">
        <v>12</v>
      </c>
      <c r="I51" s="16" t="s">
        <v>13</v>
      </c>
      <c r="J51" s="16" t="s">
        <v>14</v>
      </c>
      <c r="K51" s="16" t="s">
        <v>15</v>
      </c>
      <c r="L51" s="16" t="s">
        <v>16</v>
      </c>
      <c r="M51" s="16" t="s">
        <v>17</v>
      </c>
      <c r="N51" s="16" t="s">
        <v>18</v>
      </c>
      <c r="O51" s="16" t="s">
        <v>19</v>
      </c>
      <c r="P51" s="16" t="s">
        <v>20</v>
      </c>
      <c r="Q51" s="16" t="s">
        <v>21</v>
      </c>
      <c r="R51" s="16" t="s">
        <v>22</v>
      </c>
      <c r="S51" s="16" t="s">
        <v>23</v>
      </c>
      <c r="T51" s="16" t="s">
        <v>24</v>
      </c>
      <c r="U51" s="16" t="s">
        <v>25</v>
      </c>
      <c r="V51" s="16" t="s">
        <v>26</v>
      </c>
      <c r="W51" s="16" t="s">
        <v>27</v>
      </c>
      <c r="X51" s="16" t="s">
        <v>28</v>
      </c>
      <c r="Y51" s="16" t="s">
        <v>29</v>
      </c>
      <c r="Z51" s="16" t="s">
        <v>30</v>
      </c>
      <c r="AA51" s="16" t="s">
        <v>31</v>
      </c>
    </row>
    <row r="52" spans="1:27">
      <c r="A52" s="13" t="s">
        <v>32</v>
      </c>
      <c r="B52" s="17" t="s">
        <v>99</v>
      </c>
      <c r="C52" s="17" t="s">
        <v>99</v>
      </c>
      <c r="D52" s="17" t="s">
        <v>99</v>
      </c>
      <c r="E52" s="17" t="s">
        <v>99</v>
      </c>
      <c r="F52" s="17" t="s">
        <v>99</v>
      </c>
      <c r="G52" s="17" t="s">
        <v>99</v>
      </c>
      <c r="H52" s="17" t="s">
        <v>99</v>
      </c>
      <c r="I52" s="17" t="s">
        <v>99</v>
      </c>
      <c r="J52" s="17" t="s">
        <v>99</v>
      </c>
      <c r="K52" s="17" t="s">
        <v>99</v>
      </c>
      <c r="L52" s="17">
        <v>160000</v>
      </c>
      <c r="M52" s="17">
        <v>150000</v>
      </c>
      <c r="N52" s="17">
        <v>160000</v>
      </c>
      <c r="O52" s="17">
        <v>160000</v>
      </c>
      <c r="P52" s="17">
        <v>160000</v>
      </c>
      <c r="Q52" s="17" t="s">
        <v>98</v>
      </c>
      <c r="R52" s="17">
        <v>120000</v>
      </c>
      <c r="S52" s="17">
        <v>120000</v>
      </c>
      <c r="T52" s="17">
        <v>130000</v>
      </c>
      <c r="U52" s="17">
        <v>120000</v>
      </c>
      <c r="V52" s="17">
        <v>110000</v>
      </c>
      <c r="W52" s="17">
        <v>120000</v>
      </c>
      <c r="X52" s="17">
        <v>120000</v>
      </c>
      <c r="Y52" s="17">
        <v>120000</v>
      </c>
      <c r="Z52" s="17">
        <v>120000</v>
      </c>
      <c r="AA52" s="17" t="s">
        <v>35</v>
      </c>
    </row>
    <row r="53" spans="1:27">
      <c r="A53" s="13" t="s">
        <v>39</v>
      </c>
      <c r="B53" s="17" t="s">
        <v>99</v>
      </c>
      <c r="C53" s="17" t="s">
        <v>99</v>
      </c>
      <c r="D53" s="17" t="s">
        <v>99</v>
      </c>
      <c r="E53" s="17" t="s">
        <v>99</v>
      </c>
      <c r="F53" s="17" t="s">
        <v>99</v>
      </c>
      <c r="G53" s="17" t="s">
        <v>99</v>
      </c>
      <c r="H53" s="17" t="s">
        <v>99</v>
      </c>
      <c r="I53" s="17" t="s">
        <v>99</v>
      </c>
      <c r="J53" s="17" t="s">
        <v>99</v>
      </c>
      <c r="K53" s="17" t="s">
        <v>99</v>
      </c>
      <c r="L53" s="17" t="s">
        <v>99</v>
      </c>
      <c r="M53" s="17" t="s">
        <v>99</v>
      </c>
      <c r="N53" s="17" t="s">
        <v>99</v>
      </c>
      <c r="O53" s="17" t="s">
        <v>99</v>
      </c>
      <c r="P53" s="17">
        <v>140000</v>
      </c>
      <c r="Q53" s="17" t="s">
        <v>98</v>
      </c>
      <c r="R53" s="17">
        <v>100000</v>
      </c>
      <c r="S53" s="17">
        <v>100000</v>
      </c>
      <c r="T53" s="17">
        <v>110000</v>
      </c>
      <c r="U53" s="17">
        <v>110000</v>
      </c>
      <c r="V53" s="17">
        <v>100000</v>
      </c>
      <c r="W53" s="17">
        <v>110000</v>
      </c>
      <c r="X53" s="17">
        <v>110000</v>
      </c>
      <c r="Y53" s="17">
        <v>110000</v>
      </c>
      <c r="Z53" s="17">
        <v>110000</v>
      </c>
      <c r="AA53" s="17" t="s">
        <v>35</v>
      </c>
    </row>
    <row r="54" spans="1:27">
      <c r="A54" s="13" t="s">
        <v>40</v>
      </c>
      <c r="B54" s="17" t="s">
        <v>99</v>
      </c>
      <c r="C54" s="17" t="s">
        <v>99</v>
      </c>
      <c r="D54" s="17" t="s">
        <v>99</v>
      </c>
      <c r="E54" s="17" t="s">
        <v>99</v>
      </c>
      <c r="F54" s="17" t="s">
        <v>99</v>
      </c>
      <c r="G54" s="17" t="s">
        <v>99</v>
      </c>
      <c r="H54" s="17" t="s">
        <v>99</v>
      </c>
      <c r="I54" s="17" t="s">
        <v>99</v>
      </c>
      <c r="J54" s="17" t="s">
        <v>99</v>
      </c>
      <c r="K54" s="17" t="s">
        <v>99</v>
      </c>
      <c r="L54" s="17" t="s">
        <v>99</v>
      </c>
      <c r="M54" s="17" t="s">
        <v>99</v>
      </c>
      <c r="N54" s="17" t="s">
        <v>99</v>
      </c>
      <c r="O54" s="17" t="s">
        <v>99</v>
      </c>
      <c r="P54" s="17" t="s">
        <v>35</v>
      </c>
      <c r="Q54" s="17" t="s">
        <v>98</v>
      </c>
      <c r="R54" s="17" t="s">
        <v>35</v>
      </c>
      <c r="S54" s="17" t="s">
        <v>35</v>
      </c>
      <c r="T54" s="17" t="s">
        <v>35</v>
      </c>
      <c r="U54" s="17" t="s">
        <v>35</v>
      </c>
      <c r="V54" s="17" t="s">
        <v>35</v>
      </c>
      <c r="W54" s="17" t="s">
        <v>35</v>
      </c>
      <c r="X54" s="17" t="s">
        <v>35</v>
      </c>
      <c r="Y54" s="17" t="s">
        <v>35</v>
      </c>
      <c r="Z54" s="17" t="s">
        <v>35</v>
      </c>
      <c r="AA54" s="17" t="s">
        <v>35</v>
      </c>
    </row>
    <row r="55" spans="1:27">
      <c r="A55" s="13" t="s">
        <v>41</v>
      </c>
      <c r="B55" s="17" t="s">
        <v>99</v>
      </c>
      <c r="C55" s="17" t="s">
        <v>99</v>
      </c>
      <c r="D55" s="17" t="s">
        <v>99</v>
      </c>
      <c r="E55" s="17" t="s">
        <v>99</v>
      </c>
      <c r="F55" s="17" t="s">
        <v>99</v>
      </c>
      <c r="G55" s="17" t="s">
        <v>99</v>
      </c>
      <c r="H55" s="17" t="s">
        <v>99</v>
      </c>
      <c r="I55" s="17" t="s">
        <v>99</v>
      </c>
      <c r="J55" s="17" t="s">
        <v>99</v>
      </c>
      <c r="K55" s="17" t="s">
        <v>99</v>
      </c>
      <c r="L55" s="17" t="s">
        <v>99</v>
      </c>
      <c r="M55" s="17" t="s">
        <v>99</v>
      </c>
      <c r="N55" s="17" t="s">
        <v>99</v>
      </c>
      <c r="O55" s="17" t="s">
        <v>99</v>
      </c>
      <c r="P55" s="17" t="s">
        <v>35</v>
      </c>
      <c r="Q55" s="17" t="s">
        <v>98</v>
      </c>
      <c r="R55" s="17" t="s">
        <v>35</v>
      </c>
      <c r="S55" s="17" t="s">
        <v>35</v>
      </c>
      <c r="T55" s="17" t="s">
        <v>35</v>
      </c>
      <c r="U55" s="17" t="s">
        <v>35</v>
      </c>
      <c r="V55" s="17" t="s">
        <v>35</v>
      </c>
      <c r="W55" s="17" t="s">
        <v>35</v>
      </c>
      <c r="X55" s="17" t="s">
        <v>35</v>
      </c>
      <c r="Y55" s="17" t="s">
        <v>35</v>
      </c>
      <c r="Z55" s="17" t="s">
        <v>35</v>
      </c>
      <c r="AA55" s="17" t="s">
        <v>35</v>
      </c>
    </row>
    <row r="56" spans="1:27" ht="30" customHeight="1">
      <c r="A56" s="12" t="s">
        <v>130</v>
      </c>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row>
    <row r="57" spans="1:27">
      <c r="A57" s="13" t="s">
        <v>5</v>
      </c>
      <c r="B57" s="18" t="s">
        <v>6</v>
      </c>
      <c r="C57" s="18" t="s">
        <v>7</v>
      </c>
      <c r="D57" s="18" t="s">
        <v>8</v>
      </c>
      <c r="E57" s="18" t="s">
        <v>9</v>
      </c>
      <c r="F57" s="18" t="s">
        <v>10</v>
      </c>
      <c r="G57" s="18" t="s">
        <v>11</v>
      </c>
      <c r="H57" s="18" t="s">
        <v>12</v>
      </c>
      <c r="I57" s="18" t="s">
        <v>13</v>
      </c>
      <c r="J57" s="18" t="s">
        <v>14</v>
      </c>
      <c r="K57" s="18" t="s">
        <v>15</v>
      </c>
      <c r="L57" s="18" t="s">
        <v>16</v>
      </c>
      <c r="M57" s="18" t="s">
        <v>17</v>
      </c>
      <c r="N57" s="18" t="s">
        <v>18</v>
      </c>
      <c r="O57" s="18" t="s">
        <v>19</v>
      </c>
      <c r="P57" s="18" t="s">
        <v>20</v>
      </c>
      <c r="Q57" s="18" t="s">
        <v>21</v>
      </c>
      <c r="R57" s="18" t="s">
        <v>22</v>
      </c>
      <c r="S57" s="18" t="s">
        <v>23</v>
      </c>
      <c r="T57" s="18" t="s">
        <v>24</v>
      </c>
      <c r="U57" s="18" t="s">
        <v>25</v>
      </c>
      <c r="V57" s="18" t="s">
        <v>26</v>
      </c>
      <c r="W57" s="18" t="s">
        <v>27</v>
      </c>
      <c r="X57" s="18" t="s">
        <v>28</v>
      </c>
      <c r="Y57" s="18" t="s">
        <v>29</v>
      </c>
      <c r="Z57" s="18" t="s">
        <v>30</v>
      </c>
      <c r="AA57" s="18" t="s">
        <v>31</v>
      </c>
    </row>
    <row r="58" spans="1:27">
      <c r="A58" s="13" t="s">
        <v>32</v>
      </c>
      <c r="B58" s="17">
        <v>2277</v>
      </c>
      <c r="C58" s="17">
        <v>2168</v>
      </c>
      <c r="D58" s="17">
        <v>1980</v>
      </c>
      <c r="E58" s="17">
        <v>1921</v>
      </c>
      <c r="F58" s="17">
        <v>1858</v>
      </c>
      <c r="G58" s="17">
        <v>1967</v>
      </c>
      <c r="H58" s="17">
        <v>2708</v>
      </c>
      <c r="I58" s="17">
        <v>3414</v>
      </c>
      <c r="J58" s="17">
        <v>3963</v>
      </c>
      <c r="K58" s="17">
        <v>3771</v>
      </c>
      <c r="L58" s="17">
        <v>3543</v>
      </c>
      <c r="M58" s="17">
        <v>3498</v>
      </c>
      <c r="N58" s="17">
        <v>3443</v>
      </c>
      <c r="O58" s="17">
        <v>3417</v>
      </c>
      <c r="P58" s="17">
        <v>3364</v>
      </c>
      <c r="Q58" s="17">
        <v>3103</v>
      </c>
      <c r="R58" s="17">
        <v>2851</v>
      </c>
      <c r="S58" s="17">
        <v>2504</v>
      </c>
      <c r="T58" s="17">
        <v>2386</v>
      </c>
      <c r="U58" s="17">
        <v>2174</v>
      </c>
      <c r="V58" s="17">
        <v>2122</v>
      </c>
      <c r="W58" s="17">
        <v>1974</v>
      </c>
      <c r="X58" s="17">
        <v>2031</v>
      </c>
      <c r="Y58" s="17">
        <v>1947</v>
      </c>
      <c r="Z58" s="17">
        <v>1326</v>
      </c>
      <c r="AA58" s="17">
        <v>1000</v>
      </c>
    </row>
    <row r="59" spans="1:27">
      <c r="A59" s="13" t="s">
        <v>39</v>
      </c>
      <c r="B59" s="17">
        <v>2031</v>
      </c>
      <c r="C59" s="17">
        <v>1952</v>
      </c>
      <c r="D59" s="17">
        <v>1786</v>
      </c>
      <c r="E59" s="17">
        <v>1739</v>
      </c>
      <c r="F59" s="17">
        <v>1681</v>
      </c>
      <c r="G59" s="17">
        <v>1798</v>
      </c>
      <c r="H59" s="17" t="s">
        <v>99</v>
      </c>
      <c r="I59" s="17" t="s">
        <v>99</v>
      </c>
      <c r="J59" s="17" t="s">
        <v>99</v>
      </c>
      <c r="K59" s="17" t="s">
        <v>99</v>
      </c>
      <c r="L59" s="17" t="s">
        <v>99</v>
      </c>
      <c r="M59" s="17" t="s">
        <v>99</v>
      </c>
      <c r="N59" s="17" t="s">
        <v>99</v>
      </c>
      <c r="O59" s="17" t="s">
        <v>99</v>
      </c>
      <c r="P59" s="17">
        <v>3019</v>
      </c>
      <c r="Q59" s="17">
        <v>2778</v>
      </c>
      <c r="R59" s="17">
        <v>2568</v>
      </c>
      <c r="S59" s="17">
        <v>2267</v>
      </c>
      <c r="T59" s="17">
        <v>2156</v>
      </c>
      <c r="U59" s="17">
        <v>1956</v>
      </c>
      <c r="V59" s="17">
        <v>1901</v>
      </c>
      <c r="W59" s="17">
        <v>1773</v>
      </c>
      <c r="X59" s="17">
        <v>1828</v>
      </c>
      <c r="Y59" s="17">
        <v>1770</v>
      </c>
      <c r="Z59" s="17">
        <v>1209</v>
      </c>
      <c r="AA59" s="17">
        <v>929</v>
      </c>
    </row>
    <row r="60" spans="1:27">
      <c r="A60" s="13" t="s">
        <v>40</v>
      </c>
      <c r="B60" s="17">
        <v>246</v>
      </c>
      <c r="C60" s="17">
        <v>216</v>
      </c>
      <c r="D60" s="17">
        <v>194</v>
      </c>
      <c r="E60" s="17">
        <v>182</v>
      </c>
      <c r="F60" s="17">
        <v>177</v>
      </c>
      <c r="G60" s="17">
        <v>169</v>
      </c>
      <c r="H60" s="17" t="s">
        <v>99</v>
      </c>
      <c r="I60" s="17" t="s">
        <v>99</v>
      </c>
      <c r="J60" s="17" t="s">
        <v>99</v>
      </c>
      <c r="K60" s="17" t="s">
        <v>99</v>
      </c>
      <c r="L60" s="17" t="s">
        <v>99</v>
      </c>
      <c r="M60" s="17" t="s">
        <v>99</v>
      </c>
      <c r="N60" s="17" t="s">
        <v>99</v>
      </c>
      <c r="O60" s="17" t="s">
        <v>99</v>
      </c>
      <c r="P60" s="17">
        <v>345</v>
      </c>
      <c r="Q60" s="17">
        <v>325</v>
      </c>
      <c r="R60" s="17">
        <v>283</v>
      </c>
      <c r="S60" s="17">
        <v>237</v>
      </c>
      <c r="T60" s="17">
        <v>230</v>
      </c>
      <c r="U60" s="17">
        <v>218</v>
      </c>
      <c r="V60" s="17">
        <v>221</v>
      </c>
      <c r="W60" s="17">
        <v>201</v>
      </c>
      <c r="X60" s="17">
        <v>203</v>
      </c>
      <c r="Y60" s="17">
        <v>177</v>
      </c>
      <c r="Z60" s="17">
        <v>117</v>
      </c>
      <c r="AA60" s="17">
        <v>71</v>
      </c>
    </row>
    <row r="61" spans="1:27">
      <c r="A61" s="13"/>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row>
    <row r="62" spans="1:27">
      <c r="A62" s="13"/>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row>
    <row r="63" spans="1:27">
      <c r="A63" s="13"/>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row>
    <row r="64" spans="1:27">
      <c r="A64" s="13"/>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row>
    <row r="65" spans="1:27">
      <c r="A65" s="13"/>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row>
    <row r="66" spans="1:27">
      <c r="A66" s="13"/>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row>
    <row r="67" spans="1:27">
      <c r="A67" s="13"/>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row>
    <row r="68" spans="1:27">
      <c r="A68" s="13"/>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row>
    <row r="69" spans="1:27">
      <c r="A69" s="13"/>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row>
    <row r="70" spans="1:27">
      <c r="A70" s="13"/>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row>
    <row r="71" spans="1:27">
      <c r="A71" s="13"/>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row>
    <row r="72" spans="1:27">
      <c r="A72" s="13"/>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row>
    <row r="73" spans="1:27">
      <c r="A73" s="13"/>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row>
    <row r="74" spans="1:27">
      <c r="A74" s="13"/>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row>
    <row r="75" spans="1:27">
      <c r="A75" s="13"/>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row>
    <row r="76" spans="1:27">
      <c r="A76" s="13"/>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row>
    <row r="77" spans="1:27">
      <c r="A77" s="13"/>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row>
    <row r="78" spans="1:27">
      <c r="A78" s="13"/>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row>
    <row r="79" spans="1:27">
      <c r="A79" s="13"/>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row>
    <row r="80" spans="1:27">
      <c r="A80" s="13"/>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row>
    <row r="81" spans="1:27">
      <c r="A81" s="13"/>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row>
    <row r="82" spans="1:27">
      <c r="A82" s="13"/>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row>
    <row r="83" spans="1:27">
      <c r="A83" s="13"/>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row>
    <row r="84" spans="1:27">
      <c r="A84" s="13"/>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row>
    <row r="85" spans="1:27">
      <c r="A85" s="13"/>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row>
    <row r="86" spans="1:27">
      <c r="A86" s="13"/>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row>
    <row r="87" spans="1:27">
      <c r="A87" s="13"/>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row>
    <row r="88" spans="1:27">
      <c r="A88" s="13"/>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row>
    <row r="89" spans="1:27">
      <c r="A89" s="13"/>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row>
    <row r="90" spans="1:27">
      <c r="A90" s="13"/>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row>
    <row r="91" spans="1:27">
      <c r="A91" s="13"/>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row>
    <row r="92" spans="1:27">
      <c r="A92" s="13"/>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row>
    <row r="93" spans="1:27">
      <c r="A93" s="13"/>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row>
    <row r="94" spans="1:27">
      <c r="A94" s="13"/>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row>
    <row r="95" spans="1:27">
      <c r="A95" s="13"/>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0"/>
    </row>
    <row r="96" spans="1:27">
      <c r="A96" s="13"/>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row>
    <row r="97" spans="1:27">
      <c r="A97" s="13"/>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row>
    <row r="98" spans="1:27">
      <c r="A98" s="13"/>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row>
    <row r="99" spans="1:27">
      <c r="A99" s="13"/>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row>
    <row r="100" spans="1:27">
      <c r="A100" s="13"/>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row>
    <row r="101" spans="1:27">
      <c r="A101" s="13"/>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row>
    <row r="102" spans="1:27">
      <c r="A102" s="13"/>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row>
    <row r="103" spans="1:27">
      <c r="A103" s="13"/>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row>
    <row r="104" spans="1:27">
      <c r="A104" s="13"/>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row>
    <row r="105" spans="1:27">
      <c r="A105" s="13"/>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row>
    <row r="106" spans="1:27">
      <c r="A106" s="13"/>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row>
    <row r="107" spans="1:27">
      <c r="A107" s="13"/>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row>
    <row r="108" spans="1:27">
      <c r="A108" s="13"/>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row>
    <row r="109" spans="1:27">
      <c r="A109" s="13"/>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row>
    <row r="110" spans="1:27">
      <c r="A110" s="13"/>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row>
    <row r="111" spans="1:27">
      <c r="A111" s="13"/>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row>
    <row r="112" spans="1:27">
      <c r="A112" s="13"/>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row>
    <row r="113" spans="1:27">
      <c r="A113" s="13"/>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row>
    <row r="114" spans="1:27">
      <c r="A114" s="13"/>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row>
    <row r="115" spans="1:27">
      <c r="A115" s="13"/>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row>
    <row r="116" spans="1:27">
      <c r="A116" s="13"/>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row>
    <row r="117" spans="1:27">
      <c r="A117" s="13"/>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row>
    <row r="118" spans="1:27">
      <c r="A118" s="13"/>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row>
    <row r="119" spans="1:27">
      <c r="A119" s="13"/>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row>
    <row r="120" spans="1:27">
      <c r="A120" s="13"/>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row>
    <row r="121" spans="1:27">
      <c r="A121" s="13"/>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row>
    <row r="122" spans="1:27">
      <c r="A122" s="13"/>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row>
    <row r="123" spans="1:27">
      <c r="A123" s="13"/>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row>
    <row r="124" spans="1:27">
      <c r="A124" s="13"/>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row>
    <row r="125" spans="1:27">
      <c r="A125" s="13"/>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row>
    <row r="126" spans="1:27">
      <c r="A126" s="13"/>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row>
    <row r="127" spans="1:27">
      <c r="A127" s="13"/>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row>
    <row r="128" spans="1:27">
      <c r="A128" s="13"/>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row>
    <row r="129" spans="1:27">
      <c r="A129" s="13"/>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row>
    <row r="130" spans="1:27">
      <c r="A130" s="13"/>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row>
    <row r="131" spans="1:27">
      <c r="A131" s="13"/>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row>
    <row r="132" spans="1:27">
      <c r="A132" s="13"/>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row>
    <row r="133" spans="1:27">
      <c r="A133" s="13"/>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row>
    <row r="134" spans="1:27">
      <c r="A134" s="13"/>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row>
    <row r="135" spans="1:27">
      <c r="A135" s="13"/>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row>
    <row r="136" spans="1:27">
      <c r="A136" s="13"/>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row>
    <row r="137" spans="1:27">
      <c r="A137" s="13"/>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row>
    <row r="138" spans="1:27">
      <c r="A138" s="13"/>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row>
    <row r="139" spans="1:27">
      <c r="A139" s="13"/>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row>
    <row r="140" spans="1:27">
      <c r="A140" s="13"/>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row>
    <row r="141" spans="1:27">
      <c r="A141" s="13"/>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row>
    <row r="142" spans="1:27">
      <c r="A142" s="13"/>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row>
    <row r="143" spans="1:27">
      <c r="A143" s="13"/>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row>
    <row r="144" spans="1:27">
      <c r="A144" s="13"/>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row>
    <row r="145" spans="1:27">
      <c r="A145" s="13"/>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row>
    <row r="146" spans="1:27">
      <c r="A146" s="13"/>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row>
    <row r="147" spans="1:27">
      <c r="A147" s="13"/>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row>
    <row r="148" spans="1:27">
      <c r="A148" s="13"/>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row>
    <row r="149" spans="1:27">
      <c r="A149" s="13"/>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row>
    <row r="150" spans="1:27">
      <c r="A150" s="13"/>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row>
    <row r="151" spans="1:27">
      <c r="A151" s="13"/>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row>
    <row r="152" spans="1:27">
      <c r="A152" s="13"/>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row>
    <row r="153" spans="1:27">
      <c r="A153" s="13"/>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row>
    <row r="154" spans="1:27">
      <c r="A154" s="13"/>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row>
    <row r="155" spans="1:27">
      <c r="A155" s="13"/>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row>
    <row r="156" spans="1:27">
      <c r="A156" s="13"/>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row>
    <row r="157" spans="1:27">
      <c r="A157" s="13"/>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row>
    <row r="158" spans="1:27">
      <c r="A158" s="13"/>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row>
    <row r="159" spans="1:27">
      <c r="A159" s="13"/>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row>
    <row r="160" spans="1:27">
      <c r="A160" s="13"/>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row>
    <row r="161" spans="1:27">
      <c r="A161" s="13"/>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row>
    <row r="162" spans="1:27">
      <c r="A162" s="13"/>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row>
    <row r="163" spans="1:27">
      <c r="A163" s="13"/>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row>
    <row r="164" spans="1:27">
      <c r="A164" s="13"/>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row>
    <row r="165" spans="1:27">
      <c r="A165" s="13"/>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row>
    <row r="166" spans="1:27">
      <c r="A166" s="13"/>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row>
    <row r="167" spans="1:27">
      <c r="A167" s="13"/>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row>
    <row r="168" spans="1:27">
      <c r="A168" s="13"/>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row>
    <row r="169" spans="1:27">
      <c r="A169" s="13"/>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row>
    <row r="170" spans="1:27">
      <c r="A170" s="13"/>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row>
    <row r="171" spans="1:27">
      <c r="A171" s="13"/>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row>
    <row r="172" spans="1:27">
      <c r="A172" s="13"/>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row>
    <row r="173" spans="1:27">
      <c r="A173" s="13"/>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row>
    <row r="174" spans="1:27">
      <c r="A174" s="13"/>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row>
    <row r="175" spans="1:27">
      <c r="A175" s="13"/>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row>
    <row r="176" spans="1:27">
      <c r="A176" s="13"/>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row>
    <row r="177" spans="1:27">
      <c r="A177" s="13"/>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row>
    <row r="178" spans="1:27">
      <c r="A178" s="13"/>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row>
    <row r="179" spans="1:27">
      <c r="A179" s="13"/>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row>
    <row r="180" spans="1:27">
      <c r="A180" s="13"/>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row>
    <row r="181" spans="1:27">
      <c r="A181" s="13"/>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row>
    <row r="182" spans="1:27">
      <c r="A182" s="13"/>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row>
    <row r="183" spans="1:27">
      <c r="A183" s="13"/>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row>
    <row r="184" spans="1:27">
      <c r="A184" s="13"/>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row>
    <row r="185" spans="1:27">
      <c r="A185" s="13"/>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row>
    <row r="186" spans="1:27">
      <c r="A186" s="13"/>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row>
    <row r="187" spans="1:27">
      <c r="A187" s="13"/>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row>
    <row r="188" spans="1:27">
      <c r="A188" s="13"/>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row>
    <row r="189" spans="1:27">
      <c r="A189" s="13"/>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row>
    <row r="190" spans="1:27">
      <c r="A190" s="13"/>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row>
    <row r="191" spans="1:27">
      <c r="A191" s="13"/>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row>
    <row r="192" spans="1:27">
      <c r="A192" s="13"/>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row>
    <row r="193" spans="1:27">
      <c r="A193" s="13"/>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row>
    <row r="194" spans="1:27">
      <c r="A194" s="13"/>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row>
    <row r="195" spans="1:27">
      <c r="A195" s="13"/>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row>
    <row r="196" spans="1:27">
      <c r="A196" s="13"/>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row>
    <row r="197" spans="1:27">
      <c r="A197" s="13"/>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row>
    <row r="198" spans="1:27">
      <c r="A198" s="13"/>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row>
    <row r="199" spans="1:27">
      <c r="A199" s="13"/>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row>
    <row r="200" spans="1:27">
      <c r="A200" s="13"/>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row>
  </sheetData>
  <pageMargins left="0.7" right="0.7" top="0.75" bottom="0.75" header="0.3" footer="0.3"/>
  <pageSetup paperSize="9" orientation="portrait" horizontalDpi="300" verticalDpi="300"/>
  <tableParts count="10">
    <tablePart r:id="rId1"/>
    <tablePart r:id="rId2"/>
    <tablePart r:id="rId3"/>
    <tablePart r:id="rId4"/>
    <tablePart r:id="rId5"/>
    <tablePart r:id="rId6"/>
    <tablePart r:id="rId7"/>
    <tablePart r:id="rId8"/>
    <tablePart r:id="rId9"/>
    <tablePart r:id="rId10"/>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A200"/>
  <sheetViews>
    <sheetView showGridLines="0" workbookViewId="0"/>
  </sheetViews>
  <sheetFormatPr defaultColWidth="10.90625" defaultRowHeight="14.5"/>
  <cols>
    <col min="1" max="1" width="70.7265625" customWidth="1"/>
  </cols>
  <sheetData>
    <row r="1" spans="1:27" ht="19.5">
      <c r="A1" s="4" t="s">
        <v>143</v>
      </c>
      <c r="B1" s="8"/>
      <c r="C1" s="8"/>
      <c r="D1" s="8"/>
      <c r="E1" s="8"/>
      <c r="F1" s="8"/>
      <c r="G1" s="8"/>
      <c r="H1" s="8"/>
      <c r="I1" s="8"/>
      <c r="J1" s="8"/>
      <c r="K1" s="8"/>
      <c r="L1" s="8"/>
      <c r="M1" s="8"/>
      <c r="N1" s="8"/>
      <c r="O1" s="8"/>
      <c r="P1" s="8"/>
      <c r="Q1" s="8"/>
      <c r="R1" s="8"/>
      <c r="S1" s="8"/>
      <c r="T1" s="8"/>
      <c r="U1" s="8"/>
      <c r="V1" s="8"/>
      <c r="W1" s="8"/>
      <c r="X1" s="8"/>
      <c r="Y1" s="8"/>
      <c r="Z1" s="8"/>
      <c r="AA1" s="8"/>
    </row>
    <row r="2" spans="1:27">
      <c r="A2" s="9" t="s">
        <v>0</v>
      </c>
      <c r="B2" s="8"/>
      <c r="C2" s="8"/>
      <c r="D2" s="8"/>
      <c r="E2" s="8"/>
      <c r="F2" s="8"/>
      <c r="G2" s="8"/>
      <c r="H2" s="8"/>
      <c r="I2" s="8"/>
      <c r="J2" s="8"/>
      <c r="K2" s="8"/>
      <c r="L2" s="8"/>
      <c r="M2" s="8"/>
      <c r="N2" s="8"/>
      <c r="O2" s="8"/>
      <c r="P2" s="8"/>
      <c r="Q2" s="8"/>
      <c r="R2" s="8"/>
      <c r="S2" s="8"/>
      <c r="T2" s="8"/>
      <c r="U2" s="8"/>
      <c r="V2" s="8"/>
      <c r="W2" s="8"/>
      <c r="X2" s="8"/>
      <c r="Y2" s="8"/>
      <c r="Z2" s="8"/>
      <c r="AA2" s="8"/>
    </row>
    <row r="3" spans="1:27" ht="29">
      <c r="A3" s="9" t="s">
        <v>1</v>
      </c>
      <c r="B3" s="10"/>
      <c r="C3" s="10"/>
      <c r="D3" s="10"/>
      <c r="E3" s="10"/>
      <c r="F3" s="10"/>
      <c r="G3" s="10"/>
      <c r="H3" s="10"/>
      <c r="I3" s="10"/>
      <c r="J3" s="10"/>
      <c r="K3" s="10"/>
      <c r="L3" s="10"/>
      <c r="M3" s="10"/>
      <c r="N3" s="10"/>
      <c r="O3" s="10"/>
      <c r="P3" s="10"/>
      <c r="Q3" s="10"/>
      <c r="R3" s="10"/>
      <c r="S3" s="10"/>
      <c r="T3" s="10"/>
      <c r="U3" s="10"/>
      <c r="V3" s="10"/>
      <c r="W3" s="10"/>
      <c r="X3" s="10"/>
      <c r="Y3" s="10"/>
      <c r="Z3" s="10"/>
      <c r="AA3" s="10"/>
    </row>
    <row r="4" spans="1:27" ht="72.5">
      <c r="A4" s="9" t="s">
        <v>2</v>
      </c>
      <c r="B4" s="10"/>
      <c r="C4" s="10"/>
      <c r="D4" s="10"/>
      <c r="E4" s="10"/>
      <c r="F4" s="10"/>
      <c r="G4" s="10"/>
      <c r="H4" s="10"/>
      <c r="I4" s="10"/>
      <c r="J4" s="10"/>
      <c r="K4" s="10"/>
      <c r="L4" s="10"/>
      <c r="M4" s="10"/>
      <c r="N4" s="10"/>
      <c r="O4" s="10"/>
      <c r="P4" s="10"/>
      <c r="Q4" s="10"/>
      <c r="R4" s="10"/>
      <c r="S4" s="10"/>
      <c r="T4" s="10"/>
      <c r="U4" s="10"/>
      <c r="V4" s="10"/>
      <c r="W4" s="10"/>
      <c r="X4" s="10"/>
      <c r="Y4" s="10"/>
      <c r="Z4" s="10"/>
      <c r="AA4" s="10"/>
    </row>
    <row r="5" spans="1:27">
      <c r="A5" s="9" t="s">
        <v>42</v>
      </c>
      <c r="B5" s="10"/>
      <c r="C5" s="10"/>
      <c r="D5" s="10"/>
      <c r="E5" s="10"/>
      <c r="F5" s="10"/>
      <c r="G5" s="10"/>
      <c r="H5" s="10"/>
      <c r="I5" s="10"/>
      <c r="J5" s="10"/>
      <c r="K5" s="10"/>
      <c r="L5" s="10"/>
      <c r="M5" s="10"/>
      <c r="N5" s="10"/>
      <c r="O5" s="10"/>
      <c r="P5" s="10"/>
      <c r="Q5" s="10"/>
      <c r="R5" s="10"/>
      <c r="S5" s="10"/>
      <c r="T5" s="10"/>
      <c r="U5" s="10"/>
      <c r="V5" s="10"/>
      <c r="W5" s="10"/>
      <c r="X5" s="10"/>
      <c r="Y5" s="10"/>
      <c r="Z5" s="10"/>
      <c r="AA5" s="10"/>
    </row>
    <row r="6" spans="1:27">
      <c r="A6" s="9" t="s">
        <v>3</v>
      </c>
      <c r="B6" s="10"/>
      <c r="C6" s="10"/>
      <c r="D6" s="10"/>
      <c r="E6" s="10"/>
      <c r="F6" s="10"/>
      <c r="G6" s="10"/>
      <c r="H6" s="10"/>
      <c r="I6" s="10"/>
      <c r="J6" s="10"/>
      <c r="K6" s="10"/>
      <c r="L6" s="10"/>
      <c r="M6" s="10"/>
      <c r="N6" s="10"/>
      <c r="O6" s="10"/>
      <c r="P6" s="10"/>
      <c r="Q6" s="10"/>
      <c r="R6" s="10"/>
      <c r="S6" s="10"/>
      <c r="T6" s="10"/>
      <c r="U6" s="10"/>
      <c r="V6" s="10"/>
      <c r="W6" s="10"/>
      <c r="X6" s="10"/>
      <c r="Y6" s="10"/>
      <c r="Z6" s="10"/>
      <c r="AA6" s="10"/>
    </row>
    <row r="7" spans="1:27">
      <c r="A7" s="11" t="s">
        <v>4</v>
      </c>
      <c r="B7" s="10"/>
      <c r="C7" s="10"/>
      <c r="D7" s="10"/>
      <c r="E7" s="10"/>
      <c r="F7" s="10"/>
      <c r="G7" s="10"/>
      <c r="H7" s="10"/>
      <c r="I7" s="10"/>
      <c r="J7" s="10"/>
      <c r="K7" s="10"/>
      <c r="L7" s="10"/>
      <c r="M7" s="10"/>
      <c r="N7" s="10"/>
      <c r="O7" s="10"/>
      <c r="P7" s="10"/>
      <c r="Q7" s="10"/>
      <c r="R7" s="10"/>
      <c r="S7" s="10"/>
      <c r="T7" s="10"/>
      <c r="U7" s="10"/>
      <c r="V7" s="10"/>
      <c r="W7" s="10"/>
      <c r="X7" s="10"/>
      <c r="Y7" s="10"/>
      <c r="Z7" s="10"/>
      <c r="AA7" s="10"/>
    </row>
    <row r="8" spans="1:27" ht="30" customHeight="1">
      <c r="A8" s="12" t="s">
        <v>142</v>
      </c>
      <c r="B8" s="10"/>
      <c r="C8" s="10"/>
      <c r="D8" s="10"/>
      <c r="E8" s="10"/>
      <c r="F8" s="10"/>
      <c r="G8" s="10"/>
      <c r="H8" s="10"/>
      <c r="I8" s="10"/>
      <c r="J8" s="10"/>
      <c r="K8" s="10"/>
      <c r="L8" s="10"/>
      <c r="M8" s="10"/>
      <c r="N8" s="10"/>
      <c r="O8" s="10"/>
      <c r="P8" s="10"/>
      <c r="Q8" s="10"/>
      <c r="R8" s="10"/>
      <c r="S8" s="10"/>
      <c r="T8" s="10"/>
      <c r="U8" s="10"/>
      <c r="V8" s="10"/>
      <c r="W8" s="10"/>
      <c r="X8" s="10"/>
      <c r="Y8" s="10"/>
      <c r="Z8" s="10"/>
      <c r="AA8" s="10"/>
    </row>
    <row r="9" spans="1:27">
      <c r="A9" s="13" t="s">
        <v>5</v>
      </c>
      <c r="B9" s="14" t="s">
        <v>6</v>
      </c>
      <c r="C9" s="14" t="s">
        <v>7</v>
      </c>
      <c r="D9" s="14" t="s">
        <v>8</v>
      </c>
      <c r="E9" s="14" t="s">
        <v>9</v>
      </c>
      <c r="F9" s="14" t="s">
        <v>10</v>
      </c>
      <c r="G9" s="14" t="s">
        <v>11</v>
      </c>
      <c r="H9" s="14" t="s">
        <v>12</v>
      </c>
      <c r="I9" s="14" t="s">
        <v>13</v>
      </c>
      <c r="J9" s="14" t="s">
        <v>14</v>
      </c>
      <c r="K9" s="14" t="s">
        <v>15</v>
      </c>
      <c r="L9" s="14" t="s">
        <v>16</v>
      </c>
      <c r="M9" s="14" t="s">
        <v>17</v>
      </c>
      <c r="N9" s="14" t="s">
        <v>18</v>
      </c>
      <c r="O9" s="14" t="s">
        <v>19</v>
      </c>
      <c r="P9" s="14" t="s">
        <v>20</v>
      </c>
      <c r="Q9" s="14" t="s">
        <v>21</v>
      </c>
      <c r="R9" s="14" t="s">
        <v>22</v>
      </c>
      <c r="S9" s="14" t="s">
        <v>23</v>
      </c>
      <c r="T9" s="14" t="s">
        <v>24</v>
      </c>
      <c r="U9" s="14" t="s">
        <v>25</v>
      </c>
      <c r="V9" s="14" t="s">
        <v>26</v>
      </c>
      <c r="W9" s="14" t="s">
        <v>27</v>
      </c>
      <c r="X9" s="14" t="s">
        <v>28</v>
      </c>
      <c r="Y9" s="14" t="s">
        <v>29</v>
      </c>
      <c r="Z9" s="14" t="s">
        <v>30</v>
      </c>
      <c r="AA9" s="14" t="s">
        <v>31</v>
      </c>
    </row>
    <row r="10" spans="1:27">
      <c r="A10" s="13" t="s">
        <v>32</v>
      </c>
      <c r="B10" s="15">
        <v>0.31713940000000002</v>
      </c>
      <c r="C10" s="15">
        <v>0.3190847</v>
      </c>
      <c r="D10" s="15">
        <v>0.3155983</v>
      </c>
      <c r="E10" s="15">
        <v>0.309896</v>
      </c>
      <c r="F10" s="15">
        <v>0.31244749999999999</v>
      </c>
      <c r="G10" s="15">
        <v>0.31238919999999998</v>
      </c>
      <c r="H10" s="15">
        <v>0.29609809999999998</v>
      </c>
      <c r="I10" s="15">
        <v>0.27851979999999998</v>
      </c>
      <c r="J10" s="15">
        <v>0.25814049999999999</v>
      </c>
      <c r="K10" s="15">
        <v>0.2499922</v>
      </c>
      <c r="L10" s="15">
        <v>0.2455253</v>
      </c>
      <c r="M10" s="15">
        <v>0.2409346</v>
      </c>
      <c r="N10" s="15">
        <v>0.24524689999999999</v>
      </c>
      <c r="O10" s="15">
        <v>0.24372530000000001</v>
      </c>
      <c r="P10" s="15">
        <v>0.23525389999999999</v>
      </c>
      <c r="Q10" s="15">
        <v>0.2143718</v>
      </c>
      <c r="R10" s="15">
        <v>0.2073566</v>
      </c>
      <c r="S10" s="15">
        <v>0.20983579999999999</v>
      </c>
      <c r="T10" s="15">
        <v>0.2161679</v>
      </c>
      <c r="U10" s="15">
        <v>0.22795380000000001</v>
      </c>
      <c r="V10" s="15">
        <v>0.23351949999999999</v>
      </c>
      <c r="W10" s="15">
        <v>0.2419675</v>
      </c>
      <c r="X10" s="15">
        <v>0.23227329999999999</v>
      </c>
      <c r="Y10" s="15">
        <v>0.24283840000000001</v>
      </c>
      <c r="Z10" s="15">
        <v>0.2463928</v>
      </c>
      <c r="AA10" s="15">
        <v>0.2447318</v>
      </c>
    </row>
    <row r="11" spans="1:27">
      <c r="A11" s="13" t="s">
        <v>43</v>
      </c>
      <c r="B11" s="15" t="s">
        <v>99</v>
      </c>
      <c r="C11" s="15" t="s">
        <v>99</v>
      </c>
      <c r="D11" s="15" t="s">
        <v>99</v>
      </c>
      <c r="E11" s="15">
        <v>0.290962</v>
      </c>
      <c r="F11" s="15">
        <v>0.2940315</v>
      </c>
      <c r="G11" s="15">
        <v>0.29805779999999998</v>
      </c>
      <c r="H11" s="15" t="s">
        <v>99</v>
      </c>
      <c r="I11" s="15" t="s">
        <v>99</v>
      </c>
      <c r="J11" s="15" t="s">
        <v>99</v>
      </c>
      <c r="K11" s="15" t="s">
        <v>99</v>
      </c>
      <c r="L11" s="15" t="s">
        <v>99</v>
      </c>
      <c r="M11" s="15" t="s">
        <v>99</v>
      </c>
      <c r="N11" s="15" t="s">
        <v>99</v>
      </c>
      <c r="O11" s="15" t="s">
        <v>99</v>
      </c>
      <c r="P11" s="15">
        <v>0.2154732</v>
      </c>
      <c r="Q11" s="15">
        <v>0.19699</v>
      </c>
      <c r="R11" s="15">
        <v>0.18982209999999999</v>
      </c>
      <c r="S11" s="15">
        <v>0.19280320000000001</v>
      </c>
      <c r="T11" s="15">
        <v>0.19902039999999999</v>
      </c>
      <c r="U11" s="15">
        <v>0.2160986</v>
      </c>
      <c r="V11" s="15">
        <v>0.21966479999999999</v>
      </c>
      <c r="W11" s="15">
        <v>0.22616620000000001</v>
      </c>
      <c r="X11" s="15">
        <v>0.21753620000000001</v>
      </c>
      <c r="Y11" s="15">
        <v>0.23169600000000001</v>
      </c>
      <c r="Z11" s="15">
        <v>0.238789</v>
      </c>
      <c r="AA11" s="15">
        <v>0.24019160000000001</v>
      </c>
    </row>
    <row r="12" spans="1:27">
      <c r="A12" s="13" t="s">
        <v>44</v>
      </c>
      <c r="B12" s="15" t="s">
        <v>99</v>
      </c>
      <c r="C12" s="15" t="s">
        <v>99</v>
      </c>
      <c r="D12" s="15" t="s">
        <v>99</v>
      </c>
      <c r="E12" s="15">
        <v>0.60052550000000005</v>
      </c>
      <c r="F12" s="15">
        <v>0.61715279999999995</v>
      </c>
      <c r="G12" s="15">
        <v>0.55449479999999995</v>
      </c>
      <c r="H12" s="15" t="s">
        <v>99</v>
      </c>
      <c r="I12" s="15" t="s">
        <v>99</v>
      </c>
      <c r="J12" s="15" t="s">
        <v>99</v>
      </c>
      <c r="K12" s="15" t="s">
        <v>99</v>
      </c>
      <c r="L12" s="15" t="s">
        <v>99</v>
      </c>
      <c r="M12" s="15" t="s">
        <v>99</v>
      </c>
      <c r="N12" s="15" t="s">
        <v>99</v>
      </c>
      <c r="O12" s="15" t="s">
        <v>99</v>
      </c>
      <c r="P12" s="15">
        <v>0.57154020000000005</v>
      </c>
      <c r="Q12" s="15">
        <v>0.48782209999999998</v>
      </c>
      <c r="R12" s="15">
        <v>0.47128540000000002</v>
      </c>
      <c r="S12" s="15">
        <v>0.45915099999999998</v>
      </c>
      <c r="T12" s="15">
        <v>0.49255260000000001</v>
      </c>
      <c r="U12" s="15">
        <v>0.42387219999999998</v>
      </c>
      <c r="V12" s="15">
        <v>0.5059553</v>
      </c>
      <c r="W12" s="15">
        <v>0.5498246</v>
      </c>
      <c r="X12" s="15" t="s">
        <v>35</v>
      </c>
      <c r="Y12" s="15" t="s">
        <v>35</v>
      </c>
      <c r="Z12" s="15" t="s">
        <v>35</v>
      </c>
      <c r="AA12" s="15" t="s">
        <v>35</v>
      </c>
    </row>
    <row r="13" spans="1:27" ht="30" customHeight="1">
      <c r="A13" s="12" t="s">
        <v>133</v>
      </c>
      <c r="B13" s="15"/>
      <c r="C13" s="15"/>
      <c r="D13" s="15"/>
      <c r="E13" s="15"/>
      <c r="F13" s="15"/>
      <c r="G13" s="15"/>
      <c r="H13" s="15"/>
      <c r="I13" s="15"/>
      <c r="J13" s="15"/>
      <c r="K13" s="15"/>
      <c r="L13" s="15"/>
      <c r="M13" s="15"/>
      <c r="N13" s="15"/>
      <c r="O13" s="15"/>
      <c r="P13" s="15"/>
      <c r="Q13" s="15"/>
      <c r="R13" s="15"/>
      <c r="S13" s="15"/>
      <c r="T13" s="15"/>
      <c r="U13" s="15"/>
      <c r="V13" s="15"/>
      <c r="W13" s="15"/>
      <c r="X13" s="15"/>
      <c r="Y13" s="15"/>
      <c r="Z13" s="15"/>
      <c r="AA13" s="15"/>
    </row>
    <row r="14" spans="1:27">
      <c r="A14" s="13" t="s">
        <v>5</v>
      </c>
      <c r="B14" s="16" t="s">
        <v>6</v>
      </c>
      <c r="C14" s="16" t="s">
        <v>7</v>
      </c>
      <c r="D14" s="16" t="s">
        <v>8</v>
      </c>
      <c r="E14" s="16" t="s">
        <v>9</v>
      </c>
      <c r="F14" s="16" t="s">
        <v>10</v>
      </c>
      <c r="G14" s="16" t="s">
        <v>11</v>
      </c>
      <c r="H14" s="16" t="s">
        <v>12</v>
      </c>
      <c r="I14" s="16" t="s">
        <v>13</v>
      </c>
      <c r="J14" s="16" t="s">
        <v>14</v>
      </c>
      <c r="K14" s="16" t="s">
        <v>15</v>
      </c>
      <c r="L14" s="16" t="s">
        <v>16</v>
      </c>
      <c r="M14" s="16" t="s">
        <v>17</v>
      </c>
      <c r="N14" s="16" t="s">
        <v>18</v>
      </c>
      <c r="O14" s="16" t="s">
        <v>19</v>
      </c>
      <c r="P14" s="16" t="s">
        <v>20</v>
      </c>
      <c r="Q14" s="16" t="s">
        <v>21</v>
      </c>
      <c r="R14" s="16" t="s">
        <v>22</v>
      </c>
      <c r="S14" s="16" t="s">
        <v>23</v>
      </c>
      <c r="T14" s="16" t="s">
        <v>24</v>
      </c>
      <c r="U14" s="16" t="s">
        <v>25</v>
      </c>
      <c r="V14" s="16" t="s">
        <v>26</v>
      </c>
      <c r="W14" s="16" t="s">
        <v>27</v>
      </c>
      <c r="X14" s="16" t="s">
        <v>28</v>
      </c>
      <c r="Y14" s="16" t="s">
        <v>29</v>
      </c>
      <c r="Z14" s="16" t="s">
        <v>30</v>
      </c>
      <c r="AA14" s="16" t="s">
        <v>31</v>
      </c>
    </row>
    <row r="15" spans="1:27">
      <c r="A15" s="13" t="s">
        <v>32</v>
      </c>
      <c r="B15" s="15">
        <v>1</v>
      </c>
      <c r="C15" s="15">
        <v>1</v>
      </c>
      <c r="D15" s="15">
        <v>1</v>
      </c>
      <c r="E15" s="15">
        <v>1</v>
      </c>
      <c r="F15" s="15">
        <v>1</v>
      </c>
      <c r="G15" s="15">
        <v>1</v>
      </c>
      <c r="H15" s="15">
        <v>1</v>
      </c>
      <c r="I15" s="15">
        <v>1</v>
      </c>
      <c r="J15" s="15">
        <v>1</v>
      </c>
      <c r="K15" s="15">
        <v>1</v>
      </c>
      <c r="L15" s="15">
        <v>1</v>
      </c>
      <c r="M15" s="15">
        <v>1</v>
      </c>
      <c r="N15" s="15">
        <v>1</v>
      </c>
      <c r="O15" s="15">
        <v>1</v>
      </c>
      <c r="P15" s="15">
        <v>1</v>
      </c>
      <c r="Q15" s="15">
        <v>1</v>
      </c>
      <c r="R15" s="15">
        <v>1</v>
      </c>
      <c r="S15" s="15">
        <v>1</v>
      </c>
      <c r="T15" s="15">
        <v>1</v>
      </c>
      <c r="U15" s="15">
        <v>1</v>
      </c>
      <c r="V15" s="15">
        <v>1</v>
      </c>
      <c r="W15" s="15">
        <v>1</v>
      </c>
      <c r="X15" s="15">
        <v>1</v>
      </c>
      <c r="Y15" s="15">
        <v>1</v>
      </c>
      <c r="Z15" s="15">
        <v>1</v>
      </c>
      <c r="AA15" s="15">
        <v>1</v>
      </c>
    </row>
    <row r="16" spans="1:27">
      <c r="A16" s="13" t="s">
        <v>43</v>
      </c>
      <c r="B16" s="15" t="s">
        <v>99</v>
      </c>
      <c r="C16" s="15" t="s">
        <v>99</v>
      </c>
      <c r="D16" s="15" t="s">
        <v>99</v>
      </c>
      <c r="E16" s="15">
        <v>0.8792645</v>
      </c>
      <c r="F16" s="15">
        <v>0.88835299999999995</v>
      </c>
      <c r="G16" s="15">
        <v>0.90111589999999997</v>
      </c>
      <c r="H16" s="15" t="s">
        <v>99</v>
      </c>
      <c r="I16" s="15" t="s">
        <v>99</v>
      </c>
      <c r="J16" s="15" t="s">
        <v>99</v>
      </c>
      <c r="K16" s="15" t="s">
        <v>99</v>
      </c>
      <c r="L16" s="15" t="s">
        <v>99</v>
      </c>
      <c r="M16" s="15" t="s">
        <v>99</v>
      </c>
      <c r="N16" s="15" t="s">
        <v>99</v>
      </c>
      <c r="O16" s="15" t="s">
        <v>99</v>
      </c>
      <c r="P16" s="15">
        <v>0.86156140000000003</v>
      </c>
      <c r="Q16" s="15">
        <v>0.86282990000000004</v>
      </c>
      <c r="R16" s="15">
        <v>0.85821139999999996</v>
      </c>
      <c r="S16" s="15">
        <v>0.86028499999999997</v>
      </c>
      <c r="T16" s="15">
        <v>0.86667689999999997</v>
      </c>
      <c r="U16" s="15">
        <v>0.88850949999999995</v>
      </c>
      <c r="V16" s="15">
        <v>0.88818629999999998</v>
      </c>
      <c r="W16" s="15">
        <v>0.88294150000000005</v>
      </c>
      <c r="X16" s="15">
        <v>0.89854719999999999</v>
      </c>
      <c r="Y16" s="15">
        <v>0.91256159999999997</v>
      </c>
      <c r="Z16" s="15">
        <v>0.93022070000000001</v>
      </c>
      <c r="AA16" s="15">
        <v>0.93935170000000001</v>
      </c>
    </row>
    <row r="17" spans="1:27">
      <c r="A17" s="13" t="s">
        <v>44</v>
      </c>
      <c r="B17" s="15" t="s">
        <v>99</v>
      </c>
      <c r="C17" s="15" t="s">
        <v>99</v>
      </c>
      <c r="D17" s="15" t="s">
        <v>99</v>
      </c>
      <c r="E17" s="15">
        <v>0.1199426</v>
      </c>
      <c r="F17" s="15">
        <v>0.1108542</v>
      </c>
      <c r="G17" s="15">
        <v>9.8884100000000003E-2</v>
      </c>
      <c r="H17" s="15" t="s">
        <v>99</v>
      </c>
      <c r="I17" s="15" t="s">
        <v>99</v>
      </c>
      <c r="J17" s="15" t="s">
        <v>99</v>
      </c>
      <c r="K17" s="15" t="s">
        <v>99</v>
      </c>
      <c r="L17" s="15" t="s">
        <v>99</v>
      </c>
      <c r="M17" s="15" t="s">
        <v>99</v>
      </c>
      <c r="N17" s="15" t="s">
        <v>99</v>
      </c>
      <c r="O17" s="15" t="s">
        <v>99</v>
      </c>
      <c r="P17" s="15">
        <v>0.13843859999999999</v>
      </c>
      <c r="Q17" s="15">
        <v>0.1358848</v>
      </c>
      <c r="R17" s="15">
        <v>0.14050319999999999</v>
      </c>
      <c r="S17" s="15">
        <v>0.13842969999999999</v>
      </c>
      <c r="T17" s="15">
        <v>0.1333231</v>
      </c>
      <c r="U17" s="15">
        <v>0.11149050000000001</v>
      </c>
      <c r="V17" s="15">
        <v>0.1118137</v>
      </c>
      <c r="W17" s="15">
        <v>0.1136992</v>
      </c>
      <c r="X17" s="15">
        <v>9.8093600000000003E-2</v>
      </c>
      <c r="Y17" s="15">
        <v>8.4079100000000004E-2</v>
      </c>
      <c r="Z17" s="15">
        <v>6.9779300000000002E-2</v>
      </c>
      <c r="AA17" s="15">
        <v>6.0648300000000002E-2</v>
      </c>
    </row>
    <row r="18" spans="1:27" ht="30" customHeight="1">
      <c r="A18" s="12" t="s">
        <v>134</v>
      </c>
      <c r="B18" s="15"/>
      <c r="C18" s="15"/>
      <c r="D18" s="15"/>
      <c r="E18" s="15"/>
      <c r="F18" s="15"/>
      <c r="G18" s="15"/>
      <c r="H18" s="15"/>
      <c r="I18" s="15"/>
      <c r="J18" s="15"/>
      <c r="K18" s="15"/>
      <c r="L18" s="15"/>
      <c r="M18" s="15"/>
      <c r="N18" s="15"/>
      <c r="O18" s="15"/>
      <c r="P18" s="15"/>
      <c r="Q18" s="15"/>
      <c r="R18" s="15"/>
      <c r="S18" s="15"/>
      <c r="T18" s="15"/>
      <c r="U18" s="15"/>
      <c r="V18" s="15"/>
      <c r="W18" s="15"/>
      <c r="X18" s="15"/>
      <c r="Y18" s="15"/>
      <c r="Z18" s="15"/>
      <c r="AA18" s="15"/>
    </row>
    <row r="19" spans="1:27">
      <c r="A19" s="13" t="s">
        <v>5</v>
      </c>
      <c r="B19" s="16" t="s">
        <v>6</v>
      </c>
      <c r="C19" s="16" t="s">
        <v>7</v>
      </c>
      <c r="D19" s="16" t="s">
        <v>8</v>
      </c>
      <c r="E19" s="16" t="s">
        <v>9</v>
      </c>
      <c r="F19" s="16" t="s">
        <v>10</v>
      </c>
      <c r="G19" s="16" t="s">
        <v>11</v>
      </c>
      <c r="H19" s="16" t="s">
        <v>12</v>
      </c>
      <c r="I19" s="16" t="s">
        <v>13</v>
      </c>
      <c r="J19" s="16" t="s">
        <v>14</v>
      </c>
      <c r="K19" s="16" t="s">
        <v>15</v>
      </c>
      <c r="L19" s="16" t="s">
        <v>16</v>
      </c>
      <c r="M19" s="16" t="s">
        <v>17</v>
      </c>
      <c r="N19" s="16" t="s">
        <v>18</v>
      </c>
      <c r="O19" s="16" t="s">
        <v>19</v>
      </c>
      <c r="P19" s="16" t="s">
        <v>20</v>
      </c>
      <c r="Q19" s="16" t="s">
        <v>21</v>
      </c>
      <c r="R19" s="16" t="s">
        <v>22</v>
      </c>
      <c r="S19" s="16" t="s">
        <v>23</v>
      </c>
      <c r="T19" s="16" t="s">
        <v>24</v>
      </c>
      <c r="U19" s="16" t="s">
        <v>25</v>
      </c>
      <c r="V19" s="16" t="s">
        <v>26</v>
      </c>
      <c r="W19" s="16" t="s">
        <v>27</v>
      </c>
      <c r="X19" s="16" t="s">
        <v>28</v>
      </c>
      <c r="Y19" s="16" t="s">
        <v>29</v>
      </c>
      <c r="Z19" s="16" t="s">
        <v>30</v>
      </c>
      <c r="AA19" s="16" t="s">
        <v>31</v>
      </c>
    </row>
    <row r="20" spans="1:27">
      <c r="A20" s="13" t="s">
        <v>32</v>
      </c>
      <c r="B20" s="17">
        <v>350000</v>
      </c>
      <c r="C20" s="17">
        <v>350000</v>
      </c>
      <c r="D20" s="17">
        <v>340000</v>
      </c>
      <c r="E20" s="17">
        <v>330000</v>
      </c>
      <c r="F20" s="17">
        <v>330000</v>
      </c>
      <c r="G20" s="17">
        <v>330000</v>
      </c>
      <c r="H20" s="17">
        <v>310000</v>
      </c>
      <c r="I20" s="17">
        <v>290000</v>
      </c>
      <c r="J20" s="17">
        <v>260000</v>
      </c>
      <c r="K20" s="17">
        <v>250000</v>
      </c>
      <c r="L20" s="17">
        <v>250000</v>
      </c>
      <c r="M20" s="17">
        <v>240000</v>
      </c>
      <c r="N20" s="17">
        <v>240000</v>
      </c>
      <c r="O20" s="17">
        <v>240000</v>
      </c>
      <c r="P20" s="17">
        <v>230000</v>
      </c>
      <c r="Q20" s="17">
        <v>210000</v>
      </c>
      <c r="R20" s="17">
        <v>210000</v>
      </c>
      <c r="S20" s="17">
        <v>210000</v>
      </c>
      <c r="T20" s="17">
        <v>210000</v>
      </c>
      <c r="U20" s="17">
        <v>220000</v>
      </c>
      <c r="V20" s="17">
        <v>230000</v>
      </c>
      <c r="W20" s="17">
        <v>240000</v>
      </c>
      <c r="X20" s="17">
        <v>230000</v>
      </c>
      <c r="Y20" s="17">
        <v>240000</v>
      </c>
      <c r="Z20" s="17">
        <v>240000</v>
      </c>
      <c r="AA20" s="17">
        <v>250000</v>
      </c>
    </row>
    <row r="21" spans="1:27">
      <c r="A21" s="13" t="s">
        <v>43</v>
      </c>
      <c r="B21" s="17" t="s">
        <v>99</v>
      </c>
      <c r="C21" s="17" t="s">
        <v>99</v>
      </c>
      <c r="D21" s="17" t="s">
        <v>99</v>
      </c>
      <c r="E21" s="17">
        <v>290000</v>
      </c>
      <c r="F21" s="17">
        <v>300000</v>
      </c>
      <c r="G21" s="17">
        <v>300000</v>
      </c>
      <c r="H21" s="17" t="s">
        <v>99</v>
      </c>
      <c r="I21" s="17" t="s">
        <v>99</v>
      </c>
      <c r="J21" s="17" t="s">
        <v>99</v>
      </c>
      <c r="K21" s="17" t="s">
        <v>99</v>
      </c>
      <c r="L21" s="17" t="s">
        <v>99</v>
      </c>
      <c r="M21" s="17" t="s">
        <v>99</v>
      </c>
      <c r="N21" s="17" t="s">
        <v>99</v>
      </c>
      <c r="O21" s="17" t="s">
        <v>99</v>
      </c>
      <c r="P21" s="17">
        <v>200000</v>
      </c>
      <c r="Q21" s="17">
        <v>180000</v>
      </c>
      <c r="R21" s="17">
        <v>180000</v>
      </c>
      <c r="S21" s="17">
        <v>180000</v>
      </c>
      <c r="T21" s="17">
        <v>190000</v>
      </c>
      <c r="U21" s="17">
        <v>200000</v>
      </c>
      <c r="V21" s="17">
        <v>200000</v>
      </c>
      <c r="W21" s="17">
        <v>210000</v>
      </c>
      <c r="X21" s="17">
        <v>210000</v>
      </c>
      <c r="Y21" s="17">
        <v>220000</v>
      </c>
      <c r="Z21" s="17">
        <v>230000</v>
      </c>
      <c r="AA21" s="17">
        <v>230000</v>
      </c>
    </row>
    <row r="22" spans="1:27">
      <c r="A22" s="13" t="s">
        <v>44</v>
      </c>
      <c r="B22" s="17" t="s">
        <v>99</v>
      </c>
      <c r="C22" s="17" t="s">
        <v>99</v>
      </c>
      <c r="D22" s="17" t="s">
        <v>99</v>
      </c>
      <c r="E22" s="17" t="s">
        <v>35</v>
      </c>
      <c r="F22" s="17" t="s">
        <v>35</v>
      </c>
      <c r="G22" s="17" t="s">
        <v>35</v>
      </c>
      <c r="H22" s="17" t="s">
        <v>99</v>
      </c>
      <c r="I22" s="17" t="s">
        <v>99</v>
      </c>
      <c r="J22" s="17" t="s">
        <v>99</v>
      </c>
      <c r="K22" s="17" t="s">
        <v>99</v>
      </c>
      <c r="L22" s="17" t="s">
        <v>99</v>
      </c>
      <c r="M22" s="17" t="s">
        <v>99</v>
      </c>
      <c r="N22" s="17" t="s">
        <v>99</v>
      </c>
      <c r="O22" s="17" t="s">
        <v>99</v>
      </c>
      <c r="P22" s="17">
        <v>30000</v>
      </c>
      <c r="Q22" s="17" t="s">
        <v>35</v>
      </c>
      <c r="R22" s="17" t="s">
        <v>35</v>
      </c>
      <c r="S22" s="17" t="s">
        <v>35</v>
      </c>
      <c r="T22" s="17" t="s">
        <v>35</v>
      </c>
      <c r="U22" s="17" t="s">
        <v>35</v>
      </c>
      <c r="V22" s="17" t="s">
        <v>35</v>
      </c>
      <c r="W22" s="17" t="s">
        <v>35</v>
      </c>
      <c r="X22" s="17" t="s">
        <v>35</v>
      </c>
      <c r="Y22" s="17" t="s">
        <v>35</v>
      </c>
      <c r="Z22" s="17" t="s">
        <v>35</v>
      </c>
      <c r="AA22" s="17" t="s">
        <v>35</v>
      </c>
    </row>
    <row r="23" spans="1:27" ht="30" customHeight="1">
      <c r="A23" s="12" t="s">
        <v>135</v>
      </c>
      <c r="B23" s="17"/>
      <c r="C23" s="17"/>
      <c r="D23" s="17"/>
      <c r="E23" s="17"/>
      <c r="F23" s="17"/>
      <c r="G23" s="17"/>
      <c r="H23" s="17"/>
      <c r="I23" s="17"/>
      <c r="J23" s="17"/>
      <c r="K23" s="17"/>
      <c r="L23" s="17"/>
      <c r="M23" s="17"/>
      <c r="N23" s="17"/>
      <c r="O23" s="17"/>
      <c r="P23" s="17"/>
      <c r="Q23" s="17"/>
      <c r="R23" s="17"/>
      <c r="S23" s="17"/>
      <c r="T23" s="17"/>
      <c r="U23" s="17"/>
      <c r="V23" s="17"/>
      <c r="W23" s="17"/>
      <c r="X23" s="17"/>
      <c r="Y23" s="17"/>
      <c r="Z23" s="17"/>
      <c r="AA23" s="17"/>
    </row>
    <row r="24" spans="1:27">
      <c r="A24" s="13" t="s">
        <v>5</v>
      </c>
      <c r="B24" s="18" t="s">
        <v>6</v>
      </c>
      <c r="C24" s="18" t="s">
        <v>7</v>
      </c>
      <c r="D24" s="18" t="s">
        <v>8</v>
      </c>
      <c r="E24" s="18" t="s">
        <v>9</v>
      </c>
      <c r="F24" s="18" t="s">
        <v>10</v>
      </c>
      <c r="G24" s="18" t="s">
        <v>11</v>
      </c>
      <c r="H24" s="18" t="s">
        <v>12</v>
      </c>
      <c r="I24" s="18" t="s">
        <v>13</v>
      </c>
      <c r="J24" s="18" t="s">
        <v>14</v>
      </c>
      <c r="K24" s="18" t="s">
        <v>15</v>
      </c>
      <c r="L24" s="18" t="s">
        <v>16</v>
      </c>
      <c r="M24" s="18" t="s">
        <v>17</v>
      </c>
      <c r="N24" s="18" t="s">
        <v>18</v>
      </c>
      <c r="O24" s="18" t="s">
        <v>19</v>
      </c>
      <c r="P24" s="18" t="s">
        <v>20</v>
      </c>
      <c r="Q24" s="18" t="s">
        <v>21</v>
      </c>
      <c r="R24" s="18" t="s">
        <v>22</v>
      </c>
      <c r="S24" s="18" t="s">
        <v>23</v>
      </c>
      <c r="T24" s="18" t="s">
        <v>24</v>
      </c>
      <c r="U24" s="18" t="s">
        <v>25</v>
      </c>
      <c r="V24" s="18" t="s">
        <v>26</v>
      </c>
      <c r="W24" s="18" t="s">
        <v>27</v>
      </c>
      <c r="X24" s="18" t="s">
        <v>28</v>
      </c>
      <c r="Y24" s="18" t="s">
        <v>29</v>
      </c>
      <c r="Z24" s="18" t="s">
        <v>30</v>
      </c>
      <c r="AA24" s="18" t="s">
        <v>31</v>
      </c>
    </row>
    <row r="25" spans="1:27">
      <c r="A25" s="13" t="s">
        <v>32</v>
      </c>
      <c r="B25" s="15">
        <v>0.49508239999999998</v>
      </c>
      <c r="C25" s="15">
        <v>0.49183529999999998</v>
      </c>
      <c r="D25" s="15">
        <v>0.45778000000000002</v>
      </c>
      <c r="E25" s="15">
        <v>0.4283054</v>
      </c>
      <c r="F25" s="15">
        <v>0.39523950000000002</v>
      </c>
      <c r="G25" s="15">
        <v>0.37891910000000001</v>
      </c>
      <c r="H25" s="15">
        <v>0.34114630000000001</v>
      </c>
      <c r="I25" s="15">
        <v>0.30955690000000002</v>
      </c>
      <c r="J25" s="15">
        <v>0.2726788</v>
      </c>
      <c r="K25" s="15">
        <v>0.25810660000000002</v>
      </c>
      <c r="L25" s="15">
        <v>0.24968180000000001</v>
      </c>
      <c r="M25" s="15">
        <v>0.24055480000000001</v>
      </c>
      <c r="N25" s="15">
        <v>0.24093719999999999</v>
      </c>
      <c r="O25" s="15">
        <v>0.23671420000000001</v>
      </c>
      <c r="P25" s="15">
        <v>0.23137369999999999</v>
      </c>
      <c r="Q25" s="15">
        <v>0.21533070000000001</v>
      </c>
      <c r="R25" s="15">
        <v>0.21545400000000001</v>
      </c>
      <c r="S25" s="15">
        <v>0.22131410000000001</v>
      </c>
      <c r="T25" s="15">
        <v>0.2198638</v>
      </c>
      <c r="U25" s="15">
        <v>0.22061359999999999</v>
      </c>
      <c r="V25" s="15">
        <v>0.21252960000000001</v>
      </c>
      <c r="W25" s="15">
        <v>0.21870529999999999</v>
      </c>
      <c r="X25" s="15">
        <v>0.20637730000000001</v>
      </c>
      <c r="Y25" s="15">
        <v>0.21486730000000001</v>
      </c>
      <c r="Z25" s="15">
        <v>0.21321499999999999</v>
      </c>
      <c r="AA25" s="15">
        <v>0.20818980000000001</v>
      </c>
    </row>
    <row r="26" spans="1:27">
      <c r="A26" s="13" t="s">
        <v>43</v>
      </c>
      <c r="B26" s="15" t="s">
        <v>99</v>
      </c>
      <c r="C26" s="15" t="s">
        <v>99</v>
      </c>
      <c r="D26" s="15" t="s">
        <v>99</v>
      </c>
      <c r="E26" s="15">
        <v>0.40662019999999999</v>
      </c>
      <c r="F26" s="15">
        <v>0.37625890000000001</v>
      </c>
      <c r="G26" s="15">
        <v>0.36353550000000001</v>
      </c>
      <c r="H26" s="15" t="s">
        <v>99</v>
      </c>
      <c r="I26" s="15" t="s">
        <v>99</v>
      </c>
      <c r="J26" s="15" t="s">
        <v>99</v>
      </c>
      <c r="K26" s="15" t="s">
        <v>99</v>
      </c>
      <c r="L26" s="15" t="s">
        <v>99</v>
      </c>
      <c r="M26" s="15" t="s">
        <v>99</v>
      </c>
      <c r="N26" s="15" t="s">
        <v>99</v>
      </c>
      <c r="O26" s="15" t="s">
        <v>99</v>
      </c>
      <c r="P26" s="15">
        <v>0.21135319999999999</v>
      </c>
      <c r="Q26" s="15">
        <v>0.1976096</v>
      </c>
      <c r="R26" s="15">
        <v>0.19760510000000001</v>
      </c>
      <c r="S26" s="15">
        <v>0.20344709999999999</v>
      </c>
      <c r="T26" s="15">
        <v>0.20182800000000001</v>
      </c>
      <c r="U26" s="15">
        <v>0.2079656</v>
      </c>
      <c r="V26" s="15">
        <v>0.19993040000000001</v>
      </c>
      <c r="W26" s="15">
        <v>0.2044107</v>
      </c>
      <c r="X26" s="15">
        <v>0.19352159999999999</v>
      </c>
      <c r="Y26" s="15">
        <v>0.20579910000000001</v>
      </c>
      <c r="Z26" s="15">
        <v>0.2086356</v>
      </c>
      <c r="AA26" s="15">
        <v>0.20806949999999999</v>
      </c>
    </row>
    <row r="27" spans="1:27">
      <c r="A27" s="13" t="s">
        <v>44</v>
      </c>
      <c r="B27" s="15" t="s">
        <v>99</v>
      </c>
      <c r="C27" s="15" t="s">
        <v>99</v>
      </c>
      <c r="D27" s="15" t="s">
        <v>99</v>
      </c>
      <c r="E27" s="15">
        <v>0.75364030000000004</v>
      </c>
      <c r="F27" s="15">
        <v>0.71195660000000005</v>
      </c>
      <c r="G27" s="15">
        <v>0.64052089999999995</v>
      </c>
      <c r="H27" s="15" t="s">
        <v>99</v>
      </c>
      <c r="I27" s="15" t="s">
        <v>99</v>
      </c>
      <c r="J27" s="15" t="s">
        <v>99</v>
      </c>
      <c r="K27" s="15" t="s">
        <v>99</v>
      </c>
      <c r="L27" s="15" t="s">
        <v>99</v>
      </c>
      <c r="M27" s="15" t="s">
        <v>99</v>
      </c>
      <c r="N27" s="15" t="s">
        <v>99</v>
      </c>
      <c r="O27" s="15" t="s">
        <v>99</v>
      </c>
      <c r="P27" s="15">
        <v>0.57154020000000005</v>
      </c>
      <c r="Q27" s="15">
        <v>0.49401410000000001</v>
      </c>
      <c r="R27" s="15">
        <v>0.48406060000000001</v>
      </c>
      <c r="S27" s="15">
        <v>0.48283350000000003</v>
      </c>
      <c r="T27" s="15">
        <v>0.51004309999999997</v>
      </c>
      <c r="U27" s="15">
        <v>0.42842469999999999</v>
      </c>
      <c r="V27" s="15">
        <v>0.45601940000000002</v>
      </c>
      <c r="W27" s="15">
        <v>0.4923613</v>
      </c>
      <c r="X27" s="15" t="s">
        <v>35</v>
      </c>
      <c r="Y27" s="15" t="s">
        <v>35</v>
      </c>
      <c r="Z27" s="15" t="s">
        <v>35</v>
      </c>
      <c r="AA27" s="15" t="s">
        <v>35</v>
      </c>
    </row>
    <row r="28" spans="1:27" ht="30" customHeight="1">
      <c r="A28" s="12" t="s">
        <v>136</v>
      </c>
      <c r="B28" s="15"/>
      <c r="C28" s="15"/>
      <c r="D28" s="15"/>
      <c r="E28" s="15"/>
      <c r="F28" s="15"/>
      <c r="G28" s="15"/>
      <c r="H28" s="15"/>
      <c r="I28" s="15"/>
      <c r="J28" s="15"/>
      <c r="K28" s="15"/>
      <c r="L28" s="15"/>
      <c r="M28" s="15"/>
      <c r="N28" s="15"/>
      <c r="O28" s="15"/>
      <c r="P28" s="15"/>
      <c r="Q28" s="15"/>
      <c r="R28" s="15"/>
      <c r="S28" s="15"/>
      <c r="T28" s="15"/>
      <c r="U28" s="15"/>
      <c r="V28" s="15"/>
      <c r="W28" s="15"/>
      <c r="X28" s="15"/>
      <c r="Y28" s="15"/>
      <c r="Z28" s="15"/>
      <c r="AA28" s="15"/>
    </row>
    <row r="29" spans="1:27">
      <c r="A29" s="13" t="s">
        <v>5</v>
      </c>
      <c r="B29" s="16" t="s">
        <v>6</v>
      </c>
      <c r="C29" s="16" t="s">
        <v>7</v>
      </c>
      <c r="D29" s="16" t="s">
        <v>8</v>
      </c>
      <c r="E29" s="16" t="s">
        <v>9</v>
      </c>
      <c r="F29" s="16" t="s">
        <v>10</v>
      </c>
      <c r="G29" s="16" t="s">
        <v>11</v>
      </c>
      <c r="H29" s="16" t="s">
        <v>12</v>
      </c>
      <c r="I29" s="16" t="s">
        <v>13</v>
      </c>
      <c r="J29" s="16" t="s">
        <v>14</v>
      </c>
      <c r="K29" s="16" t="s">
        <v>15</v>
      </c>
      <c r="L29" s="16" t="s">
        <v>16</v>
      </c>
      <c r="M29" s="16" t="s">
        <v>17</v>
      </c>
      <c r="N29" s="16" t="s">
        <v>18</v>
      </c>
      <c r="O29" s="16" t="s">
        <v>19</v>
      </c>
      <c r="P29" s="16" t="s">
        <v>20</v>
      </c>
      <c r="Q29" s="16" t="s">
        <v>21</v>
      </c>
      <c r="R29" s="16" t="s">
        <v>22</v>
      </c>
      <c r="S29" s="16" t="s">
        <v>23</v>
      </c>
      <c r="T29" s="16" t="s">
        <v>24</v>
      </c>
      <c r="U29" s="16" t="s">
        <v>25</v>
      </c>
      <c r="V29" s="16" t="s">
        <v>26</v>
      </c>
      <c r="W29" s="16" t="s">
        <v>27</v>
      </c>
      <c r="X29" s="16" t="s">
        <v>28</v>
      </c>
      <c r="Y29" s="16" t="s">
        <v>29</v>
      </c>
      <c r="Z29" s="16" t="s">
        <v>30</v>
      </c>
      <c r="AA29" s="16" t="s">
        <v>31</v>
      </c>
    </row>
    <row r="30" spans="1:27">
      <c r="A30" s="13" t="s">
        <v>32</v>
      </c>
      <c r="B30" s="15">
        <v>1</v>
      </c>
      <c r="C30" s="15">
        <v>1</v>
      </c>
      <c r="D30" s="15">
        <v>1</v>
      </c>
      <c r="E30" s="15">
        <v>1</v>
      </c>
      <c r="F30" s="15">
        <v>1</v>
      </c>
      <c r="G30" s="15">
        <v>1</v>
      </c>
      <c r="H30" s="15">
        <v>1</v>
      </c>
      <c r="I30" s="15">
        <v>1</v>
      </c>
      <c r="J30" s="15">
        <v>1</v>
      </c>
      <c r="K30" s="15">
        <v>1</v>
      </c>
      <c r="L30" s="15">
        <v>1</v>
      </c>
      <c r="M30" s="15">
        <v>1</v>
      </c>
      <c r="N30" s="15">
        <v>1</v>
      </c>
      <c r="O30" s="15">
        <v>1</v>
      </c>
      <c r="P30" s="15">
        <v>1</v>
      </c>
      <c r="Q30" s="15">
        <v>1</v>
      </c>
      <c r="R30" s="15">
        <v>1</v>
      </c>
      <c r="S30" s="15">
        <v>1</v>
      </c>
      <c r="T30" s="15">
        <v>1</v>
      </c>
      <c r="U30" s="15">
        <v>1</v>
      </c>
      <c r="V30" s="15">
        <v>1</v>
      </c>
      <c r="W30" s="15">
        <v>1</v>
      </c>
      <c r="X30" s="15">
        <v>1</v>
      </c>
      <c r="Y30" s="15">
        <v>1</v>
      </c>
      <c r="Z30" s="15">
        <v>1</v>
      </c>
      <c r="AA30" s="15">
        <v>1</v>
      </c>
    </row>
    <row r="31" spans="1:27">
      <c r="A31" s="13" t="s">
        <v>43</v>
      </c>
      <c r="B31" s="15" t="s">
        <v>99</v>
      </c>
      <c r="C31" s="15" t="s">
        <v>99</v>
      </c>
      <c r="D31" s="15" t="s">
        <v>99</v>
      </c>
      <c r="E31" s="15">
        <v>0.88897170000000003</v>
      </c>
      <c r="F31" s="15">
        <v>0.89889620000000003</v>
      </c>
      <c r="G31" s="15">
        <v>0.90639610000000004</v>
      </c>
      <c r="H31" s="15" t="s">
        <v>99</v>
      </c>
      <c r="I31" s="15" t="s">
        <v>99</v>
      </c>
      <c r="J31" s="15" t="s">
        <v>99</v>
      </c>
      <c r="K31" s="15" t="s">
        <v>99</v>
      </c>
      <c r="L31" s="15" t="s">
        <v>99</v>
      </c>
      <c r="M31" s="15" t="s">
        <v>99</v>
      </c>
      <c r="N31" s="15" t="s">
        <v>99</v>
      </c>
      <c r="O31" s="15" t="s">
        <v>99</v>
      </c>
      <c r="P31" s="15">
        <v>0.85908189999999995</v>
      </c>
      <c r="Q31" s="15">
        <v>0.86124990000000001</v>
      </c>
      <c r="R31" s="15">
        <v>0.85987440000000004</v>
      </c>
      <c r="S31" s="15">
        <v>0.86066810000000005</v>
      </c>
      <c r="T31" s="15">
        <v>0.8645697</v>
      </c>
      <c r="U31" s="15">
        <v>0.88393699999999997</v>
      </c>
      <c r="V31" s="15">
        <v>0.88806339999999995</v>
      </c>
      <c r="W31" s="15">
        <v>0.883019</v>
      </c>
      <c r="X31" s="15">
        <v>0.90007539999999997</v>
      </c>
      <c r="Y31" s="15">
        <v>0.91642389999999996</v>
      </c>
      <c r="Z31" s="15">
        <v>0.93859250000000005</v>
      </c>
      <c r="AA31" s="15">
        <v>0.95677369999999995</v>
      </c>
    </row>
    <row r="32" spans="1:27">
      <c r="A32" s="13" t="s">
        <v>44</v>
      </c>
      <c r="B32" s="15" t="s">
        <v>99</v>
      </c>
      <c r="C32" s="15" t="s">
        <v>99</v>
      </c>
      <c r="D32" s="15" t="s">
        <v>99</v>
      </c>
      <c r="E32" s="15">
        <v>0.1104332</v>
      </c>
      <c r="F32" s="15">
        <v>0.10050870000000001</v>
      </c>
      <c r="G32" s="15">
        <v>9.3603900000000004E-2</v>
      </c>
      <c r="H32" s="15" t="s">
        <v>99</v>
      </c>
      <c r="I32" s="15" t="s">
        <v>99</v>
      </c>
      <c r="J32" s="15" t="s">
        <v>99</v>
      </c>
      <c r="K32" s="15" t="s">
        <v>99</v>
      </c>
      <c r="L32" s="15" t="s">
        <v>99</v>
      </c>
      <c r="M32" s="15" t="s">
        <v>99</v>
      </c>
      <c r="N32" s="15" t="s">
        <v>99</v>
      </c>
      <c r="O32" s="15" t="s">
        <v>99</v>
      </c>
      <c r="P32" s="15">
        <v>0.14091809999999999</v>
      </c>
      <c r="Q32" s="15">
        <v>0.1375441</v>
      </c>
      <c r="R32" s="15">
        <v>0.13891970000000001</v>
      </c>
      <c r="S32" s="15">
        <v>0.1381259</v>
      </c>
      <c r="T32" s="15">
        <v>0.1354303</v>
      </c>
      <c r="U32" s="15">
        <v>0.116063</v>
      </c>
      <c r="V32" s="15">
        <v>0.1119366</v>
      </c>
      <c r="W32" s="15">
        <v>0.1133514</v>
      </c>
      <c r="X32" s="15">
        <v>9.6294900000000003E-2</v>
      </c>
      <c r="Y32" s="15">
        <v>7.9946500000000004E-2</v>
      </c>
      <c r="Z32" s="15">
        <v>6.1407499999999997E-2</v>
      </c>
      <c r="AA32" s="15">
        <v>4.3226300000000002E-2</v>
      </c>
    </row>
    <row r="33" spans="1:27" ht="30" customHeight="1">
      <c r="A33" s="12" t="s">
        <v>137</v>
      </c>
      <c r="B33" s="15"/>
      <c r="C33" s="15"/>
      <c r="D33" s="15"/>
      <c r="E33" s="15"/>
      <c r="F33" s="15"/>
      <c r="G33" s="15"/>
      <c r="H33" s="15"/>
      <c r="I33" s="15"/>
      <c r="J33" s="15"/>
      <c r="K33" s="15"/>
      <c r="L33" s="15"/>
      <c r="M33" s="15"/>
      <c r="N33" s="15"/>
      <c r="O33" s="15"/>
      <c r="P33" s="15"/>
      <c r="Q33" s="15"/>
      <c r="R33" s="15"/>
      <c r="S33" s="15"/>
      <c r="T33" s="15"/>
      <c r="U33" s="15"/>
      <c r="V33" s="15"/>
      <c r="W33" s="15"/>
      <c r="X33" s="15"/>
      <c r="Y33" s="15"/>
      <c r="Z33" s="15"/>
      <c r="AA33" s="15"/>
    </row>
    <row r="34" spans="1:27">
      <c r="A34" s="13" t="s">
        <v>5</v>
      </c>
      <c r="B34" s="16" t="s">
        <v>6</v>
      </c>
      <c r="C34" s="16" t="s">
        <v>7</v>
      </c>
      <c r="D34" s="16" t="s">
        <v>8</v>
      </c>
      <c r="E34" s="16" t="s">
        <v>9</v>
      </c>
      <c r="F34" s="16" t="s">
        <v>10</v>
      </c>
      <c r="G34" s="16" t="s">
        <v>11</v>
      </c>
      <c r="H34" s="16" t="s">
        <v>12</v>
      </c>
      <c r="I34" s="16" t="s">
        <v>13</v>
      </c>
      <c r="J34" s="16" t="s">
        <v>14</v>
      </c>
      <c r="K34" s="16" t="s">
        <v>15</v>
      </c>
      <c r="L34" s="16" t="s">
        <v>16</v>
      </c>
      <c r="M34" s="16" t="s">
        <v>17</v>
      </c>
      <c r="N34" s="16" t="s">
        <v>18</v>
      </c>
      <c r="O34" s="16" t="s">
        <v>19</v>
      </c>
      <c r="P34" s="16" t="s">
        <v>20</v>
      </c>
      <c r="Q34" s="16" t="s">
        <v>21</v>
      </c>
      <c r="R34" s="16" t="s">
        <v>22</v>
      </c>
      <c r="S34" s="16" t="s">
        <v>23</v>
      </c>
      <c r="T34" s="16" t="s">
        <v>24</v>
      </c>
      <c r="U34" s="16" t="s">
        <v>25</v>
      </c>
      <c r="V34" s="16" t="s">
        <v>26</v>
      </c>
      <c r="W34" s="16" t="s">
        <v>27</v>
      </c>
      <c r="X34" s="16" t="s">
        <v>28</v>
      </c>
      <c r="Y34" s="16" t="s">
        <v>29</v>
      </c>
      <c r="Z34" s="16" t="s">
        <v>30</v>
      </c>
      <c r="AA34" s="16" t="s">
        <v>31</v>
      </c>
    </row>
    <row r="35" spans="1:27">
      <c r="A35" s="13" t="s">
        <v>32</v>
      </c>
      <c r="B35" s="17">
        <v>550000</v>
      </c>
      <c r="C35" s="17">
        <v>540000</v>
      </c>
      <c r="D35" s="17">
        <v>500000</v>
      </c>
      <c r="E35" s="17">
        <v>460000</v>
      </c>
      <c r="F35" s="17">
        <v>420000</v>
      </c>
      <c r="G35" s="17">
        <v>400000</v>
      </c>
      <c r="H35" s="17">
        <v>360000</v>
      </c>
      <c r="I35" s="17">
        <v>320000</v>
      </c>
      <c r="J35" s="17">
        <v>280000</v>
      </c>
      <c r="K35" s="17">
        <v>260000</v>
      </c>
      <c r="L35" s="17">
        <v>250000</v>
      </c>
      <c r="M35" s="17">
        <v>240000</v>
      </c>
      <c r="N35" s="17">
        <v>240000</v>
      </c>
      <c r="O35" s="17">
        <v>240000</v>
      </c>
      <c r="P35" s="17">
        <v>230000</v>
      </c>
      <c r="Q35" s="17">
        <v>210000</v>
      </c>
      <c r="R35" s="17">
        <v>210000</v>
      </c>
      <c r="S35" s="17">
        <v>220000</v>
      </c>
      <c r="T35" s="17">
        <v>220000</v>
      </c>
      <c r="U35" s="17">
        <v>220000</v>
      </c>
      <c r="V35" s="17">
        <v>210000</v>
      </c>
      <c r="W35" s="17">
        <v>220000</v>
      </c>
      <c r="X35" s="17">
        <v>200000</v>
      </c>
      <c r="Y35" s="17">
        <v>210000</v>
      </c>
      <c r="Z35" s="17">
        <v>210000</v>
      </c>
      <c r="AA35" s="17">
        <v>210000</v>
      </c>
    </row>
    <row r="36" spans="1:27">
      <c r="A36" s="13" t="s">
        <v>43</v>
      </c>
      <c r="B36" s="17" t="s">
        <v>99</v>
      </c>
      <c r="C36" s="17" t="s">
        <v>99</v>
      </c>
      <c r="D36" s="17" t="s">
        <v>99</v>
      </c>
      <c r="E36" s="17">
        <v>410000</v>
      </c>
      <c r="F36" s="17">
        <v>380000</v>
      </c>
      <c r="G36" s="17">
        <v>360000</v>
      </c>
      <c r="H36" s="17" t="s">
        <v>99</v>
      </c>
      <c r="I36" s="17" t="s">
        <v>99</v>
      </c>
      <c r="J36" s="17" t="s">
        <v>99</v>
      </c>
      <c r="K36" s="17" t="s">
        <v>99</v>
      </c>
      <c r="L36" s="17" t="s">
        <v>99</v>
      </c>
      <c r="M36" s="17" t="s">
        <v>99</v>
      </c>
      <c r="N36" s="17" t="s">
        <v>99</v>
      </c>
      <c r="O36" s="17" t="s">
        <v>99</v>
      </c>
      <c r="P36" s="17">
        <v>200000</v>
      </c>
      <c r="Q36" s="17">
        <v>180000</v>
      </c>
      <c r="R36" s="17">
        <v>180000</v>
      </c>
      <c r="S36" s="17">
        <v>190000</v>
      </c>
      <c r="T36" s="17">
        <v>190000</v>
      </c>
      <c r="U36" s="17">
        <v>190000</v>
      </c>
      <c r="V36" s="17">
        <v>190000</v>
      </c>
      <c r="W36" s="17">
        <v>190000</v>
      </c>
      <c r="X36" s="17">
        <v>180000</v>
      </c>
      <c r="Y36" s="17">
        <v>190000</v>
      </c>
      <c r="Z36" s="17">
        <v>200000</v>
      </c>
      <c r="AA36" s="17">
        <v>200000</v>
      </c>
    </row>
    <row r="37" spans="1:27">
      <c r="A37" s="13" t="s">
        <v>44</v>
      </c>
      <c r="B37" s="17" t="s">
        <v>99</v>
      </c>
      <c r="C37" s="17" t="s">
        <v>99</v>
      </c>
      <c r="D37" s="17" t="s">
        <v>99</v>
      </c>
      <c r="E37" s="17">
        <v>50000</v>
      </c>
      <c r="F37" s="17" t="s">
        <v>35</v>
      </c>
      <c r="G37" s="17">
        <v>40000</v>
      </c>
      <c r="H37" s="17" t="s">
        <v>99</v>
      </c>
      <c r="I37" s="17" t="s">
        <v>99</v>
      </c>
      <c r="J37" s="17" t="s">
        <v>99</v>
      </c>
      <c r="K37" s="17" t="s">
        <v>99</v>
      </c>
      <c r="L37" s="17" t="s">
        <v>99</v>
      </c>
      <c r="M37" s="17" t="s">
        <v>99</v>
      </c>
      <c r="N37" s="17" t="s">
        <v>99</v>
      </c>
      <c r="O37" s="17" t="s">
        <v>99</v>
      </c>
      <c r="P37" s="17">
        <v>30000</v>
      </c>
      <c r="Q37" s="17" t="s">
        <v>35</v>
      </c>
      <c r="R37" s="17" t="s">
        <v>35</v>
      </c>
      <c r="S37" s="17" t="s">
        <v>35</v>
      </c>
      <c r="T37" s="17" t="s">
        <v>35</v>
      </c>
      <c r="U37" s="17" t="s">
        <v>35</v>
      </c>
      <c r="V37" s="17" t="s">
        <v>35</v>
      </c>
      <c r="W37" s="17" t="s">
        <v>35</v>
      </c>
      <c r="X37" s="17" t="s">
        <v>35</v>
      </c>
      <c r="Y37" s="17" t="s">
        <v>35</v>
      </c>
      <c r="Z37" s="17" t="s">
        <v>35</v>
      </c>
      <c r="AA37" s="17" t="s">
        <v>35</v>
      </c>
    </row>
    <row r="38" spans="1:27" ht="30" customHeight="1">
      <c r="A38" s="12" t="s">
        <v>138</v>
      </c>
      <c r="B38" s="17"/>
      <c r="C38" s="17"/>
      <c r="D38" s="17"/>
      <c r="E38" s="17"/>
      <c r="F38" s="17"/>
      <c r="G38" s="17"/>
      <c r="H38" s="17"/>
      <c r="I38" s="17"/>
      <c r="J38" s="17"/>
      <c r="K38" s="17"/>
      <c r="L38" s="17"/>
      <c r="M38" s="17"/>
      <c r="N38" s="17"/>
      <c r="O38" s="17"/>
      <c r="P38" s="17"/>
      <c r="Q38" s="17"/>
      <c r="R38" s="17"/>
      <c r="S38" s="17"/>
      <c r="T38" s="17"/>
      <c r="U38" s="17"/>
      <c r="V38" s="17"/>
      <c r="W38" s="17"/>
      <c r="X38" s="17"/>
      <c r="Y38" s="17"/>
      <c r="Z38" s="17"/>
      <c r="AA38" s="17"/>
    </row>
    <row r="39" spans="1:27">
      <c r="A39" s="13" t="s">
        <v>5</v>
      </c>
      <c r="B39" s="18" t="s">
        <v>6</v>
      </c>
      <c r="C39" s="18" t="s">
        <v>7</v>
      </c>
      <c r="D39" s="18" t="s">
        <v>8</v>
      </c>
      <c r="E39" s="18" t="s">
        <v>9</v>
      </c>
      <c r="F39" s="18" t="s">
        <v>10</v>
      </c>
      <c r="G39" s="18" t="s">
        <v>11</v>
      </c>
      <c r="H39" s="18" t="s">
        <v>12</v>
      </c>
      <c r="I39" s="18" t="s">
        <v>13</v>
      </c>
      <c r="J39" s="18" t="s">
        <v>14</v>
      </c>
      <c r="K39" s="18" t="s">
        <v>15</v>
      </c>
      <c r="L39" s="18" t="s">
        <v>16</v>
      </c>
      <c r="M39" s="18" t="s">
        <v>17</v>
      </c>
      <c r="N39" s="18" t="s">
        <v>18</v>
      </c>
      <c r="O39" s="18" t="s">
        <v>19</v>
      </c>
      <c r="P39" s="18" t="s">
        <v>20</v>
      </c>
      <c r="Q39" s="18" t="s">
        <v>21</v>
      </c>
      <c r="R39" s="18" t="s">
        <v>22</v>
      </c>
      <c r="S39" s="18" t="s">
        <v>23</v>
      </c>
      <c r="T39" s="18" t="s">
        <v>24</v>
      </c>
      <c r="U39" s="18" t="s">
        <v>25</v>
      </c>
      <c r="V39" s="18" t="s">
        <v>26</v>
      </c>
      <c r="W39" s="18" t="s">
        <v>27</v>
      </c>
      <c r="X39" s="18" t="s">
        <v>28</v>
      </c>
      <c r="Y39" s="18" t="s">
        <v>29</v>
      </c>
      <c r="Z39" s="18" t="s">
        <v>30</v>
      </c>
      <c r="AA39" s="18" t="s">
        <v>31</v>
      </c>
    </row>
    <row r="40" spans="1:27">
      <c r="A40" s="13" t="s">
        <v>32</v>
      </c>
      <c r="B40" s="15" t="s">
        <v>99</v>
      </c>
      <c r="C40" s="15" t="s">
        <v>99</v>
      </c>
      <c r="D40" s="15" t="s">
        <v>99</v>
      </c>
      <c r="E40" s="15" t="s">
        <v>99</v>
      </c>
      <c r="F40" s="15" t="s">
        <v>99</v>
      </c>
      <c r="G40" s="15" t="s">
        <v>99</v>
      </c>
      <c r="H40" s="15" t="s">
        <v>99</v>
      </c>
      <c r="I40" s="15" t="s">
        <v>99</v>
      </c>
      <c r="J40" s="15" t="s">
        <v>99</v>
      </c>
      <c r="K40" s="15" t="s">
        <v>99</v>
      </c>
      <c r="L40" s="15">
        <v>0.15674099999999999</v>
      </c>
      <c r="M40" s="15">
        <v>0.15043819999999999</v>
      </c>
      <c r="N40" s="15">
        <v>0.16121170000000001</v>
      </c>
      <c r="O40" s="15">
        <v>0.16044269999999999</v>
      </c>
      <c r="P40" s="15">
        <v>0.15772449999999999</v>
      </c>
      <c r="Q40" s="15" t="s">
        <v>98</v>
      </c>
      <c r="R40" s="15">
        <v>0.1183056</v>
      </c>
      <c r="S40" s="15">
        <v>0.12175800000000001</v>
      </c>
      <c r="T40" s="15">
        <v>0.12656249999999999</v>
      </c>
      <c r="U40" s="15">
        <v>0.12551419999999999</v>
      </c>
      <c r="V40" s="15">
        <v>0.1152852</v>
      </c>
      <c r="W40" s="15">
        <v>0.1210937</v>
      </c>
      <c r="X40" s="15">
        <v>0.12252349999999999</v>
      </c>
      <c r="Y40" s="15">
        <v>0.12522369999999999</v>
      </c>
      <c r="Z40" s="15">
        <v>0.1194209</v>
      </c>
      <c r="AA40" s="15">
        <v>0.105203</v>
      </c>
    </row>
    <row r="41" spans="1:27">
      <c r="A41" s="13" t="s">
        <v>43</v>
      </c>
      <c r="B41" s="15" t="s">
        <v>99</v>
      </c>
      <c r="C41" s="15" t="s">
        <v>99</v>
      </c>
      <c r="D41" s="15" t="s">
        <v>99</v>
      </c>
      <c r="E41" s="15" t="s">
        <v>99</v>
      </c>
      <c r="F41" s="15" t="s">
        <v>99</v>
      </c>
      <c r="G41" s="15" t="s">
        <v>99</v>
      </c>
      <c r="H41" s="15" t="s">
        <v>99</v>
      </c>
      <c r="I41" s="15" t="s">
        <v>99</v>
      </c>
      <c r="J41" s="15" t="s">
        <v>99</v>
      </c>
      <c r="K41" s="15" t="s">
        <v>99</v>
      </c>
      <c r="L41" s="15" t="s">
        <v>99</v>
      </c>
      <c r="M41" s="15" t="s">
        <v>99</v>
      </c>
      <c r="N41" s="15" t="s">
        <v>99</v>
      </c>
      <c r="O41" s="15" t="s">
        <v>99</v>
      </c>
      <c r="P41" s="15">
        <v>0.14409430000000001</v>
      </c>
      <c r="Q41" s="15" t="s">
        <v>98</v>
      </c>
      <c r="R41" s="15">
        <v>0.1036878</v>
      </c>
      <c r="S41" s="15">
        <v>0.1061182</v>
      </c>
      <c r="T41" s="15">
        <v>0.112404</v>
      </c>
      <c r="U41" s="15">
        <v>0.1178099</v>
      </c>
      <c r="V41" s="15">
        <v>0.1089416</v>
      </c>
      <c r="W41" s="15">
        <v>0.1149978</v>
      </c>
      <c r="X41" s="15">
        <v>0.1147089</v>
      </c>
      <c r="Y41" s="15">
        <v>0.11875769999999999</v>
      </c>
      <c r="Z41" s="15">
        <v>0.1133041</v>
      </c>
      <c r="AA41" s="15">
        <v>9.0169100000000002E-2</v>
      </c>
    </row>
    <row r="42" spans="1:27">
      <c r="A42" s="13" t="s">
        <v>44</v>
      </c>
      <c r="B42" s="15" t="s">
        <v>99</v>
      </c>
      <c r="C42" s="15" t="s">
        <v>99</v>
      </c>
      <c r="D42" s="15" t="s">
        <v>99</v>
      </c>
      <c r="E42" s="15" t="s">
        <v>99</v>
      </c>
      <c r="F42" s="15" t="s">
        <v>99</v>
      </c>
      <c r="G42" s="15" t="s">
        <v>99</v>
      </c>
      <c r="H42" s="15" t="s">
        <v>99</v>
      </c>
      <c r="I42" s="15" t="s">
        <v>99</v>
      </c>
      <c r="J42" s="15" t="s">
        <v>99</v>
      </c>
      <c r="K42" s="15" t="s">
        <v>99</v>
      </c>
      <c r="L42" s="15" t="s">
        <v>99</v>
      </c>
      <c r="M42" s="15" t="s">
        <v>99</v>
      </c>
      <c r="N42" s="15" t="s">
        <v>99</v>
      </c>
      <c r="O42" s="15" t="s">
        <v>99</v>
      </c>
      <c r="P42" s="15">
        <v>0.38681300000000002</v>
      </c>
      <c r="Q42" s="15" t="s">
        <v>98</v>
      </c>
      <c r="R42" s="15">
        <v>0.33594570000000001</v>
      </c>
      <c r="S42" s="15">
        <v>0.34828110000000001</v>
      </c>
      <c r="T42" s="15">
        <v>0.34995389999999998</v>
      </c>
      <c r="U42" s="15">
        <v>0.25195440000000002</v>
      </c>
      <c r="V42" s="15">
        <v>0.2505964</v>
      </c>
      <c r="W42" s="15">
        <v>0.25880140000000001</v>
      </c>
      <c r="X42" s="15" t="s">
        <v>35</v>
      </c>
      <c r="Y42" s="15" t="s">
        <v>35</v>
      </c>
      <c r="Z42" s="15" t="s">
        <v>35</v>
      </c>
      <c r="AA42" s="15" t="s">
        <v>35</v>
      </c>
    </row>
    <row r="43" spans="1:27" ht="30" customHeight="1">
      <c r="A43" s="12" t="s">
        <v>139</v>
      </c>
      <c r="B43" s="15"/>
      <c r="C43" s="15"/>
      <c r="D43" s="15"/>
      <c r="E43" s="15"/>
      <c r="F43" s="15"/>
      <c r="G43" s="15"/>
      <c r="H43" s="15"/>
      <c r="I43" s="15"/>
      <c r="J43" s="15"/>
      <c r="K43" s="15"/>
      <c r="L43" s="15"/>
      <c r="M43" s="15"/>
      <c r="N43" s="15"/>
      <c r="O43" s="15"/>
      <c r="P43" s="15"/>
      <c r="Q43" s="15"/>
      <c r="R43" s="15"/>
      <c r="S43" s="15"/>
      <c r="T43" s="15"/>
      <c r="U43" s="15"/>
      <c r="V43" s="15"/>
      <c r="W43" s="15"/>
      <c r="X43" s="15"/>
      <c r="Y43" s="15"/>
      <c r="Z43" s="15"/>
      <c r="AA43" s="15"/>
    </row>
    <row r="44" spans="1:27">
      <c r="A44" s="13" t="s">
        <v>5</v>
      </c>
      <c r="B44" s="16" t="s">
        <v>6</v>
      </c>
      <c r="C44" s="16" t="s">
        <v>7</v>
      </c>
      <c r="D44" s="16" t="s">
        <v>8</v>
      </c>
      <c r="E44" s="16" t="s">
        <v>9</v>
      </c>
      <c r="F44" s="16" t="s">
        <v>10</v>
      </c>
      <c r="G44" s="16" t="s">
        <v>11</v>
      </c>
      <c r="H44" s="16" t="s">
        <v>12</v>
      </c>
      <c r="I44" s="16" t="s">
        <v>13</v>
      </c>
      <c r="J44" s="16" t="s">
        <v>14</v>
      </c>
      <c r="K44" s="16" t="s">
        <v>15</v>
      </c>
      <c r="L44" s="16" t="s">
        <v>16</v>
      </c>
      <c r="M44" s="16" t="s">
        <v>17</v>
      </c>
      <c r="N44" s="16" t="s">
        <v>18</v>
      </c>
      <c r="O44" s="16" t="s">
        <v>19</v>
      </c>
      <c r="P44" s="16" t="s">
        <v>20</v>
      </c>
      <c r="Q44" s="16" t="s">
        <v>21</v>
      </c>
      <c r="R44" s="16" t="s">
        <v>22</v>
      </c>
      <c r="S44" s="16" t="s">
        <v>23</v>
      </c>
      <c r="T44" s="16" t="s">
        <v>24</v>
      </c>
      <c r="U44" s="16" t="s">
        <v>25</v>
      </c>
      <c r="V44" s="16" t="s">
        <v>26</v>
      </c>
      <c r="W44" s="16" t="s">
        <v>27</v>
      </c>
      <c r="X44" s="16" t="s">
        <v>28</v>
      </c>
      <c r="Y44" s="16" t="s">
        <v>29</v>
      </c>
      <c r="Z44" s="16" t="s">
        <v>30</v>
      </c>
      <c r="AA44" s="16" t="s">
        <v>31</v>
      </c>
    </row>
    <row r="45" spans="1:27">
      <c r="A45" s="13" t="s">
        <v>32</v>
      </c>
      <c r="B45" s="15" t="s">
        <v>99</v>
      </c>
      <c r="C45" s="15" t="s">
        <v>99</v>
      </c>
      <c r="D45" s="15" t="s">
        <v>99</v>
      </c>
      <c r="E45" s="15" t="s">
        <v>99</v>
      </c>
      <c r="F45" s="15" t="s">
        <v>99</v>
      </c>
      <c r="G45" s="15" t="s">
        <v>99</v>
      </c>
      <c r="H45" s="15" t="s">
        <v>99</v>
      </c>
      <c r="I45" s="15" t="s">
        <v>99</v>
      </c>
      <c r="J45" s="15" t="s">
        <v>99</v>
      </c>
      <c r="K45" s="15" t="s">
        <v>99</v>
      </c>
      <c r="L45" s="15">
        <v>1</v>
      </c>
      <c r="M45" s="15">
        <v>1</v>
      </c>
      <c r="N45" s="15">
        <v>1</v>
      </c>
      <c r="O45" s="15">
        <v>1</v>
      </c>
      <c r="P45" s="15">
        <v>1</v>
      </c>
      <c r="Q45" s="15" t="s">
        <v>98</v>
      </c>
      <c r="R45" s="15">
        <v>1</v>
      </c>
      <c r="S45" s="15">
        <v>1</v>
      </c>
      <c r="T45" s="15">
        <v>1</v>
      </c>
      <c r="U45" s="15">
        <v>1</v>
      </c>
      <c r="V45" s="15">
        <v>1</v>
      </c>
      <c r="W45" s="15">
        <v>1</v>
      </c>
      <c r="X45" s="15">
        <v>1</v>
      </c>
      <c r="Y45" s="15">
        <v>1</v>
      </c>
      <c r="Z45" s="15">
        <v>1</v>
      </c>
      <c r="AA45" s="15">
        <v>1</v>
      </c>
    </row>
    <row r="46" spans="1:27">
      <c r="A46" s="13" t="s">
        <v>43</v>
      </c>
      <c r="B46" s="15" t="s">
        <v>99</v>
      </c>
      <c r="C46" s="15" t="s">
        <v>99</v>
      </c>
      <c r="D46" s="15" t="s">
        <v>99</v>
      </c>
      <c r="E46" s="15" t="s">
        <v>99</v>
      </c>
      <c r="F46" s="15" t="s">
        <v>99</v>
      </c>
      <c r="G46" s="15" t="s">
        <v>99</v>
      </c>
      <c r="H46" s="15" t="s">
        <v>99</v>
      </c>
      <c r="I46" s="15" t="s">
        <v>99</v>
      </c>
      <c r="J46" s="15" t="s">
        <v>99</v>
      </c>
      <c r="K46" s="15" t="s">
        <v>99</v>
      </c>
      <c r="L46" s="15" t="s">
        <v>99</v>
      </c>
      <c r="M46" s="15" t="s">
        <v>99</v>
      </c>
      <c r="N46" s="15" t="s">
        <v>99</v>
      </c>
      <c r="O46" s="15" t="s">
        <v>99</v>
      </c>
      <c r="P46" s="15">
        <v>0.8583229</v>
      </c>
      <c r="Q46" s="15" t="s">
        <v>98</v>
      </c>
      <c r="R46" s="15">
        <v>0.81974910000000001</v>
      </c>
      <c r="S46" s="15">
        <v>0.8143608</v>
      </c>
      <c r="T46" s="15">
        <v>0.83543909999999999</v>
      </c>
      <c r="U46" s="15">
        <v>0.8842873</v>
      </c>
      <c r="V46" s="15">
        <v>0.89235949999999997</v>
      </c>
      <c r="W46" s="15">
        <v>0.89734950000000002</v>
      </c>
      <c r="X46" s="15">
        <v>0.89651639999999999</v>
      </c>
      <c r="Y46" s="15">
        <v>0.90742270000000003</v>
      </c>
      <c r="Z46" s="15">
        <v>0.91066250000000004</v>
      </c>
      <c r="AA46" s="15">
        <v>0.80671170000000003</v>
      </c>
    </row>
    <row r="47" spans="1:27">
      <c r="A47" s="13" t="s">
        <v>44</v>
      </c>
      <c r="B47" s="15" t="s">
        <v>99</v>
      </c>
      <c r="C47" s="15" t="s">
        <v>99</v>
      </c>
      <c r="D47" s="15" t="s">
        <v>99</v>
      </c>
      <c r="E47" s="15" t="s">
        <v>99</v>
      </c>
      <c r="F47" s="15" t="s">
        <v>99</v>
      </c>
      <c r="G47" s="15" t="s">
        <v>99</v>
      </c>
      <c r="H47" s="15" t="s">
        <v>99</v>
      </c>
      <c r="I47" s="15" t="s">
        <v>99</v>
      </c>
      <c r="J47" s="15" t="s">
        <v>99</v>
      </c>
      <c r="K47" s="15" t="s">
        <v>99</v>
      </c>
      <c r="L47" s="15" t="s">
        <v>99</v>
      </c>
      <c r="M47" s="15" t="s">
        <v>99</v>
      </c>
      <c r="N47" s="15" t="s">
        <v>99</v>
      </c>
      <c r="O47" s="15" t="s">
        <v>99</v>
      </c>
      <c r="P47" s="15">
        <v>0.1416771</v>
      </c>
      <c r="Q47" s="15" t="s">
        <v>98</v>
      </c>
      <c r="R47" s="15">
        <v>0.1779078</v>
      </c>
      <c r="S47" s="15">
        <v>0.18329599999999999</v>
      </c>
      <c r="T47" s="15">
        <v>0.16456090000000001</v>
      </c>
      <c r="U47" s="15">
        <v>0.1157127</v>
      </c>
      <c r="V47" s="15">
        <v>0.1076405</v>
      </c>
      <c r="W47" s="15">
        <v>0.10265050000000001</v>
      </c>
      <c r="X47" s="15">
        <v>0.1034836</v>
      </c>
      <c r="Y47" s="15">
        <v>9.2577300000000001E-2</v>
      </c>
      <c r="Z47" s="15">
        <v>8.93375E-2</v>
      </c>
      <c r="AA47" s="15">
        <v>0.1932883</v>
      </c>
    </row>
    <row r="48" spans="1:27" ht="30" customHeight="1">
      <c r="A48" s="12" t="s">
        <v>140</v>
      </c>
      <c r="B48" s="15"/>
      <c r="C48" s="15"/>
      <c r="D48" s="15"/>
      <c r="E48" s="15"/>
      <c r="F48" s="15"/>
      <c r="G48" s="15"/>
      <c r="H48" s="15"/>
      <c r="I48" s="15"/>
      <c r="J48" s="15"/>
      <c r="K48" s="15"/>
      <c r="L48" s="15"/>
      <c r="M48" s="15"/>
      <c r="N48" s="15"/>
      <c r="O48" s="15"/>
      <c r="P48" s="15"/>
      <c r="Q48" s="15"/>
      <c r="R48" s="15"/>
      <c r="S48" s="15"/>
      <c r="T48" s="15"/>
      <c r="U48" s="15"/>
      <c r="V48" s="15"/>
      <c r="W48" s="15"/>
      <c r="X48" s="15"/>
      <c r="Y48" s="15"/>
      <c r="Z48" s="15"/>
      <c r="AA48" s="15"/>
    </row>
    <row r="49" spans="1:27">
      <c r="A49" s="13" t="s">
        <v>5</v>
      </c>
      <c r="B49" s="16" t="s">
        <v>6</v>
      </c>
      <c r="C49" s="16" t="s">
        <v>7</v>
      </c>
      <c r="D49" s="16" t="s">
        <v>8</v>
      </c>
      <c r="E49" s="16" t="s">
        <v>9</v>
      </c>
      <c r="F49" s="16" t="s">
        <v>10</v>
      </c>
      <c r="G49" s="16" t="s">
        <v>11</v>
      </c>
      <c r="H49" s="16" t="s">
        <v>12</v>
      </c>
      <c r="I49" s="16" t="s">
        <v>13</v>
      </c>
      <c r="J49" s="16" t="s">
        <v>14</v>
      </c>
      <c r="K49" s="16" t="s">
        <v>15</v>
      </c>
      <c r="L49" s="16" t="s">
        <v>16</v>
      </c>
      <c r="M49" s="16" t="s">
        <v>17</v>
      </c>
      <c r="N49" s="16" t="s">
        <v>18</v>
      </c>
      <c r="O49" s="16" t="s">
        <v>19</v>
      </c>
      <c r="P49" s="16" t="s">
        <v>20</v>
      </c>
      <c r="Q49" s="16" t="s">
        <v>21</v>
      </c>
      <c r="R49" s="16" t="s">
        <v>22</v>
      </c>
      <c r="S49" s="16" t="s">
        <v>23</v>
      </c>
      <c r="T49" s="16" t="s">
        <v>24</v>
      </c>
      <c r="U49" s="16" t="s">
        <v>25</v>
      </c>
      <c r="V49" s="16" t="s">
        <v>26</v>
      </c>
      <c r="W49" s="16" t="s">
        <v>27</v>
      </c>
      <c r="X49" s="16" t="s">
        <v>28</v>
      </c>
      <c r="Y49" s="16" t="s">
        <v>29</v>
      </c>
      <c r="Z49" s="16" t="s">
        <v>30</v>
      </c>
      <c r="AA49" s="16" t="s">
        <v>31</v>
      </c>
    </row>
    <row r="50" spans="1:27">
      <c r="A50" s="13" t="s">
        <v>32</v>
      </c>
      <c r="B50" s="17" t="s">
        <v>99</v>
      </c>
      <c r="C50" s="17" t="s">
        <v>99</v>
      </c>
      <c r="D50" s="17" t="s">
        <v>99</v>
      </c>
      <c r="E50" s="17" t="s">
        <v>99</v>
      </c>
      <c r="F50" s="17" t="s">
        <v>99</v>
      </c>
      <c r="G50" s="17" t="s">
        <v>99</v>
      </c>
      <c r="H50" s="17" t="s">
        <v>99</v>
      </c>
      <c r="I50" s="17" t="s">
        <v>99</v>
      </c>
      <c r="J50" s="17" t="s">
        <v>99</v>
      </c>
      <c r="K50" s="17" t="s">
        <v>99</v>
      </c>
      <c r="L50" s="17">
        <v>160000</v>
      </c>
      <c r="M50" s="17">
        <v>150000</v>
      </c>
      <c r="N50" s="17">
        <v>160000</v>
      </c>
      <c r="O50" s="17">
        <v>160000</v>
      </c>
      <c r="P50" s="17">
        <v>160000</v>
      </c>
      <c r="Q50" s="17" t="s">
        <v>98</v>
      </c>
      <c r="R50" s="17">
        <v>120000</v>
      </c>
      <c r="S50" s="17">
        <v>120000</v>
      </c>
      <c r="T50" s="17">
        <v>130000</v>
      </c>
      <c r="U50" s="17">
        <v>120000</v>
      </c>
      <c r="V50" s="17">
        <v>110000</v>
      </c>
      <c r="W50" s="17">
        <v>120000</v>
      </c>
      <c r="X50" s="17">
        <v>120000</v>
      </c>
      <c r="Y50" s="17">
        <v>120000</v>
      </c>
      <c r="Z50" s="17">
        <v>120000</v>
      </c>
      <c r="AA50" s="17" t="s">
        <v>35</v>
      </c>
    </row>
    <row r="51" spans="1:27">
      <c r="A51" s="13" t="s">
        <v>43</v>
      </c>
      <c r="B51" s="17" t="s">
        <v>99</v>
      </c>
      <c r="C51" s="17" t="s">
        <v>99</v>
      </c>
      <c r="D51" s="17" t="s">
        <v>99</v>
      </c>
      <c r="E51" s="17" t="s">
        <v>99</v>
      </c>
      <c r="F51" s="17" t="s">
        <v>99</v>
      </c>
      <c r="G51" s="17" t="s">
        <v>99</v>
      </c>
      <c r="H51" s="17" t="s">
        <v>99</v>
      </c>
      <c r="I51" s="17" t="s">
        <v>99</v>
      </c>
      <c r="J51" s="17" t="s">
        <v>99</v>
      </c>
      <c r="K51" s="17" t="s">
        <v>99</v>
      </c>
      <c r="L51" s="17" t="s">
        <v>99</v>
      </c>
      <c r="M51" s="17" t="s">
        <v>99</v>
      </c>
      <c r="N51" s="17" t="s">
        <v>99</v>
      </c>
      <c r="O51" s="17" t="s">
        <v>99</v>
      </c>
      <c r="P51" s="17">
        <v>130000</v>
      </c>
      <c r="Q51" s="17" t="s">
        <v>98</v>
      </c>
      <c r="R51" s="17">
        <v>100000</v>
      </c>
      <c r="S51" s="17">
        <v>100000</v>
      </c>
      <c r="T51" s="17">
        <v>100000</v>
      </c>
      <c r="U51" s="17">
        <v>110000</v>
      </c>
      <c r="V51" s="17">
        <v>100000</v>
      </c>
      <c r="W51" s="17">
        <v>110000</v>
      </c>
      <c r="X51" s="17">
        <v>110000</v>
      </c>
      <c r="Y51" s="17">
        <v>110000</v>
      </c>
      <c r="Z51" s="17">
        <v>110000</v>
      </c>
      <c r="AA51" s="17" t="s">
        <v>35</v>
      </c>
    </row>
    <row r="52" spans="1:27">
      <c r="A52" s="13" t="s">
        <v>44</v>
      </c>
      <c r="B52" s="17" t="s">
        <v>99</v>
      </c>
      <c r="C52" s="17" t="s">
        <v>99</v>
      </c>
      <c r="D52" s="17" t="s">
        <v>99</v>
      </c>
      <c r="E52" s="17" t="s">
        <v>99</v>
      </c>
      <c r="F52" s="17" t="s">
        <v>99</v>
      </c>
      <c r="G52" s="17" t="s">
        <v>99</v>
      </c>
      <c r="H52" s="17" t="s">
        <v>99</v>
      </c>
      <c r="I52" s="17" t="s">
        <v>99</v>
      </c>
      <c r="J52" s="17" t="s">
        <v>99</v>
      </c>
      <c r="K52" s="17" t="s">
        <v>99</v>
      </c>
      <c r="L52" s="17" t="s">
        <v>99</v>
      </c>
      <c r="M52" s="17" t="s">
        <v>99</v>
      </c>
      <c r="N52" s="17" t="s">
        <v>99</v>
      </c>
      <c r="O52" s="17" t="s">
        <v>99</v>
      </c>
      <c r="P52" s="17" t="s">
        <v>35</v>
      </c>
      <c r="Q52" s="17" t="s">
        <v>98</v>
      </c>
      <c r="R52" s="17" t="s">
        <v>35</v>
      </c>
      <c r="S52" s="17" t="s">
        <v>35</v>
      </c>
      <c r="T52" s="17" t="s">
        <v>35</v>
      </c>
      <c r="U52" s="17" t="s">
        <v>35</v>
      </c>
      <c r="V52" s="17" t="s">
        <v>35</v>
      </c>
      <c r="W52" s="17" t="s">
        <v>35</v>
      </c>
      <c r="X52" s="17" t="s">
        <v>35</v>
      </c>
      <c r="Y52" s="17" t="s">
        <v>35</v>
      </c>
      <c r="Z52" s="17" t="s">
        <v>35</v>
      </c>
      <c r="AA52" s="17" t="s">
        <v>35</v>
      </c>
    </row>
    <row r="53" spans="1:27" ht="30" customHeight="1">
      <c r="A53" s="12" t="s">
        <v>141</v>
      </c>
      <c r="B53" s="17"/>
      <c r="C53" s="17"/>
      <c r="D53" s="17"/>
      <c r="E53" s="17"/>
      <c r="F53" s="17"/>
      <c r="G53" s="17"/>
      <c r="H53" s="17"/>
      <c r="I53" s="17"/>
      <c r="J53" s="17"/>
      <c r="K53" s="17"/>
      <c r="L53" s="17"/>
      <c r="M53" s="17"/>
      <c r="N53" s="17"/>
      <c r="O53" s="17"/>
      <c r="P53" s="17"/>
      <c r="Q53" s="17"/>
      <c r="R53" s="17"/>
      <c r="S53" s="17"/>
      <c r="T53" s="17"/>
      <c r="U53" s="17"/>
      <c r="V53" s="17"/>
      <c r="W53" s="17"/>
      <c r="X53" s="17"/>
      <c r="Y53" s="17"/>
      <c r="Z53" s="17"/>
      <c r="AA53" s="17"/>
    </row>
    <row r="54" spans="1:27">
      <c r="A54" s="13" t="s">
        <v>5</v>
      </c>
      <c r="B54" s="18" t="s">
        <v>6</v>
      </c>
      <c r="C54" s="18" t="s">
        <v>7</v>
      </c>
      <c r="D54" s="18" t="s">
        <v>8</v>
      </c>
      <c r="E54" s="18" t="s">
        <v>9</v>
      </c>
      <c r="F54" s="18" t="s">
        <v>10</v>
      </c>
      <c r="G54" s="18" t="s">
        <v>11</v>
      </c>
      <c r="H54" s="18" t="s">
        <v>12</v>
      </c>
      <c r="I54" s="18" t="s">
        <v>13</v>
      </c>
      <c r="J54" s="18" t="s">
        <v>14</v>
      </c>
      <c r="K54" s="18" t="s">
        <v>15</v>
      </c>
      <c r="L54" s="18" t="s">
        <v>16</v>
      </c>
      <c r="M54" s="18" t="s">
        <v>17</v>
      </c>
      <c r="N54" s="18" t="s">
        <v>18</v>
      </c>
      <c r="O54" s="18" t="s">
        <v>19</v>
      </c>
      <c r="P54" s="18" t="s">
        <v>20</v>
      </c>
      <c r="Q54" s="18" t="s">
        <v>21</v>
      </c>
      <c r="R54" s="18" t="s">
        <v>22</v>
      </c>
      <c r="S54" s="18" t="s">
        <v>23</v>
      </c>
      <c r="T54" s="18" t="s">
        <v>24</v>
      </c>
      <c r="U54" s="18" t="s">
        <v>25</v>
      </c>
      <c r="V54" s="18" t="s">
        <v>26</v>
      </c>
      <c r="W54" s="18" t="s">
        <v>27</v>
      </c>
      <c r="X54" s="18" t="s">
        <v>28</v>
      </c>
      <c r="Y54" s="18" t="s">
        <v>29</v>
      </c>
      <c r="Z54" s="18" t="s">
        <v>30</v>
      </c>
      <c r="AA54" s="18" t="s">
        <v>31</v>
      </c>
    </row>
    <row r="55" spans="1:27">
      <c r="A55" s="13" t="s">
        <v>32</v>
      </c>
      <c r="B55" s="17">
        <v>2277</v>
      </c>
      <c r="C55" s="17">
        <v>2168</v>
      </c>
      <c r="D55" s="17">
        <v>1980</v>
      </c>
      <c r="E55" s="17">
        <v>1921</v>
      </c>
      <c r="F55" s="17">
        <v>1858</v>
      </c>
      <c r="G55" s="17">
        <v>1967</v>
      </c>
      <c r="H55" s="17">
        <v>2708</v>
      </c>
      <c r="I55" s="17">
        <v>3414</v>
      </c>
      <c r="J55" s="17">
        <v>3963</v>
      </c>
      <c r="K55" s="17">
        <v>3771</v>
      </c>
      <c r="L55" s="17">
        <v>3543</v>
      </c>
      <c r="M55" s="17">
        <v>3498</v>
      </c>
      <c r="N55" s="17">
        <v>3443</v>
      </c>
      <c r="O55" s="17">
        <v>3417</v>
      </c>
      <c r="P55" s="17">
        <v>3364</v>
      </c>
      <c r="Q55" s="17">
        <v>3103</v>
      </c>
      <c r="R55" s="17">
        <v>2851</v>
      </c>
      <c r="S55" s="17">
        <v>2504</v>
      </c>
      <c r="T55" s="17">
        <v>2386</v>
      </c>
      <c r="U55" s="17">
        <v>2174</v>
      </c>
      <c r="V55" s="17">
        <v>2122</v>
      </c>
      <c r="W55" s="17">
        <v>1974</v>
      </c>
      <c r="X55" s="17">
        <v>2031</v>
      </c>
      <c r="Y55" s="17">
        <v>1947</v>
      </c>
      <c r="Z55" s="17">
        <v>1326</v>
      </c>
      <c r="AA55" s="17">
        <v>1000</v>
      </c>
    </row>
    <row r="56" spans="1:27">
      <c r="A56" s="13" t="s">
        <v>43</v>
      </c>
      <c r="B56" s="17" t="s">
        <v>99</v>
      </c>
      <c r="C56" s="17" t="s">
        <v>99</v>
      </c>
      <c r="D56" s="17" t="s">
        <v>99</v>
      </c>
      <c r="E56" s="17">
        <v>1773</v>
      </c>
      <c r="F56" s="17">
        <v>1719</v>
      </c>
      <c r="G56" s="17">
        <v>1811</v>
      </c>
      <c r="H56" s="17" t="s">
        <v>99</v>
      </c>
      <c r="I56" s="17" t="s">
        <v>99</v>
      </c>
      <c r="J56" s="17" t="s">
        <v>99</v>
      </c>
      <c r="K56" s="17" t="s">
        <v>99</v>
      </c>
      <c r="L56" s="17" t="s">
        <v>99</v>
      </c>
      <c r="M56" s="17" t="s">
        <v>99</v>
      </c>
      <c r="N56" s="17" t="s">
        <v>99</v>
      </c>
      <c r="O56" s="17" t="s">
        <v>99</v>
      </c>
      <c r="P56" s="17">
        <v>3161</v>
      </c>
      <c r="Q56" s="17">
        <v>2901</v>
      </c>
      <c r="R56" s="17">
        <v>2659</v>
      </c>
      <c r="S56" s="17">
        <v>2345</v>
      </c>
      <c r="T56" s="17">
        <v>2246</v>
      </c>
      <c r="U56" s="17">
        <v>2045</v>
      </c>
      <c r="V56" s="17">
        <v>2004</v>
      </c>
      <c r="W56" s="17">
        <v>1863</v>
      </c>
      <c r="X56" s="17">
        <v>1939</v>
      </c>
      <c r="Y56" s="17">
        <v>1861</v>
      </c>
      <c r="Z56" s="17">
        <v>1278</v>
      </c>
      <c r="AA56" s="17">
        <v>969</v>
      </c>
    </row>
    <row r="57" spans="1:27">
      <c r="A57" s="13" t="s">
        <v>44</v>
      </c>
      <c r="B57" s="17" t="s">
        <v>99</v>
      </c>
      <c r="C57" s="17" t="s">
        <v>99</v>
      </c>
      <c r="D57" s="17" t="s">
        <v>99</v>
      </c>
      <c r="E57" s="17">
        <v>146</v>
      </c>
      <c r="F57" s="17">
        <v>138</v>
      </c>
      <c r="G57" s="17">
        <v>156</v>
      </c>
      <c r="H57" s="17" t="s">
        <v>99</v>
      </c>
      <c r="I57" s="17" t="s">
        <v>99</v>
      </c>
      <c r="J57" s="17" t="s">
        <v>99</v>
      </c>
      <c r="K57" s="17" t="s">
        <v>99</v>
      </c>
      <c r="L57" s="17" t="s">
        <v>99</v>
      </c>
      <c r="M57" s="17" t="s">
        <v>99</v>
      </c>
      <c r="N57" s="17" t="s">
        <v>99</v>
      </c>
      <c r="O57" s="17" t="s">
        <v>99</v>
      </c>
      <c r="P57" s="17">
        <v>194</v>
      </c>
      <c r="Q57" s="17">
        <v>197</v>
      </c>
      <c r="R57" s="17">
        <v>188</v>
      </c>
      <c r="S57" s="17">
        <v>157</v>
      </c>
      <c r="T57" s="17">
        <v>138</v>
      </c>
      <c r="U57" s="17">
        <v>124</v>
      </c>
      <c r="V57" s="17">
        <v>113</v>
      </c>
      <c r="W57" s="17">
        <v>103</v>
      </c>
      <c r="X57" s="17">
        <v>86</v>
      </c>
      <c r="Y57" s="17">
        <v>79</v>
      </c>
      <c r="Z57" s="17">
        <v>45</v>
      </c>
      <c r="AA57" s="17">
        <v>29</v>
      </c>
    </row>
    <row r="58" spans="1:27">
      <c r="A58" s="13"/>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row>
    <row r="59" spans="1:27">
      <c r="A59" s="13"/>
      <c r="B59" s="17"/>
      <c r="C59" s="17"/>
      <c r="D59" s="17"/>
      <c r="E59" s="17"/>
      <c r="F59" s="17"/>
      <c r="G59" s="17"/>
      <c r="H59" s="17"/>
      <c r="I59" s="17"/>
      <c r="J59" s="17"/>
      <c r="K59" s="17"/>
      <c r="L59" s="17"/>
      <c r="M59" s="17"/>
      <c r="N59" s="17"/>
      <c r="O59" s="17"/>
      <c r="P59" s="17"/>
      <c r="Q59" s="17"/>
      <c r="R59" s="17"/>
      <c r="S59" s="17"/>
      <c r="T59" s="17"/>
      <c r="U59" s="17"/>
      <c r="V59" s="17"/>
      <c r="W59" s="17"/>
      <c r="X59" s="17"/>
      <c r="Y59" s="17"/>
      <c r="Z59" s="17"/>
      <c r="AA59" s="17"/>
    </row>
    <row r="60" spans="1:27">
      <c r="A60" s="13"/>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row>
    <row r="61" spans="1:27">
      <c r="A61" s="13"/>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row>
    <row r="62" spans="1:27">
      <c r="A62" s="13"/>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row>
    <row r="63" spans="1:27">
      <c r="A63" s="13"/>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row>
    <row r="64" spans="1:27">
      <c r="A64" s="13"/>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row>
    <row r="65" spans="1:27">
      <c r="A65" s="13"/>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row>
    <row r="66" spans="1:27">
      <c r="A66" s="13"/>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row>
    <row r="67" spans="1:27">
      <c r="A67" s="13"/>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row>
    <row r="68" spans="1:27">
      <c r="A68" s="13"/>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row>
    <row r="69" spans="1:27">
      <c r="A69" s="13"/>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row>
    <row r="70" spans="1:27">
      <c r="A70" s="13"/>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row>
    <row r="71" spans="1:27">
      <c r="A71" s="13"/>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row>
    <row r="72" spans="1:27">
      <c r="A72" s="13"/>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row>
    <row r="73" spans="1:27">
      <c r="A73" s="13"/>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row>
    <row r="74" spans="1:27">
      <c r="A74" s="13"/>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row>
    <row r="75" spans="1:27">
      <c r="A75" s="13"/>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row>
    <row r="76" spans="1:27">
      <c r="A76" s="13"/>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row>
    <row r="77" spans="1:27">
      <c r="A77" s="13"/>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row>
    <row r="78" spans="1:27">
      <c r="A78" s="13"/>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row>
    <row r="79" spans="1:27">
      <c r="A79" s="13"/>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row>
    <row r="80" spans="1:27">
      <c r="A80" s="13"/>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row>
    <row r="81" spans="1:27">
      <c r="A81" s="13"/>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row>
    <row r="82" spans="1:27">
      <c r="A82" s="13"/>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row>
    <row r="83" spans="1:27">
      <c r="A83" s="13"/>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row>
    <row r="84" spans="1:27">
      <c r="A84" s="13"/>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row>
    <row r="85" spans="1:27">
      <c r="A85" s="13"/>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row>
    <row r="86" spans="1:27">
      <c r="A86" s="13"/>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row>
    <row r="87" spans="1:27">
      <c r="A87" s="13"/>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row>
    <row r="88" spans="1:27">
      <c r="A88" s="13"/>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row>
    <row r="89" spans="1:27">
      <c r="A89" s="13"/>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row>
    <row r="90" spans="1:27">
      <c r="A90" s="13"/>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row>
    <row r="91" spans="1:27">
      <c r="A91" s="13"/>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row>
    <row r="92" spans="1:27">
      <c r="A92" s="13"/>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row>
    <row r="93" spans="1:27">
      <c r="A93" s="13"/>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row>
    <row r="94" spans="1:27">
      <c r="A94" s="13"/>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row>
    <row r="95" spans="1:27">
      <c r="A95" s="13"/>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0"/>
    </row>
    <row r="96" spans="1:27">
      <c r="A96" s="13"/>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row>
    <row r="97" spans="1:27">
      <c r="A97" s="13"/>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row>
    <row r="98" spans="1:27">
      <c r="A98" s="13"/>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row>
    <row r="99" spans="1:27">
      <c r="A99" s="13"/>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row>
    <row r="100" spans="1:27">
      <c r="A100" s="13"/>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row>
    <row r="101" spans="1:27">
      <c r="A101" s="13"/>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row>
    <row r="102" spans="1:27">
      <c r="A102" s="13"/>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row>
    <row r="103" spans="1:27">
      <c r="A103" s="13"/>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row>
    <row r="104" spans="1:27">
      <c r="A104" s="13"/>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row>
    <row r="105" spans="1:27">
      <c r="A105" s="13"/>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row>
    <row r="106" spans="1:27">
      <c r="A106" s="13"/>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row>
    <row r="107" spans="1:27">
      <c r="A107" s="13"/>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row>
    <row r="108" spans="1:27">
      <c r="A108" s="13"/>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row>
    <row r="109" spans="1:27">
      <c r="A109" s="13"/>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row>
    <row r="110" spans="1:27">
      <c r="A110" s="13"/>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row>
    <row r="111" spans="1:27">
      <c r="A111" s="13"/>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row>
    <row r="112" spans="1:27">
      <c r="A112" s="13"/>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row>
    <row r="113" spans="1:27">
      <c r="A113" s="13"/>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row>
    <row r="114" spans="1:27">
      <c r="A114" s="13"/>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row>
    <row r="115" spans="1:27">
      <c r="A115" s="13"/>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row>
    <row r="116" spans="1:27">
      <c r="A116" s="13"/>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row>
    <row r="117" spans="1:27">
      <c r="A117" s="13"/>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row>
    <row r="118" spans="1:27">
      <c r="A118" s="13"/>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row>
    <row r="119" spans="1:27">
      <c r="A119" s="13"/>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row>
    <row r="120" spans="1:27">
      <c r="A120" s="13"/>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row>
    <row r="121" spans="1:27">
      <c r="A121" s="13"/>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row>
    <row r="122" spans="1:27">
      <c r="A122" s="13"/>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row>
    <row r="123" spans="1:27">
      <c r="A123" s="13"/>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row>
    <row r="124" spans="1:27">
      <c r="A124" s="13"/>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row>
    <row r="125" spans="1:27">
      <c r="A125" s="13"/>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row>
    <row r="126" spans="1:27">
      <c r="A126" s="13"/>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row>
    <row r="127" spans="1:27">
      <c r="A127" s="13"/>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row>
    <row r="128" spans="1:27">
      <c r="A128" s="13"/>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row>
    <row r="129" spans="1:27">
      <c r="A129" s="13"/>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row>
    <row r="130" spans="1:27">
      <c r="A130" s="13"/>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row>
    <row r="131" spans="1:27">
      <c r="A131" s="13"/>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row>
    <row r="132" spans="1:27">
      <c r="A132" s="13"/>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row>
    <row r="133" spans="1:27">
      <c r="A133" s="13"/>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row>
    <row r="134" spans="1:27">
      <c r="A134" s="13"/>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row>
    <row r="135" spans="1:27">
      <c r="A135" s="13"/>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row>
    <row r="136" spans="1:27">
      <c r="A136" s="13"/>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row>
    <row r="137" spans="1:27">
      <c r="A137" s="13"/>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row>
    <row r="138" spans="1:27">
      <c r="A138" s="13"/>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row>
    <row r="139" spans="1:27">
      <c r="A139" s="13"/>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row>
    <row r="140" spans="1:27">
      <c r="A140" s="13"/>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row>
    <row r="141" spans="1:27">
      <c r="A141" s="13"/>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row>
    <row r="142" spans="1:27">
      <c r="A142" s="13"/>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row>
    <row r="143" spans="1:27">
      <c r="A143" s="13"/>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row>
    <row r="144" spans="1:27">
      <c r="A144" s="13"/>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row>
    <row r="145" spans="1:27">
      <c r="A145" s="13"/>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row>
    <row r="146" spans="1:27">
      <c r="A146" s="13"/>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row>
    <row r="147" spans="1:27">
      <c r="A147" s="13"/>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row>
    <row r="148" spans="1:27">
      <c r="A148" s="13"/>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row>
    <row r="149" spans="1:27">
      <c r="A149" s="13"/>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row>
    <row r="150" spans="1:27">
      <c r="A150" s="13"/>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row>
    <row r="151" spans="1:27">
      <c r="A151" s="13"/>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row>
    <row r="152" spans="1:27">
      <c r="A152" s="13"/>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row>
    <row r="153" spans="1:27">
      <c r="A153" s="13"/>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row>
    <row r="154" spans="1:27">
      <c r="A154" s="13"/>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row>
    <row r="155" spans="1:27">
      <c r="A155" s="13"/>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row>
    <row r="156" spans="1:27">
      <c r="A156" s="13"/>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row>
    <row r="157" spans="1:27">
      <c r="A157" s="13"/>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row>
    <row r="158" spans="1:27">
      <c r="A158" s="13"/>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row>
    <row r="159" spans="1:27">
      <c r="A159" s="13"/>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row>
    <row r="160" spans="1:27">
      <c r="A160" s="13"/>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row>
    <row r="161" spans="1:27">
      <c r="A161" s="13"/>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row>
    <row r="162" spans="1:27">
      <c r="A162" s="13"/>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row>
    <row r="163" spans="1:27">
      <c r="A163" s="13"/>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row>
    <row r="164" spans="1:27">
      <c r="A164" s="13"/>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row>
    <row r="165" spans="1:27">
      <c r="A165" s="13"/>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row>
    <row r="166" spans="1:27">
      <c r="A166" s="13"/>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row>
    <row r="167" spans="1:27">
      <c r="A167" s="13"/>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row>
    <row r="168" spans="1:27">
      <c r="A168" s="13"/>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row>
    <row r="169" spans="1:27">
      <c r="A169" s="13"/>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row>
    <row r="170" spans="1:27">
      <c r="A170" s="13"/>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row>
    <row r="171" spans="1:27">
      <c r="A171" s="13"/>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row>
    <row r="172" spans="1:27">
      <c r="A172" s="13"/>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row>
    <row r="173" spans="1:27">
      <c r="A173" s="13"/>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row>
    <row r="174" spans="1:27">
      <c r="A174" s="13"/>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row>
    <row r="175" spans="1:27">
      <c r="A175" s="13"/>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row>
    <row r="176" spans="1:27">
      <c r="A176" s="13"/>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row>
    <row r="177" spans="1:27">
      <c r="A177" s="13"/>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row>
    <row r="178" spans="1:27">
      <c r="A178" s="13"/>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row>
    <row r="179" spans="1:27">
      <c r="A179" s="13"/>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row>
    <row r="180" spans="1:27">
      <c r="A180" s="13"/>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row>
    <row r="181" spans="1:27">
      <c r="A181" s="13"/>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row>
    <row r="182" spans="1:27">
      <c r="A182" s="13"/>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row>
    <row r="183" spans="1:27">
      <c r="A183" s="13"/>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row>
    <row r="184" spans="1:27">
      <c r="A184" s="13"/>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row>
    <row r="185" spans="1:27">
      <c r="A185" s="13"/>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row>
    <row r="186" spans="1:27">
      <c r="A186" s="13"/>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row>
    <row r="187" spans="1:27">
      <c r="A187" s="13"/>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row>
    <row r="188" spans="1:27">
      <c r="A188" s="13"/>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row>
    <row r="189" spans="1:27">
      <c r="A189" s="13"/>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row>
    <row r="190" spans="1:27">
      <c r="A190" s="13"/>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row>
    <row r="191" spans="1:27">
      <c r="A191" s="13"/>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row>
    <row r="192" spans="1:27">
      <c r="A192" s="13"/>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row>
    <row r="193" spans="1:27">
      <c r="A193" s="13"/>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row>
    <row r="194" spans="1:27">
      <c r="A194" s="13"/>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row>
    <row r="195" spans="1:27">
      <c r="A195" s="13"/>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row>
    <row r="196" spans="1:27">
      <c r="A196" s="13"/>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row>
    <row r="197" spans="1:27">
      <c r="A197" s="13"/>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row>
    <row r="198" spans="1:27">
      <c r="A198" s="13"/>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row>
    <row r="199" spans="1:27">
      <c r="A199" s="13"/>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row>
    <row r="200" spans="1:27">
      <c r="A200" s="13"/>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row>
  </sheetData>
  <pageMargins left="0.7" right="0.7" top="0.75" bottom="0.75" header="0.3" footer="0.3"/>
  <pageSetup paperSize="9" orientation="portrait" horizontalDpi="300" verticalDpi="300"/>
  <tableParts count="10">
    <tablePart r:id="rId1"/>
    <tablePart r:id="rId2"/>
    <tablePart r:id="rId3"/>
    <tablePart r:id="rId4"/>
    <tablePart r:id="rId5"/>
    <tablePart r:id="rId6"/>
    <tablePart r:id="rId7"/>
    <tablePart r:id="rId8"/>
    <tablePart r:id="rId9"/>
    <tablePart r:id="rId10"/>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A200"/>
  <sheetViews>
    <sheetView showGridLines="0" workbookViewId="0"/>
  </sheetViews>
  <sheetFormatPr defaultColWidth="10.90625" defaultRowHeight="14.5"/>
  <cols>
    <col min="1" max="1" width="70.7265625" customWidth="1"/>
  </cols>
  <sheetData>
    <row r="1" spans="1:27" ht="19.5">
      <c r="A1" s="4" t="s">
        <v>154</v>
      </c>
      <c r="B1" s="8"/>
      <c r="C1" s="8"/>
      <c r="D1" s="8"/>
      <c r="E1" s="8"/>
      <c r="F1" s="8"/>
      <c r="G1" s="8"/>
      <c r="H1" s="8"/>
      <c r="I1" s="8"/>
      <c r="J1" s="8"/>
      <c r="K1" s="8"/>
      <c r="L1" s="8"/>
      <c r="M1" s="8"/>
      <c r="N1" s="8"/>
      <c r="O1" s="8"/>
      <c r="P1" s="8"/>
      <c r="Q1" s="8"/>
      <c r="R1" s="8"/>
      <c r="S1" s="8"/>
      <c r="T1" s="8"/>
      <c r="U1" s="8"/>
      <c r="V1" s="8"/>
      <c r="W1" s="8"/>
      <c r="X1" s="8"/>
      <c r="Y1" s="8"/>
      <c r="Z1" s="8"/>
      <c r="AA1" s="8"/>
    </row>
    <row r="2" spans="1:27">
      <c r="A2" s="9" t="s">
        <v>0</v>
      </c>
      <c r="B2" s="8"/>
      <c r="C2" s="8"/>
      <c r="D2" s="8"/>
      <c r="E2" s="8"/>
      <c r="F2" s="8"/>
      <c r="G2" s="8"/>
      <c r="H2" s="8"/>
      <c r="I2" s="8"/>
      <c r="J2" s="8"/>
      <c r="K2" s="8"/>
      <c r="L2" s="8"/>
      <c r="M2" s="8"/>
      <c r="N2" s="8"/>
      <c r="O2" s="8"/>
      <c r="P2" s="8"/>
      <c r="Q2" s="8"/>
      <c r="R2" s="8"/>
      <c r="S2" s="8"/>
      <c r="T2" s="8"/>
      <c r="U2" s="8"/>
      <c r="V2" s="8"/>
      <c r="W2" s="8"/>
      <c r="X2" s="8"/>
      <c r="Y2" s="8"/>
      <c r="Z2" s="8"/>
      <c r="AA2" s="8"/>
    </row>
    <row r="3" spans="1:27" ht="29">
      <c r="A3" s="9" t="s">
        <v>1</v>
      </c>
      <c r="B3" s="10"/>
      <c r="C3" s="10"/>
      <c r="D3" s="10"/>
      <c r="E3" s="10"/>
      <c r="F3" s="10"/>
      <c r="G3" s="10"/>
      <c r="H3" s="10"/>
      <c r="I3" s="10"/>
      <c r="J3" s="10"/>
      <c r="K3" s="10"/>
      <c r="L3" s="10"/>
      <c r="M3" s="10"/>
      <c r="N3" s="10"/>
      <c r="O3" s="10"/>
      <c r="P3" s="10"/>
      <c r="Q3" s="10"/>
      <c r="R3" s="10"/>
      <c r="S3" s="10"/>
      <c r="T3" s="10"/>
      <c r="U3" s="10"/>
      <c r="V3" s="10"/>
      <c r="W3" s="10"/>
      <c r="X3" s="10"/>
      <c r="Y3" s="10"/>
      <c r="Z3" s="10"/>
      <c r="AA3" s="10"/>
    </row>
    <row r="4" spans="1:27" ht="72.5">
      <c r="A4" s="9" t="s">
        <v>2</v>
      </c>
      <c r="B4" s="10"/>
      <c r="C4" s="10"/>
      <c r="D4" s="10"/>
      <c r="E4" s="10"/>
      <c r="F4" s="10"/>
      <c r="G4" s="10"/>
      <c r="H4" s="10"/>
      <c r="I4" s="10"/>
      <c r="J4" s="10"/>
      <c r="K4" s="10"/>
      <c r="L4" s="10"/>
      <c r="M4" s="10"/>
      <c r="N4" s="10"/>
      <c r="O4" s="10"/>
      <c r="P4" s="10"/>
      <c r="Q4" s="10"/>
      <c r="R4" s="10"/>
      <c r="S4" s="10"/>
      <c r="T4" s="10"/>
      <c r="U4" s="10"/>
      <c r="V4" s="10"/>
      <c r="W4" s="10"/>
      <c r="X4" s="10"/>
      <c r="Y4" s="10"/>
      <c r="Z4" s="10"/>
      <c r="AA4" s="10"/>
    </row>
    <row r="5" spans="1:27" ht="145">
      <c r="A5" s="9" t="s">
        <v>45</v>
      </c>
      <c r="B5" s="10"/>
      <c r="C5" s="10"/>
      <c r="D5" s="10"/>
      <c r="E5" s="10"/>
      <c r="F5" s="10"/>
      <c r="G5" s="10"/>
      <c r="H5" s="10"/>
      <c r="I5" s="10"/>
      <c r="J5" s="10"/>
      <c r="K5" s="10"/>
      <c r="L5" s="10"/>
      <c r="M5" s="10"/>
      <c r="N5" s="10"/>
      <c r="O5" s="10"/>
      <c r="P5" s="10"/>
      <c r="Q5" s="10"/>
      <c r="R5" s="10"/>
      <c r="S5" s="10"/>
      <c r="T5" s="10"/>
      <c r="U5" s="10"/>
      <c r="V5" s="10"/>
      <c r="W5" s="10"/>
      <c r="X5" s="10"/>
      <c r="Y5" s="10"/>
      <c r="Z5" s="10"/>
      <c r="AA5" s="10"/>
    </row>
    <row r="6" spans="1:27">
      <c r="A6" s="9" t="s">
        <v>46</v>
      </c>
      <c r="B6" s="10"/>
      <c r="C6" s="10"/>
      <c r="D6" s="10"/>
      <c r="E6" s="10"/>
      <c r="F6" s="10"/>
      <c r="G6" s="10"/>
      <c r="H6" s="10"/>
      <c r="I6" s="10"/>
      <c r="J6" s="10"/>
      <c r="K6" s="10"/>
      <c r="L6" s="10"/>
      <c r="M6" s="10"/>
      <c r="N6" s="10"/>
      <c r="O6" s="10"/>
      <c r="P6" s="10"/>
      <c r="Q6" s="10"/>
      <c r="R6" s="10"/>
      <c r="S6" s="10"/>
      <c r="T6" s="10"/>
      <c r="U6" s="10"/>
      <c r="V6" s="10"/>
      <c r="W6" s="10"/>
      <c r="X6" s="10"/>
      <c r="Y6" s="10"/>
      <c r="Z6" s="10"/>
      <c r="AA6" s="10"/>
    </row>
    <row r="7" spans="1:27">
      <c r="A7" s="9" t="s">
        <v>3</v>
      </c>
      <c r="B7" s="10"/>
      <c r="C7" s="10"/>
      <c r="D7" s="10"/>
      <c r="E7" s="10"/>
      <c r="F7" s="10"/>
      <c r="G7" s="10"/>
      <c r="H7" s="10"/>
      <c r="I7" s="10"/>
      <c r="J7" s="10"/>
      <c r="K7" s="10"/>
      <c r="L7" s="10"/>
      <c r="M7" s="10"/>
      <c r="N7" s="10"/>
      <c r="O7" s="10"/>
      <c r="P7" s="10"/>
      <c r="Q7" s="10"/>
      <c r="R7" s="10"/>
      <c r="S7" s="10"/>
      <c r="T7" s="10"/>
      <c r="U7" s="10"/>
      <c r="V7" s="10"/>
      <c r="W7" s="10"/>
      <c r="X7" s="10"/>
      <c r="Y7" s="10"/>
      <c r="Z7" s="10"/>
      <c r="AA7" s="10"/>
    </row>
    <row r="8" spans="1:27">
      <c r="A8" s="11" t="s">
        <v>4</v>
      </c>
      <c r="B8" s="10"/>
      <c r="C8" s="10"/>
      <c r="D8" s="10"/>
      <c r="E8" s="10"/>
      <c r="F8" s="10"/>
      <c r="G8" s="10"/>
      <c r="H8" s="10"/>
      <c r="I8" s="10"/>
      <c r="J8" s="10"/>
      <c r="K8" s="10"/>
      <c r="L8" s="10"/>
      <c r="M8" s="10"/>
      <c r="N8" s="10"/>
      <c r="O8" s="10"/>
      <c r="P8" s="10"/>
      <c r="Q8" s="10"/>
      <c r="R8" s="10"/>
      <c r="S8" s="10"/>
      <c r="T8" s="10"/>
      <c r="U8" s="10"/>
      <c r="V8" s="10"/>
      <c r="W8" s="10"/>
      <c r="X8" s="10"/>
      <c r="Y8" s="10"/>
      <c r="Z8" s="10"/>
      <c r="AA8" s="10"/>
    </row>
    <row r="9" spans="1:27" ht="30" customHeight="1">
      <c r="A9" s="12" t="s">
        <v>153</v>
      </c>
      <c r="B9" s="10"/>
      <c r="C9" s="10"/>
      <c r="D9" s="10"/>
      <c r="E9" s="10"/>
      <c r="F9" s="10"/>
      <c r="G9" s="10"/>
      <c r="H9" s="10"/>
      <c r="I9" s="10"/>
      <c r="J9" s="10"/>
      <c r="K9" s="10"/>
      <c r="L9" s="10"/>
      <c r="M9" s="10"/>
      <c r="N9" s="10"/>
      <c r="O9" s="10"/>
      <c r="P9" s="10"/>
      <c r="Q9" s="10"/>
      <c r="R9" s="10"/>
      <c r="S9" s="10"/>
      <c r="T9" s="10"/>
      <c r="U9" s="10"/>
      <c r="V9" s="10"/>
      <c r="W9" s="10"/>
      <c r="X9" s="10"/>
      <c r="Y9" s="10"/>
      <c r="Z9" s="10"/>
      <c r="AA9" s="10"/>
    </row>
    <row r="10" spans="1:27">
      <c r="A10" s="13" t="s">
        <v>5</v>
      </c>
      <c r="B10" s="14" t="s">
        <v>6</v>
      </c>
      <c r="C10" s="14" t="s">
        <v>7</v>
      </c>
      <c r="D10" s="14" t="s">
        <v>8</v>
      </c>
      <c r="E10" s="14" t="s">
        <v>9</v>
      </c>
      <c r="F10" s="14" t="s">
        <v>10</v>
      </c>
      <c r="G10" s="14" t="s">
        <v>11</v>
      </c>
      <c r="H10" s="14" t="s">
        <v>12</v>
      </c>
      <c r="I10" s="14" t="s">
        <v>13</v>
      </c>
      <c r="J10" s="14" t="s">
        <v>14</v>
      </c>
      <c r="K10" s="14" t="s">
        <v>15</v>
      </c>
      <c r="L10" s="14" t="s">
        <v>16</v>
      </c>
      <c r="M10" s="14" t="s">
        <v>17</v>
      </c>
      <c r="N10" s="14" t="s">
        <v>18</v>
      </c>
      <c r="O10" s="14" t="s">
        <v>19</v>
      </c>
      <c r="P10" s="14" t="s">
        <v>20</v>
      </c>
      <c r="Q10" s="14" t="s">
        <v>21</v>
      </c>
      <c r="R10" s="14" t="s">
        <v>22</v>
      </c>
      <c r="S10" s="14" t="s">
        <v>23</v>
      </c>
      <c r="T10" s="14" t="s">
        <v>24</v>
      </c>
      <c r="U10" s="14" t="s">
        <v>25</v>
      </c>
      <c r="V10" s="14" t="s">
        <v>26</v>
      </c>
      <c r="W10" s="14" t="s">
        <v>27</v>
      </c>
      <c r="X10" s="14" t="s">
        <v>28</v>
      </c>
      <c r="Y10" s="14" t="s">
        <v>29</v>
      </c>
      <c r="Z10" s="14" t="s">
        <v>30</v>
      </c>
      <c r="AA10" s="14" t="s">
        <v>31</v>
      </c>
    </row>
    <row r="11" spans="1:27">
      <c r="A11" s="13" t="s">
        <v>32</v>
      </c>
      <c r="B11" s="15">
        <v>0.31713940000000002</v>
      </c>
      <c r="C11" s="15">
        <v>0.3190847</v>
      </c>
      <c r="D11" s="15">
        <v>0.3155983</v>
      </c>
      <c r="E11" s="15">
        <v>0.309896</v>
      </c>
      <c r="F11" s="15">
        <v>0.31244749999999999</v>
      </c>
      <c r="G11" s="15">
        <v>0.31238919999999998</v>
      </c>
      <c r="H11" s="15">
        <v>0.29609809999999998</v>
      </c>
      <c r="I11" s="15">
        <v>0.27851979999999998</v>
      </c>
      <c r="J11" s="15">
        <v>0.25814049999999999</v>
      </c>
      <c r="K11" s="15">
        <v>0.2499922</v>
      </c>
      <c r="L11" s="15">
        <v>0.2455253</v>
      </c>
      <c r="M11" s="15">
        <v>0.2409346</v>
      </c>
      <c r="N11" s="15">
        <v>0.24524689999999999</v>
      </c>
      <c r="O11" s="15">
        <v>0.24372530000000001</v>
      </c>
      <c r="P11" s="15">
        <v>0.23525389999999999</v>
      </c>
      <c r="Q11" s="15">
        <v>0.2143718</v>
      </c>
      <c r="R11" s="15">
        <v>0.2073566</v>
      </c>
      <c r="S11" s="15">
        <v>0.20983579999999999</v>
      </c>
      <c r="T11" s="15">
        <v>0.2161679</v>
      </c>
      <c r="U11" s="15">
        <v>0.22795380000000001</v>
      </c>
      <c r="V11" s="15">
        <v>0.23351949999999999</v>
      </c>
      <c r="W11" s="15">
        <v>0.2419675</v>
      </c>
      <c r="X11" s="15">
        <v>0.23227329999999999</v>
      </c>
      <c r="Y11" s="15">
        <v>0.24283840000000001</v>
      </c>
      <c r="Z11" s="15">
        <v>0.2463928</v>
      </c>
      <c r="AA11" s="15">
        <v>0.2447318</v>
      </c>
    </row>
    <row r="12" spans="1:27">
      <c r="A12" s="13" t="s">
        <v>47</v>
      </c>
      <c r="B12" s="15" t="s">
        <v>99</v>
      </c>
      <c r="C12" s="15">
        <v>0.28542820000000002</v>
      </c>
      <c r="D12" s="15">
        <v>0.27695120000000001</v>
      </c>
      <c r="E12" s="15">
        <v>0.26627499999999998</v>
      </c>
      <c r="F12" s="15">
        <v>0.26505519999999999</v>
      </c>
      <c r="G12" s="15">
        <v>0.26894439999999997</v>
      </c>
      <c r="H12" s="15">
        <v>0.26506469999999999</v>
      </c>
      <c r="I12" s="15">
        <v>0.25385340000000001</v>
      </c>
      <c r="J12" s="15">
        <v>0.2353961</v>
      </c>
      <c r="K12" s="15">
        <v>0.2200569</v>
      </c>
      <c r="L12" s="15">
        <v>0.21179129999999999</v>
      </c>
      <c r="M12" s="15">
        <v>0.200069</v>
      </c>
      <c r="N12" s="15">
        <v>0.20960799999999999</v>
      </c>
      <c r="O12" s="15">
        <v>0.2183406</v>
      </c>
      <c r="P12" s="15">
        <v>0.21067069999999999</v>
      </c>
      <c r="Q12" s="15">
        <v>0.1871449</v>
      </c>
      <c r="R12" s="15">
        <v>0.17059589999999999</v>
      </c>
      <c r="S12" s="15">
        <v>0.1729164</v>
      </c>
      <c r="T12" s="15">
        <v>0.17777860000000001</v>
      </c>
      <c r="U12" s="15">
        <v>0.202156</v>
      </c>
      <c r="V12" s="15">
        <v>0.20552219999999999</v>
      </c>
      <c r="W12" s="15">
        <v>0.2109924</v>
      </c>
      <c r="X12" s="15">
        <v>0.19721810000000001</v>
      </c>
      <c r="Y12" s="15">
        <v>0.2170706</v>
      </c>
      <c r="Z12" s="15">
        <v>0.22903190000000001</v>
      </c>
      <c r="AA12" s="15">
        <v>0.22442960000000001</v>
      </c>
    </row>
    <row r="13" spans="1:27">
      <c r="A13" s="13" t="s">
        <v>48</v>
      </c>
      <c r="B13" s="15" t="s">
        <v>99</v>
      </c>
      <c r="C13" s="15">
        <v>0.42211490000000002</v>
      </c>
      <c r="D13" s="15">
        <v>0.43593979999999999</v>
      </c>
      <c r="E13" s="15">
        <v>0.44044559999999999</v>
      </c>
      <c r="F13" s="15">
        <v>0.45247569999999998</v>
      </c>
      <c r="G13" s="15">
        <v>0.43323070000000002</v>
      </c>
      <c r="H13" s="15">
        <v>0.38191180000000002</v>
      </c>
      <c r="I13" s="15">
        <v>0.34534359999999997</v>
      </c>
      <c r="J13" s="15">
        <v>0.3213338</v>
      </c>
      <c r="K13" s="15">
        <v>0.33263720000000002</v>
      </c>
      <c r="L13" s="15">
        <v>0.3408639</v>
      </c>
      <c r="M13" s="15">
        <v>0.35953990000000002</v>
      </c>
      <c r="N13" s="15">
        <v>0.35129339999999998</v>
      </c>
      <c r="O13" s="15">
        <v>0.3211948</v>
      </c>
      <c r="P13" s="15">
        <v>0.30717850000000002</v>
      </c>
      <c r="Q13" s="15">
        <v>0.29364299999999999</v>
      </c>
      <c r="R13" s="15">
        <v>0.30342330000000001</v>
      </c>
      <c r="S13" s="15">
        <v>0.3018593</v>
      </c>
      <c r="T13" s="15">
        <v>0.3032514</v>
      </c>
      <c r="U13" s="15">
        <v>0.28667510000000002</v>
      </c>
      <c r="V13" s="15">
        <v>0.2889293</v>
      </c>
      <c r="W13" s="15">
        <v>0.2998091</v>
      </c>
      <c r="X13" s="15">
        <v>0.29664020000000002</v>
      </c>
      <c r="Y13" s="15">
        <v>0.2903521</v>
      </c>
      <c r="Z13" s="15">
        <v>0.27850370000000002</v>
      </c>
      <c r="AA13" s="15">
        <v>0.27819690000000002</v>
      </c>
    </row>
    <row r="14" spans="1:27" ht="30" customHeight="1">
      <c r="A14" s="12" t="s">
        <v>144</v>
      </c>
      <c r="B14" s="15"/>
      <c r="C14" s="15"/>
      <c r="D14" s="15"/>
      <c r="E14" s="15"/>
      <c r="F14" s="15"/>
      <c r="G14" s="15"/>
      <c r="H14" s="15"/>
      <c r="I14" s="15"/>
      <c r="J14" s="15"/>
      <c r="K14" s="15"/>
      <c r="L14" s="15"/>
      <c r="M14" s="15"/>
      <c r="N14" s="15"/>
      <c r="O14" s="15"/>
      <c r="P14" s="15"/>
      <c r="Q14" s="15"/>
      <c r="R14" s="15"/>
      <c r="S14" s="15"/>
      <c r="T14" s="15"/>
      <c r="U14" s="15"/>
      <c r="V14" s="15"/>
      <c r="W14" s="15"/>
      <c r="X14" s="15"/>
      <c r="Y14" s="15"/>
      <c r="Z14" s="15"/>
      <c r="AA14" s="15"/>
    </row>
    <row r="15" spans="1:27">
      <c r="A15" s="13" t="s">
        <v>5</v>
      </c>
      <c r="B15" s="16" t="s">
        <v>6</v>
      </c>
      <c r="C15" s="16" t="s">
        <v>7</v>
      </c>
      <c r="D15" s="16" t="s">
        <v>8</v>
      </c>
      <c r="E15" s="16" t="s">
        <v>9</v>
      </c>
      <c r="F15" s="16" t="s">
        <v>10</v>
      </c>
      <c r="G15" s="16" t="s">
        <v>11</v>
      </c>
      <c r="H15" s="16" t="s">
        <v>12</v>
      </c>
      <c r="I15" s="16" t="s">
        <v>13</v>
      </c>
      <c r="J15" s="16" t="s">
        <v>14</v>
      </c>
      <c r="K15" s="16" t="s">
        <v>15</v>
      </c>
      <c r="L15" s="16" t="s">
        <v>16</v>
      </c>
      <c r="M15" s="16" t="s">
        <v>17</v>
      </c>
      <c r="N15" s="16" t="s">
        <v>18</v>
      </c>
      <c r="O15" s="16" t="s">
        <v>19</v>
      </c>
      <c r="P15" s="16" t="s">
        <v>20</v>
      </c>
      <c r="Q15" s="16" t="s">
        <v>21</v>
      </c>
      <c r="R15" s="16" t="s">
        <v>22</v>
      </c>
      <c r="S15" s="16" t="s">
        <v>23</v>
      </c>
      <c r="T15" s="16" t="s">
        <v>24</v>
      </c>
      <c r="U15" s="16" t="s">
        <v>25</v>
      </c>
      <c r="V15" s="16" t="s">
        <v>26</v>
      </c>
      <c r="W15" s="16" t="s">
        <v>27</v>
      </c>
      <c r="X15" s="16" t="s">
        <v>28</v>
      </c>
      <c r="Y15" s="16" t="s">
        <v>29</v>
      </c>
      <c r="Z15" s="16" t="s">
        <v>30</v>
      </c>
      <c r="AA15" s="16" t="s">
        <v>31</v>
      </c>
    </row>
    <row r="16" spans="1:27">
      <c r="A16" s="13" t="s">
        <v>32</v>
      </c>
      <c r="B16" s="15">
        <v>1</v>
      </c>
      <c r="C16" s="15">
        <v>1</v>
      </c>
      <c r="D16" s="15">
        <v>1</v>
      </c>
      <c r="E16" s="15">
        <v>1</v>
      </c>
      <c r="F16" s="15">
        <v>1</v>
      </c>
      <c r="G16" s="15">
        <v>1</v>
      </c>
      <c r="H16" s="15">
        <v>1</v>
      </c>
      <c r="I16" s="15">
        <v>1</v>
      </c>
      <c r="J16" s="15">
        <v>1</v>
      </c>
      <c r="K16" s="15">
        <v>1</v>
      </c>
      <c r="L16" s="15">
        <v>1</v>
      </c>
      <c r="M16" s="15">
        <v>1</v>
      </c>
      <c r="N16" s="15">
        <v>1</v>
      </c>
      <c r="O16" s="15">
        <v>1</v>
      </c>
      <c r="P16" s="15">
        <v>1</v>
      </c>
      <c r="Q16" s="15">
        <v>1</v>
      </c>
      <c r="R16" s="15">
        <v>1</v>
      </c>
      <c r="S16" s="15">
        <v>1</v>
      </c>
      <c r="T16" s="15">
        <v>1</v>
      </c>
      <c r="U16" s="15">
        <v>1</v>
      </c>
      <c r="V16" s="15">
        <v>1</v>
      </c>
      <c r="W16" s="15">
        <v>1</v>
      </c>
      <c r="X16" s="15">
        <v>1</v>
      </c>
      <c r="Y16" s="15">
        <v>1</v>
      </c>
      <c r="Z16" s="15">
        <v>1</v>
      </c>
      <c r="AA16" s="15">
        <v>1</v>
      </c>
    </row>
    <row r="17" spans="1:27">
      <c r="A17" s="13" t="s">
        <v>47</v>
      </c>
      <c r="B17" s="15" t="s">
        <v>99</v>
      </c>
      <c r="C17" s="15">
        <v>0.6761296</v>
      </c>
      <c r="D17" s="15">
        <v>0.66436150000000005</v>
      </c>
      <c r="E17" s="15">
        <v>0.64549129999999999</v>
      </c>
      <c r="F17" s="15">
        <v>0.63589010000000001</v>
      </c>
      <c r="G17" s="15">
        <v>0.63137860000000001</v>
      </c>
      <c r="H17" s="15">
        <v>0.65791299999999997</v>
      </c>
      <c r="I17" s="15">
        <v>0.66557789999999994</v>
      </c>
      <c r="J17" s="15">
        <v>0.67168130000000004</v>
      </c>
      <c r="K17" s="15">
        <v>0.64718850000000006</v>
      </c>
      <c r="L17" s="15">
        <v>0.6371097</v>
      </c>
      <c r="M17" s="15">
        <v>0.61726510000000001</v>
      </c>
      <c r="N17" s="15">
        <v>0.63937540000000004</v>
      </c>
      <c r="O17" s="15">
        <v>0.67350940000000004</v>
      </c>
      <c r="P17" s="15">
        <v>0.66684019999999999</v>
      </c>
      <c r="Q17" s="15">
        <v>0.64857339999999997</v>
      </c>
      <c r="R17" s="15">
        <v>0.59731330000000005</v>
      </c>
      <c r="S17" s="15">
        <v>0.59089499999999995</v>
      </c>
      <c r="T17" s="15">
        <v>0.57024059999999999</v>
      </c>
      <c r="U17" s="15">
        <v>0.60233610000000004</v>
      </c>
      <c r="V17" s="15">
        <v>0.58259720000000004</v>
      </c>
      <c r="W17" s="15">
        <v>0.56951790000000002</v>
      </c>
      <c r="X17" s="15">
        <v>0.54718630000000001</v>
      </c>
      <c r="Y17" s="15">
        <v>0.57905010000000001</v>
      </c>
      <c r="Z17" s="15">
        <v>0.60318329999999998</v>
      </c>
      <c r="AA17" s="15">
        <v>0.57366620000000002</v>
      </c>
    </row>
    <row r="18" spans="1:27">
      <c r="A18" s="13" t="s">
        <v>48</v>
      </c>
      <c r="B18" s="15" t="s">
        <v>99</v>
      </c>
      <c r="C18" s="15">
        <v>0.3238704</v>
      </c>
      <c r="D18" s="15">
        <v>0.33563850000000001</v>
      </c>
      <c r="E18" s="15">
        <v>0.35450870000000001</v>
      </c>
      <c r="F18" s="15">
        <v>0.36410989999999999</v>
      </c>
      <c r="G18" s="15">
        <v>0.36862139999999999</v>
      </c>
      <c r="H18" s="15">
        <v>0.34208699999999997</v>
      </c>
      <c r="I18" s="15">
        <v>0.3344221</v>
      </c>
      <c r="J18" s="15">
        <v>0.32831870000000002</v>
      </c>
      <c r="K18" s="15">
        <v>0.3528115</v>
      </c>
      <c r="L18" s="15">
        <v>0.3628903</v>
      </c>
      <c r="M18" s="15">
        <v>0.38273489999999999</v>
      </c>
      <c r="N18" s="15">
        <v>0.36062460000000002</v>
      </c>
      <c r="O18" s="15">
        <v>0.32649060000000002</v>
      </c>
      <c r="P18" s="15">
        <v>0.33315980000000001</v>
      </c>
      <c r="Q18" s="15">
        <v>0.35142659999999998</v>
      </c>
      <c r="R18" s="15">
        <v>0.40268670000000001</v>
      </c>
      <c r="S18" s="15">
        <v>0.409105</v>
      </c>
      <c r="T18" s="15">
        <v>0.42975940000000001</v>
      </c>
      <c r="U18" s="15">
        <v>0.39766390000000001</v>
      </c>
      <c r="V18" s="15">
        <v>0.41740280000000002</v>
      </c>
      <c r="W18" s="15">
        <v>0.43048209999999998</v>
      </c>
      <c r="X18" s="15">
        <v>0.45281369999999999</v>
      </c>
      <c r="Y18" s="15">
        <v>0.42094989999999999</v>
      </c>
      <c r="Z18" s="15">
        <v>0.39681670000000002</v>
      </c>
      <c r="AA18" s="15">
        <v>0.42633379999999998</v>
      </c>
    </row>
    <row r="19" spans="1:27" ht="30" customHeight="1">
      <c r="A19" s="12" t="s">
        <v>145</v>
      </c>
      <c r="B19" s="15"/>
      <c r="C19" s="15"/>
      <c r="D19" s="15"/>
      <c r="E19" s="15"/>
      <c r="F19" s="15"/>
      <c r="G19" s="15"/>
      <c r="H19" s="15"/>
      <c r="I19" s="15"/>
      <c r="J19" s="15"/>
      <c r="K19" s="15"/>
      <c r="L19" s="15"/>
      <c r="M19" s="15"/>
      <c r="N19" s="15"/>
      <c r="O19" s="15"/>
      <c r="P19" s="15"/>
      <c r="Q19" s="15"/>
      <c r="R19" s="15"/>
      <c r="S19" s="15"/>
      <c r="T19" s="15"/>
      <c r="U19" s="15"/>
      <c r="V19" s="15"/>
      <c r="W19" s="15"/>
      <c r="X19" s="15"/>
      <c r="Y19" s="15"/>
      <c r="Z19" s="15"/>
      <c r="AA19" s="15"/>
    </row>
    <row r="20" spans="1:27">
      <c r="A20" s="13" t="s">
        <v>5</v>
      </c>
      <c r="B20" s="16" t="s">
        <v>6</v>
      </c>
      <c r="C20" s="16" t="s">
        <v>7</v>
      </c>
      <c r="D20" s="16" t="s">
        <v>8</v>
      </c>
      <c r="E20" s="16" t="s">
        <v>9</v>
      </c>
      <c r="F20" s="16" t="s">
        <v>10</v>
      </c>
      <c r="G20" s="16" t="s">
        <v>11</v>
      </c>
      <c r="H20" s="16" t="s">
        <v>12</v>
      </c>
      <c r="I20" s="16" t="s">
        <v>13</v>
      </c>
      <c r="J20" s="16" t="s">
        <v>14</v>
      </c>
      <c r="K20" s="16" t="s">
        <v>15</v>
      </c>
      <c r="L20" s="16" t="s">
        <v>16</v>
      </c>
      <c r="M20" s="16" t="s">
        <v>17</v>
      </c>
      <c r="N20" s="16" t="s">
        <v>18</v>
      </c>
      <c r="O20" s="16" t="s">
        <v>19</v>
      </c>
      <c r="P20" s="16" t="s">
        <v>20</v>
      </c>
      <c r="Q20" s="16" t="s">
        <v>21</v>
      </c>
      <c r="R20" s="16" t="s">
        <v>22</v>
      </c>
      <c r="S20" s="16" t="s">
        <v>23</v>
      </c>
      <c r="T20" s="16" t="s">
        <v>24</v>
      </c>
      <c r="U20" s="16" t="s">
        <v>25</v>
      </c>
      <c r="V20" s="16" t="s">
        <v>26</v>
      </c>
      <c r="W20" s="16" t="s">
        <v>27</v>
      </c>
      <c r="X20" s="16" t="s">
        <v>28</v>
      </c>
      <c r="Y20" s="16" t="s">
        <v>29</v>
      </c>
      <c r="Z20" s="16" t="s">
        <v>30</v>
      </c>
      <c r="AA20" s="16" t="s">
        <v>31</v>
      </c>
    </row>
    <row r="21" spans="1:27">
      <c r="A21" s="13" t="s">
        <v>32</v>
      </c>
      <c r="B21" s="17">
        <v>350000</v>
      </c>
      <c r="C21" s="17">
        <v>350000</v>
      </c>
      <c r="D21" s="17">
        <v>340000</v>
      </c>
      <c r="E21" s="17">
        <v>330000</v>
      </c>
      <c r="F21" s="17">
        <v>330000</v>
      </c>
      <c r="G21" s="17">
        <v>330000</v>
      </c>
      <c r="H21" s="17">
        <v>310000</v>
      </c>
      <c r="I21" s="17">
        <v>290000</v>
      </c>
      <c r="J21" s="17">
        <v>260000</v>
      </c>
      <c r="K21" s="17">
        <v>250000</v>
      </c>
      <c r="L21" s="17">
        <v>250000</v>
      </c>
      <c r="M21" s="17">
        <v>240000</v>
      </c>
      <c r="N21" s="17">
        <v>240000</v>
      </c>
      <c r="O21" s="17">
        <v>240000</v>
      </c>
      <c r="P21" s="17">
        <v>230000</v>
      </c>
      <c r="Q21" s="17">
        <v>210000</v>
      </c>
      <c r="R21" s="17">
        <v>210000</v>
      </c>
      <c r="S21" s="17">
        <v>210000</v>
      </c>
      <c r="T21" s="17">
        <v>210000</v>
      </c>
      <c r="U21" s="17">
        <v>220000</v>
      </c>
      <c r="V21" s="17">
        <v>230000</v>
      </c>
      <c r="W21" s="17">
        <v>240000</v>
      </c>
      <c r="X21" s="17">
        <v>230000</v>
      </c>
      <c r="Y21" s="17">
        <v>240000</v>
      </c>
      <c r="Z21" s="17">
        <v>240000</v>
      </c>
      <c r="AA21" s="17">
        <v>250000</v>
      </c>
    </row>
    <row r="22" spans="1:27">
      <c r="A22" s="13" t="s">
        <v>47</v>
      </c>
      <c r="B22" s="17" t="s">
        <v>99</v>
      </c>
      <c r="C22" s="17">
        <v>240000</v>
      </c>
      <c r="D22" s="17">
        <v>230000</v>
      </c>
      <c r="E22" s="17">
        <v>220000</v>
      </c>
      <c r="F22" s="17">
        <v>210000</v>
      </c>
      <c r="G22" s="17">
        <v>210000</v>
      </c>
      <c r="H22" s="17">
        <v>200000</v>
      </c>
      <c r="I22" s="17">
        <v>190000</v>
      </c>
      <c r="J22" s="17">
        <v>180000</v>
      </c>
      <c r="K22" s="17">
        <v>160000</v>
      </c>
      <c r="L22" s="17">
        <v>160000</v>
      </c>
      <c r="M22" s="17">
        <v>150000</v>
      </c>
      <c r="N22" s="17">
        <v>160000</v>
      </c>
      <c r="O22" s="17">
        <v>160000</v>
      </c>
      <c r="P22" s="17">
        <v>160000</v>
      </c>
      <c r="Q22" s="17">
        <v>140000</v>
      </c>
      <c r="R22" s="17" t="s">
        <v>98</v>
      </c>
      <c r="S22" s="17" t="s">
        <v>98</v>
      </c>
      <c r="T22" s="17">
        <v>120000</v>
      </c>
      <c r="U22" s="17">
        <v>140000</v>
      </c>
      <c r="V22" s="17">
        <v>130000</v>
      </c>
      <c r="W22" s="17">
        <v>140000</v>
      </c>
      <c r="X22" s="17">
        <v>130000</v>
      </c>
      <c r="Y22" s="17">
        <v>140000</v>
      </c>
      <c r="Z22" s="17">
        <v>150000</v>
      </c>
      <c r="AA22" s="17">
        <v>140000</v>
      </c>
    </row>
    <row r="23" spans="1:27">
      <c r="A23" s="13" t="s">
        <v>48</v>
      </c>
      <c r="B23" s="17" t="s">
        <v>99</v>
      </c>
      <c r="C23" s="17">
        <v>110000</v>
      </c>
      <c r="D23" s="17">
        <v>120000</v>
      </c>
      <c r="E23" s="17">
        <v>120000</v>
      </c>
      <c r="F23" s="17">
        <v>120000</v>
      </c>
      <c r="G23" s="17">
        <v>120000</v>
      </c>
      <c r="H23" s="17">
        <v>110000</v>
      </c>
      <c r="I23" s="17">
        <v>100000</v>
      </c>
      <c r="J23" s="17">
        <v>90000</v>
      </c>
      <c r="K23" s="17">
        <v>90000</v>
      </c>
      <c r="L23" s="17">
        <v>90000</v>
      </c>
      <c r="M23" s="17">
        <v>90000</v>
      </c>
      <c r="N23" s="17">
        <v>90000</v>
      </c>
      <c r="O23" s="17">
        <v>80000</v>
      </c>
      <c r="P23" s="17">
        <v>80000</v>
      </c>
      <c r="Q23" s="17">
        <v>70000</v>
      </c>
      <c r="R23" s="17" t="s">
        <v>98</v>
      </c>
      <c r="S23" s="17" t="s">
        <v>98</v>
      </c>
      <c r="T23" s="17">
        <v>90000</v>
      </c>
      <c r="U23" s="17">
        <v>90000</v>
      </c>
      <c r="V23" s="17">
        <v>100000</v>
      </c>
      <c r="W23" s="17">
        <v>100000</v>
      </c>
      <c r="X23" s="17">
        <v>100000</v>
      </c>
      <c r="Y23" s="17">
        <v>100000</v>
      </c>
      <c r="Z23" s="17">
        <v>100000</v>
      </c>
      <c r="AA23" s="17" t="s">
        <v>35</v>
      </c>
    </row>
    <row r="24" spans="1:27" ht="30" customHeight="1">
      <c r="A24" s="12" t="s">
        <v>146</v>
      </c>
      <c r="B24" s="17"/>
      <c r="C24" s="17"/>
      <c r="D24" s="17"/>
      <c r="E24" s="17"/>
      <c r="F24" s="17"/>
      <c r="G24" s="17"/>
      <c r="H24" s="17"/>
      <c r="I24" s="17"/>
      <c r="J24" s="17"/>
      <c r="K24" s="17"/>
      <c r="L24" s="17"/>
      <c r="M24" s="17"/>
      <c r="N24" s="17"/>
      <c r="O24" s="17"/>
      <c r="P24" s="17"/>
      <c r="Q24" s="17"/>
      <c r="R24" s="17"/>
      <c r="S24" s="17"/>
      <c r="T24" s="17"/>
      <c r="U24" s="17"/>
      <c r="V24" s="17"/>
      <c r="W24" s="17"/>
      <c r="X24" s="17"/>
      <c r="Y24" s="17"/>
      <c r="Z24" s="17"/>
      <c r="AA24" s="17"/>
    </row>
    <row r="25" spans="1:27">
      <c r="A25" s="13" t="s">
        <v>5</v>
      </c>
      <c r="B25" s="18" t="s">
        <v>6</v>
      </c>
      <c r="C25" s="18" t="s">
        <v>7</v>
      </c>
      <c r="D25" s="18" t="s">
        <v>8</v>
      </c>
      <c r="E25" s="18" t="s">
        <v>9</v>
      </c>
      <c r="F25" s="18" t="s">
        <v>10</v>
      </c>
      <c r="G25" s="18" t="s">
        <v>11</v>
      </c>
      <c r="H25" s="18" t="s">
        <v>12</v>
      </c>
      <c r="I25" s="18" t="s">
        <v>13</v>
      </c>
      <c r="J25" s="18" t="s">
        <v>14</v>
      </c>
      <c r="K25" s="18" t="s">
        <v>15</v>
      </c>
      <c r="L25" s="18" t="s">
        <v>16</v>
      </c>
      <c r="M25" s="18" t="s">
        <v>17</v>
      </c>
      <c r="N25" s="18" t="s">
        <v>18</v>
      </c>
      <c r="O25" s="18" t="s">
        <v>19</v>
      </c>
      <c r="P25" s="18" t="s">
        <v>20</v>
      </c>
      <c r="Q25" s="18" t="s">
        <v>21</v>
      </c>
      <c r="R25" s="18" t="s">
        <v>22</v>
      </c>
      <c r="S25" s="18" t="s">
        <v>23</v>
      </c>
      <c r="T25" s="18" t="s">
        <v>24</v>
      </c>
      <c r="U25" s="18" t="s">
        <v>25</v>
      </c>
      <c r="V25" s="18" t="s">
        <v>26</v>
      </c>
      <c r="W25" s="18" t="s">
        <v>27</v>
      </c>
      <c r="X25" s="18" t="s">
        <v>28</v>
      </c>
      <c r="Y25" s="18" t="s">
        <v>29</v>
      </c>
      <c r="Z25" s="18" t="s">
        <v>30</v>
      </c>
      <c r="AA25" s="18" t="s">
        <v>31</v>
      </c>
    </row>
    <row r="26" spans="1:27">
      <c r="A26" s="13" t="s">
        <v>32</v>
      </c>
      <c r="B26" s="15">
        <v>0.49508239999999998</v>
      </c>
      <c r="C26" s="15">
        <v>0.49183529999999998</v>
      </c>
      <c r="D26" s="15">
        <v>0.45778000000000002</v>
      </c>
      <c r="E26" s="15">
        <v>0.4283054</v>
      </c>
      <c r="F26" s="15">
        <v>0.39523950000000002</v>
      </c>
      <c r="G26" s="15">
        <v>0.37891910000000001</v>
      </c>
      <c r="H26" s="15">
        <v>0.34114630000000001</v>
      </c>
      <c r="I26" s="15">
        <v>0.30955690000000002</v>
      </c>
      <c r="J26" s="15">
        <v>0.2726788</v>
      </c>
      <c r="K26" s="15">
        <v>0.25810660000000002</v>
      </c>
      <c r="L26" s="15">
        <v>0.24968180000000001</v>
      </c>
      <c r="M26" s="15">
        <v>0.24055480000000001</v>
      </c>
      <c r="N26" s="15">
        <v>0.24093719999999999</v>
      </c>
      <c r="O26" s="15">
        <v>0.23671420000000001</v>
      </c>
      <c r="P26" s="15">
        <v>0.23137369999999999</v>
      </c>
      <c r="Q26" s="15">
        <v>0.21533070000000001</v>
      </c>
      <c r="R26" s="15">
        <v>0.21545400000000001</v>
      </c>
      <c r="S26" s="15">
        <v>0.22131410000000001</v>
      </c>
      <c r="T26" s="15">
        <v>0.2198638</v>
      </c>
      <c r="U26" s="15">
        <v>0.22061359999999999</v>
      </c>
      <c r="V26" s="15">
        <v>0.21252960000000001</v>
      </c>
      <c r="W26" s="15">
        <v>0.21870529999999999</v>
      </c>
      <c r="X26" s="15">
        <v>0.20637730000000001</v>
      </c>
      <c r="Y26" s="15">
        <v>0.21486730000000001</v>
      </c>
      <c r="Z26" s="15">
        <v>0.21321499999999999</v>
      </c>
      <c r="AA26" s="15">
        <v>0.20818980000000001</v>
      </c>
    </row>
    <row r="27" spans="1:27">
      <c r="A27" s="13" t="s">
        <v>47</v>
      </c>
      <c r="B27" s="15" t="s">
        <v>99</v>
      </c>
      <c r="C27" s="15">
        <v>0.44627939999999999</v>
      </c>
      <c r="D27" s="15">
        <v>0.40362920000000002</v>
      </c>
      <c r="E27" s="15">
        <v>0.37019099999999999</v>
      </c>
      <c r="F27" s="15">
        <v>0.33663710000000002</v>
      </c>
      <c r="G27" s="15">
        <v>0.32653179999999998</v>
      </c>
      <c r="H27" s="15">
        <v>0.3030619</v>
      </c>
      <c r="I27" s="15">
        <v>0.27935320000000002</v>
      </c>
      <c r="J27" s="15">
        <v>0.24774189999999999</v>
      </c>
      <c r="K27" s="15">
        <v>0.22924919999999999</v>
      </c>
      <c r="L27" s="15">
        <v>0.2165571</v>
      </c>
      <c r="M27" s="15">
        <v>0.20067499999999999</v>
      </c>
      <c r="N27" s="15">
        <v>0.2057747</v>
      </c>
      <c r="O27" s="15">
        <v>0.2117831</v>
      </c>
      <c r="P27" s="15">
        <v>0.20683789999999999</v>
      </c>
      <c r="Q27" s="15">
        <v>0.18796070000000001</v>
      </c>
      <c r="R27" s="15">
        <v>0.1777107</v>
      </c>
      <c r="S27" s="15">
        <v>0.18285360000000001</v>
      </c>
      <c r="T27" s="15">
        <v>0.1812173</v>
      </c>
      <c r="U27" s="15">
        <v>0.19422329999999999</v>
      </c>
      <c r="V27" s="15">
        <v>0.1887472</v>
      </c>
      <c r="W27" s="15">
        <v>0.19069179999999999</v>
      </c>
      <c r="X27" s="15">
        <v>0.17556269999999999</v>
      </c>
      <c r="Y27" s="15">
        <v>0.19155220000000001</v>
      </c>
      <c r="Z27" s="15">
        <v>0.20009209999999999</v>
      </c>
      <c r="AA27" s="15">
        <v>0.1903987</v>
      </c>
    </row>
    <row r="28" spans="1:27">
      <c r="A28" s="13" t="s">
        <v>48</v>
      </c>
      <c r="B28" s="15" t="s">
        <v>99</v>
      </c>
      <c r="C28" s="15">
        <v>0.63141480000000005</v>
      </c>
      <c r="D28" s="15">
        <v>0.62693969999999999</v>
      </c>
      <c r="E28" s="15">
        <v>0.6030567</v>
      </c>
      <c r="F28" s="15">
        <v>0.56988159999999999</v>
      </c>
      <c r="G28" s="15">
        <v>0.52430200000000005</v>
      </c>
      <c r="H28" s="15">
        <v>0.44612499999999999</v>
      </c>
      <c r="I28" s="15">
        <v>0.39134619999999998</v>
      </c>
      <c r="J28" s="15">
        <v>0.34205629999999998</v>
      </c>
      <c r="K28" s="15">
        <v>0.33780169999999998</v>
      </c>
      <c r="L28" s="15">
        <v>0.34330670000000002</v>
      </c>
      <c r="M28" s="15">
        <v>0.35628189999999998</v>
      </c>
      <c r="N28" s="15">
        <v>0.34555659999999999</v>
      </c>
      <c r="O28" s="15">
        <v>0.31277280000000002</v>
      </c>
      <c r="P28" s="15">
        <v>0.30313610000000002</v>
      </c>
      <c r="Q28" s="15">
        <v>0.29498669999999999</v>
      </c>
      <c r="R28" s="15">
        <v>0.31398870000000001</v>
      </c>
      <c r="S28" s="15">
        <v>0.31718449999999998</v>
      </c>
      <c r="T28" s="15">
        <v>0.30775160000000001</v>
      </c>
      <c r="U28" s="15">
        <v>0.28067409999999998</v>
      </c>
      <c r="V28" s="15">
        <v>0.25992110000000002</v>
      </c>
      <c r="W28" s="15">
        <v>0.2710727</v>
      </c>
      <c r="X28" s="15">
        <v>0.26282139999999998</v>
      </c>
      <c r="Y28" s="15">
        <v>0.25755260000000002</v>
      </c>
      <c r="Z28" s="15">
        <v>0.23705480000000001</v>
      </c>
      <c r="AA28" s="15">
        <v>0.2360033</v>
      </c>
    </row>
    <row r="29" spans="1:27" ht="30" customHeight="1">
      <c r="A29" s="12" t="s">
        <v>147</v>
      </c>
      <c r="B29" s="15"/>
      <c r="C29" s="15"/>
      <c r="D29" s="15"/>
      <c r="E29" s="15"/>
      <c r="F29" s="15"/>
      <c r="G29" s="15"/>
      <c r="H29" s="15"/>
      <c r="I29" s="15"/>
      <c r="J29" s="15"/>
      <c r="K29" s="15"/>
      <c r="L29" s="15"/>
      <c r="M29" s="15"/>
      <c r="N29" s="15"/>
      <c r="O29" s="15"/>
      <c r="P29" s="15"/>
      <c r="Q29" s="15"/>
      <c r="R29" s="15"/>
      <c r="S29" s="15"/>
      <c r="T29" s="15"/>
      <c r="U29" s="15"/>
      <c r="V29" s="15"/>
      <c r="W29" s="15"/>
      <c r="X29" s="15"/>
      <c r="Y29" s="15"/>
      <c r="Z29" s="15"/>
      <c r="AA29" s="15"/>
    </row>
    <row r="30" spans="1:27">
      <c r="A30" s="13" t="s">
        <v>5</v>
      </c>
      <c r="B30" s="16" t="s">
        <v>6</v>
      </c>
      <c r="C30" s="16" t="s">
        <v>7</v>
      </c>
      <c r="D30" s="16" t="s">
        <v>8</v>
      </c>
      <c r="E30" s="16" t="s">
        <v>9</v>
      </c>
      <c r="F30" s="16" t="s">
        <v>10</v>
      </c>
      <c r="G30" s="16" t="s">
        <v>11</v>
      </c>
      <c r="H30" s="16" t="s">
        <v>12</v>
      </c>
      <c r="I30" s="16" t="s">
        <v>13</v>
      </c>
      <c r="J30" s="16" t="s">
        <v>14</v>
      </c>
      <c r="K30" s="16" t="s">
        <v>15</v>
      </c>
      <c r="L30" s="16" t="s">
        <v>16</v>
      </c>
      <c r="M30" s="16" t="s">
        <v>17</v>
      </c>
      <c r="N30" s="16" t="s">
        <v>18</v>
      </c>
      <c r="O30" s="16" t="s">
        <v>19</v>
      </c>
      <c r="P30" s="16" t="s">
        <v>20</v>
      </c>
      <c r="Q30" s="16" t="s">
        <v>21</v>
      </c>
      <c r="R30" s="16" t="s">
        <v>22</v>
      </c>
      <c r="S30" s="16" t="s">
        <v>23</v>
      </c>
      <c r="T30" s="16" t="s">
        <v>24</v>
      </c>
      <c r="U30" s="16" t="s">
        <v>25</v>
      </c>
      <c r="V30" s="16" t="s">
        <v>26</v>
      </c>
      <c r="W30" s="16" t="s">
        <v>27</v>
      </c>
      <c r="X30" s="16" t="s">
        <v>28</v>
      </c>
      <c r="Y30" s="16" t="s">
        <v>29</v>
      </c>
      <c r="Z30" s="16" t="s">
        <v>30</v>
      </c>
      <c r="AA30" s="16" t="s">
        <v>31</v>
      </c>
    </row>
    <row r="31" spans="1:27">
      <c r="A31" s="13" t="s">
        <v>32</v>
      </c>
      <c r="B31" s="15">
        <v>1</v>
      </c>
      <c r="C31" s="15">
        <v>1</v>
      </c>
      <c r="D31" s="15">
        <v>1</v>
      </c>
      <c r="E31" s="15">
        <v>1</v>
      </c>
      <c r="F31" s="15">
        <v>1</v>
      </c>
      <c r="G31" s="15">
        <v>1</v>
      </c>
      <c r="H31" s="15">
        <v>1</v>
      </c>
      <c r="I31" s="15">
        <v>1</v>
      </c>
      <c r="J31" s="15">
        <v>1</v>
      </c>
      <c r="K31" s="15">
        <v>1</v>
      </c>
      <c r="L31" s="15">
        <v>1</v>
      </c>
      <c r="M31" s="15">
        <v>1</v>
      </c>
      <c r="N31" s="15">
        <v>1</v>
      </c>
      <c r="O31" s="15">
        <v>1</v>
      </c>
      <c r="P31" s="15">
        <v>1</v>
      </c>
      <c r="Q31" s="15">
        <v>1</v>
      </c>
      <c r="R31" s="15">
        <v>1</v>
      </c>
      <c r="S31" s="15">
        <v>1</v>
      </c>
      <c r="T31" s="15">
        <v>1</v>
      </c>
      <c r="U31" s="15">
        <v>1</v>
      </c>
      <c r="V31" s="15">
        <v>1</v>
      </c>
      <c r="W31" s="15">
        <v>1</v>
      </c>
      <c r="X31" s="15">
        <v>1</v>
      </c>
      <c r="Y31" s="15">
        <v>1</v>
      </c>
      <c r="Z31" s="15">
        <v>1</v>
      </c>
      <c r="AA31" s="15">
        <v>1</v>
      </c>
    </row>
    <row r="32" spans="1:27">
      <c r="A32" s="13" t="s">
        <v>47</v>
      </c>
      <c r="B32" s="15" t="s">
        <v>99</v>
      </c>
      <c r="C32" s="15">
        <v>0.68531750000000002</v>
      </c>
      <c r="D32" s="15">
        <v>0.66714850000000003</v>
      </c>
      <c r="E32" s="15">
        <v>0.64834769999999997</v>
      </c>
      <c r="F32" s="15">
        <v>0.63797029999999999</v>
      </c>
      <c r="G32" s="15">
        <v>0.63263740000000002</v>
      </c>
      <c r="H32" s="15">
        <v>0.65249919999999995</v>
      </c>
      <c r="I32" s="15">
        <v>0.65894909999999995</v>
      </c>
      <c r="J32" s="15">
        <v>0.66928600000000005</v>
      </c>
      <c r="K32" s="15">
        <v>0.65315860000000003</v>
      </c>
      <c r="L32" s="15">
        <v>0.64039400000000002</v>
      </c>
      <c r="M32" s="15">
        <v>0.6197319</v>
      </c>
      <c r="N32" s="15">
        <v>0.63870919999999998</v>
      </c>
      <c r="O32" s="15">
        <v>0.67248059999999998</v>
      </c>
      <c r="P32" s="15">
        <v>0.66623589999999999</v>
      </c>
      <c r="Q32" s="15">
        <v>0.64963320000000002</v>
      </c>
      <c r="R32" s="15">
        <v>0.59873390000000004</v>
      </c>
      <c r="S32" s="15">
        <v>0.59242269999999997</v>
      </c>
      <c r="T32" s="15">
        <v>0.57194210000000001</v>
      </c>
      <c r="U32" s="15">
        <v>0.60045020000000005</v>
      </c>
      <c r="V32" s="15">
        <v>0.58802189999999999</v>
      </c>
      <c r="W32" s="15">
        <v>0.56965049999999995</v>
      </c>
      <c r="X32" s="15">
        <v>0.54904220000000004</v>
      </c>
      <c r="Y32" s="15">
        <v>0.5784475</v>
      </c>
      <c r="Z32" s="15">
        <v>0.60864779999999996</v>
      </c>
      <c r="AA32" s="15">
        <v>0.57149090000000002</v>
      </c>
    </row>
    <row r="33" spans="1:27">
      <c r="A33" s="13" t="s">
        <v>48</v>
      </c>
      <c r="B33" s="15" t="s">
        <v>99</v>
      </c>
      <c r="C33" s="15">
        <v>0.31468249999999998</v>
      </c>
      <c r="D33" s="15">
        <v>0.33285150000000002</v>
      </c>
      <c r="E33" s="15">
        <v>0.35165229999999997</v>
      </c>
      <c r="F33" s="15">
        <v>0.36202970000000001</v>
      </c>
      <c r="G33" s="15">
        <v>0.36736259999999998</v>
      </c>
      <c r="H33" s="15">
        <v>0.3475008</v>
      </c>
      <c r="I33" s="15">
        <v>0.34105089999999999</v>
      </c>
      <c r="J33" s="15">
        <v>0.33071400000000001</v>
      </c>
      <c r="K33" s="15">
        <v>0.34684140000000002</v>
      </c>
      <c r="L33" s="15">
        <v>0.35960599999999998</v>
      </c>
      <c r="M33" s="15">
        <v>0.3802681</v>
      </c>
      <c r="N33" s="15">
        <v>0.36129080000000002</v>
      </c>
      <c r="O33" s="15">
        <v>0.32751940000000002</v>
      </c>
      <c r="P33" s="15">
        <v>0.33376410000000001</v>
      </c>
      <c r="Q33" s="15">
        <v>0.35036679999999998</v>
      </c>
      <c r="R33" s="15">
        <v>0.40126610000000001</v>
      </c>
      <c r="S33" s="15">
        <v>0.40757729999999998</v>
      </c>
      <c r="T33" s="15">
        <v>0.42805789999999999</v>
      </c>
      <c r="U33" s="15">
        <v>0.39954980000000001</v>
      </c>
      <c r="V33" s="15">
        <v>0.41197810000000001</v>
      </c>
      <c r="W33" s="15">
        <v>0.4303495</v>
      </c>
      <c r="X33" s="15">
        <v>0.45095780000000002</v>
      </c>
      <c r="Y33" s="15">
        <v>0.4215525</v>
      </c>
      <c r="Z33" s="15">
        <v>0.39135219999999998</v>
      </c>
      <c r="AA33" s="15">
        <v>0.42850909999999998</v>
      </c>
    </row>
    <row r="34" spans="1:27" ht="30" customHeight="1">
      <c r="A34" s="12" t="s">
        <v>148</v>
      </c>
      <c r="B34" s="15"/>
      <c r="C34" s="15"/>
      <c r="D34" s="15"/>
      <c r="E34" s="15"/>
      <c r="F34" s="15"/>
      <c r="G34" s="15"/>
      <c r="H34" s="15"/>
      <c r="I34" s="15"/>
      <c r="J34" s="15"/>
      <c r="K34" s="15"/>
      <c r="L34" s="15"/>
      <c r="M34" s="15"/>
      <c r="N34" s="15"/>
      <c r="O34" s="15"/>
      <c r="P34" s="15"/>
      <c r="Q34" s="15"/>
      <c r="R34" s="15"/>
      <c r="S34" s="15"/>
      <c r="T34" s="15"/>
      <c r="U34" s="15"/>
      <c r="V34" s="15"/>
      <c r="W34" s="15"/>
      <c r="X34" s="15"/>
      <c r="Y34" s="15"/>
      <c r="Z34" s="15"/>
      <c r="AA34" s="15"/>
    </row>
    <row r="35" spans="1:27">
      <c r="A35" s="13" t="s">
        <v>5</v>
      </c>
      <c r="B35" s="16" t="s">
        <v>6</v>
      </c>
      <c r="C35" s="16" t="s">
        <v>7</v>
      </c>
      <c r="D35" s="16" t="s">
        <v>8</v>
      </c>
      <c r="E35" s="16" t="s">
        <v>9</v>
      </c>
      <c r="F35" s="16" t="s">
        <v>10</v>
      </c>
      <c r="G35" s="16" t="s">
        <v>11</v>
      </c>
      <c r="H35" s="16" t="s">
        <v>12</v>
      </c>
      <c r="I35" s="16" t="s">
        <v>13</v>
      </c>
      <c r="J35" s="16" t="s">
        <v>14</v>
      </c>
      <c r="K35" s="16" t="s">
        <v>15</v>
      </c>
      <c r="L35" s="16" t="s">
        <v>16</v>
      </c>
      <c r="M35" s="16" t="s">
        <v>17</v>
      </c>
      <c r="N35" s="16" t="s">
        <v>18</v>
      </c>
      <c r="O35" s="16" t="s">
        <v>19</v>
      </c>
      <c r="P35" s="16" t="s">
        <v>20</v>
      </c>
      <c r="Q35" s="16" t="s">
        <v>21</v>
      </c>
      <c r="R35" s="16" t="s">
        <v>22</v>
      </c>
      <c r="S35" s="16" t="s">
        <v>23</v>
      </c>
      <c r="T35" s="16" t="s">
        <v>24</v>
      </c>
      <c r="U35" s="16" t="s">
        <v>25</v>
      </c>
      <c r="V35" s="16" t="s">
        <v>26</v>
      </c>
      <c r="W35" s="16" t="s">
        <v>27</v>
      </c>
      <c r="X35" s="16" t="s">
        <v>28</v>
      </c>
      <c r="Y35" s="16" t="s">
        <v>29</v>
      </c>
      <c r="Z35" s="16" t="s">
        <v>30</v>
      </c>
      <c r="AA35" s="16" t="s">
        <v>31</v>
      </c>
    </row>
    <row r="36" spans="1:27">
      <c r="A36" s="13" t="s">
        <v>32</v>
      </c>
      <c r="B36" s="17">
        <v>550000</v>
      </c>
      <c r="C36" s="17">
        <v>540000</v>
      </c>
      <c r="D36" s="17">
        <v>500000</v>
      </c>
      <c r="E36" s="17">
        <v>460000</v>
      </c>
      <c r="F36" s="17">
        <v>420000</v>
      </c>
      <c r="G36" s="17">
        <v>400000</v>
      </c>
      <c r="H36" s="17">
        <v>360000</v>
      </c>
      <c r="I36" s="17">
        <v>320000</v>
      </c>
      <c r="J36" s="17">
        <v>280000</v>
      </c>
      <c r="K36" s="17">
        <v>260000</v>
      </c>
      <c r="L36" s="17">
        <v>250000</v>
      </c>
      <c r="M36" s="17">
        <v>240000</v>
      </c>
      <c r="N36" s="17">
        <v>240000</v>
      </c>
      <c r="O36" s="17">
        <v>240000</v>
      </c>
      <c r="P36" s="17">
        <v>230000</v>
      </c>
      <c r="Q36" s="17">
        <v>210000</v>
      </c>
      <c r="R36" s="17">
        <v>210000</v>
      </c>
      <c r="S36" s="17">
        <v>220000</v>
      </c>
      <c r="T36" s="17">
        <v>220000</v>
      </c>
      <c r="U36" s="17">
        <v>220000</v>
      </c>
      <c r="V36" s="17">
        <v>210000</v>
      </c>
      <c r="W36" s="17">
        <v>220000</v>
      </c>
      <c r="X36" s="17">
        <v>200000</v>
      </c>
      <c r="Y36" s="17">
        <v>210000</v>
      </c>
      <c r="Z36" s="17">
        <v>210000</v>
      </c>
      <c r="AA36" s="17">
        <v>210000</v>
      </c>
    </row>
    <row r="37" spans="1:27">
      <c r="A37" s="13" t="s">
        <v>47</v>
      </c>
      <c r="B37" s="17" t="s">
        <v>99</v>
      </c>
      <c r="C37" s="17">
        <v>370000</v>
      </c>
      <c r="D37" s="17">
        <v>330000</v>
      </c>
      <c r="E37" s="17">
        <v>300000</v>
      </c>
      <c r="F37" s="17">
        <v>270000</v>
      </c>
      <c r="G37" s="17">
        <v>250000</v>
      </c>
      <c r="H37" s="17">
        <v>230000</v>
      </c>
      <c r="I37" s="17">
        <v>210000</v>
      </c>
      <c r="J37" s="17">
        <v>190000</v>
      </c>
      <c r="K37" s="17">
        <v>170000</v>
      </c>
      <c r="L37" s="17">
        <v>160000</v>
      </c>
      <c r="M37" s="17">
        <v>150000</v>
      </c>
      <c r="N37" s="17">
        <v>150000</v>
      </c>
      <c r="O37" s="17">
        <v>160000</v>
      </c>
      <c r="P37" s="17">
        <v>150000</v>
      </c>
      <c r="Q37" s="17">
        <v>140000</v>
      </c>
      <c r="R37" s="17" t="s">
        <v>98</v>
      </c>
      <c r="S37" s="17" t="s">
        <v>98</v>
      </c>
      <c r="T37" s="17">
        <v>120000</v>
      </c>
      <c r="U37" s="17">
        <v>130000</v>
      </c>
      <c r="V37" s="17">
        <v>120000</v>
      </c>
      <c r="W37" s="17">
        <v>120000</v>
      </c>
      <c r="X37" s="17">
        <v>110000</v>
      </c>
      <c r="Y37" s="17">
        <v>120000</v>
      </c>
      <c r="Z37" s="17">
        <v>130000</v>
      </c>
      <c r="AA37" s="17">
        <v>120000</v>
      </c>
    </row>
    <row r="38" spans="1:27">
      <c r="A38" s="13" t="s">
        <v>48</v>
      </c>
      <c r="B38" s="17" t="s">
        <v>99</v>
      </c>
      <c r="C38" s="17">
        <v>170000</v>
      </c>
      <c r="D38" s="17">
        <v>170000</v>
      </c>
      <c r="E38" s="17">
        <v>160000</v>
      </c>
      <c r="F38" s="17">
        <v>150000</v>
      </c>
      <c r="G38" s="17">
        <v>150000</v>
      </c>
      <c r="H38" s="17">
        <v>130000</v>
      </c>
      <c r="I38" s="17">
        <v>110000</v>
      </c>
      <c r="J38" s="17">
        <v>90000</v>
      </c>
      <c r="K38" s="17">
        <v>90000</v>
      </c>
      <c r="L38" s="17">
        <v>90000</v>
      </c>
      <c r="M38" s="17">
        <v>90000</v>
      </c>
      <c r="N38" s="17">
        <v>90000</v>
      </c>
      <c r="O38" s="17">
        <v>80000</v>
      </c>
      <c r="P38" s="17">
        <v>80000</v>
      </c>
      <c r="Q38" s="17">
        <v>70000</v>
      </c>
      <c r="R38" s="17" t="s">
        <v>98</v>
      </c>
      <c r="S38" s="17" t="s">
        <v>98</v>
      </c>
      <c r="T38" s="17">
        <v>90000</v>
      </c>
      <c r="U38" s="17">
        <v>90000</v>
      </c>
      <c r="V38" s="17">
        <v>90000</v>
      </c>
      <c r="W38" s="17">
        <v>90000</v>
      </c>
      <c r="X38" s="17">
        <v>90000</v>
      </c>
      <c r="Y38" s="17">
        <v>90000</v>
      </c>
      <c r="Z38" s="17">
        <v>80000</v>
      </c>
      <c r="AA38" s="17" t="s">
        <v>35</v>
      </c>
    </row>
    <row r="39" spans="1:27" ht="30" customHeight="1">
      <c r="A39" s="12" t="s">
        <v>149</v>
      </c>
      <c r="B39" s="17"/>
      <c r="C39" s="17"/>
      <c r="D39" s="17"/>
      <c r="E39" s="17"/>
      <c r="F39" s="17"/>
      <c r="G39" s="17"/>
      <c r="H39" s="17"/>
      <c r="I39" s="17"/>
      <c r="J39" s="17"/>
      <c r="K39" s="17"/>
      <c r="L39" s="17"/>
      <c r="M39" s="17"/>
      <c r="N39" s="17"/>
      <c r="O39" s="17"/>
      <c r="P39" s="17"/>
      <c r="Q39" s="17"/>
      <c r="R39" s="17"/>
      <c r="S39" s="17"/>
      <c r="T39" s="17"/>
      <c r="U39" s="17"/>
      <c r="V39" s="17"/>
      <c r="W39" s="17"/>
      <c r="X39" s="17"/>
      <c r="Y39" s="17"/>
      <c r="Z39" s="17"/>
      <c r="AA39" s="17"/>
    </row>
    <row r="40" spans="1:27">
      <c r="A40" s="13" t="s">
        <v>5</v>
      </c>
      <c r="B40" s="18" t="s">
        <v>6</v>
      </c>
      <c r="C40" s="18" t="s">
        <v>7</v>
      </c>
      <c r="D40" s="18" t="s">
        <v>8</v>
      </c>
      <c r="E40" s="18" t="s">
        <v>9</v>
      </c>
      <c r="F40" s="18" t="s">
        <v>10</v>
      </c>
      <c r="G40" s="18" t="s">
        <v>11</v>
      </c>
      <c r="H40" s="18" t="s">
        <v>12</v>
      </c>
      <c r="I40" s="18" t="s">
        <v>13</v>
      </c>
      <c r="J40" s="18" t="s">
        <v>14</v>
      </c>
      <c r="K40" s="18" t="s">
        <v>15</v>
      </c>
      <c r="L40" s="18" t="s">
        <v>16</v>
      </c>
      <c r="M40" s="18" t="s">
        <v>17</v>
      </c>
      <c r="N40" s="18" t="s">
        <v>18</v>
      </c>
      <c r="O40" s="18" t="s">
        <v>19</v>
      </c>
      <c r="P40" s="18" t="s">
        <v>20</v>
      </c>
      <c r="Q40" s="18" t="s">
        <v>21</v>
      </c>
      <c r="R40" s="18" t="s">
        <v>22</v>
      </c>
      <c r="S40" s="18" t="s">
        <v>23</v>
      </c>
      <c r="T40" s="18" t="s">
        <v>24</v>
      </c>
      <c r="U40" s="18" t="s">
        <v>25</v>
      </c>
      <c r="V40" s="18" t="s">
        <v>26</v>
      </c>
      <c r="W40" s="18" t="s">
        <v>27</v>
      </c>
      <c r="X40" s="18" t="s">
        <v>28</v>
      </c>
      <c r="Y40" s="18" t="s">
        <v>29</v>
      </c>
      <c r="Z40" s="18" t="s">
        <v>30</v>
      </c>
      <c r="AA40" s="18" t="s">
        <v>31</v>
      </c>
    </row>
    <row r="41" spans="1:27">
      <c r="A41" s="13" t="s">
        <v>32</v>
      </c>
      <c r="B41" s="15" t="s">
        <v>99</v>
      </c>
      <c r="C41" s="15" t="s">
        <v>99</v>
      </c>
      <c r="D41" s="15" t="s">
        <v>99</v>
      </c>
      <c r="E41" s="15" t="s">
        <v>99</v>
      </c>
      <c r="F41" s="15" t="s">
        <v>99</v>
      </c>
      <c r="G41" s="15" t="s">
        <v>99</v>
      </c>
      <c r="H41" s="15" t="s">
        <v>99</v>
      </c>
      <c r="I41" s="15" t="s">
        <v>99</v>
      </c>
      <c r="J41" s="15" t="s">
        <v>99</v>
      </c>
      <c r="K41" s="15" t="s">
        <v>99</v>
      </c>
      <c r="L41" s="15">
        <v>0.15674099999999999</v>
      </c>
      <c r="M41" s="15">
        <v>0.15043819999999999</v>
      </c>
      <c r="N41" s="15">
        <v>0.16121170000000001</v>
      </c>
      <c r="O41" s="15">
        <v>0.16044269999999999</v>
      </c>
      <c r="P41" s="15">
        <v>0.15772449999999999</v>
      </c>
      <c r="Q41" s="15" t="s">
        <v>98</v>
      </c>
      <c r="R41" s="15">
        <v>0.1183056</v>
      </c>
      <c r="S41" s="15">
        <v>0.12175800000000001</v>
      </c>
      <c r="T41" s="15">
        <v>0.12656249999999999</v>
      </c>
      <c r="U41" s="15">
        <v>0.12551419999999999</v>
      </c>
      <c r="V41" s="15">
        <v>0.1152852</v>
      </c>
      <c r="W41" s="15">
        <v>0.1210937</v>
      </c>
      <c r="X41" s="15">
        <v>0.12252349999999999</v>
      </c>
      <c r="Y41" s="15">
        <v>0.12522369999999999</v>
      </c>
      <c r="Z41" s="15">
        <v>0.1194209</v>
      </c>
      <c r="AA41" s="15">
        <v>0.105203</v>
      </c>
    </row>
    <row r="42" spans="1:27">
      <c r="A42" s="13" t="s">
        <v>47</v>
      </c>
      <c r="B42" s="15" t="s">
        <v>99</v>
      </c>
      <c r="C42" s="15" t="s">
        <v>99</v>
      </c>
      <c r="D42" s="15" t="s">
        <v>99</v>
      </c>
      <c r="E42" s="15" t="s">
        <v>99</v>
      </c>
      <c r="F42" s="15" t="s">
        <v>99</v>
      </c>
      <c r="G42" s="15" t="s">
        <v>99</v>
      </c>
      <c r="H42" s="15" t="s">
        <v>99</v>
      </c>
      <c r="I42" s="15" t="s">
        <v>99</v>
      </c>
      <c r="J42" s="15" t="s">
        <v>99</v>
      </c>
      <c r="K42" s="15" t="s">
        <v>99</v>
      </c>
      <c r="L42" s="15">
        <v>0.11800579999999999</v>
      </c>
      <c r="M42" s="15">
        <v>0.1054712</v>
      </c>
      <c r="N42" s="15">
        <v>0.1161744</v>
      </c>
      <c r="O42" s="15">
        <v>0.122611</v>
      </c>
      <c r="P42" s="15">
        <v>0.12186230000000001</v>
      </c>
      <c r="Q42" s="15" t="s">
        <v>98</v>
      </c>
      <c r="R42" s="15">
        <v>8.17972E-2</v>
      </c>
      <c r="S42" s="15">
        <v>8.4666699999999998E-2</v>
      </c>
      <c r="T42" s="15">
        <v>8.2233399999999998E-2</v>
      </c>
      <c r="U42" s="15">
        <v>8.3467200000000005E-2</v>
      </c>
      <c r="V42" s="15">
        <v>7.7964900000000004E-2</v>
      </c>
      <c r="W42" s="15">
        <v>7.9063400000000006E-2</v>
      </c>
      <c r="X42" s="15">
        <v>8.0586900000000003E-2</v>
      </c>
      <c r="Y42" s="15">
        <v>8.2690799999999995E-2</v>
      </c>
      <c r="Z42" s="15">
        <v>8.6916300000000002E-2</v>
      </c>
      <c r="AA42" s="15">
        <v>6.0554999999999998E-2</v>
      </c>
    </row>
    <row r="43" spans="1:27">
      <c r="A43" s="13" t="s">
        <v>48</v>
      </c>
      <c r="B43" s="15" t="s">
        <v>99</v>
      </c>
      <c r="C43" s="15" t="s">
        <v>99</v>
      </c>
      <c r="D43" s="15" t="s">
        <v>99</v>
      </c>
      <c r="E43" s="15" t="s">
        <v>99</v>
      </c>
      <c r="F43" s="15" t="s">
        <v>99</v>
      </c>
      <c r="G43" s="15" t="s">
        <v>99</v>
      </c>
      <c r="H43" s="15" t="s">
        <v>99</v>
      </c>
      <c r="I43" s="15" t="s">
        <v>99</v>
      </c>
      <c r="J43" s="15" t="s">
        <v>99</v>
      </c>
      <c r="K43" s="15" t="s">
        <v>99</v>
      </c>
      <c r="L43" s="15">
        <v>0.2662525</v>
      </c>
      <c r="M43" s="15">
        <v>0.28165400000000002</v>
      </c>
      <c r="N43" s="15">
        <v>0.29590280000000002</v>
      </c>
      <c r="O43" s="15">
        <v>0.27569890000000002</v>
      </c>
      <c r="P43" s="15">
        <v>0.2629978</v>
      </c>
      <c r="Q43" s="15" t="s">
        <v>98</v>
      </c>
      <c r="R43" s="15">
        <v>0.2145898</v>
      </c>
      <c r="S43" s="15">
        <v>0.21424260000000001</v>
      </c>
      <c r="T43" s="15">
        <v>0.22696730000000001</v>
      </c>
      <c r="U43" s="15">
        <v>0.21844089999999999</v>
      </c>
      <c r="V43" s="15">
        <v>0.19031120000000001</v>
      </c>
      <c r="W43" s="15">
        <v>0.20039660000000001</v>
      </c>
      <c r="X43" s="15">
        <v>0.19888620000000001</v>
      </c>
      <c r="Y43" s="15">
        <v>0.2038954</v>
      </c>
      <c r="Z43" s="15">
        <v>0.179868</v>
      </c>
      <c r="AA43" s="15">
        <v>0.17799609999999999</v>
      </c>
    </row>
    <row r="44" spans="1:27" ht="30" customHeight="1">
      <c r="A44" s="12" t="s">
        <v>150</v>
      </c>
      <c r="B44" s="15"/>
      <c r="C44" s="15"/>
      <c r="D44" s="15"/>
      <c r="E44" s="15"/>
      <c r="F44" s="15"/>
      <c r="G44" s="15"/>
      <c r="H44" s="15"/>
      <c r="I44" s="15"/>
      <c r="J44" s="15"/>
      <c r="K44" s="15"/>
      <c r="L44" s="15"/>
      <c r="M44" s="15"/>
      <c r="N44" s="15"/>
      <c r="O44" s="15"/>
      <c r="P44" s="15"/>
      <c r="Q44" s="15"/>
      <c r="R44" s="15"/>
      <c r="S44" s="15"/>
      <c r="T44" s="15"/>
      <c r="U44" s="15"/>
      <c r="V44" s="15"/>
      <c r="W44" s="15"/>
      <c r="X44" s="15"/>
      <c r="Y44" s="15"/>
      <c r="Z44" s="15"/>
      <c r="AA44" s="15"/>
    </row>
    <row r="45" spans="1:27">
      <c r="A45" s="13" t="s">
        <v>5</v>
      </c>
      <c r="B45" s="16" t="s">
        <v>6</v>
      </c>
      <c r="C45" s="16" t="s">
        <v>7</v>
      </c>
      <c r="D45" s="16" t="s">
        <v>8</v>
      </c>
      <c r="E45" s="16" t="s">
        <v>9</v>
      </c>
      <c r="F45" s="16" t="s">
        <v>10</v>
      </c>
      <c r="G45" s="16" t="s">
        <v>11</v>
      </c>
      <c r="H45" s="16" t="s">
        <v>12</v>
      </c>
      <c r="I45" s="16" t="s">
        <v>13</v>
      </c>
      <c r="J45" s="16" t="s">
        <v>14</v>
      </c>
      <c r="K45" s="16" t="s">
        <v>15</v>
      </c>
      <c r="L45" s="16" t="s">
        <v>16</v>
      </c>
      <c r="M45" s="16" t="s">
        <v>17</v>
      </c>
      <c r="N45" s="16" t="s">
        <v>18</v>
      </c>
      <c r="O45" s="16" t="s">
        <v>19</v>
      </c>
      <c r="P45" s="16" t="s">
        <v>20</v>
      </c>
      <c r="Q45" s="16" t="s">
        <v>21</v>
      </c>
      <c r="R45" s="16" t="s">
        <v>22</v>
      </c>
      <c r="S45" s="16" t="s">
        <v>23</v>
      </c>
      <c r="T45" s="16" t="s">
        <v>24</v>
      </c>
      <c r="U45" s="16" t="s">
        <v>25</v>
      </c>
      <c r="V45" s="16" t="s">
        <v>26</v>
      </c>
      <c r="W45" s="16" t="s">
        <v>27</v>
      </c>
      <c r="X45" s="16" t="s">
        <v>28</v>
      </c>
      <c r="Y45" s="16" t="s">
        <v>29</v>
      </c>
      <c r="Z45" s="16" t="s">
        <v>30</v>
      </c>
      <c r="AA45" s="16" t="s">
        <v>31</v>
      </c>
    </row>
    <row r="46" spans="1:27">
      <c r="A46" s="13" t="s">
        <v>32</v>
      </c>
      <c r="B46" s="15" t="s">
        <v>99</v>
      </c>
      <c r="C46" s="15" t="s">
        <v>99</v>
      </c>
      <c r="D46" s="15" t="s">
        <v>99</v>
      </c>
      <c r="E46" s="15" t="s">
        <v>99</v>
      </c>
      <c r="F46" s="15" t="s">
        <v>99</v>
      </c>
      <c r="G46" s="15" t="s">
        <v>99</v>
      </c>
      <c r="H46" s="15" t="s">
        <v>99</v>
      </c>
      <c r="I46" s="15" t="s">
        <v>99</v>
      </c>
      <c r="J46" s="15" t="s">
        <v>99</v>
      </c>
      <c r="K46" s="15" t="s">
        <v>99</v>
      </c>
      <c r="L46" s="15">
        <v>1</v>
      </c>
      <c r="M46" s="15">
        <v>1</v>
      </c>
      <c r="N46" s="15">
        <v>1</v>
      </c>
      <c r="O46" s="15">
        <v>1</v>
      </c>
      <c r="P46" s="15">
        <v>1</v>
      </c>
      <c r="Q46" s="15" t="s">
        <v>98</v>
      </c>
      <c r="R46" s="15">
        <v>1</v>
      </c>
      <c r="S46" s="15">
        <v>1</v>
      </c>
      <c r="T46" s="15">
        <v>1</v>
      </c>
      <c r="U46" s="15">
        <v>1</v>
      </c>
      <c r="V46" s="15">
        <v>1</v>
      </c>
      <c r="W46" s="15">
        <v>1</v>
      </c>
      <c r="X46" s="15">
        <v>1</v>
      </c>
      <c r="Y46" s="15">
        <v>1</v>
      </c>
      <c r="Z46" s="15">
        <v>1</v>
      </c>
      <c r="AA46" s="15">
        <v>1</v>
      </c>
    </row>
    <row r="47" spans="1:27">
      <c r="A47" s="13" t="s">
        <v>47</v>
      </c>
      <c r="B47" s="15" t="s">
        <v>99</v>
      </c>
      <c r="C47" s="15" t="s">
        <v>99</v>
      </c>
      <c r="D47" s="15" t="s">
        <v>99</v>
      </c>
      <c r="E47" s="15" t="s">
        <v>99</v>
      </c>
      <c r="F47" s="15" t="s">
        <v>99</v>
      </c>
      <c r="G47" s="15" t="s">
        <v>99</v>
      </c>
      <c r="H47" s="15" t="s">
        <v>99</v>
      </c>
      <c r="I47" s="15" t="s">
        <v>99</v>
      </c>
      <c r="J47" s="15" t="s">
        <v>99</v>
      </c>
      <c r="K47" s="15" t="s">
        <v>99</v>
      </c>
      <c r="L47" s="15">
        <v>0.55291159999999995</v>
      </c>
      <c r="M47" s="15">
        <v>0.52090449999999999</v>
      </c>
      <c r="N47" s="15">
        <v>0.53896520000000003</v>
      </c>
      <c r="O47" s="15">
        <v>0.5751925</v>
      </c>
      <c r="P47" s="15">
        <v>0.57686760000000004</v>
      </c>
      <c r="Q47" s="15" t="s">
        <v>98</v>
      </c>
      <c r="R47" s="15">
        <v>0.50362180000000001</v>
      </c>
      <c r="S47" s="15">
        <v>0.50050749999999999</v>
      </c>
      <c r="T47" s="15">
        <v>0.4495903</v>
      </c>
      <c r="U47" s="15">
        <v>0.45549849999999997</v>
      </c>
      <c r="V47" s="15">
        <v>0.4504975</v>
      </c>
      <c r="W47" s="15">
        <v>0.43327070000000001</v>
      </c>
      <c r="X47" s="15">
        <v>0.42816169999999998</v>
      </c>
      <c r="Y47" s="15">
        <v>0.43207760000000001</v>
      </c>
      <c r="Z47" s="15">
        <v>0.4723774</v>
      </c>
      <c r="AA47" s="15">
        <v>0.35252470000000002</v>
      </c>
    </row>
    <row r="48" spans="1:27">
      <c r="A48" s="13" t="s">
        <v>48</v>
      </c>
      <c r="B48" s="15" t="s">
        <v>99</v>
      </c>
      <c r="C48" s="15" t="s">
        <v>99</v>
      </c>
      <c r="D48" s="15" t="s">
        <v>99</v>
      </c>
      <c r="E48" s="15" t="s">
        <v>99</v>
      </c>
      <c r="F48" s="15" t="s">
        <v>99</v>
      </c>
      <c r="G48" s="15" t="s">
        <v>99</v>
      </c>
      <c r="H48" s="15" t="s">
        <v>99</v>
      </c>
      <c r="I48" s="15" t="s">
        <v>99</v>
      </c>
      <c r="J48" s="15" t="s">
        <v>99</v>
      </c>
      <c r="K48" s="15" t="s">
        <v>99</v>
      </c>
      <c r="L48" s="15">
        <v>0.4470884</v>
      </c>
      <c r="M48" s="15">
        <v>0.47909550000000001</v>
      </c>
      <c r="N48" s="15">
        <v>0.46103480000000002</v>
      </c>
      <c r="O48" s="15">
        <v>0.4248075</v>
      </c>
      <c r="P48" s="15">
        <v>0.42313240000000002</v>
      </c>
      <c r="Q48" s="15" t="s">
        <v>98</v>
      </c>
      <c r="R48" s="15">
        <v>0.49637819999999999</v>
      </c>
      <c r="S48" s="15">
        <v>0.49949250000000001</v>
      </c>
      <c r="T48" s="15">
        <v>0.5504097</v>
      </c>
      <c r="U48" s="15">
        <v>0.54450149999999997</v>
      </c>
      <c r="V48" s="15">
        <v>0.5495025</v>
      </c>
      <c r="W48" s="15">
        <v>0.56672929999999999</v>
      </c>
      <c r="X48" s="15">
        <v>0.57183830000000002</v>
      </c>
      <c r="Y48" s="15">
        <v>0.56792240000000005</v>
      </c>
      <c r="Z48" s="15">
        <v>0.52762260000000005</v>
      </c>
      <c r="AA48" s="15">
        <v>0.64747529999999998</v>
      </c>
    </row>
    <row r="49" spans="1:27" ht="30" customHeight="1">
      <c r="A49" s="12" t="s">
        <v>151</v>
      </c>
      <c r="B49" s="15"/>
      <c r="C49" s="15"/>
      <c r="D49" s="15"/>
      <c r="E49" s="15"/>
      <c r="F49" s="15"/>
      <c r="G49" s="15"/>
      <c r="H49" s="15"/>
      <c r="I49" s="15"/>
      <c r="J49" s="15"/>
      <c r="K49" s="15"/>
      <c r="L49" s="15"/>
      <c r="M49" s="15"/>
      <c r="N49" s="15"/>
      <c r="O49" s="15"/>
      <c r="P49" s="15"/>
      <c r="Q49" s="15"/>
      <c r="R49" s="15"/>
      <c r="S49" s="15"/>
      <c r="T49" s="15"/>
      <c r="U49" s="15"/>
      <c r="V49" s="15"/>
      <c r="W49" s="15"/>
      <c r="X49" s="15"/>
      <c r="Y49" s="15"/>
      <c r="Z49" s="15"/>
      <c r="AA49" s="15"/>
    </row>
    <row r="50" spans="1:27">
      <c r="A50" s="13" t="s">
        <v>5</v>
      </c>
      <c r="B50" s="16" t="s">
        <v>6</v>
      </c>
      <c r="C50" s="16" t="s">
        <v>7</v>
      </c>
      <c r="D50" s="16" t="s">
        <v>8</v>
      </c>
      <c r="E50" s="16" t="s">
        <v>9</v>
      </c>
      <c r="F50" s="16" t="s">
        <v>10</v>
      </c>
      <c r="G50" s="16" t="s">
        <v>11</v>
      </c>
      <c r="H50" s="16" t="s">
        <v>12</v>
      </c>
      <c r="I50" s="16" t="s">
        <v>13</v>
      </c>
      <c r="J50" s="16" t="s">
        <v>14</v>
      </c>
      <c r="K50" s="16" t="s">
        <v>15</v>
      </c>
      <c r="L50" s="16" t="s">
        <v>16</v>
      </c>
      <c r="M50" s="16" t="s">
        <v>17</v>
      </c>
      <c r="N50" s="16" t="s">
        <v>18</v>
      </c>
      <c r="O50" s="16" t="s">
        <v>19</v>
      </c>
      <c r="P50" s="16" t="s">
        <v>20</v>
      </c>
      <c r="Q50" s="16" t="s">
        <v>21</v>
      </c>
      <c r="R50" s="16" t="s">
        <v>22</v>
      </c>
      <c r="S50" s="16" t="s">
        <v>23</v>
      </c>
      <c r="T50" s="16" t="s">
        <v>24</v>
      </c>
      <c r="U50" s="16" t="s">
        <v>25</v>
      </c>
      <c r="V50" s="16" t="s">
        <v>26</v>
      </c>
      <c r="W50" s="16" t="s">
        <v>27</v>
      </c>
      <c r="X50" s="16" t="s">
        <v>28</v>
      </c>
      <c r="Y50" s="16" t="s">
        <v>29</v>
      </c>
      <c r="Z50" s="16" t="s">
        <v>30</v>
      </c>
      <c r="AA50" s="16" t="s">
        <v>31</v>
      </c>
    </row>
    <row r="51" spans="1:27">
      <c r="A51" s="13" t="s">
        <v>32</v>
      </c>
      <c r="B51" s="17" t="s">
        <v>99</v>
      </c>
      <c r="C51" s="17" t="s">
        <v>99</v>
      </c>
      <c r="D51" s="17" t="s">
        <v>99</v>
      </c>
      <c r="E51" s="17" t="s">
        <v>99</v>
      </c>
      <c r="F51" s="17" t="s">
        <v>99</v>
      </c>
      <c r="G51" s="17" t="s">
        <v>99</v>
      </c>
      <c r="H51" s="17" t="s">
        <v>99</v>
      </c>
      <c r="I51" s="17" t="s">
        <v>99</v>
      </c>
      <c r="J51" s="17" t="s">
        <v>99</v>
      </c>
      <c r="K51" s="17" t="s">
        <v>99</v>
      </c>
      <c r="L51" s="17">
        <v>160000</v>
      </c>
      <c r="M51" s="17">
        <v>150000</v>
      </c>
      <c r="N51" s="17">
        <v>160000</v>
      </c>
      <c r="O51" s="17">
        <v>160000</v>
      </c>
      <c r="P51" s="17">
        <v>160000</v>
      </c>
      <c r="Q51" s="17" t="s">
        <v>98</v>
      </c>
      <c r="R51" s="17">
        <v>120000</v>
      </c>
      <c r="S51" s="17">
        <v>120000</v>
      </c>
      <c r="T51" s="17">
        <v>130000</v>
      </c>
      <c r="U51" s="17">
        <v>120000</v>
      </c>
      <c r="V51" s="17">
        <v>110000</v>
      </c>
      <c r="W51" s="17">
        <v>120000</v>
      </c>
      <c r="X51" s="17">
        <v>120000</v>
      </c>
      <c r="Y51" s="17">
        <v>120000</v>
      </c>
      <c r="Z51" s="17">
        <v>120000</v>
      </c>
      <c r="AA51" s="17" t="s">
        <v>35</v>
      </c>
    </row>
    <row r="52" spans="1:27">
      <c r="A52" s="13" t="s">
        <v>47</v>
      </c>
      <c r="B52" s="17" t="s">
        <v>99</v>
      </c>
      <c r="C52" s="17" t="s">
        <v>99</v>
      </c>
      <c r="D52" s="17" t="s">
        <v>99</v>
      </c>
      <c r="E52" s="17" t="s">
        <v>99</v>
      </c>
      <c r="F52" s="17" t="s">
        <v>99</v>
      </c>
      <c r="G52" s="17" t="s">
        <v>99</v>
      </c>
      <c r="H52" s="17" t="s">
        <v>99</v>
      </c>
      <c r="I52" s="17" t="s">
        <v>99</v>
      </c>
      <c r="J52" s="17" t="s">
        <v>99</v>
      </c>
      <c r="K52" s="17" t="s">
        <v>99</v>
      </c>
      <c r="L52" s="17">
        <v>90000</v>
      </c>
      <c r="M52" s="17">
        <v>80000</v>
      </c>
      <c r="N52" s="17">
        <v>90000</v>
      </c>
      <c r="O52" s="17">
        <v>90000</v>
      </c>
      <c r="P52" s="17">
        <v>90000</v>
      </c>
      <c r="Q52" s="17" t="s">
        <v>98</v>
      </c>
      <c r="R52" s="17" t="s">
        <v>98</v>
      </c>
      <c r="S52" s="17" t="s">
        <v>98</v>
      </c>
      <c r="T52" s="17">
        <v>60000</v>
      </c>
      <c r="U52" s="17">
        <v>60000</v>
      </c>
      <c r="V52" s="17">
        <v>50000</v>
      </c>
      <c r="W52" s="17">
        <v>50000</v>
      </c>
      <c r="X52" s="17">
        <v>50000</v>
      </c>
      <c r="Y52" s="17" t="s">
        <v>35</v>
      </c>
      <c r="Z52" s="17" t="s">
        <v>35</v>
      </c>
      <c r="AA52" s="17" t="s">
        <v>35</v>
      </c>
    </row>
    <row r="53" spans="1:27">
      <c r="A53" s="13" t="s">
        <v>48</v>
      </c>
      <c r="B53" s="17" t="s">
        <v>99</v>
      </c>
      <c r="C53" s="17" t="s">
        <v>99</v>
      </c>
      <c r="D53" s="17" t="s">
        <v>99</v>
      </c>
      <c r="E53" s="17" t="s">
        <v>99</v>
      </c>
      <c r="F53" s="17" t="s">
        <v>99</v>
      </c>
      <c r="G53" s="17" t="s">
        <v>99</v>
      </c>
      <c r="H53" s="17" t="s">
        <v>99</v>
      </c>
      <c r="I53" s="17" t="s">
        <v>99</v>
      </c>
      <c r="J53" s="17" t="s">
        <v>99</v>
      </c>
      <c r="K53" s="17" t="s">
        <v>99</v>
      </c>
      <c r="L53" s="17">
        <v>70000</v>
      </c>
      <c r="M53" s="17">
        <v>70000</v>
      </c>
      <c r="N53" s="17">
        <v>70000</v>
      </c>
      <c r="O53" s="17">
        <v>70000</v>
      </c>
      <c r="P53" s="17">
        <v>70000</v>
      </c>
      <c r="Q53" s="17" t="s">
        <v>98</v>
      </c>
      <c r="R53" s="17" t="s">
        <v>98</v>
      </c>
      <c r="S53" s="17" t="s">
        <v>98</v>
      </c>
      <c r="T53" s="17">
        <v>70000</v>
      </c>
      <c r="U53" s="17">
        <v>70000</v>
      </c>
      <c r="V53" s="17">
        <v>60000</v>
      </c>
      <c r="W53" s="17">
        <v>70000</v>
      </c>
      <c r="X53" s="17">
        <v>70000</v>
      </c>
      <c r="Y53" s="17">
        <v>70000</v>
      </c>
      <c r="Z53" s="17" t="s">
        <v>35</v>
      </c>
      <c r="AA53" s="17" t="s">
        <v>35</v>
      </c>
    </row>
    <row r="54" spans="1:27" ht="30" customHeight="1">
      <c r="A54" s="12" t="s">
        <v>152</v>
      </c>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7"/>
    </row>
    <row r="55" spans="1:27">
      <c r="A55" s="13" t="s">
        <v>5</v>
      </c>
      <c r="B55" s="18" t="s">
        <v>6</v>
      </c>
      <c r="C55" s="18" t="s">
        <v>7</v>
      </c>
      <c r="D55" s="18" t="s">
        <v>8</v>
      </c>
      <c r="E55" s="18" t="s">
        <v>9</v>
      </c>
      <c r="F55" s="18" t="s">
        <v>10</v>
      </c>
      <c r="G55" s="18" t="s">
        <v>11</v>
      </c>
      <c r="H55" s="18" t="s">
        <v>12</v>
      </c>
      <c r="I55" s="18" t="s">
        <v>13</v>
      </c>
      <c r="J55" s="18" t="s">
        <v>14</v>
      </c>
      <c r="K55" s="18" t="s">
        <v>15</v>
      </c>
      <c r="L55" s="18" t="s">
        <v>16</v>
      </c>
      <c r="M55" s="18" t="s">
        <v>17</v>
      </c>
      <c r="N55" s="18" t="s">
        <v>18</v>
      </c>
      <c r="O55" s="18" t="s">
        <v>19</v>
      </c>
      <c r="P55" s="18" t="s">
        <v>20</v>
      </c>
      <c r="Q55" s="18" t="s">
        <v>21</v>
      </c>
      <c r="R55" s="18" t="s">
        <v>22</v>
      </c>
      <c r="S55" s="18" t="s">
        <v>23</v>
      </c>
      <c r="T55" s="18" t="s">
        <v>24</v>
      </c>
      <c r="U55" s="18" t="s">
        <v>25</v>
      </c>
      <c r="V55" s="18" t="s">
        <v>26</v>
      </c>
      <c r="W55" s="18" t="s">
        <v>27</v>
      </c>
      <c r="X55" s="18" t="s">
        <v>28</v>
      </c>
      <c r="Y55" s="18" t="s">
        <v>29</v>
      </c>
      <c r="Z55" s="18" t="s">
        <v>30</v>
      </c>
      <c r="AA55" s="18" t="s">
        <v>31</v>
      </c>
    </row>
    <row r="56" spans="1:27">
      <c r="A56" s="13" t="s">
        <v>32</v>
      </c>
      <c r="B56" s="17">
        <v>2277</v>
      </c>
      <c r="C56" s="17">
        <v>2168</v>
      </c>
      <c r="D56" s="17">
        <v>1980</v>
      </c>
      <c r="E56" s="17">
        <v>1921</v>
      </c>
      <c r="F56" s="17">
        <v>1858</v>
      </c>
      <c r="G56" s="17">
        <v>1967</v>
      </c>
      <c r="H56" s="17">
        <v>2708</v>
      </c>
      <c r="I56" s="17">
        <v>3414</v>
      </c>
      <c r="J56" s="17">
        <v>3963</v>
      </c>
      <c r="K56" s="17">
        <v>3771</v>
      </c>
      <c r="L56" s="17">
        <v>3543</v>
      </c>
      <c r="M56" s="17">
        <v>3498</v>
      </c>
      <c r="N56" s="17">
        <v>3443</v>
      </c>
      <c r="O56" s="17">
        <v>3417</v>
      </c>
      <c r="P56" s="17">
        <v>3364</v>
      </c>
      <c r="Q56" s="17">
        <v>3103</v>
      </c>
      <c r="R56" s="17">
        <v>2851</v>
      </c>
      <c r="S56" s="17">
        <v>2504</v>
      </c>
      <c r="T56" s="17">
        <v>2386</v>
      </c>
      <c r="U56" s="17">
        <v>2174</v>
      </c>
      <c r="V56" s="17">
        <v>2122</v>
      </c>
      <c r="W56" s="17">
        <v>1974</v>
      </c>
      <c r="X56" s="17">
        <v>2031</v>
      </c>
      <c r="Y56" s="17">
        <v>1947</v>
      </c>
      <c r="Z56" s="17">
        <v>1326</v>
      </c>
      <c r="AA56" s="17">
        <v>1000</v>
      </c>
    </row>
    <row r="57" spans="1:27">
      <c r="A57" s="13" t="s">
        <v>47</v>
      </c>
      <c r="B57" s="17" t="s">
        <v>99</v>
      </c>
      <c r="C57" s="17">
        <v>1656</v>
      </c>
      <c r="D57" s="17">
        <v>1520</v>
      </c>
      <c r="E57" s="17">
        <v>1464</v>
      </c>
      <c r="F57" s="17">
        <v>1405</v>
      </c>
      <c r="G57" s="17">
        <v>1469</v>
      </c>
      <c r="H57" s="17">
        <v>2020</v>
      </c>
      <c r="I57" s="17">
        <v>2538</v>
      </c>
      <c r="J57" s="17">
        <v>2958</v>
      </c>
      <c r="K57" s="17">
        <v>2802</v>
      </c>
      <c r="L57" s="17">
        <v>2651</v>
      </c>
      <c r="M57" s="17">
        <v>2610</v>
      </c>
      <c r="N57" s="17">
        <v>2582</v>
      </c>
      <c r="O57" s="17">
        <v>2579</v>
      </c>
      <c r="P57" s="17">
        <v>2534</v>
      </c>
      <c r="Q57" s="17">
        <v>2336</v>
      </c>
      <c r="R57" s="17">
        <v>2096</v>
      </c>
      <c r="S57" s="17">
        <v>1820</v>
      </c>
      <c r="T57" s="17">
        <v>1679</v>
      </c>
      <c r="U57" s="17">
        <v>1505</v>
      </c>
      <c r="V57" s="17">
        <v>1416</v>
      </c>
      <c r="W57" s="17">
        <v>1311</v>
      </c>
      <c r="X57" s="17">
        <v>1328</v>
      </c>
      <c r="Y57" s="17">
        <v>1267</v>
      </c>
      <c r="Z57" s="17">
        <v>852</v>
      </c>
      <c r="AA57" s="17">
        <v>640</v>
      </c>
    </row>
    <row r="58" spans="1:27">
      <c r="A58" s="13" t="s">
        <v>48</v>
      </c>
      <c r="B58" s="17" t="s">
        <v>99</v>
      </c>
      <c r="C58" s="17">
        <v>512</v>
      </c>
      <c r="D58" s="17">
        <v>460</v>
      </c>
      <c r="E58" s="17">
        <v>457</v>
      </c>
      <c r="F58" s="17">
        <v>453</v>
      </c>
      <c r="G58" s="17">
        <v>498</v>
      </c>
      <c r="H58" s="17">
        <v>688</v>
      </c>
      <c r="I58" s="17">
        <v>876</v>
      </c>
      <c r="J58" s="17">
        <v>1005</v>
      </c>
      <c r="K58" s="17">
        <v>969</v>
      </c>
      <c r="L58" s="17">
        <v>892</v>
      </c>
      <c r="M58" s="17">
        <v>888</v>
      </c>
      <c r="N58" s="17">
        <v>861</v>
      </c>
      <c r="O58" s="17">
        <v>838</v>
      </c>
      <c r="P58" s="17">
        <v>830</v>
      </c>
      <c r="Q58" s="17">
        <v>767</v>
      </c>
      <c r="R58" s="17">
        <v>755</v>
      </c>
      <c r="S58" s="17">
        <v>684</v>
      </c>
      <c r="T58" s="17">
        <v>707</v>
      </c>
      <c r="U58" s="17">
        <v>669</v>
      </c>
      <c r="V58" s="17">
        <v>706</v>
      </c>
      <c r="W58" s="17">
        <v>663</v>
      </c>
      <c r="X58" s="17">
        <v>703</v>
      </c>
      <c r="Y58" s="17">
        <v>680</v>
      </c>
      <c r="Z58" s="17">
        <v>474</v>
      </c>
      <c r="AA58" s="17">
        <v>360</v>
      </c>
    </row>
    <row r="59" spans="1:27">
      <c r="A59" s="13"/>
      <c r="B59" s="17"/>
      <c r="C59" s="17"/>
      <c r="D59" s="17"/>
      <c r="E59" s="17"/>
      <c r="F59" s="17"/>
      <c r="G59" s="17"/>
      <c r="H59" s="17"/>
      <c r="I59" s="17"/>
      <c r="J59" s="17"/>
      <c r="K59" s="17"/>
      <c r="L59" s="17"/>
      <c r="M59" s="17"/>
      <c r="N59" s="17"/>
      <c r="O59" s="17"/>
      <c r="P59" s="17"/>
      <c r="Q59" s="17"/>
      <c r="R59" s="17"/>
      <c r="S59" s="17"/>
      <c r="T59" s="17"/>
      <c r="U59" s="17"/>
      <c r="V59" s="17"/>
      <c r="W59" s="17"/>
      <c r="X59" s="17"/>
      <c r="Y59" s="17"/>
      <c r="Z59" s="17"/>
      <c r="AA59" s="17"/>
    </row>
    <row r="60" spans="1:27">
      <c r="A60" s="13"/>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row>
    <row r="61" spans="1:27">
      <c r="A61" s="13"/>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row>
    <row r="62" spans="1:27">
      <c r="A62" s="13"/>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row>
    <row r="63" spans="1:27">
      <c r="A63" s="13"/>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row>
    <row r="64" spans="1:27">
      <c r="A64" s="13"/>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row>
    <row r="65" spans="1:27">
      <c r="A65" s="13"/>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row>
    <row r="66" spans="1:27">
      <c r="A66" s="13"/>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row>
    <row r="67" spans="1:27">
      <c r="A67" s="13"/>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row>
    <row r="68" spans="1:27">
      <c r="A68" s="13"/>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row>
    <row r="69" spans="1:27">
      <c r="A69" s="13"/>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row>
    <row r="70" spans="1:27">
      <c r="A70" s="13"/>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row>
    <row r="71" spans="1:27">
      <c r="A71" s="13"/>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row>
    <row r="72" spans="1:27">
      <c r="A72" s="13"/>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row>
    <row r="73" spans="1:27">
      <c r="A73" s="13"/>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row>
    <row r="74" spans="1:27">
      <c r="A74" s="13"/>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row>
    <row r="75" spans="1:27">
      <c r="A75" s="13"/>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row>
    <row r="76" spans="1:27">
      <c r="A76" s="13"/>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row>
    <row r="77" spans="1:27">
      <c r="A77" s="13"/>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row>
    <row r="78" spans="1:27">
      <c r="A78" s="13"/>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row>
    <row r="79" spans="1:27">
      <c r="A79" s="13"/>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row>
    <row r="80" spans="1:27">
      <c r="A80" s="13"/>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row>
    <row r="81" spans="1:27">
      <c r="A81" s="13"/>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row>
    <row r="82" spans="1:27">
      <c r="A82" s="13"/>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row>
    <row r="83" spans="1:27">
      <c r="A83" s="13"/>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row>
    <row r="84" spans="1:27">
      <c r="A84" s="13"/>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row>
    <row r="85" spans="1:27">
      <c r="A85" s="13"/>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row>
    <row r="86" spans="1:27">
      <c r="A86" s="13"/>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row>
    <row r="87" spans="1:27">
      <c r="A87" s="13"/>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row>
    <row r="88" spans="1:27">
      <c r="A88" s="13"/>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row>
    <row r="89" spans="1:27">
      <c r="A89" s="13"/>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row>
    <row r="90" spans="1:27">
      <c r="A90" s="13"/>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row>
    <row r="91" spans="1:27">
      <c r="A91" s="13"/>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row>
    <row r="92" spans="1:27">
      <c r="A92" s="13"/>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row>
    <row r="93" spans="1:27">
      <c r="A93" s="13"/>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row>
    <row r="94" spans="1:27">
      <c r="A94" s="13"/>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row>
    <row r="95" spans="1:27">
      <c r="A95" s="13"/>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0"/>
    </row>
    <row r="96" spans="1:27">
      <c r="A96" s="13"/>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row>
    <row r="97" spans="1:27">
      <c r="A97" s="13"/>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row>
    <row r="98" spans="1:27">
      <c r="A98" s="13"/>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row>
    <row r="99" spans="1:27">
      <c r="A99" s="13"/>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row>
    <row r="100" spans="1:27">
      <c r="A100" s="13"/>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row>
    <row r="101" spans="1:27">
      <c r="A101" s="13"/>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row>
    <row r="102" spans="1:27">
      <c r="A102" s="13"/>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row>
    <row r="103" spans="1:27">
      <c r="A103" s="13"/>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row>
    <row r="104" spans="1:27">
      <c r="A104" s="13"/>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row>
    <row r="105" spans="1:27">
      <c r="A105" s="13"/>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row>
    <row r="106" spans="1:27">
      <c r="A106" s="13"/>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row>
    <row r="107" spans="1:27">
      <c r="A107" s="13"/>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row>
    <row r="108" spans="1:27">
      <c r="A108" s="13"/>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row>
    <row r="109" spans="1:27">
      <c r="A109" s="13"/>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row>
    <row r="110" spans="1:27">
      <c r="A110" s="13"/>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row>
    <row r="111" spans="1:27">
      <c r="A111" s="13"/>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row>
    <row r="112" spans="1:27">
      <c r="A112" s="13"/>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row>
    <row r="113" spans="1:27">
      <c r="A113" s="13"/>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row>
    <row r="114" spans="1:27">
      <c r="A114" s="13"/>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row>
    <row r="115" spans="1:27">
      <c r="A115" s="13"/>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row>
    <row r="116" spans="1:27">
      <c r="A116" s="13"/>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row>
    <row r="117" spans="1:27">
      <c r="A117" s="13"/>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row>
    <row r="118" spans="1:27">
      <c r="A118" s="13"/>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row>
    <row r="119" spans="1:27">
      <c r="A119" s="13"/>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row>
    <row r="120" spans="1:27">
      <c r="A120" s="13"/>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row>
    <row r="121" spans="1:27">
      <c r="A121" s="13"/>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row>
    <row r="122" spans="1:27">
      <c r="A122" s="13"/>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row>
    <row r="123" spans="1:27">
      <c r="A123" s="13"/>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row>
    <row r="124" spans="1:27">
      <c r="A124" s="13"/>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row>
    <row r="125" spans="1:27">
      <c r="A125" s="13"/>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row>
    <row r="126" spans="1:27">
      <c r="A126" s="13"/>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row>
    <row r="127" spans="1:27">
      <c r="A127" s="13"/>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row>
    <row r="128" spans="1:27">
      <c r="A128" s="13"/>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row>
    <row r="129" spans="1:27">
      <c r="A129" s="13"/>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row>
    <row r="130" spans="1:27">
      <c r="A130" s="13"/>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row>
    <row r="131" spans="1:27">
      <c r="A131" s="13"/>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row>
    <row r="132" spans="1:27">
      <c r="A132" s="13"/>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row>
    <row r="133" spans="1:27">
      <c r="A133" s="13"/>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row>
    <row r="134" spans="1:27">
      <c r="A134" s="13"/>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row>
    <row r="135" spans="1:27">
      <c r="A135" s="13"/>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row>
    <row r="136" spans="1:27">
      <c r="A136" s="13"/>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row>
    <row r="137" spans="1:27">
      <c r="A137" s="13"/>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row>
    <row r="138" spans="1:27">
      <c r="A138" s="13"/>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row>
    <row r="139" spans="1:27">
      <c r="A139" s="13"/>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row>
    <row r="140" spans="1:27">
      <c r="A140" s="13"/>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row>
    <row r="141" spans="1:27">
      <c r="A141" s="13"/>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row>
    <row r="142" spans="1:27">
      <c r="A142" s="13"/>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row>
    <row r="143" spans="1:27">
      <c r="A143" s="13"/>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row>
    <row r="144" spans="1:27">
      <c r="A144" s="13"/>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row>
    <row r="145" spans="1:27">
      <c r="A145" s="13"/>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row>
    <row r="146" spans="1:27">
      <c r="A146" s="13"/>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row>
    <row r="147" spans="1:27">
      <c r="A147" s="13"/>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row>
    <row r="148" spans="1:27">
      <c r="A148" s="13"/>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row>
    <row r="149" spans="1:27">
      <c r="A149" s="13"/>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row>
    <row r="150" spans="1:27">
      <c r="A150" s="13"/>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row>
    <row r="151" spans="1:27">
      <c r="A151" s="13"/>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row>
    <row r="152" spans="1:27">
      <c r="A152" s="13"/>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row>
    <row r="153" spans="1:27">
      <c r="A153" s="13"/>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row>
    <row r="154" spans="1:27">
      <c r="A154" s="13"/>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row>
    <row r="155" spans="1:27">
      <c r="A155" s="13"/>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row>
    <row r="156" spans="1:27">
      <c r="A156" s="13"/>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row>
    <row r="157" spans="1:27">
      <c r="A157" s="13"/>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row>
    <row r="158" spans="1:27">
      <c r="A158" s="13"/>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row>
    <row r="159" spans="1:27">
      <c r="A159" s="13"/>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row>
    <row r="160" spans="1:27">
      <c r="A160" s="13"/>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row>
    <row r="161" spans="1:27">
      <c r="A161" s="13"/>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row>
    <row r="162" spans="1:27">
      <c r="A162" s="13"/>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row>
    <row r="163" spans="1:27">
      <c r="A163" s="13"/>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row>
    <row r="164" spans="1:27">
      <c r="A164" s="13"/>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row>
    <row r="165" spans="1:27">
      <c r="A165" s="13"/>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row>
    <row r="166" spans="1:27">
      <c r="A166" s="13"/>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row>
    <row r="167" spans="1:27">
      <c r="A167" s="13"/>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row>
    <row r="168" spans="1:27">
      <c r="A168" s="13"/>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row>
    <row r="169" spans="1:27">
      <c r="A169" s="13"/>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row>
    <row r="170" spans="1:27">
      <c r="A170" s="13"/>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row>
    <row r="171" spans="1:27">
      <c r="A171" s="13"/>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row>
    <row r="172" spans="1:27">
      <c r="A172" s="13"/>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row>
    <row r="173" spans="1:27">
      <c r="A173" s="13"/>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row>
    <row r="174" spans="1:27">
      <c r="A174" s="13"/>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row>
    <row r="175" spans="1:27">
      <c r="A175" s="13"/>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row>
    <row r="176" spans="1:27">
      <c r="A176" s="13"/>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row>
    <row r="177" spans="1:27">
      <c r="A177" s="13"/>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row>
    <row r="178" spans="1:27">
      <c r="A178" s="13"/>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row>
    <row r="179" spans="1:27">
      <c r="A179" s="13"/>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row>
    <row r="180" spans="1:27">
      <c r="A180" s="13"/>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row>
    <row r="181" spans="1:27">
      <c r="A181" s="13"/>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row>
    <row r="182" spans="1:27">
      <c r="A182" s="13"/>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row>
    <row r="183" spans="1:27">
      <c r="A183" s="13"/>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row>
    <row r="184" spans="1:27">
      <c r="A184" s="13"/>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row>
    <row r="185" spans="1:27">
      <c r="A185" s="13"/>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row>
    <row r="186" spans="1:27">
      <c r="A186" s="13"/>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row>
    <row r="187" spans="1:27">
      <c r="A187" s="13"/>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row>
    <row r="188" spans="1:27">
      <c r="A188" s="13"/>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row>
    <row r="189" spans="1:27">
      <c r="A189" s="13"/>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row>
    <row r="190" spans="1:27">
      <c r="A190" s="13"/>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row>
    <row r="191" spans="1:27">
      <c r="A191" s="13"/>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row>
    <row r="192" spans="1:27">
      <c r="A192" s="13"/>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row>
    <row r="193" spans="1:27">
      <c r="A193" s="13"/>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row>
    <row r="194" spans="1:27">
      <c r="A194" s="13"/>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row>
    <row r="195" spans="1:27">
      <c r="A195" s="13"/>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row>
    <row r="196" spans="1:27">
      <c r="A196" s="13"/>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row>
    <row r="197" spans="1:27">
      <c r="A197" s="13"/>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row>
    <row r="198" spans="1:27">
      <c r="A198" s="13"/>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row>
    <row r="199" spans="1:27">
      <c r="A199" s="13"/>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row>
    <row r="200" spans="1:27">
      <c r="A200" s="13"/>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row>
  </sheetData>
  <pageMargins left="0.7" right="0.7" top="0.75" bottom="0.75" header="0.3" footer="0.3"/>
  <pageSetup paperSize="9" orientation="portrait" horizontalDpi="300" verticalDpi="300"/>
  <tableParts count="10">
    <tablePart r:id="rId1"/>
    <tablePart r:id="rId2"/>
    <tablePart r:id="rId3"/>
    <tablePart r:id="rId4"/>
    <tablePart r:id="rId5"/>
    <tablePart r:id="rId6"/>
    <tablePart r:id="rId7"/>
    <tablePart r:id="rId8"/>
    <tablePart r:id="rId9"/>
    <tablePart r:id="rId10"/>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A200"/>
  <sheetViews>
    <sheetView showGridLines="0" workbookViewId="0"/>
  </sheetViews>
  <sheetFormatPr defaultColWidth="10.90625" defaultRowHeight="14.5"/>
  <cols>
    <col min="1" max="1" width="70.7265625" customWidth="1"/>
  </cols>
  <sheetData>
    <row r="1" spans="1:27" ht="19.5">
      <c r="A1" s="4" t="s">
        <v>165</v>
      </c>
      <c r="B1" s="8"/>
      <c r="C1" s="8"/>
      <c r="D1" s="8"/>
      <c r="E1" s="8"/>
      <c r="F1" s="8"/>
      <c r="G1" s="8"/>
      <c r="H1" s="8"/>
      <c r="I1" s="8"/>
      <c r="J1" s="8"/>
      <c r="K1" s="8"/>
      <c r="L1" s="8"/>
      <c r="M1" s="8"/>
      <c r="N1" s="8"/>
      <c r="O1" s="8"/>
      <c r="P1" s="8"/>
      <c r="Q1" s="8"/>
      <c r="R1" s="8"/>
      <c r="S1" s="8"/>
      <c r="T1" s="8"/>
      <c r="U1" s="8"/>
      <c r="V1" s="8"/>
      <c r="W1" s="8"/>
      <c r="X1" s="8"/>
      <c r="Y1" s="8"/>
      <c r="Z1" s="8"/>
      <c r="AA1" s="8"/>
    </row>
    <row r="2" spans="1:27">
      <c r="A2" s="9" t="s">
        <v>0</v>
      </c>
      <c r="B2" s="8"/>
      <c r="C2" s="8"/>
      <c r="D2" s="8"/>
      <c r="E2" s="8"/>
      <c r="F2" s="8"/>
      <c r="G2" s="8"/>
      <c r="H2" s="8"/>
      <c r="I2" s="8"/>
      <c r="J2" s="8"/>
      <c r="K2" s="8"/>
      <c r="L2" s="8"/>
      <c r="M2" s="8"/>
      <c r="N2" s="8"/>
      <c r="O2" s="8"/>
      <c r="P2" s="8"/>
      <c r="Q2" s="8"/>
      <c r="R2" s="8"/>
      <c r="S2" s="8"/>
      <c r="T2" s="8"/>
      <c r="U2" s="8"/>
      <c r="V2" s="8"/>
      <c r="W2" s="8"/>
      <c r="X2" s="8"/>
      <c r="Y2" s="8"/>
      <c r="Z2" s="8"/>
      <c r="AA2" s="8"/>
    </row>
    <row r="3" spans="1:27" ht="29">
      <c r="A3" s="9" t="s">
        <v>1</v>
      </c>
      <c r="B3" s="10"/>
      <c r="C3" s="10"/>
      <c r="D3" s="10"/>
      <c r="E3" s="10"/>
      <c r="F3" s="10"/>
      <c r="G3" s="10"/>
      <c r="H3" s="10"/>
      <c r="I3" s="10"/>
      <c r="J3" s="10"/>
      <c r="K3" s="10"/>
      <c r="L3" s="10"/>
      <c r="M3" s="10"/>
      <c r="N3" s="10"/>
      <c r="O3" s="10"/>
      <c r="P3" s="10"/>
      <c r="Q3" s="10"/>
      <c r="R3" s="10"/>
      <c r="S3" s="10"/>
      <c r="T3" s="10"/>
      <c r="U3" s="10"/>
      <c r="V3" s="10"/>
      <c r="W3" s="10"/>
      <c r="X3" s="10"/>
      <c r="Y3" s="10"/>
      <c r="Z3" s="10"/>
      <c r="AA3" s="10"/>
    </row>
    <row r="4" spans="1:27" ht="72.5">
      <c r="A4" s="9" t="s">
        <v>2</v>
      </c>
      <c r="B4" s="10"/>
      <c r="C4" s="10"/>
      <c r="D4" s="10"/>
      <c r="E4" s="10"/>
      <c r="F4" s="10"/>
      <c r="G4" s="10"/>
      <c r="H4" s="10"/>
      <c r="I4" s="10"/>
      <c r="J4" s="10"/>
      <c r="K4" s="10"/>
      <c r="L4" s="10"/>
      <c r="M4" s="10"/>
      <c r="N4" s="10"/>
      <c r="O4" s="10"/>
      <c r="P4" s="10"/>
      <c r="Q4" s="10"/>
      <c r="R4" s="10"/>
      <c r="S4" s="10"/>
      <c r="T4" s="10"/>
      <c r="U4" s="10"/>
      <c r="V4" s="10"/>
      <c r="W4" s="10"/>
      <c r="X4" s="10"/>
      <c r="Y4" s="10"/>
      <c r="Z4" s="10"/>
      <c r="AA4" s="10"/>
    </row>
    <row r="5" spans="1:27">
      <c r="A5" s="9" t="s">
        <v>3</v>
      </c>
      <c r="B5" s="10"/>
      <c r="C5" s="10"/>
      <c r="D5" s="10"/>
      <c r="E5" s="10"/>
      <c r="F5" s="10"/>
      <c r="G5" s="10"/>
      <c r="H5" s="10"/>
      <c r="I5" s="10"/>
      <c r="J5" s="10"/>
      <c r="K5" s="10"/>
      <c r="L5" s="10"/>
      <c r="M5" s="10"/>
      <c r="N5" s="10"/>
      <c r="O5" s="10"/>
      <c r="P5" s="10"/>
      <c r="Q5" s="10"/>
      <c r="R5" s="10"/>
      <c r="S5" s="10"/>
      <c r="T5" s="10"/>
      <c r="U5" s="10"/>
      <c r="V5" s="10"/>
      <c r="W5" s="10"/>
      <c r="X5" s="10"/>
      <c r="Y5" s="10"/>
      <c r="Z5" s="10"/>
      <c r="AA5" s="10"/>
    </row>
    <row r="6" spans="1:27" ht="29">
      <c r="A6" s="9" t="s">
        <v>49</v>
      </c>
      <c r="B6" s="10"/>
      <c r="C6" s="10"/>
      <c r="D6" s="10"/>
      <c r="E6" s="10"/>
      <c r="F6" s="10"/>
      <c r="G6" s="10"/>
      <c r="H6" s="10"/>
      <c r="I6" s="10"/>
      <c r="J6" s="10"/>
      <c r="K6" s="10"/>
      <c r="L6" s="10"/>
      <c r="M6" s="10"/>
      <c r="N6" s="10"/>
      <c r="O6" s="10"/>
      <c r="P6" s="10"/>
      <c r="Q6" s="10"/>
      <c r="R6" s="10"/>
      <c r="S6" s="10"/>
      <c r="T6" s="10"/>
      <c r="U6" s="10"/>
      <c r="V6" s="10"/>
      <c r="W6" s="10"/>
      <c r="X6" s="10"/>
      <c r="Y6" s="10"/>
      <c r="Z6" s="10"/>
      <c r="AA6" s="10"/>
    </row>
    <row r="7" spans="1:27" ht="29">
      <c r="A7" s="9" t="s">
        <v>50</v>
      </c>
      <c r="B7" s="10"/>
      <c r="C7" s="10"/>
      <c r="D7" s="10"/>
      <c r="E7" s="10"/>
      <c r="F7" s="10"/>
      <c r="G7" s="10"/>
      <c r="H7" s="10"/>
      <c r="I7" s="10"/>
      <c r="J7" s="10"/>
      <c r="K7" s="10"/>
      <c r="L7" s="10"/>
      <c r="M7" s="10"/>
      <c r="N7" s="10"/>
      <c r="O7" s="10"/>
      <c r="P7" s="10"/>
      <c r="Q7" s="10"/>
      <c r="R7" s="10"/>
      <c r="S7" s="10"/>
      <c r="T7" s="10"/>
      <c r="U7" s="10"/>
      <c r="V7" s="10"/>
      <c r="W7" s="10"/>
      <c r="X7" s="10"/>
      <c r="Y7" s="10"/>
      <c r="Z7" s="10"/>
      <c r="AA7" s="10"/>
    </row>
    <row r="8" spans="1:27">
      <c r="A8" s="9" t="s">
        <v>51</v>
      </c>
      <c r="B8" s="10"/>
      <c r="C8" s="10"/>
      <c r="D8" s="10"/>
      <c r="E8" s="10"/>
      <c r="F8" s="10"/>
      <c r="G8" s="10"/>
      <c r="H8" s="10"/>
      <c r="I8" s="10"/>
      <c r="J8" s="10"/>
      <c r="K8" s="10"/>
      <c r="L8" s="10"/>
      <c r="M8" s="10"/>
      <c r="N8" s="10"/>
      <c r="O8" s="10"/>
      <c r="P8" s="10"/>
      <c r="Q8" s="10"/>
      <c r="R8" s="10"/>
      <c r="S8" s="10"/>
      <c r="T8" s="10"/>
      <c r="U8" s="10"/>
      <c r="V8" s="10"/>
      <c r="W8" s="10"/>
      <c r="X8" s="10"/>
      <c r="Y8" s="10"/>
      <c r="Z8" s="10"/>
      <c r="AA8" s="10"/>
    </row>
    <row r="9" spans="1:27">
      <c r="A9" s="11" t="s">
        <v>4</v>
      </c>
      <c r="B9" s="10"/>
      <c r="C9" s="10"/>
      <c r="D9" s="10"/>
      <c r="E9" s="10"/>
      <c r="F9" s="10"/>
      <c r="G9" s="10"/>
      <c r="H9" s="10"/>
      <c r="I9" s="10"/>
      <c r="J9" s="10"/>
      <c r="K9" s="10"/>
      <c r="L9" s="10"/>
      <c r="M9" s="10"/>
      <c r="N9" s="10"/>
      <c r="O9" s="10"/>
      <c r="P9" s="10"/>
      <c r="Q9" s="10"/>
      <c r="R9" s="10"/>
      <c r="S9" s="10"/>
      <c r="T9" s="10"/>
      <c r="U9" s="10"/>
      <c r="V9" s="10"/>
      <c r="W9" s="10"/>
      <c r="X9" s="10"/>
      <c r="Y9" s="10"/>
      <c r="Z9" s="10"/>
      <c r="AA9" s="10"/>
    </row>
    <row r="10" spans="1:27" ht="30" customHeight="1">
      <c r="A10" s="12" t="s">
        <v>164</v>
      </c>
      <c r="B10" s="10"/>
      <c r="C10" s="10"/>
      <c r="D10" s="10"/>
      <c r="E10" s="10"/>
      <c r="F10" s="10"/>
      <c r="G10" s="10"/>
      <c r="H10" s="10"/>
      <c r="I10" s="10"/>
      <c r="J10" s="10"/>
      <c r="K10" s="10"/>
      <c r="L10" s="10"/>
      <c r="M10" s="10"/>
      <c r="N10" s="10"/>
      <c r="O10" s="10"/>
      <c r="P10" s="10"/>
      <c r="Q10" s="10"/>
      <c r="R10" s="10"/>
      <c r="S10" s="10"/>
      <c r="T10" s="10"/>
      <c r="U10" s="10"/>
      <c r="V10" s="10"/>
      <c r="W10" s="10"/>
      <c r="X10" s="10"/>
      <c r="Y10" s="10"/>
      <c r="Z10" s="10"/>
      <c r="AA10" s="10"/>
    </row>
    <row r="11" spans="1:27">
      <c r="A11" s="13" t="s">
        <v>5</v>
      </c>
      <c r="B11" s="14" t="s">
        <v>6</v>
      </c>
      <c r="C11" s="14" t="s">
        <v>7</v>
      </c>
      <c r="D11" s="14" t="s">
        <v>8</v>
      </c>
      <c r="E11" s="14" t="s">
        <v>9</v>
      </c>
      <c r="F11" s="14" t="s">
        <v>10</v>
      </c>
      <c r="G11" s="14" t="s">
        <v>11</v>
      </c>
      <c r="H11" s="14" t="s">
        <v>12</v>
      </c>
      <c r="I11" s="14" t="s">
        <v>13</v>
      </c>
      <c r="J11" s="14" t="s">
        <v>14</v>
      </c>
      <c r="K11" s="14" t="s">
        <v>15</v>
      </c>
      <c r="L11" s="14" t="s">
        <v>16</v>
      </c>
      <c r="M11" s="14" t="s">
        <v>17</v>
      </c>
      <c r="N11" s="14" t="s">
        <v>18</v>
      </c>
      <c r="O11" s="14" t="s">
        <v>19</v>
      </c>
      <c r="P11" s="14" t="s">
        <v>20</v>
      </c>
      <c r="Q11" s="14" t="s">
        <v>21</v>
      </c>
      <c r="R11" s="14" t="s">
        <v>22</v>
      </c>
      <c r="S11" s="14" t="s">
        <v>23</v>
      </c>
      <c r="T11" s="14" t="s">
        <v>24</v>
      </c>
      <c r="U11" s="14" t="s">
        <v>25</v>
      </c>
      <c r="V11" s="14" t="s">
        <v>26</v>
      </c>
      <c r="W11" s="14" t="s">
        <v>27</v>
      </c>
      <c r="X11" s="14" t="s">
        <v>28</v>
      </c>
      <c r="Y11" s="14" t="s">
        <v>29</v>
      </c>
      <c r="Z11" s="14" t="s">
        <v>30</v>
      </c>
      <c r="AA11" s="14" t="s">
        <v>31</v>
      </c>
    </row>
    <row r="12" spans="1:27">
      <c r="A12" s="13" t="s">
        <v>32</v>
      </c>
      <c r="B12" s="15">
        <v>0.31713940000000002</v>
      </c>
      <c r="C12" s="15">
        <v>0.3190847</v>
      </c>
      <c r="D12" s="15">
        <v>0.3155983</v>
      </c>
      <c r="E12" s="15">
        <v>0.309896</v>
      </c>
      <c r="F12" s="15">
        <v>0.31244749999999999</v>
      </c>
      <c r="G12" s="15">
        <v>0.31238919999999998</v>
      </c>
      <c r="H12" s="15">
        <v>0.29609809999999998</v>
      </c>
      <c r="I12" s="15">
        <v>0.27851979999999998</v>
      </c>
      <c r="J12" s="15">
        <v>0.25814049999999999</v>
      </c>
      <c r="K12" s="15">
        <v>0.2499922</v>
      </c>
      <c r="L12" s="15">
        <v>0.2455253</v>
      </c>
      <c r="M12" s="15">
        <v>0.2409346</v>
      </c>
      <c r="N12" s="15">
        <v>0.24524689999999999</v>
      </c>
      <c r="O12" s="15">
        <v>0.24372530000000001</v>
      </c>
      <c r="P12" s="15">
        <v>0.23525389999999999</v>
      </c>
      <c r="Q12" s="15">
        <v>0.2143718</v>
      </c>
      <c r="R12" s="15">
        <v>0.2073566</v>
      </c>
      <c r="S12" s="15">
        <v>0.20983579999999999</v>
      </c>
      <c r="T12" s="15">
        <v>0.2161679</v>
      </c>
      <c r="U12" s="15">
        <v>0.22795380000000001</v>
      </c>
      <c r="V12" s="15">
        <v>0.23351949999999999</v>
      </c>
      <c r="W12" s="15">
        <v>0.2419675</v>
      </c>
      <c r="X12" s="15">
        <v>0.23227329999999999</v>
      </c>
      <c r="Y12" s="15">
        <v>0.24283840000000001</v>
      </c>
      <c r="Z12" s="15">
        <v>0.2463928</v>
      </c>
      <c r="AA12" s="15">
        <v>0.2447318</v>
      </c>
    </row>
    <row r="13" spans="1:27">
      <c r="A13" s="13" t="s">
        <v>52</v>
      </c>
      <c r="B13" s="15" t="s">
        <v>99</v>
      </c>
      <c r="C13" s="15" t="s">
        <v>99</v>
      </c>
      <c r="D13" s="15" t="s">
        <v>99</v>
      </c>
      <c r="E13" s="15" t="s">
        <v>99</v>
      </c>
      <c r="F13" s="15" t="s">
        <v>99</v>
      </c>
      <c r="G13" s="15" t="s">
        <v>99</v>
      </c>
      <c r="H13" s="15" t="s">
        <v>99</v>
      </c>
      <c r="I13" s="15">
        <v>0.27140999999999998</v>
      </c>
      <c r="J13" s="15">
        <v>0.25319960000000002</v>
      </c>
      <c r="K13" s="15">
        <v>0.24229490000000001</v>
      </c>
      <c r="L13" s="15">
        <v>0.23662520000000001</v>
      </c>
      <c r="M13" s="15">
        <v>0.22947619999999999</v>
      </c>
      <c r="N13" s="15">
        <v>0.2352823</v>
      </c>
      <c r="O13" s="15">
        <v>0.2314696</v>
      </c>
      <c r="P13" s="15">
        <v>0.2233908</v>
      </c>
      <c r="Q13" s="15">
        <v>0.2008296</v>
      </c>
      <c r="R13" s="15">
        <v>0.1958502</v>
      </c>
      <c r="S13" s="15">
        <v>0.1972371</v>
      </c>
      <c r="T13" s="15">
        <v>0.20678369999999999</v>
      </c>
      <c r="U13" s="15">
        <v>0.21962880000000001</v>
      </c>
      <c r="V13" s="15">
        <v>0.22387499999999999</v>
      </c>
      <c r="W13" s="15">
        <v>0.2266755</v>
      </c>
      <c r="X13" s="15">
        <v>0.211037</v>
      </c>
      <c r="Y13" s="15">
        <v>0.21821940000000001</v>
      </c>
      <c r="Z13" s="15">
        <v>0.2196854</v>
      </c>
      <c r="AA13" s="15">
        <v>0.2188619</v>
      </c>
    </row>
    <row r="14" spans="1:27">
      <c r="A14" s="13" t="s">
        <v>53</v>
      </c>
      <c r="B14" s="15" t="s">
        <v>99</v>
      </c>
      <c r="C14" s="15" t="s">
        <v>99</v>
      </c>
      <c r="D14" s="15" t="s">
        <v>99</v>
      </c>
      <c r="E14" s="15" t="s">
        <v>99</v>
      </c>
      <c r="F14" s="15" t="s">
        <v>99</v>
      </c>
      <c r="G14" s="15" t="s">
        <v>99</v>
      </c>
      <c r="H14" s="15" t="s">
        <v>99</v>
      </c>
      <c r="I14" s="15">
        <v>0.38562400000000002</v>
      </c>
      <c r="J14" s="15">
        <v>0.34386230000000001</v>
      </c>
      <c r="K14" s="15">
        <v>0.37548999999999999</v>
      </c>
      <c r="L14" s="15">
        <v>0.37585400000000002</v>
      </c>
      <c r="M14" s="15">
        <v>0.39555489999999999</v>
      </c>
      <c r="N14" s="15">
        <v>0.35880519999999999</v>
      </c>
      <c r="O14" s="15">
        <v>0.35613319999999998</v>
      </c>
      <c r="P14" s="15">
        <v>0.3368623</v>
      </c>
      <c r="Q14" s="15">
        <v>0.3437191</v>
      </c>
      <c r="R14" s="15">
        <v>0.3269976</v>
      </c>
      <c r="S14" s="15">
        <v>0.33206059999999998</v>
      </c>
      <c r="T14" s="15">
        <v>0.29813800000000001</v>
      </c>
      <c r="U14" s="15">
        <v>0.2915855</v>
      </c>
      <c r="V14" s="15">
        <v>0.30321199999999998</v>
      </c>
      <c r="W14" s="15">
        <v>0.34396260000000001</v>
      </c>
      <c r="X14" s="15">
        <v>0.3626064</v>
      </c>
      <c r="Y14" s="15">
        <v>0.3773879</v>
      </c>
      <c r="Z14" s="15">
        <v>0.38371670000000002</v>
      </c>
      <c r="AA14" s="15">
        <v>0.38914029999999999</v>
      </c>
    </row>
    <row r="15" spans="1:27" ht="30" customHeight="1">
      <c r="A15" s="12" t="s">
        <v>155</v>
      </c>
      <c r="B15" s="15"/>
      <c r="C15" s="15"/>
      <c r="D15" s="15"/>
      <c r="E15" s="15"/>
      <c r="F15" s="15"/>
      <c r="G15" s="15"/>
      <c r="H15" s="15"/>
      <c r="I15" s="15"/>
      <c r="J15" s="15"/>
      <c r="K15" s="15"/>
      <c r="L15" s="15"/>
      <c r="M15" s="15"/>
      <c r="N15" s="15"/>
      <c r="O15" s="15"/>
      <c r="P15" s="15"/>
      <c r="Q15" s="15"/>
      <c r="R15" s="15"/>
      <c r="S15" s="15"/>
      <c r="T15" s="15"/>
      <c r="U15" s="15"/>
      <c r="V15" s="15"/>
      <c r="W15" s="15"/>
      <c r="X15" s="15"/>
      <c r="Y15" s="15"/>
      <c r="Z15" s="15"/>
      <c r="AA15" s="15"/>
    </row>
    <row r="16" spans="1:27">
      <c r="A16" s="13" t="s">
        <v>5</v>
      </c>
      <c r="B16" s="16" t="s">
        <v>6</v>
      </c>
      <c r="C16" s="16" t="s">
        <v>7</v>
      </c>
      <c r="D16" s="16" t="s">
        <v>8</v>
      </c>
      <c r="E16" s="16" t="s">
        <v>9</v>
      </c>
      <c r="F16" s="16" t="s">
        <v>10</v>
      </c>
      <c r="G16" s="16" t="s">
        <v>11</v>
      </c>
      <c r="H16" s="16" t="s">
        <v>12</v>
      </c>
      <c r="I16" s="16" t="s">
        <v>13</v>
      </c>
      <c r="J16" s="16" t="s">
        <v>14</v>
      </c>
      <c r="K16" s="16" t="s">
        <v>15</v>
      </c>
      <c r="L16" s="16" t="s">
        <v>16</v>
      </c>
      <c r="M16" s="16" t="s">
        <v>17</v>
      </c>
      <c r="N16" s="16" t="s">
        <v>18</v>
      </c>
      <c r="O16" s="16" t="s">
        <v>19</v>
      </c>
      <c r="P16" s="16" t="s">
        <v>20</v>
      </c>
      <c r="Q16" s="16" t="s">
        <v>21</v>
      </c>
      <c r="R16" s="16" t="s">
        <v>22</v>
      </c>
      <c r="S16" s="16" t="s">
        <v>23</v>
      </c>
      <c r="T16" s="16" t="s">
        <v>24</v>
      </c>
      <c r="U16" s="16" t="s">
        <v>25</v>
      </c>
      <c r="V16" s="16" t="s">
        <v>26</v>
      </c>
      <c r="W16" s="16" t="s">
        <v>27</v>
      </c>
      <c r="X16" s="16" t="s">
        <v>28</v>
      </c>
      <c r="Y16" s="16" t="s">
        <v>29</v>
      </c>
      <c r="Z16" s="16" t="s">
        <v>30</v>
      </c>
      <c r="AA16" s="16" t="s">
        <v>31</v>
      </c>
    </row>
    <row r="17" spans="1:27">
      <c r="A17" s="13" t="s">
        <v>32</v>
      </c>
      <c r="B17" s="15">
        <v>1</v>
      </c>
      <c r="C17" s="15">
        <v>1</v>
      </c>
      <c r="D17" s="15">
        <v>1</v>
      </c>
      <c r="E17" s="15">
        <v>1</v>
      </c>
      <c r="F17" s="15">
        <v>1</v>
      </c>
      <c r="G17" s="15">
        <v>1</v>
      </c>
      <c r="H17" s="15">
        <v>1</v>
      </c>
      <c r="I17" s="15">
        <v>1</v>
      </c>
      <c r="J17" s="15">
        <v>1</v>
      </c>
      <c r="K17" s="15">
        <v>1</v>
      </c>
      <c r="L17" s="15">
        <v>1</v>
      </c>
      <c r="M17" s="15">
        <v>1</v>
      </c>
      <c r="N17" s="15">
        <v>1</v>
      </c>
      <c r="O17" s="15">
        <v>1</v>
      </c>
      <c r="P17" s="15">
        <v>1</v>
      </c>
      <c r="Q17" s="15">
        <v>1</v>
      </c>
      <c r="R17" s="15">
        <v>1</v>
      </c>
      <c r="S17" s="15">
        <v>1</v>
      </c>
      <c r="T17" s="15">
        <v>1</v>
      </c>
      <c r="U17" s="15">
        <v>1</v>
      </c>
      <c r="V17" s="15">
        <v>1</v>
      </c>
      <c r="W17" s="15">
        <v>1</v>
      </c>
      <c r="X17" s="15">
        <v>1</v>
      </c>
      <c r="Y17" s="15">
        <v>1</v>
      </c>
      <c r="Z17" s="15">
        <v>1</v>
      </c>
      <c r="AA17" s="15">
        <v>1</v>
      </c>
    </row>
    <row r="18" spans="1:27">
      <c r="A18" s="13" t="s">
        <v>52</v>
      </c>
      <c r="B18" s="15" t="s">
        <v>99</v>
      </c>
      <c r="C18" s="15" t="s">
        <v>99</v>
      </c>
      <c r="D18" s="15" t="s">
        <v>99</v>
      </c>
      <c r="E18" s="15" t="s">
        <v>99</v>
      </c>
      <c r="F18" s="15" t="s">
        <v>99</v>
      </c>
      <c r="G18" s="15" t="s">
        <v>99</v>
      </c>
      <c r="H18" s="15" t="s">
        <v>99</v>
      </c>
      <c r="I18" s="15">
        <v>0.91529439999999995</v>
      </c>
      <c r="J18" s="15">
        <v>0.92684390000000005</v>
      </c>
      <c r="K18" s="15">
        <v>0.91369800000000001</v>
      </c>
      <c r="L18" s="15">
        <v>0.90292720000000004</v>
      </c>
      <c r="M18" s="15">
        <v>0.88563959999999997</v>
      </c>
      <c r="N18" s="15">
        <v>0.87812219999999996</v>
      </c>
      <c r="O18" s="15">
        <v>0.8555741</v>
      </c>
      <c r="P18" s="15">
        <v>0.85133510000000001</v>
      </c>
      <c r="Q18" s="15">
        <v>0.84814480000000003</v>
      </c>
      <c r="R18" s="15">
        <v>0.85993900000000001</v>
      </c>
      <c r="S18" s="15">
        <v>0.85005220000000004</v>
      </c>
      <c r="T18" s="15">
        <v>0.85975190000000001</v>
      </c>
      <c r="U18" s="15">
        <v>0.85200509999999996</v>
      </c>
      <c r="V18" s="15">
        <v>0.84503439999999996</v>
      </c>
      <c r="W18" s="15">
        <v>0.81225610000000004</v>
      </c>
      <c r="X18" s="15">
        <v>0.78210000000000002</v>
      </c>
      <c r="Y18" s="15">
        <v>0.76026579999999999</v>
      </c>
      <c r="Z18" s="15">
        <v>0.74622060000000001</v>
      </c>
      <c r="AA18" s="15">
        <v>0.75812679999999999</v>
      </c>
    </row>
    <row r="19" spans="1:27">
      <c r="A19" s="13" t="s">
        <v>53</v>
      </c>
      <c r="B19" s="15" t="s">
        <v>99</v>
      </c>
      <c r="C19" s="15" t="s">
        <v>99</v>
      </c>
      <c r="D19" s="15" t="s">
        <v>99</v>
      </c>
      <c r="E19" s="15" t="s">
        <v>99</v>
      </c>
      <c r="F19" s="15" t="s">
        <v>99</v>
      </c>
      <c r="G19" s="15" t="s">
        <v>99</v>
      </c>
      <c r="H19" s="15" t="s">
        <v>99</v>
      </c>
      <c r="I19" s="15">
        <v>8.4705600000000006E-2</v>
      </c>
      <c r="J19" s="15">
        <v>7.3156100000000002E-2</v>
      </c>
      <c r="K19" s="15">
        <v>8.6302000000000004E-2</v>
      </c>
      <c r="L19" s="15">
        <v>9.7072800000000001E-2</v>
      </c>
      <c r="M19" s="15">
        <v>0.1143604</v>
      </c>
      <c r="N19" s="15">
        <v>0.12187779999999999</v>
      </c>
      <c r="O19" s="15">
        <v>0.1444259</v>
      </c>
      <c r="P19" s="15">
        <v>0.14866489999999999</v>
      </c>
      <c r="Q19" s="15">
        <v>0.1518552</v>
      </c>
      <c r="R19" s="15">
        <v>0.14006099999999999</v>
      </c>
      <c r="S19" s="15">
        <v>0.14994779999999999</v>
      </c>
      <c r="T19" s="15">
        <v>0.14024809999999999</v>
      </c>
      <c r="U19" s="15">
        <v>0.14799490000000001</v>
      </c>
      <c r="V19" s="15">
        <v>0.15496560000000001</v>
      </c>
      <c r="W19" s="15">
        <v>0.18774389999999999</v>
      </c>
      <c r="X19" s="15">
        <v>0.21790000000000001</v>
      </c>
      <c r="Y19" s="15">
        <v>0.23973420000000001</v>
      </c>
      <c r="Z19" s="15">
        <v>0.25377939999999999</v>
      </c>
      <c r="AA19" s="15">
        <v>0.24187320000000001</v>
      </c>
    </row>
    <row r="20" spans="1:27" ht="30" customHeight="1">
      <c r="A20" s="12" t="s">
        <v>156</v>
      </c>
      <c r="B20" s="15"/>
      <c r="C20" s="15"/>
      <c r="D20" s="15"/>
      <c r="E20" s="15"/>
      <c r="F20" s="15"/>
      <c r="G20" s="15"/>
      <c r="H20" s="15"/>
      <c r="I20" s="15"/>
      <c r="J20" s="15"/>
      <c r="K20" s="15"/>
      <c r="L20" s="15"/>
      <c r="M20" s="15"/>
      <c r="N20" s="15"/>
      <c r="O20" s="15"/>
      <c r="P20" s="15"/>
      <c r="Q20" s="15"/>
      <c r="R20" s="15"/>
      <c r="S20" s="15"/>
      <c r="T20" s="15"/>
      <c r="U20" s="15"/>
      <c r="V20" s="15"/>
      <c r="W20" s="15"/>
      <c r="X20" s="15"/>
      <c r="Y20" s="15"/>
      <c r="Z20" s="15"/>
      <c r="AA20" s="15"/>
    </row>
    <row r="21" spans="1:27">
      <c r="A21" s="13" t="s">
        <v>5</v>
      </c>
      <c r="B21" s="16" t="s">
        <v>6</v>
      </c>
      <c r="C21" s="16" t="s">
        <v>7</v>
      </c>
      <c r="D21" s="16" t="s">
        <v>8</v>
      </c>
      <c r="E21" s="16" t="s">
        <v>9</v>
      </c>
      <c r="F21" s="16" t="s">
        <v>10</v>
      </c>
      <c r="G21" s="16" t="s">
        <v>11</v>
      </c>
      <c r="H21" s="16" t="s">
        <v>12</v>
      </c>
      <c r="I21" s="16" t="s">
        <v>13</v>
      </c>
      <c r="J21" s="16" t="s">
        <v>14</v>
      </c>
      <c r="K21" s="16" t="s">
        <v>15</v>
      </c>
      <c r="L21" s="16" t="s">
        <v>16</v>
      </c>
      <c r="M21" s="16" t="s">
        <v>17</v>
      </c>
      <c r="N21" s="16" t="s">
        <v>18</v>
      </c>
      <c r="O21" s="16" t="s">
        <v>19</v>
      </c>
      <c r="P21" s="16" t="s">
        <v>20</v>
      </c>
      <c r="Q21" s="16" t="s">
        <v>21</v>
      </c>
      <c r="R21" s="16" t="s">
        <v>22</v>
      </c>
      <c r="S21" s="16" t="s">
        <v>23</v>
      </c>
      <c r="T21" s="16" t="s">
        <v>24</v>
      </c>
      <c r="U21" s="16" t="s">
        <v>25</v>
      </c>
      <c r="V21" s="16" t="s">
        <v>26</v>
      </c>
      <c r="W21" s="16" t="s">
        <v>27</v>
      </c>
      <c r="X21" s="16" t="s">
        <v>28</v>
      </c>
      <c r="Y21" s="16" t="s">
        <v>29</v>
      </c>
      <c r="Z21" s="16" t="s">
        <v>30</v>
      </c>
      <c r="AA21" s="16" t="s">
        <v>31</v>
      </c>
    </row>
    <row r="22" spans="1:27">
      <c r="A22" s="13" t="s">
        <v>32</v>
      </c>
      <c r="B22" s="17">
        <v>350000</v>
      </c>
      <c r="C22" s="17">
        <v>350000</v>
      </c>
      <c r="D22" s="17">
        <v>340000</v>
      </c>
      <c r="E22" s="17">
        <v>330000</v>
      </c>
      <c r="F22" s="17">
        <v>330000</v>
      </c>
      <c r="G22" s="17">
        <v>330000</v>
      </c>
      <c r="H22" s="17">
        <v>310000</v>
      </c>
      <c r="I22" s="17">
        <v>290000</v>
      </c>
      <c r="J22" s="17">
        <v>260000</v>
      </c>
      <c r="K22" s="17">
        <v>250000</v>
      </c>
      <c r="L22" s="17">
        <v>250000</v>
      </c>
      <c r="M22" s="17">
        <v>240000</v>
      </c>
      <c r="N22" s="17">
        <v>240000</v>
      </c>
      <c r="O22" s="17">
        <v>240000</v>
      </c>
      <c r="P22" s="17">
        <v>230000</v>
      </c>
      <c r="Q22" s="17">
        <v>210000</v>
      </c>
      <c r="R22" s="17">
        <v>210000</v>
      </c>
      <c r="S22" s="17">
        <v>210000</v>
      </c>
      <c r="T22" s="17">
        <v>210000</v>
      </c>
      <c r="U22" s="17">
        <v>220000</v>
      </c>
      <c r="V22" s="17">
        <v>230000</v>
      </c>
      <c r="W22" s="17">
        <v>240000</v>
      </c>
      <c r="X22" s="17">
        <v>230000</v>
      </c>
      <c r="Y22" s="17">
        <v>240000</v>
      </c>
      <c r="Z22" s="17">
        <v>240000</v>
      </c>
      <c r="AA22" s="17">
        <v>250000</v>
      </c>
    </row>
    <row r="23" spans="1:27">
      <c r="A23" s="13" t="s">
        <v>52</v>
      </c>
      <c r="B23" s="17" t="s">
        <v>99</v>
      </c>
      <c r="C23" s="17" t="s">
        <v>99</v>
      </c>
      <c r="D23" s="17" t="s">
        <v>99</v>
      </c>
      <c r="E23" s="17" t="s">
        <v>99</v>
      </c>
      <c r="F23" s="17" t="s">
        <v>99</v>
      </c>
      <c r="G23" s="17" t="s">
        <v>99</v>
      </c>
      <c r="H23" s="17" t="s">
        <v>99</v>
      </c>
      <c r="I23" s="17">
        <v>260000</v>
      </c>
      <c r="J23" s="17">
        <v>240000</v>
      </c>
      <c r="K23" s="17">
        <v>230000</v>
      </c>
      <c r="L23" s="17">
        <v>220000</v>
      </c>
      <c r="M23" s="17">
        <v>210000</v>
      </c>
      <c r="N23" s="17">
        <v>210000</v>
      </c>
      <c r="O23" s="17">
        <v>210000</v>
      </c>
      <c r="P23" s="17">
        <v>200000</v>
      </c>
      <c r="Q23" s="17">
        <v>180000</v>
      </c>
      <c r="R23" s="17">
        <v>180000</v>
      </c>
      <c r="S23" s="17">
        <v>180000</v>
      </c>
      <c r="T23" s="17">
        <v>180000</v>
      </c>
      <c r="U23" s="17">
        <v>190000</v>
      </c>
      <c r="V23" s="17">
        <v>190000</v>
      </c>
      <c r="W23" s="17">
        <v>190000</v>
      </c>
      <c r="X23" s="17">
        <v>180000</v>
      </c>
      <c r="Y23" s="17">
        <v>180000</v>
      </c>
      <c r="Z23" s="17">
        <v>180000</v>
      </c>
      <c r="AA23" s="17">
        <v>190000</v>
      </c>
    </row>
    <row r="24" spans="1:27">
      <c r="A24" s="13" t="s">
        <v>53</v>
      </c>
      <c r="B24" s="17" t="s">
        <v>99</v>
      </c>
      <c r="C24" s="17" t="s">
        <v>99</v>
      </c>
      <c r="D24" s="17" t="s">
        <v>99</v>
      </c>
      <c r="E24" s="17" t="s">
        <v>99</v>
      </c>
      <c r="F24" s="17" t="s">
        <v>99</v>
      </c>
      <c r="G24" s="17" t="s">
        <v>99</v>
      </c>
      <c r="H24" s="17" t="s">
        <v>99</v>
      </c>
      <c r="I24" s="17" t="s">
        <v>35</v>
      </c>
      <c r="J24" s="17" t="s">
        <v>35</v>
      </c>
      <c r="K24" s="17" t="s">
        <v>35</v>
      </c>
      <c r="L24" s="17" t="s">
        <v>35</v>
      </c>
      <c r="M24" s="17" t="s">
        <v>35</v>
      </c>
      <c r="N24" s="17" t="s">
        <v>35</v>
      </c>
      <c r="O24" s="17">
        <v>40000</v>
      </c>
      <c r="P24" s="17">
        <v>30000</v>
      </c>
      <c r="Q24" s="17">
        <v>30000</v>
      </c>
      <c r="R24" s="17" t="s">
        <v>35</v>
      </c>
      <c r="S24" s="17" t="s">
        <v>35</v>
      </c>
      <c r="T24" s="17" t="s">
        <v>35</v>
      </c>
      <c r="U24" s="17" t="s">
        <v>35</v>
      </c>
      <c r="V24" s="17" t="s">
        <v>35</v>
      </c>
      <c r="W24" s="17" t="s">
        <v>35</v>
      </c>
      <c r="X24" s="17" t="s">
        <v>35</v>
      </c>
      <c r="Y24" s="17">
        <v>60000</v>
      </c>
      <c r="Z24" s="17" t="s">
        <v>35</v>
      </c>
      <c r="AA24" s="17" t="s">
        <v>35</v>
      </c>
    </row>
    <row r="25" spans="1:27" ht="30" customHeight="1">
      <c r="A25" s="12" t="s">
        <v>157</v>
      </c>
      <c r="B25" s="17"/>
      <c r="C25" s="17"/>
      <c r="D25" s="17"/>
      <c r="E25" s="17"/>
      <c r="F25" s="17"/>
      <c r="G25" s="17"/>
      <c r="H25" s="17"/>
      <c r="I25" s="17"/>
      <c r="J25" s="17"/>
      <c r="K25" s="17"/>
      <c r="L25" s="17"/>
      <c r="M25" s="17"/>
      <c r="N25" s="17"/>
      <c r="O25" s="17"/>
      <c r="P25" s="17"/>
      <c r="Q25" s="17"/>
      <c r="R25" s="17"/>
      <c r="S25" s="17"/>
      <c r="T25" s="17"/>
      <c r="U25" s="17"/>
      <c r="V25" s="17"/>
      <c r="W25" s="17"/>
      <c r="X25" s="17"/>
      <c r="Y25" s="17"/>
      <c r="Z25" s="17"/>
      <c r="AA25" s="17"/>
    </row>
    <row r="26" spans="1:27">
      <c r="A26" s="13" t="s">
        <v>5</v>
      </c>
      <c r="B26" s="18" t="s">
        <v>6</v>
      </c>
      <c r="C26" s="18" t="s">
        <v>7</v>
      </c>
      <c r="D26" s="18" t="s">
        <v>8</v>
      </c>
      <c r="E26" s="18" t="s">
        <v>9</v>
      </c>
      <c r="F26" s="18" t="s">
        <v>10</v>
      </c>
      <c r="G26" s="18" t="s">
        <v>11</v>
      </c>
      <c r="H26" s="18" t="s">
        <v>12</v>
      </c>
      <c r="I26" s="18" t="s">
        <v>13</v>
      </c>
      <c r="J26" s="18" t="s">
        <v>14</v>
      </c>
      <c r="K26" s="18" t="s">
        <v>15</v>
      </c>
      <c r="L26" s="18" t="s">
        <v>16</v>
      </c>
      <c r="M26" s="18" t="s">
        <v>17</v>
      </c>
      <c r="N26" s="18" t="s">
        <v>18</v>
      </c>
      <c r="O26" s="18" t="s">
        <v>19</v>
      </c>
      <c r="P26" s="18" t="s">
        <v>20</v>
      </c>
      <c r="Q26" s="18" t="s">
        <v>21</v>
      </c>
      <c r="R26" s="18" t="s">
        <v>22</v>
      </c>
      <c r="S26" s="18" t="s">
        <v>23</v>
      </c>
      <c r="T26" s="18" t="s">
        <v>24</v>
      </c>
      <c r="U26" s="18" t="s">
        <v>25</v>
      </c>
      <c r="V26" s="18" t="s">
        <v>26</v>
      </c>
      <c r="W26" s="18" t="s">
        <v>27</v>
      </c>
      <c r="X26" s="18" t="s">
        <v>28</v>
      </c>
      <c r="Y26" s="18" t="s">
        <v>29</v>
      </c>
      <c r="Z26" s="18" t="s">
        <v>30</v>
      </c>
      <c r="AA26" s="18" t="s">
        <v>31</v>
      </c>
    </row>
    <row r="27" spans="1:27">
      <c r="A27" s="13" t="s">
        <v>32</v>
      </c>
      <c r="B27" s="15">
        <v>0.49508239999999998</v>
      </c>
      <c r="C27" s="15">
        <v>0.49183529999999998</v>
      </c>
      <c r="D27" s="15">
        <v>0.45778000000000002</v>
      </c>
      <c r="E27" s="15">
        <v>0.4283054</v>
      </c>
      <c r="F27" s="15">
        <v>0.39523950000000002</v>
      </c>
      <c r="G27" s="15">
        <v>0.37891910000000001</v>
      </c>
      <c r="H27" s="15">
        <v>0.34114630000000001</v>
      </c>
      <c r="I27" s="15">
        <v>0.30955690000000002</v>
      </c>
      <c r="J27" s="15">
        <v>0.2726788</v>
      </c>
      <c r="K27" s="15">
        <v>0.25810660000000002</v>
      </c>
      <c r="L27" s="15">
        <v>0.24968180000000001</v>
      </c>
      <c r="M27" s="15">
        <v>0.24055480000000001</v>
      </c>
      <c r="N27" s="15">
        <v>0.24093719999999999</v>
      </c>
      <c r="O27" s="15">
        <v>0.23671420000000001</v>
      </c>
      <c r="P27" s="15">
        <v>0.23137369999999999</v>
      </c>
      <c r="Q27" s="15">
        <v>0.21533070000000001</v>
      </c>
      <c r="R27" s="15">
        <v>0.21545400000000001</v>
      </c>
      <c r="S27" s="15">
        <v>0.22131410000000001</v>
      </c>
      <c r="T27" s="15">
        <v>0.2198638</v>
      </c>
      <c r="U27" s="15">
        <v>0.22061359999999999</v>
      </c>
      <c r="V27" s="15">
        <v>0.21252960000000001</v>
      </c>
      <c r="W27" s="15">
        <v>0.21870529999999999</v>
      </c>
      <c r="X27" s="15">
        <v>0.20637730000000001</v>
      </c>
      <c r="Y27" s="15">
        <v>0.21486730000000001</v>
      </c>
      <c r="Z27" s="15">
        <v>0.21321499999999999</v>
      </c>
      <c r="AA27" s="15">
        <v>0.20818980000000001</v>
      </c>
    </row>
    <row r="28" spans="1:27">
      <c r="A28" s="13" t="s">
        <v>52</v>
      </c>
      <c r="B28" s="15" t="s">
        <v>99</v>
      </c>
      <c r="C28" s="15" t="s">
        <v>99</v>
      </c>
      <c r="D28" s="15" t="s">
        <v>99</v>
      </c>
      <c r="E28" s="15" t="s">
        <v>99</v>
      </c>
      <c r="F28" s="15" t="s">
        <v>99</v>
      </c>
      <c r="G28" s="15" t="s">
        <v>99</v>
      </c>
      <c r="H28" s="15" t="s">
        <v>99</v>
      </c>
      <c r="I28" s="15">
        <v>0.30210559999999997</v>
      </c>
      <c r="J28" s="15">
        <v>0.26691520000000002</v>
      </c>
      <c r="K28" s="15">
        <v>0.2495542</v>
      </c>
      <c r="L28" s="15">
        <v>0.2406739</v>
      </c>
      <c r="M28" s="15">
        <v>0.22982140000000001</v>
      </c>
      <c r="N28" s="15">
        <v>0.23177590000000001</v>
      </c>
      <c r="O28" s="15">
        <v>0.22488459999999999</v>
      </c>
      <c r="P28" s="15">
        <v>0.21901809999999999</v>
      </c>
      <c r="Q28" s="15">
        <v>0.20134959999999999</v>
      </c>
      <c r="R28" s="15">
        <v>0.20317379999999999</v>
      </c>
      <c r="S28" s="15">
        <v>0.20835980000000001</v>
      </c>
      <c r="T28" s="15">
        <v>0.21065800000000001</v>
      </c>
      <c r="U28" s="15">
        <v>0.21256949999999999</v>
      </c>
      <c r="V28" s="15">
        <v>0.20348250000000001</v>
      </c>
      <c r="W28" s="15">
        <v>0.20324510000000001</v>
      </c>
      <c r="X28" s="15">
        <v>0.1874381</v>
      </c>
      <c r="Y28" s="15">
        <v>0.19189729999999999</v>
      </c>
      <c r="Z28" s="15">
        <v>0.18935930000000001</v>
      </c>
      <c r="AA28" s="15">
        <v>0.1841246</v>
      </c>
    </row>
    <row r="29" spans="1:27">
      <c r="A29" s="13" t="s">
        <v>53</v>
      </c>
      <c r="B29" s="15" t="s">
        <v>99</v>
      </c>
      <c r="C29" s="15" t="s">
        <v>99</v>
      </c>
      <c r="D29" s="15" t="s">
        <v>99</v>
      </c>
      <c r="E29" s="15" t="s">
        <v>99</v>
      </c>
      <c r="F29" s="15" t="s">
        <v>99</v>
      </c>
      <c r="G29" s="15" t="s">
        <v>99</v>
      </c>
      <c r="H29" s="15" t="s">
        <v>99</v>
      </c>
      <c r="I29" s="15">
        <v>0.42601099999999997</v>
      </c>
      <c r="J29" s="15">
        <v>0.37327880000000002</v>
      </c>
      <c r="K29" s="15">
        <v>0.3987752</v>
      </c>
      <c r="L29" s="15">
        <v>0.38148159999999998</v>
      </c>
      <c r="M29" s="15">
        <v>0.38726549999999998</v>
      </c>
      <c r="N29" s="15">
        <v>0.34488829999999998</v>
      </c>
      <c r="O29" s="15">
        <v>0.34221629999999997</v>
      </c>
      <c r="P29" s="15">
        <v>0.3368623</v>
      </c>
      <c r="Q29" s="15">
        <v>0.34816029999999998</v>
      </c>
      <c r="R29" s="15">
        <v>0.34240189999999998</v>
      </c>
      <c r="S29" s="15">
        <v>0.34746490000000002</v>
      </c>
      <c r="T29" s="15">
        <v>0.30081289999999999</v>
      </c>
      <c r="U29" s="15">
        <v>0.28021449999999998</v>
      </c>
      <c r="V29" s="15">
        <v>0.2762155</v>
      </c>
      <c r="W29" s="15">
        <v>0.32099339999999998</v>
      </c>
      <c r="X29" s="15">
        <v>0.32346829999999999</v>
      </c>
      <c r="Y29" s="15">
        <v>0.34109319999999999</v>
      </c>
      <c r="Z29" s="15">
        <v>0.33566600000000002</v>
      </c>
      <c r="AA29" s="15">
        <v>0.3416053</v>
      </c>
    </row>
    <row r="30" spans="1:27" ht="30" customHeight="1">
      <c r="A30" s="12" t="s">
        <v>158</v>
      </c>
      <c r="B30" s="15"/>
      <c r="C30" s="15"/>
      <c r="D30" s="15"/>
      <c r="E30" s="15"/>
      <c r="F30" s="15"/>
      <c r="G30" s="15"/>
      <c r="H30" s="15"/>
      <c r="I30" s="15"/>
      <c r="J30" s="15"/>
      <c r="K30" s="15"/>
      <c r="L30" s="15"/>
      <c r="M30" s="15"/>
      <c r="N30" s="15"/>
      <c r="O30" s="15"/>
      <c r="P30" s="15"/>
      <c r="Q30" s="15"/>
      <c r="R30" s="15"/>
      <c r="S30" s="15"/>
      <c r="T30" s="15"/>
      <c r="U30" s="15"/>
      <c r="V30" s="15"/>
      <c r="W30" s="15"/>
      <c r="X30" s="15"/>
      <c r="Y30" s="15"/>
      <c r="Z30" s="15"/>
      <c r="AA30" s="15"/>
    </row>
    <row r="31" spans="1:27">
      <c r="A31" s="13" t="s">
        <v>5</v>
      </c>
      <c r="B31" s="16" t="s">
        <v>6</v>
      </c>
      <c r="C31" s="16" t="s">
        <v>7</v>
      </c>
      <c r="D31" s="16" t="s">
        <v>8</v>
      </c>
      <c r="E31" s="16" t="s">
        <v>9</v>
      </c>
      <c r="F31" s="16" t="s">
        <v>10</v>
      </c>
      <c r="G31" s="16" t="s">
        <v>11</v>
      </c>
      <c r="H31" s="16" t="s">
        <v>12</v>
      </c>
      <c r="I31" s="16" t="s">
        <v>13</v>
      </c>
      <c r="J31" s="16" t="s">
        <v>14</v>
      </c>
      <c r="K31" s="16" t="s">
        <v>15</v>
      </c>
      <c r="L31" s="16" t="s">
        <v>16</v>
      </c>
      <c r="M31" s="16" t="s">
        <v>17</v>
      </c>
      <c r="N31" s="16" t="s">
        <v>18</v>
      </c>
      <c r="O31" s="16" t="s">
        <v>19</v>
      </c>
      <c r="P31" s="16" t="s">
        <v>20</v>
      </c>
      <c r="Q31" s="16" t="s">
        <v>21</v>
      </c>
      <c r="R31" s="16" t="s">
        <v>22</v>
      </c>
      <c r="S31" s="16" t="s">
        <v>23</v>
      </c>
      <c r="T31" s="16" t="s">
        <v>24</v>
      </c>
      <c r="U31" s="16" t="s">
        <v>25</v>
      </c>
      <c r="V31" s="16" t="s">
        <v>26</v>
      </c>
      <c r="W31" s="16" t="s">
        <v>27</v>
      </c>
      <c r="X31" s="16" t="s">
        <v>28</v>
      </c>
      <c r="Y31" s="16" t="s">
        <v>29</v>
      </c>
      <c r="Z31" s="16" t="s">
        <v>30</v>
      </c>
      <c r="AA31" s="16" t="s">
        <v>31</v>
      </c>
    </row>
    <row r="32" spans="1:27">
      <c r="A32" s="13" t="s">
        <v>32</v>
      </c>
      <c r="B32" s="15">
        <v>1</v>
      </c>
      <c r="C32" s="15">
        <v>1</v>
      </c>
      <c r="D32" s="15">
        <v>1</v>
      </c>
      <c r="E32" s="15">
        <v>1</v>
      </c>
      <c r="F32" s="15">
        <v>1</v>
      </c>
      <c r="G32" s="15">
        <v>1</v>
      </c>
      <c r="H32" s="15">
        <v>1</v>
      </c>
      <c r="I32" s="15">
        <v>1</v>
      </c>
      <c r="J32" s="15">
        <v>1</v>
      </c>
      <c r="K32" s="15">
        <v>1</v>
      </c>
      <c r="L32" s="15">
        <v>1</v>
      </c>
      <c r="M32" s="15">
        <v>1</v>
      </c>
      <c r="N32" s="15">
        <v>1</v>
      </c>
      <c r="O32" s="15">
        <v>1</v>
      </c>
      <c r="P32" s="15">
        <v>1</v>
      </c>
      <c r="Q32" s="15">
        <v>1</v>
      </c>
      <c r="R32" s="15">
        <v>1</v>
      </c>
      <c r="S32" s="15">
        <v>1</v>
      </c>
      <c r="T32" s="15">
        <v>1</v>
      </c>
      <c r="U32" s="15">
        <v>1</v>
      </c>
      <c r="V32" s="15">
        <v>1</v>
      </c>
      <c r="W32" s="15">
        <v>1</v>
      </c>
      <c r="X32" s="15">
        <v>1</v>
      </c>
      <c r="Y32" s="15">
        <v>1</v>
      </c>
      <c r="Z32" s="15">
        <v>1</v>
      </c>
      <c r="AA32" s="15">
        <v>1</v>
      </c>
    </row>
    <row r="33" spans="1:27">
      <c r="A33" s="13" t="s">
        <v>52</v>
      </c>
      <c r="B33" s="15" t="s">
        <v>99</v>
      </c>
      <c r="C33" s="15" t="s">
        <v>99</v>
      </c>
      <c r="D33" s="15" t="s">
        <v>99</v>
      </c>
      <c r="E33" s="15" t="s">
        <v>99</v>
      </c>
      <c r="F33" s="15" t="s">
        <v>99</v>
      </c>
      <c r="G33" s="15" t="s">
        <v>99</v>
      </c>
      <c r="H33" s="15" t="s">
        <v>99</v>
      </c>
      <c r="I33" s="15">
        <v>0.91594100000000001</v>
      </c>
      <c r="J33" s="15">
        <v>0.92492929999999995</v>
      </c>
      <c r="K33" s="15">
        <v>0.9117345</v>
      </c>
      <c r="L33" s="15">
        <v>0.90315990000000002</v>
      </c>
      <c r="M33" s="15">
        <v>0.88862450000000004</v>
      </c>
      <c r="N33" s="15">
        <v>0.88069839999999999</v>
      </c>
      <c r="O33" s="15">
        <v>0.85593750000000002</v>
      </c>
      <c r="P33" s="15">
        <v>0.84854649999999998</v>
      </c>
      <c r="Q33" s="15">
        <v>0.84690160000000003</v>
      </c>
      <c r="R33" s="15">
        <v>0.85899950000000003</v>
      </c>
      <c r="S33" s="15">
        <v>0.85159799999999997</v>
      </c>
      <c r="T33" s="15">
        <v>0.8621373</v>
      </c>
      <c r="U33" s="15">
        <v>0.85336440000000002</v>
      </c>
      <c r="V33" s="15">
        <v>0.84374910000000003</v>
      </c>
      <c r="W33" s="15">
        <v>0.80591550000000001</v>
      </c>
      <c r="X33" s="15">
        <v>0.78192620000000002</v>
      </c>
      <c r="Y33" s="15">
        <v>0.75581549999999997</v>
      </c>
      <c r="Z33" s="15">
        <v>0.74405399999999999</v>
      </c>
      <c r="AA33" s="15">
        <v>0.75031669999999995</v>
      </c>
    </row>
    <row r="34" spans="1:27">
      <c r="A34" s="13" t="s">
        <v>53</v>
      </c>
      <c r="B34" s="15" t="s">
        <v>99</v>
      </c>
      <c r="C34" s="15" t="s">
        <v>99</v>
      </c>
      <c r="D34" s="15" t="s">
        <v>99</v>
      </c>
      <c r="E34" s="15" t="s">
        <v>99</v>
      </c>
      <c r="F34" s="15" t="s">
        <v>99</v>
      </c>
      <c r="G34" s="15" t="s">
        <v>99</v>
      </c>
      <c r="H34" s="15" t="s">
        <v>99</v>
      </c>
      <c r="I34" s="15">
        <v>8.4058999999999995E-2</v>
      </c>
      <c r="J34" s="15">
        <v>7.5070700000000004E-2</v>
      </c>
      <c r="K34" s="15">
        <v>8.8265499999999997E-2</v>
      </c>
      <c r="L34" s="15">
        <v>9.6840099999999998E-2</v>
      </c>
      <c r="M34" s="15">
        <v>0.1113755</v>
      </c>
      <c r="N34" s="15">
        <v>0.11930159999999999</v>
      </c>
      <c r="O34" s="15">
        <v>0.14406250000000001</v>
      </c>
      <c r="P34" s="15">
        <v>0.15145349999999999</v>
      </c>
      <c r="Q34" s="15">
        <v>0.1530984</v>
      </c>
      <c r="R34" s="15">
        <v>0.1410005</v>
      </c>
      <c r="S34" s="15">
        <v>0.14840200000000001</v>
      </c>
      <c r="T34" s="15">
        <v>0.1378627</v>
      </c>
      <c r="U34" s="15">
        <v>0.1466356</v>
      </c>
      <c r="V34" s="15">
        <v>0.1562509</v>
      </c>
      <c r="W34" s="15">
        <v>0.19408449999999999</v>
      </c>
      <c r="X34" s="15">
        <v>0.21807380000000001</v>
      </c>
      <c r="Y34" s="15">
        <v>0.2441845</v>
      </c>
      <c r="Z34" s="15">
        <v>0.25594600000000001</v>
      </c>
      <c r="AA34" s="15">
        <v>0.2496833</v>
      </c>
    </row>
    <row r="35" spans="1:27" ht="30" customHeight="1">
      <c r="A35" s="12" t="s">
        <v>159</v>
      </c>
      <c r="B35" s="15"/>
      <c r="C35" s="15"/>
      <c r="D35" s="15"/>
      <c r="E35" s="15"/>
      <c r="F35" s="15"/>
      <c r="G35" s="15"/>
      <c r="H35" s="15"/>
      <c r="I35" s="15"/>
      <c r="J35" s="15"/>
      <c r="K35" s="15"/>
      <c r="L35" s="15"/>
      <c r="M35" s="15"/>
      <c r="N35" s="15"/>
      <c r="O35" s="15"/>
      <c r="P35" s="15"/>
      <c r="Q35" s="15"/>
      <c r="R35" s="15"/>
      <c r="S35" s="15"/>
      <c r="T35" s="15"/>
      <c r="U35" s="15"/>
      <c r="V35" s="15"/>
      <c r="W35" s="15"/>
      <c r="X35" s="15"/>
      <c r="Y35" s="15"/>
      <c r="Z35" s="15"/>
      <c r="AA35" s="15"/>
    </row>
    <row r="36" spans="1:27">
      <c r="A36" s="13" t="s">
        <v>5</v>
      </c>
      <c r="B36" s="16" t="s">
        <v>6</v>
      </c>
      <c r="C36" s="16" t="s">
        <v>7</v>
      </c>
      <c r="D36" s="16" t="s">
        <v>8</v>
      </c>
      <c r="E36" s="16" t="s">
        <v>9</v>
      </c>
      <c r="F36" s="16" t="s">
        <v>10</v>
      </c>
      <c r="G36" s="16" t="s">
        <v>11</v>
      </c>
      <c r="H36" s="16" t="s">
        <v>12</v>
      </c>
      <c r="I36" s="16" t="s">
        <v>13</v>
      </c>
      <c r="J36" s="16" t="s">
        <v>14</v>
      </c>
      <c r="K36" s="16" t="s">
        <v>15</v>
      </c>
      <c r="L36" s="16" t="s">
        <v>16</v>
      </c>
      <c r="M36" s="16" t="s">
        <v>17</v>
      </c>
      <c r="N36" s="16" t="s">
        <v>18</v>
      </c>
      <c r="O36" s="16" t="s">
        <v>19</v>
      </c>
      <c r="P36" s="16" t="s">
        <v>20</v>
      </c>
      <c r="Q36" s="16" t="s">
        <v>21</v>
      </c>
      <c r="R36" s="16" t="s">
        <v>22</v>
      </c>
      <c r="S36" s="16" t="s">
        <v>23</v>
      </c>
      <c r="T36" s="16" t="s">
        <v>24</v>
      </c>
      <c r="U36" s="16" t="s">
        <v>25</v>
      </c>
      <c r="V36" s="16" t="s">
        <v>26</v>
      </c>
      <c r="W36" s="16" t="s">
        <v>27</v>
      </c>
      <c r="X36" s="16" t="s">
        <v>28</v>
      </c>
      <c r="Y36" s="16" t="s">
        <v>29</v>
      </c>
      <c r="Z36" s="16" t="s">
        <v>30</v>
      </c>
      <c r="AA36" s="16" t="s">
        <v>31</v>
      </c>
    </row>
    <row r="37" spans="1:27">
      <c r="A37" s="13" t="s">
        <v>32</v>
      </c>
      <c r="B37" s="17">
        <v>550000</v>
      </c>
      <c r="C37" s="17">
        <v>540000</v>
      </c>
      <c r="D37" s="17">
        <v>500000</v>
      </c>
      <c r="E37" s="17">
        <v>460000</v>
      </c>
      <c r="F37" s="17">
        <v>420000</v>
      </c>
      <c r="G37" s="17">
        <v>400000</v>
      </c>
      <c r="H37" s="17">
        <v>360000</v>
      </c>
      <c r="I37" s="17">
        <v>320000</v>
      </c>
      <c r="J37" s="17">
        <v>280000</v>
      </c>
      <c r="K37" s="17">
        <v>260000</v>
      </c>
      <c r="L37" s="17">
        <v>250000</v>
      </c>
      <c r="M37" s="17">
        <v>240000</v>
      </c>
      <c r="N37" s="17">
        <v>240000</v>
      </c>
      <c r="O37" s="17">
        <v>240000</v>
      </c>
      <c r="P37" s="17">
        <v>230000</v>
      </c>
      <c r="Q37" s="17">
        <v>210000</v>
      </c>
      <c r="R37" s="17">
        <v>210000</v>
      </c>
      <c r="S37" s="17">
        <v>220000</v>
      </c>
      <c r="T37" s="17">
        <v>220000</v>
      </c>
      <c r="U37" s="17">
        <v>220000</v>
      </c>
      <c r="V37" s="17">
        <v>210000</v>
      </c>
      <c r="W37" s="17">
        <v>220000</v>
      </c>
      <c r="X37" s="17">
        <v>200000</v>
      </c>
      <c r="Y37" s="17">
        <v>210000</v>
      </c>
      <c r="Z37" s="17">
        <v>210000</v>
      </c>
      <c r="AA37" s="17">
        <v>210000</v>
      </c>
    </row>
    <row r="38" spans="1:27">
      <c r="A38" s="13" t="s">
        <v>52</v>
      </c>
      <c r="B38" s="17" t="s">
        <v>99</v>
      </c>
      <c r="C38" s="17" t="s">
        <v>99</v>
      </c>
      <c r="D38" s="17" t="s">
        <v>99</v>
      </c>
      <c r="E38" s="17" t="s">
        <v>99</v>
      </c>
      <c r="F38" s="17" t="s">
        <v>99</v>
      </c>
      <c r="G38" s="17" t="s">
        <v>99</v>
      </c>
      <c r="H38" s="17" t="s">
        <v>99</v>
      </c>
      <c r="I38" s="17">
        <v>290000</v>
      </c>
      <c r="J38" s="17">
        <v>260000</v>
      </c>
      <c r="K38" s="17">
        <v>240000</v>
      </c>
      <c r="L38" s="17">
        <v>230000</v>
      </c>
      <c r="M38" s="17">
        <v>210000</v>
      </c>
      <c r="N38" s="17">
        <v>210000</v>
      </c>
      <c r="O38" s="17">
        <v>200000</v>
      </c>
      <c r="P38" s="17">
        <v>200000</v>
      </c>
      <c r="Q38" s="17">
        <v>180000</v>
      </c>
      <c r="R38" s="17">
        <v>180000</v>
      </c>
      <c r="S38" s="17">
        <v>190000</v>
      </c>
      <c r="T38" s="17">
        <v>190000</v>
      </c>
      <c r="U38" s="17">
        <v>180000</v>
      </c>
      <c r="V38" s="17">
        <v>180000</v>
      </c>
      <c r="W38" s="17">
        <v>170000</v>
      </c>
      <c r="X38" s="17">
        <v>160000</v>
      </c>
      <c r="Y38" s="17">
        <v>160000</v>
      </c>
      <c r="Z38" s="17">
        <v>160000</v>
      </c>
      <c r="AA38" s="17">
        <v>160000</v>
      </c>
    </row>
    <row r="39" spans="1:27">
      <c r="A39" s="13" t="s">
        <v>53</v>
      </c>
      <c r="B39" s="17" t="s">
        <v>99</v>
      </c>
      <c r="C39" s="17" t="s">
        <v>99</v>
      </c>
      <c r="D39" s="17" t="s">
        <v>99</v>
      </c>
      <c r="E39" s="17" t="s">
        <v>99</v>
      </c>
      <c r="F39" s="17" t="s">
        <v>99</v>
      </c>
      <c r="G39" s="17" t="s">
        <v>99</v>
      </c>
      <c r="H39" s="17" t="s">
        <v>99</v>
      </c>
      <c r="I39" s="17" t="s">
        <v>35</v>
      </c>
      <c r="J39" s="17" t="s">
        <v>35</v>
      </c>
      <c r="K39" s="17" t="s">
        <v>35</v>
      </c>
      <c r="L39" s="17" t="s">
        <v>35</v>
      </c>
      <c r="M39" s="17" t="s">
        <v>35</v>
      </c>
      <c r="N39" s="17" t="s">
        <v>35</v>
      </c>
      <c r="O39" s="17">
        <v>30000</v>
      </c>
      <c r="P39" s="17">
        <v>30000</v>
      </c>
      <c r="Q39" s="17">
        <v>30000</v>
      </c>
      <c r="R39" s="17" t="s">
        <v>35</v>
      </c>
      <c r="S39" s="17" t="s">
        <v>35</v>
      </c>
      <c r="T39" s="17" t="s">
        <v>35</v>
      </c>
      <c r="U39" s="17" t="s">
        <v>35</v>
      </c>
      <c r="V39" s="17" t="s">
        <v>35</v>
      </c>
      <c r="W39" s="17" t="s">
        <v>35</v>
      </c>
      <c r="X39" s="17" t="s">
        <v>35</v>
      </c>
      <c r="Y39" s="17" t="s">
        <v>35</v>
      </c>
      <c r="Z39" s="17" t="s">
        <v>35</v>
      </c>
      <c r="AA39" s="17" t="s">
        <v>35</v>
      </c>
    </row>
    <row r="40" spans="1:27" ht="30" customHeight="1">
      <c r="A40" s="12" t="s">
        <v>160</v>
      </c>
      <c r="B40" s="17"/>
      <c r="C40" s="17"/>
      <c r="D40" s="17"/>
      <c r="E40" s="17"/>
      <c r="F40" s="17"/>
      <c r="G40" s="17"/>
      <c r="H40" s="17"/>
      <c r="I40" s="17"/>
      <c r="J40" s="17"/>
      <c r="K40" s="17"/>
      <c r="L40" s="17"/>
      <c r="M40" s="17"/>
      <c r="N40" s="17"/>
      <c r="O40" s="17"/>
      <c r="P40" s="17"/>
      <c r="Q40" s="17"/>
      <c r="R40" s="17"/>
      <c r="S40" s="17"/>
      <c r="T40" s="17"/>
      <c r="U40" s="17"/>
      <c r="V40" s="17"/>
      <c r="W40" s="17"/>
      <c r="X40" s="17"/>
      <c r="Y40" s="17"/>
      <c r="Z40" s="17"/>
      <c r="AA40" s="17"/>
    </row>
    <row r="41" spans="1:27">
      <c r="A41" s="13" t="s">
        <v>5</v>
      </c>
      <c r="B41" s="18" t="s">
        <v>6</v>
      </c>
      <c r="C41" s="18" t="s">
        <v>7</v>
      </c>
      <c r="D41" s="18" t="s">
        <v>8</v>
      </c>
      <c r="E41" s="18" t="s">
        <v>9</v>
      </c>
      <c r="F41" s="18" t="s">
        <v>10</v>
      </c>
      <c r="G41" s="18" t="s">
        <v>11</v>
      </c>
      <c r="H41" s="18" t="s">
        <v>12</v>
      </c>
      <c r="I41" s="18" t="s">
        <v>13</v>
      </c>
      <c r="J41" s="18" t="s">
        <v>14</v>
      </c>
      <c r="K41" s="18" t="s">
        <v>15</v>
      </c>
      <c r="L41" s="18" t="s">
        <v>16</v>
      </c>
      <c r="M41" s="18" t="s">
        <v>17</v>
      </c>
      <c r="N41" s="18" t="s">
        <v>18</v>
      </c>
      <c r="O41" s="18" t="s">
        <v>19</v>
      </c>
      <c r="P41" s="18" t="s">
        <v>20</v>
      </c>
      <c r="Q41" s="18" t="s">
        <v>21</v>
      </c>
      <c r="R41" s="18" t="s">
        <v>22</v>
      </c>
      <c r="S41" s="18" t="s">
        <v>23</v>
      </c>
      <c r="T41" s="18" t="s">
        <v>24</v>
      </c>
      <c r="U41" s="18" t="s">
        <v>25</v>
      </c>
      <c r="V41" s="18" t="s">
        <v>26</v>
      </c>
      <c r="W41" s="18" t="s">
        <v>27</v>
      </c>
      <c r="X41" s="18" t="s">
        <v>28</v>
      </c>
      <c r="Y41" s="18" t="s">
        <v>29</v>
      </c>
      <c r="Z41" s="18" t="s">
        <v>30</v>
      </c>
      <c r="AA41" s="18" t="s">
        <v>31</v>
      </c>
    </row>
    <row r="42" spans="1:27">
      <c r="A42" s="13" t="s">
        <v>32</v>
      </c>
      <c r="B42" s="15" t="s">
        <v>99</v>
      </c>
      <c r="C42" s="15" t="s">
        <v>99</v>
      </c>
      <c r="D42" s="15" t="s">
        <v>99</v>
      </c>
      <c r="E42" s="15" t="s">
        <v>99</v>
      </c>
      <c r="F42" s="15" t="s">
        <v>99</v>
      </c>
      <c r="G42" s="15" t="s">
        <v>99</v>
      </c>
      <c r="H42" s="15" t="s">
        <v>99</v>
      </c>
      <c r="I42" s="15" t="s">
        <v>99</v>
      </c>
      <c r="J42" s="15" t="s">
        <v>99</v>
      </c>
      <c r="K42" s="15" t="s">
        <v>99</v>
      </c>
      <c r="L42" s="15">
        <v>0.15674099999999999</v>
      </c>
      <c r="M42" s="15">
        <v>0.15043819999999999</v>
      </c>
      <c r="N42" s="15">
        <v>0.16121170000000001</v>
      </c>
      <c r="O42" s="15">
        <v>0.16044269999999999</v>
      </c>
      <c r="P42" s="15">
        <v>0.15772449999999999</v>
      </c>
      <c r="Q42" s="15" t="s">
        <v>98</v>
      </c>
      <c r="R42" s="15">
        <v>0.1183056</v>
      </c>
      <c r="S42" s="15">
        <v>0.12175800000000001</v>
      </c>
      <c r="T42" s="15">
        <v>0.12656249999999999</v>
      </c>
      <c r="U42" s="15">
        <v>0.12551419999999999</v>
      </c>
      <c r="V42" s="15">
        <v>0.1152852</v>
      </c>
      <c r="W42" s="15">
        <v>0.1210937</v>
      </c>
      <c r="X42" s="15">
        <v>0.12252349999999999</v>
      </c>
      <c r="Y42" s="15">
        <v>0.12522369999999999</v>
      </c>
      <c r="Z42" s="15">
        <v>0.1194209</v>
      </c>
      <c r="AA42" s="15">
        <v>0.105203</v>
      </c>
    </row>
    <row r="43" spans="1:27">
      <c r="A43" s="13" t="s">
        <v>33</v>
      </c>
      <c r="B43" s="15" t="s">
        <v>99</v>
      </c>
      <c r="C43" s="15" t="s">
        <v>99</v>
      </c>
      <c r="D43" s="15" t="s">
        <v>99</v>
      </c>
      <c r="E43" s="15" t="s">
        <v>99</v>
      </c>
      <c r="F43" s="15" t="s">
        <v>99</v>
      </c>
      <c r="G43" s="15" t="s">
        <v>99</v>
      </c>
      <c r="H43" s="15" t="s">
        <v>99</v>
      </c>
      <c r="I43" s="15" t="s">
        <v>99</v>
      </c>
      <c r="J43" s="15" t="s">
        <v>99</v>
      </c>
      <c r="K43" s="15" t="s">
        <v>99</v>
      </c>
      <c r="L43" s="15">
        <v>8.5379200000000002E-2</v>
      </c>
      <c r="M43" s="15">
        <v>8.5007799999999994E-2</v>
      </c>
      <c r="N43" s="15">
        <v>9.3046199999999996E-2</v>
      </c>
      <c r="O43" s="15">
        <v>9.5187400000000005E-2</v>
      </c>
      <c r="P43" s="15">
        <v>9.4953099999999999E-2</v>
      </c>
      <c r="Q43" s="15" t="s">
        <v>98</v>
      </c>
      <c r="R43" s="15">
        <v>6.7245399999999997E-2</v>
      </c>
      <c r="S43" s="15">
        <v>7.3141700000000004E-2</v>
      </c>
      <c r="T43" s="15">
        <v>7.7173800000000001E-2</v>
      </c>
      <c r="U43" s="15">
        <v>7.4272000000000005E-2</v>
      </c>
      <c r="V43" s="15">
        <v>6.3616500000000006E-2</v>
      </c>
      <c r="W43" s="15">
        <v>7.6235300000000006E-2</v>
      </c>
      <c r="X43" s="15">
        <v>8.1359399999999998E-2</v>
      </c>
      <c r="Y43" s="15">
        <v>8.4619100000000003E-2</v>
      </c>
      <c r="Z43" s="15">
        <v>7.5500700000000004E-2</v>
      </c>
      <c r="AA43" s="15">
        <v>6.9892099999999999E-2</v>
      </c>
    </row>
    <row r="44" spans="1:27">
      <c r="A44" s="13" t="s">
        <v>34</v>
      </c>
      <c r="B44" s="15" t="s">
        <v>99</v>
      </c>
      <c r="C44" s="15" t="s">
        <v>99</v>
      </c>
      <c r="D44" s="15" t="s">
        <v>99</v>
      </c>
      <c r="E44" s="15" t="s">
        <v>99</v>
      </c>
      <c r="F44" s="15" t="s">
        <v>99</v>
      </c>
      <c r="G44" s="15" t="s">
        <v>99</v>
      </c>
      <c r="H44" s="15" t="s">
        <v>99</v>
      </c>
      <c r="I44" s="15" t="s">
        <v>99</v>
      </c>
      <c r="J44" s="15" t="s">
        <v>99</v>
      </c>
      <c r="K44" s="15" t="s">
        <v>99</v>
      </c>
      <c r="L44" s="15">
        <v>0.3635737</v>
      </c>
      <c r="M44" s="15">
        <v>0.34638970000000002</v>
      </c>
      <c r="N44" s="15">
        <v>0.36224250000000002</v>
      </c>
      <c r="O44" s="15">
        <v>0.35588399999999998</v>
      </c>
      <c r="P44" s="15">
        <v>0.3512306</v>
      </c>
      <c r="Q44" s="15" t="s">
        <v>98</v>
      </c>
      <c r="R44" s="15">
        <v>0.26996969999999998</v>
      </c>
      <c r="S44" s="15">
        <v>0.26375910000000002</v>
      </c>
      <c r="T44" s="15">
        <v>0.27800350000000001</v>
      </c>
      <c r="U44" s="15">
        <v>0.287302</v>
      </c>
      <c r="V44" s="15">
        <v>0.28445399999999998</v>
      </c>
      <c r="W44" s="15">
        <v>0.2733854</v>
      </c>
      <c r="X44" s="15">
        <v>0.2623183</v>
      </c>
      <c r="Y44" s="15">
        <v>0.25759910000000003</v>
      </c>
      <c r="Z44" s="15">
        <v>0.25864530000000002</v>
      </c>
      <c r="AA44" s="15">
        <v>0.22736190000000001</v>
      </c>
    </row>
    <row r="45" spans="1:27" ht="30" customHeight="1">
      <c r="A45" s="12" t="s">
        <v>161</v>
      </c>
      <c r="B45" s="15"/>
      <c r="C45" s="15"/>
      <c r="D45" s="15"/>
      <c r="E45" s="15"/>
      <c r="F45" s="15"/>
      <c r="G45" s="15"/>
      <c r="H45" s="15"/>
      <c r="I45" s="15"/>
      <c r="J45" s="15"/>
      <c r="K45" s="15"/>
      <c r="L45" s="15"/>
      <c r="M45" s="15"/>
      <c r="N45" s="15"/>
      <c r="O45" s="15"/>
      <c r="P45" s="15"/>
      <c r="Q45" s="15"/>
      <c r="R45" s="15"/>
      <c r="S45" s="15"/>
      <c r="T45" s="15"/>
      <c r="U45" s="15"/>
      <c r="V45" s="15"/>
      <c r="W45" s="15"/>
      <c r="X45" s="15"/>
      <c r="Y45" s="15"/>
      <c r="Z45" s="15"/>
      <c r="AA45" s="15"/>
    </row>
    <row r="46" spans="1:27">
      <c r="A46" s="13" t="s">
        <v>5</v>
      </c>
      <c r="B46" s="16" t="s">
        <v>6</v>
      </c>
      <c r="C46" s="16" t="s">
        <v>7</v>
      </c>
      <c r="D46" s="16" t="s">
        <v>8</v>
      </c>
      <c r="E46" s="16" t="s">
        <v>9</v>
      </c>
      <c r="F46" s="16" t="s">
        <v>10</v>
      </c>
      <c r="G46" s="16" t="s">
        <v>11</v>
      </c>
      <c r="H46" s="16" t="s">
        <v>12</v>
      </c>
      <c r="I46" s="16" t="s">
        <v>13</v>
      </c>
      <c r="J46" s="16" t="s">
        <v>14</v>
      </c>
      <c r="K46" s="16" t="s">
        <v>15</v>
      </c>
      <c r="L46" s="16" t="s">
        <v>16</v>
      </c>
      <c r="M46" s="16" t="s">
        <v>17</v>
      </c>
      <c r="N46" s="16" t="s">
        <v>18</v>
      </c>
      <c r="O46" s="16" t="s">
        <v>19</v>
      </c>
      <c r="P46" s="16" t="s">
        <v>20</v>
      </c>
      <c r="Q46" s="16" t="s">
        <v>21</v>
      </c>
      <c r="R46" s="16" t="s">
        <v>22</v>
      </c>
      <c r="S46" s="16" t="s">
        <v>23</v>
      </c>
      <c r="T46" s="16" t="s">
        <v>24</v>
      </c>
      <c r="U46" s="16" t="s">
        <v>25</v>
      </c>
      <c r="V46" s="16" t="s">
        <v>26</v>
      </c>
      <c r="W46" s="16" t="s">
        <v>27</v>
      </c>
      <c r="X46" s="16" t="s">
        <v>28</v>
      </c>
      <c r="Y46" s="16" t="s">
        <v>29</v>
      </c>
      <c r="Z46" s="16" t="s">
        <v>30</v>
      </c>
      <c r="AA46" s="16" t="s">
        <v>31</v>
      </c>
    </row>
    <row r="47" spans="1:27">
      <c r="A47" s="13" t="s">
        <v>32</v>
      </c>
      <c r="B47" s="15" t="s">
        <v>99</v>
      </c>
      <c r="C47" s="15" t="s">
        <v>99</v>
      </c>
      <c r="D47" s="15" t="s">
        <v>99</v>
      </c>
      <c r="E47" s="15" t="s">
        <v>99</v>
      </c>
      <c r="F47" s="15" t="s">
        <v>99</v>
      </c>
      <c r="G47" s="15" t="s">
        <v>99</v>
      </c>
      <c r="H47" s="15" t="s">
        <v>99</v>
      </c>
      <c r="I47" s="15" t="s">
        <v>99</v>
      </c>
      <c r="J47" s="15" t="s">
        <v>99</v>
      </c>
      <c r="K47" s="15" t="s">
        <v>99</v>
      </c>
      <c r="L47" s="15">
        <v>1</v>
      </c>
      <c r="M47" s="15">
        <v>1</v>
      </c>
      <c r="N47" s="15">
        <v>1</v>
      </c>
      <c r="O47" s="15">
        <v>1</v>
      </c>
      <c r="P47" s="15">
        <v>1</v>
      </c>
      <c r="Q47" s="15" t="s">
        <v>98</v>
      </c>
      <c r="R47" s="15">
        <v>1</v>
      </c>
      <c r="S47" s="15">
        <v>1</v>
      </c>
      <c r="T47" s="15">
        <v>1</v>
      </c>
      <c r="U47" s="15">
        <v>1</v>
      </c>
      <c r="V47" s="15">
        <v>1</v>
      </c>
      <c r="W47" s="15">
        <v>1</v>
      </c>
      <c r="X47" s="15">
        <v>1</v>
      </c>
      <c r="Y47" s="15">
        <v>1</v>
      </c>
      <c r="Z47" s="15">
        <v>1</v>
      </c>
      <c r="AA47" s="15">
        <v>1</v>
      </c>
    </row>
    <row r="48" spans="1:27">
      <c r="A48" s="13" t="s">
        <v>33</v>
      </c>
      <c r="B48" s="15" t="s">
        <v>99</v>
      </c>
      <c r="C48" s="15" t="s">
        <v>99</v>
      </c>
      <c r="D48" s="15" t="s">
        <v>99</v>
      </c>
      <c r="E48" s="15" t="s">
        <v>99</v>
      </c>
      <c r="F48" s="15" t="s">
        <v>99</v>
      </c>
      <c r="G48" s="15" t="s">
        <v>99</v>
      </c>
      <c r="H48" s="15" t="s">
        <v>99</v>
      </c>
      <c r="I48" s="15" t="s">
        <v>99</v>
      </c>
      <c r="J48" s="15" t="s">
        <v>99</v>
      </c>
      <c r="K48" s="15" t="s">
        <v>99</v>
      </c>
      <c r="L48" s="15">
        <v>0.406609</v>
      </c>
      <c r="M48" s="15">
        <v>0.42417850000000001</v>
      </c>
      <c r="N48" s="15">
        <v>0.43125150000000001</v>
      </c>
      <c r="O48" s="15">
        <v>0.44464090000000001</v>
      </c>
      <c r="P48" s="15">
        <v>0.45539160000000001</v>
      </c>
      <c r="Q48" s="15" t="s">
        <v>98</v>
      </c>
      <c r="R48" s="15">
        <v>0.4226106</v>
      </c>
      <c r="S48" s="15">
        <v>0.4414476</v>
      </c>
      <c r="T48" s="15">
        <v>0.45612530000000001</v>
      </c>
      <c r="U48" s="15">
        <v>0.44394119999999998</v>
      </c>
      <c r="V48" s="15">
        <v>0.42338150000000002</v>
      </c>
      <c r="W48" s="15">
        <v>0.48085729999999999</v>
      </c>
      <c r="X48" s="15">
        <v>0.50851049999999998</v>
      </c>
      <c r="Y48" s="15">
        <v>0.51521519999999998</v>
      </c>
      <c r="Z48" s="15">
        <v>0.48061680000000001</v>
      </c>
      <c r="AA48" s="15">
        <v>0.52309090000000003</v>
      </c>
    </row>
    <row r="49" spans="1:27">
      <c r="A49" s="13" t="s">
        <v>34</v>
      </c>
      <c r="B49" s="15" t="s">
        <v>99</v>
      </c>
      <c r="C49" s="15" t="s">
        <v>99</v>
      </c>
      <c r="D49" s="15" t="s">
        <v>99</v>
      </c>
      <c r="E49" s="15" t="s">
        <v>99</v>
      </c>
      <c r="F49" s="15" t="s">
        <v>99</v>
      </c>
      <c r="G49" s="15" t="s">
        <v>99</v>
      </c>
      <c r="H49" s="15" t="s">
        <v>99</v>
      </c>
      <c r="I49" s="15" t="s">
        <v>99</v>
      </c>
      <c r="J49" s="15" t="s">
        <v>99</v>
      </c>
      <c r="K49" s="15" t="s">
        <v>99</v>
      </c>
      <c r="L49" s="15">
        <v>0.593391</v>
      </c>
      <c r="M49" s="15">
        <v>0.57582149999999999</v>
      </c>
      <c r="N49" s="15">
        <v>0.56874849999999999</v>
      </c>
      <c r="O49" s="15">
        <v>0.55535909999999999</v>
      </c>
      <c r="P49" s="15">
        <v>0.54460839999999999</v>
      </c>
      <c r="Q49" s="15" t="s">
        <v>98</v>
      </c>
      <c r="R49" s="15">
        <v>0.57738940000000005</v>
      </c>
      <c r="S49" s="15">
        <v>0.55855239999999995</v>
      </c>
      <c r="T49" s="15">
        <v>0.54387470000000004</v>
      </c>
      <c r="U49" s="15">
        <v>0.55605879999999996</v>
      </c>
      <c r="V49" s="15">
        <v>0.57661850000000003</v>
      </c>
      <c r="W49" s="15">
        <v>0.51914269999999996</v>
      </c>
      <c r="X49" s="15">
        <v>0.49148950000000002</v>
      </c>
      <c r="Y49" s="15">
        <v>0.48478480000000002</v>
      </c>
      <c r="Z49" s="15">
        <v>0.51938320000000004</v>
      </c>
      <c r="AA49" s="15">
        <v>0.47690909999999997</v>
      </c>
    </row>
    <row r="50" spans="1:27" ht="30" customHeight="1">
      <c r="A50" s="12" t="s">
        <v>162</v>
      </c>
      <c r="B50" s="15"/>
      <c r="C50" s="15"/>
      <c r="D50" s="15"/>
      <c r="E50" s="15"/>
      <c r="F50" s="15"/>
      <c r="G50" s="15"/>
      <c r="H50" s="15"/>
      <c r="I50" s="15"/>
      <c r="J50" s="15"/>
      <c r="K50" s="15"/>
      <c r="L50" s="15"/>
      <c r="M50" s="15"/>
      <c r="N50" s="15"/>
      <c r="O50" s="15"/>
      <c r="P50" s="15"/>
      <c r="Q50" s="15"/>
      <c r="R50" s="15"/>
      <c r="S50" s="15"/>
      <c r="T50" s="15"/>
      <c r="U50" s="15"/>
      <c r="V50" s="15"/>
      <c r="W50" s="15"/>
      <c r="X50" s="15"/>
      <c r="Y50" s="15"/>
      <c r="Z50" s="15"/>
      <c r="AA50" s="15"/>
    </row>
    <row r="51" spans="1:27">
      <c r="A51" s="13" t="s">
        <v>5</v>
      </c>
      <c r="B51" s="16" t="s">
        <v>6</v>
      </c>
      <c r="C51" s="16" t="s">
        <v>7</v>
      </c>
      <c r="D51" s="16" t="s">
        <v>8</v>
      </c>
      <c r="E51" s="16" t="s">
        <v>9</v>
      </c>
      <c r="F51" s="16" t="s">
        <v>10</v>
      </c>
      <c r="G51" s="16" t="s">
        <v>11</v>
      </c>
      <c r="H51" s="16" t="s">
        <v>12</v>
      </c>
      <c r="I51" s="16" t="s">
        <v>13</v>
      </c>
      <c r="J51" s="16" t="s">
        <v>14</v>
      </c>
      <c r="K51" s="16" t="s">
        <v>15</v>
      </c>
      <c r="L51" s="16" t="s">
        <v>16</v>
      </c>
      <c r="M51" s="16" t="s">
        <v>17</v>
      </c>
      <c r="N51" s="16" t="s">
        <v>18</v>
      </c>
      <c r="O51" s="16" t="s">
        <v>19</v>
      </c>
      <c r="P51" s="16" t="s">
        <v>20</v>
      </c>
      <c r="Q51" s="16" t="s">
        <v>21</v>
      </c>
      <c r="R51" s="16" t="s">
        <v>22</v>
      </c>
      <c r="S51" s="16" t="s">
        <v>23</v>
      </c>
      <c r="T51" s="16" t="s">
        <v>24</v>
      </c>
      <c r="U51" s="16" t="s">
        <v>25</v>
      </c>
      <c r="V51" s="16" t="s">
        <v>26</v>
      </c>
      <c r="W51" s="16" t="s">
        <v>27</v>
      </c>
      <c r="X51" s="16" t="s">
        <v>28</v>
      </c>
      <c r="Y51" s="16" t="s">
        <v>29</v>
      </c>
      <c r="Z51" s="16" t="s">
        <v>30</v>
      </c>
      <c r="AA51" s="16" t="s">
        <v>31</v>
      </c>
    </row>
    <row r="52" spans="1:27">
      <c r="A52" s="13" t="s">
        <v>32</v>
      </c>
      <c r="B52" s="17" t="s">
        <v>99</v>
      </c>
      <c r="C52" s="17" t="s">
        <v>99</v>
      </c>
      <c r="D52" s="17" t="s">
        <v>99</v>
      </c>
      <c r="E52" s="17" t="s">
        <v>99</v>
      </c>
      <c r="F52" s="17" t="s">
        <v>99</v>
      </c>
      <c r="G52" s="17" t="s">
        <v>99</v>
      </c>
      <c r="H52" s="17" t="s">
        <v>99</v>
      </c>
      <c r="I52" s="17" t="s">
        <v>99</v>
      </c>
      <c r="J52" s="17" t="s">
        <v>99</v>
      </c>
      <c r="K52" s="17" t="s">
        <v>99</v>
      </c>
      <c r="L52" s="17">
        <v>160000</v>
      </c>
      <c r="M52" s="17">
        <v>150000</v>
      </c>
      <c r="N52" s="17">
        <v>160000</v>
      </c>
      <c r="O52" s="17">
        <v>160000</v>
      </c>
      <c r="P52" s="17">
        <v>160000</v>
      </c>
      <c r="Q52" s="17" t="s">
        <v>98</v>
      </c>
      <c r="R52" s="17">
        <v>120000</v>
      </c>
      <c r="S52" s="17">
        <v>120000</v>
      </c>
      <c r="T52" s="17">
        <v>130000</v>
      </c>
      <c r="U52" s="17">
        <v>120000</v>
      </c>
      <c r="V52" s="17">
        <v>110000</v>
      </c>
      <c r="W52" s="17">
        <v>120000</v>
      </c>
      <c r="X52" s="17">
        <v>120000</v>
      </c>
      <c r="Y52" s="17">
        <v>120000</v>
      </c>
      <c r="Z52" s="17">
        <v>120000</v>
      </c>
      <c r="AA52" s="17" t="s">
        <v>35</v>
      </c>
    </row>
    <row r="53" spans="1:27">
      <c r="A53" s="13" t="s">
        <v>33</v>
      </c>
      <c r="B53" s="17" t="s">
        <v>99</v>
      </c>
      <c r="C53" s="17" t="s">
        <v>99</v>
      </c>
      <c r="D53" s="17" t="s">
        <v>99</v>
      </c>
      <c r="E53" s="17" t="s">
        <v>99</v>
      </c>
      <c r="F53" s="17" t="s">
        <v>99</v>
      </c>
      <c r="G53" s="17" t="s">
        <v>99</v>
      </c>
      <c r="H53" s="17" t="s">
        <v>99</v>
      </c>
      <c r="I53" s="17" t="s">
        <v>99</v>
      </c>
      <c r="J53" s="17" t="s">
        <v>99</v>
      </c>
      <c r="K53" s="17" t="s">
        <v>99</v>
      </c>
      <c r="L53" s="17">
        <v>60000</v>
      </c>
      <c r="M53" s="17">
        <v>60000</v>
      </c>
      <c r="N53" s="17">
        <v>70000</v>
      </c>
      <c r="O53" s="17">
        <v>70000</v>
      </c>
      <c r="P53" s="17">
        <v>70000</v>
      </c>
      <c r="Q53" s="17" t="s">
        <v>98</v>
      </c>
      <c r="R53" s="17">
        <v>50000</v>
      </c>
      <c r="S53" s="17">
        <v>50000</v>
      </c>
      <c r="T53" s="17">
        <v>60000</v>
      </c>
      <c r="U53" s="17" t="s">
        <v>35</v>
      </c>
      <c r="V53" s="17" t="s">
        <v>35</v>
      </c>
      <c r="W53" s="17" t="s">
        <v>35</v>
      </c>
      <c r="X53" s="17" t="s">
        <v>35</v>
      </c>
      <c r="Y53" s="17" t="s">
        <v>35</v>
      </c>
      <c r="Z53" s="17" t="s">
        <v>35</v>
      </c>
      <c r="AA53" s="17" t="s">
        <v>35</v>
      </c>
    </row>
    <row r="54" spans="1:27">
      <c r="A54" s="13" t="s">
        <v>34</v>
      </c>
      <c r="B54" s="17" t="s">
        <v>99</v>
      </c>
      <c r="C54" s="17" t="s">
        <v>99</v>
      </c>
      <c r="D54" s="17" t="s">
        <v>99</v>
      </c>
      <c r="E54" s="17" t="s">
        <v>99</v>
      </c>
      <c r="F54" s="17" t="s">
        <v>99</v>
      </c>
      <c r="G54" s="17" t="s">
        <v>99</v>
      </c>
      <c r="H54" s="17" t="s">
        <v>99</v>
      </c>
      <c r="I54" s="17" t="s">
        <v>99</v>
      </c>
      <c r="J54" s="17" t="s">
        <v>99</v>
      </c>
      <c r="K54" s="17" t="s">
        <v>99</v>
      </c>
      <c r="L54" s="17">
        <v>90000</v>
      </c>
      <c r="M54" s="17">
        <v>90000</v>
      </c>
      <c r="N54" s="17">
        <v>90000</v>
      </c>
      <c r="O54" s="17">
        <v>90000</v>
      </c>
      <c r="P54" s="17">
        <v>90000</v>
      </c>
      <c r="Q54" s="17" t="s">
        <v>98</v>
      </c>
      <c r="R54" s="17">
        <v>70000</v>
      </c>
      <c r="S54" s="17">
        <v>70000</v>
      </c>
      <c r="T54" s="17">
        <v>70000</v>
      </c>
      <c r="U54" s="17">
        <v>70000</v>
      </c>
      <c r="V54" s="17">
        <v>70000</v>
      </c>
      <c r="W54" s="17">
        <v>60000</v>
      </c>
      <c r="X54" s="17">
        <v>60000</v>
      </c>
      <c r="Y54" s="17">
        <v>60000</v>
      </c>
      <c r="Z54" s="17" t="s">
        <v>35</v>
      </c>
      <c r="AA54" s="17" t="s">
        <v>35</v>
      </c>
    </row>
    <row r="55" spans="1:27" ht="30" customHeight="1">
      <c r="A55" s="12" t="s">
        <v>163</v>
      </c>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row>
    <row r="56" spans="1:27">
      <c r="A56" s="13" t="s">
        <v>5</v>
      </c>
      <c r="B56" s="18" t="s">
        <v>6</v>
      </c>
      <c r="C56" s="18" t="s">
        <v>7</v>
      </c>
      <c r="D56" s="18" t="s">
        <v>8</v>
      </c>
      <c r="E56" s="18" t="s">
        <v>9</v>
      </c>
      <c r="F56" s="18" t="s">
        <v>10</v>
      </c>
      <c r="G56" s="18" t="s">
        <v>11</v>
      </c>
      <c r="H56" s="18" t="s">
        <v>12</v>
      </c>
      <c r="I56" s="18" t="s">
        <v>13</v>
      </c>
      <c r="J56" s="18" t="s">
        <v>14</v>
      </c>
      <c r="K56" s="18" t="s">
        <v>15</v>
      </c>
      <c r="L56" s="18" t="s">
        <v>16</v>
      </c>
      <c r="M56" s="18" t="s">
        <v>17</v>
      </c>
      <c r="N56" s="18" t="s">
        <v>18</v>
      </c>
      <c r="O56" s="18" t="s">
        <v>19</v>
      </c>
      <c r="P56" s="18" t="s">
        <v>20</v>
      </c>
      <c r="Q56" s="18" t="s">
        <v>21</v>
      </c>
      <c r="R56" s="18" t="s">
        <v>22</v>
      </c>
      <c r="S56" s="18" t="s">
        <v>23</v>
      </c>
      <c r="T56" s="18" t="s">
        <v>24</v>
      </c>
      <c r="U56" s="18" t="s">
        <v>25</v>
      </c>
      <c r="V56" s="18" t="s">
        <v>26</v>
      </c>
      <c r="W56" s="18" t="s">
        <v>27</v>
      </c>
      <c r="X56" s="18" t="s">
        <v>28</v>
      </c>
      <c r="Y56" s="18" t="s">
        <v>29</v>
      </c>
      <c r="Z56" s="18" t="s">
        <v>30</v>
      </c>
      <c r="AA56" s="18" t="s">
        <v>31</v>
      </c>
    </row>
    <row r="57" spans="1:27">
      <c r="A57" s="13" t="s">
        <v>32</v>
      </c>
      <c r="B57" s="17">
        <v>2277</v>
      </c>
      <c r="C57" s="17">
        <v>2168</v>
      </c>
      <c r="D57" s="17">
        <v>1980</v>
      </c>
      <c r="E57" s="17">
        <v>1921</v>
      </c>
      <c r="F57" s="17">
        <v>1858</v>
      </c>
      <c r="G57" s="17">
        <v>1967</v>
      </c>
      <c r="H57" s="17">
        <v>2708</v>
      </c>
      <c r="I57" s="17">
        <v>3414</v>
      </c>
      <c r="J57" s="17">
        <v>3963</v>
      </c>
      <c r="K57" s="17">
        <v>3771</v>
      </c>
      <c r="L57" s="17">
        <v>3543</v>
      </c>
      <c r="M57" s="17">
        <v>3498</v>
      </c>
      <c r="N57" s="17">
        <v>3443</v>
      </c>
      <c r="O57" s="17">
        <v>3417</v>
      </c>
      <c r="P57" s="17">
        <v>3364</v>
      </c>
      <c r="Q57" s="17">
        <v>3103</v>
      </c>
      <c r="R57" s="17">
        <v>2851</v>
      </c>
      <c r="S57" s="17">
        <v>2504</v>
      </c>
      <c r="T57" s="17">
        <v>2386</v>
      </c>
      <c r="U57" s="17">
        <v>2174</v>
      </c>
      <c r="V57" s="17">
        <v>2122</v>
      </c>
      <c r="W57" s="17">
        <v>1974</v>
      </c>
      <c r="X57" s="17">
        <v>2031</v>
      </c>
      <c r="Y57" s="17">
        <v>1947</v>
      </c>
      <c r="Z57" s="17">
        <v>1326</v>
      </c>
      <c r="AA57" s="17">
        <v>1000</v>
      </c>
    </row>
    <row r="58" spans="1:27">
      <c r="A58" s="13" t="s">
        <v>52</v>
      </c>
      <c r="B58" s="17" t="s">
        <v>99</v>
      </c>
      <c r="C58" s="17" t="s">
        <v>99</v>
      </c>
      <c r="D58" s="17" t="s">
        <v>99</v>
      </c>
      <c r="E58" s="17" t="s">
        <v>99</v>
      </c>
      <c r="F58" s="17" t="s">
        <v>99</v>
      </c>
      <c r="G58" s="17" t="s">
        <v>99</v>
      </c>
      <c r="H58" s="17" t="s">
        <v>99</v>
      </c>
      <c r="I58" s="17">
        <v>3239</v>
      </c>
      <c r="J58" s="17">
        <v>3765</v>
      </c>
      <c r="K58" s="17">
        <v>3578</v>
      </c>
      <c r="L58" s="17">
        <v>3336</v>
      </c>
      <c r="M58" s="17">
        <v>3260</v>
      </c>
      <c r="N58" s="17">
        <v>3161</v>
      </c>
      <c r="O58" s="17">
        <v>3090</v>
      </c>
      <c r="P58" s="17">
        <v>3034</v>
      </c>
      <c r="Q58" s="17">
        <v>2817</v>
      </c>
      <c r="R58" s="17">
        <v>2608</v>
      </c>
      <c r="S58" s="17">
        <v>2278</v>
      </c>
      <c r="T58" s="17">
        <v>2155</v>
      </c>
      <c r="U58" s="17">
        <v>1936</v>
      </c>
      <c r="V58" s="17">
        <v>1878</v>
      </c>
      <c r="W58" s="17">
        <v>1720</v>
      </c>
      <c r="X58" s="17">
        <v>1757</v>
      </c>
      <c r="Y58" s="17">
        <v>1657</v>
      </c>
      <c r="Z58" s="17">
        <v>1120</v>
      </c>
      <c r="AA58" s="17">
        <v>851</v>
      </c>
    </row>
    <row r="59" spans="1:27">
      <c r="A59" s="13" t="s">
        <v>53</v>
      </c>
      <c r="B59" s="17" t="s">
        <v>99</v>
      </c>
      <c r="C59" s="17" t="s">
        <v>99</v>
      </c>
      <c r="D59" s="17" t="s">
        <v>99</v>
      </c>
      <c r="E59" s="17" t="s">
        <v>99</v>
      </c>
      <c r="F59" s="17" t="s">
        <v>99</v>
      </c>
      <c r="G59" s="17" t="s">
        <v>99</v>
      </c>
      <c r="H59" s="17" t="s">
        <v>99</v>
      </c>
      <c r="I59" s="17">
        <v>175</v>
      </c>
      <c r="J59" s="17">
        <v>198</v>
      </c>
      <c r="K59" s="17">
        <v>193</v>
      </c>
      <c r="L59" s="17">
        <v>207</v>
      </c>
      <c r="M59" s="17">
        <v>238</v>
      </c>
      <c r="N59" s="17">
        <v>282</v>
      </c>
      <c r="O59" s="17">
        <v>327</v>
      </c>
      <c r="P59" s="17">
        <v>330</v>
      </c>
      <c r="Q59" s="17">
        <v>286</v>
      </c>
      <c r="R59" s="17">
        <v>243</v>
      </c>
      <c r="S59" s="17">
        <v>226</v>
      </c>
      <c r="T59" s="17">
        <v>231</v>
      </c>
      <c r="U59" s="17">
        <v>238</v>
      </c>
      <c r="V59" s="17">
        <v>244</v>
      </c>
      <c r="W59" s="17">
        <v>254</v>
      </c>
      <c r="X59" s="17">
        <v>274</v>
      </c>
      <c r="Y59" s="17">
        <v>290</v>
      </c>
      <c r="Z59" s="17">
        <v>206</v>
      </c>
      <c r="AA59" s="17">
        <v>149</v>
      </c>
    </row>
    <row r="60" spans="1:27">
      <c r="A60" s="13"/>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row>
    <row r="61" spans="1:27">
      <c r="A61" s="13"/>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row>
    <row r="62" spans="1:27">
      <c r="A62" s="13"/>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row>
    <row r="63" spans="1:27">
      <c r="A63" s="13"/>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row>
    <row r="64" spans="1:27">
      <c r="A64" s="13"/>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row>
    <row r="65" spans="1:27">
      <c r="A65" s="13"/>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row>
    <row r="66" spans="1:27">
      <c r="A66" s="13"/>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row>
    <row r="67" spans="1:27">
      <c r="A67" s="13"/>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row>
    <row r="68" spans="1:27">
      <c r="A68" s="13"/>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row>
    <row r="69" spans="1:27">
      <c r="A69" s="13"/>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row>
    <row r="70" spans="1:27">
      <c r="A70" s="13"/>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row>
    <row r="71" spans="1:27">
      <c r="A71" s="13"/>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row>
    <row r="72" spans="1:27">
      <c r="A72" s="13"/>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row>
    <row r="73" spans="1:27">
      <c r="A73" s="13"/>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row>
    <row r="74" spans="1:27">
      <c r="A74" s="13"/>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row>
    <row r="75" spans="1:27">
      <c r="A75" s="13"/>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row>
    <row r="76" spans="1:27">
      <c r="A76" s="13"/>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row>
    <row r="77" spans="1:27">
      <c r="A77" s="13"/>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row>
    <row r="78" spans="1:27">
      <c r="A78" s="13"/>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row>
    <row r="79" spans="1:27">
      <c r="A79" s="13"/>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row>
    <row r="80" spans="1:27">
      <c r="A80" s="13"/>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row>
    <row r="81" spans="1:27">
      <c r="A81" s="13"/>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row>
    <row r="82" spans="1:27">
      <c r="A82" s="13"/>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row>
    <row r="83" spans="1:27">
      <c r="A83" s="13"/>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row>
    <row r="84" spans="1:27">
      <c r="A84" s="13"/>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row>
    <row r="85" spans="1:27">
      <c r="A85" s="13"/>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row>
    <row r="86" spans="1:27">
      <c r="A86" s="13"/>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row>
    <row r="87" spans="1:27">
      <c r="A87" s="13"/>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row>
    <row r="88" spans="1:27">
      <c r="A88" s="13"/>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row>
    <row r="89" spans="1:27">
      <c r="A89" s="13"/>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row>
    <row r="90" spans="1:27">
      <c r="A90" s="13"/>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row>
    <row r="91" spans="1:27">
      <c r="A91" s="13"/>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row>
    <row r="92" spans="1:27">
      <c r="A92" s="13"/>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row>
    <row r="93" spans="1:27">
      <c r="A93" s="13"/>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row>
    <row r="94" spans="1:27">
      <c r="A94" s="13"/>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row>
    <row r="95" spans="1:27">
      <c r="A95" s="13"/>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0"/>
    </row>
    <row r="96" spans="1:27">
      <c r="A96" s="13"/>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row>
    <row r="97" spans="1:27">
      <c r="A97" s="13"/>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row>
    <row r="98" spans="1:27">
      <c r="A98" s="13"/>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row>
    <row r="99" spans="1:27">
      <c r="A99" s="13"/>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row>
    <row r="100" spans="1:27">
      <c r="A100" s="13"/>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row>
    <row r="101" spans="1:27">
      <c r="A101" s="13"/>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row>
    <row r="102" spans="1:27">
      <c r="A102" s="13"/>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row>
    <row r="103" spans="1:27">
      <c r="A103" s="13"/>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row>
    <row r="104" spans="1:27">
      <c r="A104" s="13"/>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row>
    <row r="105" spans="1:27">
      <c r="A105" s="13"/>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row>
    <row r="106" spans="1:27">
      <c r="A106" s="13"/>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row>
    <row r="107" spans="1:27">
      <c r="A107" s="13"/>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row>
    <row r="108" spans="1:27">
      <c r="A108" s="13"/>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row>
    <row r="109" spans="1:27">
      <c r="A109" s="13"/>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row>
    <row r="110" spans="1:27">
      <c r="A110" s="13"/>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row>
    <row r="111" spans="1:27">
      <c r="A111" s="13"/>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row>
    <row r="112" spans="1:27">
      <c r="A112" s="13"/>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row>
    <row r="113" spans="1:27">
      <c r="A113" s="13"/>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row>
    <row r="114" spans="1:27">
      <c r="A114" s="13"/>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row>
    <row r="115" spans="1:27">
      <c r="A115" s="13"/>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row>
    <row r="116" spans="1:27">
      <c r="A116" s="13"/>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row>
    <row r="117" spans="1:27">
      <c r="A117" s="13"/>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row>
    <row r="118" spans="1:27">
      <c r="A118" s="13"/>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row>
    <row r="119" spans="1:27">
      <c r="A119" s="13"/>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row>
    <row r="120" spans="1:27">
      <c r="A120" s="13"/>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row>
    <row r="121" spans="1:27">
      <c r="A121" s="13"/>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row>
    <row r="122" spans="1:27">
      <c r="A122" s="13"/>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row>
    <row r="123" spans="1:27">
      <c r="A123" s="13"/>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row>
    <row r="124" spans="1:27">
      <c r="A124" s="13"/>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row>
    <row r="125" spans="1:27">
      <c r="A125" s="13"/>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row>
    <row r="126" spans="1:27">
      <c r="A126" s="13"/>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row>
    <row r="127" spans="1:27">
      <c r="A127" s="13"/>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row>
    <row r="128" spans="1:27">
      <c r="A128" s="13"/>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row>
    <row r="129" spans="1:27">
      <c r="A129" s="13"/>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row>
    <row r="130" spans="1:27">
      <c r="A130" s="13"/>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row>
    <row r="131" spans="1:27">
      <c r="A131" s="13"/>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row>
    <row r="132" spans="1:27">
      <c r="A132" s="13"/>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row>
    <row r="133" spans="1:27">
      <c r="A133" s="13"/>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row>
    <row r="134" spans="1:27">
      <c r="A134" s="13"/>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row>
    <row r="135" spans="1:27">
      <c r="A135" s="13"/>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row>
    <row r="136" spans="1:27">
      <c r="A136" s="13"/>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row>
    <row r="137" spans="1:27">
      <c r="A137" s="13"/>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row>
    <row r="138" spans="1:27">
      <c r="A138" s="13"/>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row>
    <row r="139" spans="1:27">
      <c r="A139" s="13"/>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row>
    <row r="140" spans="1:27">
      <c r="A140" s="13"/>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row>
    <row r="141" spans="1:27">
      <c r="A141" s="13"/>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row>
    <row r="142" spans="1:27">
      <c r="A142" s="13"/>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row>
    <row r="143" spans="1:27">
      <c r="A143" s="13"/>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row>
    <row r="144" spans="1:27">
      <c r="A144" s="13"/>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row>
    <row r="145" spans="1:27">
      <c r="A145" s="13"/>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row>
    <row r="146" spans="1:27">
      <c r="A146" s="13"/>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row>
    <row r="147" spans="1:27">
      <c r="A147" s="13"/>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row>
    <row r="148" spans="1:27">
      <c r="A148" s="13"/>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row>
    <row r="149" spans="1:27">
      <c r="A149" s="13"/>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row>
    <row r="150" spans="1:27">
      <c r="A150" s="13"/>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row>
    <row r="151" spans="1:27">
      <c r="A151" s="13"/>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row>
    <row r="152" spans="1:27">
      <c r="A152" s="13"/>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row>
    <row r="153" spans="1:27">
      <c r="A153" s="13"/>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row>
    <row r="154" spans="1:27">
      <c r="A154" s="13"/>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row>
    <row r="155" spans="1:27">
      <c r="A155" s="13"/>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row>
    <row r="156" spans="1:27">
      <c r="A156" s="13"/>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row>
    <row r="157" spans="1:27">
      <c r="A157" s="13"/>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row>
    <row r="158" spans="1:27">
      <c r="A158" s="13"/>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row>
    <row r="159" spans="1:27">
      <c r="A159" s="13"/>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row>
    <row r="160" spans="1:27">
      <c r="A160" s="13"/>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row>
    <row r="161" spans="1:27">
      <c r="A161" s="13"/>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row>
    <row r="162" spans="1:27">
      <c r="A162" s="13"/>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row>
    <row r="163" spans="1:27">
      <c r="A163" s="13"/>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row>
    <row r="164" spans="1:27">
      <c r="A164" s="13"/>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row>
    <row r="165" spans="1:27">
      <c r="A165" s="13"/>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row>
    <row r="166" spans="1:27">
      <c r="A166" s="13"/>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row>
    <row r="167" spans="1:27">
      <c r="A167" s="13"/>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row>
    <row r="168" spans="1:27">
      <c r="A168" s="13"/>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row>
    <row r="169" spans="1:27">
      <c r="A169" s="13"/>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row>
    <row r="170" spans="1:27">
      <c r="A170" s="13"/>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row>
    <row r="171" spans="1:27">
      <c r="A171" s="13"/>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row>
    <row r="172" spans="1:27">
      <c r="A172" s="13"/>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row>
    <row r="173" spans="1:27">
      <c r="A173" s="13"/>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row>
    <row r="174" spans="1:27">
      <c r="A174" s="13"/>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row>
    <row r="175" spans="1:27">
      <c r="A175" s="13"/>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row>
    <row r="176" spans="1:27">
      <c r="A176" s="13"/>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row>
    <row r="177" spans="1:27">
      <c r="A177" s="13"/>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row>
    <row r="178" spans="1:27">
      <c r="A178" s="13"/>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row>
    <row r="179" spans="1:27">
      <c r="A179" s="13"/>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row>
    <row r="180" spans="1:27">
      <c r="A180" s="13"/>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row>
    <row r="181" spans="1:27">
      <c r="A181" s="13"/>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row>
    <row r="182" spans="1:27">
      <c r="A182" s="13"/>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row>
    <row r="183" spans="1:27">
      <c r="A183" s="13"/>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row>
    <row r="184" spans="1:27">
      <c r="A184" s="13"/>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row>
    <row r="185" spans="1:27">
      <c r="A185" s="13"/>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row>
    <row r="186" spans="1:27">
      <c r="A186" s="13"/>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row>
    <row r="187" spans="1:27">
      <c r="A187" s="13"/>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row>
    <row r="188" spans="1:27">
      <c r="A188" s="13"/>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row>
    <row r="189" spans="1:27">
      <c r="A189" s="13"/>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row>
    <row r="190" spans="1:27">
      <c r="A190" s="13"/>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row>
    <row r="191" spans="1:27">
      <c r="A191" s="13"/>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row>
    <row r="192" spans="1:27">
      <c r="A192" s="13"/>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row>
    <row r="193" spans="1:27">
      <c r="A193" s="13"/>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row>
    <row r="194" spans="1:27">
      <c r="A194" s="13"/>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row>
    <row r="195" spans="1:27">
      <c r="A195" s="13"/>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row>
    <row r="196" spans="1:27">
      <c r="A196" s="13"/>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row>
    <row r="197" spans="1:27">
      <c r="A197" s="13"/>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row>
    <row r="198" spans="1:27">
      <c r="A198" s="13"/>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row>
    <row r="199" spans="1:27">
      <c r="A199" s="13"/>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row>
    <row r="200" spans="1:27">
      <c r="A200" s="13"/>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row>
  </sheetData>
  <pageMargins left="0.7" right="0.7" top="0.75" bottom="0.75" header="0.3" footer="0.3"/>
  <pageSetup paperSize="9" orientation="portrait" horizontalDpi="300" verticalDpi="300"/>
  <tableParts count="10">
    <tablePart r:id="rId1"/>
    <tablePart r:id="rId2"/>
    <tablePart r:id="rId3"/>
    <tablePart r:id="rId4"/>
    <tablePart r:id="rId5"/>
    <tablePart r:id="rId6"/>
    <tablePart r:id="rId7"/>
    <tablePart r:id="rId8"/>
    <tablePart r:id="rId9"/>
    <tablePart r:id="rId10"/>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A200"/>
  <sheetViews>
    <sheetView showGridLines="0" workbookViewId="0"/>
  </sheetViews>
  <sheetFormatPr defaultColWidth="10.90625" defaultRowHeight="14.5"/>
  <cols>
    <col min="1" max="1" width="70.7265625" customWidth="1"/>
  </cols>
  <sheetData>
    <row r="1" spans="1:27" ht="19.5">
      <c r="A1" s="4" t="s">
        <v>176</v>
      </c>
      <c r="B1" s="8"/>
      <c r="C1" s="8"/>
      <c r="D1" s="8"/>
      <c r="E1" s="8"/>
      <c r="F1" s="8"/>
      <c r="G1" s="8"/>
      <c r="H1" s="8"/>
      <c r="I1" s="8"/>
      <c r="J1" s="8"/>
      <c r="K1" s="8"/>
      <c r="L1" s="8"/>
      <c r="M1" s="8"/>
      <c r="N1" s="8"/>
      <c r="O1" s="8"/>
      <c r="P1" s="8"/>
      <c r="Q1" s="8"/>
      <c r="R1" s="8"/>
      <c r="S1" s="8"/>
      <c r="T1" s="8"/>
      <c r="U1" s="8"/>
      <c r="V1" s="8"/>
      <c r="W1" s="8"/>
      <c r="X1" s="8"/>
      <c r="Y1" s="8"/>
      <c r="Z1" s="8"/>
      <c r="AA1" s="8"/>
    </row>
    <row r="2" spans="1:27">
      <c r="A2" s="9" t="s">
        <v>0</v>
      </c>
      <c r="B2" s="8"/>
      <c r="C2" s="8"/>
      <c r="D2" s="8"/>
      <c r="E2" s="8"/>
      <c r="F2" s="8"/>
      <c r="G2" s="8"/>
      <c r="H2" s="8"/>
      <c r="I2" s="8"/>
      <c r="J2" s="8"/>
      <c r="K2" s="8"/>
      <c r="L2" s="8"/>
      <c r="M2" s="8"/>
      <c r="N2" s="8"/>
      <c r="O2" s="8"/>
      <c r="P2" s="8"/>
      <c r="Q2" s="8"/>
      <c r="R2" s="8"/>
      <c r="S2" s="8"/>
      <c r="T2" s="8"/>
      <c r="U2" s="8"/>
      <c r="V2" s="8"/>
      <c r="W2" s="8"/>
      <c r="X2" s="8"/>
      <c r="Y2" s="8"/>
      <c r="Z2" s="8"/>
      <c r="AA2" s="8"/>
    </row>
    <row r="3" spans="1:27" ht="29">
      <c r="A3" s="9" t="s">
        <v>1</v>
      </c>
      <c r="B3" s="10"/>
      <c r="C3" s="10"/>
      <c r="D3" s="10"/>
      <c r="E3" s="10"/>
      <c r="F3" s="10"/>
      <c r="G3" s="10"/>
      <c r="H3" s="10"/>
      <c r="I3" s="10"/>
      <c r="J3" s="10"/>
      <c r="K3" s="10"/>
      <c r="L3" s="10"/>
      <c r="M3" s="10"/>
      <c r="N3" s="10"/>
      <c r="O3" s="10"/>
      <c r="P3" s="10"/>
      <c r="Q3" s="10"/>
      <c r="R3" s="10"/>
      <c r="S3" s="10"/>
      <c r="T3" s="10"/>
      <c r="U3" s="10"/>
      <c r="V3" s="10"/>
      <c r="W3" s="10"/>
      <c r="X3" s="10"/>
      <c r="Y3" s="10"/>
      <c r="Z3" s="10"/>
      <c r="AA3" s="10"/>
    </row>
    <row r="4" spans="1:27" ht="72.5">
      <c r="A4" s="9" t="s">
        <v>2</v>
      </c>
      <c r="B4" s="10"/>
      <c r="C4" s="10"/>
      <c r="D4" s="10"/>
      <c r="E4" s="10"/>
      <c r="F4" s="10"/>
      <c r="G4" s="10"/>
      <c r="H4" s="10"/>
      <c r="I4" s="10"/>
      <c r="J4" s="10"/>
      <c r="K4" s="10"/>
      <c r="L4" s="10"/>
      <c r="M4" s="10"/>
      <c r="N4" s="10"/>
      <c r="O4" s="10"/>
      <c r="P4" s="10"/>
      <c r="Q4" s="10"/>
      <c r="R4" s="10"/>
      <c r="S4" s="10"/>
      <c r="T4" s="10"/>
      <c r="U4" s="10"/>
      <c r="V4" s="10"/>
      <c r="W4" s="10"/>
      <c r="X4" s="10"/>
      <c r="Y4" s="10"/>
      <c r="Z4" s="10"/>
      <c r="AA4" s="10"/>
    </row>
    <row r="5" spans="1:27" ht="29">
      <c r="A5" s="9" t="s">
        <v>54</v>
      </c>
      <c r="B5" s="10"/>
      <c r="C5" s="10"/>
      <c r="D5" s="10"/>
      <c r="E5" s="10"/>
      <c r="F5" s="10"/>
      <c r="G5" s="10"/>
      <c r="H5" s="10"/>
      <c r="I5" s="10"/>
      <c r="J5" s="10"/>
      <c r="K5" s="10"/>
      <c r="L5" s="10"/>
      <c r="M5" s="10"/>
      <c r="N5" s="10"/>
      <c r="O5" s="10"/>
      <c r="P5" s="10"/>
      <c r="Q5" s="10"/>
      <c r="R5" s="10"/>
      <c r="S5" s="10"/>
      <c r="T5" s="10"/>
      <c r="U5" s="10"/>
      <c r="V5" s="10"/>
      <c r="W5" s="10"/>
      <c r="X5" s="10"/>
      <c r="Y5" s="10"/>
      <c r="Z5" s="10"/>
      <c r="AA5" s="10"/>
    </row>
    <row r="6" spans="1:27">
      <c r="A6" s="9" t="s">
        <v>3</v>
      </c>
      <c r="B6" s="10"/>
      <c r="C6" s="10"/>
      <c r="D6" s="10"/>
      <c r="E6" s="10"/>
      <c r="F6" s="10"/>
      <c r="G6" s="10"/>
      <c r="H6" s="10"/>
      <c r="I6" s="10"/>
      <c r="J6" s="10"/>
      <c r="K6" s="10"/>
      <c r="L6" s="10"/>
      <c r="M6" s="10"/>
      <c r="N6" s="10"/>
      <c r="O6" s="10"/>
      <c r="P6" s="10"/>
      <c r="Q6" s="10"/>
      <c r="R6" s="10"/>
      <c r="S6" s="10"/>
      <c r="T6" s="10"/>
      <c r="U6" s="10"/>
      <c r="V6" s="10"/>
      <c r="W6" s="10"/>
      <c r="X6" s="10"/>
      <c r="Y6" s="10"/>
      <c r="Z6" s="10"/>
      <c r="AA6" s="10"/>
    </row>
    <row r="7" spans="1:27">
      <c r="A7" s="11" t="s">
        <v>4</v>
      </c>
      <c r="B7" s="10"/>
      <c r="C7" s="10"/>
      <c r="D7" s="10"/>
      <c r="E7" s="10"/>
      <c r="F7" s="10"/>
      <c r="G7" s="10"/>
      <c r="H7" s="10"/>
      <c r="I7" s="10"/>
      <c r="J7" s="10"/>
      <c r="K7" s="10"/>
      <c r="L7" s="10"/>
      <c r="M7" s="10"/>
      <c r="N7" s="10"/>
      <c r="O7" s="10"/>
      <c r="P7" s="10"/>
      <c r="Q7" s="10"/>
      <c r="R7" s="10"/>
      <c r="S7" s="10"/>
      <c r="T7" s="10"/>
      <c r="U7" s="10"/>
      <c r="V7" s="10"/>
      <c r="W7" s="10"/>
      <c r="X7" s="10"/>
      <c r="Y7" s="10"/>
      <c r="Z7" s="10"/>
      <c r="AA7" s="10"/>
    </row>
    <row r="8" spans="1:27" ht="30" customHeight="1">
      <c r="A8" s="12" t="s">
        <v>175</v>
      </c>
      <c r="B8" s="10"/>
      <c r="C8" s="10"/>
      <c r="D8" s="10"/>
      <c r="E8" s="10"/>
      <c r="F8" s="10"/>
      <c r="G8" s="10"/>
      <c r="H8" s="10"/>
      <c r="I8" s="10"/>
      <c r="J8" s="10"/>
      <c r="K8" s="10"/>
      <c r="L8" s="10"/>
      <c r="M8" s="10"/>
      <c r="N8" s="10"/>
      <c r="O8" s="10"/>
      <c r="P8" s="10"/>
      <c r="Q8" s="10"/>
      <c r="R8" s="10"/>
      <c r="S8" s="10"/>
      <c r="T8" s="10"/>
      <c r="U8" s="10"/>
      <c r="V8" s="10"/>
      <c r="W8" s="10"/>
      <c r="X8" s="10"/>
      <c r="Y8" s="10"/>
      <c r="Z8" s="10"/>
      <c r="AA8" s="10"/>
    </row>
    <row r="9" spans="1:27">
      <c r="A9" s="13" t="s">
        <v>5</v>
      </c>
      <c r="B9" s="14" t="s">
        <v>6</v>
      </c>
      <c r="C9" s="14" t="s">
        <v>7</v>
      </c>
      <c r="D9" s="14" t="s">
        <v>8</v>
      </c>
      <c r="E9" s="14" t="s">
        <v>9</v>
      </c>
      <c r="F9" s="14" t="s">
        <v>10</v>
      </c>
      <c r="G9" s="14" t="s">
        <v>11</v>
      </c>
      <c r="H9" s="14" t="s">
        <v>12</v>
      </c>
      <c r="I9" s="14" t="s">
        <v>13</v>
      </c>
      <c r="J9" s="14" t="s">
        <v>14</v>
      </c>
      <c r="K9" s="14" t="s">
        <v>15</v>
      </c>
      <c r="L9" s="14" t="s">
        <v>16</v>
      </c>
      <c r="M9" s="14" t="s">
        <v>17</v>
      </c>
      <c r="N9" s="14" t="s">
        <v>18</v>
      </c>
      <c r="O9" s="14" t="s">
        <v>19</v>
      </c>
      <c r="P9" s="14" t="s">
        <v>20</v>
      </c>
      <c r="Q9" s="14" t="s">
        <v>21</v>
      </c>
      <c r="R9" s="14" t="s">
        <v>22</v>
      </c>
      <c r="S9" s="14" t="s">
        <v>23</v>
      </c>
      <c r="T9" s="14" t="s">
        <v>24</v>
      </c>
      <c r="U9" s="14" t="s">
        <v>25</v>
      </c>
      <c r="V9" s="14" t="s">
        <v>26</v>
      </c>
      <c r="W9" s="14" t="s">
        <v>27</v>
      </c>
      <c r="X9" s="14" t="s">
        <v>28</v>
      </c>
      <c r="Y9" s="14" t="s">
        <v>29</v>
      </c>
      <c r="Z9" s="14" t="s">
        <v>30</v>
      </c>
      <c r="AA9" s="14" t="s">
        <v>31</v>
      </c>
    </row>
    <row r="10" spans="1:27">
      <c r="A10" s="13" t="s">
        <v>32</v>
      </c>
      <c r="B10" s="15">
        <v>0.31713940000000002</v>
      </c>
      <c r="C10" s="15">
        <v>0.3190847</v>
      </c>
      <c r="D10" s="15">
        <v>0.3155983</v>
      </c>
      <c r="E10" s="15">
        <v>0.309896</v>
      </c>
      <c r="F10" s="15">
        <v>0.31244749999999999</v>
      </c>
      <c r="G10" s="15">
        <v>0.31238919999999998</v>
      </c>
      <c r="H10" s="15">
        <v>0.29609809999999998</v>
      </c>
      <c r="I10" s="15">
        <v>0.27851979999999998</v>
      </c>
      <c r="J10" s="15">
        <v>0.25814049999999999</v>
      </c>
      <c r="K10" s="15">
        <v>0.2499922</v>
      </c>
      <c r="L10" s="15">
        <v>0.2455253</v>
      </c>
      <c r="M10" s="15">
        <v>0.2409346</v>
      </c>
      <c r="N10" s="15">
        <v>0.24524689999999999</v>
      </c>
      <c r="O10" s="15">
        <v>0.24372530000000001</v>
      </c>
      <c r="P10" s="15">
        <v>0.23525389999999999</v>
      </c>
      <c r="Q10" s="15">
        <v>0.2143718</v>
      </c>
      <c r="R10" s="15">
        <v>0.2073566</v>
      </c>
      <c r="S10" s="15">
        <v>0.20983579999999999</v>
      </c>
      <c r="T10" s="15">
        <v>0.2161679</v>
      </c>
      <c r="U10" s="15">
        <v>0.22795380000000001</v>
      </c>
      <c r="V10" s="15">
        <v>0.23351949999999999</v>
      </c>
      <c r="W10" s="15">
        <v>0.2419675</v>
      </c>
      <c r="X10" s="15">
        <v>0.23227329999999999</v>
      </c>
      <c r="Y10" s="15">
        <v>0.24283840000000001</v>
      </c>
      <c r="Z10" s="15">
        <v>0.2463928</v>
      </c>
      <c r="AA10" s="15">
        <v>0.2447318</v>
      </c>
    </row>
    <row r="11" spans="1:27">
      <c r="A11" s="13" t="s">
        <v>55</v>
      </c>
      <c r="B11" s="15" t="s">
        <v>99</v>
      </c>
      <c r="C11" s="15" t="s">
        <v>99</v>
      </c>
      <c r="D11" s="15" t="s">
        <v>99</v>
      </c>
      <c r="E11" s="15" t="s">
        <v>99</v>
      </c>
      <c r="F11" s="15" t="s">
        <v>99</v>
      </c>
      <c r="G11" s="15" t="s">
        <v>99</v>
      </c>
      <c r="H11" s="15" t="s">
        <v>99</v>
      </c>
      <c r="I11" s="15" t="s">
        <v>99</v>
      </c>
      <c r="J11" s="15" t="s">
        <v>99</v>
      </c>
      <c r="K11" s="15" t="s">
        <v>99</v>
      </c>
      <c r="L11" s="15" t="s">
        <v>99</v>
      </c>
      <c r="M11" s="15" t="s">
        <v>99</v>
      </c>
      <c r="N11" s="15" t="s">
        <v>99</v>
      </c>
      <c r="O11" s="15" t="s">
        <v>99</v>
      </c>
      <c r="P11" s="15">
        <v>9.8239800000000002E-2</v>
      </c>
      <c r="Q11" s="15" t="s">
        <v>99</v>
      </c>
      <c r="R11" s="15">
        <v>9.2323699999999995E-2</v>
      </c>
      <c r="S11" s="15">
        <v>9.3994499999999995E-2</v>
      </c>
      <c r="T11" s="15">
        <v>9.8160600000000001E-2</v>
      </c>
      <c r="U11" s="15">
        <v>0.1174123</v>
      </c>
      <c r="V11" s="15">
        <v>0.1133463</v>
      </c>
      <c r="W11" s="15">
        <v>0.1141807</v>
      </c>
      <c r="X11" s="15">
        <v>9.6102699999999999E-2</v>
      </c>
      <c r="Y11" s="15">
        <v>0.10414030000000001</v>
      </c>
      <c r="Z11" s="15">
        <v>0.1078638</v>
      </c>
      <c r="AA11" s="15">
        <v>0.10793990000000001</v>
      </c>
    </row>
    <row r="12" spans="1:27">
      <c r="A12" s="13" t="s">
        <v>56</v>
      </c>
      <c r="B12" s="15" t="s">
        <v>99</v>
      </c>
      <c r="C12" s="15" t="s">
        <v>99</v>
      </c>
      <c r="D12" s="15" t="s">
        <v>99</v>
      </c>
      <c r="E12" s="15" t="s">
        <v>99</v>
      </c>
      <c r="F12" s="15" t="s">
        <v>99</v>
      </c>
      <c r="G12" s="15" t="s">
        <v>99</v>
      </c>
      <c r="H12" s="15" t="s">
        <v>99</v>
      </c>
      <c r="I12" s="15" t="s">
        <v>99</v>
      </c>
      <c r="J12" s="15" t="s">
        <v>99</v>
      </c>
      <c r="K12" s="15" t="s">
        <v>99</v>
      </c>
      <c r="L12" s="15" t="s">
        <v>99</v>
      </c>
      <c r="M12" s="15" t="s">
        <v>99</v>
      </c>
      <c r="N12" s="15" t="s">
        <v>99</v>
      </c>
      <c r="O12" s="15" t="s">
        <v>99</v>
      </c>
      <c r="P12" s="15">
        <v>0.30951499999999998</v>
      </c>
      <c r="Q12" s="15" t="s">
        <v>99</v>
      </c>
      <c r="R12" s="15">
        <v>0.26940740000000002</v>
      </c>
      <c r="S12" s="15">
        <v>0.26923839999999999</v>
      </c>
      <c r="T12" s="15">
        <v>0.27298050000000001</v>
      </c>
      <c r="U12" s="15">
        <v>0.27684920000000002</v>
      </c>
      <c r="V12" s="15">
        <v>0.28616330000000001</v>
      </c>
      <c r="W12" s="15">
        <v>0.29559170000000001</v>
      </c>
      <c r="X12" s="15">
        <v>0.28822920000000002</v>
      </c>
      <c r="Y12" s="15">
        <v>0.2984734</v>
      </c>
      <c r="Z12" s="15">
        <v>0.30096610000000001</v>
      </c>
      <c r="AA12" s="15">
        <v>0.30256270000000002</v>
      </c>
    </row>
    <row r="13" spans="1:27" ht="30" customHeight="1">
      <c r="A13" s="12" t="s">
        <v>166</v>
      </c>
      <c r="B13" s="15"/>
      <c r="C13" s="15"/>
      <c r="D13" s="15"/>
      <c r="E13" s="15"/>
      <c r="F13" s="15"/>
      <c r="G13" s="15"/>
      <c r="H13" s="15"/>
      <c r="I13" s="15"/>
      <c r="J13" s="15"/>
      <c r="K13" s="15"/>
      <c r="L13" s="15"/>
      <c r="M13" s="15"/>
      <c r="N13" s="15"/>
      <c r="O13" s="15"/>
      <c r="P13" s="15"/>
      <c r="Q13" s="15"/>
      <c r="R13" s="15"/>
      <c r="S13" s="15"/>
      <c r="T13" s="15"/>
      <c r="U13" s="15"/>
      <c r="V13" s="15"/>
      <c r="W13" s="15"/>
      <c r="X13" s="15"/>
      <c r="Y13" s="15"/>
      <c r="Z13" s="15"/>
      <c r="AA13" s="15"/>
    </row>
    <row r="14" spans="1:27">
      <c r="A14" s="13" t="s">
        <v>5</v>
      </c>
      <c r="B14" s="16" t="s">
        <v>6</v>
      </c>
      <c r="C14" s="16" t="s">
        <v>7</v>
      </c>
      <c r="D14" s="16" t="s">
        <v>8</v>
      </c>
      <c r="E14" s="16" t="s">
        <v>9</v>
      </c>
      <c r="F14" s="16" t="s">
        <v>10</v>
      </c>
      <c r="G14" s="16" t="s">
        <v>11</v>
      </c>
      <c r="H14" s="16" t="s">
        <v>12</v>
      </c>
      <c r="I14" s="16" t="s">
        <v>13</v>
      </c>
      <c r="J14" s="16" t="s">
        <v>14</v>
      </c>
      <c r="K14" s="16" t="s">
        <v>15</v>
      </c>
      <c r="L14" s="16" t="s">
        <v>16</v>
      </c>
      <c r="M14" s="16" t="s">
        <v>17</v>
      </c>
      <c r="N14" s="16" t="s">
        <v>18</v>
      </c>
      <c r="O14" s="16" t="s">
        <v>19</v>
      </c>
      <c r="P14" s="16" t="s">
        <v>20</v>
      </c>
      <c r="Q14" s="16" t="s">
        <v>21</v>
      </c>
      <c r="R14" s="16" t="s">
        <v>22</v>
      </c>
      <c r="S14" s="16" t="s">
        <v>23</v>
      </c>
      <c r="T14" s="16" t="s">
        <v>24</v>
      </c>
      <c r="U14" s="16" t="s">
        <v>25</v>
      </c>
      <c r="V14" s="16" t="s">
        <v>26</v>
      </c>
      <c r="W14" s="16" t="s">
        <v>27</v>
      </c>
      <c r="X14" s="16" t="s">
        <v>28</v>
      </c>
      <c r="Y14" s="16" t="s">
        <v>29</v>
      </c>
      <c r="Z14" s="16" t="s">
        <v>30</v>
      </c>
      <c r="AA14" s="16" t="s">
        <v>31</v>
      </c>
    </row>
    <row r="15" spans="1:27">
      <c r="A15" s="13" t="s">
        <v>32</v>
      </c>
      <c r="B15" s="15">
        <v>1</v>
      </c>
      <c r="C15" s="15">
        <v>1</v>
      </c>
      <c r="D15" s="15">
        <v>1</v>
      </c>
      <c r="E15" s="15">
        <v>1</v>
      </c>
      <c r="F15" s="15">
        <v>1</v>
      </c>
      <c r="G15" s="15">
        <v>1</v>
      </c>
      <c r="H15" s="15">
        <v>1</v>
      </c>
      <c r="I15" s="15">
        <v>1</v>
      </c>
      <c r="J15" s="15">
        <v>1</v>
      </c>
      <c r="K15" s="15">
        <v>1</v>
      </c>
      <c r="L15" s="15">
        <v>1</v>
      </c>
      <c r="M15" s="15">
        <v>1</v>
      </c>
      <c r="N15" s="15">
        <v>1</v>
      </c>
      <c r="O15" s="15">
        <v>1</v>
      </c>
      <c r="P15" s="15">
        <v>1</v>
      </c>
      <c r="Q15" s="15">
        <v>1</v>
      </c>
      <c r="R15" s="15">
        <v>1</v>
      </c>
      <c r="S15" s="15">
        <v>1</v>
      </c>
      <c r="T15" s="15">
        <v>1</v>
      </c>
      <c r="U15" s="15">
        <v>1</v>
      </c>
      <c r="V15" s="15">
        <v>1</v>
      </c>
      <c r="W15" s="15">
        <v>1</v>
      </c>
      <c r="X15" s="15">
        <v>1</v>
      </c>
      <c r="Y15" s="15">
        <v>1</v>
      </c>
      <c r="Z15" s="15">
        <v>1</v>
      </c>
      <c r="AA15" s="15">
        <v>1</v>
      </c>
    </row>
    <row r="16" spans="1:27">
      <c r="A16" s="13" t="s">
        <v>55</v>
      </c>
      <c r="B16" s="15" t="s">
        <v>99</v>
      </c>
      <c r="C16" s="15" t="s">
        <v>99</v>
      </c>
      <c r="D16" s="15" t="s">
        <v>99</v>
      </c>
      <c r="E16" s="15" t="s">
        <v>99</v>
      </c>
      <c r="F16" s="15" t="s">
        <v>99</v>
      </c>
      <c r="G16" s="15" t="s">
        <v>99</v>
      </c>
      <c r="H16" s="15" t="s">
        <v>99</v>
      </c>
      <c r="I16" s="15" t="s">
        <v>99</v>
      </c>
      <c r="J16" s="15" t="s">
        <v>99</v>
      </c>
      <c r="K16" s="15" t="s">
        <v>99</v>
      </c>
      <c r="L16" s="15" t="s">
        <v>99</v>
      </c>
      <c r="M16" s="15" t="s">
        <v>99</v>
      </c>
      <c r="N16" s="15" t="s">
        <v>99</v>
      </c>
      <c r="O16" s="15" t="s">
        <v>99</v>
      </c>
      <c r="P16" s="15">
        <v>0.14748510000000001</v>
      </c>
      <c r="Q16" s="15" t="s">
        <v>99</v>
      </c>
      <c r="R16" s="15">
        <v>0.1557337</v>
      </c>
      <c r="S16" s="15">
        <v>0.151307</v>
      </c>
      <c r="T16" s="15">
        <v>0.14745649999999999</v>
      </c>
      <c r="U16" s="15">
        <v>0.1529266</v>
      </c>
      <c r="V16" s="15">
        <v>0.1429444</v>
      </c>
      <c r="W16" s="15">
        <v>0.13523750000000001</v>
      </c>
      <c r="X16" s="15">
        <v>0.11909889999999999</v>
      </c>
      <c r="Y16" s="15">
        <v>0.122007</v>
      </c>
      <c r="Z16" s="15">
        <v>0.1228161</v>
      </c>
      <c r="AA16" s="15">
        <v>0.13158929999999999</v>
      </c>
    </row>
    <row r="17" spans="1:27">
      <c r="A17" s="13" t="s">
        <v>56</v>
      </c>
      <c r="B17" s="15" t="s">
        <v>99</v>
      </c>
      <c r="C17" s="15" t="s">
        <v>99</v>
      </c>
      <c r="D17" s="15" t="s">
        <v>99</v>
      </c>
      <c r="E17" s="15" t="s">
        <v>99</v>
      </c>
      <c r="F17" s="15" t="s">
        <v>99</v>
      </c>
      <c r="G17" s="15" t="s">
        <v>99</v>
      </c>
      <c r="H17" s="15" t="s">
        <v>99</v>
      </c>
      <c r="I17" s="15" t="s">
        <v>99</v>
      </c>
      <c r="J17" s="15" t="s">
        <v>99</v>
      </c>
      <c r="K17" s="15" t="s">
        <v>99</v>
      </c>
      <c r="L17" s="15" t="s">
        <v>99</v>
      </c>
      <c r="M17" s="15" t="s">
        <v>99</v>
      </c>
      <c r="N17" s="15" t="s">
        <v>99</v>
      </c>
      <c r="O17" s="15" t="s">
        <v>99</v>
      </c>
      <c r="P17" s="15">
        <v>0.85251489999999996</v>
      </c>
      <c r="Q17" s="15" t="s">
        <v>99</v>
      </c>
      <c r="R17" s="15">
        <v>0.84426630000000003</v>
      </c>
      <c r="S17" s="15">
        <v>0.84869300000000003</v>
      </c>
      <c r="T17" s="15">
        <v>0.85254350000000001</v>
      </c>
      <c r="U17" s="15">
        <v>0.84707339999999998</v>
      </c>
      <c r="V17" s="15">
        <v>0.85705560000000003</v>
      </c>
      <c r="W17" s="15">
        <v>0.86476249999999999</v>
      </c>
      <c r="X17" s="15">
        <v>0.88090109999999999</v>
      </c>
      <c r="Y17" s="15">
        <v>0.87799300000000002</v>
      </c>
      <c r="Z17" s="15">
        <v>0.87718390000000002</v>
      </c>
      <c r="AA17" s="15">
        <v>0.86841069999999998</v>
      </c>
    </row>
    <row r="18" spans="1:27" ht="30" customHeight="1">
      <c r="A18" s="12" t="s">
        <v>167</v>
      </c>
      <c r="B18" s="15"/>
      <c r="C18" s="15"/>
      <c r="D18" s="15"/>
      <c r="E18" s="15"/>
      <c r="F18" s="15"/>
      <c r="G18" s="15"/>
      <c r="H18" s="15"/>
      <c r="I18" s="15"/>
      <c r="J18" s="15"/>
      <c r="K18" s="15"/>
      <c r="L18" s="15"/>
      <c r="M18" s="15"/>
      <c r="N18" s="15"/>
      <c r="O18" s="15"/>
      <c r="P18" s="15"/>
      <c r="Q18" s="15"/>
      <c r="R18" s="15"/>
      <c r="S18" s="15"/>
      <c r="T18" s="15"/>
      <c r="U18" s="15"/>
      <c r="V18" s="15"/>
      <c r="W18" s="15"/>
      <c r="X18" s="15"/>
      <c r="Y18" s="15"/>
      <c r="Z18" s="15"/>
      <c r="AA18" s="15"/>
    </row>
    <row r="19" spans="1:27">
      <c r="A19" s="13" t="s">
        <v>5</v>
      </c>
      <c r="B19" s="16" t="s">
        <v>6</v>
      </c>
      <c r="C19" s="16" t="s">
        <v>7</v>
      </c>
      <c r="D19" s="16" t="s">
        <v>8</v>
      </c>
      <c r="E19" s="16" t="s">
        <v>9</v>
      </c>
      <c r="F19" s="16" t="s">
        <v>10</v>
      </c>
      <c r="G19" s="16" t="s">
        <v>11</v>
      </c>
      <c r="H19" s="16" t="s">
        <v>12</v>
      </c>
      <c r="I19" s="16" t="s">
        <v>13</v>
      </c>
      <c r="J19" s="16" t="s">
        <v>14</v>
      </c>
      <c r="K19" s="16" t="s">
        <v>15</v>
      </c>
      <c r="L19" s="16" t="s">
        <v>16</v>
      </c>
      <c r="M19" s="16" t="s">
        <v>17</v>
      </c>
      <c r="N19" s="16" t="s">
        <v>18</v>
      </c>
      <c r="O19" s="16" t="s">
        <v>19</v>
      </c>
      <c r="P19" s="16" t="s">
        <v>20</v>
      </c>
      <c r="Q19" s="16" t="s">
        <v>21</v>
      </c>
      <c r="R19" s="16" t="s">
        <v>22</v>
      </c>
      <c r="S19" s="16" t="s">
        <v>23</v>
      </c>
      <c r="T19" s="16" t="s">
        <v>24</v>
      </c>
      <c r="U19" s="16" t="s">
        <v>25</v>
      </c>
      <c r="V19" s="16" t="s">
        <v>26</v>
      </c>
      <c r="W19" s="16" t="s">
        <v>27</v>
      </c>
      <c r="X19" s="16" t="s">
        <v>28</v>
      </c>
      <c r="Y19" s="16" t="s">
        <v>29</v>
      </c>
      <c r="Z19" s="16" t="s">
        <v>30</v>
      </c>
      <c r="AA19" s="16" t="s">
        <v>31</v>
      </c>
    </row>
    <row r="20" spans="1:27">
      <c r="A20" s="13" t="s">
        <v>32</v>
      </c>
      <c r="B20" s="17">
        <v>350000</v>
      </c>
      <c r="C20" s="17">
        <v>350000</v>
      </c>
      <c r="D20" s="17">
        <v>340000</v>
      </c>
      <c r="E20" s="17">
        <v>330000</v>
      </c>
      <c r="F20" s="17">
        <v>330000</v>
      </c>
      <c r="G20" s="17">
        <v>330000</v>
      </c>
      <c r="H20" s="17">
        <v>310000</v>
      </c>
      <c r="I20" s="17">
        <v>290000</v>
      </c>
      <c r="J20" s="17">
        <v>260000</v>
      </c>
      <c r="K20" s="17">
        <v>250000</v>
      </c>
      <c r="L20" s="17">
        <v>250000</v>
      </c>
      <c r="M20" s="17">
        <v>240000</v>
      </c>
      <c r="N20" s="17">
        <v>240000</v>
      </c>
      <c r="O20" s="17">
        <v>240000</v>
      </c>
      <c r="P20" s="17">
        <v>230000</v>
      </c>
      <c r="Q20" s="17">
        <v>210000</v>
      </c>
      <c r="R20" s="17">
        <v>210000</v>
      </c>
      <c r="S20" s="17">
        <v>210000</v>
      </c>
      <c r="T20" s="17">
        <v>210000</v>
      </c>
      <c r="U20" s="17">
        <v>220000</v>
      </c>
      <c r="V20" s="17">
        <v>230000</v>
      </c>
      <c r="W20" s="17">
        <v>240000</v>
      </c>
      <c r="X20" s="17">
        <v>230000</v>
      </c>
      <c r="Y20" s="17">
        <v>240000</v>
      </c>
      <c r="Z20" s="17">
        <v>240000</v>
      </c>
      <c r="AA20" s="17">
        <v>250000</v>
      </c>
    </row>
    <row r="21" spans="1:27">
      <c r="A21" s="13" t="s">
        <v>55</v>
      </c>
      <c r="B21" s="17" t="s">
        <v>99</v>
      </c>
      <c r="C21" s="17" t="s">
        <v>99</v>
      </c>
      <c r="D21" s="17" t="s">
        <v>99</v>
      </c>
      <c r="E21" s="17" t="s">
        <v>99</v>
      </c>
      <c r="F21" s="17" t="s">
        <v>99</v>
      </c>
      <c r="G21" s="17" t="s">
        <v>99</v>
      </c>
      <c r="H21" s="17" t="s">
        <v>99</v>
      </c>
      <c r="I21" s="17" t="s">
        <v>99</v>
      </c>
      <c r="J21" s="17" t="s">
        <v>99</v>
      </c>
      <c r="K21" s="17" t="s">
        <v>99</v>
      </c>
      <c r="L21" s="17" t="s">
        <v>99</v>
      </c>
      <c r="M21" s="17" t="s">
        <v>99</v>
      </c>
      <c r="N21" s="17" t="s">
        <v>99</v>
      </c>
      <c r="O21" s="17" t="s">
        <v>99</v>
      </c>
      <c r="P21" s="17">
        <v>30000</v>
      </c>
      <c r="Q21" s="17" t="s">
        <v>99</v>
      </c>
      <c r="R21" s="17" t="s">
        <v>35</v>
      </c>
      <c r="S21" s="17" t="s">
        <v>35</v>
      </c>
      <c r="T21" s="17" t="s">
        <v>35</v>
      </c>
      <c r="U21" s="17" t="s">
        <v>35</v>
      </c>
      <c r="V21" s="17" t="s">
        <v>35</v>
      </c>
      <c r="W21" s="17" t="s">
        <v>35</v>
      </c>
      <c r="X21" s="17" t="s">
        <v>35</v>
      </c>
      <c r="Y21" s="17" t="s">
        <v>35</v>
      </c>
      <c r="Z21" s="17" t="s">
        <v>35</v>
      </c>
      <c r="AA21" s="17" t="s">
        <v>35</v>
      </c>
    </row>
    <row r="22" spans="1:27">
      <c r="A22" s="13" t="s">
        <v>56</v>
      </c>
      <c r="B22" s="17" t="s">
        <v>99</v>
      </c>
      <c r="C22" s="17" t="s">
        <v>99</v>
      </c>
      <c r="D22" s="17" t="s">
        <v>99</v>
      </c>
      <c r="E22" s="17" t="s">
        <v>99</v>
      </c>
      <c r="F22" s="17" t="s">
        <v>99</v>
      </c>
      <c r="G22" s="17" t="s">
        <v>99</v>
      </c>
      <c r="H22" s="17" t="s">
        <v>99</v>
      </c>
      <c r="I22" s="17" t="s">
        <v>99</v>
      </c>
      <c r="J22" s="17" t="s">
        <v>99</v>
      </c>
      <c r="K22" s="17" t="s">
        <v>99</v>
      </c>
      <c r="L22" s="17" t="s">
        <v>99</v>
      </c>
      <c r="M22" s="17" t="s">
        <v>99</v>
      </c>
      <c r="N22" s="17" t="s">
        <v>99</v>
      </c>
      <c r="O22" s="17" t="s">
        <v>99</v>
      </c>
      <c r="P22" s="17">
        <v>200000</v>
      </c>
      <c r="Q22" s="17" t="s">
        <v>99</v>
      </c>
      <c r="R22" s="17">
        <v>170000</v>
      </c>
      <c r="S22" s="17">
        <v>180000</v>
      </c>
      <c r="T22" s="17">
        <v>180000</v>
      </c>
      <c r="U22" s="17">
        <v>190000</v>
      </c>
      <c r="V22" s="17">
        <v>200000</v>
      </c>
      <c r="W22" s="17">
        <v>210000</v>
      </c>
      <c r="X22" s="17">
        <v>200000</v>
      </c>
      <c r="Y22" s="17">
        <v>210000</v>
      </c>
      <c r="Z22" s="17">
        <v>210000</v>
      </c>
      <c r="AA22" s="17">
        <v>210000</v>
      </c>
    </row>
    <row r="23" spans="1:27" ht="30" customHeight="1">
      <c r="A23" s="12" t="s">
        <v>168</v>
      </c>
      <c r="B23" s="17"/>
      <c r="C23" s="17"/>
      <c r="D23" s="17"/>
      <c r="E23" s="17"/>
      <c r="F23" s="17"/>
      <c r="G23" s="17"/>
      <c r="H23" s="17"/>
      <c r="I23" s="17"/>
      <c r="J23" s="17"/>
      <c r="K23" s="17"/>
      <c r="L23" s="17"/>
      <c r="M23" s="17"/>
      <c r="N23" s="17"/>
      <c r="O23" s="17"/>
      <c r="P23" s="17"/>
      <c r="Q23" s="17"/>
      <c r="R23" s="17"/>
      <c r="S23" s="17"/>
      <c r="T23" s="17"/>
      <c r="U23" s="17"/>
      <c r="V23" s="17"/>
      <c r="W23" s="17"/>
      <c r="X23" s="17"/>
      <c r="Y23" s="17"/>
      <c r="Z23" s="17"/>
      <c r="AA23" s="17"/>
    </row>
    <row r="24" spans="1:27">
      <c r="A24" s="13" t="s">
        <v>5</v>
      </c>
      <c r="B24" s="18" t="s">
        <v>6</v>
      </c>
      <c r="C24" s="18" t="s">
        <v>7</v>
      </c>
      <c r="D24" s="18" t="s">
        <v>8</v>
      </c>
      <c r="E24" s="18" t="s">
        <v>9</v>
      </c>
      <c r="F24" s="18" t="s">
        <v>10</v>
      </c>
      <c r="G24" s="18" t="s">
        <v>11</v>
      </c>
      <c r="H24" s="18" t="s">
        <v>12</v>
      </c>
      <c r="I24" s="18" t="s">
        <v>13</v>
      </c>
      <c r="J24" s="18" t="s">
        <v>14</v>
      </c>
      <c r="K24" s="18" t="s">
        <v>15</v>
      </c>
      <c r="L24" s="18" t="s">
        <v>16</v>
      </c>
      <c r="M24" s="18" t="s">
        <v>17</v>
      </c>
      <c r="N24" s="18" t="s">
        <v>18</v>
      </c>
      <c r="O24" s="18" t="s">
        <v>19</v>
      </c>
      <c r="P24" s="18" t="s">
        <v>20</v>
      </c>
      <c r="Q24" s="18" t="s">
        <v>21</v>
      </c>
      <c r="R24" s="18" t="s">
        <v>22</v>
      </c>
      <c r="S24" s="18" t="s">
        <v>23</v>
      </c>
      <c r="T24" s="18" t="s">
        <v>24</v>
      </c>
      <c r="U24" s="18" t="s">
        <v>25</v>
      </c>
      <c r="V24" s="18" t="s">
        <v>26</v>
      </c>
      <c r="W24" s="18" t="s">
        <v>27</v>
      </c>
      <c r="X24" s="18" t="s">
        <v>28</v>
      </c>
      <c r="Y24" s="18" t="s">
        <v>29</v>
      </c>
      <c r="Z24" s="18" t="s">
        <v>30</v>
      </c>
      <c r="AA24" s="18" t="s">
        <v>31</v>
      </c>
    </row>
    <row r="25" spans="1:27">
      <c r="A25" s="13" t="s">
        <v>32</v>
      </c>
      <c r="B25" s="15">
        <v>0.49508239999999998</v>
      </c>
      <c r="C25" s="15">
        <v>0.49183529999999998</v>
      </c>
      <c r="D25" s="15">
        <v>0.45778000000000002</v>
      </c>
      <c r="E25" s="15">
        <v>0.4283054</v>
      </c>
      <c r="F25" s="15">
        <v>0.39523950000000002</v>
      </c>
      <c r="G25" s="15">
        <v>0.37891910000000001</v>
      </c>
      <c r="H25" s="15">
        <v>0.34114630000000001</v>
      </c>
      <c r="I25" s="15">
        <v>0.30955690000000002</v>
      </c>
      <c r="J25" s="15">
        <v>0.2726788</v>
      </c>
      <c r="K25" s="15">
        <v>0.25810660000000002</v>
      </c>
      <c r="L25" s="15">
        <v>0.24968180000000001</v>
      </c>
      <c r="M25" s="15">
        <v>0.24055480000000001</v>
      </c>
      <c r="N25" s="15">
        <v>0.24093719999999999</v>
      </c>
      <c r="O25" s="15">
        <v>0.23671420000000001</v>
      </c>
      <c r="P25" s="15">
        <v>0.23137369999999999</v>
      </c>
      <c r="Q25" s="15">
        <v>0.21533070000000001</v>
      </c>
      <c r="R25" s="15">
        <v>0.21545400000000001</v>
      </c>
      <c r="S25" s="15">
        <v>0.22131410000000001</v>
      </c>
      <c r="T25" s="15">
        <v>0.2198638</v>
      </c>
      <c r="U25" s="15">
        <v>0.22061359999999999</v>
      </c>
      <c r="V25" s="15">
        <v>0.21252960000000001</v>
      </c>
      <c r="W25" s="15">
        <v>0.21870529999999999</v>
      </c>
      <c r="X25" s="15">
        <v>0.20637730000000001</v>
      </c>
      <c r="Y25" s="15">
        <v>0.21486730000000001</v>
      </c>
      <c r="Z25" s="15">
        <v>0.21321499999999999</v>
      </c>
      <c r="AA25" s="15">
        <v>0.20818980000000001</v>
      </c>
    </row>
    <row r="26" spans="1:27">
      <c r="A26" s="13" t="s">
        <v>55</v>
      </c>
      <c r="B26" s="15" t="s">
        <v>99</v>
      </c>
      <c r="C26" s="15" t="s">
        <v>99</v>
      </c>
      <c r="D26" s="15" t="s">
        <v>99</v>
      </c>
      <c r="E26" s="15" t="s">
        <v>99</v>
      </c>
      <c r="F26" s="15" t="s">
        <v>99</v>
      </c>
      <c r="G26" s="15" t="s">
        <v>99</v>
      </c>
      <c r="H26" s="15" t="s">
        <v>99</v>
      </c>
      <c r="I26" s="15" t="s">
        <v>99</v>
      </c>
      <c r="J26" s="15" t="s">
        <v>99</v>
      </c>
      <c r="K26" s="15" t="s">
        <v>99</v>
      </c>
      <c r="L26" s="15" t="s">
        <v>99</v>
      </c>
      <c r="M26" s="15" t="s">
        <v>99</v>
      </c>
      <c r="N26" s="15" t="s">
        <v>99</v>
      </c>
      <c r="O26" s="15" t="s">
        <v>99</v>
      </c>
      <c r="P26" s="15">
        <v>9.6039600000000003E-2</v>
      </c>
      <c r="Q26" s="15" t="s">
        <v>99</v>
      </c>
      <c r="R26" s="15">
        <v>9.4733300000000006E-2</v>
      </c>
      <c r="S26" s="15">
        <v>0.10205119999999999</v>
      </c>
      <c r="T26" s="15">
        <v>0.10345840000000001</v>
      </c>
      <c r="U26" s="15">
        <v>0.1158213</v>
      </c>
      <c r="V26" s="15">
        <v>0.104014</v>
      </c>
      <c r="W26" s="15">
        <v>0.1002614</v>
      </c>
      <c r="X26" s="15">
        <v>8.48159E-2</v>
      </c>
      <c r="Y26" s="15">
        <v>8.5615399999999994E-2</v>
      </c>
      <c r="Z26" s="15">
        <v>8.9232199999999998E-2</v>
      </c>
      <c r="AA26" s="15">
        <v>8.1466700000000003E-2</v>
      </c>
    </row>
    <row r="27" spans="1:27">
      <c r="A27" s="13" t="s">
        <v>56</v>
      </c>
      <c r="B27" s="15" t="s">
        <v>99</v>
      </c>
      <c r="C27" s="15" t="s">
        <v>99</v>
      </c>
      <c r="D27" s="15" t="s">
        <v>99</v>
      </c>
      <c r="E27" s="15" t="s">
        <v>99</v>
      </c>
      <c r="F27" s="15" t="s">
        <v>99</v>
      </c>
      <c r="G27" s="15" t="s">
        <v>99</v>
      </c>
      <c r="H27" s="15" t="s">
        <v>99</v>
      </c>
      <c r="I27" s="15" t="s">
        <v>99</v>
      </c>
      <c r="J27" s="15" t="s">
        <v>99</v>
      </c>
      <c r="K27" s="15" t="s">
        <v>99</v>
      </c>
      <c r="L27" s="15" t="s">
        <v>99</v>
      </c>
      <c r="M27" s="15" t="s">
        <v>99</v>
      </c>
      <c r="N27" s="15" t="s">
        <v>99</v>
      </c>
      <c r="O27" s="15" t="s">
        <v>99</v>
      </c>
      <c r="P27" s="15">
        <v>0.3047376</v>
      </c>
      <c r="Q27" s="15" t="s">
        <v>99</v>
      </c>
      <c r="R27" s="15">
        <v>0.28056920000000002</v>
      </c>
      <c r="S27" s="15">
        <v>0.28272190000000003</v>
      </c>
      <c r="T27" s="15">
        <v>0.27601930000000002</v>
      </c>
      <c r="U27" s="15">
        <v>0.2669397</v>
      </c>
      <c r="V27" s="15">
        <v>0.25996950000000002</v>
      </c>
      <c r="W27" s="15">
        <v>0.26820349999999998</v>
      </c>
      <c r="X27" s="15">
        <v>0.25635210000000003</v>
      </c>
      <c r="Y27" s="15">
        <v>0.26694050000000002</v>
      </c>
      <c r="Z27" s="15">
        <v>0.26228889999999999</v>
      </c>
      <c r="AA27" s="15">
        <v>0.26176509999999997</v>
      </c>
    </row>
    <row r="28" spans="1:27" ht="30" customHeight="1">
      <c r="A28" s="12" t="s">
        <v>169</v>
      </c>
      <c r="B28" s="15"/>
      <c r="C28" s="15"/>
      <c r="D28" s="15"/>
      <c r="E28" s="15"/>
      <c r="F28" s="15"/>
      <c r="G28" s="15"/>
      <c r="H28" s="15"/>
      <c r="I28" s="15"/>
      <c r="J28" s="15"/>
      <c r="K28" s="15"/>
      <c r="L28" s="15"/>
      <c r="M28" s="15"/>
      <c r="N28" s="15"/>
      <c r="O28" s="15"/>
      <c r="P28" s="15"/>
      <c r="Q28" s="15"/>
      <c r="R28" s="15"/>
      <c r="S28" s="15"/>
      <c r="T28" s="15"/>
      <c r="U28" s="15"/>
      <c r="V28" s="15"/>
      <c r="W28" s="15"/>
      <c r="X28" s="15"/>
      <c r="Y28" s="15"/>
      <c r="Z28" s="15"/>
      <c r="AA28" s="15"/>
    </row>
    <row r="29" spans="1:27">
      <c r="A29" s="13" t="s">
        <v>5</v>
      </c>
      <c r="B29" s="16" t="s">
        <v>6</v>
      </c>
      <c r="C29" s="16" t="s">
        <v>7</v>
      </c>
      <c r="D29" s="16" t="s">
        <v>8</v>
      </c>
      <c r="E29" s="16" t="s">
        <v>9</v>
      </c>
      <c r="F29" s="16" t="s">
        <v>10</v>
      </c>
      <c r="G29" s="16" t="s">
        <v>11</v>
      </c>
      <c r="H29" s="16" t="s">
        <v>12</v>
      </c>
      <c r="I29" s="16" t="s">
        <v>13</v>
      </c>
      <c r="J29" s="16" t="s">
        <v>14</v>
      </c>
      <c r="K29" s="16" t="s">
        <v>15</v>
      </c>
      <c r="L29" s="16" t="s">
        <v>16</v>
      </c>
      <c r="M29" s="16" t="s">
        <v>17</v>
      </c>
      <c r="N29" s="16" t="s">
        <v>18</v>
      </c>
      <c r="O29" s="16" t="s">
        <v>19</v>
      </c>
      <c r="P29" s="16" t="s">
        <v>20</v>
      </c>
      <c r="Q29" s="16" t="s">
        <v>21</v>
      </c>
      <c r="R29" s="16" t="s">
        <v>22</v>
      </c>
      <c r="S29" s="16" t="s">
        <v>23</v>
      </c>
      <c r="T29" s="16" t="s">
        <v>24</v>
      </c>
      <c r="U29" s="16" t="s">
        <v>25</v>
      </c>
      <c r="V29" s="16" t="s">
        <v>26</v>
      </c>
      <c r="W29" s="16" t="s">
        <v>27</v>
      </c>
      <c r="X29" s="16" t="s">
        <v>28</v>
      </c>
      <c r="Y29" s="16" t="s">
        <v>29</v>
      </c>
      <c r="Z29" s="16" t="s">
        <v>30</v>
      </c>
      <c r="AA29" s="16" t="s">
        <v>31</v>
      </c>
    </row>
    <row r="30" spans="1:27">
      <c r="A30" s="13" t="s">
        <v>32</v>
      </c>
      <c r="B30" s="15">
        <v>1</v>
      </c>
      <c r="C30" s="15">
        <v>1</v>
      </c>
      <c r="D30" s="15">
        <v>1</v>
      </c>
      <c r="E30" s="15">
        <v>1</v>
      </c>
      <c r="F30" s="15">
        <v>1</v>
      </c>
      <c r="G30" s="15">
        <v>1</v>
      </c>
      <c r="H30" s="15">
        <v>1</v>
      </c>
      <c r="I30" s="15">
        <v>1</v>
      </c>
      <c r="J30" s="15">
        <v>1</v>
      </c>
      <c r="K30" s="15">
        <v>1</v>
      </c>
      <c r="L30" s="15">
        <v>1</v>
      </c>
      <c r="M30" s="15">
        <v>1</v>
      </c>
      <c r="N30" s="15">
        <v>1</v>
      </c>
      <c r="O30" s="15">
        <v>1</v>
      </c>
      <c r="P30" s="15">
        <v>1</v>
      </c>
      <c r="Q30" s="15">
        <v>1</v>
      </c>
      <c r="R30" s="15">
        <v>1</v>
      </c>
      <c r="S30" s="15">
        <v>1</v>
      </c>
      <c r="T30" s="15">
        <v>1</v>
      </c>
      <c r="U30" s="15">
        <v>1</v>
      </c>
      <c r="V30" s="15">
        <v>1</v>
      </c>
      <c r="W30" s="15">
        <v>1</v>
      </c>
      <c r="X30" s="15">
        <v>1</v>
      </c>
      <c r="Y30" s="15">
        <v>1</v>
      </c>
      <c r="Z30" s="15">
        <v>1</v>
      </c>
      <c r="AA30" s="15">
        <v>1</v>
      </c>
    </row>
    <row r="31" spans="1:27">
      <c r="A31" s="13" t="s">
        <v>55</v>
      </c>
      <c r="B31" s="15" t="s">
        <v>99</v>
      </c>
      <c r="C31" s="15" t="s">
        <v>99</v>
      </c>
      <c r="D31" s="15" t="s">
        <v>99</v>
      </c>
      <c r="E31" s="15" t="s">
        <v>99</v>
      </c>
      <c r="F31" s="15" t="s">
        <v>99</v>
      </c>
      <c r="G31" s="15" t="s">
        <v>99</v>
      </c>
      <c r="H31" s="15" t="s">
        <v>99</v>
      </c>
      <c r="I31" s="15" t="s">
        <v>99</v>
      </c>
      <c r="J31" s="15" t="s">
        <v>99</v>
      </c>
      <c r="K31" s="15" t="s">
        <v>99</v>
      </c>
      <c r="L31" s="15" t="s">
        <v>99</v>
      </c>
      <c r="M31" s="15" t="s">
        <v>99</v>
      </c>
      <c r="N31" s="15" t="s">
        <v>99</v>
      </c>
      <c r="O31" s="15" t="s">
        <v>99</v>
      </c>
      <c r="P31" s="15">
        <v>0.14658640000000001</v>
      </c>
      <c r="Q31" s="15" t="s">
        <v>99</v>
      </c>
      <c r="R31" s="15">
        <v>0.15387799999999999</v>
      </c>
      <c r="S31" s="15">
        <v>0.15524209999999999</v>
      </c>
      <c r="T31" s="15">
        <v>0.15251200000000001</v>
      </c>
      <c r="U31" s="15">
        <v>0.1573377</v>
      </c>
      <c r="V31" s="15">
        <v>0.14423810000000001</v>
      </c>
      <c r="W31" s="15">
        <v>0.13141130000000001</v>
      </c>
      <c r="X31" s="15">
        <v>0.1186401</v>
      </c>
      <c r="Y31" s="15">
        <v>0.113417</v>
      </c>
      <c r="Z31" s="15">
        <v>0.1174038</v>
      </c>
      <c r="AA31" s="15">
        <v>0.1170503</v>
      </c>
    </row>
    <row r="32" spans="1:27">
      <c r="A32" s="13" t="s">
        <v>56</v>
      </c>
      <c r="B32" s="15" t="s">
        <v>99</v>
      </c>
      <c r="C32" s="15" t="s">
        <v>99</v>
      </c>
      <c r="D32" s="15" t="s">
        <v>99</v>
      </c>
      <c r="E32" s="15" t="s">
        <v>99</v>
      </c>
      <c r="F32" s="15" t="s">
        <v>99</v>
      </c>
      <c r="G32" s="15" t="s">
        <v>99</v>
      </c>
      <c r="H32" s="15" t="s">
        <v>99</v>
      </c>
      <c r="I32" s="15" t="s">
        <v>99</v>
      </c>
      <c r="J32" s="15" t="s">
        <v>99</v>
      </c>
      <c r="K32" s="15" t="s">
        <v>99</v>
      </c>
      <c r="L32" s="15" t="s">
        <v>99</v>
      </c>
      <c r="M32" s="15" t="s">
        <v>99</v>
      </c>
      <c r="N32" s="15" t="s">
        <v>99</v>
      </c>
      <c r="O32" s="15" t="s">
        <v>99</v>
      </c>
      <c r="P32" s="15">
        <v>0.85341359999999999</v>
      </c>
      <c r="Q32" s="15" t="s">
        <v>99</v>
      </c>
      <c r="R32" s="15">
        <v>0.84612200000000004</v>
      </c>
      <c r="S32" s="15">
        <v>0.84475789999999995</v>
      </c>
      <c r="T32" s="15">
        <v>0.84748800000000002</v>
      </c>
      <c r="U32" s="15">
        <v>0.84266229999999998</v>
      </c>
      <c r="V32" s="15">
        <v>0.85576189999999996</v>
      </c>
      <c r="W32" s="15">
        <v>0.86858869999999999</v>
      </c>
      <c r="X32" s="15">
        <v>0.88135989999999997</v>
      </c>
      <c r="Y32" s="15">
        <v>0.88658300000000001</v>
      </c>
      <c r="Z32" s="15">
        <v>0.88259620000000005</v>
      </c>
      <c r="AA32" s="15">
        <v>0.88294969999999995</v>
      </c>
    </row>
    <row r="33" spans="1:27" ht="30" customHeight="1">
      <c r="A33" s="12" t="s">
        <v>170</v>
      </c>
      <c r="B33" s="15"/>
      <c r="C33" s="15"/>
      <c r="D33" s="15"/>
      <c r="E33" s="15"/>
      <c r="F33" s="15"/>
      <c r="G33" s="15"/>
      <c r="H33" s="15"/>
      <c r="I33" s="15"/>
      <c r="J33" s="15"/>
      <c r="K33" s="15"/>
      <c r="L33" s="15"/>
      <c r="M33" s="15"/>
      <c r="N33" s="15"/>
      <c r="O33" s="15"/>
      <c r="P33" s="15"/>
      <c r="Q33" s="15"/>
      <c r="R33" s="15"/>
      <c r="S33" s="15"/>
      <c r="T33" s="15"/>
      <c r="U33" s="15"/>
      <c r="V33" s="15"/>
      <c r="W33" s="15"/>
      <c r="X33" s="15"/>
      <c r="Y33" s="15"/>
      <c r="Z33" s="15"/>
      <c r="AA33" s="15"/>
    </row>
    <row r="34" spans="1:27">
      <c r="A34" s="13" t="s">
        <v>5</v>
      </c>
      <c r="B34" s="16" t="s">
        <v>6</v>
      </c>
      <c r="C34" s="16" t="s">
        <v>7</v>
      </c>
      <c r="D34" s="16" t="s">
        <v>8</v>
      </c>
      <c r="E34" s="16" t="s">
        <v>9</v>
      </c>
      <c r="F34" s="16" t="s">
        <v>10</v>
      </c>
      <c r="G34" s="16" t="s">
        <v>11</v>
      </c>
      <c r="H34" s="16" t="s">
        <v>12</v>
      </c>
      <c r="I34" s="16" t="s">
        <v>13</v>
      </c>
      <c r="J34" s="16" t="s">
        <v>14</v>
      </c>
      <c r="K34" s="16" t="s">
        <v>15</v>
      </c>
      <c r="L34" s="16" t="s">
        <v>16</v>
      </c>
      <c r="M34" s="16" t="s">
        <v>17</v>
      </c>
      <c r="N34" s="16" t="s">
        <v>18</v>
      </c>
      <c r="O34" s="16" t="s">
        <v>19</v>
      </c>
      <c r="P34" s="16" t="s">
        <v>20</v>
      </c>
      <c r="Q34" s="16" t="s">
        <v>21</v>
      </c>
      <c r="R34" s="16" t="s">
        <v>22</v>
      </c>
      <c r="S34" s="16" t="s">
        <v>23</v>
      </c>
      <c r="T34" s="16" t="s">
        <v>24</v>
      </c>
      <c r="U34" s="16" t="s">
        <v>25</v>
      </c>
      <c r="V34" s="16" t="s">
        <v>26</v>
      </c>
      <c r="W34" s="16" t="s">
        <v>27</v>
      </c>
      <c r="X34" s="16" t="s">
        <v>28</v>
      </c>
      <c r="Y34" s="16" t="s">
        <v>29</v>
      </c>
      <c r="Z34" s="16" t="s">
        <v>30</v>
      </c>
      <c r="AA34" s="16" t="s">
        <v>31</v>
      </c>
    </row>
    <row r="35" spans="1:27">
      <c r="A35" s="13" t="s">
        <v>32</v>
      </c>
      <c r="B35" s="17">
        <v>550000</v>
      </c>
      <c r="C35" s="17">
        <v>540000</v>
      </c>
      <c r="D35" s="17">
        <v>500000</v>
      </c>
      <c r="E35" s="17">
        <v>460000</v>
      </c>
      <c r="F35" s="17">
        <v>420000</v>
      </c>
      <c r="G35" s="17">
        <v>400000</v>
      </c>
      <c r="H35" s="17">
        <v>360000</v>
      </c>
      <c r="I35" s="17">
        <v>320000</v>
      </c>
      <c r="J35" s="17">
        <v>280000</v>
      </c>
      <c r="K35" s="17">
        <v>260000</v>
      </c>
      <c r="L35" s="17">
        <v>250000</v>
      </c>
      <c r="M35" s="17">
        <v>240000</v>
      </c>
      <c r="N35" s="17">
        <v>240000</v>
      </c>
      <c r="O35" s="17">
        <v>240000</v>
      </c>
      <c r="P35" s="17">
        <v>230000</v>
      </c>
      <c r="Q35" s="17">
        <v>210000</v>
      </c>
      <c r="R35" s="17">
        <v>210000</v>
      </c>
      <c r="S35" s="17">
        <v>220000</v>
      </c>
      <c r="T35" s="17">
        <v>220000</v>
      </c>
      <c r="U35" s="17">
        <v>220000</v>
      </c>
      <c r="V35" s="17">
        <v>210000</v>
      </c>
      <c r="W35" s="17">
        <v>220000</v>
      </c>
      <c r="X35" s="17">
        <v>200000</v>
      </c>
      <c r="Y35" s="17">
        <v>210000</v>
      </c>
      <c r="Z35" s="17">
        <v>210000</v>
      </c>
      <c r="AA35" s="17">
        <v>210000</v>
      </c>
    </row>
    <row r="36" spans="1:27">
      <c r="A36" s="13" t="s">
        <v>55</v>
      </c>
      <c r="B36" s="17" t="s">
        <v>99</v>
      </c>
      <c r="C36" s="17" t="s">
        <v>99</v>
      </c>
      <c r="D36" s="17" t="s">
        <v>99</v>
      </c>
      <c r="E36" s="17" t="s">
        <v>99</v>
      </c>
      <c r="F36" s="17" t="s">
        <v>99</v>
      </c>
      <c r="G36" s="17" t="s">
        <v>99</v>
      </c>
      <c r="H36" s="17" t="s">
        <v>99</v>
      </c>
      <c r="I36" s="17" t="s">
        <v>99</v>
      </c>
      <c r="J36" s="17" t="s">
        <v>99</v>
      </c>
      <c r="K36" s="17" t="s">
        <v>99</v>
      </c>
      <c r="L36" s="17" t="s">
        <v>99</v>
      </c>
      <c r="M36" s="17" t="s">
        <v>99</v>
      </c>
      <c r="N36" s="17" t="s">
        <v>99</v>
      </c>
      <c r="O36" s="17" t="s">
        <v>99</v>
      </c>
      <c r="P36" s="17">
        <v>30000</v>
      </c>
      <c r="Q36" s="17" t="s">
        <v>99</v>
      </c>
      <c r="R36" s="17" t="s">
        <v>35</v>
      </c>
      <c r="S36" s="17" t="s">
        <v>35</v>
      </c>
      <c r="T36" s="17" t="s">
        <v>35</v>
      </c>
      <c r="U36" s="17" t="s">
        <v>35</v>
      </c>
      <c r="V36" s="17" t="s">
        <v>35</v>
      </c>
      <c r="W36" s="17" t="s">
        <v>35</v>
      </c>
      <c r="X36" s="17" t="s">
        <v>35</v>
      </c>
      <c r="Y36" s="17" t="s">
        <v>35</v>
      </c>
      <c r="Z36" s="17" t="s">
        <v>35</v>
      </c>
      <c r="AA36" s="17" t="s">
        <v>35</v>
      </c>
    </row>
    <row r="37" spans="1:27">
      <c r="A37" s="13" t="s">
        <v>56</v>
      </c>
      <c r="B37" s="17" t="s">
        <v>99</v>
      </c>
      <c r="C37" s="17" t="s">
        <v>99</v>
      </c>
      <c r="D37" s="17" t="s">
        <v>99</v>
      </c>
      <c r="E37" s="17" t="s">
        <v>99</v>
      </c>
      <c r="F37" s="17" t="s">
        <v>99</v>
      </c>
      <c r="G37" s="17" t="s">
        <v>99</v>
      </c>
      <c r="H37" s="17" t="s">
        <v>99</v>
      </c>
      <c r="I37" s="17" t="s">
        <v>99</v>
      </c>
      <c r="J37" s="17" t="s">
        <v>99</v>
      </c>
      <c r="K37" s="17" t="s">
        <v>99</v>
      </c>
      <c r="L37" s="17" t="s">
        <v>99</v>
      </c>
      <c r="M37" s="17" t="s">
        <v>99</v>
      </c>
      <c r="N37" s="17" t="s">
        <v>99</v>
      </c>
      <c r="O37" s="17" t="s">
        <v>99</v>
      </c>
      <c r="P37" s="17">
        <v>200000</v>
      </c>
      <c r="Q37" s="17" t="s">
        <v>99</v>
      </c>
      <c r="R37" s="17">
        <v>180000</v>
      </c>
      <c r="S37" s="17">
        <v>190000</v>
      </c>
      <c r="T37" s="17">
        <v>180000</v>
      </c>
      <c r="U37" s="17">
        <v>180000</v>
      </c>
      <c r="V37" s="17">
        <v>180000</v>
      </c>
      <c r="W37" s="17">
        <v>190000</v>
      </c>
      <c r="X37" s="17">
        <v>180000</v>
      </c>
      <c r="Y37" s="17">
        <v>190000</v>
      </c>
      <c r="Z37" s="17">
        <v>190000</v>
      </c>
      <c r="AA37" s="17">
        <v>180000</v>
      </c>
    </row>
    <row r="38" spans="1:27" ht="30" customHeight="1">
      <c r="A38" s="12" t="s">
        <v>171</v>
      </c>
      <c r="B38" s="17"/>
      <c r="C38" s="17"/>
      <c r="D38" s="17"/>
      <c r="E38" s="17"/>
      <c r="F38" s="17"/>
      <c r="G38" s="17"/>
      <c r="H38" s="17"/>
      <c r="I38" s="17"/>
      <c r="J38" s="17"/>
      <c r="K38" s="17"/>
      <c r="L38" s="17"/>
      <c r="M38" s="17"/>
      <c r="N38" s="17"/>
      <c r="O38" s="17"/>
      <c r="P38" s="17"/>
      <c r="Q38" s="17"/>
      <c r="R38" s="17"/>
      <c r="S38" s="17"/>
      <c r="T38" s="17"/>
      <c r="U38" s="17"/>
      <c r="V38" s="17"/>
      <c r="W38" s="17"/>
      <c r="X38" s="17"/>
      <c r="Y38" s="17"/>
      <c r="Z38" s="17"/>
      <c r="AA38" s="17"/>
    </row>
    <row r="39" spans="1:27">
      <c r="A39" s="13" t="s">
        <v>5</v>
      </c>
      <c r="B39" s="18" t="s">
        <v>6</v>
      </c>
      <c r="C39" s="18" t="s">
        <v>7</v>
      </c>
      <c r="D39" s="18" t="s">
        <v>8</v>
      </c>
      <c r="E39" s="18" t="s">
        <v>9</v>
      </c>
      <c r="F39" s="18" t="s">
        <v>10</v>
      </c>
      <c r="G39" s="18" t="s">
        <v>11</v>
      </c>
      <c r="H39" s="18" t="s">
        <v>12</v>
      </c>
      <c r="I39" s="18" t="s">
        <v>13</v>
      </c>
      <c r="J39" s="18" t="s">
        <v>14</v>
      </c>
      <c r="K39" s="18" t="s">
        <v>15</v>
      </c>
      <c r="L39" s="18" t="s">
        <v>16</v>
      </c>
      <c r="M39" s="18" t="s">
        <v>17</v>
      </c>
      <c r="N39" s="18" t="s">
        <v>18</v>
      </c>
      <c r="O39" s="18" t="s">
        <v>19</v>
      </c>
      <c r="P39" s="18" t="s">
        <v>20</v>
      </c>
      <c r="Q39" s="18" t="s">
        <v>21</v>
      </c>
      <c r="R39" s="18" t="s">
        <v>22</v>
      </c>
      <c r="S39" s="18" t="s">
        <v>23</v>
      </c>
      <c r="T39" s="18" t="s">
        <v>24</v>
      </c>
      <c r="U39" s="18" t="s">
        <v>25</v>
      </c>
      <c r="V39" s="18" t="s">
        <v>26</v>
      </c>
      <c r="W39" s="18" t="s">
        <v>27</v>
      </c>
      <c r="X39" s="18" t="s">
        <v>28</v>
      </c>
      <c r="Y39" s="18" t="s">
        <v>29</v>
      </c>
      <c r="Z39" s="18" t="s">
        <v>30</v>
      </c>
      <c r="AA39" s="18" t="s">
        <v>31</v>
      </c>
    </row>
    <row r="40" spans="1:27">
      <c r="A40" s="13" t="s">
        <v>32</v>
      </c>
      <c r="B40" s="15" t="s">
        <v>99</v>
      </c>
      <c r="C40" s="15" t="s">
        <v>99</v>
      </c>
      <c r="D40" s="15" t="s">
        <v>99</v>
      </c>
      <c r="E40" s="15" t="s">
        <v>99</v>
      </c>
      <c r="F40" s="15" t="s">
        <v>99</v>
      </c>
      <c r="G40" s="15" t="s">
        <v>99</v>
      </c>
      <c r="H40" s="15" t="s">
        <v>99</v>
      </c>
      <c r="I40" s="15" t="s">
        <v>99</v>
      </c>
      <c r="J40" s="15" t="s">
        <v>99</v>
      </c>
      <c r="K40" s="15" t="s">
        <v>99</v>
      </c>
      <c r="L40" s="15">
        <v>0.15674099999999999</v>
      </c>
      <c r="M40" s="15">
        <v>0.15043819999999999</v>
      </c>
      <c r="N40" s="15">
        <v>0.16121170000000001</v>
      </c>
      <c r="O40" s="15">
        <v>0.16044269999999999</v>
      </c>
      <c r="P40" s="15">
        <v>0.15772449999999999</v>
      </c>
      <c r="Q40" s="15" t="s">
        <v>98</v>
      </c>
      <c r="R40" s="15">
        <v>0.1183056</v>
      </c>
      <c r="S40" s="15">
        <v>0.12175800000000001</v>
      </c>
      <c r="T40" s="15">
        <v>0.12656249999999999</v>
      </c>
      <c r="U40" s="15">
        <v>0.12551419999999999</v>
      </c>
      <c r="V40" s="15">
        <v>0.1152852</v>
      </c>
      <c r="W40" s="15">
        <v>0.1210937</v>
      </c>
      <c r="X40" s="15">
        <v>0.12252349999999999</v>
      </c>
      <c r="Y40" s="15">
        <v>0.12522369999999999</v>
      </c>
      <c r="Z40" s="15">
        <v>0.1194209</v>
      </c>
      <c r="AA40" s="15">
        <v>0.105203</v>
      </c>
    </row>
    <row r="41" spans="1:27">
      <c r="A41" s="13" t="s">
        <v>55</v>
      </c>
      <c r="B41" s="15" t="s">
        <v>99</v>
      </c>
      <c r="C41" s="15" t="s">
        <v>99</v>
      </c>
      <c r="D41" s="15" t="s">
        <v>99</v>
      </c>
      <c r="E41" s="15" t="s">
        <v>99</v>
      </c>
      <c r="F41" s="15" t="s">
        <v>99</v>
      </c>
      <c r="G41" s="15" t="s">
        <v>99</v>
      </c>
      <c r="H41" s="15" t="s">
        <v>99</v>
      </c>
      <c r="I41" s="15" t="s">
        <v>99</v>
      </c>
      <c r="J41" s="15" t="s">
        <v>99</v>
      </c>
      <c r="K41" s="15" t="s">
        <v>99</v>
      </c>
      <c r="L41" s="15" t="s">
        <v>99</v>
      </c>
      <c r="M41" s="15" t="s">
        <v>99</v>
      </c>
      <c r="N41" s="15" t="s">
        <v>99</v>
      </c>
      <c r="O41" s="15" t="s">
        <v>99</v>
      </c>
      <c r="P41" s="15">
        <v>3.1679300000000001E-2</v>
      </c>
      <c r="Q41" s="15" t="s">
        <v>98</v>
      </c>
      <c r="R41" s="15">
        <v>1.9960499999999999E-2</v>
      </c>
      <c r="S41" s="15">
        <v>1.8360899999999999E-2</v>
      </c>
      <c r="T41" s="15">
        <v>1.50467E-2</v>
      </c>
      <c r="U41" s="15">
        <v>2.0652E-2</v>
      </c>
      <c r="V41" s="15">
        <v>2.22697E-2</v>
      </c>
      <c r="W41" s="15">
        <v>2.7477000000000001E-2</v>
      </c>
      <c r="X41" s="15">
        <v>2.2176600000000001E-2</v>
      </c>
      <c r="Y41" s="15">
        <v>2.0038199999999999E-2</v>
      </c>
      <c r="Z41" s="15">
        <v>1.6283200000000001E-2</v>
      </c>
      <c r="AA41" s="15">
        <v>7.7911999999999999E-3</v>
      </c>
    </row>
    <row r="42" spans="1:27">
      <c r="A42" s="13" t="s">
        <v>56</v>
      </c>
      <c r="B42" s="15" t="s">
        <v>99</v>
      </c>
      <c r="C42" s="15" t="s">
        <v>99</v>
      </c>
      <c r="D42" s="15" t="s">
        <v>99</v>
      </c>
      <c r="E42" s="15" t="s">
        <v>99</v>
      </c>
      <c r="F42" s="15" t="s">
        <v>99</v>
      </c>
      <c r="G42" s="15" t="s">
        <v>99</v>
      </c>
      <c r="H42" s="15" t="s">
        <v>99</v>
      </c>
      <c r="I42" s="15" t="s">
        <v>99</v>
      </c>
      <c r="J42" s="15" t="s">
        <v>99</v>
      </c>
      <c r="K42" s="15" t="s">
        <v>99</v>
      </c>
      <c r="L42" s="15" t="s">
        <v>99</v>
      </c>
      <c r="M42" s="15" t="s">
        <v>99</v>
      </c>
      <c r="N42" s="15" t="s">
        <v>99</v>
      </c>
      <c r="O42" s="15" t="s">
        <v>99</v>
      </c>
      <c r="P42" s="15">
        <v>0.22612499999999999</v>
      </c>
      <c r="Q42" s="15" t="s">
        <v>98</v>
      </c>
      <c r="R42" s="15">
        <v>0.17139960000000001</v>
      </c>
      <c r="S42" s="15">
        <v>0.17410220000000001</v>
      </c>
      <c r="T42" s="15">
        <v>0.18</v>
      </c>
      <c r="U42" s="15">
        <v>0.17246529999999999</v>
      </c>
      <c r="V42" s="15">
        <v>0.156197</v>
      </c>
      <c r="W42" s="15">
        <v>0.1602365</v>
      </c>
      <c r="X42" s="15">
        <v>0.16357070000000001</v>
      </c>
      <c r="Y42" s="15">
        <v>0.16739100000000001</v>
      </c>
      <c r="Z42" s="15">
        <v>0.159973</v>
      </c>
      <c r="AA42" s="15">
        <v>0.14803140000000001</v>
      </c>
    </row>
    <row r="43" spans="1:27" ht="30" customHeight="1">
      <c r="A43" s="12" t="s">
        <v>172</v>
      </c>
      <c r="B43" s="15"/>
      <c r="C43" s="15"/>
      <c r="D43" s="15"/>
      <c r="E43" s="15"/>
      <c r="F43" s="15"/>
      <c r="G43" s="15"/>
      <c r="H43" s="15"/>
      <c r="I43" s="15"/>
      <c r="J43" s="15"/>
      <c r="K43" s="15"/>
      <c r="L43" s="15"/>
      <c r="M43" s="15"/>
      <c r="N43" s="15"/>
      <c r="O43" s="15"/>
      <c r="P43" s="15"/>
      <c r="Q43" s="15"/>
      <c r="R43" s="15"/>
      <c r="S43" s="15"/>
      <c r="T43" s="15"/>
      <c r="U43" s="15"/>
      <c r="V43" s="15"/>
      <c r="W43" s="15"/>
      <c r="X43" s="15"/>
      <c r="Y43" s="15"/>
      <c r="Z43" s="15"/>
      <c r="AA43" s="15"/>
    </row>
    <row r="44" spans="1:27">
      <c r="A44" s="13" t="s">
        <v>5</v>
      </c>
      <c r="B44" s="16" t="s">
        <v>6</v>
      </c>
      <c r="C44" s="16" t="s">
        <v>7</v>
      </c>
      <c r="D44" s="16" t="s">
        <v>8</v>
      </c>
      <c r="E44" s="16" t="s">
        <v>9</v>
      </c>
      <c r="F44" s="16" t="s">
        <v>10</v>
      </c>
      <c r="G44" s="16" t="s">
        <v>11</v>
      </c>
      <c r="H44" s="16" t="s">
        <v>12</v>
      </c>
      <c r="I44" s="16" t="s">
        <v>13</v>
      </c>
      <c r="J44" s="16" t="s">
        <v>14</v>
      </c>
      <c r="K44" s="16" t="s">
        <v>15</v>
      </c>
      <c r="L44" s="16" t="s">
        <v>16</v>
      </c>
      <c r="M44" s="16" t="s">
        <v>17</v>
      </c>
      <c r="N44" s="16" t="s">
        <v>18</v>
      </c>
      <c r="O44" s="16" t="s">
        <v>19</v>
      </c>
      <c r="P44" s="16" t="s">
        <v>20</v>
      </c>
      <c r="Q44" s="16" t="s">
        <v>21</v>
      </c>
      <c r="R44" s="16" t="s">
        <v>22</v>
      </c>
      <c r="S44" s="16" t="s">
        <v>23</v>
      </c>
      <c r="T44" s="16" t="s">
        <v>24</v>
      </c>
      <c r="U44" s="16" t="s">
        <v>25</v>
      </c>
      <c r="V44" s="16" t="s">
        <v>26</v>
      </c>
      <c r="W44" s="16" t="s">
        <v>27</v>
      </c>
      <c r="X44" s="16" t="s">
        <v>28</v>
      </c>
      <c r="Y44" s="16" t="s">
        <v>29</v>
      </c>
      <c r="Z44" s="16" t="s">
        <v>30</v>
      </c>
      <c r="AA44" s="16" t="s">
        <v>31</v>
      </c>
    </row>
    <row r="45" spans="1:27">
      <c r="A45" s="13" t="s">
        <v>32</v>
      </c>
      <c r="B45" s="15" t="s">
        <v>99</v>
      </c>
      <c r="C45" s="15" t="s">
        <v>99</v>
      </c>
      <c r="D45" s="15" t="s">
        <v>99</v>
      </c>
      <c r="E45" s="15" t="s">
        <v>99</v>
      </c>
      <c r="F45" s="15" t="s">
        <v>99</v>
      </c>
      <c r="G45" s="15" t="s">
        <v>99</v>
      </c>
      <c r="H45" s="15" t="s">
        <v>99</v>
      </c>
      <c r="I45" s="15" t="s">
        <v>99</v>
      </c>
      <c r="J45" s="15" t="s">
        <v>99</v>
      </c>
      <c r="K45" s="15" t="s">
        <v>99</v>
      </c>
      <c r="L45" s="15">
        <v>1</v>
      </c>
      <c r="M45" s="15">
        <v>1</v>
      </c>
      <c r="N45" s="15">
        <v>1</v>
      </c>
      <c r="O45" s="15">
        <v>1</v>
      </c>
      <c r="P45" s="15">
        <v>1</v>
      </c>
      <c r="Q45" s="15" t="s">
        <v>98</v>
      </c>
      <c r="R45" s="15">
        <v>1</v>
      </c>
      <c r="S45" s="15">
        <v>1</v>
      </c>
      <c r="T45" s="15">
        <v>1</v>
      </c>
      <c r="U45" s="15">
        <v>1</v>
      </c>
      <c r="V45" s="15">
        <v>1</v>
      </c>
      <c r="W45" s="15">
        <v>1</v>
      </c>
      <c r="X45" s="15">
        <v>1</v>
      </c>
      <c r="Y45" s="15">
        <v>1</v>
      </c>
      <c r="Z45" s="15">
        <v>1</v>
      </c>
      <c r="AA45" s="15">
        <v>1</v>
      </c>
    </row>
    <row r="46" spans="1:27">
      <c r="A46" s="13" t="s">
        <v>55</v>
      </c>
      <c r="B46" s="15" t="s">
        <v>99</v>
      </c>
      <c r="C46" s="15" t="s">
        <v>99</v>
      </c>
      <c r="D46" s="15" t="s">
        <v>99</v>
      </c>
      <c r="E46" s="15" t="s">
        <v>99</v>
      </c>
      <c r="F46" s="15" t="s">
        <v>99</v>
      </c>
      <c r="G46" s="15" t="s">
        <v>99</v>
      </c>
      <c r="H46" s="15" t="s">
        <v>99</v>
      </c>
      <c r="I46" s="15" t="s">
        <v>99</v>
      </c>
      <c r="J46" s="15" t="s">
        <v>99</v>
      </c>
      <c r="K46" s="15" t="s">
        <v>99</v>
      </c>
      <c r="L46" s="15" t="s">
        <v>99</v>
      </c>
      <c r="M46" s="15" t="s">
        <v>99</v>
      </c>
      <c r="N46" s="15" t="s">
        <v>99</v>
      </c>
      <c r="O46" s="15" t="s">
        <v>99</v>
      </c>
      <c r="P46" s="15">
        <v>7.0257399999999998E-2</v>
      </c>
      <c r="Q46" s="15" t="s">
        <v>98</v>
      </c>
      <c r="R46" s="15">
        <v>6.0436999999999998E-2</v>
      </c>
      <c r="S46" s="15">
        <v>5.4766000000000002E-2</v>
      </c>
      <c r="T46" s="15">
        <v>4.0214899999999998E-2</v>
      </c>
      <c r="U46" s="15">
        <v>4.9983300000000001E-2</v>
      </c>
      <c r="V46" s="15">
        <v>5.6226100000000001E-2</v>
      </c>
      <c r="W46" s="15">
        <v>6.5250500000000003E-2</v>
      </c>
      <c r="X46" s="15">
        <v>5.1158000000000002E-2</v>
      </c>
      <c r="Y46" s="15">
        <v>4.4389100000000001E-2</v>
      </c>
      <c r="Z46" s="15">
        <v>3.7038500000000002E-2</v>
      </c>
      <c r="AA46" s="15">
        <v>1.9392E-2</v>
      </c>
    </row>
    <row r="47" spans="1:27">
      <c r="A47" s="13" t="s">
        <v>56</v>
      </c>
      <c r="B47" s="15" t="s">
        <v>99</v>
      </c>
      <c r="C47" s="15" t="s">
        <v>99</v>
      </c>
      <c r="D47" s="15" t="s">
        <v>99</v>
      </c>
      <c r="E47" s="15" t="s">
        <v>99</v>
      </c>
      <c r="F47" s="15" t="s">
        <v>99</v>
      </c>
      <c r="G47" s="15" t="s">
        <v>99</v>
      </c>
      <c r="H47" s="15" t="s">
        <v>99</v>
      </c>
      <c r="I47" s="15" t="s">
        <v>99</v>
      </c>
      <c r="J47" s="15" t="s">
        <v>99</v>
      </c>
      <c r="K47" s="15" t="s">
        <v>99</v>
      </c>
      <c r="L47" s="15" t="s">
        <v>99</v>
      </c>
      <c r="M47" s="15" t="s">
        <v>99</v>
      </c>
      <c r="N47" s="15" t="s">
        <v>99</v>
      </c>
      <c r="O47" s="15" t="s">
        <v>99</v>
      </c>
      <c r="P47" s="15">
        <v>0.92974259999999997</v>
      </c>
      <c r="Q47" s="15" t="s">
        <v>98</v>
      </c>
      <c r="R47" s="15">
        <v>0.93956300000000004</v>
      </c>
      <c r="S47" s="15">
        <v>0.94523400000000002</v>
      </c>
      <c r="T47" s="15">
        <v>0.95978509999999995</v>
      </c>
      <c r="U47" s="15">
        <v>0.95001670000000005</v>
      </c>
      <c r="V47" s="15">
        <v>0.94377390000000005</v>
      </c>
      <c r="W47" s="15">
        <v>0.93474950000000001</v>
      </c>
      <c r="X47" s="15">
        <v>0.94884199999999996</v>
      </c>
      <c r="Y47" s="15">
        <v>0.95561090000000004</v>
      </c>
      <c r="Z47" s="15">
        <v>0.96296150000000003</v>
      </c>
      <c r="AA47" s="15">
        <v>0.99030399999999996</v>
      </c>
    </row>
    <row r="48" spans="1:27" ht="30" customHeight="1">
      <c r="A48" s="12" t="s">
        <v>173</v>
      </c>
      <c r="B48" s="15"/>
      <c r="C48" s="15"/>
      <c r="D48" s="15"/>
      <c r="E48" s="15"/>
      <c r="F48" s="15"/>
      <c r="G48" s="15"/>
      <c r="H48" s="15"/>
      <c r="I48" s="15"/>
      <c r="J48" s="15"/>
      <c r="K48" s="15"/>
      <c r="L48" s="15"/>
      <c r="M48" s="15"/>
      <c r="N48" s="15"/>
      <c r="O48" s="15"/>
      <c r="P48" s="15"/>
      <c r="Q48" s="15"/>
      <c r="R48" s="15"/>
      <c r="S48" s="15"/>
      <c r="T48" s="15"/>
      <c r="U48" s="15"/>
      <c r="V48" s="15"/>
      <c r="W48" s="15"/>
      <c r="X48" s="15"/>
      <c r="Y48" s="15"/>
      <c r="Z48" s="15"/>
      <c r="AA48" s="15"/>
    </row>
    <row r="49" spans="1:27">
      <c r="A49" s="13" t="s">
        <v>5</v>
      </c>
      <c r="B49" s="16" t="s">
        <v>6</v>
      </c>
      <c r="C49" s="16" t="s">
        <v>7</v>
      </c>
      <c r="D49" s="16" t="s">
        <v>8</v>
      </c>
      <c r="E49" s="16" t="s">
        <v>9</v>
      </c>
      <c r="F49" s="16" t="s">
        <v>10</v>
      </c>
      <c r="G49" s="16" t="s">
        <v>11</v>
      </c>
      <c r="H49" s="16" t="s">
        <v>12</v>
      </c>
      <c r="I49" s="16" t="s">
        <v>13</v>
      </c>
      <c r="J49" s="16" t="s">
        <v>14</v>
      </c>
      <c r="K49" s="16" t="s">
        <v>15</v>
      </c>
      <c r="L49" s="16" t="s">
        <v>16</v>
      </c>
      <c r="M49" s="16" t="s">
        <v>17</v>
      </c>
      <c r="N49" s="16" t="s">
        <v>18</v>
      </c>
      <c r="O49" s="16" t="s">
        <v>19</v>
      </c>
      <c r="P49" s="16" t="s">
        <v>20</v>
      </c>
      <c r="Q49" s="16" t="s">
        <v>21</v>
      </c>
      <c r="R49" s="16" t="s">
        <v>22</v>
      </c>
      <c r="S49" s="16" t="s">
        <v>23</v>
      </c>
      <c r="T49" s="16" t="s">
        <v>24</v>
      </c>
      <c r="U49" s="16" t="s">
        <v>25</v>
      </c>
      <c r="V49" s="16" t="s">
        <v>26</v>
      </c>
      <c r="W49" s="16" t="s">
        <v>27</v>
      </c>
      <c r="X49" s="16" t="s">
        <v>28</v>
      </c>
      <c r="Y49" s="16" t="s">
        <v>29</v>
      </c>
      <c r="Z49" s="16" t="s">
        <v>30</v>
      </c>
      <c r="AA49" s="16" t="s">
        <v>31</v>
      </c>
    </row>
    <row r="50" spans="1:27">
      <c r="A50" s="13" t="s">
        <v>32</v>
      </c>
      <c r="B50" s="17" t="s">
        <v>99</v>
      </c>
      <c r="C50" s="17" t="s">
        <v>99</v>
      </c>
      <c r="D50" s="17" t="s">
        <v>99</v>
      </c>
      <c r="E50" s="17" t="s">
        <v>99</v>
      </c>
      <c r="F50" s="17" t="s">
        <v>99</v>
      </c>
      <c r="G50" s="17" t="s">
        <v>99</v>
      </c>
      <c r="H50" s="17" t="s">
        <v>99</v>
      </c>
      <c r="I50" s="17" t="s">
        <v>99</v>
      </c>
      <c r="J50" s="17" t="s">
        <v>99</v>
      </c>
      <c r="K50" s="17" t="s">
        <v>99</v>
      </c>
      <c r="L50" s="17">
        <v>160000</v>
      </c>
      <c r="M50" s="17">
        <v>150000</v>
      </c>
      <c r="N50" s="17">
        <v>160000</v>
      </c>
      <c r="O50" s="17">
        <v>160000</v>
      </c>
      <c r="P50" s="17">
        <v>160000</v>
      </c>
      <c r="Q50" s="17" t="s">
        <v>98</v>
      </c>
      <c r="R50" s="17">
        <v>120000</v>
      </c>
      <c r="S50" s="17">
        <v>120000</v>
      </c>
      <c r="T50" s="17">
        <v>130000</v>
      </c>
      <c r="U50" s="17">
        <v>120000</v>
      </c>
      <c r="V50" s="17">
        <v>110000</v>
      </c>
      <c r="W50" s="17">
        <v>120000</v>
      </c>
      <c r="X50" s="17">
        <v>120000</v>
      </c>
      <c r="Y50" s="17">
        <v>120000</v>
      </c>
      <c r="Z50" s="17">
        <v>120000</v>
      </c>
      <c r="AA50" s="17" t="s">
        <v>35</v>
      </c>
    </row>
    <row r="51" spans="1:27">
      <c r="A51" s="13" t="s">
        <v>55</v>
      </c>
      <c r="B51" s="17" t="s">
        <v>99</v>
      </c>
      <c r="C51" s="17" t="s">
        <v>99</v>
      </c>
      <c r="D51" s="17" t="s">
        <v>99</v>
      </c>
      <c r="E51" s="17" t="s">
        <v>99</v>
      </c>
      <c r="F51" s="17" t="s">
        <v>99</v>
      </c>
      <c r="G51" s="17" t="s">
        <v>99</v>
      </c>
      <c r="H51" s="17" t="s">
        <v>99</v>
      </c>
      <c r="I51" s="17" t="s">
        <v>99</v>
      </c>
      <c r="J51" s="17" t="s">
        <v>99</v>
      </c>
      <c r="K51" s="17" t="s">
        <v>99</v>
      </c>
      <c r="L51" s="17" t="s">
        <v>99</v>
      </c>
      <c r="M51" s="17" t="s">
        <v>99</v>
      </c>
      <c r="N51" s="17" t="s">
        <v>99</v>
      </c>
      <c r="O51" s="17" t="s">
        <v>99</v>
      </c>
      <c r="P51" s="17" t="s">
        <v>35</v>
      </c>
      <c r="Q51" s="17" t="s">
        <v>98</v>
      </c>
      <c r="R51" s="17" t="s">
        <v>35</v>
      </c>
      <c r="S51" s="17" t="s">
        <v>35</v>
      </c>
      <c r="T51" s="17" t="s">
        <v>35</v>
      </c>
      <c r="U51" s="17" t="s">
        <v>35</v>
      </c>
      <c r="V51" s="17" t="s">
        <v>35</v>
      </c>
      <c r="W51" s="17" t="s">
        <v>35</v>
      </c>
      <c r="X51" s="17" t="s">
        <v>35</v>
      </c>
      <c r="Y51" s="17" t="s">
        <v>35</v>
      </c>
      <c r="Z51" s="17" t="s">
        <v>35</v>
      </c>
      <c r="AA51" s="17" t="s">
        <v>35</v>
      </c>
    </row>
    <row r="52" spans="1:27">
      <c r="A52" s="13" t="s">
        <v>56</v>
      </c>
      <c r="B52" s="17" t="s">
        <v>99</v>
      </c>
      <c r="C52" s="17" t="s">
        <v>99</v>
      </c>
      <c r="D52" s="17" t="s">
        <v>99</v>
      </c>
      <c r="E52" s="17" t="s">
        <v>99</v>
      </c>
      <c r="F52" s="17" t="s">
        <v>99</v>
      </c>
      <c r="G52" s="17" t="s">
        <v>99</v>
      </c>
      <c r="H52" s="17" t="s">
        <v>99</v>
      </c>
      <c r="I52" s="17" t="s">
        <v>99</v>
      </c>
      <c r="J52" s="17" t="s">
        <v>99</v>
      </c>
      <c r="K52" s="17" t="s">
        <v>99</v>
      </c>
      <c r="L52" s="17" t="s">
        <v>99</v>
      </c>
      <c r="M52" s="17" t="s">
        <v>99</v>
      </c>
      <c r="N52" s="17" t="s">
        <v>99</v>
      </c>
      <c r="O52" s="17" t="s">
        <v>99</v>
      </c>
      <c r="P52" s="17">
        <v>150000</v>
      </c>
      <c r="Q52" s="17" t="s">
        <v>98</v>
      </c>
      <c r="R52" s="17">
        <v>110000</v>
      </c>
      <c r="S52" s="17">
        <v>110000</v>
      </c>
      <c r="T52" s="17">
        <v>120000</v>
      </c>
      <c r="U52" s="17">
        <v>120000</v>
      </c>
      <c r="V52" s="17">
        <v>110000</v>
      </c>
      <c r="W52" s="17">
        <v>110000</v>
      </c>
      <c r="X52" s="17">
        <v>110000</v>
      </c>
      <c r="Y52" s="17">
        <v>120000</v>
      </c>
      <c r="Z52" s="17">
        <v>110000</v>
      </c>
      <c r="AA52" s="17" t="s">
        <v>35</v>
      </c>
    </row>
    <row r="53" spans="1:27" ht="30" customHeight="1">
      <c r="A53" s="12" t="s">
        <v>174</v>
      </c>
      <c r="B53" s="17"/>
      <c r="C53" s="17"/>
      <c r="D53" s="17"/>
      <c r="E53" s="17"/>
      <c r="F53" s="17"/>
      <c r="G53" s="17"/>
      <c r="H53" s="17"/>
      <c r="I53" s="17"/>
      <c r="J53" s="17"/>
      <c r="K53" s="17"/>
      <c r="L53" s="17"/>
      <c r="M53" s="17"/>
      <c r="N53" s="17"/>
      <c r="O53" s="17"/>
      <c r="P53" s="17"/>
      <c r="Q53" s="17"/>
      <c r="R53" s="17"/>
      <c r="S53" s="17"/>
      <c r="T53" s="17"/>
      <c r="U53" s="17"/>
      <c r="V53" s="17"/>
      <c r="W53" s="17"/>
      <c r="X53" s="17"/>
      <c r="Y53" s="17"/>
      <c r="Z53" s="17"/>
      <c r="AA53" s="17"/>
    </row>
    <row r="54" spans="1:27">
      <c r="A54" s="13" t="s">
        <v>5</v>
      </c>
      <c r="B54" s="18" t="s">
        <v>6</v>
      </c>
      <c r="C54" s="18" t="s">
        <v>7</v>
      </c>
      <c r="D54" s="18" t="s">
        <v>8</v>
      </c>
      <c r="E54" s="18" t="s">
        <v>9</v>
      </c>
      <c r="F54" s="18" t="s">
        <v>10</v>
      </c>
      <c r="G54" s="18" t="s">
        <v>11</v>
      </c>
      <c r="H54" s="18" t="s">
        <v>12</v>
      </c>
      <c r="I54" s="18" t="s">
        <v>13</v>
      </c>
      <c r="J54" s="18" t="s">
        <v>14</v>
      </c>
      <c r="K54" s="18" t="s">
        <v>15</v>
      </c>
      <c r="L54" s="18" t="s">
        <v>16</v>
      </c>
      <c r="M54" s="18" t="s">
        <v>17</v>
      </c>
      <c r="N54" s="18" t="s">
        <v>18</v>
      </c>
      <c r="O54" s="18" t="s">
        <v>19</v>
      </c>
      <c r="P54" s="18" t="s">
        <v>20</v>
      </c>
      <c r="Q54" s="18" t="s">
        <v>21</v>
      </c>
      <c r="R54" s="18" t="s">
        <v>22</v>
      </c>
      <c r="S54" s="18" t="s">
        <v>23</v>
      </c>
      <c r="T54" s="18" t="s">
        <v>24</v>
      </c>
      <c r="U54" s="18" t="s">
        <v>25</v>
      </c>
      <c r="V54" s="18" t="s">
        <v>26</v>
      </c>
      <c r="W54" s="18" t="s">
        <v>27</v>
      </c>
      <c r="X54" s="18" t="s">
        <v>28</v>
      </c>
      <c r="Y54" s="18" t="s">
        <v>29</v>
      </c>
      <c r="Z54" s="18" t="s">
        <v>30</v>
      </c>
      <c r="AA54" s="18" t="s">
        <v>31</v>
      </c>
    </row>
    <row r="55" spans="1:27">
      <c r="A55" s="13" t="s">
        <v>32</v>
      </c>
      <c r="B55" s="17">
        <v>2277</v>
      </c>
      <c r="C55" s="17">
        <v>2168</v>
      </c>
      <c r="D55" s="17">
        <v>1980</v>
      </c>
      <c r="E55" s="17">
        <v>1921</v>
      </c>
      <c r="F55" s="17">
        <v>1858</v>
      </c>
      <c r="G55" s="17">
        <v>1967</v>
      </c>
      <c r="H55" s="17">
        <v>2708</v>
      </c>
      <c r="I55" s="17">
        <v>3414</v>
      </c>
      <c r="J55" s="17">
        <v>3963</v>
      </c>
      <c r="K55" s="17">
        <v>3771</v>
      </c>
      <c r="L55" s="17">
        <v>3543</v>
      </c>
      <c r="M55" s="17">
        <v>3498</v>
      </c>
      <c r="N55" s="17">
        <v>3443</v>
      </c>
      <c r="O55" s="17">
        <v>3417</v>
      </c>
      <c r="P55" s="17">
        <v>3364</v>
      </c>
      <c r="Q55" s="17">
        <v>3103</v>
      </c>
      <c r="R55" s="17">
        <v>2851</v>
      </c>
      <c r="S55" s="17">
        <v>2504</v>
      </c>
      <c r="T55" s="17">
        <v>2386</v>
      </c>
      <c r="U55" s="17">
        <v>2174</v>
      </c>
      <c r="V55" s="17">
        <v>2122</v>
      </c>
      <c r="W55" s="17">
        <v>1974</v>
      </c>
      <c r="X55" s="17">
        <v>2031</v>
      </c>
      <c r="Y55" s="17">
        <v>1947</v>
      </c>
      <c r="Z55" s="17">
        <v>1326</v>
      </c>
      <c r="AA55" s="17">
        <v>1000</v>
      </c>
    </row>
    <row r="56" spans="1:27">
      <c r="A56" s="13" t="s">
        <v>55</v>
      </c>
      <c r="B56" s="17" t="s">
        <v>99</v>
      </c>
      <c r="C56" s="17" t="s">
        <v>99</v>
      </c>
      <c r="D56" s="17" t="s">
        <v>99</v>
      </c>
      <c r="E56" s="17" t="s">
        <v>99</v>
      </c>
      <c r="F56" s="17" t="s">
        <v>99</v>
      </c>
      <c r="G56" s="17" t="s">
        <v>99</v>
      </c>
      <c r="H56" s="17" t="s">
        <v>99</v>
      </c>
      <c r="I56" s="17" t="s">
        <v>99</v>
      </c>
      <c r="J56" s="17" t="s">
        <v>99</v>
      </c>
      <c r="K56" s="17" t="s">
        <v>99</v>
      </c>
      <c r="L56" s="17" t="s">
        <v>99</v>
      </c>
      <c r="M56" s="17" t="s">
        <v>99</v>
      </c>
      <c r="N56" s="17" t="s">
        <v>99</v>
      </c>
      <c r="O56" s="17" t="s">
        <v>99</v>
      </c>
      <c r="P56" s="17">
        <v>1257</v>
      </c>
      <c r="Q56" s="17" t="s">
        <v>99</v>
      </c>
      <c r="R56" s="17">
        <v>1039</v>
      </c>
      <c r="S56" s="17">
        <v>879</v>
      </c>
      <c r="T56" s="17">
        <v>806</v>
      </c>
      <c r="U56" s="17">
        <v>696</v>
      </c>
      <c r="V56" s="17">
        <v>666</v>
      </c>
      <c r="W56" s="17">
        <v>603</v>
      </c>
      <c r="X56" s="17">
        <v>625</v>
      </c>
      <c r="Y56" s="17">
        <v>594</v>
      </c>
      <c r="Z56" s="17">
        <v>402</v>
      </c>
      <c r="AA56" s="17">
        <v>330</v>
      </c>
    </row>
    <row r="57" spans="1:27">
      <c r="A57" s="13" t="s">
        <v>56</v>
      </c>
      <c r="B57" s="17" t="s">
        <v>99</v>
      </c>
      <c r="C57" s="17" t="s">
        <v>99</v>
      </c>
      <c r="D57" s="17" t="s">
        <v>99</v>
      </c>
      <c r="E57" s="17" t="s">
        <v>99</v>
      </c>
      <c r="F57" s="17" t="s">
        <v>99</v>
      </c>
      <c r="G57" s="17" t="s">
        <v>99</v>
      </c>
      <c r="H57" s="17" t="s">
        <v>99</v>
      </c>
      <c r="I57" s="17" t="s">
        <v>99</v>
      </c>
      <c r="J57" s="17" t="s">
        <v>99</v>
      </c>
      <c r="K57" s="17" t="s">
        <v>99</v>
      </c>
      <c r="L57" s="17" t="s">
        <v>99</v>
      </c>
      <c r="M57" s="17" t="s">
        <v>99</v>
      </c>
      <c r="N57" s="17" t="s">
        <v>99</v>
      </c>
      <c r="O57" s="17" t="s">
        <v>99</v>
      </c>
      <c r="P57" s="17">
        <v>2107</v>
      </c>
      <c r="Q57" s="17" t="s">
        <v>99</v>
      </c>
      <c r="R57" s="17">
        <v>1812</v>
      </c>
      <c r="S57" s="17">
        <v>1625</v>
      </c>
      <c r="T57" s="17">
        <v>1580</v>
      </c>
      <c r="U57" s="17">
        <v>1478</v>
      </c>
      <c r="V57" s="17">
        <v>1456</v>
      </c>
      <c r="W57" s="17">
        <v>1371</v>
      </c>
      <c r="X57" s="17">
        <v>1406</v>
      </c>
      <c r="Y57" s="17">
        <v>1353</v>
      </c>
      <c r="Z57" s="17">
        <v>924</v>
      </c>
      <c r="AA57" s="17">
        <v>670</v>
      </c>
    </row>
    <row r="58" spans="1:27">
      <c r="A58" s="13"/>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row>
    <row r="59" spans="1:27">
      <c r="A59" s="13"/>
      <c r="B59" s="17"/>
      <c r="C59" s="17"/>
      <c r="D59" s="17"/>
      <c r="E59" s="17"/>
      <c r="F59" s="17"/>
      <c r="G59" s="17"/>
      <c r="H59" s="17"/>
      <c r="I59" s="17"/>
      <c r="J59" s="17"/>
      <c r="K59" s="17"/>
      <c r="L59" s="17"/>
      <c r="M59" s="17"/>
      <c r="N59" s="17"/>
      <c r="O59" s="17"/>
      <c r="P59" s="17"/>
      <c r="Q59" s="17"/>
      <c r="R59" s="17"/>
      <c r="S59" s="17"/>
      <c r="T59" s="17"/>
      <c r="U59" s="17"/>
      <c r="V59" s="17"/>
      <c r="W59" s="17"/>
      <c r="X59" s="17"/>
      <c r="Y59" s="17"/>
      <c r="Z59" s="17"/>
      <c r="AA59" s="17"/>
    </row>
    <row r="60" spans="1:27">
      <c r="A60" s="13"/>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row>
    <row r="61" spans="1:27">
      <c r="A61" s="13"/>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row>
    <row r="62" spans="1:27">
      <c r="A62" s="13"/>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row>
    <row r="63" spans="1:27">
      <c r="A63" s="13"/>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row>
    <row r="64" spans="1:27">
      <c r="A64" s="13"/>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row>
    <row r="65" spans="1:27">
      <c r="A65" s="13"/>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row>
    <row r="66" spans="1:27">
      <c r="A66" s="13"/>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row>
    <row r="67" spans="1:27">
      <c r="A67" s="13"/>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row>
    <row r="68" spans="1:27">
      <c r="A68" s="13"/>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row>
    <row r="69" spans="1:27">
      <c r="A69" s="13"/>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row>
    <row r="70" spans="1:27">
      <c r="A70" s="13"/>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row>
    <row r="71" spans="1:27">
      <c r="A71" s="13"/>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row>
    <row r="72" spans="1:27">
      <c r="A72" s="13"/>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row>
    <row r="73" spans="1:27">
      <c r="A73" s="13"/>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row>
    <row r="74" spans="1:27">
      <c r="A74" s="13"/>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row>
    <row r="75" spans="1:27">
      <c r="A75" s="13"/>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row>
    <row r="76" spans="1:27">
      <c r="A76" s="13"/>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row>
    <row r="77" spans="1:27">
      <c r="A77" s="13"/>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row>
    <row r="78" spans="1:27">
      <c r="A78" s="13"/>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row>
    <row r="79" spans="1:27">
      <c r="A79" s="13"/>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row>
    <row r="80" spans="1:27">
      <c r="A80" s="13"/>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row>
    <row r="81" spans="1:27">
      <c r="A81" s="13"/>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row>
    <row r="82" spans="1:27">
      <c r="A82" s="13"/>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row>
    <row r="83" spans="1:27">
      <c r="A83" s="13"/>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row>
    <row r="84" spans="1:27">
      <c r="A84" s="13"/>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row>
    <row r="85" spans="1:27">
      <c r="A85" s="13"/>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row>
    <row r="86" spans="1:27">
      <c r="A86" s="13"/>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row>
    <row r="87" spans="1:27">
      <c r="A87" s="13"/>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row>
    <row r="88" spans="1:27">
      <c r="A88" s="13"/>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row>
    <row r="89" spans="1:27">
      <c r="A89" s="13"/>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row>
    <row r="90" spans="1:27">
      <c r="A90" s="13"/>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row>
    <row r="91" spans="1:27">
      <c r="A91" s="13"/>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row>
    <row r="92" spans="1:27">
      <c r="A92" s="13"/>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row>
    <row r="93" spans="1:27">
      <c r="A93" s="13"/>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row>
    <row r="94" spans="1:27">
      <c r="A94" s="13"/>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row>
    <row r="95" spans="1:27">
      <c r="A95" s="13"/>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0"/>
    </row>
    <row r="96" spans="1:27">
      <c r="A96" s="13"/>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row>
    <row r="97" spans="1:27">
      <c r="A97" s="13"/>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row>
    <row r="98" spans="1:27">
      <c r="A98" s="13"/>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row>
    <row r="99" spans="1:27">
      <c r="A99" s="13"/>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row>
    <row r="100" spans="1:27">
      <c r="A100" s="13"/>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row>
    <row r="101" spans="1:27">
      <c r="A101" s="13"/>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row>
    <row r="102" spans="1:27">
      <c r="A102" s="13"/>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row>
    <row r="103" spans="1:27">
      <c r="A103" s="13"/>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row>
    <row r="104" spans="1:27">
      <c r="A104" s="13"/>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row>
    <row r="105" spans="1:27">
      <c r="A105" s="13"/>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row>
    <row r="106" spans="1:27">
      <c r="A106" s="13"/>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row>
    <row r="107" spans="1:27">
      <c r="A107" s="13"/>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row>
    <row r="108" spans="1:27">
      <c r="A108" s="13"/>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row>
    <row r="109" spans="1:27">
      <c r="A109" s="13"/>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row>
    <row r="110" spans="1:27">
      <c r="A110" s="13"/>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row>
    <row r="111" spans="1:27">
      <c r="A111" s="13"/>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row>
    <row r="112" spans="1:27">
      <c r="A112" s="13"/>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row>
    <row r="113" spans="1:27">
      <c r="A113" s="13"/>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row>
    <row r="114" spans="1:27">
      <c r="A114" s="13"/>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row>
    <row r="115" spans="1:27">
      <c r="A115" s="13"/>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row>
    <row r="116" spans="1:27">
      <c r="A116" s="13"/>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row>
    <row r="117" spans="1:27">
      <c r="A117" s="13"/>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row>
    <row r="118" spans="1:27">
      <c r="A118" s="13"/>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row>
    <row r="119" spans="1:27">
      <c r="A119" s="13"/>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row>
    <row r="120" spans="1:27">
      <c r="A120" s="13"/>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row>
    <row r="121" spans="1:27">
      <c r="A121" s="13"/>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row>
    <row r="122" spans="1:27">
      <c r="A122" s="13"/>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row>
    <row r="123" spans="1:27">
      <c r="A123" s="13"/>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row>
    <row r="124" spans="1:27">
      <c r="A124" s="13"/>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row>
    <row r="125" spans="1:27">
      <c r="A125" s="13"/>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row>
    <row r="126" spans="1:27">
      <c r="A126" s="13"/>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row>
    <row r="127" spans="1:27">
      <c r="A127" s="13"/>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row>
    <row r="128" spans="1:27">
      <c r="A128" s="13"/>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row>
    <row r="129" spans="1:27">
      <c r="A129" s="13"/>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row>
    <row r="130" spans="1:27">
      <c r="A130" s="13"/>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row>
    <row r="131" spans="1:27">
      <c r="A131" s="13"/>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row>
    <row r="132" spans="1:27">
      <c r="A132" s="13"/>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row>
    <row r="133" spans="1:27">
      <c r="A133" s="13"/>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row>
    <row r="134" spans="1:27">
      <c r="A134" s="13"/>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row>
    <row r="135" spans="1:27">
      <c r="A135" s="13"/>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row>
    <row r="136" spans="1:27">
      <c r="A136" s="13"/>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row>
    <row r="137" spans="1:27">
      <c r="A137" s="13"/>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row>
    <row r="138" spans="1:27">
      <c r="A138" s="13"/>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row>
    <row r="139" spans="1:27">
      <c r="A139" s="13"/>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row>
    <row r="140" spans="1:27">
      <c r="A140" s="13"/>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row>
    <row r="141" spans="1:27">
      <c r="A141" s="13"/>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row>
    <row r="142" spans="1:27">
      <c r="A142" s="13"/>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row>
    <row r="143" spans="1:27">
      <c r="A143" s="13"/>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row>
    <row r="144" spans="1:27">
      <c r="A144" s="13"/>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row>
    <row r="145" spans="1:27">
      <c r="A145" s="13"/>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row>
    <row r="146" spans="1:27">
      <c r="A146" s="13"/>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row>
    <row r="147" spans="1:27">
      <c r="A147" s="13"/>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row>
    <row r="148" spans="1:27">
      <c r="A148" s="13"/>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row>
    <row r="149" spans="1:27">
      <c r="A149" s="13"/>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row>
    <row r="150" spans="1:27">
      <c r="A150" s="13"/>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row>
    <row r="151" spans="1:27">
      <c r="A151" s="13"/>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row>
    <row r="152" spans="1:27">
      <c r="A152" s="13"/>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row>
    <row r="153" spans="1:27">
      <c r="A153" s="13"/>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row>
    <row r="154" spans="1:27">
      <c r="A154" s="13"/>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row>
    <row r="155" spans="1:27">
      <c r="A155" s="13"/>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row>
    <row r="156" spans="1:27">
      <c r="A156" s="13"/>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row>
    <row r="157" spans="1:27">
      <c r="A157" s="13"/>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row>
    <row r="158" spans="1:27">
      <c r="A158" s="13"/>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row>
    <row r="159" spans="1:27">
      <c r="A159" s="13"/>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row>
    <row r="160" spans="1:27">
      <c r="A160" s="13"/>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row>
    <row r="161" spans="1:27">
      <c r="A161" s="13"/>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row>
    <row r="162" spans="1:27">
      <c r="A162" s="13"/>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row>
    <row r="163" spans="1:27">
      <c r="A163" s="13"/>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row>
    <row r="164" spans="1:27">
      <c r="A164" s="13"/>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row>
    <row r="165" spans="1:27">
      <c r="A165" s="13"/>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row>
    <row r="166" spans="1:27">
      <c r="A166" s="13"/>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row>
    <row r="167" spans="1:27">
      <c r="A167" s="13"/>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row>
    <row r="168" spans="1:27">
      <c r="A168" s="13"/>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row>
    <row r="169" spans="1:27">
      <c r="A169" s="13"/>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row>
    <row r="170" spans="1:27">
      <c r="A170" s="13"/>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row>
    <row r="171" spans="1:27">
      <c r="A171" s="13"/>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row>
    <row r="172" spans="1:27">
      <c r="A172" s="13"/>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row>
    <row r="173" spans="1:27">
      <c r="A173" s="13"/>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row>
    <row r="174" spans="1:27">
      <c r="A174" s="13"/>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row>
    <row r="175" spans="1:27">
      <c r="A175" s="13"/>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row>
    <row r="176" spans="1:27">
      <c r="A176" s="13"/>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row>
    <row r="177" spans="1:27">
      <c r="A177" s="13"/>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row>
    <row r="178" spans="1:27">
      <c r="A178" s="13"/>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row>
    <row r="179" spans="1:27">
      <c r="A179" s="13"/>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row>
    <row r="180" spans="1:27">
      <c r="A180" s="13"/>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row>
    <row r="181" spans="1:27">
      <c r="A181" s="13"/>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row>
    <row r="182" spans="1:27">
      <c r="A182" s="13"/>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row>
    <row r="183" spans="1:27">
      <c r="A183" s="13"/>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row>
    <row r="184" spans="1:27">
      <c r="A184" s="13"/>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row>
    <row r="185" spans="1:27">
      <c r="A185" s="13"/>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row>
    <row r="186" spans="1:27">
      <c r="A186" s="13"/>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row>
    <row r="187" spans="1:27">
      <c r="A187" s="13"/>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row>
    <row r="188" spans="1:27">
      <c r="A188" s="13"/>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row>
    <row r="189" spans="1:27">
      <c r="A189" s="13"/>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row>
    <row r="190" spans="1:27">
      <c r="A190" s="13"/>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row>
    <row r="191" spans="1:27">
      <c r="A191" s="13"/>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row>
    <row r="192" spans="1:27">
      <c r="A192" s="13"/>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row>
    <row r="193" spans="1:27">
      <c r="A193" s="13"/>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row>
    <row r="194" spans="1:27">
      <c r="A194" s="13"/>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row>
    <row r="195" spans="1:27">
      <c r="A195" s="13"/>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row>
    <row r="196" spans="1:27">
      <c r="A196" s="13"/>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row>
    <row r="197" spans="1:27">
      <c r="A197" s="13"/>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row>
    <row r="198" spans="1:27">
      <c r="A198" s="13"/>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row>
    <row r="199" spans="1:27">
      <c r="A199" s="13"/>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row>
    <row r="200" spans="1:27">
      <c r="A200" s="13"/>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row>
  </sheetData>
  <pageMargins left="0.7" right="0.7" top="0.75" bottom="0.75" header="0.3" footer="0.3"/>
  <pageSetup paperSize="9" orientation="portrait" horizontalDpi="300" verticalDpi="300"/>
  <tableParts count="10">
    <tablePart r:id="rId1"/>
    <tablePart r:id="rId2"/>
    <tablePart r:id="rId3"/>
    <tablePart r:id="rId4"/>
    <tablePart r:id="rId5"/>
    <tablePart r:id="rId6"/>
    <tablePart r:id="rId7"/>
    <tablePart r:id="rId8"/>
    <tablePart r:id="rId9"/>
    <tablePart r:id="rId10"/>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Readme</vt:lpstr>
      <vt:lpstr>Contents</vt:lpstr>
      <vt:lpstr>1</vt:lpstr>
      <vt:lpstr>2</vt:lpstr>
      <vt:lpstr>3</vt:lpstr>
      <vt:lpstr>4</vt:lpstr>
      <vt:lpstr>5</vt:lpstr>
      <vt:lpstr>6</vt:lpstr>
      <vt:lpstr>7</vt:lpstr>
    </vt:vector>
  </TitlesOfParts>
  <Company>Scottish Government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Poverty and Income Inequality in Scotland 2019-22 tables</dc:title>
  <dc:subject>Official Statistics</dc:subject>
  <dc:creator>Maike Waldmann</dc:creator>
  <cp:keywords>poverty statistics; income inequality; child poverty</cp:keywords>
  <cp:lastModifiedBy>Maike</cp:lastModifiedBy>
  <dcterms:created xsi:type="dcterms:W3CDTF">2023-04-04T10:40:47Z</dcterms:created>
  <dcterms:modified xsi:type="dcterms:W3CDTF">2023-04-04T09:42:58Z</dcterms:modified>
</cp:coreProperties>
</file>