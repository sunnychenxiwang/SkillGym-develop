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/>
  <mc:AlternateContent xmlns:mc="http://schemas.openxmlformats.org/markup-compatibility/2006">
    <mc:Choice Requires="x15">
      <x15ac:absPath xmlns:x15ac="http://schemas.microsoft.com/office/spreadsheetml/2010/11/ac" url="https://d.docs.live.net/2eba328ab996dff9/Work/Smartsheet_Publishing/Work in Progress/Payment Templates/"/>
    </mc:Choice>
  </mc:AlternateContent>
  <bookViews>
    <workbookView xWindow="-12" yWindow="-12" windowWidth="19212" windowHeight="8616"/>
  </bookViews>
  <sheets>
    <sheet name="Auto Loan Amortization Schedule" sheetId="1" r:id="rId1"/>
  </sheets>
  <calcPr calcId="162913" concurrentCalc="0"/>
  <fileRecoveryPr autoRecover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1" i="1" l="1" a="1"/>
  <c r="H31" i="1"/>
  <c r="C38" i="1"/>
  <c r="J27" i="1"/>
  <c r="J14" i="1"/>
  <c r="J15" i="1"/>
  <c r="J8" i="1"/>
  <c r="H33" i="1"/>
  <c r="E27" i="1"/>
  <c r="E16" i="1"/>
  <c r="H32" i="1"/>
  <c r="E26" i="1"/>
  <c r="E18" i="1"/>
  <c r="E19" i="1"/>
  <c r="J37" i="1"/>
  <c r="E30" i="1"/>
  <c r="E29" i="1"/>
  <c r="E28" i="1"/>
  <c r="D38" i="1"/>
  <c r="B38" i="1"/>
  <c r="E38" i="1"/>
  <c r="H38" i="1"/>
  <c r="I38" i="1"/>
  <c r="J38" i="1"/>
  <c r="B39" i="1"/>
  <c r="D39" i="1"/>
  <c r="H39" i="1"/>
  <c r="E39" i="1"/>
  <c r="I39" i="1"/>
  <c r="J39" i="1"/>
  <c r="C39" i="1"/>
  <c r="B40" i="1"/>
  <c r="D40" i="1"/>
  <c r="C40" i="1"/>
  <c r="H40" i="1"/>
  <c r="E40" i="1"/>
  <c r="I40" i="1"/>
  <c r="J40" i="1"/>
  <c r="D41" i="1"/>
  <c r="B41" i="1"/>
  <c r="C41" i="1"/>
  <c r="H41" i="1"/>
  <c r="E41" i="1"/>
  <c r="I41" i="1"/>
  <c r="J41" i="1"/>
  <c r="D42" i="1"/>
  <c r="B42" i="1"/>
  <c r="E42" i="1"/>
  <c r="C42" i="1"/>
  <c r="H42" i="1"/>
  <c r="I42" i="1"/>
  <c r="J42" i="1"/>
  <c r="B43" i="1"/>
  <c r="D43" i="1"/>
  <c r="H43" i="1"/>
  <c r="E43" i="1"/>
  <c r="C43" i="1"/>
  <c r="I43" i="1"/>
  <c r="J43" i="1"/>
  <c r="B44" i="1"/>
  <c r="D44" i="1"/>
  <c r="C44" i="1"/>
  <c r="H44" i="1"/>
  <c r="E44" i="1"/>
  <c r="I44" i="1"/>
  <c r="J44" i="1"/>
  <c r="D45" i="1"/>
  <c r="B45" i="1"/>
  <c r="C45" i="1"/>
  <c r="H45" i="1"/>
  <c r="E45" i="1"/>
  <c r="I45" i="1"/>
  <c r="J45" i="1"/>
  <c r="D46" i="1"/>
  <c r="B46" i="1"/>
  <c r="E46" i="1"/>
  <c r="C46" i="1"/>
  <c r="H46" i="1"/>
  <c r="I46" i="1"/>
  <c r="J46" i="1"/>
  <c r="B47" i="1"/>
  <c r="D47" i="1"/>
  <c r="H47" i="1"/>
  <c r="E47" i="1"/>
  <c r="I47" i="1"/>
  <c r="J47" i="1"/>
  <c r="C47" i="1"/>
  <c r="B48" i="1"/>
  <c r="D48" i="1"/>
  <c r="C48" i="1"/>
  <c r="H48" i="1"/>
  <c r="E48" i="1"/>
  <c r="I48" i="1"/>
  <c r="J48" i="1"/>
  <c r="D49" i="1"/>
  <c r="B49" i="1"/>
  <c r="H49" i="1"/>
  <c r="C49" i="1"/>
  <c r="E49" i="1"/>
  <c r="I49" i="1"/>
  <c r="J49" i="1"/>
  <c r="D50" i="1"/>
  <c r="B50" i="1"/>
  <c r="E50" i="1"/>
  <c r="C50" i="1"/>
  <c r="H50" i="1"/>
  <c r="I50" i="1"/>
  <c r="J50" i="1"/>
  <c r="B51" i="1"/>
  <c r="H51" i="1"/>
  <c r="D51" i="1"/>
  <c r="C51" i="1"/>
  <c r="E51" i="1"/>
  <c r="I51" i="1"/>
  <c r="J51" i="1"/>
  <c r="B52" i="1"/>
  <c r="D52" i="1"/>
  <c r="C52" i="1"/>
  <c r="H52" i="1"/>
  <c r="E52" i="1"/>
  <c r="I52" i="1"/>
  <c r="J52" i="1"/>
  <c r="D53" i="1"/>
  <c r="B53" i="1"/>
  <c r="C53" i="1"/>
  <c r="H53" i="1"/>
  <c r="E53" i="1"/>
  <c r="I53" i="1"/>
  <c r="J53" i="1"/>
  <c r="D54" i="1"/>
  <c r="B54" i="1"/>
  <c r="H54" i="1"/>
  <c r="E54" i="1"/>
  <c r="I54" i="1"/>
  <c r="J54" i="1"/>
  <c r="C54" i="1"/>
  <c r="D55" i="1"/>
  <c r="B55" i="1"/>
  <c r="E55" i="1"/>
  <c r="H55" i="1"/>
  <c r="I55" i="1"/>
  <c r="J55" i="1"/>
  <c r="C55" i="1"/>
  <c r="B56" i="1"/>
  <c r="D56" i="1"/>
  <c r="H56" i="1"/>
  <c r="C56" i="1"/>
  <c r="E56" i="1"/>
  <c r="I56" i="1"/>
  <c r="J56" i="1"/>
  <c r="D57" i="1"/>
  <c r="B57" i="1"/>
  <c r="E57" i="1"/>
  <c r="C57" i="1"/>
  <c r="H57" i="1"/>
  <c r="I57" i="1"/>
  <c r="J57" i="1"/>
  <c r="B58" i="1"/>
  <c r="D58" i="1"/>
  <c r="H58" i="1"/>
  <c r="E58" i="1"/>
  <c r="C58" i="1"/>
  <c r="I58" i="1"/>
  <c r="J58" i="1"/>
  <c r="D59" i="1"/>
  <c r="B59" i="1"/>
  <c r="C59" i="1"/>
  <c r="H59" i="1"/>
  <c r="E59" i="1"/>
  <c r="I59" i="1"/>
  <c r="J59" i="1"/>
  <c r="D60" i="1"/>
  <c r="B60" i="1"/>
  <c r="H60" i="1"/>
  <c r="C60" i="1"/>
  <c r="E60" i="1"/>
  <c r="I60" i="1"/>
  <c r="J60" i="1"/>
  <c r="D61" i="1"/>
  <c r="B61" i="1"/>
  <c r="E61" i="1"/>
  <c r="H61" i="1"/>
  <c r="I61" i="1"/>
  <c r="J61" i="1"/>
  <c r="C61" i="1"/>
  <c r="D62" i="1"/>
  <c r="B62" i="1"/>
  <c r="H62" i="1"/>
  <c r="C62" i="1"/>
  <c r="E62" i="1"/>
  <c r="I62" i="1"/>
  <c r="J62" i="1"/>
  <c r="B63" i="1"/>
  <c r="D63" i="1"/>
  <c r="C63" i="1"/>
  <c r="E63" i="1"/>
  <c r="H63" i="1"/>
  <c r="I63" i="1"/>
  <c r="J63" i="1"/>
  <c r="D64" i="1"/>
  <c r="B64" i="1"/>
  <c r="C64" i="1"/>
  <c r="H64" i="1"/>
  <c r="E64" i="1"/>
  <c r="I64" i="1"/>
  <c r="J64" i="1"/>
  <c r="D65" i="1"/>
  <c r="B65" i="1"/>
  <c r="E65" i="1"/>
  <c r="H65" i="1"/>
  <c r="C65" i="1"/>
  <c r="I65" i="1"/>
  <c r="J65" i="1"/>
  <c r="B66" i="1"/>
  <c r="D66" i="1"/>
  <c r="H66" i="1"/>
  <c r="E66" i="1"/>
  <c r="I66" i="1"/>
  <c r="J66" i="1"/>
  <c r="C66" i="1"/>
  <c r="D67" i="1"/>
  <c r="B67" i="1"/>
  <c r="C67" i="1"/>
  <c r="E67" i="1"/>
  <c r="H67" i="1"/>
  <c r="I67" i="1"/>
  <c r="J67" i="1"/>
  <c r="D68" i="1"/>
  <c r="B68" i="1"/>
  <c r="E68" i="1"/>
  <c r="H68" i="1"/>
  <c r="I68" i="1"/>
  <c r="J68" i="1"/>
  <c r="C68" i="1"/>
  <c r="D69" i="1"/>
  <c r="B69" i="1"/>
  <c r="E69" i="1"/>
  <c r="C69" i="1"/>
  <c r="H69" i="1"/>
  <c r="I69" i="1"/>
  <c r="J69" i="1"/>
  <c r="B70" i="1"/>
  <c r="D70" i="1"/>
  <c r="H70" i="1"/>
  <c r="E70" i="1"/>
  <c r="I70" i="1"/>
  <c r="J70" i="1"/>
  <c r="C70" i="1"/>
  <c r="B71" i="1"/>
  <c r="D71" i="1"/>
  <c r="C71" i="1"/>
  <c r="E71" i="1"/>
  <c r="H71" i="1"/>
  <c r="I71" i="1"/>
  <c r="J71" i="1"/>
  <c r="B72" i="1"/>
  <c r="D72" i="1"/>
  <c r="H72" i="1"/>
  <c r="C72" i="1"/>
  <c r="E72" i="1"/>
  <c r="I72" i="1"/>
  <c r="J72" i="1"/>
  <c r="D73" i="1"/>
  <c r="B73" i="1"/>
  <c r="E73" i="1"/>
  <c r="H73" i="1"/>
  <c r="I73" i="1"/>
  <c r="J73" i="1"/>
  <c r="C73" i="1"/>
  <c r="B74" i="1"/>
  <c r="D74" i="1"/>
  <c r="H74" i="1"/>
  <c r="E74" i="1"/>
  <c r="I74" i="1"/>
  <c r="J74" i="1"/>
  <c r="C74" i="1"/>
  <c r="D75" i="1"/>
  <c r="B75" i="1"/>
  <c r="C75" i="1"/>
  <c r="E75" i="1"/>
  <c r="H75" i="1"/>
  <c r="I75" i="1"/>
  <c r="J75" i="1"/>
  <c r="D76" i="1"/>
  <c r="B76" i="1"/>
  <c r="E76" i="1"/>
  <c r="H76" i="1"/>
  <c r="I76" i="1"/>
  <c r="J76" i="1"/>
  <c r="C76" i="1"/>
  <c r="D77" i="1"/>
  <c r="B77" i="1"/>
  <c r="E77" i="1"/>
  <c r="C77" i="1"/>
  <c r="H77" i="1"/>
  <c r="I77" i="1"/>
  <c r="J77" i="1"/>
  <c r="B78" i="1"/>
  <c r="D78" i="1"/>
  <c r="H78" i="1"/>
  <c r="E78" i="1"/>
  <c r="C78" i="1"/>
  <c r="I78" i="1"/>
  <c r="J78" i="1"/>
  <c r="B79" i="1"/>
  <c r="D79" i="1"/>
  <c r="C79" i="1"/>
  <c r="E79" i="1"/>
  <c r="H79" i="1"/>
  <c r="I79" i="1"/>
  <c r="J79" i="1"/>
  <c r="D80" i="1"/>
  <c r="B80" i="1"/>
  <c r="H80" i="1"/>
  <c r="E80" i="1"/>
  <c r="I80" i="1"/>
  <c r="J80" i="1"/>
  <c r="D81" i="1"/>
  <c r="C80" i="1"/>
  <c r="B81" i="1"/>
  <c r="E81" i="1"/>
  <c r="H81" i="1"/>
  <c r="I81" i="1"/>
  <c r="J81" i="1"/>
  <c r="C81" i="1"/>
  <c r="D82" i="1"/>
  <c r="B82" i="1"/>
  <c r="H82" i="1"/>
  <c r="C82" i="1"/>
  <c r="E82" i="1"/>
  <c r="I82" i="1"/>
  <c r="J82" i="1"/>
  <c r="D83" i="1"/>
  <c r="B83" i="1"/>
  <c r="C83" i="1"/>
  <c r="H83" i="1"/>
  <c r="E83" i="1"/>
  <c r="I83" i="1"/>
  <c r="J83" i="1"/>
  <c r="D84" i="1"/>
  <c r="B84" i="1"/>
  <c r="H84" i="1"/>
  <c r="C84" i="1"/>
  <c r="E84" i="1"/>
  <c r="I84" i="1"/>
  <c r="J84" i="1"/>
  <c r="D85" i="1"/>
  <c r="B85" i="1"/>
  <c r="E85" i="1"/>
  <c r="H85" i="1"/>
  <c r="C85" i="1"/>
  <c r="I85" i="1"/>
  <c r="J85" i="1"/>
  <c r="D86" i="1"/>
  <c r="B86" i="1"/>
  <c r="H86" i="1"/>
  <c r="I86" i="1"/>
  <c r="J86" i="1"/>
  <c r="E86" i="1"/>
  <c r="C86" i="1"/>
</calcChain>
</file>

<file path=xl/sharedStrings.xml><?xml version="1.0" encoding="utf-8"?>
<sst xmlns="http://schemas.openxmlformats.org/spreadsheetml/2006/main" count="78" uniqueCount="74">
  <si>
    <t>AUTO LOAN AMORTIZATION SCHEDULE TEMPLATE</t>
  </si>
  <si>
    <t>LENDER NAME</t>
  </si>
  <si>
    <t>VALUE</t>
  </si>
  <si>
    <t>LENDER ADDRESS</t>
  </si>
  <si>
    <t>SALE PRICE + OPTIONS</t>
  </si>
  <si>
    <t>DESTINATION CHARGE</t>
  </si>
  <si>
    <t>TITLE TRANSFER FEE</t>
  </si>
  <si>
    <t>LENDER PHONE</t>
  </si>
  <si>
    <t>OTHER TAXABLE FEES</t>
  </si>
  <si>
    <t>LENDER WEB</t>
  </si>
  <si>
    <t>www.</t>
  </si>
  <si>
    <t>TOTAL PURCHASE PRICE</t>
  </si>
  <si>
    <t>CONTACT EMAIL</t>
  </si>
  <si>
    <t>LOAN TYPE</t>
  </si>
  <si>
    <t>STATE SALES TAX</t>
  </si>
  <si>
    <t>DATE OF LOAN</t>
  </si>
  <si>
    <t>NAME ON LOAN</t>
  </si>
  <si>
    <t xml:space="preserve">INPUT STATE SALES TAX RATE </t>
  </si>
  <si>
    <t>DATA</t>
  </si>
  <si>
    <t>INPUT</t>
  </si>
  <si>
    <t>FREQUENCY</t>
  </si>
  <si>
    <t>STATE SALES / EXCISE TAX</t>
  </si>
  <si>
    <t>PURCHASE PRICE + FEES</t>
  </si>
  <si>
    <t>Annually</t>
  </si>
  <si>
    <t>PERCENT OF DOWN PAYMENT</t>
  </si>
  <si>
    <t>Semi-Annually</t>
  </si>
  <si>
    <t>NON-TAXABLE FEES</t>
  </si>
  <si>
    <t>TOTAL DOWN PAYMENT</t>
  </si>
  <si>
    <t>Quarterly</t>
  </si>
  <si>
    <t>REGISTRATION</t>
  </si>
  <si>
    <t>LOAN AMOUNT</t>
  </si>
  <si>
    <t>Bi-Monthly</t>
  </si>
  <si>
    <t>LATE REGISTRATION FEE</t>
  </si>
  <si>
    <t>ANNUAL INTEREST RATE</t>
  </si>
  <si>
    <t>Monthly</t>
  </si>
  <si>
    <t>SERVICE CONTRACT</t>
  </si>
  <si>
    <t>LENGTH OF LOAN IN YEARS</t>
  </si>
  <si>
    <t>Semi-Monthly</t>
  </si>
  <si>
    <t>SPECIAL PLATE FEE</t>
  </si>
  <si>
    <t>PAYMENT FREQUENCY</t>
  </si>
  <si>
    <t>Bi-Weekly</t>
  </si>
  <si>
    <t>ADMINISTRATION FEE</t>
  </si>
  <si>
    <t>FIRST PAYMENT DATE</t>
  </si>
  <si>
    <t>TRANSACTION FEE</t>
  </si>
  <si>
    <t>LATE TITLE TRANSFER FEE</t>
  </si>
  <si>
    <t>CALCULATED OUTPUT</t>
  </si>
  <si>
    <t>DUPLICATE TITLE FEE</t>
  </si>
  <si>
    <t>NUMBER OF PAYMENTS</t>
  </si>
  <si>
    <t>OTHER NON-TAXABLE FEES</t>
  </si>
  <si>
    <t>MONTHLY INTEREST RATE</t>
  </si>
  <si>
    <t>TOTAL NON-TAXABLE FEES</t>
  </si>
  <si>
    <t>MONTHLY PAYMENT</t>
  </si>
  <si>
    <t>TOTAL INTEREST</t>
  </si>
  <si>
    <t>TOTAL PAYMENTS</t>
  </si>
  <si>
    <t>PERIODS PER YEAR</t>
  </si>
  <si>
    <t>NUMBER OF PERIODS</t>
  </si>
  <si>
    <t>Periods per month</t>
  </si>
  <si>
    <t>AUTO LOAN AMORTIZATION SCHEDULE</t>
  </si>
  <si>
    <t>PYMNT PERIOD</t>
  </si>
  <si>
    <t>DATE OF PAYMENT</t>
  </si>
  <si>
    <t>BEGINNING BALANCE</t>
  </si>
  <si>
    <t>SCHEDULED PAYMENT</t>
  </si>
  <si>
    <t>EXTRA PAYMENT</t>
  </si>
  <si>
    <t>ADDITIONAL PAYMENT</t>
  </si>
  <si>
    <t>INTEREST</t>
  </si>
  <si>
    <t>PRINCIPAL</t>
  </si>
  <si>
    <t>BALANCE</t>
  </si>
  <si>
    <t>`</t>
  </si>
  <si>
    <t>FILL IN NET TAXABLE</t>
  </si>
  <si>
    <r>
      <t xml:space="preserve">TRADE-IN TAX DEDUCTION </t>
    </r>
    <r>
      <rPr>
        <b/>
        <sz val="8"/>
        <color rgb="FF000000"/>
        <rFont val="Arial"/>
        <family val="2"/>
      </rPr>
      <t>(if applicable)</t>
    </r>
  </si>
  <si>
    <t>PURCHASE PRICE</t>
  </si>
  <si>
    <t>***Complete All WHITE fields under VALUE Headings Only***</t>
  </si>
  <si>
    <r>
      <t xml:space="preserve">CASH REBATE TAX DEDUCTION 
</t>
    </r>
    <r>
      <rPr>
        <b/>
        <sz val="8"/>
        <color rgb="FF000000"/>
        <rFont val="Arial"/>
        <family val="2"/>
      </rPr>
      <t>(if applicable)</t>
    </r>
  </si>
  <si>
    <t>CLICK HERE TO CREATE AUTO LOAN AMORTIZATION SCHEDULES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</si>
</sst>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&quot;$&quot;#,##0.00"/>
    <numFmt numFmtId="165" formatCode="[$$-409]#,##0.00;\-[$$-409]#,##0.00"/>
    <numFmt numFmtId="166" formatCode="#,##0.00%;\-#,##0.00%"/>
    <numFmt numFmtId="167" formatCode="#,##0.000%;\-#,##0.000%"/>
    <numFmt numFmtId="168" formatCode="&quot;$&quot;#,##0.000"/>
    <numFmt numFmtId="169" formatCode="_(&quot;$&quot;* #,##0_);_(&quot;$&quot;* \(#,##0\);_(&quot;$&quot;* &quot;-&quot;??_);_(@_)"/>
  </numFmts>
  <fonts count="27" x14ac:knownFonts="1">
    <font>
      <sz val="11"/>
      <color rgb="FF000000"/>
      <name val="Calibri"/>
    </font>
    <font>
      <sz val="12"/>
      <color rgb="FF000000"/>
      <name val="Arial"/>
      <family val="2"/>
    </font>
    <font>
      <b/>
      <sz val="22"/>
      <color rgb="FF306786"/>
      <name val="Arial"/>
      <family val="2"/>
    </font>
    <font>
      <b/>
      <sz val="22"/>
      <color rgb="FF418AB3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16"/>
      <color rgb="FF000000"/>
      <name val="Arial"/>
      <family val="2"/>
    </font>
    <font>
      <sz val="16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color rgb="FF306786"/>
      <name val="Arial"/>
      <family val="2"/>
    </font>
    <font>
      <sz val="10"/>
      <name val="Calibri"/>
      <family val="2"/>
    </font>
    <font>
      <b/>
      <strike/>
      <sz val="10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name val="Calibri"/>
      <family val="2"/>
    </font>
    <font>
      <u/>
      <sz val="11"/>
      <color theme="10"/>
      <name val="Calibri"/>
      <family val="2"/>
    </font>
    <font>
      <b/>
      <sz val="16"/>
      <color theme="0" tint="-0.499984740745262"/>
      <name val="Calibri"/>
      <family val="2"/>
    </font>
    <font>
      <b/>
      <sz val="14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04559"/>
        <bgColor rgb="FF204559"/>
      </patternFill>
    </fill>
    <fill>
      <patternFill patternType="solid">
        <fgColor rgb="FFB0D0E2"/>
        <bgColor rgb="FFB0D0E2"/>
      </patternFill>
    </fill>
    <fill>
      <patternFill patternType="solid">
        <fgColor rgb="FF535B13"/>
        <bgColor rgb="FF535B13"/>
      </patternFill>
    </fill>
    <fill>
      <patternFill patternType="solid">
        <fgColor rgb="FF306786"/>
        <bgColor rgb="FF306786"/>
      </patternFill>
    </fill>
    <fill>
      <patternFill patternType="solid">
        <fgColor rgb="FFD7E7F0"/>
        <bgColor rgb="FFD7E7F0"/>
      </patternFill>
    </fill>
    <fill>
      <patternFill patternType="solid">
        <fgColor rgb="FFE1EAA0"/>
        <bgColor rgb="FFE1EAA0"/>
      </patternFill>
    </fill>
    <fill>
      <patternFill patternType="solid">
        <fgColor rgb="FFF0F4CF"/>
        <bgColor rgb="FFF0F4CF"/>
      </patternFill>
    </fill>
    <fill>
      <patternFill patternType="solid">
        <fgColor rgb="FF7C891D"/>
        <bgColor rgb="FF7C891D"/>
      </patternFill>
    </fill>
    <fill>
      <patternFill patternType="solid">
        <fgColor rgb="FFFFFFFF"/>
        <bgColor rgb="FFFFFFFF"/>
      </patternFill>
    </fill>
    <fill>
      <patternFill patternType="solid">
        <fgColor rgb="FFE1EB9E"/>
        <bgColor rgb="FFE1EB9E"/>
      </patternFill>
    </fill>
    <fill>
      <patternFill patternType="solid">
        <fgColor theme="0"/>
        <bgColor rgb="FFF0F4CF"/>
      </patternFill>
    </fill>
    <fill>
      <patternFill patternType="solid">
        <fgColor theme="0"/>
        <bgColor rgb="FFE1EAA0"/>
      </patternFill>
    </fill>
    <fill>
      <patternFill patternType="solid">
        <fgColor rgb="FFDAF0F3"/>
        <bgColor indexed="64"/>
      </patternFill>
    </fill>
    <fill>
      <patternFill patternType="solid">
        <fgColor rgb="FF03C25B"/>
        <bgColor rgb="FFF69200"/>
      </patternFill>
    </fill>
    <fill>
      <patternFill patternType="solid">
        <fgColor rgb="FF03C25B"/>
        <bgColor indexed="64"/>
      </patternFill>
    </fill>
  </fills>
  <borders count="14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9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8" fillId="10" borderId="0" xfId="0" applyFont="1" applyFill="1" applyAlignment="1">
      <alignment horizontal="center" wrapText="1"/>
    </xf>
    <xf numFmtId="0" fontId="8" fillId="10" borderId="0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right" vertical="center" wrapText="1"/>
    </xf>
    <xf numFmtId="167" fontId="12" fillId="6" borderId="3" xfId="0" applyNumberFormat="1" applyFont="1" applyFill="1" applyBorder="1" applyAlignment="1">
      <alignment horizontal="right" vertical="center" wrapText="1"/>
    </xf>
    <xf numFmtId="165" fontId="12" fillId="6" borderId="3" xfId="0" applyNumberFormat="1" applyFont="1" applyFill="1" applyBorder="1" applyAlignment="1">
      <alignment horizontal="right" vertical="center" wrapText="1"/>
    </xf>
    <xf numFmtId="168" fontId="12" fillId="6" borderId="3" xfId="0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0" fontId="18" fillId="0" borderId="0" xfId="0" applyFont="1"/>
    <xf numFmtId="0" fontId="10" fillId="9" borderId="11" xfId="0" applyFont="1" applyFill="1" applyBorder="1" applyAlignment="1">
      <alignment horizontal="right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right" vertical="center" wrapText="1"/>
    </xf>
    <xf numFmtId="165" fontId="17" fillId="11" borderId="11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horizontal="left" vertical="center" wrapText="1"/>
    </xf>
    <xf numFmtId="14" fontId="8" fillId="0" borderId="11" xfId="0" applyNumberFormat="1" applyFont="1" applyBorder="1" applyAlignment="1">
      <alignment horizontal="left" vertical="center" wrapText="1"/>
    </xf>
    <xf numFmtId="165" fontId="8" fillId="8" borderId="11" xfId="0" applyNumberFormat="1" applyFont="1" applyFill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right" vertical="center" wrapText="1"/>
    </xf>
    <xf numFmtId="165" fontId="8" fillId="11" borderId="11" xfId="0" applyNumberFormat="1" applyFont="1" applyFill="1" applyBorder="1" applyAlignment="1">
      <alignment horizontal="right" vertical="center" wrapText="1"/>
    </xf>
    <xf numFmtId="165" fontId="8" fillId="7" borderId="11" xfId="0" applyNumberFormat="1" applyFont="1" applyFill="1" applyBorder="1" applyAlignment="1">
      <alignment horizontal="right" vertical="center" wrapText="1"/>
    </xf>
    <xf numFmtId="169" fontId="8" fillId="7" borderId="11" xfId="0" applyNumberFormat="1" applyFont="1" applyFill="1" applyBorder="1" applyAlignment="1">
      <alignment vertical="center" wrapText="1"/>
    </xf>
    <xf numFmtId="0" fontId="10" fillId="4" borderId="11" xfId="0" applyFont="1" applyFill="1" applyBorder="1" applyAlignment="1">
      <alignment horizontal="center" vertical="center" wrapText="1"/>
    </xf>
    <xf numFmtId="44" fontId="8" fillId="12" borderId="11" xfId="0" applyNumberFormat="1" applyFont="1" applyFill="1" applyBorder="1" applyAlignment="1">
      <alignment horizontal="right" vertical="center" wrapText="1"/>
    </xf>
    <xf numFmtId="44" fontId="10" fillId="9" borderId="11" xfId="0" applyNumberFormat="1" applyFont="1" applyFill="1" applyBorder="1" applyAlignment="1">
      <alignment horizontal="right" vertical="center" wrapText="1"/>
    </xf>
    <xf numFmtId="164" fontId="10" fillId="9" borderId="11" xfId="0" applyNumberFormat="1" applyFont="1" applyFill="1" applyBorder="1" applyAlignment="1">
      <alignment horizontal="right" vertical="center" wrapText="1"/>
    </xf>
    <xf numFmtId="10" fontId="8" fillId="12" borderId="11" xfId="0" applyNumberFormat="1" applyFont="1" applyFill="1" applyBorder="1" applyAlignment="1">
      <alignment horizontal="right" vertical="center" wrapText="1"/>
    </xf>
    <xf numFmtId="44" fontId="8" fillId="13" borderId="11" xfId="0" applyNumberFormat="1" applyFont="1" applyFill="1" applyBorder="1" applyAlignment="1">
      <alignment horizontal="right" vertical="center" wrapText="1"/>
    </xf>
    <xf numFmtId="165" fontId="8" fillId="13" borderId="3" xfId="0" applyNumberFormat="1" applyFont="1" applyFill="1" applyBorder="1" applyAlignment="1">
      <alignment horizontal="right" vertical="center" wrapText="1"/>
    </xf>
    <xf numFmtId="9" fontId="8" fillId="12" borderId="3" xfId="0" applyNumberFormat="1" applyFont="1" applyFill="1" applyBorder="1" applyAlignment="1">
      <alignment horizontal="right" vertical="center" wrapText="1"/>
    </xf>
    <xf numFmtId="165" fontId="8" fillId="12" borderId="3" xfId="0" applyNumberFormat="1" applyFont="1" applyFill="1" applyBorder="1" applyAlignment="1">
      <alignment horizontal="right" vertical="center" wrapText="1"/>
    </xf>
    <xf numFmtId="166" fontId="8" fillId="12" borderId="3" xfId="0" applyNumberFormat="1" applyFont="1" applyFill="1" applyBorder="1" applyAlignment="1">
      <alignment horizontal="right" vertical="center" wrapText="1"/>
    </xf>
    <xf numFmtId="0" fontId="8" fillId="12" borderId="3" xfId="0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20" fillId="9" borderId="3" xfId="0" applyFont="1" applyFill="1" applyBorder="1" applyAlignment="1">
      <alignment vertical="center" wrapText="1"/>
    </xf>
    <xf numFmtId="0" fontId="21" fillId="10" borderId="0" xfId="0" applyFont="1" applyFill="1" applyAlignment="1">
      <alignment horizontal="left" vertical="center"/>
    </xf>
    <xf numFmtId="0" fontId="21" fillId="10" borderId="0" xfId="0" applyFont="1" applyFill="1" applyBorder="1" applyAlignment="1">
      <alignment horizontal="left" vertical="center"/>
    </xf>
    <xf numFmtId="0" fontId="22" fillId="0" borderId="0" xfId="0" applyFont="1"/>
    <xf numFmtId="14" fontId="8" fillId="12" borderId="3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/>
    <xf numFmtId="0" fontId="8" fillId="0" borderId="0" xfId="0" applyFont="1" applyAlignment="1">
      <alignment wrapText="1"/>
    </xf>
    <xf numFmtId="0" fontId="12" fillId="10" borderId="0" xfId="0" applyFont="1" applyFill="1" applyAlignment="1">
      <alignment horizontal="left" vertical="center" wrapText="1"/>
    </xf>
    <xf numFmtId="0" fontId="12" fillId="10" borderId="0" xfId="0" applyFont="1" applyFill="1" applyBorder="1" applyAlignment="1">
      <alignment horizontal="left" vertical="center" wrapText="1"/>
    </xf>
    <xf numFmtId="0" fontId="22" fillId="10" borderId="0" xfId="0" applyFont="1" applyFill="1" applyBorder="1"/>
    <xf numFmtId="0" fontId="0" fillId="14" borderId="0" xfId="0" applyFont="1" applyFill="1"/>
    <xf numFmtId="0" fontId="10" fillId="4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 indent="1"/>
    </xf>
    <xf numFmtId="0" fontId="23" fillId="0" borderId="2" xfId="0" applyFont="1" applyBorder="1" applyAlignment="1">
      <alignment horizontal="left" indent="1"/>
    </xf>
    <xf numFmtId="0" fontId="6" fillId="4" borderId="11" xfId="0" applyFont="1" applyFill="1" applyBorder="1" applyAlignment="1">
      <alignment horizontal="right" vertical="center" wrapText="1" indent="1"/>
    </xf>
    <xf numFmtId="0" fontId="23" fillId="0" borderId="11" xfId="0" applyFont="1" applyBorder="1" applyAlignment="1">
      <alignment horizontal="right" indent="1"/>
    </xf>
    <xf numFmtId="0" fontId="11" fillId="7" borderId="11" xfId="0" applyFont="1" applyFill="1" applyBorder="1" applyAlignment="1">
      <alignment horizontal="left" vertical="center" wrapText="1" indent="1"/>
    </xf>
    <xf numFmtId="0" fontId="23" fillId="0" borderId="11" xfId="0" applyFont="1" applyBorder="1" applyAlignment="1">
      <alignment horizontal="left" indent="1"/>
    </xf>
    <xf numFmtId="0" fontId="25" fillId="0" borderId="0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11" xfId="0" applyFont="1" applyBorder="1" applyAlignment="1">
      <alignment horizontal="left" indent="1"/>
    </xf>
    <xf numFmtId="0" fontId="10" fillId="4" borderId="11" xfId="0" applyFont="1" applyFill="1" applyBorder="1" applyAlignment="1">
      <alignment horizontal="left" vertical="center" wrapText="1" indent="1"/>
    </xf>
    <xf numFmtId="0" fontId="11" fillId="7" borderId="12" xfId="0" applyFont="1" applyFill="1" applyBorder="1" applyAlignment="1">
      <alignment horizontal="left" vertical="center" wrapText="1" indent="1"/>
    </xf>
    <xf numFmtId="0" fontId="23" fillId="0" borderId="13" xfId="0" applyFont="1" applyBorder="1" applyAlignment="1">
      <alignment horizontal="left" indent="1"/>
    </xf>
    <xf numFmtId="0" fontId="19" fillId="0" borderId="11" xfId="0" applyFont="1" applyBorder="1" applyAlignment="1">
      <alignment horizontal="left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indent="1"/>
    </xf>
    <xf numFmtId="0" fontId="6" fillId="5" borderId="4" xfId="0" applyFont="1" applyFill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7" fillId="0" borderId="7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7" fillId="0" borderId="9" xfId="0" applyFont="1" applyBorder="1" applyAlignment="1">
      <alignment horizontal="left" indent="1"/>
    </xf>
    <xf numFmtId="0" fontId="8" fillId="6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center" vertical="center" wrapText="1"/>
    </xf>
    <xf numFmtId="0" fontId="19" fillId="0" borderId="2" xfId="0" applyFont="1" applyBorder="1"/>
    <xf numFmtId="0" fontId="10" fillId="9" borderId="1" xfId="0" applyFont="1" applyFill="1" applyBorder="1" applyAlignment="1">
      <alignment horizontal="left" vertical="center" wrapText="1" indent="1"/>
    </xf>
    <xf numFmtId="0" fontId="19" fillId="0" borderId="2" xfId="0" applyFont="1" applyBorder="1" applyAlignment="1">
      <alignment horizontal="left" indent="1"/>
    </xf>
    <xf numFmtId="0" fontId="26" fillId="15" borderId="0" xfId="1" applyFont="1" applyFill="1" applyBorder="1" applyAlignment="1">
      <alignment horizontal="center" vertical="center"/>
    </xf>
    <xf numFmtId="0" fontId="26" fillId="16" borderId="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C25B"/>
      <color rgb="FFDA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goo.gl/vocfYz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444500</xdr:colOff>
      <xdr:row>0</xdr:row>
      <xdr:rowOff>37595</xdr:rowOff>
    </xdr:from>
    <xdr:to>
      <xdr:col>9</xdr:col>
      <xdr:colOff>1168400</xdr:colOff>
      <xdr:row>0</xdr:row>
      <xdr:rowOff>447674</xdr:rowOff>
    </xdr:to>
    <xdr:pic>
      <xdr:nvPicPr>
        <xdr:cNvPr id="2" name="image00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96100" y="37595"/>
          <a:ext cx="1917700" cy="410079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13</xdr:col>
      <xdr:colOff>6351</xdr:colOff>
      <xdr:row>3</xdr:row>
      <xdr:rowOff>241300</xdr:rowOff>
    </xdr:from>
    <xdr:to>
      <xdr:col>14</xdr:col>
      <xdr:colOff>12701</xdr:colOff>
      <xdr:row>22</xdr:row>
      <xdr:rowOff>62103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6EEDFD-74C9-4F92-BB31-0B23C86BF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80551" y="1168400"/>
          <a:ext cx="8401050" cy="5129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vocf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5B13"/>
  </sheetPr>
  <dimension ref="A1:U941"/>
  <sheetViews>
    <sheetView showGridLines="0" tabSelected="1" workbookViewId="0">
      <pane ySplit="1" topLeftCell="A2" activePane="bottomLeft" state="frozen"/>
      <selection pane="bottomLeft" activeCell="L17" sqref="L17"/>
    </sheetView>
  </sheetViews>
  <sheetFormatPr defaultColWidth="15.109375" defaultRowHeight="15" customHeight="1" x14ac:dyDescent="0.3"/>
  <cols>
    <col min="1" max="1" width="3" customWidth="1"/>
    <col min="2" max="2" width="7.77734375" customWidth="1"/>
    <col min="3" max="3" width="11.109375" customWidth="1"/>
    <col min="4" max="6" width="15.6640625" customWidth="1"/>
    <col min="7" max="7" width="15.6640625" hidden="1" customWidth="1"/>
    <col min="8" max="10" width="15.6640625" customWidth="1"/>
    <col min="11" max="11" width="3" customWidth="1"/>
    <col min="12" max="12" width="2.44140625" customWidth="1"/>
    <col min="13" max="13" width="2.77734375" customWidth="1"/>
    <col min="14" max="14" width="110.109375" customWidth="1"/>
    <col min="15" max="15" width="3.33203125" customWidth="1"/>
    <col min="16" max="21" width="7.6640625" customWidth="1"/>
  </cols>
  <sheetData>
    <row r="1" spans="1:21" ht="36" customHeight="1" x14ac:dyDescent="0.5">
      <c r="A1" s="1"/>
      <c r="B1" s="19" t="s">
        <v>0</v>
      </c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4.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4"/>
      <c r="M2" s="54"/>
      <c r="N2" s="54"/>
      <c r="O2" s="54"/>
      <c r="P2" s="4"/>
      <c r="Q2" s="4"/>
      <c r="R2" s="4"/>
      <c r="S2" s="4"/>
      <c r="T2" s="4"/>
      <c r="U2" s="4"/>
    </row>
    <row r="3" spans="1:21" ht="22.05" customHeight="1" x14ac:dyDescent="0.35">
      <c r="A3" s="6"/>
      <c r="B3" s="75" t="s">
        <v>1</v>
      </c>
      <c r="C3" s="76"/>
      <c r="D3" s="84"/>
      <c r="E3" s="76"/>
      <c r="F3" s="7"/>
      <c r="G3" s="7"/>
      <c r="H3" s="71" t="s">
        <v>70</v>
      </c>
      <c r="I3" s="70"/>
      <c r="J3" s="31" t="s">
        <v>2</v>
      </c>
      <c r="K3" s="7"/>
      <c r="L3" s="7"/>
      <c r="M3" s="94" t="s">
        <v>73</v>
      </c>
      <c r="N3" s="95"/>
      <c r="O3" s="95"/>
      <c r="P3" s="7"/>
      <c r="Q3" s="7"/>
      <c r="R3" s="7"/>
      <c r="S3" s="7"/>
      <c r="T3" s="7"/>
      <c r="U3" s="7"/>
    </row>
    <row r="4" spans="1:21" ht="22.05" customHeight="1" x14ac:dyDescent="0.3">
      <c r="A4" s="6"/>
      <c r="B4" s="77" t="s">
        <v>3</v>
      </c>
      <c r="C4" s="78"/>
      <c r="D4" s="83"/>
      <c r="E4" s="76"/>
      <c r="F4" s="7"/>
      <c r="G4" s="7"/>
      <c r="H4" s="66" t="s">
        <v>4</v>
      </c>
      <c r="I4" s="70"/>
      <c r="J4" s="32">
        <v>40000</v>
      </c>
      <c r="K4" s="7"/>
      <c r="L4" s="7"/>
      <c r="M4" s="54"/>
      <c r="N4" s="54"/>
      <c r="O4" s="54"/>
      <c r="P4" s="7"/>
      <c r="Q4" s="7"/>
      <c r="R4" s="7"/>
      <c r="S4" s="7"/>
      <c r="T4" s="7"/>
      <c r="U4" s="7"/>
    </row>
    <row r="5" spans="1:21" ht="22.05" customHeight="1" x14ac:dyDescent="0.3">
      <c r="A5" s="6"/>
      <c r="B5" s="79"/>
      <c r="C5" s="80"/>
      <c r="D5" s="83"/>
      <c r="E5" s="76"/>
      <c r="F5" s="7"/>
      <c r="G5" s="7"/>
      <c r="H5" s="66" t="s">
        <v>5</v>
      </c>
      <c r="I5" s="70"/>
      <c r="J5" s="32">
        <v>35</v>
      </c>
      <c r="K5" s="7"/>
      <c r="L5" s="7"/>
      <c r="M5" s="54"/>
      <c r="N5" s="54"/>
      <c r="O5" s="54"/>
      <c r="P5" s="7"/>
      <c r="Q5" s="7"/>
      <c r="R5" s="7"/>
      <c r="S5" s="7"/>
      <c r="T5" s="7"/>
      <c r="U5" s="7"/>
    </row>
    <row r="6" spans="1:21" ht="22.05" customHeight="1" x14ac:dyDescent="0.3">
      <c r="A6" s="6"/>
      <c r="B6" s="81"/>
      <c r="C6" s="82"/>
      <c r="D6" s="83"/>
      <c r="E6" s="76"/>
      <c r="F6" s="7"/>
      <c r="G6" s="7"/>
      <c r="H6" s="66" t="s">
        <v>6</v>
      </c>
      <c r="I6" s="70"/>
      <c r="J6" s="32">
        <v>35</v>
      </c>
      <c r="K6" s="7"/>
      <c r="L6" s="7"/>
      <c r="M6" s="54"/>
      <c r="N6" s="54"/>
      <c r="O6" s="54"/>
      <c r="P6" s="7"/>
      <c r="Q6" s="7"/>
      <c r="R6" s="7"/>
      <c r="S6" s="7"/>
      <c r="T6" s="7"/>
      <c r="U6" s="7"/>
    </row>
    <row r="7" spans="1:21" ht="22.05" customHeight="1" x14ac:dyDescent="0.3">
      <c r="A7" s="6"/>
      <c r="B7" s="86" t="s">
        <v>7</v>
      </c>
      <c r="C7" s="76"/>
      <c r="D7" s="85"/>
      <c r="E7" s="76"/>
      <c r="F7" s="7"/>
      <c r="G7" s="7"/>
      <c r="H7" s="66" t="s">
        <v>8</v>
      </c>
      <c r="I7" s="70"/>
      <c r="J7" s="32">
        <v>600</v>
      </c>
      <c r="K7" s="7"/>
      <c r="L7" s="7"/>
      <c r="M7" s="54"/>
      <c r="N7" s="54"/>
      <c r="O7" s="54"/>
      <c r="P7" s="7"/>
      <c r="Q7" s="7"/>
      <c r="R7" s="7"/>
      <c r="S7" s="7"/>
      <c r="T7" s="7"/>
      <c r="U7" s="7"/>
    </row>
    <row r="8" spans="1:21" ht="22.05" customHeight="1" x14ac:dyDescent="0.3">
      <c r="A8" s="6"/>
      <c r="B8" s="86" t="s">
        <v>9</v>
      </c>
      <c r="C8" s="76"/>
      <c r="D8" s="85" t="s">
        <v>10</v>
      </c>
      <c r="E8" s="76"/>
      <c r="F8" s="7"/>
      <c r="G8" s="7"/>
      <c r="H8" s="64" t="s">
        <v>11</v>
      </c>
      <c r="I8" s="65"/>
      <c r="J8" s="33">
        <f>SUM(J4:J7)</f>
        <v>40670</v>
      </c>
      <c r="K8" s="7"/>
      <c r="L8" s="7"/>
      <c r="M8" s="54"/>
      <c r="N8" s="54"/>
      <c r="O8" s="54"/>
      <c r="P8" s="7"/>
      <c r="Q8" s="7"/>
      <c r="R8" s="7"/>
      <c r="S8" s="7"/>
      <c r="T8" s="7"/>
      <c r="U8" s="7"/>
    </row>
    <row r="9" spans="1:21" ht="22.05" customHeight="1" x14ac:dyDescent="0.3">
      <c r="A9" s="6"/>
      <c r="B9" s="77" t="s">
        <v>12</v>
      </c>
      <c r="C9" s="78"/>
      <c r="D9" s="85"/>
      <c r="E9" s="76"/>
      <c r="F9" s="7"/>
      <c r="G9" s="7"/>
      <c r="H9" s="7"/>
      <c r="I9" s="7"/>
      <c r="J9" s="9"/>
      <c r="K9" s="7"/>
      <c r="L9" s="7"/>
      <c r="M9" s="54"/>
      <c r="N9" s="54"/>
      <c r="O9" s="54"/>
      <c r="P9" s="7"/>
      <c r="Q9" s="7"/>
      <c r="R9" s="7"/>
      <c r="S9" s="7"/>
      <c r="T9" s="7"/>
      <c r="U9" s="7"/>
    </row>
    <row r="10" spans="1:21" ht="22.05" customHeight="1" x14ac:dyDescent="0.3">
      <c r="A10" s="6"/>
      <c r="B10" s="88" t="s">
        <v>13</v>
      </c>
      <c r="C10" s="76"/>
      <c r="D10" s="87"/>
      <c r="E10" s="76"/>
      <c r="F10" s="7"/>
      <c r="G10" s="7"/>
      <c r="H10" s="71" t="s">
        <v>14</v>
      </c>
      <c r="I10" s="70"/>
      <c r="J10" s="31" t="s">
        <v>2</v>
      </c>
      <c r="K10" s="7"/>
      <c r="L10" s="7"/>
      <c r="M10" s="54"/>
      <c r="N10" s="54"/>
      <c r="O10" s="54"/>
      <c r="P10" s="7"/>
      <c r="Q10" s="7"/>
      <c r="R10" s="7"/>
      <c r="S10" s="7"/>
      <c r="T10" s="7"/>
      <c r="U10" s="7"/>
    </row>
    <row r="11" spans="1:21" ht="22.05" customHeight="1" x14ac:dyDescent="0.3">
      <c r="A11" s="6"/>
      <c r="B11" s="88" t="s">
        <v>15</v>
      </c>
      <c r="C11" s="76"/>
      <c r="D11" s="87"/>
      <c r="E11" s="76"/>
      <c r="F11" s="7"/>
      <c r="G11" s="7"/>
      <c r="H11" s="66" t="s">
        <v>69</v>
      </c>
      <c r="I11" s="70"/>
      <c r="J11" s="32" t="b">
        <v>0</v>
      </c>
      <c r="K11" s="7"/>
      <c r="L11" s="7"/>
      <c r="M11" s="54"/>
      <c r="N11" s="54"/>
      <c r="O11" s="54"/>
      <c r="P11" s="7"/>
      <c r="Q11" s="7"/>
      <c r="R11" s="7"/>
      <c r="S11" s="7"/>
      <c r="T11" s="7"/>
      <c r="U11" s="7"/>
    </row>
    <row r="12" spans="1:21" ht="22.05" customHeight="1" x14ac:dyDescent="0.3">
      <c r="A12" s="6"/>
      <c r="B12" s="88" t="s">
        <v>16</v>
      </c>
      <c r="C12" s="76"/>
      <c r="D12" s="87"/>
      <c r="E12" s="76"/>
      <c r="F12" s="7"/>
      <c r="G12" s="7"/>
      <c r="H12" s="66" t="s">
        <v>72</v>
      </c>
      <c r="I12" s="70"/>
      <c r="J12" s="32" t="b">
        <v>0</v>
      </c>
      <c r="K12" s="7"/>
      <c r="L12" s="7"/>
      <c r="M12" s="54"/>
      <c r="N12" s="54"/>
      <c r="O12" s="54"/>
      <c r="P12" s="7"/>
      <c r="Q12" s="7"/>
      <c r="R12" s="7"/>
      <c r="S12" s="7"/>
      <c r="T12" s="7"/>
      <c r="U12" s="7"/>
    </row>
    <row r="13" spans="1:21" ht="22.05" customHeight="1" x14ac:dyDescent="0.3">
      <c r="A13" s="6"/>
      <c r="B13" s="7"/>
      <c r="F13" s="7"/>
      <c r="G13" s="7"/>
      <c r="H13" s="66" t="s">
        <v>17</v>
      </c>
      <c r="I13" s="70"/>
      <c r="J13" s="35">
        <v>6.3500000000000001E-2</v>
      </c>
      <c r="K13" s="7"/>
      <c r="L13" s="7"/>
      <c r="M13" s="54"/>
      <c r="N13" s="54"/>
      <c r="O13" s="54"/>
      <c r="P13" s="7"/>
      <c r="Q13" s="7"/>
      <c r="R13" s="7"/>
      <c r="S13" s="7"/>
      <c r="T13" s="7"/>
      <c r="U13" s="7"/>
    </row>
    <row r="14" spans="1:21" ht="22.05" customHeight="1" x14ac:dyDescent="0.3">
      <c r="A14" s="5"/>
      <c r="B14" s="4"/>
      <c r="C14" s="90" t="s">
        <v>18</v>
      </c>
      <c r="D14" s="91"/>
      <c r="E14" s="8" t="s">
        <v>2</v>
      </c>
      <c r="F14" s="42"/>
      <c r="G14" s="42"/>
      <c r="H14" s="72" t="s">
        <v>68</v>
      </c>
      <c r="I14" s="73"/>
      <c r="J14" s="36">
        <f>4500</f>
        <v>4500</v>
      </c>
      <c r="K14" s="10"/>
      <c r="L14" s="4"/>
      <c r="M14" s="54"/>
      <c r="N14" s="54"/>
      <c r="O14" s="54"/>
      <c r="P14" s="4"/>
      <c r="Q14" s="4"/>
      <c r="R14" s="4"/>
      <c r="S14" s="4"/>
      <c r="T14" s="4"/>
      <c r="U14" s="4"/>
    </row>
    <row r="15" spans="1:21" ht="22.05" customHeight="1" x14ac:dyDescent="0.3">
      <c r="A15" s="5"/>
      <c r="B15" s="4"/>
      <c r="C15" s="92" t="s">
        <v>19</v>
      </c>
      <c r="D15" s="93"/>
      <c r="E15" s="43"/>
      <c r="F15" s="44"/>
      <c r="G15" s="45" t="s">
        <v>20</v>
      </c>
      <c r="H15" s="64" t="s">
        <v>21</v>
      </c>
      <c r="I15" s="65"/>
      <c r="J15" s="34">
        <f>J13*J14</f>
        <v>285.75</v>
      </c>
      <c r="K15" s="10"/>
      <c r="L15" s="4"/>
      <c r="M15" s="54"/>
      <c r="N15" s="54"/>
      <c r="O15" s="54"/>
      <c r="P15" s="4"/>
      <c r="Q15" s="4"/>
      <c r="R15" s="4"/>
      <c r="S15" s="4"/>
      <c r="T15" s="4"/>
      <c r="U15" s="4"/>
    </row>
    <row r="16" spans="1:21" ht="22.05" customHeight="1" x14ac:dyDescent="0.3">
      <c r="A16" s="5"/>
      <c r="B16" s="4"/>
      <c r="C16" s="89" t="s">
        <v>22</v>
      </c>
      <c r="D16" s="63"/>
      <c r="E16" s="37">
        <f>J8+J15+J27</f>
        <v>41005.75</v>
      </c>
      <c r="F16" s="11"/>
      <c r="G16" s="12" t="s">
        <v>23</v>
      </c>
      <c r="H16" s="46"/>
      <c r="I16" s="46"/>
      <c r="J16" s="46"/>
      <c r="K16" s="10"/>
      <c r="L16" s="4"/>
      <c r="M16" s="54"/>
      <c r="N16" s="54"/>
      <c r="O16" s="54"/>
      <c r="P16" s="4"/>
      <c r="Q16" s="4"/>
      <c r="R16" s="4"/>
      <c r="S16" s="4"/>
      <c r="T16" s="4"/>
      <c r="U16" s="4"/>
    </row>
    <row r="17" spans="1:21" ht="22.05" customHeight="1" x14ac:dyDescent="0.3">
      <c r="A17" s="5"/>
      <c r="B17" s="4"/>
      <c r="C17" s="89" t="s">
        <v>24</v>
      </c>
      <c r="D17" s="63"/>
      <c r="E17" s="38">
        <v>0.05</v>
      </c>
      <c r="F17" s="46"/>
      <c r="G17" s="46" t="s">
        <v>25</v>
      </c>
      <c r="H17" s="71" t="s">
        <v>26</v>
      </c>
      <c r="I17" s="74"/>
      <c r="J17" s="31" t="s">
        <v>2</v>
      </c>
      <c r="K17" s="10"/>
      <c r="L17" s="4"/>
      <c r="M17" s="54"/>
      <c r="N17" s="54"/>
      <c r="O17" s="54"/>
      <c r="P17" s="4"/>
      <c r="Q17" s="4"/>
      <c r="R17" s="4"/>
      <c r="S17" s="4"/>
      <c r="T17" s="4"/>
      <c r="U17" s="4"/>
    </row>
    <row r="18" spans="1:21" ht="22.05" customHeight="1" x14ac:dyDescent="0.3">
      <c r="A18" s="5"/>
      <c r="B18" s="4"/>
      <c r="C18" s="89" t="s">
        <v>27</v>
      </c>
      <c r="D18" s="63"/>
      <c r="E18" s="39">
        <f>E17*E16</f>
        <v>2050.2874999999999</v>
      </c>
      <c r="F18" s="46"/>
      <c r="G18" s="46" t="s">
        <v>28</v>
      </c>
      <c r="H18" s="66" t="s">
        <v>29</v>
      </c>
      <c r="I18" s="67"/>
      <c r="J18" s="32">
        <v>10</v>
      </c>
      <c r="K18" s="10"/>
      <c r="L18" s="4"/>
      <c r="M18" s="54"/>
      <c r="N18" s="54"/>
      <c r="O18" s="54"/>
      <c r="P18" s="4"/>
      <c r="Q18" s="4"/>
      <c r="R18" s="4"/>
      <c r="S18" s="4"/>
      <c r="T18" s="4"/>
      <c r="U18" s="4"/>
    </row>
    <row r="19" spans="1:21" ht="22.05" customHeight="1" x14ac:dyDescent="0.3">
      <c r="A19" s="5"/>
      <c r="B19" s="4"/>
      <c r="C19" s="89" t="s">
        <v>30</v>
      </c>
      <c r="D19" s="63"/>
      <c r="E19" s="39">
        <f>E16-E18</f>
        <v>38955.462500000001</v>
      </c>
      <c r="F19" s="46"/>
      <c r="G19" s="46" t="s">
        <v>31</v>
      </c>
      <c r="H19" s="66" t="s">
        <v>32</v>
      </c>
      <c r="I19" s="67"/>
      <c r="J19" s="32">
        <v>5</v>
      </c>
      <c r="K19" s="10"/>
      <c r="L19" s="4"/>
      <c r="M19" s="54"/>
      <c r="N19" s="54"/>
      <c r="O19" s="54"/>
      <c r="P19" s="4"/>
      <c r="Q19" s="4"/>
      <c r="R19" s="4"/>
      <c r="S19" s="4"/>
      <c r="T19" s="4"/>
      <c r="U19" s="4"/>
    </row>
    <row r="20" spans="1:21" ht="22.05" customHeight="1" x14ac:dyDescent="0.3">
      <c r="A20" s="5"/>
      <c r="B20" s="4"/>
      <c r="C20" s="89" t="s">
        <v>33</v>
      </c>
      <c r="D20" s="63"/>
      <c r="E20" s="40">
        <v>4.4999999999999998E-2</v>
      </c>
      <c r="F20" s="46"/>
      <c r="G20" s="46" t="s">
        <v>34</v>
      </c>
      <c r="H20" s="66" t="s">
        <v>35</v>
      </c>
      <c r="I20" s="67"/>
      <c r="J20" s="32">
        <v>5</v>
      </c>
      <c r="K20" s="10"/>
      <c r="L20" s="4"/>
      <c r="M20" s="54"/>
      <c r="N20" s="54"/>
      <c r="O20" s="54"/>
      <c r="P20" s="4"/>
      <c r="Q20" s="4"/>
      <c r="R20" s="4"/>
      <c r="S20" s="4"/>
      <c r="T20" s="4"/>
      <c r="U20" s="4"/>
    </row>
    <row r="21" spans="1:21" ht="22.05" customHeight="1" x14ac:dyDescent="0.3">
      <c r="A21" s="6"/>
      <c r="B21" s="7"/>
      <c r="C21" s="89" t="s">
        <v>36</v>
      </c>
      <c r="D21" s="63"/>
      <c r="E21" s="41">
        <v>4</v>
      </c>
      <c r="F21" s="46"/>
      <c r="G21" s="46" t="s">
        <v>37</v>
      </c>
      <c r="H21" s="66" t="s">
        <v>38</v>
      </c>
      <c r="I21" s="67"/>
      <c r="J21" s="32">
        <v>5</v>
      </c>
      <c r="K21" s="7"/>
      <c r="L21" s="7"/>
      <c r="M21" s="54"/>
      <c r="N21" s="54"/>
      <c r="O21" s="54"/>
      <c r="P21" s="7"/>
      <c r="Q21" s="7"/>
      <c r="R21" s="7"/>
      <c r="S21" s="7"/>
      <c r="T21" s="7"/>
      <c r="U21" s="7"/>
    </row>
    <row r="22" spans="1:21" ht="22.05" customHeight="1" x14ac:dyDescent="0.3">
      <c r="A22" s="5"/>
      <c r="B22" s="4"/>
      <c r="C22" s="89" t="s">
        <v>39</v>
      </c>
      <c r="D22" s="63"/>
      <c r="E22" s="41" t="s">
        <v>34</v>
      </c>
      <c r="F22" s="46"/>
      <c r="G22" s="46" t="s">
        <v>40</v>
      </c>
      <c r="H22" s="66" t="s">
        <v>41</v>
      </c>
      <c r="I22" s="67"/>
      <c r="J22" s="32">
        <v>5</v>
      </c>
      <c r="K22" s="10"/>
      <c r="L22" s="4"/>
      <c r="M22" s="54"/>
      <c r="N22" s="54"/>
      <c r="O22" s="54"/>
      <c r="P22" s="4"/>
      <c r="Q22" s="4"/>
      <c r="R22" s="4"/>
      <c r="S22" s="4"/>
      <c r="T22" s="4"/>
      <c r="U22" s="4"/>
    </row>
    <row r="23" spans="1:21" ht="22.05" customHeight="1" x14ac:dyDescent="0.3">
      <c r="A23" s="5"/>
      <c r="B23" s="4"/>
      <c r="C23" s="89" t="s">
        <v>42</v>
      </c>
      <c r="D23" s="63"/>
      <c r="E23" s="47">
        <v>43221</v>
      </c>
      <c r="F23" s="42"/>
      <c r="G23" s="42"/>
      <c r="H23" s="66" t="s">
        <v>43</v>
      </c>
      <c r="I23" s="67"/>
      <c r="J23" s="32">
        <v>5</v>
      </c>
      <c r="K23" s="10"/>
      <c r="L23" s="4"/>
      <c r="M23" s="54"/>
      <c r="N23" s="54"/>
      <c r="O23" s="54"/>
      <c r="P23" s="4"/>
      <c r="Q23" s="4"/>
      <c r="R23" s="4"/>
      <c r="S23" s="4"/>
      <c r="T23" s="4"/>
      <c r="U23" s="4"/>
    </row>
    <row r="24" spans="1:21" ht="22.05" customHeight="1" x14ac:dyDescent="0.3">
      <c r="A24" s="5"/>
      <c r="B24" s="4"/>
      <c r="C24" s="46"/>
      <c r="D24" s="46"/>
      <c r="E24" s="46"/>
      <c r="F24" s="48"/>
      <c r="G24" s="48"/>
      <c r="H24" s="66" t="s">
        <v>44</v>
      </c>
      <c r="I24" s="67"/>
      <c r="J24" s="32">
        <v>5</v>
      </c>
      <c r="K24" s="10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2.05" customHeight="1" x14ac:dyDescent="0.3">
      <c r="A25" s="5"/>
      <c r="B25" s="4"/>
      <c r="C25" s="56" t="s">
        <v>45</v>
      </c>
      <c r="D25" s="57"/>
      <c r="E25" s="58"/>
      <c r="F25" s="48"/>
      <c r="G25" s="48"/>
      <c r="H25" s="66" t="s">
        <v>46</v>
      </c>
      <c r="I25" s="67"/>
      <c r="J25" s="32">
        <v>5</v>
      </c>
      <c r="K25" s="10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2.05" customHeight="1" x14ac:dyDescent="0.3">
      <c r="A26" s="5"/>
      <c r="B26" s="4"/>
      <c r="C26" s="62" t="s">
        <v>47</v>
      </c>
      <c r="D26" s="63"/>
      <c r="E26" s="13">
        <f>H32</f>
        <v>48</v>
      </c>
      <c r="F26" s="48"/>
      <c r="G26" s="48"/>
      <c r="H26" s="66" t="s">
        <v>48</v>
      </c>
      <c r="I26" s="67"/>
      <c r="J26" s="32">
        <v>5</v>
      </c>
      <c r="K26" s="10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2.05" customHeight="1" x14ac:dyDescent="0.3">
      <c r="A27" s="5"/>
      <c r="B27" s="4"/>
      <c r="C27" s="62" t="s">
        <v>49</v>
      </c>
      <c r="D27" s="63"/>
      <c r="E27" s="14">
        <f>E20/H31</f>
        <v>3.7499999999999999E-3</v>
      </c>
      <c r="F27" s="48"/>
      <c r="G27" s="48"/>
      <c r="H27" s="64" t="s">
        <v>50</v>
      </c>
      <c r="I27" s="65"/>
      <c r="J27" s="33">
        <f>SUM(J18:J26)</f>
        <v>50</v>
      </c>
      <c r="K27" s="10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2.05" customHeight="1" x14ac:dyDescent="0.3">
      <c r="A28" s="5"/>
      <c r="B28" s="4"/>
      <c r="C28" s="62" t="s">
        <v>51</v>
      </c>
      <c r="D28" s="63"/>
      <c r="E28" s="15">
        <f>ROUND(-PMT(E27,H32,E19),2)</f>
        <v>888.32</v>
      </c>
      <c r="F28" s="49"/>
      <c r="G28" s="49"/>
      <c r="H28" s="49"/>
      <c r="I28" s="46"/>
      <c r="J28" s="46"/>
      <c r="K28" s="10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2.05" customHeight="1" x14ac:dyDescent="0.3">
      <c r="A29" s="5"/>
      <c r="B29" s="4"/>
      <c r="C29" s="62" t="s">
        <v>52</v>
      </c>
      <c r="D29" s="63"/>
      <c r="E29" s="16">
        <f>E30-E19</f>
        <v>3683.9141444149864</v>
      </c>
      <c r="F29" s="49"/>
      <c r="G29" s="49"/>
      <c r="H29" s="68" t="s">
        <v>71</v>
      </c>
      <c r="I29" s="68"/>
      <c r="J29" s="68"/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2.05" customHeight="1" x14ac:dyDescent="0.3">
      <c r="A30" s="5"/>
      <c r="B30" s="4"/>
      <c r="C30" s="62" t="s">
        <v>53</v>
      </c>
      <c r="D30" s="63"/>
      <c r="E30" s="16">
        <f>E26*(-PMT(E27,H32,E19))</f>
        <v>42639.376644414988</v>
      </c>
      <c r="F30" s="49"/>
      <c r="G30" s="49"/>
      <c r="H30" s="68"/>
      <c r="I30" s="68"/>
      <c r="J30" s="68"/>
      <c r="K30" s="10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" hidden="1" customHeight="1" x14ac:dyDescent="0.3">
      <c r="A31" s="5"/>
      <c r="B31" s="10"/>
      <c r="C31" s="50"/>
      <c r="D31" s="50"/>
      <c r="E31" s="50"/>
      <c r="F31" s="51"/>
      <c r="G31" s="52" t="s">
        <v>54</v>
      </c>
      <c r="H31" s="53">
        <f t="array" ref="H31">INDEX({1;2;4;6;12;24;26},MATCH($E$22,$G$16:$G$22,0))</f>
        <v>12</v>
      </c>
      <c r="I31" s="46"/>
      <c r="J31" s="46"/>
      <c r="K31" s="10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" hidden="1" customHeight="1" x14ac:dyDescent="0.3">
      <c r="A32" s="5"/>
      <c r="B32" s="10"/>
      <c r="C32" s="50"/>
      <c r="D32" s="50"/>
      <c r="E32" s="50"/>
      <c r="F32" s="51"/>
      <c r="G32" s="52" t="s">
        <v>55</v>
      </c>
      <c r="H32" s="53">
        <f>E21*H31</f>
        <v>48</v>
      </c>
      <c r="I32" s="46"/>
      <c r="J32" s="46"/>
      <c r="K32" s="10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" hidden="1" customHeight="1" x14ac:dyDescent="0.3">
      <c r="A33" s="5"/>
      <c r="B33" s="10"/>
      <c r="C33" s="50"/>
      <c r="D33" s="50"/>
      <c r="E33" s="50"/>
      <c r="F33" s="51"/>
      <c r="G33" s="52" t="s">
        <v>56</v>
      </c>
      <c r="H33" s="53">
        <f>12/H31</f>
        <v>1</v>
      </c>
      <c r="I33" s="46"/>
      <c r="J33" s="46"/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" customHeight="1" x14ac:dyDescent="0.3">
      <c r="A34" s="5"/>
      <c r="B34" s="10"/>
      <c r="C34" s="50"/>
      <c r="D34" s="50"/>
      <c r="E34" s="50"/>
      <c r="F34" s="50"/>
      <c r="G34" s="50"/>
      <c r="H34" s="46"/>
      <c r="I34" s="46"/>
      <c r="J34" s="46"/>
      <c r="K34" s="10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2.05" customHeight="1" x14ac:dyDescent="0.4">
      <c r="A35" s="17"/>
      <c r="B35" s="59" t="s">
        <v>57</v>
      </c>
      <c r="C35" s="69"/>
      <c r="D35" s="69"/>
      <c r="E35" s="69"/>
      <c r="F35" s="69"/>
      <c r="G35" s="69"/>
      <c r="H35" s="69"/>
      <c r="I35" s="69"/>
      <c r="J35" s="6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spans="1:21" ht="22.05" customHeight="1" x14ac:dyDescent="0.3">
      <c r="A36" s="5"/>
      <c r="B36" s="59" t="s">
        <v>58</v>
      </c>
      <c r="C36" s="60" t="s">
        <v>59</v>
      </c>
      <c r="D36" s="61" t="s">
        <v>60</v>
      </c>
      <c r="E36" s="55" t="s">
        <v>61</v>
      </c>
      <c r="F36" s="61" t="s">
        <v>62</v>
      </c>
      <c r="G36" s="20" t="s">
        <v>63</v>
      </c>
      <c r="H36" s="55" t="s">
        <v>64</v>
      </c>
      <c r="I36" s="55" t="s">
        <v>65</v>
      </c>
      <c r="J36" s="21" t="s">
        <v>66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2.05" customHeight="1" x14ac:dyDescent="0.3">
      <c r="A37" s="5"/>
      <c r="B37" s="59"/>
      <c r="C37" s="60"/>
      <c r="D37" s="61"/>
      <c r="E37" s="55"/>
      <c r="F37" s="61"/>
      <c r="G37" s="22"/>
      <c r="H37" s="55"/>
      <c r="I37" s="55"/>
      <c r="J37" s="23">
        <f>E19</f>
        <v>38955.462500000001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8" customHeight="1" x14ac:dyDescent="0.3">
      <c r="A38" s="5"/>
      <c r="B38" s="24">
        <f t="shared" ref="B38:B86" si="0">IF(J37="","",IF(OR(B37&gt;=$H$32,ROUND(J37,2)&lt;=0),"",B37+1))</f>
        <v>1</v>
      </c>
      <c r="C38" s="25">
        <f>E23</f>
        <v>43221</v>
      </c>
      <c r="D38" s="26">
        <f>J37</f>
        <v>38955.462500000001</v>
      </c>
      <c r="E38" s="27">
        <f t="shared" ref="E38:E86" si="1">IF(B38="","",IF(OR(B38=$H$32,$E$28&gt;ROUND((1+$E$27)*J37,2)),ROUND((1+$E$27)*J37,2),$E$28))</f>
        <v>888.32</v>
      </c>
      <c r="F38" s="28"/>
      <c r="G38" s="28"/>
      <c r="H38" s="27">
        <f t="shared" ref="H38:H86" si="2">IF(B38="","",ROUND($E$27*J37,2))</f>
        <v>146.08000000000001</v>
      </c>
      <c r="I38" s="27">
        <f t="shared" ref="I38:I86" si="3">IF(B38="","",E38+F38-H38)</f>
        <v>742.24</v>
      </c>
      <c r="J38" s="26">
        <f t="shared" ref="J38:J86" si="4">IF(B38="","",J37-I38)</f>
        <v>38213.222500000003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8" customHeight="1" x14ac:dyDescent="0.3">
      <c r="A39" s="5"/>
      <c r="B39" s="24">
        <f t="shared" si="0"/>
        <v>2</v>
      </c>
      <c r="C39" s="25">
        <f t="shared" ref="C39:C86" si="5">IF(B39="","",IF($H$31=26,IF(B39=1,$E$23,C38+14),IF($H$31=52,IF(B39=1,$E$23,C38+7),DATE(YEAR($E$23),MONTH($E$23)+(B39-1)*$H$33,IF($H$31=24,IF((1-MOD(B39,2))=1,DAY($E$23)+14,DAY($E$23)),DAY($E$23))))))</f>
        <v>43252</v>
      </c>
      <c r="D39" s="26">
        <f t="shared" ref="D39:D86" si="6">IF(ISERROR(IF((ROUND(J38,1)&gt;0),J38,"")),"",(IF((ROUND(J38,1)&gt;0),J38,"")))</f>
        <v>38213.222500000003</v>
      </c>
      <c r="E39" s="27">
        <f t="shared" si="1"/>
        <v>888.32</v>
      </c>
      <c r="F39" s="29"/>
      <c r="G39" s="29"/>
      <c r="H39" s="27">
        <f t="shared" si="2"/>
        <v>143.30000000000001</v>
      </c>
      <c r="I39" s="27">
        <f t="shared" si="3"/>
        <v>745.02</v>
      </c>
      <c r="J39" s="26">
        <f t="shared" si="4"/>
        <v>37468.202500000007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8" customHeight="1" x14ac:dyDescent="0.3">
      <c r="A40" s="5"/>
      <c r="B40" s="24">
        <f t="shared" si="0"/>
        <v>3</v>
      </c>
      <c r="C40" s="25">
        <f t="shared" si="5"/>
        <v>43282</v>
      </c>
      <c r="D40" s="26">
        <f t="shared" si="6"/>
        <v>37468.202500000007</v>
      </c>
      <c r="E40" s="27">
        <f t="shared" si="1"/>
        <v>888.32</v>
      </c>
      <c r="F40" s="29"/>
      <c r="G40" s="29"/>
      <c r="H40" s="27">
        <f t="shared" si="2"/>
        <v>140.51</v>
      </c>
      <c r="I40" s="27">
        <f t="shared" si="3"/>
        <v>747.81000000000006</v>
      </c>
      <c r="J40" s="26">
        <f t="shared" si="4"/>
        <v>36720.392500000009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8" customHeight="1" x14ac:dyDescent="0.3">
      <c r="A41" s="5"/>
      <c r="B41" s="24">
        <f t="shared" si="0"/>
        <v>4</v>
      </c>
      <c r="C41" s="25">
        <f t="shared" si="5"/>
        <v>43313</v>
      </c>
      <c r="D41" s="26">
        <f t="shared" si="6"/>
        <v>36720.392500000009</v>
      </c>
      <c r="E41" s="27">
        <f t="shared" si="1"/>
        <v>888.32</v>
      </c>
      <c r="F41" s="29"/>
      <c r="G41" s="29"/>
      <c r="H41" s="27">
        <f t="shared" si="2"/>
        <v>137.69999999999999</v>
      </c>
      <c r="I41" s="27">
        <f t="shared" si="3"/>
        <v>750.62000000000012</v>
      </c>
      <c r="J41" s="26">
        <f t="shared" si="4"/>
        <v>35969.772500000006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8" customHeight="1" x14ac:dyDescent="0.3">
      <c r="A42" s="5"/>
      <c r="B42" s="24">
        <f t="shared" si="0"/>
        <v>5</v>
      </c>
      <c r="C42" s="25">
        <f t="shared" si="5"/>
        <v>43344</v>
      </c>
      <c r="D42" s="26">
        <f t="shared" si="6"/>
        <v>35969.772500000006</v>
      </c>
      <c r="E42" s="27">
        <f t="shared" si="1"/>
        <v>888.32</v>
      </c>
      <c r="F42" s="29"/>
      <c r="G42" s="29"/>
      <c r="H42" s="27">
        <f t="shared" si="2"/>
        <v>134.88999999999999</v>
      </c>
      <c r="I42" s="27">
        <f t="shared" si="3"/>
        <v>753.43000000000006</v>
      </c>
      <c r="J42" s="26">
        <f t="shared" si="4"/>
        <v>35216.342500000006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8" customHeight="1" x14ac:dyDescent="0.3">
      <c r="A43" s="5"/>
      <c r="B43" s="24">
        <f t="shared" si="0"/>
        <v>6</v>
      </c>
      <c r="C43" s="25">
        <f t="shared" si="5"/>
        <v>43374</v>
      </c>
      <c r="D43" s="26">
        <f t="shared" si="6"/>
        <v>35216.342500000006</v>
      </c>
      <c r="E43" s="27">
        <f t="shared" si="1"/>
        <v>888.32</v>
      </c>
      <c r="F43" s="29"/>
      <c r="G43" s="29"/>
      <c r="H43" s="27">
        <f t="shared" si="2"/>
        <v>132.06</v>
      </c>
      <c r="I43" s="27">
        <f t="shared" si="3"/>
        <v>756.26</v>
      </c>
      <c r="J43" s="26">
        <f t="shared" si="4"/>
        <v>34460.082500000004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8" customHeight="1" x14ac:dyDescent="0.3">
      <c r="A44" s="5"/>
      <c r="B44" s="24">
        <f t="shared" si="0"/>
        <v>7</v>
      </c>
      <c r="C44" s="25">
        <f t="shared" si="5"/>
        <v>43405</v>
      </c>
      <c r="D44" s="26">
        <f t="shared" si="6"/>
        <v>34460.082500000004</v>
      </c>
      <c r="E44" s="27">
        <f t="shared" si="1"/>
        <v>888.32</v>
      </c>
      <c r="F44" s="29"/>
      <c r="G44" s="29"/>
      <c r="H44" s="27">
        <f t="shared" si="2"/>
        <v>129.22999999999999</v>
      </c>
      <c r="I44" s="27">
        <f t="shared" si="3"/>
        <v>759.09</v>
      </c>
      <c r="J44" s="26">
        <f t="shared" si="4"/>
        <v>33700.992500000008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8" customHeight="1" x14ac:dyDescent="0.3">
      <c r="A45" s="5"/>
      <c r="B45" s="24">
        <f t="shared" si="0"/>
        <v>8</v>
      </c>
      <c r="C45" s="25">
        <f t="shared" si="5"/>
        <v>43435</v>
      </c>
      <c r="D45" s="26">
        <f t="shared" si="6"/>
        <v>33700.992500000008</v>
      </c>
      <c r="E45" s="27">
        <f t="shared" si="1"/>
        <v>888.32</v>
      </c>
      <c r="F45" s="29"/>
      <c r="G45" s="29"/>
      <c r="H45" s="27">
        <f t="shared" si="2"/>
        <v>126.38</v>
      </c>
      <c r="I45" s="27">
        <f t="shared" si="3"/>
        <v>761.94</v>
      </c>
      <c r="J45" s="26">
        <f t="shared" si="4"/>
        <v>32939.052500000005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8" customHeight="1" x14ac:dyDescent="0.3">
      <c r="A46" s="5"/>
      <c r="B46" s="24">
        <f t="shared" si="0"/>
        <v>9</v>
      </c>
      <c r="C46" s="25">
        <f t="shared" si="5"/>
        <v>43466</v>
      </c>
      <c r="D46" s="26">
        <f t="shared" si="6"/>
        <v>32939.052500000005</v>
      </c>
      <c r="E46" s="27">
        <f t="shared" si="1"/>
        <v>888.32</v>
      </c>
      <c r="F46" s="29"/>
      <c r="G46" s="29"/>
      <c r="H46" s="27">
        <f t="shared" si="2"/>
        <v>123.52</v>
      </c>
      <c r="I46" s="27">
        <f t="shared" si="3"/>
        <v>764.80000000000007</v>
      </c>
      <c r="J46" s="26">
        <f t="shared" si="4"/>
        <v>32174.252500000006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8" customHeight="1" x14ac:dyDescent="0.3">
      <c r="A47" s="5"/>
      <c r="B47" s="24">
        <f t="shared" si="0"/>
        <v>10</v>
      </c>
      <c r="C47" s="25">
        <f t="shared" si="5"/>
        <v>43497</v>
      </c>
      <c r="D47" s="26">
        <f t="shared" si="6"/>
        <v>32174.252500000006</v>
      </c>
      <c r="E47" s="27">
        <f t="shared" si="1"/>
        <v>888.32</v>
      </c>
      <c r="F47" s="29"/>
      <c r="G47" s="29"/>
      <c r="H47" s="27">
        <f t="shared" si="2"/>
        <v>120.65</v>
      </c>
      <c r="I47" s="27">
        <f t="shared" si="3"/>
        <v>767.67000000000007</v>
      </c>
      <c r="J47" s="26">
        <f t="shared" si="4"/>
        <v>31406.582500000004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8" customHeight="1" x14ac:dyDescent="0.3">
      <c r="A48" s="5"/>
      <c r="B48" s="24">
        <f t="shared" si="0"/>
        <v>11</v>
      </c>
      <c r="C48" s="25">
        <f t="shared" si="5"/>
        <v>43525</v>
      </c>
      <c r="D48" s="26">
        <f t="shared" si="6"/>
        <v>31406.582500000004</v>
      </c>
      <c r="E48" s="27">
        <f t="shared" si="1"/>
        <v>888.32</v>
      </c>
      <c r="F48" s="29"/>
      <c r="G48" s="29"/>
      <c r="H48" s="27">
        <f t="shared" si="2"/>
        <v>117.77</v>
      </c>
      <c r="I48" s="27">
        <f t="shared" si="3"/>
        <v>770.55000000000007</v>
      </c>
      <c r="J48" s="26">
        <f t="shared" si="4"/>
        <v>30636.032500000005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8" customHeight="1" x14ac:dyDescent="0.3">
      <c r="A49" s="5"/>
      <c r="B49" s="24">
        <f t="shared" si="0"/>
        <v>12</v>
      </c>
      <c r="C49" s="25">
        <f t="shared" si="5"/>
        <v>43556</v>
      </c>
      <c r="D49" s="26">
        <f t="shared" si="6"/>
        <v>30636.032500000005</v>
      </c>
      <c r="E49" s="27">
        <f t="shared" si="1"/>
        <v>888.32</v>
      </c>
      <c r="F49" s="29"/>
      <c r="G49" s="29"/>
      <c r="H49" s="27">
        <f t="shared" si="2"/>
        <v>114.89</v>
      </c>
      <c r="I49" s="27">
        <f t="shared" si="3"/>
        <v>773.43000000000006</v>
      </c>
      <c r="J49" s="26">
        <f t="shared" si="4"/>
        <v>29862.602500000005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8" customHeight="1" x14ac:dyDescent="0.3">
      <c r="A50" s="5"/>
      <c r="B50" s="24">
        <f t="shared" si="0"/>
        <v>13</v>
      </c>
      <c r="C50" s="25">
        <f t="shared" si="5"/>
        <v>43586</v>
      </c>
      <c r="D50" s="26">
        <f t="shared" si="6"/>
        <v>29862.602500000005</v>
      </c>
      <c r="E50" s="27">
        <f t="shared" si="1"/>
        <v>888.32</v>
      </c>
      <c r="F50" s="30"/>
      <c r="G50" s="30"/>
      <c r="H50" s="27">
        <f t="shared" si="2"/>
        <v>111.98</v>
      </c>
      <c r="I50" s="27">
        <f t="shared" si="3"/>
        <v>776.34</v>
      </c>
      <c r="J50" s="26">
        <f t="shared" si="4"/>
        <v>29086.262500000004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8" customHeight="1" x14ac:dyDescent="0.3">
      <c r="A51" s="5"/>
      <c r="B51" s="24">
        <f t="shared" si="0"/>
        <v>14</v>
      </c>
      <c r="C51" s="25">
        <f t="shared" si="5"/>
        <v>43617</v>
      </c>
      <c r="D51" s="26">
        <f t="shared" si="6"/>
        <v>29086.262500000004</v>
      </c>
      <c r="E51" s="27">
        <f t="shared" si="1"/>
        <v>888.32</v>
      </c>
      <c r="F51" s="30"/>
      <c r="G51" s="30"/>
      <c r="H51" s="27">
        <f t="shared" si="2"/>
        <v>109.07</v>
      </c>
      <c r="I51" s="27">
        <f t="shared" si="3"/>
        <v>779.25</v>
      </c>
      <c r="J51" s="26">
        <f t="shared" si="4"/>
        <v>28307.012500000004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8" customHeight="1" x14ac:dyDescent="0.3">
      <c r="A52" s="5"/>
      <c r="B52" s="24">
        <f t="shared" si="0"/>
        <v>15</v>
      </c>
      <c r="C52" s="25">
        <f t="shared" si="5"/>
        <v>43647</v>
      </c>
      <c r="D52" s="26">
        <f t="shared" si="6"/>
        <v>28307.012500000004</v>
      </c>
      <c r="E52" s="27">
        <f t="shared" si="1"/>
        <v>888.32</v>
      </c>
      <c r="F52" s="30"/>
      <c r="G52" s="30"/>
      <c r="H52" s="27">
        <f t="shared" si="2"/>
        <v>106.15</v>
      </c>
      <c r="I52" s="27">
        <f t="shared" si="3"/>
        <v>782.17000000000007</v>
      </c>
      <c r="J52" s="26">
        <f t="shared" si="4"/>
        <v>27524.842500000006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8" customHeight="1" x14ac:dyDescent="0.3">
      <c r="A53" s="5"/>
      <c r="B53" s="24">
        <f t="shared" si="0"/>
        <v>16</v>
      </c>
      <c r="C53" s="25">
        <f t="shared" si="5"/>
        <v>43678</v>
      </c>
      <c r="D53" s="26">
        <f t="shared" si="6"/>
        <v>27524.842500000006</v>
      </c>
      <c r="E53" s="27">
        <f t="shared" si="1"/>
        <v>888.32</v>
      </c>
      <c r="F53" s="30"/>
      <c r="G53" s="30"/>
      <c r="H53" s="27">
        <f t="shared" si="2"/>
        <v>103.22</v>
      </c>
      <c r="I53" s="27">
        <f t="shared" si="3"/>
        <v>785.1</v>
      </c>
      <c r="J53" s="26">
        <f t="shared" si="4"/>
        <v>26739.742500000008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8" customHeight="1" x14ac:dyDescent="0.3">
      <c r="A54" s="5"/>
      <c r="B54" s="24">
        <f t="shared" si="0"/>
        <v>17</v>
      </c>
      <c r="C54" s="25">
        <f t="shared" si="5"/>
        <v>43709</v>
      </c>
      <c r="D54" s="26">
        <f t="shared" si="6"/>
        <v>26739.742500000008</v>
      </c>
      <c r="E54" s="27">
        <f t="shared" si="1"/>
        <v>888.32</v>
      </c>
      <c r="F54" s="30"/>
      <c r="G54" s="30"/>
      <c r="H54" s="27">
        <f t="shared" si="2"/>
        <v>100.27</v>
      </c>
      <c r="I54" s="27">
        <f t="shared" si="3"/>
        <v>788.05000000000007</v>
      </c>
      <c r="J54" s="26">
        <f t="shared" si="4"/>
        <v>25951.692500000008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8" customHeight="1" x14ac:dyDescent="0.3">
      <c r="A55" s="5"/>
      <c r="B55" s="24">
        <f t="shared" si="0"/>
        <v>18</v>
      </c>
      <c r="C55" s="25">
        <f t="shared" si="5"/>
        <v>43739</v>
      </c>
      <c r="D55" s="26">
        <f t="shared" si="6"/>
        <v>25951.692500000008</v>
      </c>
      <c r="E55" s="27">
        <f t="shared" si="1"/>
        <v>888.32</v>
      </c>
      <c r="F55" s="30"/>
      <c r="G55" s="30"/>
      <c r="H55" s="27">
        <f t="shared" si="2"/>
        <v>97.32</v>
      </c>
      <c r="I55" s="27">
        <f t="shared" si="3"/>
        <v>791</v>
      </c>
      <c r="J55" s="26">
        <f t="shared" si="4"/>
        <v>25160.692500000008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8" customHeight="1" x14ac:dyDescent="0.3">
      <c r="A56" s="5"/>
      <c r="B56" s="24">
        <f t="shared" si="0"/>
        <v>19</v>
      </c>
      <c r="C56" s="25">
        <f t="shared" si="5"/>
        <v>43770</v>
      </c>
      <c r="D56" s="26">
        <f t="shared" si="6"/>
        <v>25160.692500000008</v>
      </c>
      <c r="E56" s="27">
        <f t="shared" si="1"/>
        <v>888.32</v>
      </c>
      <c r="F56" s="30"/>
      <c r="G56" s="30"/>
      <c r="H56" s="27">
        <f t="shared" si="2"/>
        <v>94.35</v>
      </c>
      <c r="I56" s="27">
        <f t="shared" si="3"/>
        <v>793.97</v>
      </c>
      <c r="J56" s="26">
        <f t="shared" si="4"/>
        <v>24366.722500000007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8" customHeight="1" x14ac:dyDescent="0.3">
      <c r="A57" s="5"/>
      <c r="B57" s="24">
        <f t="shared" si="0"/>
        <v>20</v>
      </c>
      <c r="C57" s="25">
        <f t="shared" si="5"/>
        <v>43800</v>
      </c>
      <c r="D57" s="26">
        <f t="shared" si="6"/>
        <v>24366.722500000007</v>
      </c>
      <c r="E57" s="27">
        <f t="shared" si="1"/>
        <v>888.32</v>
      </c>
      <c r="F57" s="30"/>
      <c r="G57" s="30"/>
      <c r="H57" s="27">
        <f t="shared" si="2"/>
        <v>91.38</v>
      </c>
      <c r="I57" s="27">
        <f t="shared" si="3"/>
        <v>796.94</v>
      </c>
      <c r="J57" s="26">
        <f t="shared" si="4"/>
        <v>23569.782500000008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8" customHeight="1" x14ac:dyDescent="0.3">
      <c r="A58" s="5"/>
      <c r="B58" s="24">
        <f t="shared" si="0"/>
        <v>21</v>
      </c>
      <c r="C58" s="25">
        <f t="shared" si="5"/>
        <v>43831</v>
      </c>
      <c r="D58" s="26">
        <f t="shared" si="6"/>
        <v>23569.782500000008</v>
      </c>
      <c r="E58" s="27">
        <f t="shared" si="1"/>
        <v>888.32</v>
      </c>
      <c r="F58" s="30"/>
      <c r="G58" s="30"/>
      <c r="H58" s="27">
        <f t="shared" si="2"/>
        <v>88.39</v>
      </c>
      <c r="I58" s="27">
        <f t="shared" si="3"/>
        <v>799.93000000000006</v>
      </c>
      <c r="J58" s="26">
        <f t="shared" si="4"/>
        <v>22769.852500000008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8" customHeight="1" x14ac:dyDescent="0.3">
      <c r="A59" s="5"/>
      <c r="B59" s="24">
        <f t="shared" si="0"/>
        <v>22</v>
      </c>
      <c r="C59" s="25">
        <f t="shared" si="5"/>
        <v>43862</v>
      </c>
      <c r="D59" s="26">
        <f t="shared" si="6"/>
        <v>22769.852500000008</v>
      </c>
      <c r="E59" s="27">
        <f t="shared" si="1"/>
        <v>888.32</v>
      </c>
      <c r="F59" s="30"/>
      <c r="G59" s="30"/>
      <c r="H59" s="27">
        <f t="shared" si="2"/>
        <v>85.39</v>
      </c>
      <c r="I59" s="27">
        <f t="shared" si="3"/>
        <v>802.93000000000006</v>
      </c>
      <c r="J59" s="26">
        <f t="shared" si="4"/>
        <v>21966.922500000008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8" customHeight="1" x14ac:dyDescent="0.3">
      <c r="A60" s="5"/>
      <c r="B60" s="24">
        <f t="shared" si="0"/>
        <v>23</v>
      </c>
      <c r="C60" s="25">
        <f t="shared" si="5"/>
        <v>43891</v>
      </c>
      <c r="D60" s="26">
        <f t="shared" si="6"/>
        <v>21966.922500000008</v>
      </c>
      <c r="E60" s="27">
        <f t="shared" si="1"/>
        <v>888.32</v>
      </c>
      <c r="F60" s="30"/>
      <c r="G60" s="30"/>
      <c r="H60" s="27">
        <f t="shared" si="2"/>
        <v>82.38</v>
      </c>
      <c r="I60" s="27">
        <f t="shared" si="3"/>
        <v>805.94</v>
      </c>
      <c r="J60" s="26">
        <f t="shared" si="4"/>
        <v>21160.982500000009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8" customHeight="1" x14ac:dyDescent="0.3">
      <c r="A61" s="5"/>
      <c r="B61" s="24">
        <f t="shared" si="0"/>
        <v>24</v>
      </c>
      <c r="C61" s="25">
        <f t="shared" si="5"/>
        <v>43922</v>
      </c>
      <c r="D61" s="26">
        <f t="shared" si="6"/>
        <v>21160.982500000009</v>
      </c>
      <c r="E61" s="27">
        <f t="shared" si="1"/>
        <v>888.32</v>
      </c>
      <c r="F61" s="30"/>
      <c r="G61" s="30"/>
      <c r="H61" s="27">
        <f t="shared" si="2"/>
        <v>79.349999999999994</v>
      </c>
      <c r="I61" s="27">
        <f t="shared" si="3"/>
        <v>808.97</v>
      </c>
      <c r="J61" s="26">
        <f t="shared" si="4"/>
        <v>20352.012500000008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8" customHeight="1" x14ac:dyDescent="0.3">
      <c r="A62" s="5"/>
      <c r="B62" s="24">
        <f t="shared" si="0"/>
        <v>25</v>
      </c>
      <c r="C62" s="25">
        <f t="shared" si="5"/>
        <v>43952</v>
      </c>
      <c r="D62" s="26">
        <f t="shared" si="6"/>
        <v>20352.012500000008</v>
      </c>
      <c r="E62" s="27">
        <f t="shared" si="1"/>
        <v>888.32</v>
      </c>
      <c r="F62" s="30"/>
      <c r="G62" s="30"/>
      <c r="H62" s="27">
        <f t="shared" si="2"/>
        <v>76.319999999999993</v>
      </c>
      <c r="I62" s="27">
        <f t="shared" si="3"/>
        <v>812</v>
      </c>
      <c r="J62" s="26">
        <f t="shared" si="4"/>
        <v>19540.012500000008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8" customHeight="1" x14ac:dyDescent="0.3">
      <c r="A63" s="5"/>
      <c r="B63" s="24">
        <f t="shared" si="0"/>
        <v>26</v>
      </c>
      <c r="C63" s="25">
        <f t="shared" si="5"/>
        <v>43983</v>
      </c>
      <c r="D63" s="26">
        <f t="shared" si="6"/>
        <v>19540.012500000008</v>
      </c>
      <c r="E63" s="27">
        <f t="shared" si="1"/>
        <v>888.32</v>
      </c>
      <c r="F63" s="30"/>
      <c r="G63" s="30"/>
      <c r="H63" s="27">
        <f t="shared" si="2"/>
        <v>73.28</v>
      </c>
      <c r="I63" s="27">
        <f t="shared" si="3"/>
        <v>815.04000000000008</v>
      </c>
      <c r="J63" s="26">
        <f t="shared" si="4"/>
        <v>18724.972500000007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8" customHeight="1" x14ac:dyDescent="0.3">
      <c r="A64" s="5"/>
      <c r="B64" s="24">
        <f t="shared" si="0"/>
        <v>27</v>
      </c>
      <c r="C64" s="25">
        <f t="shared" si="5"/>
        <v>44013</v>
      </c>
      <c r="D64" s="26">
        <f t="shared" si="6"/>
        <v>18724.972500000007</v>
      </c>
      <c r="E64" s="27">
        <f t="shared" si="1"/>
        <v>888.32</v>
      </c>
      <c r="F64" s="30"/>
      <c r="G64" s="30"/>
      <c r="H64" s="27">
        <f t="shared" si="2"/>
        <v>70.22</v>
      </c>
      <c r="I64" s="27">
        <f t="shared" si="3"/>
        <v>818.1</v>
      </c>
      <c r="J64" s="26">
        <f t="shared" si="4"/>
        <v>17906.872500000009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8" customHeight="1" x14ac:dyDescent="0.3">
      <c r="A65" s="5"/>
      <c r="B65" s="24">
        <f t="shared" si="0"/>
        <v>28</v>
      </c>
      <c r="C65" s="25">
        <f t="shared" si="5"/>
        <v>44044</v>
      </c>
      <c r="D65" s="26">
        <f t="shared" si="6"/>
        <v>17906.872500000009</v>
      </c>
      <c r="E65" s="27">
        <f t="shared" si="1"/>
        <v>888.32</v>
      </c>
      <c r="F65" s="30"/>
      <c r="G65" s="30"/>
      <c r="H65" s="27">
        <f t="shared" si="2"/>
        <v>67.150000000000006</v>
      </c>
      <c r="I65" s="27">
        <f t="shared" si="3"/>
        <v>821.17000000000007</v>
      </c>
      <c r="J65" s="26">
        <f t="shared" si="4"/>
        <v>17085.702500000007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8" customHeight="1" x14ac:dyDescent="0.3">
      <c r="A66" s="5"/>
      <c r="B66" s="24">
        <f t="shared" si="0"/>
        <v>29</v>
      </c>
      <c r="C66" s="25">
        <f t="shared" si="5"/>
        <v>44075</v>
      </c>
      <c r="D66" s="26">
        <f t="shared" si="6"/>
        <v>17085.702500000007</v>
      </c>
      <c r="E66" s="27">
        <f t="shared" si="1"/>
        <v>888.32</v>
      </c>
      <c r="F66" s="30"/>
      <c r="G66" s="30"/>
      <c r="H66" s="27">
        <f t="shared" si="2"/>
        <v>64.069999999999993</v>
      </c>
      <c r="I66" s="27">
        <f t="shared" si="3"/>
        <v>824.25</v>
      </c>
      <c r="J66" s="26">
        <f t="shared" si="4"/>
        <v>16261.452500000007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8" customHeight="1" x14ac:dyDescent="0.3">
      <c r="A67" s="5"/>
      <c r="B67" s="24">
        <f t="shared" si="0"/>
        <v>30</v>
      </c>
      <c r="C67" s="25">
        <f t="shared" si="5"/>
        <v>44105</v>
      </c>
      <c r="D67" s="26">
        <f t="shared" si="6"/>
        <v>16261.452500000007</v>
      </c>
      <c r="E67" s="27">
        <f t="shared" si="1"/>
        <v>888.32</v>
      </c>
      <c r="F67" s="30"/>
      <c r="G67" s="30"/>
      <c r="H67" s="27">
        <f t="shared" si="2"/>
        <v>60.98</v>
      </c>
      <c r="I67" s="27">
        <f t="shared" si="3"/>
        <v>827.34</v>
      </c>
      <c r="J67" s="26">
        <f t="shared" si="4"/>
        <v>15434.112500000007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8" customHeight="1" x14ac:dyDescent="0.3">
      <c r="A68" s="5"/>
      <c r="B68" s="24">
        <f t="shared" si="0"/>
        <v>31</v>
      </c>
      <c r="C68" s="25">
        <f t="shared" si="5"/>
        <v>44136</v>
      </c>
      <c r="D68" s="26">
        <f t="shared" si="6"/>
        <v>15434.112500000007</v>
      </c>
      <c r="E68" s="27">
        <f t="shared" si="1"/>
        <v>888.32</v>
      </c>
      <c r="F68" s="30"/>
      <c r="G68" s="30"/>
      <c r="H68" s="27">
        <f t="shared" si="2"/>
        <v>57.88</v>
      </c>
      <c r="I68" s="27">
        <f t="shared" si="3"/>
        <v>830.44</v>
      </c>
      <c r="J68" s="26">
        <f t="shared" si="4"/>
        <v>14603.672500000006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8" customHeight="1" x14ac:dyDescent="0.3">
      <c r="A69" s="5"/>
      <c r="B69" s="24">
        <f t="shared" si="0"/>
        <v>32</v>
      </c>
      <c r="C69" s="25">
        <f t="shared" si="5"/>
        <v>44166</v>
      </c>
      <c r="D69" s="26">
        <f t="shared" si="6"/>
        <v>14603.672500000006</v>
      </c>
      <c r="E69" s="27">
        <f t="shared" si="1"/>
        <v>888.32</v>
      </c>
      <c r="F69" s="30"/>
      <c r="G69" s="30"/>
      <c r="H69" s="27">
        <f t="shared" si="2"/>
        <v>54.76</v>
      </c>
      <c r="I69" s="27">
        <f t="shared" si="3"/>
        <v>833.56000000000006</v>
      </c>
      <c r="J69" s="26">
        <f t="shared" si="4"/>
        <v>13770.112500000007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8" customHeight="1" x14ac:dyDescent="0.3">
      <c r="A70" s="5"/>
      <c r="B70" s="24">
        <f t="shared" si="0"/>
        <v>33</v>
      </c>
      <c r="C70" s="25">
        <f t="shared" si="5"/>
        <v>44197</v>
      </c>
      <c r="D70" s="26">
        <f t="shared" si="6"/>
        <v>13770.112500000007</v>
      </c>
      <c r="E70" s="27">
        <f t="shared" si="1"/>
        <v>888.32</v>
      </c>
      <c r="F70" s="30"/>
      <c r="G70" s="30"/>
      <c r="H70" s="27">
        <f t="shared" si="2"/>
        <v>51.64</v>
      </c>
      <c r="I70" s="27">
        <f t="shared" si="3"/>
        <v>836.68000000000006</v>
      </c>
      <c r="J70" s="26">
        <f t="shared" si="4"/>
        <v>12933.432500000006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8" customHeight="1" x14ac:dyDescent="0.3">
      <c r="A71" s="5"/>
      <c r="B71" s="24">
        <f t="shared" si="0"/>
        <v>34</v>
      </c>
      <c r="C71" s="25">
        <f t="shared" si="5"/>
        <v>44228</v>
      </c>
      <c r="D71" s="26">
        <f t="shared" si="6"/>
        <v>12933.432500000006</v>
      </c>
      <c r="E71" s="27">
        <f t="shared" si="1"/>
        <v>888.32</v>
      </c>
      <c r="F71" s="30"/>
      <c r="G71" s="30"/>
      <c r="H71" s="27">
        <f t="shared" si="2"/>
        <v>48.5</v>
      </c>
      <c r="I71" s="27">
        <f t="shared" si="3"/>
        <v>839.82</v>
      </c>
      <c r="J71" s="26">
        <f t="shared" si="4"/>
        <v>12093.612500000007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8" customHeight="1" x14ac:dyDescent="0.3">
      <c r="A72" s="5"/>
      <c r="B72" s="24">
        <f t="shared" si="0"/>
        <v>35</v>
      </c>
      <c r="C72" s="25">
        <f t="shared" si="5"/>
        <v>44256</v>
      </c>
      <c r="D72" s="26">
        <f t="shared" si="6"/>
        <v>12093.612500000007</v>
      </c>
      <c r="E72" s="27">
        <f t="shared" si="1"/>
        <v>888.32</v>
      </c>
      <c r="F72" s="30"/>
      <c r="G72" s="30"/>
      <c r="H72" s="27">
        <f t="shared" si="2"/>
        <v>45.35</v>
      </c>
      <c r="I72" s="27">
        <f t="shared" si="3"/>
        <v>842.97</v>
      </c>
      <c r="J72" s="26">
        <f t="shared" si="4"/>
        <v>11250.642500000007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8" customHeight="1" x14ac:dyDescent="0.3">
      <c r="A73" s="5"/>
      <c r="B73" s="24">
        <f t="shared" si="0"/>
        <v>36</v>
      </c>
      <c r="C73" s="25">
        <f t="shared" si="5"/>
        <v>44287</v>
      </c>
      <c r="D73" s="26">
        <f t="shared" si="6"/>
        <v>11250.642500000007</v>
      </c>
      <c r="E73" s="27">
        <f t="shared" si="1"/>
        <v>888.32</v>
      </c>
      <c r="F73" s="30"/>
      <c r="G73" s="30"/>
      <c r="H73" s="27">
        <f t="shared" si="2"/>
        <v>42.19</v>
      </c>
      <c r="I73" s="27">
        <f t="shared" si="3"/>
        <v>846.13000000000011</v>
      </c>
      <c r="J73" s="26">
        <f t="shared" si="4"/>
        <v>10404.512500000008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8" customHeight="1" x14ac:dyDescent="0.3">
      <c r="A74" s="5"/>
      <c r="B74" s="24">
        <f t="shared" si="0"/>
        <v>37</v>
      </c>
      <c r="C74" s="25">
        <f t="shared" si="5"/>
        <v>44317</v>
      </c>
      <c r="D74" s="26">
        <f t="shared" si="6"/>
        <v>10404.512500000008</v>
      </c>
      <c r="E74" s="27">
        <f t="shared" si="1"/>
        <v>888.32</v>
      </c>
      <c r="F74" s="30"/>
      <c r="G74" s="30"/>
      <c r="H74" s="27">
        <f t="shared" si="2"/>
        <v>39.020000000000003</v>
      </c>
      <c r="I74" s="27">
        <f t="shared" si="3"/>
        <v>849.30000000000007</v>
      </c>
      <c r="J74" s="26">
        <f t="shared" si="4"/>
        <v>9555.2125000000087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8" customHeight="1" x14ac:dyDescent="0.3">
      <c r="A75" s="5"/>
      <c r="B75" s="24">
        <f t="shared" si="0"/>
        <v>38</v>
      </c>
      <c r="C75" s="25">
        <f t="shared" si="5"/>
        <v>44348</v>
      </c>
      <c r="D75" s="26">
        <f t="shared" si="6"/>
        <v>9555.2125000000087</v>
      </c>
      <c r="E75" s="27">
        <f t="shared" si="1"/>
        <v>888.32</v>
      </c>
      <c r="F75" s="30"/>
      <c r="G75" s="30"/>
      <c r="H75" s="27">
        <f t="shared" si="2"/>
        <v>35.83</v>
      </c>
      <c r="I75" s="27">
        <f t="shared" si="3"/>
        <v>852.49</v>
      </c>
      <c r="J75" s="26">
        <f t="shared" si="4"/>
        <v>8702.7225000000089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8" customHeight="1" x14ac:dyDescent="0.3">
      <c r="A76" s="5"/>
      <c r="B76" s="24">
        <f t="shared" si="0"/>
        <v>39</v>
      </c>
      <c r="C76" s="25">
        <f t="shared" si="5"/>
        <v>44378</v>
      </c>
      <c r="D76" s="26">
        <f t="shared" si="6"/>
        <v>8702.7225000000089</v>
      </c>
      <c r="E76" s="27">
        <f t="shared" si="1"/>
        <v>888.32</v>
      </c>
      <c r="F76" s="30"/>
      <c r="G76" s="30"/>
      <c r="H76" s="27">
        <f t="shared" si="2"/>
        <v>32.64</v>
      </c>
      <c r="I76" s="27">
        <f t="shared" si="3"/>
        <v>855.68000000000006</v>
      </c>
      <c r="J76" s="26">
        <f t="shared" si="4"/>
        <v>7847.0425000000087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8" customHeight="1" x14ac:dyDescent="0.3">
      <c r="A77" s="5"/>
      <c r="B77" s="24">
        <f t="shared" si="0"/>
        <v>40</v>
      </c>
      <c r="C77" s="25">
        <f t="shared" si="5"/>
        <v>44409</v>
      </c>
      <c r="D77" s="26">
        <f t="shared" si="6"/>
        <v>7847.0425000000087</v>
      </c>
      <c r="E77" s="27">
        <f t="shared" si="1"/>
        <v>888.32</v>
      </c>
      <c r="F77" s="30"/>
      <c r="G77" s="30"/>
      <c r="H77" s="27">
        <f t="shared" si="2"/>
        <v>29.43</v>
      </c>
      <c r="I77" s="27">
        <f t="shared" si="3"/>
        <v>858.8900000000001</v>
      </c>
      <c r="J77" s="26">
        <f t="shared" si="4"/>
        <v>6988.1525000000083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8" customHeight="1" x14ac:dyDescent="0.3">
      <c r="A78" s="5"/>
      <c r="B78" s="24">
        <f t="shared" si="0"/>
        <v>41</v>
      </c>
      <c r="C78" s="25">
        <f t="shared" si="5"/>
        <v>44440</v>
      </c>
      <c r="D78" s="26">
        <f t="shared" si="6"/>
        <v>6988.1525000000083</v>
      </c>
      <c r="E78" s="27">
        <f t="shared" si="1"/>
        <v>888.32</v>
      </c>
      <c r="F78" s="30"/>
      <c r="G78" s="30"/>
      <c r="H78" s="27">
        <f t="shared" si="2"/>
        <v>26.21</v>
      </c>
      <c r="I78" s="27">
        <f t="shared" si="3"/>
        <v>862.11</v>
      </c>
      <c r="J78" s="26">
        <f t="shared" si="4"/>
        <v>6126.0425000000087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8" customHeight="1" x14ac:dyDescent="0.3">
      <c r="A79" s="5"/>
      <c r="B79" s="24">
        <f t="shared" si="0"/>
        <v>42</v>
      </c>
      <c r="C79" s="25">
        <f t="shared" si="5"/>
        <v>44470</v>
      </c>
      <c r="D79" s="26">
        <f t="shared" si="6"/>
        <v>6126.0425000000087</v>
      </c>
      <c r="E79" s="27">
        <f t="shared" si="1"/>
        <v>888.32</v>
      </c>
      <c r="F79" s="30"/>
      <c r="G79" s="30"/>
      <c r="H79" s="27">
        <f t="shared" si="2"/>
        <v>22.97</v>
      </c>
      <c r="I79" s="27">
        <f t="shared" si="3"/>
        <v>865.35</v>
      </c>
      <c r="J79" s="26">
        <f t="shared" si="4"/>
        <v>5260.6925000000083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8" customHeight="1" x14ac:dyDescent="0.3">
      <c r="A80" s="5"/>
      <c r="B80" s="24">
        <f t="shared" si="0"/>
        <v>43</v>
      </c>
      <c r="C80" s="25">
        <f t="shared" si="5"/>
        <v>44501</v>
      </c>
      <c r="D80" s="26">
        <f t="shared" si="6"/>
        <v>5260.6925000000083</v>
      </c>
      <c r="E80" s="27">
        <f t="shared" si="1"/>
        <v>888.32</v>
      </c>
      <c r="F80" s="30"/>
      <c r="G80" s="30"/>
      <c r="H80" s="27">
        <f t="shared" si="2"/>
        <v>19.73</v>
      </c>
      <c r="I80" s="27">
        <f t="shared" si="3"/>
        <v>868.59</v>
      </c>
      <c r="J80" s="26">
        <f t="shared" si="4"/>
        <v>4392.1025000000081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8" customHeight="1" x14ac:dyDescent="0.3">
      <c r="A81" s="5"/>
      <c r="B81" s="24">
        <f t="shared" si="0"/>
        <v>44</v>
      </c>
      <c r="C81" s="25">
        <f t="shared" si="5"/>
        <v>44531</v>
      </c>
      <c r="D81" s="26">
        <f t="shared" si="6"/>
        <v>4392.1025000000081</v>
      </c>
      <c r="E81" s="27">
        <f t="shared" si="1"/>
        <v>888.32</v>
      </c>
      <c r="F81" s="30"/>
      <c r="G81" s="30"/>
      <c r="H81" s="27">
        <f t="shared" si="2"/>
        <v>16.47</v>
      </c>
      <c r="I81" s="27">
        <f t="shared" si="3"/>
        <v>871.85</v>
      </c>
      <c r="J81" s="26">
        <f t="shared" si="4"/>
        <v>3520.2525000000082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8" customHeight="1" x14ac:dyDescent="0.3">
      <c r="A82" s="5"/>
      <c r="B82" s="24">
        <f t="shared" si="0"/>
        <v>45</v>
      </c>
      <c r="C82" s="25">
        <f t="shared" si="5"/>
        <v>44562</v>
      </c>
      <c r="D82" s="26">
        <f t="shared" si="6"/>
        <v>3520.2525000000082</v>
      </c>
      <c r="E82" s="27">
        <f t="shared" si="1"/>
        <v>888.32</v>
      </c>
      <c r="F82" s="30"/>
      <c r="G82" s="30"/>
      <c r="H82" s="27">
        <f t="shared" si="2"/>
        <v>13.2</v>
      </c>
      <c r="I82" s="27">
        <f t="shared" si="3"/>
        <v>875.12</v>
      </c>
      <c r="J82" s="26">
        <f t="shared" si="4"/>
        <v>2645.1325000000083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8" customHeight="1" x14ac:dyDescent="0.3">
      <c r="A83" s="5"/>
      <c r="B83" s="24">
        <f t="shared" si="0"/>
        <v>46</v>
      </c>
      <c r="C83" s="25">
        <f t="shared" si="5"/>
        <v>44593</v>
      </c>
      <c r="D83" s="26">
        <f t="shared" si="6"/>
        <v>2645.1325000000083</v>
      </c>
      <c r="E83" s="27">
        <f t="shared" si="1"/>
        <v>888.32</v>
      </c>
      <c r="F83" s="30"/>
      <c r="G83" s="30"/>
      <c r="H83" s="27">
        <f t="shared" si="2"/>
        <v>9.92</v>
      </c>
      <c r="I83" s="27">
        <f t="shared" si="3"/>
        <v>878.40000000000009</v>
      </c>
      <c r="J83" s="26">
        <f t="shared" si="4"/>
        <v>1766.7325000000083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8" customHeight="1" x14ac:dyDescent="0.3">
      <c r="A84" s="5"/>
      <c r="B84" s="24">
        <f t="shared" si="0"/>
        <v>47</v>
      </c>
      <c r="C84" s="25">
        <f t="shared" si="5"/>
        <v>44621</v>
      </c>
      <c r="D84" s="26">
        <f t="shared" si="6"/>
        <v>1766.7325000000083</v>
      </c>
      <c r="E84" s="27">
        <f t="shared" si="1"/>
        <v>888.32</v>
      </c>
      <c r="F84" s="30"/>
      <c r="G84" s="30"/>
      <c r="H84" s="27">
        <f t="shared" si="2"/>
        <v>6.63</v>
      </c>
      <c r="I84" s="27">
        <f t="shared" si="3"/>
        <v>881.69</v>
      </c>
      <c r="J84" s="26">
        <f t="shared" si="4"/>
        <v>885.0425000000082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8" customHeight="1" x14ac:dyDescent="0.3">
      <c r="A85" s="5"/>
      <c r="B85" s="24">
        <f t="shared" si="0"/>
        <v>48</v>
      </c>
      <c r="C85" s="25">
        <f t="shared" si="5"/>
        <v>44652</v>
      </c>
      <c r="D85" s="26">
        <f t="shared" si="6"/>
        <v>885.0425000000082</v>
      </c>
      <c r="E85" s="27">
        <f t="shared" si="1"/>
        <v>888.36</v>
      </c>
      <c r="F85" s="30"/>
      <c r="G85" s="30"/>
      <c r="H85" s="27">
        <f t="shared" si="2"/>
        <v>3.32</v>
      </c>
      <c r="I85" s="27">
        <f t="shared" si="3"/>
        <v>885.04</v>
      </c>
      <c r="J85" s="26">
        <f t="shared" si="4"/>
        <v>2.500000008240022E-3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8" customHeight="1" x14ac:dyDescent="0.3">
      <c r="A86" s="5"/>
      <c r="B86" s="24" t="str">
        <f t="shared" si="0"/>
        <v/>
      </c>
      <c r="C86" s="25" t="str">
        <f t="shared" si="5"/>
        <v/>
      </c>
      <c r="D86" s="26" t="str">
        <f t="shared" si="6"/>
        <v/>
      </c>
      <c r="E86" s="27" t="str">
        <f t="shared" si="1"/>
        <v/>
      </c>
      <c r="F86" s="30"/>
      <c r="G86" s="30"/>
      <c r="H86" s="27" t="str">
        <f t="shared" si="2"/>
        <v/>
      </c>
      <c r="I86" s="27" t="str">
        <f t="shared" si="3"/>
        <v/>
      </c>
      <c r="J86" s="26" t="str">
        <f t="shared" si="4"/>
        <v/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4.4" x14ac:dyDescent="0.3">
      <c r="A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36" customHeight="1" x14ac:dyDescent="0.3">
      <c r="A88" s="1"/>
      <c r="K88" s="4"/>
      <c r="L88" s="4"/>
      <c r="M88" s="4"/>
      <c r="N88" s="4" t="s">
        <v>67</v>
      </c>
      <c r="O88" s="4"/>
      <c r="P88" s="4"/>
      <c r="Q88" s="4"/>
      <c r="R88" s="4"/>
      <c r="S88" s="4"/>
      <c r="T88" s="4"/>
      <c r="U88" s="4"/>
    </row>
    <row r="89" spans="1:21" ht="14.4" x14ac:dyDescent="0.3">
      <c r="A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4.4" x14ac:dyDescent="0.3">
      <c r="A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4.4" x14ac:dyDescent="0.3">
      <c r="A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4.4" x14ac:dyDescent="0.3">
      <c r="A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4.4" x14ac:dyDescent="0.3">
      <c r="A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4.4" x14ac:dyDescent="0.3">
      <c r="A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4.4" x14ac:dyDescent="0.3">
      <c r="A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4.4" x14ac:dyDescent="0.3">
      <c r="A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4.4" x14ac:dyDescent="0.3">
      <c r="A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4.4" x14ac:dyDescent="0.3">
      <c r="A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4.4" x14ac:dyDescent="0.3">
      <c r="A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4.4" x14ac:dyDescent="0.3">
      <c r="A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4.4" x14ac:dyDescent="0.3">
      <c r="A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4.4" x14ac:dyDescent="0.3">
      <c r="A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4.4" x14ac:dyDescent="0.3">
      <c r="A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4.4" x14ac:dyDescent="0.3">
      <c r="A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4.4" x14ac:dyDescent="0.3">
      <c r="A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4.4" x14ac:dyDescent="0.3">
      <c r="A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4.4" x14ac:dyDescent="0.3">
      <c r="A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4.4" x14ac:dyDescent="0.3">
      <c r="A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4.4" x14ac:dyDescent="0.3">
      <c r="A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4.4" x14ac:dyDescent="0.3">
      <c r="A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4.4" x14ac:dyDescent="0.3">
      <c r="A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4.4" x14ac:dyDescent="0.3">
      <c r="A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4.4" x14ac:dyDescent="0.3">
      <c r="A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4.4" x14ac:dyDescent="0.3">
      <c r="A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4.4" x14ac:dyDescent="0.3">
      <c r="A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4.4" x14ac:dyDescent="0.3">
      <c r="A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4.4" x14ac:dyDescent="0.3">
      <c r="A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4.4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4.4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4.4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4.4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4.4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4.4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4.4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4.4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4.4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4.4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4.4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4.4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4.4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4.4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4.4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4.4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4.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4.4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4.4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4.4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4.4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4.4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4.4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4.4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4.4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4.4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4.4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4.4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4.4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4.4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4.4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4.4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4.4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4.4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4.4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4.4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4.4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4.4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4.4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4.4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4.4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4.4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4.4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4.4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4.4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4.4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4.4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4.4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4.4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4.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4.4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4.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4.4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4.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4.4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4.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4.4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4.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4.4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4.4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4.4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4.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4.4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4.4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4.4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4.4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4.4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4.4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4.4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4.4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4.4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4.4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4.4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4.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4.4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4.4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4.4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4.4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4.4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4.4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4.4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4.4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4.4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4.4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4.4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4.4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4.4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4.4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4.4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4.4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4.4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4.4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4.4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4.4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4.4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4.4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4.4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4.4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4.4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4.4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4.4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4.4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4.4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4.4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4.4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4.4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4.4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4.4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4.4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4.4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4.4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4.4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4.4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4.4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4.4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4.4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4.4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4.4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4.4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4.4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4.4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4.4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4.4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4.4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4.4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4.4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4.4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4.4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4.4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4.4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4.4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4.4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4.4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4.4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4.4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4.4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4.4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4.4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4.4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4.4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4.4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4.4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4.4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4.4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4.4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4.4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4.4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4.4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4.4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4.4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4.4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4.4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4.4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4.4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4.4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4.4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4.4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4.4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4.4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4.4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4.4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4.4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4.4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4.4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4.4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4.4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4.4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4.4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4.4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4.4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4.4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4.4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4.4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4.4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4.4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4.4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4.4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4.4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4.4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4.4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4.4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4.4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4.4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4.4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4.4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4.4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4.4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4.4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4.4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4.4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4.4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4.4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4.4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4.4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4.4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4.4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4.4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4.4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4.4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4.4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4.4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4.4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4.4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4.4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4.4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4.4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4.4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4.4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4.4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4.4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4.4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4.4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4.4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4.4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4.4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4.4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4.4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4.4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4.4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4.4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4.4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4.4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4.4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4.4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4.4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4.4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4.4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4.4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4.4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4.4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4.4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4.4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4.4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4.4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4.4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4.4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4.4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4.4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4.4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4.4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4.4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4.4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4.4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4.4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4.4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4.4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4.4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4.4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4.4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4.4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4.4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4.4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4.4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4.4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4.4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4.4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4.4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4.4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4.4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4.4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4.4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4.4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4.4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4.4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4.4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4.4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4.4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4.4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4.4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4.4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4.4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4.4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4.4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4.4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4.4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4.4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4.4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4.4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4.4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4.4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4.4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4.4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4.4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4.4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4.4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4.4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4.4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4.4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4.4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4.4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4.4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4.4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4.4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4.4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4.4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4.4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4.4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4.4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4.4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4.4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4.4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4.4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4.4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4.4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4.4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4.4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4.4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4.4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4.4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4.4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4.4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4.4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4.4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4.4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4.4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4.4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4.4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4.4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4.4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4.4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4.4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4.4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4.4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4.4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4.4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4.4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4.4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4.4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4.4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4.4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4.4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4.4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4.4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4.4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4.4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4.4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4.4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4.4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4.4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4.4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4.4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4.4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4.4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4.4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4.4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4.4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4.4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4.4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4.4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4.4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4.4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4.4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4.4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4.4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4.4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4.4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4.4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4.4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4.4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4.4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4.4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4.4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4.4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4.4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4.4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4.4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4.4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4.4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4.4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4.4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4.4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4.4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4.4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4.4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4.4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4.4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4.4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4.4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4.4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4.4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4.4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4.4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4.4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4.4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4.4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4.4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4.4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4.4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4.4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4.4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4.4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4.4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4.4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4.4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4.4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4.4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4.4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4.4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4.4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4.4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4.4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4.4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4.4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4.4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4.4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4.4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4.4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4.4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4.4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4.4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4.4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4.4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4.4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4.4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4.4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4.4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4.4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4.4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4.4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4.4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4.4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4.4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4.4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4.4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4.4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4.4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4.4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4.4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4.4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4.4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4.4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4.4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4.4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4.4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4.4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4.4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4.4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4.4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4.4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4.4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4.4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4.4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4.4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4.4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4.4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4.4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4.4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4.4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4.4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4.4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4.4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4.4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4.4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4.4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4.4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4.4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4.4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4.4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4.4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4.4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4.4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4.4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4.4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4.4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4.4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4.4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4.4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4.4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4.4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4.4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4.4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4.4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4.4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4.4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4.4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4.4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4.4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4.4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4.4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4.4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4.4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4.4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4.4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4.4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4.4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4.4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4.4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4.4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4.4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4.4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4.4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4.4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4.4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4.4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4.4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4.4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4.4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4.4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4.4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4.4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4.4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4.4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4.4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4.4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4.4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4.4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4.4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4.4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4.4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4.4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4.4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4.4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4.4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4.4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4.4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4.4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4.4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4.4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4.4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4.4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4.4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4.4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4.4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4.4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4.4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4.4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4.4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4.4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4.4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4.4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4.4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4.4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4.4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4.4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4.4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4.4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4.4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4.4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4.4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4.4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4.4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4.4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4.4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4.4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4.4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4.4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4.4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4.4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4.4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4.4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4.4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4.4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4.4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4.4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4.4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4.4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4.4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4.4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4.4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4.4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4.4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4.4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4.4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4.4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4.4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4.4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4.4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4.4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4.4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4.4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4.4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4.4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4.4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14.4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4.4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4.4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4.4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4.4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4.4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4.4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4.4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4.4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4.4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4.4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4.4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4.4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4.4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4.4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4.4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4.4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4.4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4.4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4.4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4.4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4.4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4.4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4.4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4.4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4.4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4.4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4.4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4.4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4.4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4.4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4.4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4.4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4.4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4.4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4.4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4.4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4.4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4.4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4.4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4.4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4.4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4.4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4.4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4.4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4.4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4.4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4.4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4.4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4.4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4.4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4.4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4.4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4.4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4.4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4.4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4.4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4.4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4.4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4.4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4.4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4.4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4.4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4.4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4.4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4.4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4.4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4.4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4.4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4.4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4.4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4.4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4.4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4.4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4.4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4.4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4.4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4.4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4.4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4.4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4.4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4.4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4.4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4.4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4.4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4.4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4.4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4.4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4.4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4.4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4.4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4.4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4.4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4.4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4.4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4.4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4.4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4.4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4.4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4.4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4.4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4.4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4.4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4.4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4.4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4.4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4.4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4.4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4.4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4.4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4.4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4.4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4.4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4.4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4.4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4.4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4.4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4.4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4.4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4.4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4.4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4.4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4.4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4.4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4.4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4.4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4.4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4.4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4.4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4.4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4.4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4.4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4.4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4.4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4.4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4.4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4.4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4.4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4.4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4.4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4.4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4.4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4.4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4.4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4.4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4.4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4.4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4.4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4.4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4.4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4.4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4.4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4.4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4.4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4.4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4.4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4.4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4.4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4.4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4.4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4.4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4.4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4.4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4.4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4.4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4.4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4.4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4.4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4.4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4.4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4.4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4.4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4.4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4.4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4.4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4.4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4.4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4.4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4.4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4.4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4.4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4.4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4.4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4.4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4.4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4.4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4.4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4.4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4.4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4.4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4.4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4.4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4.4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4.4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4.4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4.4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4.4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4.4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4.4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4.4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4.4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4.4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4.4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4.4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4.4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4.4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4.4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4.4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4.4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4.4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4.4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4.4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4.4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4.4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4.4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4.4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4.4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4.4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4.4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4.4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4.4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4.4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4.4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4.4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4.4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4.4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4.4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4.4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4.4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4.4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4.4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4.4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4.4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4.4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4.4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4.4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4.4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4.4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4.4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4.4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4.4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4.4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4.4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4.4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4.4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4.4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4.4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4.4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4.4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4.4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4.4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</sheetData>
  <mergeCells count="67">
    <mergeCell ref="H24:I24"/>
    <mergeCell ref="H19:I19"/>
    <mergeCell ref="B10:C10"/>
    <mergeCell ref="D10:E10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H22:I22"/>
    <mergeCell ref="H23:I23"/>
    <mergeCell ref="D12:E12"/>
    <mergeCell ref="D11:E11"/>
    <mergeCell ref="B11:C11"/>
    <mergeCell ref="B12:C12"/>
    <mergeCell ref="H18:I18"/>
    <mergeCell ref="C16:D16"/>
    <mergeCell ref="D9:E9"/>
    <mergeCell ref="B9:C9"/>
    <mergeCell ref="H7:I7"/>
    <mergeCell ref="H8:I8"/>
    <mergeCell ref="B7:C7"/>
    <mergeCell ref="B8:C8"/>
    <mergeCell ref="D8:E8"/>
    <mergeCell ref="D7:E7"/>
    <mergeCell ref="H4:I4"/>
    <mergeCell ref="H3:I3"/>
    <mergeCell ref="D6:E6"/>
    <mergeCell ref="H5:I5"/>
    <mergeCell ref="H6:I6"/>
    <mergeCell ref="D5:E5"/>
    <mergeCell ref="B35:J35"/>
    <mergeCell ref="C29:D29"/>
    <mergeCell ref="M3:O3"/>
    <mergeCell ref="H11:I11"/>
    <mergeCell ref="H10:I10"/>
    <mergeCell ref="H20:I20"/>
    <mergeCell ref="H21:I21"/>
    <mergeCell ref="H14:I14"/>
    <mergeCell ref="H15:I15"/>
    <mergeCell ref="H17:I17"/>
    <mergeCell ref="H13:I13"/>
    <mergeCell ref="H12:I12"/>
    <mergeCell ref="B3:C3"/>
    <mergeCell ref="B4:C6"/>
    <mergeCell ref="D4:E4"/>
    <mergeCell ref="D3:E3"/>
    <mergeCell ref="H36:H37"/>
    <mergeCell ref="I36:I37"/>
    <mergeCell ref="C25:E25"/>
    <mergeCell ref="B36:B37"/>
    <mergeCell ref="C36:C37"/>
    <mergeCell ref="D36:D37"/>
    <mergeCell ref="E36:E37"/>
    <mergeCell ref="F36:F37"/>
    <mergeCell ref="C30:D30"/>
    <mergeCell ref="H27:I27"/>
    <mergeCell ref="H25:I25"/>
    <mergeCell ref="H29:J30"/>
    <mergeCell ref="C27:D27"/>
    <mergeCell ref="C26:D26"/>
    <mergeCell ref="H26:I26"/>
    <mergeCell ref="C28:D28"/>
  </mergeCells>
  <dataValidations count="2">
    <dataValidation type="list" allowBlank="1" showErrorMessage="1" sqref="E22">
      <formula1>"Annually,Semi-Annually,Quarterly,Bi-Monthly,Monthly,Semi-Monthly,Bi-Weekly"</formula1>
    </dataValidation>
    <dataValidation type="list" allowBlank="1" showErrorMessage="1" sqref="J11:J12">
      <formula1>"true,false"</formula1>
    </dataValidation>
  </dataValidations>
  <hyperlinks>
    <hyperlink ref="M3:O3" r:id="rId1" display="CLICK HERE TO CREATE AUTO LOAN AMORTIZATION SCHEDULES IN SMARTSHEET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Loan Amortization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Alexandra Ragazhinskaya</cp:lastModifiedBy>
  <dcterms:created xsi:type="dcterms:W3CDTF">2017-01-30T13:29:56Z</dcterms:created>
  <dcterms:modified xsi:type="dcterms:W3CDTF">2017-07-21T00:11:14Z</dcterms:modified>
</cp:coreProperties>
</file>