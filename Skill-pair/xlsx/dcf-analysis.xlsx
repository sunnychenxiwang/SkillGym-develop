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Non Course Content\Macabacus Learning Resources\Complete Models - Complete\"/>
    </mc:Choice>
  </mc:AlternateContent>
  <xr:revisionPtr revIDLastSave="0" documentId="13_ncr:1_{E169E7A7-6CC4-4537-963D-E8888F24D2D1}" xr6:coauthVersionLast="47" xr6:coauthVersionMax="47" xr10:uidLastSave="{00000000-0000-0000-0000-000000000000}"/>
  <bookViews>
    <workbookView xWindow="-96" yWindow="-96" windowWidth="23232" windowHeight="12696" xr2:uid="{00000000-000D-0000-FFFF-FFFF00000000}"/>
  </bookViews>
  <sheets>
    <sheet name="Cover Page" sheetId="13" r:id="rId1"/>
    <sheet name="DCF" sheetId="12" r:id="rId2"/>
  </sheets>
  <definedNames>
    <definedName name="_tags1" localSheetId="1" hidden="1">"&lt;tags&gt;&lt;tag n=""Palette"" v=""3"" /&gt;&lt;tag n=""ClosestPalette"" v=""3"" /&gt;&lt;/tags&gt;"</definedName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'Cover Page'!$A$1:$N$52</definedName>
    <definedName name="_xlnm.Print_Area" localSheetId="1">DCF!$B$3:$P$44,DCF!$B$46:$P$82</definedName>
  </definedNames>
  <calcPr calcId="191029" calcMode="autoNoTable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2" l="1"/>
  <c r="I8" i="12" s="1"/>
  <c r="J8" i="12" s="1"/>
  <c r="K8" i="12" s="1"/>
  <c r="L8" i="12" s="1"/>
  <c r="M8" i="12" s="1"/>
  <c r="N8" i="12" s="1"/>
  <c r="O8" i="12" s="1"/>
  <c r="P8" i="12" s="1"/>
  <c r="H11" i="12"/>
  <c r="I11" i="12"/>
  <c r="J11" i="12"/>
  <c r="K11" i="12"/>
  <c r="L11" i="12"/>
  <c r="M11" i="12"/>
  <c r="N11" i="12"/>
  <c r="O11" i="12"/>
  <c r="P11" i="12"/>
  <c r="G11" i="12"/>
  <c r="F35" i="12" l="1"/>
  <c r="F41" i="12"/>
  <c r="B40" i="12"/>
  <c r="B34" i="12"/>
  <c r="K79" i="12" l="1"/>
  <c r="J79" i="12"/>
  <c r="I79" i="12"/>
  <c r="G79" i="12"/>
  <c r="F79" i="12"/>
  <c r="E79" i="12"/>
  <c r="E78" i="12"/>
  <c r="I78" i="12" s="1"/>
  <c r="K72" i="12"/>
  <c r="J72" i="12"/>
  <c r="I72" i="12"/>
  <c r="I71" i="12"/>
  <c r="G60" i="12"/>
  <c r="F60" i="12"/>
  <c r="E60" i="12"/>
  <c r="K60" i="12"/>
  <c r="J60" i="12"/>
  <c r="I60" i="12"/>
  <c r="E59" i="12"/>
  <c r="I59" i="12" s="1"/>
  <c r="K53" i="12"/>
  <c r="J53" i="12"/>
  <c r="I53" i="12"/>
  <c r="I52" i="12"/>
  <c r="C54" i="12" l="1"/>
  <c r="C62" i="12"/>
  <c r="C74" i="12"/>
  <c r="C81" i="12"/>
  <c r="C56" i="12"/>
  <c r="C75" i="12" l="1"/>
  <c r="C82" i="12"/>
  <c r="C63" i="12"/>
  <c r="C80" i="12"/>
  <c r="C61" i="12"/>
  <c r="C73" i="12"/>
  <c r="K34" i="12" l="1"/>
  <c r="H24" i="12" l="1"/>
  <c r="I24" i="12" l="1"/>
  <c r="J24" i="12" l="1"/>
  <c r="K24" i="12" l="1"/>
  <c r="L24" i="12" l="1"/>
  <c r="N24" i="12" l="1"/>
  <c r="M24" i="12"/>
  <c r="P24" i="12" l="1"/>
  <c r="O24" i="12"/>
  <c r="H25" i="12" l="1"/>
  <c r="I25" i="12"/>
  <c r="J25" i="12"/>
  <c r="K25" i="12"/>
  <c r="L25" i="12"/>
  <c r="M25" i="12"/>
  <c r="N25" i="12"/>
  <c r="O25" i="12"/>
  <c r="P25" i="12"/>
  <c r="G24" i="12" l="1"/>
  <c r="G25" i="12" l="1"/>
  <c r="G30" i="12" l="1"/>
  <c r="G35" i="12" s="1"/>
  <c r="H30" i="12"/>
  <c r="H41" i="12" s="1"/>
  <c r="I30" i="12"/>
  <c r="J30" i="12"/>
  <c r="K30" i="12"/>
  <c r="K40" i="12" s="1"/>
  <c r="K41" i="12" s="1"/>
  <c r="L30" i="12"/>
  <c r="M30" i="12"/>
  <c r="N30" i="12"/>
  <c r="O30" i="12"/>
  <c r="P30" i="12"/>
  <c r="E61" i="12"/>
  <c r="G63" i="12"/>
  <c r="F82" i="12"/>
  <c r="E81" i="12" l="1"/>
  <c r="F62" i="12"/>
  <c r="H35" i="12"/>
  <c r="K35" i="12"/>
  <c r="E82" i="12"/>
  <c r="G80" i="12"/>
  <c r="F63" i="12"/>
  <c r="E62" i="12"/>
  <c r="F56" i="12"/>
  <c r="J56" i="12" s="1"/>
  <c r="J63" i="12" s="1"/>
  <c r="G81" i="12"/>
  <c r="F80" i="12"/>
  <c r="E63" i="12"/>
  <c r="G61" i="12"/>
  <c r="G41" i="12"/>
  <c r="G82" i="12"/>
  <c r="F81" i="12"/>
  <c r="E80" i="12"/>
  <c r="G62" i="12"/>
  <c r="F61" i="12"/>
  <c r="F75" i="12"/>
  <c r="J75" i="12" s="1"/>
  <c r="J82" i="12" s="1"/>
  <c r="E55" i="12"/>
  <c r="I55" i="12" s="1"/>
  <c r="I62" i="12" s="1"/>
  <c r="G56" i="12"/>
  <c r="K56" i="12" s="1"/>
  <c r="K63" i="12" s="1"/>
  <c r="E74" i="12"/>
  <c r="I74" i="12" s="1"/>
  <c r="I81" i="12" s="1"/>
  <c r="F73" i="12"/>
  <c r="J73" i="12" s="1"/>
  <c r="J80" i="12" s="1"/>
  <c r="F54" i="12"/>
  <c r="J54" i="12" s="1"/>
  <c r="J61" i="12" s="1"/>
  <c r="G75" i="12"/>
  <c r="K75" i="12" s="1"/>
  <c r="K82" i="12" s="1"/>
  <c r="G54" i="12"/>
  <c r="K54" i="12" s="1"/>
  <c r="K61" i="12" s="1"/>
  <c r="G73" i="12"/>
  <c r="K73" i="12" s="1"/>
  <c r="K80" i="12" s="1"/>
  <c r="J35" i="12"/>
  <c r="J41" i="12"/>
  <c r="I35" i="12"/>
  <c r="I41" i="12"/>
  <c r="F55" i="12"/>
  <c r="J55" i="12" s="1"/>
  <c r="J62" i="12" s="1"/>
  <c r="F74" i="12"/>
  <c r="J74" i="12" s="1"/>
  <c r="J81" i="12" s="1"/>
  <c r="E54" i="12"/>
  <c r="I54" i="12" s="1"/>
  <c r="I61" i="12" s="1"/>
  <c r="G55" i="12"/>
  <c r="K55" i="12" s="1"/>
  <c r="K62" i="12" s="1"/>
  <c r="E56" i="12"/>
  <c r="I56" i="12" s="1"/>
  <c r="I63" i="12" s="1"/>
  <c r="E73" i="12"/>
  <c r="I73" i="12" s="1"/>
  <c r="I80" i="12" s="1"/>
  <c r="G74" i="12"/>
  <c r="K74" i="12" s="1"/>
  <c r="K81" i="12" s="1"/>
  <c r="E75" i="12"/>
  <c r="I75" i="12" s="1"/>
  <c r="I82" i="12" s="1"/>
  <c r="F43" i="12" l="1"/>
  <c r="F44" i="12" s="1"/>
  <c r="F37" i="12"/>
  <c r="F38" i="12" s="1"/>
</calcChain>
</file>

<file path=xl/sharedStrings.xml><?xml version="1.0" encoding="utf-8"?>
<sst xmlns="http://schemas.openxmlformats.org/spreadsheetml/2006/main" count="89" uniqueCount="74">
  <si>
    <t>($ in millions, except per share data)</t>
  </si>
  <si>
    <t>EBITDA</t>
  </si>
  <si>
    <t>EBITA</t>
  </si>
  <si>
    <t>Terminal EBITDA Multiple</t>
  </si>
  <si>
    <t>Discount</t>
  </si>
  <si>
    <t>Rate</t>
  </si>
  <si>
    <t>(WACC)</t>
  </si>
  <si>
    <t>Implied Perpetuity Growth Rate</t>
  </si>
  <si>
    <t>Terminal Perpetuity Growth Rate</t>
  </si>
  <si>
    <t>Implied Terminal EBITDA Multiple</t>
  </si>
  <si>
    <t>Ending</t>
  </si>
  <si>
    <t>Net debt</t>
  </si>
  <si>
    <t>Tax rate</t>
  </si>
  <si>
    <t>( – ) Taxes</t>
  </si>
  <si>
    <t>( + ) Depreciation</t>
  </si>
  <si>
    <t>Unlevered net income</t>
  </si>
  <si>
    <t>( – ) Capital expenditures</t>
  </si>
  <si>
    <t>( – ) Change in working capital</t>
  </si>
  <si>
    <t>( – ) Change in deferred taxes</t>
  </si>
  <si>
    <t>Unlevered free cash flow</t>
  </si>
  <si>
    <t>Cumulative fractional years from close</t>
  </si>
  <si>
    <t>Check that XNPV yields same result as formulas below</t>
  </si>
  <si>
    <t>DCF Sensitivity – EBITDA Multiple Method</t>
  </si>
  <si>
    <t>DCF Sensitivity – Perpetuity Growth Method</t>
  </si>
  <si>
    <t>Enterprise Value</t>
  </si>
  <si>
    <t>Equity Value</t>
  </si>
  <si>
    <t>DCF valuation (XNPV) – EBITDA multiple method</t>
  </si>
  <si>
    <t>DCF valuation (XNPV) – perpetuity growth method</t>
  </si>
  <si>
    <t>Total cash flow – EBITDA multiple method</t>
  </si>
  <si>
    <t>Total cash flow – perpetuity growth method</t>
  </si>
  <si>
    <t>Unlevered Free Cash Flow (UFCF)</t>
  </si>
  <si>
    <t>DCF Valuation – XNPV Method</t>
  </si>
  <si>
    <t>Value Per Share</t>
  </si>
  <si>
    <t>Fractional years per period</t>
  </si>
  <si>
    <t>Discounted Cash Flow (DCF) Analysis</t>
  </si>
  <si>
    <t>Today</t>
  </si>
  <si>
    <t>3 Quarters</t>
  </si>
  <si>
    <t>Projected Fiscal Years Ending September 30,</t>
  </si>
  <si>
    <t>Assumptions</t>
  </si>
  <si>
    <t>Fully diluted shares outstanding</t>
  </si>
  <si>
    <t>NOTE:  Enterprise value can be computed more simply using TABLEs sensitizing the XNPV result to the WACC and terminal multiple, but TABLEs were purposefully avoided to illustrate how this sensitivity</t>
  </si>
  <si>
    <t>can be performed without TABLEs, which are slow to calculate.</t>
  </si>
  <si>
    <t>NOTE:  Enterprise value can be computed more simply using TABLEs sensitizing the XNPV result to the WACC and terminal growth rate, but TABLEs were purposefully avoided to illustrate how this sensitivity</t>
  </si>
  <si>
    <t>Strictly Confidential</t>
  </si>
  <si>
    <t>Table of Contents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</si>
  <si>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</si>
  <si>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</si>
  <si>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</si>
  <si>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</si>
  <si>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</si>
  <si>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 xml:space="preserve"> </t>
  </si>
  <si>
    <t>DCF Model</t>
  </si>
  <si>
    <t>Macabacus Discounted Cash Flow Model</t>
  </si>
  <si>
    <t>https://www.macabacus.com/</t>
  </si>
  <si>
    <t>feedback@macabacus.com</t>
  </si>
  <si>
    <t>© 2023 Macabacus, LLC</t>
  </si>
  <si>
    <t>DISCLAIMER</t>
  </si>
  <si>
    <t>is purely coincidental. Macabacus does not provide investment, accounting or tax advice. Additionally, tax and accounting rules used in the model are</t>
  </si>
  <si>
    <t>illustrative and may not reflect current tax or accounting rules and standards.</t>
  </si>
  <si>
    <t>Except as otherwise expressly stated, including but not limited to in a license or other agreement governing the use of specific content, all content in this</t>
  </si>
  <si>
    <t>model is provided "as is," and Macabacus makes no representations or warranties, express or implied, including but not limited to warranties</t>
  </si>
  <si>
    <t xml:space="preserve">of merchantability, fitness for a particular purpose, title or non-infringement of proprietary rights. Without limiting the foregoing, Macabacus </t>
  </si>
  <si>
    <t>makes no representation or warranty that content in this model is free from error or suitable for any purpose; nor that the use of such</t>
  </si>
  <si>
    <t xml:space="preserve">content will not infringe any third-party copyrights, trademarks or other intellectual property rights. You understand and agree that you </t>
  </si>
  <si>
    <t xml:space="preserve">download or otherwise obtain content through Macabacus' websites at your own discretion and risk, and that Macabacus will have no </t>
  </si>
  <si>
    <t>liability or responsibility for any damage to your computer system or data that results from the download or use of such content. Some</t>
  </si>
  <si>
    <t>jurisdictions may not allow the exclusion of implied warranties, so some of the above limitations may not apply to you.</t>
  </si>
  <si>
    <t>LIMITATION OF LIABILITY OF MACABACUS</t>
  </si>
  <si>
    <t>Except as otherwise expressly stated, including but not limited to in a license or other agreement governing the use of specific content, in no event will Macabacus</t>
  </si>
  <si>
    <t>be liabile to you or any other party for any direct, indirect, special, consequential or exemplary damages, regardless of the basis or nature of the claim, resulting</t>
  </si>
  <si>
    <t>from any use of this model, or the contents thereof, including without limitation any lost profits, business interruption, loss of data or otherwise, even if Macabacus</t>
  </si>
  <si>
    <t>was expressly advised of the possibility of such damages. Some jurisdictions may not allow the exclcusion or limitation of liability for certain incidental or</t>
  </si>
  <si>
    <t>consequential damages, so some of the above limitations may not apply to you.</t>
  </si>
  <si>
    <t>This model represents a hypothetical DCF of a hypothetical company. Any similarity between the financial metrics of this company and actual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</si>
</sst>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8" formatCode="&quot;$&quot;#,##0.00_);[Red]\(&quot;$&quot;#,##0.00\)"/>
    <numFmt numFmtId="164" formatCode="0.0%_);\(0.0%\);0.0%_);@_)"/>
    <numFmt numFmtId="165" formatCode="&quot;Year &quot;0"/>
    <numFmt numFmtId="166" formatCode="0&quot; mos.&quot;"/>
    <numFmt numFmtId="167" formatCode="_(&quot;$&quot;#,##0.0_)_%;_(\(&quot;$&quot;#,##0.0\)_%;_(&quot;–&quot;_)_%;@_(_%"/>
    <numFmt numFmtId="168" formatCode="_(#,##0.0_)_%;_(\(#,##0.0\)_%;_(&quot;–&quot;_)_%;@_(_%"/>
    <numFmt numFmtId="169" formatCode="_(0.0%_);\(0.0%\);_(&quot;–&quot;_)_%;@_(_%"/>
    <numFmt numFmtId="170" formatCode="_(#,##0.000_)_%;_(\(#,##0.000\)_%;_(&quot;–&quot;_)_%;@_(_%"/>
    <numFmt numFmtId="171" formatCode="_(&quot;$&quot;#,##0.00_)_%;_(\(&quot;$&quot;#,##0.00\)_%;_(&quot;–&quot;_)_%;@_(_%"/>
    <numFmt numFmtId="172" formatCode="_(#,##0.00_)_%;_(\(#,##0.00\)_%;_(&quot;–&quot;_)_%;@_(_%"/>
    <numFmt numFmtId="173" formatCode="m/d/yy;@"/>
    <numFmt numFmtId="174" formatCode="yyyy"/>
    <numFmt numFmtId="175" formatCode="_(0.0\x_)_)_';_(\(0.0\x\)_'_';_(&quot;–&quot;_)_%;@_(_%"/>
    <numFmt numFmtId="176" formatCode="_(0.0\x_)_);_(\(0.0\x\);_(&quot;–&quot;_)_%;@_(_%"/>
    <numFmt numFmtId="177" formatCode="_(#,##0_)_%;\(#,##0\)_%;_(&quot;–&quot;_)_%;_(@_)_%"/>
  </numFmts>
  <fonts count="40" x14ac:knownFonts="1">
    <font>
      <sz val="10"/>
      <name val="Arial"/>
    </font>
    <font>
      <sz val="10"/>
      <color theme="1"/>
      <name val="Open Sans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Open Sans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rgb="FF3271D2"/>
      <name val="Open Sans"/>
      <family val="2"/>
    </font>
    <font>
      <u/>
      <sz val="12"/>
      <color theme="10"/>
      <name val="Open Sans"/>
      <family val="2"/>
    </font>
    <font>
      <b/>
      <sz val="12"/>
      <color theme="0"/>
      <name val="Open Sans"/>
      <family val="2"/>
    </font>
    <font>
      <sz val="11"/>
      <color theme="0"/>
      <name val="Open Sans"/>
      <family val="2"/>
    </font>
    <font>
      <b/>
      <sz val="20"/>
      <color rgb="FF264E58"/>
      <name val="Open Sans"/>
      <family val="2"/>
    </font>
    <font>
      <b/>
      <sz val="14"/>
      <color rgb="FF264E58"/>
      <name val="Open Sans"/>
      <family val="2"/>
    </font>
    <font>
      <u/>
      <sz val="11"/>
      <color theme="0"/>
      <name val="Open Sans"/>
      <family val="2"/>
    </font>
    <font>
      <sz val="11"/>
      <color rgb="FFC32838"/>
      <name val="Calibri"/>
      <family val="2"/>
      <scheme val="minor"/>
    </font>
    <font>
      <sz val="12"/>
      <color rgb="FFFA621C"/>
      <name val="Calibri"/>
      <family val="2"/>
      <scheme val="minor"/>
    </font>
    <font>
      <sz val="12"/>
      <color theme="0"/>
      <name val="Open Sans"/>
      <family val="2"/>
    </font>
    <font>
      <sz val="12"/>
      <color rgb="FFC32838"/>
      <name val="Calibri"/>
      <family val="2"/>
      <scheme val="minor"/>
    </font>
    <font>
      <sz val="10"/>
      <name val="Open Sans"/>
      <family val="2"/>
    </font>
    <font>
      <b/>
      <sz val="16"/>
      <color indexed="8"/>
      <name val="Open Sans"/>
      <family val="2"/>
    </font>
    <font>
      <b/>
      <sz val="18"/>
      <color indexed="8"/>
      <name val="Open Sans"/>
      <family val="2"/>
    </font>
    <font>
      <sz val="8"/>
      <name val="Open Sans"/>
      <family val="2"/>
    </font>
    <font>
      <b/>
      <sz val="10"/>
      <color rgb="FF1F497D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name val="Open Sans"/>
      <family val="2"/>
    </font>
    <font>
      <b/>
      <u/>
      <sz val="10"/>
      <name val="Open Sans"/>
      <family val="2"/>
    </font>
    <font>
      <i/>
      <sz val="10"/>
      <color rgb="FF3271D2"/>
      <name val="Open Sans"/>
      <family val="2"/>
    </font>
    <font>
      <i/>
      <sz val="10"/>
      <color indexed="8"/>
      <name val="Open Sans"/>
      <family val="2"/>
    </font>
    <font>
      <b/>
      <sz val="10"/>
      <color indexed="8"/>
      <name val="Open Sans"/>
      <family val="2"/>
    </font>
    <font>
      <i/>
      <sz val="10"/>
      <color rgb="FFC00000"/>
      <name val="Open Sans"/>
      <family val="2"/>
    </font>
    <font>
      <sz val="10"/>
      <color indexed="8"/>
      <name val="Open Sans"/>
      <family val="2"/>
    </font>
    <font>
      <i/>
      <sz val="10"/>
      <color rgb="FF000000"/>
      <name val="Open Sans"/>
      <family val="2"/>
    </font>
    <font>
      <i/>
      <sz val="10"/>
      <color rgb="FF0000FF"/>
      <name val="Open Sans"/>
      <family val="2"/>
    </font>
    <font>
      <i/>
      <sz val="10"/>
      <name val="Open Sans"/>
      <family val="2"/>
    </font>
    <font>
      <sz val="10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DE4E9"/>
        <bgColor indexed="64"/>
      </patternFill>
    </fill>
    <fill>
      <patternFill patternType="solid">
        <fgColor rgb="FFECEBE5"/>
        <bgColor indexed="64"/>
      </patternFill>
    </fill>
    <fill>
      <patternFill patternType="solid">
        <fgColor rgb="FF264E58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C2D1"/>
      </left>
      <right/>
      <top style="thin">
        <color rgb="FFB2C2D1"/>
      </top>
      <bottom style="thin">
        <color rgb="FFB2C2D1"/>
      </bottom>
      <diagonal/>
    </border>
    <border>
      <left/>
      <right/>
      <top style="thin">
        <color rgb="FFB2C2D1"/>
      </top>
      <bottom style="thin">
        <color rgb="FFB2C2D1"/>
      </bottom>
      <diagonal/>
    </border>
    <border>
      <left/>
      <right style="thin">
        <color rgb="FFB2C2D1"/>
      </right>
      <top style="thin">
        <color rgb="FFB2C2D1"/>
      </top>
      <bottom style="thin">
        <color rgb="FFB2C2D1"/>
      </bottom>
      <diagonal/>
    </border>
    <border>
      <left/>
      <right/>
      <top/>
      <bottom style="medium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7">
    <xf numFmtId="0" fontId="0" fillId="0" borderId="0"/>
    <xf numFmtId="0" fontId="4" fillId="0" borderId="17" applyNumberFormat="0" applyFill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9" fillId="0" borderId="0" xfId="4" applyFont="1"/>
    <xf numFmtId="0" fontId="8" fillId="0" borderId="0" xfId="4"/>
    <xf numFmtId="0" fontId="9" fillId="4" borderId="20" xfId="4" applyFont="1" applyFill="1" applyBorder="1"/>
    <xf numFmtId="0" fontId="9" fillId="4" borderId="21" xfId="4" applyFont="1" applyFill="1" applyBorder="1"/>
    <xf numFmtId="0" fontId="9" fillId="4" borderId="22" xfId="4" applyFont="1" applyFill="1" applyBorder="1"/>
    <xf numFmtId="0" fontId="9" fillId="4" borderId="23" xfId="4" applyFont="1" applyFill="1" applyBorder="1"/>
    <xf numFmtId="0" fontId="9" fillId="4" borderId="0" xfId="4" applyFont="1" applyFill="1"/>
    <xf numFmtId="0" fontId="9" fillId="4" borderId="24" xfId="4" applyFont="1" applyFill="1" applyBorder="1"/>
    <xf numFmtId="0" fontId="9" fillId="0" borderId="23" xfId="4" applyFont="1" applyBorder="1"/>
    <xf numFmtId="0" fontId="9" fillId="0" borderId="24" xfId="4" applyFont="1" applyBorder="1"/>
    <xf numFmtId="0" fontId="9" fillId="0" borderId="0" xfId="4" applyFont="1" applyProtection="1">
      <protection locked="0"/>
    </xf>
    <xf numFmtId="0" fontId="1" fillId="0" borderId="0" xfId="4" applyFont="1"/>
    <xf numFmtId="177" fontId="12" fillId="0" borderId="0" xfId="6" applyNumberFormat="1" applyFont="1" applyFill="1" applyBorder="1" applyProtection="1">
      <protection locked="0"/>
    </xf>
    <xf numFmtId="0" fontId="1" fillId="0" borderId="0" xfId="6" applyFont="1" applyFill="1" applyBorder="1"/>
    <xf numFmtId="0" fontId="9" fillId="0" borderId="25" xfId="4" applyFont="1" applyBorder="1"/>
    <xf numFmtId="0" fontId="9" fillId="0" borderId="26" xfId="4" applyFont="1" applyBorder="1"/>
    <xf numFmtId="0" fontId="9" fillId="0" borderId="27" xfId="4" applyFont="1" applyBorder="1"/>
    <xf numFmtId="0" fontId="15" fillId="0" borderId="0" xfId="4" applyFont="1" applyProtection="1">
      <protection locked="0"/>
    </xf>
    <xf numFmtId="0" fontId="16" fillId="0" borderId="1" xfId="4" applyFont="1" applyBorder="1" applyProtection="1">
      <protection locked="0"/>
    </xf>
    <xf numFmtId="0" fontId="16" fillId="0" borderId="0" xfId="4" applyFont="1" applyAlignment="1">
      <alignment horizontal="right"/>
    </xf>
    <xf numFmtId="177" fontId="11" fillId="0" borderId="0" xfId="3" applyNumberFormat="1" applyFont="1" applyFill="1" applyBorder="1" applyProtection="1">
      <protection locked="0"/>
    </xf>
    <xf numFmtId="0" fontId="13" fillId="4" borderId="0" xfId="4" applyFont="1" applyFill="1"/>
    <xf numFmtId="0" fontId="1" fillId="4" borderId="0" xfId="4" applyFont="1" applyFill="1"/>
    <xf numFmtId="177" fontId="14" fillId="4" borderId="0" xfId="4" applyNumberFormat="1" applyFont="1" applyFill="1"/>
    <xf numFmtId="0" fontId="6" fillId="4" borderId="0" xfId="4" applyFont="1" applyFill="1"/>
    <xf numFmtId="177" fontId="17" fillId="4" borderId="0" xfId="3" applyNumberFormat="1" applyFont="1" applyFill="1"/>
    <xf numFmtId="0" fontId="18" fillId="0" borderId="0" xfId="4" applyFont="1"/>
    <xf numFmtId="0" fontId="19" fillId="0" borderId="0" xfId="4" applyFont="1"/>
    <xf numFmtId="0" fontId="20" fillId="4" borderId="0" xfId="4" applyFont="1" applyFill="1"/>
    <xf numFmtId="0" fontId="14" fillId="4" borderId="0" xfId="4" applyFont="1" applyFill="1"/>
    <xf numFmtId="0" fontId="21" fillId="0" borderId="0" xfId="4" applyFont="1"/>
    <xf numFmtId="0" fontId="22" fillId="0" borderId="0" xfId="0" applyFont="1"/>
    <xf numFmtId="0" fontId="23" fillId="0" borderId="0" xfId="0" applyFont="1"/>
    <xf numFmtId="0" fontId="24" fillId="0" borderId="16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/>
    <xf numFmtId="0" fontId="26" fillId="0" borderId="0" xfId="0" applyFont="1"/>
    <xf numFmtId="166" fontId="26" fillId="0" borderId="0" xfId="0" applyNumberFormat="1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0" fontId="26" fillId="0" borderId="19" xfId="1" applyFont="1" applyFill="1" applyBorder="1" applyAlignment="1">
      <alignment horizontal="centerContinuous" vertical="center"/>
    </xf>
    <xf numFmtId="173" fontId="26" fillId="0" borderId="18" xfId="1" applyNumberFormat="1" applyFont="1" applyBorder="1" applyAlignment="1">
      <alignment horizontal="center" vertical="center"/>
    </xf>
    <xf numFmtId="173" fontId="27" fillId="0" borderId="18" xfId="1" applyNumberFormat="1" applyFont="1" applyBorder="1" applyAlignment="1">
      <alignment horizontal="center" vertical="center"/>
    </xf>
    <xf numFmtId="174" fontId="26" fillId="0" borderId="18" xfId="1" applyNumberFormat="1" applyFont="1" applyFill="1" applyBorder="1" applyAlignment="1">
      <alignment horizontal="center"/>
    </xf>
    <xf numFmtId="172" fontId="28" fillId="0" borderId="0" xfId="0" applyNumberFormat="1" applyFont="1" applyAlignment="1">
      <alignment vertical="center"/>
    </xf>
    <xf numFmtId="172" fontId="22" fillId="0" borderId="0" xfId="0" applyNumberFormat="1" applyFont="1" applyAlignment="1">
      <alignment vertical="center"/>
    </xf>
    <xf numFmtId="0" fontId="29" fillId="2" borderId="5" xfId="0" applyFont="1" applyFill="1" applyBorder="1" applyAlignment="1">
      <alignment vertical="center"/>
    </xf>
    <xf numFmtId="0" fontId="22" fillId="2" borderId="6" xfId="0" applyFont="1" applyFill="1" applyBorder="1" applyAlignment="1">
      <alignment vertical="center"/>
    </xf>
    <xf numFmtId="0" fontId="22" fillId="2" borderId="7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167" fontId="28" fillId="0" borderId="0" xfId="0" applyNumberFormat="1" applyFont="1" applyAlignment="1">
      <alignment vertical="center"/>
    </xf>
    <xf numFmtId="170" fontId="28" fillId="0" borderId="0" xfId="0" applyNumberFormat="1" applyFont="1" applyAlignment="1">
      <alignment vertical="center"/>
    </xf>
    <xf numFmtId="169" fontId="31" fillId="0" borderId="0" xfId="0" applyNumberFormat="1" applyFont="1" applyAlignment="1">
      <alignment vertical="center"/>
    </xf>
    <xf numFmtId="164" fontId="32" fillId="0" borderId="0" xfId="0" applyNumberFormat="1" applyFont="1" applyAlignment="1">
      <alignment vertical="center"/>
    </xf>
    <xf numFmtId="167" fontId="22" fillId="0" borderId="0" xfId="0" applyNumberFormat="1" applyFont="1" applyAlignment="1">
      <alignment vertical="center"/>
    </xf>
    <xf numFmtId="168" fontId="22" fillId="0" borderId="0" xfId="0" applyNumberFormat="1" applyFont="1" applyAlignment="1">
      <alignment vertical="center"/>
    </xf>
    <xf numFmtId="0" fontId="22" fillId="0" borderId="2" xfId="0" applyFont="1" applyBorder="1" applyAlignment="1">
      <alignment vertical="center"/>
    </xf>
    <xf numFmtId="164" fontId="32" fillId="0" borderId="2" xfId="0" applyNumberFormat="1" applyFont="1" applyBorder="1" applyAlignment="1">
      <alignment vertical="center"/>
    </xf>
    <xf numFmtId="168" fontId="22" fillId="0" borderId="2" xfId="0" applyNumberFormat="1" applyFont="1" applyBorder="1" applyAlignment="1">
      <alignment vertical="center"/>
    </xf>
    <xf numFmtId="168" fontId="28" fillId="0" borderId="0" xfId="0" applyNumberFormat="1" applyFont="1" applyAlignment="1">
      <alignment vertical="center"/>
    </xf>
    <xf numFmtId="0" fontId="29" fillId="3" borderId="3" xfId="0" applyFont="1" applyFill="1" applyBorder="1" applyAlignment="1">
      <alignment vertical="center"/>
    </xf>
    <xf numFmtId="0" fontId="22" fillId="3" borderId="3" xfId="0" applyFont="1" applyFill="1" applyBorder="1" applyAlignment="1">
      <alignment vertical="center"/>
    </xf>
    <xf numFmtId="167" fontId="27" fillId="3" borderId="4" xfId="0" applyNumberFormat="1" applyFont="1" applyFill="1" applyBorder="1" applyAlignment="1">
      <alignment vertical="center"/>
    </xf>
    <xf numFmtId="167" fontId="29" fillId="3" borderId="4" xfId="0" applyNumberFormat="1" applyFont="1" applyFill="1" applyBorder="1" applyAlignment="1">
      <alignment vertical="center"/>
    </xf>
    <xf numFmtId="167" fontId="22" fillId="0" borderId="2" xfId="0" applyNumberFormat="1" applyFont="1" applyBorder="1" applyAlignment="1">
      <alignment vertical="center"/>
    </xf>
    <xf numFmtId="0" fontId="29" fillId="3" borderId="0" xfId="0" applyFont="1" applyFill="1" applyAlignment="1">
      <alignment vertical="center"/>
    </xf>
    <xf numFmtId="167" fontId="33" fillId="3" borderId="0" xfId="0" applyNumberFormat="1" applyFont="1" applyFill="1" applyAlignment="1">
      <alignment horizontal="right" vertical="center"/>
    </xf>
    <xf numFmtId="7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4" fillId="0" borderId="0" xfId="2" applyFont="1" applyAlignment="1">
      <alignment vertical="center"/>
    </xf>
    <xf numFmtId="0" fontId="34" fillId="0" borderId="0" xfId="0" applyFont="1" applyAlignment="1">
      <alignment vertical="center"/>
    </xf>
    <xf numFmtId="168" fontId="34" fillId="0" borderId="0" xfId="0" applyNumberFormat="1" applyFont="1" applyAlignment="1">
      <alignment vertical="center"/>
    </xf>
    <xf numFmtId="7" fontId="34" fillId="0" borderId="0" xfId="0" applyNumberFormat="1" applyFont="1" applyAlignment="1">
      <alignment vertical="center"/>
    </xf>
    <xf numFmtId="8" fontId="35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68" fontId="36" fillId="0" borderId="0" xfId="0" applyNumberFormat="1" applyFont="1" applyAlignment="1">
      <alignment vertical="center"/>
    </xf>
    <xf numFmtId="7" fontId="36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Continuous" vertical="center"/>
    </xf>
    <xf numFmtId="176" fontId="28" fillId="0" borderId="0" xfId="0" applyNumberFormat="1" applyFont="1" applyAlignment="1">
      <alignment horizontal="right" vertical="center"/>
    </xf>
    <xf numFmtId="176" fontId="35" fillId="0" borderId="0" xfId="0" applyNumberFormat="1" applyFont="1" applyAlignment="1">
      <alignment horizontal="right" vertical="center"/>
    </xf>
    <xf numFmtId="164" fontId="37" fillId="0" borderId="0" xfId="0" applyNumberFormat="1" applyFont="1" applyAlignment="1">
      <alignment vertical="center"/>
    </xf>
    <xf numFmtId="164" fontId="38" fillId="0" borderId="0" xfId="0" applyNumberFormat="1" applyFont="1"/>
    <xf numFmtId="167" fontId="35" fillId="3" borderId="9" xfId="0" applyNumberFormat="1" applyFont="1" applyFill="1" applyBorder="1" applyAlignment="1">
      <alignment horizontal="right" vertical="center"/>
    </xf>
    <xf numFmtId="167" fontId="35" fillId="3" borderId="2" xfId="0" applyNumberFormat="1" applyFont="1" applyFill="1" applyBorder="1" applyAlignment="1">
      <alignment horizontal="right" vertical="center"/>
    </xf>
    <xf numFmtId="167" fontId="35" fillId="3" borderId="10" xfId="0" applyNumberFormat="1" applyFont="1" applyFill="1" applyBorder="1" applyAlignment="1">
      <alignment horizontal="right" vertical="center"/>
    </xf>
    <xf numFmtId="164" fontId="31" fillId="0" borderId="0" xfId="0" applyNumberFormat="1" applyFont="1" applyAlignment="1">
      <alignment vertical="center"/>
    </xf>
    <xf numFmtId="167" fontId="35" fillId="3" borderId="11" xfId="0" applyNumberFormat="1" applyFont="1" applyFill="1" applyBorder="1" applyAlignment="1">
      <alignment horizontal="right" vertical="center"/>
    </xf>
    <xf numFmtId="167" fontId="35" fillId="3" borderId="0" xfId="0" applyNumberFormat="1" applyFont="1" applyFill="1" applyAlignment="1">
      <alignment horizontal="right" vertical="center"/>
    </xf>
    <xf numFmtId="167" fontId="35" fillId="3" borderId="12" xfId="0" applyNumberFormat="1" applyFont="1" applyFill="1" applyBorder="1" applyAlignment="1">
      <alignment horizontal="right" vertical="center"/>
    </xf>
    <xf numFmtId="167" fontId="35" fillId="3" borderId="13" xfId="0" applyNumberFormat="1" applyFont="1" applyFill="1" applyBorder="1" applyAlignment="1">
      <alignment horizontal="right" vertical="center"/>
    </xf>
    <xf numFmtId="167" fontId="35" fillId="3" borderId="14" xfId="0" applyNumberFormat="1" applyFont="1" applyFill="1" applyBorder="1" applyAlignment="1">
      <alignment horizontal="right" vertical="center"/>
    </xf>
    <xf numFmtId="167" fontId="35" fillId="3" borderId="15" xfId="0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Continuous"/>
    </xf>
    <xf numFmtId="176" fontId="39" fillId="0" borderId="0" xfId="0" applyNumberFormat="1" applyFont="1" applyAlignment="1">
      <alignment horizontal="right" vertical="center"/>
    </xf>
    <xf numFmtId="164" fontId="32" fillId="0" borderId="0" xfId="0" applyNumberFormat="1" applyFont="1"/>
    <xf numFmtId="169" fontId="32" fillId="3" borderId="9" xfId="0" applyNumberFormat="1" applyFont="1" applyFill="1" applyBorder="1" applyAlignment="1">
      <alignment vertical="center"/>
    </xf>
    <xf numFmtId="169" fontId="32" fillId="3" borderId="2" xfId="0" applyNumberFormat="1" applyFont="1" applyFill="1" applyBorder="1" applyAlignment="1">
      <alignment vertical="center"/>
    </xf>
    <xf numFmtId="169" fontId="32" fillId="3" borderId="10" xfId="0" applyNumberFormat="1" applyFont="1" applyFill="1" applyBorder="1" applyAlignment="1">
      <alignment vertical="center"/>
    </xf>
    <xf numFmtId="171" fontId="35" fillId="3" borderId="9" xfId="0" applyNumberFormat="1" applyFont="1" applyFill="1" applyBorder="1" applyAlignment="1">
      <alignment vertical="center"/>
    </xf>
    <xf numFmtId="171" fontId="35" fillId="3" borderId="2" xfId="0" applyNumberFormat="1" applyFont="1" applyFill="1" applyBorder="1" applyAlignment="1">
      <alignment vertical="center"/>
    </xf>
    <xf numFmtId="171" fontId="35" fillId="3" borderId="10" xfId="0" applyNumberFormat="1" applyFont="1" applyFill="1" applyBorder="1" applyAlignment="1">
      <alignment vertical="center"/>
    </xf>
    <xf numFmtId="169" fontId="32" fillId="3" borderId="11" xfId="0" applyNumberFormat="1" applyFont="1" applyFill="1" applyBorder="1" applyAlignment="1">
      <alignment vertical="center"/>
    </xf>
    <xf numFmtId="169" fontId="32" fillId="3" borderId="0" xfId="0" applyNumberFormat="1" applyFont="1" applyFill="1" applyAlignment="1">
      <alignment vertical="center"/>
    </xf>
    <xf numFmtId="169" fontId="32" fillId="3" borderId="12" xfId="0" applyNumberFormat="1" applyFont="1" applyFill="1" applyBorder="1" applyAlignment="1">
      <alignment vertical="center"/>
    </xf>
    <xf numFmtId="171" fontId="35" fillId="3" borderId="11" xfId="0" applyNumberFormat="1" applyFont="1" applyFill="1" applyBorder="1" applyAlignment="1">
      <alignment vertical="center"/>
    </xf>
    <xf numFmtId="171" fontId="35" fillId="3" borderId="0" xfId="0" applyNumberFormat="1" applyFont="1" applyFill="1" applyAlignment="1">
      <alignment vertical="center"/>
    </xf>
    <xf numFmtId="171" fontId="35" fillId="3" borderId="12" xfId="0" applyNumberFormat="1" applyFont="1" applyFill="1" applyBorder="1" applyAlignment="1">
      <alignment vertical="center"/>
    </xf>
    <xf numFmtId="169" fontId="32" fillId="3" borderId="13" xfId="0" applyNumberFormat="1" applyFont="1" applyFill="1" applyBorder="1" applyAlignment="1">
      <alignment vertical="center"/>
    </xf>
    <xf numFmtId="169" fontId="32" fillId="3" borderId="14" xfId="0" applyNumberFormat="1" applyFont="1" applyFill="1" applyBorder="1" applyAlignment="1">
      <alignment vertical="center"/>
    </xf>
    <xf numFmtId="169" fontId="32" fillId="3" borderId="15" xfId="0" applyNumberFormat="1" applyFont="1" applyFill="1" applyBorder="1" applyAlignment="1">
      <alignment vertical="center"/>
    </xf>
    <xf numFmtId="171" fontId="35" fillId="3" borderId="13" xfId="0" applyNumberFormat="1" applyFont="1" applyFill="1" applyBorder="1" applyAlignment="1">
      <alignment vertical="center"/>
    </xf>
    <xf numFmtId="171" fontId="35" fillId="3" borderId="14" xfId="0" applyNumberFormat="1" applyFont="1" applyFill="1" applyBorder="1" applyAlignment="1">
      <alignment vertical="center"/>
    </xf>
    <xf numFmtId="171" fontId="35" fillId="3" borderId="15" xfId="0" applyNumberFormat="1" applyFont="1" applyFill="1" applyBorder="1" applyAlignment="1">
      <alignment vertical="center"/>
    </xf>
    <xf numFmtId="169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75" fontId="35" fillId="3" borderId="9" xfId="0" applyNumberFormat="1" applyFont="1" applyFill="1" applyBorder="1" applyAlignment="1">
      <alignment vertical="center"/>
    </xf>
    <xf numFmtId="175" fontId="35" fillId="3" borderId="2" xfId="0" applyNumberFormat="1" applyFont="1" applyFill="1" applyBorder="1" applyAlignment="1">
      <alignment vertical="center"/>
    </xf>
    <xf numFmtId="175" fontId="35" fillId="3" borderId="10" xfId="0" applyNumberFormat="1" applyFont="1" applyFill="1" applyBorder="1" applyAlignment="1">
      <alignment vertical="center"/>
    </xf>
    <xf numFmtId="175" fontId="35" fillId="3" borderId="11" xfId="0" applyNumberFormat="1" applyFont="1" applyFill="1" applyBorder="1" applyAlignment="1">
      <alignment vertical="center"/>
    </xf>
    <xf numFmtId="175" fontId="35" fillId="3" borderId="0" xfId="0" applyNumberFormat="1" applyFont="1" applyFill="1" applyAlignment="1">
      <alignment vertical="center"/>
    </xf>
    <xf numFmtId="175" fontId="35" fillId="3" borderId="12" xfId="0" applyNumberFormat="1" applyFont="1" applyFill="1" applyBorder="1" applyAlignment="1">
      <alignment vertical="center"/>
    </xf>
    <xf numFmtId="175" fontId="35" fillId="3" borderId="13" xfId="0" applyNumberFormat="1" applyFont="1" applyFill="1" applyBorder="1" applyAlignment="1">
      <alignment vertical="center"/>
    </xf>
    <xf numFmtId="175" fontId="35" fillId="3" borderId="14" xfId="0" applyNumberFormat="1" applyFont="1" applyFill="1" applyBorder="1" applyAlignment="1">
      <alignment vertical="center"/>
    </xf>
    <xf numFmtId="175" fontId="35" fillId="3" borderId="15" xfId="0" applyNumberFormat="1" applyFont="1" applyFill="1" applyBorder="1" applyAlignment="1">
      <alignment vertical="center"/>
    </xf>
    <xf numFmtId="0" fontId="22" fillId="0" borderId="8" xfId="0" applyFont="1" applyBorder="1"/>
  </cellXfs>
  <cellStyles count="7">
    <cellStyle name="Heading 1" xfId="1" builtinId="16"/>
    <cellStyle name="Hyperlink" xfId="3" builtinId="8"/>
    <cellStyle name="Hyperlink 2" xfId="5" xr:uid="{9CB49A19-92F8-451C-A1DB-662B36A7C825}"/>
    <cellStyle name="Hyperlink 2 2" xfId="6" xr:uid="{7A4DF504-4D25-460C-B95A-4B0BF4BE63B8}"/>
    <cellStyle name="Normal" xfId="0" builtinId="0"/>
    <cellStyle name="Normal 2 2 2" xfId="4" xr:uid="{DE573093-A5BF-4BA2-9868-7A596115E1AD}"/>
    <cellStyle name="Warning Text" xfId="2" builtinId="11"/>
  </cellStyles>
  <dxfs count="0"/>
  <tableStyles count="0" defaultTableStyle="TableStyleMedium2" defaultPivotStyle="PivotStyleLight16"/>
  <colors>
    <mruColors>
      <color rgb="FF1F497D"/>
      <color rgb="FF264E58"/>
      <color rgb="FFECEBE5"/>
      <color rgb="FF255B89"/>
      <color rgb="FFC3DDB8"/>
      <color rgb="FFE1EEDC"/>
      <color rgb="FFE2F5FB"/>
      <color rgb="FFE9E6E1"/>
      <color rgb="FFE3DFDB"/>
      <color rgb="FF003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macabacus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14288</xdr:colOff>
      <xdr:row>2</xdr:row>
      <xdr:rowOff>200026</xdr:rowOff>
    </xdr:from>
    <xdr:to>
      <xdr:col>3</xdr:col>
      <xdr:colOff>471093</xdr:colOff>
      <xdr:row>6</xdr:row>
      <xdr:rowOff>52388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DF2910-173B-110F-7EF4-4BDD8EFBD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695326"/>
          <a:ext cx="3114280" cy="8429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183776</xdr:colOff>
      <xdr:row>0</xdr:row>
      <xdr:rowOff>26893</xdr:rowOff>
    </xdr:from>
    <xdr:to>
      <xdr:col>3</xdr:col>
      <xdr:colOff>575010</xdr:colOff>
      <xdr:row>0</xdr:row>
      <xdr:rowOff>572864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2C8F1E-E111-4564-92E3-BF387C64F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26893"/>
          <a:ext cx="2017059" cy="545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edback@macabacus.com" TargetMode="External"/><Relationship Id="rId1" Type="http://schemas.openxmlformats.org/officeDocument/2006/relationships/hyperlink" Target="https://www.macabacus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630F-0434-4646-A2A3-DF2BAE5EAEFB}">
  <sheetPr>
    <pageSetUpPr fitToPage="1"/>
  </sheetPr>
  <dimension ref="A1:O53"/>
  <sheetViews>
    <sheetView showGridLines="0" tabSelected="1" zoomScale="75" zoomScaleNormal="75" zoomScaleSheetLayoutView="70" workbookViewId="0"/>
  </sheetViews>
  <sheetFormatPr defaultRowHeight="14.4" x14ac:dyDescent="0.55000000000000004"/>
  <cols>
    <col min="1" max="1" width="4.94140625" style="3" customWidth="1"/>
    <col min="2" max="2" width="5.109375" style="3" customWidth="1"/>
    <col min="3" max="3" width="38.71875" style="3" customWidth="1"/>
    <col min="4" max="11" width="11.27734375" style="3" customWidth="1"/>
    <col min="12" max="12" width="38.71875" style="3" customWidth="1"/>
    <col min="13" max="13" width="5.109375" style="3" customWidth="1"/>
    <col min="14" max="16384" width="8.88671875" style="3"/>
  </cols>
  <sheetData>
    <row r="1" spans="1:15" ht="19.5" customHeight="1" thickBot="1" x14ac:dyDescent="0.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 ht="19.5" customHeight="1" thickTop="1" x14ac:dyDescent="0.75">
      <c r="A2" s="2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5" ht="19.5" customHeight="1" x14ac:dyDescent="0.75">
      <c r="A3" s="2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O3" s="28"/>
    </row>
    <row r="4" spans="1:15" ht="19.5" customHeight="1" x14ac:dyDescent="0.75">
      <c r="A4" s="2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O4" s="28"/>
    </row>
    <row r="5" spans="1:15" ht="19.5" customHeight="1" x14ac:dyDescent="0.75">
      <c r="A5" s="2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9"/>
    </row>
    <row r="6" spans="1:15" ht="19.5" customHeight="1" x14ac:dyDescent="0.75">
      <c r="A6" s="2"/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5" ht="19.5" customHeight="1" x14ac:dyDescent="0.75">
      <c r="A7" s="2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spans="1:15" ht="19.5" customHeight="1" x14ac:dyDescent="0.75">
      <c r="A8" s="2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5" ht="19.5" customHeight="1" x14ac:dyDescent="0.75">
      <c r="A9" s="2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1:15" ht="19.5" customHeight="1" x14ac:dyDescent="0.75">
      <c r="A10" s="2"/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11"/>
    </row>
    <row r="11" spans="1:15" ht="28.5" customHeight="1" x14ac:dyDescent="1.3">
      <c r="A11" s="2"/>
      <c r="B11" s="10"/>
      <c r="C11" s="19" t="s">
        <v>52</v>
      </c>
      <c r="D11" s="2"/>
      <c r="E11" s="2"/>
      <c r="F11" s="2"/>
      <c r="G11" s="2"/>
      <c r="H11" s="2"/>
      <c r="I11" s="2"/>
      <c r="J11" s="2"/>
      <c r="K11" s="2"/>
      <c r="L11" s="21" t="s">
        <v>43</v>
      </c>
      <c r="M11" s="11"/>
    </row>
    <row r="12" spans="1:15" ht="19.5" customHeight="1" x14ac:dyDescent="0.75">
      <c r="A12" s="2"/>
      <c r="B12" s="10"/>
      <c r="C12" s="12"/>
      <c r="D12" s="2"/>
      <c r="E12" s="2"/>
      <c r="F12" s="2"/>
      <c r="G12" s="2"/>
      <c r="H12" s="2"/>
      <c r="I12" s="2"/>
      <c r="J12" s="2"/>
      <c r="K12"/>
      <c r="L12"/>
      <c r="M12" s="11"/>
    </row>
    <row r="13" spans="1:15" ht="19.5" customHeight="1" x14ac:dyDescent="0.9">
      <c r="A13" s="2"/>
      <c r="B13" s="10"/>
      <c r="C13" s="20" t="s">
        <v>44</v>
      </c>
      <c r="D13" s="13"/>
      <c r="E13" s="13"/>
      <c r="F13" s="13"/>
      <c r="G13" s="13"/>
      <c r="H13" s="13"/>
      <c r="I13" s="13"/>
      <c r="J13" s="13"/>
      <c r="K13"/>
      <c r="L13"/>
      <c r="M13" s="11"/>
    </row>
    <row r="14" spans="1:15" ht="19.5" customHeight="1" x14ac:dyDescent="0.75">
      <c r="A14" s="2"/>
      <c r="B14" s="10"/>
      <c r="C14" s="2"/>
      <c r="D14" s="13"/>
      <c r="E14" s="13"/>
      <c r="F14" s="13"/>
      <c r="G14" s="13"/>
      <c r="H14" s="13"/>
      <c r="I14" s="13"/>
      <c r="J14" s="13"/>
      <c r="K14" s="13"/>
      <c r="L14" s="13"/>
      <c r="M14" s="11"/>
    </row>
    <row r="15" spans="1:15" ht="19.5" customHeight="1" x14ac:dyDescent="0.8">
      <c r="A15" s="2"/>
      <c r="B15" s="10"/>
      <c r="C15" s="22" t="s">
        <v>51</v>
      </c>
      <c r="D15" s="13"/>
      <c r="E15" s="13"/>
      <c r="F15" s="13"/>
      <c r="G15" s="13"/>
      <c r="H15" s="13"/>
      <c r="I15" s="13"/>
      <c r="J15" s="13"/>
      <c r="K15" s="13"/>
      <c r="L15" s="13"/>
      <c r="M15" s="11"/>
    </row>
    <row r="16" spans="1:15" ht="19.5" customHeight="1" x14ac:dyDescent="0.8">
      <c r="A16" s="2"/>
      <c r="B16" s="10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1"/>
    </row>
    <row r="17" spans="1:15" ht="19.5" customHeight="1" x14ac:dyDescent="0.8">
      <c r="A17" s="2"/>
      <c r="B17" s="10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1"/>
    </row>
    <row r="18" spans="1:15" ht="19.5" customHeight="1" x14ac:dyDescent="0.75">
      <c r="A18" s="2"/>
      <c r="B18" s="10"/>
      <c r="C18" s="15"/>
      <c r="D18" s="13"/>
      <c r="E18" s="13"/>
      <c r="F18" s="13"/>
      <c r="G18" s="13"/>
      <c r="H18" s="13"/>
      <c r="I18" s="13"/>
      <c r="J18" s="13"/>
      <c r="K18" s="13"/>
      <c r="L18" s="13"/>
      <c r="M18" s="11"/>
    </row>
    <row r="19" spans="1:15" ht="19.5" customHeight="1" x14ac:dyDescent="0.75">
      <c r="A19" s="2"/>
      <c r="B19" s="10"/>
      <c r="C19" s="15"/>
      <c r="D19" s="13"/>
      <c r="E19" s="13"/>
      <c r="F19" s="13"/>
      <c r="G19" s="13"/>
      <c r="H19" s="13"/>
      <c r="I19" s="13"/>
      <c r="J19" s="13"/>
      <c r="K19" s="13"/>
      <c r="L19" s="13"/>
      <c r="M19" s="11"/>
    </row>
    <row r="20" spans="1:15" ht="19.5" customHeight="1" x14ac:dyDescent="0.8">
      <c r="A20" s="2"/>
      <c r="B20" s="10"/>
      <c r="C20" s="23" t="s">
        <v>55</v>
      </c>
      <c r="D20" s="24"/>
      <c r="E20" s="24"/>
      <c r="F20" s="24"/>
      <c r="G20" s="24"/>
      <c r="H20" s="24"/>
      <c r="I20" s="24"/>
      <c r="J20" s="24"/>
      <c r="K20" s="24"/>
      <c r="L20" s="24"/>
      <c r="M20" s="11"/>
      <c r="O20" s="32"/>
    </row>
    <row r="21" spans="1:15" ht="19.5" customHeight="1" x14ac:dyDescent="0.8">
      <c r="A21" s="2"/>
      <c r="B21" s="10"/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11"/>
      <c r="O21" s="29"/>
    </row>
    <row r="22" spans="1:15" ht="19.5" customHeight="1" x14ac:dyDescent="0.8">
      <c r="A22" s="2"/>
      <c r="B22" s="10"/>
      <c r="C22" s="23" t="s">
        <v>56</v>
      </c>
      <c r="D22" s="24"/>
      <c r="E22" s="24"/>
      <c r="F22" s="24"/>
      <c r="G22" s="24"/>
      <c r="H22" s="24"/>
      <c r="I22" s="24"/>
      <c r="J22" s="24"/>
      <c r="K22" s="24"/>
      <c r="L22" s="24"/>
      <c r="M22" s="11"/>
      <c r="O22" s="32"/>
    </row>
    <row r="23" spans="1:15" ht="19.5" customHeight="1" x14ac:dyDescent="0.8">
      <c r="A23" s="2"/>
      <c r="B23" s="10"/>
      <c r="C23" s="30" t="s">
        <v>73</v>
      </c>
      <c r="D23" s="24"/>
      <c r="E23" s="24"/>
      <c r="F23" s="24"/>
      <c r="G23" s="24"/>
      <c r="H23" s="24"/>
      <c r="I23" s="24"/>
      <c r="J23" s="24"/>
      <c r="K23" s="24"/>
      <c r="L23" s="24"/>
      <c r="M23" s="11"/>
    </row>
    <row r="24" spans="1:15" ht="19.5" customHeight="1" x14ac:dyDescent="0.8">
      <c r="A24" s="2"/>
      <c r="B24" s="10"/>
      <c r="C24" s="30" t="s">
        <v>57</v>
      </c>
      <c r="D24" s="24"/>
      <c r="E24" s="24"/>
      <c r="F24" s="24"/>
      <c r="G24" s="24"/>
      <c r="H24" s="24"/>
      <c r="I24" s="24"/>
      <c r="J24" s="24"/>
      <c r="K24" s="24"/>
      <c r="L24" s="24"/>
      <c r="M24" s="11"/>
    </row>
    <row r="25" spans="1:15" ht="19.5" customHeight="1" x14ac:dyDescent="0.8">
      <c r="A25" s="2"/>
      <c r="B25" s="10"/>
      <c r="C25" s="30" t="s">
        <v>58</v>
      </c>
      <c r="D25" s="24"/>
      <c r="E25" s="24"/>
      <c r="F25" s="24"/>
      <c r="G25" s="24"/>
      <c r="H25" s="24"/>
      <c r="I25" s="24"/>
      <c r="J25" s="24"/>
      <c r="K25" s="24"/>
      <c r="L25" s="24"/>
      <c r="M25" s="11"/>
    </row>
    <row r="26" spans="1:15" ht="19.5" customHeight="1" x14ac:dyDescent="0.8">
      <c r="A26" s="2"/>
      <c r="B26" s="10"/>
      <c r="C26" s="30"/>
      <c r="D26" s="24"/>
      <c r="E26" s="24"/>
      <c r="F26" s="24"/>
      <c r="G26" s="24"/>
      <c r="H26" s="24"/>
      <c r="I26" s="24"/>
      <c r="J26" s="24"/>
      <c r="K26" s="24"/>
      <c r="L26" s="24"/>
      <c r="M26" s="11"/>
    </row>
    <row r="27" spans="1:15" ht="19.5" customHeight="1" x14ac:dyDescent="0.8">
      <c r="A27" s="2"/>
      <c r="B27" s="10"/>
      <c r="C27" s="23" t="s">
        <v>56</v>
      </c>
      <c r="D27" s="24"/>
      <c r="E27" s="24"/>
      <c r="F27" s="24"/>
      <c r="G27" s="24"/>
      <c r="H27" s="24"/>
      <c r="I27" s="24"/>
      <c r="J27" s="24"/>
      <c r="K27" s="24"/>
      <c r="L27" s="24"/>
      <c r="M27" s="11"/>
    </row>
    <row r="28" spans="1:15" ht="19.5" customHeight="1" x14ac:dyDescent="0.75">
      <c r="A28" s="2"/>
      <c r="B28" s="10"/>
      <c r="C28" s="31" t="s">
        <v>59</v>
      </c>
      <c r="D28" s="24"/>
      <c r="E28" s="24"/>
      <c r="F28" s="24"/>
      <c r="G28" s="24"/>
      <c r="H28" s="24"/>
      <c r="I28" s="24"/>
      <c r="J28" s="24"/>
      <c r="K28" s="24"/>
      <c r="L28" s="24"/>
      <c r="M28" s="11"/>
    </row>
    <row r="29" spans="1:15" ht="19.5" customHeight="1" x14ac:dyDescent="0.75">
      <c r="A29" s="2"/>
      <c r="B29" s="10"/>
      <c r="C29" s="31" t="s">
        <v>60</v>
      </c>
      <c r="D29" s="24"/>
      <c r="E29" s="24"/>
      <c r="F29" s="24"/>
      <c r="G29" s="24"/>
      <c r="H29" s="24"/>
      <c r="I29" s="24"/>
      <c r="J29" s="24"/>
      <c r="K29" s="24"/>
      <c r="L29" s="24"/>
      <c r="M29" s="11"/>
    </row>
    <row r="30" spans="1:15" ht="19.5" customHeight="1" x14ac:dyDescent="0.75">
      <c r="A30" s="2"/>
      <c r="B30" s="10"/>
      <c r="C30" s="31" t="s">
        <v>61</v>
      </c>
      <c r="D30" s="24"/>
      <c r="E30" s="24"/>
      <c r="F30" s="24"/>
      <c r="G30" s="24"/>
      <c r="H30" s="24"/>
      <c r="I30" s="24"/>
      <c r="J30" s="24"/>
      <c r="K30" s="24"/>
      <c r="L30" s="24"/>
      <c r="M30" s="11"/>
    </row>
    <row r="31" spans="1:15" ht="19.5" customHeight="1" x14ac:dyDescent="0.75">
      <c r="A31" s="2"/>
      <c r="B31" s="10"/>
      <c r="C31" s="31" t="s">
        <v>62</v>
      </c>
      <c r="D31" s="24"/>
      <c r="E31" s="24"/>
      <c r="F31" s="24"/>
      <c r="G31" s="24"/>
      <c r="H31" s="24"/>
      <c r="I31" s="24"/>
      <c r="J31" s="24"/>
      <c r="K31" s="24"/>
      <c r="L31" s="24"/>
      <c r="M31" s="11"/>
    </row>
    <row r="32" spans="1:15" ht="19.5" customHeight="1" x14ac:dyDescent="0.75">
      <c r="A32" s="2"/>
      <c r="B32" s="10"/>
      <c r="C32" s="31" t="s">
        <v>63</v>
      </c>
      <c r="D32" s="24"/>
      <c r="E32" s="24"/>
      <c r="F32" s="24"/>
      <c r="G32" s="24"/>
      <c r="H32" s="24"/>
      <c r="I32" s="24"/>
      <c r="J32" s="24"/>
      <c r="K32" s="24"/>
      <c r="L32" s="24"/>
      <c r="M32" s="11"/>
    </row>
    <row r="33" spans="1:15" ht="19.5" customHeight="1" x14ac:dyDescent="0.75">
      <c r="A33" s="2"/>
      <c r="B33" s="10"/>
      <c r="C33" s="31" t="s">
        <v>64</v>
      </c>
      <c r="D33" s="24"/>
      <c r="E33" s="24"/>
      <c r="F33" s="24"/>
      <c r="G33" s="24"/>
      <c r="H33" s="24"/>
      <c r="I33" s="24"/>
      <c r="J33" s="24"/>
      <c r="K33" s="24"/>
      <c r="L33" s="24"/>
      <c r="M33" s="11"/>
    </row>
    <row r="34" spans="1:15" ht="19.5" customHeight="1" x14ac:dyDescent="0.75">
      <c r="A34" s="2"/>
      <c r="B34" s="10"/>
      <c r="C34" s="31" t="s">
        <v>65</v>
      </c>
      <c r="D34" s="24"/>
      <c r="E34" s="24"/>
      <c r="F34" s="24"/>
      <c r="G34" s="24"/>
      <c r="H34" s="24"/>
      <c r="I34" s="24"/>
      <c r="J34" s="24"/>
      <c r="K34" s="24"/>
      <c r="L34" s="24"/>
      <c r="M34" s="11"/>
    </row>
    <row r="35" spans="1:15" ht="19.5" customHeight="1" x14ac:dyDescent="0.75">
      <c r="A35" s="2"/>
      <c r="B35" s="10"/>
      <c r="C35" s="31" t="s">
        <v>66</v>
      </c>
      <c r="D35" s="24"/>
      <c r="E35" s="24"/>
      <c r="F35" s="24"/>
      <c r="G35" s="24"/>
      <c r="H35" s="24"/>
      <c r="I35" s="24"/>
      <c r="J35" s="24"/>
      <c r="K35" s="24"/>
      <c r="L35" s="24"/>
      <c r="M35" s="11"/>
    </row>
    <row r="36" spans="1:15" ht="19.5" customHeight="1" x14ac:dyDescent="0.75">
      <c r="A36" s="2"/>
      <c r="B36" s="10"/>
      <c r="C36" s="31"/>
      <c r="D36" s="24"/>
      <c r="E36" s="24"/>
      <c r="F36" s="24"/>
      <c r="G36" s="24"/>
      <c r="H36" s="24"/>
      <c r="I36" s="24"/>
      <c r="J36" s="24"/>
      <c r="K36" s="24"/>
      <c r="L36" s="24"/>
      <c r="M36" s="11"/>
    </row>
    <row r="37" spans="1:15" ht="19.5" customHeight="1" x14ac:dyDescent="0.8">
      <c r="A37" s="2"/>
      <c r="B37" s="10"/>
      <c r="C37" s="23" t="s">
        <v>67</v>
      </c>
      <c r="D37" s="24"/>
      <c r="E37" s="24"/>
      <c r="F37" s="24"/>
      <c r="G37" s="24"/>
      <c r="H37" s="24"/>
      <c r="I37" s="24"/>
      <c r="J37" s="24"/>
      <c r="K37" s="24"/>
      <c r="L37" s="24"/>
      <c r="M37" s="11"/>
    </row>
    <row r="38" spans="1:15" ht="19.5" customHeight="1" x14ac:dyDescent="0.75">
      <c r="A38" s="2"/>
      <c r="B38" s="10"/>
      <c r="C38" s="31" t="s">
        <v>68</v>
      </c>
      <c r="D38" s="24"/>
      <c r="E38" s="24"/>
      <c r="F38" s="24"/>
      <c r="G38" s="24"/>
      <c r="H38" s="24"/>
      <c r="I38" s="24"/>
      <c r="J38" s="24"/>
      <c r="K38" s="24"/>
      <c r="L38" s="24"/>
      <c r="M38" s="11"/>
    </row>
    <row r="39" spans="1:15" ht="19.5" customHeight="1" x14ac:dyDescent="0.75">
      <c r="A39" s="2"/>
      <c r="B39" s="10"/>
      <c r="C39" s="31" t="s">
        <v>69</v>
      </c>
      <c r="D39" s="24"/>
      <c r="E39" s="24"/>
      <c r="F39" s="24"/>
      <c r="G39" s="24"/>
      <c r="H39" s="24"/>
      <c r="I39" s="24"/>
      <c r="J39" s="24"/>
      <c r="K39" s="24"/>
      <c r="L39" s="24"/>
      <c r="M39" s="11"/>
    </row>
    <row r="40" spans="1:15" ht="19.5" customHeight="1" x14ac:dyDescent="0.75">
      <c r="A40" s="2"/>
      <c r="B40" s="10"/>
      <c r="C40" s="31" t="s">
        <v>70</v>
      </c>
      <c r="D40" s="24"/>
      <c r="E40" s="24"/>
      <c r="F40" s="24"/>
      <c r="G40" s="24"/>
      <c r="H40" s="24"/>
      <c r="I40" s="24"/>
      <c r="J40" s="24"/>
      <c r="K40" s="24"/>
      <c r="L40" s="24"/>
      <c r="M40" s="11"/>
    </row>
    <row r="41" spans="1:15" ht="19.5" customHeight="1" x14ac:dyDescent="0.75">
      <c r="A41" s="2"/>
      <c r="B41" s="10"/>
      <c r="C41" s="31" t="s">
        <v>71</v>
      </c>
      <c r="D41" s="24"/>
      <c r="E41" s="24"/>
      <c r="F41" s="24"/>
      <c r="G41" s="24"/>
      <c r="H41" s="24"/>
      <c r="I41" s="24"/>
      <c r="J41" s="24"/>
      <c r="K41" s="24"/>
      <c r="L41" s="24"/>
      <c r="M41" s="11"/>
    </row>
    <row r="42" spans="1:15" ht="19.5" customHeight="1" x14ac:dyDescent="0.75">
      <c r="A42" s="2"/>
      <c r="B42" s="10"/>
      <c r="C42" s="31" t="s">
        <v>72</v>
      </c>
      <c r="D42" s="24"/>
      <c r="E42" s="24"/>
      <c r="F42" s="24"/>
      <c r="G42" s="24"/>
      <c r="H42" s="24"/>
      <c r="I42" s="24"/>
      <c r="J42" s="24"/>
      <c r="K42" s="24"/>
      <c r="L42" s="24"/>
      <c r="M42" s="11"/>
    </row>
    <row r="43" spans="1:15" ht="19.5" customHeight="1" x14ac:dyDescent="0.75">
      <c r="A43" s="2"/>
      <c r="B43" s="10"/>
      <c r="C43" s="31"/>
      <c r="D43" s="24"/>
      <c r="E43" s="24"/>
      <c r="F43" s="24"/>
      <c r="G43" s="24"/>
      <c r="H43" s="24"/>
      <c r="I43" s="24"/>
      <c r="J43" s="24"/>
      <c r="K43" s="24"/>
      <c r="L43" s="24"/>
      <c r="M43" s="11"/>
    </row>
    <row r="44" spans="1:15" ht="19.5" customHeight="1" x14ac:dyDescent="0.75">
      <c r="A44" s="2"/>
      <c r="B44" s="10"/>
      <c r="C44" s="25" t="s">
        <v>45</v>
      </c>
      <c r="D44" s="26"/>
      <c r="E44" s="26"/>
      <c r="F44" s="26"/>
      <c r="G44" s="26"/>
      <c r="H44" s="26"/>
      <c r="I44" s="26"/>
      <c r="J44" s="26"/>
      <c r="K44" s="26"/>
      <c r="L44" s="26"/>
      <c r="M44" s="11"/>
      <c r="O44" s="32"/>
    </row>
    <row r="45" spans="1:15" ht="19.5" customHeight="1" x14ac:dyDescent="0.75">
      <c r="A45" s="2"/>
      <c r="B45" s="10"/>
      <c r="C45" s="25" t="s">
        <v>46</v>
      </c>
      <c r="D45" s="26"/>
      <c r="E45" s="26"/>
      <c r="F45" s="26"/>
      <c r="G45" s="26"/>
      <c r="H45" s="26"/>
      <c r="I45" s="26"/>
      <c r="J45" s="26"/>
      <c r="K45" s="26"/>
      <c r="L45" s="26"/>
      <c r="M45" s="11"/>
      <c r="O45" s="32"/>
    </row>
    <row r="46" spans="1:15" ht="19.5" customHeight="1" x14ac:dyDescent="0.75">
      <c r="A46" s="2"/>
      <c r="B46" s="10"/>
      <c r="C46" s="25" t="s">
        <v>47</v>
      </c>
      <c r="D46" s="26"/>
      <c r="E46" s="26"/>
      <c r="F46" s="26"/>
      <c r="G46" s="26"/>
      <c r="H46" s="26"/>
      <c r="I46" s="26"/>
      <c r="J46" s="26"/>
      <c r="K46" s="26"/>
      <c r="L46" s="26"/>
      <c r="M46" s="11"/>
      <c r="O46" s="32"/>
    </row>
    <row r="47" spans="1:15" ht="19.5" customHeight="1" x14ac:dyDescent="0.75">
      <c r="A47" s="2"/>
      <c r="B47" s="10"/>
      <c r="C47" s="25" t="s">
        <v>48</v>
      </c>
      <c r="D47" s="26"/>
      <c r="E47" s="26"/>
      <c r="F47" s="26"/>
      <c r="G47" s="26"/>
      <c r="H47" s="26"/>
      <c r="I47" s="26"/>
      <c r="J47" s="26"/>
      <c r="K47" s="26"/>
      <c r="L47" s="26"/>
      <c r="M47" s="11"/>
      <c r="O47" s="32"/>
    </row>
    <row r="48" spans="1:15" ht="19.5" customHeight="1" x14ac:dyDescent="0.75">
      <c r="A48" s="2"/>
      <c r="B48" s="10"/>
      <c r="C48" s="25" t="s">
        <v>49</v>
      </c>
      <c r="D48" s="26"/>
      <c r="E48" s="26"/>
      <c r="F48" s="26"/>
      <c r="G48" s="26"/>
      <c r="H48" s="26"/>
      <c r="I48" s="26"/>
      <c r="J48" s="26"/>
      <c r="K48" s="26"/>
      <c r="L48" s="26"/>
      <c r="M48" s="11"/>
      <c r="O48" s="32"/>
    </row>
    <row r="49" spans="1:13" ht="19.5" customHeight="1" x14ac:dyDescent="0.75">
      <c r="A49" s="2"/>
      <c r="B49" s="10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11"/>
    </row>
    <row r="50" spans="1:13" ht="19.5" customHeight="1" x14ac:dyDescent="0.75">
      <c r="A50" s="2"/>
      <c r="B50" s="10"/>
      <c r="C50" s="27" t="s">
        <v>53</v>
      </c>
      <c r="D50" s="26"/>
      <c r="E50" s="26"/>
      <c r="F50" s="26"/>
      <c r="G50" s="26"/>
      <c r="H50" s="26"/>
      <c r="I50" s="26"/>
      <c r="J50" s="26"/>
      <c r="K50" s="26"/>
      <c r="L50" s="26"/>
      <c r="M50" s="11"/>
    </row>
    <row r="51" spans="1:13" ht="19.5" customHeight="1" x14ac:dyDescent="0.75">
      <c r="A51" s="2"/>
      <c r="B51" s="10"/>
      <c r="C51" s="27" t="s">
        <v>54</v>
      </c>
      <c r="D51" s="26"/>
      <c r="E51" s="26"/>
      <c r="F51" s="26"/>
      <c r="G51" s="26"/>
      <c r="H51" s="26"/>
      <c r="I51" s="26"/>
      <c r="J51" s="26"/>
      <c r="K51" s="26"/>
      <c r="L51" s="26"/>
      <c r="M51" s="11"/>
    </row>
    <row r="52" spans="1:13" ht="19.5" customHeight="1" thickBot="1" x14ac:dyDescent="0.8">
      <c r="A52" s="2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8" t="s">
        <v>50</v>
      </c>
    </row>
    <row r="53" spans="1:13" ht="19.5" customHeight="1" thickTop="1" x14ac:dyDescent="0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hyperlinks>
    <hyperlink ref="C15" location="DCF!A1" tooltip="DCF Model" display="DCF Model" xr:uid="{F65BF2B1-EC78-44E5-9068-294841BBE99A}"/>
    <hyperlink ref="C50" r:id="rId1" xr:uid="{4111B926-2427-4C04-9C35-3CFB54F58158}"/>
    <hyperlink ref="C51" r:id="rId2" xr:uid="{EA294D08-DC55-4850-910F-B2E738D90EC7}"/>
  </hyperlinks>
  <printOptions horizontalCentered="1"/>
  <pageMargins left="0.7" right="0.7" top="0.75" bottom="0.75" header="0.3" footer="0.3"/>
  <pageSetup scale="48" orientation="landscape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B1:P83"/>
  <sheetViews>
    <sheetView showGridLines="0" zoomScale="85" zoomScaleNormal="85" zoomScaleSheetLayoutView="95" workbookViewId="0"/>
  </sheetViews>
  <sheetFormatPr defaultColWidth="9.1640625" defaultRowHeight="12.9" x14ac:dyDescent="0.5"/>
  <cols>
    <col min="1" max="1" width="2.71875" style="1" customWidth="1"/>
    <col min="2" max="2" width="13.0546875" style="1" customWidth="1"/>
    <col min="3" max="16" width="10.71875" style="1" customWidth="1"/>
    <col min="17" max="16384" width="9.1640625" style="1"/>
  </cols>
  <sheetData>
    <row r="1" spans="2:16" ht="50.1" customHeight="1" x14ac:dyDescent="0.7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2:16" s="33" customFormat="1" ht="13.5" customHeight="1" x14ac:dyDescent="0.65"/>
    <row r="3" spans="2:16" s="33" customFormat="1" ht="24" customHeight="1" thickBot="1" x14ac:dyDescent="1.1000000000000001">
      <c r="B3" s="34" t="s">
        <v>34</v>
      </c>
    </row>
    <row r="4" spans="2:16" s="37" customFormat="1" ht="2.5" customHeight="1" x14ac:dyDescent="0.4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2:16" s="33" customFormat="1" ht="14.4" x14ac:dyDescent="0.65">
      <c r="B5" s="38" t="s">
        <v>0</v>
      </c>
    </row>
    <row r="6" spans="2:16" s="39" customFormat="1" ht="14.4" x14ac:dyDescent="0.65">
      <c r="G6" s="40" t="s">
        <v>36</v>
      </c>
    </row>
    <row r="7" spans="2:16" s="39" customFormat="1" ht="14.4" x14ac:dyDescent="0.65">
      <c r="F7" s="41" t="s">
        <v>35</v>
      </c>
      <c r="G7" s="41" t="s">
        <v>10</v>
      </c>
      <c r="H7" s="42" t="s">
        <v>37</v>
      </c>
      <c r="I7" s="42"/>
      <c r="J7" s="42"/>
      <c r="K7" s="42"/>
      <c r="L7" s="42"/>
      <c r="M7" s="42"/>
      <c r="N7" s="42"/>
      <c r="O7" s="42"/>
      <c r="P7" s="42"/>
    </row>
    <row r="8" spans="2:16" s="39" customFormat="1" ht="13.5" customHeight="1" thickBot="1" x14ac:dyDescent="0.7">
      <c r="B8" s="43"/>
      <c r="C8" s="43"/>
      <c r="D8" s="43"/>
      <c r="E8" s="43"/>
      <c r="F8" s="44">
        <v>44926</v>
      </c>
      <c r="G8" s="44">
        <v>45199</v>
      </c>
      <c r="H8" s="45">
        <f>EOMONTH(G8,12)</f>
        <v>45565</v>
      </c>
      <c r="I8" s="45">
        <f t="shared" ref="I8:P8" si="0">EOMONTH(H8,12)</f>
        <v>45930</v>
      </c>
      <c r="J8" s="45">
        <f t="shared" si="0"/>
        <v>46295</v>
      </c>
      <c r="K8" s="45">
        <f t="shared" si="0"/>
        <v>46660</v>
      </c>
      <c r="L8" s="45">
        <f t="shared" si="0"/>
        <v>47026</v>
      </c>
      <c r="M8" s="45">
        <f t="shared" si="0"/>
        <v>47391</v>
      </c>
      <c r="N8" s="45">
        <f t="shared" si="0"/>
        <v>47756</v>
      </c>
      <c r="O8" s="45">
        <f t="shared" si="0"/>
        <v>48121</v>
      </c>
      <c r="P8" s="45">
        <f t="shared" si="0"/>
        <v>48487</v>
      </c>
    </row>
    <row r="9" spans="2:16" s="37" customFormat="1" ht="5.0999999999999996" customHeight="1" x14ac:dyDescent="0.4"/>
    <row r="10" spans="2:16" s="37" customFormat="1" ht="13.5" customHeight="1" x14ac:dyDescent="0.4">
      <c r="B10" s="37" t="s">
        <v>33</v>
      </c>
      <c r="G10" s="46">
        <v>0.75</v>
      </c>
      <c r="H10" s="46">
        <v>1</v>
      </c>
      <c r="I10" s="46">
        <v>1</v>
      </c>
      <c r="J10" s="46">
        <v>1</v>
      </c>
      <c r="K10" s="46">
        <v>1</v>
      </c>
      <c r="L10" s="46">
        <v>1</v>
      </c>
      <c r="M10" s="46">
        <v>1</v>
      </c>
      <c r="N10" s="46">
        <v>1</v>
      </c>
      <c r="O10" s="46">
        <v>1</v>
      </c>
      <c r="P10" s="46">
        <v>1</v>
      </c>
    </row>
    <row r="11" spans="2:16" s="37" customFormat="1" ht="13.5" customHeight="1" x14ac:dyDescent="0.4">
      <c r="B11" s="37" t="s">
        <v>20</v>
      </c>
      <c r="G11" s="47">
        <f>SUM($G10:G10)</f>
        <v>0.75</v>
      </c>
      <c r="H11" s="47">
        <f>SUM($G10:H10)</f>
        <v>1.75</v>
      </c>
      <c r="I11" s="47">
        <f>SUM($G10:I10)</f>
        <v>2.75</v>
      </c>
      <c r="J11" s="47">
        <f>SUM($G10:J10)</f>
        <v>3.75</v>
      </c>
      <c r="K11" s="47">
        <f>SUM($G10:K10)</f>
        <v>4.75</v>
      </c>
      <c r="L11" s="47">
        <f>SUM($G10:L10)</f>
        <v>5.75</v>
      </c>
      <c r="M11" s="47">
        <f>SUM($G10:M10)</f>
        <v>6.75</v>
      </c>
      <c r="N11" s="47">
        <f>SUM($G10:N10)</f>
        <v>7.75</v>
      </c>
      <c r="O11" s="47">
        <f>SUM($G10:O10)</f>
        <v>8.75</v>
      </c>
      <c r="P11" s="47">
        <f>SUM($G10:P10)</f>
        <v>9.75</v>
      </c>
    </row>
    <row r="12" spans="2:16" s="37" customFormat="1" ht="13.5" customHeight="1" x14ac:dyDescent="0.4"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spans="2:16" s="37" customFormat="1" ht="13.5" customHeight="1" x14ac:dyDescent="0.4">
      <c r="B13" s="48" t="s">
        <v>38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0"/>
    </row>
    <row r="14" spans="2:16" s="37" customFormat="1" ht="5.0999999999999996" customHeight="1" x14ac:dyDescent="0.4">
      <c r="B14" s="51"/>
    </row>
    <row r="15" spans="2:16" s="37" customFormat="1" ht="13.5" customHeight="1" x14ac:dyDescent="0.4">
      <c r="B15" s="37" t="s">
        <v>11</v>
      </c>
      <c r="F15" s="52">
        <v>25.585417972103045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2:16" s="37" customFormat="1" ht="13.5" customHeight="1" x14ac:dyDescent="0.4">
      <c r="B16" s="37" t="s">
        <v>39</v>
      </c>
      <c r="F16" s="53">
        <v>35.159164871194378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2:16" s="37" customFormat="1" ht="13.5" customHeight="1" x14ac:dyDescent="0.4">
      <c r="B17" s="37" t="s">
        <v>12</v>
      </c>
      <c r="F17" s="54">
        <v>0.35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2:16" s="37" customFormat="1" ht="13.5" customHeight="1" x14ac:dyDescent="0.4"/>
    <row r="19" spans="2:16" s="37" customFormat="1" ht="13.5" customHeight="1" x14ac:dyDescent="0.4">
      <c r="B19" s="48" t="s">
        <v>30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50"/>
    </row>
    <row r="20" spans="2:16" s="37" customFormat="1" ht="5.0999999999999996" customHeight="1" x14ac:dyDescent="0.4">
      <c r="B20" s="51"/>
    </row>
    <row r="21" spans="2:16" s="37" customFormat="1" ht="13.5" customHeight="1" x14ac:dyDescent="0.4">
      <c r="B21" s="37" t="s">
        <v>1</v>
      </c>
      <c r="F21" s="55"/>
      <c r="G21" s="52">
        <v>94.874999999999972</v>
      </c>
      <c r="H21" s="52">
        <v>155.90000000000003</v>
      </c>
      <c r="I21" s="52">
        <v>160.09999999999991</v>
      </c>
      <c r="J21" s="52">
        <v>161.26136025504778</v>
      </c>
      <c r="K21" s="52">
        <v>162.43308759420017</v>
      </c>
      <c r="L21" s="52">
        <v>163.61527456103465</v>
      </c>
      <c r="M21" s="52">
        <v>164.80801452523522</v>
      </c>
      <c r="N21" s="52">
        <v>166.01140168996628</v>
      </c>
      <c r="O21" s="52">
        <v>167.22553109931346</v>
      </c>
      <c r="P21" s="52">
        <v>168.45049864578976</v>
      </c>
    </row>
    <row r="22" spans="2:16" s="33" customFormat="1" ht="13.5" customHeight="1" x14ac:dyDescent="0.65">
      <c r="B22" s="37"/>
      <c r="C22" s="37"/>
      <c r="D22" s="37"/>
      <c r="E22" s="37"/>
      <c r="F22" s="55"/>
      <c r="G22" s="56"/>
      <c r="H22" s="56"/>
      <c r="I22" s="56"/>
      <c r="J22" s="56"/>
      <c r="K22" s="56"/>
      <c r="L22" s="56"/>
      <c r="M22" s="56"/>
      <c r="N22" s="56"/>
      <c r="O22" s="56"/>
      <c r="P22" s="56"/>
    </row>
    <row r="23" spans="2:16" s="33" customFormat="1" ht="14.4" x14ac:dyDescent="0.65">
      <c r="B23" s="37" t="s">
        <v>2</v>
      </c>
      <c r="C23" s="37"/>
      <c r="D23" s="37"/>
      <c r="E23" s="37"/>
      <c r="F23" s="55"/>
      <c r="G23" s="52">
        <v>82.692857142857122</v>
      </c>
      <c r="H23" s="52">
        <v>139.6571428571429</v>
      </c>
      <c r="I23" s="52">
        <v>143.85714285714278</v>
      </c>
      <c r="J23" s="52">
        <v>144.89263701229692</v>
      </c>
      <c r="K23" s="52">
        <v>145.93737468594549</v>
      </c>
      <c r="L23" s="52">
        <v>146.99143839196239</v>
      </c>
      <c r="M23" s="52">
        <v>148.05491138079609</v>
      </c>
      <c r="N23" s="52">
        <v>150.73502050318723</v>
      </c>
      <c r="O23" s="52">
        <v>152.35327907394588</v>
      </c>
      <c r="P23" s="52">
        <v>153.4454868786442</v>
      </c>
    </row>
    <row r="24" spans="2:16" s="33" customFormat="1" ht="13.5" customHeight="1" x14ac:dyDescent="0.65">
      <c r="B24" s="37" t="s">
        <v>13</v>
      </c>
      <c r="C24" s="37"/>
      <c r="D24" s="37"/>
      <c r="E24" s="37"/>
      <c r="F24" s="37"/>
      <c r="G24" s="57">
        <f t="shared" ref="G24:P24" si="1">-G23*$F$17</f>
        <v>-28.942499999999992</v>
      </c>
      <c r="H24" s="57">
        <f t="shared" si="1"/>
        <v>-48.88000000000001</v>
      </c>
      <c r="I24" s="57">
        <f t="shared" si="1"/>
        <v>-50.349999999999966</v>
      </c>
      <c r="J24" s="57">
        <f t="shared" si="1"/>
        <v>-50.712422954303918</v>
      </c>
      <c r="K24" s="57">
        <f t="shared" si="1"/>
        <v>-51.078081140080918</v>
      </c>
      <c r="L24" s="57">
        <f t="shared" si="1"/>
        <v>-51.447003437186837</v>
      </c>
      <c r="M24" s="57">
        <f t="shared" si="1"/>
        <v>-51.819218983278624</v>
      </c>
      <c r="N24" s="57">
        <f t="shared" si="1"/>
        <v>-52.75725717611553</v>
      </c>
      <c r="O24" s="57">
        <f t="shared" si="1"/>
        <v>-53.323647675881055</v>
      </c>
      <c r="P24" s="57">
        <f t="shared" si="1"/>
        <v>-53.705920407525468</v>
      </c>
    </row>
    <row r="25" spans="2:16" s="33" customFormat="1" ht="14.4" x14ac:dyDescent="0.65">
      <c r="B25" s="58" t="s">
        <v>15</v>
      </c>
      <c r="C25" s="58"/>
      <c r="D25" s="58"/>
      <c r="E25" s="58"/>
      <c r="F25" s="59"/>
      <c r="G25" s="60">
        <f>SUM(G23:G24)</f>
        <v>53.750357142857126</v>
      </c>
      <c r="H25" s="60">
        <f>SUM(H23:H24)</f>
        <v>90.777142857142891</v>
      </c>
      <c r="I25" s="60">
        <f t="shared" ref="I25:K25" si="2">SUM(I23:I24)</f>
        <v>93.50714285714281</v>
      </c>
      <c r="J25" s="60">
        <f t="shared" si="2"/>
        <v>94.180214057992998</v>
      </c>
      <c r="K25" s="60">
        <f t="shared" si="2"/>
        <v>94.859293545864574</v>
      </c>
      <c r="L25" s="60">
        <f t="shared" ref="L25" si="3">SUM(L23:L24)</f>
        <v>95.544434954775554</v>
      </c>
      <c r="M25" s="60">
        <f t="shared" ref="M25" si="4">SUM(M23:M24)</f>
        <v>96.235692397517454</v>
      </c>
      <c r="N25" s="60">
        <f t="shared" ref="N25" si="5">SUM(N23:N24)</f>
        <v>97.977763327071699</v>
      </c>
      <c r="O25" s="60">
        <f t="shared" ref="O25" si="6">SUM(O23:O24)</f>
        <v>99.029631398064822</v>
      </c>
      <c r="P25" s="60">
        <f t="shared" ref="P25" si="7">SUM(P23:P24)</f>
        <v>99.739566471118735</v>
      </c>
    </row>
    <row r="26" spans="2:16" s="33" customFormat="1" ht="14.4" x14ac:dyDescent="0.65">
      <c r="B26" s="37" t="s">
        <v>14</v>
      </c>
      <c r="C26" s="37"/>
      <c r="D26" s="37"/>
      <c r="E26" s="37"/>
      <c r="F26" s="37"/>
      <c r="G26" s="61">
        <v>12.182142857142857</v>
      </c>
      <c r="H26" s="61">
        <v>16.242857142857144</v>
      </c>
      <c r="I26" s="61">
        <v>16.24285714285714</v>
      </c>
      <c r="J26" s="61">
        <v>16.368723242750868</v>
      </c>
      <c r="K26" s="61">
        <v>16.495712908254703</v>
      </c>
      <c r="L26" s="61">
        <v>16.623836169072277</v>
      </c>
      <c r="M26" s="61">
        <v>16.753103144439127</v>
      </c>
      <c r="N26" s="61">
        <v>15.276381186779041</v>
      </c>
      <c r="O26" s="61">
        <v>14.872252025367564</v>
      </c>
      <c r="P26" s="61">
        <v>15.00501176714555</v>
      </c>
    </row>
    <row r="27" spans="2:16" s="33" customFormat="1" ht="14.4" x14ac:dyDescent="0.65">
      <c r="B27" s="37" t="s">
        <v>16</v>
      </c>
      <c r="C27" s="37"/>
      <c r="D27" s="37"/>
      <c r="E27" s="37"/>
      <c r="F27" s="37"/>
      <c r="G27" s="61">
        <v>-12.750000000000002</v>
      </c>
      <c r="H27" s="61">
        <v>-18</v>
      </c>
      <c r="I27" s="61">
        <v>-18.999999999999996</v>
      </c>
      <c r="J27" s="61">
        <v>-19.169606801275233</v>
      </c>
      <c r="K27" s="61">
        <v>-19.340727627131464</v>
      </c>
      <c r="L27" s="61">
        <v>-19.513375992772165</v>
      </c>
      <c r="M27" s="61">
        <v>-19.687565534046644</v>
      </c>
      <c r="N27" s="61">
        <v>-19.863310008526977</v>
      </c>
      <c r="O27" s="61">
        <v>-20.040623296594589</v>
      </c>
      <c r="P27" s="61">
        <v>-20.219519402536559</v>
      </c>
    </row>
    <row r="28" spans="2:16" s="33" customFormat="1" ht="13.5" customHeight="1" x14ac:dyDescent="0.65">
      <c r="B28" s="37" t="s">
        <v>17</v>
      </c>
      <c r="C28" s="37"/>
      <c r="D28" s="37"/>
      <c r="E28" s="37"/>
      <c r="F28" s="37"/>
      <c r="G28" s="61">
        <v>1.9555124741068397</v>
      </c>
      <c r="H28" s="61">
        <v>-3.7902037907200992</v>
      </c>
      <c r="I28" s="61">
        <v>-1.293487816307362</v>
      </c>
      <c r="J28" s="61">
        <v>-0.41035585590583423</v>
      </c>
      <c r="K28" s="61">
        <v>-0.4140189687534388</v>
      </c>
      <c r="L28" s="61">
        <v>-0.41771478101429693</v>
      </c>
      <c r="M28" s="61">
        <v>-0.42144358458560305</v>
      </c>
      <c r="N28" s="61">
        <v>-0.4252056739697565</v>
      </c>
      <c r="O28" s="61">
        <v>-0.42900134629849163</v>
      </c>
      <c r="P28" s="61">
        <v>-0.43283090135578561</v>
      </c>
    </row>
    <row r="29" spans="2:16" s="33" customFormat="1" ht="13.5" customHeight="1" x14ac:dyDescent="0.65">
      <c r="B29" s="37" t="s">
        <v>18</v>
      </c>
      <c r="C29" s="37"/>
      <c r="D29" s="37"/>
      <c r="E29" s="37"/>
      <c r="F29" s="37"/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</row>
    <row r="30" spans="2:16" s="33" customFormat="1" ht="13.5" customHeight="1" x14ac:dyDescent="0.65">
      <c r="B30" s="62" t="s">
        <v>19</v>
      </c>
      <c r="C30" s="63"/>
      <c r="D30" s="63"/>
      <c r="E30" s="63"/>
      <c r="F30" s="64">
        <v>0</v>
      </c>
      <c r="G30" s="65">
        <f>SUM(G25:G29)</f>
        <v>55.138012474106816</v>
      </c>
      <c r="H30" s="65">
        <f t="shared" ref="H30:P30" si="8">SUM(H25:H29)</f>
        <v>85.229796209279939</v>
      </c>
      <c r="I30" s="65">
        <f t="shared" si="8"/>
        <v>89.456512183692581</v>
      </c>
      <c r="J30" s="65">
        <f t="shared" si="8"/>
        <v>90.968974643562788</v>
      </c>
      <c r="K30" s="65">
        <f t="shared" si="8"/>
        <v>91.600259858234367</v>
      </c>
      <c r="L30" s="65">
        <f t="shared" si="8"/>
        <v>92.237180350061365</v>
      </c>
      <c r="M30" s="65">
        <f t="shared" si="8"/>
        <v>92.879786423324333</v>
      </c>
      <c r="N30" s="65">
        <f t="shared" si="8"/>
        <v>92.96562883135401</v>
      </c>
      <c r="O30" s="65">
        <f t="shared" si="8"/>
        <v>93.4322587805393</v>
      </c>
      <c r="P30" s="65">
        <f t="shared" si="8"/>
        <v>94.092227934371934</v>
      </c>
    </row>
    <row r="31" spans="2:16" s="33" customFormat="1" ht="13.5" customHeight="1" x14ac:dyDescent="0.65"/>
    <row r="32" spans="2:16" s="37" customFormat="1" ht="13.5" customHeight="1" x14ac:dyDescent="0.4">
      <c r="B32" s="48" t="s">
        <v>31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50"/>
    </row>
    <row r="33" spans="2:16" s="37" customFormat="1" ht="5.0999999999999996" customHeight="1" x14ac:dyDescent="0.4">
      <c r="B33" s="51"/>
    </row>
    <row r="34" spans="2:16" s="37" customFormat="1" ht="13.5" customHeight="1" x14ac:dyDescent="0.4">
      <c r="B34" s="37" t="str">
        <f>"( + ) Terminal cash flow ("&amp;TEXT(F53,"0.0x")&amp;" terminal multiple)"</f>
        <v>( + ) Terminal cash flow (5.0x terminal multiple)</v>
      </c>
      <c r="K34" s="56">
        <f>K21*F53</f>
        <v>812.16543797100087</v>
      </c>
    </row>
    <row r="35" spans="2:16" s="37" customFormat="1" ht="13.5" customHeight="1" x14ac:dyDescent="0.4">
      <c r="B35" s="58" t="s">
        <v>28</v>
      </c>
      <c r="C35" s="58"/>
      <c r="D35" s="58"/>
      <c r="E35" s="58"/>
      <c r="F35" s="66">
        <f t="shared" ref="F35:K35" si="9">F$30+F34</f>
        <v>0</v>
      </c>
      <c r="G35" s="66">
        <f t="shared" si="9"/>
        <v>55.138012474106816</v>
      </c>
      <c r="H35" s="66">
        <f t="shared" si="9"/>
        <v>85.229796209279939</v>
      </c>
      <c r="I35" s="66">
        <f t="shared" si="9"/>
        <v>89.456512183692581</v>
      </c>
      <c r="J35" s="66">
        <f t="shared" si="9"/>
        <v>90.968974643562788</v>
      </c>
      <c r="K35" s="66">
        <f t="shared" si="9"/>
        <v>903.76569782923525</v>
      </c>
      <c r="L35" s="56"/>
      <c r="M35" s="56"/>
      <c r="N35" s="56"/>
      <c r="O35" s="56"/>
      <c r="P35" s="56"/>
    </row>
    <row r="36" spans="2:16" s="37" customFormat="1" ht="13.5" customHeight="1" x14ac:dyDescent="0.4"/>
    <row r="37" spans="2:16" s="70" customFormat="1" ht="13.5" customHeight="1" x14ac:dyDescent="0.4">
      <c r="B37" s="67" t="s">
        <v>26</v>
      </c>
      <c r="C37" s="67"/>
      <c r="D37" s="67"/>
      <c r="E37" s="67"/>
      <c r="F37" s="68">
        <f>XNPV($C$55,F35:K35,F$8:K$8)-F35</f>
        <v>773.03308562755888</v>
      </c>
      <c r="G37" s="69"/>
    </row>
    <row r="38" spans="2:16" s="72" customFormat="1" ht="13.5" customHeight="1" x14ac:dyDescent="0.4">
      <c r="B38" s="71" t="s">
        <v>21</v>
      </c>
      <c r="F38" s="73">
        <f>ROUND(F37-F55,1)</f>
        <v>0</v>
      </c>
      <c r="G38" s="74"/>
    </row>
    <row r="39" spans="2:16" s="33" customFormat="1" ht="13.5" customHeight="1" x14ac:dyDescent="0.65"/>
    <row r="40" spans="2:16" s="37" customFormat="1" ht="13.5" customHeight="1" x14ac:dyDescent="0.4">
      <c r="B40" s="37" t="str">
        <f>"( + ) Terminal cash flow ("&amp;TEXT(F72,"0.0%")&amp;" terminal growth)"</f>
        <v>( + ) Terminal cash flow (0.5% terminal growth)</v>
      </c>
      <c r="K40" s="56">
        <f>K30*(1+F72)/(C74-F72)</f>
        <v>800.50661876109166</v>
      </c>
    </row>
    <row r="41" spans="2:16" s="37" customFormat="1" ht="13.5" customHeight="1" x14ac:dyDescent="0.4">
      <c r="B41" s="58" t="s">
        <v>29</v>
      </c>
      <c r="C41" s="58"/>
      <c r="D41" s="58"/>
      <c r="E41" s="58"/>
      <c r="F41" s="66">
        <f t="shared" ref="F41:K41" si="10">F$30+F40</f>
        <v>0</v>
      </c>
      <c r="G41" s="66">
        <f t="shared" si="10"/>
        <v>55.138012474106816</v>
      </c>
      <c r="H41" s="66">
        <f t="shared" si="10"/>
        <v>85.229796209279939</v>
      </c>
      <c r="I41" s="66">
        <f t="shared" si="10"/>
        <v>89.456512183692581</v>
      </c>
      <c r="J41" s="66">
        <f t="shared" si="10"/>
        <v>90.968974643562788</v>
      </c>
      <c r="K41" s="66">
        <f t="shared" si="10"/>
        <v>892.10687861932604</v>
      </c>
      <c r="L41" s="56"/>
      <c r="M41" s="56"/>
      <c r="N41" s="56"/>
      <c r="O41" s="56"/>
      <c r="P41" s="56"/>
    </row>
    <row r="42" spans="2:16" s="33" customFormat="1" ht="13.5" customHeight="1" x14ac:dyDescent="0.65"/>
    <row r="43" spans="2:16" s="70" customFormat="1" ht="13.5" customHeight="1" x14ac:dyDescent="0.4">
      <c r="B43" s="67" t="s">
        <v>27</v>
      </c>
      <c r="C43" s="67"/>
      <c r="D43" s="67"/>
      <c r="E43" s="67"/>
      <c r="F43" s="68">
        <f>XNPV($C$55,F41:K41,F$8:K$8)-F41</f>
        <v>766.22797406786606</v>
      </c>
      <c r="G43" s="69"/>
    </row>
    <row r="44" spans="2:16" s="72" customFormat="1" ht="13.5" customHeight="1" x14ac:dyDescent="0.4">
      <c r="B44" s="72" t="s">
        <v>21</v>
      </c>
      <c r="F44" s="73">
        <f>ROUND(F43-F74,1)</f>
        <v>0</v>
      </c>
      <c r="G44" s="74"/>
    </row>
    <row r="45" spans="2:16" s="33" customFormat="1" ht="13.5" customHeight="1" x14ac:dyDescent="0.65"/>
    <row r="46" spans="2:16" s="37" customFormat="1" ht="13.5" customHeight="1" x14ac:dyDescent="0.4">
      <c r="B46" s="48" t="s">
        <v>22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50"/>
    </row>
    <row r="47" spans="2:16" s="37" customFormat="1" ht="5.0999999999999996" customHeight="1" x14ac:dyDescent="0.4">
      <c r="B47" s="51"/>
      <c r="G47" s="75"/>
      <c r="H47" s="75"/>
      <c r="I47" s="75"/>
    </row>
    <row r="48" spans="2:16" s="76" customFormat="1" ht="13.5" customHeight="1" x14ac:dyDescent="0.4">
      <c r="B48" s="76" t="s">
        <v>40</v>
      </c>
      <c r="N48" s="77"/>
      <c r="O48" s="78"/>
    </row>
    <row r="49" spans="2:15" s="76" customFormat="1" ht="13.5" customHeight="1" x14ac:dyDescent="0.4">
      <c r="B49" s="76" t="s">
        <v>41</v>
      </c>
      <c r="N49" s="77"/>
      <c r="O49" s="78"/>
    </row>
    <row r="50" spans="2:15" s="37" customFormat="1" ht="13.5" customHeight="1" x14ac:dyDescent="0.4">
      <c r="B50" s="51"/>
      <c r="G50" s="75"/>
      <c r="H50" s="75"/>
      <c r="I50" s="75"/>
    </row>
    <row r="51" spans="2:15" s="37" customFormat="1" ht="13.5" customHeight="1" x14ac:dyDescent="0.4">
      <c r="E51" s="70" t="s">
        <v>24</v>
      </c>
      <c r="I51" s="70" t="s">
        <v>25</v>
      </c>
    </row>
    <row r="52" spans="2:15" s="33" customFormat="1" ht="13.5" customHeight="1" x14ac:dyDescent="0.65">
      <c r="E52" s="79" t="s">
        <v>3</v>
      </c>
      <c r="F52" s="79"/>
      <c r="G52" s="79"/>
      <c r="I52" s="79" t="str">
        <f>E52</f>
        <v>Terminal EBITDA Multiple</v>
      </c>
      <c r="J52" s="79"/>
      <c r="K52" s="79"/>
    </row>
    <row r="53" spans="2:15" s="33" customFormat="1" ht="13.5" customHeight="1" x14ac:dyDescent="0.65">
      <c r="E53" s="80">
        <v>4.5</v>
      </c>
      <c r="F53" s="80">
        <v>5</v>
      </c>
      <c r="G53" s="80">
        <v>5.5</v>
      </c>
      <c r="I53" s="81">
        <f>$E$53</f>
        <v>4.5</v>
      </c>
      <c r="J53" s="81">
        <f>$F$53</f>
        <v>5</v>
      </c>
      <c r="K53" s="81">
        <f>$G$53</f>
        <v>5.5</v>
      </c>
    </row>
    <row r="54" spans="2:15" s="33" customFormat="1" ht="13.5" customHeight="1" x14ac:dyDescent="0.65">
      <c r="B54" s="37" t="s">
        <v>4</v>
      </c>
      <c r="C54" s="82">
        <f>C55-0.01</f>
        <v>0.11</v>
      </c>
      <c r="D54" s="83"/>
      <c r="E54" s="84">
        <f t="shared" ref="E54:G56" si="11">$G$30/(1+$C54)^($G$11)+$H$30/(1+$C54)^($H$11)+$I$30/(1+$C54)^($I$11)+$J$30/(1+$C54)^($J$11)+$K$30/(1+$C54)^($K$11)+E$53*$K$21/(1+$C54)^($K$11)</f>
        <v>751.68288855189837</v>
      </c>
      <c r="F54" s="85">
        <f t="shared" si="11"/>
        <v>801.15498957400712</v>
      </c>
      <c r="G54" s="86">
        <f t="shared" si="11"/>
        <v>850.62709059611575</v>
      </c>
      <c r="I54" s="84">
        <f t="shared" ref="I54:K56" si="12">E54-$F$15</f>
        <v>726.0974705797953</v>
      </c>
      <c r="J54" s="85">
        <f t="shared" si="12"/>
        <v>775.56957160190404</v>
      </c>
      <c r="K54" s="86">
        <f t="shared" si="12"/>
        <v>825.04167262401268</v>
      </c>
    </row>
    <row r="55" spans="2:15" s="33" customFormat="1" ht="13.5" customHeight="1" x14ac:dyDescent="0.65">
      <c r="B55" s="37" t="s">
        <v>5</v>
      </c>
      <c r="C55" s="87">
        <v>0.12</v>
      </c>
      <c r="D55" s="83"/>
      <c r="E55" s="88">
        <f t="shared" si="11"/>
        <v>725.66857265867793</v>
      </c>
      <c r="F55" s="89">
        <f t="shared" si="11"/>
        <v>773.07736540857491</v>
      </c>
      <c r="G55" s="90">
        <f t="shared" si="11"/>
        <v>820.48615815847188</v>
      </c>
      <c r="I55" s="88">
        <f t="shared" si="12"/>
        <v>700.08315468657486</v>
      </c>
      <c r="J55" s="89">
        <f t="shared" si="12"/>
        <v>747.49194743647183</v>
      </c>
      <c r="K55" s="90">
        <f t="shared" si="12"/>
        <v>794.90074018636881</v>
      </c>
    </row>
    <row r="56" spans="2:15" s="33" customFormat="1" ht="13.5" customHeight="1" x14ac:dyDescent="0.65">
      <c r="B56" s="37" t="s">
        <v>6</v>
      </c>
      <c r="C56" s="82">
        <f>C55+0.01</f>
        <v>0.13</v>
      </c>
      <c r="D56" s="83"/>
      <c r="E56" s="91">
        <f t="shared" si="11"/>
        <v>700.87051998118477</v>
      </c>
      <c r="F56" s="92">
        <f t="shared" si="11"/>
        <v>746.31926520104889</v>
      </c>
      <c r="G56" s="93">
        <f t="shared" si="11"/>
        <v>791.7680104209129</v>
      </c>
      <c r="I56" s="91">
        <f t="shared" si="12"/>
        <v>675.2851020090817</v>
      </c>
      <c r="J56" s="92">
        <f t="shared" si="12"/>
        <v>720.73384722894582</v>
      </c>
      <c r="K56" s="93">
        <f t="shared" si="12"/>
        <v>766.18259244880983</v>
      </c>
    </row>
    <row r="57" spans="2:15" s="37" customFormat="1" ht="13.5" customHeight="1" x14ac:dyDescent="0.4"/>
    <row r="58" spans="2:15" s="37" customFormat="1" ht="14.4" x14ac:dyDescent="0.4">
      <c r="E58" s="70" t="s">
        <v>7</v>
      </c>
      <c r="I58" s="70" t="s">
        <v>32</v>
      </c>
    </row>
    <row r="59" spans="2:15" s="33" customFormat="1" ht="13.5" customHeight="1" x14ac:dyDescent="0.65">
      <c r="E59" s="94" t="str">
        <f>E52</f>
        <v>Terminal EBITDA Multiple</v>
      </c>
      <c r="F59" s="94"/>
      <c r="G59" s="94"/>
      <c r="I59" s="94" t="str">
        <f>E59</f>
        <v>Terminal EBITDA Multiple</v>
      </c>
      <c r="J59" s="94"/>
      <c r="K59" s="94"/>
    </row>
    <row r="60" spans="2:15" s="33" customFormat="1" ht="13.5" customHeight="1" x14ac:dyDescent="0.65">
      <c r="E60" s="95">
        <f>$E$53</f>
        <v>4.5</v>
      </c>
      <c r="F60" s="95">
        <f>$F$53</f>
        <v>5</v>
      </c>
      <c r="G60" s="95">
        <f>$G$53</f>
        <v>5.5</v>
      </c>
      <c r="I60" s="95">
        <f>$E$53</f>
        <v>4.5</v>
      </c>
      <c r="J60" s="95">
        <f>$F$53</f>
        <v>5</v>
      </c>
      <c r="K60" s="95">
        <f>$G$53</f>
        <v>5.5</v>
      </c>
    </row>
    <row r="61" spans="2:15" s="33" customFormat="1" ht="13.5" customHeight="1" x14ac:dyDescent="0.65">
      <c r="B61" s="37" t="s">
        <v>4</v>
      </c>
      <c r="C61" s="55">
        <f>$C$54</f>
        <v>0.11</v>
      </c>
      <c r="D61" s="96"/>
      <c r="E61" s="97">
        <f t="shared" ref="E61:G63" si="13">(E$60*$K$21*$C61-$K$30)/(E$60*$K$21+$K$30)</f>
        <v>-1.361120055163036E-2</v>
      </c>
      <c r="F61" s="98">
        <f t="shared" si="13"/>
        <v>-2.5029293398250692E-3</v>
      </c>
      <c r="G61" s="99">
        <f t="shared" si="13"/>
        <v>6.7734806317328016E-3</v>
      </c>
      <c r="I61" s="100">
        <f t="shared" ref="I61:K63" si="14">I54/$F$16</f>
        <v>20.651726889414292</v>
      </c>
      <c r="J61" s="101">
        <f t="shared" si="14"/>
        <v>22.058816654013359</v>
      </c>
      <c r="K61" s="102">
        <f t="shared" si="14"/>
        <v>23.465906418612427</v>
      </c>
    </row>
    <row r="62" spans="2:15" s="33" customFormat="1" ht="13.5" customHeight="1" x14ac:dyDescent="0.65">
      <c r="B62" s="37" t="s">
        <v>5</v>
      </c>
      <c r="C62" s="55">
        <f>$C$55</f>
        <v>0.12</v>
      </c>
      <c r="D62" s="96"/>
      <c r="E62" s="103">
        <f t="shared" si="13"/>
        <v>-4.7248149710144198E-3</v>
      </c>
      <c r="F62" s="104">
        <f t="shared" si="13"/>
        <v>6.4835307562125426E-3</v>
      </c>
      <c r="G62" s="105">
        <f t="shared" si="13"/>
        <v>1.5843511988775441E-2</v>
      </c>
      <c r="I62" s="106">
        <f t="shared" si="14"/>
        <v>19.911825472855512</v>
      </c>
      <c r="J62" s="107">
        <f t="shared" si="14"/>
        <v>21.260230445601</v>
      </c>
      <c r="K62" s="108">
        <f t="shared" si="14"/>
        <v>22.608635418346488</v>
      </c>
    </row>
    <row r="63" spans="2:15" s="33" customFormat="1" ht="13.5" customHeight="1" x14ac:dyDescent="0.65">
      <c r="B63" s="37" t="s">
        <v>6</v>
      </c>
      <c r="C63" s="55">
        <f>$C$56</f>
        <v>0.13</v>
      </c>
      <c r="D63" s="96"/>
      <c r="E63" s="109">
        <f t="shared" si="13"/>
        <v>4.1615706096015193E-3</v>
      </c>
      <c r="F63" s="110">
        <f t="shared" si="13"/>
        <v>1.5469990852250154E-2</v>
      </c>
      <c r="G63" s="111">
        <f t="shared" si="13"/>
        <v>2.4913543345818082E-2</v>
      </c>
      <c r="I63" s="112">
        <f t="shared" si="14"/>
        <v>19.206517119589986</v>
      </c>
      <c r="J63" s="113">
        <f t="shared" si="14"/>
        <v>20.499174251417937</v>
      </c>
      <c r="K63" s="114">
        <f t="shared" si="14"/>
        <v>21.791831383245881</v>
      </c>
    </row>
    <row r="64" spans="2:15" s="33" customFormat="1" ht="13.5" customHeight="1" x14ac:dyDescent="0.65"/>
    <row r="65" spans="2:16" s="37" customFormat="1" ht="13.5" customHeight="1" x14ac:dyDescent="0.4">
      <c r="B65" s="48" t="s">
        <v>23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50"/>
    </row>
    <row r="66" spans="2:16" s="37" customFormat="1" ht="5.0999999999999996" customHeight="1" x14ac:dyDescent="0.4">
      <c r="B66" s="51"/>
      <c r="G66" s="75"/>
      <c r="H66" s="75"/>
      <c r="I66" s="75"/>
    </row>
    <row r="67" spans="2:16" s="76" customFormat="1" ht="13.5" customHeight="1" x14ac:dyDescent="0.4">
      <c r="B67" s="76" t="s">
        <v>42</v>
      </c>
      <c r="N67" s="77"/>
      <c r="O67" s="78"/>
    </row>
    <row r="68" spans="2:16" s="76" customFormat="1" ht="13.5" customHeight="1" x14ac:dyDescent="0.4">
      <c r="B68" s="76" t="s">
        <v>41</v>
      </c>
      <c r="N68" s="77"/>
      <c r="O68" s="78"/>
    </row>
    <row r="69" spans="2:16" s="37" customFormat="1" ht="13.5" customHeight="1" x14ac:dyDescent="0.4">
      <c r="E69" s="75"/>
    </row>
    <row r="70" spans="2:16" s="37" customFormat="1" ht="14.4" x14ac:dyDescent="0.4">
      <c r="E70" s="70" t="s">
        <v>24</v>
      </c>
      <c r="I70" s="70" t="s">
        <v>25</v>
      </c>
    </row>
    <row r="71" spans="2:16" s="33" customFormat="1" ht="14.4" x14ac:dyDescent="0.65">
      <c r="E71" s="94" t="s">
        <v>8</v>
      </c>
      <c r="F71" s="94"/>
      <c r="G71" s="94"/>
      <c r="I71" s="94" t="str">
        <f>E71</f>
        <v>Terminal Perpetuity Growth Rate</v>
      </c>
      <c r="J71" s="94"/>
      <c r="K71" s="94"/>
    </row>
    <row r="72" spans="2:16" s="33" customFormat="1" ht="13.5" customHeight="1" x14ac:dyDescent="0.65">
      <c r="E72" s="54">
        <v>0</v>
      </c>
      <c r="F72" s="54">
        <v>5.0000000000000001E-3</v>
      </c>
      <c r="G72" s="54">
        <v>0.01</v>
      </c>
      <c r="H72" s="37"/>
      <c r="I72" s="115">
        <f>$E$72</f>
        <v>0</v>
      </c>
      <c r="J72" s="115">
        <f>$F$72</f>
        <v>5.0000000000000001E-3</v>
      </c>
      <c r="K72" s="115">
        <f>$G$72</f>
        <v>0.01</v>
      </c>
    </row>
    <row r="73" spans="2:16" s="33" customFormat="1" ht="13.5" customHeight="1" x14ac:dyDescent="0.65">
      <c r="B73" s="37" t="s">
        <v>4</v>
      </c>
      <c r="C73" s="55">
        <f>$C$54</f>
        <v>0.11</v>
      </c>
      <c r="D73" s="96"/>
      <c r="E73" s="84">
        <f t="shared" ref="E73:G75" si="15">$G$30/(1+$C73)^($G$11)+$H$30/(1+$C73)^($H$11)+$I$30/(1+$C73)^($I$11)+$J$30/(1+$C73)^($J$11)+$K$30/(1+$C73)^($K$11)+($K$30*(1+E$72)/($C73-E$72))/(1+$C73)^($K$11)</f>
        <v>813.68142801864451</v>
      </c>
      <c r="F73" s="85">
        <f t="shared" si="15"/>
        <v>840.49307887668988</v>
      </c>
      <c r="G73" s="86">
        <f t="shared" si="15"/>
        <v>869.9858948205399</v>
      </c>
      <c r="I73" s="84">
        <f t="shared" ref="I73:K75" si="16">E73-$F$15</f>
        <v>788.09601004654144</v>
      </c>
      <c r="J73" s="85">
        <f t="shared" si="16"/>
        <v>814.90766090458681</v>
      </c>
      <c r="K73" s="86">
        <f t="shared" si="16"/>
        <v>844.40047684843682</v>
      </c>
    </row>
    <row r="74" spans="2:16" s="33" customFormat="1" ht="14.4" x14ac:dyDescent="0.65">
      <c r="B74" s="37" t="s">
        <v>5</v>
      </c>
      <c r="C74" s="55">
        <f>$C$55</f>
        <v>0.12</v>
      </c>
      <c r="D74" s="96"/>
      <c r="E74" s="88">
        <f t="shared" si="15"/>
        <v>744.57370892389736</v>
      </c>
      <c r="F74" s="89">
        <f t="shared" si="15"/>
        <v>766.27172559937594</v>
      </c>
      <c r="G74" s="90">
        <f t="shared" si="15"/>
        <v>789.94228924535241</v>
      </c>
      <c r="I74" s="88">
        <f t="shared" si="16"/>
        <v>718.98829095179428</v>
      </c>
      <c r="J74" s="89">
        <f t="shared" si="16"/>
        <v>740.68630762727287</v>
      </c>
      <c r="K74" s="90">
        <f t="shared" si="16"/>
        <v>764.35687127324934</v>
      </c>
    </row>
    <row r="75" spans="2:16" s="33" customFormat="1" ht="14.4" x14ac:dyDescent="0.65">
      <c r="B75" s="37" t="s">
        <v>6</v>
      </c>
      <c r="C75" s="55">
        <f>$C$56</f>
        <v>0.13</v>
      </c>
      <c r="D75" s="96"/>
      <c r="E75" s="91">
        <f t="shared" si="15"/>
        <v>686.13541722021</v>
      </c>
      <c r="F75" s="92">
        <f t="shared" si="15"/>
        <v>703.95794013085447</v>
      </c>
      <c r="G75" s="93">
        <f t="shared" si="15"/>
        <v>723.26567328405281</v>
      </c>
      <c r="I75" s="91">
        <f t="shared" si="16"/>
        <v>660.54999924810693</v>
      </c>
      <c r="J75" s="92">
        <f t="shared" si="16"/>
        <v>678.37252215875139</v>
      </c>
      <c r="K75" s="93">
        <f t="shared" si="16"/>
        <v>697.68025531194974</v>
      </c>
    </row>
    <row r="76" spans="2:16" s="33" customFormat="1" ht="14.4" x14ac:dyDescent="0.65"/>
    <row r="77" spans="2:16" s="37" customFormat="1" ht="14.4" x14ac:dyDescent="0.4">
      <c r="E77" s="70" t="s">
        <v>9</v>
      </c>
      <c r="I77" s="70" t="s">
        <v>32</v>
      </c>
    </row>
    <row r="78" spans="2:16" s="33" customFormat="1" ht="14.4" x14ac:dyDescent="0.65">
      <c r="E78" s="94" t="str">
        <f>E71</f>
        <v>Terminal Perpetuity Growth Rate</v>
      </c>
      <c r="F78" s="94"/>
      <c r="G78" s="94"/>
      <c r="I78" s="94" t="str">
        <f>E78</f>
        <v>Terminal Perpetuity Growth Rate</v>
      </c>
      <c r="J78" s="94"/>
      <c r="K78" s="94"/>
    </row>
    <row r="79" spans="2:16" s="33" customFormat="1" ht="13.5" customHeight="1" x14ac:dyDescent="0.65">
      <c r="E79" s="115">
        <f>$E$72</f>
        <v>0</v>
      </c>
      <c r="F79" s="115">
        <f>$F$72</f>
        <v>5.0000000000000001E-3</v>
      </c>
      <c r="G79" s="115">
        <f>$G$72</f>
        <v>0.01</v>
      </c>
      <c r="H79" s="116"/>
      <c r="I79" s="115">
        <f>$E$72</f>
        <v>0</v>
      </c>
      <c r="J79" s="115">
        <f>$F$72</f>
        <v>5.0000000000000001E-3</v>
      </c>
      <c r="K79" s="115">
        <f>$G$72</f>
        <v>0.01</v>
      </c>
    </row>
    <row r="80" spans="2:16" s="33" customFormat="1" ht="13.5" customHeight="1" x14ac:dyDescent="0.65">
      <c r="B80" s="37" t="s">
        <v>4</v>
      </c>
      <c r="C80" s="55">
        <f>$C$54</f>
        <v>0.11</v>
      </c>
      <c r="D80" s="96"/>
      <c r="E80" s="117">
        <f t="shared" ref="E80:G82" si="17">$K$30*(1+E$79)/($C80-E$79)/$K$21</f>
        <v>5.1266010355921559</v>
      </c>
      <c r="F80" s="118">
        <f t="shared" si="17"/>
        <v>5.3975785189020264</v>
      </c>
      <c r="G80" s="119">
        <f t="shared" si="17"/>
        <v>5.6956537505428839</v>
      </c>
      <c r="I80" s="100">
        <f t="shared" ref="I80:K82" si="18">I73/$F$16</f>
        <v>22.415094696752089</v>
      </c>
      <c r="J80" s="101">
        <f t="shared" si="18"/>
        <v>23.177673983156357</v>
      </c>
      <c r="K80" s="102">
        <f t="shared" si="18"/>
        <v>24.016511198201052</v>
      </c>
    </row>
    <row r="81" spans="2:16" s="33" customFormat="1" ht="13.5" customHeight="1" x14ac:dyDescent="0.65">
      <c r="B81" s="37" t="s">
        <v>5</v>
      </c>
      <c r="C81" s="55">
        <f>$C$55</f>
        <v>0.12</v>
      </c>
      <c r="D81" s="96"/>
      <c r="E81" s="120">
        <f t="shared" si="17"/>
        <v>4.6993842826261423</v>
      </c>
      <c r="F81" s="121">
        <f t="shared" si="17"/>
        <v>4.9282238650844592</v>
      </c>
      <c r="G81" s="122">
        <f t="shared" si="17"/>
        <v>5.1778670459480765</v>
      </c>
      <c r="I81" s="106">
        <f t="shared" si="18"/>
        <v>20.449526989216277</v>
      </c>
      <c r="J81" s="107">
        <f t="shared" si="18"/>
        <v>21.066663851111869</v>
      </c>
      <c r="K81" s="108">
        <f t="shared" si="18"/>
        <v>21.739904064088872</v>
      </c>
    </row>
    <row r="82" spans="2:16" s="33" customFormat="1" ht="13.5" customHeight="1" x14ac:dyDescent="0.65">
      <c r="B82" s="37" t="s">
        <v>6</v>
      </c>
      <c r="C82" s="55">
        <f>$C$56</f>
        <v>0.13</v>
      </c>
      <c r="D82" s="96"/>
      <c r="E82" s="123">
        <f t="shared" si="17"/>
        <v>4.3378931839625929</v>
      </c>
      <c r="F82" s="124">
        <f t="shared" si="17"/>
        <v>4.5339659558777017</v>
      </c>
      <c r="G82" s="125">
        <f t="shared" si="17"/>
        <v>4.7463781254524031</v>
      </c>
      <c r="I82" s="112">
        <f t="shared" si="18"/>
        <v>18.787420055852643</v>
      </c>
      <c r="J82" s="113">
        <f t="shared" si="18"/>
        <v>19.294329789799317</v>
      </c>
      <c r="K82" s="114">
        <f t="shared" si="18"/>
        <v>19.843482001574888</v>
      </c>
    </row>
    <row r="83" spans="2:16" s="33" customFormat="1" ht="13.5" customHeight="1" thickBot="1" x14ac:dyDescent="0.7"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</row>
  </sheetData>
  <phoneticPr fontId="2" type="noConversion"/>
  <printOptions horizontalCentered="1"/>
  <pageMargins left="0.11799999999999999" right="0.11799999999999999" top="0.11799999999999999" bottom="0.11799999999999999" header="0.11799999999999999" footer="0.11799999999999999"/>
  <pageSetup scale="8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 Page</vt:lpstr>
      <vt:lpstr>DCF</vt:lpstr>
      <vt:lpstr>'Cover Page'!Print_Area</vt:lpstr>
      <vt:lpstr>DCF!Print_Area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Macabacus, LLC; Ryan MacGregor</dc:creator>
  <cp:lastModifiedBy>Corporate Finance Institute</cp:lastModifiedBy>
  <cp:lastPrinted>2023-01-30T23:09:06Z</cp:lastPrinted>
  <dcterms:created xsi:type="dcterms:W3CDTF">2008-10-06T18:34:59Z</dcterms:created>
  <dcterms:modified xsi:type="dcterms:W3CDTF">2023-01-30T23:18:23Z</dcterms:modified>
</cp:coreProperties>
</file>